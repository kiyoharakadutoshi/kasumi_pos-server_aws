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AMDUYTHAI\Documents\POS\30_implementation\35_document\Phase 3\#13069_Cập nhật lại thiết kế preset\20231206\"/>
    </mc:Choice>
  </mc:AlternateContent>
  <xr:revisionPtr revIDLastSave="0" documentId="13_ncr:1_{E78886EC-FCA2-4EBE-8B41-9A5F900201C6}" xr6:coauthVersionLast="47" xr6:coauthVersionMax="47" xr10:uidLastSave="{00000000-0000-0000-0000-000000000000}"/>
  <bookViews>
    <workbookView xWindow="28680" yWindow="-240" windowWidth="29040" windowHeight="15840" xr2:uid="{00000000-000D-0000-FFFF-FFFF00000000}"/>
  </bookViews>
  <sheets>
    <sheet name="表紙" sheetId="5" r:id="rId1"/>
    <sheet name="改廃履歴" sheetId="6" r:id="rId2"/>
    <sheet name="API一覧" sheetId="18" r:id="rId3"/>
    <sheet name="API P001" sheetId="23" r:id="rId4"/>
    <sheet name="API P002" sheetId="27" r:id="rId5"/>
    <sheet name="API P003" sheetId="14" r:id="rId6"/>
    <sheet name="API P003_old" sheetId="19" state="hidden" r:id="rId7"/>
    <sheet name="API P004" sheetId="22" r:id="rId8"/>
    <sheet name="API P005" sheetId="15" r:id="rId9"/>
    <sheet name="API P006" sheetId="28" r:id="rId10"/>
    <sheet name="A001" sheetId="16" r:id="rId11"/>
    <sheet name="JSON定義&lt;menu&gt;" sheetId="24" r:id="rId12"/>
    <sheet name="JSON定義&lt;menu-button&gt; " sheetId="2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KEY1" localSheetId="10" hidden="1">#REF!</definedName>
    <definedName name="__KEY1" localSheetId="3" hidden="1">#REF!</definedName>
    <definedName name="__KEY1" localSheetId="4" hidden="1">#REF!</definedName>
    <definedName name="__KEY1" localSheetId="7" hidden="1">#REF!</definedName>
    <definedName name="__KEY1" localSheetId="9" hidden="1">#REF!</definedName>
    <definedName name="__KEY1" hidden="1">#REF!</definedName>
    <definedName name="_Fill" localSheetId="10" hidden="1">#REF!</definedName>
    <definedName name="_Fill" localSheetId="3" hidden="1">#REF!</definedName>
    <definedName name="_Fill" localSheetId="4" hidden="1">#REF!</definedName>
    <definedName name="_Fill" localSheetId="7" hidden="1">#REF!</definedName>
    <definedName name="_Fill" localSheetId="9" hidden="1">#REF!</definedName>
    <definedName name="_Fill" hidden="1">#REF!</definedName>
    <definedName name="_Key1" localSheetId="10" hidden="1">#REF!</definedName>
    <definedName name="_Key1" localSheetId="3" hidden="1">#REF!</definedName>
    <definedName name="_Key1" localSheetId="4" hidden="1">#REF!</definedName>
    <definedName name="_Key1" localSheetId="7" hidden="1">#REF!</definedName>
    <definedName name="_Key1" localSheetId="9" hidden="1">#REF!</definedName>
    <definedName name="_Key1" hidden="1">#REF!</definedName>
    <definedName name="_Key2" localSheetId="10" hidden="1">[1]見積OES!#REF!</definedName>
    <definedName name="_Key2" localSheetId="3" hidden="1">[1]見積OES!#REF!</definedName>
    <definedName name="_Key2" localSheetId="4" hidden="1">[1]見積OES!#REF!</definedName>
    <definedName name="_Key2" localSheetId="7" hidden="1">[1]見積OES!#REF!</definedName>
    <definedName name="_Key2" localSheetId="9" hidden="1">[1]見積OES!#REF!</definedName>
    <definedName name="_Key2" hidden="1">[1]見積OES!#REF!</definedName>
    <definedName name="_Order1" hidden="1">1</definedName>
    <definedName name="_Order2" hidden="1">255</definedName>
    <definedName name="_Sort" localSheetId="10" hidden="1">#REF!</definedName>
    <definedName name="_Sort" localSheetId="3" hidden="1">#REF!</definedName>
    <definedName name="_Sort" localSheetId="4" hidden="1">#REF!</definedName>
    <definedName name="_Sort" localSheetId="7" hidden="1">#REF!</definedName>
    <definedName name="_Sort" localSheetId="9" hidden="1">#REF!</definedName>
    <definedName name="_Sort" hidden="1">#REF!</definedName>
    <definedName name="a" localSheetId="10">#REF!</definedName>
    <definedName name="a" localSheetId="3">#REF!</definedName>
    <definedName name="a" localSheetId="4">#REF!</definedName>
    <definedName name="a" localSheetId="7">#REF!</definedName>
    <definedName name="a" localSheetId="9">#REF!</definedName>
    <definedName name="a">#REF!</definedName>
    <definedName name="all_workbook" localSheetId="10">SUBSTITUTE(sheet_name,"["&amp;work_book&amp;"]","")</definedName>
    <definedName name="all_workbook" localSheetId="3">SUBSTITUTE(sheet_name,"["&amp;work_book&amp;"]","")</definedName>
    <definedName name="all_workbook" localSheetId="4">SUBSTITUTE(sheet_name,"["&amp;work_book&amp;"]","")</definedName>
    <definedName name="all_workbook" localSheetId="5">SUBSTITUTE(sheet_name,"["&amp;work_book&amp;"]","")</definedName>
    <definedName name="all_workbook" localSheetId="7">SUBSTITUTE(sheet_name,"["&amp;work_book&amp;"]","")</definedName>
    <definedName name="all_workbook" localSheetId="8">SUBSTITUTE(sheet_name,"["&amp;work_book&amp;"]","")</definedName>
    <definedName name="all_workbook" localSheetId="9">SUBSTITUTE(sheet_name,"["&amp;work_book&amp;"]","")</definedName>
    <definedName name="all_workbook">SUBSTITUTE(sheet_name,"["&amp;work_book&amp;"]","")</definedName>
    <definedName name="AS2DocOpenMode" hidden="1">"AS2DocumentEdit"</definedName>
    <definedName name="b" localSheetId="3" hidden="1">#REF!</definedName>
    <definedName name="b" localSheetId="4" hidden="1">#REF!</definedName>
    <definedName name="b" localSheetId="7" hidden="1">#REF!</definedName>
    <definedName name="b" localSheetId="9" hidden="1">#REF!</definedName>
    <definedName name="b" hidden="1">#REF!</definedName>
    <definedName name="bbb" localSheetId="3" hidden="1">[1]見積OES!#REF!</definedName>
    <definedName name="bbb" localSheetId="4" hidden="1">[1]見積OES!#REF!</definedName>
    <definedName name="bbb" localSheetId="7" hidden="1">[1]見積OES!#REF!</definedName>
    <definedName name="bbb" localSheetId="9" hidden="1">[1]見積OES!#REF!</definedName>
    <definedName name="bbb" hidden="1">[1]見積OES!#REF!</definedName>
    <definedName name="c_1" localSheetId="10" hidden="1">#REF!</definedName>
    <definedName name="c_1" localSheetId="3" hidden="1">#REF!</definedName>
    <definedName name="c_1" localSheetId="4" hidden="1">#REF!</definedName>
    <definedName name="c_1" localSheetId="7" hidden="1">#REF!</definedName>
    <definedName name="c_1" localSheetId="9" hidden="1">#REF!</definedName>
    <definedName name="c_1" hidden="1">#REF!</definedName>
    <definedName name="Category">[2]_master!$A$2:$A$16</definedName>
    <definedName name="CBWorkbookPriority" hidden="1">-521504301</definedName>
    <definedName name="chuc_nang">'[3]CN - NV DEV1'!$A$3:$A$7</definedName>
    <definedName name="Contract">[4]Data!$C$3:$C$10</definedName>
    <definedName name="DAY" localSheetId="10">#REF!</definedName>
    <definedName name="DAY" localSheetId="3">#REF!</definedName>
    <definedName name="DAY" localSheetId="4">#REF!</definedName>
    <definedName name="DAY" localSheetId="7">#REF!</definedName>
    <definedName name="DAY" localSheetId="9">#REF!</definedName>
    <definedName name="DAY">#REF!</definedName>
    <definedName name="Excel_BuiltIn__FilterDatabase_1" localSheetId="10">#REF!</definedName>
    <definedName name="Excel_BuiltIn__FilterDatabase_1" localSheetId="3">#REF!</definedName>
    <definedName name="Excel_BuiltIn__FilterDatabase_1" localSheetId="4">#REF!</definedName>
    <definedName name="Excel_BuiltIn__FilterDatabase_1" localSheetId="7">#REF!</definedName>
    <definedName name="Excel_BuiltIn__FilterDatabase_1" localSheetId="9">#REF!</definedName>
    <definedName name="Excel_BuiltIn__FilterDatabase_1">#REF!</definedName>
    <definedName name="First_Day" localSheetId="10">#REF!</definedName>
    <definedName name="First_Day" localSheetId="3">#REF!</definedName>
    <definedName name="First_Day" localSheetId="4">#REF!</definedName>
    <definedName name="First_Day" localSheetId="7">#REF!</definedName>
    <definedName name="First_Day" localSheetId="9">#REF!</definedName>
    <definedName name="First_Day">#REF!</definedName>
    <definedName name="HTML_CodePage" hidden="1">932</definedName>
    <definedName name="HTML_Control" localSheetId="10" hidden="1">{"'Sheet1'!$A$5:$J$32","'Sheet1'!$A$37:$J$64","'Sheet1'!$A$69:$J$96"}</definedName>
    <definedName name="HTML_Control" localSheetId="9" hidden="1">{"'Sheet1'!$A$5:$J$32","'Sheet1'!$A$37:$J$64","'Sheet1'!$A$69:$J$96"}</definedName>
    <definedName name="HTML_Control" hidden="1">{"'Sheet1'!$A$5:$J$32","'Sheet1'!$A$37:$J$64","'Sheet1'!$A$69:$J$96"}</definedName>
    <definedName name="HTML_Description" hidden="1">""</definedName>
    <definedName name="HTML_Email" hidden="1">""</definedName>
    <definedName name="HTML_Header" hidden="1">"個人情報マスター (Kojin_Mst)"</definedName>
    <definedName name="HTML_LastUpdate" hidden="1">"97/10/07"</definedName>
    <definedName name="HTML_LineAfter" hidden="1">FALSE</definedName>
    <definedName name="HTML_LineBefore" hidden="1">FALSE</definedName>
    <definedName name="HTML_Name" hidden="1">"竹重"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"C:\html_f\Kojin_Mst.htm"</definedName>
    <definedName name="HTML_PathTemplate" hidden="1">"H:\OE\電子交換\EXCELｺﾝﾊﾞｰﾀforWeb\MyHTML2.htm"</definedName>
    <definedName name="HTML_Title" hidden="1">"個人情報マスター"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jdhfjdk" localSheetId="3" hidden="1">#REF!</definedName>
    <definedName name="jdhfjdk" localSheetId="4" hidden="1">#REF!</definedName>
    <definedName name="jdhfjdk" localSheetId="7" hidden="1">#REF!</definedName>
    <definedName name="jdhfjdk" localSheetId="9" hidden="1">#REF!</definedName>
    <definedName name="jdhfjdk" hidden="1">#REF!</definedName>
    <definedName name="KIND">[5]Temp!$A$19:$D$19</definedName>
    <definedName name="Level" localSheetId="10">#REF!</definedName>
    <definedName name="Level" localSheetId="3">#REF!</definedName>
    <definedName name="Level" localSheetId="4">#REF!</definedName>
    <definedName name="Level" localSheetId="7">#REF!</definedName>
    <definedName name="Level" localSheetId="9">#REF!</definedName>
    <definedName name="Level">#REF!</definedName>
    <definedName name="LIFECYCLE">[5]Temp!$A$21:$D$21</definedName>
    <definedName name="list1" localSheetId="3">'[6]Human Management'!#REF!</definedName>
    <definedName name="list1" localSheetId="4">'[6]Human Management'!#REF!</definedName>
    <definedName name="list1" localSheetId="7">'[6]Human Management'!#REF!</definedName>
    <definedName name="list1" localSheetId="9">'[6]Human Management'!#REF!</definedName>
    <definedName name="list1">'[6]Human Management'!#REF!</definedName>
    <definedName name="list3" localSheetId="3">'[6]Human Management'!#REF!</definedName>
    <definedName name="list3" localSheetId="4">'[6]Human Management'!#REF!</definedName>
    <definedName name="list3" localSheetId="7">'[6]Human Management'!#REF!</definedName>
    <definedName name="list3" localSheetId="9">'[6]Human Management'!#REF!</definedName>
    <definedName name="list3">'[6]Human Management'!#REF!</definedName>
    <definedName name="ListQT">[7]Library!$B$1:$B$43</definedName>
    <definedName name="Lupack.TenDA">[7]PRJList!$B$3:$B$73</definedName>
    <definedName name="method" localSheetId="10">#REF!</definedName>
    <definedName name="method" localSheetId="3">#REF!</definedName>
    <definedName name="method" localSheetId="4">#REF!</definedName>
    <definedName name="method" localSheetId="7">#REF!</definedName>
    <definedName name="method" localSheetId="9">#REF!</definedName>
    <definedName name="method">#REF!</definedName>
    <definedName name="Method." localSheetId="10">#REF!</definedName>
    <definedName name="Method." localSheetId="3">#REF!</definedName>
    <definedName name="Method." localSheetId="4">#REF!</definedName>
    <definedName name="Method." localSheetId="7">#REF!</definedName>
    <definedName name="Method." localSheetId="9">#REF!</definedName>
    <definedName name="Method.">#REF!</definedName>
    <definedName name="Method_New" localSheetId="10">#REF!</definedName>
    <definedName name="Method_New" localSheetId="3">#REF!</definedName>
    <definedName name="Method_New" localSheetId="4">#REF!</definedName>
    <definedName name="Method_New" localSheetId="7">#REF!</definedName>
    <definedName name="Method_New" localSheetId="9">#REF!</definedName>
    <definedName name="Method_New">#REF!</definedName>
    <definedName name="MsgSample2">#N/A</definedName>
    <definedName name="n" localSheetId="10" hidden="1">{"'基本仕様'!$B$102:$I$118","'基本仕様'!$BO$96","'基本仕様'!$A$97:$BE$120","'基本仕様'!$B$102:$AK$119"}</definedName>
    <definedName name="n" localSheetId="9" hidden="1">{"'基本仕様'!$B$102:$I$118","'基本仕様'!$BO$96","'基本仕様'!$A$97:$BE$120","'基本仕様'!$B$102:$AK$119"}</definedName>
    <definedName name="n" hidden="1">{"'基本仕様'!$B$102:$I$118","'基本仕様'!$BO$96","'基本仕様'!$A$97:$BE$120","'基本仕様'!$B$102:$AK$119"}</definedName>
    <definedName name="nhiem_vu">'[3]CN - NV DEV1'!$B$10:$B$26</definedName>
    <definedName name="_xlnm.Print_Area" localSheetId="2">API一覧!$A$1:$DU$57</definedName>
    <definedName name="_xlnm.Print_Area" localSheetId="1">改廃履歴!$A$1:$BK$55</definedName>
    <definedName name="_xlnm.Print_Area" localSheetId="0">表紙!$A$1:$BK$55</definedName>
    <definedName name="Print_Area_MI" localSheetId="10">#REF!</definedName>
    <definedName name="Print_Area_MI" localSheetId="3">#REF!</definedName>
    <definedName name="Print_Area_MI" localSheetId="4">#REF!</definedName>
    <definedName name="Print_Area_MI" localSheetId="7">#REF!</definedName>
    <definedName name="Print_Area_MI" localSheetId="9">#REF!</definedName>
    <definedName name="Print_Area_MI">#REF!</definedName>
    <definedName name="Print_Area_MI___0" localSheetId="10">#REF!</definedName>
    <definedName name="Print_Area_MI___0" localSheetId="3">#REF!</definedName>
    <definedName name="Print_Area_MI___0" localSheetId="4">#REF!</definedName>
    <definedName name="Print_Area_MI___0" localSheetId="7">#REF!</definedName>
    <definedName name="Print_Area_MI___0" localSheetId="9">#REF!</definedName>
    <definedName name="Print_Area_MI___0">#REF!</definedName>
    <definedName name="Print_Area_MI___15" localSheetId="10">#REF!</definedName>
    <definedName name="Print_Area_MI___15" localSheetId="3">#REF!</definedName>
    <definedName name="Print_Area_MI___15" localSheetId="4">#REF!</definedName>
    <definedName name="Print_Area_MI___15" localSheetId="7">#REF!</definedName>
    <definedName name="Print_Area_MI___15" localSheetId="9">#REF!</definedName>
    <definedName name="Print_Area_MI___15">#REF!</definedName>
    <definedName name="_xlnm.Print_Titles" localSheetId="2">API一覧!$1:$3</definedName>
    <definedName name="_xlnm.Print_Titles" localSheetId="1">改廃履歴!$1:$5</definedName>
    <definedName name="_xlnm.Print_Titles" localSheetId="0">表紙!$1:$5</definedName>
    <definedName name="Print_Titles_MI" localSheetId="10">#REF!</definedName>
    <definedName name="Print_Titles_MI" localSheetId="3">#REF!</definedName>
    <definedName name="Print_Titles_MI" localSheetId="4">#REF!</definedName>
    <definedName name="Print_Titles_MI" localSheetId="7">#REF!</definedName>
    <definedName name="Print_Titles_MI" localSheetId="9">#REF!</definedName>
    <definedName name="Print_Titles_MI">#REF!</definedName>
    <definedName name="Priority">[2]_master!$B$2:$B$8</definedName>
    <definedName name="ProjectList" localSheetId="10">#REF!</definedName>
    <definedName name="ProjectList" localSheetId="3">#REF!</definedName>
    <definedName name="ProjectList" localSheetId="4">#REF!</definedName>
    <definedName name="ProjectList" localSheetId="7">#REF!</definedName>
    <definedName name="ProjectList" localSheetId="9">#REF!</definedName>
    <definedName name="ProjectList">#REF!</definedName>
    <definedName name="QGOAL">[5]Temp!$A$16:$V$16</definedName>
    <definedName name="QUY_ĐỊNH_AN_NINH_THÔNG_TIN___DỰ_ÁN_HOKEN" localSheetId="10">#REF!</definedName>
    <definedName name="QUY_ĐỊNH_AN_NINH_THÔNG_TIN___DỰ_ÁN_HOKEN" localSheetId="3">#REF!</definedName>
    <definedName name="QUY_ĐỊNH_AN_NINH_THÔNG_TIN___DỰ_ÁN_HOKEN" localSheetId="4">#REF!</definedName>
    <definedName name="QUY_ĐỊNH_AN_NINH_THÔNG_TIN___DỰ_ÁN_HOKEN" localSheetId="7">#REF!</definedName>
    <definedName name="QUY_ĐỊNH_AN_NINH_THÔNG_TIN___DỰ_ÁN_HOKEN" localSheetId="9">#REF!</definedName>
    <definedName name="QUY_ĐỊNH_AN_NINH_THÔNG_TIN___DỰ_ÁN_HOKEN">#REF!</definedName>
    <definedName name="R_11" localSheetId="10">#REF!</definedName>
    <definedName name="R_11" localSheetId="3">#REF!</definedName>
    <definedName name="R_11" localSheetId="4">#REF!</definedName>
    <definedName name="R_11" localSheetId="7">#REF!</definedName>
    <definedName name="R_11" localSheetId="9">#REF!</definedName>
    <definedName name="R_11">#REF!</definedName>
    <definedName name="R_12" localSheetId="10">#REF!</definedName>
    <definedName name="R_12" localSheetId="3">#REF!</definedName>
    <definedName name="R_12" localSheetId="4">#REF!</definedName>
    <definedName name="R_12" localSheetId="7">#REF!</definedName>
    <definedName name="R_12" localSheetId="9">#REF!</definedName>
    <definedName name="R_12">#REF!</definedName>
    <definedName name="R_13" localSheetId="3">#REF!</definedName>
    <definedName name="R_13" localSheetId="4">#REF!</definedName>
    <definedName name="R_13" localSheetId="7">#REF!</definedName>
    <definedName name="R_13" localSheetId="9">#REF!</definedName>
    <definedName name="R_13">#REF!</definedName>
    <definedName name="R_14" localSheetId="3">#REF!</definedName>
    <definedName name="R_14" localSheetId="4">#REF!</definedName>
    <definedName name="R_14" localSheetId="7">#REF!</definedName>
    <definedName name="R_14" localSheetId="9">#REF!</definedName>
    <definedName name="R_14">#REF!</definedName>
    <definedName name="R_15" localSheetId="3">#REF!</definedName>
    <definedName name="R_15" localSheetId="4">#REF!</definedName>
    <definedName name="R_15" localSheetId="7">#REF!</definedName>
    <definedName name="R_15" localSheetId="9">#REF!</definedName>
    <definedName name="R_15">#REF!</definedName>
    <definedName name="R_21" localSheetId="3">#REF!</definedName>
    <definedName name="R_21" localSheetId="4">#REF!</definedName>
    <definedName name="R_21" localSheetId="7">#REF!</definedName>
    <definedName name="R_21" localSheetId="9">#REF!</definedName>
    <definedName name="R_21">#REF!</definedName>
    <definedName name="R_22" localSheetId="3">#REF!</definedName>
    <definedName name="R_22" localSheetId="4">#REF!</definedName>
    <definedName name="R_22" localSheetId="7">#REF!</definedName>
    <definedName name="R_22" localSheetId="9">#REF!</definedName>
    <definedName name="R_22">#REF!</definedName>
    <definedName name="R_23" localSheetId="3">#REF!</definedName>
    <definedName name="R_23" localSheetId="4">#REF!</definedName>
    <definedName name="R_23" localSheetId="7">#REF!</definedName>
    <definedName name="R_23" localSheetId="9">#REF!</definedName>
    <definedName name="R_23">#REF!</definedName>
    <definedName name="R_24" localSheetId="3">#REF!</definedName>
    <definedName name="R_24" localSheetId="4">#REF!</definedName>
    <definedName name="R_24" localSheetId="7">#REF!</definedName>
    <definedName name="R_24" localSheetId="9">#REF!</definedName>
    <definedName name="R_24">#REF!</definedName>
    <definedName name="R_31" localSheetId="3">#REF!</definedName>
    <definedName name="R_31" localSheetId="4">#REF!</definedName>
    <definedName name="R_31" localSheetId="7">#REF!</definedName>
    <definedName name="R_31" localSheetId="9">#REF!</definedName>
    <definedName name="R_31">#REF!</definedName>
    <definedName name="R_32" localSheetId="3">#REF!</definedName>
    <definedName name="R_32" localSheetId="4">#REF!</definedName>
    <definedName name="R_32" localSheetId="7">#REF!</definedName>
    <definedName name="R_32" localSheetId="9">#REF!</definedName>
    <definedName name="R_32">#REF!</definedName>
    <definedName name="R_33" localSheetId="3">#REF!</definedName>
    <definedName name="R_33" localSheetId="4">#REF!</definedName>
    <definedName name="R_33" localSheetId="7">#REF!</definedName>
    <definedName name="R_33" localSheetId="9">#REF!</definedName>
    <definedName name="R_33">#REF!</definedName>
    <definedName name="R_34" localSheetId="3">#REF!</definedName>
    <definedName name="R_34" localSheetId="4">#REF!</definedName>
    <definedName name="R_34" localSheetId="7">#REF!</definedName>
    <definedName name="R_34" localSheetId="9">#REF!</definedName>
    <definedName name="R_34">#REF!</definedName>
    <definedName name="R_35" localSheetId="3">#REF!</definedName>
    <definedName name="R_35" localSheetId="4">#REF!</definedName>
    <definedName name="R_35" localSheetId="7">#REF!</definedName>
    <definedName name="R_35" localSheetId="9">#REF!</definedName>
    <definedName name="R_35">#REF!</definedName>
    <definedName name="R_41" localSheetId="3">#REF!</definedName>
    <definedName name="R_41" localSheetId="4">#REF!</definedName>
    <definedName name="R_41" localSheetId="7">#REF!</definedName>
    <definedName name="R_41" localSheetId="9">#REF!</definedName>
    <definedName name="R_41">#REF!</definedName>
    <definedName name="R_42" localSheetId="3">#REF!</definedName>
    <definedName name="R_42" localSheetId="4">#REF!</definedName>
    <definedName name="R_42" localSheetId="7">#REF!</definedName>
    <definedName name="R_42" localSheetId="9">#REF!</definedName>
    <definedName name="R_42">#REF!</definedName>
    <definedName name="R_43" localSheetId="3">#REF!</definedName>
    <definedName name="R_43" localSheetId="4">#REF!</definedName>
    <definedName name="R_43" localSheetId="7">#REF!</definedName>
    <definedName name="R_43" localSheetId="9">#REF!</definedName>
    <definedName name="R_43">#REF!</definedName>
    <definedName name="R_44" localSheetId="3">#REF!</definedName>
    <definedName name="R_44" localSheetId="4">#REF!</definedName>
    <definedName name="R_44" localSheetId="7">#REF!</definedName>
    <definedName name="R_44" localSheetId="9">#REF!</definedName>
    <definedName name="R_44">#REF!</definedName>
    <definedName name="R_45" localSheetId="3">#REF!</definedName>
    <definedName name="R_45" localSheetId="4">#REF!</definedName>
    <definedName name="R_45" localSheetId="7">#REF!</definedName>
    <definedName name="R_45" localSheetId="9">#REF!</definedName>
    <definedName name="R_45">#REF!</definedName>
    <definedName name="R_46" localSheetId="3">#REF!</definedName>
    <definedName name="R_46" localSheetId="4">#REF!</definedName>
    <definedName name="R_46" localSheetId="7">#REF!</definedName>
    <definedName name="R_46" localSheetId="9">#REF!</definedName>
    <definedName name="R_46">#REF!</definedName>
    <definedName name="R_51" localSheetId="3">#REF!</definedName>
    <definedName name="R_51" localSheetId="4">#REF!</definedName>
    <definedName name="R_51" localSheetId="7">#REF!</definedName>
    <definedName name="R_51" localSheetId="9">#REF!</definedName>
    <definedName name="R_51">#REF!</definedName>
    <definedName name="R_52" localSheetId="3">#REF!</definedName>
    <definedName name="R_52" localSheetId="4">#REF!</definedName>
    <definedName name="R_52" localSheetId="7">#REF!</definedName>
    <definedName name="R_52" localSheetId="9">#REF!</definedName>
    <definedName name="R_52">#REF!</definedName>
    <definedName name="R_53" localSheetId="3">#REF!</definedName>
    <definedName name="R_53" localSheetId="4">#REF!</definedName>
    <definedName name="R_53" localSheetId="7">#REF!</definedName>
    <definedName name="R_53" localSheetId="9">#REF!</definedName>
    <definedName name="R_53">#REF!</definedName>
    <definedName name="R_54" localSheetId="3">#REF!</definedName>
    <definedName name="R_54" localSheetId="4">#REF!</definedName>
    <definedName name="R_54" localSheetId="7">#REF!</definedName>
    <definedName name="R_54" localSheetId="9">#REF!</definedName>
    <definedName name="R_54">#REF!</definedName>
    <definedName name="R_61" localSheetId="3">#REF!</definedName>
    <definedName name="R_61" localSheetId="4">#REF!</definedName>
    <definedName name="R_61" localSheetId="7">#REF!</definedName>
    <definedName name="R_61" localSheetId="9">#REF!</definedName>
    <definedName name="R_61">#REF!</definedName>
    <definedName name="R_62" localSheetId="3">#REF!</definedName>
    <definedName name="R_62" localSheetId="4">#REF!</definedName>
    <definedName name="R_62" localSheetId="7">#REF!</definedName>
    <definedName name="R_62" localSheetId="9">#REF!</definedName>
    <definedName name="R_62">#REF!</definedName>
    <definedName name="R_63" localSheetId="3">#REF!</definedName>
    <definedName name="R_63" localSheetId="4">#REF!</definedName>
    <definedName name="R_63" localSheetId="7">#REF!</definedName>
    <definedName name="R_63" localSheetId="9">#REF!</definedName>
    <definedName name="R_63">#REF!</definedName>
    <definedName name="R_71" localSheetId="3">#REF!</definedName>
    <definedName name="R_71" localSheetId="4">#REF!</definedName>
    <definedName name="R_71" localSheetId="7">#REF!</definedName>
    <definedName name="R_71" localSheetId="9">#REF!</definedName>
    <definedName name="R_71">#REF!</definedName>
    <definedName name="R_72" localSheetId="3">#REF!</definedName>
    <definedName name="R_72" localSheetId="4">#REF!</definedName>
    <definedName name="R_72" localSheetId="7">#REF!</definedName>
    <definedName name="R_72" localSheetId="9">#REF!</definedName>
    <definedName name="R_72">#REF!</definedName>
    <definedName name="R_73" localSheetId="3">#REF!</definedName>
    <definedName name="R_73" localSheetId="4">#REF!</definedName>
    <definedName name="R_73" localSheetId="7">#REF!</definedName>
    <definedName name="R_73" localSheetId="9">#REF!</definedName>
    <definedName name="R_73">#REF!</definedName>
    <definedName name="R_74" localSheetId="3">#REF!</definedName>
    <definedName name="R_74" localSheetId="4">#REF!</definedName>
    <definedName name="R_74" localSheetId="7">#REF!</definedName>
    <definedName name="R_74" localSheetId="9">#REF!</definedName>
    <definedName name="R_74">#REF!</definedName>
    <definedName name="R_75" localSheetId="3">#REF!</definedName>
    <definedName name="R_75" localSheetId="4">#REF!</definedName>
    <definedName name="R_75" localSheetId="7">#REF!</definedName>
    <definedName name="R_75" localSheetId="9">#REF!</definedName>
    <definedName name="R_75">#REF!</definedName>
    <definedName name="R_81" localSheetId="3">#REF!</definedName>
    <definedName name="R_81" localSheetId="4">#REF!</definedName>
    <definedName name="R_81" localSheetId="7">#REF!</definedName>
    <definedName name="R_81" localSheetId="9">#REF!</definedName>
    <definedName name="R_81">#REF!</definedName>
    <definedName name="R_82" localSheetId="3">#REF!</definedName>
    <definedName name="R_82" localSheetId="4">#REF!</definedName>
    <definedName name="R_82" localSheetId="7">#REF!</definedName>
    <definedName name="R_82" localSheetId="9">#REF!</definedName>
    <definedName name="R_82">#REF!</definedName>
    <definedName name="R_83" localSheetId="3">#REF!</definedName>
    <definedName name="R_83" localSheetId="4">#REF!</definedName>
    <definedName name="R_83" localSheetId="7">#REF!</definedName>
    <definedName name="R_83" localSheetId="9">#REF!</definedName>
    <definedName name="R_83">#REF!</definedName>
    <definedName name="R_84" localSheetId="3">#REF!</definedName>
    <definedName name="R_84" localSheetId="4">#REF!</definedName>
    <definedName name="R_84" localSheetId="7">#REF!</definedName>
    <definedName name="R_84" localSheetId="9">#REF!</definedName>
    <definedName name="R_84">#REF!</definedName>
    <definedName name="SAPBEXdnldView" hidden="1">"8QM49GW9N57ZIZMW6AKXOUMR7"</definedName>
    <definedName name="SAPBEXsysID" hidden="1">"B1P"</definedName>
    <definedName name="SORT" localSheetId="3" hidden="1">#REF!</definedName>
    <definedName name="SORT" localSheetId="4" hidden="1">#REF!</definedName>
    <definedName name="SORT" localSheetId="7" hidden="1">#REF!</definedName>
    <definedName name="SORT" localSheetId="9" hidden="1">#REF!</definedName>
    <definedName name="SORT" hidden="1">#REF!</definedName>
    <definedName name="ｓｓ" localSheetId="10" hidden="1">{"'Sheet1'!$A$5:$J$32","'Sheet1'!$A$37:$J$64","'Sheet1'!$A$69:$J$96"}</definedName>
    <definedName name="ｓｓ" localSheetId="9" hidden="1">{"'Sheet1'!$A$5:$J$32","'Sheet1'!$A$37:$J$64","'Sheet1'!$A$69:$J$96"}</definedName>
    <definedName name="ｓｓ" hidden="1">{"'Sheet1'!$A$5:$J$32","'Sheet1'!$A$37:$J$64","'Sheet1'!$A$69:$J$96"}</definedName>
    <definedName name="Status">[2]_master!$C$2:$C$8</definedName>
    <definedName name="Template_tools" localSheetId="3">'[6]Human Management'!#REF!</definedName>
    <definedName name="Template_tools" localSheetId="4">'[6]Human Management'!#REF!</definedName>
    <definedName name="Template_tools" localSheetId="7">'[6]Human Management'!#REF!</definedName>
    <definedName name="Template_tools" localSheetId="9">'[6]Human Management'!#REF!</definedName>
    <definedName name="Template_tools">'[6]Human Management'!#REF!</definedName>
    <definedName name="Trangthai">'[8]Status Master Data'!$A$3:$A$6</definedName>
    <definedName name="wrn.まとめ.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z">[9]_master!$A$2:$A$16</definedName>
    <definedName name="ああ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ｑ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ああ" localSheetId="10" hidden="1">{"'Sheet1'!$A$5:$J$32","'Sheet1'!$A$37:$J$64","'Sheet1'!$A$69:$J$96"}</definedName>
    <definedName name="あああ" localSheetId="9" hidden="1">{"'Sheet1'!$A$5:$J$32","'Sheet1'!$A$37:$J$64","'Sheet1'!$A$69:$J$96"}</definedName>
    <definedName name="あああ" hidden="1">{"'Sheet1'!$A$5:$J$32","'Sheet1'!$A$37:$J$64","'Sheet1'!$A$69:$J$96"}</definedName>
    <definedName name="あああああ" localSheetId="3" hidden="1">#REF!</definedName>
    <definedName name="あああああ" localSheetId="4" hidden="1">#REF!</definedName>
    <definedName name="あああああ" localSheetId="7" hidden="1">#REF!</definedName>
    <definedName name="あああああ" localSheetId="9" hidden="1">#REF!</definedName>
    <definedName name="あああああ" hidden="1">#REF!</definedName>
    <definedName name="カテゴリ">"$#REF!.$B$2:$B$80"</definedName>
    <definedName name="まとめ" localSheetId="10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まとめ" localSheetId="9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まとめ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優先度">"$#REF!.$F$7:$F$19"</definedName>
    <definedName name="機能分類">"$#REF!.$F$30:$F$46"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J3" i="28" l="1"/>
  <c r="BB2" i="25" l="1"/>
  <c r="BB2" i="24"/>
  <c r="DG2" i="18" l="1"/>
  <c r="AP2" i="6"/>
  <c r="AR2" i="19" l="1"/>
  <c r="DG3" i="18"/>
  <c r="AT2" i="6" l="1"/>
  <c r="H4" i="6"/>
  <c r="BC2" i="5" l="1"/>
  <c r="Z4" i="6"/>
  <c r="K2" i="6"/>
  <c r="A2" i="6"/>
  <c r="W1" i="6"/>
  <c r="L24" i="5"/>
  <c r="BH2" i="5"/>
  <c r="BH2" i="6" s="1"/>
  <c r="AY2" i="5"/>
  <c r="DJ3" i="27" l="1"/>
  <c r="DP2" i="18"/>
  <c r="AY2" i="6"/>
  <c r="DJ3" i="15"/>
  <c r="DJ3" i="14"/>
  <c r="BC2" i="6"/>
  <c r="DJ3" i="25"/>
  <c r="DP3" i="18"/>
  <c r="DJ3" i="24"/>
  <c r="DJ3" i="16"/>
  <c r="DJ3" i="23"/>
  <c r="DJ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Du</author>
  </authors>
  <commentList>
    <comment ref="D20" authorId="0" shapeId="0" xr:uid="{EA1F9C23-EF54-440B-B753-94A28EBD9C0F}">
      <text>
        <r>
          <rPr>
            <b/>
            <sz val="9"/>
            <color indexed="81"/>
            <rFont val="Tahoma"/>
            <family val="2"/>
          </rPr>
          <t>Nguyen Thi Du:</t>
        </r>
        <r>
          <rPr>
            <sz val="9"/>
            <color indexed="81"/>
            <rFont val="Tahoma"/>
            <family val="2"/>
          </rPr>
          <t xml:space="preserve">
Cần bổ sung các businesst ype code khác, ngoài ra không tạo mới 1 loại máy đã có sẵn trong cửa hàng???</t>
        </r>
      </text>
    </comment>
  </commentList>
</comments>
</file>

<file path=xl/sharedStrings.xml><?xml version="1.0" encoding="utf-8"?>
<sst xmlns="http://schemas.openxmlformats.org/spreadsheetml/2006/main" count="1094" uniqueCount="367">
  <si>
    <t>システム名</t>
  </si>
  <si>
    <t>システム種別</t>
  </si>
  <si>
    <t>作成者</t>
  </si>
  <si>
    <t>作成日</t>
  </si>
  <si>
    <t>更新者</t>
  </si>
  <si>
    <t>更新日</t>
  </si>
  <si>
    <t>版数</t>
  </si>
  <si>
    <t xml:space="preserve"> </t>
    <phoneticPr fontId="0"/>
  </si>
  <si>
    <t>機能カテゴリ</t>
  </si>
  <si>
    <t>項目</t>
  </si>
  <si>
    <t>int</t>
  </si>
  <si>
    <t>現金専用簡易セルフPOS</t>
  </si>
  <si>
    <t>ThaiDD</t>
  </si>
  <si>
    <t>表紙</t>
  </si>
  <si>
    <t>承認日</t>
  </si>
  <si>
    <t>承認者</t>
  </si>
  <si>
    <t>改廃履歴</t>
    <phoneticPr fontId="0"/>
  </si>
  <si>
    <t>■改廃履歴</t>
  </si>
  <si>
    <t>更新日付</t>
  </si>
  <si>
    <t>変更内容</t>
  </si>
  <si>
    <t>承認日付</t>
  </si>
  <si>
    <t>Tạo mới</t>
  </si>
  <si>
    <t>作成日</t>
    <phoneticPr fontId="0"/>
  </si>
  <si>
    <t>現金POS</t>
    <rPh sb="0" eb="2">
      <t>ゲンキン</t>
    </rPh>
    <phoneticPr fontId="0"/>
  </si>
  <si>
    <t>製品</t>
    <rPh sb="0" eb="2">
      <t>セイヒン</t>
    </rPh>
    <phoneticPr fontId="0"/>
  </si>
  <si>
    <t>設計</t>
    <rPh sb="0" eb="2">
      <t>セッケイ</t>
    </rPh>
    <phoneticPr fontId="0"/>
  </si>
  <si>
    <t>No.</t>
    <phoneticPr fontId="0"/>
  </si>
  <si>
    <t>API</t>
    <phoneticPr fontId="0"/>
  </si>
  <si>
    <t>METHOD</t>
    <phoneticPr fontId="0"/>
  </si>
  <si>
    <t>作成情報</t>
  </si>
  <si>
    <t>WebAPI 設計</t>
    <phoneticPr fontId="0"/>
  </si>
  <si>
    <t>pos/v1/preset/search</t>
  </si>
  <si>
    <t>POST</t>
    <phoneticPr fontId="0"/>
  </si>
  <si>
    <t>作成者</t>
    <rPh sb="0" eb="3">
      <t>サクセイシャ</t>
    </rPh>
    <phoneticPr fontId="0"/>
  </si>
  <si>
    <t>更新者</t>
    <rPh sb="0" eb="3">
      <t>コウシンシャ</t>
    </rPh>
    <phoneticPr fontId="0"/>
  </si>
  <si>
    <t>更新日</t>
    <rPh sb="0" eb="3">
      <t>コウシンビ</t>
    </rPh>
    <phoneticPr fontId="0"/>
  </si>
  <si>
    <t>リクエスト</t>
    <phoneticPr fontId="0"/>
  </si>
  <si>
    <t>レスポンス&lt;200：OK&gt;</t>
    <phoneticPr fontId="0"/>
  </si>
  <si>
    <t>プロパティ</t>
    <phoneticPr fontId="0"/>
  </si>
  <si>
    <t>型</t>
    <phoneticPr fontId="0"/>
  </si>
  <si>
    <t>文字数</t>
  </si>
  <si>
    <t>説明</t>
    <rPh sb="0" eb="2">
      <t>セツメイ</t>
    </rPh>
    <phoneticPr fontId="0"/>
  </si>
  <si>
    <t>必須</t>
  </si>
  <si>
    <t>例</t>
    <phoneticPr fontId="0"/>
  </si>
  <si>
    <t>文字数</t>
    <rPh sb="0" eb="3">
      <t>モジスウ</t>
    </rPh>
    <phoneticPr fontId="0"/>
  </si>
  <si>
    <t>company_code</t>
  </si>
  <si>
    <t>string</t>
  </si>
  <si>
    <t>-</t>
    <phoneticPr fontId="0"/>
  </si>
  <si>
    <t>〇</t>
    <phoneticPr fontId="0"/>
  </si>
  <si>
    <t>{</t>
  </si>
  <si>
    <t>store_code</t>
  </si>
  <si>
    <t>}</t>
  </si>
  <si>
    <t>補足事項</t>
    <rPh sb="0" eb="2">
      <t>ホソク</t>
    </rPh>
    <rPh sb="2" eb="4">
      <t>ジコウ</t>
    </rPh>
    <phoneticPr fontId="0"/>
  </si>
  <si>
    <t>エラーメッセージ</t>
    <phoneticPr fontId="0"/>
  </si>
  <si>
    <t>HTTPステータス</t>
    <phoneticPr fontId="0"/>
  </si>
  <si>
    <t>メッセージ</t>
    <phoneticPr fontId="0"/>
  </si>
  <si>
    <t>400</t>
  </si>
  <si>
    <t>Invalid Input</t>
  </si>
  <si>
    <t>404</t>
  </si>
  <si>
    <t>Not found</t>
  </si>
  <si>
    <t>認証</t>
    <phoneticPr fontId="0"/>
  </si>
  <si>
    <t>pos/v1/preset/detail</t>
  </si>
  <si>
    <t>update_date</t>
  </si>
  <si>
    <t>update_time</t>
  </si>
  <si>
    <t>String</t>
  </si>
  <si>
    <t>      company_code: "300",</t>
  </si>
  <si>
    <t>      store_code: "048405",</t>
  </si>
  <si>
    <t>    }</t>
  </si>
  <si>
    <t>説明</t>
  </si>
  <si>
    <t>[</t>
  </si>
  <si>
    <t>json</t>
  </si>
  <si>
    <t xml:space="preserve">    {</t>
  </si>
  <si>
    <t>string</t>
    <phoneticPr fontId="0"/>
  </si>
  <si>
    <t xml:space="preserve">        "company_code": "300",</t>
  </si>
  <si>
    <t xml:space="preserve">        "store_code": "048405",</t>
  </si>
  <si>
    <t>group_code</t>
  </si>
  <si>
    <t xml:space="preserve">        "group_code": 1,</t>
  </si>
  <si>
    <t>page_number</t>
  </si>
  <si>
    <t xml:space="preserve">        "page_number": 1,</t>
  </si>
  <si>
    <t>apply_date</t>
  </si>
  <si>
    <t xml:space="preserve">        "apply_date": "2019-06-12",</t>
  </si>
  <si>
    <t xml:space="preserve">        "update_date": "2023-08-04",</t>
  </si>
  <si>
    <t xml:space="preserve">        "update_time": "11:26:43",</t>
  </si>
  <si>
    <t>button_column_count</t>
  </si>
  <si>
    <t xml:space="preserve">        "button_column_count": 10,</t>
  </si>
  <si>
    <t>button_row_count</t>
  </si>
  <si>
    <t xml:space="preserve">        "button_row_count": 5,</t>
  </si>
  <si>
    <t>description</t>
  </si>
  <si>
    <t xml:space="preserve">        "description": "緑色の野菜A",</t>
  </si>
  <si>
    <t>style_key</t>
  </si>
  <si>
    <t xml:space="preserve">        "style_key": "PresetRadioButtonLeftStyle2",</t>
  </si>
  <si>
    <t>record_void_flag</t>
  </si>
  <si>
    <t>menu_buttons</t>
  </si>
  <si>
    <t>button_column_number</t>
  </si>
  <si>
    <t xml:space="preserve">            {</t>
  </si>
  <si>
    <t>button_row_number</t>
  </si>
  <si>
    <t xml:space="preserve">                "button_column_number": 1,</t>
  </si>
  <si>
    <t xml:space="preserve">                "button_row_number": 1,</t>
  </si>
  <si>
    <t xml:space="preserve">                "update_date": "2023-08-04",</t>
  </si>
  <si>
    <t xml:space="preserve">                "update_time": "22:49:49",</t>
  </si>
  <si>
    <t>button_column_span</t>
  </si>
  <si>
    <t xml:space="preserve">                "apply_date": "2019-06-12",</t>
  </si>
  <si>
    <t>button_row_span</t>
  </si>
  <si>
    <t xml:space="preserve">                "button_column_span": 2,</t>
  </si>
  <si>
    <t xml:space="preserve">                "button_row_span": 1,</t>
  </si>
  <si>
    <t xml:space="preserve">                "description": "きゅうり",</t>
  </si>
  <si>
    <t>style_information</t>
  </si>
  <si>
    <t xml:space="preserve">                "style_key": "PresetButtonStyle4",</t>
  </si>
  <si>
    <t>event_group_code</t>
  </si>
  <si>
    <t xml:space="preserve">                "style_information": "fish_sake_kirimi.png",</t>
  </si>
  <si>
    <t xml:space="preserve">                "event_group_code": 1,</t>
  </si>
  <si>
    <t>product_info</t>
  </si>
  <si>
    <t xml:space="preserve">                "record_void_flag": "0",</t>
  </si>
  <si>
    <t>item_price</t>
  </si>
  <si>
    <t>long</t>
  </si>
  <si>
    <t xml:space="preserve">                "product_info": {</t>
  </si>
  <si>
    <t>item_code</t>
  </si>
  <si>
    <t xml:space="preserve">                    "item_price": 48.0000,</t>
  </si>
  <si>
    <t>parent_code</t>
  </si>
  <si>
    <t xml:space="preserve">                    "parent_code": "003002",</t>
  </si>
  <si>
    <t>sub_description</t>
  </si>
  <si>
    <t xml:space="preserve">                    "description": "きゅうり  １本              ",</t>
  </si>
  <si>
    <t xml:space="preserve">                    "sub_description": "03"</t>
  </si>
  <si>
    <t xml:space="preserve">                }</t>
  </si>
  <si>
    <t xml:space="preserve">            },</t>
  </si>
  <si>
    <t xml:space="preserve">                "button_row_number": 2,</t>
  </si>
  <si>
    <t xml:space="preserve">                "update_time": "00:25:42",</t>
  </si>
  <si>
    <t xml:space="preserve">                "description": "レタス",</t>
  </si>
  <si>
    <t xml:space="preserve">                "style_information": "vegetable_green_lettuce.png",</t>
  </si>
  <si>
    <t xml:space="preserve">                    "item_price": 138.0000,</t>
  </si>
  <si>
    <t xml:space="preserve">                    "item_code": "0000000000101",</t>
  </si>
  <si>
    <t xml:space="preserve">                    "description": "レタス  Ｌ                  ",</t>
  </si>
  <si>
    <t xml:space="preserve">                "update_time": "10:49:26",</t>
  </si>
  <si>
    <t xml:space="preserve">        "menu_buttons": []</t>
  </si>
  <si>
    <t>]</t>
  </si>
  <si>
    <t>pos/v1/preset/update</t>
  </si>
  <si>
    <t>プロパティ</t>
  </si>
  <si>
    <t>(Không có)</t>
  </si>
  <si>
    <t>files</t>
  </si>
  <si>
    <t xml:space="preserve">        "menu_buttons": [{</t>
  </si>
  <si>
    <t>P001</t>
  </si>
  <si>
    <t>P002</t>
  </si>
  <si>
    <t>P003</t>
  </si>
  <si>
    <t>▪Server</t>
  </si>
  <si>
    <t>Properties</t>
  </si>
  <si>
    <t>Table [Column]</t>
  </si>
  <si>
    <t>business_type_code</t>
  </si>
  <si>
    <t>Additional Information</t>
  </si>
  <si>
    <t>storemaster[BranchName]</t>
  </si>
  <si>
    <t>Type</t>
  </si>
  <si>
    <t>Length</t>
  </si>
  <si>
    <t>presetmenumaster[CompanyCode]</t>
  </si>
  <si>
    <r>
      <t>presetmenumaster[</t>
    </r>
    <r>
      <rPr>
        <sz val="12"/>
        <rFont val="Meiryo UI"/>
        <family val="2"/>
      </rPr>
      <t>StoreCode</t>
    </r>
    <r>
      <rPr>
        <sz val="12"/>
        <rFont val="Meiryo UI"/>
        <family val="3"/>
        <charset val="128"/>
      </rPr>
      <t>]</t>
    </r>
  </si>
  <si>
    <t>presetmenumaster[PageNumber]</t>
  </si>
  <si>
    <t>presetmenumaster[ApplyDate]</t>
  </si>
  <si>
    <t>presetmenumaster[RECORD_UPDATE_DATE]</t>
  </si>
  <si>
    <t>presetmenumaster[RECORD_UPDATE_TIME]</t>
  </si>
  <si>
    <t>presetmenumaster[ButtonColumnCount]</t>
  </si>
  <si>
    <t>presetmenumaster[ButtonRowCount]</t>
  </si>
  <si>
    <t>presetmenumaster[Description]</t>
  </si>
  <si>
    <t>presetmenumaster[StyleKey]</t>
  </si>
  <si>
    <t>presetmenumaster[RECORD_VOID_FLAG]</t>
  </si>
  <si>
    <t>presetmenumaster[GroupCode]</t>
  </si>
  <si>
    <t>presetmenubuttonmaster[ButtonColumnNumber]</t>
  </si>
  <si>
    <t>presetmenubuttonmaster[ButtonRowNumber]</t>
  </si>
  <si>
    <t>presetmenubuttonmaster[RECORD_UPDATE_DATE]</t>
  </si>
  <si>
    <t>presetmenubuttonmaster[RECORD_UPDATE_TIME]</t>
  </si>
  <si>
    <t>presetmenubuttonmaster[ApplyDate]</t>
  </si>
  <si>
    <t>presetmenubuttonmaster[ButtonColumnSpan]</t>
  </si>
  <si>
    <t>presetmenubuttonmaster[ButtonRowSpan]</t>
  </si>
  <si>
    <t>presetmenubuttonmaster[Description]</t>
  </si>
  <si>
    <t>presetmenubuttonmaster[StyleKey]</t>
  </si>
  <si>
    <t>presetmenubuttonmaster[StyleInformation]</t>
  </si>
  <si>
    <t>presetmenubuttonmaster[EventGroupCode]</t>
  </si>
  <si>
    <t>presetmenubuttonmaster[RECORD_VOID_FLAG]</t>
  </si>
  <si>
    <t>itemmaster[UnitPrice]</t>
  </si>
  <si>
    <t>itemmaster[ItemCode]</t>
  </si>
  <si>
    <t>itemmaster[ParentCode]</t>
  </si>
  <si>
    <t>itemmaster[Description]</t>
  </si>
  <si>
    <t>itemmaster[SubDescription]</t>
  </si>
  <si>
    <t>Bear</t>
  </si>
  <si>
    <t>-</t>
  </si>
  <si>
    <t>  "update_date": "2023-07-13",</t>
  </si>
  <si>
    <t>  "update_time": "22:32:22"</t>
  </si>
  <si>
    <t>application/json</t>
  </si>
  <si>
    <t>multipart/form-data</t>
  </si>
  <si>
    <t>- Khi xóa item thì không delete row đó trong bảng, mà set cột RECORD_VOID_FLAG = 1 (disable)</t>
  </si>
  <si>
    <t xml:space="preserve">- Khi chọn empty tab thì set tất cả các menu button cột RECORD_VOID_FLAG = 1 (disable) </t>
  </si>
  <si>
    <t xml:space="preserve">Query: </t>
  </si>
  <si>
    <t xml:space="preserve"> s.ButtonColumnNumber = 2 AND s.ButtonRowNumber = 2</t>
  </si>
  <si>
    <t>WHERE s.CompanyCode = '300' AND s.StoreCode = '048405';</t>
  </si>
  <si>
    <t>join itemmaster i ON p.CompanyCode =i.CompanyCode AND p.StoreCode = i.StoreCode AND p.settingData = i.itemCode</t>
  </si>
  <si>
    <t>(p.RECORD_VOID_FLAG = '0' OR p.RECORD_VOID_FLAG = '') AND (i.RECORD_VOID_FLAG = '0' OR i.RECORD_VOID_FLAG = '')</t>
  </si>
  <si>
    <t>SELECT * FROM presetmenumaster s join presetmenubuttonmaster p ON s.CompanyCode = p.CompanyCode AND s.StoreCode = p.StoreCode AND</t>
  </si>
  <si>
    <t xml:space="preserve"> s.BusinessTypeCode = p.BusinessTypeCode ANDs.GroupCode = p.GroupCode AND s.PageNumber = p.PageNumber AND s.ApplyDate = p.ApplyDate </t>
  </si>
  <si>
    <t>- Lưu thời điểm update vào RECORD_UPDATE_DATE] và [RECORD_UPDATE_TIME] cho từng item được update trong bảng storemaster, presetmenumaster, presetmenubuttonmaster và itemmaster</t>
  </si>
  <si>
    <t>Thiết kế  API Preset</t>
  </si>
  <si>
    <t>Thiết kế API Preset</t>
  </si>
  <si>
    <t>作成情報</t>
    <rPh sb="0" eb="4">
      <t>サクセイジョウホウ</t>
    </rPh>
    <phoneticPr fontId="0"/>
  </si>
  <si>
    <t>更新情報</t>
    <rPh sb="0" eb="4">
      <t>コウシンジョウホウ</t>
    </rPh>
    <phoneticPr fontId="0"/>
  </si>
  <si>
    <t>POS-Controller</t>
  </si>
  <si>
    <t>API List</t>
  </si>
  <si>
    <t>API</t>
  </si>
  <si>
    <t>Authentication</t>
  </si>
  <si>
    <t>Explanation</t>
  </si>
  <si>
    <t>Internal review</t>
  </si>
  <si>
    <t>Last update</t>
  </si>
  <si>
    <t>Deploy</t>
  </si>
  <si>
    <t>MV</t>
    <phoneticPr fontId="0"/>
  </si>
  <si>
    <t>kasumi</t>
    <phoneticPr fontId="0"/>
  </si>
  <si>
    <t>Preset</t>
  </si>
  <si>
    <t>POST</t>
  </si>
  <si>
    <t>Token</t>
  </si>
  <si>
    <t>pos/v1/preset/create</t>
  </si>
  <si>
    <t>P004</t>
  </si>
  <si>
    <t>P006</t>
  </si>
  <si>
    <t>Pos-Token</t>
  </si>
  <si>
    <t>- Tablet sử dụng API này để check update và download nội dung preset update để sử dụng offline
- POS-Token được tạo ra bởi server Fujitsu (API A1), dùng cho app POS-Android trên Tablet</t>
  </si>
  <si>
    <t>API Design</t>
  </si>
  <si>
    <t>現金POS</t>
  </si>
  <si>
    <t>製品</t>
  </si>
  <si>
    <t>Bearer</t>
  </si>
  <si>
    <t xml:space="preserve">▪Client </t>
  </si>
  <si>
    <t>Request</t>
  </si>
  <si>
    <t>Response&lt;200：OK&gt;</t>
  </si>
  <si>
    <t>required</t>
  </si>
  <si>
    <t>Example</t>
  </si>
  <si>
    <t>menu</t>
  </si>
  <si>
    <t>JSON定義&lt;menu&gt;</t>
  </si>
  <si>
    <t>なし</t>
    <phoneticPr fontId="0"/>
  </si>
  <si>
    <t>Additional information</t>
  </si>
  <si>
    <t>Error Message</t>
  </si>
  <si>
    <t>HTTP Status</t>
  </si>
  <si>
    <t>message</t>
  </si>
  <si>
    <t>Explaination</t>
  </si>
  <si>
    <t>2203: Normal cash register ( Ignica money)</t>
  </si>
  <si>
    <t>Invalid input</t>
  </si>
  <si>
    <t>6202: WAON cash charge (Ignica money)</t>
  </si>
  <si>
    <t>Trường hợp không điền thông tin các trường preset thì tất cả các giá trị set = null</t>
  </si>
  <si>
    <t>Request mapping DB</t>
  </si>
  <si>
    <t>Response mapping DB</t>
  </si>
  <si>
    <t>Reference JSON定義&lt;menu&gt;</t>
  </si>
  <si>
    <t>- Lưu thời điểm create vào PresetMenuMaster[RECORD_CREATE_DATE], PresetMenuMaster[RECORD_CREATE_TIME]</t>
  </si>
  <si>
    <t>- Lưu thời điểm update vào PresetMenuMaster[RECORD_UPDATE_DATE], PresetMenuMaster[RECORD_UPDATE_TIME] là thời điểm create record</t>
  </si>
  <si>
    <t>- Lưu mã nhân viên thực hiện update vào cột PresetMenuMaster[LAST_UPDATER]</t>
  </si>
  <si>
    <t>- set giá trị default PresetMenuMaster[RECORD_VOID_FLAG] = 0 (enable)</t>
  </si>
  <si>
    <t>bool</t>
  </si>
  <si>
    <t>json array</t>
  </si>
  <si>
    <t xml:space="preserve">reference JSON定義&lt;menu-button&gt; </t>
  </si>
  <si>
    <t xml:space="preserve">   }</t>
  </si>
  <si>
    <t>Header truyển bearer token của app pos</t>
  </si>
  <si>
    <t xml:space="preserve">Truyền ngày giờ </t>
  </si>
  <si>
    <t xml:space="preserve"> Mặc định 1 trong 2 trường </t>
  </si>
  <si>
    <t>format yyyy-MM-dd</t>
  </si>
  <si>
    <t>format HH:mm:ss</t>
  </si>
  <si>
    <t xml:space="preserve">truyền null hoặc empty thì </t>
  </si>
  <si>
    <t>tìm kiếm tất cả</t>
  </si>
  <si>
    <t>business_type_code:</t>
  </si>
  <si>
    <t xml:space="preserve">WHERE s.CompanyCode = '300' AND s.StoreCode = '048405' AND (s.RECORD_VOID_FLAG = '0' OR s.RECORD_VOID_FLAG = '') AND </t>
  </si>
  <si>
    <t>(s.RECORD_UPDATE_DATE &gt; '2023-07-13' OR (s.RECORD_UPDATE_DATE = '2023-07-13'AND s.RECORD_UPDATE_TIME &gt; '22:32:22') AND</t>
  </si>
  <si>
    <t>UPDATE storemaster s SET s.RECORD_UPDATE_DATE = DATE(NOW()), s.RECORD_UPDATE_TIME = TIME(NOW())</t>
  </si>
  <si>
    <t>has_changed_image</t>
  </si>
  <si>
    <t>Chỉ sử dụng cho API update pos/v1/preset/update</t>
  </si>
  <si>
    <t>pos/v1/preset/app</t>
  </si>
  <si>
    <t>A001</t>
  </si>
  <si>
    <t>DatTV</t>
  </si>
  <si>
    <t>Sửa lại api A001 và P003</t>
  </si>
  <si>
    <t>Dữ liệu của các ảnh</t>
  </si>
  <si>
    <t>- Khi thêm mới thì add sản phẩm vào DB</t>
  </si>
  <si>
    <r>
      <t>itemmaster[</t>
    </r>
    <r>
      <rPr>
        <sz val="12"/>
        <rFont val="Meiryo UI"/>
        <family val="2"/>
      </rPr>
      <t>StoreCode</t>
    </r>
    <r>
      <rPr>
        <sz val="12"/>
        <rFont val="Meiryo UI"/>
        <family val="3"/>
        <charset val="128"/>
      </rPr>
      <t>]</t>
    </r>
  </si>
  <si>
    <t>itemmaster[CompanyCode]</t>
  </si>
  <si>
    <t xml:space="preserve">        "sub_description": "03"</t>
  </si>
  <si>
    <t xml:space="preserve">        "description": "きゅうり  １本              ",</t>
  </si>
  <si>
    <t xml:space="preserve">        "parent_code": "003002",</t>
  </si>
  <si>
    <t xml:space="preserve">        "item_code": "0000000000100",</t>
  </si>
  <si>
    <t xml:space="preserve">        "item_price": 48.0000,</t>
  </si>
  <si>
    <t>pos/v1/preset/item</t>
  </si>
  <si>
    <t xml:space="preserve">                 "item_code": "0000000000100",</t>
  </si>
  <si>
    <t>P005</t>
  </si>
  <si>
    <t>Sửa sheet [JSON定義&lt;menu-button&gt; ], thêm sheet [API P004] và [API P005]</t>
  </si>
  <si>
    <t>},</t>
  </si>
  <si>
    <t>pos/v1/preset/store</t>
  </si>
  <si>
    <t xml:space="preserve">        "store_code": "0000000002",</t>
  </si>
  <si>
    <t xml:space="preserve">        "store_name": "カスミ 並木店",</t>
  </si>
  <si>
    <t>button_layout_code</t>
  </si>
  <si>
    <t>button_layout_name</t>
  </si>
  <si>
    <t>list_store</t>
  </si>
  <si>
    <t xml:space="preserve">        "button_layout_code": "2201",</t>
  </si>
  <si>
    <t xml:space="preserve">        "button_layout_name": "WAON cash charge (Ignica money)",</t>
  </si>
  <si>
    <t>presetmenumaster[StoreCode]</t>
  </si>
  <si>
    <t>presetmenumaster[ButtonLayoutCode]</t>
  </si>
  <si>
    <t>presetmenumaster[ButtonLayoutName]</t>
  </si>
  <si>
    <t>Query:</t>
  </si>
  <si>
    <t>Khi list_store = null =&gt; Tìm kiếm trong tất cả các cửa hàng</t>
  </si>
  <si>
    <t>      button_layout_code: "2201",</t>
  </si>
  <si>
    <t xml:space="preserve"> s.ButtonLayoutCode = p.ButtonLayoutCode ANDs.GroupCode = p.GroupCode AND s.PageNumber = p.PageNumber AND s.ApplyDate = p.ApplyDate </t>
  </si>
  <si>
    <t xml:space="preserve">WHERE s.CompanyCode = '300' AND s.StoreCode = '048405' AND s.ButtonLayoutCode = '2201' AND (s.RECORD_VOID_FLAG = '0' OR s.RECORD_VOID_FLAG = '') AND </t>
  </si>
  <si>
    <t>Lấy danh sách các loại cửa hàng sử dụng chức năng preset</t>
  </si>
  <si>
    <t>Tìm kiếm danh sách cài đặt button preset</t>
  </si>
  <si>
    <t>Lấy chi tiết data preset đối với một loại cài đặt button preset</t>
  </si>
  <si>
    <t>Lấy thông tin item từ server Fuji thông qua Plu</t>
  </si>
  <si>
    <t>Thêm, sửa, xóa data preset</t>
  </si>
  <si>
    <t xml:space="preserve">GROUP BY p.CompanyCode, p.StoreCode, p.ButtonLayoutCode, p.ApplyDate, s.BranchName, p.ButtonLayoutName  </t>
  </si>
  <si>
    <t>branch_name</t>
  </si>
  <si>
    <t xml:space="preserve">        "branch_name": "MV関東TEST(048405)",</t>
  </si>
  <si>
    <t xml:space="preserve">SELECT CompanyCode, StoreCode, BranchName FROM storemaster </t>
  </si>
  <si>
    <t>Sửa tên API, Thêm sheet [API P001] và [API P003], [API P006]</t>
  </si>
  <si>
    <t>Update thay đổi (thêm, xóa) loại thanh toán pos button layout code</t>
  </si>
  <si>
    <t>pos/v1/preset/detail/update</t>
  </si>
  <si>
    <t>"has_changed_image": true,</t>
  </si>
  <si>
    <t>record_flag</t>
  </si>
  <si>
    <t xml:space="preserve">                "record_flag": "0",</t>
  </si>
  <si>
    <t>[record_flag] = 0 : Chức năng Update, [record_flag] = 1 : Chức năng Xóa, [record_flag] = 2 : Chức năng Insert</t>
  </si>
  <si>
    <t xml:space="preserve">        "record_flag": "0",</t>
  </si>
  <si>
    <t>409</t>
  </si>
  <si>
    <t>Data Exist</t>
  </si>
  <si>
    <t>[apply_date], [button_layout_name]  trường này chỉ bắt buộc khi thực hiện chức năng thêm mới</t>
  </si>
  <si>
    <t>store_name</t>
  </si>
  <si>
    <t>storemaster[CompanyCode]</t>
  </si>
  <si>
    <t>storemaster[StoreCode]</t>
  </si>
  <si>
    <t>Response API S010 sales/plu</t>
  </si>
  <si>
    <t>SELECT* FROM itemmaster Where ItemCode = '0000000000100'  AND CompanyCode = '300' AND StoreCode = '048405'</t>
  </si>
  <si>
    <t>[record_flag] = 0 : Chức năng Update, [record_flag] = 1 : Chức năng Xóa, [record_flag] = 2 : Chức năng thêm sản phẩm</t>
  </si>
  <si>
    <t>UPDATE presetmenumaster SET RECORD_VOID_FLAG = '1' WHERE CompanyCode = '300' AND StoreCode = '048405' AND ButtonLayoutCode = '2201'</t>
  </si>
  <si>
    <t>UPDATE presetmenubuttonmaster SET RECORD_VOID_FLAG = '1' WHERE CompanyCode = '300' AND StoreCode = '048405' AND ButtonLayoutCode = '2201'</t>
  </si>
  <si>
    <t>[record_flag] = 1 : Chức năng Xóa, [record_flag] = 2 : Chức năng thêm loại hình thanh toán máy pos</t>
  </si>
  <si>
    <t xml:space="preserve">- [record_flag] = 2 : Chức năng thêm mới loại hình thanh toán máy POS </t>
  </si>
  <si>
    <t>- [record_flag] = 1 : Chức năng Xóa (Disable tất cả các PresetMenuMaster và PresetMenuButtonMaster =&gt; update [RECORD_VOID_FLAG] = '1')</t>
  </si>
  <si>
    <t>SELECT * FROM presetmenumaster WHERE CompanyCode = '300' AND StoreCode = '048405' AND ButtonLayoutCode = '2201' AND RECORD_VOID_FLAG != '1'</t>
  </si>
  <si>
    <t>+ Check loại hình thanh toán mới đã tồn tại chưa. (Nếu câu query dưới đây có kết quả =&gt; đã tồn tại | Ngược lại =&gt; Chưa tồn tại)</t>
  </si>
  <si>
    <t>+ Thực hiện update data mới vào DB (Trường hợp Update lỗi =&gt; Thực hiện Insert Data)</t>
  </si>
  <si>
    <t>INSERT INTO presetmenumaster VALUES (0 , '2024-01-23', '00:34:47.000000', '2024-01-23', '00:34:47.000000', '0', '300', '048405', '2203', '0', '0', '2019-06-12', '0', '0', '', '', '123Thaidd')</t>
  </si>
  <si>
    <t>UPDATE presetmenumaster SET RECORD_VOID_FLAG = '0', ButtonLayoutName = 'Ignica WAON', ApplyDate = '2024-01-01' WHERE CompanyCode = '300' AND StoreCode = '048405' AND ButtonLayoutCode = '2201' AND GroupCode = 0 AND PageNumber = 0</t>
  </si>
  <si>
    <t>WHERE s.CompanyCode = '300' AND s.StoreCode = '048405' AND s.ButtonLayoutCode = '2201' AND s.GroupCode = 1 AND s.PageNumber = 1 AND s.ApplyDate = '2019-06-12'  AND RECORD_VOID_FLAG != '1'</t>
  </si>
  <si>
    <t>UPDATE presetmenubuttonmaster s SET s.ButtonColumnSpan = 2, s.ButtonRowSpan = 1,  s.StyleKey = 'PresetButtonStyle4',</t>
  </si>
  <si>
    <t>UPDATE presetmenumaster s SET  s.Description = '他色の野菜', s.styleKey = 'PresetRadioButtonLeftStyle2', s.RECORD_UPDATE_DATE = DATE(NOW()), s.RECORD_UPDATE_TIME = TIME(NOW())</t>
  </si>
  <si>
    <t xml:space="preserve"> s.RECORD_UPDATE_DATE = DATE(NOW()), s.RECORD_UPDATE_TIME = TIME(NOW()), s.StyleInformation = 'kyuuri_cucumber.png'</t>
  </si>
  <si>
    <t>WHERE s.CompanyCode = '300' AND s.StoreCode = '048405' AND s.ButtonLayoutCode = '2201' AND s.GroupCode = 1 AND s.PageNumber = 1 AND s.ApplyDate = '2019-06-12' AND</t>
  </si>
  <si>
    <t>UPDATE presetmenumaster SET RECORD_VOID_FLAG = 1 WHERE CompanyCode = '300' AND StoreCode = '048405' AND ButtonLayoutCode = '2201' AND PageNumber = 1</t>
  </si>
  <si>
    <t>UPDATE presetmenubuttonmaster SET RECORD_VOID_FLAG = 1 WHERE CompanyCode = '300' AND StoreCode = '048405' AND ButtonLayoutCode = '2201' AND PageNumber = 1</t>
  </si>
  <si>
    <t>- [record_flag] = 0 thực hiện chức năng update</t>
  </si>
  <si>
    <t>- [record_flag] = 1 thực hiện Xóa (disable bằng cách update trường [RECORD_VOID_FLAG] = 1)</t>
  </si>
  <si>
    <t>+ TH Xóa PresetMenuMaster</t>
  </si>
  <si>
    <t>+ TH Xóa PresetMenuButtonMaster</t>
  </si>
  <si>
    <t>UPDATE presetmenubuttonmaster SET RECORD_VOID_FLAG = 1 WHERE CompanyCode = '300' AND StoreCode = '048405' AND ButtonLayoutCode = '2201' AND PageNumber = 1 AND SettingData = '0000000000100'</t>
  </si>
  <si>
    <t>- [record_flag] = 2 thực hiện Thêm mới (TH đang bị disable thì update  enable , TH chưa tồn tại thì thực hiện insert data)</t>
  </si>
  <si>
    <t>+ TH Thêm PresetMenuMaster</t>
  </si>
  <si>
    <t xml:space="preserve">UPDATE presetmenumaster SET RECORD_VOID_FLAG = '0', Description = '緑色の野菜', styleKey = 'PresetRadioButtonLeftStyle2' WHERE CompanyCode = '300' AND StoreCode = '048405' AND ButtonLayoutCode = '2201' AND PageNumber = 1 </t>
  </si>
  <si>
    <t>INSERT INTO presetmenumaster VALUES( 0 , '2024-01-23', '00:34:47.000000', '2024-01-23', '00:34:47.000000', '0', '300', '048405', '2203', '0', '0', '2019-06-12', '10', '5', '緑色の野菜', 'PresetRadioButtonLeftStyle2', 'WAON cash charge (Ignica money)')</t>
  </si>
  <si>
    <t>+ TH Thêm PresetMenuButtonMaster</t>
  </si>
  <si>
    <t>SELECT * FROM presetmenubuttonmaster WHERE CompanyCode = '300' AND StoreCode = '048405' AND ButtonLayoutCode = '2201' AND PageNumber = 1 AND  RECORD_VOID_FLAG != '1' AND ButtonColumnNumber = 1 AND ButtonRowNumber  = 1</t>
  </si>
  <si>
    <t>SELECT * FROM presetmenubuttonmaster WHERE CompanyCode = '300' AND StoreCode = '048405' AND ButtonLayoutCode = '2201' AND PageNumber = 1 AND  RECORD_VOID_FLAG != '1' AND SettingData = '0000000000100'</t>
  </si>
  <si>
    <t>* Check Item thêm mới có đang được hiện thị hay không . (Nếu câu query dưới đây có kết quả =&gt; đang hiển thị | Ngược lại =&gt; đang ẩn)</t>
  </si>
  <si>
    <t>* Check Vị trí thêm mới có đang được sử dụng hay không . (Nếu câu query dưới đây có kết quả =&gt; đang sử dụng | Ngược lại =&gt; Không sử dụng)</t>
  </si>
  <si>
    <t>TH thỏa mãn cả 2 điều kiện đó là : Vị trí thêm mới đang không sử dụng và Mã sản thêm mới đang disable thì mới thực hiện thêm sản phẩm</t>
  </si>
  <si>
    <t>UPDATE presetmenubuttonmaster s SET s.ButtonColumnSpan = 2, s.ButtonRowSpan = 1,  s.StyleKey = 'PresetButtonStyle4', RECORD_VOID_FLAG = '0',</t>
  </si>
  <si>
    <t xml:space="preserve"> s.RECORD_UPDATE_DATE = DATE(NOW()), s.RECORD_UPDATE_TIME = TIME(NOW()), s.StyleInformation = 'kyuuri_cucumber.png', ApplyDate = '2019-01-04'</t>
  </si>
  <si>
    <t>WHERE s.CompanyCode = '300' AND s.StoreCode = '048405' AND s.ButtonLayoutCode = '2201'  AND s.PageNumber = 1 AND ButtonColumnNumber = 1 AND ButtonRowNumber = 1</t>
  </si>
  <si>
    <t>INSERT INTO presetmenubuttonmaster VALUES (0 '2023-06-03', '15:29:50', '2023-11-09', '20:16:55', '0', '300', '048405', '2201', '1', '1', '1', '4', '2019-06-12', '2', '1', 'セロリ', 'PresetButtonStyle4', 'vegetable_celery.png', '1', '0000000000103')</t>
  </si>
  <si>
    <t xml:space="preserve">        "prefecture": "茨城県",</t>
  </si>
  <si>
    <t xml:space="preserve">        "prefecture": "東京都",</t>
  </si>
  <si>
    <t>Sửa tên sheet [API P001], [API P002], [API P004], [API P005] và [API P006]</t>
  </si>
  <si>
    <t>+ Thực hiện insert Data thêm mới vào DB (Default sẽ là thêm data có PageNumber = 0  để khi vào phần edit sẽ không hiển thị data này nên)</t>
  </si>
  <si>
    <r>
      <t xml:space="preserve">SELECT </t>
    </r>
    <r>
      <rPr>
        <sz val="12"/>
        <color rgb="FFFF0000"/>
        <rFont val="Meiryo UI"/>
        <family val="2"/>
      </rPr>
      <t xml:space="preserve">s.Prefecture, </t>
    </r>
    <r>
      <rPr>
        <sz val="12"/>
        <rFont val="Meiryo UI"/>
        <family val="2"/>
      </rPr>
      <t xml:space="preserve"> p.CompanyCode, p.StoreCode, s.BranchName, p.ButtonLayoutCode, p.ButtonLayoutName, p.ApplyDate FROM presetmenumaster p, </t>
    </r>
  </si>
  <si>
    <r>
      <t xml:space="preserve">(SELECT </t>
    </r>
    <r>
      <rPr>
        <sz val="12"/>
        <color rgb="FFFF0000"/>
        <rFont val="Meiryo UI"/>
        <family val="2"/>
      </rPr>
      <t>Prefecture</t>
    </r>
    <r>
      <rPr>
        <sz val="12"/>
        <rFont val="Meiryo UI"/>
        <family val="3"/>
        <charset val="128"/>
      </rPr>
      <t>, CompanyCode, StoreCode, BranchName FROM storemaster where BranchName LIKE '%MV%' AND (CompanyCode, StoreCode) IN (('300', '048405'),  ('300', '0000000005'))) s</t>
    </r>
  </si>
  <si>
    <r>
      <t xml:space="preserve">WHERE p.CompanyCode = s.CompanyCode AND p.StoreCode = s.StoreCode AND p.ButtonLayoutCode LIKE '%2201%' AND p.ButtonLayoutName LIKE '%Ignica%' </t>
    </r>
    <r>
      <rPr>
        <sz val="12"/>
        <color rgb="FFFF0000"/>
        <rFont val="Meiryo UI"/>
        <family val="2"/>
      </rPr>
      <t>AND  p.PageNumber = 0</t>
    </r>
  </si>
  <si>
    <t>Sẽ lấy PresetMenuMaster với PageNumber = 0 làm đại diện cho từng loại hình thanh toán máy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</si>
</sst>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;@"/>
    <numFmt numFmtId="165" formatCode="yyyy/mm/dd;@"/>
    <numFmt numFmtId="166" formatCode="_-&quot;¥&quot;* #,##0_-;\-&quot;¥&quot;* #,##0_-;_-&quot;¥&quot;* &quot;-&quot;_-;_-@_-"/>
  </numFmts>
  <fonts count="69">
    <font>
      <sz val="11"/>
      <color theme="1"/>
      <name val="Calibri"/>
      <family val="2"/>
      <scheme val="minor"/>
    </font>
    <font>
      <sz val="11"/>
      <name val="Meiryo UI"/>
      <family val="3"/>
      <charset val="128"/>
    </font>
    <font>
      <sz val="11"/>
      <name val="Meiryo UI"/>
      <family val="3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Meiryo UI"/>
      <family val="3"/>
      <charset val="128"/>
    </font>
    <font>
      <u/>
      <sz val="11"/>
      <color theme="10"/>
      <name val="Meiryo UI"/>
      <family val="3"/>
      <charset val="128"/>
    </font>
    <font>
      <b/>
      <sz val="20"/>
      <color theme="0"/>
      <name val="Yu Gothic Medium"/>
      <family val="2"/>
      <charset val="128"/>
    </font>
    <font>
      <b/>
      <sz val="20"/>
      <color theme="0"/>
      <name val="Yu Gothic Medium"/>
      <family val="3"/>
      <charset val="128"/>
    </font>
    <font>
      <b/>
      <sz val="12"/>
      <color theme="0"/>
      <name val="Yu Gothic Medium"/>
      <family val="3"/>
      <charset val="128"/>
    </font>
    <font>
      <b/>
      <sz val="12"/>
      <color theme="0"/>
      <name val="Yu Gothic Medium"/>
      <family val="3"/>
    </font>
    <font>
      <sz val="9"/>
      <name val="游ゴシック"/>
      <family val="3"/>
    </font>
    <font>
      <b/>
      <sz val="18"/>
      <name val="Yu Gothic Medium"/>
      <family val="3"/>
    </font>
    <font>
      <b/>
      <sz val="14"/>
      <name val="Yu Gothic Medium"/>
      <family val="3"/>
    </font>
    <font>
      <sz val="12"/>
      <color theme="0"/>
      <name val="Yu Gothic Medium"/>
      <family val="3"/>
    </font>
    <font>
      <sz val="12"/>
      <name val="Yu Gothic Medium"/>
      <family val="3"/>
    </font>
    <font>
      <sz val="12"/>
      <name val="游ゴシック"/>
      <family val="3"/>
    </font>
    <font>
      <sz val="12"/>
      <name val="Meiryo UI"/>
      <family val="3"/>
    </font>
    <font>
      <sz val="12"/>
      <name val="Meiryo UI"/>
      <family val="3"/>
      <charset val="128"/>
    </font>
    <font>
      <sz val="12"/>
      <color theme="0"/>
      <name val="Meiryo UI"/>
      <family val="3"/>
      <charset val="128"/>
    </font>
    <font>
      <sz val="12"/>
      <name val="Meiryo UI"/>
      <family val="2"/>
    </font>
    <font>
      <sz val="9"/>
      <name val="Meiryo UI"/>
      <family val="2"/>
    </font>
    <font>
      <sz val="9"/>
      <name val="Meiryo UI"/>
      <family val="3"/>
      <charset val="128"/>
    </font>
    <font>
      <sz val="9"/>
      <name val="Meiryo UI"/>
      <family val="3"/>
    </font>
    <font>
      <sz val="12"/>
      <color rgb="FF000000"/>
      <name val="Meiryo UI"/>
      <family val="2"/>
    </font>
    <font>
      <sz val="12"/>
      <name val="ＭＳ Ｐゴシック"/>
      <family val="3"/>
    </font>
    <font>
      <b/>
      <sz val="12"/>
      <name val="Meiryo UI"/>
      <family val="2"/>
    </font>
    <font>
      <sz val="12"/>
      <color rgb="FFFF0000"/>
      <name val="Meiryo UI"/>
      <family val="3"/>
      <charset val="128"/>
    </font>
    <font>
      <strike/>
      <sz val="12"/>
      <name val="Meiryo UI"/>
      <family val="3"/>
    </font>
    <font>
      <strike/>
      <sz val="12"/>
      <name val="Meiryo UI"/>
      <family val="3"/>
      <charset val="128"/>
    </font>
    <font>
      <sz val="12"/>
      <color rgb="FFFF0000"/>
      <name val="Meiryo UI"/>
      <family val="3"/>
    </font>
    <font>
      <b/>
      <sz val="14"/>
      <name val="Meiryo UI"/>
      <family val="2"/>
    </font>
    <font>
      <b/>
      <sz val="12"/>
      <color theme="1"/>
      <name val="Meiryo UI"/>
      <family val="2"/>
    </font>
    <font>
      <b/>
      <sz val="12"/>
      <color rgb="FFFF0000"/>
      <name val="Meiryo UI"/>
      <family val="2"/>
    </font>
    <font>
      <sz val="12"/>
      <color theme="1"/>
      <name val="Meiryo UI"/>
      <family val="2"/>
    </font>
    <font>
      <sz val="12"/>
      <color theme="1" tint="0.499984740745262"/>
      <name val="Meiryo UI"/>
      <family val="3"/>
      <charset val="128"/>
    </font>
    <font>
      <sz val="9"/>
      <color theme="0"/>
      <name val="Meiryo UI"/>
      <family val="3"/>
      <charset val="128"/>
    </font>
    <font>
      <sz val="12"/>
      <color theme="0"/>
      <name val="Meiryo UI"/>
      <family val="3"/>
    </font>
    <font>
      <sz val="12"/>
      <color theme="0"/>
      <name val="ＭＳ Ｐゴシック"/>
      <family val="3"/>
    </font>
    <font>
      <sz val="12"/>
      <color theme="0"/>
      <name val="Meiryo UI"/>
      <family val="2"/>
    </font>
    <font>
      <sz val="11"/>
      <color theme="1"/>
      <name val="Calibri"/>
      <family val="2"/>
      <scheme val="minor"/>
    </font>
    <font>
      <b/>
      <sz val="20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name val="Meiryo UI"/>
      <family val="3"/>
      <charset val="128"/>
    </font>
    <font>
      <sz val="10"/>
      <name val="Meiryo UI"/>
      <family val="3"/>
      <charset val="128"/>
    </font>
    <font>
      <sz val="6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theme="0"/>
      <name val="Meiryo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28"/>
      <scheme val="minor"/>
    </font>
    <font>
      <u/>
      <sz val="11"/>
      <color theme="10"/>
      <name val="Meiryo UI"/>
      <family val="2"/>
    </font>
    <font>
      <sz val="12"/>
      <color rgb="FFFF0000"/>
      <name val="Meiryo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Calibri"/>
      <family val="2"/>
      <scheme val="minor"/>
    </font>
    <font>
      <sz val="12"/>
      <color theme="4"/>
      <name val="Meiryo UI"/>
      <family val="3"/>
    </font>
    <font>
      <strike/>
      <sz val="12"/>
      <color theme="4"/>
      <name val="Meiryo UI"/>
      <family val="3"/>
    </font>
    <font>
      <sz val="12"/>
      <color theme="4"/>
      <name val="Meiryo UI"/>
      <family val="3"/>
      <charset val="128"/>
    </font>
    <font>
      <sz val="11"/>
      <color theme="4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rgb="FF00B050"/>
      <name val="Meiryo UI"/>
      <family val="3"/>
      <charset val="128"/>
    </font>
    <font>
      <sz val="9"/>
      <color rgb="FFFF0000"/>
      <name val="Meiryo UI"/>
      <family val="3"/>
      <charset val="128"/>
    </font>
    <font>
      <sz val="12"/>
      <color rgb="FFFF0000"/>
      <name val="ＭＳ Ｐゴシック"/>
      <family val="3"/>
    </font>
    <font>
      <sz val="9"/>
      <color rgb="FFFF0000"/>
      <name val="Meiryo UI"/>
      <family val="3"/>
    </font>
    <font>
      <b/>
      <sz val="13"/>
      <color rgb="FFFF0000"/>
      <name val="Meiryo UI"/>
      <family val="2"/>
    </font>
    <font>
      <strike/>
      <sz val="12"/>
      <color rgb="FFFF000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/>
      <right style="thick">
        <color rgb="FF000080"/>
      </right>
      <top style="thick">
        <color rgb="FF000080"/>
      </top>
      <bottom/>
      <diagonal/>
    </border>
    <border>
      <left style="thick">
        <color rgb="FF000080"/>
      </left>
      <right/>
      <top/>
      <bottom/>
      <diagonal/>
    </border>
    <border>
      <left/>
      <right style="thick">
        <color rgb="FF000080"/>
      </right>
      <top/>
      <bottom/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/>
    <xf numFmtId="0" fontId="6" fillId="0" borderId="0"/>
    <xf numFmtId="0" fontId="1" fillId="0" borderId="0">
      <alignment vertical="center"/>
    </xf>
    <xf numFmtId="0" fontId="1" fillId="0" borderId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166" fontId="42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720">
    <xf numFmtId="0" fontId="0" fillId="0" borderId="0" xfId="0"/>
    <xf numFmtId="0" fontId="1" fillId="0" borderId="0" xfId="3"/>
    <xf numFmtId="0" fontId="1" fillId="0" borderId="9" xfId="3" applyBorder="1"/>
    <xf numFmtId="0" fontId="1" fillId="0" borderId="10" xfId="3" applyBorder="1"/>
    <xf numFmtId="0" fontId="1" fillId="0" borderId="11" xfId="3" applyBorder="1"/>
    <xf numFmtId="0" fontId="1" fillId="0" borderId="7" xfId="3" applyBorder="1"/>
    <xf numFmtId="0" fontId="1" fillId="0" borderId="8" xfId="3" applyBorder="1"/>
    <xf numFmtId="0" fontId="1" fillId="0" borderId="24" xfId="3" applyBorder="1"/>
    <xf numFmtId="0" fontId="1" fillId="0" borderId="25" xfId="3" applyBorder="1"/>
    <xf numFmtId="0" fontId="1" fillId="0" borderId="26" xfId="3" applyBorder="1"/>
    <xf numFmtId="0" fontId="1" fillId="0" borderId="27" xfId="3" applyBorder="1"/>
    <xf numFmtId="0" fontId="1" fillId="0" borderId="28" xfId="3" applyBorder="1"/>
    <xf numFmtId="0" fontId="1" fillId="0" borderId="29" xfId="3" applyBorder="1"/>
    <xf numFmtId="0" fontId="1" fillId="0" borderId="30" xfId="3" applyBorder="1"/>
    <xf numFmtId="0" fontId="1" fillId="0" borderId="31" xfId="3" applyBorder="1"/>
    <xf numFmtId="0" fontId="1" fillId="0" borderId="32" xfId="3" applyBorder="1"/>
    <xf numFmtId="0" fontId="1" fillId="0" borderId="33" xfId="3" applyBorder="1"/>
    <xf numFmtId="49" fontId="13" fillId="0" borderId="0" xfId="5" applyNumberFormat="1" applyFont="1">
      <alignment vertical="center"/>
    </xf>
    <xf numFmtId="0" fontId="18" fillId="0" borderId="0" xfId="5" applyFont="1">
      <alignment vertical="center"/>
    </xf>
    <xf numFmtId="0" fontId="19" fillId="0" borderId="46" xfId="5" applyFont="1" applyBorder="1">
      <alignment vertical="center"/>
    </xf>
    <xf numFmtId="0" fontId="19" fillId="0" borderId="0" xfId="5" applyFont="1">
      <alignment vertical="center"/>
    </xf>
    <xf numFmtId="0" fontId="20" fillId="0" borderId="38" xfId="5" applyFont="1" applyBorder="1">
      <alignment vertical="center"/>
    </xf>
    <xf numFmtId="0" fontId="19" fillId="0" borderId="38" xfId="5" applyFont="1" applyBorder="1">
      <alignment vertical="center"/>
    </xf>
    <xf numFmtId="0" fontId="19" fillId="0" borderId="62" xfId="5" applyFont="1" applyBorder="1">
      <alignment vertical="center"/>
    </xf>
    <xf numFmtId="49" fontId="21" fillId="4" borderId="1" xfId="5" applyNumberFormat="1" applyFont="1" applyFill="1" applyBorder="1">
      <alignment vertical="center"/>
    </xf>
    <xf numFmtId="49" fontId="21" fillId="4" borderId="2" xfId="5" applyNumberFormat="1" applyFont="1" applyFill="1" applyBorder="1">
      <alignment vertical="center"/>
    </xf>
    <xf numFmtId="0" fontId="19" fillId="0" borderId="63" xfId="5" applyFont="1" applyBorder="1">
      <alignment vertical="center"/>
    </xf>
    <xf numFmtId="0" fontId="21" fillId="4" borderId="7" xfId="5" applyFont="1" applyFill="1" applyBorder="1">
      <alignment vertical="center"/>
    </xf>
    <xf numFmtId="0" fontId="21" fillId="4" borderId="0" xfId="5" applyFont="1" applyFill="1">
      <alignment vertical="center"/>
    </xf>
    <xf numFmtId="0" fontId="21" fillId="4" borderId="5" xfId="5" applyFont="1" applyFill="1" applyBorder="1">
      <alignment vertical="center"/>
    </xf>
    <xf numFmtId="0" fontId="21" fillId="4" borderId="64" xfId="5" applyFont="1" applyFill="1" applyBorder="1">
      <alignment vertical="center"/>
    </xf>
    <xf numFmtId="0" fontId="21" fillId="4" borderId="65" xfId="5" applyFont="1" applyFill="1" applyBorder="1">
      <alignment vertical="center"/>
    </xf>
    <xf numFmtId="0" fontId="21" fillId="4" borderId="66" xfId="5" applyFont="1" applyFill="1" applyBorder="1">
      <alignment vertical="center"/>
    </xf>
    <xf numFmtId="0" fontId="21" fillId="4" borderId="6" xfId="5" applyFont="1" applyFill="1" applyBorder="1">
      <alignment vertical="center"/>
    </xf>
    <xf numFmtId="0" fontId="20" fillId="4" borderId="7" xfId="5" applyFont="1" applyFill="1" applyBorder="1">
      <alignment vertical="center"/>
    </xf>
    <xf numFmtId="0" fontId="19" fillId="0" borderId="23" xfId="5" applyFont="1" applyBorder="1" applyAlignment="1">
      <alignment horizontal="left" vertical="center"/>
    </xf>
    <xf numFmtId="0" fontId="20" fillId="0" borderId="23" xfId="5" applyFont="1" applyBorder="1">
      <alignment vertical="center"/>
    </xf>
    <xf numFmtId="0" fontId="20" fillId="0" borderId="67" xfId="5" applyFont="1" applyBorder="1">
      <alignment vertical="center"/>
    </xf>
    <xf numFmtId="49" fontId="20" fillId="0" borderId="67" xfId="5" quotePrefix="1" applyNumberFormat="1" applyFont="1" applyBorder="1" applyAlignment="1">
      <alignment horizontal="centerContinuous" vertical="center"/>
    </xf>
    <xf numFmtId="0" fontId="20" fillId="0" borderId="23" xfId="5" applyFont="1" applyBorder="1" applyAlignment="1">
      <alignment horizontal="centerContinuous" vertical="center"/>
    </xf>
    <xf numFmtId="0" fontId="20" fillId="0" borderId="36" xfId="5" applyFont="1" applyBorder="1" applyAlignment="1">
      <alignment horizontal="centerContinuous" vertical="center"/>
    </xf>
    <xf numFmtId="0" fontId="19" fillId="0" borderId="23" xfId="5" applyFont="1" applyBorder="1">
      <alignment vertical="center"/>
    </xf>
    <xf numFmtId="0" fontId="19" fillId="0" borderId="67" xfId="6" applyFont="1" applyBorder="1" applyAlignment="1">
      <alignment horizontal="centerContinuous" vertical="center"/>
    </xf>
    <xf numFmtId="0" fontId="19" fillId="0" borderId="23" xfId="6" applyFont="1" applyBorder="1" applyAlignment="1">
      <alignment horizontal="centerContinuous" vertical="center"/>
    </xf>
    <xf numFmtId="0" fontId="19" fillId="0" borderId="36" xfId="6" applyFont="1" applyBorder="1" applyAlignment="1">
      <alignment horizontal="centerContinuous" vertical="center"/>
    </xf>
    <xf numFmtId="0" fontId="22" fillId="0" borderId="0" xfId="0" applyFont="1" applyAlignment="1">
      <alignment vertical="center"/>
    </xf>
    <xf numFmtId="0" fontId="22" fillId="0" borderId="0" xfId="5" applyFont="1" applyAlignment="1">
      <alignment vertical="top"/>
    </xf>
    <xf numFmtId="0" fontId="23" fillId="0" borderId="0" xfId="5" applyFont="1" applyAlignment="1">
      <alignment vertical="top"/>
    </xf>
    <xf numFmtId="0" fontId="24" fillId="0" borderId="0" xfId="5" applyFont="1" applyAlignment="1">
      <alignment vertical="top"/>
    </xf>
    <xf numFmtId="0" fontId="24" fillId="0" borderId="8" xfId="5" applyFont="1" applyBorder="1" applyAlignment="1">
      <alignment vertical="top"/>
    </xf>
    <xf numFmtId="0" fontId="20" fillId="0" borderId="0" xfId="5" applyFont="1">
      <alignment vertical="center"/>
    </xf>
    <xf numFmtId="0" fontId="19" fillId="0" borderId="36" xfId="5" applyFont="1" applyBorder="1">
      <alignment vertical="center"/>
    </xf>
    <xf numFmtId="0" fontId="25" fillId="0" borderId="68" xfId="5" applyFont="1" applyBorder="1" applyAlignment="1">
      <alignment vertical="top"/>
    </xf>
    <xf numFmtId="0" fontId="25" fillId="0" borderId="0" xfId="5" applyFont="1" applyAlignment="1">
      <alignment vertical="top"/>
    </xf>
    <xf numFmtId="0" fontId="25" fillId="0" borderId="8" xfId="5" applyFont="1" applyBorder="1" applyAlignment="1">
      <alignment vertical="top"/>
    </xf>
    <xf numFmtId="0" fontId="19" fillId="0" borderId="16" xfId="5" applyFont="1" applyBorder="1">
      <alignment vertical="center"/>
    </xf>
    <xf numFmtId="0" fontId="20" fillId="0" borderId="16" xfId="5" applyFont="1" applyBorder="1">
      <alignment vertical="center"/>
    </xf>
    <xf numFmtId="0" fontId="20" fillId="0" borderId="34" xfId="5" applyFont="1" applyBorder="1">
      <alignment vertical="center"/>
    </xf>
    <xf numFmtId="0" fontId="20" fillId="0" borderId="69" xfId="5" applyFont="1" applyBorder="1">
      <alignment vertical="center"/>
    </xf>
    <xf numFmtId="0" fontId="19" fillId="0" borderId="34" xfId="5" applyFont="1" applyBorder="1">
      <alignment vertical="center"/>
    </xf>
    <xf numFmtId="0" fontId="24" fillId="0" borderId="68" xfId="5" applyFont="1" applyBorder="1" applyAlignment="1">
      <alignment vertical="top"/>
    </xf>
    <xf numFmtId="0" fontId="20" fillId="0" borderId="70" xfId="5" applyFont="1" applyBorder="1">
      <alignment vertical="center"/>
    </xf>
    <xf numFmtId="0" fontId="20" fillId="0" borderId="71" xfId="5" applyFont="1" applyBorder="1">
      <alignment vertical="center"/>
    </xf>
    <xf numFmtId="0" fontId="20" fillId="0" borderId="72" xfId="5" applyFont="1" applyBorder="1">
      <alignment vertical="center"/>
    </xf>
    <xf numFmtId="0" fontId="26" fillId="0" borderId="0" xfId="0" applyFont="1" applyAlignment="1">
      <alignment vertical="center"/>
    </xf>
    <xf numFmtId="0" fontId="19" fillId="0" borderId="70" xfId="5" applyFont="1" applyBorder="1">
      <alignment vertical="center"/>
    </xf>
    <xf numFmtId="0" fontId="19" fillId="0" borderId="71" xfId="5" applyFont="1" applyBorder="1" applyAlignment="1">
      <alignment vertical="top" wrapText="1"/>
    </xf>
    <xf numFmtId="0" fontId="20" fillId="0" borderId="73" xfId="5" applyFont="1" applyBorder="1">
      <alignment vertical="center"/>
    </xf>
    <xf numFmtId="0" fontId="20" fillId="0" borderId="19" xfId="5" applyFont="1" applyBorder="1">
      <alignment vertical="center"/>
    </xf>
    <xf numFmtId="0" fontId="20" fillId="0" borderId="74" xfId="5" applyFont="1" applyBorder="1">
      <alignment vertical="center"/>
    </xf>
    <xf numFmtId="0" fontId="19" fillId="0" borderId="73" xfId="5" applyFont="1" applyBorder="1">
      <alignment vertical="center"/>
    </xf>
    <xf numFmtId="0" fontId="19" fillId="0" borderId="19" xfId="5" applyFont="1" applyBorder="1">
      <alignment vertical="center"/>
    </xf>
    <xf numFmtId="0" fontId="19" fillId="0" borderId="74" xfId="5" applyFont="1" applyBorder="1" applyAlignment="1">
      <alignment vertical="top" wrapText="1"/>
    </xf>
    <xf numFmtId="0" fontId="24" fillId="0" borderId="75" xfId="5" applyFont="1" applyBorder="1" applyAlignment="1">
      <alignment vertical="top"/>
    </xf>
    <xf numFmtId="0" fontId="24" fillId="0" borderId="10" xfId="5" applyFont="1" applyBorder="1" applyAlignment="1">
      <alignment vertical="top"/>
    </xf>
    <xf numFmtId="0" fontId="24" fillId="0" borderId="11" xfId="5" applyFont="1" applyBorder="1" applyAlignment="1">
      <alignment vertical="top"/>
    </xf>
    <xf numFmtId="0" fontId="25" fillId="0" borderId="75" xfId="5" applyFont="1" applyBorder="1" applyAlignment="1">
      <alignment vertical="top"/>
    </xf>
    <xf numFmtId="0" fontId="25" fillId="0" borderId="10" xfId="5" applyFont="1" applyBorder="1" applyAlignment="1">
      <alignment vertical="top"/>
    </xf>
    <xf numFmtId="0" fontId="25" fillId="0" borderId="11" xfId="5" applyFont="1" applyBorder="1" applyAlignment="1">
      <alignment vertical="top"/>
    </xf>
    <xf numFmtId="49" fontId="21" fillId="4" borderId="4" xfId="5" applyNumberFormat="1" applyFont="1" applyFill="1" applyBorder="1">
      <alignment vertical="center"/>
    </xf>
    <xf numFmtId="49" fontId="21" fillId="4" borderId="5" xfId="5" applyNumberFormat="1" applyFont="1" applyFill="1" applyBorder="1">
      <alignment vertical="center"/>
    </xf>
    <xf numFmtId="49" fontId="21" fillId="4" borderId="6" xfId="5" applyNumberFormat="1" applyFont="1" applyFill="1" applyBorder="1">
      <alignment vertical="center"/>
    </xf>
    <xf numFmtId="0" fontId="20" fillId="0" borderId="46" xfId="5" applyFont="1" applyBorder="1">
      <alignment vertical="center"/>
    </xf>
    <xf numFmtId="0" fontId="20" fillId="0" borderId="5" xfId="5" applyFont="1" applyBorder="1">
      <alignment vertical="center"/>
    </xf>
    <xf numFmtId="0" fontId="20" fillId="0" borderId="6" xfId="5" applyFont="1" applyBorder="1">
      <alignment vertical="center"/>
    </xf>
    <xf numFmtId="0" fontId="21" fillId="4" borderId="4" xfId="5" applyFont="1" applyFill="1" applyBorder="1">
      <alignment vertical="center"/>
    </xf>
    <xf numFmtId="0" fontId="20" fillId="0" borderId="63" xfId="5" applyFont="1" applyBorder="1">
      <alignment vertical="center"/>
    </xf>
    <xf numFmtId="0" fontId="20" fillId="0" borderId="8" xfId="5" applyFont="1" applyBorder="1">
      <alignment vertical="center"/>
    </xf>
    <xf numFmtId="49" fontId="20" fillId="0" borderId="23" xfId="5" applyNumberFormat="1" applyFont="1" applyBorder="1">
      <alignment vertical="center"/>
    </xf>
    <xf numFmtId="49" fontId="24" fillId="0" borderId="23" xfId="5" applyNumberFormat="1" applyFont="1" applyBorder="1">
      <alignment vertical="center"/>
    </xf>
    <xf numFmtId="49" fontId="20" fillId="0" borderId="67" xfId="5" applyNumberFormat="1" applyFont="1" applyBorder="1">
      <alignment vertical="center"/>
    </xf>
    <xf numFmtId="49" fontId="24" fillId="0" borderId="36" xfId="5" applyNumberFormat="1" applyFont="1" applyBorder="1">
      <alignment vertical="center"/>
    </xf>
    <xf numFmtId="49" fontId="24" fillId="0" borderId="22" xfId="5" applyNumberFormat="1" applyFont="1" applyBorder="1">
      <alignment vertical="center"/>
    </xf>
    <xf numFmtId="49" fontId="24" fillId="0" borderId="16" xfId="5" applyNumberFormat="1" applyFont="1" applyBorder="1">
      <alignment vertical="center"/>
    </xf>
    <xf numFmtId="49" fontId="24" fillId="0" borderId="71" xfId="5" applyNumberFormat="1" applyFont="1" applyBorder="1">
      <alignment vertical="center"/>
    </xf>
    <xf numFmtId="0" fontId="20" fillId="0" borderId="10" xfId="5" applyFont="1" applyBorder="1">
      <alignment vertical="center"/>
    </xf>
    <xf numFmtId="0" fontId="20" fillId="0" borderId="11" xfId="5" applyFont="1" applyBorder="1">
      <alignment vertical="center"/>
    </xf>
    <xf numFmtId="0" fontId="24" fillId="0" borderId="10" xfId="5" applyFont="1" applyBorder="1">
      <alignment vertical="center"/>
    </xf>
    <xf numFmtId="0" fontId="24" fillId="0" borderId="75" xfId="5" applyFont="1" applyBorder="1">
      <alignment vertical="center"/>
    </xf>
    <xf numFmtId="0" fontId="24" fillId="0" borderId="76" xfId="5" applyFont="1" applyBorder="1">
      <alignment vertical="center"/>
    </xf>
    <xf numFmtId="0" fontId="24" fillId="0" borderId="11" xfId="5" applyFont="1" applyBorder="1">
      <alignment vertical="center"/>
    </xf>
    <xf numFmtId="0" fontId="27" fillId="0" borderId="77" xfId="5" applyFont="1" applyBorder="1">
      <alignment vertical="center"/>
    </xf>
    <xf numFmtId="0" fontId="27" fillId="0" borderId="54" xfId="5" applyFont="1" applyBorder="1">
      <alignment vertical="center"/>
    </xf>
    <xf numFmtId="0" fontId="27" fillId="0" borderId="78" xfId="5" applyFont="1" applyBorder="1">
      <alignment vertical="center"/>
    </xf>
    <xf numFmtId="0" fontId="27" fillId="0" borderId="0" xfId="5" applyFont="1">
      <alignment vertical="center"/>
    </xf>
    <xf numFmtId="0" fontId="22" fillId="0" borderId="0" xfId="5" applyFont="1">
      <alignment vertical="center"/>
    </xf>
    <xf numFmtId="0" fontId="20" fillId="0" borderId="79" xfId="5" applyFont="1" applyBorder="1">
      <alignment vertical="center"/>
    </xf>
    <xf numFmtId="0" fontId="20" fillId="0" borderId="68" xfId="5" applyFont="1" applyBorder="1" applyAlignment="1">
      <alignment vertical="top"/>
    </xf>
    <xf numFmtId="0" fontId="20" fillId="4" borderId="7" xfId="0" applyFont="1" applyFill="1" applyBorder="1" applyAlignment="1">
      <alignment vertical="center"/>
    </xf>
    <xf numFmtId="0" fontId="19" fillId="0" borderId="68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32" fillId="4" borderId="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7" fillId="0" borderId="54" xfId="0" applyFont="1" applyBorder="1" applyAlignment="1">
      <alignment vertical="center"/>
    </xf>
    <xf numFmtId="0" fontId="22" fillId="0" borderId="54" xfId="0" applyFont="1" applyBorder="1" applyAlignment="1">
      <alignment vertical="center"/>
    </xf>
    <xf numFmtId="0" fontId="33" fillId="5" borderId="0" xfId="1" applyFont="1" applyFill="1">
      <alignment vertical="center"/>
    </xf>
    <xf numFmtId="0" fontId="20" fillId="5" borderId="0" xfId="1" applyFont="1" applyFill="1">
      <alignment vertical="center"/>
    </xf>
    <xf numFmtId="0" fontId="20" fillId="0" borderId="0" xfId="1" applyFont="1">
      <alignment vertical="center"/>
    </xf>
    <xf numFmtId="49" fontId="20" fillId="0" borderId="80" xfId="1" quotePrefix="1" applyNumberFormat="1" applyFont="1" applyBorder="1">
      <alignment vertical="center"/>
    </xf>
    <xf numFmtId="0" fontId="20" fillId="0" borderId="16" xfId="1" applyFont="1" applyBorder="1">
      <alignment vertical="center"/>
    </xf>
    <xf numFmtId="0" fontId="20" fillId="0" borderId="16" xfId="0" applyFont="1" applyBorder="1" applyAlignment="1">
      <alignment horizontal="centerContinuous" vertical="center"/>
    </xf>
    <xf numFmtId="0" fontId="20" fillId="0" borderId="16" xfId="0" applyFont="1" applyBorder="1" applyAlignment="1">
      <alignment horizontal="centerContinuous" vertical="top" wrapText="1"/>
    </xf>
    <xf numFmtId="0" fontId="20" fillId="0" borderId="16" xfId="0" applyFont="1" applyBorder="1" applyAlignment="1">
      <alignment vertical="top"/>
    </xf>
    <xf numFmtId="0" fontId="24" fillId="0" borderId="16" xfId="1" applyFont="1" applyBorder="1" applyAlignment="1">
      <alignment vertical="top"/>
    </xf>
    <xf numFmtId="0" fontId="24" fillId="0" borderId="17" xfId="1" applyFont="1" applyBorder="1" applyAlignment="1">
      <alignment vertical="top"/>
    </xf>
    <xf numFmtId="49" fontId="20" fillId="0" borderId="71" xfId="1" applyNumberFormat="1" applyFont="1" applyBorder="1">
      <alignment vertical="center"/>
    </xf>
    <xf numFmtId="0" fontId="20" fillId="0" borderId="0" xfId="0" applyFont="1" applyAlignment="1">
      <alignment horizontal="centerContinuous" vertical="center"/>
    </xf>
    <xf numFmtId="0" fontId="20" fillId="0" borderId="0" xfId="0" applyFont="1" applyAlignment="1">
      <alignment horizontal="centerContinuous" vertical="top" wrapText="1"/>
    </xf>
    <xf numFmtId="0" fontId="20" fillId="0" borderId="0" xfId="0" applyFont="1" applyAlignment="1">
      <alignment vertical="top"/>
    </xf>
    <xf numFmtId="0" fontId="24" fillId="0" borderId="0" xfId="1" applyFont="1" applyAlignment="1">
      <alignment vertical="top"/>
    </xf>
    <xf numFmtId="0" fontId="24" fillId="0" borderId="8" xfId="1" applyFont="1" applyBorder="1" applyAlignment="1">
      <alignment vertical="top"/>
    </xf>
    <xf numFmtId="0" fontId="22" fillId="0" borderId="16" xfId="1" applyFont="1" applyBorder="1">
      <alignment vertical="center"/>
    </xf>
    <xf numFmtId="0" fontId="29" fillId="0" borderId="16" xfId="1" applyFont="1" applyBorder="1">
      <alignment vertical="center"/>
    </xf>
    <xf numFmtId="0" fontId="20" fillId="0" borderId="46" xfId="1" applyFont="1" applyBorder="1">
      <alignment vertical="center"/>
    </xf>
    <xf numFmtId="49" fontId="21" fillId="0" borderId="0" xfId="1" applyNumberFormat="1" applyFont="1">
      <alignment vertical="center"/>
    </xf>
    <xf numFmtId="0" fontId="28" fillId="0" borderId="23" xfId="1" quotePrefix="1" applyFont="1" applyBorder="1">
      <alignment vertical="center"/>
    </xf>
    <xf numFmtId="0" fontId="20" fillId="0" borderId="23" xfId="1" applyFont="1" applyBorder="1">
      <alignment vertical="center"/>
    </xf>
    <xf numFmtId="49" fontId="20" fillId="0" borderId="23" xfId="1" applyNumberFormat="1" applyFont="1" applyBorder="1">
      <alignment vertical="center"/>
    </xf>
    <xf numFmtId="0" fontId="20" fillId="0" borderId="23" xfId="0" applyFont="1" applyBorder="1" applyAlignment="1">
      <alignment horizontal="centerContinuous" vertical="center"/>
    </xf>
    <xf numFmtId="0" fontId="20" fillId="0" borderId="23" xfId="0" applyFont="1" applyBorder="1" applyAlignment="1">
      <alignment horizontal="centerContinuous" vertical="top" wrapText="1"/>
    </xf>
    <xf numFmtId="0" fontId="20" fillId="0" borderId="23" xfId="0" applyFont="1" applyBorder="1" applyAlignment="1">
      <alignment vertical="top"/>
    </xf>
    <xf numFmtId="0" fontId="24" fillId="0" borderId="23" xfId="1" applyFont="1" applyBorder="1" applyAlignment="1">
      <alignment vertical="top"/>
    </xf>
    <xf numFmtId="0" fontId="34" fillId="0" borderId="23" xfId="1" quotePrefix="1" applyFont="1" applyBorder="1">
      <alignment vertical="center"/>
    </xf>
    <xf numFmtId="0" fontId="35" fillId="0" borderId="16" xfId="1" applyFont="1" applyBorder="1">
      <alignment vertical="center"/>
    </xf>
    <xf numFmtId="49" fontId="20" fillId="0" borderId="16" xfId="1" applyNumberFormat="1" applyFont="1" applyBorder="1">
      <alignment vertical="center"/>
    </xf>
    <xf numFmtId="0" fontId="20" fillId="0" borderId="19" xfId="1" applyFont="1" applyBorder="1">
      <alignment vertical="center"/>
    </xf>
    <xf numFmtId="0" fontId="36" fillId="0" borderId="23" xfId="1" quotePrefix="1" applyFont="1" applyBorder="1">
      <alignment vertical="center"/>
    </xf>
    <xf numFmtId="0" fontId="20" fillId="4" borderId="4" xfId="1" applyFont="1" applyFill="1" applyBorder="1">
      <alignment vertical="center"/>
    </xf>
    <xf numFmtId="0" fontId="37" fillId="4" borderId="7" xfId="1" applyFont="1" applyFill="1" applyBorder="1">
      <alignment vertical="center"/>
    </xf>
    <xf numFmtId="0" fontId="37" fillId="4" borderId="9" xfId="1" applyFont="1" applyFill="1" applyBorder="1">
      <alignment vertical="center"/>
    </xf>
    <xf numFmtId="49" fontId="20" fillId="4" borderId="2" xfId="1" applyNumberFormat="1" applyFont="1" applyFill="1" applyBorder="1">
      <alignment vertical="center"/>
    </xf>
    <xf numFmtId="49" fontId="20" fillId="4" borderId="3" xfId="1" applyNumberFormat="1" applyFont="1" applyFill="1" applyBorder="1">
      <alignment vertical="center"/>
    </xf>
    <xf numFmtId="0" fontId="20" fillId="4" borderId="6" xfId="1" applyFont="1" applyFill="1" applyBorder="1">
      <alignment vertical="center"/>
    </xf>
    <xf numFmtId="0" fontId="24" fillId="4" borderId="17" xfId="1" applyFont="1" applyFill="1" applyBorder="1" applyAlignment="1">
      <alignment vertical="top"/>
    </xf>
    <xf numFmtId="0" fontId="24" fillId="4" borderId="8" xfId="1" applyFont="1" applyFill="1" applyBorder="1" applyAlignment="1">
      <alignment vertical="top"/>
    </xf>
    <xf numFmtId="0" fontId="24" fillId="4" borderId="6" xfId="1" applyFont="1" applyFill="1" applyBorder="1" applyAlignment="1">
      <alignment vertical="top"/>
    </xf>
    <xf numFmtId="0" fontId="24" fillId="4" borderId="22" xfId="1" applyFont="1" applyFill="1" applyBorder="1" applyAlignment="1">
      <alignment vertical="top"/>
    </xf>
    <xf numFmtId="0" fontId="20" fillId="4" borderId="20" xfId="1" applyFont="1" applyFill="1" applyBorder="1">
      <alignment vertical="center"/>
    </xf>
    <xf numFmtId="0" fontId="20" fillId="4" borderId="7" xfId="1" applyFont="1" applyFill="1" applyBorder="1">
      <alignment vertical="center"/>
    </xf>
    <xf numFmtId="0" fontId="21" fillId="4" borderId="0" xfId="1" applyFont="1" applyFill="1">
      <alignment vertical="center"/>
    </xf>
    <xf numFmtId="0" fontId="21" fillId="4" borderId="66" xfId="1" applyFont="1" applyFill="1" applyBorder="1">
      <alignment vertical="center"/>
    </xf>
    <xf numFmtId="0" fontId="38" fillId="4" borderId="0" xfId="1" applyFont="1" applyFill="1">
      <alignment vertical="center"/>
    </xf>
    <xf numFmtId="0" fontId="21" fillId="4" borderId="5" xfId="1" applyFont="1" applyFill="1" applyBorder="1">
      <alignment vertical="center"/>
    </xf>
    <xf numFmtId="0" fontId="21" fillId="4" borderId="6" xfId="1" applyFont="1" applyFill="1" applyBorder="1">
      <alignment vertical="center"/>
    </xf>
    <xf numFmtId="0" fontId="21" fillId="4" borderId="7" xfId="1" applyFont="1" applyFill="1" applyBorder="1">
      <alignment vertical="center"/>
    </xf>
    <xf numFmtId="0" fontId="21" fillId="4" borderId="13" xfId="1" applyFont="1" applyFill="1" applyBorder="1">
      <alignment vertical="center"/>
    </xf>
    <xf numFmtId="49" fontId="21" fillId="4" borderId="5" xfId="1" applyNumberFormat="1" applyFont="1" applyFill="1" applyBorder="1">
      <alignment vertical="center"/>
    </xf>
    <xf numFmtId="0" fontId="21" fillId="4" borderId="5" xfId="0" applyFont="1" applyFill="1" applyBorder="1" applyAlignment="1">
      <alignment horizontal="centerContinuous" vertical="center"/>
    </xf>
    <xf numFmtId="0" fontId="21" fillId="4" borderId="5" xfId="0" applyFont="1" applyFill="1" applyBorder="1" applyAlignment="1">
      <alignment horizontal="centerContinuous" vertical="top" wrapText="1"/>
    </xf>
    <xf numFmtId="0" fontId="21" fillId="4" borderId="5" xfId="0" applyFont="1" applyFill="1" applyBorder="1" applyAlignment="1">
      <alignment vertical="top"/>
    </xf>
    <xf numFmtId="0" fontId="38" fillId="4" borderId="5" xfId="1" applyFont="1" applyFill="1" applyBorder="1" applyAlignment="1">
      <alignment vertical="top"/>
    </xf>
    <xf numFmtId="0" fontId="27" fillId="4" borderId="0" xfId="5" applyFont="1" applyFill="1">
      <alignment vertical="center"/>
    </xf>
    <xf numFmtId="0" fontId="19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0" fontId="39" fillId="4" borderId="7" xfId="0" applyFont="1" applyFill="1" applyBorder="1" applyAlignment="1">
      <alignment vertical="center"/>
    </xf>
    <xf numFmtId="0" fontId="40" fillId="4" borderId="0" xfId="5" applyFont="1" applyFill="1">
      <alignment vertical="center"/>
    </xf>
    <xf numFmtId="0" fontId="41" fillId="4" borderId="0" xfId="5" applyFont="1" applyFill="1">
      <alignment vertical="center"/>
    </xf>
    <xf numFmtId="0" fontId="19" fillId="0" borderId="67" xfId="6" quotePrefix="1" applyFont="1" applyBorder="1" applyAlignment="1">
      <alignment horizontal="centerContinuous" vertical="center"/>
    </xf>
    <xf numFmtId="0" fontId="28" fillId="0" borderId="16" xfId="1" quotePrefix="1" applyFont="1" applyBorder="1">
      <alignment vertical="center"/>
    </xf>
    <xf numFmtId="0" fontId="28" fillId="0" borderId="0" xfId="5" applyFont="1">
      <alignment vertical="center"/>
    </xf>
    <xf numFmtId="0" fontId="27" fillId="4" borderId="54" xfId="0" applyFont="1" applyFill="1" applyBorder="1" applyAlignment="1">
      <alignment vertical="center"/>
    </xf>
    <xf numFmtId="0" fontId="27" fillId="4" borderId="54" xfId="0" applyFont="1" applyFill="1" applyBorder="1" applyAlignment="1">
      <alignment horizontal="center" vertical="center"/>
    </xf>
    <xf numFmtId="49" fontId="44" fillId="4" borderId="41" xfId="1" applyNumberFormat="1" applyFont="1" applyFill="1" applyBorder="1">
      <alignment vertical="center"/>
    </xf>
    <xf numFmtId="49" fontId="24" fillId="0" borderId="0" xfId="1" applyNumberFormat="1" applyFont="1">
      <alignment vertical="center"/>
    </xf>
    <xf numFmtId="49" fontId="46" fillId="0" borderId="5" xfId="1" applyNumberFormat="1" applyFont="1" applyBorder="1" applyAlignment="1">
      <alignment vertical="center" shrinkToFit="1"/>
    </xf>
    <xf numFmtId="49" fontId="47" fillId="0" borderId="5" xfId="1" applyNumberFormat="1" applyFont="1" applyBorder="1">
      <alignment vertical="center"/>
    </xf>
    <xf numFmtId="49" fontId="46" fillId="0" borderId="0" xfId="1" applyNumberFormat="1" applyFont="1" applyAlignment="1">
      <alignment vertical="center" shrinkToFit="1"/>
    </xf>
    <xf numFmtId="49" fontId="47" fillId="0" borderId="0" xfId="1" applyNumberFormat="1" applyFont="1">
      <alignment vertical="center"/>
    </xf>
    <xf numFmtId="0" fontId="20" fillId="0" borderId="37" xfId="1" applyFont="1" applyBorder="1">
      <alignment vertical="center"/>
    </xf>
    <xf numFmtId="0" fontId="1" fillId="0" borderId="38" xfId="1" applyBorder="1">
      <alignment vertical="center"/>
    </xf>
    <xf numFmtId="0" fontId="48" fillId="0" borderId="38" xfId="1" applyFont="1" applyBorder="1">
      <alignment vertical="center"/>
    </xf>
    <xf numFmtId="0" fontId="48" fillId="0" borderId="62" xfId="1" applyFont="1" applyBorder="1">
      <alignment vertical="center"/>
    </xf>
    <xf numFmtId="0" fontId="1" fillId="0" borderId="0" xfId="1">
      <alignment vertical="center"/>
    </xf>
    <xf numFmtId="0" fontId="20" fillId="0" borderId="63" xfId="1" applyFont="1" applyBorder="1">
      <alignment vertical="center"/>
    </xf>
    <xf numFmtId="0" fontId="1" fillId="0" borderId="46" xfId="1" applyBorder="1">
      <alignment vertical="center"/>
    </xf>
    <xf numFmtId="49" fontId="49" fillId="6" borderId="37" xfId="1" applyNumberFormat="1" applyFont="1" applyFill="1" applyBorder="1" applyAlignment="1">
      <alignment horizontal="left" vertical="center"/>
    </xf>
    <xf numFmtId="49" fontId="49" fillId="6" borderId="38" xfId="1" applyNumberFormat="1" applyFont="1" applyFill="1" applyBorder="1" applyAlignment="1">
      <alignment horizontal="left" vertical="center"/>
    </xf>
    <xf numFmtId="49" fontId="49" fillId="6" borderId="84" xfId="1" applyNumberFormat="1" applyFont="1" applyFill="1" applyBorder="1" applyAlignment="1">
      <alignment horizontal="left" vertical="center"/>
    </xf>
    <xf numFmtId="49" fontId="49" fillId="7" borderId="38" xfId="1" applyNumberFormat="1" applyFont="1" applyFill="1" applyBorder="1" applyAlignment="1">
      <alignment horizontal="left" vertical="center"/>
    </xf>
    <xf numFmtId="49" fontId="49" fillId="7" borderId="85" xfId="1" applyNumberFormat="1" applyFont="1" applyFill="1" applyBorder="1" applyAlignment="1">
      <alignment horizontal="left" vertical="center"/>
    </xf>
    <xf numFmtId="49" fontId="49" fillId="7" borderId="84" xfId="1" applyNumberFormat="1" applyFont="1" applyFill="1" applyBorder="1" applyAlignment="1">
      <alignment horizontal="left" vertical="center"/>
    </xf>
    <xf numFmtId="0" fontId="1" fillId="7" borderId="38" xfId="1" applyFill="1" applyBorder="1" applyAlignment="1">
      <alignment horizontal="left" vertical="center"/>
    </xf>
    <xf numFmtId="0" fontId="1" fillId="7" borderId="84" xfId="1" applyFill="1" applyBorder="1" applyAlignment="1">
      <alignment horizontal="left" vertical="center"/>
    </xf>
    <xf numFmtId="49" fontId="3" fillId="7" borderId="85" xfId="1" applyNumberFormat="1" applyFont="1" applyFill="1" applyBorder="1" applyAlignment="1">
      <alignment horizontal="left" vertical="center"/>
    </xf>
    <xf numFmtId="49" fontId="49" fillId="7" borderId="62" xfId="1" applyNumberFormat="1" applyFont="1" applyFill="1" applyBorder="1" applyAlignment="1">
      <alignment horizontal="left" vertical="center"/>
    </xf>
    <xf numFmtId="0" fontId="1" fillId="0" borderId="63" xfId="1" applyBorder="1">
      <alignment vertical="center"/>
    </xf>
    <xf numFmtId="49" fontId="50" fillId="8" borderId="89" xfId="1" applyNumberFormat="1" applyFont="1" applyFill="1" applyBorder="1" applyAlignment="1">
      <alignment horizontal="left" vertical="center"/>
    </xf>
    <xf numFmtId="49" fontId="50" fillId="8" borderId="90" xfId="1" applyNumberFormat="1" applyFont="1" applyFill="1" applyBorder="1" applyAlignment="1">
      <alignment horizontal="left" vertical="center"/>
    </xf>
    <xf numFmtId="49" fontId="49" fillId="8" borderId="91" xfId="1" applyNumberFormat="1" applyFont="1" applyFill="1" applyBorder="1" applyAlignment="1">
      <alignment horizontal="left" vertical="center"/>
    </xf>
    <xf numFmtId="49" fontId="44" fillId="8" borderId="92" xfId="1" applyNumberFormat="1" applyFont="1" applyFill="1" applyBorder="1" applyAlignment="1">
      <alignment horizontal="left" vertical="center"/>
    </xf>
    <xf numFmtId="49" fontId="44" fillId="8" borderId="90" xfId="1" applyNumberFormat="1" applyFont="1" applyFill="1" applyBorder="1" applyAlignment="1">
      <alignment horizontal="left" vertical="center"/>
    </xf>
    <xf numFmtId="0" fontId="20" fillId="8" borderId="90" xfId="1" applyFont="1" applyFill="1" applyBorder="1" applyAlignment="1">
      <alignment horizontal="left" vertical="center"/>
    </xf>
    <xf numFmtId="49" fontId="44" fillId="8" borderId="91" xfId="1" applyNumberFormat="1" applyFont="1" applyFill="1" applyBorder="1" applyAlignment="1">
      <alignment horizontal="left" vertical="center"/>
    </xf>
    <xf numFmtId="0" fontId="20" fillId="8" borderId="91" xfId="1" applyFont="1" applyFill="1" applyBorder="1" applyAlignment="1">
      <alignment horizontal="left" vertical="center"/>
    </xf>
    <xf numFmtId="165" fontId="44" fillId="8" borderId="92" xfId="1" applyNumberFormat="1" applyFont="1" applyFill="1" applyBorder="1" applyAlignment="1">
      <alignment horizontal="left" vertical="center"/>
    </xf>
    <xf numFmtId="165" fontId="44" fillId="8" borderId="90" xfId="1" applyNumberFormat="1" applyFont="1" applyFill="1" applyBorder="1" applyAlignment="1">
      <alignment horizontal="left" vertical="center"/>
    </xf>
    <xf numFmtId="165" fontId="44" fillId="8" borderId="91" xfId="1" applyNumberFormat="1" applyFont="1" applyFill="1" applyBorder="1" applyAlignment="1">
      <alignment horizontal="left" vertical="center"/>
    </xf>
    <xf numFmtId="165" fontId="44" fillId="8" borderId="93" xfId="1" applyNumberFormat="1" applyFont="1" applyFill="1" applyBorder="1" applyAlignment="1">
      <alignment horizontal="left" vertical="center"/>
    </xf>
    <xf numFmtId="0" fontId="53" fillId="3" borderId="16" xfId="8" applyFont="1" applyFill="1" applyBorder="1" applyAlignment="1">
      <alignment horizontal="left" vertical="center"/>
    </xf>
    <xf numFmtId="0" fontId="53" fillId="3" borderId="17" xfId="8" applyFont="1" applyFill="1" applyBorder="1" applyAlignment="1">
      <alignment horizontal="left" vertical="center"/>
    </xf>
    <xf numFmtId="0" fontId="1" fillId="3" borderId="16" xfId="1" applyFill="1" applyBorder="1" applyAlignment="1">
      <alignment horizontal="left" vertical="center"/>
    </xf>
    <xf numFmtId="0" fontId="1" fillId="3" borderId="15" xfId="1" applyFill="1" applyBorder="1" applyAlignment="1">
      <alignment horizontal="left" vertical="center"/>
    </xf>
    <xf numFmtId="0" fontId="1" fillId="3" borderId="17" xfId="1" applyFill="1" applyBorder="1" applyAlignment="1">
      <alignment horizontal="left" vertical="center"/>
    </xf>
    <xf numFmtId="165" fontId="1" fillId="3" borderId="94" xfId="1" applyNumberFormat="1" applyFill="1" applyBorder="1" applyAlignment="1">
      <alignment horizontal="center" vertical="center" shrinkToFit="1"/>
    </xf>
    <xf numFmtId="165" fontId="1" fillId="3" borderId="16" xfId="1" applyNumberFormat="1" applyFill="1" applyBorder="1" applyAlignment="1">
      <alignment horizontal="center" vertical="center" shrinkToFit="1"/>
    </xf>
    <xf numFmtId="165" fontId="1" fillId="3" borderId="95" xfId="1" applyNumberFormat="1" applyFill="1" applyBorder="1" applyAlignment="1">
      <alignment horizontal="center" vertical="center" shrinkToFit="1"/>
    </xf>
    <xf numFmtId="0" fontId="1" fillId="3" borderId="46" xfId="1" applyFill="1" applyBorder="1">
      <alignment vertical="center"/>
    </xf>
    <xf numFmtId="0" fontId="1" fillId="3" borderId="0" xfId="1" applyFill="1">
      <alignment vertical="center"/>
    </xf>
    <xf numFmtId="0" fontId="20" fillId="3" borderId="46" xfId="1" applyFont="1" applyFill="1" applyBorder="1">
      <alignment vertical="center"/>
    </xf>
    <xf numFmtId="49" fontId="44" fillId="3" borderId="23" xfId="1" applyNumberFormat="1" applyFont="1" applyFill="1" applyBorder="1" applyAlignment="1">
      <alignment horizontal="left" vertical="center"/>
    </xf>
    <xf numFmtId="0" fontId="20" fillId="3" borderId="23" xfId="1" applyFont="1" applyFill="1" applyBorder="1" applyAlignment="1">
      <alignment horizontal="left" vertical="center"/>
    </xf>
    <xf numFmtId="49" fontId="44" fillId="3" borderId="22" xfId="1" applyNumberFormat="1" applyFont="1" applyFill="1" applyBorder="1" applyAlignment="1">
      <alignment horizontal="left" vertical="center"/>
    </xf>
    <xf numFmtId="0" fontId="20" fillId="3" borderId="22" xfId="1" applyFont="1" applyFill="1" applyBorder="1" applyAlignment="1">
      <alignment horizontal="left" vertical="center"/>
    </xf>
    <xf numFmtId="49" fontId="44" fillId="3" borderId="21" xfId="1" applyNumberFormat="1" applyFont="1" applyFill="1" applyBorder="1" applyAlignment="1">
      <alignment horizontal="left" vertical="center"/>
    </xf>
    <xf numFmtId="165" fontId="44" fillId="3" borderId="21" xfId="1" applyNumberFormat="1" applyFont="1" applyFill="1" applyBorder="1" applyAlignment="1">
      <alignment horizontal="left" vertical="center"/>
    </xf>
    <xf numFmtId="165" fontId="44" fillId="3" borderId="23" xfId="1" applyNumberFormat="1" applyFont="1" applyFill="1" applyBorder="1" applyAlignment="1">
      <alignment horizontal="left" vertical="center"/>
    </xf>
    <xf numFmtId="165" fontId="44" fillId="3" borderId="22" xfId="1" applyNumberFormat="1" applyFont="1" applyFill="1" applyBorder="1" applyAlignment="1">
      <alignment horizontal="left" vertical="center"/>
    </xf>
    <xf numFmtId="165" fontId="44" fillId="3" borderId="96" xfId="1" applyNumberFormat="1" applyFont="1" applyFill="1" applyBorder="1" applyAlignment="1">
      <alignment horizontal="left" vertical="center"/>
    </xf>
    <xf numFmtId="0" fontId="20" fillId="3" borderId="0" xfId="1" applyFont="1" applyFill="1">
      <alignment vertical="center"/>
    </xf>
    <xf numFmtId="0" fontId="1" fillId="3" borderId="16" xfId="1" applyFill="1" applyBorder="1" applyAlignment="1">
      <alignment horizontal="left" vertical="center" wrapText="1"/>
    </xf>
    <xf numFmtId="0" fontId="8" fillId="3" borderId="94" xfId="8" applyFont="1" applyFill="1" applyBorder="1" applyAlignment="1">
      <alignment horizontal="left" vertical="center"/>
    </xf>
    <xf numFmtId="0" fontId="8" fillId="3" borderId="16" xfId="8" applyFont="1" applyFill="1" applyBorder="1" applyAlignment="1">
      <alignment horizontal="left" vertical="center"/>
    </xf>
    <xf numFmtId="0" fontId="8" fillId="3" borderId="17" xfId="8" applyFont="1" applyFill="1" applyBorder="1" applyAlignment="1">
      <alignment horizontal="left" vertical="center"/>
    </xf>
    <xf numFmtId="49" fontId="49" fillId="3" borderId="97" xfId="1" applyNumberFormat="1" applyFont="1" applyFill="1" applyBorder="1" applyAlignment="1">
      <alignment horizontal="left" vertical="center"/>
    </xf>
    <xf numFmtId="49" fontId="49" fillId="3" borderId="23" xfId="1" applyNumberFormat="1" applyFont="1" applyFill="1" applyBorder="1" applyAlignment="1">
      <alignment horizontal="left" vertical="center"/>
    </xf>
    <xf numFmtId="49" fontId="49" fillId="3" borderId="22" xfId="1" applyNumberFormat="1" applyFont="1" applyFill="1" applyBorder="1" applyAlignment="1">
      <alignment horizontal="left" vertical="center"/>
    </xf>
    <xf numFmtId="0" fontId="52" fillId="3" borderId="94" xfId="8" applyFill="1" applyBorder="1" applyAlignment="1">
      <alignment horizontal="left" vertical="center"/>
    </xf>
    <xf numFmtId="0" fontId="7" fillId="0" borderId="46" xfId="1" applyFont="1" applyBorder="1">
      <alignment vertical="center"/>
    </xf>
    <xf numFmtId="0" fontId="7" fillId="3" borderId="16" xfId="1" applyFont="1" applyFill="1" applyBorder="1" applyAlignment="1">
      <alignment horizontal="left" vertical="center"/>
    </xf>
    <xf numFmtId="0" fontId="7" fillId="3" borderId="17" xfId="1" applyFont="1" applyFill="1" applyBorder="1" applyAlignment="1">
      <alignment horizontal="left" vertical="center"/>
    </xf>
    <xf numFmtId="0" fontId="7" fillId="0" borderId="0" xfId="1" applyFont="1">
      <alignment vertical="center"/>
    </xf>
    <xf numFmtId="0" fontId="8" fillId="3" borderId="98" xfId="8" applyFont="1" applyFill="1" applyBorder="1" applyAlignment="1">
      <alignment horizontal="left" vertical="center"/>
    </xf>
    <xf numFmtId="0" fontId="8" fillId="3" borderId="99" xfId="8" applyFont="1" applyFill="1" applyBorder="1" applyAlignment="1">
      <alignment horizontal="left" vertical="center"/>
    </xf>
    <xf numFmtId="0" fontId="8" fillId="3" borderId="100" xfId="8" applyFont="1" applyFill="1" applyBorder="1" applyAlignment="1">
      <alignment horizontal="left" vertical="center"/>
    </xf>
    <xf numFmtId="0" fontId="1" fillId="3" borderId="101" xfId="1" applyFill="1" applyBorder="1" applyAlignment="1">
      <alignment horizontal="left" vertical="center"/>
    </xf>
    <xf numFmtId="0" fontId="1" fillId="3" borderId="99" xfId="1" applyFill="1" applyBorder="1" applyAlignment="1">
      <alignment horizontal="left" vertical="center"/>
    </xf>
    <xf numFmtId="0" fontId="1" fillId="3" borderId="100" xfId="1" applyFill="1" applyBorder="1" applyAlignment="1">
      <alignment horizontal="left" vertical="center"/>
    </xf>
    <xf numFmtId="0" fontId="20" fillId="0" borderId="77" xfId="1" applyFont="1" applyBorder="1">
      <alignment vertical="center"/>
    </xf>
    <xf numFmtId="0" fontId="1" fillId="0" borderId="54" xfId="1" applyBorder="1">
      <alignment vertical="center"/>
    </xf>
    <xf numFmtId="0" fontId="20" fillId="0" borderId="54" xfId="1" applyFont="1" applyBorder="1">
      <alignment vertical="center"/>
    </xf>
    <xf numFmtId="0" fontId="20" fillId="0" borderId="78" xfId="1" applyFont="1" applyBorder="1">
      <alignment vertical="center"/>
    </xf>
    <xf numFmtId="0" fontId="20" fillId="0" borderId="38" xfId="1" applyFont="1" applyBorder="1">
      <alignment vertical="center"/>
    </xf>
    <xf numFmtId="0" fontId="20" fillId="0" borderId="62" xfId="1" applyFont="1" applyBorder="1">
      <alignment vertical="center"/>
    </xf>
    <xf numFmtId="0" fontId="33" fillId="9" borderId="0" xfId="1" applyFont="1" applyFill="1">
      <alignment vertical="center"/>
    </xf>
    <xf numFmtId="0" fontId="28" fillId="9" borderId="0" xfId="1" applyFont="1" applyFill="1">
      <alignment vertical="center"/>
    </xf>
    <xf numFmtId="0" fontId="20" fillId="9" borderId="0" xfId="1" applyFont="1" applyFill="1">
      <alignment vertical="center"/>
    </xf>
    <xf numFmtId="0" fontId="20" fillId="9" borderId="63" xfId="1" applyFont="1" applyFill="1" applyBorder="1">
      <alignment vertical="center"/>
    </xf>
    <xf numFmtId="49" fontId="21" fillId="4" borderId="1" xfId="1" applyNumberFormat="1" applyFont="1" applyFill="1" applyBorder="1">
      <alignment vertical="center"/>
    </xf>
    <xf numFmtId="49" fontId="21" fillId="4" borderId="2" xfId="1" applyNumberFormat="1" applyFont="1" applyFill="1" applyBorder="1">
      <alignment vertical="center"/>
    </xf>
    <xf numFmtId="0" fontId="21" fillId="4" borderId="64" xfId="1" applyFont="1" applyFill="1" applyBorder="1">
      <alignment vertical="center"/>
    </xf>
    <xf numFmtId="0" fontId="38" fillId="4" borderId="65" xfId="1" applyFont="1" applyFill="1" applyBorder="1">
      <alignment vertical="center"/>
    </xf>
    <xf numFmtId="0" fontId="20" fillId="0" borderId="70" xfId="1" applyFont="1" applyBorder="1">
      <alignment vertical="center"/>
    </xf>
    <xf numFmtId="49" fontId="20" fillId="0" borderId="70" xfId="1" applyNumberFormat="1" applyFont="1" applyBorder="1">
      <alignment vertical="center"/>
    </xf>
    <xf numFmtId="0" fontId="20" fillId="0" borderId="67" xfId="0" applyFont="1" applyBorder="1" applyAlignment="1">
      <alignment horizontal="centerContinuous" vertical="center"/>
    </xf>
    <xf numFmtId="0" fontId="20" fillId="0" borderId="36" xfId="0" applyFont="1" applyBorder="1" applyAlignment="1">
      <alignment horizontal="centerContinuous" vertical="top" wrapText="1"/>
    </xf>
    <xf numFmtId="0" fontId="20" fillId="0" borderId="68" xfId="0" applyFont="1" applyBorder="1" applyAlignment="1">
      <alignment vertical="top"/>
    </xf>
    <xf numFmtId="0" fontId="20" fillId="0" borderId="67" xfId="1" applyFont="1" applyBorder="1">
      <alignment vertical="center"/>
    </xf>
    <xf numFmtId="0" fontId="24" fillId="0" borderId="68" xfId="1" applyFont="1" applyBorder="1" applyAlignment="1">
      <alignment vertical="top"/>
    </xf>
    <xf numFmtId="49" fontId="20" fillId="0" borderId="67" xfId="1" quotePrefix="1" applyNumberFormat="1" applyFont="1" applyBorder="1">
      <alignment vertical="center"/>
    </xf>
    <xf numFmtId="0" fontId="20" fillId="0" borderId="36" xfId="1" applyFont="1" applyBorder="1">
      <alignment vertical="center"/>
    </xf>
    <xf numFmtId="49" fontId="21" fillId="4" borderId="4" xfId="1" applyNumberFormat="1" applyFont="1" applyFill="1" applyBorder="1">
      <alignment vertical="center"/>
    </xf>
    <xf numFmtId="49" fontId="21" fillId="4" borderId="6" xfId="1" applyNumberFormat="1" applyFont="1" applyFill="1" applyBorder="1">
      <alignment vertical="center"/>
    </xf>
    <xf numFmtId="0" fontId="20" fillId="0" borderId="5" xfId="1" applyFont="1" applyBorder="1">
      <alignment vertical="center"/>
    </xf>
    <xf numFmtId="0" fontId="20" fillId="0" borderId="6" xfId="1" applyFont="1" applyBorder="1">
      <alignment vertical="center"/>
    </xf>
    <xf numFmtId="0" fontId="21" fillId="4" borderId="4" xfId="1" applyFont="1" applyFill="1" applyBorder="1">
      <alignment vertical="center"/>
    </xf>
    <xf numFmtId="0" fontId="20" fillId="0" borderId="8" xfId="1" applyFont="1" applyBorder="1">
      <alignment vertical="center"/>
    </xf>
    <xf numFmtId="49" fontId="20" fillId="0" borderId="67" xfId="1" applyNumberFormat="1" applyFont="1" applyBorder="1">
      <alignment vertical="center"/>
    </xf>
    <xf numFmtId="49" fontId="24" fillId="0" borderId="23" xfId="1" applyNumberFormat="1" applyFont="1" applyBorder="1">
      <alignment vertical="center"/>
    </xf>
    <xf numFmtId="49" fontId="24" fillId="0" borderId="36" xfId="1" applyNumberFormat="1" applyFont="1" applyBorder="1">
      <alignment vertical="center"/>
    </xf>
    <xf numFmtId="49" fontId="24" fillId="0" borderId="22" xfId="1" applyNumberFormat="1" applyFont="1" applyBorder="1">
      <alignment vertical="center"/>
    </xf>
    <xf numFmtId="166" fontId="20" fillId="0" borderId="0" xfId="9" applyFont="1" applyAlignment="1">
      <alignment vertical="center"/>
    </xf>
    <xf numFmtId="166" fontId="20" fillId="4" borderId="7" xfId="9" applyFont="1" applyFill="1" applyBorder="1" applyAlignment="1">
      <alignment vertical="center"/>
    </xf>
    <xf numFmtId="166" fontId="20" fillId="0" borderId="8" xfId="9" applyFont="1" applyBorder="1" applyAlignment="1">
      <alignment vertical="center"/>
    </xf>
    <xf numFmtId="166" fontId="20" fillId="0" borderId="23" xfId="9" applyFont="1" applyBorder="1" applyAlignment="1">
      <alignment vertical="center"/>
    </xf>
    <xf numFmtId="166" fontId="20" fillId="0" borderId="67" xfId="9" applyFont="1" applyBorder="1" applyAlignment="1">
      <alignment vertical="center"/>
    </xf>
    <xf numFmtId="166" fontId="24" fillId="0" borderId="23" xfId="9" applyFont="1" applyBorder="1" applyAlignment="1">
      <alignment vertical="center"/>
    </xf>
    <xf numFmtId="166" fontId="24" fillId="0" borderId="36" xfId="9" applyFont="1" applyBorder="1" applyAlignment="1">
      <alignment vertical="center"/>
    </xf>
    <xf numFmtId="166" fontId="24" fillId="0" borderId="22" xfId="9" applyFont="1" applyBorder="1" applyAlignment="1">
      <alignment vertical="center"/>
    </xf>
    <xf numFmtId="166" fontId="20" fillId="0" borderId="63" xfId="9" applyFont="1" applyBorder="1" applyAlignment="1">
      <alignment vertical="center"/>
    </xf>
    <xf numFmtId="166" fontId="20" fillId="0" borderId="0" xfId="9" applyFont="1" applyBorder="1" applyAlignment="1">
      <alignment vertical="center"/>
    </xf>
    <xf numFmtId="166" fontId="20" fillId="0" borderId="68" xfId="9" applyFont="1" applyBorder="1" applyAlignment="1">
      <alignment vertical="center"/>
    </xf>
    <xf numFmtId="166" fontId="24" fillId="0" borderId="0" xfId="9" applyFont="1" applyBorder="1" applyAlignment="1">
      <alignment vertical="center"/>
    </xf>
    <xf numFmtId="166" fontId="24" fillId="0" borderId="80" xfId="9" applyFont="1" applyBorder="1" applyAlignment="1">
      <alignment vertical="center"/>
    </xf>
    <xf numFmtId="166" fontId="24" fillId="0" borderId="8" xfId="9" applyFont="1" applyBorder="1" applyAlignment="1">
      <alignment vertical="center"/>
    </xf>
    <xf numFmtId="0" fontId="20" fillId="0" borderId="10" xfId="1" applyFont="1" applyBorder="1">
      <alignment vertical="center"/>
    </xf>
    <xf numFmtId="0" fontId="20" fillId="0" borderId="11" xfId="1" applyFont="1" applyBorder="1">
      <alignment vertical="center"/>
    </xf>
    <xf numFmtId="49" fontId="24" fillId="0" borderId="19" xfId="1" applyNumberFormat="1" applyFont="1" applyBorder="1">
      <alignment vertical="center"/>
    </xf>
    <xf numFmtId="49" fontId="24" fillId="0" borderId="73" xfId="1" applyNumberFormat="1" applyFont="1" applyBorder="1">
      <alignment vertical="center"/>
    </xf>
    <xf numFmtId="49" fontId="24" fillId="0" borderId="74" xfId="1" applyNumberFormat="1" applyFont="1" applyBorder="1">
      <alignment vertical="center"/>
    </xf>
    <xf numFmtId="49" fontId="24" fillId="0" borderId="20" xfId="1" applyNumberFormat="1" applyFont="1" applyBorder="1">
      <alignment vertical="center"/>
    </xf>
    <xf numFmtId="0" fontId="20" fillId="5" borderId="63" xfId="1" applyFont="1" applyFill="1" applyBorder="1">
      <alignment vertical="center"/>
    </xf>
    <xf numFmtId="49" fontId="20" fillId="5" borderId="1" xfId="1" applyNumberFormat="1" applyFont="1" applyFill="1" applyBorder="1">
      <alignment vertical="center"/>
    </xf>
    <xf numFmtId="49" fontId="20" fillId="5" borderId="2" xfId="1" applyNumberFormat="1" applyFont="1" applyFill="1" applyBorder="1">
      <alignment vertical="center"/>
    </xf>
    <xf numFmtId="49" fontId="20" fillId="5" borderId="3" xfId="1" applyNumberFormat="1" applyFont="1" applyFill="1" applyBorder="1">
      <alignment vertical="center"/>
    </xf>
    <xf numFmtId="0" fontId="20" fillId="5" borderId="7" xfId="1" applyFont="1" applyFill="1" applyBorder="1">
      <alignment vertical="center"/>
    </xf>
    <xf numFmtId="0" fontId="20" fillId="5" borderId="66" xfId="1" applyFont="1" applyFill="1" applyBorder="1">
      <alignment vertical="center"/>
    </xf>
    <xf numFmtId="0" fontId="24" fillId="5" borderId="0" xfId="1" applyFont="1" applyFill="1">
      <alignment vertical="center"/>
    </xf>
    <xf numFmtId="0" fontId="20" fillId="5" borderId="5" xfId="1" applyFont="1" applyFill="1" applyBorder="1">
      <alignment vertical="center"/>
    </xf>
    <xf numFmtId="0" fontId="20" fillId="5" borderId="6" xfId="1" applyFont="1" applyFill="1" applyBorder="1">
      <alignment vertical="center"/>
    </xf>
    <xf numFmtId="0" fontId="20" fillId="5" borderId="13" xfId="1" applyFont="1" applyFill="1" applyBorder="1">
      <alignment vertical="center"/>
    </xf>
    <xf numFmtId="0" fontId="54" fillId="0" borderId="16" xfId="1" applyFont="1" applyBorder="1">
      <alignment vertical="center"/>
    </xf>
    <xf numFmtId="0" fontId="20" fillId="5" borderId="4" xfId="1" applyFont="1" applyFill="1" applyBorder="1">
      <alignment vertical="center"/>
    </xf>
    <xf numFmtId="49" fontId="21" fillId="5" borderId="5" xfId="1" applyNumberFormat="1" applyFont="1" applyFill="1" applyBorder="1">
      <alignment vertical="center"/>
    </xf>
    <xf numFmtId="0" fontId="20" fillId="5" borderId="5" xfId="0" applyFont="1" applyFill="1" applyBorder="1" applyAlignment="1">
      <alignment horizontal="centerContinuous" vertical="center"/>
    </xf>
    <xf numFmtId="0" fontId="20" fillId="5" borderId="5" xfId="0" applyFont="1" applyFill="1" applyBorder="1" applyAlignment="1">
      <alignment horizontal="centerContinuous" vertical="top" wrapText="1"/>
    </xf>
    <xf numFmtId="0" fontId="20" fillId="5" borderId="5" xfId="0" applyFont="1" applyFill="1" applyBorder="1" applyAlignment="1">
      <alignment vertical="top"/>
    </xf>
    <xf numFmtId="0" fontId="24" fillId="5" borderId="5" xfId="1" applyFont="1" applyFill="1" applyBorder="1" applyAlignment="1">
      <alignment vertical="top"/>
    </xf>
    <xf numFmtId="0" fontId="24" fillId="5" borderId="6" xfId="1" applyFont="1" applyFill="1" applyBorder="1" applyAlignment="1">
      <alignment vertical="top"/>
    </xf>
    <xf numFmtId="0" fontId="28" fillId="0" borderId="23" xfId="1" applyFont="1" applyBorder="1">
      <alignment vertical="center"/>
    </xf>
    <xf numFmtId="0" fontId="24" fillId="0" borderId="22" xfId="1" applyFont="1" applyBorder="1" applyAlignment="1">
      <alignment vertical="top"/>
    </xf>
    <xf numFmtId="0" fontId="28" fillId="0" borderId="16" xfId="1" applyFont="1" applyBorder="1">
      <alignment vertical="center"/>
    </xf>
    <xf numFmtId="0" fontId="35" fillId="0" borderId="23" xfId="1" quotePrefix="1" applyFont="1" applyBorder="1">
      <alignment vertical="center"/>
    </xf>
    <xf numFmtId="0" fontId="20" fillId="5" borderId="9" xfId="1" applyFont="1" applyFill="1" applyBorder="1">
      <alignment vertical="center"/>
    </xf>
    <xf numFmtId="0" fontId="35" fillId="0" borderId="19" xfId="1" quotePrefix="1" applyFont="1" applyBorder="1">
      <alignment vertical="center"/>
    </xf>
    <xf numFmtId="0" fontId="28" fillId="0" borderId="19" xfId="1" applyFont="1" applyBorder="1">
      <alignment vertical="center"/>
    </xf>
    <xf numFmtId="0" fontId="20" fillId="0" borderId="20" xfId="1" applyFont="1" applyBorder="1">
      <alignment vertical="center"/>
    </xf>
    <xf numFmtId="49" fontId="20" fillId="0" borderId="0" xfId="1" applyNumberFormat="1" applyFont="1">
      <alignment vertical="center"/>
    </xf>
    <xf numFmtId="0" fontId="20" fillId="10" borderId="0" xfId="1" applyFont="1" applyFill="1">
      <alignment vertical="center"/>
    </xf>
    <xf numFmtId="0" fontId="20" fillId="0" borderId="0" xfId="1" applyFont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20" fillId="0" borderId="71" xfId="1" applyFont="1" applyBorder="1">
      <alignment vertical="center"/>
    </xf>
    <xf numFmtId="49" fontId="20" fillId="0" borderId="70" xfId="1" quotePrefix="1" applyNumberFormat="1" applyFont="1" applyBorder="1">
      <alignment vertical="center"/>
    </xf>
    <xf numFmtId="0" fontId="29" fillId="0" borderId="23" xfId="1" applyFont="1" applyBorder="1">
      <alignment vertical="center"/>
    </xf>
    <xf numFmtId="0" fontId="20" fillId="0" borderId="76" xfId="1" applyFont="1" applyBorder="1">
      <alignment vertical="center"/>
    </xf>
    <xf numFmtId="0" fontId="20" fillId="0" borderId="22" xfId="1" applyFont="1" applyBorder="1">
      <alignment vertical="center"/>
    </xf>
    <xf numFmtId="0" fontId="20" fillId="0" borderId="17" xfId="1" applyFont="1" applyBorder="1">
      <alignment vertical="center"/>
    </xf>
    <xf numFmtId="0" fontId="20" fillId="0" borderId="67" xfId="1" applyFont="1" applyBorder="1" applyAlignment="1">
      <alignment horizontal="left" vertical="center"/>
    </xf>
    <xf numFmtId="0" fontId="20" fillId="0" borderId="23" xfId="1" applyFont="1" applyBorder="1" applyAlignment="1">
      <alignment horizontal="left" vertical="center"/>
    </xf>
    <xf numFmtId="0" fontId="24" fillId="0" borderId="16" xfId="1" applyFont="1" applyBorder="1" applyAlignment="1">
      <alignment horizontal="left" vertical="center"/>
    </xf>
    <xf numFmtId="0" fontId="20" fillId="0" borderId="73" xfId="1" applyFont="1" applyBorder="1">
      <alignment vertical="center"/>
    </xf>
    <xf numFmtId="49" fontId="20" fillId="0" borderId="73" xfId="1" applyNumberFormat="1" applyFont="1" applyBorder="1">
      <alignment vertical="center"/>
    </xf>
    <xf numFmtId="0" fontId="20" fillId="0" borderId="74" xfId="1" applyFont="1" applyBorder="1">
      <alignment vertical="center"/>
    </xf>
    <xf numFmtId="0" fontId="24" fillId="0" borderId="19" xfId="1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22" fillId="0" borderId="67" xfId="0" applyFont="1" applyBorder="1" applyAlignment="1">
      <alignment vertical="center"/>
    </xf>
    <xf numFmtId="0" fontId="20" fillId="0" borderId="70" xfId="0" applyFont="1" applyBorder="1" applyAlignment="1">
      <alignment vertical="center"/>
    </xf>
    <xf numFmtId="0" fontId="19" fillId="0" borderId="67" xfId="0" applyFont="1" applyBorder="1" applyAlignment="1">
      <alignment vertical="center"/>
    </xf>
    <xf numFmtId="0" fontId="19" fillId="0" borderId="70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30" fillId="0" borderId="67" xfId="0" applyFont="1" applyBorder="1" applyAlignment="1">
      <alignment vertical="center"/>
    </xf>
    <xf numFmtId="0" fontId="19" fillId="0" borderId="69" xfId="0" applyFont="1" applyBorder="1" applyAlignment="1">
      <alignment vertical="center"/>
    </xf>
    <xf numFmtId="0" fontId="29" fillId="4" borderId="63" xfId="0" applyFont="1" applyFill="1" applyBorder="1" applyAlignment="1">
      <alignment vertical="center"/>
    </xf>
    <xf numFmtId="0" fontId="19" fillId="4" borderId="63" xfId="0" applyFont="1" applyFill="1" applyBorder="1" applyAlignment="1">
      <alignment vertical="center"/>
    </xf>
    <xf numFmtId="0" fontId="20" fillId="4" borderId="63" xfId="0" applyFont="1" applyFill="1" applyBorder="1" applyAlignment="1">
      <alignment vertical="center"/>
    </xf>
    <xf numFmtId="0" fontId="27" fillId="4" borderId="78" xfId="0" applyFont="1" applyFill="1" applyBorder="1" applyAlignment="1">
      <alignment vertical="center"/>
    </xf>
    <xf numFmtId="0" fontId="57" fillId="0" borderId="0" xfId="5" applyFont="1">
      <alignment vertical="center"/>
    </xf>
    <xf numFmtId="0" fontId="51" fillId="3" borderId="94" xfId="10" quotePrefix="1" applyFill="1" applyBorder="1" applyAlignment="1">
      <alignment horizontal="left" vertical="center"/>
    </xf>
    <xf numFmtId="0" fontId="58" fillId="0" borderId="16" xfId="0" applyFont="1" applyBorder="1" applyAlignment="1">
      <alignment horizontal="centerContinuous" vertical="center"/>
    </xf>
    <xf numFmtId="0" fontId="58" fillId="0" borderId="16" xfId="1" applyFont="1" applyBorder="1">
      <alignment vertical="center"/>
    </xf>
    <xf numFmtId="49" fontId="58" fillId="0" borderId="71" xfId="1" applyNumberFormat="1" applyFont="1" applyBorder="1">
      <alignment vertical="center"/>
    </xf>
    <xf numFmtId="0" fontId="59" fillId="0" borderId="16" xfId="0" applyFont="1" applyBorder="1" applyAlignment="1">
      <alignment horizontal="centerContinuous" vertical="center"/>
    </xf>
    <xf numFmtId="0" fontId="59" fillId="0" borderId="23" xfId="0" applyFont="1" applyBorder="1" applyAlignment="1">
      <alignment vertical="center"/>
    </xf>
    <xf numFmtId="0" fontId="58" fillId="0" borderId="23" xfId="0" applyFont="1" applyBorder="1" applyAlignment="1">
      <alignment vertical="center"/>
    </xf>
    <xf numFmtId="49" fontId="19" fillId="0" borderId="71" xfId="1" applyNumberFormat="1" applyFont="1" applyBorder="1">
      <alignment vertical="center"/>
    </xf>
    <xf numFmtId="0" fontId="19" fillId="0" borderId="16" xfId="1" applyFont="1" applyBorder="1">
      <alignment vertical="center"/>
    </xf>
    <xf numFmtId="0" fontId="19" fillId="0" borderId="0" xfId="1" applyFont="1">
      <alignment vertical="center"/>
    </xf>
    <xf numFmtId="0" fontId="5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30" fillId="0" borderId="16" xfId="1" applyFont="1" applyBorder="1">
      <alignment vertical="center"/>
    </xf>
    <xf numFmtId="0" fontId="30" fillId="0" borderId="0" xfId="0" applyFont="1" applyAlignment="1">
      <alignment vertical="center"/>
    </xf>
    <xf numFmtId="0" fontId="60" fillId="0" borderId="67" xfId="0" applyFont="1" applyBorder="1" applyAlignment="1">
      <alignment vertical="center"/>
    </xf>
    <xf numFmtId="0" fontId="60" fillId="0" borderId="23" xfId="0" applyFont="1" applyBorder="1" applyAlignment="1">
      <alignment vertical="center"/>
    </xf>
    <xf numFmtId="0" fontId="60" fillId="0" borderId="16" xfId="1" applyFont="1" applyBorder="1">
      <alignment vertical="center"/>
    </xf>
    <xf numFmtId="0" fontId="60" fillId="0" borderId="23" xfId="1" applyFont="1" applyBorder="1">
      <alignment vertical="center"/>
    </xf>
    <xf numFmtId="0" fontId="60" fillId="0" borderId="0" xfId="1" applyFont="1">
      <alignment vertical="center"/>
    </xf>
    <xf numFmtId="0" fontId="58" fillId="0" borderId="0" xfId="1" applyFont="1">
      <alignment vertical="center"/>
    </xf>
    <xf numFmtId="0" fontId="58" fillId="0" borderId="67" xfId="0" applyFont="1" applyBorder="1" applyAlignment="1">
      <alignment vertical="center"/>
    </xf>
    <xf numFmtId="0" fontId="59" fillId="0" borderId="70" xfId="0" applyFont="1" applyBorder="1" applyAlignment="1">
      <alignment vertical="center"/>
    </xf>
    <xf numFmtId="0" fontId="59" fillId="0" borderId="16" xfId="0" applyFont="1" applyBorder="1" applyAlignment="1">
      <alignment vertical="center"/>
    </xf>
    <xf numFmtId="0" fontId="59" fillId="0" borderId="16" xfId="1" applyFont="1" applyBorder="1">
      <alignment vertical="center"/>
    </xf>
    <xf numFmtId="0" fontId="59" fillId="0" borderId="67" xfId="0" applyFont="1" applyBorder="1" applyAlignment="1">
      <alignment vertical="center"/>
    </xf>
    <xf numFmtId="0" fontId="59" fillId="0" borderId="67" xfId="1" applyFont="1" applyBorder="1">
      <alignment vertical="center"/>
    </xf>
    <xf numFmtId="0" fontId="59" fillId="0" borderId="68" xfId="0" applyFont="1" applyBorder="1" applyAlignment="1">
      <alignment vertical="center"/>
    </xf>
    <xf numFmtId="0" fontId="58" fillId="0" borderId="67" xfId="1" applyFont="1" applyBorder="1">
      <alignment vertical="center"/>
    </xf>
    <xf numFmtId="0" fontId="58" fillId="0" borderId="70" xfId="0" applyFont="1" applyBorder="1" applyAlignment="1">
      <alignment vertical="center"/>
    </xf>
    <xf numFmtId="0" fontId="58" fillId="0" borderId="16" xfId="0" applyFont="1" applyBorder="1" applyAlignment="1">
      <alignment vertical="center"/>
    </xf>
    <xf numFmtId="0" fontId="58" fillId="0" borderId="68" xfId="0" applyFont="1" applyBorder="1" applyAlignment="1">
      <alignment vertical="center"/>
    </xf>
    <xf numFmtId="49" fontId="59" fillId="0" borderId="71" xfId="1" applyNumberFormat="1" applyFont="1" applyBorder="1">
      <alignment vertical="center"/>
    </xf>
    <xf numFmtId="0" fontId="30" fillId="0" borderId="69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68" xfId="0" applyFont="1" applyBorder="1" applyAlignment="1">
      <alignment vertical="center"/>
    </xf>
    <xf numFmtId="0" fontId="30" fillId="0" borderId="70" xfId="0" applyFont="1" applyBorder="1" applyAlignment="1">
      <alignment vertical="center"/>
    </xf>
    <xf numFmtId="0" fontId="62" fillId="0" borderId="16" xfId="1" applyFont="1" applyBorder="1">
      <alignment vertical="center"/>
    </xf>
    <xf numFmtId="0" fontId="19" fillId="0" borderId="71" xfId="5" applyFont="1" applyBorder="1">
      <alignment vertical="center"/>
    </xf>
    <xf numFmtId="165" fontId="1" fillId="3" borderId="15" xfId="1" applyNumberFormat="1" applyFill="1" applyBorder="1" applyAlignment="1">
      <alignment horizontal="center" vertical="center"/>
    </xf>
    <xf numFmtId="165" fontId="1" fillId="3" borderId="16" xfId="1" applyNumberFormat="1" applyFill="1" applyBorder="1" applyAlignment="1">
      <alignment horizontal="center" vertical="center"/>
    </xf>
    <xf numFmtId="165" fontId="1" fillId="3" borderId="17" xfId="1" applyNumberFormat="1" applyFill="1" applyBorder="1" applyAlignment="1">
      <alignment horizontal="center" vertical="center"/>
    </xf>
    <xf numFmtId="165" fontId="1" fillId="3" borderId="95" xfId="1" applyNumberFormat="1" applyFill="1" applyBorder="1" applyAlignment="1">
      <alignment horizontal="center" vertical="center"/>
    </xf>
    <xf numFmtId="0" fontId="1" fillId="3" borderId="16" xfId="1" quotePrefix="1" applyFill="1" applyBorder="1" applyAlignment="1">
      <alignment horizontal="left" vertical="center" wrapText="1"/>
    </xf>
    <xf numFmtId="0" fontId="1" fillId="3" borderId="17" xfId="1" quotePrefix="1" applyFill="1" applyBorder="1" applyAlignment="1">
      <alignment horizontal="left" vertical="center" wrapText="1"/>
    </xf>
    <xf numFmtId="0" fontId="28" fillId="0" borderId="0" xfId="1" applyFont="1">
      <alignment vertical="center"/>
    </xf>
    <xf numFmtId="0" fontId="54" fillId="0" borderId="0" xfId="1" applyFont="1">
      <alignment vertical="center"/>
    </xf>
    <xf numFmtId="49" fontId="54" fillId="0" borderId="80" xfId="1" quotePrefix="1" applyNumberFormat="1" applyFont="1" applyBorder="1">
      <alignment vertical="center"/>
    </xf>
    <xf numFmtId="0" fontId="54" fillId="0" borderId="16" xfId="0" applyFont="1" applyBorder="1" applyAlignment="1">
      <alignment horizontal="centerContinuous" vertical="center"/>
    </xf>
    <xf numFmtId="0" fontId="54" fillId="0" borderId="16" xfId="0" applyFont="1" applyBorder="1" applyAlignment="1">
      <alignment horizontal="centerContinuous" vertical="top" wrapText="1"/>
    </xf>
    <xf numFmtId="0" fontId="54" fillId="0" borderId="16" xfId="0" applyFont="1" applyBorder="1" applyAlignment="1">
      <alignment vertical="top"/>
    </xf>
    <xf numFmtId="49" fontId="54" fillId="0" borderId="71" xfId="1" applyNumberFormat="1" applyFont="1" applyBorder="1">
      <alignment vertical="center"/>
    </xf>
    <xf numFmtId="0" fontId="54" fillId="0" borderId="0" xfId="0" applyFont="1" applyAlignment="1">
      <alignment horizontal="centerContinuous" vertical="center"/>
    </xf>
    <xf numFmtId="0" fontId="54" fillId="0" borderId="0" xfId="0" applyFont="1" applyAlignment="1">
      <alignment horizontal="centerContinuous" vertical="top" wrapText="1"/>
    </xf>
    <xf numFmtId="0" fontId="54" fillId="0" borderId="0" xfId="0" applyFont="1" applyAlignment="1">
      <alignment vertical="top"/>
    </xf>
    <xf numFmtId="0" fontId="35" fillId="0" borderId="23" xfId="1" applyFont="1" applyBorder="1">
      <alignment vertical="center"/>
    </xf>
    <xf numFmtId="0" fontId="54" fillId="0" borderId="23" xfId="1" applyFont="1" applyBorder="1">
      <alignment vertical="center"/>
    </xf>
    <xf numFmtId="0" fontId="54" fillId="0" borderId="0" xfId="5" applyFont="1">
      <alignment vertical="center"/>
    </xf>
    <xf numFmtId="0" fontId="20" fillId="4" borderId="9" xfId="1" applyFont="1" applyFill="1" applyBorder="1">
      <alignment vertical="center"/>
    </xf>
    <xf numFmtId="0" fontId="20" fillId="4" borderId="0" xfId="1" applyFont="1" applyFill="1">
      <alignment vertical="center"/>
    </xf>
    <xf numFmtId="0" fontId="24" fillId="4" borderId="0" xfId="1" applyFont="1" applyFill="1">
      <alignment vertical="center"/>
    </xf>
    <xf numFmtId="0" fontId="20" fillId="4" borderId="5" xfId="1" applyFont="1" applyFill="1" applyBorder="1">
      <alignment vertical="center"/>
    </xf>
    <xf numFmtId="0" fontId="20" fillId="4" borderId="5" xfId="0" applyFont="1" applyFill="1" applyBorder="1" applyAlignment="1">
      <alignment horizontal="centerContinuous" vertical="center"/>
    </xf>
    <xf numFmtId="0" fontId="20" fillId="4" borderId="5" xfId="0" applyFont="1" applyFill="1" applyBorder="1" applyAlignment="1">
      <alignment horizontal="centerContinuous" vertical="top" wrapText="1"/>
    </xf>
    <xf numFmtId="0" fontId="20" fillId="4" borderId="5" xfId="0" applyFont="1" applyFill="1" applyBorder="1" applyAlignment="1">
      <alignment vertical="top"/>
    </xf>
    <xf numFmtId="0" fontId="24" fillId="4" borderId="5" xfId="1" applyFont="1" applyFill="1" applyBorder="1" applyAlignment="1">
      <alignment vertical="top"/>
    </xf>
    <xf numFmtId="0" fontId="32" fillId="0" borderId="67" xfId="0" applyFont="1" applyBorder="1" applyAlignment="1">
      <alignment vertical="center"/>
    </xf>
    <xf numFmtId="0" fontId="20" fillId="4" borderId="11" xfId="1" applyFont="1" applyFill="1" applyBorder="1">
      <alignment vertical="center"/>
    </xf>
    <xf numFmtId="0" fontId="24" fillId="4" borderId="0" xfId="1" applyFont="1" applyFill="1" applyAlignment="1">
      <alignment vertical="top"/>
    </xf>
    <xf numFmtId="0" fontId="33" fillId="0" borderId="23" xfId="1" applyFont="1" applyBorder="1">
      <alignment vertical="center"/>
    </xf>
    <xf numFmtId="49" fontId="29" fillId="0" borderId="23" xfId="1" applyNumberFormat="1" applyFont="1" applyBorder="1">
      <alignment vertical="center"/>
    </xf>
    <xf numFmtId="0" fontId="29" fillId="0" borderId="23" xfId="0" applyFont="1" applyBorder="1" applyAlignment="1">
      <alignment horizontal="centerContinuous" vertical="center"/>
    </xf>
    <xf numFmtId="0" fontId="29" fillId="0" borderId="23" xfId="0" applyFont="1" applyBorder="1" applyAlignment="1">
      <alignment horizontal="centerContinuous" vertical="top" wrapText="1"/>
    </xf>
    <xf numFmtId="0" fontId="29" fillId="0" borderId="23" xfId="0" applyFont="1" applyBorder="1" applyAlignment="1">
      <alignment vertical="top"/>
    </xf>
    <xf numFmtId="0" fontId="64" fillId="0" borderId="23" xfId="1" applyFont="1" applyBorder="1" applyAlignment="1">
      <alignment vertical="top"/>
    </xf>
    <xf numFmtId="0" fontId="65" fillId="0" borderId="0" xfId="5" applyFont="1">
      <alignment vertical="center"/>
    </xf>
    <xf numFmtId="49" fontId="29" fillId="0" borderId="16" xfId="1" applyNumberFormat="1" applyFont="1" applyBorder="1">
      <alignment vertical="center"/>
    </xf>
    <xf numFmtId="0" fontId="29" fillId="0" borderId="16" xfId="0" applyFont="1" applyBorder="1" applyAlignment="1">
      <alignment horizontal="centerContinuous" vertical="center"/>
    </xf>
    <xf numFmtId="0" fontId="29" fillId="0" borderId="16" xfId="0" applyFont="1" applyBorder="1" applyAlignment="1">
      <alignment horizontal="centerContinuous" vertical="top" wrapText="1"/>
    </xf>
    <xf numFmtId="0" fontId="29" fillId="0" borderId="16" xfId="0" applyFont="1" applyBorder="1" applyAlignment="1">
      <alignment vertical="top"/>
    </xf>
    <xf numFmtId="0" fontId="64" fillId="0" borderId="16" xfId="1" applyFont="1" applyBorder="1" applyAlignment="1">
      <alignment vertical="top"/>
    </xf>
    <xf numFmtId="0" fontId="35" fillId="0" borderId="0" xfId="5" quotePrefix="1" applyFont="1">
      <alignment vertical="center"/>
    </xf>
    <xf numFmtId="0" fontId="32" fillId="0" borderId="16" xfId="5" applyFont="1" applyBorder="1">
      <alignment vertical="center"/>
    </xf>
    <xf numFmtId="0" fontId="32" fillId="0" borderId="16" xfId="1" applyFont="1" applyBorder="1">
      <alignment vertical="center"/>
    </xf>
    <xf numFmtId="49" fontId="32" fillId="0" borderId="71" xfId="1" applyNumberFormat="1" applyFont="1" applyBorder="1">
      <alignment vertical="center"/>
    </xf>
    <xf numFmtId="0" fontId="32" fillId="0" borderId="16" xfId="0" applyFont="1" applyBorder="1" applyAlignment="1">
      <alignment horizontal="centerContinuous" vertical="center"/>
    </xf>
    <xf numFmtId="0" fontId="32" fillId="0" borderId="16" xfId="0" applyFont="1" applyBorder="1" applyAlignment="1">
      <alignment horizontal="centerContinuous" vertical="top" wrapText="1"/>
    </xf>
    <xf numFmtId="0" fontId="32" fillId="0" borderId="16" xfId="0" applyFont="1" applyBorder="1" applyAlignment="1">
      <alignment vertical="top"/>
    </xf>
    <xf numFmtId="0" fontId="66" fillId="0" borderId="16" xfId="1" applyFont="1" applyBorder="1" applyAlignment="1">
      <alignment vertical="top"/>
    </xf>
    <xf numFmtId="0" fontId="66" fillId="0" borderId="0" xfId="1" applyFont="1" applyAlignment="1">
      <alignment vertical="top"/>
    </xf>
    <xf numFmtId="0" fontId="67" fillId="0" borderId="0" xfId="5" applyFont="1">
      <alignment vertical="center"/>
    </xf>
    <xf numFmtId="0" fontId="32" fillId="0" borderId="0" xfId="0" applyFont="1" applyAlignment="1">
      <alignment vertical="center"/>
    </xf>
    <xf numFmtId="0" fontId="35" fillId="0" borderId="0" xfId="5" applyFont="1">
      <alignment vertical="center"/>
    </xf>
    <xf numFmtId="0" fontId="32" fillId="0" borderId="0" xfId="5" applyFont="1">
      <alignment vertical="center"/>
    </xf>
    <xf numFmtId="0" fontId="68" fillId="0" borderId="16" xfId="1" applyFont="1" applyBorder="1">
      <alignment vertical="center"/>
    </xf>
    <xf numFmtId="0" fontId="5" fillId="0" borderId="0" xfId="3" applyFont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1" fillId="0" borderId="10" xfId="3" applyBorder="1" applyAlignment="1">
      <alignment horizontal="center" vertical="center"/>
    </xf>
    <xf numFmtId="0" fontId="1" fillId="0" borderId="11" xfId="3" applyBorder="1" applyAlignment="1">
      <alignment horizontal="center" vertical="center"/>
    </xf>
    <xf numFmtId="14" fontId="1" fillId="0" borderId="4" xfId="3" applyNumberFormat="1" applyBorder="1" applyAlignment="1">
      <alignment horizontal="center" vertical="center"/>
    </xf>
    <xf numFmtId="14" fontId="1" fillId="0" borderId="5" xfId="3" applyNumberFormat="1" applyBorder="1" applyAlignment="1">
      <alignment horizontal="center" vertical="center"/>
    </xf>
    <xf numFmtId="14" fontId="1" fillId="0" borderId="6" xfId="3" applyNumberFormat="1" applyBorder="1" applyAlignment="1">
      <alignment horizontal="center" vertical="center"/>
    </xf>
    <xf numFmtId="14" fontId="1" fillId="0" borderId="9" xfId="3" applyNumberFormat="1" applyBorder="1" applyAlignment="1">
      <alignment horizontal="center" vertical="center"/>
    </xf>
    <xf numFmtId="14" fontId="1" fillId="0" borderId="10" xfId="3" applyNumberFormat="1" applyBorder="1" applyAlignment="1">
      <alignment horizontal="center" vertical="center"/>
    </xf>
    <xf numFmtId="14" fontId="1" fillId="0" borderId="11" xfId="3" applyNumberFormat="1" applyBorder="1" applyAlignment="1">
      <alignment horizontal="center" vertical="center"/>
    </xf>
    <xf numFmtId="2" fontId="1" fillId="0" borderId="4" xfId="3" applyNumberFormat="1" applyBorder="1" applyAlignment="1">
      <alignment horizontal="center" vertical="center"/>
    </xf>
    <xf numFmtId="2" fontId="1" fillId="0" borderId="5" xfId="3" applyNumberFormat="1" applyBorder="1" applyAlignment="1">
      <alignment horizontal="center" vertical="center"/>
    </xf>
    <xf numFmtId="2" fontId="1" fillId="0" borderId="6" xfId="3" applyNumberFormat="1" applyBorder="1" applyAlignment="1">
      <alignment horizontal="center" vertical="center"/>
    </xf>
    <xf numFmtId="2" fontId="1" fillId="0" borderId="9" xfId="3" applyNumberFormat="1" applyBorder="1" applyAlignment="1">
      <alignment horizontal="center" vertical="center"/>
    </xf>
    <xf numFmtId="2" fontId="1" fillId="0" borderId="10" xfId="3" applyNumberFormat="1" applyBorder="1" applyAlignment="1">
      <alignment horizontal="center" vertical="center"/>
    </xf>
    <xf numFmtId="2" fontId="1" fillId="0" borderId="11" xfId="3" applyNumberForma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9" xfId="3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0" fontId="3" fillId="2" borderId="11" xfId="3" applyFont="1" applyFill="1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8" xfId="3" applyBorder="1" applyAlignment="1">
      <alignment horizontal="center" vertical="center"/>
    </xf>
    <xf numFmtId="0" fontId="3" fillId="2" borderId="0" xfId="3" applyFont="1" applyFill="1"/>
    <xf numFmtId="14" fontId="1" fillId="0" borderId="4" xfId="3" applyNumberFormat="1" applyBorder="1"/>
    <xf numFmtId="0" fontId="1" fillId="0" borderId="5" xfId="3" applyBorder="1"/>
    <xf numFmtId="0" fontId="1" fillId="0" borderId="6" xfId="3" applyBorder="1"/>
    <xf numFmtId="0" fontId="1" fillId="0" borderId="9" xfId="3" applyBorder="1"/>
    <xf numFmtId="0" fontId="1" fillId="0" borderId="10" xfId="3" applyBorder="1"/>
    <xf numFmtId="0" fontId="1" fillId="0" borderId="11" xfId="3" applyBorder="1"/>
    <xf numFmtId="0" fontId="1" fillId="0" borderId="4" xfId="3" applyBorder="1"/>
    <xf numFmtId="0" fontId="1" fillId="0" borderId="4" xfId="3" quotePrefix="1" applyBorder="1"/>
    <xf numFmtId="0" fontId="1" fillId="0" borderId="12" xfId="3" applyBorder="1"/>
    <xf numFmtId="0" fontId="1" fillId="0" borderId="13" xfId="3" applyBorder="1"/>
    <xf numFmtId="0" fontId="1" fillId="0" borderId="14" xfId="3" applyBorder="1"/>
    <xf numFmtId="0" fontId="1" fillId="0" borderId="18" xfId="3" applyBorder="1"/>
    <xf numFmtId="0" fontId="1" fillId="0" borderId="19" xfId="3" applyBorder="1"/>
    <xf numFmtId="0" fontId="1" fillId="0" borderId="20" xfId="3" applyBorder="1"/>
    <xf numFmtId="14" fontId="63" fillId="0" borderId="4" xfId="3" applyNumberFormat="1" applyFont="1" applyBorder="1"/>
    <xf numFmtId="0" fontId="63" fillId="0" borderId="5" xfId="3" applyFont="1" applyBorder="1"/>
    <xf numFmtId="0" fontId="63" fillId="0" borderId="6" xfId="3" applyFont="1" applyBorder="1"/>
    <xf numFmtId="0" fontId="63" fillId="0" borderId="9" xfId="3" applyFont="1" applyBorder="1"/>
    <xf numFmtId="0" fontId="63" fillId="0" borderId="10" xfId="3" applyFont="1" applyBorder="1"/>
    <xf numFmtId="0" fontId="63" fillId="0" borderId="11" xfId="3" applyFont="1" applyBorder="1"/>
    <xf numFmtId="0" fontId="63" fillId="0" borderId="4" xfId="3" applyFont="1" applyBorder="1"/>
    <xf numFmtId="0" fontId="63" fillId="0" borderId="4" xfId="3" quotePrefix="1" applyFont="1" applyBorder="1"/>
    <xf numFmtId="0" fontId="63" fillId="0" borderId="12" xfId="3" applyFont="1" applyBorder="1"/>
    <xf numFmtId="0" fontId="63" fillId="0" borderId="13" xfId="3" applyFont="1" applyBorder="1"/>
    <xf numFmtId="0" fontId="63" fillId="0" borderId="14" xfId="3" applyFont="1" applyBorder="1"/>
    <xf numFmtId="0" fontId="63" fillId="0" borderId="18" xfId="3" applyFont="1" applyBorder="1"/>
    <xf numFmtId="0" fontId="63" fillId="0" borderId="19" xfId="3" applyFont="1" applyBorder="1"/>
    <xf numFmtId="0" fontId="63" fillId="0" borderId="20" xfId="3" applyFont="1" applyBorder="1"/>
    <xf numFmtId="14" fontId="61" fillId="0" borderId="4" xfId="3" applyNumberFormat="1" applyFont="1" applyBorder="1"/>
    <xf numFmtId="0" fontId="61" fillId="0" borderId="5" xfId="3" applyFont="1" applyBorder="1"/>
    <xf numFmtId="0" fontId="61" fillId="0" borderId="6" xfId="3" applyFont="1" applyBorder="1"/>
    <xf numFmtId="0" fontId="61" fillId="0" borderId="9" xfId="3" applyFont="1" applyBorder="1"/>
    <xf numFmtId="0" fontId="61" fillId="0" borderId="10" xfId="3" applyFont="1" applyBorder="1"/>
    <xf numFmtId="0" fontId="61" fillId="0" borderId="11" xfId="3" applyFont="1" applyBorder="1"/>
    <xf numFmtId="0" fontId="61" fillId="0" borderId="4" xfId="3" applyFont="1" applyBorder="1"/>
    <xf numFmtId="0" fontId="61" fillId="0" borderId="4" xfId="3" quotePrefix="1" applyFont="1" applyBorder="1"/>
    <xf numFmtId="0" fontId="61" fillId="0" borderId="12" xfId="3" applyFont="1" applyBorder="1"/>
    <xf numFmtId="0" fontId="61" fillId="0" borderId="13" xfId="3" applyFont="1" applyBorder="1"/>
    <xf numFmtId="0" fontId="61" fillId="0" borderId="14" xfId="3" applyFont="1" applyBorder="1"/>
    <xf numFmtId="0" fontId="61" fillId="0" borderId="18" xfId="3" applyFont="1" applyBorder="1"/>
    <xf numFmtId="0" fontId="61" fillId="0" borderId="19" xfId="3" applyFont="1" applyBorder="1"/>
    <xf numFmtId="0" fontId="61" fillId="0" borderId="20" xfId="3" applyFont="1" applyBorder="1"/>
    <xf numFmtId="165" fontId="44" fillId="8" borderId="89" xfId="1" applyNumberFormat="1" applyFont="1" applyFill="1" applyBorder="1" applyAlignment="1">
      <alignment horizontal="center" vertical="center" shrinkToFit="1"/>
    </xf>
    <xf numFmtId="165" fontId="44" fillId="8" borderId="90" xfId="1" applyNumberFormat="1" applyFont="1" applyFill="1" applyBorder="1" applyAlignment="1">
      <alignment horizontal="center" vertical="center" shrinkToFit="1"/>
    </xf>
    <xf numFmtId="165" fontId="44" fillId="8" borderId="93" xfId="1" applyNumberFormat="1" applyFont="1" applyFill="1" applyBorder="1" applyAlignment="1">
      <alignment horizontal="center" vertical="center" shrinkToFit="1"/>
    </xf>
    <xf numFmtId="165" fontId="1" fillId="3" borderId="15" xfId="1" applyNumberFormat="1" applyFill="1" applyBorder="1" applyAlignment="1">
      <alignment horizontal="center" vertical="center"/>
    </xf>
    <xf numFmtId="165" fontId="1" fillId="3" borderId="16" xfId="1" applyNumberFormat="1" applyFill="1" applyBorder="1" applyAlignment="1">
      <alignment horizontal="center" vertical="center"/>
    </xf>
    <xf numFmtId="165" fontId="1" fillId="3" borderId="17" xfId="1" applyNumberFormat="1" applyFill="1" applyBorder="1" applyAlignment="1">
      <alignment horizontal="center" vertical="center"/>
    </xf>
    <xf numFmtId="165" fontId="1" fillId="3" borderId="95" xfId="1" applyNumberFormat="1" applyFill="1" applyBorder="1" applyAlignment="1">
      <alignment horizontal="center" vertical="center"/>
    </xf>
    <xf numFmtId="165" fontId="1" fillId="3" borderId="94" xfId="1" applyNumberFormat="1" applyFill="1" applyBorder="1" applyAlignment="1">
      <alignment horizontal="center" vertical="center" shrinkToFit="1"/>
    </xf>
    <xf numFmtId="165" fontId="1" fillId="3" borderId="16" xfId="1" applyNumberFormat="1" applyFill="1" applyBorder="1" applyAlignment="1">
      <alignment horizontal="center" vertical="center" shrinkToFit="1"/>
    </xf>
    <xf numFmtId="165" fontId="1" fillId="3" borderId="95" xfId="1" applyNumberFormat="1" applyFill="1" applyBorder="1" applyAlignment="1">
      <alignment horizontal="center" vertical="center" shrinkToFit="1"/>
    </xf>
    <xf numFmtId="164" fontId="20" fillId="0" borderId="35" xfId="1" applyNumberFormat="1" applyFont="1" applyBorder="1" applyAlignment="1">
      <alignment horizontal="center" vertical="center" shrinkToFit="1"/>
    </xf>
    <xf numFmtId="164" fontId="20" fillId="0" borderId="49" xfId="1" applyNumberFormat="1" applyFont="1" applyBorder="1" applyAlignment="1">
      <alignment horizontal="center" vertical="center" shrinkToFit="1"/>
    </xf>
    <xf numFmtId="49" fontId="21" fillId="4" borderId="5" xfId="1" applyNumberFormat="1" applyFont="1" applyFill="1" applyBorder="1" applyAlignment="1">
      <alignment horizontal="center" vertical="center" shrinkToFit="1"/>
    </xf>
    <xf numFmtId="49" fontId="21" fillId="4" borderId="6" xfId="1" applyNumberFormat="1" applyFont="1" applyFill="1" applyBorder="1" applyAlignment="1">
      <alignment horizontal="center" vertical="center" shrinkToFit="1"/>
    </xf>
    <xf numFmtId="14" fontId="20" fillId="0" borderId="82" xfId="1" applyNumberFormat="1" applyFont="1" applyBorder="1" applyAlignment="1">
      <alignment horizontal="center" vertical="center" shrinkToFit="1"/>
    </xf>
    <xf numFmtId="14" fontId="20" fillId="0" borderId="83" xfId="1" applyNumberFormat="1" applyFont="1" applyBorder="1" applyAlignment="1">
      <alignment horizontal="center" vertical="center" shrinkToFit="1"/>
    </xf>
    <xf numFmtId="49" fontId="21" fillId="4" borderId="82" xfId="1" applyNumberFormat="1" applyFont="1" applyFill="1" applyBorder="1" applyAlignment="1">
      <alignment horizontal="center" vertical="center" shrinkToFit="1"/>
    </xf>
    <xf numFmtId="0" fontId="1" fillId="0" borderId="86" xfId="1" applyBorder="1" applyAlignment="1">
      <alignment horizontal="center" vertical="center" shrinkToFit="1"/>
    </xf>
    <xf numFmtId="0" fontId="1" fillId="0" borderId="87" xfId="1" applyBorder="1" applyAlignment="1">
      <alignment horizontal="center" vertical="center" shrinkToFit="1"/>
    </xf>
    <xf numFmtId="0" fontId="1" fillId="0" borderId="88" xfId="1" applyBorder="1" applyAlignment="1">
      <alignment horizontal="center" vertical="center" shrinkToFit="1"/>
    </xf>
    <xf numFmtId="0" fontId="43" fillId="4" borderId="37" xfId="1" applyFont="1" applyFill="1" applyBorder="1" applyAlignment="1">
      <alignment horizontal="center" vertical="center" wrapText="1" shrinkToFit="1"/>
    </xf>
    <xf numFmtId="0" fontId="43" fillId="4" borderId="38" xfId="1" applyFont="1" applyFill="1" applyBorder="1" applyAlignment="1">
      <alignment horizontal="center" vertical="center" wrapText="1" shrinkToFit="1"/>
    </xf>
    <xf numFmtId="0" fontId="43" fillId="4" borderId="39" xfId="1" applyFont="1" applyFill="1" applyBorder="1" applyAlignment="1">
      <alignment horizontal="center" vertical="center" wrapText="1" shrinkToFit="1"/>
    </xf>
    <xf numFmtId="0" fontId="43" fillId="4" borderId="46" xfId="1" applyFont="1" applyFill="1" applyBorder="1" applyAlignment="1">
      <alignment horizontal="center" vertical="center" wrapText="1" shrinkToFit="1"/>
    </xf>
    <xf numFmtId="0" fontId="43" fillId="4" borderId="0" xfId="1" applyFont="1" applyFill="1" applyAlignment="1">
      <alignment horizontal="center" vertical="center" wrapText="1" shrinkToFit="1"/>
    </xf>
    <xf numFmtId="0" fontId="43" fillId="4" borderId="47" xfId="1" applyFont="1" applyFill="1" applyBorder="1" applyAlignment="1">
      <alignment horizontal="center" vertical="center" wrapText="1" shrinkToFit="1"/>
    </xf>
    <xf numFmtId="49" fontId="44" fillId="4" borderId="40" xfId="1" applyNumberFormat="1" applyFont="1" applyFill="1" applyBorder="1" applyAlignment="1">
      <alignment horizontal="center" vertical="center"/>
    </xf>
    <xf numFmtId="49" fontId="44" fillId="4" borderId="41" xfId="1" applyNumberFormat="1" applyFont="1" applyFill="1" applyBorder="1" applyAlignment="1">
      <alignment horizontal="center" vertical="center"/>
    </xf>
    <xf numFmtId="49" fontId="44" fillId="4" borderId="42" xfId="1" applyNumberFormat="1" applyFont="1" applyFill="1" applyBorder="1" applyAlignment="1">
      <alignment horizontal="center" vertical="center"/>
    </xf>
    <xf numFmtId="49" fontId="44" fillId="4" borderId="44" xfId="1" applyNumberFormat="1" applyFont="1" applyFill="1" applyBorder="1" applyAlignment="1">
      <alignment horizontal="center" vertical="center" shrinkToFit="1"/>
    </xf>
    <xf numFmtId="49" fontId="44" fillId="4" borderId="45" xfId="1" applyNumberFormat="1" applyFont="1" applyFill="1" applyBorder="1" applyAlignment="1">
      <alignment horizontal="center" vertical="center" shrinkToFit="1"/>
    </xf>
    <xf numFmtId="49" fontId="45" fillId="0" borderId="48" xfId="1" applyNumberFormat="1" applyFont="1" applyBorder="1" applyAlignment="1">
      <alignment horizontal="center" vertical="center" shrinkToFit="1"/>
    </xf>
    <xf numFmtId="49" fontId="45" fillId="0" borderId="5" xfId="1" applyNumberFormat="1" applyFont="1" applyBorder="1" applyAlignment="1">
      <alignment horizontal="center" vertical="center" shrinkToFit="1"/>
    </xf>
    <xf numFmtId="49" fontId="45" fillId="0" borderId="6" xfId="1" applyNumberFormat="1" applyFont="1" applyBorder="1" applyAlignment="1">
      <alignment horizontal="center" vertical="center" shrinkToFit="1"/>
    </xf>
    <xf numFmtId="49" fontId="45" fillId="0" borderId="81" xfId="1" applyNumberFormat="1" applyFont="1" applyBorder="1" applyAlignment="1">
      <alignment horizontal="center" vertical="center" shrinkToFit="1"/>
    </xf>
    <xf numFmtId="49" fontId="45" fillId="0" borderId="0" xfId="1" applyNumberFormat="1" applyFont="1" applyAlignment="1">
      <alignment horizontal="center" vertical="center" shrinkToFit="1"/>
    </xf>
    <xf numFmtId="49" fontId="45" fillId="0" borderId="8" xfId="1" applyNumberFormat="1" applyFont="1" applyBorder="1" applyAlignment="1">
      <alignment horizontal="center" vertical="center" shrinkToFit="1"/>
    </xf>
    <xf numFmtId="49" fontId="46" fillId="0" borderId="48" xfId="1" applyNumberFormat="1" applyFont="1" applyBorder="1" applyAlignment="1">
      <alignment horizontal="center" vertical="center" shrinkToFit="1"/>
    </xf>
    <xf numFmtId="49" fontId="46" fillId="0" borderId="5" xfId="1" applyNumberFormat="1" applyFont="1" applyBorder="1" applyAlignment="1">
      <alignment horizontal="center" vertical="center" shrinkToFit="1"/>
    </xf>
    <xf numFmtId="49" fontId="46" fillId="0" borderId="6" xfId="1" applyNumberFormat="1" applyFont="1" applyBorder="1" applyAlignment="1">
      <alignment horizontal="center" vertical="center" shrinkToFit="1"/>
    </xf>
    <xf numFmtId="49" fontId="46" fillId="0" borderId="81" xfId="1" applyNumberFormat="1" applyFont="1" applyBorder="1" applyAlignment="1">
      <alignment horizontal="center" vertical="center" shrinkToFit="1"/>
    </xf>
    <xf numFmtId="49" fontId="46" fillId="0" borderId="0" xfId="1" applyNumberFormat="1" applyFont="1" applyAlignment="1">
      <alignment horizontal="center" vertical="center" shrinkToFit="1"/>
    </xf>
    <xf numFmtId="49" fontId="46" fillId="0" borderId="8" xfId="1" applyNumberFormat="1" applyFont="1" applyBorder="1" applyAlignment="1">
      <alignment horizontal="center" vertical="center" shrinkToFit="1"/>
    </xf>
    <xf numFmtId="49" fontId="21" fillId="4" borderId="2" xfId="1" applyNumberFormat="1" applyFont="1" applyFill="1" applyBorder="1" applyAlignment="1">
      <alignment horizontal="center" vertical="center" shrinkToFit="1"/>
    </xf>
    <xf numFmtId="49" fontId="21" fillId="4" borderId="3" xfId="1" applyNumberFormat="1" applyFont="1" applyFill="1" applyBorder="1" applyAlignment="1">
      <alignment horizontal="center" vertical="center" shrinkToFit="1"/>
    </xf>
    <xf numFmtId="49" fontId="21" fillId="4" borderId="35" xfId="1" applyNumberFormat="1" applyFont="1" applyFill="1" applyBorder="1" applyAlignment="1">
      <alignment horizontal="center" vertical="center" shrinkToFit="1"/>
    </xf>
    <xf numFmtId="0" fontId="1" fillId="3" borderId="15" xfId="1" quotePrefix="1" applyFill="1" applyBorder="1" applyAlignment="1">
      <alignment horizontal="left" vertical="center" wrapText="1"/>
    </xf>
    <xf numFmtId="0" fontId="1" fillId="3" borderId="16" xfId="1" applyFill="1" applyBorder="1" applyAlignment="1">
      <alignment horizontal="left" vertical="center" wrapText="1"/>
    </xf>
    <xf numFmtId="0" fontId="1" fillId="3" borderId="17" xfId="1" applyFill="1" applyBorder="1" applyAlignment="1">
      <alignment horizontal="left" vertical="center" wrapText="1"/>
    </xf>
    <xf numFmtId="0" fontId="1" fillId="3" borderId="16" xfId="1" quotePrefix="1" applyFill="1" applyBorder="1" applyAlignment="1">
      <alignment horizontal="left" vertical="center" wrapText="1"/>
    </xf>
    <xf numFmtId="165" fontId="44" fillId="3" borderId="97" xfId="1" applyNumberFormat="1" applyFont="1" applyFill="1" applyBorder="1" applyAlignment="1">
      <alignment horizontal="center" vertical="center" shrinkToFit="1"/>
    </xf>
    <xf numFmtId="165" fontId="44" fillId="3" borderId="23" xfId="1" applyNumberFormat="1" applyFont="1" applyFill="1" applyBorder="1" applyAlignment="1">
      <alignment horizontal="center" vertical="center" shrinkToFit="1"/>
    </xf>
    <xf numFmtId="165" fontId="44" fillId="3" borderId="96" xfId="1" applyNumberFormat="1" applyFont="1" applyFill="1" applyBorder="1" applyAlignment="1">
      <alignment horizontal="center" vertical="center" shrinkToFit="1"/>
    </xf>
    <xf numFmtId="165" fontId="1" fillId="3" borderId="101" xfId="1" applyNumberFormat="1" applyFill="1" applyBorder="1" applyAlignment="1">
      <alignment horizontal="center" vertical="center"/>
    </xf>
    <xf numFmtId="165" fontId="1" fillId="3" borderId="99" xfId="1" applyNumberFormat="1" applyFill="1" applyBorder="1" applyAlignment="1">
      <alignment horizontal="center" vertical="center"/>
    </xf>
    <xf numFmtId="165" fontId="1" fillId="3" borderId="100" xfId="1" applyNumberFormat="1" applyFill="1" applyBorder="1" applyAlignment="1">
      <alignment horizontal="center" vertical="center"/>
    </xf>
    <xf numFmtId="165" fontId="1" fillId="3" borderId="102" xfId="1" applyNumberFormat="1" applyFill="1" applyBorder="1" applyAlignment="1">
      <alignment horizontal="center" vertical="center"/>
    </xf>
    <xf numFmtId="165" fontId="1" fillId="3" borderId="98" xfId="1" applyNumberFormat="1" applyFill="1" applyBorder="1" applyAlignment="1">
      <alignment horizontal="center" vertical="center" shrinkToFit="1"/>
    </xf>
    <xf numFmtId="165" fontId="1" fillId="3" borderId="99" xfId="1" applyNumberFormat="1" applyFill="1" applyBorder="1" applyAlignment="1">
      <alignment horizontal="center" vertical="center" shrinkToFit="1"/>
    </xf>
    <xf numFmtId="165" fontId="1" fillId="3" borderId="102" xfId="1" applyNumberFormat="1" applyFill="1" applyBorder="1" applyAlignment="1">
      <alignment horizontal="center" vertical="center" shrinkToFit="1"/>
    </xf>
    <xf numFmtId="49" fontId="16" fillId="4" borderId="57" xfId="5" applyNumberFormat="1" applyFont="1" applyFill="1" applyBorder="1" applyAlignment="1">
      <alignment horizontal="center" vertical="center" shrinkToFit="1"/>
    </xf>
    <xf numFmtId="49" fontId="16" fillId="4" borderId="58" xfId="5" applyNumberFormat="1" applyFont="1" applyFill="1" applyBorder="1" applyAlignment="1">
      <alignment horizontal="center" vertical="center" shrinkToFit="1"/>
    </xf>
    <xf numFmtId="164" fontId="17" fillId="0" borderId="59" xfId="5" applyNumberFormat="1" applyFont="1" applyBorder="1" applyAlignment="1">
      <alignment horizontal="center" vertical="center" shrinkToFit="1"/>
    </xf>
    <xf numFmtId="164" fontId="17" fillId="0" borderId="57" xfId="5" applyNumberFormat="1" applyFont="1" applyBorder="1" applyAlignment="1">
      <alignment horizontal="center" vertical="center" shrinkToFit="1"/>
    </xf>
    <xf numFmtId="164" fontId="17" fillId="0" borderId="58" xfId="5" applyNumberFormat="1" applyFont="1" applyBorder="1" applyAlignment="1">
      <alignment horizontal="center" vertical="center" shrinkToFit="1"/>
    </xf>
    <xf numFmtId="0" fontId="9" fillId="4" borderId="37" xfId="5" applyFont="1" applyFill="1" applyBorder="1" applyAlignment="1">
      <alignment horizontal="center" vertical="center" wrapText="1" shrinkToFit="1"/>
    </xf>
    <xf numFmtId="0" fontId="10" fillId="4" borderId="38" xfId="5" applyFont="1" applyFill="1" applyBorder="1" applyAlignment="1">
      <alignment horizontal="center" vertical="center" shrinkToFit="1"/>
    </xf>
    <xf numFmtId="0" fontId="10" fillId="4" borderId="39" xfId="5" applyFont="1" applyFill="1" applyBorder="1" applyAlignment="1">
      <alignment horizontal="center" vertical="center" shrinkToFit="1"/>
    </xf>
    <xf numFmtId="0" fontId="10" fillId="4" borderId="46" xfId="5" applyFont="1" applyFill="1" applyBorder="1" applyAlignment="1">
      <alignment horizontal="center" vertical="center" shrinkToFit="1"/>
    </xf>
    <xf numFmtId="0" fontId="10" fillId="4" borderId="0" xfId="5" applyFont="1" applyFill="1" applyAlignment="1">
      <alignment horizontal="center" vertical="center" shrinkToFit="1"/>
    </xf>
    <xf numFmtId="0" fontId="10" fillId="4" borderId="47" xfId="5" applyFont="1" applyFill="1" applyBorder="1" applyAlignment="1">
      <alignment horizontal="center" vertical="center" shrinkToFit="1"/>
    </xf>
    <xf numFmtId="0" fontId="10" fillId="4" borderId="50" xfId="5" applyFont="1" applyFill="1" applyBorder="1" applyAlignment="1">
      <alignment horizontal="center" vertical="center" shrinkToFit="1"/>
    </xf>
    <xf numFmtId="0" fontId="10" fillId="4" borderId="51" xfId="5" applyFont="1" applyFill="1" applyBorder="1" applyAlignment="1">
      <alignment horizontal="center" vertical="center" shrinkToFit="1"/>
    </xf>
    <xf numFmtId="0" fontId="10" fillId="4" borderId="52" xfId="5" applyFont="1" applyFill="1" applyBorder="1" applyAlignment="1">
      <alignment horizontal="center" vertical="center" shrinkToFit="1"/>
    </xf>
    <xf numFmtId="49" fontId="11" fillId="4" borderId="40" xfId="5" applyNumberFormat="1" applyFont="1" applyFill="1" applyBorder="1" applyAlignment="1">
      <alignment horizontal="center" vertical="center"/>
    </xf>
    <xf numFmtId="49" fontId="12" fillId="4" borderId="41" xfId="5" applyNumberFormat="1" applyFont="1" applyFill="1" applyBorder="1" applyAlignment="1">
      <alignment horizontal="center" vertical="center"/>
    </xf>
    <xf numFmtId="49" fontId="12" fillId="4" borderId="42" xfId="5" applyNumberFormat="1" applyFont="1" applyFill="1" applyBorder="1" applyAlignment="1">
      <alignment horizontal="center" vertical="center"/>
    </xf>
    <xf numFmtId="49" fontId="11" fillId="4" borderId="43" xfId="5" applyNumberFormat="1" applyFont="1" applyFill="1" applyBorder="1" applyAlignment="1">
      <alignment horizontal="center" vertical="center"/>
    </xf>
    <xf numFmtId="49" fontId="11" fillId="4" borderId="41" xfId="5" applyNumberFormat="1" applyFont="1" applyFill="1" applyBorder="1" applyAlignment="1">
      <alignment horizontal="center" vertical="center"/>
    </xf>
    <xf numFmtId="49" fontId="11" fillId="4" borderId="42" xfId="5" applyNumberFormat="1" applyFont="1" applyFill="1" applyBorder="1" applyAlignment="1">
      <alignment horizontal="center" vertical="center"/>
    </xf>
    <xf numFmtId="49" fontId="16" fillId="4" borderId="60" xfId="5" applyNumberFormat="1" applyFont="1" applyFill="1" applyBorder="1" applyAlignment="1">
      <alignment horizontal="center" vertical="center" shrinkToFit="1"/>
    </xf>
    <xf numFmtId="164" fontId="17" fillId="0" borderId="60" xfId="5" applyNumberFormat="1" applyFont="1" applyBorder="1" applyAlignment="1">
      <alignment horizontal="center" vertical="center" shrinkToFit="1"/>
    </xf>
    <xf numFmtId="164" fontId="17" fillId="0" borderId="61" xfId="5" applyNumberFormat="1" applyFont="1" applyBorder="1" applyAlignment="1">
      <alignment horizontal="center" vertical="center" shrinkToFit="1"/>
    </xf>
    <xf numFmtId="49" fontId="12" fillId="4" borderId="44" xfId="5" applyNumberFormat="1" applyFont="1" applyFill="1" applyBorder="1" applyAlignment="1">
      <alignment horizontal="center" vertical="center" shrinkToFit="1"/>
    </xf>
    <xf numFmtId="49" fontId="12" fillId="4" borderId="45" xfId="5" applyNumberFormat="1" applyFont="1" applyFill="1" applyBorder="1" applyAlignment="1">
      <alignment horizontal="center" vertical="center" shrinkToFit="1"/>
    </xf>
    <xf numFmtId="49" fontId="14" fillId="0" borderId="48" xfId="5" applyNumberFormat="1" applyFont="1" applyBorder="1" applyAlignment="1">
      <alignment horizontal="center" vertical="center" shrinkToFit="1"/>
    </xf>
    <xf numFmtId="0" fontId="14" fillId="0" borderId="5" xfId="5" applyFont="1" applyBorder="1" applyAlignment="1">
      <alignment horizontal="center" vertical="center" shrinkToFit="1"/>
    </xf>
    <xf numFmtId="0" fontId="14" fillId="0" borderId="6" xfId="5" applyFont="1" applyBorder="1" applyAlignment="1">
      <alignment horizontal="center" vertical="center" shrinkToFit="1"/>
    </xf>
    <xf numFmtId="0" fontId="14" fillId="0" borderId="53" xfId="5" applyFont="1" applyBorder="1" applyAlignment="1">
      <alignment horizontal="center" vertical="center" shrinkToFit="1"/>
    </xf>
    <xf numFmtId="0" fontId="14" fillId="0" borderId="54" xfId="5" applyFont="1" applyBorder="1" applyAlignment="1">
      <alignment horizontal="center" vertical="center" shrinkToFit="1"/>
    </xf>
    <xf numFmtId="0" fontId="14" fillId="0" borderId="55" xfId="5" applyFont="1" applyBorder="1" applyAlignment="1">
      <alignment horizontal="center" vertical="center" shrinkToFit="1"/>
    </xf>
    <xf numFmtId="49" fontId="15" fillId="0" borderId="48" xfId="5" applyNumberFormat="1" applyFont="1" applyBorder="1" applyAlignment="1">
      <alignment horizontal="center" vertical="center" shrinkToFit="1"/>
    </xf>
    <xf numFmtId="49" fontId="15" fillId="0" borderId="5" xfId="5" applyNumberFormat="1" applyFont="1" applyBorder="1" applyAlignment="1">
      <alignment horizontal="center" vertical="center" shrinkToFit="1"/>
    </xf>
    <xf numFmtId="49" fontId="15" fillId="0" borderId="53" xfId="5" applyNumberFormat="1" applyFont="1" applyBorder="1" applyAlignment="1">
      <alignment horizontal="center" vertical="center" shrinkToFit="1"/>
    </xf>
    <xf numFmtId="49" fontId="15" fillId="0" borderId="54" xfId="5" applyNumberFormat="1" applyFont="1" applyBorder="1" applyAlignment="1">
      <alignment horizontal="center" vertical="center" shrinkToFit="1"/>
    </xf>
    <xf numFmtId="0" fontId="15" fillId="0" borderId="4" xfId="5" applyFont="1" applyBorder="1" applyAlignment="1">
      <alignment horizontal="center" vertical="center" shrinkToFit="1"/>
    </xf>
    <xf numFmtId="0" fontId="15" fillId="0" borderId="5" xfId="5" applyFont="1" applyBorder="1" applyAlignment="1">
      <alignment horizontal="center" vertical="center" shrinkToFit="1"/>
    </xf>
    <xf numFmtId="0" fontId="15" fillId="0" borderId="56" xfId="5" applyFont="1" applyBorder="1" applyAlignment="1">
      <alignment horizontal="center" vertical="center" shrinkToFit="1"/>
    </xf>
    <xf numFmtId="0" fontId="15" fillId="0" borderId="54" xfId="5" applyFont="1" applyBorder="1" applyAlignment="1">
      <alignment horizontal="center" vertical="center" shrinkToFit="1"/>
    </xf>
    <xf numFmtId="0" fontId="15" fillId="0" borderId="6" xfId="5" applyFont="1" applyBorder="1" applyAlignment="1">
      <alignment horizontal="center" vertical="center" shrinkToFit="1"/>
    </xf>
    <xf numFmtId="0" fontId="15" fillId="0" borderId="55" xfId="5" applyFont="1" applyBorder="1" applyAlignment="1">
      <alignment horizontal="center" vertical="center" shrinkToFit="1"/>
    </xf>
    <xf numFmtId="49" fontId="16" fillId="4" borderId="2" xfId="5" applyNumberFormat="1" applyFont="1" applyFill="1" applyBorder="1" applyAlignment="1">
      <alignment horizontal="center" vertical="center" shrinkToFit="1"/>
    </xf>
    <xf numFmtId="49" fontId="16" fillId="4" borderId="3" xfId="5" applyNumberFormat="1" applyFont="1" applyFill="1" applyBorder="1" applyAlignment="1">
      <alignment horizontal="center" vertical="center" shrinkToFit="1"/>
    </xf>
    <xf numFmtId="49" fontId="12" fillId="4" borderId="43" xfId="5" applyNumberFormat="1" applyFont="1" applyFill="1" applyBorder="1" applyAlignment="1">
      <alignment horizontal="center" vertical="center"/>
    </xf>
    <xf numFmtId="164" fontId="17" fillId="0" borderId="35" xfId="5" applyNumberFormat="1" applyFont="1" applyBorder="1" applyAlignment="1">
      <alignment horizontal="center" vertical="center" shrinkToFit="1"/>
    </xf>
    <xf numFmtId="49" fontId="16" fillId="4" borderId="35" xfId="5" applyNumberFormat="1" applyFont="1" applyFill="1" applyBorder="1" applyAlignment="1">
      <alignment horizontal="center" vertical="center" shrinkToFit="1"/>
    </xf>
    <xf numFmtId="164" fontId="17" fillId="0" borderId="49" xfId="5" applyNumberFormat="1" applyFont="1" applyBorder="1" applyAlignment="1">
      <alignment horizontal="center" vertical="center" shrinkToFit="1"/>
    </xf>
    <xf numFmtId="0" fontId="43" fillId="4" borderId="38" xfId="1" applyFont="1" applyFill="1" applyBorder="1" applyAlignment="1">
      <alignment horizontal="center" vertical="center" shrinkToFit="1"/>
    </xf>
    <xf numFmtId="0" fontId="43" fillId="4" borderId="39" xfId="1" applyFont="1" applyFill="1" applyBorder="1" applyAlignment="1">
      <alignment horizontal="center" vertical="center" shrinkToFit="1"/>
    </xf>
    <xf numFmtId="0" fontId="43" fillId="4" borderId="46" xfId="1" applyFont="1" applyFill="1" applyBorder="1" applyAlignment="1">
      <alignment horizontal="center" vertical="center" shrinkToFit="1"/>
    </xf>
    <xf numFmtId="0" fontId="43" fillId="4" borderId="0" xfId="1" applyFont="1" applyFill="1" applyAlignment="1">
      <alignment horizontal="center" vertical="center" shrinkToFit="1"/>
    </xf>
    <xf numFmtId="0" fontId="43" fillId="4" borderId="47" xfId="1" applyFont="1" applyFill="1" applyBorder="1" applyAlignment="1">
      <alignment horizontal="center" vertical="center" shrinkToFit="1"/>
    </xf>
    <xf numFmtId="0" fontId="43" fillId="4" borderId="50" xfId="1" applyFont="1" applyFill="1" applyBorder="1" applyAlignment="1">
      <alignment horizontal="center" vertical="center" shrinkToFit="1"/>
    </xf>
    <xf numFmtId="0" fontId="43" fillId="4" borderId="51" xfId="1" applyFont="1" applyFill="1" applyBorder="1" applyAlignment="1">
      <alignment horizontal="center" vertical="center" shrinkToFit="1"/>
    </xf>
    <xf numFmtId="0" fontId="43" fillId="4" borderId="52" xfId="1" applyFont="1" applyFill="1" applyBorder="1" applyAlignment="1">
      <alignment horizontal="center" vertical="center" shrinkToFit="1"/>
    </xf>
    <xf numFmtId="49" fontId="44" fillId="4" borderId="43" xfId="1" applyNumberFormat="1" applyFont="1" applyFill="1" applyBorder="1" applyAlignment="1">
      <alignment horizontal="center" vertical="center"/>
    </xf>
    <xf numFmtId="0" fontId="45" fillId="0" borderId="5" xfId="1" applyFont="1" applyBorder="1" applyAlignment="1">
      <alignment horizontal="center" vertical="center" shrinkToFit="1"/>
    </xf>
    <xf numFmtId="0" fontId="45" fillId="0" borderId="6" xfId="1" applyFont="1" applyBorder="1" applyAlignment="1">
      <alignment horizontal="center" vertical="center" shrinkToFit="1"/>
    </xf>
    <xf numFmtId="0" fontId="45" fillId="0" borderId="53" xfId="1" applyFont="1" applyBorder="1" applyAlignment="1">
      <alignment horizontal="center" vertical="center" shrinkToFit="1"/>
    </xf>
    <xf numFmtId="0" fontId="45" fillId="0" borderId="54" xfId="1" applyFont="1" applyBorder="1" applyAlignment="1">
      <alignment horizontal="center" vertical="center" shrinkToFit="1"/>
    </xf>
    <xf numFmtId="0" fontId="45" fillId="0" borderId="55" xfId="1" applyFont="1" applyBorder="1" applyAlignment="1">
      <alignment horizontal="center" vertical="center" shrinkToFit="1"/>
    </xf>
    <xf numFmtId="49" fontId="46" fillId="0" borderId="53" xfId="1" applyNumberFormat="1" applyFont="1" applyBorder="1" applyAlignment="1">
      <alignment horizontal="center" vertical="center" shrinkToFit="1"/>
    </xf>
    <xf numFmtId="49" fontId="46" fillId="0" borderId="54" xfId="1" applyNumberFormat="1" applyFont="1" applyBorder="1" applyAlignment="1">
      <alignment horizontal="center" vertical="center" shrinkToFit="1"/>
    </xf>
    <xf numFmtId="0" fontId="46" fillId="0" borderId="4" xfId="1" applyFont="1" applyBorder="1" applyAlignment="1">
      <alignment horizontal="center" vertical="center" shrinkToFit="1"/>
    </xf>
    <xf numFmtId="0" fontId="46" fillId="0" borderId="5" xfId="1" applyFont="1" applyBorder="1" applyAlignment="1">
      <alignment horizontal="center" vertical="center" shrinkToFit="1"/>
    </xf>
    <xf numFmtId="0" fontId="46" fillId="0" borderId="56" xfId="1" applyFont="1" applyBorder="1" applyAlignment="1">
      <alignment horizontal="center" vertical="center" shrinkToFit="1"/>
    </xf>
    <xf numFmtId="0" fontId="46" fillId="0" borderId="54" xfId="1" applyFont="1" applyBorder="1" applyAlignment="1">
      <alignment horizontal="center" vertical="center" shrinkToFit="1"/>
    </xf>
    <xf numFmtId="0" fontId="46" fillId="0" borderId="6" xfId="1" applyFont="1" applyBorder="1" applyAlignment="1">
      <alignment horizontal="center" vertical="center" shrinkToFit="1"/>
    </xf>
    <xf numFmtId="0" fontId="46" fillId="0" borderId="55" xfId="1" applyFont="1" applyBorder="1" applyAlignment="1">
      <alignment horizontal="center" vertical="center" shrinkToFit="1"/>
    </xf>
    <xf numFmtId="49" fontId="21" fillId="4" borderId="57" xfId="1" applyNumberFormat="1" applyFont="1" applyFill="1" applyBorder="1" applyAlignment="1">
      <alignment horizontal="center" vertical="center" shrinkToFit="1"/>
    </xf>
    <xf numFmtId="49" fontId="21" fillId="4" borderId="58" xfId="1" applyNumberFormat="1" applyFont="1" applyFill="1" applyBorder="1" applyAlignment="1">
      <alignment horizontal="center" vertical="center" shrinkToFit="1"/>
    </xf>
    <xf numFmtId="49" fontId="21" fillId="4" borderId="60" xfId="1" applyNumberFormat="1" applyFont="1" applyFill="1" applyBorder="1" applyAlignment="1">
      <alignment horizontal="center" vertical="center" shrinkToFit="1"/>
    </xf>
    <xf numFmtId="0" fontId="43" fillId="4" borderId="50" xfId="1" applyFont="1" applyFill="1" applyBorder="1" applyAlignment="1">
      <alignment horizontal="center" vertical="center" wrapText="1" shrinkToFit="1"/>
    </xf>
    <xf numFmtId="0" fontId="43" fillId="4" borderId="51" xfId="1" applyFont="1" applyFill="1" applyBorder="1" applyAlignment="1">
      <alignment horizontal="center" vertical="center" wrapText="1" shrinkToFit="1"/>
    </xf>
    <xf numFmtId="0" fontId="43" fillId="4" borderId="52" xfId="1" applyFont="1" applyFill="1" applyBorder="1" applyAlignment="1">
      <alignment horizontal="center" vertical="center" wrapText="1" shrinkToFit="1"/>
    </xf>
    <xf numFmtId="49" fontId="44" fillId="4" borderId="103" xfId="1" applyNumberFormat="1" applyFont="1" applyFill="1" applyBorder="1" applyAlignment="1">
      <alignment horizontal="center" vertical="center"/>
    </xf>
    <xf numFmtId="49" fontId="45" fillId="0" borderId="105" xfId="1" applyNumberFormat="1" applyFont="1" applyBorder="1" applyAlignment="1">
      <alignment horizontal="center" vertical="center" shrinkToFit="1"/>
    </xf>
    <xf numFmtId="49" fontId="45" fillId="0" borderId="53" xfId="1" applyNumberFormat="1" applyFont="1" applyBorder="1" applyAlignment="1">
      <alignment horizontal="center" vertical="center" shrinkToFit="1"/>
    </xf>
    <xf numFmtId="49" fontId="45" fillId="0" borderId="54" xfId="1" applyNumberFormat="1" applyFont="1" applyBorder="1" applyAlignment="1">
      <alignment horizontal="center" vertical="center" shrinkToFit="1"/>
    </xf>
    <xf numFmtId="49" fontId="45" fillId="0" borderId="107" xfId="1" applyNumberFormat="1" applyFont="1" applyBorder="1" applyAlignment="1">
      <alignment horizontal="center" vertical="center" shrinkToFit="1"/>
    </xf>
    <xf numFmtId="49" fontId="46" fillId="0" borderId="55" xfId="1" applyNumberFormat="1" applyFont="1" applyBorder="1" applyAlignment="1">
      <alignment horizontal="center" vertical="center" shrinkToFit="1"/>
    </xf>
    <xf numFmtId="164" fontId="20" fillId="0" borderId="1" xfId="1" applyNumberFormat="1" applyFont="1" applyBorder="1" applyAlignment="1">
      <alignment horizontal="center" vertical="center" shrinkToFit="1"/>
    </xf>
    <xf numFmtId="164" fontId="20" fillId="0" borderId="2" xfId="1" applyNumberFormat="1" applyFont="1" applyBorder="1" applyAlignment="1">
      <alignment horizontal="center" vertical="center" shrinkToFit="1"/>
    </xf>
    <xf numFmtId="164" fontId="20" fillId="0" borderId="3" xfId="1" applyNumberFormat="1" applyFont="1" applyBorder="1" applyAlignment="1">
      <alignment horizontal="center" vertical="center" shrinkToFit="1"/>
    </xf>
    <xf numFmtId="49" fontId="21" fillId="4" borderId="1" xfId="1" applyNumberFormat="1" applyFont="1" applyFill="1" applyBorder="1" applyAlignment="1">
      <alignment horizontal="center" vertical="center" shrinkToFit="1"/>
    </xf>
    <xf numFmtId="164" fontId="20" fillId="0" borderId="106" xfId="1" applyNumberFormat="1" applyFont="1" applyBorder="1" applyAlignment="1">
      <alignment horizontal="center" vertical="center" shrinkToFit="1"/>
    </xf>
    <xf numFmtId="14" fontId="17" fillId="0" borderId="59" xfId="1" applyNumberFormat="1" applyFont="1" applyBorder="1" applyAlignment="1">
      <alignment horizontal="center" vertical="center" shrinkToFit="1"/>
    </xf>
    <xf numFmtId="14" fontId="17" fillId="0" borderId="57" xfId="1" applyNumberFormat="1" applyFont="1" applyBorder="1" applyAlignment="1">
      <alignment horizontal="center" vertical="center" shrinkToFit="1"/>
    </xf>
    <xf numFmtId="14" fontId="17" fillId="0" borderId="58" xfId="1" applyNumberFormat="1" applyFont="1" applyBorder="1" applyAlignment="1">
      <alignment horizontal="center" vertical="center" shrinkToFit="1"/>
    </xf>
    <xf numFmtId="49" fontId="21" fillId="4" borderId="59" xfId="1" applyNumberFormat="1" applyFont="1" applyFill="1" applyBorder="1" applyAlignment="1">
      <alignment horizontal="center" vertical="center" shrinkToFit="1"/>
    </xf>
    <xf numFmtId="49" fontId="44" fillId="4" borderId="43" xfId="1" applyNumberFormat="1" applyFont="1" applyFill="1" applyBorder="1" applyAlignment="1">
      <alignment horizontal="center" vertical="center" shrinkToFit="1"/>
    </xf>
    <xf numFmtId="49" fontId="44" fillId="4" borderId="41" xfId="1" applyNumberFormat="1" applyFont="1" applyFill="1" applyBorder="1" applyAlignment="1">
      <alignment horizontal="center" vertical="center" shrinkToFit="1"/>
    </xf>
    <xf numFmtId="49" fontId="44" fillId="4" borderId="42" xfId="1" applyNumberFormat="1" applyFont="1" applyFill="1" applyBorder="1" applyAlignment="1">
      <alignment horizontal="center" vertical="center" shrinkToFit="1"/>
    </xf>
    <xf numFmtId="49" fontId="44" fillId="4" borderId="104" xfId="1" applyNumberFormat="1" applyFont="1" applyFill="1" applyBorder="1" applyAlignment="1">
      <alignment horizontal="center" vertical="center" shrinkToFit="1"/>
    </xf>
    <xf numFmtId="14" fontId="7" fillId="0" borderId="4" xfId="3" applyNumberFormat="1" applyFont="1" applyBorder="1"/>
    <xf numFmtId="0" fontId="7" fillId="0" borderId="5" xfId="3" applyFont="1" applyBorder="1"/>
    <xf numFmtId="0" fontId="7" fillId="0" borderId="6" xfId="3" applyFont="1" applyBorder="1"/>
    <xf numFmtId="0" fontId="7" fillId="0" borderId="4" xfId="3" applyFont="1" applyBorder="1"/>
    <xf numFmtId="0" fontId="7" fillId="0" borderId="4" xfId="3" quotePrefix="1" applyFont="1" applyBorder="1"/>
    <xf numFmtId="0" fontId="7" fillId="0" borderId="12" xfId="3" applyFont="1" applyBorder="1"/>
    <xf numFmtId="0" fontId="7" fillId="0" borderId="13" xfId="3" applyFont="1" applyBorder="1"/>
    <xf numFmtId="0" fontId="7" fillId="0" borderId="14" xfId="3" applyFont="1" applyBorder="1"/>
    <xf numFmtId="0" fontId="7" fillId="0" borderId="9" xfId="3" applyFont="1" applyBorder="1"/>
    <xf numFmtId="0" fontId="7" fillId="0" borderId="10" xfId="3" applyFont="1" applyBorder="1"/>
    <xf numFmtId="0" fontId="7" fillId="0" borderId="11" xfId="3" applyFont="1" applyBorder="1"/>
    <xf numFmtId="0" fontId="7" fillId="0" borderId="18" xfId="3" applyFont="1" applyBorder="1"/>
    <xf numFmtId="0" fontId="7" fillId="0" borderId="19" xfId="3" applyFont="1" applyBorder="1"/>
    <xf numFmtId="0" fontId="7" fillId="0" borderId="20" xfId="3" applyFont="1" applyBorder="1"/>
  </cellXfs>
  <cellStyles count="11">
    <cellStyle name="Currency [0] 2" xfId="9" xr:uid="{E7E7F613-C37C-463D-ABEC-63DD04107130}"/>
    <cellStyle name="Hyperlink" xfId="10" builtinId="8"/>
    <cellStyle name="Hyperlink 2" xfId="7" xr:uid="{C724A429-F271-40B1-B83B-8D540A3909EF}"/>
    <cellStyle name="Hyperlink 2 2" xfId="8" xr:uid="{051256EE-524D-4F17-A205-757CB82214F6}"/>
    <cellStyle name="Normal" xfId="0" builtinId="0"/>
    <cellStyle name="Normal 2" xfId="1" xr:uid="{D8FEC3B8-7676-4D8F-9759-E06582B59A04}"/>
    <cellStyle name="Normal 2 2" xfId="6" xr:uid="{AD5A6E63-5A37-49A6-9158-C4DF2A82E7A4}"/>
    <cellStyle name="Normal 3" xfId="2" xr:uid="{1B7A73F0-2222-4BF4-9DDE-FC1B5B21FCC9}"/>
    <cellStyle name="Normal 3 2" xfId="5" xr:uid="{C93A0A31-709B-44AA-817A-75EC8CAE5DBE}"/>
    <cellStyle name="Normal 4" xfId="3" xr:uid="{DC4D6F38-7031-4A85-8ED2-6D3108CE5ADD}"/>
    <cellStyle name="標準 2" xfId="4" xr:uid="{04681B13-E9CC-4AF2-AA3C-8DCDCA07D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152</xdr:col>
      <xdr:colOff>40821</xdr:colOff>
      <xdr:row>7</xdr:row>
      <xdr:rowOff>0</xdr:rowOff>
    </xdr:from>
    <xdr:ext cx="1798081" cy="2886514"/>
    <xdr:pic>
      <xdr:nvPicPr>
        <xdr:cNvPr id="2" name="図 19">
          <a:extLst>
            <a:ext uri="{FF2B5EF4-FFF2-40B4-BE49-F238E27FC236}">
              <a16:creationId xmlns:a16="http://schemas.microsoft.com/office/drawing/2014/main" id="{86FDD6ED-4AB2-4B64-A2E1-5F5C2FFB5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05621" y="1733550"/>
          <a:ext cx="1798081" cy="2886514"/>
        </a:xfrm>
        <a:prstGeom prst="rect">
          <a:avLst/>
        </a:prstGeom>
      </xdr:spPr>
    </xdr:pic>
    <xdr:clientData/>
  </xdr:oneCellAnchor>
  <xdr:oneCellAnchor>
    <xdr:from>
      <xdr:col>152</xdr:col>
      <xdr:colOff>81643</xdr:colOff>
      <xdr:row>25</xdr:row>
      <xdr:rowOff>95251</xdr:rowOff>
    </xdr:from>
    <xdr:ext cx="1822230" cy="1870638"/>
    <xdr:pic>
      <xdr:nvPicPr>
        <xdr:cNvPr id="3" name="図 20">
          <a:extLst>
            <a:ext uri="{FF2B5EF4-FFF2-40B4-BE49-F238E27FC236}">
              <a16:creationId xmlns:a16="http://schemas.microsoft.com/office/drawing/2014/main" id="{F8C657C3-45DF-43BC-84D9-45EBDBB28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6443" y="6286501"/>
          <a:ext cx="1822230" cy="1870638"/>
        </a:xfrm>
        <a:prstGeom prst="rect">
          <a:avLst/>
        </a:prstGeom>
      </xdr:spPr>
    </xdr:pic>
    <xdr:clientData/>
  </xdr:oneCellAnchor>
  <xdr:oneCellAnchor>
    <xdr:from>
      <xdr:col>152</xdr:col>
      <xdr:colOff>136072</xdr:colOff>
      <xdr:row>26</xdr:row>
      <xdr:rowOff>0</xdr:rowOff>
    </xdr:from>
    <xdr:ext cx="1834023" cy="5899215"/>
    <xdr:pic>
      <xdr:nvPicPr>
        <xdr:cNvPr id="4" name="図 21">
          <a:extLst>
            <a:ext uri="{FF2B5EF4-FFF2-40B4-BE49-F238E27FC236}">
              <a16:creationId xmlns:a16="http://schemas.microsoft.com/office/drawing/2014/main" id="{EA8FBC82-1D83-43E5-A0DC-A85072D6D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00872" y="6438900"/>
          <a:ext cx="1834023" cy="58992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152</xdr:col>
      <xdr:colOff>40821</xdr:colOff>
      <xdr:row>7</xdr:row>
      <xdr:rowOff>0</xdr:rowOff>
    </xdr:from>
    <xdr:ext cx="1798081" cy="2886514"/>
    <xdr:pic>
      <xdr:nvPicPr>
        <xdr:cNvPr id="2" name="図 19">
          <a:extLst>
            <a:ext uri="{FF2B5EF4-FFF2-40B4-BE49-F238E27FC236}">
              <a16:creationId xmlns:a16="http://schemas.microsoft.com/office/drawing/2014/main" id="{BAFE5246-C9CF-42A9-93C8-3DCAE7729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05621" y="1733550"/>
          <a:ext cx="1798081" cy="2886514"/>
        </a:xfrm>
        <a:prstGeom prst="rect">
          <a:avLst/>
        </a:prstGeom>
      </xdr:spPr>
    </xdr:pic>
    <xdr:clientData/>
  </xdr:oneCellAnchor>
  <xdr:oneCellAnchor>
    <xdr:from>
      <xdr:col>152</xdr:col>
      <xdr:colOff>81643</xdr:colOff>
      <xdr:row>39</xdr:row>
      <xdr:rowOff>95251</xdr:rowOff>
    </xdr:from>
    <xdr:ext cx="1822230" cy="1870638"/>
    <xdr:pic>
      <xdr:nvPicPr>
        <xdr:cNvPr id="3" name="図 20">
          <a:extLst>
            <a:ext uri="{FF2B5EF4-FFF2-40B4-BE49-F238E27FC236}">
              <a16:creationId xmlns:a16="http://schemas.microsoft.com/office/drawing/2014/main" id="{835F5CF6-740B-4087-9D03-2E1E292D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6443" y="9753601"/>
          <a:ext cx="1822230" cy="1870638"/>
        </a:xfrm>
        <a:prstGeom prst="rect">
          <a:avLst/>
        </a:prstGeom>
      </xdr:spPr>
    </xdr:pic>
    <xdr:clientData/>
  </xdr:oneCellAnchor>
  <xdr:oneCellAnchor>
    <xdr:from>
      <xdr:col>152</xdr:col>
      <xdr:colOff>136072</xdr:colOff>
      <xdr:row>40</xdr:row>
      <xdr:rowOff>0</xdr:rowOff>
    </xdr:from>
    <xdr:ext cx="1834023" cy="5899215"/>
    <xdr:pic>
      <xdr:nvPicPr>
        <xdr:cNvPr id="4" name="図 21">
          <a:extLst>
            <a:ext uri="{FF2B5EF4-FFF2-40B4-BE49-F238E27FC236}">
              <a16:creationId xmlns:a16="http://schemas.microsoft.com/office/drawing/2014/main" id="{70437D02-70B3-4E8D-B768-C1E2FE60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00872" y="9906000"/>
          <a:ext cx="1834023" cy="589921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er\d\&#65315;&#65332;&#65315;\&#65316;&#65323;\My%20Documents\&#65401;&#65437;&#65404;&#65438;&#35211;&#313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LUVINA/07.%20PMO/02_Quan%20ly%20van%20de/Devdn_TaskManagement_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%20Projects\DEV1HEAD\20_plan\Ke%20hoach\2022\Output\DEV1_Ke%20hoach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D/NHAN%20SU/01.%20DANHSACHNHANSU/DS_nhan%20vie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yfs18.japan.gds.panasonic.com\f290$\&#12464;&#12523;&#12540;&#12503;&#21029;\&#12464;&#12525;&#12540;&#12496;&#12523;&#12464;&#12523;&#12540;&#12503;\02.&#12464;&#12525;&#12540;&#12496;&#12523;&#12481;&#12540;&#12512;\PSDCD&#25903;&#25588;\2008&#24180;&#24230;&#65374;\05.&#65321;&#65332;&#65331;&#65319;&#12424;&#12426;&#25552;&#20379;&#29289;\&#9733;&#26368;&#26032;&#29256;ITSG&#27161;&#28310;_20091020\&#24115;&#31080;\&#38283;&#30330;&#35336;&#30011;\&#38283;&#30330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SPIO\00.Process%20Library\01.Standard%20Process\Version%203.4\Organizational%20Standard%20Process\2.Project%20Management\1.Project%20Planning\PHNL_PPM_214_TMP_ProjectP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13.%20QA/40_report/2021/T11/QA_PCI_Report_T1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LUVINA/07.%20PMO/02_Quan%20ly%20van%20de/PMO_DN-Problem%20Managemen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tkat44g-my.sharepoint.com/LuvinaDN/08.%20PMO/02_Quan%20ly%20van%20de/Devdn_ProblemManagement_2019%20-%20Cop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DUYTHAI\Desktop\(POS-Controller)API-Design.xlsx" TargetMode="External"/><Relationship Id="rId1" Type="http://schemas.openxmlformats.org/officeDocument/2006/relationships/externalLinkPath" Target="/Users/DAMDUYTHAI/Desktop/(POS-Controller)API-Desig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DUY~1\AppData\Local\Temp\Thi&#7871;t%20k&#7871;%20API%20Preset.xlsx-rev15188.svn000.tmp.xlsx" TargetMode="External"/><Relationship Id="rId1" Type="http://schemas.openxmlformats.org/officeDocument/2006/relationships/externalLinkPath" Target="/Users/DAMDUY~1/AppData/Local/Temp/Thi&#7871;t%20k&#7871;%20API%20Preset.xlsx-rev15188.svn000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OES"/>
      <sheetName val="機能表紙"/>
      <sheetName val="機能一覧"/>
      <sheetName val="処理の流れ"/>
      <sheetName val="店舗表紙"/>
      <sheetName val="発注入力メインメニュー"/>
      <sheetName val="週次棚卸入力"/>
      <sheetName val="月次棚卸入力"/>
      <sheetName val="本部表紙"/>
      <sheetName val="週次棚卸データ取込処理"/>
      <sheetName val="週次棚卸ﾛｽﾃﾞｰﾀ取込処理"/>
      <sheetName val="月次棚卸ﾛｽﾃﾞｰﾀ取込処理"/>
      <sheetName val="営業利益高管理作成処理"/>
      <sheetName val="営業利益高管理 項目移送"/>
      <sheetName val="Web画面遷移"/>
      <sheetName val="営業利益高閲覧"/>
      <sheetName val="営業利益高閲覧(計算式)"/>
      <sheetName val="営業利益高閲覧 項目移送(明細欄)"/>
      <sheetName val="営業利益高閲覧 項目移送(実績欄)"/>
      <sheetName val="営業利益高閲覧 項目移送(予算欄)"/>
      <sheetName val="営業利益高閲覧 項目移送(差異欄)"/>
      <sheetName val="営業利益高閲覧 項目移送(予算比欄)"/>
      <sheetName val="材料ﾏｽﾀ"/>
      <sheetName val="材料ﾏｽﾀ "/>
      <sheetName val="受信履歴ﾃﾞｰﾀ"/>
      <sheetName val="週次食材棚卸ﾃﾞｰﾀ"/>
      <sheetName val="週次棚卸ﾛｽﾃﾞｰﾀ"/>
      <sheetName val="月次棚卸ﾛｽﾃﾞｰﾀ"/>
      <sheetName val="修繕費ﾃﾞｰﾀ"/>
      <sheetName val="光熱費ﾃﾞｰﾀ"/>
      <sheetName val="実績営業利益高ﾃﾞｰﾀ"/>
      <sheetName val="予算営業利益高ﾃﾞｰﾀ"/>
      <sheetName val="材料ﾛｽ管理ﾏｽﾀ"/>
      <sheetName val="週次食材棚卸ﾃﾞｰﾀ(送信)"/>
      <sheetName val="修繕費ﾃﾞｰﾀ(ﾃｷｽﾄ)"/>
      <sheetName val="光熱費ﾃﾞｰﾀ(ﾃｷｽﾄ)"/>
      <sheetName val="Monthloss(ﾃｷｽﾄ)"/>
      <sheetName val="Weekloss(ﾃｷｽﾄ)"/>
      <sheetName val="営業利益高管理ﾃﾞｰﾀ(受信)"/>
      <sheetName val="年月日ﾃｰﾌﾞﾙ(ﾃｷｽﾄ)"/>
      <sheetName val="04-3 帳票一覧"/>
      <sheetName val="04-3-1 機能定義書（ルーム売上レポート）"/>
      <sheetName val="04-3-1 機能定義書（時間帯別ルーム売上レポート）"/>
      <sheetName val="04-3-1 機能定義書（メニュー別売上レポート）"/>
      <sheetName val="04-3-1 機能定義書(ルーム別稼動実績レポート)"/>
      <sheetName val="04-3-1 機能定義書(ルーム別予約状況一覧)"/>
      <sheetName val="04-3-1 機能定義書(ルーム売上累計レポート)"/>
      <sheetName val="04-3-1 機能定義書（時間帯別ルーム売上累計レポート）"/>
      <sheetName val="04-3-1 機能定義書（累計メニュー別売上レポート）"/>
      <sheetName val="04-3-1 機能定義書（客_組数別客数レポート）"/>
      <sheetName val="04-3-1 機能定義書（時間帯レポート）"/>
      <sheetName val="04-3-1 機能定義書（曜日別レポート）"/>
      <sheetName val="04-3-1 機能定義書（金額順売上レポート）"/>
      <sheetName val="04-3-1 機能定義書（点数順売上レポート）"/>
      <sheetName val="04-3-1 機能定義書（価格帯レポート）"/>
      <sheetName val="04-3-2 帳票レイアウト"/>
      <sheetName val="11-2 機能定義書(帳票編)2"/>
      <sheetName val="分類"/>
      <sheetName val="区分"/>
      <sheetName val="Sheet1"/>
      <sheetName val="マスタ"/>
      <sheetName val="選択肢"/>
      <sheetName val="【集計】入出庫チーム"/>
      <sheetName val="【集計】共通・マスタ・BIチーム"/>
      <sheetName val="祝日設定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Summary"/>
      <sheetName val="Task List"/>
      <sheetName val="RefData"/>
      <sheetName val="_master"/>
    </sheetNames>
    <sheetDataSet>
      <sheetData sheetId="0"/>
      <sheetData sheetId="1"/>
      <sheetData sheetId="2"/>
      <sheetData sheetId="3"/>
      <sheetData sheetId="4">
        <row r="2">
          <cell r="A2" t="str">
            <v>Requirement</v>
          </cell>
          <cell r="B2" t="str">
            <v>Veryhigh</v>
          </cell>
          <cell r="C2" t="str">
            <v>Notyet</v>
          </cell>
        </row>
        <row r="3">
          <cell r="A3" t="str">
            <v>Design</v>
          </cell>
          <cell r="B3" t="str">
            <v>High</v>
          </cell>
          <cell r="C3" t="str">
            <v>Inprogress</v>
          </cell>
        </row>
        <row r="4">
          <cell r="A4" t="str">
            <v>Code</v>
          </cell>
          <cell r="B4" t="str">
            <v>Medium</v>
          </cell>
          <cell r="C4" t="str">
            <v>Pending</v>
          </cell>
        </row>
        <row r="5">
          <cell r="A5" t="str">
            <v>Test</v>
          </cell>
          <cell r="B5" t="str">
            <v>Low</v>
          </cell>
          <cell r="C5" t="str">
            <v>Close</v>
          </cell>
        </row>
        <row r="6">
          <cell r="A6" t="str">
            <v>Fixbugs</v>
          </cell>
        </row>
        <row r="7">
          <cell r="A7" t="str">
            <v>Kỹ thuật</v>
          </cell>
        </row>
        <row r="8">
          <cell r="A8" t="str">
            <v>Môi trường</v>
          </cell>
        </row>
        <row r="9">
          <cell r="A9" t="str">
            <v>Nhân sự</v>
          </cell>
        </row>
        <row r="10">
          <cell r="A10" t="str">
            <v>Quản lý</v>
          </cell>
        </row>
        <row r="11">
          <cell r="A11" t="str">
            <v>Quy trình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GUIDE_REF"/>
      <sheetName val="Bai hoc"/>
      <sheetName val="CN - NV DEV1"/>
      <sheetName val="0.Ke hoach lap ke hoach 2022"/>
      <sheetName val="1. Input"/>
      <sheetName val="2.1. Định hướng hoạt động"/>
      <sheetName val="2.2. Mục tiêu"/>
      <sheetName val="2.3. Hien trang &amp; Muc tieu"/>
      <sheetName val="3.Plan 2022"/>
      <sheetName val="4.Master Schedule 2022"/>
    </sheetNames>
    <sheetDataSet>
      <sheetData sheetId="0"/>
      <sheetData sheetId="1"/>
      <sheetData sheetId="2"/>
      <sheetData sheetId="3">
        <row r="3">
          <cell r="A3" t="str">
            <v>CN1: Phát triển, vận hành và bảo trì hệ thống</v>
          </cell>
        </row>
        <row r="4">
          <cell r="A4" t="str">
            <v>CN2: Xây dựng và quản lý nghiệp vụ hệ thống</v>
          </cell>
        </row>
        <row r="5">
          <cell r="A5" t="str">
            <v>CN3: Hỗ trợ bán hàng</v>
          </cell>
        </row>
        <row r="6">
          <cell r="A6" t="str">
            <v>CN4: Quản lý, đánh giá và đào tạo nhân sự phòng</v>
          </cell>
        </row>
        <row r="7">
          <cell r="A7" t="str">
            <v>CN5: Tham gia xây dựng, thực hiện và cải tiến quy trình thuộc chức năng nhiệm vụ</v>
          </cell>
        </row>
        <row r="11">
          <cell r="B11" t="str">
            <v>CN1.NV1: Lập kế hoạch, triển khai, giám sát, cải tiến quy trình các dự án được PMO giao</v>
          </cell>
        </row>
        <row r="12">
          <cell r="B12" t="str">
            <v>CN1.NV2: Thực hiện các yêu cầu về sản xuất khác từ PMO giao cho</v>
          </cell>
        </row>
        <row r="14">
          <cell r="B14" t="str">
            <v>CN2.NV1: Với mỗi hệ thống mới phải tổ chức tạo bộ tài liệu nghiệp vụ tổng quát, tiến hành training toàn bộ thành viên tham gia</v>
          </cell>
        </row>
        <row r="15">
          <cell r="B15" t="str">
            <v>CN2.NV2: Thực hiện update và đào tạo định kỳ trong phạm vi nhóm dự án làm nghiệp vụ đó</v>
          </cell>
        </row>
        <row r="17">
          <cell r="B17" t="str">
            <v>CN3.NV1: Cung cấp các thông tin liên quan đến bán hàng có được từ những người phụ trách dự án phía khách hàng</v>
          </cell>
        </row>
        <row r="18">
          <cell r="B18" t="str">
            <v>CN3.NV2: Định kỳ báo cáo tình hình thực hiện dự án và đề xuất các điểm thay đổi để tăng sự thỏa mãn khách hàng và mở rộng công việc</v>
          </cell>
        </row>
        <row r="19">
          <cell r="B19" t="str">
            <v>CN3.NV3: Lên kế hoạch/ thực hiện đối ứng với các chuyến công tác Việt Nam của khách ở tầng dự án</v>
          </cell>
        </row>
        <row r="20">
          <cell r="B20" t="str">
            <v>CN3.NV4: Cùng AM đối ứng các buổi presentation với khách hàng</v>
          </cell>
        </row>
        <row r="22">
          <cell r="B22" t="str">
            <v>CN4.NV1: Tuyển dụng và đào tạo nhân sự theo nhu cầu của phòng</v>
          </cell>
        </row>
        <row r="23">
          <cell r="B23" t="str">
            <v>CN4.NV2: Quản lý hành chính các nhân sự trong các nhóm dự án thuộc phòng</v>
          </cell>
        </row>
        <row r="24">
          <cell r="B24" t="str">
            <v>CN4.NV3: Đánh giá định kỳ nhân sự</v>
          </cell>
        </row>
        <row r="25">
          <cell r="B25" t="str">
            <v>CN4.NV4: Lên kế hoạch và lộ trình phát triển cho nhân viên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NV"/>
      <sheetName val="Data"/>
      <sheetName val="Parttime-thuê ngoài-CTV"/>
      <sheetName val="Sheet1"/>
      <sheetName val="BTG ban giao TRD"/>
      <sheetName val="BanThoiGian-CongTacVien"/>
      <sheetName val="NVDanang"/>
    </sheetNames>
    <sheetDataSet>
      <sheetData sheetId="0">
        <row r="10">
          <cell r="A10">
            <v>0</v>
          </cell>
        </row>
      </sheetData>
      <sheetData sheetId="1">
        <row r="3">
          <cell r="C3" t="str">
            <v>CKH</v>
          </cell>
        </row>
        <row r="4">
          <cell r="C4" t="str">
            <v>Dài hạn</v>
          </cell>
        </row>
        <row r="5">
          <cell r="C5" t="str">
            <v>Thử việc</v>
          </cell>
        </row>
        <row r="6">
          <cell r="C6" t="str">
            <v>Đào tạo</v>
          </cell>
        </row>
        <row r="7">
          <cell r="C7" t="str">
            <v>Parttime</v>
          </cell>
        </row>
        <row r="8">
          <cell r="C8" t="str">
            <v>Đào tạo LA</v>
          </cell>
        </row>
        <row r="9">
          <cell r="C9" t="str">
            <v>Thuê ngoài</v>
          </cell>
        </row>
        <row r="10">
          <cell r="C10" t="str">
            <v>Gói</v>
          </cell>
        </row>
      </sheetData>
      <sheetData sheetId="2">
        <row r="3">
          <cell r="A3" t="str">
            <v>x</v>
          </cell>
        </row>
      </sheetData>
      <sheetData sheetId="3"/>
      <sheetData sheetId="4"/>
      <sheetData sheetId="5">
        <row r="3">
          <cell r="A3" t="str">
            <v>x</v>
          </cell>
        </row>
      </sheetData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基本開発計画"/>
      <sheetName val="要員計画"/>
      <sheetName val="コスト計画"/>
      <sheetName val="大日程"/>
      <sheetName val="推進体制"/>
      <sheetName val="管理プロセス運用計画"/>
      <sheetName val="構成管理計画"/>
      <sheetName val="開発環境・作業環境計画"/>
      <sheetName val="会議運営"/>
      <sheetName val="リスク管理表"/>
      <sheetName val="成果物一覧"/>
      <sheetName val="レビュー計画"/>
      <sheetName val="リスク参照表"/>
      <sheetName val="リスク候補リスト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6">
          <cell r="A16" t="str">
            <v>開発効率</v>
          </cell>
          <cell r="B16" t="str">
            <v>生産効率</v>
          </cell>
          <cell r="C16" t="str">
            <v>ソース流用率</v>
          </cell>
          <cell r="D16" t="str">
            <v>設計ドキュメント率</v>
          </cell>
          <cell r="E16" t="str">
            <v>テスト項目設定率</v>
          </cell>
          <cell r="F16" t="str">
            <v>レビュー効率</v>
          </cell>
          <cell r="G16" t="str">
            <v>レビュー欠陥密度</v>
          </cell>
          <cell r="H16" t="str">
            <v>テスト欠陥密度</v>
          </cell>
          <cell r="I16" t="str">
            <v>検収欠陥密度</v>
          </cell>
          <cell r="J16" t="str">
            <v xml:space="preserve">上流欠陥検出率 </v>
          </cell>
          <cell r="K16" t="str">
            <v xml:space="preserve">下流欠陥検出率 </v>
          </cell>
          <cell r="L16" t="str">
            <v xml:space="preserve">検収欠陥検出率 </v>
          </cell>
          <cell r="M16" t="str">
            <v>欠陥内部検出率</v>
          </cell>
          <cell r="N16" t="str">
            <v>レビュー工数率</v>
          </cell>
          <cell r="O16" t="str">
            <v>管理工数率</v>
          </cell>
          <cell r="P16" t="str">
            <v>手戻り工数率</v>
          </cell>
          <cell r="Q16" t="str">
            <v>仕様変更対応工数率</v>
          </cell>
          <cell r="R16" t="str">
            <v>納期遵守率</v>
          </cell>
          <cell r="S16" t="str">
            <v>工数変動率</v>
          </cell>
          <cell r="T16" t="str">
            <v>開発効率（委託元）</v>
          </cell>
          <cell r="U16" t="str">
            <v>管理工数比率（委託元）</v>
          </cell>
          <cell r="V16" t="str">
            <v>内部レビュー指摘率（委託元）</v>
          </cell>
        </row>
        <row r="19">
          <cell r="A19" t="str">
            <v>新規開発</v>
          </cell>
          <cell r="B19" t="str">
            <v>移植</v>
          </cell>
          <cell r="C19" t="str">
            <v>機能拡張</v>
          </cell>
          <cell r="D19" t="str">
            <v>修正・改良</v>
          </cell>
        </row>
        <row r="21">
          <cell r="A21" t="str">
            <v>標準開発モデルA</v>
          </cell>
          <cell r="B21" t="str">
            <v>標準開発モデルB</v>
          </cell>
          <cell r="C21" t="str">
            <v>基本開発モデルA</v>
          </cell>
          <cell r="D21" t="str">
            <v>基本開発モデルB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verview"/>
      <sheetName val="Requirement Management"/>
      <sheetName val="Schedule Management"/>
      <sheetName val="Human Management"/>
      <sheetName val="Development Enviroment"/>
      <sheetName val="Budget Plan"/>
      <sheetName val="Quality Management"/>
      <sheetName val="Configuration Management"/>
      <sheetName val="Communication Management"/>
      <sheetName val="Risk Management"/>
      <sheetName val="Risk Checklist"/>
      <sheetName val="Revision Hist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JList"/>
      <sheetName val="T11"/>
      <sheetName val="Sheet4"/>
      <sheetName val="NClist"/>
      <sheetName val="Report"/>
      <sheetName val="Library"/>
    </sheetNames>
    <sheetDataSet>
      <sheetData sheetId="0" refreshError="1"/>
      <sheetData sheetId="1">
        <row r="2">
          <cell r="B2" t="str">
            <v>Lupack</v>
          </cell>
        </row>
        <row r="3">
          <cell r="B3" t="str">
            <v>prjs_TripPlan</v>
          </cell>
        </row>
        <row r="4">
          <cell r="B4" t="str">
            <v>prjs_sozitsu_grandit_191</v>
          </cell>
        </row>
        <row r="5">
          <cell r="B5" t="str">
            <v>Pro-Sozitsu-Grandit</v>
          </cell>
        </row>
        <row r="6">
          <cell r="B6" t="str">
            <v>NIC</v>
          </cell>
        </row>
        <row r="7">
          <cell r="B7" t="str">
            <v>prjo_axis_me_cr</v>
          </cell>
        </row>
        <row r="8">
          <cell r="B8" t="str">
            <v>prjo_axis_qa3</v>
          </cell>
        </row>
        <row r="9">
          <cell r="B9" t="str">
            <v>prjs_test_SSG.SSBP</v>
          </cell>
        </row>
        <row r="10">
          <cell r="B10" t="str">
            <v>prjp_App_Development</v>
          </cell>
        </row>
        <row r="11">
          <cell r="B11" t="str">
            <v>prjo_itp_test</v>
          </cell>
        </row>
        <row r="12">
          <cell r="B12" t="str">
            <v>prjo_light_filezen</v>
          </cell>
        </row>
        <row r="13">
          <cell r="B13" t="str">
            <v>Prjo_petcare</v>
          </cell>
        </row>
        <row r="14">
          <cell r="B14" t="str">
            <v>Estool</v>
          </cell>
        </row>
        <row r="15">
          <cell r="B15" t="str">
            <v>PharmaLink</v>
          </cell>
        </row>
        <row r="16">
          <cell r="B16" t="str">
            <v>prjs_nissho_grandit_0331_ICK</v>
          </cell>
        </row>
        <row r="18">
          <cell r="B18" t="str">
            <v>GVA3_Test</v>
          </cell>
        </row>
        <row r="19">
          <cell r="B19" t="str">
            <v>Softmap JSS</v>
          </cell>
        </row>
        <row r="20">
          <cell r="B20" t="str">
            <v>prjo_Bestway_NC</v>
          </cell>
        </row>
        <row r="21">
          <cell r="B21" t="str">
            <v>Prjo_ NBS</v>
          </cell>
        </row>
        <row r="22">
          <cell r="B22" t="str">
            <v>Prjo_sisanunyo</v>
          </cell>
        </row>
        <row r="23">
          <cell r="B23" t="str">
            <v>Shinline</v>
          </cell>
        </row>
        <row r="24">
          <cell r="B24" t="str">
            <v>API</v>
          </cell>
        </row>
        <row r="25">
          <cell r="B25" t="str">
            <v>Prjs_ids</v>
          </cell>
        </row>
        <row r="27">
          <cell r="B27" t="str">
            <v>TDTW- prototype</v>
          </cell>
        </row>
        <row r="28">
          <cell r="B28" t="str">
            <v>TDTW_GAIBU</v>
          </cell>
        </row>
        <row r="29">
          <cell r="B29" t="str">
            <v>TDTW-Mockup</v>
          </cell>
        </row>
        <row r="30">
          <cell r="B30" t="str">
            <v>Prjo_Rakuten</v>
          </cell>
        </row>
        <row r="31">
          <cell r="B31" t="str">
            <v>MVP</v>
          </cell>
        </row>
        <row r="32">
          <cell r="B32" t="str">
            <v>TDTW-DEV</v>
          </cell>
        </row>
        <row r="33">
          <cell r="B33" t="str">
            <v>Prjs_esr</v>
          </cell>
        </row>
        <row r="34">
          <cell r="B34" t="str">
            <v>AWS_Unyo_XT</v>
          </cell>
        </row>
        <row r="35">
          <cell r="B35" t="str">
            <v>prjs_JIP</v>
          </cell>
        </row>
        <row r="36">
          <cell r="B36" t="str">
            <v>Yamato</v>
          </cell>
        </row>
        <row r="37">
          <cell r="B37" t="str">
            <v>Yamato</v>
          </cell>
        </row>
        <row r="38">
          <cell r="B38" t="str">
            <v>Cresco_Unyo</v>
          </cell>
        </row>
        <row r="39">
          <cell r="B39" t="str">
            <v>Prjs_ AWS_Creage</v>
          </cell>
        </row>
        <row r="40">
          <cell r="B40" t="str">
            <v>FE AWS</v>
          </cell>
        </row>
        <row r="42">
          <cell r="B42" t="str">
            <v>ChipOneStop</v>
          </cell>
        </row>
        <row r="43">
          <cell r="B43" t="str">
            <v>RakutenKikan</v>
          </cell>
        </row>
        <row r="44">
          <cell r="B44" t="str">
            <v>Bridgestone</v>
          </cell>
        </row>
        <row r="45">
          <cell r="B45" t="str">
            <v>Kensei</v>
          </cell>
        </row>
        <row r="46">
          <cell r="B46" t="str">
            <v>Komoku</v>
          </cell>
        </row>
        <row r="47">
          <cell r="B47" t="str">
            <v>CLM_AWS Unyo</v>
          </cell>
        </row>
        <row r="48">
          <cell r="B48" t="str">
            <v>Soliton_Unyo</v>
          </cell>
        </row>
        <row r="49">
          <cell r="B49" t="str">
            <v>prjs_grandit_ajs</v>
          </cell>
        </row>
        <row r="50">
          <cell r="B50" t="str">
            <v>Prjo_ Nri_MVP</v>
          </cell>
        </row>
        <row r="51">
          <cell r="B51" t="str">
            <v>Prjo_KMJ</v>
          </cell>
        </row>
        <row r="52">
          <cell r="B52" t="str">
            <v>prjs_cm_metropolis</v>
          </cell>
        </row>
        <row r="53">
          <cell r="B53" t="str">
            <v>buildee_ver2</v>
          </cell>
        </row>
        <row r="55">
          <cell r="B55" t="str">
            <v>prjs_beeline</v>
          </cell>
        </row>
        <row r="56">
          <cell r="B56" t="str">
            <v>Prjo_Cresco_TA</v>
          </cell>
        </row>
        <row r="57">
          <cell r="B57" t="str">
            <v>Prjo_Cresco_DPPF</v>
          </cell>
        </row>
        <row r="58">
          <cell r="B58" t="str">
            <v>prjo_cresco_goto</v>
          </cell>
        </row>
        <row r="59">
          <cell r="B59" t="str">
            <v>prjs_dot_editor</v>
          </cell>
        </row>
        <row r="60">
          <cell r="B60" t="str">
            <v>Prjo_Cresco_AFR</v>
          </cell>
        </row>
        <row r="61">
          <cell r="B61" t="str">
            <v>Prjo_Cresco_BS_SSHD</v>
          </cell>
        </row>
        <row r="62">
          <cell r="B62" t="str">
            <v>Prjs_Cresco_Grandit</v>
          </cell>
        </row>
        <row r="63">
          <cell r="B63" t="str">
            <v>prjo_sg_neogreen</v>
          </cell>
        </row>
        <row r="64">
          <cell r="B64" t="str">
            <v>Cresco_ALPS_Giken_Altech</v>
          </cell>
        </row>
        <row r="65">
          <cell r="B65" t="str">
            <v>prjs_cresco_IOS</v>
          </cell>
        </row>
        <row r="66">
          <cell r="B66" t="str">
            <v>Prjo_OtukaShoji</v>
          </cell>
        </row>
        <row r="67">
          <cell r="B67" t="str">
            <v>Prjo_Cresco_JIT</v>
          </cell>
        </row>
        <row r="68">
          <cell r="B68" t="str">
            <v>Hoken_ ikatsu</v>
          </cell>
        </row>
        <row r="69">
          <cell r="B69" t="str">
            <v>Hoken_Hoshu</v>
          </cell>
        </row>
        <row r="70">
          <cell r="B70" t="str">
            <v>Prjo_Aeon</v>
          </cell>
        </row>
        <row r="71">
          <cell r="B71" t="str">
            <v>FE_Autotest</v>
          </cell>
        </row>
        <row r="72">
          <cell r="B72" t="str">
            <v>Kabucom</v>
          </cell>
        </row>
        <row r="73">
          <cell r="B73" t="str">
            <v>Cresco Optim</v>
          </cell>
        </row>
      </sheetData>
      <sheetData sheetId="2" refreshError="1"/>
      <sheetData sheetId="3" refreshError="1"/>
      <sheetData sheetId="4"/>
      <sheetData sheetId="5" refreshError="1"/>
      <sheetData sheetId="6">
        <row r="1">
          <cell r="B1" t="str">
            <v>CM - Quy trình đánh giá CM dự án</v>
          </cell>
        </row>
        <row r="2">
          <cell r="B2" t="str">
            <v>CM - Quy trình quản lý thay đổi sản phẩm baseline</v>
          </cell>
        </row>
        <row r="3">
          <cell r="B3" t="str">
            <v>CM - Quy trình tạo baseline dự án</v>
          </cell>
        </row>
        <row r="4">
          <cell r="B4" t="str">
            <v>CM - Quy trình lập kế hoạch CM</v>
          </cell>
        </row>
        <row r="5">
          <cell r="B5" t="str">
            <v>DAR - Quy trình phân tích và lựa chọn giải pháp</v>
          </cell>
        </row>
        <row r="6">
          <cell r="B6" t="str">
            <v>MA - Quy trình phân tích MA</v>
          </cell>
        </row>
        <row r="7">
          <cell r="B7" t="str">
            <v>MA - Quy trình thực thi MA</v>
          </cell>
        </row>
        <row r="8">
          <cell r="B8" t="str">
            <v>OT - Quy trình giám sát đào tạo</v>
          </cell>
        </row>
        <row r="9">
          <cell r="B9" t="str">
            <v>OT - Quy trình thực hiện đào tạo</v>
          </cell>
        </row>
        <row r="10">
          <cell r="B10" t="str">
            <v>OT - Quy trình lập kế hoạch đào tạo</v>
          </cell>
        </row>
        <row r="11">
          <cell r="B11" t="str">
            <v>PI - Quy trình nộp hàng</v>
          </cell>
        </row>
        <row r="12">
          <cell r="B12" t="str">
            <v>PI - Quy trình chuẩn bị sản phẩm nộp hàng</v>
          </cell>
        </row>
        <row r="13">
          <cell r="B13" t="str">
            <v>PI - Quy trình lập kế hoạch nộp hàng</v>
          </cell>
        </row>
        <row r="14">
          <cell r="B14" t="str">
            <v>PI - Quy trình tích hợp hệ thống</v>
          </cell>
        </row>
        <row r="15">
          <cell r="B15" t="str">
            <v>PI - Quy trình lập kế hoạch tích hợp hệ thống</v>
          </cell>
        </row>
        <row r="16">
          <cell r="B16" t="str">
            <v>PMC - Quy trình kết thúc dự án</v>
          </cell>
        </row>
        <row r="17">
          <cell r="B17" t="str">
            <v>PMC - Quy trình kiểm soát và giám sát dự án</v>
          </cell>
        </row>
        <row r="18">
          <cell r="B18" t="str">
            <v>PP - Quy trình replanning</v>
          </cell>
        </row>
        <row r="19">
          <cell r="B19" t="str">
            <v>PP - Quy trình lập kế hoạch dự án</v>
          </cell>
        </row>
        <row r="20">
          <cell r="B20" t="str">
            <v>PP - Quy trình Estimate</v>
          </cell>
        </row>
        <row r="21">
          <cell r="B21" t="str">
            <v>RD - Quy trình xây dựng yêu cầu chi tiết của sản phẩm</v>
          </cell>
        </row>
        <row r="22">
          <cell r="B22" t="str">
            <v>RD - Quy trình xây dựng yêu cầu tổng thể của sản phẩm</v>
          </cell>
        </row>
        <row r="23">
          <cell r="B23" t="str">
            <v>RD - Quy trình xây dựng yêu cầu chi tiết của khách hàng</v>
          </cell>
        </row>
        <row r="24">
          <cell r="B24" t="str">
            <v>RD - Quy trình xây dựng yêu cầu tổng thể của khách hàng</v>
          </cell>
        </row>
        <row r="25">
          <cell r="B25" t="str">
            <v>RD - Quy trình lập kế hoạch xây dựng yêu cầu</v>
          </cell>
        </row>
        <row r="26">
          <cell r="B26" t="str">
            <v>REQM - Quy trình kiểm tra requirement</v>
          </cell>
        </row>
        <row r="27">
          <cell r="B27" t="str">
            <v>REQM - Quy trình quản lý thay đổi requirement</v>
          </cell>
        </row>
        <row r="28">
          <cell r="B28" t="str">
            <v>REQM - Quy trình tiếp nhận requirement</v>
          </cell>
        </row>
        <row r="29">
          <cell r="B29" t="str">
            <v>RSKM - Quy trình quản lý risk</v>
          </cell>
        </row>
        <row r="30">
          <cell r="B30" t="str">
            <v>TS - Quy trình fix bugs</v>
          </cell>
        </row>
        <row r="31">
          <cell r="B31" t="str">
            <v>TS - Quy trình coding</v>
          </cell>
        </row>
        <row r="32">
          <cell r="B32" t="str">
            <v>TS - Quy trình thiết kế chi tiết</v>
          </cell>
        </row>
        <row r="33">
          <cell r="B33" t="str">
            <v>TS - Quy trình thiết kế kiến trúc hệ thống</v>
          </cell>
        </row>
        <row r="34">
          <cell r="B34" t="str">
            <v>TS - Quy trình lập kế hoạch thiết kế</v>
          </cell>
        </row>
        <row r="35">
          <cell r="B35" t="str">
            <v>VAL - Quy trình tiếp nhận đánh giá sau nộp hàng</v>
          </cell>
        </row>
        <row r="36">
          <cell r="B36" t="str">
            <v>VER - Quy trình review</v>
          </cell>
        </row>
        <row r="37">
          <cell r="B37" t="str">
            <v>VER - Quy trình lập kế hoạch review</v>
          </cell>
        </row>
        <row r="38">
          <cell r="B38" t="str">
            <v>VER - Quy trình tạo báo cáo test</v>
          </cell>
        </row>
        <row r="39">
          <cell r="B39" t="str">
            <v>VER - Quy trình test</v>
          </cell>
        </row>
        <row r="40">
          <cell r="B40" t="str">
            <v>VER - Quy trình thiết kế kịch bản test</v>
          </cell>
        </row>
        <row r="41">
          <cell r="B41" t="str">
            <v>VER - Quy trình lập kế hoạch test</v>
          </cell>
        </row>
        <row r="42">
          <cell r="B42" t="str">
            <v>Khác - Quy trình khác</v>
          </cell>
        </row>
        <row r="43">
          <cell r="B43" t="str">
            <v>REQM - Quy trình thực hiện Q&amp;A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Bia"/>
      <sheetName val="Problem Table"/>
      <sheetName val="Sheet3"/>
      <sheetName val="Project list"/>
      <sheetName val="Category Master Data"/>
      <sheetName val="Priority Master Data"/>
      <sheetName val="Status Master Data"/>
      <sheetName val="Huong dan ghi cac khoan mu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Notyet</v>
          </cell>
        </row>
        <row r="4">
          <cell r="A4" t="str">
            <v>Inprogress</v>
          </cell>
        </row>
        <row r="5">
          <cell r="A5" t="str">
            <v>Pending</v>
          </cell>
        </row>
        <row r="6">
          <cell r="A6" t="str">
            <v>Close</v>
          </cell>
        </row>
      </sheetData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gBia"/>
      <sheetName val="Revision history"/>
      <sheetName val="Problem Table"/>
      <sheetName val="Project list"/>
      <sheetName val="Huong dan ghi cac khoan muc"/>
      <sheetName val="_master"/>
      <sheetName val="_chartData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Requirement</v>
          </cell>
        </row>
        <row r="3">
          <cell r="A3" t="str">
            <v>Design</v>
          </cell>
        </row>
        <row r="4">
          <cell r="A4" t="str">
            <v>Code</v>
          </cell>
        </row>
        <row r="5">
          <cell r="A5" t="str">
            <v>Test</v>
          </cell>
        </row>
        <row r="6">
          <cell r="A6" t="str">
            <v>Fixbugs</v>
          </cell>
        </row>
        <row r="7">
          <cell r="A7" t="str">
            <v>Kỹ thuật</v>
          </cell>
        </row>
        <row r="8">
          <cell r="A8" t="str">
            <v>Môi trường</v>
          </cell>
        </row>
        <row r="9">
          <cell r="A9" t="str">
            <v>Nhân sự</v>
          </cell>
        </row>
        <row r="10">
          <cell r="A10" t="str">
            <v>Quản lý</v>
          </cell>
        </row>
        <row r="11">
          <cell r="A11" t="str">
            <v>Quy trình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廃履歴"/>
      <sheetName val="API一覧"/>
      <sheetName val="P001_old"/>
      <sheetName val="P001"/>
      <sheetName val="P002"/>
      <sheetName val="P003"/>
      <sheetName val="P004"/>
      <sheetName val="P005"/>
      <sheetName val="P006"/>
      <sheetName val="JSON定義&lt;business-types&gt;"/>
      <sheetName val="JSON定義&lt;menu&gt;"/>
      <sheetName val="JSON定義&lt;menu-button&gt; "/>
      <sheetName val="Template"/>
    </sheetNames>
    <sheetDataSet>
      <sheetData sheetId="0">
        <row r="2">
          <cell r="AT2">
            <v>45097</v>
          </cell>
        </row>
      </sheetData>
      <sheetData sheetId="1">
        <row r="11">
          <cell r="B11">
            <v>45097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廃履歴"/>
      <sheetName val="API一覧"/>
      <sheetName val="API P001"/>
      <sheetName val="API P002"/>
      <sheetName val="API P007"/>
      <sheetName val="API P004"/>
      <sheetName val="API P003_old"/>
      <sheetName val="API P005"/>
      <sheetName val="API P006"/>
      <sheetName val="A001"/>
      <sheetName val="JSON定義&lt;menu&gt;"/>
      <sheetName val="JSON定義&lt;menu-button&gt; "/>
    </sheetNames>
    <sheetDataSet>
      <sheetData sheetId="0">
        <row r="2">
          <cell r="BC2">
            <v>45287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D32C-BCF3-4D30-B676-8EC137C27786}">
  <dimension ref="A1:BK55"/>
  <sheetViews>
    <sheetView tabSelected="1" view="pageBreakPreview" zoomScale="85" zoomScaleNormal="75" zoomScaleSheetLayoutView="85" workbookViewId="0">
      <selection activeCell="AD39" sqref="AD39"/>
    </sheetView>
  </sheetViews>
  <sheetFormatPr defaultRowHeight="15.75"/>
  <cols>
    <col min="1" max="63" width="3.5703125" style="1" customWidth="1"/>
    <col min="64" max="16384" width="9.140625" style="1"/>
  </cols>
  <sheetData>
    <row r="1" spans="1:63" ht="24.95" customHeight="1">
      <c r="A1" s="467" t="s">
        <v>0</v>
      </c>
      <c r="B1" s="468"/>
      <c r="C1" s="468"/>
      <c r="D1" s="468"/>
      <c r="E1" s="468"/>
      <c r="F1" s="468"/>
      <c r="G1" s="468"/>
      <c r="H1" s="468"/>
      <c r="I1" s="468"/>
      <c r="J1" s="469"/>
      <c r="K1" s="467" t="s">
        <v>1</v>
      </c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9"/>
      <c r="W1" s="488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90"/>
      <c r="AP1" s="467" t="s">
        <v>2</v>
      </c>
      <c r="AQ1" s="468"/>
      <c r="AR1" s="468"/>
      <c r="AS1" s="469"/>
      <c r="AT1" s="467" t="s">
        <v>3</v>
      </c>
      <c r="AU1" s="468"/>
      <c r="AV1" s="468"/>
      <c r="AW1" s="468"/>
      <c r="AX1" s="469"/>
      <c r="AY1" s="467" t="s">
        <v>4</v>
      </c>
      <c r="AZ1" s="468"/>
      <c r="BA1" s="468"/>
      <c r="BB1" s="469"/>
      <c r="BC1" s="467" t="s">
        <v>5</v>
      </c>
      <c r="BD1" s="468"/>
      <c r="BE1" s="468"/>
      <c r="BF1" s="468"/>
      <c r="BG1" s="469"/>
      <c r="BH1" s="467" t="s">
        <v>6</v>
      </c>
      <c r="BI1" s="468"/>
      <c r="BJ1" s="468"/>
      <c r="BK1" s="469"/>
    </row>
    <row r="2" spans="1:63" ht="15" customHeight="1">
      <c r="A2" s="470" t="s">
        <v>11</v>
      </c>
      <c r="B2" s="471"/>
      <c r="C2" s="471"/>
      <c r="D2" s="471"/>
      <c r="E2" s="471"/>
      <c r="F2" s="471"/>
      <c r="G2" s="471"/>
      <c r="H2" s="471"/>
      <c r="I2" s="471"/>
      <c r="J2" s="472"/>
      <c r="K2" s="470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2"/>
      <c r="W2" s="491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3"/>
      <c r="AP2" s="470" t="s">
        <v>12</v>
      </c>
      <c r="AQ2" s="471"/>
      <c r="AR2" s="471"/>
      <c r="AS2" s="472"/>
      <c r="AT2" s="476">
        <v>45225</v>
      </c>
      <c r="AU2" s="477"/>
      <c r="AV2" s="477"/>
      <c r="AW2" s="477"/>
      <c r="AX2" s="478"/>
      <c r="AY2" s="470" t="str">
        <f>LOOKUP(2,1/(改廃履歴!H11:H30000&lt;&gt;""),改廃履歴!H11:H30000)</f>
        <v>ThaiDD</v>
      </c>
      <c r="AZ2" s="471"/>
      <c r="BA2" s="471"/>
      <c r="BB2" s="472"/>
      <c r="BC2" s="476">
        <f>LOOKUP(2,1/(改廃履歴!B11:B30000&lt;&gt;""),改廃履歴!B11:B30000)</f>
        <v>45316</v>
      </c>
      <c r="BD2" s="477"/>
      <c r="BE2" s="477"/>
      <c r="BF2" s="477"/>
      <c r="BG2" s="478"/>
      <c r="BH2" s="482">
        <f>LOOKUP(2,1/(改廃履歴!O11:O30000&lt;&gt;""),改廃履歴!O11:O30000)</f>
        <v>0.4</v>
      </c>
      <c r="BI2" s="483"/>
      <c r="BJ2" s="483"/>
      <c r="BK2" s="484"/>
    </row>
    <row r="3" spans="1:63" ht="15" customHeight="1">
      <c r="A3" s="473"/>
      <c r="B3" s="474"/>
      <c r="C3" s="474"/>
      <c r="D3" s="474"/>
      <c r="E3" s="474"/>
      <c r="F3" s="474"/>
      <c r="G3" s="474"/>
      <c r="H3" s="474"/>
      <c r="I3" s="474"/>
      <c r="J3" s="475"/>
      <c r="K3" s="473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5"/>
      <c r="W3" s="494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6"/>
      <c r="AP3" s="473"/>
      <c r="AQ3" s="474"/>
      <c r="AR3" s="474"/>
      <c r="AS3" s="475"/>
      <c r="AT3" s="479"/>
      <c r="AU3" s="480"/>
      <c r="AV3" s="480"/>
      <c r="AW3" s="480"/>
      <c r="AX3" s="481"/>
      <c r="AY3" s="473"/>
      <c r="AZ3" s="474"/>
      <c r="BA3" s="474"/>
      <c r="BB3" s="475"/>
      <c r="BC3" s="479"/>
      <c r="BD3" s="480"/>
      <c r="BE3" s="480"/>
      <c r="BF3" s="480"/>
      <c r="BG3" s="481"/>
      <c r="BH3" s="485"/>
      <c r="BI3" s="486"/>
      <c r="BJ3" s="486"/>
      <c r="BK3" s="487"/>
    </row>
    <row r="4" spans="1:63" ht="24.95" customHeight="1">
      <c r="A4" s="467" t="s">
        <v>8</v>
      </c>
      <c r="B4" s="468"/>
      <c r="C4" s="468"/>
      <c r="D4" s="468"/>
      <c r="E4" s="468"/>
      <c r="F4" s="468"/>
      <c r="G4" s="469"/>
      <c r="H4" s="497" t="s">
        <v>196</v>
      </c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9"/>
      <c r="U4" s="467" t="s">
        <v>9</v>
      </c>
      <c r="V4" s="468"/>
      <c r="W4" s="468"/>
      <c r="X4" s="468"/>
      <c r="Y4" s="469"/>
      <c r="Z4" s="497"/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9"/>
      <c r="AP4" s="497" t="s">
        <v>13</v>
      </c>
      <c r="AQ4" s="498"/>
      <c r="AR4" s="498"/>
      <c r="AS4" s="498"/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8"/>
      <c r="BE4" s="498"/>
      <c r="BF4" s="498"/>
      <c r="BG4" s="498"/>
      <c r="BH4" s="498"/>
      <c r="BI4" s="498"/>
      <c r="BJ4" s="498"/>
      <c r="BK4" s="4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K7" s="6"/>
    </row>
    <row r="8" spans="1:63" ht="15" customHeight="1">
      <c r="A8" s="5"/>
      <c r="BK8" s="6"/>
    </row>
    <row r="9" spans="1:63" ht="15" customHeight="1">
      <c r="A9" s="5"/>
      <c r="BK9" s="6"/>
    </row>
    <row r="10" spans="1:63" ht="15" customHeight="1">
      <c r="A10" s="5"/>
      <c r="BK10" s="6"/>
    </row>
    <row r="11" spans="1:63" ht="15" customHeight="1">
      <c r="A11" s="5"/>
      <c r="BK11" s="6"/>
    </row>
    <row r="12" spans="1:63" ht="15" customHeight="1">
      <c r="A12" s="5"/>
      <c r="BK12" s="6"/>
    </row>
    <row r="13" spans="1:63" ht="15" customHeight="1">
      <c r="A13" s="5"/>
      <c r="BK13" s="6"/>
    </row>
    <row r="14" spans="1:63" ht="15" customHeight="1" thickBot="1">
      <c r="A14" s="5"/>
      <c r="BK14" s="6"/>
    </row>
    <row r="15" spans="1:63" ht="15" customHeight="1" thickTop="1">
      <c r="A15" s="5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9"/>
      <c r="BK15" s="6"/>
    </row>
    <row r="16" spans="1:63" ht="15" customHeight="1">
      <c r="A16" s="5"/>
      <c r="K16" s="10"/>
      <c r="L16" s="466" t="s">
        <v>197</v>
      </c>
      <c r="M16" s="466"/>
      <c r="N16" s="466"/>
      <c r="O16" s="466"/>
      <c r="P16" s="466"/>
      <c r="Q16" s="466"/>
      <c r="R16" s="466"/>
      <c r="S16" s="466"/>
      <c r="T16" s="466"/>
      <c r="U16" s="466"/>
      <c r="V16" s="466"/>
      <c r="W16" s="466"/>
      <c r="X16" s="466"/>
      <c r="Y16" s="466"/>
      <c r="Z16" s="466"/>
      <c r="AA16" s="466"/>
      <c r="AB16" s="466"/>
      <c r="AC16" s="466"/>
      <c r="AD16" s="466"/>
      <c r="AE16" s="466"/>
      <c r="AF16" s="466"/>
      <c r="AG16" s="466"/>
      <c r="AH16" s="466"/>
      <c r="AI16" s="466"/>
      <c r="AJ16" s="466"/>
      <c r="AK16" s="466"/>
      <c r="AL16" s="466"/>
      <c r="AM16" s="466"/>
      <c r="AN16" s="466"/>
      <c r="AO16" s="466"/>
      <c r="AP16" s="466"/>
      <c r="AQ16" s="466"/>
      <c r="AR16" s="466"/>
      <c r="AS16" s="466"/>
      <c r="AT16" s="466"/>
      <c r="AU16" s="466"/>
      <c r="AV16" s="466"/>
      <c r="AW16" s="466"/>
      <c r="AX16" s="466"/>
      <c r="AY16" s="466"/>
      <c r="AZ16" s="466"/>
      <c r="BA16" s="11"/>
      <c r="BK16" s="6"/>
    </row>
    <row r="17" spans="1:63" ht="15" customHeight="1">
      <c r="A17" s="5"/>
      <c r="K17" s="10"/>
      <c r="L17" s="466"/>
      <c r="M17" s="466"/>
      <c r="N17" s="466"/>
      <c r="O17" s="466"/>
      <c r="P17" s="466"/>
      <c r="Q17" s="466"/>
      <c r="R17" s="466"/>
      <c r="S17" s="466"/>
      <c r="T17" s="466"/>
      <c r="U17" s="466"/>
      <c r="V17" s="466"/>
      <c r="W17" s="466"/>
      <c r="X17" s="466"/>
      <c r="Y17" s="466"/>
      <c r="Z17" s="466"/>
      <c r="AA17" s="466"/>
      <c r="AB17" s="466"/>
      <c r="AC17" s="466"/>
      <c r="AD17" s="466"/>
      <c r="AE17" s="466"/>
      <c r="AF17" s="466"/>
      <c r="AG17" s="466"/>
      <c r="AH17" s="466"/>
      <c r="AI17" s="466"/>
      <c r="AJ17" s="466"/>
      <c r="AK17" s="466"/>
      <c r="AL17" s="466"/>
      <c r="AM17" s="466"/>
      <c r="AN17" s="466"/>
      <c r="AO17" s="466"/>
      <c r="AP17" s="466"/>
      <c r="AQ17" s="466"/>
      <c r="AR17" s="466"/>
      <c r="AS17" s="466"/>
      <c r="AT17" s="466"/>
      <c r="AU17" s="466"/>
      <c r="AV17" s="466"/>
      <c r="AW17" s="466"/>
      <c r="AX17" s="466"/>
      <c r="AY17" s="466"/>
      <c r="AZ17" s="466"/>
      <c r="BA17" s="11"/>
      <c r="BK17" s="6"/>
    </row>
    <row r="18" spans="1:63" ht="15" customHeight="1">
      <c r="A18" s="5"/>
      <c r="K18" s="10"/>
      <c r="L18" s="466"/>
      <c r="M18" s="466"/>
      <c r="N18" s="466"/>
      <c r="O18" s="466"/>
      <c r="P18" s="466"/>
      <c r="Q18" s="466"/>
      <c r="R18" s="466"/>
      <c r="S18" s="466"/>
      <c r="T18" s="466"/>
      <c r="U18" s="466"/>
      <c r="V18" s="466"/>
      <c r="W18" s="466"/>
      <c r="X18" s="466"/>
      <c r="Y18" s="466"/>
      <c r="Z18" s="466"/>
      <c r="AA18" s="466"/>
      <c r="AB18" s="466"/>
      <c r="AC18" s="466"/>
      <c r="AD18" s="466"/>
      <c r="AE18" s="466"/>
      <c r="AF18" s="466"/>
      <c r="AG18" s="466"/>
      <c r="AH18" s="466"/>
      <c r="AI18" s="466"/>
      <c r="AJ18" s="466"/>
      <c r="AK18" s="466"/>
      <c r="AL18" s="466"/>
      <c r="AM18" s="466"/>
      <c r="AN18" s="466"/>
      <c r="AO18" s="466"/>
      <c r="AP18" s="466"/>
      <c r="AQ18" s="466"/>
      <c r="AR18" s="466"/>
      <c r="AS18" s="466"/>
      <c r="AT18" s="466"/>
      <c r="AU18" s="466"/>
      <c r="AV18" s="466"/>
      <c r="AW18" s="466"/>
      <c r="AX18" s="466"/>
      <c r="AY18" s="466"/>
      <c r="AZ18" s="466"/>
      <c r="BA18" s="11"/>
      <c r="BK18" s="6"/>
    </row>
    <row r="19" spans="1:63" ht="15" customHeight="1">
      <c r="A19" s="5"/>
      <c r="K19" s="10"/>
      <c r="L19" s="466"/>
      <c r="M19" s="466"/>
      <c r="N19" s="466"/>
      <c r="O19" s="466"/>
      <c r="P19" s="466"/>
      <c r="Q19" s="466"/>
      <c r="R19" s="466"/>
      <c r="S19" s="466"/>
      <c r="T19" s="466"/>
      <c r="U19" s="466"/>
      <c r="V19" s="466"/>
      <c r="W19" s="466"/>
      <c r="X19" s="466"/>
      <c r="Y19" s="466"/>
      <c r="Z19" s="466"/>
      <c r="AA19" s="466"/>
      <c r="AB19" s="466"/>
      <c r="AC19" s="466"/>
      <c r="AD19" s="466"/>
      <c r="AE19" s="466"/>
      <c r="AF19" s="466"/>
      <c r="AG19" s="466"/>
      <c r="AH19" s="466"/>
      <c r="AI19" s="466"/>
      <c r="AJ19" s="466"/>
      <c r="AK19" s="466"/>
      <c r="AL19" s="466"/>
      <c r="AM19" s="466"/>
      <c r="AN19" s="466"/>
      <c r="AO19" s="466"/>
      <c r="AP19" s="466"/>
      <c r="AQ19" s="466"/>
      <c r="AR19" s="466"/>
      <c r="AS19" s="466"/>
      <c r="AT19" s="466"/>
      <c r="AU19" s="466"/>
      <c r="AV19" s="466"/>
      <c r="AW19" s="466"/>
      <c r="AX19" s="466"/>
      <c r="AY19" s="466"/>
      <c r="AZ19" s="466"/>
      <c r="BA19" s="11"/>
      <c r="BK19" s="6"/>
    </row>
    <row r="20" spans="1:63" ht="15" customHeight="1">
      <c r="A20" s="5"/>
      <c r="K20" s="10"/>
      <c r="L20" s="466"/>
      <c r="M20" s="466"/>
      <c r="N20" s="466"/>
      <c r="O20" s="466"/>
      <c r="P20" s="466"/>
      <c r="Q20" s="466"/>
      <c r="R20" s="466"/>
      <c r="S20" s="466"/>
      <c r="T20" s="466"/>
      <c r="U20" s="466"/>
      <c r="V20" s="466"/>
      <c r="W20" s="466"/>
      <c r="X20" s="466"/>
      <c r="Y20" s="466"/>
      <c r="Z20" s="466"/>
      <c r="AA20" s="466"/>
      <c r="AB20" s="466"/>
      <c r="AC20" s="466"/>
      <c r="AD20" s="466"/>
      <c r="AE20" s="466"/>
      <c r="AF20" s="466"/>
      <c r="AG20" s="466"/>
      <c r="AH20" s="466"/>
      <c r="AI20" s="466"/>
      <c r="AJ20" s="466"/>
      <c r="AK20" s="466"/>
      <c r="AL20" s="466"/>
      <c r="AM20" s="466"/>
      <c r="AN20" s="466"/>
      <c r="AO20" s="466"/>
      <c r="AP20" s="466"/>
      <c r="AQ20" s="466"/>
      <c r="AR20" s="466"/>
      <c r="AS20" s="466"/>
      <c r="AT20" s="466"/>
      <c r="AU20" s="466"/>
      <c r="AV20" s="466"/>
      <c r="AW20" s="466"/>
      <c r="AX20" s="466"/>
      <c r="AY20" s="466"/>
      <c r="AZ20" s="466"/>
      <c r="BA20" s="11"/>
      <c r="BK20" s="6"/>
    </row>
    <row r="21" spans="1:63" ht="15" customHeight="1">
      <c r="A21" s="5"/>
      <c r="K21" s="10"/>
      <c r="L21" s="466"/>
      <c r="M21" s="466"/>
      <c r="N21" s="466"/>
      <c r="O21" s="466"/>
      <c r="P21" s="466"/>
      <c r="Q21" s="466"/>
      <c r="R21" s="466"/>
      <c r="S21" s="466"/>
      <c r="T21" s="466"/>
      <c r="U21" s="466"/>
      <c r="V21" s="466"/>
      <c r="W21" s="466"/>
      <c r="X21" s="466"/>
      <c r="Y21" s="466"/>
      <c r="Z21" s="466"/>
      <c r="AA21" s="466"/>
      <c r="AB21" s="466"/>
      <c r="AC21" s="466"/>
      <c r="AD21" s="466"/>
      <c r="AE21" s="466"/>
      <c r="AF21" s="466"/>
      <c r="AG21" s="466"/>
      <c r="AH21" s="466"/>
      <c r="AI21" s="466"/>
      <c r="AJ21" s="466"/>
      <c r="AK21" s="466"/>
      <c r="AL21" s="466"/>
      <c r="AM21" s="466"/>
      <c r="AN21" s="466"/>
      <c r="AO21" s="466"/>
      <c r="AP21" s="466"/>
      <c r="AQ21" s="466"/>
      <c r="AR21" s="466"/>
      <c r="AS21" s="466"/>
      <c r="AT21" s="466"/>
      <c r="AU21" s="466"/>
      <c r="AV21" s="466"/>
      <c r="AW21" s="466"/>
      <c r="AX21" s="466"/>
      <c r="AY21" s="466"/>
      <c r="AZ21" s="466"/>
      <c r="BA21" s="11"/>
      <c r="BK21" s="6"/>
    </row>
    <row r="22" spans="1:63" ht="15" customHeight="1" thickBot="1">
      <c r="A22" s="5"/>
      <c r="K22" s="10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1"/>
      <c r="BK22" s="6"/>
    </row>
    <row r="23" spans="1:63" ht="15" customHeight="1">
      <c r="A23" s="5"/>
      <c r="K23" s="1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1"/>
      <c r="BK23" s="6"/>
    </row>
    <row r="24" spans="1:63" ht="15" customHeight="1">
      <c r="A24" s="5"/>
      <c r="K24" s="10"/>
      <c r="L24" s="466" t="str">
        <f>K2&amp;"/"&amp;H4&amp;"/"&amp;Z4</f>
        <v>/Thiết kế  API Preset/</v>
      </c>
      <c r="M24" s="466"/>
      <c r="N24" s="466"/>
      <c r="O24" s="466"/>
      <c r="P24" s="466"/>
      <c r="Q24" s="466"/>
      <c r="R24" s="466"/>
      <c r="S24" s="466"/>
      <c r="T24" s="466"/>
      <c r="U24" s="466"/>
      <c r="V24" s="466"/>
      <c r="W24" s="466"/>
      <c r="X24" s="466"/>
      <c r="Y24" s="466"/>
      <c r="Z24" s="466"/>
      <c r="AA24" s="466"/>
      <c r="AB24" s="466"/>
      <c r="AC24" s="466"/>
      <c r="AD24" s="466"/>
      <c r="AE24" s="466"/>
      <c r="AF24" s="466"/>
      <c r="AG24" s="466"/>
      <c r="AH24" s="466"/>
      <c r="AI24" s="466"/>
      <c r="AJ24" s="466"/>
      <c r="AK24" s="466"/>
      <c r="AL24" s="466"/>
      <c r="AM24" s="466"/>
      <c r="AN24" s="466"/>
      <c r="AO24" s="466"/>
      <c r="AP24" s="466"/>
      <c r="AQ24" s="466"/>
      <c r="AR24" s="466"/>
      <c r="AS24" s="466"/>
      <c r="AT24" s="466"/>
      <c r="AU24" s="466"/>
      <c r="AV24" s="466"/>
      <c r="AW24" s="466"/>
      <c r="AX24" s="466"/>
      <c r="AY24" s="466"/>
      <c r="AZ24" s="466"/>
      <c r="BA24" s="11"/>
      <c r="BK24" s="6"/>
    </row>
    <row r="25" spans="1:63" ht="15" customHeight="1">
      <c r="A25" s="5"/>
      <c r="K25" s="10"/>
      <c r="L25" s="466"/>
      <c r="M25" s="466"/>
      <c r="N25" s="466"/>
      <c r="O25" s="466"/>
      <c r="P25" s="466"/>
      <c r="Q25" s="466"/>
      <c r="R25" s="466"/>
      <c r="S25" s="466"/>
      <c r="T25" s="466"/>
      <c r="U25" s="466"/>
      <c r="V25" s="466"/>
      <c r="W25" s="466"/>
      <c r="X25" s="466"/>
      <c r="Y25" s="466"/>
      <c r="Z25" s="466"/>
      <c r="AA25" s="466"/>
      <c r="AB25" s="466"/>
      <c r="AC25" s="466"/>
      <c r="AD25" s="466"/>
      <c r="AE25" s="466"/>
      <c r="AF25" s="466"/>
      <c r="AG25" s="466"/>
      <c r="AH25" s="466"/>
      <c r="AI25" s="466"/>
      <c r="AJ25" s="466"/>
      <c r="AK25" s="466"/>
      <c r="AL25" s="466"/>
      <c r="AM25" s="466"/>
      <c r="AN25" s="466"/>
      <c r="AO25" s="466"/>
      <c r="AP25" s="466"/>
      <c r="AQ25" s="466"/>
      <c r="AR25" s="466"/>
      <c r="AS25" s="466"/>
      <c r="AT25" s="466"/>
      <c r="AU25" s="466"/>
      <c r="AV25" s="466"/>
      <c r="AW25" s="466"/>
      <c r="AX25" s="466"/>
      <c r="AY25" s="466"/>
      <c r="AZ25" s="466"/>
      <c r="BA25" s="11"/>
      <c r="BK25" s="6"/>
    </row>
    <row r="26" spans="1:63" ht="15" customHeight="1">
      <c r="A26" s="5"/>
      <c r="K26" s="10"/>
      <c r="L26" s="466"/>
      <c r="M26" s="466"/>
      <c r="N26" s="466"/>
      <c r="O26" s="466"/>
      <c r="P26" s="466"/>
      <c r="Q26" s="466"/>
      <c r="R26" s="466"/>
      <c r="S26" s="466"/>
      <c r="T26" s="466"/>
      <c r="U26" s="466"/>
      <c r="V26" s="466"/>
      <c r="W26" s="466"/>
      <c r="X26" s="466"/>
      <c r="Y26" s="466"/>
      <c r="Z26" s="466"/>
      <c r="AA26" s="466"/>
      <c r="AB26" s="466"/>
      <c r="AC26" s="466"/>
      <c r="AD26" s="466"/>
      <c r="AE26" s="466"/>
      <c r="AF26" s="466"/>
      <c r="AG26" s="466"/>
      <c r="AH26" s="466"/>
      <c r="AI26" s="466"/>
      <c r="AJ26" s="466"/>
      <c r="AK26" s="466"/>
      <c r="AL26" s="466"/>
      <c r="AM26" s="466"/>
      <c r="AN26" s="466"/>
      <c r="AO26" s="466"/>
      <c r="AP26" s="466"/>
      <c r="AQ26" s="466"/>
      <c r="AR26" s="466"/>
      <c r="AS26" s="466"/>
      <c r="AT26" s="466"/>
      <c r="AU26" s="466"/>
      <c r="AV26" s="466"/>
      <c r="AW26" s="466"/>
      <c r="AX26" s="466"/>
      <c r="AY26" s="466"/>
      <c r="AZ26" s="466"/>
      <c r="BA26" s="11"/>
      <c r="BK26" s="6"/>
    </row>
    <row r="27" spans="1:63" ht="15" customHeight="1">
      <c r="A27" s="5"/>
      <c r="K27" s="10"/>
      <c r="L27" s="466"/>
      <c r="M27" s="466"/>
      <c r="N27" s="466"/>
      <c r="O27" s="466"/>
      <c r="P27" s="466"/>
      <c r="Q27" s="466"/>
      <c r="R27" s="466"/>
      <c r="S27" s="466"/>
      <c r="T27" s="466"/>
      <c r="U27" s="466"/>
      <c r="V27" s="466"/>
      <c r="W27" s="466"/>
      <c r="X27" s="466"/>
      <c r="Y27" s="466"/>
      <c r="Z27" s="466"/>
      <c r="AA27" s="466"/>
      <c r="AB27" s="466"/>
      <c r="AC27" s="466"/>
      <c r="AD27" s="466"/>
      <c r="AE27" s="466"/>
      <c r="AF27" s="466"/>
      <c r="AG27" s="466"/>
      <c r="AH27" s="466"/>
      <c r="AI27" s="466"/>
      <c r="AJ27" s="466"/>
      <c r="AK27" s="466"/>
      <c r="AL27" s="466"/>
      <c r="AM27" s="466"/>
      <c r="AN27" s="466"/>
      <c r="AO27" s="466"/>
      <c r="AP27" s="466"/>
      <c r="AQ27" s="466"/>
      <c r="AR27" s="466"/>
      <c r="AS27" s="466"/>
      <c r="AT27" s="466"/>
      <c r="AU27" s="466"/>
      <c r="AV27" s="466"/>
      <c r="AW27" s="466"/>
      <c r="AX27" s="466"/>
      <c r="AY27" s="466"/>
      <c r="AZ27" s="466"/>
      <c r="BA27" s="11"/>
      <c r="BK27" s="6"/>
    </row>
    <row r="28" spans="1:63" ht="15" customHeight="1">
      <c r="A28" s="5"/>
      <c r="K28" s="10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66"/>
      <c r="AO28" s="466"/>
      <c r="AP28" s="466"/>
      <c r="AQ28" s="466"/>
      <c r="AR28" s="466"/>
      <c r="AS28" s="466"/>
      <c r="AT28" s="466"/>
      <c r="AU28" s="466"/>
      <c r="AV28" s="466"/>
      <c r="AW28" s="466"/>
      <c r="AX28" s="466"/>
      <c r="AY28" s="466"/>
      <c r="AZ28" s="466"/>
      <c r="BA28" s="11"/>
      <c r="BK28" s="6"/>
    </row>
    <row r="29" spans="1:63" ht="15" customHeight="1">
      <c r="A29" s="5"/>
      <c r="K29" s="10"/>
      <c r="L29" s="466"/>
      <c r="M29" s="466"/>
      <c r="N29" s="466"/>
      <c r="O29" s="466"/>
      <c r="P29" s="466"/>
      <c r="Q29" s="466"/>
      <c r="R29" s="466"/>
      <c r="S29" s="466"/>
      <c r="T29" s="466"/>
      <c r="U29" s="466"/>
      <c r="V29" s="466"/>
      <c r="W29" s="466"/>
      <c r="X29" s="466"/>
      <c r="Y29" s="466"/>
      <c r="Z29" s="466"/>
      <c r="AA29" s="466"/>
      <c r="AB29" s="466"/>
      <c r="AC29" s="466"/>
      <c r="AD29" s="466"/>
      <c r="AE29" s="466"/>
      <c r="AF29" s="466"/>
      <c r="AG29" s="466"/>
      <c r="AH29" s="466"/>
      <c r="AI29" s="466"/>
      <c r="AJ29" s="466"/>
      <c r="AK29" s="466"/>
      <c r="AL29" s="466"/>
      <c r="AM29" s="466"/>
      <c r="AN29" s="466"/>
      <c r="AO29" s="466"/>
      <c r="AP29" s="466"/>
      <c r="AQ29" s="466"/>
      <c r="AR29" s="466"/>
      <c r="AS29" s="466"/>
      <c r="AT29" s="466"/>
      <c r="AU29" s="466"/>
      <c r="AV29" s="466"/>
      <c r="AW29" s="466"/>
      <c r="AX29" s="466"/>
      <c r="AY29" s="466"/>
      <c r="AZ29" s="466"/>
      <c r="BA29" s="11"/>
      <c r="BK29" s="6"/>
    </row>
    <row r="30" spans="1:63" ht="15" customHeight="1">
      <c r="A30" s="5"/>
      <c r="K30" s="10"/>
      <c r="L30" s="466"/>
      <c r="M30" s="466"/>
      <c r="N30" s="466"/>
      <c r="O30" s="466"/>
      <c r="P30" s="466"/>
      <c r="Q30" s="466"/>
      <c r="R30" s="466"/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466"/>
      <c r="AI30" s="466"/>
      <c r="AJ30" s="466"/>
      <c r="AK30" s="466"/>
      <c r="AL30" s="466"/>
      <c r="AM30" s="466"/>
      <c r="AN30" s="466"/>
      <c r="AO30" s="466"/>
      <c r="AP30" s="466"/>
      <c r="AQ30" s="466"/>
      <c r="AR30" s="466"/>
      <c r="AS30" s="466"/>
      <c r="AT30" s="466"/>
      <c r="AU30" s="466"/>
      <c r="AV30" s="466"/>
      <c r="AW30" s="466"/>
      <c r="AX30" s="466"/>
      <c r="AY30" s="466"/>
      <c r="AZ30" s="466"/>
      <c r="BA30" s="11"/>
      <c r="BK30" s="6"/>
    </row>
    <row r="31" spans="1:63" ht="15" customHeight="1">
      <c r="A31" s="5"/>
      <c r="K31" s="10"/>
      <c r="L31" s="466"/>
      <c r="M31" s="466"/>
      <c r="N31" s="466"/>
      <c r="O31" s="466"/>
      <c r="P31" s="466"/>
      <c r="Q31" s="466"/>
      <c r="R31" s="466"/>
      <c r="S31" s="466"/>
      <c r="T31" s="466"/>
      <c r="U31" s="466"/>
      <c r="V31" s="466"/>
      <c r="W31" s="466"/>
      <c r="X31" s="466"/>
      <c r="Y31" s="466"/>
      <c r="Z31" s="466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6"/>
      <c r="AO31" s="466"/>
      <c r="AP31" s="466"/>
      <c r="AQ31" s="466"/>
      <c r="AR31" s="466"/>
      <c r="AS31" s="466"/>
      <c r="AT31" s="466"/>
      <c r="AU31" s="466"/>
      <c r="AV31" s="466"/>
      <c r="AW31" s="466"/>
      <c r="AX31" s="466"/>
      <c r="AY31" s="466"/>
      <c r="AZ31" s="466"/>
      <c r="BA31" s="11"/>
      <c r="BK31" s="6"/>
    </row>
    <row r="32" spans="1:63" ht="15" customHeight="1">
      <c r="A32" s="5"/>
      <c r="K32" s="10"/>
      <c r="L32" s="466"/>
      <c r="M32" s="466"/>
      <c r="N32" s="466"/>
      <c r="O32" s="466"/>
      <c r="P32" s="466"/>
      <c r="Q32" s="466"/>
      <c r="R32" s="466"/>
      <c r="S32" s="466"/>
      <c r="T32" s="466"/>
      <c r="U32" s="466"/>
      <c r="V32" s="466"/>
      <c r="W32" s="466"/>
      <c r="X32" s="466"/>
      <c r="Y32" s="466"/>
      <c r="Z32" s="466"/>
      <c r="AA32" s="466"/>
      <c r="AB32" s="466"/>
      <c r="AC32" s="466"/>
      <c r="AD32" s="466"/>
      <c r="AE32" s="466"/>
      <c r="AF32" s="466"/>
      <c r="AG32" s="466"/>
      <c r="AH32" s="466"/>
      <c r="AI32" s="466"/>
      <c r="AJ32" s="466"/>
      <c r="AK32" s="466"/>
      <c r="AL32" s="466"/>
      <c r="AM32" s="466"/>
      <c r="AN32" s="466"/>
      <c r="AO32" s="466"/>
      <c r="AP32" s="466"/>
      <c r="AQ32" s="466"/>
      <c r="AR32" s="466"/>
      <c r="AS32" s="466"/>
      <c r="AT32" s="466"/>
      <c r="AU32" s="466"/>
      <c r="AV32" s="466"/>
      <c r="AW32" s="466"/>
      <c r="AX32" s="466"/>
      <c r="AY32" s="466"/>
      <c r="AZ32" s="466"/>
      <c r="BA32" s="11"/>
      <c r="BK32" s="6"/>
    </row>
    <row r="33" spans="1:63" ht="15" customHeight="1">
      <c r="A33" s="5"/>
      <c r="K33" s="10"/>
      <c r="L33" s="466"/>
      <c r="M33" s="466"/>
      <c r="N33" s="466"/>
      <c r="O33" s="466"/>
      <c r="P33" s="466"/>
      <c r="Q33" s="466"/>
      <c r="R33" s="466"/>
      <c r="S33" s="466"/>
      <c r="T33" s="466"/>
      <c r="U33" s="466"/>
      <c r="V33" s="466"/>
      <c r="W33" s="466"/>
      <c r="X33" s="466"/>
      <c r="Y33" s="466"/>
      <c r="Z33" s="466"/>
      <c r="AA33" s="466"/>
      <c r="AB33" s="466"/>
      <c r="AC33" s="466"/>
      <c r="AD33" s="466"/>
      <c r="AE33" s="466"/>
      <c r="AF33" s="466"/>
      <c r="AG33" s="466"/>
      <c r="AH33" s="466"/>
      <c r="AI33" s="466"/>
      <c r="AJ33" s="466"/>
      <c r="AK33" s="466"/>
      <c r="AL33" s="466"/>
      <c r="AM33" s="466"/>
      <c r="AN33" s="466"/>
      <c r="AO33" s="466"/>
      <c r="AP33" s="466"/>
      <c r="AQ33" s="466"/>
      <c r="AR33" s="466"/>
      <c r="AS33" s="466"/>
      <c r="AT33" s="466"/>
      <c r="AU33" s="466"/>
      <c r="AV33" s="466"/>
      <c r="AW33" s="466"/>
      <c r="AX33" s="466"/>
      <c r="AY33" s="466"/>
      <c r="AZ33" s="466"/>
      <c r="BA33" s="11"/>
      <c r="BK33" s="6"/>
    </row>
    <row r="34" spans="1:63" ht="15" customHeight="1">
      <c r="A34" s="5"/>
      <c r="K34" s="10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  <c r="AI34" s="466"/>
      <c r="AJ34" s="466"/>
      <c r="AK34" s="466"/>
      <c r="AL34" s="466"/>
      <c r="AM34" s="466"/>
      <c r="AN34" s="466"/>
      <c r="AO34" s="466"/>
      <c r="AP34" s="466"/>
      <c r="AQ34" s="466"/>
      <c r="AR34" s="466"/>
      <c r="AS34" s="466"/>
      <c r="AT34" s="466"/>
      <c r="AU34" s="466"/>
      <c r="AV34" s="466"/>
      <c r="AW34" s="466"/>
      <c r="AX34" s="466"/>
      <c r="AY34" s="466"/>
      <c r="AZ34" s="466"/>
      <c r="BA34" s="11"/>
      <c r="BK34" s="6"/>
    </row>
    <row r="35" spans="1:63" ht="15" customHeight="1">
      <c r="A35" s="5"/>
      <c r="K35" s="10"/>
      <c r="L35" s="466"/>
      <c r="M35" s="466"/>
      <c r="N35" s="466"/>
      <c r="O35" s="466"/>
      <c r="P35" s="466"/>
      <c r="Q35" s="466"/>
      <c r="R35" s="466"/>
      <c r="S35" s="466"/>
      <c r="T35" s="466"/>
      <c r="U35" s="466"/>
      <c r="V35" s="466"/>
      <c r="W35" s="466"/>
      <c r="X35" s="466"/>
      <c r="Y35" s="466"/>
      <c r="Z35" s="466"/>
      <c r="AA35" s="466"/>
      <c r="AB35" s="466"/>
      <c r="AC35" s="466"/>
      <c r="AD35" s="466"/>
      <c r="AE35" s="466"/>
      <c r="AF35" s="466"/>
      <c r="AG35" s="466"/>
      <c r="AH35" s="466"/>
      <c r="AI35" s="466"/>
      <c r="AJ35" s="466"/>
      <c r="AK35" s="466"/>
      <c r="AL35" s="466"/>
      <c r="AM35" s="466"/>
      <c r="AN35" s="466"/>
      <c r="AO35" s="466"/>
      <c r="AP35" s="466"/>
      <c r="AQ35" s="466"/>
      <c r="AR35" s="466"/>
      <c r="AS35" s="466"/>
      <c r="AT35" s="466"/>
      <c r="AU35" s="466"/>
      <c r="AV35" s="466"/>
      <c r="AW35" s="466"/>
      <c r="AX35" s="466"/>
      <c r="AY35" s="466"/>
      <c r="AZ35" s="466"/>
      <c r="BA35" s="11"/>
      <c r="BK35" s="6"/>
    </row>
    <row r="36" spans="1:63" ht="15" customHeight="1">
      <c r="A36" s="5"/>
      <c r="K36" s="10"/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/>
      <c r="W36" s="466"/>
      <c r="X36" s="466"/>
      <c r="Y36" s="466"/>
      <c r="Z36" s="466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6"/>
      <c r="AO36" s="466"/>
      <c r="AP36" s="466"/>
      <c r="AQ36" s="466"/>
      <c r="AR36" s="466"/>
      <c r="AS36" s="466"/>
      <c r="AT36" s="466"/>
      <c r="AU36" s="466"/>
      <c r="AV36" s="466"/>
      <c r="AW36" s="466"/>
      <c r="AX36" s="466"/>
      <c r="AY36" s="466"/>
      <c r="AZ36" s="466"/>
      <c r="BA36" s="11"/>
      <c r="BK36" s="6"/>
    </row>
    <row r="37" spans="1:63" ht="15" customHeight="1" thickBot="1">
      <c r="A37" s="5"/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6"/>
      <c r="BK37" s="6"/>
    </row>
    <row r="38" spans="1:63" ht="15" customHeight="1" thickTop="1">
      <c r="A38" s="5"/>
      <c r="BK38" s="6"/>
    </row>
    <row r="39" spans="1:63" ht="15" customHeight="1">
      <c r="A39" s="5"/>
      <c r="BK39" s="6"/>
    </row>
    <row r="40" spans="1:63" ht="15" customHeight="1">
      <c r="A40" s="5"/>
      <c r="BK40" s="6"/>
    </row>
    <row r="41" spans="1:63" ht="15" customHeight="1">
      <c r="A41" s="5"/>
      <c r="BK41" s="6"/>
    </row>
    <row r="42" spans="1:63" ht="15" customHeight="1">
      <c r="A42" s="5"/>
      <c r="BK42" s="6"/>
    </row>
    <row r="43" spans="1:63" ht="15" customHeight="1">
      <c r="A43" s="5"/>
      <c r="BK43" s="6"/>
    </row>
    <row r="44" spans="1:63" ht="15" customHeight="1">
      <c r="A44" s="5"/>
      <c r="Q44" s="500" t="s">
        <v>14</v>
      </c>
      <c r="R44" s="501"/>
      <c r="S44" s="501"/>
      <c r="T44" s="501"/>
      <c r="U44" s="501"/>
      <c r="V44" s="501"/>
      <c r="W44" s="501"/>
      <c r="X44" s="501"/>
      <c r="Y44" s="501"/>
      <c r="Z44" s="502"/>
      <c r="AA44" s="500" t="s">
        <v>15</v>
      </c>
      <c r="AB44" s="501"/>
      <c r="AC44" s="501"/>
      <c r="AD44" s="501"/>
      <c r="AE44" s="501"/>
      <c r="AF44" s="501"/>
      <c r="AG44" s="501"/>
      <c r="AH44" s="501"/>
      <c r="AI44" s="501"/>
      <c r="AJ44" s="501"/>
      <c r="AK44" s="501"/>
      <c r="AL44" s="501"/>
      <c r="AM44" s="501"/>
      <c r="AN44" s="501"/>
      <c r="AO44" s="501"/>
      <c r="AP44" s="502"/>
      <c r="AQ44" s="500" t="s">
        <v>6</v>
      </c>
      <c r="AR44" s="501"/>
      <c r="AS44" s="501"/>
      <c r="AT44" s="501"/>
      <c r="AU44" s="502"/>
      <c r="BK44" s="6"/>
    </row>
    <row r="45" spans="1:63" ht="15" customHeight="1">
      <c r="A45" s="5"/>
      <c r="Q45" s="503"/>
      <c r="R45" s="504"/>
      <c r="S45" s="504"/>
      <c r="T45" s="504"/>
      <c r="U45" s="504"/>
      <c r="V45" s="504"/>
      <c r="W45" s="504"/>
      <c r="X45" s="504"/>
      <c r="Y45" s="504"/>
      <c r="Z45" s="505"/>
      <c r="AA45" s="503"/>
      <c r="AB45" s="504"/>
      <c r="AC45" s="504"/>
      <c r="AD45" s="504"/>
      <c r="AE45" s="504"/>
      <c r="AF45" s="504"/>
      <c r="AG45" s="504"/>
      <c r="AH45" s="504"/>
      <c r="AI45" s="504"/>
      <c r="AJ45" s="504"/>
      <c r="AK45" s="504"/>
      <c r="AL45" s="504"/>
      <c r="AM45" s="504"/>
      <c r="AN45" s="504"/>
      <c r="AO45" s="504"/>
      <c r="AP45" s="505"/>
      <c r="AQ45" s="503"/>
      <c r="AR45" s="504"/>
      <c r="AS45" s="504"/>
      <c r="AT45" s="504"/>
      <c r="AU45" s="505"/>
      <c r="BK45" s="6"/>
    </row>
    <row r="46" spans="1:63" ht="15" customHeight="1">
      <c r="A46" s="5"/>
      <c r="Q46" s="470"/>
      <c r="R46" s="471"/>
      <c r="S46" s="471"/>
      <c r="T46" s="471"/>
      <c r="U46" s="471"/>
      <c r="V46" s="471"/>
      <c r="W46" s="471"/>
      <c r="X46" s="471"/>
      <c r="Y46" s="471"/>
      <c r="Z46" s="472"/>
      <c r="AA46" s="470"/>
      <c r="AB46" s="471"/>
      <c r="AC46" s="471"/>
      <c r="AD46" s="471"/>
      <c r="AE46" s="471"/>
      <c r="AF46" s="471"/>
      <c r="AG46" s="471"/>
      <c r="AH46" s="471"/>
      <c r="AI46" s="471"/>
      <c r="AJ46" s="471"/>
      <c r="AK46" s="471"/>
      <c r="AL46" s="471"/>
      <c r="AM46" s="471"/>
      <c r="AN46" s="471"/>
      <c r="AO46" s="471"/>
      <c r="AP46" s="472"/>
      <c r="AQ46" s="470"/>
      <c r="AR46" s="471"/>
      <c r="AS46" s="471"/>
      <c r="AT46" s="471"/>
      <c r="AU46" s="472"/>
      <c r="BK46" s="6"/>
    </row>
    <row r="47" spans="1:63" ht="15" customHeight="1">
      <c r="A47" s="5"/>
      <c r="Q47" s="506"/>
      <c r="R47" s="507"/>
      <c r="S47" s="507"/>
      <c r="T47" s="507"/>
      <c r="U47" s="507"/>
      <c r="V47" s="507"/>
      <c r="W47" s="507"/>
      <c r="X47" s="507"/>
      <c r="Y47" s="507"/>
      <c r="Z47" s="508"/>
      <c r="AA47" s="506"/>
      <c r="AB47" s="507"/>
      <c r="AC47" s="507"/>
      <c r="AD47" s="507"/>
      <c r="AE47" s="507"/>
      <c r="AF47" s="507"/>
      <c r="AG47" s="507"/>
      <c r="AH47" s="507"/>
      <c r="AI47" s="507"/>
      <c r="AJ47" s="507"/>
      <c r="AK47" s="507"/>
      <c r="AL47" s="507"/>
      <c r="AM47" s="507"/>
      <c r="AN47" s="507"/>
      <c r="AO47" s="507"/>
      <c r="AP47" s="508"/>
      <c r="AQ47" s="506"/>
      <c r="AR47" s="507"/>
      <c r="AS47" s="507"/>
      <c r="AT47" s="507"/>
      <c r="AU47" s="508"/>
      <c r="BK47" s="6"/>
    </row>
    <row r="48" spans="1:63" ht="15" customHeight="1">
      <c r="A48" s="5"/>
      <c r="Q48" s="506"/>
      <c r="R48" s="507"/>
      <c r="S48" s="507"/>
      <c r="T48" s="507"/>
      <c r="U48" s="507"/>
      <c r="V48" s="507"/>
      <c r="W48" s="507"/>
      <c r="X48" s="507"/>
      <c r="Y48" s="507"/>
      <c r="Z48" s="508"/>
      <c r="AA48" s="506"/>
      <c r="AB48" s="507"/>
      <c r="AC48" s="507"/>
      <c r="AD48" s="507"/>
      <c r="AE48" s="507"/>
      <c r="AF48" s="507"/>
      <c r="AG48" s="507"/>
      <c r="AH48" s="507"/>
      <c r="AI48" s="507"/>
      <c r="AJ48" s="507"/>
      <c r="AK48" s="507"/>
      <c r="AL48" s="507"/>
      <c r="AM48" s="507"/>
      <c r="AN48" s="507"/>
      <c r="AO48" s="507"/>
      <c r="AP48" s="508"/>
      <c r="AQ48" s="506"/>
      <c r="AR48" s="507"/>
      <c r="AS48" s="507"/>
      <c r="AT48" s="507"/>
      <c r="AU48" s="508"/>
      <c r="BK48" s="6"/>
    </row>
    <row r="49" spans="1:63" ht="15" customHeight="1">
      <c r="A49" s="5"/>
      <c r="Q49" s="473"/>
      <c r="R49" s="474"/>
      <c r="S49" s="474"/>
      <c r="T49" s="474"/>
      <c r="U49" s="474"/>
      <c r="V49" s="474"/>
      <c r="W49" s="474"/>
      <c r="X49" s="474"/>
      <c r="Y49" s="474"/>
      <c r="Z49" s="475"/>
      <c r="AA49" s="473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  <c r="AL49" s="474"/>
      <c r="AM49" s="474"/>
      <c r="AN49" s="474"/>
      <c r="AO49" s="474"/>
      <c r="AP49" s="475"/>
      <c r="AQ49" s="473"/>
      <c r="AR49" s="474"/>
      <c r="AS49" s="474"/>
      <c r="AT49" s="474"/>
      <c r="AU49" s="475"/>
      <c r="BK49" s="6"/>
    </row>
    <row r="50" spans="1:63" ht="15" customHeight="1">
      <c r="A50" s="5"/>
      <c r="BK50" s="6"/>
    </row>
    <row r="51" spans="1:63" ht="15" customHeight="1">
      <c r="A51" s="5"/>
      <c r="BK51" s="6"/>
    </row>
    <row r="52" spans="1:63" ht="15" customHeight="1">
      <c r="A52" s="5"/>
      <c r="BK52" s="6"/>
    </row>
    <row r="53" spans="1:63" ht="15" customHeight="1">
      <c r="A53" s="5"/>
      <c r="BK53" s="6"/>
    </row>
    <row r="54" spans="1:63" ht="15" customHeight="1">
      <c r="A54" s="5"/>
      <c r="BK54" s="6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28">
    <mergeCell ref="L24:AZ36"/>
    <mergeCell ref="Q44:Z45"/>
    <mergeCell ref="AA44:AP45"/>
    <mergeCell ref="AQ44:AU45"/>
    <mergeCell ref="Q46:Z49"/>
    <mergeCell ref="AA46:AP49"/>
    <mergeCell ref="AQ46:AU49"/>
    <mergeCell ref="A4:G4"/>
    <mergeCell ref="H4:T4"/>
    <mergeCell ref="U4:Y4"/>
    <mergeCell ref="Z4:AO4"/>
    <mergeCell ref="AP4:BK4"/>
    <mergeCell ref="L16:AZ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3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D909-C633-49EE-BBA5-6306C3D4CFE7}">
  <sheetPr>
    <tabColor rgb="FF00B050"/>
  </sheetPr>
  <dimension ref="A1:BK55"/>
  <sheetViews>
    <sheetView view="pageBreakPreview" zoomScale="85" zoomScaleNormal="75" zoomScaleSheetLayoutView="85" workbookViewId="0">
      <selection activeCell="S28" sqref="S28:AW28"/>
    </sheetView>
  </sheetViews>
  <sheetFormatPr defaultRowHeight="15.75"/>
  <cols>
    <col min="1" max="63" width="3.5703125" style="1" customWidth="1"/>
    <col min="64" max="16384" width="9.140625" style="1"/>
  </cols>
  <sheetData>
    <row r="1" spans="1:63" ht="24.95" customHeight="1">
      <c r="A1" s="467" t="s">
        <v>0</v>
      </c>
      <c r="B1" s="468"/>
      <c r="C1" s="468"/>
      <c r="D1" s="468"/>
      <c r="E1" s="468"/>
      <c r="F1" s="468"/>
      <c r="G1" s="468"/>
      <c r="H1" s="468"/>
      <c r="I1" s="468"/>
      <c r="J1" s="469"/>
      <c r="K1" s="467" t="s">
        <v>1</v>
      </c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9"/>
      <c r="W1" s="488" t="str">
        <f>IF(表紙!W1="","",表紙!W1)</f>
        <v/>
      </c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90"/>
      <c r="AP1" s="467" t="s">
        <v>2</v>
      </c>
      <c r="AQ1" s="468"/>
      <c r="AR1" s="468"/>
      <c r="AS1" s="469"/>
      <c r="AT1" s="467" t="s">
        <v>3</v>
      </c>
      <c r="AU1" s="468"/>
      <c r="AV1" s="468"/>
      <c r="AW1" s="468"/>
      <c r="AX1" s="469"/>
      <c r="AY1" s="467" t="s">
        <v>4</v>
      </c>
      <c r="AZ1" s="468"/>
      <c r="BA1" s="468"/>
      <c r="BB1" s="469"/>
      <c r="BC1" s="467" t="s">
        <v>5</v>
      </c>
      <c r="BD1" s="468"/>
      <c r="BE1" s="468"/>
      <c r="BF1" s="468"/>
      <c r="BG1" s="469"/>
      <c r="BH1" s="467" t="s">
        <v>6</v>
      </c>
      <c r="BI1" s="468"/>
      <c r="BJ1" s="468"/>
      <c r="BK1" s="469"/>
    </row>
    <row r="2" spans="1:63" ht="15" customHeight="1">
      <c r="A2" s="470" t="str">
        <f>IF(表紙!A2="","",表紙!A2)</f>
        <v>現金専用簡易セルフPOS</v>
      </c>
      <c r="B2" s="471"/>
      <c r="C2" s="471"/>
      <c r="D2" s="471"/>
      <c r="E2" s="471"/>
      <c r="F2" s="471"/>
      <c r="G2" s="471"/>
      <c r="H2" s="471"/>
      <c r="I2" s="471"/>
      <c r="J2" s="472"/>
      <c r="K2" s="470" t="str">
        <f>IF(表紙!K2="","",表紙!K2)</f>
        <v/>
      </c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2"/>
      <c r="W2" s="491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3"/>
      <c r="AP2" s="470" t="str">
        <f>IF(表紙!AP2="","",表紙!AP2)</f>
        <v>ThaiDD</v>
      </c>
      <c r="AQ2" s="471"/>
      <c r="AR2" s="471"/>
      <c r="AS2" s="472"/>
      <c r="AT2" s="476">
        <f>IF(表紙!AT2="","",表紙!AT2)</f>
        <v>45225</v>
      </c>
      <c r="AU2" s="477"/>
      <c r="AV2" s="477"/>
      <c r="AW2" s="477"/>
      <c r="AX2" s="478"/>
      <c r="AY2" s="470" t="str">
        <f>IF(表紙!AY2="","",表紙!AY2)</f>
        <v>ThaiDD</v>
      </c>
      <c r="AZ2" s="471"/>
      <c r="BA2" s="471"/>
      <c r="BB2" s="472"/>
      <c r="BC2" s="476">
        <f>IF(表紙!BC2="","",表紙!BC2)</f>
        <v>45316</v>
      </c>
      <c r="BD2" s="477"/>
      <c r="BE2" s="477"/>
      <c r="BF2" s="477"/>
      <c r="BG2" s="478"/>
      <c r="BH2" s="470">
        <f>IF(表紙!BH2="","",表紙!BH2)</f>
        <v>0.4</v>
      </c>
      <c r="BI2" s="471"/>
      <c r="BJ2" s="471"/>
      <c r="BK2" s="472"/>
    </row>
    <row r="3" spans="1:63" ht="15" customHeight="1">
      <c r="A3" s="473"/>
      <c r="B3" s="474"/>
      <c r="C3" s="474"/>
      <c r="D3" s="474"/>
      <c r="E3" s="474"/>
      <c r="F3" s="474"/>
      <c r="G3" s="474"/>
      <c r="H3" s="474"/>
      <c r="I3" s="474"/>
      <c r="J3" s="475"/>
      <c r="K3" s="473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5"/>
      <c r="W3" s="494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6"/>
      <c r="AP3" s="473"/>
      <c r="AQ3" s="474"/>
      <c r="AR3" s="474"/>
      <c r="AS3" s="475"/>
      <c r="AT3" s="479"/>
      <c r="AU3" s="480"/>
      <c r="AV3" s="480"/>
      <c r="AW3" s="480"/>
      <c r="AX3" s="481"/>
      <c r="AY3" s="473"/>
      <c r="AZ3" s="474"/>
      <c r="BA3" s="474"/>
      <c r="BB3" s="475"/>
      <c r="BC3" s="479"/>
      <c r="BD3" s="480"/>
      <c r="BE3" s="480"/>
      <c r="BF3" s="480"/>
      <c r="BG3" s="481"/>
      <c r="BH3" s="473"/>
      <c r="BI3" s="474"/>
      <c r="BJ3" s="474"/>
      <c r="BK3" s="475"/>
    </row>
    <row r="4" spans="1:63" ht="24.95" customHeight="1">
      <c r="A4" s="467" t="s">
        <v>8</v>
      </c>
      <c r="B4" s="468"/>
      <c r="C4" s="468"/>
      <c r="D4" s="468"/>
      <c r="E4" s="468"/>
      <c r="F4" s="468"/>
      <c r="G4" s="469"/>
      <c r="H4" s="497" t="str">
        <f>IF(表紙!H4="","",表紙!H4)</f>
        <v>Thiết kế  API Preset</v>
      </c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9"/>
      <c r="U4" s="467" t="s">
        <v>9</v>
      </c>
      <c r="V4" s="468"/>
      <c r="W4" s="468"/>
      <c r="X4" s="468"/>
      <c r="Y4" s="469"/>
      <c r="Z4" s="497" t="str">
        <f>IF(表紙!Z4="","",表紙!Z4)</f>
        <v/>
      </c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9"/>
      <c r="AP4" s="497" t="s">
        <v>16</v>
      </c>
      <c r="AQ4" s="498"/>
      <c r="AR4" s="498"/>
      <c r="AS4" s="498"/>
      <c r="AT4" s="498"/>
      <c r="AU4" s="498"/>
      <c r="AV4" s="498"/>
      <c r="AW4" s="498"/>
      <c r="AX4" s="498"/>
      <c r="AY4" s="498"/>
      <c r="AZ4" s="498"/>
      <c r="BA4" s="498"/>
      <c r="BB4" s="498"/>
      <c r="BC4" s="498"/>
      <c r="BD4" s="498"/>
      <c r="BE4" s="498"/>
      <c r="BF4" s="498"/>
      <c r="BG4" s="498"/>
      <c r="BH4" s="498"/>
      <c r="BI4" s="498"/>
      <c r="BJ4" s="498"/>
      <c r="BK4" s="4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5"/>
      <c r="BK6" s="6"/>
    </row>
    <row r="7" spans="1:63" ht="15" customHeight="1">
      <c r="A7" s="5"/>
      <c r="BK7" s="6"/>
    </row>
    <row r="8" spans="1:63" ht="15" customHeight="1">
      <c r="A8" s="5"/>
      <c r="B8" s="1" t="s">
        <v>17</v>
      </c>
      <c r="BK8" s="6"/>
    </row>
    <row r="9" spans="1:63" ht="15" customHeight="1">
      <c r="A9" s="5"/>
      <c r="BK9" s="6"/>
    </row>
    <row r="10" spans="1:63" ht="15" customHeight="1">
      <c r="A10" s="5"/>
      <c r="B10" s="509" t="s">
        <v>18</v>
      </c>
      <c r="C10" s="509"/>
      <c r="D10" s="509"/>
      <c r="E10" s="509"/>
      <c r="F10" s="509"/>
      <c r="G10" s="509"/>
      <c r="H10" s="509" t="s">
        <v>4</v>
      </c>
      <c r="I10" s="509"/>
      <c r="J10" s="509"/>
      <c r="K10" s="509"/>
      <c r="L10" s="509"/>
      <c r="M10" s="509"/>
      <c r="N10" s="509"/>
      <c r="O10" s="509" t="s">
        <v>6</v>
      </c>
      <c r="P10" s="509"/>
      <c r="Q10" s="509"/>
      <c r="R10" s="509"/>
      <c r="S10" s="509" t="s">
        <v>19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  <c r="AO10" s="509"/>
      <c r="AP10" s="509"/>
      <c r="AQ10" s="509"/>
      <c r="AR10" s="509"/>
      <c r="AS10" s="509"/>
      <c r="AT10" s="509"/>
      <c r="AU10" s="509"/>
      <c r="AV10" s="509"/>
      <c r="AW10" s="509"/>
      <c r="AX10" s="509" t="s">
        <v>20</v>
      </c>
      <c r="AY10" s="509"/>
      <c r="AZ10" s="509"/>
      <c r="BA10" s="509"/>
      <c r="BB10" s="509"/>
      <c r="BC10" s="509"/>
      <c r="BD10" s="509" t="s">
        <v>15</v>
      </c>
      <c r="BE10" s="509"/>
      <c r="BF10" s="509"/>
      <c r="BG10" s="509"/>
      <c r="BH10" s="509"/>
      <c r="BI10" s="509"/>
      <c r="BJ10" s="509"/>
      <c r="BK10" s="6"/>
    </row>
    <row r="11" spans="1:63" ht="15" customHeight="1">
      <c r="A11" s="5"/>
      <c r="B11" s="510">
        <v>45225</v>
      </c>
      <c r="C11" s="511"/>
      <c r="D11" s="511"/>
      <c r="E11" s="511"/>
      <c r="F11" s="511"/>
      <c r="G11" s="512"/>
      <c r="H11" s="516" t="s">
        <v>12</v>
      </c>
      <c r="I11" s="511"/>
      <c r="J11" s="511"/>
      <c r="K11" s="511"/>
      <c r="L11" s="511"/>
      <c r="M11" s="511"/>
      <c r="N11" s="512"/>
      <c r="O11" s="516">
        <v>0.1</v>
      </c>
      <c r="P11" s="511"/>
      <c r="Q11" s="511"/>
      <c r="R11" s="511"/>
      <c r="S11" s="518" t="s">
        <v>21</v>
      </c>
      <c r="T11" s="519"/>
      <c r="U11" s="519"/>
      <c r="V11" s="519"/>
      <c r="W11" s="519"/>
      <c r="X11" s="519"/>
      <c r="Y11" s="519"/>
      <c r="Z11" s="519"/>
      <c r="AA11" s="519"/>
      <c r="AB11" s="519"/>
      <c r="AC11" s="519"/>
      <c r="AD11" s="519"/>
      <c r="AE11" s="519"/>
      <c r="AF11" s="519"/>
      <c r="AG11" s="519"/>
      <c r="AH11" s="519"/>
      <c r="AI11" s="519"/>
      <c r="AJ11" s="519"/>
      <c r="AK11" s="519"/>
      <c r="AL11" s="519"/>
      <c r="AM11" s="519"/>
      <c r="AN11" s="519"/>
      <c r="AO11" s="519"/>
      <c r="AP11" s="519"/>
      <c r="AQ11" s="519"/>
      <c r="AR11" s="519"/>
      <c r="AS11" s="519"/>
      <c r="AT11" s="519"/>
      <c r="AU11" s="519"/>
      <c r="AV11" s="519"/>
      <c r="AW11" s="520"/>
      <c r="AX11" s="511"/>
      <c r="AY11" s="511"/>
      <c r="AZ11" s="511"/>
      <c r="BA11" s="511"/>
      <c r="BB11" s="511"/>
      <c r="BC11" s="512"/>
      <c r="BD11" s="516"/>
      <c r="BE11" s="511"/>
      <c r="BF11" s="511"/>
      <c r="BG11" s="511"/>
      <c r="BH11" s="511"/>
      <c r="BI11" s="511"/>
      <c r="BJ11" s="512"/>
      <c r="BK11" s="6"/>
    </row>
    <row r="12" spans="1:63" ht="15" customHeight="1">
      <c r="A12" s="5"/>
      <c r="B12" s="513"/>
      <c r="C12" s="514"/>
      <c r="D12" s="514"/>
      <c r="E12" s="514"/>
      <c r="F12" s="514"/>
      <c r="G12" s="515"/>
      <c r="H12" s="513"/>
      <c r="I12" s="514"/>
      <c r="J12" s="514"/>
      <c r="K12" s="514"/>
      <c r="L12" s="514"/>
      <c r="M12" s="514"/>
      <c r="N12" s="515"/>
      <c r="O12" s="513"/>
      <c r="P12" s="514"/>
      <c r="Q12" s="514"/>
      <c r="R12" s="514"/>
      <c r="S12" s="521"/>
      <c r="T12" s="522"/>
      <c r="U12" s="522"/>
      <c r="V12" s="522"/>
      <c r="W12" s="522"/>
      <c r="X12" s="522"/>
      <c r="Y12" s="522"/>
      <c r="Z12" s="522"/>
      <c r="AA12" s="522"/>
      <c r="AB12" s="522"/>
      <c r="AC12" s="522"/>
      <c r="AD12" s="522"/>
      <c r="AE12" s="522"/>
      <c r="AF12" s="522"/>
      <c r="AG12" s="522"/>
      <c r="AH12" s="522"/>
      <c r="AI12" s="522"/>
      <c r="AJ12" s="522"/>
      <c r="AK12" s="522"/>
      <c r="AL12" s="522"/>
      <c r="AM12" s="522"/>
      <c r="AN12" s="522"/>
      <c r="AO12" s="522"/>
      <c r="AP12" s="522"/>
      <c r="AQ12" s="522"/>
      <c r="AR12" s="522"/>
      <c r="AS12" s="522"/>
      <c r="AT12" s="522"/>
      <c r="AU12" s="522"/>
      <c r="AV12" s="522"/>
      <c r="AW12" s="523"/>
      <c r="AX12" s="514"/>
      <c r="AY12" s="514"/>
      <c r="AZ12" s="514"/>
      <c r="BA12" s="514"/>
      <c r="BB12" s="514"/>
      <c r="BC12" s="515"/>
      <c r="BD12" s="513"/>
      <c r="BE12" s="514"/>
      <c r="BF12" s="514"/>
      <c r="BG12" s="514"/>
      <c r="BH12" s="514"/>
      <c r="BI12" s="514"/>
      <c r="BJ12" s="515"/>
      <c r="BK12" s="6"/>
    </row>
    <row r="13" spans="1:63" ht="15" customHeight="1">
      <c r="A13" s="5"/>
      <c r="B13" s="510">
        <v>45257</v>
      </c>
      <c r="C13" s="511"/>
      <c r="D13" s="511"/>
      <c r="E13" s="511"/>
      <c r="F13" s="511"/>
      <c r="G13" s="512"/>
      <c r="H13" s="516" t="s">
        <v>265</v>
      </c>
      <c r="I13" s="511"/>
      <c r="J13" s="511"/>
      <c r="K13" s="511"/>
      <c r="L13" s="511"/>
      <c r="M13" s="511"/>
      <c r="N13" s="512"/>
      <c r="O13" s="517">
        <v>0.2</v>
      </c>
      <c r="P13" s="511"/>
      <c r="Q13" s="511"/>
      <c r="R13" s="511"/>
      <c r="S13" s="518" t="s">
        <v>266</v>
      </c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19"/>
      <c r="AU13" s="519"/>
      <c r="AV13" s="519"/>
      <c r="AW13" s="520"/>
      <c r="AX13" s="511"/>
      <c r="AY13" s="511"/>
      <c r="AZ13" s="511"/>
      <c r="BA13" s="511"/>
      <c r="BB13" s="511"/>
      <c r="BC13" s="512"/>
      <c r="BD13" s="516"/>
      <c r="BE13" s="511"/>
      <c r="BF13" s="511"/>
      <c r="BG13" s="511"/>
      <c r="BH13" s="511"/>
      <c r="BI13" s="511"/>
      <c r="BJ13" s="512"/>
      <c r="BK13" s="6"/>
    </row>
    <row r="14" spans="1:63" ht="15" customHeight="1">
      <c r="A14" s="5"/>
      <c r="B14" s="513"/>
      <c r="C14" s="514"/>
      <c r="D14" s="514"/>
      <c r="E14" s="514"/>
      <c r="F14" s="514"/>
      <c r="G14" s="515"/>
      <c r="H14" s="513"/>
      <c r="I14" s="514"/>
      <c r="J14" s="514"/>
      <c r="K14" s="514"/>
      <c r="L14" s="514"/>
      <c r="M14" s="514"/>
      <c r="N14" s="515"/>
      <c r="O14" s="513"/>
      <c r="P14" s="514"/>
      <c r="Q14" s="514"/>
      <c r="R14" s="514"/>
      <c r="S14" s="521"/>
      <c r="T14" s="522"/>
      <c r="U14" s="522"/>
      <c r="V14" s="522"/>
      <c r="W14" s="522"/>
      <c r="X14" s="522"/>
      <c r="Y14" s="522"/>
      <c r="Z14" s="522"/>
      <c r="AA14" s="522"/>
      <c r="AB14" s="522"/>
      <c r="AC14" s="522"/>
      <c r="AD14" s="522"/>
      <c r="AE14" s="522"/>
      <c r="AF14" s="522"/>
      <c r="AG14" s="522"/>
      <c r="AH14" s="522"/>
      <c r="AI14" s="522"/>
      <c r="AJ14" s="522"/>
      <c r="AK14" s="522"/>
      <c r="AL14" s="522"/>
      <c r="AM14" s="522"/>
      <c r="AN14" s="522"/>
      <c r="AO14" s="522"/>
      <c r="AP14" s="522"/>
      <c r="AQ14" s="522"/>
      <c r="AR14" s="522"/>
      <c r="AS14" s="522"/>
      <c r="AT14" s="522"/>
      <c r="AU14" s="522"/>
      <c r="AV14" s="522"/>
      <c r="AW14" s="523"/>
      <c r="AX14" s="514"/>
      <c r="AY14" s="514"/>
      <c r="AZ14" s="514"/>
      <c r="BA14" s="514"/>
      <c r="BB14" s="514"/>
      <c r="BC14" s="515"/>
      <c r="BD14" s="513"/>
      <c r="BE14" s="514"/>
      <c r="BF14" s="514"/>
      <c r="BG14" s="514"/>
      <c r="BH14" s="514"/>
      <c r="BI14" s="514"/>
      <c r="BJ14" s="515"/>
      <c r="BK14" s="6"/>
    </row>
    <row r="15" spans="1:63" ht="15" customHeight="1">
      <c r="A15" s="5"/>
      <c r="B15" s="538">
        <v>45265</v>
      </c>
      <c r="C15" s="539"/>
      <c r="D15" s="539"/>
      <c r="E15" s="539"/>
      <c r="F15" s="539"/>
      <c r="G15" s="540"/>
      <c r="H15" s="544" t="s">
        <v>12</v>
      </c>
      <c r="I15" s="539"/>
      <c r="J15" s="539"/>
      <c r="K15" s="539"/>
      <c r="L15" s="539"/>
      <c r="M15" s="539"/>
      <c r="N15" s="540"/>
      <c r="O15" s="545">
        <v>0.3</v>
      </c>
      <c r="P15" s="539"/>
      <c r="Q15" s="539"/>
      <c r="R15" s="539"/>
      <c r="S15" s="546" t="s">
        <v>279</v>
      </c>
      <c r="T15" s="547"/>
      <c r="U15" s="547"/>
      <c r="V15" s="547"/>
      <c r="W15" s="547"/>
      <c r="X15" s="547"/>
      <c r="Y15" s="547"/>
      <c r="Z15" s="547"/>
      <c r="AA15" s="547"/>
      <c r="AB15" s="547"/>
      <c r="AC15" s="547"/>
      <c r="AD15" s="547"/>
      <c r="AE15" s="547"/>
      <c r="AF15" s="547"/>
      <c r="AG15" s="547"/>
      <c r="AH15" s="547"/>
      <c r="AI15" s="547"/>
      <c r="AJ15" s="547"/>
      <c r="AK15" s="547"/>
      <c r="AL15" s="547"/>
      <c r="AM15" s="547"/>
      <c r="AN15" s="547"/>
      <c r="AO15" s="547"/>
      <c r="AP15" s="547"/>
      <c r="AQ15" s="547"/>
      <c r="AR15" s="547"/>
      <c r="AS15" s="547"/>
      <c r="AT15" s="547"/>
      <c r="AU15" s="547"/>
      <c r="AV15" s="547"/>
      <c r="AW15" s="548"/>
      <c r="AX15" s="511"/>
      <c r="AY15" s="511"/>
      <c r="AZ15" s="511"/>
      <c r="BA15" s="511"/>
      <c r="BB15" s="511"/>
      <c r="BC15" s="512"/>
      <c r="BD15" s="516"/>
      <c r="BE15" s="511"/>
      <c r="BF15" s="511"/>
      <c r="BG15" s="511"/>
      <c r="BH15" s="511"/>
      <c r="BI15" s="511"/>
      <c r="BJ15" s="512"/>
      <c r="BK15" s="6"/>
    </row>
    <row r="16" spans="1:63" ht="15" customHeight="1">
      <c r="A16" s="5"/>
      <c r="B16" s="541"/>
      <c r="C16" s="542"/>
      <c r="D16" s="542"/>
      <c r="E16" s="542"/>
      <c r="F16" s="542"/>
      <c r="G16" s="543"/>
      <c r="H16" s="541"/>
      <c r="I16" s="542"/>
      <c r="J16" s="542"/>
      <c r="K16" s="542"/>
      <c r="L16" s="542"/>
      <c r="M16" s="542"/>
      <c r="N16" s="543"/>
      <c r="O16" s="541"/>
      <c r="P16" s="542"/>
      <c r="Q16" s="542"/>
      <c r="R16" s="542"/>
      <c r="S16" s="549"/>
      <c r="T16" s="550"/>
      <c r="U16" s="550"/>
      <c r="V16" s="550"/>
      <c r="W16" s="550"/>
      <c r="X16" s="550"/>
      <c r="Y16" s="550"/>
      <c r="Z16" s="550"/>
      <c r="AA16" s="550"/>
      <c r="AB16" s="550"/>
      <c r="AC16" s="550"/>
      <c r="AD16" s="550"/>
      <c r="AE16" s="550"/>
      <c r="AF16" s="550"/>
      <c r="AG16" s="550"/>
      <c r="AH16" s="550"/>
      <c r="AI16" s="550"/>
      <c r="AJ16" s="550"/>
      <c r="AK16" s="550"/>
      <c r="AL16" s="550"/>
      <c r="AM16" s="550"/>
      <c r="AN16" s="550"/>
      <c r="AO16" s="550"/>
      <c r="AP16" s="550"/>
      <c r="AQ16" s="550"/>
      <c r="AR16" s="550"/>
      <c r="AS16" s="550"/>
      <c r="AT16" s="550"/>
      <c r="AU16" s="550"/>
      <c r="AV16" s="550"/>
      <c r="AW16" s="551"/>
      <c r="AX16" s="514"/>
      <c r="AY16" s="514"/>
      <c r="AZ16" s="514"/>
      <c r="BA16" s="514"/>
      <c r="BB16" s="514"/>
      <c r="BC16" s="515"/>
      <c r="BD16" s="513"/>
      <c r="BE16" s="514"/>
      <c r="BF16" s="514"/>
      <c r="BG16" s="514"/>
      <c r="BH16" s="514"/>
      <c r="BI16" s="514"/>
      <c r="BJ16" s="515"/>
      <c r="BK16" s="6"/>
    </row>
    <row r="17" spans="1:63" ht="15" customHeight="1">
      <c r="A17" s="5"/>
      <c r="B17" s="524">
        <v>45287</v>
      </c>
      <c r="C17" s="525"/>
      <c r="D17" s="525"/>
      <c r="E17" s="525"/>
      <c r="F17" s="525"/>
      <c r="G17" s="526"/>
      <c r="H17" s="530" t="s">
        <v>12</v>
      </c>
      <c r="I17" s="525"/>
      <c r="J17" s="525"/>
      <c r="K17" s="525"/>
      <c r="L17" s="525"/>
      <c r="M17" s="525"/>
      <c r="N17" s="526"/>
      <c r="O17" s="531">
        <v>0.4</v>
      </c>
      <c r="P17" s="525"/>
      <c r="Q17" s="525"/>
      <c r="R17" s="525"/>
      <c r="S17" s="532" t="s">
        <v>306</v>
      </c>
      <c r="T17" s="533"/>
      <c r="U17" s="533"/>
      <c r="V17" s="533"/>
      <c r="W17" s="533"/>
      <c r="X17" s="533"/>
      <c r="Y17" s="533"/>
      <c r="Z17" s="533"/>
      <c r="AA17" s="533"/>
      <c r="AB17" s="533"/>
      <c r="AC17" s="533"/>
      <c r="AD17" s="533"/>
      <c r="AE17" s="533"/>
      <c r="AF17" s="533"/>
      <c r="AG17" s="533"/>
      <c r="AH17" s="533"/>
      <c r="AI17" s="533"/>
      <c r="AJ17" s="533"/>
      <c r="AK17" s="533"/>
      <c r="AL17" s="533"/>
      <c r="AM17" s="533"/>
      <c r="AN17" s="533"/>
      <c r="AO17" s="533"/>
      <c r="AP17" s="533"/>
      <c r="AQ17" s="533"/>
      <c r="AR17" s="533"/>
      <c r="AS17" s="533"/>
      <c r="AT17" s="533"/>
      <c r="AU17" s="533"/>
      <c r="AV17" s="533"/>
      <c r="AW17" s="534"/>
      <c r="AX17" s="511"/>
      <c r="AY17" s="511"/>
      <c r="AZ17" s="511"/>
      <c r="BA17" s="511"/>
      <c r="BB17" s="511"/>
      <c r="BC17" s="512"/>
      <c r="BD17" s="516"/>
      <c r="BE17" s="511"/>
      <c r="BF17" s="511"/>
      <c r="BG17" s="511"/>
      <c r="BH17" s="511"/>
      <c r="BI17" s="511"/>
      <c r="BJ17" s="512"/>
      <c r="BK17" s="6"/>
    </row>
    <row r="18" spans="1:63" ht="15" customHeight="1">
      <c r="A18" s="5"/>
      <c r="B18" s="527"/>
      <c r="C18" s="528"/>
      <c r="D18" s="528"/>
      <c r="E18" s="528"/>
      <c r="F18" s="528"/>
      <c r="G18" s="529"/>
      <c r="H18" s="527"/>
      <c r="I18" s="528"/>
      <c r="J18" s="528"/>
      <c r="K18" s="528"/>
      <c r="L18" s="528"/>
      <c r="M18" s="528"/>
      <c r="N18" s="529"/>
      <c r="O18" s="527"/>
      <c r="P18" s="528"/>
      <c r="Q18" s="528"/>
      <c r="R18" s="528"/>
      <c r="S18" s="535"/>
      <c r="T18" s="536"/>
      <c r="U18" s="536"/>
      <c r="V18" s="536"/>
      <c r="W18" s="536"/>
      <c r="X18" s="536"/>
      <c r="Y18" s="536"/>
      <c r="Z18" s="536"/>
      <c r="AA18" s="536"/>
      <c r="AB18" s="536"/>
      <c r="AC18" s="536"/>
      <c r="AD18" s="536"/>
      <c r="AE18" s="536"/>
      <c r="AF18" s="536"/>
      <c r="AG18" s="536"/>
      <c r="AH18" s="536"/>
      <c r="AI18" s="536"/>
      <c r="AJ18" s="536"/>
      <c r="AK18" s="536"/>
      <c r="AL18" s="536"/>
      <c r="AM18" s="536"/>
      <c r="AN18" s="536"/>
      <c r="AO18" s="536"/>
      <c r="AP18" s="536"/>
      <c r="AQ18" s="536"/>
      <c r="AR18" s="536"/>
      <c r="AS18" s="536"/>
      <c r="AT18" s="536"/>
      <c r="AU18" s="536"/>
      <c r="AV18" s="536"/>
      <c r="AW18" s="537"/>
      <c r="AX18" s="514"/>
      <c r="AY18" s="514"/>
      <c r="AZ18" s="514"/>
      <c r="BA18" s="514"/>
      <c r="BB18" s="514"/>
      <c r="BC18" s="515"/>
      <c r="BD18" s="513"/>
      <c r="BE18" s="514"/>
      <c r="BF18" s="514"/>
      <c r="BG18" s="514"/>
      <c r="BH18" s="514"/>
      <c r="BI18" s="514"/>
      <c r="BJ18" s="515"/>
      <c r="BK18" s="6"/>
    </row>
    <row r="19" spans="1:63" ht="15" customHeight="1">
      <c r="A19" s="5"/>
      <c r="B19" s="706">
        <v>45316</v>
      </c>
      <c r="C19" s="707"/>
      <c r="D19" s="707"/>
      <c r="E19" s="707"/>
      <c r="F19" s="707"/>
      <c r="G19" s="708"/>
      <c r="H19" s="709" t="s">
        <v>12</v>
      </c>
      <c r="I19" s="707"/>
      <c r="J19" s="707"/>
      <c r="K19" s="707"/>
      <c r="L19" s="707"/>
      <c r="M19" s="707"/>
      <c r="N19" s="708"/>
      <c r="O19" s="710">
        <v>0.4</v>
      </c>
      <c r="P19" s="707"/>
      <c r="Q19" s="707"/>
      <c r="R19" s="707"/>
      <c r="S19" s="711" t="s">
        <v>361</v>
      </c>
      <c r="T19" s="712"/>
      <c r="U19" s="712"/>
      <c r="V19" s="712"/>
      <c r="W19" s="712"/>
      <c r="X19" s="712"/>
      <c r="Y19" s="712"/>
      <c r="Z19" s="712"/>
      <c r="AA19" s="712"/>
      <c r="AB19" s="712"/>
      <c r="AC19" s="712"/>
      <c r="AD19" s="712"/>
      <c r="AE19" s="712"/>
      <c r="AF19" s="712"/>
      <c r="AG19" s="712"/>
      <c r="AH19" s="712"/>
      <c r="AI19" s="712"/>
      <c r="AJ19" s="712"/>
      <c r="AK19" s="712"/>
      <c r="AL19" s="712"/>
      <c r="AM19" s="712"/>
      <c r="AN19" s="712"/>
      <c r="AO19" s="712"/>
      <c r="AP19" s="712"/>
      <c r="AQ19" s="712"/>
      <c r="AR19" s="712"/>
      <c r="AS19" s="712"/>
      <c r="AT19" s="712"/>
      <c r="AU19" s="712"/>
      <c r="AV19" s="712"/>
      <c r="AW19" s="713"/>
      <c r="AX19" s="511"/>
      <c r="AY19" s="511"/>
      <c r="AZ19" s="511"/>
      <c r="BA19" s="511"/>
      <c r="BB19" s="511"/>
      <c r="BC19" s="512"/>
      <c r="BD19" s="516"/>
      <c r="BE19" s="511"/>
      <c r="BF19" s="511"/>
      <c r="BG19" s="511"/>
      <c r="BH19" s="511"/>
      <c r="BI19" s="511"/>
      <c r="BJ19" s="512"/>
      <c r="BK19" s="6"/>
    </row>
    <row r="20" spans="1:63" ht="15" customHeight="1">
      <c r="A20" s="5"/>
      <c r="B20" s="714"/>
      <c r="C20" s="715"/>
      <c r="D20" s="715"/>
      <c r="E20" s="715"/>
      <c r="F20" s="715"/>
      <c r="G20" s="716"/>
      <c r="H20" s="714"/>
      <c r="I20" s="715"/>
      <c r="J20" s="715"/>
      <c r="K20" s="715"/>
      <c r="L20" s="715"/>
      <c r="M20" s="715"/>
      <c r="N20" s="716"/>
      <c r="O20" s="714"/>
      <c r="P20" s="715"/>
      <c r="Q20" s="715"/>
      <c r="R20" s="715"/>
      <c r="S20" s="717"/>
      <c r="T20" s="718"/>
      <c r="U20" s="718"/>
      <c r="V20" s="718"/>
      <c r="W20" s="718"/>
      <c r="X20" s="718"/>
      <c r="Y20" s="718"/>
      <c r="Z20" s="718"/>
      <c r="AA20" s="718"/>
      <c r="AB20" s="718"/>
      <c r="AC20" s="718"/>
      <c r="AD20" s="718"/>
      <c r="AE20" s="718"/>
      <c r="AF20" s="718"/>
      <c r="AG20" s="718"/>
      <c r="AH20" s="718"/>
      <c r="AI20" s="718"/>
      <c r="AJ20" s="718"/>
      <c r="AK20" s="718"/>
      <c r="AL20" s="718"/>
      <c r="AM20" s="718"/>
      <c r="AN20" s="718"/>
      <c r="AO20" s="718"/>
      <c r="AP20" s="718"/>
      <c r="AQ20" s="718"/>
      <c r="AR20" s="718"/>
      <c r="AS20" s="718"/>
      <c r="AT20" s="718"/>
      <c r="AU20" s="718"/>
      <c r="AV20" s="718"/>
      <c r="AW20" s="719"/>
      <c r="AX20" s="514"/>
      <c r="AY20" s="514"/>
      <c r="AZ20" s="514"/>
      <c r="BA20" s="514"/>
      <c r="BB20" s="514"/>
      <c r="BC20" s="515"/>
      <c r="BD20" s="513"/>
      <c r="BE20" s="514"/>
      <c r="BF20" s="514"/>
      <c r="BG20" s="514"/>
      <c r="BH20" s="514"/>
      <c r="BI20" s="514"/>
      <c r="BJ20" s="515"/>
      <c r="BK20" s="6"/>
    </row>
    <row r="21" spans="1:63" ht="15" customHeight="1">
      <c r="A21" s="5"/>
      <c r="B21" s="516"/>
      <c r="C21" s="511"/>
      <c r="D21" s="511"/>
      <c r="E21" s="511"/>
      <c r="F21" s="511"/>
      <c r="G21" s="512"/>
      <c r="H21" s="516"/>
      <c r="I21" s="511"/>
      <c r="J21" s="511"/>
      <c r="K21" s="511"/>
      <c r="L21" s="511"/>
      <c r="M21" s="511"/>
      <c r="N21" s="512"/>
      <c r="O21" s="516"/>
      <c r="P21" s="511"/>
      <c r="Q21" s="511"/>
      <c r="R21" s="512"/>
      <c r="S21" s="518"/>
      <c r="T21" s="519"/>
      <c r="U21" s="519"/>
      <c r="V21" s="519"/>
      <c r="W21" s="519"/>
      <c r="X21" s="519"/>
      <c r="Y21" s="519"/>
      <c r="Z21" s="519"/>
      <c r="AA21" s="519"/>
      <c r="AB21" s="519"/>
      <c r="AC21" s="519"/>
      <c r="AD21" s="519"/>
      <c r="AE21" s="519"/>
      <c r="AF21" s="519"/>
      <c r="AG21" s="519"/>
      <c r="AH21" s="519"/>
      <c r="AI21" s="519"/>
      <c r="AJ21" s="519"/>
      <c r="AK21" s="519"/>
      <c r="AL21" s="519"/>
      <c r="AM21" s="519"/>
      <c r="AN21" s="519"/>
      <c r="AO21" s="519"/>
      <c r="AP21" s="519"/>
      <c r="AQ21" s="519"/>
      <c r="AR21" s="519"/>
      <c r="AS21" s="519"/>
      <c r="AT21" s="519"/>
      <c r="AU21" s="519"/>
      <c r="AV21" s="519"/>
      <c r="AW21" s="520"/>
      <c r="AX21" s="511"/>
      <c r="AY21" s="511"/>
      <c r="AZ21" s="511"/>
      <c r="BA21" s="511"/>
      <c r="BB21" s="511"/>
      <c r="BC21" s="512"/>
      <c r="BD21" s="516"/>
      <c r="BE21" s="511"/>
      <c r="BF21" s="511"/>
      <c r="BG21" s="511"/>
      <c r="BH21" s="511"/>
      <c r="BI21" s="511"/>
      <c r="BJ21" s="512"/>
      <c r="BK21" s="6"/>
    </row>
    <row r="22" spans="1:63" ht="15" customHeight="1">
      <c r="A22" s="5"/>
      <c r="B22" s="513"/>
      <c r="C22" s="514"/>
      <c r="D22" s="514"/>
      <c r="E22" s="514"/>
      <c r="F22" s="514"/>
      <c r="G22" s="515"/>
      <c r="H22" s="513"/>
      <c r="I22" s="514"/>
      <c r="J22" s="514"/>
      <c r="K22" s="514"/>
      <c r="L22" s="514"/>
      <c r="M22" s="514"/>
      <c r="N22" s="515"/>
      <c r="O22" s="513"/>
      <c r="P22" s="514"/>
      <c r="Q22" s="514"/>
      <c r="R22" s="515"/>
      <c r="S22" s="521"/>
      <c r="T22" s="522"/>
      <c r="U22" s="522"/>
      <c r="V22" s="522"/>
      <c r="W22" s="522"/>
      <c r="X22" s="522"/>
      <c r="Y22" s="522"/>
      <c r="Z22" s="522"/>
      <c r="AA22" s="522"/>
      <c r="AB22" s="522"/>
      <c r="AC22" s="522"/>
      <c r="AD22" s="522"/>
      <c r="AE22" s="522"/>
      <c r="AF22" s="522"/>
      <c r="AG22" s="522"/>
      <c r="AH22" s="522"/>
      <c r="AI22" s="522"/>
      <c r="AJ22" s="522"/>
      <c r="AK22" s="522"/>
      <c r="AL22" s="522"/>
      <c r="AM22" s="522"/>
      <c r="AN22" s="522"/>
      <c r="AO22" s="522"/>
      <c r="AP22" s="522"/>
      <c r="AQ22" s="522"/>
      <c r="AR22" s="522"/>
      <c r="AS22" s="522"/>
      <c r="AT22" s="522"/>
      <c r="AU22" s="522"/>
      <c r="AV22" s="522"/>
      <c r="AW22" s="523"/>
      <c r="AX22" s="514"/>
      <c r="AY22" s="514"/>
      <c r="AZ22" s="514"/>
      <c r="BA22" s="514"/>
      <c r="BB22" s="514"/>
      <c r="BC22" s="515"/>
      <c r="BD22" s="513"/>
      <c r="BE22" s="514"/>
      <c r="BF22" s="514"/>
      <c r="BG22" s="514"/>
      <c r="BH22" s="514"/>
      <c r="BI22" s="514"/>
      <c r="BJ22" s="515"/>
      <c r="BK22" s="6"/>
    </row>
    <row r="23" spans="1:63" ht="15" customHeight="1">
      <c r="A23" s="5"/>
      <c r="B23" s="516"/>
      <c r="C23" s="511"/>
      <c r="D23" s="511"/>
      <c r="E23" s="511"/>
      <c r="F23" s="511"/>
      <c r="G23" s="512"/>
      <c r="H23" s="516"/>
      <c r="I23" s="511"/>
      <c r="J23" s="511"/>
      <c r="K23" s="511"/>
      <c r="L23" s="511"/>
      <c r="M23" s="511"/>
      <c r="N23" s="512"/>
      <c r="O23" s="516"/>
      <c r="P23" s="511"/>
      <c r="Q23" s="511"/>
      <c r="R23" s="511"/>
      <c r="S23" s="518"/>
      <c r="T23" s="519"/>
      <c r="U23" s="519"/>
      <c r="V23" s="519"/>
      <c r="W23" s="519"/>
      <c r="X23" s="519"/>
      <c r="Y23" s="519"/>
      <c r="Z23" s="519"/>
      <c r="AA23" s="519"/>
      <c r="AB23" s="519"/>
      <c r="AC23" s="519"/>
      <c r="AD23" s="519"/>
      <c r="AE23" s="519"/>
      <c r="AF23" s="519"/>
      <c r="AG23" s="519"/>
      <c r="AH23" s="519"/>
      <c r="AI23" s="519"/>
      <c r="AJ23" s="519"/>
      <c r="AK23" s="519"/>
      <c r="AL23" s="519"/>
      <c r="AM23" s="519"/>
      <c r="AN23" s="519"/>
      <c r="AO23" s="519"/>
      <c r="AP23" s="519"/>
      <c r="AQ23" s="519"/>
      <c r="AR23" s="519"/>
      <c r="AS23" s="519"/>
      <c r="AT23" s="519"/>
      <c r="AU23" s="519"/>
      <c r="AV23" s="519"/>
      <c r="AW23" s="520"/>
      <c r="AX23" s="511"/>
      <c r="AY23" s="511"/>
      <c r="AZ23" s="511"/>
      <c r="BA23" s="511"/>
      <c r="BB23" s="511"/>
      <c r="BC23" s="512"/>
      <c r="BD23" s="516"/>
      <c r="BE23" s="511"/>
      <c r="BF23" s="511"/>
      <c r="BG23" s="511"/>
      <c r="BH23" s="511"/>
      <c r="BI23" s="511"/>
      <c r="BJ23" s="512"/>
      <c r="BK23" s="6"/>
    </row>
    <row r="24" spans="1:63" ht="15" customHeight="1">
      <c r="A24" s="5"/>
      <c r="B24" s="513"/>
      <c r="C24" s="514"/>
      <c r="D24" s="514"/>
      <c r="E24" s="514"/>
      <c r="F24" s="514"/>
      <c r="G24" s="515"/>
      <c r="H24" s="513"/>
      <c r="I24" s="514"/>
      <c r="J24" s="514"/>
      <c r="K24" s="514"/>
      <c r="L24" s="514"/>
      <c r="M24" s="514"/>
      <c r="N24" s="515"/>
      <c r="O24" s="513"/>
      <c r="P24" s="514"/>
      <c r="Q24" s="514"/>
      <c r="R24" s="514"/>
      <c r="S24" s="521"/>
      <c r="T24" s="522"/>
      <c r="U24" s="522"/>
      <c r="V24" s="522"/>
      <c r="W24" s="522"/>
      <c r="X24" s="522"/>
      <c r="Y24" s="522"/>
      <c r="Z24" s="522"/>
      <c r="AA24" s="522"/>
      <c r="AB24" s="522"/>
      <c r="AC24" s="522"/>
      <c r="AD24" s="522"/>
      <c r="AE24" s="522"/>
      <c r="AF24" s="522"/>
      <c r="AG24" s="522"/>
      <c r="AH24" s="522"/>
      <c r="AI24" s="522"/>
      <c r="AJ24" s="522"/>
      <c r="AK24" s="522"/>
      <c r="AL24" s="522"/>
      <c r="AM24" s="522"/>
      <c r="AN24" s="522"/>
      <c r="AO24" s="522"/>
      <c r="AP24" s="522"/>
      <c r="AQ24" s="522"/>
      <c r="AR24" s="522"/>
      <c r="AS24" s="522"/>
      <c r="AT24" s="522"/>
      <c r="AU24" s="522"/>
      <c r="AV24" s="522"/>
      <c r="AW24" s="523"/>
      <c r="AX24" s="514"/>
      <c r="AY24" s="514"/>
      <c r="AZ24" s="514"/>
      <c r="BA24" s="514"/>
      <c r="BB24" s="514"/>
      <c r="BC24" s="515"/>
      <c r="BD24" s="513"/>
      <c r="BE24" s="514"/>
      <c r="BF24" s="514"/>
      <c r="BG24" s="514"/>
      <c r="BH24" s="514"/>
      <c r="BI24" s="514"/>
      <c r="BJ24" s="515"/>
      <c r="BK24" s="6"/>
    </row>
    <row r="25" spans="1:63" ht="15" customHeight="1">
      <c r="A25" s="5"/>
      <c r="B25" s="516"/>
      <c r="C25" s="511"/>
      <c r="D25" s="511"/>
      <c r="E25" s="511"/>
      <c r="F25" s="511"/>
      <c r="G25" s="512"/>
      <c r="H25" s="516"/>
      <c r="I25" s="511"/>
      <c r="J25" s="511"/>
      <c r="K25" s="511"/>
      <c r="L25" s="511"/>
      <c r="M25" s="511"/>
      <c r="N25" s="512"/>
      <c r="O25" s="516"/>
      <c r="P25" s="511"/>
      <c r="Q25" s="511"/>
      <c r="R25" s="511"/>
      <c r="S25" s="518"/>
      <c r="T25" s="519"/>
      <c r="U25" s="519"/>
      <c r="V25" s="519"/>
      <c r="W25" s="519"/>
      <c r="X25" s="519"/>
      <c r="Y25" s="519"/>
      <c r="Z25" s="519"/>
      <c r="AA25" s="519"/>
      <c r="AB25" s="519"/>
      <c r="AC25" s="519"/>
      <c r="AD25" s="519"/>
      <c r="AE25" s="519"/>
      <c r="AF25" s="519"/>
      <c r="AG25" s="519"/>
      <c r="AH25" s="519"/>
      <c r="AI25" s="519"/>
      <c r="AJ25" s="519"/>
      <c r="AK25" s="519"/>
      <c r="AL25" s="519"/>
      <c r="AM25" s="519"/>
      <c r="AN25" s="519"/>
      <c r="AO25" s="519"/>
      <c r="AP25" s="519"/>
      <c r="AQ25" s="519"/>
      <c r="AR25" s="519"/>
      <c r="AS25" s="519"/>
      <c r="AT25" s="519"/>
      <c r="AU25" s="519"/>
      <c r="AV25" s="519"/>
      <c r="AW25" s="520"/>
      <c r="AX25" s="511"/>
      <c r="AY25" s="511"/>
      <c r="AZ25" s="511"/>
      <c r="BA25" s="511"/>
      <c r="BB25" s="511"/>
      <c r="BC25" s="512"/>
      <c r="BD25" s="516"/>
      <c r="BE25" s="511"/>
      <c r="BF25" s="511"/>
      <c r="BG25" s="511"/>
      <c r="BH25" s="511"/>
      <c r="BI25" s="511"/>
      <c r="BJ25" s="512"/>
      <c r="BK25" s="6"/>
    </row>
    <row r="26" spans="1:63" ht="15" customHeight="1">
      <c r="A26" s="5"/>
      <c r="B26" s="513"/>
      <c r="C26" s="514"/>
      <c r="D26" s="514"/>
      <c r="E26" s="514"/>
      <c r="F26" s="514"/>
      <c r="G26" s="515"/>
      <c r="H26" s="513"/>
      <c r="I26" s="514"/>
      <c r="J26" s="514"/>
      <c r="K26" s="514"/>
      <c r="L26" s="514"/>
      <c r="M26" s="514"/>
      <c r="N26" s="515"/>
      <c r="O26" s="513"/>
      <c r="P26" s="514"/>
      <c r="Q26" s="514"/>
      <c r="R26" s="514"/>
      <c r="S26" s="521"/>
      <c r="T26" s="522"/>
      <c r="U26" s="522"/>
      <c r="V26" s="522"/>
      <c r="W26" s="522"/>
      <c r="X26" s="522"/>
      <c r="Y26" s="522"/>
      <c r="Z26" s="522"/>
      <c r="AA26" s="522"/>
      <c r="AB26" s="522"/>
      <c r="AC26" s="522"/>
      <c r="AD26" s="522"/>
      <c r="AE26" s="522"/>
      <c r="AF26" s="522"/>
      <c r="AG26" s="522"/>
      <c r="AH26" s="522"/>
      <c r="AI26" s="522"/>
      <c r="AJ26" s="522"/>
      <c r="AK26" s="522"/>
      <c r="AL26" s="522"/>
      <c r="AM26" s="522"/>
      <c r="AN26" s="522"/>
      <c r="AO26" s="522"/>
      <c r="AP26" s="522"/>
      <c r="AQ26" s="522"/>
      <c r="AR26" s="522"/>
      <c r="AS26" s="522"/>
      <c r="AT26" s="522"/>
      <c r="AU26" s="522"/>
      <c r="AV26" s="522"/>
      <c r="AW26" s="523"/>
      <c r="AX26" s="514"/>
      <c r="AY26" s="514"/>
      <c r="AZ26" s="514"/>
      <c r="BA26" s="514"/>
      <c r="BB26" s="514"/>
      <c r="BC26" s="515"/>
      <c r="BD26" s="513"/>
      <c r="BE26" s="514"/>
      <c r="BF26" s="514"/>
      <c r="BG26" s="514"/>
      <c r="BH26" s="514"/>
      <c r="BI26" s="514"/>
      <c r="BJ26" s="515"/>
      <c r="BK26" s="6"/>
    </row>
    <row r="27" spans="1:63" ht="15" customHeight="1">
      <c r="A27" s="5"/>
      <c r="B27" s="516"/>
      <c r="C27" s="511"/>
      <c r="D27" s="511"/>
      <c r="E27" s="511"/>
      <c r="F27" s="511"/>
      <c r="G27" s="512"/>
      <c r="H27" s="516"/>
      <c r="I27" s="511"/>
      <c r="J27" s="511"/>
      <c r="K27" s="511"/>
      <c r="L27" s="511"/>
      <c r="M27" s="511"/>
      <c r="N27" s="512"/>
      <c r="O27" s="516"/>
      <c r="P27" s="511"/>
      <c r="Q27" s="511"/>
      <c r="R27" s="511"/>
      <c r="S27" s="518"/>
      <c r="T27" s="519"/>
      <c r="U27" s="519"/>
      <c r="V27" s="519"/>
      <c r="W27" s="519"/>
      <c r="X27" s="519"/>
      <c r="Y27" s="519"/>
      <c r="Z27" s="519"/>
      <c r="AA27" s="519"/>
      <c r="AB27" s="519"/>
      <c r="AC27" s="519"/>
      <c r="AD27" s="519"/>
      <c r="AE27" s="519"/>
      <c r="AF27" s="519"/>
      <c r="AG27" s="519"/>
      <c r="AH27" s="519"/>
      <c r="AI27" s="519"/>
      <c r="AJ27" s="519"/>
      <c r="AK27" s="519"/>
      <c r="AL27" s="519"/>
      <c r="AM27" s="519"/>
      <c r="AN27" s="519"/>
      <c r="AO27" s="519"/>
      <c r="AP27" s="519"/>
      <c r="AQ27" s="519"/>
      <c r="AR27" s="519"/>
      <c r="AS27" s="519"/>
      <c r="AT27" s="519"/>
      <c r="AU27" s="519"/>
      <c r="AV27" s="519"/>
      <c r="AW27" s="520"/>
      <c r="AX27" s="511"/>
      <c r="AY27" s="511"/>
      <c r="AZ27" s="511"/>
      <c r="BA27" s="511"/>
      <c r="BB27" s="511"/>
      <c r="BC27" s="512"/>
      <c r="BD27" s="516"/>
      <c r="BE27" s="511"/>
      <c r="BF27" s="511"/>
      <c r="BG27" s="511"/>
      <c r="BH27" s="511"/>
      <c r="BI27" s="511"/>
      <c r="BJ27" s="512"/>
      <c r="BK27" s="6"/>
    </row>
    <row r="28" spans="1:63" ht="15" customHeight="1">
      <c r="A28" s="5"/>
      <c r="B28" s="513"/>
      <c r="C28" s="514"/>
      <c r="D28" s="514"/>
      <c r="E28" s="514"/>
      <c r="F28" s="514"/>
      <c r="G28" s="515"/>
      <c r="H28" s="513"/>
      <c r="I28" s="514"/>
      <c r="J28" s="514"/>
      <c r="K28" s="514"/>
      <c r="L28" s="514"/>
      <c r="M28" s="514"/>
      <c r="N28" s="515"/>
      <c r="O28" s="513"/>
      <c r="P28" s="514"/>
      <c r="Q28" s="514"/>
      <c r="R28" s="514"/>
      <c r="S28" s="521"/>
      <c r="T28" s="522"/>
      <c r="U28" s="522"/>
      <c r="V28" s="522"/>
      <c r="W28" s="522"/>
      <c r="X28" s="522"/>
      <c r="Y28" s="522"/>
      <c r="Z28" s="522"/>
      <c r="AA28" s="522"/>
      <c r="AB28" s="522"/>
      <c r="AC28" s="522"/>
      <c r="AD28" s="522"/>
      <c r="AE28" s="522"/>
      <c r="AF28" s="522"/>
      <c r="AG28" s="522"/>
      <c r="AH28" s="522"/>
      <c r="AI28" s="522"/>
      <c r="AJ28" s="522"/>
      <c r="AK28" s="522"/>
      <c r="AL28" s="522"/>
      <c r="AM28" s="522"/>
      <c r="AN28" s="522"/>
      <c r="AO28" s="522"/>
      <c r="AP28" s="522"/>
      <c r="AQ28" s="522"/>
      <c r="AR28" s="522"/>
      <c r="AS28" s="522"/>
      <c r="AT28" s="522"/>
      <c r="AU28" s="522"/>
      <c r="AV28" s="522"/>
      <c r="AW28" s="523"/>
      <c r="AX28" s="514"/>
      <c r="AY28" s="514"/>
      <c r="AZ28" s="514"/>
      <c r="BA28" s="514"/>
      <c r="BB28" s="514"/>
      <c r="BC28" s="515"/>
      <c r="BD28" s="513"/>
      <c r="BE28" s="514"/>
      <c r="BF28" s="514"/>
      <c r="BG28" s="514"/>
      <c r="BH28" s="514"/>
      <c r="BI28" s="514"/>
      <c r="BJ28" s="515"/>
      <c r="BK28" s="6"/>
    </row>
    <row r="29" spans="1:63" ht="15" customHeight="1">
      <c r="A29" s="5"/>
      <c r="B29" s="516"/>
      <c r="C29" s="511"/>
      <c r="D29" s="511"/>
      <c r="E29" s="511"/>
      <c r="F29" s="511"/>
      <c r="G29" s="512"/>
      <c r="H29" s="516"/>
      <c r="I29" s="511"/>
      <c r="J29" s="511"/>
      <c r="K29" s="511"/>
      <c r="L29" s="511"/>
      <c r="M29" s="511"/>
      <c r="N29" s="512"/>
      <c r="O29" s="516"/>
      <c r="P29" s="511"/>
      <c r="Q29" s="511"/>
      <c r="R29" s="511"/>
      <c r="S29" s="518"/>
      <c r="T29" s="519"/>
      <c r="U29" s="519"/>
      <c r="V29" s="519"/>
      <c r="W29" s="519"/>
      <c r="X29" s="519"/>
      <c r="Y29" s="519"/>
      <c r="Z29" s="519"/>
      <c r="AA29" s="519"/>
      <c r="AB29" s="519"/>
      <c r="AC29" s="519"/>
      <c r="AD29" s="519"/>
      <c r="AE29" s="519"/>
      <c r="AF29" s="519"/>
      <c r="AG29" s="519"/>
      <c r="AH29" s="519"/>
      <c r="AI29" s="519"/>
      <c r="AJ29" s="519"/>
      <c r="AK29" s="519"/>
      <c r="AL29" s="519"/>
      <c r="AM29" s="519"/>
      <c r="AN29" s="519"/>
      <c r="AO29" s="519"/>
      <c r="AP29" s="519"/>
      <c r="AQ29" s="519"/>
      <c r="AR29" s="519"/>
      <c r="AS29" s="519"/>
      <c r="AT29" s="519"/>
      <c r="AU29" s="519"/>
      <c r="AV29" s="519"/>
      <c r="AW29" s="520"/>
      <c r="AX29" s="511"/>
      <c r="AY29" s="511"/>
      <c r="AZ29" s="511"/>
      <c r="BA29" s="511"/>
      <c r="BB29" s="511"/>
      <c r="BC29" s="512"/>
      <c r="BD29" s="516"/>
      <c r="BE29" s="511"/>
      <c r="BF29" s="511"/>
      <c r="BG29" s="511"/>
      <c r="BH29" s="511"/>
      <c r="BI29" s="511"/>
      <c r="BJ29" s="512"/>
      <c r="BK29" s="6"/>
    </row>
    <row r="30" spans="1:63" ht="15" customHeight="1">
      <c r="A30" s="5"/>
      <c r="B30" s="513"/>
      <c r="C30" s="514"/>
      <c r="D30" s="514"/>
      <c r="E30" s="514"/>
      <c r="F30" s="514"/>
      <c r="G30" s="515"/>
      <c r="H30" s="513"/>
      <c r="I30" s="514"/>
      <c r="J30" s="514"/>
      <c r="K30" s="514"/>
      <c r="L30" s="514"/>
      <c r="M30" s="514"/>
      <c r="N30" s="515"/>
      <c r="O30" s="513"/>
      <c r="P30" s="514"/>
      <c r="Q30" s="514"/>
      <c r="R30" s="514"/>
      <c r="S30" s="521"/>
      <c r="T30" s="522"/>
      <c r="U30" s="522"/>
      <c r="V30" s="522"/>
      <c r="W30" s="522"/>
      <c r="X30" s="522"/>
      <c r="Y30" s="522"/>
      <c r="Z30" s="522"/>
      <c r="AA30" s="522"/>
      <c r="AB30" s="522"/>
      <c r="AC30" s="522"/>
      <c r="AD30" s="522"/>
      <c r="AE30" s="522"/>
      <c r="AF30" s="522"/>
      <c r="AG30" s="522"/>
      <c r="AH30" s="522"/>
      <c r="AI30" s="522"/>
      <c r="AJ30" s="522"/>
      <c r="AK30" s="522"/>
      <c r="AL30" s="522"/>
      <c r="AM30" s="522"/>
      <c r="AN30" s="522"/>
      <c r="AO30" s="522"/>
      <c r="AP30" s="522"/>
      <c r="AQ30" s="522"/>
      <c r="AR30" s="522"/>
      <c r="AS30" s="522"/>
      <c r="AT30" s="522"/>
      <c r="AU30" s="522"/>
      <c r="AV30" s="522"/>
      <c r="AW30" s="523"/>
      <c r="AX30" s="514"/>
      <c r="AY30" s="514"/>
      <c r="AZ30" s="514"/>
      <c r="BA30" s="514"/>
      <c r="BB30" s="514"/>
      <c r="BC30" s="515"/>
      <c r="BD30" s="513"/>
      <c r="BE30" s="514"/>
      <c r="BF30" s="514"/>
      <c r="BG30" s="514"/>
      <c r="BH30" s="514"/>
      <c r="BI30" s="514"/>
      <c r="BJ30" s="515"/>
      <c r="BK30" s="6"/>
    </row>
    <row r="31" spans="1:63" ht="15" customHeight="1">
      <c r="A31" s="5"/>
      <c r="B31" s="516"/>
      <c r="C31" s="511"/>
      <c r="D31" s="511"/>
      <c r="E31" s="511"/>
      <c r="F31" s="511"/>
      <c r="G31" s="512"/>
      <c r="H31" s="516"/>
      <c r="I31" s="511"/>
      <c r="J31" s="511"/>
      <c r="K31" s="511"/>
      <c r="L31" s="511"/>
      <c r="M31" s="511"/>
      <c r="N31" s="512"/>
      <c r="O31" s="516"/>
      <c r="P31" s="511"/>
      <c r="Q31" s="511"/>
      <c r="R31" s="511"/>
      <c r="S31" s="518"/>
      <c r="T31" s="519"/>
      <c r="U31" s="519"/>
      <c r="V31" s="519"/>
      <c r="W31" s="519"/>
      <c r="X31" s="519"/>
      <c r="Y31" s="519"/>
      <c r="Z31" s="519"/>
      <c r="AA31" s="519"/>
      <c r="AB31" s="519"/>
      <c r="AC31" s="519"/>
      <c r="AD31" s="519"/>
      <c r="AE31" s="519"/>
      <c r="AF31" s="519"/>
      <c r="AG31" s="519"/>
      <c r="AH31" s="519"/>
      <c r="AI31" s="519"/>
      <c r="AJ31" s="519"/>
      <c r="AK31" s="519"/>
      <c r="AL31" s="519"/>
      <c r="AM31" s="519"/>
      <c r="AN31" s="519"/>
      <c r="AO31" s="519"/>
      <c r="AP31" s="519"/>
      <c r="AQ31" s="519"/>
      <c r="AR31" s="519"/>
      <c r="AS31" s="519"/>
      <c r="AT31" s="519"/>
      <c r="AU31" s="519"/>
      <c r="AV31" s="519"/>
      <c r="AW31" s="520"/>
      <c r="AX31" s="511"/>
      <c r="AY31" s="511"/>
      <c r="AZ31" s="511"/>
      <c r="BA31" s="511"/>
      <c r="BB31" s="511"/>
      <c r="BC31" s="512"/>
      <c r="BD31" s="516"/>
      <c r="BE31" s="511"/>
      <c r="BF31" s="511"/>
      <c r="BG31" s="511"/>
      <c r="BH31" s="511"/>
      <c r="BI31" s="511"/>
      <c r="BJ31" s="512"/>
      <c r="BK31" s="6"/>
    </row>
    <row r="32" spans="1:63" ht="15" customHeight="1">
      <c r="A32" s="5"/>
      <c r="B32" s="513"/>
      <c r="C32" s="514"/>
      <c r="D32" s="514"/>
      <c r="E32" s="514"/>
      <c r="F32" s="514"/>
      <c r="G32" s="515"/>
      <c r="H32" s="513"/>
      <c r="I32" s="514"/>
      <c r="J32" s="514"/>
      <c r="K32" s="514"/>
      <c r="L32" s="514"/>
      <c r="M32" s="514"/>
      <c r="N32" s="515"/>
      <c r="O32" s="513"/>
      <c r="P32" s="514"/>
      <c r="Q32" s="514"/>
      <c r="R32" s="514"/>
      <c r="S32" s="521"/>
      <c r="T32" s="522"/>
      <c r="U32" s="522"/>
      <c r="V32" s="522"/>
      <c r="W32" s="522"/>
      <c r="X32" s="522"/>
      <c r="Y32" s="522"/>
      <c r="Z32" s="522"/>
      <c r="AA32" s="522"/>
      <c r="AB32" s="522"/>
      <c r="AC32" s="522"/>
      <c r="AD32" s="522"/>
      <c r="AE32" s="522"/>
      <c r="AF32" s="522"/>
      <c r="AG32" s="522"/>
      <c r="AH32" s="522"/>
      <c r="AI32" s="522"/>
      <c r="AJ32" s="522"/>
      <c r="AK32" s="522"/>
      <c r="AL32" s="522"/>
      <c r="AM32" s="522"/>
      <c r="AN32" s="522"/>
      <c r="AO32" s="522"/>
      <c r="AP32" s="522"/>
      <c r="AQ32" s="522"/>
      <c r="AR32" s="522"/>
      <c r="AS32" s="522"/>
      <c r="AT32" s="522"/>
      <c r="AU32" s="522"/>
      <c r="AV32" s="522"/>
      <c r="AW32" s="523"/>
      <c r="AX32" s="514"/>
      <c r="AY32" s="514"/>
      <c r="AZ32" s="514"/>
      <c r="BA32" s="514"/>
      <c r="BB32" s="514"/>
      <c r="BC32" s="515"/>
      <c r="BD32" s="513"/>
      <c r="BE32" s="514"/>
      <c r="BF32" s="514"/>
      <c r="BG32" s="514"/>
      <c r="BH32" s="514"/>
      <c r="BI32" s="514"/>
      <c r="BJ32" s="515"/>
      <c r="BK32" s="6"/>
    </row>
    <row r="33" spans="1:63" ht="15" customHeight="1">
      <c r="A33" s="5"/>
      <c r="B33" s="516"/>
      <c r="C33" s="511"/>
      <c r="D33" s="511"/>
      <c r="E33" s="511"/>
      <c r="F33" s="511"/>
      <c r="G33" s="512"/>
      <c r="H33" s="516"/>
      <c r="I33" s="511"/>
      <c r="J33" s="511"/>
      <c r="K33" s="511"/>
      <c r="L33" s="511"/>
      <c r="M33" s="511"/>
      <c r="N33" s="512"/>
      <c r="O33" s="516"/>
      <c r="P33" s="511"/>
      <c r="Q33" s="511"/>
      <c r="R33" s="511"/>
      <c r="S33" s="518"/>
      <c r="T33" s="519"/>
      <c r="U33" s="519"/>
      <c r="V33" s="519"/>
      <c r="W33" s="519"/>
      <c r="X33" s="519"/>
      <c r="Y33" s="519"/>
      <c r="Z33" s="519"/>
      <c r="AA33" s="519"/>
      <c r="AB33" s="519"/>
      <c r="AC33" s="519"/>
      <c r="AD33" s="519"/>
      <c r="AE33" s="519"/>
      <c r="AF33" s="519"/>
      <c r="AG33" s="519"/>
      <c r="AH33" s="519"/>
      <c r="AI33" s="519"/>
      <c r="AJ33" s="519"/>
      <c r="AK33" s="519"/>
      <c r="AL33" s="519"/>
      <c r="AM33" s="519"/>
      <c r="AN33" s="519"/>
      <c r="AO33" s="519"/>
      <c r="AP33" s="519"/>
      <c r="AQ33" s="519"/>
      <c r="AR33" s="519"/>
      <c r="AS33" s="519"/>
      <c r="AT33" s="519"/>
      <c r="AU33" s="519"/>
      <c r="AV33" s="519"/>
      <c r="AW33" s="520"/>
      <c r="AX33" s="511"/>
      <c r="AY33" s="511"/>
      <c r="AZ33" s="511"/>
      <c r="BA33" s="511"/>
      <c r="BB33" s="511"/>
      <c r="BC33" s="512"/>
      <c r="BD33" s="516"/>
      <c r="BE33" s="511"/>
      <c r="BF33" s="511"/>
      <c r="BG33" s="511"/>
      <c r="BH33" s="511"/>
      <c r="BI33" s="511"/>
      <c r="BJ33" s="512"/>
      <c r="BK33" s="6"/>
    </row>
    <row r="34" spans="1:63" ht="15" customHeight="1">
      <c r="A34" s="5"/>
      <c r="B34" s="513"/>
      <c r="C34" s="514"/>
      <c r="D34" s="514"/>
      <c r="E34" s="514"/>
      <c r="F34" s="514"/>
      <c r="G34" s="515"/>
      <c r="H34" s="513"/>
      <c r="I34" s="514"/>
      <c r="J34" s="514"/>
      <c r="K34" s="514"/>
      <c r="L34" s="514"/>
      <c r="M34" s="514"/>
      <c r="N34" s="515"/>
      <c r="O34" s="513"/>
      <c r="P34" s="514"/>
      <c r="Q34" s="514"/>
      <c r="R34" s="514"/>
      <c r="S34" s="521"/>
      <c r="T34" s="522"/>
      <c r="U34" s="522"/>
      <c r="V34" s="522"/>
      <c r="W34" s="522"/>
      <c r="X34" s="522"/>
      <c r="Y34" s="522"/>
      <c r="Z34" s="522"/>
      <c r="AA34" s="522"/>
      <c r="AB34" s="522"/>
      <c r="AC34" s="522"/>
      <c r="AD34" s="522"/>
      <c r="AE34" s="522"/>
      <c r="AF34" s="522"/>
      <c r="AG34" s="522"/>
      <c r="AH34" s="522"/>
      <c r="AI34" s="522"/>
      <c r="AJ34" s="522"/>
      <c r="AK34" s="522"/>
      <c r="AL34" s="522"/>
      <c r="AM34" s="522"/>
      <c r="AN34" s="522"/>
      <c r="AO34" s="522"/>
      <c r="AP34" s="522"/>
      <c r="AQ34" s="522"/>
      <c r="AR34" s="522"/>
      <c r="AS34" s="522"/>
      <c r="AT34" s="522"/>
      <c r="AU34" s="522"/>
      <c r="AV34" s="522"/>
      <c r="AW34" s="523"/>
      <c r="AX34" s="514"/>
      <c r="AY34" s="514"/>
      <c r="AZ34" s="514"/>
      <c r="BA34" s="514"/>
      <c r="BB34" s="514"/>
      <c r="BC34" s="515"/>
      <c r="BD34" s="513"/>
      <c r="BE34" s="514"/>
      <c r="BF34" s="514"/>
      <c r="BG34" s="514"/>
      <c r="BH34" s="514"/>
      <c r="BI34" s="514"/>
      <c r="BJ34" s="515"/>
      <c r="BK34" s="6"/>
    </row>
    <row r="35" spans="1:63" ht="15" customHeight="1">
      <c r="A35" s="5"/>
      <c r="B35" s="516"/>
      <c r="C35" s="511"/>
      <c r="D35" s="511"/>
      <c r="E35" s="511"/>
      <c r="F35" s="511"/>
      <c r="G35" s="512"/>
      <c r="H35" s="516"/>
      <c r="I35" s="511"/>
      <c r="J35" s="511"/>
      <c r="K35" s="511"/>
      <c r="L35" s="511"/>
      <c r="M35" s="511"/>
      <c r="N35" s="512"/>
      <c r="O35" s="516"/>
      <c r="P35" s="511"/>
      <c r="Q35" s="511"/>
      <c r="R35" s="511"/>
      <c r="S35" s="518"/>
      <c r="T35" s="519"/>
      <c r="U35" s="519"/>
      <c r="V35" s="519"/>
      <c r="W35" s="519"/>
      <c r="X35" s="519"/>
      <c r="Y35" s="519"/>
      <c r="Z35" s="519"/>
      <c r="AA35" s="519"/>
      <c r="AB35" s="519"/>
      <c r="AC35" s="519"/>
      <c r="AD35" s="519"/>
      <c r="AE35" s="519"/>
      <c r="AF35" s="519"/>
      <c r="AG35" s="519"/>
      <c r="AH35" s="519"/>
      <c r="AI35" s="519"/>
      <c r="AJ35" s="519"/>
      <c r="AK35" s="519"/>
      <c r="AL35" s="519"/>
      <c r="AM35" s="519"/>
      <c r="AN35" s="519"/>
      <c r="AO35" s="519"/>
      <c r="AP35" s="519"/>
      <c r="AQ35" s="519"/>
      <c r="AR35" s="519"/>
      <c r="AS35" s="519"/>
      <c r="AT35" s="519"/>
      <c r="AU35" s="519"/>
      <c r="AV35" s="519"/>
      <c r="AW35" s="520"/>
      <c r="AX35" s="511"/>
      <c r="AY35" s="511"/>
      <c r="AZ35" s="511"/>
      <c r="BA35" s="511"/>
      <c r="BB35" s="511"/>
      <c r="BC35" s="512"/>
      <c r="BD35" s="516"/>
      <c r="BE35" s="511"/>
      <c r="BF35" s="511"/>
      <c r="BG35" s="511"/>
      <c r="BH35" s="511"/>
      <c r="BI35" s="511"/>
      <c r="BJ35" s="512"/>
      <c r="BK35" s="6"/>
    </row>
    <row r="36" spans="1:63" ht="15" customHeight="1">
      <c r="A36" s="5"/>
      <c r="B36" s="513"/>
      <c r="C36" s="514"/>
      <c r="D36" s="514"/>
      <c r="E36" s="514"/>
      <c r="F36" s="514"/>
      <c r="G36" s="515"/>
      <c r="H36" s="513"/>
      <c r="I36" s="514"/>
      <c r="J36" s="514"/>
      <c r="K36" s="514"/>
      <c r="L36" s="514"/>
      <c r="M36" s="514"/>
      <c r="N36" s="515"/>
      <c r="O36" s="513"/>
      <c r="P36" s="514"/>
      <c r="Q36" s="514"/>
      <c r="R36" s="514"/>
      <c r="S36" s="521"/>
      <c r="T36" s="522"/>
      <c r="U36" s="522"/>
      <c r="V36" s="522"/>
      <c r="W36" s="522"/>
      <c r="X36" s="522"/>
      <c r="Y36" s="522"/>
      <c r="Z36" s="522"/>
      <c r="AA36" s="522"/>
      <c r="AB36" s="522"/>
      <c r="AC36" s="522"/>
      <c r="AD36" s="522"/>
      <c r="AE36" s="522"/>
      <c r="AF36" s="522"/>
      <c r="AG36" s="522"/>
      <c r="AH36" s="522"/>
      <c r="AI36" s="522"/>
      <c r="AJ36" s="522"/>
      <c r="AK36" s="522"/>
      <c r="AL36" s="522"/>
      <c r="AM36" s="522"/>
      <c r="AN36" s="522"/>
      <c r="AO36" s="522"/>
      <c r="AP36" s="522"/>
      <c r="AQ36" s="522"/>
      <c r="AR36" s="522"/>
      <c r="AS36" s="522"/>
      <c r="AT36" s="522"/>
      <c r="AU36" s="522"/>
      <c r="AV36" s="522"/>
      <c r="AW36" s="523"/>
      <c r="AX36" s="514"/>
      <c r="AY36" s="514"/>
      <c r="AZ36" s="514"/>
      <c r="BA36" s="514"/>
      <c r="BB36" s="514"/>
      <c r="BC36" s="515"/>
      <c r="BD36" s="513"/>
      <c r="BE36" s="514"/>
      <c r="BF36" s="514"/>
      <c r="BG36" s="514"/>
      <c r="BH36" s="514"/>
      <c r="BI36" s="514"/>
      <c r="BJ36" s="515"/>
      <c r="BK36" s="6"/>
    </row>
    <row r="37" spans="1:63" ht="15" customHeight="1">
      <c r="A37" s="5"/>
      <c r="B37" s="516"/>
      <c r="C37" s="511"/>
      <c r="D37" s="511"/>
      <c r="E37" s="511"/>
      <c r="F37" s="511"/>
      <c r="G37" s="512"/>
      <c r="H37" s="516"/>
      <c r="I37" s="511"/>
      <c r="J37" s="511"/>
      <c r="K37" s="511"/>
      <c r="L37" s="511"/>
      <c r="M37" s="511"/>
      <c r="N37" s="512"/>
      <c r="O37" s="516"/>
      <c r="P37" s="511"/>
      <c r="Q37" s="511"/>
      <c r="R37" s="511"/>
      <c r="S37" s="518"/>
      <c r="T37" s="519"/>
      <c r="U37" s="519"/>
      <c r="V37" s="519"/>
      <c r="W37" s="519"/>
      <c r="X37" s="519"/>
      <c r="Y37" s="519"/>
      <c r="Z37" s="519"/>
      <c r="AA37" s="519"/>
      <c r="AB37" s="519"/>
      <c r="AC37" s="519"/>
      <c r="AD37" s="519"/>
      <c r="AE37" s="519"/>
      <c r="AF37" s="519"/>
      <c r="AG37" s="519"/>
      <c r="AH37" s="519"/>
      <c r="AI37" s="519"/>
      <c r="AJ37" s="519"/>
      <c r="AK37" s="519"/>
      <c r="AL37" s="519"/>
      <c r="AM37" s="519"/>
      <c r="AN37" s="519"/>
      <c r="AO37" s="519"/>
      <c r="AP37" s="519"/>
      <c r="AQ37" s="519"/>
      <c r="AR37" s="519"/>
      <c r="AS37" s="519"/>
      <c r="AT37" s="519"/>
      <c r="AU37" s="519"/>
      <c r="AV37" s="519"/>
      <c r="AW37" s="520"/>
      <c r="AX37" s="511"/>
      <c r="AY37" s="511"/>
      <c r="AZ37" s="511"/>
      <c r="BA37" s="511"/>
      <c r="BB37" s="511"/>
      <c r="BC37" s="512"/>
      <c r="BD37" s="516"/>
      <c r="BE37" s="511"/>
      <c r="BF37" s="511"/>
      <c r="BG37" s="511"/>
      <c r="BH37" s="511"/>
      <c r="BI37" s="511"/>
      <c r="BJ37" s="512"/>
      <c r="BK37" s="6"/>
    </row>
    <row r="38" spans="1:63" ht="15" customHeight="1">
      <c r="A38" s="5"/>
      <c r="B38" s="513"/>
      <c r="C38" s="514"/>
      <c r="D38" s="514"/>
      <c r="E38" s="514"/>
      <c r="F38" s="514"/>
      <c r="G38" s="515"/>
      <c r="H38" s="513"/>
      <c r="I38" s="514"/>
      <c r="J38" s="514"/>
      <c r="K38" s="514"/>
      <c r="L38" s="514"/>
      <c r="M38" s="514"/>
      <c r="N38" s="515"/>
      <c r="O38" s="513"/>
      <c r="P38" s="514"/>
      <c r="Q38" s="514"/>
      <c r="R38" s="514"/>
      <c r="S38" s="521"/>
      <c r="T38" s="522"/>
      <c r="U38" s="522"/>
      <c r="V38" s="522"/>
      <c r="W38" s="522"/>
      <c r="X38" s="522"/>
      <c r="Y38" s="522"/>
      <c r="Z38" s="522"/>
      <c r="AA38" s="522"/>
      <c r="AB38" s="522"/>
      <c r="AC38" s="522"/>
      <c r="AD38" s="522"/>
      <c r="AE38" s="522"/>
      <c r="AF38" s="522"/>
      <c r="AG38" s="522"/>
      <c r="AH38" s="522"/>
      <c r="AI38" s="522"/>
      <c r="AJ38" s="522"/>
      <c r="AK38" s="522"/>
      <c r="AL38" s="522"/>
      <c r="AM38" s="522"/>
      <c r="AN38" s="522"/>
      <c r="AO38" s="522"/>
      <c r="AP38" s="522"/>
      <c r="AQ38" s="522"/>
      <c r="AR38" s="522"/>
      <c r="AS38" s="522"/>
      <c r="AT38" s="522"/>
      <c r="AU38" s="522"/>
      <c r="AV38" s="522"/>
      <c r="AW38" s="523"/>
      <c r="AX38" s="514"/>
      <c r="AY38" s="514"/>
      <c r="AZ38" s="514"/>
      <c r="BA38" s="514"/>
      <c r="BB38" s="514"/>
      <c r="BC38" s="515"/>
      <c r="BD38" s="513"/>
      <c r="BE38" s="514"/>
      <c r="BF38" s="514"/>
      <c r="BG38" s="514"/>
      <c r="BH38" s="514"/>
      <c r="BI38" s="514"/>
      <c r="BJ38" s="515"/>
      <c r="BK38" s="6"/>
    </row>
    <row r="39" spans="1:63" ht="15" customHeight="1">
      <c r="A39" s="5"/>
      <c r="B39" s="516"/>
      <c r="C39" s="511"/>
      <c r="D39" s="511"/>
      <c r="E39" s="511"/>
      <c r="F39" s="511"/>
      <c r="G39" s="512"/>
      <c r="H39" s="516"/>
      <c r="I39" s="511"/>
      <c r="J39" s="511"/>
      <c r="K39" s="511"/>
      <c r="L39" s="511"/>
      <c r="M39" s="511"/>
      <c r="N39" s="512"/>
      <c r="O39" s="516"/>
      <c r="P39" s="511"/>
      <c r="Q39" s="511"/>
      <c r="R39" s="511"/>
      <c r="S39" s="518"/>
      <c r="T39" s="519"/>
      <c r="U39" s="519"/>
      <c r="V39" s="519"/>
      <c r="W39" s="519"/>
      <c r="X39" s="519"/>
      <c r="Y39" s="519"/>
      <c r="Z39" s="519"/>
      <c r="AA39" s="519"/>
      <c r="AB39" s="519"/>
      <c r="AC39" s="519"/>
      <c r="AD39" s="519"/>
      <c r="AE39" s="519"/>
      <c r="AF39" s="519"/>
      <c r="AG39" s="519"/>
      <c r="AH39" s="519"/>
      <c r="AI39" s="519"/>
      <c r="AJ39" s="519"/>
      <c r="AK39" s="519"/>
      <c r="AL39" s="519"/>
      <c r="AM39" s="519"/>
      <c r="AN39" s="519"/>
      <c r="AO39" s="519"/>
      <c r="AP39" s="519"/>
      <c r="AQ39" s="519"/>
      <c r="AR39" s="519"/>
      <c r="AS39" s="519"/>
      <c r="AT39" s="519"/>
      <c r="AU39" s="519"/>
      <c r="AV39" s="519"/>
      <c r="AW39" s="520"/>
      <c r="AX39" s="511"/>
      <c r="AY39" s="511"/>
      <c r="AZ39" s="511"/>
      <c r="BA39" s="511"/>
      <c r="BB39" s="511"/>
      <c r="BC39" s="512"/>
      <c r="BD39" s="516"/>
      <c r="BE39" s="511"/>
      <c r="BF39" s="511"/>
      <c r="BG39" s="511"/>
      <c r="BH39" s="511"/>
      <c r="BI39" s="511"/>
      <c r="BJ39" s="512"/>
      <c r="BK39" s="6"/>
    </row>
    <row r="40" spans="1:63" ht="15" customHeight="1">
      <c r="A40" s="5"/>
      <c r="B40" s="513"/>
      <c r="C40" s="514"/>
      <c r="D40" s="514"/>
      <c r="E40" s="514"/>
      <c r="F40" s="514"/>
      <c r="G40" s="515"/>
      <c r="H40" s="513"/>
      <c r="I40" s="514"/>
      <c r="J40" s="514"/>
      <c r="K40" s="514"/>
      <c r="L40" s="514"/>
      <c r="M40" s="514"/>
      <c r="N40" s="515"/>
      <c r="O40" s="513"/>
      <c r="P40" s="514"/>
      <c r="Q40" s="514"/>
      <c r="R40" s="514"/>
      <c r="S40" s="521"/>
      <c r="T40" s="522"/>
      <c r="U40" s="522"/>
      <c r="V40" s="522"/>
      <c r="W40" s="522"/>
      <c r="X40" s="522"/>
      <c r="Y40" s="522"/>
      <c r="Z40" s="522"/>
      <c r="AA40" s="522"/>
      <c r="AB40" s="522"/>
      <c r="AC40" s="522"/>
      <c r="AD40" s="522"/>
      <c r="AE40" s="522"/>
      <c r="AF40" s="522"/>
      <c r="AG40" s="522"/>
      <c r="AH40" s="522"/>
      <c r="AI40" s="522"/>
      <c r="AJ40" s="522"/>
      <c r="AK40" s="522"/>
      <c r="AL40" s="522"/>
      <c r="AM40" s="522"/>
      <c r="AN40" s="522"/>
      <c r="AO40" s="522"/>
      <c r="AP40" s="522"/>
      <c r="AQ40" s="522"/>
      <c r="AR40" s="522"/>
      <c r="AS40" s="522"/>
      <c r="AT40" s="522"/>
      <c r="AU40" s="522"/>
      <c r="AV40" s="522"/>
      <c r="AW40" s="523"/>
      <c r="AX40" s="514"/>
      <c r="AY40" s="514"/>
      <c r="AZ40" s="514"/>
      <c r="BA40" s="514"/>
      <c r="BB40" s="514"/>
      <c r="BC40" s="515"/>
      <c r="BD40" s="513"/>
      <c r="BE40" s="514"/>
      <c r="BF40" s="514"/>
      <c r="BG40" s="514"/>
      <c r="BH40" s="514"/>
      <c r="BI40" s="514"/>
      <c r="BJ40" s="515"/>
      <c r="BK40" s="6"/>
    </row>
    <row r="41" spans="1:63" ht="15" customHeight="1">
      <c r="A41" s="5"/>
      <c r="B41" s="516"/>
      <c r="C41" s="511"/>
      <c r="D41" s="511"/>
      <c r="E41" s="511"/>
      <c r="F41" s="511"/>
      <c r="G41" s="512"/>
      <c r="H41" s="516"/>
      <c r="I41" s="511"/>
      <c r="J41" s="511"/>
      <c r="K41" s="511"/>
      <c r="L41" s="511"/>
      <c r="M41" s="511"/>
      <c r="N41" s="512"/>
      <c r="O41" s="516"/>
      <c r="P41" s="511"/>
      <c r="Q41" s="511"/>
      <c r="R41" s="511"/>
      <c r="S41" s="518"/>
      <c r="T41" s="519"/>
      <c r="U41" s="519"/>
      <c r="V41" s="519"/>
      <c r="W41" s="519"/>
      <c r="X41" s="519"/>
      <c r="Y41" s="519"/>
      <c r="Z41" s="519"/>
      <c r="AA41" s="519"/>
      <c r="AB41" s="519"/>
      <c r="AC41" s="519"/>
      <c r="AD41" s="519"/>
      <c r="AE41" s="519"/>
      <c r="AF41" s="519"/>
      <c r="AG41" s="519"/>
      <c r="AH41" s="519"/>
      <c r="AI41" s="519"/>
      <c r="AJ41" s="519"/>
      <c r="AK41" s="519"/>
      <c r="AL41" s="519"/>
      <c r="AM41" s="519"/>
      <c r="AN41" s="519"/>
      <c r="AO41" s="519"/>
      <c r="AP41" s="519"/>
      <c r="AQ41" s="519"/>
      <c r="AR41" s="519"/>
      <c r="AS41" s="519"/>
      <c r="AT41" s="519"/>
      <c r="AU41" s="519"/>
      <c r="AV41" s="519"/>
      <c r="AW41" s="520"/>
      <c r="AX41" s="511"/>
      <c r="AY41" s="511"/>
      <c r="AZ41" s="511"/>
      <c r="BA41" s="511"/>
      <c r="BB41" s="511"/>
      <c r="BC41" s="512"/>
      <c r="BD41" s="516"/>
      <c r="BE41" s="511"/>
      <c r="BF41" s="511"/>
      <c r="BG41" s="511"/>
      <c r="BH41" s="511"/>
      <c r="BI41" s="511"/>
      <c r="BJ41" s="512"/>
      <c r="BK41" s="6"/>
    </row>
    <row r="42" spans="1:63" ht="15" customHeight="1">
      <c r="A42" s="5"/>
      <c r="B42" s="513"/>
      <c r="C42" s="514"/>
      <c r="D42" s="514"/>
      <c r="E42" s="514"/>
      <c r="F42" s="514"/>
      <c r="G42" s="515"/>
      <c r="H42" s="513"/>
      <c r="I42" s="514"/>
      <c r="J42" s="514"/>
      <c r="K42" s="514"/>
      <c r="L42" s="514"/>
      <c r="M42" s="514"/>
      <c r="N42" s="515"/>
      <c r="O42" s="513"/>
      <c r="P42" s="514"/>
      <c r="Q42" s="514"/>
      <c r="R42" s="514"/>
      <c r="S42" s="521"/>
      <c r="T42" s="522"/>
      <c r="U42" s="522"/>
      <c r="V42" s="522"/>
      <c r="W42" s="522"/>
      <c r="X42" s="522"/>
      <c r="Y42" s="522"/>
      <c r="Z42" s="522"/>
      <c r="AA42" s="522"/>
      <c r="AB42" s="522"/>
      <c r="AC42" s="522"/>
      <c r="AD42" s="522"/>
      <c r="AE42" s="522"/>
      <c r="AF42" s="522"/>
      <c r="AG42" s="522"/>
      <c r="AH42" s="522"/>
      <c r="AI42" s="522"/>
      <c r="AJ42" s="522"/>
      <c r="AK42" s="522"/>
      <c r="AL42" s="522"/>
      <c r="AM42" s="522"/>
      <c r="AN42" s="522"/>
      <c r="AO42" s="522"/>
      <c r="AP42" s="522"/>
      <c r="AQ42" s="522"/>
      <c r="AR42" s="522"/>
      <c r="AS42" s="522"/>
      <c r="AT42" s="522"/>
      <c r="AU42" s="522"/>
      <c r="AV42" s="522"/>
      <c r="AW42" s="523"/>
      <c r="AX42" s="514"/>
      <c r="AY42" s="514"/>
      <c r="AZ42" s="514"/>
      <c r="BA42" s="514"/>
      <c r="BB42" s="514"/>
      <c r="BC42" s="515"/>
      <c r="BD42" s="513"/>
      <c r="BE42" s="514"/>
      <c r="BF42" s="514"/>
      <c r="BG42" s="514"/>
      <c r="BH42" s="514"/>
      <c r="BI42" s="514"/>
      <c r="BJ42" s="515"/>
      <c r="BK42" s="6"/>
    </row>
    <row r="43" spans="1:63" ht="15" customHeight="1">
      <c r="A43" s="5"/>
      <c r="B43" s="516"/>
      <c r="C43" s="511"/>
      <c r="D43" s="511"/>
      <c r="E43" s="511"/>
      <c r="F43" s="511"/>
      <c r="G43" s="512"/>
      <c r="H43" s="516"/>
      <c r="I43" s="511"/>
      <c r="J43" s="511"/>
      <c r="K43" s="511"/>
      <c r="L43" s="511"/>
      <c r="M43" s="511"/>
      <c r="N43" s="512"/>
      <c r="O43" s="516"/>
      <c r="P43" s="511"/>
      <c r="Q43" s="511"/>
      <c r="R43" s="511"/>
      <c r="S43" s="518"/>
      <c r="T43" s="519"/>
      <c r="U43" s="519"/>
      <c r="V43" s="519"/>
      <c r="W43" s="519"/>
      <c r="X43" s="519"/>
      <c r="Y43" s="519"/>
      <c r="Z43" s="519"/>
      <c r="AA43" s="519"/>
      <c r="AB43" s="519"/>
      <c r="AC43" s="519"/>
      <c r="AD43" s="519"/>
      <c r="AE43" s="519"/>
      <c r="AF43" s="519"/>
      <c r="AG43" s="519"/>
      <c r="AH43" s="519"/>
      <c r="AI43" s="519"/>
      <c r="AJ43" s="519"/>
      <c r="AK43" s="519"/>
      <c r="AL43" s="519"/>
      <c r="AM43" s="519"/>
      <c r="AN43" s="519"/>
      <c r="AO43" s="519"/>
      <c r="AP43" s="519"/>
      <c r="AQ43" s="519"/>
      <c r="AR43" s="519"/>
      <c r="AS43" s="519"/>
      <c r="AT43" s="519"/>
      <c r="AU43" s="519"/>
      <c r="AV43" s="519"/>
      <c r="AW43" s="520"/>
      <c r="AX43" s="511"/>
      <c r="AY43" s="511"/>
      <c r="AZ43" s="511"/>
      <c r="BA43" s="511"/>
      <c r="BB43" s="511"/>
      <c r="BC43" s="512"/>
      <c r="BD43" s="516"/>
      <c r="BE43" s="511"/>
      <c r="BF43" s="511"/>
      <c r="BG43" s="511"/>
      <c r="BH43" s="511"/>
      <c r="BI43" s="511"/>
      <c r="BJ43" s="512"/>
      <c r="BK43" s="6"/>
    </row>
    <row r="44" spans="1:63" ht="15" customHeight="1">
      <c r="A44" s="5"/>
      <c r="B44" s="513"/>
      <c r="C44" s="514"/>
      <c r="D44" s="514"/>
      <c r="E44" s="514"/>
      <c r="F44" s="514"/>
      <c r="G44" s="515"/>
      <c r="H44" s="513"/>
      <c r="I44" s="514"/>
      <c r="J44" s="514"/>
      <c r="K44" s="514"/>
      <c r="L44" s="514"/>
      <c r="M44" s="514"/>
      <c r="N44" s="515"/>
      <c r="O44" s="513"/>
      <c r="P44" s="514"/>
      <c r="Q44" s="514"/>
      <c r="R44" s="514"/>
      <c r="S44" s="521"/>
      <c r="T44" s="522"/>
      <c r="U44" s="522"/>
      <c r="V44" s="522"/>
      <c r="W44" s="522"/>
      <c r="X44" s="522"/>
      <c r="Y44" s="522"/>
      <c r="Z44" s="522"/>
      <c r="AA44" s="522"/>
      <c r="AB44" s="522"/>
      <c r="AC44" s="522"/>
      <c r="AD44" s="522"/>
      <c r="AE44" s="522"/>
      <c r="AF44" s="522"/>
      <c r="AG44" s="522"/>
      <c r="AH44" s="522"/>
      <c r="AI44" s="522"/>
      <c r="AJ44" s="522"/>
      <c r="AK44" s="522"/>
      <c r="AL44" s="522"/>
      <c r="AM44" s="522"/>
      <c r="AN44" s="522"/>
      <c r="AO44" s="522"/>
      <c r="AP44" s="522"/>
      <c r="AQ44" s="522"/>
      <c r="AR44" s="522"/>
      <c r="AS44" s="522"/>
      <c r="AT44" s="522"/>
      <c r="AU44" s="522"/>
      <c r="AV44" s="522"/>
      <c r="AW44" s="523"/>
      <c r="AX44" s="514"/>
      <c r="AY44" s="514"/>
      <c r="AZ44" s="514"/>
      <c r="BA44" s="514"/>
      <c r="BB44" s="514"/>
      <c r="BC44" s="515"/>
      <c r="BD44" s="513"/>
      <c r="BE44" s="514"/>
      <c r="BF44" s="514"/>
      <c r="BG44" s="514"/>
      <c r="BH44" s="514"/>
      <c r="BI44" s="514"/>
      <c r="BJ44" s="515"/>
      <c r="BK44" s="6"/>
    </row>
    <row r="45" spans="1:63" ht="15" customHeight="1">
      <c r="A45" s="5"/>
      <c r="B45" s="516"/>
      <c r="C45" s="511"/>
      <c r="D45" s="511"/>
      <c r="E45" s="511"/>
      <c r="F45" s="511"/>
      <c r="G45" s="512"/>
      <c r="H45" s="516"/>
      <c r="I45" s="511"/>
      <c r="J45" s="511"/>
      <c r="K45" s="511"/>
      <c r="L45" s="511"/>
      <c r="M45" s="511"/>
      <c r="N45" s="512"/>
      <c r="O45" s="516"/>
      <c r="P45" s="511"/>
      <c r="Q45" s="511"/>
      <c r="R45" s="511"/>
      <c r="S45" s="518"/>
      <c r="T45" s="519"/>
      <c r="U45" s="519"/>
      <c r="V45" s="519"/>
      <c r="W45" s="519"/>
      <c r="X45" s="519"/>
      <c r="Y45" s="519"/>
      <c r="Z45" s="519"/>
      <c r="AA45" s="519"/>
      <c r="AB45" s="519"/>
      <c r="AC45" s="519"/>
      <c r="AD45" s="519"/>
      <c r="AE45" s="519"/>
      <c r="AF45" s="519"/>
      <c r="AG45" s="519"/>
      <c r="AH45" s="519"/>
      <c r="AI45" s="519"/>
      <c r="AJ45" s="519"/>
      <c r="AK45" s="519"/>
      <c r="AL45" s="519"/>
      <c r="AM45" s="519"/>
      <c r="AN45" s="519"/>
      <c r="AO45" s="519"/>
      <c r="AP45" s="519"/>
      <c r="AQ45" s="519"/>
      <c r="AR45" s="519"/>
      <c r="AS45" s="519"/>
      <c r="AT45" s="519"/>
      <c r="AU45" s="519"/>
      <c r="AV45" s="519"/>
      <c r="AW45" s="520"/>
      <c r="AX45" s="511"/>
      <c r="AY45" s="511"/>
      <c r="AZ45" s="511"/>
      <c r="BA45" s="511"/>
      <c r="BB45" s="511"/>
      <c r="BC45" s="512"/>
      <c r="BD45" s="516"/>
      <c r="BE45" s="511"/>
      <c r="BF45" s="511"/>
      <c r="BG45" s="511"/>
      <c r="BH45" s="511"/>
      <c r="BI45" s="511"/>
      <c r="BJ45" s="512"/>
      <c r="BK45" s="6"/>
    </row>
    <row r="46" spans="1:63" ht="15" customHeight="1">
      <c r="A46" s="5"/>
      <c r="B46" s="513"/>
      <c r="C46" s="514"/>
      <c r="D46" s="514"/>
      <c r="E46" s="514"/>
      <c r="F46" s="514"/>
      <c r="G46" s="515"/>
      <c r="H46" s="513"/>
      <c r="I46" s="514"/>
      <c r="J46" s="514"/>
      <c r="K46" s="514"/>
      <c r="L46" s="514"/>
      <c r="M46" s="514"/>
      <c r="N46" s="515"/>
      <c r="O46" s="513"/>
      <c r="P46" s="514"/>
      <c r="Q46" s="514"/>
      <c r="R46" s="514"/>
      <c r="S46" s="521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522"/>
      <c r="AI46" s="522"/>
      <c r="AJ46" s="522"/>
      <c r="AK46" s="522"/>
      <c r="AL46" s="522"/>
      <c r="AM46" s="522"/>
      <c r="AN46" s="522"/>
      <c r="AO46" s="522"/>
      <c r="AP46" s="522"/>
      <c r="AQ46" s="522"/>
      <c r="AR46" s="522"/>
      <c r="AS46" s="522"/>
      <c r="AT46" s="522"/>
      <c r="AU46" s="522"/>
      <c r="AV46" s="522"/>
      <c r="AW46" s="523"/>
      <c r="AX46" s="514"/>
      <c r="AY46" s="514"/>
      <c r="AZ46" s="514"/>
      <c r="BA46" s="514"/>
      <c r="BB46" s="514"/>
      <c r="BC46" s="515"/>
      <c r="BD46" s="513"/>
      <c r="BE46" s="514"/>
      <c r="BF46" s="514"/>
      <c r="BG46" s="514"/>
      <c r="BH46" s="514"/>
      <c r="BI46" s="514"/>
      <c r="BJ46" s="515"/>
      <c r="BK46" s="6"/>
    </row>
    <row r="47" spans="1:63" ht="15" customHeight="1">
      <c r="A47" s="5"/>
      <c r="B47" s="516"/>
      <c r="C47" s="511"/>
      <c r="D47" s="511"/>
      <c r="E47" s="511"/>
      <c r="F47" s="511"/>
      <c r="G47" s="512"/>
      <c r="H47" s="516"/>
      <c r="I47" s="511"/>
      <c r="J47" s="511"/>
      <c r="K47" s="511"/>
      <c r="L47" s="511"/>
      <c r="M47" s="511"/>
      <c r="N47" s="512"/>
      <c r="O47" s="516"/>
      <c r="P47" s="511"/>
      <c r="Q47" s="511"/>
      <c r="R47" s="511"/>
      <c r="S47" s="518"/>
      <c r="T47" s="519"/>
      <c r="U47" s="519"/>
      <c r="V47" s="519"/>
      <c r="W47" s="519"/>
      <c r="X47" s="519"/>
      <c r="Y47" s="519"/>
      <c r="Z47" s="519"/>
      <c r="AA47" s="519"/>
      <c r="AB47" s="519"/>
      <c r="AC47" s="519"/>
      <c r="AD47" s="519"/>
      <c r="AE47" s="519"/>
      <c r="AF47" s="519"/>
      <c r="AG47" s="519"/>
      <c r="AH47" s="519"/>
      <c r="AI47" s="519"/>
      <c r="AJ47" s="519"/>
      <c r="AK47" s="519"/>
      <c r="AL47" s="519"/>
      <c r="AM47" s="519"/>
      <c r="AN47" s="519"/>
      <c r="AO47" s="519"/>
      <c r="AP47" s="519"/>
      <c r="AQ47" s="519"/>
      <c r="AR47" s="519"/>
      <c r="AS47" s="519"/>
      <c r="AT47" s="519"/>
      <c r="AU47" s="519"/>
      <c r="AV47" s="519"/>
      <c r="AW47" s="520"/>
      <c r="AX47" s="511"/>
      <c r="AY47" s="511"/>
      <c r="AZ47" s="511"/>
      <c r="BA47" s="511"/>
      <c r="BB47" s="511"/>
      <c r="BC47" s="512"/>
      <c r="BD47" s="516"/>
      <c r="BE47" s="511"/>
      <c r="BF47" s="511"/>
      <c r="BG47" s="511"/>
      <c r="BH47" s="511"/>
      <c r="BI47" s="511"/>
      <c r="BJ47" s="512"/>
      <c r="BK47" s="6"/>
    </row>
    <row r="48" spans="1:63" ht="15" customHeight="1">
      <c r="A48" s="5"/>
      <c r="B48" s="513"/>
      <c r="C48" s="514"/>
      <c r="D48" s="514"/>
      <c r="E48" s="514"/>
      <c r="F48" s="514"/>
      <c r="G48" s="515"/>
      <c r="H48" s="513"/>
      <c r="I48" s="514"/>
      <c r="J48" s="514"/>
      <c r="K48" s="514"/>
      <c r="L48" s="514"/>
      <c r="M48" s="514"/>
      <c r="N48" s="515"/>
      <c r="O48" s="513"/>
      <c r="P48" s="514"/>
      <c r="Q48" s="514"/>
      <c r="R48" s="514"/>
      <c r="S48" s="521"/>
      <c r="T48" s="522"/>
      <c r="U48" s="522"/>
      <c r="V48" s="522"/>
      <c r="W48" s="522"/>
      <c r="X48" s="522"/>
      <c r="Y48" s="522"/>
      <c r="Z48" s="522"/>
      <c r="AA48" s="522"/>
      <c r="AB48" s="522"/>
      <c r="AC48" s="522"/>
      <c r="AD48" s="522"/>
      <c r="AE48" s="522"/>
      <c r="AF48" s="522"/>
      <c r="AG48" s="522"/>
      <c r="AH48" s="522"/>
      <c r="AI48" s="522"/>
      <c r="AJ48" s="522"/>
      <c r="AK48" s="522"/>
      <c r="AL48" s="522"/>
      <c r="AM48" s="522"/>
      <c r="AN48" s="522"/>
      <c r="AO48" s="522"/>
      <c r="AP48" s="522"/>
      <c r="AQ48" s="522"/>
      <c r="AR48" s="522"/>
      <c r="AS48" s="522"/>
      <c r="AT48" s="522"/>
      <c r="AU48" s="522"/>
      <c r="AV48" s="522"/>
      <c r="AW48" s="523"/>
      <c r="AX48" s="514"/>
      <c r="AY48" s="514"/>
      <c r="AZ48" s="514"/>
      <c r="BA48" s="514"/>
      <c r="BB48" s="514"/>
      <c r="BC48" s="515"/>
      <c r="BD48" s="513"/>
      <c r="BE48" s="514"/>
      <c r="BF48" s="514"/>
      <c r="BG48" s="514"/>
      <c r="BH48" s="514"/>
      <c r="BI48" s="514"/>
      <c r="BJ48" s="515"/>
      <c r="BK48" s="6"/>
    </row>
    <row r="49" spans="1:63" ht="15" customHeight="1">
      <c r="A49" s="5"/>
      <c r="B49" s="516"/>
      <c r="C49" s="511"/>
      <c r="D49" s="511"/>
      <c r="E49" s="511"/>
      <c r="F49" s="511"/>
      <c r="G49" s="512"/>
      <c r="H49" s="516"/>
      <c r="I49" s="511"/>
      <c r="J49" s="511"/>
      <c r="K49" s="511"/>
      <c r="L49" s="511"/>
      <c r="M49" s="511"/>
      <c r="N49" s="512"/>
      <c r="O49" s="516"/>
      <c r="P49" s="511"/>
      <c r="Q49" s="511"/>
      <c r="R49" s="511"/>
      <c r="S49" s="518"/>
      <c r="T49" s="519"/>
      <c r="U49" s="519"/>
      <c r="V49" s="519"/>
      <c r="W49" s="519"/>
      <c r="X49" s="519"/>
      <c r="Y49" s="519"/>
      <c r="Z49" s="519"/>
      <c r="AA49" s="519"/>
      <c r="AB49" s="519"/>
      <c r="AC49" s="519"/>
      <c r="AD49" s="519"/>
      <c r="AE49" s="519"/>
      <c r="AF49" s="519"/>
      <c r="AG49" s="519"/>
      <c r="AH49" s="519"/>
      <c r="AI49" s="519"/>
      <c r="AJ49" s="519"/>
      <c r="AK49" s="519"/>
      <c r="AL49" s="519"/>
      <c r="AM49" s="519"/>
      <c r="AN49" s="519"/>
      <c r="AO49" s="519"/>
      <c r="AP49" s="519"/>
      <c r="AQ49" s="519"/>
      <c r="AR49" s="519"/>
      <c r="AS49" s="519"/>
      <c r="AT49" s="519"/>
      <c r="AU49" s="519"/>
      <c r="AV49" s="519"/>
      <c r="AW49" s="520"/>
      <c r="AX49" s="511"/>
      <c r="AY49" s="511"/>
      <c r="AZ49" s="511"/>
      <c r="BA49" s="511"/>
      <c r="BB49" s="511"/>
      <c r="BC49" s="512"/>
      <c r="BD49" s="516"/>
      <c r="BE49" s="511"/>
      <c r="BF49" s="511"/>
      <c r="BG49" s="511"/>
      <c r="BH49" s="511"/>
      <c r="BI49" s="511"/>
      <c r="BJ49" s="512"/>
      <c r="BK49" s="6"/>
    </row>
    <row r="50" spans="1:63" ht="15" customHeight="1">
      <c r="A50" s="5"/>
      <c r="B50" s="513"/>
      <c r="C50" s="514"/>
      <c r="D50" s="514"/>
      <c r="E50" s="514"/>
      <c r="F50" s="514"/>
      <c r="G50" s="515"/>
      <c r="H50" s="513"/>
      <c r="I50" s="514"/>
      <c r="J50" s="514"/>
      <c r="K50" s="514"/>
      <c r="L50" s="514"/>
      <c r="M50" s="514"/>
      <c r="N50" s="515"/>
      <c r="O50" s="513"/>
      <c r="P50" s="514"/>
      <c r="Q50" s="514"/>
      <c r="R50" s="514"/>
      <c r="S50" s="521"/>
      <c r="T50" s="522"/>
      <c r="U50" s="522"/>
      <c r="V50" s="522"/>
      <c r="W50" s="522"/>
      <c r="X50" s="522"/>
      <c r="Y50" s="522"/>
      <c r="Z50" s="522"/>
      <c r="AA50" s="522"/>
      <c r="AB50" s="522"/>
      <c r="AC50" s="522"/>
      <c r="AD50" s="522"/>
      <c r="AE50" s="522"/>
      <c r="AF50" s="522"/>
      <c r="AG50" s="522"/>
      <c r="AH50" s="522"/>
      <c r="AI50" s="522"/>
      <c r="AJ50" s="522"/>
      <c r="AK50" s="522"/>
      <c r="AL50" s="522"/>
      <c r="AM50" s="522"/>
      <c r="AN50" s="522"/>
      <c r="AO50" s="522"/>
      <c r="AP50" s="522"/>
      <c r="AQ50" s="522"/>
      <c r="AR50" s="522"/>
      <c r="AS50" s="522"/>
      <c r="AT50" s="522"/>
      <c r="AU50" s="522"/>
      <c r="AV50" s="522"/>
      <c r="AW50" s="523"/>
      <c r="AX50" s="514"/>
      <c r="AY50" s="514"/>
      <c r="AZ50" s="514"/>
      <c r="BA50" s="514"/>
      <c r="BB50" s="514"/>
      <c r="BC50" s="515"/>
      <c r="BD50" s="513"/>
      <c r="BE50" s="514"/>
      <c r="BF50" s="514"/>
      <c r="BG50" s="514"/>
      <c r="BH50" s="514"/>
      <c r="BI50" s="514"/>
      <c r="BJ50" s="515"/>
      <c r="BK50" s="6"/>
    </row>
    <row r="51" spans="1:63" ht="15" customHeight="1">
      <c r="A51" s="5"/>
      <c r="B51" s="516"/>
      <c r="C51" s="511"/>
      <c r="D51" s="511"/>
      <c r="E51" s="511"/>
      <c r="F51" s="511"/>
      <c r="G51" s="512"/>
      <c r="H51" s="516"/>
      <c r="I51" s="511"/>
      <c r="J51" s="511"/>
      <c r="K51" s="511"/>
      <c r="L51" s="511"/>
      <c r="M51" s="511"/>
      <c r="N51" s="512"/>
      <c r="O51" s="516"/>
      <c r="P51" s="511"/>
      <c r="Q51" s="511"/>
      <c r="R51" s="511"/>
      <c r="S51" s="518"/>
      <c r="T51" s="519"/>
      <c r="U51" s="519"/>
      <c r="V51" s="519"/>
      <c r="W51" s="519"/>
      <c r="X51" s="519"/>
      <c r="Y51" s="519"/>
      <c r="Z51" s="519"/>
      <c r="AA51" s="519"/>
      <c r="AB51" s="519"/>
      <c r="AC51" s="519"/>
      <c r="AD51" s="519"/>
      <c r="AE51" s="519"/>
      <c r="AF51" s="519"/>
      <c r="AG51" s="519"/>
      <c r="AH51" s="519"/>
      <c r="AI51" s="519"/>
      <c r="AJ51" s="519"/>
      <c r="AK51" s="519"/>
      <c r="AL51" s="519"/>
      <c r="AM51" s="519"/>
      <c r="AN51" s="519"/>
      <c r="AO51" s="519"/>
      <c r="AP51" s="519"/>
      <c r="AQ51" s="519"/>
      <c r="AR51" s="519"/>
      <c r="AS51" s="519"/>
      <c r="AT51" s="519"/>
      <c r="AU51" s="519"/>
      <c r="AV51" s="519"/>
      <c r="AW51" s="520"/>
      <c r="AX51" s="511"/>
      <c r="AY51" s="511"/>
      <c r="AZ51" s="511"/>
      <c r="BA51" s="511"/>
      <c r="BB51" s="511"/>
      <c r="BC51" s="512"/>
      <c r="BD51" s="516"/>
      <c r="BE51" s="511"/>
      <c r="BF51" s="511"/>
      <c r="BG51" s="511"/>
      <c r="BH51" s="511"/>
      <c r="BI51" s="511"/>
      <c r="BJ51" s="512"/>
      <c r="BK51" s="6"/>
    </row>
    <row r="52" spans="1:63" ht="15" customHeight="1">
      <c r="A52" s="5"/>
      <c r="B52" s="513"/>
      <c r="C52" s="514"/>
      <c r="D52" s="514"/>
      <c r="E52" s="514"/>
      <c r="F52" s="514"/>
      <c r="G52" s="515"/>
      <c r="H52" s="513"/>
      <c r="I52" s="514"/>
      <c r="J52" s="514"/>
      <c r="K52" s="514"/>
      <c r="L52" s="514"/>
      <c r="M52" s="514"/>
      <c r="N52" s="515"/>
      <c r="O52" s="513"/>
      <c r="P52" s="514"/>
      <c r="Q52" s="514"/>
      <c r="R52" s="514"/>
      <c r="S52" s="521"/>
      <c r="T52" s="522"/>
      <c r="U52" s="522"/>
      <c r="V52" s="522"/>
      <c r="W52" s="522"/>
      <c r="X52" s="522"/>
      <c r="Y52" s="522"/>
      <c r="Z52" s="522"/>
      <c r="AA52" s="522"/>
      <c r="AB52" s="522"/>
      <c r="AC52" s="522"/>
      <c r="AD52" s="522"/>
      <c r="AE52" s="522"/>
      <c r="AF52" s="522"/>
      <c r="AG52" s="522"/>
      <c r="AH52" s="522"/>
      <c r="AI52" s="522"/>
      <c r="AJ52" s="522"/>
      <c r="AK52" s="522"/>
      <c r="AL52" s="522"/>
      <c r="AM52" s="522"/>
      <c r="AN52" s="522"/>
      <c r="AO52" s="522"/>
      <c r="AP52" s="522"/>
      <c r="AQ52" s="522"/>
      <c r="AR52" s="522"/>
      <c r="AS52" s="522"/>
      <c r="AT52" s="522"/>
      <c r="AU52" s="522"/>
      <c r="AV52" s="522"/>
      <c r="AW52" s="523"/>
      <c r="AX52" s="514"/>
      <c r="AY52" s="514"/>
      <c r="AZ52" s="514"/>
      <c r="BA52" s="514"/>
      <c r="BB52" s="514"/>
      <c r="BC52" s="515"/>
      <c r="BD52" s="513"/>
      <c r="BE52" s="514"/>
      <c r="BF52" s="514"/>
      <c r="BG52" s="514"/>
      <c r="BH52" s="514"/>
      <c r="BI52" s="514"/>
      <c r="BJ52" s="515"/>
      <c r="BK52" s="6"/>
    </row>
    <row r="53" spans="1:63" ht="15" customHeight="1">
      <c r="A53" s="5"/>
      <c r="B53" s="516"/>
      <c r="C53" s="511"/>
      <c r="D53" s="511"/>
      <c r="E53" s="511"/>
      <c r="F53" s="511"/>
      <c r="G53" s="512"/>
      <c r="H53" s="516"/>
      <c r="I53" s="511"/>
      <c r="J53" s="511"/>
      <c r="K53" s="511"/>
      <c r="L53" s="511"/>
      <c r="M53" s="511"/>
      <c r="N53" s="512"/>
      <c r="O53" s="516"/>
      <c r="P53" s="511"/>
      <c r="Q53" s="511"/>
      <c r="R53" s="511"/>
      <c r="S53" s="518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19"/>
      <c r="AE53" s="519"/>
      <c r="AF53" s="519"/>
      <c r="AG53" s="519"/>
      <c r="AH53" s="519"/>
      <c r="AI53" s="519"/>
      <c r="AJ53" s="519"/>
      <c r="AK53" s="519"/>
      <c r="AL53" s="519"/>
      <c r="AM53" s="519"/>
      <c r="AN53" s="519"/>
      <c r="AO53" s="519"/>
      <c r="AP53" s="519"/>
      <c r="AQ53" s="519"/>
      <c r="AR53" s="519"/>
      <c r="AS53" s="519"/>
      <c r="AT53" s="519"/>
      <c r="AU53" s="519"/>
      <c r="AV53" s="519"/>
      <c r="AW53" s="520"/>
      <c r="AX53" s="511"/>
      <c r="AY53" s="511"/>
      <c r="AZ53" s="511"/>
      <c r="BA53" s="511"/>
      <c r="BB53" s="511"/>
      <c r="BC53" s="512"/>
      <c r="BD53" s="516"/>
      <c r="BE53" s="511"/>
      <c r="BF53" s="511"/>
      <c r="BG53" s="511"/>
      <c r="BH53" s="511"/>
      <c r="BI53" s="511"/>
      <c r="BJ53" s="512"/>
      <c r="BK53" s="6"/>
    </row>
    <row r="54" spans="1:63" ht="15" customHeight="1">
      <c r="A54" s="5"/>
      <c r="B54" s="513"/>
      <c r="C54" s="514"/>
      <c r="D54" s="514"/>
      <c r="E54" s="514"/>
      <c r="F54" s="514"/>
      <c r="G54" s="515"/>
      <c r="H54" s="513"/>
      <c r="I54" s="514"/>
      <c r="J54" s="514"/>
      <c r="K54" s="514"/>
      <c r="L54" s="514"/>
      <c r="M54" s="514"/>
      <c r="N54" s="515"/>
      <c r="O54" s="513"/>
      <c r="P54" s="514"/>
      <c r="Q54" s="514"/>
      <c r="R54" s="514"/>
      <c r="S54" s="521"/>
      <c r="T54" s="522"/>
      <c r="U54" s="522"/>
      <c r="V54" s="522"/>
      <c r="W54" s="522"/>
      <c r="X54" s="522"/>
      <c r="Y54" s="522"/>
      <c r="Z54" s="522"/>
      <c r="AA54" s="522"/>
      <c r="AB54" s="522"/>
      <c r="AC54" s="522"/>
      <c r="AD54" s="522"/>
      <c r="AE54" s="522"/>
      <c r="AF54" s="522"/>
      <c r="AG54" s="522"/>
      <c r="AH54" s="522"/>
      <c r="AI54" s="522"/>
      <c r="AJ54" s="522"/>
      <c r="AK54" s="522"/>
      <c r="AL54" s="522"/>
      <c r="AM54" s="522"/>
      <c r="AN54" s="522"/>
      <c r="AO54" s="522"/>
      <c r="AP54" s="522"/>
      <c r="AQ54" s="522"/>
      <c r="AR54" s="522"/>
      <c r="AS54" s="522"/>
      <c r="AT54" s="522"/>
      <c r="AU54" s="522"/>
      <c r="AV54" s="522"/>
      <c r="AW54" s="523"/>
      <c r="AX54" s="514"/>
      <c r="AY54" s="514"/>
      <c r="AZ54" s="514"/>
      <c r="BA54" s="514"/>
      <c r="BB54" s="514"/>
      <c r="BC54" s="515"/>
      <c r="BD54" s="513"/>
      <c r="BE54" s="514"/>
      <c r="BF54" s="514"/>
      <c r="BG54" s="514"/>
      <c r="BH54" s="514"/>
      <c r="BI54" s="514"/>
      <c r="BJ54" s="515"/>
      <c r="BK54" s="6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15:G16"/>
    <mergeCell ref="H15:N16"/>
    <mergeCell ref="O15:R16"/>
    <mergeCell ref="S15:AW15"/>
    <mergeCell ref="AX15:BC16"/>
    <mergeCell ref="BD15:BJ16"/>
    <mergeCell ref="S16:AW16"/>
    <mergeCell ref="B13:G14"/>
    <mergeCell ref="H13:N14"/>
    <mergeCell ref="O13:R14"/>
    <mergeCell ref="S13:AW13"/>
    <mergeCell ref="AX13:BC14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3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12BF-2AD5-4D56-86CB-6B55CBE2595F}">
  <sheetPr>
    <pageSetUpPr fitToPage="1"/>
  </sheetPr>
  <dimension ref="A1:DU57"/>
  <sheetViews>
    <sheetView view="pageBreakPreview" zoomScale="85" zoomScaleNormal="80" zoomScaleSheetLayoutView="85" workbookViewId="0">
      <selection activeCell="AQ13" sqref="AQ13:CL13"/>
    </sheetView>
  </sheetViews>
  <sheetFormatPr defaultColWidth="2.28515625" defaultRowHeight="15" customHeight="1"/>
  <cols>
    <col min="1" max="1" width="2.28515625" style="118"/>
    <col min="2" max="4" width="2.28515625" style="193"/>
    <col min="5" max="125" width="2.28515625" style="118" customWidth="1"/>
    <col min="126" max="16384" width="2.28515625" style="118"/>
  </cols>
  <sheetData>
    <row r="1" spans="1:125" s="184" customFormat="1" ht="15" customHeight="1">
      <c r="A1" s="572" t="s">
        <v>23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4"/>
      <c r="AC1" s="578" t="s">
        <v>24</v>
      </c>
      <c r="AD1" s="579"/>
      <c r="AE1" s="579"/>
      <c r="AF1" s="579"/>
      <c r="AG1" s="579"/>
      <c r="AH1" s="579"/>
      <c r="AI1" s="579"/>
      <c r="AJ1" s="579"/>
      <c r="AK1" s="579"/>
      <c r="AL1" s="579"/>
      <c r="AM1" s="579"/>
      <c r="AN1" s="579"/>
      <c r="AO1" s="580"/>
      <c r="AP1" s="578" t="s">
        <v>25</v>
      </c>
      <c r="AQ1" s="579"/>
      <c r="AR1" s="579"/>
      <c r="AS1" s="579"/>
      <c r="AT1" s="579"/>
      <c r="AU1" s="579"/>
      <c r="AV1" s="579"/>
      <c r="AW1" s="579"/>
      <c r="AX1" s="579"/>
      <c r="AY1" s="579"/>
      <c r="AZ1" s="579"/>
      <c r="BA1" s="579"/>
      <c r="BB1" s="580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183"/>
      <c r="CC1" s="183"/>
      <c r="CD1" s="183"/>
      <c r="CE1" s="183"/>
      <c r="CF1" s="183"/>
      <c r="CG1" s="183"/>
      <c r="CH1" s="183"/>
      <c r="CI1" s="183"/>
      <c r="CJ1" s="183"/>
      <c r="CK1" s="183"/>
      <c r="CL1" s="183"/>
      <c r="CM1" s="183"/>
      <c r="CN1" s="183"/>
      <c r="CO1" s="183"/>
      <c r="CP1" s="183"/>
      <c r="CQ1" s="183"/>
      <c r="CR1" s="183"/>
      <c r="CS1" s="183"/>
      <c r="CT1" s="183"/>
      <c r="CU1" s="183"/>
      <c r="CV1" s="183"/>
      <c r="CW1" s="183"/>
      <c r="CX1" s="183"/>
      <c r="CY1" s="183"/>
      <c r="CZ1" s="183"/>
      <c r="DA1" s="183"/>
      <c r="DB1" s="183"/>
      <c r="DC1" s="183"/>
      <c r="DD1" s="581" t="s">
        <v>198</v>
      </c>
      <c r="DE1" s="581"/>
      <c r="DF1" s="581"/>
      <c r="DG1" s="581"/>
      <c r="DH1" s="581"/>
      <c r="DI1" s="581"/>
      <c r="DJ1" s="581"/>
      <c r="DK1" s="581"/>
      <c r="DL1" s="581"/>
      <c r="DM1" s="581" t="s">
        <v>199</v>
      </c>
      <c r="DN1" s="581"/>
      <c r="DO1" s="581"/>
      <c r="DP1" s="581"/>
      <c r="DQ1" s="581"/>
      <c r="DR1" s="581"/>
      <c r="DS1" s="581"/>
      <c r="DT1" s="581"/>
      <c r="DU1" s="582"/>
    </row>
    <row r="2" spans="1:125" s="184" customFormat="1" ht="15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7"/>
      <c r="AC2" s="583" t="s">
        <v>200</v>
      </c>
      <c r="AD2" s="584"/>
      <c r="AE2" s="584"/>
      <c r="AF2" s="584"/>
      <c r="AG2" s="584"/>
      <c r="AH2" s="584"/>
      <c r="AI2" s="584"/>
      <c r="AJ2" s="584"/>
      <c r="AK2" s="584"/>
      <c r="AL2" s="584"/>
      <c r="AM2" s="584"/>
      <c r="AN2" s="584"/>
      <c r="AO2" s="585"/>
      <c r="AP2" s="589" t="s">
        <v>201</v>
      </c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1"/>
      <c r="BC2" s="185"/>
      <c r="BD2" s="185"/>
      <c r="BE2" s="185"/>
      <c r="BF2" s="185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5"/>
      <c r="BR2" s="185"/>
      <c r="BS2" s="185"/>
      <c r="BT2" s="185"/>
      <c r="BU2" s="185"/>
      <c r="BV2" s="185"/>
      <c r="BW2" s="185"/>
      <c r="BX2" s="185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595" t="s">
        <v>33</v>
      </c>
      <c r="DE2" s="595"/>
      <c r="DF2" s="596"/>
      <c r="DG2" s="562" t="str">
        <f>IF(表紙!AP2="","",表紙!AP2)</f>
        <v>ThaiDD</v>
      </c>
      <c r="DH2" s="562"/>
      <c r="DI2" s="562"/>
      <c r="DJ2" s="562"/>
      <c r="DK2" s="562"/>
      <c r="DL2" s="562"/>
      <c r="DM2" s="597" t="s">
        <v>34</v>
      </c>
      <c r="DN2" s="597"/>
      <c r="DO2" s="597"/>
      <c r="DP2" s="562" t="str">
        <f>IF(表紙!AY2="","",表紙!AY2)</f>
        <v>ThaiDD</v>
      </c>
      <c r="DQ2" s="562"/>
      <c r="DR2" s="562"/>
      <c r="DS2" s="562"/>
      <c r="DT2" s="562"/>
      <c r="DU2" s="563"/>
    </row>
    <row r="3" spans="1:125" s="184" customFormat="1" ht="15" customHeight="1" thickBot="1">
      <c r="A3" s="575"/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  <c r="T3" s="576"/>
      <c r="U3" s="576"/>
      <c r="V3" s="576"/>
      <c r="W3" s="576"/>
      <c r="X3" s="576"/>
      <c r="Y3" s="576"/>
      <c r="Z3" s="576"/>
      <c r="AA3" s="576"/>
      <c r="AB3" s="577"/>
      <c r="AC3" s="586"/>
      <c r="AD3" s="587"/>
      <c r="AE3" s="587"/>
      <c r="AF3" s="587"/>
      <c r="AG3" s="587"/>
      <c r="AH3" s="587"/>
      <c r="AI3" s="587"/>
      <c r="AJ3" s="587"/>
      <c r="AK3" s="587"/>
      <c r="AL3" s="587"/>
      <c r="AM3" s="587"/>
      <c r="AN3" s="587"/>
      <c r="AO3" s="588"/>
      <c r="AP3" s="592"/>
      <c r="AQ3" s="593"/>
      <c r="AR3" s="593"/>
      <c r="AS3" s="593"/>
      <c r="AT3" s="593"/>
      <c r="AU3" s="593"/>
      <c r="AV3" s="593"/>
      <c r="AW3" s="593"/>
      <c r="AX3" s="593"/>
      <c r="AY3" s="593"/>
      <c r="AZ3" s="593"/>
      <c r="BA3" s="593"/>
      <c r="BB3" s="594"/>
      <c r="BC3" s="187"/>
      <c r="BD3" s="187"/>
      <c r="BE3" s="187"/>
      <c r="BF3" s="187"/>
      <c r="BG3" s="188"/>
      <c r="BH3" s="188"/>
      <c r="BI3" s="188"/>
      <c r="BJ3" s="188"/>
      <c r="BK3" s="188"/>
      <c r="BL3" s="188"/>
      <c r="BM3" s="188"/>
      <c r="BN3" s="188"/>
      <c r="BO3" s="188"/>
      <c r="BP3" s="188"/>
      <c r="BQ3" s="187"/>
      <c r="BR3" s="187"/>
      <c r="BS3" s="187"/>
      <c r="BT3" s="187"/>
      <c r="BU3" s="187"/>
      <c r="BV3" s="187"/>
      <c r="BW3" s="187"/>
      <c r="BX3" s="187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8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8"/>
      <c r="CY3" s="188"/>
      <c r="CZ3" s="188"/>
      <c r="DA3" s="188"/>
      <c r="DB3" s="188"/>
      <c r="DC3" s="188"/>
      <c r="DD3" s="564" t="s">
        <v>22</v>
      </c>
      <c r="DE3" s="564"/>
      <c r="DF3" s="565"/>
      <c r="DG3" s="566">
        <f>IF([10]表紙!AT2="","",[10]表紙!AT2)</f>
        <v>45097</v>
      </c>
      <c r="DH3" s="566"/>
      <c r="DI3" s="566"/>
      <c r="DJ3" s="566"/>
      <c r="DK3" s="566"/>
      <c r="DL3" s="567"/>
      <c r="DM3" s="568" t="s">
        <v>35</v>
      </c>
      <c r="DN3" s="568"/>
      <c r="DO3" s="568"/>
      <c r="DP3" s="566">
        <f>IF(表紙!BC2="","",表紙!BC2)</f>
        <v>45316</v>
      </c>
      <c r="DQ3" s="566"/>
      <c r="DR3" s="566"/>
      <c r="DS3" s="566"/>
      <c r="DT3" s="566"/>
      <c r="DU3" s="567"/>
    </row>
    <row r="4" spans="1:125" ht="15" customHeight="1">
      <c r="A4" s="189"/>
      <c r="B4" s="190"/>
      <c r="C4" s="190"/>
      <c r="D4" s="190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1"/>
      <c r="DU4" s="192"/>
    </row>
    <row r="5" spans="1:125" ht="15" customHeight="1" thickBot="1">
      <c r="A5" s="134"/>
      <c r="DU5" s="194"/>
    </row>
    <row r="6" spans="1:125" s="193" customFormat="1" ht="15" customHeight="1" thickBot="1">
      <c r="A6" s="195"/>
      <c r="B6" s="196" t="s">
        <v>26</v>
      </c>
      <c r="C6" s="197"/>
      <c r="D6" s="198"/>
      <c r="E6" s="199" t="s">
        <v>202</v>
      </c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200" t="s">
        <v>28</v>
      </c>
      <c r="AD6" s="199"/>
      <c r="AE6" s="199"/>
      <c r="AF6" s="199"/>
      <c r="AG6" s="199"/>
      <c r="AH6" s="201"/>
      <c r="AI6" s="200" t="s">
        <v>203</v>
      </c>
      <c r="AJ6" s="199"/>
      <c r="AK6" s="199"/>
      <c r="AL6" s="199"/>
      <c r="AM6" s="199"/>
      <c r="AN6" s="199"/>
      <c r="AO6" s="199"/>
      <c r="AP6" s="201"/>
      <c r="AQ6" s="200" t="s">
        <v>204</v>
      </c>
      <c r="AR6" s="202"/>
      <c r="AS6" s="202"/>
      <c r="AT6" s="202"/>
      <c r="AU6" s="202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  <c r="CL6" s="203"/>
      <c r="CM6" s="200" t="s">
        <v>205</v>
      </c>
      <c r="CN6" s="199"/>
      <c r="CO6" s="199"/>
      <c r="CP6" s="199"/>
      <c r="CQ6" s="199"/>
      <c r="CR6" s="199"/>
      <c r="CS6" s="199"/>
      <c r="CT6" s="201"/>
      <c r="CU6" s="200" t="s">
        <v>206</v>
      </c>
      <c r="CV6" s="199"/>
      <c r="CW6" s="199"/>
      <c r="CX6" s="199"/>
      <c r="CY6" s="199"/>
      <c r="CZ6" s="199"/>
      <c r="DA6" s="199"/>
      <c r="DB6" s="201"/>
      <c r="DC6" s="204" t="s">
        <v>207</v>
      </c>
      <c r="DD6" s="199"/>
      <c r="DE6" s="199"/>
      <c r="DF6" s="199"/>
      <c r="DG6" s="199"/>
      <c r="DH6" s="199"/>
      <c r="DI6" s="199"/>
      <c r="DJ6" s="205"/>
      <c r="DL6" s="569" t="s">
        <v>208</v>
      </c>
      <c r="DM6" s="570"/>
      <c r="DN6" s="571"/>
      <c r="DO6" s="569" t="s">
        <v>209</v>
      </c>
      <c r="DP6" s="570"/>
      <c r="DQ6" s="571"/>
      <c r="DU6" s="206"/>
    </row>
    <row r="7" spans="1:125" ht="15" customHeight="1">
      <c r="A7" s="134"/>
      <c r="B7" s="207" t="s">
        <v>210</v>
      </c>
      <c r="C7" s="208"/>
      <c r="D7" s="209"/>
      <c r="E7" s="210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2"/>
      <c r="V7" s="212"/>
      <c r="W7" s="211"/>
      <c r="X7" s="211"/>
      <c r="Y7" s="211"/>
      <c r="Z7" s="211"/>
      <c r="AA7" s="211"/>
      <c r="AB7" s="211"/>
      <c r="AC7" s="210"/>
      <c r="AD7" s="211"/>
      <c r="AE7" s="211"/>
      <c r="AF7" s="211"/>
      <c r="AG7" s="211"/>
      <c r="AH7" s="213"/>
      <c r="AI7" s="210"/>
      <c r="AJ7" s="211"/>
      <c r="AK7" s="211"/>
      <c r="AL7" s="211"/>
      <c r="AM7" s="211"/>
      <c r="AN7" s="211"/>
      <c r="AO7" s="211"/>
      <c r="AP7" s="213"/>
      <c r="AQ7" s="210"/>
      <c r="AR7" s="212"/>
      <c r="AS7" s="212"/>
      <c r="AT7" s="212"/>
      <c r="AU7" s="212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1"/>
      <c r="BL7" s="211"/>
      <c r="BM7" s="211"/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  <c r="CB7" s="211"/>
      <c r="CC7" s="211"/>
      <c r="CD7" s="211"/>
      <c r="CE7" s="211"/>
      <c r="CF7" s="211"/>
      <c r="CG7" s="211"/>
      <c r="CH7" s="211"/>
      <c r="CI7" s="211"/>
      <c r="CJ7" s="211"/>
      <c r="CK7" s="211"/>
      <c r="CL7" s="214"/>
      <c r="CM7" s="210"/>
      <c r="CN7" s="211"/>
      <c r="CO7" s="211"/>
      <c r="CP7" s="211"/>
      <c r="CQ7" s="211"/>
      <c r="CR7" s="211"/>
      <c r="CS7" s="211"/>
      <c r="CT7" s="213"/>
      <c r="CU7" s="215"/>
      <c r="CV7" s="216"/>
      <c r="CW7" s="216"/>
      <c r="CX7" s="216"/>
      <c r="CY7" s="216"/>
      <c r="CZ7" s="216"/>
      <c r="DA7" s="216"/>
      <c r="DB7" s="217"/>
      <c r="DC7" s="215" t="s">
        <v>7</v>
      </c>
      <c r="DD7" s="216"/>
      <c r="DE7" s="216"/>
      <c r="DF7" s="216"/>
      <c r="DG7" s="216"/>
      <c r="DH7" s="216"/>
      <c r="DI7" s="216"/>
      <c r="DJ7" s="218"/>
      <c r="DL7" s="552"/>
      <c r="DM7" s="553"/>
      <c r="DN7" s="554"/>
      <c r="DO7" s="552"/>
      <c r="DP7" s="553"/>
      <c r="DQ7" s="554"/>
      <c r="DU7" s="194"/>
    </row>
    <row r="8" spans="1:125" s="193" customFormat="1" ht="15" customHeight="1">
      <c r="A8" s="195"/>
      <c r="B8" s="372" t="s">
        <v>140</v>
      </c>
      <c r="C8" s="219"/>
      <c r="D8" s="220"/>
      <c r="E8" s="221" t="s">
        <v>281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2" t="s">
        <v>211</v>
      </c>
      <c r="AD8" s="221"/>
      <c r="AE8" s="221"/>
      <c r="AF8" s="221"/>
      <c r="AG8" s="221"/>
      <c r="AH8" s="223"/>
      <c r="AI8" s="222" t="s">
        <v>212</v>
      </c>
      <c r="AJ8" s="221"/>
      <c r="AK8" s="221"/>
      <c r="AL8" s="221"/>
      <c r="AM8" s="221"/>
      <c r="AN8" s="221"/>
      <c r="AO8" s="221"/>
      <c r="AP8" s="223"/>
      <c r="AQ8" s="222" t="s">
        <v>297</v>
      </c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1"/>
      <c r="CB8" s="221"/>
      <c r="CC8" s="221"/>
      <c r="CD8" s="221"/>
      <c r="CE8" s="221"/>
      <c r="CF8" s="221"/>
      <c r="CG8" s="221"/>
      <c r="CH8" s="221"/>
      <c r="CI8" s="221"/>
      <c r="CJ8" s="221"/>
      <c r="CK8" s="221"/>
      <c r="CL8" s="223"/>
      <c r="CM8" s="222"/>
      <c r="CN8" s="221"/>
      <c r="CO8" s="221"/>
      <c r="CP8" s="221"/>
      <c r="CQ8" s="221"/>
      <c r="CR8" s="221"/>
      <c r="CS8" s="221"/>
      <c r="CT8" s="223"/>
      <c r="CU8" s="555"/>
      <c r="CV8" s="556"/>
      <c r="CW8" s="556"/>
      <c r="CX8" s="556"/>
      <c r="CY8" s="556"/>
      <c r="CZ8" s="556"/>
      <c r="DA8" s="556"/>
      <c r="DB8" s="557"/>
      <c r="DC8" s="555"/>
      <c r="DD8" s="556"/>
      <c r="DE8" s="556"/>
      <c r="DF8" s="556"/>
      <c r="DG8" s="556"/>
      <c r="DH8" s="556"/>
      <c r="DI8" s="556"/>
      <c r="DJ8" s="558"/>
      <c r="DL8" s="559"/>
      <c r="DM8" s="560"/>
      <c r="DN8" s="561"/>
      <c r="DO8" s="559"/>
      <c r="DP8" s="560"/>
      <c r="DQ8" s="561"/>
      <c r="DR8" s="118"/>
      <c r="DS8" s="118"/>
      <c r="DT8" s="118"/>
      <c r="DU8" s="194"/>
    </row>
    <row r="9" spans="1:125" s="193" customFormat="1" ht="15" customHeight="1">
      <c r="A9" s="195"/>
      <c r="B9" s="372" t="s">
        <v>141</v>
      </c>
      <c r="C9" s="219"/>
      <c r="D9" s="220"/>
      <c r="E9" s="221" t="s">
        <v>31</v>
      </c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2" t="s">
        <v>211</v>
      </c>
      <c r="AD9" s="221"/>
      <c r="AE9" s="221"/>
      <c r="AF9" s="221"/>
      <c r="AG9" s="221"/>
      <c r="AH9" s="223"/>
      <c r="AI9" s="222" t="s">
        <v>212</v>
      </c>
      <c r="AJ9" s="221"/>
      <c r="AK9" s="221"/>
      <c r="AL9" s="221"/>
      <c r="AM9" s="221"/>
      <c r="AN9" s="221"/>
      <c r="AO9" s="221"/>
      <c r="AP9" s="223"/>
      <c r="AQ9" s="222" t="s">
        <v>298</v>
      </c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21"/>
      <c r="CE9" s="221"/>
      <c r="CF9" s="221"/>
      <c r="CG9" s="221"/>
      <c r="CH9" s="221"/>
      <c r="CI9" s="221"/>
      <c r="CJ9" s="221"/>
      <c r="CK9" s="221"/>
      <c r="CL9" s="223"/>
      <c r="CM9" s="222"/>
      <c r="CN9" s="221"/>
      <c r="CO9" s="221"/>
      <c r="CP9" s="221"/>
      <c r="CQ9" s="221"/>
      <c r="CR9" s="221"/>
      <c r="CS9" s="221"/>
      <c r="CT9" s="223"/>
      <c r="CU9" s="555"/>
      <c r="CV9" s="556"/>
      <c r="CW9" s="556"/>
      <c r="CX9" s="556"/>
      <c r="CY9" s="556"/>
      <c r="CZ9" s="556"/>
      <c r="DA9" s="556"/>
      <c r="DB9" s="557"/>
      <c r="DC9" s="555"/>
      <c r="DD9" s="556"/>
      <c r="DE9" s="556"/>
      <c r="DF9" s="556"/>
      <c r="DG9" s="556"/>
      <c r="DH9" s="556"/>
      <c r="DI9" s="556"/>
      <c r="DJ9" s="558"/>
      <c r="DL9" s="559"/>
      <c r="DM9" s="560"/>
      <c r="DN9" s="561"/>
      <c r="DO9" s="559"/>
      <c r="DP9" s="560"/>
      <c r="DQ9" s="561"/>
      <c r="DR9" s="118"/>
      <c r="DS9" s="118"/>
      <c r="DT9" s="118"/>
      <c r="DU9" s="194"/>
    </row>
    <row r="10" spans="1:125" s="228" customFormat="1" ht="15" customHeight="1">
      <c r="A10" s="227"/>
      <c r="B10" s="372" t="s">
        <v>142</v>
      </c>
      <c r="C10" s="219"/>
      <c r="D10" s="220"/>
      <c r="E10" s="221" t="s">
        <v>61</v>
      </c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1"/>
      <c r="V10" s="231"/>
      <c r="W10" s="230"/>
      <c r="X10" s="230"/>
      <c r="Y10" s="230"/>
      <c r="Z10" s="230"/>
      <c r="AA10" s="230"/>
      <c r="AB10" s="230"/>
      <c r="AC10" s="222" t="s">
        <v>211</v>
      </c>
      <c r="AD10" s="230"/>
      <c r="AE10" s="230"/>
      <c r="AF10" s="230"/>
      <c r="AG10" s="230"/>
      <c r="AH10" s="232"/>
      <c r="AI10" s="222" t="s">
        <v>212</v>
      </c>
      <c r="AJ10" s="230"/>
      <c r="AK10" s="230"/>
      <c r="AL10" s="230"/>
      <c r="AM10" s="230"/>
      <c r="AN10" s="230"/>
      <c r="AO10" s="230"/>
      <c r="AP10" s="232"/>
      <c r="AQ10" s="222" t="s">
        <v>299</v>
      </c>
      <c r="AR10" s="231"/>
      <c r="AS10" s="231"/>
      <c r="AT10" s="231"/>
      <c r="AU10" s="231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230"/>
      <c r="BR10" s="230"/>
      <c r="BS10" s="230"/>
      <c r="BT10" s="230"/>
      <c r="BU10" s="230"/>
      <c r="BV10" s="221"/>
      <c r="BW10" s="221"/>
      <c r="BX10" s="221"/>
      <c r="BY10" s="221"/>
      <c r="BZ10" s="221"/>
      <c r="CA10" s="221"/>
      <c r="CB10" s="221"/>
      <c r="CC10" s="221"/>
      <c r="CD10" s="221"/>
      <c r="CE10" s="221"/>
      <c r="CF10" s="221"/>
      <c r="CG10" s="221"/>
      <c r="CH10" s="221"/>
      <c r="CI10" s="221"/>
      <c r="CJ10" s="221"/>
      <c r="CK10" s="221"/>
      <c r="CL10" s="223"/>
      <c r="CM10" s="222"/>
      <c r="CN10" s="221"/>
      <c r="CO10" s="221"/>
      <c r="CP10" s="221"/>
      <c r="CQ10" s="221"/>
      <c r="CR10" s="221"/>
      <c r="CS10" s="221"/>
      <c r="CT10" s="223"/>
      <c r="CU10" s="410"/>
      <c r="CV10" s="411"/>
      <c r="CW10" s="411"/>
      <c r="CX10" s="411"/>
      <c r="CY10" s="411"/>
      <c r="CZ10" s="411"/>
      <c r="DA10" s="411"/>
      <c r="DB10" s="412"/>
      <c r="DC10" s="410"/>
      <c r="DD10" s="411"/>
      <c r="DE10" s="411"/>
      <c r="DF10" s="411"/>
      <c r="DG10" s="411"/>
      <c r="DH10" s="411"/>
      <c r="DI10" s="411"/>
      <c r="DJ10" s="413"/>
      <c r="DL10" s="224"/>
      <c r="DM10" s="225"/>
      <c r="DN10" s="226"/>
      <c r="DO10" s="224"/>
      <c r="DP10" s="225"/>
      <c r="DQ10" s="226"/>
      <c r="DR10" s="118"/>
      <c r="DS10" s="118"/>
      <c r="DT10" s="118"/>
      <c r="DU10" s="194"/>
    </row>
    <row r="11" spans="1:125" s="228" customFormat="1" ht="15" customHeight="1">
      <c r="A11" s="227"/>
      <c r="B11" s="372" t="s">
        <v>214</v>
      </c>
      <c r="C11" s="219"/>
      <c r="D11" s="220"/>
      <c r="E11" s="221" t="s">
        <v>276</v>
      </c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1"/>
      <c r="V11" s="231"/>
      <c r="W11" s="230"/>
      <c r="X11" s="230"/>
      <c r="Y11" s="230"/>
      <c r="Z11" s="230"/>
      <c r="AA11" s="230"/>
      <c r="AB11" s="230"/>
      <c r="AC11" s="222" t="s">
        <v>211</v>
      </c>
      <c r="AD11" s="230"/>
      <c r="AE11" s="230"/>
      <c r="AF11" s="230"/>
      <c r="AG11" s="230"/>
      <c r="AH11" s="232"/>
      <c r="AI11" s="222" t="s">
        <v>212</v>
      </c>
      <c r="AJ11" s="230"/>
      <c r="AK11" s="230"/>
      <c r="AL11" s="230"/>
      <c r="AM11" s="230"/>
      <c r="AN11" s="230"/>
      <c r="AO11" s="230"/>
      <c r="AP11" s="232"/>
      <c r="AQ11" s="222" t="s">
        <v>300</v>
      </c>
      <c r="AR11" s="231"/>
      <c r="AS11" s="231"/>
      <c r="AT11" s="231"/>
      <c r="AU11" s="231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0"/>
      <c r="BG11" s="230"/>
      <c r="BH11" s="230"/>
      <c r="BI11" s="230"/>
      <c r="BJ11" s="230"/>
      <c r="BK11" s="230"/>
      <c r="BL11" s="230"/>
      <c r="BM11" s="230"/>
      <c r="BN11" s="230"/>
      <c r="BO11" s="230"/>
      <c r="BP11" s="230"/>
      <c r="BQ11" s="230"/>
      <c r="BR11" s="230"/>
      <c r="BS11" s="230"/>
      <c r="BT11" s="230"/>
      <c r="BU11" s="230"/>
      <c r="BV11" s="221"/>
      <c r="BW11" s="221"/>
      <c r="BX11" s="221"/>
      <c r="BY11" s="221"/>
      <c r="BZ11" s="221"/>
      <c r="CA11" s="221"/>
      <c r="CB11" s="221"/>
      <c r="CC11" s="221"/>
      <c r="CD11" s="221"/>
      <c r="CE11" s="221"/>
      <c r="CF11" s="221"/>
      <c r="CG11" s="221"/>
      <c r="CH11" s="221"/>
      <c r="CI11" s="221"/>
      <c r="CJ11" s="221"/>
      <c r="CK11" s="221"/>
      <c r="CL11" s="223"/>
      <c r="CM11" s="222"/>
      <c r="CN11" s="221"/>
      <c r="CO11" s="221"/>
      <c r="CP11" s="221"/>
      <c r="CQ11" s="221"/>
      <c r="CR11" s="221"/>
      <c r="CS11" s="221"/>
      <c r="CT11" s="223"/>
      <c r="CU11" s="410"/>
      <c r="CV11" s="411"/>
      <c r="CW11" s="411"/>
      <c r="CX11" s="411"/>
      <c r="CY11" s="411"/>
      <c r="CZ11" s="411"/>
      <c r="DA11" s="411"/>
      <c r="DB11" s="412"/>
      <c r="DC11" s="410"/>
      <c r="DD11" s="411"/>
      <c r="DE11" s="411"/>
      <c r="DF11" s="411"/>
      <c r="DG11" s="411"/>
      <c r="DH11" s="411"/>
      <c r="DI11" s="411"/>
      <c r="DJ11" s="413"/>
      <c r="DL11" s="224"/>
      <c r="DM11" s="225"/>
      <c r="DN11" s="226"/>
      <c r="DO11" s="224"/>
      <c r="DP11" s="225"/>
      <c r="DQ11" s="226"/>
      <c r="DR11" s="118"/>
      <c r="DS11" s="118"/>
      <c r="DT11" s="118"/>
      <c r="DU11" s="194"/>
    </row>
    <row r="12" spans="1:125" s="228" customFormat="1" ht="15" customHeight="1">
      <c r="A12" s="227"/>
      <c r="B12" s="372" t="s">
        <v>278</v>
      </c>
      <c r="C12" s="219"/>
      <c r="D12" s="220"/>
      <c r="E12" s="221" t="s">
        <v>308</v>
      </c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2" t="s">
        <v>211</v>
      </c>
      <c r="AD12" s="221"/>
      <c r="AE12" s="221"/>
      <c r="AF12" s="221"/>
      <c r="AG12" s="221"/>
      <c r="AH12" s="223"/>
      <c r="AI12" s="222" t="s">
        <v>212</v>
      </c>
      <c r="AJ12" s="221"/>
      <c r="AK12" s="221"/>
      <c r="AL12" s="221"/>
      <c r="AM12" s="221"/>
      <c r="AN12" s="221"/>
      <c r="AO12" s="221"/>
      <c r="AP12" s="223"/>
      <c r="AQ12" s="598" t="s">
        <v>301</v>
      </c>
      <c r="AR12" s="601"/>
      <c r="AS12" s="601"/>
      <c r="AT12" s="601"/>
      <c r="AU12" s="601"/>
      <c r="AV12" s="601"/>
      <c r="AW12" s="601"/>
      <c r="AX12" s="601"/>
      <c r="AY12" s="601"/>
      <c r="AZ12" s="601"/>
      <c r="BA12" s="601"/>
      <c r="BB12" s="601"/>
      <c r="BC12" s="601"/>
      <c r="BD12" s="601"/>
      <c r="BE12" s="601"/>
      <c r="BF12" s="601"/>
      <c r="BG12" s="601"/>
      <c r="BH12" s="601"/>
      <c r="BI12" s="601"/>
      <c r="BJ12" s="601"/>
      <c r="BK12" s="601"/>
      <c r="BL12" s="601"/>
      <c r="BM12" s="601"/>
      <c r="BN12" s="601"/>
      <c r="BO12" s="601"/>
      <c r="BP12" s="601"/>
      <c r="BQ12" s="601"/>
      <c r="BR12" s="601"/>
      <c r="BS12" s="601"/>
      <c r="BT12" s="414"/>
      <c r="BU12" s="414"/>
      <c r="BV12" s="414"/>
      <c r="BW12" s="414"/>
      <c r="BX12" s="414"/>
      <c r="BY12" s="414"/>
      <c r="BZ12" s="414"/>
      <c r="CA12" s="414"/>
      <c r="CB12" s="414"/>
      <c r="CC12" s="414"/>
      <c r="CD12" s="414"/>
      <c r="CE12" s="414"/>
      <c r="CF12" s="414"/>
      <c r="CG12" s="414"/>
      <c r="CH12" s="414"/>
      <c r="CI12" s="414"/>
      <c r="CJ12" s="414"/>
      <c r="CK12" s="414"/>
      <c r="CL12" s="415"/>
      <c r="CM12" s="222"/>
      <c r="CN12" s="221"/>
      <c r="CO12" s="221"/>
      <c r="CP12" s="221"/>
      <c r="CQ12" s="221"/>
      <c r="CR12" s="221"/>
      <c r="CS12" s="221"/>
      <c r="CT12" s="223"/>
      <c r="CU12" s="410"/>
      <c r="CV12" s="411"/>
      <c r="CW12" s="411"/>
      <c r="CX12" s="411"/>
      <c r="CY12" s="411"/>
      <c r="CZ12" s="411"/>
      <c r="DA12" s="411"/>
      <c r="DB12" s="412"/>
      <c r="DC12" s="410"/>
      <c r="DD12" s="411"/>
      <c r="DE12" s="411"/>
      <c r="DF12" s="411"/>
      <c r="DG12" s="411"/>
      <c r="DH12" s="411"/>
      <c r="DI12" s="411"/>
      <c r="DJ12" s="413"/>
      <c r="DL12" s="224"/>
      <c r="DM12" s="225"/>
      <c r="DN12" s="226"/>
      <c r="DO12" s="224"/>
      <c r="DP12" s="225"/>
      <c r="DQ12" s="226"/>
      <c r="DR12" s="118"/>
      <c r="DS12" s="118"/>
      <c r="DT12" s="118"/>
      <c r="DU12" s="194"/>
    </row>
    <row r="13" spans="1:125" s="228" customFormat="1" ht="15" customHeight="1">
      <c r="A13" s="227"/>
      <c r="B13" s="372" t="s">
        <v>215</v>
      </c>
      <c r="C13" s="219"/>
      <c r="D13" s="220"/>
      <c r="E13" s="221" t="s">
        <v>135</v>
      </c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2" t="s">
        <v>211</v>
      </c>
      <c r="AD13" s="221"/>
      <c r="AE13" s="221"/>
      <c r="AF13" s="221"/>
      <c r="AG13" s="221"/>
      <c r="AH13" s="223"/>
      <c r="AI13" s="222" t="s">
        <v>212</v>
      </c>
      <c r="AJ13" s="221"/>
      <c r="AK13" s="221"/>
      <c r="AL13" s="221"/>
      <c r="AM13" s="221"/>
      <c r="AN13" s="221"/>
      <c r="AO13" s="221"/>
      <c r="AP13" s="223"/>
      <c r="AQ13" s="598" t="s">
        <v>307</v>
      </c>
      <c r="AR13" s="599"/>
      <c r="AS13" s="599"/>
      <c r="AT13" s="599"/>
      <c r="AU13" s="599"/>
      <c r="AV13" s="599"/>
      <c r="AW13" s="599"/>
      <c r="AX13" s="599"/>
      <c r="AY13" s="599"/>
      <c r="AZ13" s="599"/>
      <c r="BA13" s="599"/>
      <c r="BB13" s="599"/>
      <c r="BC13" s="599"/>
      <c r="BD13" s="599"/>
      <c r="BE13" s="599"/>
      <c r="BF13" s="599"/>
      <c r="BG13" s="599"/>
      <c r="BH13" s="599"/>
      <c r="BI13" s="599"/>
      <c r="BJ13" s="599"/>
      <c r="BK13" s="599"/>
      <c r="BL13" s="599"/>
      <c r="BM13" s="599"/>
      <c r="BN13" s="599"/>
      <c r="BO13" s="599"/>
      <c r="BP13" s="599"/>
      <c r="BQ13" s="599"/>
      <c r="BR13" s="599"/>
      <c r="BS13" s="599"/>
      <c r="BT13" s="599"/>
      <c r="BU13" s="599"/>
      <c r="BV13" s="599"/>
      <c r="BW13" s="599"/>
      <c r="BX13" s="599"/>
      <c r="BY13" s="599"/>
      <c r="BZ13" s="599"/>
      <c r="CA13" s="599"/>
      <c r="CB13" s="599"/>
      <c r="CC13" s="599"/>
      <c r="CD13" s="599"/>
      <c r="CE13" s="599"/>
      <c r="CF13" s="599"/>
      <c r="CG13" s="599"/>
      <c r="CH13" s="599"/>
      <c r="CI13" s="599"/>
      <c r="CJ13" s="599"/>
      <c r="CK13" s="599"/>
      <c r="CL13" s="600"/>
      <c r="CM13" s="222"/>
      <c r="CN13" s="221"/>
      <c r="CO13" s="221"/>
      <c r="CP13" s="221"/>
      <c r="CQ13" s="221"/>
      <c r="CR13" s="221"/>
      <c r="CS13" s="221"/>
      <c r="CT13" s="223"/>
      <c r="CU13" s="555"/>
      <c r="CV13" s="556"/>
      <c r="CW13" s="556"/>
      <c r="CX13" s="556"/>
      <c r="CY13" s="556"/>
      <c r="CZ13" s="556"/>
      <c r="DA13" s="556"/>
      <c r="DB13" s="557"/>
      <c r="DC13" s="555"/>
      <c r="DD13" s="556"/>
      <c r="DE13" s="556"/>
      <c r="DF13" s="556"/>
      <c r="DG13" s="556"/>
      <c r="DH13" s="556"/>
      <c r="DI13" s="556"/>
      <c r="DJ13" s="558"/>
      <c r="DL13" s="559"/>
      <c r="DM13" s="560"/>
      <c r="DN13" s="561"/>
      <c r="DO13" s="559"/>
      <c r="DP13" s="560"/>
      <c r="DQ13" s="561"/>
      <c r="DR13" s="118"/>
      <c r="DS13" s="118"/>
      <c r="DT13" s="118"/>
      <c r="DU13" s="194"/>
    </row>
    <row r="14" spans="1:125" s="228" customFormat="1" ht="15" customHeight="1">
      <c r="A14" s="227"/>
      <c r="B14" s="372" t="s">
        <v>264</v>
      </c>
      <c r="C14" s="219"/>
      <c r="D14" s="220"/>
      <c r="E14" s="221" t="s">
        <v>263</v>
      </c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2" t="s">
        <v>211</v>
      </c>
      <c r="AD14" s="221"/>
      <c r="AE14" s="221"/>
      <c r="AF14" s="221"/>
      <c r="AG14" s="221"/>
      <c r="AH14" s="223"/>
      <c r="AI14" s="222" t="s">
        <v>216</v>
      </c>
      <c r="AJ14" s="221"/>
      <c r="AK14" s="221"/>
      <c r="AL14" s="221"/>
      <c r="AM14" s="221"/>
      <c r="AN14" s="221"/>
      <c r="AO14" s="221"/>
      <c r="AP14" s="223"/>
      <c r="AQ14" s="598" t="s">
        <v>217</v>
      </c>
      <c r="AR14" s="599"/>
      <c r="AS14" s="599"/>
      <c r="AT14" s="599"/>
      <c r="AU14" s="599"/>
      <c r="AV14" s="599"/>
      <c r="AW14" s="599"/>
      <c r="AX14" s="599"/>
      <c r="AY14" s="599"/>
      <c r="AZ14" s="599"/>
      <c r="BA14" s="599"/>
      <c r="BB14" s="599"/>
      <c r="BC14" s="599"/>
      <c r="BD14" s="599"/>
      <c r="BE14" s="599"/>
      <c r="BF14" s="599"/>
      <c r="BG14" s="599"/>
      <c r="BH14" s="599"/>
      <c r="BI14" s="599"/>
      <c r="BJ14" s="599"/>
      <c r="BK14" s="599"/>
      <c r="BL14" s="599"/>
      <c r="BM14" s="599"/>
      <c r="BN14" s="599"/>
      <c r="BO14" s="599"/>
      <c r="BP14" s="599"/>
      <c r="BQ14" s="599"/>
      <c r="BR14" s="599"/>
      <c r="BS14" s="599"/>
      <c r="BT14" s="599"/>
      <c r="BU14" s="599"/>
      <c r="BV14" s="599"/>
      <c r="BW14" s="599"/>
      <c r="BX14" s="599"/>
      <c r="BY14" s="599"/>
      <c r="BZ14" s="599"/>
      <c r="CA14" s="599"/>
      <c r="CB14" s="599"/>
      <c r="CC14" s="599"/>
      <c r="CD14" s="599"/>
      <c r="CE14" s="599"/>
      <c r="CF14" s="599"/>
      <c r="CG14" s="599"/>
      <c r="CH14" s="599"/>
      <c r="CI14" s="599"/>
      <c r="CJ14" s="599"/>
      <c r="CK14" s="599"/>
      <c r="CL14" s="600"/>
      <c r="CM14" s="222"/>
      <c r="CN14" s="221"/>
      <c r="CO14" s="221"/>
      <c r="CP14" s="221"/>
      <c r="CQ14" s="221"/>
      <c r="CR14" s="221"/>
      <c r="CS14" s="221"/>
      <c r="CT14" s="223"/>
      <c r="CU14" s="555"/>
      <c r="CV14" s="556"/>
      <c r="CW14" s="556"/>
      <c r="CX14" s="556"/>
      <c r="CY14" s="556"/>
      <c r="CZ14" s="556"/>
      <c r="DA14" s="556"/>
      <c r="DB14" s="557"/>
      <c r="DC14" s="555"/>
      <c r="DD14" s="556"/>
      <c r="DE14" s="556"/>
      <c r="DF14" s="556"/>
      <c r="DG14" s="556"/>
      <c r="DH14" s="556"/>
      <c r="DI14" s="556"/>
      <c r="DJ14" s="558"/>
      <c r="DL14" s="559"/>
      <c r="DM14" s="560"/>
      <c r="DN14" s="561"/>
      <c r="DO14" s="559"/>
      <c r="DP14" s="560"/>
      <c r="DQ14" s="561"/>
      <c r="DR14" s="118"/>
      <c r="DS14" s="118"/>
      <c r="DT14" s="118"/>
      <c r="DU14" s="194"/>
    </row>
    <row r="15" spans="1:125" s="228" customFormat="1" ht="15" customHeight="1">
      <c r="A15" s="227"/>
      <c r="B15" s="241"/>
      <c r="C15" s="242"/>
      <c r="D15" s="243"/>
      <c r="E15" s="222"/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2"/>
      <c r="AD15" s="221"/>
      <c r="AE15" s="221"/>
      <c r="AF15" s="221"/>
      <c r="AG15" s="221"/>
      <c r="AH15" s="223"/>
      <c r="AI15" s="222"/>
      <c r="AJ15" s="221"/>
      <c r="AK15" s="221"/>
      <c r="AL15" s="221"/>
      <c r="AM15" s="221"/>
      <c r="AN15" s="221"/>
      <c r="AO15" s="221"/>
      <c r="AP15" s="223"/>
      <c r="AQ15" s="222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  <c r="BP15" s="221"/>
      <c r="BQ15" s="221"/>
      <c r="BR15" s="221"/>
      <c r="BS15" s="221"/>
      <c r="BT15" s="221"/>
      <c r="BU15" s="221"/>
      <c r="BV15" s="221"/>
      <c r="BW15" s="221"/>
      <c r="BX15" s="221"/>
      <c r="BY15" s="221"/>
      <c r="BZ15" s="221"/>
      <c r="CA15" s="221"/>
      <c r="CB15" s="221"/>
      <c r="CC15" s="221"/>
      <c r="CD15" s="221"/>
      <c r="CE15" s="221"/>
      <c r="CF15" s="221"/>
      <c r="CG15" s="221"/>
      <c r="CH15" s="221"/>
      <c r="CI15" s="221"/>
      <c r="CJ15" s="221"/>
      <c r="CK15" s="221"/>
      <c r="CL15" s="223"/>
      <c r="CM15" s="222"/>
      <c r="CN15" s="221"/>
      <c r="CO15" s="221"/>
      <c r="CP15" s="221"/>
      <c r="CQ15" s="221"/>
      <c r="CR15" s="221"/>
      <c r="CS15" s="221"/>
      <c r="CT15" s="223"/>
      <c r="CU15" s="555"/>
      <c r="CV15" s="556"/>
      <c r="CW15" s="556"/>
      <c r="CX15" s="556"/>
      <c r="CY15" s="556"/>
      <c r="CZ15" s="556"/>
      <c r="DA15" s="556"/>
      <c r="DB15" s="557"/>
      <c r="DC15" s="555"/>
      <c r="DD15" s="556"/>
      <c r="DE15" s="556"/>
      <c r="DF15" s="556"/>
      <c r="DG15" s="556"/>
      <c r="DH15" s="556"/>
      <c r="DI15" s="556"/>
      <c r="DJ15" s="558"/>
      <c r="DL15" s="559"/>
      <c r="DM15" s="560"/>
      <c r="DN15" s="561"/>
      <c r="DO15" s="559"/>
      <c r="DP15" s="560"/>
      <c r="DQ15" s="561"/>
      <c r="DR15" s="118"/>
      <c r="DS15" s="118"/>
      <c r="DT15" s="118"/>
      <c r="DU15" s="194"/>
    </row>
    <row r="16" spans="1:125" s="228" customFormat="1" ht="15" customHeight="1">
      <c r="A16" s="227"/>
      <c r="B16" s="241"/>
      <c r="C16" s="242"/>
      <c r="D16" s="243"/>
      <c r="E16" s="222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2"/>
      <c r="AD16" s="221"/>
      <c r="AE16" s="221"/>
      <c r="AF16" s="221"/>
      <c r="AG16" s="221"/>
      <c r="AH16" s="223"/>
      <c r="AI16" s="222"/>
      <c r="AJ16" s="221"/>
      <c r="AK16" s="221"/>
      <c r="AL16" s="221"/>
      <c r="AM16" s="221"/>
      <c r="AN16" s="221"/>
      <c r="AO16" s="221"/>
      <c r="AP16" s="223"/>
      <c r="AQ16" s="222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  <c r="CC16" s="221"/>
      <c r="CD16" s="221"/>
      <c r="CE16" s="221"/>
      <c r="CF16" s="221"/>
      <c r="CG16" s="221"/>
      <c r="CH16" s="221"/>
      <c r="CI16" s="221"/>
      <c r="CJ16" s="221"/>
      <c r="CK16" s="221"/>
      <c r="CL16" s="223"/>
      <c r="CM16" s="222"/>
      <c r="CN16" s="221"/>
      <c r="CO16" s="221"/>
      <c r="CP16" s="221"/>
      <c r="CQ16" s="221"/>
      <c r="CR16" s="221"/>
      <c r="CS16" s="221"/>
      <c r="CT16" s="223"/>
      <c r="CU16" s="555"/>
      <c r="CV16" s="556"/>
      <c r="CW16" s="556"/>
      <c r="CX16" s="556"/>
      <c r="CY16" s="556"/>
      <c r="CZ16" s="556"/>
      <c r="DA16" s="556"/>
      <c r="DB16" s="557"/>
      <c r="DC16" s="555"/>
      <c r="DD16" s="556"/>
      <c r="DE16" s="556"/>
      <c r="DF16" s="556"/>
      <c r="DG16" s="556"/>
      <c r="DH16" s="556"/>
      <c r="DI16" s="556"/>
      <c r="DJ16" s="558"/>
      <c r="DL16" s="559"/>
      <c r="DM16" s="560"/>
      <c r="DN16" s="561"/>
      <c r="DO16" s="559"/>
      <c r="DP16" s="560"/>
      <c r="DQ16" s="561"/>
      <c r="DR16" s="118"/>
      <c r="DS16" s="118"/>
      <c r="DT16" s="118"/>
      <c r="DU16" s="194"/>
    </row>
    <row r="17" spans="1:125" s="239" customFormat="1" ht="15" customHeight="1">
      <c r="A17" s="229"/>
      <c r="B17" s="244"/>
      <c r="C17" s="245"/>
      <c r="D17" s="246"/>
      <c r="E17" s="234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1"/>
      <c r="V17" s="231"/>
      <c r="W17" s="230"/>
      <c r="X17" s="230"/>
      <c r="Y17" s="230"/>
      <c r="Z17" s="230"/>
      <c r="AA17" s="230"/>
      <c r="AB17" s="230"/>
      <c r="AC17" s="234"/>
      <c r="AD17" s="230"/>
      <c r="AE17" s="230"/>
      <c r="AF17" s="230"/>
      <c r="AG17" s="230"/>
      <c r="AH17" s="232"/>
      <c r="AI17" s="234"/>
      <c r="AJ17" s="230"/>
      <c r="AK17" s="230"/>
      <c r="AL17" s="230"/>
      <c r="AM17" s="230"/>
      <c r="AN17" s="230"/>
      <c r="AO17" s="230"/>
      <c r="AP17" s="232"/>
      <c r="AQ17" s="234"/>
      <c r="AR17" s="231"/>
      <c r="AS17" s="231"/>
      <c r="AT17" s="231"/>
      <c r="AU17" s="231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0"/>
      <c r="BM17" s="230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0"/>
      <c r="CD17" s="230"/>
      <c r="CE17" s="230"/>
      <c r="CF17" s="230"/>
      <c r="CG17" s="230"/>
      <c r="CH17" s="230"/>
      <c r="CI17" s="230"/>
      <c r="CJ17" s="230"/>
      <c r="CK17" s="230"/>
      <c r="CL17" s="233"/>
      <c r="CM17" s="234"/>
      <c r="CN17" s="230"/>
      <c r="CO17" s="230"/>
      <c r="CP17" s="230"/>
      <c r="CQ17" s="230"/>
      <c r="CR17" s="230"/>
      <c r="CS17" s="230"/>
      <c r="CT17" s="232"/>
      <c r="CU17" s="235"/>
      <c r="CV17" s="236"/>
      <c r="CW17" s="236"/>
      <c r="CX17" s="236"/>
      <c r="CY17" s="236"/>
      <c r="CZ17" s="236"/>
      <c r="DA17" s="236"/>
      <c r="DB17" s="237"/>
      <c r="DC17" s="235"/>
      <c r="DD17" s="236"/>
      <c r="DE17" s="236"/>
      <c r="DF17" s="236"/>
      <c r="DG17" s="236"/>
      <c r="DH17" s="236"/>
      <c r="DI17" s="236"/>
      <c r="DJ17" s="238"/>
      <c r="DL17" s="602"/>
      <c r="DM17" s="603"/>
      <c r="DN17" s="604"/>
      <c r="DO17" s="602"/>
      <c r="DP17" s="603"/>
      <c r="DQ17" s="604"/>
      <c r="DR17" s="118"/>
      <c r="DS17" s="118"/>
      <c r="DT17" s="118"/>
      <c r="DU17" s="194"/>
    </row>
    <row r="18" spans="1:125" s="239" customFormat="1" ht="15" customHeight="1">
      <c r="A18" s="229"/>
      <c r="B18" s="241"/>
      <c r="C18" s="242"/>
      <c r="D18" s="243"/>
      <c r="E18" s="222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2"/>
      <c r="AD18" s="221"/>
      <c r="AE18" s="221"/>
      <c r="AF18" s="221"/>
      <c r="AG18" s="221"/>
      <c r="AH18" s="223"/>
      <c r="AI18" s="222"/>
      <c r="AJ18" s="221"/>
      <c r="AK18" s="221"/>
      <c r="AL18" s="221"/>
      <c r="AM18" s="221"/>
      <c r="AN18" s="221"/>
      <c r="AO18" s="221"/>
      <c r="AP18" s="223"/>
      <c r="AQ18" s="222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1"/>
      <c r="CK18" s="221"/>
      <c r="CL18" s="223"/>
      <c r="CM18" s="222"/>
      <c r="CN18" s="221"/>
      <c r="CO18" s="221"/>
      <c r="CP18" s="221"/>
      <c r="CQ18" s="221"/>
      <c r="CR18" s="221"/>
      <c r="CS18" s="221"/>
      <c r="CT18" s="223"/>
      <c r="CU18" s="555"/>
      <c r="CV18" s="556"/>
      <c r="CW18" s="556"/>
      <c r="CX18" s="556"/>
      <c r="CY18" s="556"/>
      <c r="CZ18" s="556"/>
      <c r="DA18" s="556"/>
      <c r="DB18" s="557"/>
      <c r="DC18" s="555"/>
      <c r="DD18" s="556"/>
      <c r="DE18" s="556"/>
      <c r="DF18" s="556"/>
      <c r="DG18" s="556"/>
      <c r="DH18" s="556"/>
      <c r="DI18" s="556"/>
      <c r="DJ18" s="558"/>
      <c r="DL18" s="224"/>
      <c r="DM18" s="225"/>
      <c r="DN18" s="226"/>
      <c r="DO18" s="224"/>
      <c r="DP18" s="225"/>
      <c r="DQ18" s="226"/>
      <c r="DR18" s="118"/>
      <c r="DS18" s="118"/>
      <c r="DT18" s="118"/>
      <c r="DU18" s="194"/>
    </row>
    <row r="19" spans="1:125" s="239" customFormat="1" ht="15" customHeight="1">
      <c r="A19" s="229"/>
      <c r="B19" s="241"/>
      <c r="C19" s="242"/>
      <c r="D19" s="243"/>
      <c r="E19" s="222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2"/>
      <c r="AD19" s="221"/>
      <c r="AE19" s="221"/>
      <c r="AF19" s="221"/>
      <c r="AG19" s="221"/>
      <c r="AH19" s="223"/>
      <c r="AI19" s="222"/>
      <c r="AJ19" s="221"/>
      <c r="AK19" s="221"/>
      <c r="AL19" s="221"/>
      <c r="AM19" s="221"/>
      <c r="AN19" s="221"/>
      <c r="AO19" s="221"/>
      <c r="AP19" s="223"/>
      <c r="AQ19" s="222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1"/>
      <c r="CK19" s="221"/>
      <c r="CL19" s="223"/>
      <c r="CM19" s="222"/>
      <c r="CN19" s="221"/>
      <c r="CO19" s="221"/>
      <c r="CP19" s="221"/>
      <c r="CQ19" s="221"/>
      <c r="CR19" s="221"/>
      <c r="CS19" s="221"/>
      <c r="CT19" s="223"/>
      <c r="CU19" s="555"/>
      <c r="CV19" s="556"/>
      <c r="CW19" s="556"/>
      <c r="CX19" s="556"/>
      <c r="CY19" s="556"/>
      <c r="CZ19" s="556"/>
      <c r="DA19" s="556"/>
      <c r="DB19" s="557"/>
      <c r="DC19" s="555"/>
      <c r="DD19" s="556"/>
      <c r="DE19" s="556"/>
      <c r="DF19" s="556"/>
      <c r="DG19" s="556"/>
      <c r="DH19" s="556"/>
      <c r="DI19" s="556"/>
      <c r="DJ19" s="558"/>
      <c r="DL19" s="559"/>
      <c r="DM19" s="560"/>
      <c r="DN19" s="561"/>
      <c r="DO19" s="559"/>
      <c r="DP19" s="560"/>
      <c r="DQ19" s="561"/>
      <c r="DR19" s="118"/>
      <c r="DS19" s="118"/>
      <c r="DT19" s="118"/>
      <c r="DU19" s="194"/>
    </row>
    <row r="20" spans="1:125" s="239" customFormat="1" ht="15" customHeight="1">
      <c r="A20" s="229"/>
      <c r="B20" s="241"/>
      <c r="C20" s="242"/>
      <c r="D20" s="243"/>
      <c r="E20" s="222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2"/>
      <c r="AD20" s="221"/>
      <c r="AE20" s="221"/>
      <c r="AF20" s="221"/>
      <c r="AG20" s="221"/>
      <c r="AH20" s="223"/>
      <c r="AI20" s="222"/>
      <c r="AJ20" s="221"/>
      <c r="AK20" s="221"/>
      <c r="AL20" s="221"/>
      <c r="AM20" s="221"/>
      <c r="AN20" s="221"/>
      <c r="AO20" s="221"/>
      <c r="AP20" s="223"/>
      <c r="AQ20" s="222"/>
      <c r="AR20" s="221"/>
      <c r="AS20" s="221"/>
      <c r="AT20" s="221"/>
      <c r="AU20" s="221"/>
      <c r="AV20" s="221"/>
      <c r="AW20" s="221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1"/>
      <c r="CK20" s="221"/>
      <c r="CL20" s="223"/>
      <c r="CM20" s="222"/>
      <c r="CN20" s="221"/>
      <c r="CO20" s="221"/>
      <c r="CP20" s="221"/>
      <c r="CQ20" s="221"/>
      <c r="CR20" s="221"/>
      <c r="CS20" s="221"/>
      <c r="CT20" s="223"/>
      <c r="CU20" s="555"/>
      <c r="CV20" s="556"/>
      <c r="CW20" s="556"/>
      <c r="CX20" s="556"/>
      <c r="CY20" s="556"/>
      <c r="CZ20" s="556"/>
      <c r="DA20" s="556"/>
      <c r="DB20" s="557"/>
      <c r="DC20" s="555"/>
      <c r="DD20" s="556"/>
      <c r="DE20" s="556"/>
      <c r="DF20" s="556"/>
      <c r="DG20" s="556"/>
      <c r="DH20" s="556"/>
      <c r="DI20" s="556"/>
      <c r="DJ20" s="558"/>
      <c r="DL20" s="559"/>
      <c r="DM20" s="560"/>
      <c r="DN20" s="561"/>
      <c r="DO20" s="559"/>
      <c r="DP20" s="560"/>
      <c r="DQ20" s="561"/>
      <c r="DR20" s="118"/>
      <c r="DS20" s="118"/>
      <c r="DT20" s="118"/>
      <c r="DU20" s="194"/>
    </row>
    <row r="21" spans="1:125" s="239" customFormat="1" ht="15" customHeight="1">
      <c r="A21" s="229"/>
      <c r="B21" s="247"/>
      <c r="C21" s="242"/>
      <c r="D21" s="243"/>
      <c r="E21" s="222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1"/>
      <c r="AB21" s="221"/>
      <c r="AC21" s="222"/>
      <c r="AD21" s="221"/>
      <c r="AE21" s="221"/>
      <c r="AF21" s="221"/>
      <c r="AG21" s="221"/>
      <c r="AH21" s="223"/>
      <c r="AI21" s="222"/>
      <c r="AJ21" s="221"/>
      <c r="AK21" s="221"/>
      <c r="AL21" s="221"/>
      <c r="AM21" s="221"/>
      <c r="AN21" s="221"/>
      <c r="AO21" s="221"/>
      <c r="AP21" s="223"/>
      <c r="AQ21" s="222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  <c r="BW21" s="221"/>
      <c r="BX21" s="221"/>
      <c r="BY21" s="221"/>
      <c r="BZ21" s="221"/>
      <c r="CA21" s="221"/>
      <c r="CB21" s="221"/>
      <c r="CC21" s="221"/>
      <c r="CD21" s="221"/>
      <c r="CE21" s="221"/>
      <c r="CF21" s="221"/>
      <c r="CG21" s="221"/>
      <c r="CH21" s="221"/>
      <c r="CI21" s="221"/>
      <c r="CJ21" s="221"/>
      <c r="CK21" s="221"/>
      <c r="CL21" s="223"/>
      <c r="CM21" s="222"/>
      <c r="CN21" s="221"/>
      <c r="CO21" s="221"/>
      <c r="CP21" s="221"/>
      <c r="CQ21" s="221"/>
      <c r="CR21" s="221"/>
      <c r="CS21" s="221"/>
      <c r="CT21" s="223"/>
      <c r="CU21" s="555"/>
      <c r="CV21" s="556"/>
      <c r="CW21" s="556"/>
      <c r="CX21" s="556"/>
      <c r="CY21" s="556"/>
      <c r="CZ21" s="556"/>
      <c r="DA21" s="556"/>
      <c r="DB21" s="557"/>
      <c r="DC21" s="555"/>
      <c r="DD21" s="556"/>
      <c r="DE21" s="556"/>
      <c r="DF21" s="556"/>
      <c r="DG21" s="556"/>
      <c r="DH21" s="556"/>
      <c r="DI21" s="556"/>
      <c r="DJ21" s="558"/>
      <c r="DL21" s="559"/>
      <c r="DM21" s="560"/>
      <c r="DN21" s="561"/>
      <c r="DO21" s="559"/>
      <c r="DP21" s="560"/>
      <c r="DQ21" s="561"/>
      <c r="DR21" s="118"/>
      <c r="DS21" s="118"/>
      <c r="DT21" s="118"/>
      <c r="DU21" s="194"/>
    </row>
    <row r="22" spans="1:125" s="239" customFormat="1" ht="15" customHeight="1">
      <c r="A22" s="229"/>
      <c r="B22" s="244"/>
      <c r="C22" s="245"/>
      <c r="D22" s="246"/>
      <c r="E22" s="234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1"/>
      <c r="V22" s="231"/>
      <c r="W22" s="230"/>
      <c r="X22" s="230"/>
      <c r="Y22" s="230"/>
      <c r="Z22" s="230"/>
      <c r="AA22" s="230"/>
      <c r="AB22" s="230"/>
      <c r="AC22" s="234"/>
      <c r="AD22" s="230"/>
      <c r="AE22" s="230"/>
      <c r="AF22" s="230"/>
      <c r="AG22" s="230"/>
      <c r="AH22" s="232"/>
      <c r="AI22" s="234"/>
      <c r="AJ22" s="230"/>
      <c r="AK22" s="230"/>
      <c r="AL22" s="230"/>
      <c r="AM22" s="230"/>
      <c r="AN22" s="230"/>
      <c r="AO22" s="230"/>
      <c r="AP22" s="232"/>
      <c r="AQ22" s="234"/>
      <c r="AR22" s="231"/>
      <c r="AS22" s="231"/>
      <c r="AT22" s="231"/>
      <c r="AU22" s="231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0"/>
      <c r="BK22" s="230"/>
      <c r="BL22" s="230"/>
      <c r="BM22" s="230"/>
      <c r="BN22" s="230"/>
      <c r="BO22" s="230"/>
      <c r="BP22" s="230"/>
      <c r="BQ22" s="230"/>
      <c r="BR22" s="230"/>
      <c r="BS22" s="230"/>
      <c r="BT22" s="230"/>
      <c r="BU22" s="230"/>
      <c r="BV22" s="230"/>
      <c r="BW22" s="230"/>
      <c r="BX22" s="230"/>
      <c r="BY22" s="230"/>
      <c r="BZ22" s="230"/>
      <c r="CA22" s="230"/>
      <c r="CB22" s="230"/>
      <c r="CC22" s="230"/>
      <c r="CD22" s="230"/>
      <c r="CE22" s="230"/>
      <c r="CF22" s="230"/>
      <c r="CG22" s="230"/>
      <c r="CH22" s="230"/>
      <c r="CI22" s="230"/>
      <c r="CJ22" s="230"/>
      <c r="CK22" s="230"/>
      <c r="CL22" s="233"/>
      <c r="CM22" s="234"/>
      <c r="CN22" s="230"/>
      <c r="CO22" s="230"/>
      <c r="CP22" s="230"/>
      <c r="CQ22" s="230"/>
      <c r="CR22" s="230"/>
      <c r="CS22" s="230"/>
      <c r="CT22" s="232"/>
      <c r="CU22" s="235"/>
      <c r="CV22" s="236"/>
      <c r="CW22" s="236"/>
      <c r="CX22" s="236"/>
      <c r="CY22" s="236"/>
      <c r="CZ22" s="236"/>
      <c r="DA22" s="236"/>
      <c r="DB22" s="237"/>
      <c r="DC22" s="235"/>
      <c r="DD22" s="236"/>
      <c r="DE22" s="236"/>
      <c r="DF22" s="236"/>
      <c r="DG22" s="236"/>
      <c r="DH22" s="236"/>
      <c r="DI22" s="236"/>
      <c r="DJ22" s="238"/>
      <c r="DL22" s="602"/>
      <c r="DM22" s="603"/>
      <c r="DN22" s="604"/>
      <c r="DO22" s="602"/>
      <c r="DP22" s="603"/>
      <c r="DQ22" s="604"/>
      <c r="DR22" s="118"/>
      <c r="DS22" s="118"/>
      <c r="DT22" s="118"/>
      <c r="DU22" s="194"/>
    </row>
    <row r="23" spans="1:125" s="228" customFormat="1" ht="15" customHeight="1">
      <c r="A23" s="227"/>
      <c r="B23" s="241"/>
      <c r="C23" s="242"/>
      <c r="D23" s="243"/>
      <c r="E23" s="222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2"/>
      <c r="AD23" s="221"/>
      <c r="AE23" s="221"/>
      <c r="AF23" s="221"/>
      <c r="AG23" s="221"/>
      <c r="AH23" s="223"/>
      <c r="AI23" s="222"/>
      <c r="AJ23" s="221"/>
      <c r="AK23" s="221"/>
      <c r="AL23" s="221"/>
      <c r="AM23" s="221"/>
      <c r="AN23" s="221"/>
      <c r="AO23" s="221"/>
      <c r="AP23" s="223"/>
      <c r="AQ23" s="222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221"/>
      <c r="BR23" s="221"/>
      <c r="BS23" s="221"/>
      <c r="BT23" s="221"/>
      <c r="BU23" s="221"/>
      <c r="BV23" s="221"/>
      <c r="BW23" s="221"/>
      <c r="BX23" s="221"/>
      <c r="BY23" s="221"/>
      <c r="BZ23" s="221"/>
      <c r="CA23" s="221"/>
      <c r="CB23" s="221"/>
      <c r="CC23" s="221"/>
      <c r="CD23" s="221"/>
      <c r="CE23" s="221"/>
      <c r="CF23" s="221"/>
      <c r="CG23" s="221"/>
      <c r="CH23" s="221"/>
      <c r="CI23" s="221"/>
      <c r="CJ23" s="221"/>
      <c r="CK23" s="221"/>
      <c r="CL23" s="223"/>
      <c r="CM23" s="222"/>
      <c r="CN23" s="221"/>
      <c r="CO23" s="221"/>
      <c r="CP23" s="221"/>
      <c r="CQ23" s="221"/>
      <c r="CR23" s="221"/>
      <c r="CS23" s="221"/>
      <c r="CT23" s="223"/>
      <c r="CU23" s="555"/>
      <c r="CV23" s="556"/>
      <c r="CW23" s="556"/>
      <c r="CX23" s="556"/>
      <c r="CY23" s="556"/>
      <c r="CZ23" s="556"/>
      <c r="DA23" s="556"/>
      <c r="DB23" s="557"/>
      <c r="DC23" s="555"/>
      <c r="DD23" s="556"/>
      <c r="DE23" s="556"/>
      <c r="DF23" s="556"/>
      <c r="DG23" s="556"/>
      <c r="DH23" s="556"/>
      <c r="DI23" s="556"/>
      <c r="DJ23" s="558"/>
      <c r="DL23" s="559"/>
      <c r="DM23" s="560"/>
      <c r="DN23" s="561"/>
      <c r="DO23" s="559"/>
      <c r="DP23" s="560"/>
      <c r="DQ23" s="561"/>
      <c r="DR23" s="118"/>
      <c r="DS23" s="118"/>
      <c r="DT23" s="118"/>
      <c r="DU23" s="194"/>
    </row>
    <row r="24" spans="1:125" s="228" customFormat="1" ht="15" customHeight="1">
      <c r="A24" s="227"/>
      <c r="B24" s="241"/>
      <c r="C24" s="242"/>
      <c r="D24" s="243"/>
      <c r="E24" s="222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2"/>
      <c r="AD24" s="221"/>
      <c r="AE24" s="221"/>
      <c r="AF24" s="221"/>
      <c r="AG24" s="221"/>
      <c r="AH24" s="223"/>
      <c r="AI24" s="222"/>
      <c r="AJ24" s="221"/>
      <c r="AK24" s="221"/>
      <c r="AL24" s="221"/>
      <c r="AM24" s="221"/>
      <c r="AN24" s="221"/>
      <c r="AO24" s="221"/>
      <c r="AP24" s="223"/>
      <c r="AQ24" s="222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  <c r="CC24" s="221"/>
      <c r="CD24" s="221"/>
      <c r="CE24" s="221"/>
      <c r="CF24" s="221"/>
      <c r="CG24" s="221"/>
      <c r="CH24" s="221"/>
      <c r="CI24" s="221"/>
      <c r="CJ24" s="221"/>
      <c r="CK24" s="221"/>
      <c r="CL24" s="223"/>
      <c r="CM24" s="222"/>
      <c r="CN24" s="221"/>
      <c r="CO24" s="221"/>
      <c r="CP24" s="221"/>
      <c r="CQ24" s="221"/>
      <c r="CR24" s="221"/>
      <c r="CS24" s="221"/>
      <c r="CT24" s="223"/>
      <c r="CU24" s="555"/>
      <c r="CV24" s="556"/>
      <c r="CW24" s="556"/>
      <c r="CX24" s="556"/>
      <c r="CY24" s="556"/>
      <c r="CZ24" s="556"/>
      <c r="DA24" s="556"/>
      <c r="DB24" s="557"/>
      <c r="DC24" s="555"/>
      <c r="DD24" s="556"/>
      <c r="DE24" s="556"/>
      <c r="DF24" s="556"/>
      <c r="DG24" s="556"/>
      <c r="DH24" s="556"/>
      <c r="DI24" s="556"/>
      <c r="DJ24" s="558"/>
      <c r="DL24" s="559"/>
      <c r="DM24" s="560"/>
      <c r="DN24" s="561"/>
      <c r="DO24" s="559"/>
      <c r="DP24" s="560"/>
      <c r="DQ24" s="561"/>
      <c r="DR24" s="118"/>
      <c r="DS24" s="118"/>
      <c r="DT24" s="118"/>
      <c r="DU24" s="194"/>
    </row>
    <row r="25" spans="1:125" s="228" customFormat="1" ht="15" customHeight="1">
      <c r="A25" s="227"/>
      <c r="B25" s="241"/>
      <c r="C25" s="242"/>
      <c r="D25" s="243"/>
      <c r="E25" s="222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2"/>
      <c r="AD25" s="221"/>
      <c r="AE25" s="221"/>
      <c r="AF25" s="221"/>
      <c r="AG25" s="221"/>
      <c r="AH25" s="223"/>
      <c r="AI25" s="222"/>
      <c r="AJ25" s="221"/>
      <c r="AK25" s="221"/>
      <c r="AL25" s="221"/>
      <c r="AM25" s="221"/>
      <c r="AN25" s="221"/>
      <c r="AO25" s="221"/>
      <c r="AP25" s="223"/>
      <c r="AQ25" s="222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  <c r="BW25" s="221"/>
      <c r="BX25" s="221"/>
      <c r="BY25" s="221"/>
      <c r="BZ25" s="221"/>
      <c r="CA25" s="221"/>
      <c r="CB25" s="221"/>
      <c r="CC25" s="221"/>
      <c r="CD25" s="221"/>
      <c r="CE25" s="221"/>
      <c r="CF25" s="221"/>
      <c r="CG25" s="221"/>
      <c r="CH25" s="221"/>
      <c r="CI25" s="221"/>
      <c r="CJ25" s="221"/>
      <c r="CK25" s="221"/>
      <c r="CL25" s="223"/>
      <c r="CM25" s="222"/>
      <c r="CN25" s="221"/>
      <c r="CO25" s="221"/>
      <c r="CP25" s="221"/>
      <c r="CQ25" s="221"/>
      <c r="CR25" s="221"/>
      <c r="CS25" s="221"/>
      <c r="CT25" s="223"/>
      <c r="CU25" s="555"/>
      <c r="CV25" s="556"/>
      <c r="CW25" s="556"/>
      <c r="CX25" s="556"/>
      <c r="CY25" s="556"/>
      <c r="CZ25" s="556"/>
      <c r="DA25" s="556"/>
      <c r="DB25" s="557"/>
      <c r="DC25" s="555"/>
      <c r="DD25" s="556"/>
      <c r="DE25" s="556"/>
      <c r="DF25" s="556"/>
      <c r="DG25" s="556"/>
      <c r="DH25" s="556"/>
      <c r="DI25" s="556"/>
      <c r="DJ25" s="558"/>
      <c r="DL25" s="559"/>
      <c r="DM25" s="560"/>
      <c r="DN25" s="561"/>
      <c r="DO25" s="559"/>
      <c r="DP25" s="560"/>
      <c r="DQ25" s="561"/>
      <c r="DR25" s="118"/>
      <c r="DS25" s="118"/>
      <c r="DT25" s="118"/>
      <c r="DU25" s="194"/>
    </row>
    <row r="26" spans="1:125" s="228" customFormat="1" ht="15" customHeight="1">
      <c r="A26" s="227"/>
      <c r="B26" s="241"/>
      <c r="C26" s="242"/>
      <c r="D26" s="243"/>
      <c r="E26" s="222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2"/>
      <c r="AD26" s="221"/>
      <c r="AE26" s="221"/>
      <c r="AF26" s="221"/>
      <c r="AG26" s="221"/>
      <c r="AH26" s="223"/>
      <c r="AI26" s="222"/>
      <c r="AJ26" s="221"/>
      <c r="AK26" s="221"/>
      <c r="AL26" s="221"/>
      <c r="AM26" s="221"/>
      <c r="AN26" s="221"/>
      <c r="AO26" s="221"/>
      <c r="AP26" s="223"/>
      <c r="AQ26" s="222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  <c r="CC26" s="221"/>
      <c r="CD26" s="221"/>
      <c r="CE26" s="221"/>
      <c r="CF26" s="221"/>
      <c r="CG26" s="221"/>
      <c r="CH26" s="221"/>
      <c r="CI26" s="221"/>
      <c r="CJ26" s="221"/>
      <c r="CK26" s="221"/>
      <c r="CL26" s="223"/>
      <c r="CM26" s="222"/>
      <c r="CN26" s="221"/>
      <c r="CO26" s="221"/>
      <c r="CP26" s="221"/>
      <c r="CQ26" s="221"/>
      <c r="CR26" s="221"/>
      <c r="CS26" s="221"/>
      <c r="CT26" s="223"/>
      <c r="CU26" s="555"/>
      <c r="CV26" s="556"/>
      <c r="CW26" s="556"/>
      <c r="CX26" s="556"/>
      <c r="CY26" s="556"/>
      <c r="CZ26" s="556"/>
      <c r="DA26" s="556"/>
      <c r="DB26" s="557"/>
      <c r="DC26" s="555"/>
      <c r="DD26" s="556"/>
      <c r="DE26" s="556"/>
      <c r="DF26" s="556"/>
      <c r="DG26" s="556"/>
      <c r="DH26" s="556"/>
      <c r="DI26" s="556"/>
      <c r="DJ26" s="558"/>
      <c r="DL26" s="559"/>
      <c r="DM26" s="560"/>
      <c r="DN26" s="561"/>
      <c r="DO26" s="559"/>
      <c r="DP26" s="560"/>
      <c r="DQ26" s="561"/>
      <c r="DR26" s="118"/>
      <c r="DS26" s="118"/>
      <c r="DT26" s="118"/>
      <c r="DU26" s="194"/>
    </row>
    <row r="27" spans="1:125" s="228" customFormat="1" ht="15" customHeight="1">
      <c r="A27" s="227"/>
      <c r="B27" s="241"/>
      <c r="C27" s="242"/>
      <c r="D27" s="243"/>
      <c r="E27" s="222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2"/>
      <c r="AD27" s="221"/>
      <c r="AE27" s="221"/>
      <c r="AF27" s="221"/>
      <c r="AG27" s="221"/>
      <c r="AH27" s="223"/>
      <c r="AI27" s="222"/>
      <c r="AJ27" s="221"/>
      <c r="AK27" s="221"/>
      <c r="AL27" s="221"/>
      <c r="AM27" s="221"/>
      <c r="AN27" s="221"/>
      <c r="AO27" s="221"/>
      <c r="AP27" s="223"/>
      <c r="AQ27" s="222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  <c r="BW27" s="221"/>
      <c r="BX27" s="221"/>
      <c r="BY27" s="221"/>
      <c r="BZ27" s="221"/>
      <c r="CA27" s="221"/>
      <c r="CB27" s="221"/>
      <c r="CC27" s="221"/>
      <c r="CD27" s="221"/>
      <c r="CE27" s="221"/>
      <c r="CF27" s="221"/>
      <c r="CG27" s="221"/>
      <c r="CH27" s="221"/>
      <c r="CI27" s="221"/>
      <c r="CJ27" s="221"/>
      <c r="CK27" s="221"/>
      <c r="CL27" s="223"/>
      <c r="CM27" s="222"/>
      <c r="CN27" s="221"/>
      <c r="CO27" s="221"/>
      <c r="CP27" s="221"/>
      <c r="CQ27" s="221"/>
      <c r="CR27" s="221"/>
      <c r="CS27" s="221"/>
      <c r="CT27" s="223"/>
      <c r="CU27" s="555"/>
      <c r="CV27" s="556"/>
      <c r="CW27" s="556"/>
      <c r="CX27" s="556"/>
      <c r="CY27" s="556"/>
      <c r="CZ27" s="556"/>
      <c r="DA27" s="556"/>
      <c r="DB27" s="557"/>
      <c r="DC27" s="555"/>
      <c r="DD27" s="556"/>
      <c r="DE27" s="556"/>
      <c r="DF27" s="556"/>
      <c r="DG27" s="556"/>
      <c r="DH27" s="556"/>
      <c r="DI27" s="556"/>
      <c r="DJ27" s="558"/>
      <c r="DL27" s="559"/>
      <c r="DM27" s="560"/>
      <c r="DN27" s="561"/>
      <c r="DO27" s="559"/>
      <c r="DP27" s="560"/>
      <c r="DQ27" s="561"/>
      <c r="DR27" s="118"/>
      <c r="DS27" s="118"/>
      <c r="DT27" s="118"/>
      <c r="DU27" s="194"/>
    </row>
    <row r="28" spans="1:125" s="228" customFormat="1" ht="15" customHeight="1">
      <c r="A28" s="227"/>
      <c r="B28" s="241"/>
      <c r="C28" s="242"/>
      <c r="D28" s="243"/>
      <c r="E28" s="222"/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2"/>
      <c r="AD28" s="221"/>
      <c r="AE28" s="221"/>
      <c r="AF28" s="221"/>
      <c r="AG28" s="221"/>
      <c r="AH28" s="223"/>
      <c r="AI28" s="222"/>
      <c r="AJ28" s="221"/>
      <c r="AK28" s="221"/>
      <c r="AL28" s="221"/>
      <c r="AM28" s="221"/>
      <c r="AN28" s="221"/>
      <c r="AO28" s="221"/>
      <c r="AP28" s="223"/>
      <c r="AQ28" s="222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  <c r="CC28" s="221"/>
      <c r="CD28" s="221"/>
      <c r="CE28" s="221"/>
      <c r="CF28" s="221"/>
      <c r="CG28" s="221"/>
      <c r="CH28" s="221"/>
      <c r="CI28" s="221"/>
      <c r="CJ28" s="221"/>
      <c r="CK28" s="221"/>
      <c r="CL28" s="223"/>
      <c r="CM28" s="222"/>
      <c r="CN28" s="221"/>
      <c r="CO28" s="221"/>
      <c r="CP28" s="221"/>
      <c r="CQ28" s="221"/>
      <c r="CR28" s="221"/>
      <c r="CS28" s="221"/>
      <c r="CT28" s="223"/>
      <c r="CU28" s="555"/>
      <c r="CV28" s="556"/>
      <c r="CW28" s="556"/>
      <c r="CX28" s="556"/>
      <c r="CY28" s="556"/>
      <c r="CZ28" s="556"/>
      <c r="DA28" s="556"/>
      <c r="DB28" s="557"/>
      <c r="DC28" s="555"/>
      <c r="DD28" s="556"/>
      <c r="DE28" s="556"/>
      <c r="DF28" s="556"/>
      <c r="DG28" s="556"/>
      <c r="DH28" s="556"/>
      <c r="DI28" s="556"/>
      <c r="DJ28" s="558"/>
      <c r="DL28" s="559"/>
      <c r="DM28" s="560"/>
      <c r="DN28" s="561"/>
      <c r="DO28" s="559"/>
      <c r="DP28" s="560"/>
      <c r="DQ28" s="561"/>
      <c r="DR28" s="118"/>
      <c r="DS28" s="118"/>
      <c r="DT28" s="118"/>
      <c r="DU28" s="194"/>
    </row>
    <row r="29" spans="1:125" s="228" customFormat="1" ht="15" customHeight="1">
      <c r="A29" s="227"/>
      <c r="B29" s="241"/>
      <c r="C29" s="242"/>
      <c r="D29" s="243"/>
      <c r="E29" s="222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2"/>
      <c r="AD29" s="221"/>
      <c r="AE29" s="221"/>
      <c r="AF29" s="221"/>
      <c r="AG29" s="221"/>
      <c r="AH29" s="223"/>
      <c r="AI29" s="222"/>
      <c r="AJ29" s="221"/>
      <c r="AK29" s="221"/>
      <c r="AL29" s="221"/>
      <c r="AM29" s="221"/>
      <c r="AN29" s="221"/>
      <c r="AO29" s="221"/>
      <c r="AP29" s="223"/>
      <c r="AQ29" s="222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  <c r="CC29" s="221"/>
      <c r="CD29" s="221"/>
      <c r="CE29" s="221"/>
      <c r="CF29" s="221"/>
      <c r="CG29" s="221"/>
      <c r="CH29" s="221"/>
      <c r="CI29" s="221"/>
      <c r="CJ29" s="221"/>
      <c r="CK29" s="221"/>
      <c r="CL29" s="223"/>
      <c r="CM29" s="222"/>
      <c r="CN29" s="221"/>
      <c r="CO29" s="221"/>
      <c r="CP29" s="221"/>
      <c r="CQ29" s="221"/>
      <c r="CR29" s="221"/>
      <c r="CS29" s="221"/>
      <c r="CT29" s="223"/>
      <c r="CU29" s="555"/>
      <c r="CV29" s="556"/>
      <c r="CW29" s="556"/>
      <c r="CX29" s="556"/>
      <c r="CY29" s="556"/>
      <c r="CZ29" s="556"/>
      <c r="DA29" s="556"/>
      <c r="DB29" s="557"/>
      <c r="DC29" s="555"/>
      <c r="DD29" s="556"/>
      <c r="DE29" s="556"/>
      <c r="DF29" s="556"/>
      <c r="DG29" s="556"/>
      <c r="DH29" s="556"/>
      <c r="DI29" s="556"/>
      <c r="DJ29" s="558"/>
      <c r="DL29" s="559"/>
      <c r="DM29" s="560"/>
      <c r="DN29" s="561"/>
      <c r="DO29" s="559"/>
      <c r="DP29" s="560"/>
      <c r="DQ29" s="561"/>
      <c r="DR29" s="118"/>
      <c r="DS29" s="118"/>
      <c r="DT29" s="118"/>
      <c r="DU29" s="194"/>
    </row>
    <row r="30" spans="1:125" s="228" customFormat="1" ht="15" customHeight="1">
      <c r="A30" s="227"/>
      <c r="B30" s="241"/>
      <c r="C30" s="242"/>
      <c r="D30" s="243"/>
      <c r="E30" s="222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2"/>
      <c r="AD30" s="221"/>
      <c r="AE30" s="221"/>
      <c r="AF30" s="221"/>
      <c r="AG30" s="221"/>
      <c r="AH30" s="223"/>
      <c r="AI30" s="222"/>
      <c r="AJ30" s="221"/>
      <c r="AK30" s="221"/>
      <c r="AL30" s="221"/>
      <c r="AM30" s="221"/>
      <c r="AN30" s="221"/>
      <c r="AO30" s="221"/>
      <c r="AP30" s="223"/>
      <c r="AQ30" s="222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21"/>
      <c r="CE30" s="221"/>
      <c r="CF30" s="221"/>
      <c r="CG30" s="221"/>
      <c r="CH30" s="221"/>
      <c r="CI30" s="221"/>
      <c r="CJ30" s="221"/>
      <c r="CK30" s="221"/>
      <c r="CL30" s="223"/>
      <c r="CM30" s="222"/>
      <c r="CN30" s="221"/>
      <c r="CO30" s="221"/>
      <c r="CP30" s="221"/>
      <c r="CQ30" s="221"/>
      <c r="CR30" s="221"/>
      <c r="CS30" s="221"/>
      <c r="CT30" s="223"/>
      <c r="CU30" s="555"/>
      <c r="CV30" s="556"/>
      <c r="CW30" s="556"/>
      <c r="CX30" s="556"/>
      <c r="CY30" s="556"/>
      <c r="CZ30" s="556"/>
      <c r="DA30" s="556"/>
      <c r="DB30" s="557"/>
      <c r="DC30" s="555"/>
      <c r="DD30" s="556"/>
      <c r="DE30" s="556"/>
      <c r="DF30" s="556"/>
      <c r="DG30" s="556"/>
      <c r="DH30" s="556"/>
      <c r="DI30" s="556"/>
      <c r="DJ30" s="558"/>
      <c r="DL30" s="559"/>
      <c r="DM30" s="560"/>
      <c r="DN30" s="561"/>
      <c r="DO30" s="559"/>
      <c r="DP30" s="560"/>
      <c r="DQ30" s="561"/>
      <c r="DR30" s="118"/>
      <c r="DS30" s="118"/>
      <c r="DT30" s="118"/>
      <c r="DU30" s="194"/>
    </row>
    <row r="31" spans="1:125" s="228" customFormat="1" ht="15" customHeight="1">
      <c r="A31" s="227"/>
      <c r="B31" s="241"/>
      <c r="C31" s="242"/>
      <c r="D31" s="243"/>
      <c r="E31" s="222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2"/>
      <c r="AD31" s="221"/>
      <c r="AE31" s="221"/>
      <c r="AF31" s="221"/>
      <c r="AG31" s="221"/>
      <c r="AH31" s="223"/>
      <c r="AI31" s="222"/>
      <c r="AJ31" s="221"/>
      <c r="AK31" s="221"/>
      <c r="AL31" s="221"/>
      <c r="AM31" s="221"/>
      <c r="AN31" s="221"/>
      <c r="AO31" s="221"/>
      <c r="AP31" s="223"/>
      <c r="AQ31" s="222"/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1"/>
      <c r="CA31" s="221"/>
      <c r="CB31" s="221"/>
      <c r="CC31" s="221"/>
      <c r="CD31" s="221"/>
      <c r="CE31" s="221"/>
      <c r="CF31" s="221"/>
      <c r="CG31" s="221"/>
      <c r="CH31" s="221"/>
      <c r="CI31" s="221"/>
      <c r="CJ31" s="221"/>
      <c r="CK31" s="221"/>
      <c r="CL31" s="223"/>
      <c r="CM31" s="222"/>
      <c r="CN31" s="221"/>
      <c r="CO31" s="221"/>
      <c r="CP31" s="221"/>
      <c r="CQ31" s="221"/>
      <c r="CR31" s="221"/>
      <c r="CS31" s="221"/>
      <c r="CT31" s="223"/>
      <c r="CU31" s="555"/>
      <c r="CV31" s="556"/>
      <c r="CW31" s="556"/>
      <c r="CX31" s="556"/>
      <c r="CY31" s="556"/>
      <c r="CZ31" s="556"/>
      <c r="DA31" s="556"/>
      <c r="DB31" s="557"/>
      <c r="DC31" s="555"/>
      <c r="DD31" s="556"/>
      <c r="DE31" s="556"/>
      <c r="DF31" s="556"/>
      <c r="DG31" s="556"/>
      <c r="DH31" s="556"/>
      <c r="DI31" s="556"/>
      <c r="DJ31" s="558"/>
      <c r="DL31" s="559"/>
      <c r="DM31" s="560"/>
      <c r="DN31" s="561"/>
      <c r="DO31" s="559"/>
      <c r="DP31" s="560"/>
      <c r="DQ31" s="561"/>
      <c r="DR31" s="118"/>
      <c r="DS31" s="118"/>
      <c r="DT31" s="118"/>
      <c r="DU31" s="194"/>
    </row>
    <row r="32" spans="1:125" s="228" customFormat="1" ht="15" customHeight="1">
      <c r="A32" s="227"/>
      <c r="B32" s="241"/>
      <c r="C32" s="242"/>
      <c r="D32" s="243"/>
      <c r="E32" s="222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2"/>
      <c r="AD32" s="221"/>
      <c r="AE32" s="221"/>
      <c r="AF32" s="221"/>
      <c r="AG32" s="221"/>
      <c r="AH32" s="223"/>
      <c r="AI32" s="222"/>
      <c r="AJ32" s="221"/>
      <c r="AK32" s="221"/>
      <c r="AL32" s="221"/>
      <c r="AM32" s="221"/>
      <c r="AN32" s="221"/>
      <c r="AO32" s="221"/>
      <c r="AP32" s="223"/>
      <c r="AQ32" s="222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1"/>
      <c r="CA32" s="221"/>
      <c r="CB32" s="221"/>
      <c r="CC32" s="221"/>
      <c r="CD32" s="221"/>
      <c r="CE32" s="221"/>
      <c r="CF32" s="221"/>
      <c r="CG32" s="221"/>
      <c r="CH32" s="221"/>
      <c r="CI32" s="221"/>
      <c r="CJ32" s="221"/>
      <c r="CK32" s="221"/>
      <c r="CL32" s="223"/>
      <c r="CM32" s="222"/>
      <c r="CN32" s="221"/>
      <c r="CO32" s="221"/>
      <c r="CP32" s="221"/>
      <c r="CQ32" s="221"/>
      <c r="CR32" s="221"/>
      <c r="CS32" s="221"/>
      <c r="CT32" s="223"/>
      <c r="CU32" s="555"/>
      <c r="CV32" s="556"/>
      <c r="CW32" s="556"/>
      <c r="CX32" s="556"/>
      <c r="CY32" s="556"/>
      <c r="CZ32" s="556"/>
      <c r="DA32" s="556"/>
      <c r="DB32" s="557"/>
      <c r="DC32" s="555"/>
      <c r="DD32" s="556"/>
      <c r="DE32" s="556"/>
      <c r="DF32" s="556"/>
      <c r="DG32" s="556"/>
      <c r="DH32" s="556"/>
      <c r="DI32" s="556"/>
      <c r="DJ32" s="558"/>
      <c r="DL32" s="559"/>
      <c r="DM32" s="560"/>
      <c r="DN32" s="561"/>
      <c r="DO32" s="559"/>
      <c r="DP32" s="560"/>
      <c r="DQ32" s="561"/>
      <c r="DR32" s="118"/>
      <c r="DS32" s="118"/>
      <c r="DT32" s="118"/>
      <c r="DU32" s="194"/>
    </row>
    <row r="33" spans="1:125" s="239" customFormat="1" ht="15" customHeight="1">
      <c r="A33" s="229"/>
      <c r="B33" s="244"/>
      <c r="C33" s="245"/>
      <c r="D33" s="246"/>
      <c r="E33" s="234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1"/>
      <c r="V33" s="231"/>
      <c r="W33" s="230"/>
      <c r="X33" s="230"/>
      <c r="Y33" s="230"/>
      <c r="Z33" s="230"/>
      <c r="AA33" s="230"/>
      <c r="AB33" s="230"/>
      <c r="AC33" s="234"/>
      <c r="AD33" s="230"/>
      <c r="AE33" s="230"/>
      <c r="AF33" s="230"/>
      <c r="AG33" s="230"/>
      <c r="AH33" s="232"/>
      <c r="AI33" s="234"/>
      <c r="AJ33" s="230"/>
      <c r="AK33" s="230"/>
      <c r="AL33" s="230"/>
      <c r="AM33" s="230"/>
      <c r="AN33" s="230"/>
      <c r="AO33" s="230"/>
      <c r="AP33" s="232"/>
      <c r="AQ33" s="234"/>
      <c r="AR33" s="231"/>
      <c r="AS33" s="231"/>
      <c r="AT33" s="231"/>
      <c r="AU33" s="231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230"/>
      <c r="BQ33" s="230"/>
      <c r="BR33" s="230"/>
      <c r="BS33" s="230"/>
      <c r="BT33" s="230"/>
      <c r="BU33" s="230"/>
      <c r="BV33" s="230"/>
      <c r="BW33" s="230"/>
      <c r="BX33" s="230"/>
      <c r="BY33" s="230"/>
      <c r="BZ33" s="230"/>
      <c r="CA33" s="230"/>
      <c r="CB33" s="230"/>
      <c r="CC33" s="230"/>
      <c r="CD33" s="230"/>
      <c r="CE33" s="230"/>
      <c r="CF33" s="230"/>
      <c r="CG33" s="230"/>
      <c r="CH33" s="230"/>
      <c r="CI33" s="230"/>
      <c r="CJ33" s="230"/>
      <c r="CK33" s="230"/>
      <c r="CL33" s="233"/>
      <c r="CM33" s="234"/>
      <c r="CN33" s="230"/>
      <c r="CO33" s="230"/>
      <c r="CP33" s="230"/>
      <c r="CQ33" s="230"/>
      <c r="CR33" s="230"/>
      <c r="CS33" s="230"/>
      <c r="CT33" s="232"/>
      <c r="CU33" s="235"/>
      <c r="CV33" s="236"/>
      <c r="CW33" s="236"/>
      <c r="CX33" s="236"/>
      <c r="CY33" s="236"/>
      <c r="CZ33" s="236"/>
      <c r="DA33" s="236"/>
      <c r="DB33" s="237"/>
      <c r="DC33" s="235"/>
      <c r="DD33" s="236"/>
      <c r="DE33" s="236"/>
      <c r="DF33" s="236"/>
      <c r="DG33" s="236"/>
      <c r="DH33" s="236"/>
      <c r="DI33" s="236"/>
      <c r="DJ33" s="238"/>
      <c r="DL33" s="602"/>
      <c r="DM33" s="603"/>
      <c r="DN33" s="604"/>
      <c r="DO33" s="602"/>
      <c r="DP33" s="603"/>
      <c r="DQ33" s="604"/>
      <c r="DR33" s="118"/>
      <c r="DS33" s="118"/>
      <c r="DT33" s="118"/>
      <c r="DU33" s="194"/>
    </row>
    <row r="34" spans="1:125" s="228" customFormat="1" ht="15" customHeight="1">
      <c r="A34" s="227"/>
      <c r="B34" s="241"/>
      <c r="C34" s="242"/>
      <c r="D34" s="243"/>
      <c r="E34" s="222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2"/>
      <c r="AD34" s="221"/>
      <c r="AE34" s="221"/>
      <c r="AF34" s="221"/>
      <c r="AG34" s="221"/>
      <c r="AH34" s="223"/>
      <c r="AI34" s="222"/>
      <c r="AJ34" s="221"/>
      <c r="AK34" s="221"/>
      <c r="AL34" s="221"/>
      <c r="AM34" s="221"/>
      <c r="AN34" s="221"/>
      <c r="AO34" s="221"/>
      <c r="AP34" s="223"/>
      <c r="AQ34" s="222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  <c r="CC34" s="221"/>
      <c r="CD34" s="221"/>
      <c r="CE34" s="221"/>
      <c r="CF34" s="221"/>
      <c r="CG34" s="221"/>
      <c r="CH34" s="221"/>
      <c r="CI34" s="221"/>
      <c r="CJ34" s="221"/>
      <c r="CK34" s="221"/>
      <c r="CL34" s="223"/>
      <c r="CM34" s="222"/>
      <c r="CN34" s="221"/>
      <c r="CO34" s="221"/>
      <c r="CP34" s="221"/>
      <c r="CQ34" s="221"/>
      <c r="CR34" s="221"/>
      <c r="CS34" s="221"/>
      <c r="CT34" s="223"/>
      <c r="CU34" s="555"/>
      <c r="CV34" s="556"/>
      <c r="CW34" s="556"/>
      <c r="CX34" s="556"/>
      <c r="CY34" s="556"/>
      <c r="CZ34" s="556"/>
      <c r="DA34" s="556"/>
      <c r="DB34" s="557"/>
      <c r="DC34" s="555"/>
      <c r="DD34" s="556"/>
      <c r="DE34" s="556"/>
      <c r="DF34" s="556"/>
      <c r="DG34" s="556"/>
      <c r="DH34" s="556"/>
      <c r="DI34" s="556"/>
      <c r="DJ34" s="558"/>
      <c r="DL34" s="559"/>
      <c r="DM34" s="560"/>
      <c r="DN34" s="561"/>
      <c r="DO34" s="559"/>
      <c r="DP34" s="560"/>
      <c r="DQ34" s="561"/>
      <c r="DR34" s="118"/>
      <c r="DS34" s="118"/>
      <c r="DT34" s="118"/>
      <c r="DU34" s="194"/>
    </row>
    <row r="35" spans="1:125" s="228" customFormat="1" ht="15" customHeight="1">
      <c r="A35" s="227"/>
      <c r="B35" s="241"/>
      <c r="C35" s="242"/>
      <c r="D35" s="243"/>
      <c r="E35" s="222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2"/>
      <c r="AD35" s="221"/>
      <c r="AE35" s="221"/>
      <c r="AF35" s="221"/>
      <c r="AG35" s="221"/>
      <c r="AH35" s="223"/>
      <c r="AI35" s="222"/>
      <c r="AJ35" s="221"/>
      <c r="AK35" s="221"/>
      <c r="AL35" s="221"/>
      <c r="AM35" s="221"/>
      <c r="AN35" s="221"/>
      <c r="AO35" s="221"/>
      <c r="AP35" s="223"/>
      <c r="AQ35" s="222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  <c r="CC35" s="221"/>
      <c r="CD35" s="221"/>
      <c r="CE35" s="221"/>
      <c r="CF35" s="221"/>
      <c r="CG35" s="221"/>
      <c r="CH35" s="221"/>
      <c r="CI35" s="221"/>
      <c r="CJ35" s="221"/>
      <c r="CK35" s="221"/>
      <c r="CL35" s="223"/>
      <c r="CM35" s="222"/>
      <c r="CN35" s="221"/>
      <c r="CO35" s="221"/>
      <c r="CP35" s="221"/>
      <c r="CQ35" s="221"/>
      <c r="CR35" s="221"/>
      <c r="CS35" s="221"/>
      <c r="CT35" s="223"/>
      <c r="CU35" s="555"/>
      <c r="CV35" s="556"/>
      <c r="CW35" s="556"/>
      <c r="CX35" s="556"/>
      <c r="CY35" s="556"/>
      <c r="CZ35" s="556"/>
      <c r="DA35" s="556"/>
      <c r="DB35" s="557"/>
      <c r="DC35" s="555"/>
      <c r="DD35" s="556"/>
      <c r="DE35" s="556"/>
      <c r="DF35" s="556"/>
      <c r="DG35" s="556"/>
      <c r="DH35" s="556"/>
      <c r="DI35" s="556"/>
      <c r="DJ35" s="558"/>
      <c r="DL35" s="559"/>
      <c r="DM35" s="560"/>
      <c r="DN35" s="561"/>
      <c r="DO35" s="559"/>
      <c r="DP35" s="560"/>
      <c r="DQ35" s="561"/>
      <c r="DR35" s="118"/>
      <c r="DS35" s="118"/>
      <c r="DT35" s="118"/>
      <c r="DU35" s="194"/>
    </row>
    <row r="36" spans="1:125" s="228" customFormat="1" ht="15" customHeight="1">
      <c r="A36" s="227"/>
      <c r="B36" s="241"/>
      <c r="C36" s="242"/>
      <c r="D36" s="243"/>
      <c r="E36" s="222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2"/>
      <c r="AD36" s="221"/>
      <c r="AE36" s="221"/>
      <c r="AF36" s="221"/>
      <c r="AG36" s="221"/>
      <c r="AH36" s="223"/>
      <c r="AI36" s="222"/>
      <c r="AJ36" s="221"/>
      <c r="AK36" s="221"/>
      <c r="AL36" s="221"/>
      <c r="AM36" s="221"/>
      <c r="AN36" s="221"/>
      <c r="AO36" s="221"/>
      <c r="AP36" s="223"/>
      <c r="AQ36" s="222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  <c r="CC36" s="221"/>
      <c r="CD36" s="221"/>
      <c r="CE36" s="221"/>
      <c r="CF36" s="221"/>
      <c r="CG36" s="221"/>
      <c r="CH36" s="221"/>
      <c r="CI36" s="221"/>
      <c r="CJ36" s="221"/>
      <c r="CK36" s="221"/>
      <c r="CL36" s="223"/>
      <c r="CM36" s="222"/>
      <c r="CN36" s="221"/>
      <c r="CO36" s="221"/>
      <c r="CP36" s="221"/>
      <c r="CQ36" s="221"/>
      <c r="CR36" s="221"/>
      <c r="CS36" s="221"/>
      <c r="CT36" s="223"/>
      <c r="CU36" s="555"/>
      <c r="CV36" s="556"/>
      <c r="CW36" s="556"/>
      <c r="CX36" s="556"/>
      <c r="CY36" s="556"/>
      <c r="CZ36" s="556"/>
      <c r="DA36" s="556"/>
      <c r="DB36" s="557"/>
      <c r="DC36" s="555"/>
      <c r="DD36" s="556"/>
      <c r="DE36" s="556"/>
      <c r="DF36" s="556"/>
      <c r="DG36" s="556"/>
      <c r="DH36" s="556"/>
      <c r="DI36" s="556"/>
      <c r="DJ36" s="558"/>
      <c r="DL36" s="559"/>
      <c r="DM36" s="560"/>
      <c r="DN36" s="561"/>
      <c r="DO36" s="559"/>
      <c r="DP36" s="560"/>
      <c r="DQ36" s="561"/>
      <c r="DR36" s="118"/>
      <c r="DS36" s="118"/>
      <c r="DT36" s="118"/>
      <c r="DU36" s="194"/>
    </row>
    <row r="37" spans="1:125" s="228" customFormat="1" ht="15" customHeight="1">
      <c r="A37" s="227"/>
      <c r="B37" s="241"/>
      <c r="C37" s="242"/>
      <c r="D37" s="243"/>
      <c r="E37" s="222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2"/>
      <c r="AD37" s="221"/>
      <c r="AE37" s="221"/>
      <c r="AF37" s="221"/>
      <c r="AG37" s="221"/>
      <c r="AH37" s="223"/>
      <c r="AI37" s="222"/>
      <c r="AJ37" s="221"/>
      <c r="AK37" s="221"/>
      <c r="AL37" s="221"/>
      <c r="AM37" s="221"/>
      <c r="AN37" s="221"/>
      <c r="AO37" s="221"/>
      <c r="AP37" s="223"/>
      <c r="AQ37" s="222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  <c r="CC37" s="221"/>
      <c r="CD37" s="221"/>
      <c r="CE37" s="221"/>
      <c r="CF37" s="221"/>
      <c r="CG37" s="221"/>
      <c r="CH37" s="221"/>
      <c r="CI37" s="221"/>
      <c r="CJ37" s="221"/>
      <c r="CK37" s="221"/>
      <c r="CL37" s="223"/>
      <c r="CM37" s="222"/>
      <c r="CN37" s="221"/>
      <c r="CO37" s="221"/>
      <c r="CP37" s="221"/>
      <c r="CQ37" s="221"/>
      <c r="CR37" s="221"/>
      <c r="CS37" s="221"/>
      <c r="CT37" s="223"/>
      <c r="CU37" s="555"/>
      <c r="CV37" s="556"/>
      <c r="CW37" s="556"/>
      <c r="CX37" s="556"/>
      <c r="CY37" s="556"/>
      <c r="CZ37" s="556"/>
      <c r="DA37" s="556"/>
      <c r="DB37" s="557"/>
      <c r="DC37" s="555"/>
      <c r="DD37" s="556"/>
      <c r="DE37" s="556"/>
      <c r="DF37" s="556"/>
      <c r="DG37" s="556"/>
      <c r="DH37" s="556"/>
      <c r="DI37" s="556"/>
      <c r="DJ37" s="558"/>
      <c r="DL37" s="559"/>
      <c r="DM37" s="560"/>
      <c r="DN37" s="561"/>
      <c r="DO37" s="559"/>
      <c r="DP37" s="560"/>
      <c r="DQ37" s="561"/>
      <c r="DR37" s="118"/>
      <c r="DS37" s="118"/>
      <c r="DT37" s="118"/>
      <c r="DU37" s="194"/>
    </row>
    <row r="38" spans="1:125" s="228" customFormat="1" ht="15" customHeight="1">
      <c r="A38" s="227"/>
      <c r="B38" s="241"/>
      <c r="C38" s="242"/>
      <c r="D38" s="243"/>
      <c r="E38" s="222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2"/>
      <c r="AD38" s="221"/>
      <c r="AE38" s="221"/>
      <c r="AF38" s="221"/>
      <c r="AG38" s="221"/>
      <c r="AH38" s="223"/>
      <c r="AI38" s="222"/>
      <c r="AJ38" s="221"/>
      <c r="AK38" s="221"/>
      <c r="AL38" s="221"/>
      <c r="AM38" s="221"/>
      <c r="AN38" s="221"/>
      <c r="AO38" s="221"/>
      <c r="AP38" s="223"/>
      <c r="AQ38" s="222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  <c r="CA38" s="221"/>
      <c r="CB38" s="221"/>
      <c r="CC38" s="221"/>
      <c r="CD38" s="221"/>
      <c r="CE38" s="221"/>
      <c r="CF38" s="221"/>
      <c r="CG38" s="221"/>
      <c r="CH38" s="221"/>
      <c r="CI38" s="221"/>
      <c r="CJ38" s="221"/>
      <c r="CK38" s="221"/>
      <c r="CL38" s="223"/>
      <c r="CM38" s="222"/>
      <c r="CN38" s="221"/>
      <c r="CO38" s="221"/>
      <c r="CP38" s="221"/>
      <c r="CQ38" s="221"/>
      <c r="CR38" s="221"/>
      <c r="CS38" s="221"/>
      <c r="CT38" s="223"/>
      <c r="CU38" s="555"/>
      <c r="CV38" s="556"/>
      <c r="CW38" s="556"/>
      <c r="CX38" s="556"/>
      <c r="CY38" s="556"/>
      <c r="CZ38" s="556"/>
      <c r="DA38" s="556"/>
      <c r="DB38" s="557"/>
      <c r="DC38" s="555"/>
      <c r="DD38" s="556"/>
      <c r="DE38" s="556"/>
      <c r="DF38" s="556"/>
      <c r="DG38" s="556"/>
      <c r="DH38" s="556"/>
      <c r="DI38" s="556"/>
      <c r="DJ38" s="558"/>
      <c r="DL38" s="559"/>
      <c r="DM38" s="560"/>
      <c r="DN38" s="561"/>
      <c r="DO38" s="559"/>
      <c r="DP38" s="560"/>
      <c r="DQ38" s="561"/>
      <c r="DR38" s="118"/>
      <c r="DS38" s="118"/>
      <c r="DT38" s="118"/>
      <c r="DU38" s="194"/>
    </row>
    <row r="39" spans="1:125" s="228" customFormat="1" ht="15" customHeight="1">
      <c r="A39" s="227"/>
      <c r="B39" s="241"/>
      <c r="C39" s="242"/>
      <c r="D39" s="243"/>
      <c r="E39" s="222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2"/>
      <c r="AD39" s="221"/>
      <c r="AE39" s="221"/>
      <c r="AF39" s="221"/>
      <c r="AG39" s="221"/>
      <c r="AH39" s="223"/>
      <c r="AI39" s="222"/>
      <c r="AJ39" s="221"/>
      <c r="AK39" s="221"/>
      <c r="AL39" s="221"/>
      <c r="AM39" s="221"/>
      <c r="AN39" s="221"/>
      <c r="AO39" s="221"/>
      <c r="AP39" s="223"/>
      <c r="AQ39" s="222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1"/>
      <c r="CA39" s="221"/>
      <c r="CB39" s="221"/>
      <c r="CC39" s="221"/>
      <c r="CD39" s="221"/>
      <c r="CE39" s="221"/>
      <c r="CF39" s="221"/>
      <c r="CG39" s="221"/>
      <c r="CH39" s="221"/>
      <c r="CI39" s="221"/>
      <c r="CJ39" s="221"/>
      <c r="CK39" s="221"/>
      <c r="CL39" s="223"/>
      <c r="CM39" s="222"/>
      <c r="CN39" s="221"/>
      <c r="CO39" s="221"/>
      <c r="CP39" s="221"/>
      <c r="CQ39" s="221"/>
      <c r="CR39" s="221"/>
      <c r="CS39" s="221"/>
      <c r="CT39" s="223"/>
      <c r="CU39" s="555"/>
      <c r="CV39" s="556"/>
      <c r="CW39" s="556"/>
      <c r="CX39" s="556"/>
      <c r="CY39" s="556"/>
      <c r="CZ39" s="556"/>
      <c r="DA39" s="556"/>
      <c r="DB39" s="557"/>
      <c r="DC39" s="555"/>
      <c r="DD39" s="556"/>
      <c r="DE39" s="556"/>
      <c r="DF39" s="556"/>
      <c r="DG39" s="556"/>
      <c r="DH39" s="556"/>
      <c r="DI39" s="556"/>
      <c r="DJ39" s="558"/>
      <c r="DL39" s="559"/>
      <c r="DM39" s="560"/>
      <c r="DN39" s="561"/>
      <c r="DO39" s="559"/>
      <c r="DP39" s="560"/>
      <c r="DQ39" s="561"/>
      <c r="DR39" s="118"/>
      <c r="DS39" s="118"/>
      <c r="DT39" s="118"/>
      <c r="DU39" s="194"/>
    </row>
    <row r="40" spans="1:125" s="228" customFormat="1" ht="15" customHeight="1">
      <c r="A40" s="227"/>
      <c r="B40" s="241"/>
      <c r="C40" s="242"/>
      <c r="D40" s="243"/>
      <c r="E40" s="222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2"/>
      <c r="AD40" s="221"/>
      <c r="AE40" s="221"/>
      <c r="AF40" s="221"/>
      <c r="AG40" s="221"/>
      <c r="AH40" s="223"/>
      <c r="AI40" s="222"/>
      <c r="AJ40" s="221"/>
      <c r="AK40" s="221"/>
      <c r="AL40" s="221"/>
      <c r="AM40" s="221"/>
      <c r="AN40" s="221"/>
      <c r="AO40" s="221"/>
      <c r="AP40" s="223"/>
      <c r="AQ40" s="222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1"/>
      <c r="CC40" s="221"/>
      <c r="CD40" s="221"/>
      <c r="CE40" s="221"/>
      <c r="CF40" s="221"/>
      <c r="CG40" s="221"/>
      <c r="CH40" s="221"/>
      <c r="CI40" s="221"/>
      <c r="CJ40" s="221"/>
      <c r="CK40" s="221"/>
      <c r="CL40" s="223"/>
      <c r="CM40" s="222"/>
      <c r="CN40" s="221"/>
      <c r="CO40" s="221"/>
      <c r="CP40" s="221"/>
      <c r="CQ40" s="221"/>
      <c r="CR40" s="221"/>
      <c r="CS40" s="221"/>
      <c r="CT40" s="223"/>
      <c r="CU40" s="555"/>
      <c r="CV40" s="556"/>
      <c r="CW40" s="556"/>
      <c r="CX40" s="556"/>
      <c r="CY40" s="556"/>
      <c r="CZ40" s="556"/>
      <c r="DA40" s="556"/>
      <c r="DB40" s="557"/>
      <c r="DC40" s="555"/>
      <c r="DD40" s="556"/>
      <c r="DE40" s="556"/>
      <c r="DF40" s="556"/>
      <c r="DG40" s="556"/>
      <c r="DH40" s="556"/>
      <c r="DI40" s="556"/>
      <c r="DJ40" s="558"/>
      <c r="DL40" s="559"/>
      <c r="DM40" s="560"/>
      <c r="DN40" s="561"/>
      <c r="DO40" s="559"/>
      <c r="DP40" s="560"/>
      <c r="DQ40" s="561"/>
      <c r="DR40" s="118"/>
      <c r="DS40" s="118"/>
      <c r="DT40" s="118"/>
      <c r="DU40" s="194"/>
    </row>
    <row r="41" spans="1:125" s="228" customFormat="1" ht="15" customHeight="1">
      <c r="A41" s="227"/>
      <c r="B41" s="241"/>
      <c r="C41" s="242"/>
      <c r="D41" s="243"/>
      <c r="E41" s="222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2"/>
      <c r="AD41" s="221"/>
      <c r="AE41" s="221"/>
      <c r="AF41" s="221"/>
      <c r="AG41" s="221"/>
      <c r="AH41" s="223"/>
      <c r="AI41" s="222"/>
      <c r="AJ41" s="221"/>
      <c r="AK41" s="221"/>
      <c r="AL41" s="221"/>
      <c r="AM41" s="221"/>
      <c r="AN41" s="221"/>
      <c r="AO41" s="221"/>
      <c r="AP41" s="223"/>
      <c r="AQ41" s="222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1"/>
      <c r="CC41" s="221"/>
      <c r="CD41" s="221"/>
      <c r="CE41" s="221"/>
      <c r="CF41" s="221"/>
      <c r="CG41" s="221"/>
      <c r="CH41" s="221"/>
      <c r="CI41" s="221"/>
      <c r="CJ41" s="221"/>
      <c r="CK41" s="221"/>
      <c r="CL41" s="223"/>
      <c r="CM41" s="222"/>
      <c r="CN41" s="221"/>
      <c r="CO41" s="221"/>
      <c r="CP41" s="221"/>
      <c r="CQ41" s="221"/>
      <c r="CR41" s="221"/>
      <c r="CS41" s="221"/>
      <c r="CT41" s="223"/>
      <c r="CU41" s="555"/>
      <c r="CV41" s="556"/>
      <c r="CW41" s="556"/>
      <c r="CX41" s="556"/>
      <c r="CY41" s="556"/>
      <c r="CZ41" s="556"/>
      <c r="DA41" s="556"/>
      <c r="DB41" s="557"/>
      <c r="DC41" s="555"/>
      <c r="DD41" s="556"/>
      <c r="DE41" s="556"/>
      <c r="DF41" s="556"/>
      <c r="DG41" s="556"/>
      <c r="DH41" s="556"/>
      <c r="DI41" s="556"/>
      <c r="DJ41" s="558"/>
      <c r="DL41" s="559"/>
      <c r="DM41" s="560"/>
      <c r="DN41" s="561"/>
      <c r="DO41" s="559"/>
      <c r="DP41" s="560"/>
      <c r="DQ41" s="561"/>
      <c r="DR41" s="118"/>
      <c r="DS41" s="118"/>
      <c r="DT41" s="118"/>
      <c r="DU41" s="194"/>
    </row>
    <row r="42" spans="1:125" s="228" customFormat="1" ht="15" customHeight="1">
      <c r="A42" s="227"/>
      <c r="B42" s="241"/>
      <c r="C42" s="242"/>
      <c r="D42" s="243"/>
      <c r="E42" s="222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2"/>
      <c r="AD42" s="221"/>
      <c r="AE42" s="221"/>
      <c r="AF42" s="221"/>
      <c r="AG42" s="221"/>
      <c r="AH42" s="223"/>
      <c r="AI42" s="222"/>
      <c r="AJ42" s="221"/>
      <c r="AK42" s="221"/>
      <c r="AL42" s="221"/>
      <c r="AM42" s="221"/>
      <c r="AN42" s="221"/>
      <c r="AO42" s="221"/>
      <c r="AP42" s="223"/>
      <c r="AQ42" s="222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  <c r="CC42" s="221"/>
      <c r="CD42" s="221"/>
      <c r="CE42" s="221"/>
      <c r="CF42" s="221"/>
      <c r="CG42" s="221"/>
      <c r="CH42" s="221"/>
      <c r="CI42" s="221"/>
      <c r="CJ42" s="221"/>
      <c r="CK42" s="221"/>
      <c r="CL42" s="223"/>
      <c r="CM42" s="222"/>
      <c r="CN42" s="221"/>
      <c r="CO42" s="221"/>
      <c r="CP42" s="221"/>
      <c r="CQ42" s="221"/>
      <c r="CR42" s="221"/>
      <c r="CS42" s="221"/>
      <c r="CT42" s="223"/>
      <c r="CU42" s="555"/>
      <c r="CV42" s="556"/>
      <c r="CW42" s="556"/>
      <c r="CX42" s="556"/>
      <c r="CY42" s="556"/>
      <c r="CZ42" s="556"/>
      <c r="DA42" s="556"/>
      <c r="DB42" s="557"/>
      <c r="DC42" s="555"/>
      <c r="DD42" s="556"/>
      <c r="DE42" s="556"/>
      <c r="DF42" s="556"/>
      <c r="DG42" s="556"/>
      <c r="DH42" s="556"/>
      <c r="DI42" s="556"/>
      <c r="DJ42" s="558"/>
      <c r="DL42" s="559"/>
      <c r="DM42" s="560"/>
      <c r="DN42" s="561"/>
      <c r="DO42" s="559"/>
      <c r="DP42" s="560"/>
      <c r="DQ42" s="561"/>
      <c r="DR42" s="118"/>
      <c r="DS42" s="118"/>
      <c r="DT42" s="118"/>
      <c r="DU42" s="194"/>
    </row>
    <row r="43" spans="1:125" s="228" customFormat="1" ht="15" customHeight="1">
      <c r="A43" s="227"/>
      <c r="B43" s="241"/>
      <c r="C43" s="242"/>
      <c r="D43" s="243"/>
      <c r="E43" s="222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2"/>
      <c r="AD43" s="221"/>
      <c r="AE43" s="221"/>
      <c r="AF43" s="221"/>
      <c r="AG43" s="221"/>
      <c r="AH43" s="223"/>
      <c r="AI43" s="222"/>
      <c r="AJ43" s="221"/>
      <c r="AK43" s="221"/>
      <c r="AL43" s="221"/>
      <c r="AM43" s="221"/>
      <c r="AN43" s="221"/>
      <c r="AO43" s="221"/>
      <c r="AP43" s="223"/>
      <c r="AQ43" s="222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1"/>
      <c r="CC43" s="221"/>
      <c r="CD43" s="221"/>
      <c r="CE43" s="221"/>
      <c r="CF43" s="221"/>
      <c r="CG43" s="221"/>
      <c r="CH43" s="221"/>
      <c r="CI43" s="221"/>
      <c r="CJ43" s="221"/>
      <c r="CK43" s="221"/>
      <c r="CL43" s="223"/>
      <c r="CM43" s="222"/>
      <c r="CN43" s="221"/>
      <c r="CO43" s="221"/>
      <c r="CP43" s="221"/>
      <c r="CQ43" s="221"/>
      <c r="CR43" s="221"/>
      <c r="CS43" s="221"/>
      <c r="CT43" s="223"/>
      <c r="CU43" s="555"/>
      <c r="CV43" s="556"/>
      <c r="CW43" s="556"/>
      <c r="CX43" s="556"/>
      <c r="CY43" s="556"/>
      <c r="CZ43" s="556"/>
      <c r="DA43" s="556"/>
      <c r="DB43" s="557"/>
      <c r="DC43" s="555"/>
      <c r="DD43" s="556"/>
      <c r="DE43" s="556"/>
      <c r="DF43" s="556"/>
      <c r="DG43" s="556"/>
      <c r="DH43" s="556"/>
      <c r="DI43" s="556"/>
      <c r="DJ43" s="558"/>
      <c r="DL43" s="559"/>
      <c r="DM43" s="560"/>
      <c r="DN43" s="561"/>
      <c r="DO43" s="559"/>
      <c r="DP43" s="560"/>
      <c r="DQ43" s="561"/>
      <c r="DR43" s="118"/>
      <c r="DS43" s="118"/>
      <c r="DT43" s="118"/>
      <c r="DU43" s="194"/>
    </row>
    <row r="44" spans="1:125" s="228" customFormat="1" ht="15" customHeight="1">
      <c r="A44" s="227"/>
      <c r="B44" s="241"/>
      <c r="C44" s="242"/>
      <c r="D44" s="243"/>
      <c r="E44" s="222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2"/>
      <c r="AD44" s="221"/>
      <c r="AE44" s="221"/>
      <c r="AF44" s="221"/>
      <c r="AG44" s="221"/>
      <c r="AH44" s="223"/>
      <c r="AI44" s="222"/>
      <c r="AJ44" s="221"/>
      <c r="AK44" s="221"/>
      <c r="AL44" s="221"/>
      <c r="AM44" s="221"/>
      <c r="AN44" s="221"/>
      <c r="AO44" s="221"/>
      <c r="AP44" s="223"/>
      <c r="AQ44" s="222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1"/>
      <c r="CC44" s="221"/>
      <c r="CD44" s="221"/>
      <c r="CE44" s="221"/>
      <c r="CF44" s="221"/>
      <c r="CG44" s="221"/>
      <c r="CH44" s="221"/>
      <c r="CI44" s="221"/>
      <c r="CJ44" s="221"/>
      <c r="CK44" s="221"/>
      <c r="CL44" s="223"/>
      <c r="CM44" s="222"/>
      <c r="CN44" s="221"/>
      <c r="CO44" s="221"/>
      <c r="CP44" s="221"/>
      <c r="CQ44" s="221"/>
      <c r="CR44" s="221"/>
      <c r="CS44" s="221"/>
      <c r="CT44" s="223"/>
      <c r="CU44" s="555"/>
      <c r="CV44" s="556"/>
      <c r="CW44" s="556"/>
      <c r="CX44" s="556"/>
      <c r="CY44" s="556"/>
      <c r="CZ44" s="556"/>
      <c r="DA44" s="556"/>
      <c r="DB44" s="557"/>
      <c r="DC44" s="555"/>
      <c r="DD44" s="556"/>
      <c r="DE44" s="556"/>
      <c r="DF44" s="556"/>
      <c r="DG44" s="556"/>
      <c r="DH44" s="556"/>
      <c r="DI44" s="556"/>
      <c r="DJ44" s="558"/>
      <c r="DL44" s="559"/>
      <c r="DM44" s="560"/>
      <c r="DN44" s="561"/>
      <c r="DO44" s="559"/>
      <c r="DP44" s="560"/>
      <c r="DQ44" s="561"/>
      <c r="DR44" s="118"/>
      <c r="DS44" s="118"/>
      <c r="DT44" s="118"/>
      <c r="DU44" s="194"/>
    </row>
    <row r="45" spans="1:125" s="228" customFormat="1" ht="15" customHeight="1">
      <c r="A45" s="227"/>
      <c r="B45" s="241"/>
      <c r="C45" s="242"/>
      <c r="D45" s="243"/>
      <c r="E45" s="222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2"/>
      <c r="AD45" s="221"/>
      <c r="AE45" s="221"/>
      <c r="AF45" s="221"/>
      <c r="AG45" s="221"/>
      <c r="AH45" s="223"/>
      <c r="AI45" s="222"/>
      <c r="AJ45" s="221"/>
      <c r="AK45" s="221"/>
      <c r="AL45" s="221"/>
      <c r="AM45" s="221"/>
      <c r="AN45" s="221"/>
      <c r="AO45" s="221"/>
      <c r="AP45" s="223"/>
      <c r="AQ45" s="222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1"/>
      <c r="CA45" s="221"/>
      <c r="CB45" s="221"/>
      <c r="CC45" s="221"/>
      <c r="CD45" s="221"/>
      <c r="CE45" s="221"/>
      <c r="CF45" s="221"/>
      <c r="CG45" s="221"/>
      <c r="CH45" s="221"/>
      <c r="CI45" s="221"/>
      <c r="CJ45" s="221"/>
      <c r="CK45" s="221"/>
      <c r="CL45" s="223"/>
      <c r="CM45" s="222"/>
      <c r="CN45" s="221"/>
      <c r="CO45" s="221"/>
      <c r="CP45" s="221"/>
      <c r="CQ45" s="221"/>
      <c r="CR45" s="221"/>
      <c r="CS45" s="221"/>
      <c r="CT45" s="223"/>
      <c r="CU45" s="555"/>
      <c r="CV45" s="556"/>
      <c r="CW45" s="556"/>
      <c r="CX45" s="556"/>
      <c r="CY45" s="556"/>
      <c r="CZ45" s="556"/>
      <c r="DA45" s="556"/>
      <c r="DB45" s="557"/>
      <c r="DC45" s="555"/>
      <c r="DD45" s="556"/>
      <c r="DE45" s="556"/>
      <c r="DF45" s="556"/>
      <c r="DG45" s="556"/>
      <c r="DH45" s="556"/>
      <c r="DI45" s="556"/>
      <c r="DJ45" s="558"/>
      <c r="DL45" s="559"/>
      <c r="DM45" s="560"/>
      <c r="DN45" s="561"/>
      <c r="DO45" s="559"/>
      <c r="DP45" s="560"/>
      <c r="DQ45" s="561"/>
      <c r="DR45" s="118"/>
      <c r="DS45" s="118"/>
      <c r="DT45" s="118"/>
      <c r="DU45" s="194"/>
    </row>
    <row r="46" spans="1:125" s="228" customFormat="1" ht="15" customHeight="1">
      <c r="A46" s="227"/>
      <c r="B46" s="241"/>
      <c r="C46" s="242"/>
      <c r="D46" s="243"/>
      <c r="E46" s="222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2"/>
      <c r="AD46" s="221"/>
      <c r="AE46" s="221"/>
      <c r="AF46" s="221"/>
      <c r="AG46" s="221"/>
      <c r="AH46" s="223"/>
      <c r="AI46" s="222"/>
      <c r="AJ46" s="221"/>
      <c r="AK46" s="221"/>
      <c r="AL46" s="221"/>
      <c r="AM46" s="221"/>
      <c r="AN46" s="221"/>
      <c r="AO46" s="221"/>
      <c r="AP46" s="223"/>
      <c r="AQ46" s="222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1"/>
      <c r="CD46" s="221"/>
      <c r="CE46" s="221"/>
      <c r="CF46" s="221"/>
      <c r="CG46" s="221"/>
      <c r="CH46" s="221"/>
      <c r="CI46" s="221"/>
      <c r="CJ46" s="221"/>
      <c r="CK46" s="221"/>
      <c r="CL46" s="223"/>
      <c r="CM46" s="222"/>
      <c r="CN46" s="221"/>
      <c r="CO46" s="221"/>
      <c r="CP46" s="221"/>
      <c r="CQ46" s="221"/>
      <c r="CR46" s="221"/>
      <c r="CS46" s="221"/>
      <c r="CT46" s="223"/>
      <c r="CU46" s="555"/>
      <c r="CV46" s="556"/>
      <c r="CW46" s="556"/>
      <c r="CX46" s="556"/>
      <c r="CY46" s="556"/>
      <c r="CZ46" s="556"/>
      <c r="DA46" s="556"/>
      <c r="DB46" s="557"/>
      <c r="DC46" s="555"/>
      <c r="DD46" s="556"/>
      <c r="DE46" s="556"/>
      <c r="DF46" s="556"/>
      <c r="DG46" s="556"/>
      <c r="DH46" s="556"/>
      <c r="DI46" s="556"/>
      <c r="DJ46" s="558"/>
      <c r="DL46" s="559"/>
      <c r="DM46" s="560"/>
      <c r="DN46" s="561"/>
      <c r="DO46" s="559"/>
      <c r="DP46" s="560"/>
      <c r="DQ46" s="561"/>
      <c r="DR46" s="118"/>
      <c r="DS46" s="118"/>
      <c r="DT46" s="118"/>
      <c r="DU46" s="194"/>
    </row>
    <row r="47" spans="1:125" s="228" customFormat="1" ht="15" customHeight="1">
      <c r="A47" s="227"/>
      <c r="B47" s="241"/>
      <c r="C47" s="242"/>
      <c r="D47" s="243"/>
      <c r="E47" s="222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2"/>
      <c r="AD47" s="221"/>
      <c r="AE47" s="221"/>
      <c r="AF47" s="221"/>
      <c r="AG47" s="221"/>
      <c r="AH47" s="223"/>
      <c r="AI47" s="222"/>
      <c r="AJ47" s="221"/>
      <c r="AK47" s="221"/>
      <c r="AL47" s="221"/>
      <c r="AM47" s="221"/>
      <c r="AN47" s="221"/>
      <c r="AO47" s="221"/>
      <c r="AP47" s="223"/>
      <c r="AQ47" s="222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1"/>
      <c r="CA47" s="221"/>
      <c r="CB47" s="221"/>
      <c r="CC47" s="221"/>
      <c r="CD47" s="221"/>
      <c r="CE47" s="221"/>
      <c r="CF47" s="221"/>
      <c r="CG47" s="221"/>
      <c r="CH47" s="221"/>
      <c r="CI47" s="221"/>
      <c r="CJ47" s="221"/>
      <c r="CK47" s="221"/>
      <c r="CL47" s="223"/>
      <c r="CM47" s="222"/>
      <c r="CN47" s="221"/>
      <c r="CO47" s="221"/>
      <c r="CP47" s="221"/>
      <c r="CQ47" s="221"/>
      <c r="CR47" s="221"/>
      <c r="CS47" s="221"/>
      <c r="CT47" s="223"/>
      <c r="CU47" s="555"/>
      <c r="CV47" s="556"/>
      <c r="CW47" s="556"/>
      <c r="CX47" s="556"/>
      <c r="CY47" s="556"/>
      <c r="CZ47" s="556"/>
      <c r="DA47" s="556"/>
      <c r="DB47" s="557"/>
      <c r="DC47" s="555"/>
      <c r="DD47" s="556"/>
      <c r="DE47" s="556"/>
      <c r="DF47" s="556"/>
      <c r="DG47" s="556"/>
      <c r="DH47" s="556"/>
      <c r="DI47" s="556"/>
      <c r="DJ47" s="558"/>
      <c r="DL47" s="559"/>
      <c r="DM47" s="560"/>
      <c r="DN47" s="561"/>
      <c r="DO47" s="559"/>
      <c r="DP47" s="560"/>
      <c r="DQ47" s="561"/>
      <c r="DR47" s="118"/>
      <c r="DS47" s="118"/>
      <c r="DT47" s="118"/>
      <c r="DU47" s="194"/>
    </row>
    <row r="48" spans="1:125" s="228" customFormat="1" ht="15" customHeight="1">
      <c r="A48" s="227"/>
      <c r="B48" s="241"/>
      <c r="C48" s="242"/>
      <c r="D48" s="243"/>
      <c r="E48" s="222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2"/>
      <c r="AD48" s="221"/>
      <c r="AE48" s="221"/>
      <c r="AF48" s="221"/>
      <c r="AG48" s="221"/>
      <c r="AH48" s="223"/>
      <c r="AI48" s="222"/>
      <c r="AJ48" s="221"/>
      <c r="AK48" s="221"/>
      <c r="AL48" s="221"/>
      <c r="AM48" s="221"/>
      <c r="AN48" s="221"/>
      <c r="AO48" s="221"/>
      <c r="AP48" s="223"/>
      <c r="AQ48" s="222"/>
      <c r="AR48" s="221"/>
      <c r="AS48" s="221"/>
      <c r="AT48" s="221"/>
      <c r="AU48" s="221"/>
      <c r="AV48" s="221"/>
      <c r="AW48" s="221"/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1"/>
      <c r="CA48" s="221"/>
      <c r="CB48" s="221"/>
      <c r="CC48" s="221"/>
      <c r="CD48" s="221"/>
      <c r="CE48" s="221"/>
      <c r="CF48" s="221"/>
      <c r="CG48" s="221"/>
      <c r="CH48" s="221"/>
      <c r="CI48" s="221"/>
      <c r="CJ48" s="221"/>
      <c r="CK48" s="221"/>
      <c r="CL48" s="223"/>
      <c r="CM48" s="222"/>
      <c r="CN48" s="221"/>
      <c r="CO48" s="221"/>
      <c r="CP48" s="221"/>
      <c r="CQ48" s="221"/>
      <c r="CR48" s="221"/>
      <c r="CS48" s="221"/>
      <c r="CT48" s="223"/>
      <c r="CU48" s="555"/>
      <c r="CV48" s="556"/>
      <c r="CW48" s="556"/>
      <c r="CX48" s="556"/>
      <c r="CY48" s="556"/>
      <c r="CZ48" s="556"/>
      <c r="DA48" s="556"/>
      <c r="DB48" s="557"/>
      <c r="DC48" s="555"/>
      <c r="DD48" s="556"/>
      <c r="DE48" s="556"/>
      <c r="DF48" s="556"/>
      <c r="DG48" s="556"/>
      <c r="DH48" s="556"/>
      <c r="DI48" s="556"/>
      <c r="DJ48" s="558"/>
      <c r="DL48" s="559"/>
      <c r="DM48" s="560"/>
      <c r="DN48" s="561"/>
      <c r="DO48" s="559"/>
      <c r="DP48" s="560"/>
      <c r="DQ48" s="561"/>
      <c r="DR48" s="118"/>
      <c r="DS48" s="118"/>
      <c r="DT48" s="118"/>
      <c r="DU48" s="194"/>
    </row>
    <row r="49" spans="1:125" s="228" customFormat="1" ht="15" customHeight="1">
      <c r="A49" s="227"/>
      <c r="B49" s="241"/>
      <c r="C49" s="242"/>
      <c r="D49" s="243"/>
      <c r="E49" s="222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2"/>
      <c r="AD49" s="221"/>
      <c r="AE49" s="221"/>
      <c r="AF49" s="221"/>
      <c r="AG49" s="221"/>
      <c r="AH49" s="223"/>
      <c r="AI49" s="222"/>
      <c r="AJ49" s="221"/>
      <c r="AK49" s="221"/>
      <c r="AL49" s="221"/>
      <c r="AM49" s="221"/>
      <c r="AN49" s="221"/>
      <c r="AO49" s="221"/>
      <c r="AP49" s="223"/>
      <c r="AQ49" s="222"/>
      <c r="AR49" s="221"/>
      <c r="AS49" s="221"/>
      <c r="AT49" s="221"/>
      <c r="AU49" s="221"/>
      <c r="AV49" s="221"/>
      <c r="AW49" s="221"/>
      <c r="AX49" s="221"/>
      <c r="AY49" s="221"/>
      <c r="AZ49" s="221"/>
      <c r="BA49" s="221"/>
      <c r="BB49" s="221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1"/>
      <c r="CA49" s="221"/>
      <c r="CB49" s="221"/>
      <c r="CC49" s="221"/>
      <c r="CD49" s="221"/>
      <c r="CE49" s="221"/>
      <c r="CF49" s="221"/>
      <c r="CG49" s="221"/>
      <c r="CH49" s="221"/>
      <c r="CI49" s="221"/>
      <c r="CJ49" s="221"/>
      <c r="CK49" s="221"/>
      <c r="CL49" s="223"/>
      <c r="CM49" s="222"/>
      <c r="CN49" s="221"/>
      <c r="CO49" s="221"/>
      <c r="CP49" s="221"/>
      <c r="CQ49" s="221"/>
      <c r="CR49" s="221"/>
      <c r="CS49" s="221"/>
      <c r="CT49" s="223"/>
      <c r="CU49" s="555"/>
      <c r="CV49" s="556"/>
      <c r="CW49" s="556"/>
      <c r="CX49" s="556"/>
      <c r="CY49" s="556"/>
      <c r="CZ49" s="556"/>
      <c r="DA49" s="556"/>
      <c r="DB49" s="557"/>
      <c r="DC49" s="555"/>
      <c r="DD49" s="556"/>
      <c r="DE49" s="556"/>
      <c r="DF49" s="556"/>
      <c r="DG49" s="556"/>
      <c r="DH49" s="556"/>
      <c r="DI49" s="556"/>
      <c r="DJ49" s="558"/>
      <c r="DL49" s="559"/>
      <c r="DM49" s="560"/>
      <c r="DN49" s="561"/>
      <c r="DO49" s="559"/>
      <c r="DP49" s="560"/>
      <c r="DQ49" s="561"/>
      <c r="DR49" s="118"/>
      <c r="DS49" s="118"/>
      <c r="DT49" s="118"/>
      <c r="DU49" s="194"/>
    </row>
    <row r="50" spans="1:125" s="228" customFormat="1" ht="15" customHeight="1">
      <c r="A50" s="227"/>
      <c r="B50" s="241"/>
      <c r="C50" s="242"/>
      <c r="D50" s="243"/>
      <c r="E50" s="222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2"/>
      <c r="AD50" s="221"/>
      <c r="AE50" s="221"/>
      <c r="AF50" s="221"/>
      <c r="AG50" s="221"/>
      <c r="AH50" s="223"/>
      <c r="AI50" s="222"/>
      <c r="AJ50" s="221"/>
      <c r="AK50" s="221"/>
      <c r="AL50" s="221"/>
      <c r="AM50" s="221"/>
      <c r="AN50" s="221"/>
      <c r="AO50" s="221"/>
      <c r="AP50" s="223"/>
      <c r="AQ50" s="222"/>
      <c r="AR50" s="221"/>
      <c r="AS50" s="221"/>
      <c r="AT50" s="221"/>
      <c r="AU50" s="221"/>
      <c r="AV50" s="221"/>
      <c r="AW50" s="221"/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1"/>
      <c r="CA50" s="221"/>
      <c r="CB50" s="221"/>
      <c r="CC50" s="221"/>
      <c r="CD50" s="221"/>
      <c r="CE50" s="221"/>
      <c r="CF50" s="221"/>
      <c r="CG50" s="221"/>
      <c r="CH50" s="221"/>
      <c r="CI50" s="221"/>
      <c r="CJ50" s="221"/>
      <c r="CK50" s="221"/>
      <c r="CL50" s="223"/>
      <c r="CM50" s="222"/>
      <c r="CN50" s="221"/>
      <c r="CO50" s="221"/>
      <c r="CP50" s="221"/>
      <c r="CQ50" s="221"/>
      <c r="CR50" s="221"/>
      <c r="CS50" s="221"/>
      <c r="CT50" s="223"/>
      <c r="CU50" s="555"/>
      <c r="CV50" s="556"/>
      <c r="CW50" s="556"/>
      <c r="CX50" s="556"/>
      <c r="CY50" s="556"/>
      <c r="CZ50" s="556"/>
      <c r="DA50" s="556"/>
      <c r="DB50" s="557"/>
      <c r="DC50" s="555"/>
      <c r="DD50" s="556"/>
      <c r="DE50" s="556"/>
      <c r="DF50" s="556"/>
      <c r="DG50" s="556"/>
      <c r="DH50" s="556"/>
      <c r="DI50" s="556"/>
      <c r="DJ50" s="558"/>
      <c r="DL50" s="559"/>
      <c r="DM50" s="560"/>
      <c r="DN50" s="561"/>
      <c r="DO50" s="559"/>
      <c r="DP50" s="560"/>
      <c r="DQ50" s="561"/>
      <c r="DR50" s="118"/>
      <c r="DS50" s="118"/>
      <c r="DT50" s="118"/>
      <c r="DU50" s="194"/>
    </row>
    <row r="51" spans="1:125" s="228" customFormat="1" ht="15" customHeight="1">
      <c r="A51" s="227"/>
      <c r="B51" s="241"/>
      <c r="C51" s="242"/>
      <c r="D51" s="243"/>
      <c r="E51" s="222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2"/>
      <c r="AD51" s="221"/>
      <c r="AE51" s="221"/>
      <c r="AF51" s="221"/>
      <c r="AG51" s="221"/>
      <c r="AH51" s="223"/>
      <c r="AI51" s="222"/>
      <c r="AJ51" s="221"/>
      <c r="AK51" s="221"/>
      <c r="AL51" s="221"/>
      <c r="AM51" s="221"/>
      <c r="AN51" s="221"/>
      <c r="AO51" s="221"/>
      <c r="AP51" s="223"/>
      <c r="AQ51" s="222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1"/>
      <c r="CA51" s="221"/>
      <c r="CB51" s="221"/>
      <c r="CC51" s="221"/>
      <c r="CD51" s="221"/>
      <c r="CE51" s="221"/>
      <c r="CF51" s="221"/>
      <c r="CG51" s="221"/>
      <c r="CH51" s="221"/>
      <c r="CI51" s="221"/>
      <c r="CJ51" s="221"/>
      <c r="CK51" s="221"/>
      <c r="CL51" s="223"/>
      <c r="CM51" s="222"/>
      <c r="CN51" s="221"/>
      <c r="CO51" s="221"/>
      <c r="CP51" s="221"/>
      <c r="CQ51" s="221"/>
      <c r="CR51" s="240"/>
      <c r="CS51" s="221"/>
      <c r="CT51" s="223"/>
      <c r="CU51" s="555"/>
      <c r="CV51" s="556"/>
      <c r="CW51" s="556"/>
      <c r="CX51" s="556"/>
      <c r="CY51" s="556"/>
      <c r="CZ51" s="556"/>
      <c r="DA51" s="556"/>
      <c r="DB51" s="557"/>
      <c r="DC51" s="555"/>
      <c r="DD51" s="556"/>
      <c r="DE51" s="556"/>
      <c r="DF51" s="556"/>
      <c r="DG51" s="556"/>
      <c r="DH51" s="556"/>
      <c r="DI51" s="556"/>
      <c r="DJ51" s="558"/>
      <c r="DL51" s="559"/>
      <c r="DM51" s="560"/>
      <c r="DN51" s="561"/>
      <c r="DO51" s="559"/>
      <c r="DP51" s="560"/>
      <c r="DQ51" s="561"/>
      <c r="DR51" s="118"/>
      <c r="DS51" s="118"/>
      <c r="DT51" s="118"/>
      <c r="DU51" s="194"/>
    </row>
    <row r="52" spans="1:125" s="228" customFormat="1" ht="15" customHeight="1">
      <c r="A52" s="227"/>
      <c r="B52" s="241"/>
      <c r="C52" s="242"/>
      <c r="D52" s="243"/>
      <c r="E52" s="222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2"/>
      <c r="AD52" s="221"/>
      <c r="AE52" s="221"/>
      <c r="AF52" s="221"/>
      <c r="AG52" s="221"/>
      <c r="AH52" s="223"/>
      <c r="AI52" s="222"/>
      <c r="AJ52" s="221"/>
      <c r="AK52" s="221"/>
      <c r="AL52" s="221"/>
      <c r="AM52" s="221"/>
      <c r="AN52" s="221"/>
      <c r="AO52" s="221"/>
      <c r="AP52" s="223"/>
      <c r="AQ52" s="222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223"/>
      <c r="CM52" s="222"/>
      <c r="CN52" s="221"/>
      <c r="CO52" s="221"/>
      <c r="CP52" s="221"/>
      <c r="CQ52" s="221"/>
      <c r="CR52" s="240"/>
      <c r="CS52" s="221"/>
      <c r="CT52" s="223"/>
      <c r="CU52" s="555"/>
      <c r="CV52" s="556"/>
      <c r="CW52" s="556"/>
      <c r="CX52" s="556"/>
      <c r="CY52" s="556"/>
      <c r="CZ52" s="556"/>
      <c r="DA52" s="556"/>
      <c r="DB52" s="557"/>
      <c r="DC52" s="555"/>
      <c r="DD52" s="556"/>
      <c r="DE52" s="556"/>
      <c r="DF52" s="556"/>
      <c r="DG52" s="556"/>
      <c r="DH52" s="556"/>
      <c r="DI52" s="556"/>
      <c r="DJ52" s="558"/>
      <c r="DL52" s="559"/>
      <c r="DM52" s="560"/>
      <c r="DN52" s="561"/>
      <c r="DO52" s="559"/>
      <c r="DP52" s="560"/>
      <c r="DQ52" s="561"/>
      <c r="DR52" s="118"/>
      <c r="DS52" s="118"/>
      <c r="DT52" s="118"/>
      <c r="DU52" s="194"/>
    </row>
    <row r="53" spans="1:125" s="228" customFormat="1" ht="15" customHeight="1">
      <c r="A53" s="227"/>
      <c r="B53" s="241"/>
      <c r="C53" s="242"/>
      <c r="D53" s="243"/>
      <c r="E53" s="222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2"/>
      <c r="AD53" s="221"/>
      <c r="AE53" s="221"/>
      <c r="AF53" s="221"/>
      <c r="AG53" s="221"/>
      <c r="AH53" s="223"/>
      <c r="AI53" s="222"/>
      <c r="AJ53" s="221"/>
      <c r="AK53" s="221"/>
      <c r="AL53" s="221"/>
      <c r="AM53" s="221"/>
      <c r="AN53" s="221"/>
      <c r="AO53" s="221"/>
      <c r="AP53" s="223"/>
      <c r="AQ53" s="222"/>
      <c r="AR53" s="221"/>
      <c r="AS53" s="221"/>
      <c r="AT53" s="221"/>
      <c r="AU53" s="221"/>
      <c r="AV53" s="221"/>
      <c r="AW53" s="221"/>
      <c r="AX53" s="221"/>
      <c r="AY53" s="221"/>
      <c r="AZ53" s="221"/>
      <c r="BA53" s="221"/>
      <c r="BB53" s="221"/>
      <c r="BC53" s="221"/>
      <c r="BD53" s="221"/>
      <c r="BE53" s="221"/>
      <c r="BF53" s="221"/>
      <c r="BG53" s="221"/>
      <c r="BH53" s="221"/>
      <c r="BI53" s="221"/>
      <c r="BJ53" s="221"/>
      <c r="BK53" s="221"/>
      <c r="BL53" s="221"/>
      <c r="BM53" s="221"/>
      <c r="BN53" s="221"/>
      <c r="BO53" s="221"/>
      <c r="BP53" s="221"/>
      <c r="BQ53" s="221"/>
      <c r="BR53" s="221"/>
      <c r="BS53" s="221"/>
      <c r="BT53" s="221"/>
      <c r="BU53" s="221"/>
      <c r="BV53" s="221"/>
      <c r="BW53" s="221"/>
      <c r="BX53" s="221"/>
      <c r="BY53" s="221"/>
      <c r="BZ53" s="221"/>
      <c r="CA53" s="221"/>
      <c r="CB53" s="221"/>
      <c r="CC53" s="221"/>
      <c r="CD53" s="221"/>
      <c r="CE53" s="221"/>
      <c r="CF53" s="221"/>
      <c r="CG53" s="221"/>
      <c r="CH53" s="221"/>
      <c r="CI53" s="221"/>
      <c r="CJ53" s="221"/>
      <c r="CK53" s="221"/>
      <c r="CL53" s="223"/>
      <c r="CM53" s="222"/>
      <c r="CN53" s="221"/>
      <c r="CO53" s="221"/>
      <c r="CP53" s="221"/>
      <c r="CQ53" s="221"/>
      <c r="CR53" s="221"/>
      <c r="CS53" s="221"/>
      <c r="CT53" s="223"/>
      <c r="CU53" s="555"/>
      <c r="CV53" s="556"/>
      <c r="CW53" s="556"/>
      <c r="CX53" s="556"/>
      <c r="CY53" s="556"/>
      <c r="CZ53" s="556"/>
      <c r="DA53" s="556"/>
      <c r="DB53" s="557"/>
      <c r="DC53" s="555"/>
      <c r="DD53" s="556"/>
      <c r="DE53" s="556"/>
      <c r="DF53" s="556"/>
      <c r="DG53" s="556"/>
      <c r="DH53" s="556"/>
      <c r="DI53" s="556"/>
      <c r="DJ53" s="558"/>
      <c r="DL53" s="559"/>
      <c r="DM53" s="560"/>
      <c r="DN53" s="561"/>
      <c r="DO53" s="559"/>
      <c r="DP53" s="560"/>
      <c r="DQ53" s="561"/>
      <c r="DR53" s="118"/>
      <c r="DS53" s="118"/>
      <c r="DT53" s="118"/>
      <c r="DU53" s="194"/>
    </row>
    <row r="54" spans="1:125" s="251" customFormat="1" ht="15" customHeight="1">
      <c r="A54" s="248"/>
      <c r="B54" s="241"/>
      <c r="C54" s="242"/>
      <c r="D54" s="243"/>
      <c r="E54" s="222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49"/>
      <c r="V54" s="249"/>
      <c r="W54" s="221"/>
      <c r="X54" s="221"/>
      <c r="Y54" s="221"/>
      <c r="Z54" s="221"/>
      <c r="AA54" s="221"/>
      <c r="AB54" s="221"/>
      <c r="AC54" s="222"/>
      <c r="AD54" s="221"/>
      <c r="AE54" s="221"/>
      <c r="AF54" s="221"/>
      <c r="AG54" s="221"/>
      <c r="AH54" s="223"/>
      <c r="AI54" s="222"/>
      <c r="AJ54" s="221"/>
      <c r="AK54" s="221"/>
      <c r="AL54" s="221"/>
      <c r="AM54" s="221"/>
      <c r="AN54" s="221"/>
      <c r="AO54" s="221"/>
      <c r="AP54" s="223"/>
      <c r="AQ54" s="222"/>
      <c r="AR54" s="249"/>
      <c r="AS54" s="249"/>
      <c r="AT54" s="249"/>
      <c r="AU54" s="249"/>
      <c r="AV54" s="221"/>
      <c r="AW54" s="221"/>
      <c r="AX54" s="221"/>
      <c r="AY54" s="221"/>
      <c r="AZ54" s="221"/>
      <c r="BA54" s="221"/>
      <c r="BB54" s="221"/>
      <c r="BC54" s="221"/>
      <c r="BD54" s="221"/>
      <c r="BE54" s="221"/>
      <c r="BF54" s="221"/>
      <c r="BG54" s="221"/>
      <c r="BH54" s="221"/>
      <c r="BI54" s="221"/>
      <c r="BJ54" s="221"/>
      <c r="BK54" s="221"/>
      <c r="BL54" s="221"/>
      <c r="BM54" s="221"/>
      <c r="BN54" s="221"/>
      <c r="BO54" s="221"/>
      <c r="BP54" s="221"/>
      <c r="BQ54" s="221"/>
      <c r="BR54" s="221"/>
      <c r="BS54" s="221"/>
      <c r="BT54" s="221"/>
      <c r="BU54" s="221"/>
      <c r="BV54" s="221"/>
      <c r="BW54" s="221"/>
      <c r="BX54" s="221"/>
      <c r="BY54" s="221"/>
      <c r="BZ54" s="221"/>
      <c r="CA54" s="221"/>
      <c r="CB54" s="221"/>
      <c r="CC54" s="221"/>
      <c r="CD54" s="221"/>
      <c r="CE54" s="221"/>
      <c r="CF54" s="221"/>
      <c r="CG54" s="221"/>
      <c r="CH54" s="221"/>
      <c r="CI54" s="221"/>
      <c r="CJ54" s="221"/>
      <c r="CK54" s="221"/>
      <c r="CL54" s="250"/>
      <c r="CM54" s="222"/>
      <c r="CN54" s="221"/>
      <c r="CO54" s="221"/>
      <c r="CP54" s="221"/>
      <c r="CQ54" s="221"/>
      <c r="CR54" s="221"/>
      <c r="CS54" s="221"/>
      <c r="CT54" s="223"/>
      <c r="CU54" s="555"/>
      <c r="CV54" s="556"/>
      <c r="CW54" s="556"/>
      <c r="CX54" s="556"/>
      <c r="CY54" s="556"/>
      <c r="CZ54" s="556"/>
      <c r="DA54" s="556"/>
      <c r="DB54" s="557"/>
      <c r="DC54" s="555"/>
      <c r="DD54" s="556"/>
      <c r="DE54" s="556"/>
      <c r="DF54" s="556"/>
      <c r="DG54" s="556"/>
      <c r="DH54" s="556"/>
      <c r="DI54" s="556"/>
      <c r="DJ54" s="558"/>
      <c r="DL54" s="559"/>
      <c r="DM54" s="560"/>
      <c r="DN54" s="561"/>
      <c r="DO54" s="559"/>
      <c r="DP54" s="560"/>
      <c r="DQ54" s="561"/>
      <c r="DR54" s="118"/>
      <c r="DS54" s="118"/>
      <c r="DT54" s="118"/>
      <c r="DU54" s="194"/>
    </row>
    <row r="55" spans="1:125" s="193" customFormat="1" ht="15" customHeight="1">
      <c r="A55" s="195"/>
      <c r="B55" s="241"/>
      <c r="C55" s="242"/>
      <c r="D55" s="243"/>
      <c r="E55" s="222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22"/>
      <c r="AD55" s="221"/>
      <c r="AE55" s="221"/>
      <c r="AF55" s="221"/>
      <c r="AG55" s="221"/>
      <c r="AH55" s="223"/>
      <c r="AI55" s="222"/>
      <c r="AJ55" s="221"/>
      <c r="AK55" s="221"/>
      <c r="AL55" s="221"/>
      <c r="AM55" s="221"/>
      <c r="AN55" s="221"/>
      <c r="AO55" s="221"/>
      <c r="AP55" s="223"/>
      <c r="AQ55" s="222"/>
      <c r="AR55" s="221"/>
      <c r="AS55" s="221"/>
      <c r="AT55" s="221"/>
      <c r="AU55" s="221"/>
      <c r="AV55" s="221"/>
      <c r="AW55" s="221"/>
      <c r="AX55" s="221"/>
      <c r="AY55" s="221"/>
      <c r="AZ55" s="221"/>
      <c r="BA55" s="221"/>
      <c r="BB55" s="221"/>
      <c r="BC55" s="221"/>
      <c r="BD55" s="221"/>
      <c r="BE55" s="221"/>
      <c r="BF55" s="221"/>
      <c r="BG55" s="221"/>
      <c r="BH55" s="221"/>
      <c r="BI55" s="221"/>
      <c r="BJ55" s="221"/>
      <c r="BK55" s="221"/>
      <c r="BL55" s="221"/>
      <c r="BM55" s="221"/>
      <c r="BN55" s="221"/>
      <c r="BO55" s="221"/>
      <c r="BP55" s="221"/>
      <c r="BQ55" s="221"/>
      <c r="BR55" s="221"/>
      <c r="BS55" s="221"/>
      <c r="BT55" s="221"/>
      <c r="BU55" s="221"/>
      <c r="BV55" s="221"/>
      <c r="BW55" s="221"/>
      <c r="BX55" s="221"/>
      <c r="BY55" s="221"/>
      <c r="BZ55" s="221"/>
      <c r="CA55" s="221"/>
      <c r="CB55" s="221"/>
      <c r="CC55" s="221"/>
      <c r="CD55" s="221"/>
      <c r="CE55" s="221"/>
      <c r="CF55" s="221"/>
      <c r="CG55" s="221"/>
      <c r="CH55" s="221"/>
      <c r="CI55" s="221"/>
      <c r="CJ55" s="221"/>
      <c r="CK55" s="221"/>
      <c r="CL55" s="223"/>
      <c r="CM55" s="222"/>
      <c r="CN55" s="221"/>
      <c r="CO55" s="221"/>
      <c r="CP55" s="221"/>
      <c r="CQ55" s="221"/>
      <c r="CR55" s="221"/>
      <c r="CS55" s="221"/>
      <c r="CT55" s="223"/>
      <c r="CU55" s="555"/>
      <c r="CV55" s="556"/>
      <c r="CW55" s="556"/>
      <c r="CX55" s="556"/>
      <c r="CY55" s="556"/>
      <c r="CZ55" s="556"/>
      <c r="DA55" s="556"/>
      <c r="DB55" s="557"/>
      <c r="DC55" s="555"/>
      <c r="DD55" s="556"/>
      <c r="DE55" s="556"/>
      <c r="DF55" s="556"/>
      <c r="DG55" s="556"/>
      <c r="DH55" s="556"/>
      <c r="DI55" s="556"/>
      <c r="DJ55" s="558"/>
      <c r="DL55" s="559"/>
      <c r="DM55" s="560"/>
      <c r="DN55" s="561"/>
      <c r="DO55" s="559"/>
      <c r="DP55" s="560"/>
      <c r="DQ55" s="561"/>
      <c r="DR55" s="118"/>
      <c r="DS55" s="118"/>
      <c r="DT55" s="118"/>
      <c r="DU55" s="194"/>
    </row>
    <row r="56" spans="1:125" s="193" customFormat="1" ht="15" customHeight="1" thickBot="1">
      <c r="A56" s="195"/>
      <c r="B56" s="252"/>
      <c r="C56" s="253"/>
      <c r="D56" s="254"/>
      <c r="E56" s="255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5"/>
      <c r="AD56" s="256"/>
      <c r="AE56" s="256"/>
      <c r="AF56" s="256"/>
      <c r="AG56" s="256"/>
      <c r="AH56" s="257"/>
      <c r="AI56" s="255"/>
      <c r="AJ56" s="256"/>
      <c r="AK56" s="256"/>
      <c r="AL56" s="256"/>
      <c r="AM56" s="256"/>
      <c r="AN56" s="256"/>
      <c r="AO56" s="256"/>
      <c r="AP56" s="257"/>
      <c r="AQ56" s="255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6"/>
      <c r="BQ56" s="256"/>
      <c r="BR56" s="256"/>
      <c r="BS56" s="256"/>
      <c r="BT56" s="256"/>
      <c r="BU56" s="256"/>
      <c r="BV56" s="256"/>
      <c r="BW56" s="256"/>
      <c r="BX56" s="256"/>
      <c r="BY56" s="256"/>
      <c r="BZ56" s="256"/>
      <c r="CA56" s="256"/>
      <c r="CB56" s="256"/>
      <c r="CC56" s="256"/>
      <c r="CD56" s="256"/>
      <c r="CE56" s="256"/>
      <c r="CF56" s="256"/>
      <c r="CG56" s="256"/>
      <c r="CH56" s="256"/>
      <c r="CI56" s="256"/>
      <c r="CJ56" s="256"/>
      <c r="CK56" s="256"/>
      <c r="CL56" s="257"/>
      <c r="CM56" s="255"/>
      <c r="CN56" s="256"/>
      <c r="CO56" s="256"/>
      <c r="CP56" s="256"/>
      <c r="CQ56" s="256"/>
      <c r="CR56" s="256"/>
      <c r="CS56" s="256"/>
      <c r="CT56" s="257"/>
      <c r="CU56" s="605"/>
      <c r="CV56" s="606"/>
      <c r="CW56" s="606"/>
      <c r="CX56" s="606"/>
      <c r="CY56" s="606"/>
      <c r="CZ56" s="606"/>
      <c r="DA56" s="606"/>
      <c r="DB56" s="607"/>
      <c r="DC56" s="605"/>
      <c r="DD56" s="606"/>
      <c r="DE56" s="606"/>
      <c r="DF56" s="606"/>
      <c r="DG56" s="606"/>
      <c r="DH56" s="606"/>
      <c r="DI56" s="606"/>
      <c r="DJ56" s="608"/>
      <c r="DL56" s="609"/>
      <c r="DM56" s="610"/>
      <c r="DN56" s="611"/>
      <c r="DO56" s="609"/>
      <c r="DP56" s="610"/>
      <c r="DQ56" s="611"/>
      <c r="DR56" s="118"/>
      <c r="DS56" s="118"/>
      <c r="DT56" s="118"/>
      <c r="DU56" s="194"/>
    </row>
    <row r="57" spans="1:125" ht="15" customHeight="1" thickBot="1">
      <c r="A57" s="258"/>
      <c r="B57" s="259"/>
      <c r="C57" s="259"/>
      <c r="D57" s="259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  <c r="AW57" s="260"/>
      <c r="AX57" s="260"/>
      <c r="AY57" s="260"/>
      <c r="AZ57" s="260"/>
      <c r="BA57" s="260"/>
      <c r="BB57" s="260"/>
      <c r="BC57" s="260"/>
      <c r="BD57" s="260"/>
      <c r="BE57" s="260"/>
      <c r="BF57" s="260"/>
      <c r="BG57" s="260"/>
      <c r="BH57" s="260"/>
      <c r="BI57" s="260"/>
      <c r="BJ57" s="260"/>
      <c r="BK57" s="260"/>
      <c r="BL57" s="260"/>
      <c r="BM57" s="260"/>
      <c r="BN57" s="260"/>
      <c r="BO57" s="260"/>
      <c r="BP57" s="260"/>
      <c r="BQ57" s="260"/>
      <c r="BR57" s="260"/>
      <c r="BS57" s="260"/>
      <c r="BT57" s="260"/>
      <c r="BU57" s="260"/>
      <c r="BV57" s="260"/>
      <c r="BW57" s="260"/>
      <c r="BX57" s="260"/>
      <c r="BY57" s="260"/>
      <c r="BZ57" s="260"/>
      <c r="CA57" s="260"/>
      <c r="CB57" s="260"/>
      <c r="CC57" s="260"/>
      <c r="CD57" s="260"/>
      <c r="CE57" s="260"/>
      <c r="CF57" s="260"/>
      <c r="CG57" s="260"/>
      <c r="CH57" s="260"/>
      <c r="CI57" s="260"/>
      <c r="CJ57" s="260"/>
      <c r="CK57" s="260"/>
      <c r="CL57" s="260"/>
      <c r="CM57" s="260"/>
      <c r="CN57" s="260"/>
      <c r="CO57" s="260"/>
      <c r="CP57" s="260"/>
      <c r="CQ57" s="260"/>
      <c r="CR57" s="260"/>
      <c r="CS57" s="260"/>
      <c r="CT57" s="260"/>
      <c r="CU57" s="260"/>
      <c r="CV57" s="260"/>
      <c r="CW57" s="260"/>
      <c r="CX57" s="260"/>
      <c r="CY57" s="260"/>
      <c r="CZ57" s="260"/>
      <c r="DA57" s="260"/>
      <c r="DB57" s="260"/>
      <c r="DC57" s="260"/>
      <c r="DD57" s="260"/>
      <c r="DE57" s="260"/>
      <c r="DF57" s="260"/>
      <c r="DG57" s="260"/>
      <c r="DH57" s="260"/>
      <c r="DI57" s="260"/>
      <c r="DJ57" s="260"/>
      <c r="DK57" s="260"/>
      <c r="DL57" s="260"/>
      <c r="DM57" s="260"/>
      <c r="DN57" s="260"/>
      <c r="DO57" s="260"/>
      <c r="DP57" s="260"/>
      <c r="DQ57" s="260"/>
      <c r="DR57" s="260"/>
      <c r="DS57" s="260"/>
      <c r="DT57" s="260"/>
      <c r="DU57" s="261"/>
    </row>
  </sheetData>
  <mergeCells count="198">
    <mergeCell ref="CU56:DB56"/>
    <mergeCell ref="DC56:DJ56"/>
    <mergeCell ref="DL56:DN56"/>
    <mergeCell ref="DO56:DQ56"/>
    <mergeCell ref="CU54:DB54"/>
    <mergeCell ref="DC54:DJ54"/>
    <mergeCell ref="DL54:DN54"/>
    <mergeCell ref="DO54:DQ54"/>
    <mergeCell ref="CU55:DB55"/>
    <mergeCell ref="DC55:DJ55"/>
    <mergeCell ref="DL55:DN55"/>
    <mergeCell ref="DO55:DQ55"/>
    <mergeCell ref="CU52:DB52"/>
    <mergeCell ref="DC52:DJ52"/>
    <mergeCell ref="DL52:DN52"/>
    <mergeCell ref="DO52:DQ52"/>
    <mergeCell ref="CU53:DB53"/>
    <mergeCell ref="DC53:DJ53"/>
    <mergeCell ref="DL53:DN53"/>
    <mergeCell ref="DO53:DQ53"/>
    <mergeCell ref="CU50:DB50"/>
    <mergeCell ref="DC50:DJ50"/>
    <mergeCell ref="DL50:DN50"/>
    <mergeCell ref="DO50:DQ50"/>
    <mergeCell ref="CU51:DB51"/>
    <mergeCell ref="DC51:DJ51"/>
    <mergeCell ref="DL51:DN51"/>
    <mergeCell ref="DO51:DQ51"/>
    <mergeCell ref="CU48:DB48"/>
    <mergeCell ref="DC48:DJ48"/>
    <mergeCell ref="DL48:DN48"/>
    <mergeCell ref="DO48:DQ48"/>
    <mergeCell ref="CU49:DB49"/>
    <mergeCell ref="DC49:DJ49"/>
    <mergeCell ref="DL49:DN49"/>
    <mergeCell ref="DO49:DQ49"/>
    <mergeCell ref="CU46:DB46"/>
    <mergeCell ref="DC46:DJ46"/>
    <mergeCell ref="DL46:DN46"/>
    <mergeCell ref="DO46:DQ46"/>
    <mergeCell ref="CU47:DB47"/>
    <mergeCell ref="DC47:DJ47"/>
    <mergeCell ref="DL47:DN47"/>
    <mergeCell ref="DO47:DQ47"/>
    <mergeCell ref="CU44:DB44"/>
    <mergeCell ref="DC44:DJ44"/>
    <mergeCell ref="DL44:DN44"/>
    <mergeCell ref="DO44:DQ44"/>
    <mergeCell ref="CU45:DB45"/>
    <mergeCell ref="DC45:DJ45"/>
    <mergeCell ref="DL45:DN45"/>
    <mergeCell ref="DO45:DQ45"/>
    <mergeCell ref="CU42:DB42"/>
    <mergeCell ref="DC42:DJ42"/>
    <mergeCell ref="DL42:DN42"/>
    <mergeCell ref="DO42:DQ42"/>
    <mergeCell ref="CU43:DB43"/>
    <mergeCell ref="DC43:DJ43"/>
    <mergeCell ref="DL43:DN43"/>
    <mergeCell ref="DO43:DQ43"/>
    <mergeCell ref="CU40:DB40"/>
    <mergeCell ref="DC40:DJ40"/>
    <mergeCell ref="DL40:DN40"/>
    <mergeCell ref="DO40:DQ40"/>
    <mergeCell ref="CU41:DB41"/>
    <mergeCell ref="DC41:DJ41"/>
    <mergeCell ref="DL41:DN41"/>
    <mergeCell ref="DO41:DQ41"/>
    <mergeCell ref="CU38:DB38"/>
    <mergeCell ref="DC38:DJ38"/>
    <mergeCell ref="DL38:DN38"/>
    <mergeCell ref="DO38:DQ38"/>
    <mergeCell ref="CU39:DB39"/>
    <mergeCell ref="DC39:DJ39"/>
    <mergeCell ref="DL39:DN39"/>
    <mergeCell ref="DO39:DQ39"/>
    <mergeCell ref="CU36:DB36"/>
    <mergeCell ref="DC36:DJ36"/>
    <mergeCell ref="DL36:DN36"/>
    <mergeCell ref="DO36:DQ36"/>
    <mergeCell ref="CU37:DB37"/>
    <mergeCell ref="DC37:DJ37"/>
    <mergeCell ref="DL37:DN37"/>
    <mergeCell ref="DO37:DQ37"/>
    <mergeCell ref="CU34:DB34"/>
    <mergeCell ref="DC34:DJ34"/>
    <mergeCell ref="DL34:DN34"/>
    <mergeCell ref="DO34:DQ34"/>
    <mergeCell ref="CU35:DB35"/>
    <mergeCell ref="DC35:DJ35"/>
    <mergeCell ref="DL35:DN35"/>
    <mergeCell ref="DO35:DQ35"/>
    <mergeCell ref="CU32:DB32"/>
    <mergeCell ref="DC32:DJ32"/>
    <mergeCell ref="DL32:DN32"/>
    <mergeCell ref="DO32:DQ32"/>
    <mergeCell ref="DL33:DN33"/>
    <mergeCell ref="DO33:DQ33"/>
    <mergeCell ref="CU30:DB30"/>
    <mergeCell ref="DC30:DJ30"/>
    <mergeCell ref="DL30:DN30"/>
    <mergeCell ref="DO30:DQ30"/>
    <mergeCell ref="CU31:DB31"/>
    <mergeCell ref="DC31:DJ31"/>
    <mergeCell ref="DL31:DN31"/>
    <mergeCell ref="DO31:DQ31"/>
    <mergeCell ref="CU28:DB28"/>
    <mergeCell ref="DC28:DJ28"/>
    <mergeCell ref="DL28:DN28"/>
    <mergeCell ref="DO28:DQ28"/>
    <mergeCell ref="CU29:DB29"/>
    <mergeCell ref="DC29:DJ29"/>
    <mergeCell ref="DL29:DN29"/>
    <mergeCell ref="DO29:DQ29"/>
    <mergeCell ref="CU26:DB26"/>
    <mergeCell ref="DC26:DJ26"/>
    <mergeCell ref="DL26:DN26"/>
    <mergeCell ref="DO26:DQ26"/>
    <mergeCell ref="CU27:DB27"/>
    <mergeCell ref="DC27:DJ27"/>
    <mergeCell ref="DL27:DN27"/>
    <mergeCell ref="DO27:DQ27"/>
    <mergeCell ref="CU24:DB24"/>
    <mergeCell ref="DC24:DJ24"/>
    <mergeCell ref="DL24:DN24"/>
    <mergeCell ref="DO24:DQ24"/>
    <mergeCell ref="CU25:DB25"/>
    <mergeCell ref="DC25:DJ25"/>
    <mergeCell ref="DL25:DN25"/>
    <mergeCell ref="DO25:DQ25"/>
    <mergeCell ref="DL22:DN22"/>
    <mergeCell ref="DO22:DQ22"/>
    <mergeCell ref="CU23:DB23"/>
    <mergeCell ref="DC23:DJ23"/>
    <mergeCell ref="DL23:DN23"/>
    <mergeCell ref="DO23:DQ23"/>
    <mergeCell ref="CU20:DB20"/>
    <mergeCell ref="DC20:DJ20"/>
    <mergeCell ref="DL20:DN20"/>
    <mergeCell ref="DO20:DQ20"/>
    <mergeCell ref="CU21:DB21"/>
    <mergeCell ref="DC21:DJ21"/>
    <mergeCell ref="DL21:DN21"/>
    <mergeCell ref="DO21:DQ21"/>
    <mergeCell ref="CU18:DB18"/>
    <mergeCell ref="DC18:DJ18"/>
    <mergeCell ref="CU19:DB19"/>
    <mergeCell ref="DC19:DJ19"/>
    <mergeCell ref="DL19:DN19"/>
    <mergeCell ref="DO19:DQ19"/>
    <mergeCell ref="CU16:DB16"/>
    <mergeCell ref="DC16:DJ16"/>
    <mergeCell ref="DL16:DN16"/>
    <mergeCell ref="DO16:DQ16"/>
    <mergeCell ref="DL17:DN17"/>
    <mergeCell ref="DO17:DQ17"/>
    <mergeCell ref="CU15:DB15"/>
    <mergeCell ref="DC15:DJ15"/>
    <mergeCell ref="DL15:DN15"/>
    <mergeCell ref="DO15:DQ15"/>
    <mergeCell ref="AQ14:CL14"/>
    <mergeCell ref="AQ12:BS12"/>
    <mergeCell ref="CU9:DB9"/>
    <mergeCell ref="DC9:DJ9"/>
    <mergeCell ref="DL9:DN9"/>
    <mergeCell ref="DO9:DQ9"/>
    <mergeCell ref="CU14:DB14"/>
    <mergeCell ref="DC14:DJ14"/>
    <mergeCell ref="DL14:DN14"/>
    <mergeCell ref="DO14:DQ14"/>
    <mergeCell ref="AQ13:CL13"/>
    <mergeCell ref="CU13:DB13"/>
    <mergeCell ref="DC13:DJ13"/>
    <mergeCell ref="DL13:DN13"/>
    <mergeCell ref="DO13:DQ13"/>
    <mergeCell ref="A1:AB3"/>
    <mergeCell ref="AC1:AO1"/>
    <mergeCell ref="AP1:BB1"/>
    <mergeCell ref="DD1:DL1"/>
    <mergeCell ref="DM1:DU1"/>
    <mergeCell ref="AC2:AO3"/>
    <mergeCell ref="AP2:BB3"/>
    <mergeCell ref="DD2:DF2"/>
    <mergeCell ref="DG2:DL2"/>
    <mergeCell ref="DM2:DO2"/>
    <mergeCell ref="DL7:DN7"/>
    <mergeCell ref="DO7:DQ7"/>
    <mergeCell ref="CU8:DB8"/>
    <mergeCell ref="DC8:DJ8"/>
    <mergeCell ref="DL8:DN8"/>
    <mergeCell ref="DO8:DQ8"/>
    <mergeCell ref="DP2:DU2"/>
    <mergeCell ref="DD3:DF3"/>
    <mergeCell ref="DG3:DL3"/>
    <mergeCell ref="DM3:DO3"/>
    <mergeCell ref="DP3:DU3"/>
    <mergeCell ref="DL6:DN6"/>
    <mergeCell ref="DO6:DQ6"/>
  </mergeCells>
  <hyperlinks>
    <hyperlink ref="B8" location="'API P001'!A1" display="P001" xr:uid="{8B3D3A98-EACE-4E58-90B3-8614972F2430}"/>
    <hyperlink ref="B9:B14" location="'P002'!A1" display="P002" xr:uid="{FBAD2A01-DBC5-4572-99CF-43938FA3E632}"/>
    <hyperlink ref="B9" location="'API P002'!A1" display="P002" xr:uid="{B58ECF85-B827-492F-B9BC-42632E5F5535}"/>
    <hyperlink ref="B10:B12" location="'P002'!A1" display="P002" xr:uid="{BF37D048-2699-4813-B6DF-13F417F1DF23}"/>
    <hyperlink ref="B14" location="'A001'!A1" display="A001" xr:uid="{2D442048-3797-43B7-A65E-08FAB6B59BC3}"/>
    <hyperlink ref="B10" location="'API P003'!A1" display="P003" xr:uid="{53F2402B-E162-458B-BDBA-0962647384DD}"/>
    <hyperlink ref="B11" location="API一覧!A1" display="P004" xr:uid="{590F4276-A860-4251-BCC4-CBD33A12458C}"/>
    <hyperlink ref="B12" location="'API P005'!A1" display="A001" xr:uid="{4CCAE5FC-083A-44C6-9CFA-D2CA449F80D5}"/>
    <hyperlink ref="B13" location="'API P006'!A1" display="P006" xr:uid="{F2A18836-1AC6-4B1C-B41A-7832BE329A74}"/>
  </hyperlinks>
  <pageMargins left="0.19685039370078741" right="0.19685039370078741" top="0.59055118110236227" bottom="0.39370078740157483" header="0.19685039370078741" footer="0.19685039370078741"/>
  <pageSetup paperSize="9" scale="50" fitToHeight="2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2B9C-D181-453C-A13C-CE67F1FDFD55}">
  <sheetPr>
    <tabColor rgb="FFFF0000"/>
    <pageSetUpPr fitToPage="1"/>
  </sheetPr>
  <dimension ref="A1:DU1660"/>
  <sheetViews>
    <sheetView zoomScale="70" zoomScaleNormal="70" workbookViewId="0">
      <selection activeCell="BI12" sqref="BI12:BW12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140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281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137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6"/>
      <c r="R7" s="36"/>
      <c r="S7" s="36"/>
      <c r="T7" s="36"/>
      <c r="U7" s="38"/>
      <c r="V7" s="39"/>
      <c r="W7" s="39"/>
      <c r="X7" s="39"/>
      <c r="Y7" s="40"/>
      <c r="Z7" s="272"/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42"/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/>
      <c r="BJ7" s="36" t="s">
        <v>69</v>
      </c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/>
      <c r="Q8" s="56"/>
      <c r="R8" s="56"/>
      <c r="S8" s="56"/>
      <c r="T8" s="56"/>
      <c r="U8" s="38"/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K8" s="42"/>
      <c r="AL8" s="43"/>
      <c r="AM8" s="44"/>
      <c r="AN8" s="45"/>
      <c r="BE8" s="48"/>
      <c r="BF8" s="48"/>
      <c r="BG8" s="49"/>
      <c r="BH8" s="34"/>
      <c r="BK8" s="20" t="s">
        <v>49</v>
      </c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/>
      <c r="Q9" s="56"/>
      <c r="R9" s="56"/>
      <c r="S9" s="56"/>
      <c r="T9" s="56"/>
      <c r="U9" s="38"/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42"/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110" t="s">
        <v>73</v>
      </c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110" t="s">
        <v>282</v>
      </c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110" t="s">
        <v>283</v>
      </c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110" t="s">
        <v>360</v>
      </c>
      <c r="BZ12" s="57"/>
      <c r="CA12" s="58"/>
      <c r="CB12" s="57"/>
      <c r="CC12" s="57"/>
      <c r="CD12" s="57"/>
      <c r="CE12" s="57"/>
      <c r="CF12" s="58"/>
      <c r="CG12" s="59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61"/>
      <c r="AA13" s="56"/>
      <c r="AB13" s="56"/>
      <c r="AC13" s="56"/>
      <c r="AD13" s="56"/>
      <c r="AE13" s="56"/>
      <c r="AF13" s="56"/>
      <c r="AG13" s="55"/>
      <c r="AH13" s="55"/>
      <c r="AI13" s="55"/>
      <c r="AJ13" s="55"/>
      <c r="AK13" s="65"/>
      <c r="AL13" s="55"/>
      <c r="AM13" s="66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K13" s="20" t="s">
        <v>280</v>
      </c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K14" s="20" t="s">
        <v>49</v>
      </c>
      <c r="BN14" s="57"/>
      <c r="BO14" s="57"/>
      <c r="BP14" s="57"/>
      <c r="BQ14" s="57"/>
      <c r="BR14" s="57"/>
      <c r="BS14" s="57"/>
      <c r="BT14" s="57"/>
      <c r="BU14" s="57"/>
      <c r="BV14" s="58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110" t="s">
        <v>73</v>
      </c>
      <c r="BJ15" s="58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110" t="s">
        <v>282</v>
      </c>
      <c r="BJ16" s="58"/>
      <c r="BK16" s="57"/>
      <c r="BL16" s="57"/>
      <c r="BM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110" t="s">
        <v>283</v>
      </c>
      <c r="BN17" s="57"/>
      <c r="BO17" s="57"/>
      <c r="BP17" s="57"/>
      <c r="BQ17" s="57"/>
      <c r="BR17" s="57"/>
      <c r="BS17" s="57"/>
      <c r="BT17" s="57"/>
      <c r="BU17" s="57"/>
      <c r="BV17" s="58"/>
      <c r="BZ17" s="57"/>
      <c r="CA17" s="57"/>
      <c r="CB17" s="58"/>
      <c r="CC17" s="57"/>
      <c r="CD17" s="57"/>
      <c r="CE17" s="57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110" t="s">
        <v>359</v>
      </c>
      <c r="BU18" s="57"/>
      <c r="BV18" s="58"/>
      <c r="BZ18" s="57"/>
      <c r="CA18" s="57"/>
      <c r="CB18" s="58"/>
      <c r="CC18" s="57"/>
      <c r="CD18" s="57"/>
      <c r="CE18" s="57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K19" s="20" t="s">
        <v>51</v>
      </c>
      <c r="BZ19" s="57"/>
      <c r="CA19" s="57"/>
      <c r="CB19" s="58"/>
      <c r="CC19" s="57"/>
      <c r="CD19" s="57"/>
      <c r="CE19" s="57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J20" s="58" t="s">
        <v>134</v>
      </c>
      <c r="BM20" s="57"/>
      <c r="BN20" s="57"/>
      <c r="BO20" s="110"/>
      <c r="BP20" s="106"/>
      <c r="BQ20" s="58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7"/>
      <c r="CD20" s="57"/>
      <c r="CE20" s="57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19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K21" s="68"/>
      <c r="BL21" s="68"/>
      <c r="BM21" s="68"/>
      <c r="BN21" s="68"/>
      <c r="BO21" s="110"/>
      <c r="BP21" s="106"/>
      <c r="BQ21" s="58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8"/>
      <c r="CC21" s="57"/>
      <c r="CD21" s="57"/>
      <c r="CE21" s="57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19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19" s="50" customFormat="1" ht="19.5" customHeight="1">
      <c r="A23" s="82"/>
      <c r="B23" s="34"/>
      <c r="C23" s="83"/>
      <c r="D23" s="118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19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19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19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19" ht="16.5" customHeight="1">
      <c r="BJ32" s="105"/>
      <c r="BU32" s="105"/>
      <c r="BV32" s="105"/>
      <c r="BW32" s="105"/>
      <c r="BX32" s="105"/>
    </row>
    <row r="33" spans="1:118" ht="16.5" customHeight="1">
      <c r="A33" s="116" t="s">
        <v>143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</row>
    <row r="34" spans="1:118" ht="16.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</row>
    <row r="35" spans="1:118" ht="16.5" customHeight="1">
      <c r="A35" s="118"/>
      <c r="B35" s="268" t="s">
        <v>239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268" t="s">
        <v>240</v>
      </c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2"/>
      <c r="DN35" s="118"/>
    </row>
    <row r="36" spans="1:118" ht="16.5" customHeight="1">
      <c r="A36" s="118"/>
      <c r="B36" s="149"/>
      <c r="C36" s="160" t="s">
        <v>144</v>
      </c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1"/>
      <c r="V36" s="160" t="s">
        <v>145</v>
      </c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2"/>
      <c r="AL36" s="160"/>
      <c r="AM36" s="160"/>
      <c r="AN36" s="160"/>
      <c r="AO36" s="160"/>
      <c r="AP36" s="160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4"/>
      <c r="BH36" s="165"/>
      <c r="BI36" s="166" t="s">
        <v>144</v>
      </c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1"/>
      <c r="CB36" s="160" t="s">
        <v>145</v>
      </c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2"/>
      <c r="CR36" s="160"/>
      <c r="CS36" s="160"/>
      <c r="CT36" s="160"/>
      <c r="CU36" s="160"/>
      <c r="CV36" s="160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53"/>
      <c r="DN36" s="118"/>
    </row>
    <row r="37" spans="1:118" ht="16.5" customHeight="1">
      <c r="A37" s="118"/>
      <c r="B37" s="149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9"/>
      <c r="V37" s="120"/>
      <c r="W37" s="118"/>
      <c r="X37" s="118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59"/>
      <c r="BI37" s="417" t="s">
        <v>45</v>
      </c>
      <c r="BJ37" s="417"/>
      <c r="BK37" s="417"/>
      <c r="BL37" s="417"/>
      <c r="BM37" s="417"/>
      <c r="BN37" s="417"/>
      <c r="BO37" s="417"/>
      <c r="BP37" s="417"/>
      <c r="BQ37" s="417"/>
      <c r="BR37" s="417"/>
      <c r="BS37" s="417"/>
      <c r="BT37" s="417"/>
      <c r="BU37" s="417"/>
      <c r="BV37" s="417"/>
      <c r="BW37" s="417"/>
      <c r="BX37" s="417"/>
      <c r="BY37" s="417"/>
      <c r="BZ37" s="417"/>
      <c r="CA37" s="418"/>
      <c r="CB37" s="321" t="s">
        <v>318</v>
      </c>
      <c r="CC37" s="417"/>
      <c r="CD37" s="417"/>
      <c r="CE37" s="321"/>
      <c r="CF37" s="321"/>
      <c r="CG37" s="321"/>
      <c r="CH37" s="321"/>
      <c r="CI37" s="321"/>
      <c r="CJ37" s="321"/>
      <c r="CK37" s="321"/>
      <c r="CL37" s="321"/>
      <c r="CM37" s="321"/>
      <c r="CN37" s="321"/>
      <c r="CO37" s="321"/>
      <c r="CP37" s="321"/>
      <c r="CQ37" s="419"/>
      <c r="CR37" s="419"/>
      <c r="CS37" s="420"/>
      <c r="CT37" s="421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54"/>
      <c r="DN37" s="118"/>
    </row>
    <row r="38" spans="1:118" ht="16.5" customHeight="1">
      <c r="A38" s="118"/>
      <c r="B38" s="14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27"/>
      <c r="AL38" s="127"/>
      <c r="AM38" s="128"/>
      <c r="AN38" s="129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1"/>
      <c r="BH38" s="159"/>
      <c r="BI38" s="321" t="s">
        <v>50</v>
      </c>
      <c r="BJ38" s="321"/>
      <c r="BK38" s="321"/>
      <c r="BL38" s="321"/>
      <c r="BM38" s="321"/>
      <c r="BN38" s="321"/>
      <c r="BO38" s="321"/>
      <c r="BP38" s="321"/>
      <c r="BQ38" s="321"/>
      <c r="BR38" s="321"/>
      <c r="BS38" s="321"/>
      <c r="BT38" s="321"/>
      <c r="BU38" s="321"/>
      <c r="BV38" s="321"/>
      <c r="BW38" s="321"/>
      <c r="BX38" s="321"/>
      <c r="BY38" s="321"/>
      <c r="BZ38" s="321"/>
      <c r="CA38" s="422"/>
      <c r="CB38" s="321" t="s">
        <v>319</v>
      </c>
      <c r="CC38" s="321"/>
      <c r="CD38" s="321"/>
      <c r="CE38" s="417"/>
      <c r="CF38" s="417"/>
      <c r="CG38" s="417"/>
      <c r="CH38" s="417"/>
      <c r="CI38" s="417"/>
      <c r="CJ38" s="417"/>
      <c r="CK38" s="417"/>
      <c r="CL38" s="417"/>
      <c r="CM38" s="417"/>
      <c r="CN38" s="417"/>
      <c r="CO38" s="417"/>
      <c r="CP38" s="417"/>
      <c r="CQ38" s="423"/>
      <c r="CR38" s="423"/>
      <c r="CS38" s="424"/>
      <c r="CT38" s="425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55"/>
      <c r="DN38" s="118"/>
    </row>
    <row r="39" spans="1:118" ht="16.5" customHeight="1">
      <c r="A39" s="118"/>
      <c r="B39" s="14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1"/>
      <c r="BH39" s="159"/>
      <c r="BI39" s="321" t="s">
        <v>317</v>
      </c>
      <c r="BJ39" s="321"/>
      <c r="BK39" s="321"/>
      <c r="BL39" s="321"/>
      <c r="BM39" s="321"/>
      <c r="BN39" s="321"/>
      <c r="BO39" s="321"/>
      <c r="BP39" s="321"/>
      <c r="BQ39" s="321"/>
      <c r="BR39" s="321"/>
      <c r="BS39" s="321"/>
      <c r="BT39" s="321"/>
      <c r="BU39" s="321"/>
      <c r="BV39" s="321"/>
      <c r="BW39" s="321"/>
      <c r="BX39" s="321"/>
      <c r="BY39" s="321"/>
      <c r="BZ39" s="321"/>
      <c r="CA39" s="422"/>
      <c r="CB39" s="321" t="s">
        <v>148</v>
      </c>
      <c r="CC39" s="321"/>
      <c r="CD39" s="321"/>
      <c r="CE39" s="321"/>
      <c r="CF39" s="321"/>
      <c r="CG39" s="321"/>
      <c r="CH39" s="321"/>
      <c r="CI39" s="321"/>
      <c r="CJ39" s="321"/>
      <c r="CK39" s="321"/>
      <c r="CL39" s="321"/>
      <c r="CM39" s="321"/>
      <c r="CN39" s="321"/>
      <c r="CO39" s="321"/>
      <c r="CP39" s="321"/>
      <c r="CQ39" s="419"/>
      <c r="CR39" s="419"/>
      <c r="CS39" s="424"/>
      <c r="CT39" s="425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55"/>
      <c r="DN39" s="118"/>
    </row>
    <row r="40" spans="1:118" ht="16.5" customHeight="1">
      <c r="A40" s="118"/>
      <c r="B40" s="149"/>
      <c r="C40" s="132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408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1"/>
      <c r="BH40" s="159"/>
      <c r="BI40" s="321"/>
      <c r="BJ40" s="321"/>
      <c r="BK40" s="321"/>
      <c r="BL40" s="321"/>
      <c r="BM40" s="321"/>
      <c r="BN40" s="321"/>
      <c r="BO40" s="321"/>
      <c r="BP40" s="321"/>
      <c r="BQ40" s="321"/>
      <c r="BR40" s="321"/>
      <c r="BS40" s="321"/>
      <c r="BT40" s="321"/>
      <c r="BU40" s="321"/>
      <c r="BV40" s="321"/>
      <c r="BW40" s="321"/>
      <c r="BX40" s="321"/>
      <c r="BY40" s="321"/>
      <c r="BZ40" s="321"/>
      <c r="CA40" s="422"/>
      <c r="CB40" s="321"/>
      <c r="CC40" s="321"/>
      <c r="CD40" s="321"/>
      <c r="CE40" s="321"/>
      <c r="CF40" s="321"/>
      <c r="CG40" s="321"/>
      <c r="CH40" s="321"/>
      <c r="CI40" s="321"/>
      <c r="CJ40" s="321"/>
      <c r="CK40" s="321"/>
      <c r="CL40" s="321"/>
      <c r="CM40" s="321"/>
      <c r="CN40" s="321"/>
      <c r="CO40" s="321"/>
      <c r="CP40" s="321"/>
      <c r="CQ40" s="419"/>
      <c r="CR40" s="419"/>
      <c r="CS40" s="424"/>
      <c r="CT40" s="425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55"/>
      <c r="DN40" s="118"/>
    </row>
    <row r="41" spans="1:118" ht="16.5" customHeight="1">
      <c r="A41" s="118"/>
      <c r="B41" s="149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20"/>
      <c r="W41" s="120"/>
      <c r="X41" s="120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27"/>
      <c r="AL41" s="127"/>
      <c r="AM41" s="128"/>
      <c r="AN41" s="129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1"/>
      <c r="BH41" s="159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6"/>
      <c r="CB41" s="120"/>
      <c r="CC41" s="120"/>
      <c r="CD41" s="120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27"/>
      <c r="CR41" s="127"/>
      <c r="CS41" s="128"/>
      <c r="CT41" s="129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55"/>
      <c r="DN41" s="118"/>
    </row>
    <row r="42" spans="1:118" ht="16.5" customHeight="1">
      <c r="A42" s="118"/>
      <c r="B42" s="149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120"/>
      <c r="W42" s="120"/>
      <c r="X42" s="120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27"/>
      <c r="AL42" s="127"/>
      <c r="AM42" s="128"/>
      <c r="AN42" s="129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1"/>
      <c r="BH42" s="159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9"/>
      <c r="CB42" s="120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27"/>
      <c r="CR42" s="127"/>
      <c r="CS42" s="128"/>
      <c r="CT42" s="129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55"/>
      <c r="DN42" s="118"/>
    </row>
    <row r="43" spans="1:118" ht="18.75" customHeight="1">
      <c r="A43" s="118"/>
      <c r="B43" s="149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54"/>
      <c r="DN43" s="118"/>
    </row>
    <row r="44" spans="1:118" ht="16.5" customHeight="1">
      <c r="A44" s="118"/>
      <c r="B44" s="149"/>
      <c r="C44" s="132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13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54"/>
      <c r="DN44" s="118"/>
    </row>
    <row r="45" spans="1:118" ht="16.5" customHeight="1">
      <c r="A45" s="118"/>
      <c r="B45" s="149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26"/>
      <c r="V45" s="118"/>
      <c r="W45" s="118"/>
      <c r="X45" s="118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54"/>
      <c r="DN45" s="118"/>
    </row>
    <row r="46" spans="1:118" ht="16.5" customHeight="1">
      <c r="A46" s="118"/>
      <c r="B46" s="14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54"/>
      <c r="DN46" s="118"/>
    </row>
    <row r="47" spans="1:118" ht="16.5" customHeight="1">
      <c r="A47" s="118"/>
      <c r="B47" s="14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54"/>
      <c r="DN47" s="118"/>
    </row>
    <row r="48" spans="1:118" ht="16.5" customHeight="1">
      <c r="A48" s="118"/>
      <c r="B48" s="14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6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1"/>
      <c r="AL48" s="121"/>
      <c r="AM48" s="122"/>
      <c r="AN48" s="123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159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6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1"/>
      <c r="CR48" s="121"/>
      <c r="CS48" s="122"/>
      <c r="CT48" s="123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54"/>
      <c r="DN48" s="118"/>
    </row>
    <row r="49" spans="1:118" ht="16.5" customHeight="1">
      <c r="A49" s="134"/>
      <c r="B49" s="148"/>
      <c r="C49" s="167" t="s">
        <v>147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8"/>
      <c r="CR49" s="168"/>
      <c r="CS49" s="169"/>
      <c r="CT49" s="170"/>
      <c r="CU49" s="171"/>
      <c r="CV49" s="171"/>
      <c r="CW49" s="171"/>
      <c r="CX49" s="171"/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71"/>
      <c r="DL49" s="171"/>
      <c r="DM49" s="156"/>
      <c r="DN49" s="118"/>
    </row>
    <row r="50" spans="1:118" ht="16.5" customHeight="1">
      <c r="A50" s="134"/>
      <c r="B50" s="149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27"/>
      <c r="CR50" s="127"/>
      <c r="CS50" s="128"/>
      <c r="CT50" s="129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  <c r="DG50" s="130"/>
      <c r="DH50" s="130"/>
      <c r="DI50" s="130"/>
      <c r="DJ50" s="130"/>
      <c r="DK50" s="130"/>
      <c r="DL50" s="130"/>
      <c r="DM50" s="155"/>
      <c r="DN50" s="118"/>
    </row>
    <row r="51" spans="1:118" ht="16.5" customHeight="1">
      <c r="A51" s="134"/>
      <c r="B51" s="149"/>
      <c r="C51" s="136"/>
      <c r="D51" s="137"/>
      <c r="E51" s="426" t="s">
        <v>292</v>
      </c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8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9"/>
      <c r="CR51" s="139"/>
      <c r="CS51" s="140"/>
      <c r="CT51" s="141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57"/>
      <c r="DN51" s="118"/>
    </row>
    <row r="52" spans="1:118" ht="16.5" customHeight="1">
      <c r="A52" s="134"/>
      <c r="B52" s="149"/>
      <c r="C52" s="147"/>
      <c r="D52" s="144"/>
      <c r="E52" s="428" t="s">
        <v>305</v>
      </c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45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121"/>
      <c r="CS52" s="122"/>
      <c r="CT52" s="123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54"/>
      <c r="DN52" s="118"/>
    </row>
    <row r="53" spans="1:118" ht="16.5" customHeight="1">
      <c r="A53" s="134"/>
      <c r="B53" s="149"/>
      <c r="C53" s="120"/>
      <c r="D53" s="120"/>
      <c r="E53" s="428"/>
      <c r="F53" s="428"/>
      <c r="G53" s="428"/>
      <c r="H53" s="428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45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1"/>
      <c r="CR53" s="121"/>
      <c r="CS53" s="122"/>
      <c r="CT53" s="123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54"/>
      <c r="DN53" s="118"/>
    </row>
    <row r="54" spans="1:118" ht="16.5" customHeight="1">
      <c r="A54" s="118"/>
      <c r="B54" s="149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45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1"/>
      <c r="CR54" s="121"/>
      <c r="CS54" s="122"/>
      <c r="CT54" s="123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54"/>
      <c r="DN54" s="118"/>
    </row>
    <row r="55" spans="1:118" ht="16.5" customHeight="1">
      <c r="A55" s="118"/>
      <c r="B55" s="149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45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54"/>
      <c r="DN55" s="118"/>
    </row>
    <row r="56" spans="1:118" ht="16.5" customHeight="1">
      <c r="A56" s="118"/>
      <c r="B56" s="149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45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54"/>
      <c r="DN56" s="118"/>
    </row>
    <row r="57" spans="1:118" ht="16.5" customHeight="1">
      <c r="A57" s="118"/>
      <c r="B57" s="149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45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54"/>
      <c r="DN57" s="118"/>
    </row>
    <row r="58" spans="1:118" ht="16.5" customHeight="1">
      <c r="A58" s="118"/>
      <c r="B58" s="149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45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1"/>
      <c r="AL58" s="121"/>
      <c r="AM58" s="122"/>
      <c r="AN58" s="123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45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1"/>
      <c r="CR58" s="121"/>
      <c r="CS58" s="122"/>
      <c r="CT58" s="123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54"/>
      <c r="DN58" s="118"/>
    </row>
    <row r="59" spans="1:118" ht="16.5" customHeight="1">
      <c r="A59" s="118"/>
      <c r="B59" s="150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BT59" s="146"/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4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58"/>
      <c r="DN59" s="118"/>
    </row>
    <row r="60" spans="1:118" ht="16.5" customHeight="1">
      <c r="BJ60" s="105"/>
      <c r="BU60" s="105"/>
      <c r="BV60" s="105"/>
      <c r="BW60" s="105"/>
      <c r="BX60" s="105"/>
    </row>
    <row r="61" spans="1:118" ht="16.5" customHeight="1">
      <c r="BJ61" s="105"/>
      <c r="BU61" s="105"/>
      <c r="BV61" s="105"/>
      <c r="BW61" s="105"/>
      <c r="BX61" s="105"/>
    </row>
    <row r="62" spans="1:118" ht="16.5" customHeight="1">
      <c r="BJ62" s="105"/>
      <c r="BU62" s="105"/>
      <c r="BV62" s="105"/>
      <c r="BW62" s="105"/>
      <c r="BX62" s="105"/>
    </row>
    <row r="63" spans="1:118" ht="16.5" customHeight="1">
      <c r="BJ63" s="105"/>
      <c r="BU63" s="105"/>
      <c r="BV63" s="105"/>
      <c r="BW63" s="105"/>
      <c r="BX63" s="105"/>
    </row>
    <row r="64" spans="1:118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</row>
    <row r="1660" spans="62:76" ht="16.5" customHeight="1">
      <c r="BJ1660" s="105"/>
    </row>
  </sheetData>
  <mergeCells count="23">
    <mergeCell ref="DG3:DI3"/>
    <mergeCell ref="DJ3:DO3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CJ1:CW1"/>
    <mergeCell ref="DA2:DF2"/>
    <mergeCell ref="DG2:DI2"/>
    <mergeCell ref="DJ2:DO2"/>
    <mergeCell ref="CX3:CZ3"/>
    <mergeCell ref="DA3:DF3"/>
    <mergeCell ref="A1:L3"/>
    <mergeCell ref="M1:AD1"/>
    <mergeCell ref="AE1:AQ1"/>
    <mergeCell ref="AR1:BA1"/>
    <mergeCell ref="BB1:BT1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95A8-5709-41D3-BE02-67D1A4340CA8}">
  <sheetPr>
    <tabColor rgb="FFFF0000"/>
    <pageSetUpPr fitToPage="1"/>
  </sheetPr>
  <dimension ref="A1:DU1660"/>
  <sheetViews>
    <sheetView topLeftCell="A13" zoomScale="70" zoomScaleNormal="70" workbookViewId="0">
      <selection activeCell="AE57" sqref="AE57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141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31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286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272"/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178" t="s">
        <v>181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/>
      <c r="BJ7" s="36" t="s">
        <v>69</v>
      </c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D8" s="56"/>
      <c r="E8" s="56" t="s">
        <v>45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64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K8" s="178" t="s">
        <v>181</v>
      </c>
      <c r="AL8" s="43"/>
      <c r="AM8" s="44"/>
      <c r="AN8" s="45"/>
      <c r="BE8" s="48"/>
      <c r="BF8" s="48"/>
      <c r="BG8" s="49"/>
      <c r="BH8" s="34"/>
      <c r="BK8" s="20" t="s">
        <v>49</v>
      </c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E9" s="55" t="s">
        <v>50</v>
      </c>
      <c r="P9" s="37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K9" s="178" t="s">
        <v>181</v>
      </c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110" t="s">
        <v>73</v>
      </c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 t="s">
        <v>303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 t="s">
        <v>64</v>
      </c>
      <c r="Q10" s="56"/>
      <c r="R10" s="56"/>
      <c r="S10" s="56"/>
      <c r="T10" s="56"/>
      <c r="U10" s="38" t="s">
        <v>47</v>
      </c>
      <c r="V10" s="39"/>
      <c r="W10" s="39"/>
      <c r="X10" s="39"/>
      <c r="Y10" s="40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178" t="s">
        <v>181</v>
      </c>
      <c r="AL10" s="43"/>
      <c r="AM10" s="44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110" t="s">
        <v>74</v>
      </c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 t="s">
        <v>284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 t="s">
        <v>64</v>
      </c>
      <c r="Q11" s="56"/>
      <c r="R11" s="56"/>
      <c r="S11" s="56"/>
      <c r="T11" s="56"/>
      <c r="U11" s="38" t="s">
        <v>47</v>
      </c>
      <c r="V11" s="39"/>
      <c r="W11" s="39"/>
      <c r="X11" s="39"/>
      <c r="Y11" s="40"/>
      <c r="Z11" s="37"/>
      <c r="AA11" s="41"/>
      <c r="AB11" s="36"/>
      <c r="AC11" s="36"/>
      <c r="AD11" s="36"/>
      <c r="AE11" s="36"/>
      <c r="AF11" s="36"/>
      <c r="AG11" s="41"/>
      <c r="AH11" s="41"/>
      <c r="AI11" s="41"/>
      <c r="AJ11" s="41"/>
      <c r="AK11" s="178" t="s">
        <v>181</v>
      </c>
      <c r="AL11" s="43"/>
      <c r="AM11" s="44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110" t="s">
        <v>304</v>
      </c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 t="s">
        <v>285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 t="s">
        <v>64</v>
      </c>
      <c r="Q12" s="56"/>
      <c r="R12" s="56"/>
      <c r="S12" s="56"/>
      <c r="T12" s="56"/>
      <c r="U12" s="38" t="s">
        <v>181</v>
      </c>
      <c r="V12" s="39"/>
      <c r="W12" s="39"/>
      <c r="X12" s="39"/>
      <c r="Y12" s="40"/>
      <c r="Z12" s="37"/>
      <c r="AA12" s="41"/>
      <c r="AB12" s="36"/>
      <c r="AC12" s="36"/>
      <c r="AD12" s="36"/>
      <c r="AE12" s="36"/>
      <c r="AF12" s="36"/>
      <c r="AG12" s="41"/>
      <c r="AH12" s="41"/>
      <c r="AI12" s="41"/>
      <c r="AJ12" s="41"/>
      <c r="AK12" s="178" t="s">
        <v>181</v>
      </c>
      <c r="AL12" s="43"/>
      <c r="AM12" s="44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110" t="s">
        <v>287</v>
      </c>
      <c r="BZ12" s="57"/>
      <c r="CA12" s="58"/>
      <c r="CB12" s="57"/>
      <c r="CC12" s="57"/>
      <c r="CD12" s="57"/>
      <c r="CE12" s="57"/>
      <c r="CF12" s="58"/>
      <c r="CG12" s="59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O13" s="56"/>
      <c r="U13" s="38"/>
      <c r="V13" s="39"/>
      <c r="W13" s="39"/>
      <c r="X13" s="39"/>
      <c r="Y13" s="40"/>
      <c r="Z13" s="37"/>
      <c r="AJ13" s="41"/>
      <c r="AK13" s="178"/>
      <c r="AL13" s="43"/>
      <c r="AM13" s="44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110" t="s">
        <v>288</v>
      </c>
      <c r="BV13" s="58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O14" s="56"/>
      <c r="Z14" s="37"/>
      <c r="AJ14" s="409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110" t="s">
        <v>80</v>
      </c>
      <c r="BV14" s="58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37"/>
      <c r="AA15" s="56"/>
      <c r="AB15" s="56"/>
      <c r="AC15" s="56"/>
      <c r="AD15" s="56"/>
      <c r="AE15" s="56"/>
      <c r="AF15" s="56"/>
      <c r="AG15" s="55"/>
      <c r="AH15" s="55"/>
      <c r="AI15" s="55"/>
      <c r="AJ15" s="41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462" t="s">
        <v>360</v>
      </c>
      <c r="BJ15" s="464"/>
      <c r="BK15" s="464"/>
      <c r="BL15" s="464"/>
      <c r="BM15" s="464"/>
      <c r="BN15" s="464"/>
      <c r="BO15" s="464"/>
      <c r="BP15" s="464"/>
      <c r="BQ15" s="464"/>
      <c r="BR15" s="464"/>
      <c r="BS15" s="464"/>
      <c r="BT15" s="464"/>
      <c r="BU15" s="464"/>
      <c r="BV15" s="464"/>
      <c r="BW15" s="464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41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110"/>
      <c r="BK16" s="20" t="s">
        <v>280</v>
      </c>
      <c r="BV16" s="58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110"/>
      <c r="BJ17" s="58" t="s">
        <v>134</v>
      </c>
      <c r="BV17" s="58"/>
      <c r="BZ17" s="57"/>
      <c r="CA17" s="57"/>
      <c r="CB17" s="58"/>
      <c r="CC17" s="57"/>
      <c r="CD17" s="57"/>
      <c r="CE17" s="57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Z18" s="57"/>
      <c r="CA18" s="57"/>
      <c r="CB18" s="58"/>
      <c r="CC18" s="57"/>
      <c r="CD18" s="57"/>
      <c r="CE18" s="57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Z19" s="57"/>
      <c r="CA19" s="57"/>
      <c r="CB19" s="58"/>
      <c r="CC19" s="57"/>
      <c r="CD19" s="57"/>
      <c r="CE19" s="57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I20" s="57"/>
      <c r="BK20" s="57"/>
      <c r="BL20" s="57"/>
      <c r="BM20" s="57"/>
      <c r="BN20" s="57"/>
      <c r="BO20" s="110"/>
      <c r="BP20" s="106"/>
      <c r="BQ20" s="58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7"/>
      <c r="CD20" s="57"/>
      <c r="CE20" s="57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19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K21" s="68"/>
      <c r="BL21" s="68"/>
      <c r="BM21" s="68"/>
      <c r="BN21" s="68"/>
      <c r="BO21" s="110"/>
      <c r="BP21" s="106"/>
      <c r="BQ21" s="58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8"/>
      <c r="CC21" s="57"/>
      <c r="CD21" s="57"/>
      <c r="CE21" s="57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19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19" s="50" customFormat="1" ht="19.5" customHeight="1">
      <c r="A23" s="82"/>
      <c r="B23" s="34"/>
      <c r="C23" s="83"/>
      <c r="D23" s="50" t="s">
        <v>293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19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19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19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19" ht="16.5" customHeight="1">
      <c r="BJ32" s="105"/>
      <c r="BU32" s="105"/>
      <c r="BV32" s="105"/>
      <c r="BW32" s="105"/>
      <c r="BX32" s="105"/>
    </row>
    <row r="33" spans="1:118" ht="16.5" customHeight="1">
      <c r="A33" s="116" t="s">
        <v>143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</row>
    <row r="34" spans="1:118" ht="16.5" customHeight="1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</row>
    <row r="35" spans="1:118" ht="16.5" customHeight="1">
      <c r="A35" s="118"/>
      <c r="B35" s="268" t="s">
        <v>239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268" t="s">
        <v>240</v>
      </c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2"/>
      <c r="DN35" s="118"/>
    </row>
    <row r="36" spans="1:118" ht="16.5" customHeight="1">
      <c r="A36" s="118"/>
      <c r="B36" s="149"/>
      <c r="C36" s="160" t="s">
        <v>144</v>
      </c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1"/>
      <c r="V36" s="160" t="s">
        <v>145</v>
      </c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2"/>
      <c r="AL36" s="160"/>
      <c r="AM36" s="160"/>
      <c r="AN36" s="160"/>
      <c r="AO36" s="160"/>
      <c r="AP36" s="160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4"/>
      <c r="BH36" s="165"/>
      <c r="BI36" s="166" t="s">
        <v>144</v>
      </c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0"/>
      <c r="CA36" s="161"/>
      <c r="CB36" s="160" t="s">
        <v>145</v>
      </c>
      <c r="CC36" s="160"/>
      <c r="CD36" s="160"/>
      <c r="CE36" s="160"/>
      <c r="CF36" s="160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2"/>
      <c r="CR36" s="160"/>
      <c r="CS36" s="160"/>
      <c r="CT36" s="160"/>
      <c r="CU36" s="160"/>
      <c r="CV36" s="160"/>
      <c r="CW36" s="163"/>
      <c r="CX36" s="163"/>
      <c r="CY36" s="163"/>
      <c r="CZ36" s="163"/>
      <c r="DA36" s="163"/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53"/>
      <c r="DN36" s="118"/>
    </row>
    <row r="37" spans="1:118" ht="16.5" customHeight="1">
      <c r="A37" s="118"/>
      <c r="B37" s="149"/>
      <c r="C37" s="118" t="s">
        <v>45</v>
      </c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9"/>
      <c r="V37" s="120" t="s">
        <v>151</v>
      </c>
      <c r="W37" s="118"/>
      <c r="X37" s="118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59"/>
      <c r="BI37" s="118" t="s">
        <v>45</v>
      </c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9"/>
      <c r="CB37" s="120" t="s">
        <v>151</v>
      </c>
      <c r="CC37" s="118"/>
      <c r="CD37" s="118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1"/>
      <c r="CR37" s="121"/>
      <c r="CS37" s="122"/>
      <c r="CT37" s="123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54"/>
      <c r="DN37" s="118"/>
    </row>
    <row r="38" spans="1:118" ht="16.5" customHeight="1">
      <c r="A38" s="118"/>
      <c r="B38" s="149"/>
      <c r="C38" s="120" t="s">
        <v>50</v>
      </c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 t="s">
        <v>289</v>
      </c>
      <c r="W38" s="120"/>
      <c r="X38" s="120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27"/>
      <c r="AL38" s="127"/>
      <c r="AM38" s="128"/>
      <c r="AN38" s="129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1"/>
      <c r="BH38" s="159"/>
      <c r="BI38" s="120" t="s">
        <v>50</v>
      </c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120" t="s">
        <v>289</v>
      </c>
      <c r="CC38" s="120"/>
      <c r="CD38" s="120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27"/>
      <c r="CR38" s="127"/>
      <c r="CS38" s="128"/>
      <c r="CT38" s="129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55"/>
      <c r="DN38" s="118"/>
    </row>
    <row r="39" spans="1:118" ht="16.5" customHeight="1">
      <c r="A39" s="118"/>
      <c r="B39" s="149"/>
      <c r="C39" s="120" t="s">
        <v>303</v>
      </c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20" t="s">
        <v>148</v>
      </c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1"/>
      <c r="BH39" s="159"/>
      <c r="BI39" s="120" t="s">
        <v>303</v>
      </c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6"/>
      <c r="CB39" s="120" t="s">
        <v>148</v>
      </c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1"/>
      <c r="CR39" s="121"/>
      <c r="CS39" s="128"/>
      <c r="CT39" s="129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55"/>
      <c r="DN39" s="118"/>
    </row>
    <row r="40" spans="1:118" ht="16.5" customHeight="1">
      <c r="A40" s="118"/>
      <c r="B40" s="149"/>
      <c r="C40" s="132" t="s">
        <v>284</v>
      </c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408" t="s">
        <v>290</v>
      </c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1"/>
      <c r="BH40" s="159"/>
      <c r="BI40" s="132" t="s">
        <v>284</v>
      </c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6"/>
      <c r="CB40" s="408" t="s">
        <v>290</v>
      </c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1"/>
      <c r="CR40" s="121"/>
      <c r="CS40" s="128"/>
      <c r="CT40" s="129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55"/>
      <c r="DN40" s="118"/>
    </row>
    <row r="41" spans="1:118" ht="16.5" customHeight="1">
      <c r="A41" s="118"/>
      <c r="B41" s="149"/>
      <c r="C41" s="120" t="s">
        <v>285</v>
      </c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20" t="s">
        <v>291</v>
      </c>
      <c r="W41" s="120"/>
      <c r="X41" s="120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27"/>
      <c r="AL41" s="127"/>
      <c r="AM41" s="128"/>
      <c r="AN41" s="129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1"/>
      <c r="BH41" s="159"/>
      <c r="BI41" s="120" t="s">
        <v>285</v>
      </c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6"/>
      <c r="CB41" s="120" t="s">
        <v>291</v>
      </c>
      <c r="CC41" s="120"/>
      <c r="CD41" s="120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27"/>
      <c r="CR41" s="127"/>
      <c r="CS41" s="128"/>
      <c r="CT41" s="129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55"/>
      <c r="DN41" s="118"/>
    </row>
    <row r="42" spans="1:118" ht="16.5" customHeight="1">
      <c r="A42" s="118"/>
      <c r="B42" s="149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120"/>
      <c r="W42" s="120"/>
      <c r="X42" s="120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27"/>
      <c r="AL42" s="127"/>
      <c r="AM42" s="128"/>
      <c r="AN42" s="129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1"/>
      <c r="BH42" s="159"/>
      <c r="BI42" s="118" t="s">
        <v>79</v>
      </c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9"/>
      <c r="CB42" s="120" t="s">
        <v>154</v>
      </c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27"/>
      <c r="CR42" s="127"/>
      <c r="CS42" s="128"/>
      <c r="CT42" s="129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55"/>
      <c r="DN42" s="118"/>
    </row>
    <row r="43" spans="1:118" ht="18.75" customHeight="1">
      <c r="A43" s="118"/>
      <c r="B43" s="149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54"/>
      <c r="DN43" s="118"/>
    </row>
    <row r="44" spans="1:118" ht="16.5" customHeight="1">
      <c r="A44" s="118"/>
      <c r="B44" s="149"/>
      <c r="C44" s="132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13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54"/>
      <c r="DN44" s="118"/>
    </row>
    <row r="45" spans="1:118" ht="16.5" customHeight="1">
      <c r="A45" s="118"/>
      <c r="B45" s="149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26"/>
      <c r="V45" s="118"/>
      <c r="W45" s="118"/>
      <c r="X45" s="118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54"/>
      <c r="DN45" s="118"/>
    </row>
    <row r="46" spans="1:118" ht="16.5" customHeight="1">
      <c r="A46" s="118"/>
      <c r="B46" s="14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54"/>
      <c r="DN46" s="118"/>
    </row>
    <row r="47" spans="1:118" ht="16.5" customHeight="1">
      <c r="A47" s="118"/>
      <c r="B47" s="14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54"/>
      <c r="DN47" s="118"/>
    </row>
    <row r="48" spans="1:118" ht="16.5" customHeight="1">
      <c r="A48" s="118"/>
      <c r="B48" s="14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6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1"/>
      <c r="AL48" s="121"/>
      <c r="AM48" s="122"/>
      <c r="AN48" s="123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159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6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1"/>
      <c r="CR48" s="121"/>
      <c r="CS48" s="122"/>
      <c r="CT48" s="123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54"/>
      <c r="DN48" s="118"/>
    </row>
    <row r="49" spans="1:118" ht="16.5" customHeight="1">
      <c r="A49" s="134"/>
      <c r="B49" s="148"/>
      <c r="C49" s="167" t="s">
        <v>147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8"/>
      <c r="CR49" s="168"/>
      <c r="CS49" s="169"/>
      <c r="CT49" s="170"/>
      <c r="CU49" s="171"/>
      <c r="CV49" s="171"/>
      <c r="CW49" s="171"/>
      <c r="CX49" s="171"/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71"/>
      <c r="DL49" s="171"/>
      <c r="DM49" s="156"/>
      <c r="DN49" s="118"/>
    </row>
    <row r="50" spans="1:118" ht="16.5" customHeight="1">
      <c r="A50" s="134"/>
      <c r="B50" s="149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27"/>
      <c r="CR50" s="127"/>
      <c r="CS50" s="128"/>
      <c r="CT50" s="129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  <c r="DG50" s="130"/>
      <c r="DH50" s="130"/>
      <c r="DI50" s="130"/>
      <c r="DJ50" s="130"/>
      <c r="DK50" s="130"/>
      <c r="DL50" s="130"/>
      <c r="DM50" s="155"/>
      <c r="DN50" s="118"/>
    </row>
    <row r="51" spans="1:118" ht="16.5" customHeight="1">
      <c r="A51" s="134"/>
      <c r="B51" s="149"/>
      <c r="C51" s="136"/>
      <c r="D51" s="137"/>
      <c r="E51" s="329" t="s">
        <v>292</v>
      </c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8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9"/>
      <c r="CR51" s="139"/>
      <c r="CS51" s="140"/>
      <c r="CT51" s="141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57"/>
      <c r="DN51" s="118"/>
    </row>
    <row r="52" spans="1:118" ht="16.5" customHeight="1">
      <c r="A52" s="134"/>
      <c r="B52" s="149"/>
      <c r="C52" s="147"/>
      <c r="D52" s="144"/>
      <c r="E52" s="133" t="s">
        <v>366</v>
      </c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45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121"/>
      <c r="CS52" s="122"/>
      <c r="CT52" s="123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54"/>
      <c r="DN52" s="118"/>
    </row>
    <row r="53" spans="1:118" ht="16.5" customHeight="1">
      <c r="A53" s="134"/>
      <c r="B53" s="149"/>
      <c r="C53" s="120"/>
      <c r="D53" s="120"/>
      <c r="E53" s="105" t="s">
        <v>363</v>
      </c>
      <c r="F53" s="105"/>
      <c r="G53" s="105"/>
      <c r="H53" s="105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45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1"/>
      <c r="CR53" s="121"/>
      <c r="CS53" s="122"/>
      <c r="CT53" s="123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54"/>
      <c r="DN53" s="118"/>
    </row>
    <row r="54" spans="1:118" ht="16.5" customHeight="1">
      <c r="A54" s="118"/>
      <c r="B54" s="149"/>
      <c r="C54" s="120"/>
      <c r="D54" s="120"/>
      <c r="E54" s="120" t="s">
        <v>364</v>
      </c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45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1"/>
      <c r="CR54" s="121"/>
      <c r="CS54" s="122"/>
      <c r="CT54" s="123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54"/>
      <c r="DN54" s="118"/>
    </row>
    <row r="55" spans="1:118" ht="16.5" customHeight="1">
      <c r="A55" s="118"/>
      <c r="B55" s="149"/>
      <c r="C55" s="120"/>
      <c r="D55" s="120"/>
      <c r="E55" s="120" t="s">
        <v>365</v>
      </c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45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54"/>
      <c r="DN55" s="118"/>
    </row>
    <row r="56" spans="1:118" ht="16.5" customHeight="1">
      <c r="A56" s="118"/>
      <c r="B56" s="149"/>
      <c r="C56" s="120"/>
      <c r="D56" s="120"/>
      <c r="E56" s="465" t="s">
        <v>302</v>
      </c>
      <c r="F56" s="465"/>
      <c r="G56" s="465"/>
      <c r="H56" s="465"/>
      <c r="I56" s="465"/>
      <c r="J56" s="465"/>
      <c r="K56" s="465"/>
      <c r="L56" s="465"/>
      <c r="M56" s="465"/>
      <c r="N56" s="465"/>
      <c r="O56" s="465"/>
      <c r="P56" s="465"/>
      <c r="Q56" s="465"/>
      <c r="R56" s="465"/>
      <c r="S56" s="465"/>
      <c r="T56" s="465"/>
      <c r="U56" s="465"/>
      <c r="V56" s="465"/>
      <c r="W56" s="465"/>
      <c r="X56" s="465"/>
      <c r="Y56" s="465"/>
      <c r="Z56" s="465"/>
      <c r="AA56" s="465"/>
      <c r="AB56" s="465"/>
      <c r="AC56" s="465"/>
      <c r="AD56" s="465"/>
      <c r="AE56" s="465"/>
      <c r="AF56" s="465"/>
      <c r="AG56" s="465"/>
      <c r="AH56" s="465"/>
      <c r="AI56" s="465"/>
      <c r="AJ56" s="465"/>
      <c r="AK56" s="465"/>
      <c r="AL56" s="465"/>
      <c r="AM56" s="465"/>
      <c r="AN56" s="465"/>
      <c r="AO56" s="465"/>
      <c r="AP56" s="465"/>
      <c r="AQ56" s="465"/>
      <c r="AR56" s="465"/>
      <c r="AS56" s="465"/>
      <c r="AT56" s="465"/>
      <c r="AU56" s="465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45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54"/>
      <c r="DN56" s="118"/>
    </row>
    <row r="57" spans="1:118" ht="16.5" customHeight="1">
      <c r="A57" s="118"/>
      <c r="B57" s="149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45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54"/>
      <c r="DN57" s="118"/>
    </row>
    <row r="58" spans="1:118" ht="16.5" customHeight="1">
      <c r="A58" s="118"/>
      <c r="B58" s="149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45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1"/>
      <c r="AL58" s="121"/>
      <c r="AM58" s="122"/>
      <c r="AN58" s="123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45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1"/>
      <c r="CR58" s="121"/>
      <c r="CS58" s="122"/>
      <c r="CT58" s="123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54"/>
      <c r="DN58" s="118"/>
    </row>
    <row r="59" spans="1:118" ht="16.5" customHeight="1">
      <c r="A59" s="118"/>
      <c r="B59" s="150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BT59" s="146"/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4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58"/>
      <c r="DN59" s="118"/>
    </row>
    <row r="60" spans="1:118" ht="16.5" customHeight="1">
      <c r="BJ60" s="105"/>
      <c r="BU60" s="105"/>
      <c r="BV60" s="105"/>
      <c r="BW60" s="105"/>
      <c r="BX60" s="105"/>
    </row>
    <row r="61" spans="1:118" ht="16.5" customHeight="1">
      <c r="BJ61" s="105"/>
      <c r="BU61" s="105"/>
      <c r="BV61" s="105"/>
      <c r="BW61" s="105"/>
      <c r="BX61" s="105"/>
    </row>
    <row r="62" spans="1:118" ht="16.5" customHeight="1">
      <c r="BJ62" s="105"/>
      <c r="BU62" s="105"/>
      <c r="BV62" s="105"/>
      <c r="BW62" s="105"/>
      <c r="BX62" s="105"/>
    </row>
    <row r="63" spans="1:118" ht="16.5" customHeight="1">
      <c r="BJ63" s="105"/>
      <c r="BU63" s="105"/>
      <c r="BV63" s="105"/>
      <c r="BW63" s="105"/>
      <c r="BX63" s="105"/>
    </row>
    <row r="64" spans="1:118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</row>
    <row r="1660" spans="62:76" ht="16.5" customHeight="1">
      <c r="BJ1660" s="105"/>
    </row>
  </sheetData>
  <mergeCells count="23">
    <mergeCell ref="A1:L3"/>
    <mergeCell ref="M1:AD1"/>
    <mergeCell ref="AE1:AQ1"/>
    <mergeCell ref="AR1:BA1"/>
    <mergeCell ref="BB1:BT1"/>
    <mergeCell ref="M2:AD3"/>
    <mergeCell ref="AE2:AQ3"/>
    <mergeCell ref="AR2:BA3"/>
    <mergeCell ref="BB2:BT3"/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988A-F802-47AD-9A2C-19684AF95ED1}">
  <sheetPr>
    <tabColor rgb="FF00B050"/>
    <pageSetUpPr fitToPage="1"/>
  </sheetPr>
  <dimension ref="A1:FX1679"/>
  <sheetViews>
    <sheetView zoomScale="70" zoomScaleNormal="70" workbookViewId="0">
      <selection activeCell="BX15" sqref="BX15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3.710937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142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61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38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37"/>
      <c r="AA7" s="41"/>
      <c r="AB7" s="36"/>
      <c r="AC7" s="36"/>
      <c r="AD7" s="36"/>
      <c r="AE7" s="36"/>
      <c r="AF7" s="36"/>
      <c r="AG7" s="41"/>
      <c r="AH7" s="41"/>
      <c r="AI7" s="41"/>
      <c r="AJ7" s="41"/>
      <c r="AK7" s="42" t="s">
        <v>48</v>
      </c>
      <c r="AL7" s="43"/>
      <c r="AM7" s="44"/>
      <c r="AN7" s="45" t="s">
        <v>49</v>
      </c>
      <c r="AO7" s="46"/>
      <c r="AP7" s="46"/>
      <c r="AQ7" s="46"/>
      <c r="AR7" s="46"/>
      <c r="AS7" s="46"/>
      <c r="AT7" s="46"/>
      <c r="AU7" s="46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9"/>
      <c r="BH7" s="34"/>
      <c r="BI7" s="50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64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J8" s="41"/>
      <c r="AK8" s="42" t="s">
        <v>48</v>
      </c>
      <c r="AL8" s="43"/>
      <c r="AM8" s="44"/>
      <c r="AN8" s="45" t="s">
        <v>65</v>
      </c>
      <c r="AO8" s="46"/>
      <c r="AP8" s="46"/>
      <c r="AQ8" s="46"/>
      <c r="AR8" s="46"/>
      <c r="AS8" s="46"/>
      <c r="AT8" s="46"/>
      <c r="AU8" s="46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9"/>
      <c r="BH8" s="34"/>
      <c r="BI8" s="120" t="s">
        <v>228</v>
      </c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272" t="s">
        <v>70</v>
      </c>
      <c r="BW8" s="120"/>
      <c r="BX8" s="120"/>
      <c r="BY8" s="120"/>
      <c r="BZ8" s="120"/>
      <c r="CA8" s="277" t="s">
        <v>47</v>
      </c>
      <c r="CB8" s="120"/>
      <c r="CC8" s="120"/>
      <c r="CD8" s="120"/>
      <c r="CE8" s="120"/>
      <c r="CF8" s="272" t="s">
        <v>241</v>
      </c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278"/>
      <c r="CT8" s="130"/>
      <c r="CU8" s="130"/>
      <c r="CV8" s="130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 t="s">
        <v>284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42" t="s">
        <v>48</v>
      </c>
      <c r="AL9" s="43"/>
      <c r="AM9" s="44"/>
      <c r="AN9" s="45" t="s">
        <v>66</v>
      </c>
      <c r="AO9" s="46"/>
      <c r="AP9" s="46"/>
      <c r="AQ9" s="46"/>
      <c r="AR9" s="46"/>
      <c r="AS9" s="46"/>
      <c r="AT9" s="46"/>
      <c r="AU9" s="46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9"/>
      <c r="BH9" s="34"/>
      <c r="BI9" s="5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7"/>
      <c r="BX9" s="57"/>
      <c r="BY9" s="57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 t="s">
        <v>294</v>
      </c>
      <c r="AO10" s="46"/>
      <c r="AP10" s="46"/>
      <c r="AQ10" s="46"/>
      <c r="AR10" s="46"/>
      <c r="AS10" s="46"/>
      <c r="AT10" s="46"/>
      <c r="AU10" s="46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9"/>
      <c r="BH10" s="34"/>
      <c r="BI10" s="5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W10" s="57"/>
      <c r="BX10" s="57"/>
      <c r="BY10" s="57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N11" s="45" t="s">
        <v>67</v>
      </c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06"/>
      <c r="BK11" s="58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8"/>
      <c r="BW11" s="57"/>
      <c r="BX11" s="57"/>
      <c r="BY11" s="57"/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50"/>
      <c r="BJ12" s="106"/>
      <c r="BK12" s="58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8"/>
      <c r="BW12" s="57"/>
      <c r="BX12" s="57"/>
      <c r="BY12" s="57"/>
      <c r="BZ12" s="57"/>
      <c r="CA12" s="58"/>
      <c r="CB12" s="57"/>
      <c r="CC12" s="57"/>
      <c r="CD12" s="57"/>
      <c r="CE12" s="57"/>
      <c r="CF12" s="58"/>
      <c r="CG12" s="59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61"/>
      <c r="AA13" s="56"/>
      <c r="AB13" s="56"/>
      <c r="AC13" s="56"/>
      <c r="AD13" s="56"/>
      <c r="AE13" s="56"/>
      <c r="AF13" s="56"/>
      <c r="AG13" s="55"/>
      <c r="AH13" s="55"/>
      <c r="AI13" s="55"/>
      <c r="AJ13" s="55"/>
      <c r="AK13" s="65"/>
      <c r="AL13" s="55"/>
      <c r="AM13" s="66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50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57"/>
      <c r="BU13" s="57"/>
      <c r="BV13" s="58"/>
      <c r="BW13" s="57"/>
      <c r="BX13" s="57"/>
      <c r="BY13" s="57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50"/>
      <c r="BJ14" s="58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8"/>
      <c r="BW14" s="57"/>
      <c r="BX14" s="57"/>
      <c r="BY14" s="57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50"/>
      <c r="BJ15" s="58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W15" s="57"/>
      <c r="BX15" s="57"/>
      <c r="BY15" s="57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8"/>
      <c r="BW16" s="57"/>
      <c r="BX16" s="57"/>
      <c r="BY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7"/>
      <c r="BX17" s="57"/>
      <c r="BY17" s="57"/>
      <c r="BZ17" s="57"/>
      <c r="CA17" s="58"/>
      <c r="CB17" s="57"/>
      <c r="CC17" s="57"/>
      <c r="CD17" s="57"/>
      <c r="CE17" s="63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7"/>
      <c r="BX18" s="57"/>
      <c r="BY18" s="57"/>
      <c r="BZ18" s="57"/>
      <c r="CA18" s="58"/>
      <c r="CB18" s="57"/>
      <c r="CC18" s="57"/>
      <c r="CD18" s="57"/>
      <c r="CE18" s="63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7"/>
      <c r="BX19" s="57"/>
      <c r="BY19" s="57"/>
      <c r="BZ19" s="57"/>
      <c r="CA19" s="58"/>
      <c r="CB19" s="57"/>
      <c r="CC19" s="57"/>
      <c r="CD19" s="57"/>
      <c r="CE19" s="63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8"/>
      <c r="BW20" s="57"/>
      <c r="BX20" s="57"/>
      <c r="BY20" s="57"/>
      <c r="BZ20" s="57"/>
      <c r="CA20" s="58"/>
      <c r="CB20" s="57"/>
      <c r="CC20" s="57"/>
      <c r="CD20" s="57"/>
      <c r="CE20" s="63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19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7"/>
      <c r="BW21" s="68"/>
      <c r="BX21" s="68"/>
      <c r="BY21" s="68"/>
      <c r="BZ21" s="68"/>
      <c r="CA21" s="67"/>
      <c r="CB21" s="68"/>
      <c r="CC21" s="68"/>
      <c r="CD21" s="68"/>
      <c r="CE21" s="69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19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19" s="50" customFormat="1" ht="19.5" customHeight="1">
      <c r="A23" s="82"/>
      <c r="B23" s="34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19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19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19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19" ht="16.5" customHeight="1">
      <c r="A32" s="116" t="s">
        <v>143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</row>
    <row r="34" spans="1:180" ht="16.5" customHeight="1">
      <c r="A34" s="175"/>
      <c r="B34" s="177" t="s">
        <v>147</v>
      </c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7"/>
      <c r="BK34" s="176"/>
      <c r="BL34" s="176"/>
      <c r="BM34" s="176"/>
      <c r="BN34" s="176"/>
      <c r="BO34" s="176"/>
      <c r="BP34" s="176"/>
      <c r="BQ34" s="176"/>
      <c r="BR34" s="176"/>
      <c r="BS34" s="176"/>
      <c r="BT34" s="172"/>
      <c r="BU34" s="173"/>
      <c r="BV34" s="173"/>
      <c r="BW34" s="173"/>
      <c r="BX34" s="173"/>
      <c r="BY34" s="173"/>
      <c r="BZ34" s="173"/>
      <c r="CA34" s="173"/>
      <c r="CB34" s="173"/>
      <c r="CC34" s="173"/>
      <c r="CD34" s="173"/>
      <c r="CE34" s="173"/>
      <c r="CF34" s="173"/>
      <c r="CG34" s="173"/>
      <c r="CH34" s="173"/>
      <c r="CI34" s="173"/>
      <c r="CJ34" s="173"/>
      <c r="CK34" s="173"/>
      <c r="CL34" s="173"/>
      <c r="CM34" s="173"/>
      <c r="CN34" s="173"/>
      <c r="CO34" s="173"/>
      <c r="CP34" s="173"/>
      <c r="CQ34" s="173"/>
      <c r="CR34" s="173"/>
      <c r="CS34" s="173"/>
      <c r="CT34" s="173"/>
      <c r="CU34" s="173"/>
      <c r="CV34" s="173"/>
      <c r="CW34" s="173"/>
      <c r="CX34" s="173"/>
      <c r="CY34" s="173"/>
      <c r="CZ34" s="173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367"/>
      <c r="FX34" s="105" t="s">
        <v>121</v>
      </c>
    </row>
    <row r="35" spans="1:180" ht="16.5" customHeight="1">
      <c r="A35" s="111"/>
      <c r="BJ35" s="105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2"/>
      <c r="DB35" s="112"/>
      <c r="DC35" s="112"/>
      <c r="DD35" s="112"/>
      <c r="DE35" s="112"/>
      <c r="DF35" s="112"/>
      <c r="DG35" s="112"/>
      <c r="DH35" s="112"/>
      <c r="DI35" s="112"/>
      <c r="DJ35" s="112"/>
      <c r="DK35" s="112"/>
      <c r="DL35" s="112"/>
      <c r="DM35" s="112"/>
      <c r="DN35" s="367"/>
      <c r="FX35" s="105" t="s">
        <v>122</v>
      </c>
    </row>
    <row r="36" spans="1:180" ht="16.5" customHeight="1">
      <c r="A36" s="111"/>
      <c r="C36" s="180" t="s">
        <v>188</v>
      </c>
      <c r="D36" s="180"/>
      <c r="E36" s="180"/>
      <c r="F36" s="180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BJ36" s="105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367"/>
      <c r="FX36" s="105" t="s">
        <v>123</v>
      </c>
    </row>
    <row r="37" spans="1:180" ht="16.5" customHeight="1">
      <c r="A37" s="111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BJ37" s="105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2"/>
      <c r="DB37" s="112"/>
      <c r="DC37" s="112"/>
      <c r="DD37" s="112"/>
      <c r="DE37" s="112"/>
      <c r="DF37" s="112"/>
      <c r="DG37" s="112"/>
      <c r="DH37" s="112"/>
      <c r="DI37" s="112"/>
      <c r="DJ37" s="112"/>
      <c r="DK37" s="112"/>
      <c r="DL37" s="112"/>
      <c r="DM37" s="112"/>
      <c r="DN37" s="367"/>
      <c r="FX37" s="105" t="s">
        <v>124</v>
      </c>
    </row>
    <row r="38" spans="1:180" ht="16.5" customHeight="1">
      <c r="A38" s="111"/>
      <c r="C38" s="105" t="s">
        <v>193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BJ38" s="105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367"/>
      <c r="FX38" s="105" t="s">
        <v>94</v>
      </c>
    </row>
    <row r="39" spans="1:180" ht="16.5" customHeight="1">
      <c r="A39" s="111"/>
      <c r="C39" s="105" t="s">
        <v>295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BJ39" s="105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2"/>
      <c r="DB39" s="112"/>
      <c r="DC39" s="112"/>
      <c r="DD39" s="112"/>
      <c r="DE39" s="112"/>
      <c r="DF39" s="112"/>
      <c r="DG39" s="112"/>
      <c r="DH39" s="112"/>
      <c r="DI39" s="112"/>
      <c r="DJ39" s="112"/>
      <c r="DK39" s="112"/>
      <c r="DL39" s="112"/>
      <c r="DM39" s="112"/>
      <c r="DN39" s="367"/>
      <c r="FX39" s="105" t="s">
        <v>96</v>
      </c>
    </row>
    <row r="40" spans="1:180" ht="16.5" customHeight="1">
      <c r="A40" s="111"/>
      <c r="C40" s="105" t="s">
        <v>191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BJ40" s="105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367"/>
      <c r="FX40" s="105" t="s">
        <v>125</v>
      </c>
    </row>
    <row r="41" spans="1:180" ht="16.5" customHeight="1">
      <c r="A41" s="111"/>
      <c r="C41" s="105" t="s">
        <v>296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BJ41" s="105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2"/>
      <c r="DB41" s="112"/>
      <c r="DC41" s="112"/>
      <c r="DD41" s="112"/>
      <c r="DE41" s="112"/>
      <c r="DF41" s="112"/>
      <c r="DG41" s="112"/>
      <c r="DH41" s="112"/>
      <c r="DI41" s="112"/>
      <c r="DJ41" s="112"/>
      <c r="DK41" s="112"/>
      <c r="DL41" s="112"/>
      <c r="DM41" s="112"/>
      <c r="DN41" s="367"/>
      <c r="FX41" s="105" t="s">
        <v>98</v>
      </c>
    </row>
    <row r="42" spans="1:180" ht="16.5" customHeight="1">
      <c r="A42" s="108"/>
      <c r="C42" s="105" t="s">
        <v>192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BJ42" s="105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0"/>
      <c r="CM42" s="110"/>
      <c r="CN42" s="110"/>
      <c r="CO42" s="110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368"/>
      <c r="FX42" s="105" t="s">
        <v>126</v>
      </c>
    </row>
    <row r="43" spans="1:180" ht="16.5" customHeight="1">
      <c r="A43" s="108"/>
      <c r="BJ43" s="105"/>
      <c r="BU43" s="110"/>
      <c r="BV43" s="110"/>
      <c r="BW43" s="110"/>
      <c r="BX43" s="110"/>
      <c r="BY43" s="110"/>
      <c r="BZ43" s="110"/>
      <c r="CA43" s="110"/>
      <c r="CB43" s="110"/>
      <c r="CC43" s="110"/>
      <c r="CD43" s="110"/>
      <c r="CE43" s="110"/>
      <c r="CF43" s="110"/>
      <c r="CG43" s="110"/>
      <c r="CH43" s="110"/>
      <c r="CI43" s="110"/>
      <c r="CJ43" s="110"/>
      <c r="CK43" s="110"/>
      <c r="CL43" s="110"/>
      <c r="CM43" s="110"/>
      <c r="CN43" s="110"/>
      <c r="CO43" s="110"/>
      <c r="CP43" s="110"/>
      <c r="CQ43" s="110"/>
      <c r="CR43" s="110"/>
      <c r="CS43" s="110"/>
      <c r="CT43" s="110"/>
      <c r="CU43" s="110"/>
      <c r="CV43" s="110"/>
      <c r="CW43" s="110"/>
      <c r="CX43" s="110"/>
      <c r="CY43" s="110"/>
      <c r="CZ43" s="110"/>
      <c r="DA43" s="110"/>
      <c r="DB43" s="110"/>
      <c r="DC43" s="110"/>
      <c r="DD43" s="110"/>
      <c r="DE43" s="110"/>
      <c r="DF43" s="110"/>
      <c r="DG43" s="110"/>
      <c r="DH43" s="110"/>
      <c r="DI43" s="110"/>
      <c r="DJ43" s="110"/>
      <c r="DK43" s="110"/>
      <c r="DL43" s="110"/>
      <c r="DM43" s="110"/>
      <c r="DN43" s="368"/>
      <c r="FX43" s="105" t="s">
        <v>101</v>
      </c>
    </row>
    <row r="44" spans="1:180" ht="16.5" customHeight="1">
      <c r="A44" s="108"/>
      <c r="BJ44" s="105"/>
      <c r="BU44" s="109"/>
      <c r="BV44" s="110"/>
      <c r="BW44" s="110"/>
      <c r="BX44" s="110"/>
      <c r="BY44" s="110"/>
      <c r="BZ44" s="110"/>
      <c r="CA44" s="110"/>
      <c r="CB44" s="110"/>
      <c r="CC44" s="110"/>
      <c r="CD44" s="110"/>
      <c r="CE44" s="110"/>
      <c r="CF44" s="110"/>
      <c r="CG44" s="110"/>
      <c r="CH44" s="110"/>
      <c r="CI44" s="110"/>
      <c r="CJ44" s="110"/>
      <c r="CK44" s="110"/>
      <c r="CL44" s="110"/>
      <c r="CM44" s="110"/>
      <c r="CN44" s="110"/>
      <c r="CO44" s="110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0"/>
      <c r="DA44" s="110"/>
      <c r="DB44" s="110"/>
      <c r="DC44" s="110"/>
      <c r="DD44" s="110"/>
      <c r="DE44" s="110"/>
      <c r="DF44" s="110"/>
      <c r="DG44" s="110"/>
      <c r="DH44" s="110"/>
      <c r="DI44" s="110"/>
      <c r="DJ44" s="110"/>
      <c r="DK44" s="110"/>
      <c r="DL44" s="110"/>
      <c r="DM44" s="110"/>
      <c r="DN44" s="368"/>
      <c r="FX44" s="105" t="s">
        <v>103</v>
      </c>
    </row>
    <row r="45" spans="1:180" ht="16.5" customHeight="1">
      <c r="A45" s="108"/>
      <c r="BJ45" s="105"/>
      <c r="BU45" s="109"/>
      <c r="BV45" s="110"/>
      <c r="BW45" s="110"/>
      <c r="BX45" s="110"/>
      <c r="BY45" s="110"/>
      <c r="BZ45" s="110"/>
      <c r="CA45" s="110"/>
      <c r="CB45" s="110"/>
      <c r="CC45" s="110"/>
      <c r="CD45" s="110"/>
      <c r="CE45" s="110"/>
      <c r="CF45" s="110"/>
      <c r="CG45" s="110"/>
      <c r="CH45" s="110"/>
      <c r="CI45" s="110"/>
      <c r="CJ45" s="110"/>
      <c r="CK45" s="110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368"/>
      <c r="FX45" s="105" t="s">
        <v>104</v>
      </c>
    </row>
    <row r="46" spans="1:180" ht="16.5" customHeight="1">
      <c r="A46" s="108"/>
      <c r="BJ46" s="105"/>
      <c r="BU46" s="109"/>
      <c r="BV46" s="110"/>
      <c r="BW46" s="110"/>
      <c r="BX46" s="110"/>
      <c r="BY46" s="110"/>
      <c r="BZ46" s="110"/>
      <c r="CA46" s="110"/>
      <c r="CB46" s="110"/>
      <c r="CC46" s="110"/>
      <c r="CD46" s="110"/>
      <c r="CE46" s="110"/>
      <c r="CF46" s="110"/>
      <c r="CG46" s="110"/>
      <c r="CH46" s="110"/>
      <c r="CI46" s="110"/>
      <c r="CJ46" s="110"/>
      <c r="CK46" s="110"/>
      <c r="CL46" s="110"/>
      <c r="CM46" s="110"/>
      <c r="CN46" s="110"/>
      <c r="CO46" s="110"/>
      <c r="CP46" s="110"/>
      <c r="CQ46" s="110"/>
      <c r="CR46" s="110"/>
      <c r="CS46" s="110"/>
      <c r="CT46" s="110"/>
      <c r="CU46" s="110"/>
      <c r="CV46" s="110"/>
      <c r="CW46" s="110"/>
      <c r="CX46" s="110"/>
      <c r="CY46" s="110"/>
      <c r="CZ46" s="110"/>
      <c r="DA46" s="110"/>
      <c r="DB46" s="110"/>
      <c r="DC46" s="110"/>
      <c r="DD46" s="110"/>
      <c r="DE46" s="110"/>
      <c r="DF46" s="110"/>
      <c r="DG46" s="110"/>
      <c r="DH46" s="110"/>
      <c r="DI46" s="110"/>
      <c r="DJ46" s="110"/>
      <c r="DK46" s="110"/>
      <c r="DL46" s="110"/>
      <c r="DM46" s="110"/>
      <c r="DN46" s="368"/>
      <c r="FX46" s="105" t="s">
        <v>127</v>
      </c>
    </row>
    <row r="47" spans="1:180" ht="16.5" customHeight="1">
      <c r="A47" s="108"/>
      <c r="BJ47" s="105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369"/>
      <c r="FX47" s="105" t="s">
        <v>132</v>
      </c>
    </row>
    <row r="48" spans="1:180" ht="16.5" customHeight="1">
      <c r="A48" s="108"/>
      <c r="BJ48" s="105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13"/>
      <c r="DK48" s="113"/>
      <c r="DL48" s="113"/>
      <c r="DM48" s="113"/>
      <c r="DN48" s="369"/>
      <c r="FX48" s="105" t="s">
        <v>101</v>
      </c>
    </row>
    <row r="49" spans="1:180" ht="16.5" customHeight="1" thickBot="1">
      <c r="A49" s="182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 s="114"/>
      <c r="BP49" s="114"/>
      <c r="BQ49" s="114"/>
      <c r="BR49" s="114"/>
      <c r="BS49" s="114"/>
      <c r="BT49" s="114"/>
      <c r="BU49" s="115"/>
      <c r="BV49" s="115"/>
      <c r="BW49" s="115"/>
      <c r="BX49" s="115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I49" s="114"/>
      <c r="CJ49" s="114"/>
      <c r="CK49" s="114"/>
      <c r="CL49" s="114"/>
      <c r="CM49" s="114"/>
      <c r="CN49" s="114"/>
      <c r="CO49" s="114"/>
      <c r="CP49" s="114"/>
      <c r="CQ49" s="114"/>
      <c r="CR49" s="114"/>
      <c r="CS49" s="114"/>
      <c r="CT49" s="114"/>
      <c r="CU49" s="114"/>
      <c r="CV49" s="114"/>
      <c r="CW49" s="114"/>
      <c r="CX49" s="114"/>
      <c r="CY49" s="114"/>
      <c r="CZ49" s="114"/>
      <c r="DA49" s="114"/>
      <c r="DB49" s="114"/>
      <c r="DC49" s="114"/>
      <c r="DD49" s="114"/>
      <c r="DE49" s="114"/>
      <c r="DF49" s="114"/>
      <c r="DG49" s="114"/>
      <c r="DH49" s="114"/>
      <c r="DI49" s="114"/>
      <c r="DJ49" s="114"/>
      <c r="DK49" s="114"/>
      <c r="DL49" s="114"/>
      <c r="DM49" s="114"/>
      <c r="DN49" s="370"/>
      <c r="FX49" s="105" t="s">
        <v>103</v>
      </c>
    </row>
    <row r="50" spans="1:180" ht="16.5" customHeight="1">
      <c r="BJ50" s="105"/>
      <c r="BU50" s="105"/>
      <c r="BV50" s="105"/>
      <c r="BW50" s="105"/>
      <c r="BX50" s="105"/>
    </row>
    <row r="51" spans="1:180" ht="16.5" customHeight="1">
      <c r="BJ51" s="105"/>
      <c r="BU51" s="105"/>
      <c r="BV51" s="105"/>
      <c r="BW51" s="105"/>
      <c r="BX51" s="105"/>
    </row>
    <row r="52" spans="1:180" ht="16.5" customHeight="1">
      <c r="BJ52" s="105"/>
      <c r="BU52" s="105"/>
      <c r="BV52" s="105"/>
      <c r="BW52" s="105"/>
      <c r="BX52" s="105"/>
    </row>
    <row r="53" spans="1:180" ht="16.5" customHeight="1">
      <c r="BJ53" s="105"/>
      <c r="BU53" s="105"/>
      <c r="BV53" s="105"/>
      <c r="BW53" s="105"/>
      <c r="BX53" s="105"/>
    </row>
    <row r="54" spans="1:180" ht="16.5" customHeight="1">
      <c r="BJ54" s="105"/>
      <c r="BU54" s="105"/>
      <c r="BV54" s="105"/>
      <c r="BW54" s="105"/>
      <c r="BX54" s="105"/>
    </row>
    <row r="55" spans="1:180" ht="16.5" customHeight="1">
      <c r="BJ55" s="105"/>
      <c r="BU55" s="105"/>
      <c r="BV55" s="105"/>
      <c r="BW55" s="105"/>
      <c r="BX55" s="105"/>
    </row>
    <row r="56" spans="1:180" ht="16.5" customHeight="1">
      <c r="BJ56" s="105"/>
      <c r="BU56" s="105"/>
      <c r="BV56" s="105"/>
      <c r="BW56" s="105"/>
      <c r="BX56" s="105"/>
    </row>
    <row r="57" spans="1:180" ht="16.5" customHeight="1">
      <c r="BJ57" s="105"/>
      <c r="BU57" s="105"/>
      <c r="BV57" s="105"/>
      <c r="BW57" s="105"/>
      <c r="BX57" s="105"/>
    </row>
    <row r="58" spans="1:180" ht="16.5" customHeight="1">
      <c r="BJ58" s="105"/>
      <c r="BU58" s="105"/>
      <c r="BV58" s="105"/>
      <c r="BW58" s="105"/>
      <c r="BX58" s="105"/>
    </row>
    <row r="59" spans="1:180" ht="16.5" customHeight="1">
      <c r="BJ59" s="105"/>
      <c r="BU59" s="105"/>
      <c r="BV59" s="105"/>
      <c r="BW59" s="105"/>
      <c r="BX59" s="105"/>
    </row>
    <row r="60" spans="1:180" ht="16.5" customHeight="1">
      <c r="BJ60" s="105"/>
      <c r="BU60" s="105"/>
      <c r="BV60" s="105"/>
      <c r="BW60" s="105"/>
      <c r="BX60" s="105"/>
    </row>
    <row r="61" spans="1:180" ht="16.5" customHeight="1">
      <c r="BJ61" s="105"/>
      <c r="BU61" s="105"/>
      <c r="BV61" s="105"/>
      <c r="BW61" s="105"/>
      <c r="BX61" s="105"/>
    </row>
    <row r="62" spans="1:180" ht="16.5" customHeight="1">
      <c r="BJ62" s="105"/>
      <c r="BU62" s="105"/>
      <c r="BV62" s="105"/>
      <c r="BW62" s="105"/>
      <c r="BX62" s="105"/>
    </row>
    <row r="63" spans="1:180" ht="16.5" customHeight="1">
      <c r="BJ63" s="105"/>
      <c r="BU63" s="105"/>
      <c r="BV63" s="105"/>
      <c r="BW63" s="105"/>
      <c r="BX63" s="105"/>
    </row>
    <row r="64" spans="1:180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  <c r="BU1659" s="105"/>
      <c r="BV1659" s="105"/>
      <c r="BW1659" s="105"/>
      <c r="BX1659" s="105"/>
    </row>
    <row r="1660" spans="62:76" ht="16.5" customHeight="1">
      <c r="BJ1660" s="105"/>
      <c r="BU1660" s="105"/>
      <c r="BV1660" s="105"/>
      <c r="BW1660" s="105"/>
      <c r="BX1660" s="105"/>
    </row>
    <row r="1661" spans="62:76" ht="16.5" customHeight="1">
      <c r="BJ1661" s="105"/>
      <c r="BU1661" s="105"/>
      <c r="BV1661" s="105"/>
      <c r="BW1661" s="105"/>
      <c r="BX1661" s="105"/>
    </row>
    <row r="1662" spans="62:76" ht="16.5" customHeight="1">
      <c r="BJ1662" s="105"/>
      <c r="BU1662" s="105"/>
      <c r="BV1662" s="105"/>
      <c r="BW1662" s="105"/>
      <c r="BX1662" s="105"/>
    </row>
    <row r="1663" spans="62:76" ht="16.5" customHeight="1">
      <c r="BJ1663" s="105"/>
      <c r="BU1663" s="105"/>
      <c r="BV1663" s="105"/>
      <c r="BW1663" s="105"/>
      <c r="BX1663" s="105"/>
    </row>
    <row r="1664" spans="62:76" ht="16.5" customHeight="1">
      <c r="BJ1664" s="105"/>
      <c r="BU1664" s="105"/>
      <c r="BV1664" s="105"/>
      <c r="BW1664" s="105"/>
      <c r="BX1664" s="105"/>
    </row>
    <row r="1665" spans="62:76" ht="16.5" customHeight="1">
      <c r="BJ1665" s="105"/>
      <c r="BU1665" s="105"/>
      <c r="BV1665" s="105"/>
      <c r="BW1665" s="105"/>
      <c r="BX1665" s="105"/>
    </row>
    <row r="1666" spans="62:76" ht="16.5" customHeight="1">
      <c r="BJ1666" s="105"/>
      <c r="BU1666" s="105"/>
      <c r="BV1666" s="105"/>
      <c r="BW1666" s="105"/>
      <c r="BX1666" s="105"/>
    </row>
    <row r="1667" spans="62:76" ht="16.5" customHeight="1">
      <c r="BJ1667" s="105"/>
      <c r="BU1667" s="105"/>
      <c r="BV1667" s="105"/>
      <c r="BW1667" s="105"/>
      <c r="BX1667" s="105"/>
    </row>
    <row r="1668" spans="62:76" ht="16.5" customHeight="1">
      <c r="BJ1668" s="105"/>
      <c r="BU1668" s="105"/>
      <c r="BV1668" s="105"/>
      <c r="BW1668" s="105"/>
      <c r="BX1668" s="105"/>
    </row>
    <row r="1669" spans="62:76" ht="16.5" customHeight="1">
      <c r="BJ1669" s="105"/>
      <c r="BU1669" s="105"/>
      <c r="BV1669" s="105"/>
      <c r="BW1669" s="105"/>
      <c r="BX1669" s="105"/>
    </row>
    <row r="1670" spans="62:76" ht="16.5" customHeight="1">
      <c r="BJ1670" s="105"/>
      <c r="BU1670" s="105"/>
      <c r="BV1670" s="105"/>
      <c r="BW1670" s="105"/>
      <c r="BX1670" s="105"/>
    </row>
    <row r="1671" spans="62:76" ht="16.5" customHeight="1">
      <c r="BJ1671" s="105"/>
      <c r="BU1671" s="105"/>
      <c r="BV1671" s="105"/>
      <c r="BW1671" s="105"/>
      <c r="BX1671" s="105"/>
    </row>
    <row r="1672" spans="62:76" ht="16.5" customHeight="1">
      <c r="BJ1672" s="105"/>
      <c r="BU1672" s="105"/>
      <c r="BV1672" s="105"/>
      <c r="BW1672" s="105"/>
      <c r="BX1672" s="105"/>
    </row>
    <row r="1673" spans="62:76" ht="16.5" customHeight="1">
      <c r="BJ1673" s="105"/>
      <c r="BU1673" s="105"/>
      <c r="BV1673" s="105"/>
      <c r="BW1673" s="105"/>
      <c r="BX1673" s="105"/>
    </row>
    <row r="1674" spans="62:76" ht="16.5" customHeight="1">
      <c r="BJ1674" s="105"/>
      <c r="BU1674" s="105"/>
      <c r="BV1674" s="105"/>
      <c r="BW1674" s="105"/>
      <c r="BX1674" s="105"/>
    </row>
    <row r="1675" spans="62:76" ht="16.5" customHeight="1">
      <c r="BJ1675" s="105"/>
      <c r="BU1675" s="105"/>
      <c r="BV1675" s="105"/>
      <c r="BW1675" s="105"/>
      <c r="BX1675" s="105"/>
    </row>
    <row r="1676" spans="62:76" ht="16.5" customHeight="1">
      <c r="BJ1676" s="105"/>
      <c r="BU1676" s="105"/>
      <c r="BV1676" s="105"/>
      <c r="BW1676" s="105"/>
      <c r="BX1676" s="105"/>
    </row>
    <row r="1677" spans="62:76" ht="16.5" customHeight="1">
      <c r="BJ1677" s="105"/>
      <c r="BU1677" s="105"/>
      <c r="BV1677" s="105"/>
      <c r="BW1677" s="105"/>
      <c r="BX1677" s="105"/>
    </row>
    <row r="1678" spans="62:76" ht="16.5" customHeight="1">
      <c r="BJ1678" s="105"/>
    </row>
    <row r="1679" spans="62:76" ht="16.5" customHeight="1">
      <c r="BJ1679" s="105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23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EE27-B8E8-4A6C-91EA-1C887E0278CB}">
  <sheetPr>
    <pageSetUpPr fitToPage="1"/>
  </sheetPr>
  <dimension ref="A1:DU50"/>
  <sheetViews>
    <sheetView zoomScale="85" zoomScaleNormal="85" workbookViewId="0">
      <selection activeCell="P12" sqref="P12:BE14"/>
    </sheetView>
  </sheetViews>
  <sheetFormatPr defaultColWidth="2.28515625" defaultRowHeight="20.100000000000001" customHeight="1"/>
  <cols>
    <col min="1" max="22" width="2.28515625" style="118"/>
    <col min="23" max="25" width="2.28515625" style="118" customWidth="1"/>
    <col min="26" max="26" width="1.85546875" style="118" customWidth="1"/>
    <col min="27" max="16384" width="2.28515625" style="118"/>
  </cols>
  <sheetData>
    <row r="1" spans="1:125" s="184" customFormat="1" ht="20.100000000000001" customHeight="1">
      <c r="A1" s="572" t="s">
        <v>219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660"/>
      <c r="M1" s="578" t="s">
        <v>220</v>
      </c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80"/>
      <c r="AE1" s="578" t="s">
        <v>25</v>
      </c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79"/>
      <c r="AR1" s="667" t="s">
        <v>26</v>
      </c>
      <c r="AS1" s="579"/>
      <c r="AT1" s="579"/>
      <c r="AU1" s="579"/>
      <c r="AV1" s="579"/>
      <c r="AW1" s="579"/>
      <c r="AX1" s="579"/>
      <c r="AY1" s="579"/>
      <c r="AZ1" s="579"/>
      <c r="BA1" s="579"/>
      <c r="BB1" s="667" t="s">
        <v>27</v>
      </c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79"/>
      <c r="BR1" s="579"/>
      <c r="BS1" s="579"/>
      <c r="BT1" s="580"/>
      <c r="BU1" s="667" t="s">
        <v>28</v>
      </c>
      <c r="BV1" s="579"/>
      <c r="BW1" s="579"/>
      <c r="BX1" s="579"/>
      <c r="BY1" s="579"/>
      <c r="BZ1" s="579"/>
      <c r="CA1" s="579"/>
      <c r="CB1" s="579"/>
      <c r="CC1" s="579"/>
      <c r="CD1" s="579"/>
      <c r="CE1" s="579"/>
      <c r="CF1" s="579"/>
      <c r="CG1" s="579"/>
      <c r="CH1" s="579"/>
      <c r="CI1" s="579"/>
      <c r="CJ1" s="667" t="s">
        <v>60</v>
      </c>
      <c r="CK1" s="579"/>
      <c r="CL1" s="579"/>
      <c r="CM1" s="579"/>
      <c r="CN1" s="579"/>
      <c r="CO1" s="579"/>
      <c r="CP1" s="579"/>
      <c r="CQ1" s="579"/>
      <c r="CR1" s="579"/>
      <c r="CS1" s="579"/>
      <c r="CT1" s="579"/>
      <c r="CU1" s="579"/>
      <c r="CV1" s="579"/>
      <c r="CW1" s="580"/>
      <c r="CX1" s="581" t="s">
        <v>198</v>
      </c>
      <c r="CY1" s="581"/>
      <c r="CZ1" s="581"/>
      <c r="DA1" s="581"/>
      <c r="DB1" s="581"/>
      <c r="DC1" s="581"/>
      <c r="DD1" s="581"/>
      <c r="DE1" s="581"/>
      <c r="DF1" s="581"/>
      <c r="DG1" s="581" t="s">
        <v>199</v>
      </c>
      <c r="DH1" s="581"/>
      <c r="DI1" s="581"/>
      <c r="DJ1" s="581"/>
      <c r="DK1" s="581"/>
      <c r="DL1" s="581"/>
      <c r="DM1" s="581"/>
      <c r="DN1" s="581"/>
      <c r="DO1" s="582"/>
    </row>
    <row r="2" spans="1:125" s="184" customFormat="1" ht="20.100000000000001" customHeight="1">
      <c r="A2" s="661"/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3"/>
      <c r="M2" s="583" t="s">
        <v>200</v>
      </c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668"/>
      <c r="AA2" s="668"/>
      <c r="AB2" s="668"/>
      <c r="AC2" s="668"/>
      <c r="AD2" s="669"/>
      <c r="AE2" s="589" t="s">
        <v>218</v>
      </c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675" t="str">
        <f ca="1">MID(CELL("filename",A1),FIND("]",CELL("filename",A1))+1,255)</f>
        <v>API P003_old</v>
      </c>
      <c r="AS2" s="676"/>
      <c r="AT2" s="676"/>
      <c r="AU2" s="676"/>
      <c r="AV2" s="676"/>
      <c r="AW2" s="676"/>
      <c r="AX2" s="676"/>
      <c r="AY2" s="676"/>
      <c r="AZ2" s="676"/>
      <c r="BA2" s="676"/>
      <c r="BB2" s="675" t="s">
        <v>213</v>
      </c>
      <c r="BC2" s="676"/>
      <c r="BD2" s="676"/>
      <c r="BE2" s="676"/>
      <c r="BF2" s="676"/>
      <c r="BG2" s="676"/>
      <c r="BH2" s="676"/>
      <c r="BI2" s="676"/>
      <c r="BJ2" s="676"/>
      <c r="BK2" s="676"/>
      <c r="BL2" s="676"/>
      <c r="BM2" s="676"/>
      <c r="BN2" s="676"/>
      <c r="BO2" s="676"/>
      <c r="BP2" s="676"/>
      <c r="BQ2" s="676"/>
      <c r="BR2" s="676"/>
      <c r="BS2" s="676"/>
      <c r="BT2" s="679"/>
      <c r="BU2" s="675" t="s">
        <v>32</v>
      </c>
      <c r="BV2" s="676"/>
      <c r="BW2" s="676"/>
      <c r="BX2" s="676"/>
      <c r="BY2" s="676"/>
      <c r="BZ2" s="676"/>
      <c r="CA2" s="676"/>
      <c r="CB2" s="676"/>
      <c r="CC2" s="676"/>
      <c r="CD2" s="676"/>
      <c r="CE2" s="676"/>
      <c r="CF2" s="676"/>
      <c r="CG2" s="676"/>
      <c r="CH2" s="676"/>
      <c r="CI2" s="676"/>
      <c r="CJ2" s="675" t="s">
        <v>221</v>
      </c>
      <c r="CK2" s="676"/>
      <c r="CL2" s="676"/>
      <c r="CM2" s="676"/>
      <c r="CN2" s="676"/>
      <c r="CO2" s="676"/>
      <c r="CP2" s="676"/>
      <c r="CQ2" s="676"/>
      <c r="CR2" s="676"/>
      <c r="CS2" s="676"/>
      <c r="CT2" s="676"/>
      <c r="CU2" s="676"/>
      <c r="CV2" s="676"/>
      <c r="CW2" s="676"/>
      <c r="CX2" s="595" t="s">
        <v>33</v>
      </c>
      <c r="CY2" s="595"/>
      <c r="CZ2" s="596"/>
      <c r="DA2" s="562" t="s">
        <v>12</v>
      </c>
      <c r="DB2" s="562"/>
      <c r="DC2" s="562"/>
      <c r="DD2" s="562"/>
      <c r="DE2" s="562"/>
      <c r="DF2" s="562"/>
      <c r="DG2" s="597" t="s">
        <v>34</v>
      </c>
      <c r="DH2" s="597"/>
      <c r="DI2" s="597"/>
      <c r="DJ2" s="562" t="s">
        <v>12</v>
      </c>
      <c r="DK2" s="562"/>
      <c r="DL2" s="562"/>
      <c r="DM2" s="562"/>
      <c r="DN2" s="562"/>
      <c r="DO2" s="563"/>
      <c r="DP2" s="118"/>
      <c r="DQ2" s="118"/>
      <c r="DR2" s="118"/>
      <c r="DS2" s="118"/>
      <c r="DT2" s="118"/>
      <c r="DU2" s="118"/>
    </row>
    <row r="3" spans="1:125" s="184" customFormat="1" ht="20.100000000000001" customHeight="1" thickBot="1">
      <c r="A3" s="664"/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6"/>
      <c r="M3" s="670"/>
      <c r="N3" s="671"/>
      <c r="O3" s="671"/>
      <c r="P3" s="671"/>
      <c r="Q3" s="671"/>
      <c r="R3" s="671"/>
      <c r="S3" s="671"/>
      <c r="T3" s="671"/>
      <c r="U3" s="671"/>
      <c r="V3" s="671"/>
      <c r="W3" s="671"/>
      <c r="X3" s="671"/>
      <c r="Y3" s="671"/>
      <c r="Z3" s="671"/>
      <c r="AA3" s="671"/>
      <c r="AB3" s="671"/>
      <c r="AC3" s="671"/>
      <c r="AD3" s="672"/>
      <c r="AE3" s="673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74"/>
      <c r="AR3" s="677"/>
      <c r="AS3" s="678"/>
      <c r="AT3" s="678"/>
      <c r="AU3" s="678"/>
      <c r="AV3" s="678"/>
      <c r="AW3" s="678"/>
      <c r="AX3" s="678"/>
      <c r="AY3" s="678"/>
      <c r="AZ3" s="678"/>
      <c r="BA3" s="678"/>
      <c r="BB3" s="677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80"/>
      <c r="BU3" s="677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78"/>
      <c r="CJ3" s="677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81" t="s">
        <v>22</v>
      </c>
      <c r="CY3" s="681"/>
      <c r="CZ3" s="682"/>
      <c r="DA3" s="614">
        <v>44861</v>
      </c>
      <c r="DB3" s="615"/>
      <c r="DC3" s="615"/>
      <c r="DD3" s="615"/>
      <c r="DE3" s="615"/>
      <c r="DF3" s="616"/>
      <c r="DG3" s="683" t="s">
        <v>35</v>
      </c>
      <c r="DH3" s="683"/>
      <c r="DI3" s="683"/>
      <c r="DJ3" s="614">
        <v>44861</v>
      </c>
      <c r="DK3" s="615"/>
      <c r="DL3" s="615"/>
      <c r="DM3" s="615"/>
      <c r="DN3" s="615"/>
      <c r="DO3" s="616"/>
      <c r="DP3" s="118"/>
      <c r="DQ3" s="118"/>
      <c r="DR3" s="118"/>
      <c r="DS3" s="118"/>
      <c r="DT3" s="118"/>
      <c r="DU3" s="118"/>
    </row>
    <row r="4" spans="1:125" ht="20.100000000000001" customHeight="1" thickTop="1">
      <c r="A4" s="134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3"/>
    </row>
    <row r="5" spans="1:125" ht="20.100000000000001" customHeight="1">
      <c r="A5" s="264" t="s">
        <v>222</v>
      </c>
      <c r="B5" s="265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7"/>
    </row>
    <row r="6" spans="1:125" ht="20.100000000000001" customHeight="1">
      <c r="A6" s="134"/>
      <c r="DO6" s="194"/>
    </row>
    <row r="7" spans="1:125" ht="20.100000000000001" customHeight="1">
      <c r="A7" s="134"/>
      <c r="B7" s="268" t="s">
        <v>223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8" t="s">
        <v>224</v>
      </c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69"/>
      <c r="CI7" s="269"/>
      <c r="CJ7" s="269"/>
      <c r="CK7" s="269"/>
      <c r="CL7" s="269"/>
      <c r="CM7" s="269"/>
      <c r="CN7" s="269"/>
      <c r="CO7" s="269"/>
      <c r="CP7" s="269"/>
      <c r="CQ7" s="269"/>
      <c r="CR7" s="269"/>
      <c r="CS7" s="269"/>
      <c r="CT7" s="269"/>
      <c r="CU7" s="269"/>
      <c r="CV7" s="269"/>
      <c r="CW7" s="269"/>
      <c r="CX7" s="269"/>
      <c r="CY7" s="269"/>
      <c r="CZ7" s="269"/>
      <c r="DA7" s="269"/>
      <c r="DB7" s="269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O7" s="194"/>
    </row>
    <row r="8" spans="1:125" ht="20.100000000000001" customHeight="1">
      <c r="A8" s="134"/>
      <c r="B8" s="165"/>
      <c r="C8" s="160" t="s">
        <v>144</v>
      </c>
      <c r="D8" s="160"/>
      <c r="E8" s="160"/>
      <c r="F8" s="160"/>
      <c r="G8" s="160"/>
      <c r="H8" s="160"/>
      <c r="I8" s="160"/>
      <c r="J8" s="160"/>
      <c r="K8" s="160"/>
      <c r="L8" s="160"/>
      <c r="M8" s="163"/>
      <c r="N8" s="163"/>
      <c r="O8" s="163"/>
      <c r="P8" s="270" t="s">
        <v>149</v>
      </c>
      <c r="Q8" s="163"/>
      <c r="R8" s="163"/>
      <c r="S8" s="160"/>
      <c r="T8" s="160"/>
      <c r="U8" s="270" t="s">
        <v>150</v>
      </c>
      <c r="V8" s="160"/>
      <c r="W8" s="160"/>
      <c r="X8" s="160"/>
      <c r="Y8" s="160"/>
      <c r="Z8" s="270" t="s">
        <v>204</v>
      </c>
      <c r="AA8" s="163"/>
      <c r="AB8" s="160"/>
      <c r="AC8" s="160"/>
      <c r="AD8" s="160"/>
      <c r="AE8" s="160"/>
      <c r="AF8" s="160"/>
      <c r="AG8" s="160"/>
      <c r="AH8" s="160"/>
      <c r="AI8" s="160"/>
      <c r="AJ8" s="160"/>
      <c r="AK8" s="271" t="s">
        <v>225</v>
      </c>
      <c r="AL8" s="270"/>
      <c r="AM8" s="161"/>
      <c r="AN8" s="270" t="s">
        <v>226</v>
      </c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4"/>
      <c r="BH8" s="165"/>
      <c r="BI8" s="160" t="s">
        <v>144</v>
      </c>
      <c r="BJ8" s="160"/>
      <c r="BK8" s="160"/>
      <c r="BL8" s="160"/>
      <c r="BM8" s="160"/>
      <c r="BN8" s="160"/>
      <c r="BO8" s="160"/>
      <c r="BP8" s="160"/>
      <c r="BQ8" s="160"/>
      <c r="BR8" s="160"/>
      <c r="BS8" s="163"/>
      <c r="BT8" s="163"/>
      <c r="BU8" s="163"/>
      <c r="BV8" s="270" t="s">
        <v>149</v>
      </c>
      <c r="BW8" s="163"/>
      <c r="BX8" s="163"/>
      <c r="BY8" s="160"/>
      <c r="BZ8" s="160"/>
      <c r="CA8" s="270" t="s">
        <v>150</v>
      </c>
      <c r="CB8" s="160"/>
      <c r="CC8" s="160"/>
      <c r="CD8" s="160"/>
      <c r="CE8" s="160"/>
      <c r="CF8" s="270" t="s">
        <v>204</v>
      </c>
      <c r="CG8" s="163"/>
      <c r="CH8" s="160"/>
      <c r="CI8" s="160"/>
      <c r="CJ8" s="160"/>
      <c r="CK8" s="160"/>
      <c r="CL8" s="160"/>
      <c r="CM8" s="160"/>
      <c r="CN8" s="160"/>
      <c r="CO8" s="160"/>
      <c r="CP8" s="160"/>
      <c r="CQ8" s="163"/>
      <c r="CR8" s="161"/>
      <c r="CS8" s="270" t="s">
        <v>226</v>
      </c>
      <c r="CT8" s="270"/>
      <c r="CU8" s="163"/>
      <c r="CV8" s="163"/>
      <c r="CW8" s="163"/>
      <c r="CX8" s="163"/>
      <c r="CY8" s="163"/>
      <c r="CZ8" s="163"/>
      <c r="DA8" s="163"/>
      <c r="DB8" s="163"/>
      <c r="DC8" s="163"/>
      <c r="DD8" s="163"/>
      <c r="DE8" s="163"/>
      <c r="DF8" s="163"/>
      <c r="DG8" s="163"/>
      <c r="DH8" s="163"/>
      <c r="DI8" s="163"/>
      <c r="DJ8" s="163"/>
      <c r="DK8" s="163"/>
      <c r="DL8" s="163"/>
      <c r="DM8" s="164"/>
      <c r="DO8" s="194"/>
    </row>
    <row r="9" spans="1:125" ht="20.100000000000001" customHeight="1">
      <c r="A9" s="134"/>
      <c r="B9" s="159"/>
      <c r="C9" s="120" t="s">
        <v>227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272" t="s">
        <v>70</v>
      </c>
      <c r="Q9" s="120"/>
      <c r="R9" s="120"/>
      <c r="S9" s="120"/>
      <c r="T9" s="120"/>
      <c r="U9" s="273"/>
      <c r="V9" s="120"/>
      <c r="W9" s="120"/>
      <c r="X9" s="120"/>
      <c r="Y9" s="120"/>
      <c r="Z9" s="272" t="s">
        <v>228</v>
      </c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274"/>
      <c r="AL9" s="139"/>
      <c r="AM9" s="275"/>
      <c r="AN9" s="276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1"/>
      <c r="BH9" s="159"/>
      <c r="BI9" s="137" t="s">
        <v>229</v>
      </c>
      <c r="BJ9" s="137"/>
      <c r="BK9" s="137"/>
      <c r="BL9" s="137"/>
      <c r="BM9" s="137"/>
      <c r="BN9" s="137"/>
      <c r="BO9" s="137"/>
      <c r="BP9" s="137"/>
      <c r="BQ9" s="137"/>
      <c r="BR9" s="137"/>
      <c r="BS9" s="137"/>
      <c r="BT9" s="137"/>
      <c r="BU9" s="137"/>
      <c r="BV9" s="277" t="s">
        <v>47</v>
      </c>
      <c r="BW9" s="137"/>
      <c r="BX9" s="137"/>
      <c r="BY9" s="137"/>
      <c r="BZ9" s="137"/>
      <c r="CA9" s="277" t="s">
        <v>47</v>
      </c>
      <c r="CB9" s="137"/>
      <c r="CC9" s="137"/>
      <c r="CD9" s="137"/>
      <c r="CE9" s="137"/>
      <c r="CF9" s="277" t="s">
        <v>47</v>
      </c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278"/>
      <c r="CT9" s="130"/>
      <c r="CU9" s="130"/>
      <c r="CV9" s="130"/>
      <c r="CW9" s="130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1"/>
      <c r="DO9" s="194"/>
    </row>
    <row r="10" spans="1:125" ht="20.100000000000001" customHeight="1">
      <c r="A10" s="134"/>
      <c r="B10" s="159"/>
      <c r="C10" s="55" t="s">
        <v>138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37" t="s">
        <v>185</v>
      </c>
      <c r="Q10" s="56"/>
      <c r="R10" s="56"/>
      <c r="S10" s="56"/>
      <c r="T10" s="56"/>
      <c r="U10" s="273"/>
      <c r="V10" s="120"/>
      <c r="W10" s="120"/>
      <c r="X10" s="120"/>
      <c r="Y10" s="120"/>
      <c r="Z10" s="272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274"/>
      <c r="AL10" s="139"/>
      <c r="AM10" s="275"/>
      <c r="AN10" s="276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1"/>
      <c r="BH10" s="159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277"/>
      <c r="BW10" s="137"/>
      <c r="BX10" s="137"/>
      <c r="BY10" s="137"/>
      <c r="BZ10" s="137"/>
      <c r="CA10" s="277"/>
      <c r="CB10" s="137"/>
      <c r="CC10" s="137"/>
      <c r="CD10" s="137"/>
      <c r="CE10" s="137"/>
      <c r="CF10" s="27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278"/>
      <c r="CT10" s="130"/>
      <c r="CU10" s="130"/>
      <c r="CV10" s="130"/>
      <c r="CW10" s="130"/>
      <c r="CX10" s="130"/>
      <c r="CY10" s="130"/>
      <c r="CZ10" s="130"/>
      <c r="DA10" s="130"/>
      <c r="DB10" s="130"/>
      <c r="DC10" s="130"/>
      <c r="DD10" s="130"/>
      <c r="DE10" s="130"/>
      <c r="DF10" s="130"/>
      <c r="DG10" s="130"/>
      <c r="DH10" s="130"/>
      <c r="DI10" s="130"/>
      <c r="DJ10" s="130"/>
      <c r="DK10" s="130"/>
      <c r="DL10" s="130"/>
      <c r="DM10" s="131"/>
      <c r="DO10" s="194"/>
    </row>
    <row r="11" spans="1:125" ht="20.100000000000001" customHeight="1">
      <c r="A11" s="134"/>
      <c r="B11" s="159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277"/>
      <c r="Q11" s="137"/>
      <c r="R11" s="137"/>
      <c r="S11" s="137"/>
      <c r="T11" s="137"/>
      <c r="U11" s="279"/>
      <c r="V11" s="137"/>
      <c r="W11" s="137"/>
      <c r="X11" s="137"/>
      <c r="Y11" s="137"/>
      <c r="Z11" s="27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274"/>
      <c r="AL11" s="139"/>
      <c r="AM11" s="275"/>
      <c r="AN11" s="276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1"/>
      <c r="BH11" s="159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137"/>
      <c r="BT11" s="137"/>
      <c r="BU11" s="137"/>
      <c r="BV11" s="277"/>
      <c r="BW11" s="137"/>
      <c r="BX11" s="137"/>
      <c r="BY11" s="137"/>
      <c r="BZ11" s="137"/>
      <c r="CA11" s="277"/>
      <c r="CB11" s="137"/>
      <c r="CC11" s="137"/>
      <c r="CD11" s="137"/>
      <c r="CE11" s="137"/>
      <c r="CF11" s="277"/>
      <c r="CG11" s="137"/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280"/>
      <c r="CS11" s="278"/>
      <c r="CT11" s="130"/>
      <c r="CU11" s="130"/>
      <c r="CV11" s="130"/>
      <c r="CW11" s="130"/>
      <c r="CX11" s="130"/>
      <c r="CY11" s="130"/>
      <c r="CZ11" s="130"/>
      <c r="DA11" s="130"/>
      <c r="DB11" s="130"/>
      <c r="DC11" s="130"/>
      <c r="DD11" s="130"/>
      <c r="DE11" s="130"/>
      <c r="DF11" s="130"/>
      <c r="DG11" s="130"/>
      <c r="DH11" s="130"/>
      <c r="DI11" s="130"/>
      <c r="DJ11" s="130"/>
      <c r="DK11" s="130"/>
      <c r="DL11" s="130"/>
      <c r="DM11" s="131"/>
      <c r="DO11" s="194"/>
    </row>
    <row r="12" spans="1:125" ht="20.100000000000001" customHeight="1">
      <c r="A12" s="134"/>
      <c r="B12" s="159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272"/>
      <c r="Q12" s="120"/>
      <c r="R12" s="120"/>
      <c r="S12" s="120"/>
      <c r="T12" s="120"/>
      <c r="U12" s="273"/>
      <c r="V12" s="120"/>
      <c r="W12" s="120"/>
      <c r="X12" s="120"/>
      <c r="Y12" s="120"/>
      <c r="Z12" s="272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274"/>
      <c r="AL12" s="139"/>
      <c r="AM12" s="275"/>
      <c r="AN12" s="276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1"/>
      <c r="BH12" s="159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272"/>
      <c r="BW12" s="120"/>
      <c r="BX12" s="120"/>
      <c r="BY12" s="120"/>
      <c r="BZ12" s="120"/>
      <c r="CA12" s="277"/>
      <c r="CB12" s="120"/>
      <c r="CC12" s="120"/>
      <c r="CD12" s="120"/>
      <c r="CE12" s="120"/>
      <c r="CF12" s="272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278"/>
      <c r="CT12" s="130"/>
      <c r="CU12" s="130"/>
      <c r="CV12" s="130"/>
      <c r="CW12" s="130"/>
      <c r="CX12" s="130"/>
      <c r="CY12" s="130"/>
      <c r="CZ12" s="130"/>
      <c r="DA12" s="130"/>
      <c r="DB12" s="130"/>
      <c r="DC12" s="130"/>
      <c r="DD12" s="130"/>
      <c r="DE12" s="130"/>
      <c r="DF12" s="130"/>
      <c r="DG12" s="130"/>
      <c r="DH12" s="130"/>
      <c r="DI12" s="130"/>
      <c r="DJ12" s="130"/>
      <c r="DK12" s="130"/>
      <c r="DL12" s="130"/>
      <c r="DM12" s="131"/>
      <c r="DO12" s="194"/>
    </row>
    <row r="13" spans="1:125" ht="20.100000000000001" customHeight="1">
      <c r="A13" s="134"/>
      <c r="B13" s="159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272"/>
      <c r="Q13" s="120"/>
      <c r="R13" s="120"/>
      <c r="S13" s="120"/>
      <c r="T13" s="120"/>
      <c r="U13" s="273"/>
      <c r="V13" s="120"/>
      <c r="W13" s="120"/>
      <c r="X13" s="120"/>
      <c r="Y13" s="120"/>
      <c r="Z13" s="272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274"/>
      <c r="AL13" s="139"/>
      <c r="AM13" s="275"/>
      <c r="AN13" s="276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1"/>
      <c r="BH13" s="159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272"/>
      <c r="BW13" s="120"/>
      <c r="BX13" s="120"/>
      <c r="BY13" s="120"/>
      <c r="BZ13" s="120"/>
      <c r="CA13" s="277"/>
      <c r="CB13" s="120"/>
      <c r="CC13" s="120"/>
      <c r="CD13" s="120"/>
      <c r="CE13" s="120"/>
      <c r="CF13" s="272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278"/>
      <c r="CT13" s="130"/>
      <c r="CU13" s="130"/>
      <c r="CV13" s="130"/>
      <c r="CW13" s="130"/>
      <c r="CX13" s="130"/>
      <c r="CY13" s="130"/>
      <c r="CZ13" s="130"/>
      <c r="DA13" s="130"/>
      <c r="DB13" s="130"/>
      <c r="DC13" s="130"/>
      <c r="DD13" s="130"/>
      <c r="DE13" s="130"/>
      <c r="DF13" s="130"/>
      <c r="DG13" s="130"/>
      <c r="DH13" s="130"/>
      <c r="DI13" s="130"/>
      <c r="DJ13" s="130"/>
      <c r="DK13" s="130"/>
      <c r="DL13" s="130"/>
      <c r="DM13" s="131"/>
      <c r="DO13" s="194"/>
    </row>
    <row r="14" spans="1:125" ht="20.100000000000001" customHeight="1">
      <c r="A14" s="134"/>
      <c r="B14" s="159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272"/>
      <c r="Q14" s="120"/>
      <c r="R14" s="120"/>
      <c r="S14" s="120"/>
      <c r="T14" s="120"/>
      <c r="U14" s="273"/>
      <c r="V14" s="120"/>
      <c r="W14" s="120"/>
      <c r="X14" s="120"/>
      <c r="Y14" s="120"/>
      <c r="Z14" s="272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274"/>
      <c r="AL14" s="139"/>
      <c r="AM14" s="275"/>
      <c r="AN14" s="276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1"/>
      <c r="BH14" s="159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272"/>
      <c r="BW14" s="120"/>
      <c r="BX14" s="120"/>
      <c r="BY14" s="120"/>
      <c r="BZ14" s="120"/>
      <c r="CA14" s="277"/>
      <c r="CB14" s="120"/>
      <c r="CC14" s="120"/>
      <c r="CD14" s="120"/>
      <c r="CE14" s="120"/>
      <c r="CF14" s="272"/>
      <c r="CG14" s="120"/>
      <c r="CH14" s="120"/>
      <c r="CI14" s="120"/>
      <c r="CJ14" s="120"/>
      <c r="CK14" s="120"/>
      <c r="CL14" s="120"/>
      <c r="CM14" s="120"/>
      <c r="CN14" s="120"/>
      <c r="CO14" s="120"/>
      <c r="CP14" s="120"/>
      <c r="CQ14" s="120"/>
      <c r="CR14" s="120"/>
      <c r="CS14" s="278"/>
      <c r="CT14" s="130"/>
      <c r="CU14" s="130"/>
      <c r="CV14" s="130"/>
      <c r="CW14" s="130"/>
      <c r="CX14" s="130"/>
      <c r="CY14" s="130"/>
      <c r="CZ14" s="130"/>
      <c r="DA14" s="130"/>
      <c r="DB14" s="130"/>
      <c r="DC14" s="130"/>
      <c r="DD14" s="130"/>
      <c r="DE14" s="130"/>
      <c r="DF14" s="130"/>
      <c r="DG14" s="130"/>
      <c r="DH14" s="130"/>
      <c r="DI14" s="130"/>
      <c r="DJ14" s="130"/>
      <c r="DK14" s="130"/>
      <c r="DL14" s="130"/>
      <c r="DM14" s="131"/>
      <c r="DO14" s="194"/>
    </row>
    <row r="15" spans="1:125" ht="20.100000000000001" customHeight="1">
      <c r="A15" s="134"/>
      <c r="B15" s="159"/>
      <c r="C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272"/>
      <c r="Q15" s="120"/>
      <c r="R15" s="120"/>
      <c r="S15" s="120"/>
      <c r="T15" s="120"/>
      <c r="U15" s="273"/>
      <c r="V15" s="120"/>
      <c r="W15" s="120"/>
      <c r="X15" s="120"/>
      <c r="Y15" s="120"/>
      <c r="Z15" s="272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274"/>
      <c r="AL15" s="139"/>
      <c r="AM15" s="275"/>
      <c r="AN15" s="276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1"/>
      <c r="BH15" s="159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272"/>
      <c r="BW15" s="120"/>
      <c r="BX15" s="120"/>
      <c r="BY15" s="120"/>
      <c r="BZ15" s="120"/>
      <c r="CA15" s="277"/>
      <c r="CB15" s="120"/>
      <c r="CC15" s="120"/>
      <c r="CD15" s="120"/>
      <c r="CE15" s="120"/>
      <c r="CF15" s="272"/>
      <c r="CG15" s="120"/>
      <c r="CH15" s="120"/>
      <c r="CI15" s="120"/>
      <c r="CJ15" s="120"/>
      <c r="CK15" s="120"/>
      <c r="CL15" s="120"/>
      <c r="CM15" s="120"/>
      <c r="CN15" s="120"/>
      <c r="CO15" s="120"/>
      <c r="CP15" s="120"/>
      <c r="CQ15" s="120"/>
      <c r="CR15" s="120"/>
      <c r="CS15" s="278"/>
      <c r="CT15" s="130"/>
      <c r="CU15" s="130"/>
      <c r="CV15" s="130"/>
      <c r="CW15" s="130"/>
      <c r="CX15" s="130"/>
      <c r="CY15" s="130"/>
      <c r="CZ15" s="130"/>
      <c r="DA15" s="130"/>
      <c r="DB15" s="130"/>
      <c r="DC15" s="130"/>
      <c r="DD15" s="130"/>
      <c r="DE15" s="130"/>
      <c r="DF15" s="130"/>
      <c r="DG15" s="130"/>
      <c r="DH15" s="130"/>
      <c r="DI15" s="130"/>
      <c r="DJ15" s="130"/>
      <c r="DK15" s="130"/>
      <c r="DL15" s="130"/>
      <c r="DM15" s="131"/>
      <c r="DO15" s="194"/>
    </row>
    <row r="16" spans="1:125" ht="20.100000000000001" customHeight="1">
      <c r="A16" s="134"/>
      <c r="B16" s="159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272"/>
      <c r="Q16" s="120"/>
      <c r="R16" s="120"/>
      <c r="S16" s="120"/>
      <c r="T16" s="120"/>
      <c r="U16" s="273"/>
      <c r="V16" s="120"/>
      <c r="W16" s="120"/>
      <c r="X16" s="120"/>
      <c r="Y16" s="120"/>
      <c r="Z16" s="272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274"/>
      <c r="AL16" s="139"/>
      <c r="AM16" s="275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1"/>
      <c r="BH16" s="159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272"/>
      <c r="BW16" s="120"/>
      <c r="BX16" s="120"/>
      <c r="BY16" s="120"/>
      <c r="BZ16" s="120"/>
      <c r="CA16" s="277"/>
      <c r="CB16" s="120"/>
      <c r="CC16" s="120"/>
      <c r="CD16" s="120"/>
      <c r="CE16" s="120"/>
      <c r="CF16" s="272"/>
      <c r="CG16" s="120"/>
      <c r="CH16" s="120"/>
      <c r="CI16" s="120"/>
      <c r="CJ16" s="120"/>
      <c r="CK16" s="120"/>
      <c r="CL16" s="120"/>
      <c r="CM16" s="120"/>
      <c r="CN16" s="120"/>
      <c r="CO16" s="120"/>
      <c r="CP16" s="120"/>
      <c r="CQ16" s="120"/>
      <c r="CR16" s="120"/>
      <c r="CS16" s="278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1"/>
      <c r="DO16" s="194"/>
    </row>
    <row r="17" spans="1:119" ht="20.100000000000001" customHeight="1">
      <c r="A17" s="134"/>
      <c r="B17" s="281" t="s">
        <v>230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269"/>
      <c r="BH17" s="268" t="s">
        <v>231</v>
      </c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7"/>
      <c r="DH17" s="167"/>
      <c r="DI17" s="167"/>
      <c r="DJ17" s="167"/>
      <c r="DK17" s="167"/>
      <c r="DL17" s="167"/>
      <c r="DM17" s="282"/>
      <c r="DO17" s="194"/>
    </row>
    <row r="18" spans="1:119" ht="20.100000000000001" customHeight="1">
      <c r="A18" s="134"/>
      <c r="B18" s="159"/>
      <c r="C18" s="283" t="s">
        <v>257</v>
      </c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3"/>
      <c r="S18" s="283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3"/>
      <c r="AX18" s="283"/>
      <c r="AY18" s="283"/>
      <c r="AZ18" s="283"/>
      <c r="BA18" s="283"/>
      <c r="BB18" s="283"/>
      <c r="BC18" s="283"/>
      <c r="BD18" s="283"/>
      <c r="BE18" s="283"/>
      <c r="BF18" s="283"/>
      <c r="BG18" s="284"/>
      <c r="BH18" s="285"/>
      <c r="BI18" s="163" t="s">
        <v>232</v>
      </c>
      <c r="BJ18" s="163"/>
      <c r="BK18" s="163"/>
      <c r="BL18" s="163"/>
      <c r="BM18" s="163"/>
      <c r="BN18" s="163"/>
      <c r="BO18" s="163"/>
      <c r="BP18" s="163"/>
      <c r="BQ18" s="270" t="s">
        <v>233</v>
      </c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3"/>
      <c r="CL18" s="163"/>
      <c r="CM18" s="163"/>
      <c r="CN18" s="163"/>
      <c r="CO18" s="163"/>
      <c r="CP18" s="163"/>
      <c r="CQ18" s="163"/>
      <c r="CR18" s="163"/>
      <c r="CS18" s="270" t="s">
        <v>234</v>
      </c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63"/>
      <c r="DJ18" s="163"/>
      <c r="DK18" s="163"/>
      <c r="DL18" s="163"/>
      <c r="DM18" s="163"/>
      <c r="DO18" s="194"/>
    </row>
    <row r="19" spans="1:119" ht="20.100000000000001" customHeight="1">
      <c r="A19" s="134"/>
      <c r="B19" s="159"/>
      <c r="D19" s="118" t="s">
        <v>235</v>
      </c>
      <c r="BG19" s="286"/>
      <c r="BH19" s="159"/>
      <c r="BI19" s="138" t="s">
        <v>56</v>
      </c>
      <c r="BJ19" s="138"/>
      <c r="BK19" s="138"/>
      <c r="BL19" s="138"/>
      <c r="BM19" s="138"/>
      <c r="BN19" s="138"/>
      <c r="BO19" s="138"/>
      <c r="BP19" s="138"/>
      <c r="BQ19" s="287" t="s">
        <v>236</v>
      </c>
      <c r="BR19" s="288"/>
      <c r="BS19" s="288"/>
      <c r="BT19" s="288"/>
      <c r="BU19" s="288"/>
      <c r="BV19" s="288"/>
      <c r="BW19" s="288"/>
      <c r="BX19" s="288"/>
      <c r="BY19" s="288"/>
      <c r="BZ19" s="288"/>
      <c r="CA19" s="288"/>
      <c r="CB19" s="288"/>
      <c r="CC19" s="288"/>
      <c r="CD19" s="288"/>
      <c r="CE19" s="288"/>
      <c r="CF19" s="288"/>
      <c r="CG19" s="288"/>
      <c r="CH19" s="288"/>
      <c r="CI19" s="288"/>
      <c r="CJ19" s="288"/>
      <c r="CK19" s="288"/>
      <c r="CL19" s="288"/>
      <c r="CM19" s="288"/>
      <c r="CN19" s="288"/>
      <c r="CO19" s="288"/>
      <c r="CP19" s="288"/>
      <c r="CQ19" s="288"/>
      <c r="CR19" s="289"/>
      <c r="CS19" s="288"/>
      <c r="CT19" s="288"/>
      <c r="CU19" s="288"/>
      <c r="CV19" s="288"/>
      <c r="CW19" s="288"/>
      <c r="CX19" s="288"/>
      <c r="CY19" s="288"/>
      <c r="CZ19" s="288"/>
      <c r="DA19" s="288"/>
      <c r="DB19" s="288"/>
      <c r="DC19" s="288"/>
      <c r="DD19" s="288"/>
      <c r="DE19" s="288"/>
      <c r="DF19" s="288"/>
      <c r="DG19" s="288"/>
      <c r="DH19" s="288"/>
      <c r="DI19" s="288"/>
      <c r="DJ19" s="288"/>
      <c r="DK19" s="288"/>
      <c r="DL19" s="288"/>
      <c r="DM19" s="290"/>
      <c r="DO19" s="194"/>
    </row>
    <row r="20" spans="1:119" ht="20.100000000000001" customHeight="1">
      <c r="A20" s="134"/>
      <c r="B20" s="159"/>
      <c r="D20" s="118" t="s">
        <v>237</v>
      </c>
      <c r="BG20" s="286"/>
      <c r="BH20" s="159"/>
      <c r="BI20" s="138"/>
      <c r="BJ20" s="138"/>
      <c r="BK20" s="138"/>
      <c r="BL20" s="138"/>
      <c r="BM20" s="138"/>
      <c r="BN20" s="138"/>
      <c r="BO20" s="138"/>
      <c r="BP20" s="138"/>
      <c r="BQ20" s="287"/>
      <c r="BR20" s="288"/>
      <c r="BS20" s="288"/>
      <c r="BT20" s="288"/>
      <c r="BU20" s="288"/>
      <c r="BV20" s="288"/>
      <c r="BW20" s="288"/>
      <c r="BX20" s="288"/>
      <c r="BY20" s="288"/>
      <c r="BZ20" s="288"/>
      <c r="CA20" s="288"/>
      <c r="CB20" s="288"/>
      <c r="CC20" s="288"/>
      <c r="CD20" s="288"/>
      <c r="CE20" s="288"/>
      <c r="CF20" s="288"/>
      <c r="CG20" s="288"/>
      <c r="CH20" s="288"/>
      <c r="CI20" s="288"/>
      <c r="CJ20" s="288"/>
      <c r="CK20" s="288"/>
      <c r="CL20" s="288"/>
      <c r="CM20" s="288"/>
      <c r="CN20" s="288"/>
      <c r="CO20" s="288"/>
      <c r="CP20" s="288"/>
      <c r="CQ20" s="288"/>
      <c r="CR20" s="289"/>
      <c r="CS20" s="288"/>
      <c r="CT20" s="288"/>
      <c r="CU20" s="288"/>
      <c r="CV20" s="288"/>
      <c r="CW20" s="288"/>
      <c r="CX20" s="288"/>
      <c r="CY20" s="288"/>
      <c r="CZ20" s="288"/>
      <c r="DA20" s="288"/>
      <c r="DB20" s="288"/>
      <c r="DC20" s="288"/>
      <c r="DD20" s="288"/>
      <c r="DE20" s="288"/>
      <c r="DF20" s="288"/>
      <c r="DG20" s="288"/>
      <c r="DH20" s="288"/>
      <c r="DI20" s="288"/>
      <c r="DJ20" s="288"/>
      <c r="DK20" s="288"/>
      <c r="DL20" s="288"/>
      <c r="DM20" s="290"/>
      <c r="DO20" s="194"/>
    </row>
    <row r="21" spans="1:119" s="291" customFormat="1" ht="20.100000000000001" customHeight="1">
      <c r="B21" s="292"/>
      <c r="D21" s="118" t="s">
        <v>238</v>
      </c>
      <c r="BG21" s="293"/>
      <c r="BH21" s="292"/>
      <c r="BI21" s="294"/>
      <c r="BJ21" s="294"/>
      <c r="BK21" s="294"/>
      <c r="BL21" s="294"/>
      <c r="BM21" s="294"/>
      <c r="BN21" s="294"/>
      <c r="BO21" s="294"/>
      <c r="BP21" s="294"/>
      <c r="BQ21" s="295"/>
      <c r="BR21" s="296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  <c r="CO21" s="296"/>
      <c r="CP21" s="296"/>
      <c r="CQ21" s="296"/>
      <c r="CR21" s="297"/>
      <c r="CS21" s="296"/>
      <c r="CT21" s="296"/>
      <c r="CU21" s="296"/>
      <c r="CV21" s="296"/>
      <c r="CW21" s="296"/>
      <c r="CX21" s="296"/>
      <c r="CY21" s="296"/>
      <c r="CZ21" s="296"/>
      <c r="DA21" s="296"/>
      <c r="DB21" s="296"/>
      <c r="DC21" s="296"/>
      <c r="DD21" s="296"/>
      <c r="DE21" s="296"/>
      <c r="DF21" s="296"/>
      <c r="DG21" s="296"/>
      <c r="DH21" s="296"/>
      <c r="DI21" s="296"/>
      <c r="DJ21" s="296"/>
      <c r="DK21" s="296"/>
      <c r="DL21" s="296"/>
      <c r="DM21" s="298"/>
      <c r="DO21" s="299"/>
    </row>
    <row r="22" spans="1:119" ht="20.100000000000001" customHeight="1">
      <c r="A22" s="134"/>
      <c r="B22" s="159"/>
      <c r="BG22" s="286"/>
      <c r="BH22" s="159"/>
      <c r="BI22" s="138"/>
      <c r="BJ22" s="138"/>
      <c r="BK22" s="138"/>
      <c r="BL22" s="138"/>
      <c r="BM22" s="138"/>
      <c r="BN22" s="138"/>
      <c r="BO22" s="138"/>
      <c r="BP22" s="138"/>
      <c r="BQ22" s="287"/>
      <c r="BR22" s="288"/>
      <c r="BS22" s="288"/>
      <c r="BT22" s="288"/>
      <c r="BU22" s="288"/>
      <c r="BV22" s="288"/>
      <c r="BW22" s="288"/>
      <c r="BX22" s="288"/>
      <c r="BY22" s="288"/>
      <c r="BZ22" s="288"/>
      <c r="CA22" s="288"/>
      <c r="CB22" s="288"/>
      <c r="CC22" s="288"/>
      <c r="CD22" s="288"/>
      <c r="CE22" s="288"/>
      <c r="CF22" s="288"/>
      <c r="CG22" s="288"/>
      <c r="CH22" s="288"/>
      <c r="CI22" s="288"/>
      <c r="CJ22" s="288"/>
      <c r="CK22" s="288"/>
      <c r="CL22" s="288"/>
      <c r="CM22" s="288"/>
      <c r="CN22" s="288"/>
      <c r="CO22" s="288"/>
      <c r="CP22" s="288"/>
      <c r="CQ22" s="288"/>
      <c r="CR22" s="289"/>
      <c r="CS22" s="288"/>
      <c r="CT22" s="288"/>
      <c r="CU22" s="288"/>
      <c r="CV22" s="288"/>
      <c r="CW22" s="288"/>
      <c r="CX22" s="288"/>
      <c r="CY22" s="288"/>
      <c r="CZ22" s="288"/>
      <c r="DA22" s="288"/>
      <c r="DB22" s="288"/>
      <c r="DC22" s="288"/>
      <c r="DD22" s="288"/>
      <c r="DE22" s="288"/>
      <c r="DF22" s="288"/>
      <c r="DG22" s="288"/>
      <c r="DH22" s="288"/>
      <c r="DI22" s="288"/>
      <c r="DJ22" s="288"/>
      <c r="DK22" s="288"/>
      <c r="DL22" s="288"/>
      <c r="DM22" s="290"/>
      <c r="DO22" s="194"/>
    </row>
    <row r="23" spans="1:119" s="291" customFormat="1" ht="20.100000000000001" customHeight="1">
      <c r="B23" s="292"/>
      <c r="BG23" s="293"/>
      <c r="BH23" s="292"/>
      <c r="BI23" s="300"/>
      <c r="BJ23" s="300"/>
      <c r="BK23" s="300"/>
      <c r="BL23" s="300"/>
      <c r="BM23" s="300"/>
      <c r="BN23" s="300"/>
      <c r="BO23" s="300"/>
      <c r="BP23" s="300"/>
      <c r="BQ23" s="301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  <c r="CO23" s="302"/>
      <c r="CP23" s="302"/>
      <c r="CQ23" s="302"/>
      <c r="CR23" s="303"/>
      <c r="CS23" s="302"/>
      <c r="CT23" s="302"/>
      <c r="CU23" s="302"/>
      <c r="CV23" s="302"/>
      <c r="CW23" s="302"/>
      <c r="CX23" s="302"/>
      <c r="CY23" s="302"/>
      <c r="CZ23" s="302"/>
      <c r="DA23" s="302"/>
      <c r="DB23" s="302"/>
      <c r="DC23" s="302"/>
      <c r="DD23" s="302"/>
      <c r="DE23" s="302"/>
      <c r="DF23" s="302"/>
      <c r="DG23" s="302"/>
      <c r="DH23" s="302"/>
      <c r="DI23" s="302"/>
      <c r="DJ23" s="302"/>
      <c r="DK23" s="302"/>
      <c r="DL23" s="302"/>
      <c r="DM23" s="304"/>
      <c r="DO23" s="299"/>
    </row>
    <row r="24" spans="1:119" ht="20.100000000000001" customHeight="1">
      <c r="B24" s="159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305"/>
      <c r="AU24" s="305"/>
      <c r="AV24" s="305"/>
      <c r="AW24" s="305"/>
      <c r="AX24" s="305"/>
      <c r="AY24" s="305"/>
      <c r="AZ24" s="305"/>
      <c r="BA24" s="305"/>
      <c r="BB24" s="305"/>
      <c r="BC24" s="305"/>
      <c r="BD24" s="305"/>
      <c r="BE24" s="305"/>
      <c r="BF24" s="305"/>
      <c r="BG24" s="306"/>
      <c r="BH24" s="159"/>
      <c r="BI24" s="307"/>
      <c r="BJ24" s="307"/>
      <c r="BK24" s="307"/>
      <c r="BL24" s="307"/>
      <c r="BM24" s="307"/>
      <c r="BN24" s="307"/>
      <c r="BO24" s="307"/>
      <c r="BP24" s="307"/>
      <c r="BQ24" s="308"/>
      <c r="BR24" s="307"/>
      <c r="BS24" s="307"/>
      <c r="BT24" s="307"/>
      <c r="BU24" s="307"/>
      <c r="BV24" s="307"/>
      <c r="BW24" s="307"/>
      <c r="BX24" s="307"/>
      <c r="BY24" s="307"/>
      <c r="BZ24" s="307"/>
      <c r="CA24" s="307"/>
      <c r="CB24" s="307"/>
      <c r="CC24" s="307"/>
      <c r="CD24" s="307"/>
      <c r="CE24" s="307"/>
      <c r="CF24" s="307"/>
      <c r="CG24" s="307"/>
      <c r="CH24" s="307"/>
      <c r="CI24" s="307"/>
      <c r="CJ24" s="307"/>
      <c r="CK24" s="307"/>
      <c r="CL24" s="307"/>
      <c r="CM24" s="307"/>
      <c r="CN24" s="307"/>
      <c r="CO24" s="307"/>
      <c r="CP24" s="307"/>
      <c r="CQ24" s="307"/>
      <c r="CR24" s="309"/>
      <c r="CS24" s="307"/>
      <c r="CT24" s="307"/>
      <c r="CU24" s="307"/>
      <c r="CV24" s="307"/>
      <c r="CW24" s="307"/>
      <c r="CX24" s="307"/>
      <c r="CY24" s="307"/>
      <c r="CZ24" s="307"/>
      <c r="DA24" s="307"/>
      <c r="DB24" s="307"/>
      <c r="DC24" s="307"/>
      <c r="DD24" s="307"/>
      <c r="DE24" s="307"/>
      <c r="DF24" s="307"/>
      <c r="DG24" s="307"/>
      <c r="DH24" s="307"/>
      <c r="DI24" s="307"/>
      <c r="DJ24" s="307"/>
      <c r="DK24" s="307"/>
      <c r="DL24" s="307"/>
      <c r="DM24" s="310"/>
      <c r="DO24" s="194"/>
    </row>
    <row r="25" spans="1:119" ht="20.100000000000001" customHeight="1">
      <c r="DO25" s="194"/>
    </row>
    <row r="26" spans="1:119" ht="20.100000000000001" customHeight="1">
      <c r="DO26" s="194"/>
    </row>
    <row r="27" spans="1:119" ht="20.100000000000001" customHeight="1">
      <c r="A27" s="116" t="s">
        <v>143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311"/>
    </row>
    <row r="28" spans="1:119" ht="20.100000000000001" customHeight="1">
      <c r="DO28" s="194"/>
    </row>
    <row r="29" spans="1:119" ht="20.100000000000001" customHeight="1">
      <c r="B29" s="312" t="s">
        <v>239</v>
      </c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3"/>
      <c r="BE29" s="313"/>
      <c r="BF29" s="313"/>
      <c r="BG29" s="313"/>
      <c r="BH29" s="312" t="s">
        <v>240</v>
      </c>
      <c r="BI29" s="313"/>
      <c r="BJ29" s="313"/>
      <c r="BK29" s="313"/>
      <c r="BL29" s="313"/>
      <c r="BM29" s="313"/>
      <c r="BN29" s="313"/>
      <c r="BO29" s="313"/>
      <c r="BP29" s="313"/>
      <c r="BQ29" s="313"/>
      <c r="BR29" s="313"/>
      <c r="BS29" s="313"/>
      <c r="BT29" s="313"/>
      <c r="BU29" s="313"/>
      <c r="BV29" s="313"/>
      <c r="BW29" s="313"/>
      <c r="BX29" s="313"/>
      <c r="BY29" s="313"/>
      <c r="BZ29" s="313"/>
      <c r="CA29" s="313"/>
      <c r="CB29" s="313"/>
      <c r="CC29" s="313"/>
      <c r="CD29" s="313"/>
      <c r="CE29" s="313"/>
      <c r="CF29" s="313"/>
      <c r="CG29" s="313"/>
      <c r="CH29" s="313"/>
      <c r="CI29" s="313"/>
      <c r="CJ29" s="313"/>
      <c r="CK29" s="313"/>
      <c r="CL29" s="313"/>
      <c r="CM29" s="313"/>
      <c r="CN29" s="313"/>
      <c r="CO29" s="313"/>
      <c r="CP29" s="313"/>
      <c r="CQ29" s="313"/>
      <c r="CR29" s="313"/>
      <c r="CS29" s="313"/>
      <c r="CT29" s="313"/>
      <c r="CU29" s="313"/>
      <c r="CV29" s="313"/>
      <c r="CW29" s="313"/>
      <c r="CX29" s="313"/>
      <c r="CY29" s="313"/>
      <c r="CZ29" s="313"/>
      <c r="DA29" s="313"/>
      <c r="DB29" s="313"/>
      <c r="DC29" s="313"/>
      <c r="DD29" s="313"/>
      <c r="DE29" s="313"/>
      <c r="DF29" s="313"/>
      <c r="DG29" s="313"/>
      <c r="DH29" s="313"/>
      <c r="DI29" s="313"/>
      <c r="DJ29" s="313"/>
      <c r="DK29" s="313"/>
      <c r="DL29" s="313"/>
      <c r="DM29" s="314"/>
      <c r="DO29" s="194"/>
    </row>
    <row r="30" spans="1:119" ht="20.100000000000001" customHeight="1">
      <c r="B30" s="315"/>
      <c r="C30" s="117" t="s">
        <v>144</v>
      </c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316"/>
      <c r="V30" s="117" t="s">
        <v>145</v>
      </c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317"/>
      <c r="AL30" s="117"/>
      <c r="AM30" s="117"/>
      <c r="AN30" s="117"/>
      <c r="AO30" s="117"/>
      <c r="AP30" s="117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  <c r="BA30" s="318"/>
      <c r="BB30" s="318"/>
      <c r="BC30" s="318"/>
      <c r="BD30" s="318"/>
      <c r="BE30" s="318"/>
      <c r="BF30" s="318"/>
      <c r="BG30" s="319"/>
      <c r="BH30" s="315"/>
      <c r="BI30" s="320" t="s">
        <v>144</v>
      </c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316"/>
      <c r="CB30" s="117" t="s">
        <v>145</v>
      </c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317"/>
      <c r="CR30" s="117"/>
      <c r="CS30" s="117"/>
      <c r="CT30" s="117"/>
      <c r="CU30" s="117"/>
      <c r="CV30" s="117"/>
      <c r="CW30" s="318"/>
      <c r="CX30" s="318"/>
      <c r="CY30" s="318"/>
      <c r="CZ30" s="318"/>
      <c r="DA30" s="318"/>
      <c r="DB30" s="318"/>
      <c r="DC30" s="318"/>
      <c r="DD30" s="318"/>
      <c r="DE30" s="318"/>
      <c r="DF30" s="318"/>
      <c r="DG30" s="318"/>
      <c r="DH30" s="318"/>
      <c r="DI30" s="318"/>
      <c r="DJ30" s="318"/>
      <c r="DK30" s="318"/>
      <c r="DL30" s="318"/>
      <c r="DM30" s="319"/>
      <c r="DO30" s="194"/>
    </row>
    <row r="31" spans="1:119" ht="20.100000000000001" customHeight="1">
      <c r="B31" s="315"/>
      <c r="C31" s="120" t="s">
        <v>241</v>
      </c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6"/>
      <c r="V31" s="321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1"/>
      <c r="AL31" s="121"/>
      <c r="AM31" s="122"/>
      <c r="AN31" s="123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5"/>
      <c r="BH31" s="315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6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1"/>
      <c r="CR31" s="121"/>
      <c r="CS31" s="122"/>
      <c r="CT31" s="123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5"/>
      <c r="DO31" s="194"/>
    </row>
    <row r="32" spans="1:119" ht="20.100000000000001" customHeight="1">
      <c r="B32" s="315"/>
      <c r="U32" s="119"/>
      <c r="V32" s="120"/>
      <c r="AK32" s="127"/>
      <c r="AL32" s="127"/>
      <c r="AM32" s="128"/>
      <c r="AN32" s="129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1"/>
      <c r="BH32" s="315"/>
      <c r="CA32" s="119"/>
      <c r="CQ32" s="127"/>
      <c r="CR32" s="127"/>
      <c r="CS32" s="128"/>
      <c r="CT32" s="129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1"/>
      <c r="DO32" s="194"/>
    </row>
    <row r="33" spans="1:119" ht="20.100000000000001" customHeight="1">
      <c r="B33" s="315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6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1"/>
      <c r="AL33" s="121"/>
      <c r="AM33" s="122"/>
      <c r="AN33" s="123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5"/>
      <c r="BH33" s="315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6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1"/>
      <c r="CR33" s="121"/>
      <c r="CS33" s="122"/>
      <c r="CT33" s="123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5"/>
      <c r="DO33" s="194"/>
    </row>
    <row r="34" spans="1:119" ht="20.100000000000001" customHeight="1">
      <c r="B34" s="315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6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1"/>
      <c r="AL34" s="121"/>
      <c r="AM34" s="122"/>
      <c r="AN34" s="123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5"/>
      <c r="BH34" s="315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6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1"/>
      <c r="CR34" s="121"/>
      <c r="CS34" s="122"/>
      <c r="CT34" s="123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5"/>
      <c r="DO34" s="194"/>
    </row>
    <row r="35" spans="1:119" ht="20.100000000000001" customHeight="1">
      <c r="B35" s="315"/>
      <c r="C35" s="132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6"/>
      <c r="V35" s="133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1"/>
      <c r="AL35" s="121"/>
      <c r="AM35" s="122"/>
      <c r="AN35" s="123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5"/>
      <c r="BH35" s="315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6"/>
      <c r="CB35" s="120"/>
      <c r="CC35" s="120"/>
      <c r="CD35" s="120"/>
      <c r="CE35" s="120"/>
      <c r="CF35" s="120"/>
      <c r="CG35" s="120"/>
      <c r="CH35" s="120"/>
      <c r="CI35" s="120"/>
      <c r="CJ35" s="120"/>
      <c r="CK35" s="120"/>
      <c r="CL35" s="120"/>
      <c r="CM35" s="120"/>
      <c r="CN35" s="120"/>
      <c r="CO35" s="120"/>
      <c r="CP35" s="120"/>
      <c r="CQ35" s="121"/>
      <c r="CR35" s="121"/>
      <c r="CS35" s="122"/>
      <c r="CT35" s="123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5"/>
      <c r="DO35" s="194"/>
    </row>
    <row r="36" spans="1:119" ht="20.100000000000001" customHeight="1">
      <c r="B36" s="315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6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1"/>
      <c r="AL36" s="121"/>
      <c r="AM36" s="122"/>
      <c r="AN36" s="123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5"/>
      <c r="BH36" s="315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6"/>
      <c r="CB36" s="120"/>
      <c r="CC36" s="120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1"/>
      <c r="CR36" s="121"/>
      <c r="CS36" s="122"/>
      <c r="CT36" s="123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5"/>
      <c r="DO36" s="194"/>
    </row>
    <row r="37" spans="1:119" ht="20.100000000000001" customHeight="1">
      <c r="B37" s="315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6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315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6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1"/>
      <c r="CR37" s="121"/>
      <c r="CS37" s="122"/>
      <c r="CT37" s="123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5"/>
      <c r="DO37" s="194"/>
    </row>
    <row r="38" spans="1:119" ht="20.100000000000001" customHeight="1">
      <c r="B38" s="315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315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1"/>
      <c r="CR38" s="121"/>
      <c r="CS38" s="122"/>
      <c r="CT38" s="123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5"/>
      <c r="DO38" s="194"/>
    </row>
    <row r="39" spans="1:119" ht="20.100000000000001" customHeight="1">
      <c r="A39" s="134"/>
      <c r="B39" s="322" t="s">
        <v>147</v>
      </c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18"/>
      <c r="BK39" s="318"/>
      <c r="BL39" s="318"/>
      <c r="BM39" s="318"/>
      <c r="BN39" s="318"/>
      <c r="BO39" s="318"/>
      <c r="BP39" s="318"/>
      <c r="BQ39" s="318"/>
      <c r="BR39" s="318"/>
      <c r="BS39" s="318"/>
      <c r="BT39" s="318"/>
      <c r="BU39" s="318"/>
      <c r="BV39" s="318"/>
      <c r="BW39" s="318"/>
      <c r="BX39" s="318"/>
      <c r="BY39" s="318"/>
      <c r="BZ39" s="318"/>
      <c r="CA39" s="318"/>
      <c r="CB39" s="318"/>
      <c r="CC39" s="318"/>
      <c r="CD39" s="318"/>
      <c r="CE39" s="318"/>
      <c r="CF39" s="318"/>
      <c r="CG39" s="318"/>
      <c r="CH39" s="318"/>
      <c r="CI39" s="318"/>
      <c r="CJ39" s="318"/>
      <c r="CK39" s="318"/>
      <c r="CL39" s="318"/>
      <c r="CM39" s="318"/>
      <c r="CN39" s="318"/>
      <c r="CO39" s="318"/>
      <c r="CP39" s="318"/>
      <c r="CQ39" s="324"/>
      <c r="CR39" s="324"/>
      <c r="CS39" s="325"/>
      <c r="CT39" s="326"/>
      <c r="CU39" s="327"/>
      <c r="CV39" s="327"/>
      <c r="CW39" s="327"/>
      <c r="CX39" s="327"/>
      <c r="CY39" s="327"/>
      <c r="CZ39" s="327"/>
      <c r="DA39" s="327"/>
      <c r="DB39" s="327"/>
      <c r="DC39" s="327"/>
      <c r="DD39" s="327"/>
      <c r="DE39" s="327"/>
      <c r="DF39" s="327"/>
      <c r="DG39" s="327"/>
      <c r="DH39" s="327"/>
      <c r="DI39" s="327"/>
      <c r="DJ39" s="327"/>
      <c r="DK39" s="327"/>
      <c r="DL39" s="327"/>
      <c r="DM39" s="328"/>
      <c r="DO39" s="194"/>
    </row>
    <row r="40" spans="1:119" ht="20.100000000000001" customHeight="1">
      <c r="A40" s="134"/>
      <c r="B40" s="315"/>
      <c r="C40" s="143" t="s">
        <v>242</v>
      </c>
      <c r="D40" s="329"/>
      <c r="E40" s="329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8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9"/>
      <c r="CR40" s="139"/>
      <c r="CS40" s="140"/>
      <c r="CT40" s="141"/>
      <c r="CU40" s="142"/>
      <c r="CV40" s="142"/>
      <c r="CW40" s="142"/>
      <c r="CX40" s="142"/>
      <c r="CY40" s="142"/>
      <c r="CZ40" s="142"/>
      <c r="DA40" s="142"/>
      <c r="DB40" s="142"/>
      <c r="DC40" s="142"/>
      <c r="DD40" s="142"/>
      <c r="DE40" s="142"/>
      <c r="DF40" s="142"/>
      <c r="DG40" s="142"/>
      <c r="DH40" s="142"/>
      <c r="DI40" s="142"/>
      <c r="DJ40" s="142"/>
      <c r="DK40" s="142"/>
      <c r="DL40" s="142"/>
      <c r="DM40" s="330"/>
      <c r="DO40" s="194"/>
    </row>
    <row r="41" spans="1:119" ht="20.100000000000001" customHeight="1">
      <c r="A41" s="134"/>
      <c r="B41" s="315"/>
      <c r="C41" s="143" t="s">
        <v>243</v>
      </c>
      <c r="D41" s="331"/>
      <c r="E41" s="331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45"/>
      <c r="CB41" s="120"/>
      <c r="CC41" s="120"/>
      <c r="CD41" s="120"/>
      <c r="CE41" s="120"/>
      <c r="CF41" s="120"/>
      <c r="CG41" s="120"/>
      <c r="CH41" s="120"/>
      <c r="CI41" s="120"/>
      <c r="CJ41" s="120"/>
      <c r="CK41" s="120"/>
      <c r="CL41" s="120"/>
      <c r="CM41" s="120"/>
      <c r="CN41" s="120"/>
      <c r="CO41" s="120"/>
      <c r="CP41" s="120"/>
      <c r="CQ41" s="121"/>
      <c r="CR41" s="121"/>
      <c r="CS41" s="122"/>
      <c r="CT41" s="123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5"/>
      <c r="DO41" s="194"/>
    </row>
    <row r="42" spans="1:119" ht="20.100000000000001" customHeight="1">
      <c r="A42" s="134"/>
      <c r="B42" s="315"/>
      <c r="C42" s="332" t="s">
        <v>244</v>
      </c>
      <c r="D42" s="331"/>
      <c r="E42" s="331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45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5"/>
      <c r="DO42" s="194"/>
    </row>
    <row r="43" spans="1:119" ht="20.100000000000001" customHeight="1">
      <c r="B43" s="315"/>
      <c r="C43" s="332" t="s">
        <v>245</v>
      </c>
      <c r="D43" s="331"/>
      <c r="E43" s="331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45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45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5"/>
      <c r="DO43" s="194"/>
    </row>
    <row r="44" spans="1:119" ht="20.100000000000001" customHeight="1">
      <c r="B44" s="315"/>
      <c r="D44" s="331"/>
      <c r="E44" s="331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45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45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5"/>
      <c r="DO44" s="194"/>
    </row>
    <row r="45" spans="1:119" ht="20.100000000000001" customHeight="1">
      <c r="B45" s="333"/>
      <c r="C45" s="334"/>
      <c r="D45" s="335"/>
      <c r="E45" s="335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  <c r="DB45" s="146"/>
      <c r="DC45" s="146"/>
      <c r="DD45" s="146"/>
      <c r="DE45" s="146"/>
      <c r="DF45" s="146"/>
      <c r="DG45" s="146"/>
      <c r="DH45" s="146"/>
      <c r="DI45" s="146"/>
      <c r="DJ45" s="146"/>
      <c r="DK45" s="146"/>
      <c r="DL45" s="146"/>
      <c r="DM45" s="336"/>
      <c r="DO45" s="194"/>
    </row>
    <row r="46" spans="1:119" ht="20.100000000000001" customHeight="1">
      <c r="DO46" s="194"/>
    </row>
    <row r="47" spans="1:119" ht="20.100000000000001" customHeight="1">
      <c r="DO47" s="194"/>
    </row>
    <row r="48" spans="1:119" ht="20.100000000000001" customHeight="1">
      <c r="DO48" s="194"/>
    </row>
    <row r="49" spans="1:119" ht="20.100000000000001" customHeight="1">
      <c r="DO49" s="194"/>
    </row>
    <row r="50" spans="1:119" ht="20.100000000000001" customHeight="1" thickBot="1">
      <c r="A50" s="258"/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  <c r="BC50" s="260"/>
      <c r="BD50" s="260"/>
      <c r="BE50" s="260"/>
      <c r="BF50" s="260"/>
      <c r="BG50" s="260"/>
      <c r="BH50" s="260"/>
      <c r="BI50" s="260"/>
      <c r="BJ50" s="260"/>
      <c r="BK50" s="260"/>
      <c r="BL50" s="260"/>
      <c r="BM50" s="260"/>
      <c r="BN50" s="260"/>
      <c r="BO50" s="260"/>
      <c r="BP50" s="260"/>
      <c r="BQ50" s="260"/>
      <c r="BR50" s="260"/>
      <c r="BS50" s="260"/>
      <c r="BT50" s="260"/>
      <c r="BU50" s="260"/>
      <c r="BV50" s="260"/>
      <c r="BW50" s="260"/>
      <c r="BX50" s="260"/>
      <c r="BY50" s="260"/>
      <c r="BZ50" s="260"/>
      <c r="CA50" s="260"/>
      <c r="CB50" s="260"/>
      <c r="CC50" s="260"/>
      <c r="CD50" s="260"/>
      <c r="CE50" s="260"/>
      <c r="CF50" s="260"/>
      <c r="CG50" s="260"/>
      <c r="CH50" s="260"/>
      <c r="CI50" s="260"/>
      <c r="CJ50" s="260"/>
      <c r="CK50" s="260"/>
      <c r="CL50" s="260"/>
      <c r="CM50" s="260"/>
      <c r="CN50" s="260"/>
      <c r="CO50" s="260"/>
      <c r="CP50" s="260"/>
      <c r="CQ50" s="260"/>
      <c r="CR50" s="260"/>
      <c r="CS50" s="260"/>
      <c r="CT50" s="260"/>
      <c r="CU50" s="260"/>
      <c r="CV50" s="260"/>
      <c r="CW50" s="260"/>
      <c r="CX50" s="260"/>
      <c r="CY50" s="260"/>
      <c r="CZ50" s="260"/>
      <c r="DA50" s="260"/>
      <c r="DB50" s="260"/>
      <c r="DC50" s="260"/>
      <c r="DD50" s="260"/>
      <c r="DE50" s="260"/>
      <c r="DF50" s="260"/>
      <c r="DG50" s="260"/>
      <c r="DH50" s="260"/>
      <c r="DI50" s="260"/>
      <c r="DJ50" s="260"/>
      <c r="DK50" s="260"/>
      <c r="DL50" s="260"/>
      <c r="DM50" s="260"/>
      <c r="DN50" s="260"/>
      <c r="DO50" s="261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52" fitToHeight="0" orientation="landscape" r:id="rId1"/>
  <headerFooter alignWithMargins="0">
    <oddFooter>&amp;LFUJITSU SYSTEMS EAST CONFIDENTIAL&amp;RCopyright (C) 2016- FUJITSU SYSTEMS EAST  LIMITED All rights reserved.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1B5A-8813-4650-AAB8-A65684BDB6CE}">
  <sheetPr>
    <tabColor rgb="FFFF0000"/>
    <pageSetUpPr fitToPage="1"/>
  </sheetPr>
  <dimension ref="A1:DU1651"/>
  <sheetViews>
    <sheetView zoomScale="70" zoomScaleNormal="70" workbookViewId="0">
      <selection activeCell="AO14" sqref="AO14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214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276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64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272"/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42" t="s">
        <v>48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/>
      <c r="BJ7" s="110" t="s">
        <v>71</v>
      </c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64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/>
      <c r="AA8" s="41"/>
      <c r="AB8" s="36"/>
      <c r="AC8" s="36"/>
      <c r="AD8" s="36"/>
      <c r="AE8" s="36"/>
      <c r="AF8" s="36"/>
      <c r="AG8" s="41"/>
      <c r="AH8" s="41"/>
      <c r="AI8" s="41"/>
      <c r="AK8" s="42" t="s">
        <v>48</v>
      </c>
      <c r="AL8" s="43"/>
      <c r="AM8" s="44"/>
      <c r="AN8" s="45"/>
      <c r="BE8" s="48"/>
      <c r="BF8" s="48"/>
      <c r="BG8" s="49"/>
      <c r="BH8" s="34"/>
      <c r="BI8" s="50"/>
      <c r="BJ8" s="110" t="s">
        <v>73</v>
      </c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 t="s">
        <v>116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42" t="s">
        <v>48</v>
      </c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50"/>
      <c r="BJ9" s="110" t="s">
        <v>74</v>
      </c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50"/>
      <c r="BJ10" s="109" t="s">
        <v>275</v>
      </c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383"/>
      <c r="CA10" s="383"/>
      <c r="CB10" s="383"/>
      <c r="CC10" s="383"/>
      <c r="CD10" s="382"/>
      <c r="CE10" s="385"/>
      <c r="CF10" s="385"/>
      <c r="CG10" s="384"/>
      <c r="CH10" s="384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10" t="s">
        <v>274</v>
      </c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20"/>
      <c r="CH11" s="120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50"/>
      <c r="BJ12" s="110" t="s">
        <v>273</v>
      </c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383"/>
      <c r="CA12" s="383"/>
      <c r="CB12" s="383"/>
      <c r="CC12" s="383"/>
      <c r="CD12" s="382"/>
      <c r="CE12" s="382"/>
      <c r="CF12" s="382"/>
      <c r="CG12" s="120"/>
      <c r="CH12" s="120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61"/>
      <c r="AA13" s="56"/>
      <c r="AB13" s="56"/>
      <c r="AC13" s="56"/>
      <c r="AD13" s="56"/>
      <c r="AE13" s="56"/>
      <c r="AF13" s="56"/>
      <c r="AG13" s="55"/>
      <c r="AH13" s="55"/>
      <c r="AI13" s="55"/>
      <c r="AJ13" s="55"/>
      <c r="AK13" s="65"/>
      <c r="AL13" s="55"/>
      <c r="AM13" s="66"/>
      <c r="AN13" s="107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50"/>
      <c r="BJ13" s="110" t="s">
        <v>272</v>
      </c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383"/>
      <c r="CA13" s="383"/>
      <c r="CB13" s="383"/>
      <c r="CC13" s="383"/>
      <c r="CD13" s="382"/>
      <c r="CE13" s="382"/>
      <c r="CF13" s="382"/>
      <c r="CG13" s="120"/>
      <c r="CH13" s="120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50"/>
      <c r="BJ14" s="110" t="s">
        <v>271</v>
      </c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383"/>
      <c r="CA14" s="383"/>
      <c r="CB14" s="383"/>
      <c r="CC14" s="383"/>
      <c r="CD14" s="382"/>
      <c r="CE14" s="382"/>
      <c r="CF14" s="382"/>
      <c r="CG14" s="120"/>
      <c r="CH14" s="120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50"/>
      <c r="BJ15" s="58"/>
      <c r="BK15" s="57" t="s">
        <v>51</v>
      </c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W15" s="57"/>
      <c r="BX15" s="57"/>
      <c r="BY15" s="57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8"/>
      <c r="BW16" s="57"/>
      <c r="BX16" s="57"/>
      <c r="BY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20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7"/>
      <c r="BX17" s="57"/>
      <c r="BY17" s="57"/>
      <c r="BZ17" s="57"/>
      <c r="CA17" s="58"/>
      <c r="CB17" s="57"/>
      <c r="CC17" s="57"/>
      <c r="CD17" s="57"/>
      <c r="CE17" s="63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20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7"/>
      <c r="BX18" s="57"/>
      <c r="BY18" s="57"/>
      <c r="BZ18" s="57"/>
      <c r="CA18" s="58"/>
      <c r="CB18" s="57"/>
      <c r="CC18" s="57"/>
      <c r="CD18" s="57"/>
      <c r="CE18" s="63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20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7"/>
      <c r="BX19" s="57"/>
      <c r="BY19" s="57"/>
      <c r="BZ19" s="57"/>
      <c r="CA19" s="58"/>
      <c r="CB19" s="57"/>
      <c r="CC19" s="57"/>
      <c r="CD19" s="57"/>
      <c r="CE19" s="63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20" s="20" customFormat="1" ht="19.5" customHeight="1">
      <c r="A20" s="19"/>
      <c r="B20" s="3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1"/>
      <c r="V20" s="56"/>
      <c r="W20" s="56"/>
      <c r="X20" s="56"/>
      <c r="Y20" s="62"/>
      <c r="Z20" s="61"/>
      <c r="AA20" s="56"/>
      <c r="AB20" s="56"/>
      <c r="AC20" s="56"/>
      <c r="AD20" s="56"/>
      <c r="AE20" s="56"/>
      <c r="AF20" s="56"/>
      <c r="AG20" s="55"/>
      <c r="AH20" s="55"/>
      <c r="AI20" s="55"/>
      <c r="AJ20" s="55"/>
      <c r="AK20" s="65"/>
      <c r="AL20" s="55"/>
      <c r="AM20" s="66"/>
      <c r="AN20" s="52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34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8"/>
      <c r="BW20" s="57"/>
      <c r="BX20" s="57"/>
      <c r="BY20" s="57"/>
      <c r="BZ20" s="57"/>
      <c r="CA20" s="58"/>
      <c r="CB20" s="57"/>
      <c r="CC20" s="57"/>
      <c r="CD20" s="57"/>
      <c r="CE20" s="63"/>
      <c r="CF20" s="58"/>
      <c r="CG20" s="57"/>
      <c r="CH20" s="57"/>
      <c r="CI20" s="57"/>
      <c r="CJ20" s="57"/>
      <c r="CK20" s="57"/>
      <c r="CL20" s="57"/>
      <c r="CM20" s="59"/>
      <c r="CN20" s="59"/>
      <c r="CO20" s="59"/>
      <c r="CP20" s="59"/>
      <c r="CQ20" s="59"/>
      <c r="CR20" s="59"/>
      <c r="CS20" s="60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4"/>
      <c r="DO20" s="26"/>
    </row>
    <row r="21" spans="1:120" s="20" customFormat="1" ht="19.5" customHeight="1">
      <c r="A21" s="19"/>
      <c r="B21" s="3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61"/>
      <c r="Q21" s="56"/>
      <c r="R21" s="56"/>
      <c r="S21" s="56"/>
      <c r="T21" s="56"/>
      <c r="U21" s="67"/>
      <c r="V21" s="68"/>
      <c r="W21" s="68"/>
      <c r="X21" s="68"/>
      <c r="Y21" s="69"/>
      <c r="Z21" s="67"/>
      <c r="AA21" s="68"/>
      <c r="AB21" s="56"/>
      <c r="AC21" s="56"/>
      <c r="AD21" s="56"/>
      <c r="AE21" s="56"/>
      <c r="AF21" s="56"/>
      <c r="AG21" s="55"/>
      <c r="AH21" s="55"/>
      <c r="AI21" s="55"/>
      <c r="AJ21" s="55"/>
      <c r="AK21" s="70"/>
      <c r="AL21" s="71"/>
      <c r="AM21" s="72"/>
      <c r="AN21" s="73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5"/>
      <c r="BH21" s="34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7"/>
      <c r="BW21" s="68"/>
      <c r="BX21" s="68"/>
      <c r="BY21" s="68"/>
      <c r="BZ21" s="68"/>
      <c r="CA21" s="67"/>
      <c r="CB21" s="68"/>
      <c r="CC21" s="68"/>
      <c r="CD21" s="68"/>
      <c r="CE21" s="69"/>
      <c r="CF21" s="67"/>
      <c r="CG21" s="68"/>
      <c r="CH21" s="68"/>
      <c r="CI21" s="68"/>
      <c r="CJ21" s="68"/>
      <c r="CK21" s="68"/>
      <c r="CL21" s="68"/>
      <c r="CM21" s="71"/>
      <c r="CN21" s="71"/>
      <c r="CO21" s="71"/>
      <c r="CP21" s="71"/>
      <c r="CQ21" s="71"/>
      <c r="CR21" s="71"/>
      <c r="CS21" s="76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8"/>
      <c r="DO21" s="26"/>
    </row>
    <row r="22" spans="1:120" s="20" customFormat="1" ht="19.5" customHeight="1">
      <c r="A22" s="19"/>
      <c r="B22" s="79" t="s">
        <v>52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25"/>
      <c r="BH22" s="24" t="s">
        <v>53</v>
      </c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1"/>
      <c r="DO22" s="26"/>
    </row>
    <row r="23" spans="1:120" s="50" customFormat="1" ht="19.5" customHeight="1">
      <c r="A23" s="82"/>
      <c r="B23" s="34"/>
      <c r="C23" s="83"/>
      <c r="D23" s="118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4"/>
      <c r="BH23" s="85"/>
      <c r="BI23" s="29" t="s">
        <v>54</v>
      </c>
      <c r="BJ23" s="29"/>
      <c r="BK23" s="29"/>
      <c r="BL23" s="29"/>
      <c r="BM23" s="29"/>
      <c r="BN23" s="29"/>
      <c r="BO23" s="29"/>
      <c r="BP23" s="29"/>
      <c r="BQ23" s="30" t="s">
        <v>55</v>
      </c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32"/>
      <c r="CS23" s="29" t="s">
        <v>41</v>
      </c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O23" s="86"/>
    </row>
    <row r="24" spans="1:120" s="50" customFormat="1" ht="19.5" customHeight="1">
      <c r="A24" s="82"/>
      <c r="B24" s="34"/>
      <c r="BG24" s="87"/>
      <c r="BH24" s="34"/>
      <c r="BI24" s="88" t="s">
        <v>56</v>
      </c>
      <c r="BJ24" s="89"/>
      <c r="BK24" s="89"/>
      <c r="BL24" s="89"/>
      <c r="BM24" s="89"/>
      <c r="BN24" s="89"/>
      <c r="BO24" s="89"/>
      <c r="BP24" s="89"/>
      <c r="BQ24" s="90" t="s">
        <v>57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91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20" s="50" customFormat="1" ht="19.149999999999999" customHeight="1">
      <c r="A25" s="82"/>
      <c r="B25" s="34"/>
      <c r="BG25" s="87"/>
      <c r="BH25" s="34"/>
      <c r="BI25" s="88" t="s">
        <v>58</v>
      </c>
      <c r="BJ25" s="89"/>
      <c r="BK25" s="89"/>
      <c r="BL25" s="89"/>
      <c r="BM25" s="89"/>
      <c r="BN25" s="89"/>
      <c r="BO25" s="89"/>
      <c r="BP25" s="89"/>
      <c r="BQ25" s="90" t="s">
        <v>59</v>
      </c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93"/>
      <c r="CT25" s="93"/>
      <c r="CU25" s="93"/>
      <c r="CV25" s="93"/>
      <c r="CW25" s="93"/>
      <c r="CX25" s="93"/>
      <c r="CY25" s="93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20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4"/>
      <c r="CS26" s="89"/>
      <c r="CT26" s="93"/>
      <c r="CU26" s="93"/>
      <c r="CV26" s="93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20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20" s="50" customFormat="1" ht="19.149999999999999" customHeight="1">
      <c r="A28" s="82"/>
      <c r="B28" s="34"/>
      <c r="BG28" s="87"/>
      <c r="BH28" s="34"/>
      <c r="BI28" s="88"/>
      <c r="BJ28" s="89"/>
      <c r="BK28" s="89"/>
      <c r="BL28" s="89"/>
      <c r="BM28" s="89"/>
      <c r="BN28" s="89"/>
      <c r="BO28" s="89"/>
      <c r="BP28" s="89"/>
      <c r="BQ28" s="90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91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92"/>
      <c r="DO28" s="86"/>
    </row>
    <row r="29" spans="1:120" s="50" customFormat="1" ht="16.5" customHeight="1">
      <c r="A29" s="82"/>
      <c r="B29" s="3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6"/>
      <c r="BH29" s="34"/>
      <c r="BI29" s="97"/>
      <c r="BJ29" s="97"/>
      <c r="BK29" s="97"/>
      <c r="BL29" s="97"/>
      <c r="BM29" s="97"/>
      <c r="BN29" s="97"/>
      <c r="BO29" s="97"/>
      <c r="BP29" s="97"/>
      <c r="BQ29" s="98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9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100"/>
      <c r="DO29" s="86"/>
    </row>
    <row r="30" spans="1:120" ht="16.5" customHeight="1" thickBot="1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3"/>
    </row>
    <row r="32" spans="1:120" s="118" customFormat="1" ht="20.100000000000001" customHeight="1">
      <c r="A32" s="116" t="s">
        <v>143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311"/>
      <c r="DP32" s="104"/>
    </row>
    <row r="34" spans="1:119" s="118" customFormat="1" ht="20.100000000000001" customHeight="1">
      <c r="B34" s="268" t="s">
        <v>239</v>
      </c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  <c r="AL34" s="269"/>
      <c r="AM34" s="269"/>
      <c r="AN34" s="269"/>
      <c r="AO34" s="269"/>
      <c r="AP34" s="269"/>
      <c r="AQ34" s="269"/>
      <c r="AR34" s="269"/>
      <c r="AS34" s="269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8" t="s">
        <v>240</v>
      </c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2"/>
      <c r="DO34" s="194"/>
    </row>
    <row r="35" spans="1:119" s="118" customFormat="1" ht="20.100000000000001" customHeight="1">
      <c r="B35" s="165"/>
      <c r="C35" s="160" t="s">
        <v>144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1"/>
      <c r="V35" s="160" t="s">
        <v>145</v>
      </c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2"/>
      <c r="AL35" s="160"/>
      <c r="AM35" s="160"/>
      <c r="AN35" s="160"/>
      <c r="AO35" s="160"/>
      <c r="AP35" s="160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4"/>
      <c r="BH35" s="165"/>
      <c r="BI35" s="160" t="s">
        <v>144</v>
      </c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1"/>
      <c r="CB35" s="160" t="s">
        <v>145</v>
      </c>
      <c r="CC35" s="160"/>
      <c r="CD35" s="160"/>
      <c r="CE35" s="160"/>
      <c r="CF35" s="160"/>
      <c r="CG35" s="160"/>
      <c r="CH35" s="160"/>
      <c r="CI35" s="160"/>
      <c r="CJ35" s="160"/>
      <c r="CK35" s="160"/>
      <c r="CL35" s="430"/>
      <c r="CM35" s="430"/>
      <c r="CN35" s="430"/>
      <c r="CO35" s="430"/>
      <c r="CP35" s="430"/>
      <c r="CQ35" s="431"/>
      <c r="CR35" s="430"/>
      <c r="CS35" s="430"/>
      <c r="CT35" s="430"/>
      <c r="CU35" s="430"/>
      <c r="CV35" s="430"/>
      <c r="CW35" s="432"/>
      <c r="CX35" s="432"/>
      <c r="CY35" s="432"/>
      <c r="CZ35" s="432"/>
      <c r="DA35" s="432"/>
      <c r="DB35" s="432"/>
      <c r="DC35" s="432"/>
      <c r="DD35" s="432"/>
      <c r="DE35" s="432"/>
      <c r="DF35" s="432"/>
      <c r="DG35" s="432"/>
      <c r="DH35" s="432"/>
      <c r="DI35" s="432"/>
      <c r="DJ35" s="432"/>
      <c r="DK35" s="432"/>
      <c r="DL35" s="432"/>
      <c r="DM35" s="153"/>
      <c r="DO35" s="194"/>
    </row>
    <row r="36" spans="1:119" s="118" customFormat="1" ht="20.100000000000001" customHeight="1">
      <c r="B36" s="159"/>
      <c r="C36" s="137"/>
      <c r="D36" s="137"/>
      <c r="E36" s="137"/>
      <c r="F36" s="137"/>
      <c r="G36" s="137"/>
      <c r="H36" s="137"/>
      <c r="U36" s="119"/>
      <c r="V36" s="137"/>
      <c r="AK36" s="127"/>
      <c r="AL36" s="127"/>
      <c r="AM36" s="128"/>
      <c r="AN36" s="129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1"/>
      <c r="BH36" s="159"/>
      <c r="BI36" s="354" t="s">
        <v>45</v>
      </c>
      <c r="BJ36" s="137"/>
      <c r="BK36" s="137"/>
      <c r="BL36" s="137"/>
      <c r="BM36" s="137"/>
      <c r="BN36" s="137"/>
      <c r="BO36" s="137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6"/>
      <c r="CB36" s="354" t="s">
        <v>270</v>
      </c>
      <c r="CC36" s="355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355"/>
      <c r="CO36" s="355"/>
      <c r="CP36" s="355"/>
      <c r="CQ36" s="127"/>
      <c r="CR36" s="127"/>
      <c r="CS36" s="128"/>
      <c r="CT36" s="129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  <c r="DI36" s="130"/>
      <c r="DJ36" s="130"/>
      <c r="DK36" s="130"/>
      <c r="DL36" s="130"/>
      <c r="DM36" s="131"/>
      <c r="DO36" s="194"/>
    </row>
    <row r="37" spans="1:119" s="118" customFormat="1" ht="20.100000000000001" customHeight="1">
      <c r="B37" s="159"/>
      <c r="C37" s="120"/>
      <c r="D37" s="120"/>
      <c r="E37" s="120"/>
      <c r="F37" s="137"/>
      <c r="G37" s="137"/>
      <c r="H37" s="137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6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1"/>
      <c r="AL37" s="121"/>
      <c r="AM37" s="122"/>
      <c r="AN37" s="123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59"/>
      <c r="BI37" s="354" t="s">
        <v>50</v>
      </c>
      <c r="BJ37" s="120"/>
      <c r="BK37" s="120"/>
      <c r="BL37" s="137"/>
      <c r="BM37" s="137"/>
      <c r="BN37" s="137"/>
      <c r="BO37" s="137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6"/>
      <c r="CB37" s="354" t="s">
        <v>269</v>
      </c>
      <c r="CC37" s="355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1"/>
      <c r="CR37" s="121"/>
      <c r="CS37" s="122"/>
      <c r="CT37" s="123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5"/>
      <c r="DO37" s="194"/>
    </row>
    <row r="38" spans="1:119" s="118" customFormat="1" ht="20.100000000000001" customHeight="1">
      <c r="B38" s="159"/>
      <c r="C38" s="120"/>
      <c r="D38" s="120"/>
      <c r="E38" s="120"/>
      <c r="F38" s="137"/>
      <c r="G38" s="137"/>
      <c r="H38" s="137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159"/>
      <c r="BI38" s="362" t="s">
        <v>113</v>
      </c>
      <c r="BJ38" s="362"/>
      <c r="BL38" s="362"/>
      <c r="BM38" s="362"/>
      <c r="BN38" s="380"/>
      <c r="BO38" s="380"/>
      <c r="BP38" s="380"/>
      <c r="BQ38" s="380"/>
      <c r="BR38" s="380"/>
      <c r="BS38" s="381"/>
      <c r="BT38" s="380"/>
      <c r="BU38" s="380"/>
      <c r="BV38" s="380"/>
      <c r="BW38" s="380"/>
      <c r="BX38" s="380"/>
      <c r="BY38" s="380"/>
      <c r="BZ38" s="380"/>
      <c r="CA38" s="379"/>
      <c r="CB38" s="437" t="s">
        <v>320</v>
      </c>
      <c r="CC38" s="362"/>
      <c r="CD38" s="362"/>
      <c r="CE38" s="362"/>
      <c r="CF38" s="362"/>
      <c r="CG38" s="362"/>
      <c r="CH38" s="362"/>
      <c r="CI38" s="362"/>
      <c r="CJ38" s="362"/>
      <c r="CK38" s="362"/>
      <c r="CL38" s="378"/>
      <c r="CM38" s="378"/>
      <c r="CN38" s="120"/>
      <c r="CO38" s="120"/>
      <c r="CP38" s="120"/>
      <c r="CQ38" s="121"/>
      <c r="CR38" s="121"/>
      <c r="CS38" s="122"/>
      <c r="CT38" s="123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5"/>
      <c r="DO38" s="194"/>
    </row>
    <row r="39" spans="1:119" s="118" customFormat="1" ht="20.100000000000001" customHeight="1">
      <c r="B39" s="159"/>
      <c r="D39" s="120"/>
      <c r="E39" s="120"/>
      <c r="F39" s="137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33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5"/>
      <c r="BH39" s="159"/>
      <c r="BI39" s="362" t="s">
        <v>116</v>
      </c>
      <c r="BJ39" s="362"/>
      <c r="BK39" s="381"/>
      <c r="BL39" s="362"/>
      <c r="BM39" s="362"/>
      <c r="BN39" s="380"/>
      <c r="BO39" s="380"/>
      <c r="BP39" s="380"/>
      <c r="BQ39" s="380"/>
      <c r="BR39" s="380"/>
      <c r="BS39" s="381"/>
      <c r="BT39" s="380"/>
      <c r="BU39" s="380"/>
      <c r="BV39" s="380"/>
      <c r="BW39" s="380"/>
      <c r="BX39" s="380"/>
      <c r="BY39" s="380"/>
      <c r="BZ39" s="380"/>
      <c r="CA39" s="379"/>
      <c r="CB39" s="359" t="s">
        <v>176</v>
      </c>
      <c r="CC39" s="362"/>
      <c r="CD39" s="362"/>
      <c r="CE39" s="362"/>
      <c r="CF39" s="362"/>
      <c r="CG39" s="362"/>
      <c r="CH39" s="362"/>
      <c r="CI39" s="362"/>
      <c r="CJ39" s="362"/>
      <c r="CK39" s="362"/>
      <c r="CL39" s="362"/>
      <c r="CM39" s="362"/>
      <c r="CN39" s="355"/>
      <c r="CO39" s="355"/>
      <c r="CP39" s="355"/>
      <c r="CQ39" s="121"/>
      <c r="CR39" s="121"/>
      <c r="CS39" s="122"/>
      <c r="CT39" s="123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5"/>
      <c r="DO39" s="194"/>
    </row>
    <row r="40" spans="1:119" s="118" customFormat="1" ht="20.100000000000001" customHeight="1">
      <c r="B40" s="159"/>
      <c r="C40" s="120"/>
      <c r="D40" s="120"/>
      <c r="E40" s="120"/>
      <c r="F40" s="137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133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5"/>
      <c r="BH40" s="159"/>
      <c r="BI40" s="362" t="s">
        <v>118</v>
      </c>
      <c r="BJ40" s="362"/>
      <c r="BL40" s="362"/>
      <c r="BM40" s="362"/>
      <c r="BN40" s="380"/>
      <c r="BO40" s="380"/>
      <c r="BP40" s="380"/>
      <c r="BQ40" s="380"/>
      <c r="BR40" s="380"/>
      <c r="BS40" s="381"/>
      <c r="BT40" s="380"/>
      <c r="BU40" s="380"/>
      <c r="BV40" s="380"/>
      <c r="BW40" s="380"/>
      <c r="BX40" s="380"/>
      <c r="BY40" s="380"/>
      <c r="BZ40" s="380"/>
      <c r="CA40" s="379"/>
      <c r="CB40" s="359" t="s">
        <v>177</v>
      </c>
      <c r="CC40" s="362"/>
      <c r="CD40" s="362"/>
      <c r="CE40" s="362"/>
      <c r="CF40" s="362"/>
      <c r="CG40" s="362"/>
      <c r="CH40" s="362"/>
      <c r="CI40" s="362"/>
      <c r="CJ40" s="362"/>
      <c r="CK40" s="362"/>
      <c r="CL40" s="378"/>
      <c r="CM40" s="378"/>
      <c r="CN40" s="355"/>
      <c r="CO40" s="355"/>
      <c r="CP40" s="355"/>
      <c r="CQ40" s="121"/>
      <c r="CR40" s="121"/>
      <c r="CS40" s="122"/>
      <c r="CT40" s="123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5"/>
      <c r="DO40" s="194"/>
    </row>
    <row r="41" spans="1:119" s="118" customFormat="1" ht="20.100000000000001" customHeight="1">
      <c r="B41" s="159"/>
      <c r="C41" s="120"/>
      <c r="D41" s="120"/>
      <c r="E41" s="120"/>
      <c r="F41" s="137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343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1"/>
      <c r="AL41" s="121"/>
      <c r="AM41" s="122"/>
      <c r="AN41" s="123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5"/>
      <c r="BH41" s="159"/>
      <c r="BI41" s="362" t="s">
        <v>87</v>
      </c>
      <c r="BJ41" s="364"/>
      <c r="BL41" s="362"/>
      <c r="BM41" s="362"/>
      <c r="BN41" s="380"/>
      <c r="BO41" s="380"/>
      <c r="BP41" s="380"/>
      <c r="BQ41" s="380"/>
      <c r="BR41" s="380"/>
      <c r="BS41" s="381"/>
      <c r="BT41" s="380"/>
      <c r="BU41" s="380"/>
      <c r="BV41" s="380"/>
      <c r="BW41" s="380"/>
      <c r="BX41" s="380"/>
      <c r="BY41" s="380"/>
      <c r="BZ41" s="380"/>
      <c r="CA41" s="379"/>
      <c r="CB41" s="437" t="s">
        <v>320</v>
      </c>
      <c r="CC41" s="362"/>
      <c r="CD41" s="362"/>
      <c r="CE41" s="362"/>
      <c r="CF41" s="362"/>
      <c r="CG41" s="362"/>
      <c r="CH41" s="362"/>
      <c r="CI41" s="362"/>
      <c r="CJ41" s="362"/>
      <c r="CK41" s="362"/>
      <c r="CL41" s="378"/>
      <c r="CM41" s="378"/>
      <c r="CN41" s="363"/>
      <c r="CO41" s="363"/>
      <c r="CP41" s="363"/>
      <c r="CQ41" s="121"/>
      <c r="CR41" s="121"/>
      <c r="CS41" s="122"/>
      <c r="CT41" s="123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5"/>
      <c r="DO41" s="194"/>
    </row>
    <row r="42" spans="1:119" s="118" customFormat="1" ht="20.100000000000001" customHeight="1">
      <c r="B42" s="159"/>
      <c r="C42" s="120"/>
      <c r="D42" s="137"/>
      <c r="E42" s="137"/>
      <c r="F42" s="137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137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1"/>
      <c r="AL42" s="121"/>
      <c r="AM42" s="122"/>
      <c r="AN42" s="123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159"/>
      <c r="BI42" s="362" t="s">
        <v>120</v>
      </c>
      <c r="BJ42" s="362"/>
      <c r="BL42" s="362"/>
      <c r="BM42" s="362"/>
      <c r="BN42" s="380"/>
      <c r="BO42" s="380"/>
      <c r="BP42" s="380"/>
      <c r="BQ42" s="380"/>
      <c r="BR42" s="380"/>
      <c r="BS42" s="381"/>
      <c r="BT42" s="380"/>
      <c r="BU42" s="380"/>
      <c r="BV42" s="380"/>
      <c r="BW42" s="380"/>
      <c r="BX42" s="380"/>
      <c r="BY42" s="380"/>
      <c r="BZ42" s="380"/>
      <c r="CA42" s="379"/>
      <c r="CB42" s="359" t="s">
        <v>179</v>
      </c>
      <c r="CC42" s="362"/>
      <c r="CD42" s="362"/>
      <c r="CE42" s="362"/>
      <c r="CF42" s="362"/>
      <c r="CG42" s="362"/>
      <c r="CH42" s="362"/>
      <c r="CI42" s="362"/>
      <c r="CJ42" s="362"/>
      <c r="CK42" s="362"/>
      <c r="CL42" s="378"/>
      <c r="CM42" s="378"/>
      <c r="CN42" s="355"/>
      <c r="CO42" s="355"/>
      <c r="CP42" s="355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5"/>
      <c r="DO42" s="194"/>
    </row>
    <row r="43" spans="1:119" s="118" customFormat="1" ht="20.100000000000001" customHeight="1">
      <c r="B43" s="159"/>
      <c r="C43" s="120"/>
      <c r="D43" s="120"/>
      <c r="E43" s="120"/>
      <c r="F43" s="137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343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CN43" s="363"/>
      <c r="CO43" s="363"/>
      <c r="CP43" s="363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5"/>
      <c r="DO43" s="194"/>
    </row>
    <row r="44" spans="1:119" s="118" customFormat="1" ht="20.100000000000001" customHeight="1">
      <c r="B44" s="159"/>
      <c r="C44" s="120"/>
      <c r="D44" s="120"/>
      <c r="E44" s="120"/>
      <c r="F44" s="137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34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362"/>
      <c r="BJ44" s="362"/>
      <c r="BK44" s="362"/>
      <c r="BL44" s="362"/>
      <c r="BM44" s="362"/>
      <c r="BN44" s="380"/>
      <c r="BO44" s="380"/>
      <c r="BP44" s="380"/>
      <c r="BQ44" s="380"/>
      <c r="BR44" s="380"/>
      <c r="BS44" s="381"/>
      <c r="BT44" s="380"/>
      <c r="BU44" s="380"/>
      <c r="BV44" s="380"/>
      <c r="BW44" s="380"/>
      <c r="BX44" s="380"/>
      <c r="BY44" s="380"/>
      <c r="BZ44" s="380"/>
      <c r="CA44" s="379"/>
      <c r="CB44" s="359"/>
      <c r="CC44" s="362"/>
      <c r="CD44" s="362"/>
      <c r="CE44" s="362"/>
      <c r="CF44" s="362"/>
      <c r="CG44" s="362"/>
      <c r="CH44" s="362"/>
      <c r="CI44" s="362"/>
      <c r="CJ44" s="362"/>
      <c r="CK44" s="362"/>
      <c r="CL44" s="362"/>
      <c r="CM44" s="362"/>
      <c r="CN44" s="355"/>
      <c r="CO44" s="355"/>
      <c r="CP44" s="355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5"/>
      <c r="DO44" s="194"/>
    </row>
    <row r="45" spans="1:119" s="118" customFormat="1" ht="20.100000000000001" customHeight="1">
      <c r="B45" s="159"/>
      <c r="D45" s="120"/>
      <c r="E45" s="120"/>
      <c r="F45" s="137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6"/>
      <c r="V45" s="343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CN45" s="355"/>
      <c r="CO45" s="355"/>
      <c r="CP45" s="355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5"/>
      <c r="DO45" s="194"/>
    </row>
    <row r="46" spans="1:119" s="118" customFormat="1" ht="20.100000000000001" customHeight="1">
      <c r="B46" s="15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343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5"/>
      <c r="DO46" s="194"/>
    </row>
    <row r="47" spans="1:119" s="118" customFormat="1" ht="20.100000000000001" customHeight="1">
      <c r="B47" s="429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44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6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5"/>
      <c r="DO47" s="194"/>
    </row>
    <row r="48" spans="1:119" s="118" customFormat="1" ht="20.100000000000001" customHeight="1">
      <c r="A48" s="134"/>
      <c r="B48" s="285" t="s">
        <v>147</v>
      </c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432"/>
      <c r="BY48" s="432"/>
      <c r="BZ48" s="432"/>
      <c r="CA48" s="432"/>
      <c r="CB48" s="432"/>
      <c r="CC48" s="432"/>
      <c r="CD48" s="432"/>
      <c r="CE48" s="432"/>
      <c r="CF48" s="432"/>
      <c r="CG48" s="432"/>
      <c r="CH48" s="432"/>
      <c r="CI48" s="432"/>
      <c r="CJ48" s="432"/>
      <c r="CK48" s="432"/>
      <c r="CL48" s="432"/>
      <c r="CM48" s="432"/>
      <c r="CN48" s="432"/>
      <c r="CO48" s="432"/>
      <c r="CP48" s="432"/>
      <c r="CQ48" s="433"/>
      <c r="CR48" s="433"/>
      <c r="CS48" s="434"/>
      <c r="CT48" s="435"/>
      <c r="CU48" s="436"/>
      <c r="CV48" s="436"/>
      <c r="CW48" s="436"/>
      <c r="CX48" s="436"/>
      <c r="CY48" s="436"/>
      <c r="CZ48" s="436"/>
      <c r="DA48" s="436"/>
      <c r="DB48" s="436"/>
      <c r="DC48" s="436"/>
      <c r="DD48" s="436"/>
      <c r="DE48" s="436"/>
      <c r="DF48" s="436"/>
      <c r="DG48" s="436"/>
      <c r="DH48" s="436"/>
      <c r="DI48" s="436"/>
      <c r="DJ48" s="436"/>
      <c r="DK48" s="436"/>
      <c r="DL48" s="436"/>
      <c r="DM48" s="156"/>
      <c r="DO48" s="194"/>
    </row>
    <row r="49" spans="1:119" s="118" customFormat="1" ht="20.100000000000001" customHeight="1">
      <c r="A49" s="134"/>
      <c r="B49" s="159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8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9"/>
      <c r="CR49" s="139"/>
      <c r="CS49" s="140"/>
      <c r="CT49" s="141"/>
      <c r="CU49" s="142"/>
      <c r="CV49" s="142"/>
      <c r="CW49" s="142"/>
      <c r="CX49" s="142"/>
      <c r="CY49" s="142"/>
      <c r="CZ49" s="142"/>
      <c r="DA49" s="142"/>
      <c r="DB49" s="142"/>
      <c r="DC49" s="142"/>
      <c r="DD49" s="142"/>
      <c r="DE49" s="142"/>
      <c r="DF49" s="142"/>
      <c r="DG49" s="142"/>
      <c r="DH49" s="142"/>
      <c r="DI49" s="142"/>
      <c r="DJ49" s="142"/>
      <c r="DK49" s="142"/>
      <c r="DL49" s="142"/>
      <c r="DM49" s="330"/>
      <c r="DO49" s="194"/>
    </row>
    <row r="50" spans="1:119" s="118" customFormat="1" ht="20.100000000000001" customHeight="1">
      <c r="A50" s="134"/>
      <c r="B50" s="159"/>
      <c r="C50" s="120"/>
      <c r="D50" s="120"/>
      <c r="E50" s="426" t="s">
        <v>292</v>
      </c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45"/>
      <c r="CB50" s="120"/>
      <c r="CC50" s="120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1"/>
      <c r="CR50" s="121"/>
      <c r="CS50" s="122"/>
      <c r="CT50" s="123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5"/>
      <c r="DO50" s="194"/>
    </row>
    <row r="51" spans="1:119" s="118" customFormat="1" ht="20.100000000000001" customHeight="1">
      <c r="A51" s="134"/>
      <c r="B51" s="159"/>
      <c r="C51" s="120"/>
      <c r="D51" s="120"/>
      <c r="E51" s="428" t="s">
        <v>321</v>
      </c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45"/>
      <c r="CB51" s="120"/>
      <c r="CC51" s="120"/>
      <c r="CD51" s="120"/>
      <c r="CE51" s="120"/>
      <c r="CF51" s="120"/>
      <c r="CG51" s="120"/>
      <c r="CH51" s="120"/>
      <c r="CI51" s="120"/>
      <c r="CJ51" s="120"/>
      <c r="CK51" s="120"/>
      <c r="CL51" s="120"/>
      <c r="CM51" s="120"/>
      <c r="CN51" s="120"/>
      <c r="CO51" s="120"/>
      <c r="CP51" s="120"/>
      <c r="CQ51" s="121"/>
      <c r="CR51" s="121"/>
      <c r="CS51" s="122"/>
      <c r="CT51" s="123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5"/>
      <c r="DO51" s="194"/>
    </row>
    <row r="52" spans="1:119" s="118" customFormat="1" ht="20.100000000000001" customHeight="1">
      <c r="B52" s="159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45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1"/>
      <c r="AL52" s="121"/>
      <c r="AM52" s="122"/>
      <c r="AN52" s="123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45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1"/>
      <c r="CR52" s="121"/>
      <c r="CS52" s="122"/>
      <c r="CT52" s="123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5"/>
      <c r="DO52" s="194"/>
    </row>
    <row r="53" spans="1:119" s="118" customFormat="1" ht="20.100000000000001" customHeight="1">
      <c r="B53" s="429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146"/>
      <c r="BW53" s="146"/>
      <c r="BX53" s="146"/>
      <c r="BY53" s="146"/>
      <c r="BZ53" s="146"/>
      <c r="CA53" s="146"/>
      <c r="CB53" s="146"/>
      <c r="CC53" s="146"/>
      <c r="CD53" s="146"/>
      <c r="CE53" s="14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  <c r="CY53" s="146"/>
      <c r="CZ53" s="146"/>
      <c r="DA53" s="146"/>
      <c r="DB53" s="146"/>
      <c r="DC53" s="146"/>
      <c r="DD53" s="146"/>
      <c r="DE53" s="146"/>
      <c r="DF53" s="146"/>
      <c r="DG53" s="146"/>
      <c r="DH53" s="146"/>
      <c r="DI53" s="146"/>
      <c r="DJ53" s="146"/>
      <c r="DK53" s="146"/>
      <c r="DL53" s="146"/>
      <c r="DM53" s="336"/>
      <c r="DO53" s="194"/>
    </row>
    <row r="54" spans="1:119" ht="16.5" customHeight="1">
      <c r="BJ54" s="105"/>
      <c r="BU54" s="105"/>
      <c r="BV54" s="105"/>
      <c r="BW54" s="105"/>
      <c r="BX54" s="105"/>
    </row>
    <row r="55" spans="1:119" ht="16.5" customHeight="1">
      <c r="BJ55" s="105"/>
      <c r="BU55" s="105"/>
      <c r="BV55" s="105"/>
      <c r="BW55" s="105"/>
      <c r="BX55" s="105"/>
    </row>
    <row r="56" spans="1:119" ht="16.5" customHeight="1">
      <c r="BJ56" s="105"/>
      <c r="BU56" s="105"/>
      <c r="BV56" s="105"/>
      <c r="BW56" s="105"/>
      <c r="BX56" s="105"/>
    </row>
    <row r="57" spans="1:119" ht="16.5" customHeight="1">
      <c r="BJ57" s="105"/>
      <c r="BU57" s="105"/>
      <c r="BV57" s="105"/>
      <c r="BW57" s="105"/>
      <c r="BX57" s="105"/>
    </row>
    <row r="58" spans="1:119" ht="16.5" customHeight="1">
      <c r="BJ58" s="105"/>
      <c r="BU58" s="105"/>
      <c r="BV58" s="105"/>
      <c r="BW58" s="105"/>
      <c r="BX58" s="105"/>
    </row>
    <row r="59" spans="1:119" ht="16.5" customHeight="1">
      <c r="BJ59" s="105"/>
      <c r="BU59" s="105"/>
      <c r="BV59" s="105"/>
      <c r="BW59" s="105"/>
      <c r="BX59" s="105"/>
    </row>
    <row r="60" spans="1:119" ht="16.5" customHeight="1">
      <c r="BJ60" s="105"/>
      <c r="BU60" s="105"/>
      <c r="BV60" s="105"/>
      <c r="BW60" s="105"/>
      <c r="BX60" s="105"/>
    </row>
    <row r="61" spans="1:119" ht="16.5" customHeight="1">
      <c r="BJ61" s="105"/>
      <c r="BU61" s="105"/>
      <c r="BV61" s="105"/>
      <c r="BW61" s="105"/>
      <c r="BX61" s="105"/>
    </row>
    <row r="62" spans="1:119" ht="16.5" customHeight="1">
      <c r="BJ62" s="105"/>
      <c r="BU62" s="105"/>
      <c r="BV62" s="105"/>
      <c r="BW62" s="105"/>
      <c r="BX62" s="105"/>
    </row>
    <row r="63" spans="1:119" ht="16.5" customHeight="1">
      <c r="BJ63" s="105"/>
      <c r="BU63" s="105"/>
      <c r="BV63" s="105"/>
      <c r="BW63" s="105"/>
      <c r="BX63" s="105"/>
    </row>
    <row r="64" spans="1:119" ht="16.5" customHeight="1">
      <c r="BJ64" s="105"/>
      <c r="BU64" s="105"/>
      <c r="BV64" s="105"/>
      <c r="BW64" s="105"/>
      <c r="BX64" s="105"/>
    </row>
    <row r="65" spans="62:76" ht="16.5" customHeight="1">
      <c r="BJ65" s="105"/>
      <c r="BU65" s="105"/>
      <c r="BV65" s="105"/>
      <c r="BW65" s="105"/>
      <c r="BX65" s="105"/>
    </row>
    <row r="66" spans="62:76" ht="16.5" customHeight="1">
      <c r="BJ66" s="105"/>
      <c r="BU66" s="105"/>
      <c r="BV66" s="105"/>
      <c r="BW66" s="105"/>
      <c r="BX66" s="105"/>
    </row>
    <row r="67" spans="62:76" ht="16.5" customHeight="1">
      <c r="BJ67" s="105"/>
      <c r="BU67" s="105"/>
      <c r="BV67" s="105"/>
      <c r="BW67" s="105"/>
      <c r="BX67" s="105"/>
    </row>
    <row r="68" spans="62:76" ht="16.5" customHeight="1">
      <c r="BJ68" s="105"/>
      <c r="BU68" s="105"/>
      <c r="BV68" s="105"/>
      <c r="BW68" s="105"/>
      <c r="BX68" s="105"/>
    </row>
    <row r="69" spans="62:76" ht="16.5" customHeight="1">
      <c r="BJ69" s="105"/>
      <c r="BU69" s="105"/>
      <c r="BV69" s="105"/>
      <c r="BW69" s="105"/>
      <c r="BX69" s="105"/>
    </row>
    <row r="70" spans="62:76" ht="16.5" customHeight="1">
      <c r="BJ70" s="105"/>
      <c r="BU70" s="105"/>
      <c r="BV70" s="105"/>
      <c r="BW70" s="105"/>
      <c r="BX70" s="105"/>
    </row>
    <row r="71" spans="62:76" ht="16.5" customHeight="1">
      <c r="BJ71" s="105"/>
      <c r="BU71" s="105"/>
      <c r="BV71" s="105"/>
      <c r="BW71" s="105"/>
      <c r="BX71" s="105"/>
    </row>
    <row r="72" spans="62:76" ht="16.5" customHeight="1">
      <c r="BJ72" s="105"/>
      <c r="BU72" s="105"/>
      <c r="BV72" s="105"/>
      <c r="BW72" s="105"/>
      <c r="BX72" s="105"/>
    </row>
    <row r="73" spans="62:76" ht="16.5" customHeight="1">
      <c r="BJ73" s="105"/>
      <c r="BU73" s="105"/>
      <c r="BV73" s="105"/>
      <c r="BW73" s="105"/>
      <c r="BX73" s="105"/>
    </row>
    <row r="74" spans="62:76" ht="16.5" customHeight="1">
      <c r="BJ74" s="105"/>
      <c r="BU74" s="105"/>
      <c r="BV74" s="105"/>
      <c r="BW74" s="105"/>
      <c r="BX74" s="105"/>
    </row>
    <row r="75" spans="62:76" ht="16.5" customHeight="1">
      <c r="BJ75" s="105"/>
      <c r="BU75" s="105"/>
      <c r="BV75" s="105"/>
      <c r="BW75" s="105"/>
      <c r="BX75" s="105"/>
    </row>
    <row r="76" spans="62:76" ht="16.5" customHeight="1">
      <c r="BJ76" s="105"/>
      <c r="BU76" s="105"/>
      <c r="BV76" s="105"/>
      <c r="BW76" s="105"/>
      <c r="BX76" s="105"/>
    </row>
    <row r="77" spans="62:76" ht="16.5" customHeight="1">
      <c r="BJ77" s="105"/>
      <c r="BU77" s="105"/>
      <c r="BV77" s="105"/>
      <c r="BW77" s="105"/>
      <c r="BX77" s="105"/>
    </row>
    <row r="78" spans="62:76" ht="16.5" customHeight="1">
      <c r="BJ78" s="105"/>
      <c r="BU78" s="105"/>
      <c r="BV78" s="105"/>
      <c r="BW78" s="105"/>
      <c r="BX78" s="105"/>
    </row>
    <row r="79" spans="62:76" ht="16.5" customHeight="1">
      <c r="BJ79" s="105"/>
      <c r="BU79" s="105"/>
      <c r="BV79" s="105"/>
      <c r="BW79" s="105"/>
      <c r="BX79" s="105"/>
    </row>
    <row r="80" spans="62:76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</row>
    <row r="1651" spans="62:76" ht="16.5" customHeight="1">
      <c r="BJ1651" s="105"/>
    </row>
  </sheetData>
  <mergeCells count="23">
    <mergeCell ref="DG3:DI3"/>
    <mergeCell ref="DJ3:DO3"/>
    <mergeCell ref="CX1:DF1"/>
    <mergeCell ref="DG1:DO1"/>
    <mergeCell ref="M2:AD3"/>
    <mergeCell ref="AE2:AQ3"/>
    <mergeCell ref="AR2:BA3"/>
    <mergeCell ref="BB2:BT3"/>
    <mergeCell ref="BU2:CI3"/>
    <mergeCell ref="CJ2:CW3"/>
    <mergeCell ref="CX2:CZ2"/>
    <mergeCell ref="BU1:CI1"/>
    <mergeCell ref="CJ1:CW1"/>
    <mergeCell ref="DA2:DF2"/>
    <mergeCell ref="DG2:DI2"/>
    <mergeCell ref="DJ2:DO2"/>
    <mergeCell ref="CX3:CZ3"/>
    <mergeCell ref="DA3:DF3"/>
    <mergeCell ref="A1:L3"/>
    <mergeCell ref="M1:AD1"/>
    <mergeCell ref="AE1:AQ1"/>
    <mergeCell ref="AR1:BA1"/>
    <mergeCell ref="BB1:BT1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FDAD-A1D6-4FDD-981E-850F5D25F59B}">
  <sheetPr>
    <tabColor rgb="FFFF0000"/>
    <pageSetUpPr fitToPage="1"/>
  </sheetPr>
  <dimension ref="A1:FX1706"/>
  <sheetViews>
    <sheetView zoomScale="70" zoomScaleNormal="70" workbookViewId="0">
      <selection activeCell="AF68" sqref="AF68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278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308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41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35" t="s">
        <v>70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 t="s">
        <v>184</v>
      </c>
      <c r="Q7" s="36"/>
      <c r="R7" s="36"/>
      <c r="S7" s="36"/>
      <c r="T7" s="36"/>
      <c r="U7" s="38" t="s">
        <v>47</v>
      </c>
      <c r="V7" s="39"/>
      <c r="W7" s="39"/>
      <c r="X7" s="39"/>
      <c r="Y7" s="40"/>
      <c r="Z7" s="272" t="s">
        <v>228</v>
      </c>
      <c r="AA7" s="120"/>
      <c r="AB7" s="120"/>
      <c r="AC7" s="120"/>
      <c r="AD7" s="120"/>
      <c r="AE7" s="120"/>
      <c r="AF7" s="120"/>
      <c r="AG7" s="120"/>
      <c r="AH7" s="120"/>
      <c r="AI7" s="120"/>
      <c r="AJ7" s="41"/>
      <c r="AK7" s="42" t="s">
        <v>48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 t="s">
        <v>137</v>
      </c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55" t="s">
        <v>138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37" t="s">
        <v>185</v>
      </c>
      <c r="Q8" s="56"/>
      <c r="R8" s="56"/>
      <c r="S8" s="56"/>
      <c r="T8" s="56"/>
      <c r="U8" s="38" t="s">
        <v>47</v>
      </c>
      <c r="V8" s="39"/>
      <c r="W8" s="39"/>
      <c r="X8" s="39"/>
      <c r="Y8" s="40"/>
      <c r="Z8" s="37" t="s">
        <v>267</v>
      </c>
      <c r="AA8" s="41"/>
      <c r="AB8" s="36"/>
      <c r="AC8" s="36"/>
      <c r="AD8" s="36"/>
      <c r="AE8" s="36"/>
      <c r="AF8" s="36"/>
      <c r="AG8" s="41"/>
      <c r="AH8" s="41"/>
      <c r="AI8" s="41"/>
      <c r="AK8" s="41"/>
      <c r="AL8" s="42"/>
      <c r="AM8" s="44"/>
      <c r="AN8" s="45"/>
      <c r="BE8" s="48"/>
      <c r="BF8" s="48"/>
      <c r="BG8" s="49"/>
      <c r="BH8" s="34"/>
      <c r="BI8" s="50"/>
      <c r="BJ8" s="58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8"/>
      <c r="BW8" s="57"/>
      <c r="BX8" s="57"/>
      <c r="BY8" s="57"/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61"/>
      <c r="Q9" s="56"/>
      <c r="R9" s="56"/>
      <c r="S9" s="56"/>
      <c r="T9" s="56"/>
      <c r="U9" s="61"/>
      <c r="V9" s="56"/>
      <c r="W9" s="56"/>
      <c r="X9" s="56"/>
      <c r="Y9" s="62"/>
      <c r="Z9" s="37"/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65"/>
      <c r="AL9" s="55"/>
      <c r="AM9" s="66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5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7"/>
      <c r="BX9" s="57"/>
      <c r="BY9" s="57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5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W10" s="57"/>
      <c r="BX10" s="57"/>
      <c r="BY10" s="57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61"/>
      <c r="AA11" s="56"/>
      <c r="AB11" s="56"/>
      <c r="AC11" s="56"/>
      <c r="AD11" s="56"/>
      <c r="AE11" s="56"/>
      <c r="AF11" s="56"/>
      <c r="AG11" s="55"/>
      <c r="AH11" s="55"/>
      <c r="AI11" s="55"/>
      <c r="AJ11" s="55"/>
      <c r="AK11" s="65"/>
      <c r="AL11" s="55"/>
      <c r="AM11" s="66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06"/>
      <c r="BK11" s="58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8"/>
      <c r="BW11" s="57"/>
      <c r="BX11" s="57"/>
      <c r="BY11" s="57"/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61"/>
      <c r="Q12" s="56"/>
      <c r="R12" s="56"/>
      <c r="S12" s="56"/>
      <c r="T12" s="56"/>
      <c r="U12" s="61"/>
      <c r="V12" s="56"/>
      <c r="W12" s="56"/>
      <c r="X12" s="56"/>
      <c r="Y12" s="62"/>
      <c r="Z12" s="61"/>
      <c r="AA12" s="56"/>
      <c r="AB12" s="56"/>
      <c r="AC12" s="56"/>
      <c r="AD12" s="56"/>
      <c r="AE12" s="56"/>
      <c r="AF12" s="56"/>
      <c r="AG12" s="55"/>
      <c r="AH12" s="55"/>
      <c r="AI12" s="55"/>
      <c r="AJ12" s="55"/>
      <c r="AK12" s="65"/>
      <c r="AL12" s="55"/>
      <c r="AM12" s="66"/>
      <c r="AN12" s="52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8"/>
      <c r="BW12" s="57"/>
      <c r="BX12" s="57"/>
      <c r="BY12" s="57"/>
      <c r="BZ12" s="57"/>
      <c r="CA12" s="58"/>
      <c r="CB12" s="57"/>
      <c r="CC12" s="57"/>
      <c r="CD12" s="57"/>
      <c r="CE12" s="63"/>
      <c r="CF12" s="58"/>
      <c r="CG12" s="57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7"/>
      <c r="V13" s="68"/>
      <c r="W13" s="68"/>
      <c r="X13" s="68"/>
      <c r="Y13" s="69"/>
      <c r="Z13" s="67"/>
      <c r="AA13" s="68"/>
      <c r="AB13" s="56"/>
      <c r="AC13" s="56"/>
      <c r="AD13" s="56"/>
      <c r="AE13" s="56"/>
      <c r="AF13" s="56"/>
      <c r="AG13" s="55"/>
      <c r="AH13" s="55"/>
      <c r="AI13" s="55"/>
      <c r="AJ13" s="55"/>
      <c r="AK13" s="70"/>
      <c r="AL13" s="71"/>
      <c r="AM13" s="72"/>
      <c r="AN13" s="73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5"/>
      <c r="BH13" s="34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7"/>
      <c r="BW13" s="68"/>
      <c r="BX13" s="68"/>
      <c r="BY13" s="68"/>
      <c r="BZ13" s="68"/>
      <c r="CA13" s="67"/>
      <c r="CB13" s="68"/>
      <c r="CC13" s="68"/>
      <c r="CD13" s="68"/>
      <c r="CE13" s="69"/>
      <c r="CF13" s="67"/>
      <c r="CG13" s="68"/>
      <c r="CH13" s="68"/>
      <c r="CI13" s="68"/>
      <c r="CJ13" s="68"/>
      <c r="CK13" s="68"/>
      <c r="CL13" s="68"/>
      <c r="CM13" s="71"/>
      <c r="CN13" s="71"/>
      <c r="CO13" s="71"/>
      <c r="CP13" s="71"/>
      <c r="CQ13" s="71"/>
      <c r="CR13" s="71"/>
      <c r="CS13" s="76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8"/>
      <c r="DO13" s="26"/>
    </row>
    <row r="14" spans="1:125" s="20" customFormat="1" ht="19.5" customHeight="1">
      <c r="A14" s="19"/>
      <c r="B14" s="79" t="s">
        <v>52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25"/>
      <c r="BH14" s="24" t="s">
        <v>53</v>
      </c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1"/>
      <c r="DO14" s="26"/>
    </row>
    <row r="15" spans="1:125" s="50" customFormat="1" ht="19.5" customHeight="1">
      <c r="A15" s="82"/>
      <c r="B15" s="34"/>
      <c r="C15" s="83"/>
      <c r="D15" s="118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4"/>
      <c r="BH15" s="85"/>
      <c r="BI15" s="29" t="s">
        <v>54</v>
      </c>
      <c r="BJ15" s="29"/>
      <c r="BK15" s="29"/>
      <c r="BL15" s="29"/>
      <c r="BM15" s="29"/>
      <c r="BN15" s="29"/>
      <c r="BO15" s="29"/>
      <c r="BP15" s="29"/>
      <c r="BQ15" s="30" t="s">
        <v>55</v>
      </c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32"/>
      <c r="CS15" s="29" t="s">
        <v>41</v>
      </c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O15" s="86"/>
    </row>
    <row r="16" spans="1:125" s="50" customFormat="1" ht="19.5" customHeight="1">
      <c r="A16" s="82"/>
      <c r="B16" s="34"/>
      <c r="BG16" s="87"/>
      <c r="BH16" s="34"/>
      <c r="BI16" s="88" t="s">
        <v>56</v>
      </c>
      <c r="BJ16" s="89"/>
      <c r="BK16" s="89"/>
      <c r="BL16" s="89"/>
      <c r="BM16" s="89"/>
      <c r="BN16" s="89"/>
      <c r="BO16" s="89"/>
      <c r="BP16" s="89"/>
      <c r="BQ16" s="90" t="s">
        <v>57</v>
      </c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91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92"/>
      <c r="DO16" s="86"/>
    </row>
    <row r="17" spans="1:180" s="50" customFormat="1" ht="19.149999999999999" customHeight="1">
      <c r="A17" s="82"/>
      <c r="B17" s="34"/>
      <c r="BG17" s="87"/>
      <c r="BH17" s="34"/>
      <c r="BI17" s="88" t="s">
        <v>58</v>
      </c>
      <c r="BJ17" s="89"/>
      <c r="BK17" s="89"/>
      <c r="BL17" s="89"/>
      <c r="BM17" s="89"/>
      <c r="BN17" s="89"/>
      <c r="BO17" s="89"/>
      <c r="BP17" s="89"/>
      <c r="BQ17" s="90" t="s">
        <v>59</v>
      </c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4"/>
      <c r="CS17" s="93"/>
      <c r="CT17" s="93"/>
      <c r="CU17" s="93"/>
      <c r="CV17" s="93"/>
      <c r="CW17" s="93"/>
      <c r="CX17" s="93"/>
      <c r="CY17" s="93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92"/>
      <c r="DO17" s="86"/>
    </row>
    <row r="18" spans="1:180" s="50" customFormat="1" ht="19.149999999999999" customHeight="1">
      <c r="A18" s="82"/>
      <c r="B18" s="34"/>
      <c r="BG18" s="87"/>
      <c r="BH18" s="34"/>
      <c r="BI18" s="88" t="s">
        <v>314</v>
      </c>
      <c r="BJ18" s="89"/>
      <c r="BK18" s="89"/>
      <c r="BL18" s="89"/>
      <c r="BM18" s="89"/>
      <c r="BN18" s="89"/>
      <c r="BO18" s="89"/>
      <c r="BP18" s="89"/>
      <c r="BQ18" s="90" t="s">
        <v>315</v>
      </c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4"/>
      <c r="CS18" s="89"/>
      <c r="CT18" s="93"/>
      <c r="CU18" s="93"/>
      <c r="CV18" s="93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92"/>
      <c r="DO18" s="86"/>
    </row>
    <row r="19" spans="1:180" s="50" customFormat="1" ht="19.149999999999999" customHeight="1">
      <c r="A19" s="82"/>
      <c r="B19" s="34"/>
      <c r="BG19" s="87"/>
      <c r="BH19" s="34"/>
      <c r="BI19" s="88"/>
      <c r="BJ19" s="89"/>
      <c r="BK19" s="89"/>
      <c r="BL19" s="89"/>
      <c r="BM19" s="89"/>
      <c r="BN19" s="89"/>
      <c r="BO19" s="89"/>
      <c r="BP19" s="89"/>
      <c r="BQ19" s="90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91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92"/>
      <c r="DO19" s="86"/>
    </row>
    <row r="20" spans="1:180" s="50" customFormat="1" ht="19.149999999999999" customHeight="1">
      <c r="A20" s="82"/>
      <c r="B20" s="34"/>
      <c r="BG20" s="87"/>
      <c r="BH20" s="34"/>
      <c r="BI20" s="88"/>
      <c r="BJ20" s="89"/>
      <c r="BK20" s="89"/>
      <c r="BL20" s="89"/>
      <c r="BM20" s="89"/>
      <c r="BN20" s="89"/>
      <c r="BO20" s="89"/>
      <c r="BP20" s="89"/>
      <c r="BQ20" s="90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91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92"/>
      <c r="DO20" s="86"/>
    </row>
    <row r="21" spans="1:180" s="50" customFormat="1" ht="16.5" customHeight="1">
      <c r="A21" s="82"/>
      <c r="B21" s="34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6"/>
      <c r="BH21" s="34"/>
      <c r="BI21" s="97"/>
      <c r="BJ21" s="97"/>
      <c r="BK21" s="97"/>
      <c r="BL21" s="97"/>
      <c r="BM21" s="97"/>
      <c r="BN21" s="97"/>
      <c r="BO21" s="97"/>
      <c r="BP21" s="97"/>
      <c r="BQ21" s="98"/>
      <c r="BR21" s="97"/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9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100"/>
      <c r="DO21" s="86"/>
    </row>
    <row r="22" spans="1:180" ht="16.5" customHeight="1" thickBot="1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3"/>
    </row>
    <row r="24" spans="1:180" s="118" customFormat="1" ht="20.100000000000001" customHeight="1">
      <c r="A24" s="116" t="s">
        <v>143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311"/>
      <c r="DP24" s="104"/>
    </row>
    <row r="26" spans="1:180" ht="16.5" customHeight="1">
      <c r="A26" s="175"/>
      <c r="B26" s="177" t="s">
        <v>147</v>
      </c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7"/>
      <c r="BK26" s="176"/>
      <c r="BL26" s="176"/>
      <c r="BM26" s="176"/>
      <c r="BN26" s="176"/>
      <c r="BO26" s="176"/>
      <c r="BP26" s="176"/>
      <c r="BQ26" s="176"/>
      <c r="BR26" s="176"/>
      <c r="BS26" s="176"/>
      <c r="BT26" s="172"/>
      <c r="BU26" s="173"/>
      <c r="BV26" s="173"/>
      <c r="BW26" s="173"/>
      <c r="BX26" s="173"/>
      <c r="BY26" s="173"/>
      <c r="BZ26" s="173"/>
      <c r="CA26" s="173"/>
      <c r="CB26" s="173"/>
      <c r="CC26" s="173"/>
      <c r="CD26" s="173"/>
      <c r="CE26" s="173"/>
      <c r="CF26" s="173"/>
      <c r="CG26" s="173"/>
      <c r="CH26" s="173"/>
      <c r="CI26" s="173"/>
      <c r="CJ26" s="173"/>
      <c r="CK26" s="173"/>
      <c r="CL26" s="173"/>
      <c r="CM26" s="173"/>
      <c r="CN26" s="173"/>
      <c r="CO26" s="173"/>
      <c r="CP26" s="173"/>
      <c r="CQ26" s="173"/>
      <c r="CR26" s="173"/>
      <c r="CS26" s="173"/>
      <c r="CT26" s="173"/>
      <c r="CU26" s="173"/>
      <c r="CV26" s="173"/>
      <c r="CW26" s="173"/>
      <c r="CX26" s="173"/>
      <c r="CY26" s="173"/>
      <c r="CZ26" s="173"/>
      <c r="DA26" s="174"/>
      <c r="DB26" s="174"/>
      <c r="DC26" s="174"/>
      <c r="DD26" s="174"/>
      <c r="DE26" s="174"/>
      <c r="DF26" s="174"/>
      <c r="DG26" s="174"/>
      <c r="DH26" s="174"/>
      <c r="DI26" s="174"/>
      <c r="DJ26" s="174"/>
      <c r="DK26" s="174"/>
      <c r="DL26" s="174"/>
      <c r="DM26" s="174"/>
      <c r="DN26" s="367"/>
      <c r="FX26" s="105" t="s">
        <v>119</v>
      </c>
    </row>
    <row r="27" spans="1:180" ht="16.5" customHeight="1">
      <c r="A27" s="111"/>
      <c r="BJ27" s="105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367"/>
      <c r="FX27" s="105" t="s">
        <v>121</v>
      </c>
    </row>
    <row r="28" spans="1:180" ht="16.5" customHeight="1">
      <c r="A28" s="111"/>
      <c r="C28" s="179" t="s">
        <v>186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18"/>
      <c r="BU28" s="120"/>
      <c r="BV28" s="120"/>
      <c r="BW28" s="120"/>
      <c r="BX28" s="120"/>
      <c r="BY28" s="120"/>
      <c r="BZ28" s="137"/>
      <c r="CA28" s="138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367"/>
      <c r="FX28" s="105" t="s">
        <v>122</v>
      </c>
    </row>
    <row r="29" spans="1:180" ht="16.5" customHeight="1">
      <c r="A29" s="111"/>
      <c r="C29" s="179" t="s">
        <v>187</v>
      </c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18"/>
      <c r="BU29" s="120"/>
      <c r="BV29" s="120"/>
      <c r="BW29" s="120"/>
      <c r="BX29" s="120"/>
      <c r="BY29" s="120"/>
      <c r="BZ29" s="120"/>
      <c r="CA29" s="145"/>
      <c r="CB29" s="120"/>
      <c r="CC29" s="120"/>
      <c r="CD29" s="120"/>
      <c r="CE29" s="120"/>
      <c r="CF29" s="120"/>
      <c r="CG29" s="120"/>
      <c r="CH29" s="120"/>
      <c r="CI29" s="120"/>
      <c r="CJ29" s="120"/>
      <c r="CK29" s="120"/>
      <c r="CL29" s="120"/>
      <c r="CM29" s="120"/>
      <c r="CN29" s="120"/>
      <c r="CO29" s="120"/>
      <c r="CP29" s="12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2"/>
      <c r="DB29" s="112"/>
      <c r="DC29" s="112"/>
      <c r="DD29" s="112"/>
      <c r="DE29" s="112"/>
      <c r="DF29" s="112"/>
      <c r="DG29" s="112"/>
      <c r="DH29" s="112"/>
      <c r="DI29" s="112"/>
      <c r="DJ29" s="112"/>
      <c r="DK29" s="112"/>
      <c r="DL29" s="112"/>
      <c r="DM29" s="112"/>
      <c r="DN29" s="367"/>
      <c r="FX29" s="105" t="s">
        <v>123</v>
      </c>
    </row>
    <row r="30" spans="1:180" ht="16.5" customHeight="1">
      <c r="A30" s="111"/>
      <c r="C30" s="179" t="s">
        <v>195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45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1"/>
      <c r="AL30" s="121"/>
      <c r="AM30" s="122"/>
      <c r="AN30" s="123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18"/>
      <c r="BU30" s="120"/>
      <c r="BV30" s="120"/>
      <c r="BW30" s="120"/>
      <c r="BX30" s="120"/>
      <c r="BY30" s="120"/>
      <c r="BZ30" s="120"/>
      <c r="CA30" s="145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0"/>
      <c r="DA30" s="112"/>
      <c r="DB30" s="112"/>
      <c r="DC30" s="112"/>
      <c r="DD30" s="112"/>
      <c r="DE30" s="112"/>
      <c r="DF30" s="112"/>
      <c r="DG30" s="112"/>
      <c r="DH30" s="112"/>
      <c r="DI30" s="112"/>
      <c r="DJ30" s="112"/>
      <c r="DK30" s="112"/>
      <c r="DL30" s="112"/>
      <c r="DM30" s="112"/>
      <c r="DN30" s="367"/>
      <c r="FX30" s="105" t="s">
        <v>124</v>
      </c>
    </row>
    <row r="31" spans="1:180" ht="16.5" customHeight="1">
      <c r="A31" s="111"/>
      <c r="C31" s="179" t="s">
        <v>268</v>
      </c>
      <c r="BJ31" s="105"/>
      <c r="BU31" s="110"/>
      <c r="BV31" s="110"/>
      <c r="BW31" s="110"/>
      <c r="BX31" s="110"/>
      <c r="BY31" s="110"/>
      <c r="BZ31" s="120"/>
      <c r="CA31" s="145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367"/>
      <c r="FX31" s="105" t="s">
        <v>94</v>
      </c>
    </row>
    <row r="32" spans="1:180" ht="16.5" customHeight="1">
      <c r="A32" s="111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2"/>
      <c r="DB32" s="112"/>
      <c r="DC32" s="112"/>
      <c r="DD32" s="112"/>
      <c r="DE32" s="112"/>
      <c r="DF32" s="112"/>
      <c r="DG32" s="112"/>
      <c r="DH32" s="112"/>
      <c r="DI32" s="112"/>
      <c r="DJ32" s="112"/>
      <c r="DK32" s="112"/>
      <c r="DL32" s="112"/>
      <c r="DM32" s="112"/>
      <c r="DN32" s="367"/>
      <c r="FX32" s="105" t="s">
        <v>96</v>
      </c>
    </row>
    <row r="33" spans="1:180" ht="16.5" customHeight="1">
      <c r="A33" s="111"/>
      <c r="C33" s="461" t="s">
        <v>188</v>
      </c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  <c r="BJ33" s="428"/>
      <c r="BK33" s="446"/>
      <c r="BL33" s="446"/>
      <c r="BM33" s="446"/>
      <c r="BN33" s="446"/>
      <c r="BO33" s="446"/>
      <c r="BP33" s="446"/>
      <c r="BQ33" s="446"/>
      <c r="BR33" s="446"/>
      <c r="BS33" s="446"/>
      <c r="BT33" s="446"/>
      <c r="BU33" s="462"/>
      <c r="BV33" s="462"/>
      <c r="BW33" s="462"/>
      <c r="BX33" s="462"/>
      <c r="BY33" s="462"/>
      <c r="BZ33" s="462"/>
      <c r="CA33" s="462"/>
      <c r="CB33" s="462"/>
      <c r="CC33" s="462"/>
      <c r="CD33" s="462"/>
      <c r="CE33" s="462"/>
      <c r="CF33" s="462"/>
      <c r="CG33" s="462"/>
      <c r="CH33" s="462"/>
      <c r="CI33" s="462"/>
      <c r="CJ33" s="462"/>
      <c r="CK33" s="462"/>
      <c r="CL33" s="462"/>
      <c r="CM33" s="462"/>
      <c r="CN33" s="462"/>
      <c r="CO33" s="462"/>
      <c r="CP33" s="462"/>
      <c r="CQ33" s="462"/>
      <c r="CR33" s="462"/>
      <c r="CS33" s="462"/>
      <c r="CT33" s="462"/>
      <c r="CU33" s="110"/>
      <c r="CV33" s="110"/>
      <c r="CW33" s="110"/>
      <c r="CX33" s="110"/>
      <c r="CY33" s="110"/>
      <c r="CZ33" s="110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367"/>
      <c r="FX33" s="105" t="s">
        <v>125</v>
      </c>
    </row>
    <row r="34" spans="1:180" ht="16.5" customHeight="1">
      <c r="A34" s="108"/>
      <c r="C34" s="428" t="s">
        <v>260</v>
      </c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  <c r="BJ34" s="428"/>
      <c r="BK34" s="446"/>
      <c r="BL34" s="446"/>
      <c r="BM34" s="446"/>
      <c r="BN34" s="446"/>
      <c r="BO34" s="446"/>
      <c r="BP34" s="446"/>
      <c r="BQ34" s="446"/>
      <c r="BR34" s="446"/>
      <c r="BS34" s="446"/>
      <c r="BT34" s="446"/>
      <c r="BU34" s="462"/>
      <c r="BV34" s="462"/>
      <c r="BW34" s="462"/>
      <c r="BX34" s="462"/>
      <c r="BY34" s="462"/>
      <c r="BZ34" s="462"/>
      <c r="CA34" s="462"/>
      <c r="CB34" s="462"/>
      <c r="CC34" s="462"/>
      <c r="CD34" s="462"/>
      <c r="CE34" s="462"/>
      <c r="CF34" s="462"/>
      <c r="CG34" s="462"/>
      <c r="CH34" s="462"/>
      <c r="CI34" s="462"/>
      <c r="CJ34" s="462"/>
      <c r="CK34" s="462"/>
      <c r="CL34" s="462"/>
      <c r="CM34" s="462"/>
      <c r="CN34" s="462"/>
      <c r="CO34" s="462"/>
      <c r="CP34" s="462"/>
      <c r="CQ34" s="462"/>
      <c r="CR34" s="462"/>
      <c r="CS34" s="462"/>
      <c r="CT34" s="462"/>
      <c r="CU34" s="110"/>
      <c r="CV34" s="110"/>
      <c r="CW34" s="110"/>
      <c r="CX34" s="110"/>
      <c r="CY34" s="110"/>
      <c r="CZ34" s="110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367"/>
      <c r="FX34" s="105" t="s">
        <v>98</v>
      </c>
    </row>
    <row r="35" spans="1:180" ht="16.5" customHeight="1">
      <c r="A35" s="108"/>
      <c r="C35" s="428" t="s">
        <v>190</v>
      </c>
      <c r="D35" s="428"/>
      <c r="E35" s="428"/>
      <c r="F35" s="428"/>
      <c r="G35" s="428"/>
      <c r="H35" s="428"/>
      <c r="I35" s="428"/>
      <c r="J35" s="428"/>
      <c r="K35" s="428"/>
      <c r="L35" s="428"/>
      <c r="M35" s="428"/>
      <c r="N35" s="428"/>
      <c r="O35" s="428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  <c r="BJ35" s="428"/>
      <c r="BK35" s="446"/>
      <c r="BL35" s="446"/>
      <c r="BM35" s="446"/>
      <c r="BN35" s="446"/>
      <c r="BO35" s="446"/>
      <c r="BP35" s="446"/>
      <c r="BQ35" s="446"/>
      <c r="BR35" s="446"/>
      <c r="BS35" s="446"/>
      <c r="BT35" s="446"/>
      <c r="BU35" s="462"/>
      <c r="BV35" s="462"/>
      <c r="BW35" s="462"/>
      <c r="BX35" s="462"/>
      <c r="BY35" s="462"/>
      <c r="BZ35" s="462"/>
      <c r="CA35" s="462"/>
      <c r="CB35" s="462"/>
      <c r="CC35" s="462"/>
      <c r="CD35" s="462"/>
      <c r="CE35" s="462"/>
      <c r="CF35" s="462"/>
      <c r="CG35" s="462"/>
      <c r="CH35" s="462"/>
      <c r="CI35" s="462"/>
      <c r="CJ35" s="462"/>
      <c r="CK35" s="462"/>
      <c r="CL35" s="462"/>
      <c r="CM35" s="462"/>
      <c r="CN35" s="462"/>
      <c r="CO35" s="462"/>
      <c r="CP35" s="462"/>
      <c r="CQ35" s="462"/>
      <c r="CR35" s="462"/>
      <c r="CS35" s="462"/>
      <c r="CT35" s="462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368"/>
      <c r="FX35" s="105" t="s">
        <v>126</v>
      </c>
    </row>
    <row r="36" spans="1:180" ht="16.5" customHeight="1">
      <c r="A36" s="108"/>
      <c r="C36" s="452" t="s">
        <v>340</v>
      </c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  <c r="BJ36" s="428"/>
      <c r="BK36" s="446"/>
      <c r="BL36" s="446"/>
      <c r="BM36" s="446"/>
      <c r="BN36" s="446"/>
      <c r="BO36" s="446"/>
      <c r="BP36" s="446"/>
      <c r="BQ36" s="446"/>
      <c r="BR36" s="446"/>
      <c r="BS36" s="446"/>
      <c r="BT36" s="446"/>
      <c r="BU36" s="462"/>
      <c r="BV36" s="462"/>
      <c r="BW36" s="462"/>
      <c r="BX36" s="462"/>
      <c r="BY36" s="462"/>
      <c r="BZ36" s="462"/>
      <c r="CA36" s="462"/>
      <c r="CB36" s="462"/>
      <c r="CC36" s="462"/>
      <c r="CD36" s="462"/>
      <c r="CE36" s="462"/>
      <c r="CF36" s="462"/>
      <c r="CG36" s="462"/>
      <c r="CH36" s="462"/>
      <c r="CI36" s="462"/>
      <c r="CJ36" s="462"/>
      <c r="CK36" s="462"/>
      <c r="CL36" s="462"/>
      <c r="CM36" s="462"/>
      <c r="CN36" s="462"/>
      <c r="CO36" s="462"/>
      <c r="CP36" s="462"/>
      <c r="CQ36" s="462"/>
      <c r="CR36" s="462"/>
      <c r="CS36" s="462"/>
      <c r="CT36" s="462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368"/>
      <c r="FX36" s="105" t="s">
        <v>101</v>
      </c>
    </row>
    <row r="37" spans="1:180" ht="16.5" customHeight="1">
      <c r="A37" s="108"/>
      <c r="C37" s="446"/>
      <c r="D37" s="428" t="s">
        <v>335</v>
      </c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  <c r="BJ37" s="428"/>
      <c r="BK37" s="446"/>
      <c r="BL37" s="446"/>
      <c r="BM37" s="446"/>
      <c r="BN37" s="446"/>
      <c r="BO37" s="446"/>
      <c r="BP37" s="446"/>
      <c r="BQ37" s="446"/>
      <c r="BR37" s="446"/>
      <c r="BS37" s="446"/>
      <c r="BT37" s="446"/>
      <c r="BU37" s="462"/>
      <c r="BV37" s="462"/>
      <c r="BW37" s="462"/>
      <c r="BX37" s="462"/>
      <c r="BY37" s="462"/>
      <c r="BZ37" s="462"/>
      <c r="CA37" s="462"/>
      <c r="CB37" s="462"/>
      <c r="CC37" s="462"/>
      <c r="CD37" s="462"/>
      <c r="CE37" s="462"/>
      <c r="CF37" s="462"/>
      <c r="CG37" s="462"/>
      <c r="CH37" s="462"/>
      <c r="CI37" s="462"/>
      <c r="CJ37" s="462"/>
      <c r="CK37" s="462"/>
      <c r="CL37" s="462"/>
      <c r="CM37" s="462"/>
      <c r="CN37" s="462"/>
      <c r="CO37" s="462"/>
      <c r="CP37" s="462"/>
      <c r="CQ37" s="462"/>
      <c r="CR37" s="462"/>
      <c r="CS37" s="462"/>
      <c r="CT37" s="462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368"/>
      <c r="FX37" s="105" t="s">
        <v>103</v>
      </c>
    </row>
    <row r="38" spans="1:180" ht="16.5" customHeight="1">
      <c r="A38" s="108"/>
      <c r="C38" s="446"/>
      <c r="D38" s="428" t="s">
        <v>333</v>
      </c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  <c r="BJ38" s="428"/>
      <c r="BK38" s="446"/>
      <c r="BL38" s="446"/>
      <c r="BM38" s="446"/>
      <c r="BN38" s="446"/>
      <c r="BO38" s="446"/>
      <c r="BP38" s="446"/>
      <c r="BQ38" s="446"/>
      <c r="BR38" s="446"/>
      <c r="BS38" s="446"/>
      <c r="BT38" s="446"/>
      <c r="BU38" s="462"/>
      <c r="BV38" s="462"/>
      <c r="BW38" s="462"/>
      <c r="BX38" s="462"/>
      <c r="BY38" s="462"/>
      <c r="BZ38" s="462"/>
      <c r="CA38" s="462"/>
      <c r="CB38" s="462"/>
      <c r="CC38" s="462"/>
      <c r="CD38" s="462"/>
      <c r="CE38" s="462"/>
      <c r="CF38" s="462"/>
      <c r="CG38" s="462"/>
      <c r="CH38" s="462"/>
      <c r="CI38" s="462"/>
      <c r="CJ38" s="462"/>
      <c r="CK38" s="462"/>
      <c r="CL38" s="462"/>
      <c r="CM38" s="462"/>
      <c r="CN38" s="462"/>
      <c r="CO38" s="462"/>
      <c r="CP38" s="462"/>
      <c r="CQ38" s="462"/>
      <c r="CR38" s="462"/>
      <c r="CS38" s="462"/>
      <c r="CT38" s="462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368"/>
      <c r="FX38" s="105" t="s">
        <v>104</v>
      </c>
    </row>
    <row r="39" spans="1:180" ht="16.5" customHeight="1">
      <c r="A39" s="108"/>
      <c r="C39" s="446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  <c r="BF39" s="446"/>
      <c r="BG39" s="446"/>
      <c r="BH39" s="446"/>
      <c r="BI39" s="446"/>
      <c r="BJ39" s="428"/>
      <c r="BK39" s="446"/>
      <c r="BL39" s="446"/>
      <c r="BM39" s="446"/>
      <c r="BN39" s="446"/>
      <c r="BO39" s="446"/>
      <c r="BP39" s="446"/>
      <c r="BQ39" s="446"/>
      <c r="BR39" s="446"/>
      <c r="BS39" s="446"/>
      <c r="BT39" s="446"/>
      <c r="BU39" s="462"/>
      <c r="BV39" s="462"/>
      <c r="BW39" s="462"/>
      <c r="BX39" s="462"/>
      <c r="BY39" s="462"/>
      <c r="BZ39" s="462"/>
      <c r="CA39" s="462"/>
      <c r="CB39" s="462"/>
      <c r="CC39" s="462"/>
      <c r="CD39" s="462"/>
      <c r="CE39" s="462"/>
      <c r="CF39" s="462"/>
      <c r="CG39" s="462"/>
      <c r="CH39" s="462"/>
      <c r="CI39" s="462"/>
      <c r="CJ39" s="462"/>
      <c r="CK39" s="462"/>
      <c r="CL39" s="462"/>
      <c r="CM39" s="462"/>
      <c r="CN39" s="462"/>
      <c r="CO39" s="462"/>
      <c r="CP39" s="462"/>
      <c r="CQ39" s="462"/>
      <c r="CR39" s="462"/>
      <c r="CS39" s="462"/>
      <c r="CT39" s="462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110"/>
      <c r="DM39" s="110"/>
      <c r="DN39" s="368"/>
      <c r="FX39" s="105" t="s">
        <v>127</v>
      </c>
    </row>
    <row r="40" spans="1:180" ht="16.5" customHeight="1">
      <c r="A40" s="108"/>
      <c r="C40" s="446"/>
      <c r="D40" s="428" t="s">
        <v>334</v>
      </c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  <c r="BJ40" s="428"/>
      <c r="BK40" s="446"/>
      <c r="BL40" s="446"/>
      <c r="BM40" s="446"/>
      <c r="BN40" s="446"/>
      <c r="BO40" s="446"/>
      <c r="BP40" s="446"/>
      <c r="BQ40" s="446"/>
      <c r="BR40" s="446"/>
      <c r="BS40" s="446"/>
      <c r="BT40" s="446"/>
      <c r="BU40" s="462"/>
      <c r="BV40" s="462"/>
      <c r="BW40" s="462"/>
      <c r="BX40" s="462"/>
      <c r="BY40" s="462"/>
      <c r="BZ40" s="462"/>
      <c r="CA40" s="462"/>
      <c r="CB40" s="462"/>
      <c r="CC40" s="462"/>
      <c r="CD40" s="462"/>
      <c r="CE40" s="462"/>
      <c r="CF40" s="462"/>
      <c r="CG40" s="462"/>
      <c r="CH40" s="462"/>
      <c r="CI40" s="462"/>
      <c r="CJ40" s="462"/>
      <c r="CK40" s="462"/>
      <c r="CL40" s="462"/>
      <c r="CM40" s="462"/>
      <c r="CN40" s="462"/>
      <c r="CO40" s="462"/>
      <c r="CP40" s="462"/>
      <c r="CQ40" s="462"/>
      <c r="CR40" s="462"/>
      <c r="CS40" s="462"/>
      <c r="CT40" s="462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368"/>
      <c r="FX40" s="105" t="s">
        <v>107</v>
      </c>
    </row>
    <row r="41" spans="1:180" ht="16.5" customHeight="1">
      <c r="A41" s="108"/>
      <c r="C41" s="446"/>
      <c r="D41" s="428" t="s">
        <v>336</v>
      </c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  <c r="BJ41" s="428"/>
      <c r="BK41" s="446"/>
      <c r="BL41" s="446"/>
      <c r="BM41" s="446"/>
      <c r="BN41" s="446"/>
      <c r="BO41" s="446"/>
      <c r="BP41" s="446"/>
      <c r="BQ41" s="446"/>
      <c r="BR41" s="446"/>
      <c r="BS41" s="446"/>
      <c r="BT41" s="446"/>
      <c r="BU41" s="462"/>
      <c r="BV41" s="462"/>
      <c r="BW41" s="462"/>
      <c r="BX41" s="462"/>
      <c r="BY41" s="462"/>
      <c r="BZ41" s="462"/>
      <c r="CA41" s="462"/>
      <c r="CB41" s="462"/>
      <c r="CC41" s="462"/>
      <c r="CD41" s="462"/>
      <c r="CE41" s="462"/>
      <c r="CF41" s="462"/>
      <c r="CG41" s="462"/>
      <c r="CH41" s="462"/>
      <c r="CI41" s="462"/>
      <c r="CJ41" s="462"/>
      <c r="CK41" s="462"/>
      <c r="CL41" s="462"/>
      <c r="CM41" s="462"/>
      <c r="CN41" s="462"/>
      <c r="CO41" s="462"/>
      <c r="CP41" s="462"/>
      <c r="CQ41" s="462"/>
      <c r="CR41" s="462"/>
      <c r="CS41" s="462"/>
      <c r="CT41" s="462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368"/>
      <c r="FX41" s="105" t="s">
        <v>128</v>
      </c>
    </row>
    <row r="42" spans="1:180" ht="16.5" customHeight="1">
      <c r="A42" s="108"/>
      <c r="C42" s="446"/>
      <c r="D42" s="428" t="s">
        <v>337</v>
      </c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  <c r="BJ42" s="428"/>
      <c r="BK42" s="446"/>
      <c r="BL42" s="446"/>
      <c r="BM42" s="446"/>
      <c r="BN42" s="446"/>
      <c r="BO42" s="446"/>
      <c r="BP42" s="446"/>
      <c r="BQ42" s="446"/>
      <c r="BR42" s="446"/>
      <c r="BS42" s="446"/>
      <c r="BT42" s="446"/>
      <c r="BU42" s="462"/>
      <c r="BV42" s="462"/>
      <c r="BW42" s="462"/>
      <c r="BX42" s="462"/>
      <c r="BY42" s="462"/>
      <c r="BZ42" s="462"/>
      <c r="CA42" s="462"/>
      <c r="CB42" s="462"/>
      <c r="CC42" s="462"/>
      <c r="CD42" s="462"/>
      <c r="CE42" s="462"/>
      <c r="CF42" s="462"/>
      <c r="CG42" s="462"/>
      <c r="CH42" s="462"/>
      <c r="CI42" s="462"/>
      <c r="CJ42" s="462"/>
      <c r="CK42" s="462"/>
      <c r="CL42" s="462"/>
      <c r="CM42" s="462"/>
      <c r="CN42" s="462"/>
      <c r="CO42" s="462"/>
      <c r="CP42" s="462"/>
      <c r="CQ42" s="462"/>
      <c r="CR42" s="462"/>
      <c r="CS42" s="462"/>
      <c r="CT42" s="462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368"/>
      <c r="FX42" s="105" t="s">
        <v>110</v>
      </c>
    </row>
    <row r="43" spans="1:180" ht="16.5" customHeight="1">
      <c r="A43" s="108"/>
      <c r="C43" s="446"/>
      <c r="D43" s="428" t="s">
        <v>189</v>
      </c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  <c r="BJ43" s="428"/>
      <c r="BK43" s="446"/>
      <c r="BL43" s="446"/>
      <c r="BM43" s="446"/>
      <c r="BN43" s="446"/>
      <c r="BO43" s="446"/>
      <c r="BP43" s="446"/>
      <c r="BQ43" s="446"/>
      <c r="BR43" s="446"/>
      <c r="BS43" s="446"/>
      <c r="BT43" s="446"/>
      <c r="BU43" s="462"/>
      <c r="BV43" s="462"/>
      <c r="BW43" s="462"/>
      <c r="BX43" s="462"/>
      <c r="BY43" s="462"/>
      <c r="BZ43" s="462"/>
      <c r="CA43" s="462"/>
      <c r="CB43" s="462"/>
      <c r="CC43" s="462"/>
      <c r="CD43" s="462"/>
      <c r="CE43" s="462"/>
      <c r="CF43" s="462"/>
      <c r="CG43" s="462"/>
      <c r="CH43" s="462"/>
      <c r="CI43" s="462"/>
      <c r="CJ43" s="462"/>
      <c r="CK43" s="462"/>
      <c r="CL43" s="462"/>
      <c r="CM43" s="462"/>
      <c r="CN43" s="462"/>
      <c r="CO43" s="462"/>
      <c r="CP43" s="462"/>
      <c r="CQ43" s="462"/>
      <c r="CR43" s="462"/>
      <c r="CS43" s="462"/>
      <c r="CT43" s="462"/>
      <c r="CU43" s="110"/>
      <c r="CV43" s="110"/>
      <c r="CW43" s="110"/>
      <c r="CX43" s="110"/>
      <c r="CY43" s="110"/>
      <c r="CZ43" s="110"/>
      <c r="DA43" s="110"/>
      <c r="DB43" s="110"/>
      <c r="DC43" s="110"/>
      <c r="DD43" s="110"/>
      <c r="DE43" s="110"/>
      <c r="DF43" s="110"/>
      <c r="DG43" s="110"/>
      <c r="DH43" s="110"/>
      <c r="DI43" s="110"/>
      <c r="DJ43" s="110"/>
      <c r="DK43" s="110"/>
      <c r="DL43" s="110"/>
      <c r="DM43" s="110"/>
      <c r="DN43" s="368"/>
      <c r="FX43" s="105" t="s">
        <v>112</v>
      </c>
    </row>
    <row r="44" spans="1:180" ht="16.5" customHeight="1">
      <c r="A44" s="108"/>
      <c r="C44" s="446"/>
      <c r="D44" s="446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  <c r="BJ44" s="428"/>
      <c r="BK44" s="446"/>
      <c r="BL44" s="446"/>
      <c r="BM44" s="446"/>
      <c r="BN44" s="446"/>
      <c r="BO44" s="446"/>
      <c r="BP44" s="446"/>
      <c r="BQ44" s="446"/>
      <c r="BR44" s="446"/>
      <c r="BS44" s="446"/>
      <c r="BT44" s="446"/>
      <c r="BU44" s="462"/>
      <c r="BV44" s="462"/>
      <c r="BW44" s="462"/>
      <c r="BX44" s="462"/>
      <c r="BY44" s="462"/>
      <c r="BZ44" s="462"/>
      <c r="CA44" s="462"/>
      <c r="CB44" s="462"/>
      <c r="CC44" s="462"/>
      <c r="CD44" s="462"/>
      <c r="CE44" s="462"/>
      <c r="CF44" s="462"/>
      <c r="CG44" s="462"/>
      <c r="CH44" s="462"/>
      <c r="CI44" s="462"/>
      <c r="CJ44" s="462"/>
      <c r="CK44" s="462"/>
      <c r="CL44" s="462"/>
      <c r="CM44" s="462"/>
      <c r="CN44" s="462"/>
      <c r="CO44" s="462"/>
      <c r="CP44" s="462"/>
      <c r="CQ44" s="462"/>
      <c r="CR44" s="462"/>
      <c r="CS44" s="462"/>
      <c r="CT44" s="462"/>
      <c r="CU44" s="110"/>
      <c r="CV44" s="110"/>
      <c r="CW44" s="110"/>
      <c r="CX44" s="110"/>
      <c r="CY44" s="110"/>
      <c r="CZ44" s="110"/>
      <c r="DA44" s="110"/>
      <c r="DB44" s="110"/>
      <c r="DC44" s="110"/>
      <c r="DD44" s="110"/>
      <c r="DE44" s="110"/>
      <c r="DF44" s="110"/>
      <c r="DG44" s="110"/>
      <c r="DH44" s="110"/>
      <c r="DI44" s="110"/>
      <c r="DJ44" s="110"/>
      <c r="DK44" s="110"/>
      <c r="DL44" s="110"/>
      <c r="DM44" s="110"/>
      <c r="DN44" s="368"/>
      <c r="FX44" s="105" t="s">
        <v>115</v>
      </c>
    </row>
    <row r="45" spans="1:180" ht="16.5" customHeight="1">
      <c r="A45" s="108"/>
      <c r="C45" s="452" t="s">
        <v>341</v>
      </c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  <c r="BJ45" s="428"/>
      <c r="BK45" s="446"/>
      <c r="BL45" s="446"/>
      <c r="BM45" s="446"/>
      <c r="BN45" s="446"/>
      <c r="BO45" s="446"/>
      <c r="BP45" s="446"/>
      <c r="BQ45" s="446"/>
      <c r="BR45" s="446"/>
      <c r="BS45" s="446"/>
      <c r="BT45" s="446"/>
      <c r="BU45" s="462"/>
      <c r="BV45" s="462"/>
      <c r="BW45" s="462"/>
      <c r="BX45" s="462"/>
      <c r="BY45" s="462"/>
      <c r="BZ45" s="462"/>
      <c r="CA45" s="462"/>
      <c r="CB45" s="462"/>
      <c r="CC45" s="462"/>
      <c r="CD45" s="462"/>
      <c r="CE45" s="462"/>
      <c r="CF45" s="462"/>
      <c r="CG45" s="462"/>
      <c r="CH45" s="462"/>
      <c r="CI45" s="462"/>
      <c r="CJ45" s="462"/>
      <c r="CK45" s="462"/>
      <c r="CL45" s="462"/>
      <c r="CM45" s="462"/>
      <c r="CN45" s="462"/>
      <c r="CO45" s="462"/>
      <c r="CP45" s="462"/>
      <c r="CQ45" s="462"/>
      <c r="CR45" s="462"/>
      <c r="CS45" s="462"/>
      <c r="CT45" s="462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368"/>
      <c r="FX45" s="105" t="s">
        <v>129</v>
      </c>
    </row>
    <row r="46" spans="1:180" ht="16.5" customHeight="1">
      <c r="A46" s="108"/>
      <c r="C46" s="428"/>
      <c r="D46" s="446"/>
      <c r="E46" s="452" t="s">
        <v>342</v>
      </c>
      <c r="F46" s="446"/>
      <c r="G46" s="428"/>
      <c r="H46" s="428"/>
      <c r="I46" s="428"/>
      <c r="J46" s="428"/>
      <c r="K46" s="428"/>
      <c r="L46" s="428"/>
      <c r="M46" s="428"/>
      <c r="N46" s="428"/>
      <c r="O46" s="428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  <c r="BJ46" s="428"/>
      <c r="BK46" s="446"/>
      <c r="BL46" s="446"/>
      <c r="BM46" s="446"/>
      <c r="BN46" s="446"/>
      <c r="BO46" s="446"/>
      <c r="BP46" s="446"/>
      <c r="BQ46" s="446"/>
      <c r="BR46" s="446"/>
      <c r="BS46" s="446"/>
      <c r="BT46" s="446"/>
      <c r="BU46" s="462"/>
      <c r="BV46" s="462"/>
      <c r="BW46" s="462"/>
      <c r="BX46" s="462"/>
      <c r="BY46" s="462"/>
      <c r="BZ46" s="462"/>
      <c r="CA46" s="462"/>
      <c r="CB46" s="462"/>
      <c r="CC46" s="462"/>
      <c r="CD46" s="462"/>
      <c r="CE46" s="462"/>
      <c r="CF46" s="462"/>
      <c r="CG46" s="462"/>
      <c r="CH46" s="462"/>
      <c r="CI46" s="462"/>
      <c r="CJ46" s="462"/>
      <c r="CK46" s="462"/>
      <c r="CL46" s="462"/>
      <c r="CM46" s="462"/>
      <c r="CN46" s="462"/>
      <c r="CO46" s="462"/>
      <c r="CP46" s="462"/>
      <c r="CQ46" s="462"/>
      <c r="CR46" s="462"/>
      <c r="CS46" s="462"/>
      <c r="CT46" s="462"/>
      <c r="CU46" s="110"/>
      <c r="CV46" s="110"/>
      <c r="CW46" s="110"/>
      <c r="CX46" s="110"/>
      <c r="CY46" s="110"/>
      <c r="CZ46" s="110"/>
      <c r="DA46" s="110"/>
      <c r="DB46" s="110"/>
      <c r="DC46" s="110"/>
      <c r="DD46" s="110"/>
      <c r="DE46" s="110"/>
      <c r="DF46" s="110"/>
      <c r="DG46" s="110"/>
      <c r="DH46" s="110"/>
      <c r="DI46" s="110"/>
      <c r="DJ46" s="110"/>
      <c r="DK46" s="110"/>
      <c r="DL46" s="110"/>
      <c r="DM46" s="110"/>
      <c r="DN46" s="368"/>
      <c r="FX46" s="105" t="s">
        <v>130</v>
      </c>
    </row>
    <row r="47" spans="1:180" ht="16.5" customHeight="1">
      <c r="A47" s="108"/>
      <c r="C47" s="428"/>
      <c r="D47" s="446"/>
      <c r="E47" s="446"/>
      <c r="F47" s="446"/>
      <c r="G47" s="428" t="s">
        <v>338</v>
      </c>
      <c r="H47" s="428"/>
      <c r="I47" s="428"/>
      <c r="J47" s="428"/>
      <c r="K47" s="428"/>
      <c r="L47" s="428"/>
      <c r="M47" s="428"/>
      <c r="N47" s="428"/>
      <c r="O47" s="428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  <c r="BJ47" s="428"/>
      <c r="BK47" s="446"/>
      <c r="BL47" s="446"/>
      <c r="BM47" s="446"/>
      <c r="BN47" s="446"/>
      <c r="BO47" s="446"/>
      <c r="BP47" s="446"/>
      <c r="BQ47" s="446"/>
      <c r="BR47" s="446"/>
      <c r="BS47" s="446"/>
      <c r="BT47" s="446"/>
      <c r="BU47" s="462"/>
      <c r="BV47" s="462"/>
      <c r="BW47" s="462"/>
      <c r="BX47" s="462"/>
      <c r="BY47" s="462"/>
      <c r="BZ47" s="462"/>
      <c r="CA47" s="462"/>
      <c r="CB47" s="462"/>
      <c r="CC47" s="462"/>
      <c r="CD47" s="462"/>
      <c r="CE47" s="462"/>
      <c r="CF47" s="462"/>
      <c r="CG47" s="462"/>
      <c r="CH47" s="462"/>
      <c r="CI47" s="462"/>
      <c r="CJ47" s="462"/>
      <c r="CK47" s="462"/>
      <c r="CL47" s="462"/>
      <c r="CM47" s="462"/>
      <c r="CN47" s="462"/>
      <c r="CO47" s="462"/>
      <c r="CP47" s="462"/>
      <c r="CQ47" s="462"/>
      <c r="CR47" s="462"/>
      <c r="CS47" s="462"/>
      <c r="CT47" s="462"/>
      <c r="CU47" s="110"/>
      <c r="CV47" s="110"/>
      <c r="CW47" s="110"/>
      <c r="CX47" s="110"/>
      <c r="CY47" s="110"/>
      <c r="CZ47" s="110"/>
      <c r="DA47" s="110"/>
      <c r="DB47" s="110"/>
      <c r="DC47" s="110"/>
      <c r="DD47" s="110"/>
      <c r="DE47" s="110"/>
      <c r="DF47" s="110"/>
      <c r="DG47" s="110"/>
      <c r="DH47" s="110"/>
      <c r="DI47" s="110"/>
      <c r="DJ47" s="110"/>
      <c r="DK47" s="110"/>
      <c r="DL47" s="110"/>
      <c r="DM47" s="110"/>
      <c r="DN47" s="368"/>
      <c r="FX47" s="105" t="s">
        <v>119</v>
      </c>
    </row>
    <row r="48" spans="1:180" ht="16.5" customHeight="1">
      <c r="A48" s="108"/>
      <c r="C48" s="428"/>
      <c r="D48" s="428"/>
      <c r="E48" s="428"/>
      <c r="F48" s="428"/>
      <c r="G48" s="428" t="s">
        <v>339</v>
      </c>
      <c r="H48" s="428"/>
      <c r="I48" s="428"/>
      <c r="J48" s="428"/>
      <c r="K48" s="428"/>
      <c r="L48" s="428"/>
      <c r="M48" s="428"/>
      <c r="N48" s="428"/>
      <c r="O48" s="428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  <c r="BJ48" s="428"/>
      <c r="BK48" s="446"/>
      <c r="BL48" s="446"/>
      <c r="BM48" s="446"/>
      <c r="BN48" s="446"/>
      <c r="BO48" s="446"/>
      <c r="BP48" s="446"/>
      <c r="BQ48" s="446"/>
      <c r="BR48" s="446"/>
      <c r="BS48" s="446"/>
      <c r="BT48" s="446"/>
      <c r="BU48" s="462"/>
      <c r="BV48" s="462"/>
      <c r="BW48" s="462"/>
      <c r="BX48" s="462"/>
      <c r="BY48" s="462"/>
      <c r="BZ48" s="462"/>
      <c r="CA48" s="462"/>
      <c r="CB48" s="462"/>
      <c r="CC48" s="462"/>
      <c r="CD48" s="462"/>
      <c r="CE48" s="462"/>
      <c r="CF48" s="462"/>
      <c r="CG48" s="462"/>
      <c r="CH48" s="462"/>
      <c r="CI48" s="462"/>
      <c r="CJ48" s="462"/>
      <c r="CK48" s="462"/>
      <c r="CL48" s="462"/>
      <c r="CM48" s="462"/>
      <c r="CN48" s="462"/>
      <c r="CO48" s="462"/>
      <c r="CP48" s="462"/>
      <c r="CQ48" s="462"/>
      <c r="CR48" s="462"/>
      <c r="CS48" s="462"/>
      <c r="CT48" s="462"/>
      <c r="CU48" s="110"/>
      <c r="CV48" s="110"/>
      <c r="CW48" s="110"/>
      <c r="CX48" s="110"/>
      <c r="CY48" s="110"/>
      <c r="CZ48" s="110"/>
      <c r="DA48" s="110"/>
      <c r="DB48" s="110"/>
      <c r="DC48" s="110"/>
      <c r="DD48" s="110"/>
      <c r="DE48" s="110"/>
      <c r="DF48" s="110"/>
      <c r="DG48" s="110"/>
      <c r="DH48" s="110"/>
      <c r="DI48" s="110"/>
      <c r="DJ48" s="110"/>
      <c r="DK48" s="110"/>
      <c r="DL48" s="110"/>
      <c r="DM48" s="110"/>
      <c r="DN48" s="368"/>
      <c r="FX48" s="105" t="s">
        <v>131</v>
      </c>
    </row>
    <row r="49" spans="1:180" ht="16.5" customHeight="1">
      <c r="A49" s="108"/>
      <c r="C49" s="428"/>
      <c r="D49" s="428"/>
      <c r="E49" s="446"/>
      <c r="F49" s="428"/>
      <c r="G49" s="428"/>
      <c r="H49" s="428"/>
      <c r="I49" s="428"/>
      <c r="J49" s="428"/>
      <c r="K49" s="428"/>
      <c r="L49" s="428"/>
      <c r="M49" s="428"/>
      <c r="N49" s="428"/>
      <c r="O49" s="428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  <c r="BJ49" s="428"/>
      <c r="BK49" s="446"/>
      <c r="BL49" s="446"/>
      <c r="BM49" s="446"/>
      <c r="BN49" s="446"/>
      <c r="BO49" s="446"/>
      <c r="BP49" s="446"/>
      <c r="BQ49" s="446"/>
      <c r="BR49" s="446"/>
      <c r="BS49" s="446"/>
      <c r="BT49" s="446"/>
      <c r="BU49" s="462"/>
      <c r="BV49" s="462"/>
      <c r="BW49" s="462"/>
      <c r="BX49" s="462"/>
      <c r="BY49" s="462"/>
      <c r="BZ49" s="462"/>
      <c r="CA49" s="462"/>
      <c r="CB49" s="462"/>
      <c r="CC49" s="462"/>
      <c r="CD49" s="462"/>
      <c r="CE49" s="462"/>
      <c r="CF49" s="462"/>
      <c r="CG49" s="462"/>
      <c r="CH49" s="462"/>
      <c r="CI49" s="462"/>
      <c r="CJ49" s="462"/>
      <c r="CK49" s="462"/>
      <c r="CL49" s="462"/>
      <c r="CM49" s="462"/>
      <c r="CN49" s="462"/>
      <c r="CO49" s="462"/>
      <c r="CP49" s="462"/>
      <c r="CQ49" s="462"/>
      <c r="CR49" s="462"/>
      <c r="CS49" s="462"/>
      <c r="CT49" s="462"/>
      <c r="CU49" s="110"/>
      <c r="CV49" s="110"/>
      <c r="CW49" s="110"/>
      <c r="CX49" s="110"/>
      <c r="CY49" s="110"/>
      <c r="CZ49" s="110"/>
      <c r="DA49" s="110"/>
      <c r="DB49" s="110"/>
      <c r="DC49" s="110"/>
      <c r="DD49" s="110"/>
      <c r="DE49" s="110"/>
      <c r="DF49" s="110"/>
      <c r="DG49" s="110"/>
      <c r="DH49" s="110"/>
      <c r="DI49" s="110"/>
      <c r="DJ49" s="110"/>
      <c r="DK49" s="110"/>
      <c r="DL49" s="110"/>
      <c r="DM49" s="110"/>
      <c r="DN49" s="368"/>
      <c r="FX49" s="105"/>
    </row>
    <row r="50" spans="1:180" ht="16.5" customHeight="1">
      <c r="A50" s="108"/>
      <c r="C50" s="428"/>
      <c r="D50" s="428"/>
      <c r="E50" s="452" t="s">
        <v>343</v>
      </c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  <c r="BJ50" s="428"/>
      <c r="BK50" s="446"/>
      <c r="BL50" s="446"/>
      <c r="BM50" s="446"/>
      <c r="BN50" s="446"/>
      <c r="BO50" s="446"/>
      <c r="BP50" s="446"/>
      <c r="BQ50" s="446"/>
      <c r="BR50" s="446"/>
      <c r="BS50" s="446"/>
      <c r="BT50" s="446"/>
      <c r="BU50" s="462"/>
      <c r="BV50" s="462"/>
      <c r="BW50" s="462"/>
      <c r="BX50" s="462"/>
      <c r="BY50" s="462"/>
      <c r="BZ50" s="462"/>
      <c r="CA50" s="462"/>
      <c r="CB50" s="462"/>
      <c r="CC50" s="462"/>
      <c r="CD50" s="462"/>
      <c r="CE50" s="462"/>
      <c r="CF50" s="462"/>
      <c r="CG50" s="462"/>
      <c r="CH50" s="462"/>
      <c r="CI50" s="462"/>
      <c r="CJ50" s="462"/>
      <c r="CK50" s="462"/>
      <c r="CL50" s="462"/>
      <c r="CM50" s="462"/>
      <c r="CN50" s="462"/>
      <c r="CO50" s="462"/>
      <c r="CP50" s="462"/>
      <c r="CQ50" s="462"/>
      <c r="CR50" s="462"/>
      <c r="CS50" s="462"/>
      <c r="CT50" s="462"/>
      <c r="CU50" s="110"/>
      <c r="CV50" s="110"/>
      <c r="CW50" s="110"/>
      <c r="CX50" s="110"/>
      <c r="CY50" s="110"/>
      <c r="CZ50" s="110"/>
      <c r="DA50" s="110"/>
      <c r="DB50" s="110"/>
      <c r="DC50" s="110"/>
      <c r="DD50" s="110"/>
      <c r="DE50" s="110"/>
      <c r="DF50" s="110"/>
      <c r="DG50" s="110"/>
      <c r="DH50" s="110"/>
      <c r="DI50" s="110"/>
      <c r="DJ50" s="110"/>
      <c r="DK50" s="110"/>
      <c r="DL50" s="110"/>
      <c r="DM50" s="110"/>
      <c r="DN50" s="368"/>
      <c r="FX50" s="105"/>
    </row>
    <row r="51" spans="1:180" ht="16.5" customHeight="1">
      <c r="A51" s="108"/>
      <c r="C51" s="428"/>
      <c r="D51" s="428"/>
      <c r="E51" s="428"/>
      <c r="F51" s="428"/>
      <c r="G51" s="428" t="s">
        <v>344</v>
      </c>
      <c r="H51" s="428"/>
      <c r="I51" s="428"/>
      <c r="J51" s="428"/>
      <c r="K51" s="428"/>
      <c r="L51" s="428"/>
      <c r="M51" s="428"/>
      <c r="N51" s="428"/>
      <c r="O51" s="428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  <c r="BJ51" s="428"/>
      <c r="BK51" s="446"/>
      <c r="BL51" s="446"/>
      <c r="BM51" s="446"/>
      <c r="BN51" s="446"/>
      <c r="BO51" s="446"/>
      <c r="BP51" s="446"/>
      <c r="BQ51" s="446"/>
      <c r="BR51" s="446"/>
      <c r="BS51" s="446"/>
      <c r="BT51" s="446"/>
      <c r="BU51" s="462"/>
      <c r="BV51" s="462"/>
      <c r="BW51" s="462"/>
      <c r="BX51" s="462"/>
      <c r="BY51" s="462"/>
      <c r="BZ51" s="462"/>
      <c r="CA51" s="462"/>
      <c r="CB51" s="462"/>
      <c r="CC51" s="462"/>
      <c r="CD51" s="462"/>
      <c r="CE51" s="462"/>
      <c r="CF51" s="462"/>
      <c r="CG51" s="462"/>
      <c r="CH51" s="462"/>
      <c r="CI51" s="462"/>
      <c r="CJ51" s="462"/>
      <c r="CK51" s="462"/>
      <c r="CL51" s="462"/>
      <c r="CM51" s="462"/>
      <c r="CN51" s="462"/>
      <c r="CO51" s="462"/>
      <c r="CP51" s="462"/>
      <c r="CQ51" s="462"/>
      <c r="CR51" s="462"/>
      <c r="CS51" s="462"/>
      <c r="CT51" s="462"/>
      <c r="CU51" s="110"/>
      <c r="CV51" s="110"/>
      <c r="CW51" s="110"/>
      <c r="CX51" s="110"/>
      <c r="CY51" s="110"/>
      <c r="CZ51" s="110"/>
      <c r="DA51" s="110"/>
      <c r="DB51" s="110"/>
      <c r="DC51" s="110"/>
      <c r="DD51" s="110"/>
      <c r="DE51" s="110"/>
      <c r="DF51" s="110"/>
      <c r="DG51" s="110"/>
      <c r="DH51" s="110"/>
      <c r="DI51" s="110"/>
      <c r="DJ51" s="110"/>
      <c r="DK51" s="110"/>
      <c r="DL51" s="110"/>
      <c r="DM51" s="110"/>
      <c r="DN51" s="368"/>
      <c r="FX51" s="105"/>
    </row>
    <row r="52" spans="1:180" ht="16.5" customHeight="1">
      <c r="A52" s="108"/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  <c r="BJ52" s="428"/>
      <c r="BK52" s="446"/>
      <c r="BL52" s="446"/>
      <c r="BM52" s="446"/>
      <c r="BN52" s="446"/>
      <c r="BO52" s="446"/>
      <c r="BP52" s="446"/>
      <c r="BQ52" s="446"/>
      <c r="BR52" s="446"/>
      <c r="BS52" s="446"/>
      <c r="BT52" s="446"/>
      <c r="BU52" s="462"/>
      <c r="BV52" s="462"/>
      <c r="BW52" s="462"/>
      <c r="BX52" s="462"/>
      <c r="BY52" s="462"/>
      <c r="BZ52" s="462"/>
      <c r="CA52" s="462"/>
      <c r="CB52" s="462"/>
      <c r="CC52" s="462"/>
      <c r="CD52" s="462"/>
      <c r="CE52" s="462"/>
      <c r="CF52" s="462"/>
      <c r="CG52" s="462"/>
      <c r="CH52" s="462"/>
      <c r="CI52" s="462"/>
      <c r="CJ52" s="462"/>
      <c r="CK52" s="462"/>
      <c r="CL52" s="462"/>
      <c r="CM52" s="462"/>
      <c r="CN52" s="462"/>
      <c r="CO52" s="462"/>
      <c r="CP52" s="462"/>
      <c r="CQ52" s="462"/>
      <c r="CR52" s="462"/>
      <c r="CS52" s="462"/>
      <c r="CT52" s="462"/>
      <c r="CU52" s="110"/>
      <c r="CV52" s="110"/>
      <c r="CW52" s="110"/>
      <c r="CX52" s="110"/>
      <c r="CY52" s="110"/>
      <c r="CZ52" s="110"/>
      <c r="DA52" s="110"/>
      <c r="DB52" s="110"/>
      <c r="DC52" s="110"/>
      <c r="DD52" s="110"/>
      <c r="DE52" s="110"/>
      <c r="DF52" s="110"/>
      <c r="DG52" s="110"/>
      <c r="DH52" s="110"/>
      <c r="DI52" s="110"/>
      <c r="DJ52" s="110"/>
      <c r="DK52" s="110"/>
      <c r="DL52" s="110"/>
      <c r="DM52" s="110"/>
      <c r="DN52" s="368"/>
      <c r="FX52" s="105"/>
    </row>
    <row r="53" spans="1:180" ht="16.5" customHeight="1">
      <c r="A53" s="108"/>
      <c r="C53" s="452" t="s">
        <v>345</v>
      </c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  <c r="BJ53" s="428"/>
      <c r="BK53" s="446"/>
      <c r="BL53" s="446"/>
      <c r="BM53" s="446"/>
      <c r="BN53" s="446"/>
      <c r="BO53" s="446"/>
      <c r="BP53" s="446"/>
      <c r="BQ53" s="446"/>
      <c r="BR53" s="446"/>
      <c r="BS53" s="446"/>
      <c r="BT53" s="446"/>
      <c r="BU53" s="462"/>
      <c r="BV53" s="462"/>
      <c r="BW53" s="462"/>
      <c r="BX53" s="462"/>
      <c r="BY53" s="462"/>
      <c r="BZ53" s="462"/>
      <c r="CA53" s="462"/>
      <c r="CB53" s="462"/>
      <c r="CC53" s="462"/>
      <c r="CD53" s="462"/>
      <c r="CE53" s="462"/>
      <c r="CF53" s="462"/>
      <c r="CG53" s="462"/>
      <c r="CH53" s="462"/>
      <c r="CI53" s="462"/>
      <c r="CJ53" s="462"/>
      <c r="CK53" s="462"/>
      <c r="CL53" s="462"/>
      <c r="CM53" s="462"/>
      <c r="CN53" s="462"/>
      <c r="CO53" s="462"/>
      <c r="CP53" s="462"/>
      <c r="CQ53" s="462"/>
      <c r="CR53" s="462"/>
      <c r="CS53" s="462"/>
      <c r="CT53" s="462"/>
      <c r="CU53" s="110"/>
      <c r="CV53" s="110"/>
      <c r="CW53" s="110"/>
      <c r="CX53" s="110"/>
      <c r="CY53" s="110"/>
      <c r="CZ53" s="110"/>
      <c r="DA53" s="110"/>
      <c r="DB53" s="110"/>
      <c r="DC53" s="110"/>
      <c r="DD53" s="110"/>
      <c r="DE53" s="110"/>
      <c r="DF53" s="110"/>
      <c r="DG53" s="110"/>
      <c r="DH53" s="110"/>
      <c r="DI53" s="110"/>
      <c r="DJ53" s="110"/>
      <c r="DK53" s="110"/>
      <c r="DL53" s="110"/>
      <c r="DM53" s="110"/>
      <c r="DN53" s="368"/>
      <c r="FX53" s="105"/>
    </row>
    <row r="54" spans="1:180" ht="16.5" customHeight="1">
      <c r="A54" s="108"/>
      <c r="C54" s="428"/>
      <c r="D54" s="428"/>
      <c r="E54" s="452" t="s">
        <v>346</v>
      </c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  <c r="BJ54" s="428"/>
      <c r="BK54" s="446"/>
      <c r="BL54" s="446"/>
      <c r="BM54" s="446"/>
      <c r="BN54" s="446"/>
      <c r="BO54" s="446"/>
      <c r="BP54" s="446"/>
      <c r="BQ54" s="446"/>
      <c r="BR54" s="446"/>
      <c r="BS54" s="446"/>
      <c r="BT54" s="446"/>
      <c r="BU54" s="462"/>
      <c r="BV54" s="462"/>
      <c r="BW54" s="462"/>
      <c r="BX54" s="462"/>
      <c r="BY54" s="462"/>
      <c r="BZ54" s="462"/>
      <c r="CA54" s="462"/>
      <c r="CB54" s="462"/>
      <c r="CC54" s="462"/>
      <c r="CD54" s="462"/>
      <c r="CE54" s="462"/>
      <c r="CF54" s="462"/>
      <c r="CG54" s="462"/>
      <c r="CH54" s="462"/>
      <c r="CI54" s="462"/>
      <c r="CJ54" s="462"/>
      <c r="CK54" s="462"/>
      <c r="CL54" s="462"/>
      <c r="CM54" s="462"/>
      <c r="CN54" s="462"/>
      <c r="CO54" s="462"/>
      <c r="CP54" s="462"/>
      <c r="CQ54" s="462"/>
      <c r="CR54" s="462"/>
      <c r="CS54" s="462"/>
      <c r="CT54" s="462"/>
      <c r="CU54" s="110"/>
      <c r="CV54" s="110"/>
      <c r="CW54" s="110"/>
      <c r="CX54" s="110"/>
      <c r="CY54" s="110"/>
      <c r="CZ54" s="110"/>
      <c r="DA54" s="110"/>
      <c r="DB54" s="110"/>
      <c r="DC54" s="110"/>
      <c r="DD54" s="110"/>
      <c r="DE54" s="110"/>
      <c r="DF54" s="110"/>
      <c r="DG54" s="110"/>
      <c r="DH54" s="110"/>
      <c r="DI54" s="110"/>
      <c r="DJ54" s="110"/>
      <c r="DK54" s="110"/>
      <c r="DL54" s="110"/>
      <c r="DM54" s="110"/>
      <c r="DN54" s="368"/>
      <c r="FX54" s="105"/>
    </row>
    <row r="55" spans="1:180" ht="16.5" customHeight="1">
      <c r="A55" s="108"/>
      <c r="C55" s="428"/>
      <c r="D55" s="428"/>
      <c r="E55" s="428"/>
      <c r="F55" s="428"/>
      <c r="G55" s="428" t="s">
        <v>347</v>
      </c>
      <c r="H55" s="428"/>
      <c r="I55" s="428"/>
      <c r="J55" s="428"/>
      <c r="K55" s="428"/>
      <c r="L55" s="428"/>
      <c r="M55" s="428"/>
      <c r="N55" s="428"/>
      <c r="O55" s="428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  <c r="BJ55" s="428"/>
      <c r="BK55" s="446"/>
      <c r="BL55" s="446"/>
      <c r="BM55" s="446"/>
      <c r="BN55" s="446"/>
      <c r="BO55" s="446"/>
      <c r="BP55" s="446"/>
      <c r="BQ55" s="446"/>
      <c r="BR55" s="446"/>
      <c r="BS55" s="446"/>
      <c r="BT55" s="446"/>
      <c r="BU55" s="462"/>
      <c r="BV55" s="462"/>
      <c r="BW55" s="462"/>
      <c r="BX55" s="462"/>
      <c r="BY55" s="462"/>
      <c r="BZ55" s="462"/>
      <c r="CA55" s="462"/>
      <c r="CB55" s="462"/>
      <c r="CC55" s="462"/>
      <c r="CD55" s="462"/>
      <c r="CE55" s="462"/>
      <c r="CF55" s="462"/>
      <c r="CG55" s="462"/>
      <c r="CH55" s="462"/>
      <c r="CI55" s="462"/>
      <c r="CJ55" s="462"/>
      <c r="CK55" s="462"/>
      <c r="CL55" s="462"/>
      <c r="CM55" s="462"/>
      <c r="CN55" s="462"/>
      <c r="CO55" s="462"/>
      <c r="CP55" s="462"/>
      <c r="CQ55" s="462"/>
      <c r="CR55" s="462"/>
      <c r="CS55" s="462"/>
      <c r="CT55" s="462"/>
      <c r="CU55" s="110"/>
      <c r="CV55" s="110"/>
      <c r="CW55" s="110"/>
      <c r="CX55" s="110"/>
      <c r="CY55" s="110"/>
      <c r="CZ55" s="110"/>
      <c r="DA55" s="110"/>
      <c r="DB55" s="110"/>
      <c r="DC55" s="110"/>
      <c r="DD55" s="110"/>
      <c r="DE55" s="110"/>
      <c r="DF55" s="110"/>
      <c r="DG55" s="110"/>
      <c r="DH55" s="110"/>
      <c r="DI55" s="110"/>
      <c r="DJ55" s="110"/>
      <c r="DK55" s="110"/>
      <c r="DL55" s="110"/>
      <c r="DM55" s="110"/>
      <c r="DN55" s="368"/>
      <c r="FX55" s="105"/>
    </row>
    <row r="56" spans="1:180" ht="16.5" customHeight="1">
      <c r="A56" s="108"/>
      <c r="C56" s="428"/>
      <c r="D56" s="428"/>
      <c r="E56" s="428"/>
      <c r="F56" s="428"/>
      <c r="G56" s="428" t="s">
        <v>348</v>
      </c>
      <c r="H56" s="428"/>
      <c r="I56" s="428"/>
      <c r="J56" s="428"/>
      <c r="K56" s="428"/>
      <c r="L56" s="428"/>
      <c r="M56" s="428"/>
      <c r="N56" s="428"/>
      <c r="O56" s="428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  <c r="BJ56" s="428"/>
      <c r="BK56" s="446"/>
      <c r="BL56" s="446"/>
      <c r="BM56" s="446"/>
      <c r="BN56" s="446"/>
      <c r="BO56" s="446"/>
      <c r="BP56" s="446"/>
      <c r="BQ56" s="446"/>
      <c r="BR56" s="446"/>
      <c r="BS56" s="446"/>
      <c r="BT56" s="446"/>
      <c r="BU56" s="462"/>
      <c r="BV56" s="462"/>
      <c r="BW56" s="462"/>
      <c r="BX56" s="462"/>
      <c r="BY56" s="462"/>
      <c r="BZ56" s="462"/>
      <c r="CA56" s="462"/>
      <c r="CB56" s="462"/>
      <c r="CC56" s="462"/>
      <c r="CD56" s="462"/>
      <c r="CE56" s="462"/>
      <c r="CF56" s="462"/>
      <c r="CG56" s="462"/>
      <c r="CH56" s="462"/>
      <c r="CI56" s="462"/>
      <c r="CJ56" s="462"/>
      <c r="CK56" s="462"/>
      <c r="CL56" s="462"/>
      <c r="CM56" s="462"/>
      <c r="CN56" s="462"/>
      <c r="CO56" s="462"/>
      <c r="CP56" s="462"/>
      <c r="CQ56" s="462"/>
      <c r="CR56" s="462"/>
      <c r="CS56" s="462"/>
      <c r="CT56" s="462"/>
      <c r="CU56" s="110"/>
      <c r="CV56" s="110"/>
      <c r="CW56" s="110"/>
      <c r="CX56" s="110"/>
      <c r="CY56" s="110"/>
      <c r="CZ56" s="110"/>
      <c r="DA56" s="110"/>
      <c r="DB56" s="110"/>
      <c r="DC56" s="110"/>
      <c r="DD56" s="110"/>
      <c r="DE56" s="110"/>
      <c r="DF56" s="110"/>
      <c r="DG56" s="110"/>
      <c r="DH56" s="110"/>
      <c r="DI56" s="110"/>
      <c r="DJ56" s="110"/>
      <c r="DK56" s="110"/>
      <c r="DL56" s="110"/>
      <c r="DM56" s="110"/>
      <c r="DN56" s="368"/>
      <c r="FX56" s="105"/>
    </row>
    <row r="57" spans="1:180" ht="16.5" customHeight="1">
      <c r="A57" s="108"/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  <c r="BJ57" s="428"/>
      <c r="BK57" s="446"/>
      <c r="BL57" s="446"/>
      <c r="BM57" s="446"/>
      <c r="BN57" s="446"/>
      <c r="BO57" s="446"/>
      <c r="BP57" s="446"/>
      <c r="BQ57" s="446"/>
      <c r="BR57" s="446"/>
      <c r="BS57" s="446"/>
      <c r="BT57" s="446"/>
      <c r="BU57" s="462"/>
      <c r="BV57" s="462"/>
      <c r="BW57" s="462"/>
      <c r="BX57" s="462"/>
      <c r="BY57" s="462"/>
      <c r="BZ57" s="462"/>
      <c r="CA57" s="462"/>
      <c r="CB57" s="462"/>
      <c r="CC57" s="462"/>
      <c r="CD57" s="462"/>
      <c r="CE57" s="462"/>
      <c r="CF57" s="462"/>
      <c r="CG57" s="462"/>
      <c r="CH57" s="462"/>
      <c r="CI57" s="462"/>
      <c r="CJ57" s="462"/>
      <c r="CK57" s="462"/>
      <c r="CL57" s="462"/>
      <c r="CM57" s="462"/>
      <c r="CN57" s="462"/>
      <c r="CO57" s="462"/>
      <c r="CP57" s="462"/>
      <c r="CQ57" s="462"/>
      <c r="CR57" s="462"/>
      <c r="CS57" s="462"/>
      <c r="CT57" s="462"/>
      <c r="CU57" s="110"/>
      <c r="CV57" s="110"/>
      <c r="CW57" s="110"/>
      <c r="CX57" s="110"/>
      <c r="CY57" s="110"/>
      <c r="CZ57" s="110"/>
      <c r="DA57" s="110"/>
      <c r="DB57" s="110"/>
      <c r="DC57" s="110"/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368"/>
      <c r="FX57" s="105"/>
    </row>
    <row r="58" spans="1:180" ht="16.5" customHeight="1">
      <c r="A58" s="108"/>
      <c r="C58" s="428"/>
      <c r="D58" s="428"/>
      <c r="E58" s="452" t="s">
        <v>349</v>
      </c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  <c r="BJ58" s="428"/>
      <c r="BK58" s="446"/>
      <c r="BL58" s="446"/>
      <c r="BM58" s="446"/>
      <c r="BN58" s="446"/>
      <c r="BO58" s="446"/>
      <c r="BP58" s="446"/>
      <c r="BQ58" s="446"/>
      <c r="BR58" s="446"/>
      <c r="BS58" s="446"/>
      <c r="BT58" s="446"/>
      <c r="BU58" s="462"/>
      <c r="BV58" s="462"/>
      <c r="BW58" s="462"/>
      <c r="BX58" s="462"/>
      <c r="BY58" s="462"/>
      <c r="BZ58" s="462"/>
      <c r="CA58" s="462"/>
      <c r="CB58" s="462"/>
      <c r="CC58" s="462"/>
      <c r="CD58" s="462"/>
      <c r="CE58" s="462"/>
      <c r="CF58" s="462"/>
      <c r="CG58" s="462"/>
      <c r="CH58" s="462"/>
      <c r="CI58" s="462"/>
      <c r="CJ58" s="462"/>
      <c r="CK58" s="462"/>
      <c r="CL58" s="462"/>
      <c r="CM58" s="462"/>
      <c r="CN58" s="462"/>
      <c r="CO58" s="462"/>
      <c r="CP58" s="462"/>
      <c r="CQ58" s="462"/>
      <c r="CR58" s="462"/>
      <c r="CS58" s="462"/>
      <c r="CT58" s="462"/>
      <c r="CU58" s="110"/>
      <c r="CV58" s="110"/>
      <c r="CW58" s="110"/>
      <c r="CX58" s="110"/>
      <c r="CY58" s="110"/>
      <c r="CZ58" s="110"/>
      <c r="DA58" s="110"/>
      <c r="DB58" s="110"/>
      <c r="DC58" s="110"/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368"/>
      <c r="FX58" s="105"/>
    </row>
    <row r="59" spans="1:180" ht="16.5" customHeight="1">
      <c r="A59" s="108"/>
      <c r="C59" s="428"/>
      <c r="D59" s="428"/>
      <c r="E59" s="428"/>
      <c r="F59" s="428"/>
      <c r="G59" s="332" t="s">
        <v>353</v>
      </c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E59" s="343"/>
      <c r="AF59" s="343"/>
      <c r="AG59" s="343"/>
      <c r="AH59" s="343"/>
      <c r="AI59" s="343"/>
      <c r="AJ59" s="343"/>
      <c r="AK59" s="343"/>
      <c r="AL59" s="343"/>
      <c r="AM59" s="343"/>
      <c r="AN59" s="343"/>
      <c r="AO59" s="343"/>
      <c r="AP59" s="343"/>
      <c r="AQ59" s="343"/>
      <c r="AR59" s="343"/>
      <c r="AS59" s="343"/>
      <c r="AT59" s="343"/>
      <c r="AU59" s="343"/>
      <c r="AV59" s="343"/>
      <c r="AW59" s="343"/>
      <c r="AX59" s="343"/>
      <c r="AY59" s="343"/>
      <c r="AZ59" s="343"/>
      <c r="BA59" s="343"/>
      <c r="BB59" s="343"/>
      <c r="BC59" s="343"/>
      <c r="BD59" s="343"/>
      <c r="BE59" s="343"/>
      <c r="BF59" s="343"/>
      <c r="BG59" s="343"/>
      <c r="BH59" s="343"/>
      <c r="BI59" s="343"/>
      <c r="BJ59" s="343"/>
      <c r="BK59" s="343"/>
      <c r="BL59" s="343"/>
      <c r="BM59" s="343"/>
      <c r="BN59" s="343"/>
      <c r="BO59" s="343"/>
      <c r="BP59" s="343"/>
      <c r="BQ59" s="446"/>
      <c r="BR59" s="446"/>
      <c r="BS59" s="446"/>
      <c r="BT59" s="446"/>
      <c r="BU59" s="462"/>
      <c r="BV59" s="462"/>
      <c r="BW59" s="462"/>
      <c r="BX59" s="462"/>
      <c r="BY59" s="462"/>
      <c r="BZ59" s="462"/>
      <c r="CA59" s="462"/>
      <c r="CB59" s="462"/>
      <c r="CC59" s="462"/>
      <c r="CD59" s="462"/>
      <c r="CE59" s="462"/>
      <c r="CF59" s="462"/>
      <c r="CG59" s="462"/>
      <c r="CH59" s="462"/>
      <c r="CI59" s="462"/>
      <c r="CJ59" s="462"/>
      <c r="CK59" s="462"/>
      <c r="CL59" s="462"/>
      <c r="CM59" s="462"/>
      <c r="CN59" s="462"/>
      <c r="CO59" s="462"/>
      <c r="CP59" s="462"/>
      <c r="CQ59" s="462"/>
      <c r="CR59" s="462"/>
      <c r="CS59" s="462"/>
      <c r="CT59" s="462"/>
      <c r="CU59" s="110"/>
      <c r="CV59" s="110"/>
      <c r="CW59" s="110"/>
      <c r="CX59" s="110"/>
      <c r="CY59" s="110"/>
      <c r="CZ59" s="110"/>
      <c r="DA59" s="110"/>
      <c r="DB59" s="110"/>
      <c r="DC59" s="110"/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368"/>
      <c r="FX59" s="105"/>
    </row>
    <row r="60" spans="1:180" ht="16.5" customHeight="1">
      <c r="A60" s="108"/>
      <c r="C60" s="428"/>
      <c r="D60" s="428"/>
      <c r="E60" s="428"/>
      <c r="F60" s="428"/>
      <c r="G60" s="343"/>
      <c r="H60" s="343"/>
      <c r="I60" s="343" t="s">
        <v>350</v>
      </c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K60" s="343"/>
      <c r="AL60" s="343"/>
      <c r="AM60" s="343"/>
      <c r="AN60" s="343"/>
      <c r="AO60" s="343"/>
      <c r="AP60" s="343"/>
      <c r="AQ60" s="343"/>
      <c r="AR60" s="343"/>
      <c r="AS60" s="343"/>
      <c r="AT60" s="343"/>
      <c r="AU60" s="343"/>
      <c r="AV60" s="343"/>
      <c r="AW60" s="343"/>
      <c r="AX60" s="343"/>
      <c r="AY60" s="343"/>
      <c r="AZ60" s="343"/>
      <c r="BA60" s="343"/>
      <c r="BB60" s="343"/>
      <c r="BC60" s="343"/>
      <c r="BD60" s="343"/>
      <c r="BE60" s="343"/>
      <c r="BF60" s="343"/>
      <c r="BG60" s="343"/>
      <c r="BH60" s="343"/>
      <c r="BI60" s="343"/>
      <c r="BJ60" s="343"/>
      <c r="BK60" s="343"/>
      <c r="BL60" s="343"/>
      <c r="BM60" s="343"/>
      <c r="BN60" s="343"/>
      <c r="BO60" s="343"/>
      <c r="BP60" s="343"/>
      <c r="BQ60" s="446"/>
      <c r="BR60" s="446"/>
      <c r="BS60" s="446"/>
      <c r="BT60" s="446"/>
      <c r="BU60" s="462"/>
      <c r="BV60" s="462"/>
      <c r="BW60" s="462"/>
      <c r="BX60" s="462"/>
      <c r="BY60" s="462"/>
      <c r="BZ60" s="462"/>
      <c r="CA60" s="462"/>
      <c r="CB60" s="462"/>
      <c r="CC60" s="462"/>
      <c r="CD60" s="462"/>
      <c r="CE60" s="462"/>
      <c r="CF60" s="462"/>
      <c r="CG60" s="462"/>
      <c r="CH60" s="462"/>
      <c r="CI60" s="462"/>
      <c r="CJ60" s="462"/>
      <c r="CK60" s="462"/>
      <c r="CL60" s="462"/>
      <c r="CM60" s="462"/>
      <c r="CN60" s="462"/>
      <c r="CO60" s="462"/>
      <c r="CP60" s="462"/>
      <c r="CQ60" s="462"/>
      <c r="CR60" s="462"/>
      <c r="CS60" s="462"/>
      <c r="CT60" s="462"/>
      <c r="CU60" s="110"/>
      <c r="CV60" s="110"/>
      <c r="CW60" s="110"/>
      <c r="CX60" s="110"/>
      <c r="CY60" s="110"/>
      <c r="CZ60" s="110"/>
      <c r="DA60" s="110"/>
      <c r="DB60" s="110"/>
      <c r="DC60" s="110"/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368"/>
      <c r="FX60" s="105"/>
    </row>
    <row r="61" spans="1:180" ht="16.5" customHeight="1">
      <c r="A61" s="108"/>
      <c r="C61" s="428"/>
      <c r="D61" s="428"/>
      <c r="E61" s="428"/>
      <c r="F61" s="428"/>
      <c r="G61" s="332" t="s">
        <v>352</v>
      </c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3"/>
      <c r="AK61" s="343"/>
      <c r="AL61" s="343"/>
      <c r="AM61" s="343"/>
      <c r="AN61" s="343"/>
      <c r="AO61" s="343"/>
      <c r="AP61" s="343"/>
      <c r="AQ61" s="343"/>
      <c r="AR61" s="343"/>
      <c r="AS61" s="343"/>
      <c r="AT61" s="343"/>
      <c r="AU61" s="343"/>
      <c r="AV61" s="343"/>
      <c r="AW61" s="343"/>
      <c r="AX61" s="343"/>
      <c r="AY61" s="343"/>
      <c r="AZ61" s="343"/>
      <c r="BA61" s="343"/>
      <c r="BB61" s="343"/>
      <c r="BC61" s="343"/>
      <c r="BD61" s="343"/>
      <c r="BE61" s="343"/>
      <c r="BF61" s="343"/>
      <c r="BG61" s="343"/>
      <c r="BH61" s="343"/>
      <c r="BI61" s="343"/>
      <c r="BJ61" s="343"/>
      <c r="BK61" s="446"/>
      <c r="BL61" s="446"/>
      <c r="BM61" s="446"/>
      <c r="BN61" s="446"/>
      <c r="BO61" s="446"/>
      <c r="BP61" s="446"/>
      <c r="BQ61" s="446"/>
      <c r="BR61" s="446"/>
      <c r="BS61" s="446"/>
      <c r="BT61" s="446"/>
      <c r="BU61" s="462"/>
      <c r="BV61" s="462"/>
      <c r="BW61" s="462"/>
      <c r="BX61" s="462"/>
      <c r="BY61" s="462"/>
      <c r="BZ61" s="462"/>
      <c r="CA61" s="462"/>
      <c r="CB61" s="462"/>
      <c r="CC61" s="462"/>
      <c r="CD61" s="462"/>
      <c r="CE61" s="462"/>
      <c r="CF61" s="462"/>
      <c r="CG61" s="462"/>
      <c r="CH61" s="462"/>
      <c r="CI61" s="462"/>
      <c r="CJ61" s="462"/>
      <c r="CK61" s="462"/>
      <c r="CL61" s="462"/>
      <c r="CM61" s="462"/>
      <c r="CN61" s="462"/>
      <c r="CO61" s="462"/>
      <c r="CP61" s="462"/>
      <c r="CQ61" s="462"/>
      <c r="CR61" s="462"/>
      <c r="CS61" s="462"/>
      <c r="CT61" s="462"/>
      <c r="CU61" s="110"/>
      <c r="CV61" s="110"/>
      <c r="CW61" s="110"/>
      <c r="CX61" s="110"/>
      <c r="CY61" s="110"/>
      <c r="CZ61" s="110"/>
      <c r="DA61" s="110"/>
      <c r="DB61" s="110"/>
      <c r="DC61" s="110"/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368"/>
      <c r="FX61" s="105"/>
    </row>
    <row r="62" spans="1:180" ht="16.5" customHeight="1">
      <c r="A62" s="108"/>
      <c r="C62" s="428"/>
      <c r="D62" s="428"/>
      <c r="E62" s="428"/>
      <c r="F62" s="428"/>
      <c r="G62" s="428"/>
      <c r="H62" s="428"/>
      <c r="I62" s="343" t="s">
        <v>351</v>
      </c>
      <c r="J62" s="428"/>
      <c r="K62" s="428"/>
      <c r="L62" s="428"/>
      <c r="M62" s="428"/>
      <c r="N62" s="428"/>
      <c r="O62" s="428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  <c r="BJ62" s="428"/>
      <c r="BK62" s="446"/>
      <c r="BL62" s="446"/>
      <c r="BM62" s="446"/>
      <c r="BN62" s="446"/>
      <c r="BO62" s="446"/>
      <c r="BP62" s="446"/>
      <c r="BQ62" s="446"/>
      <c r="BR62" s="446"/>
      <c r="BS62" s="446"/>
      <c r="BT62" s="446"/>
      <c r="BU62" s="462"/>
      <c r="BV62" s="462"/>
      <c r="BW62" s="462"/>
      <c r="BX62" s="462"/>
      <c r="BY62" s="462"/>
      <c r="BZ62" s="462"/>
      <c r="CA62" s="462"/>
      <c r="CB62" s="462"/>
      <c r="CC62" s="462"/>
      <c r="CD62" s="462"/>
      <c r="CE62" s="462"/>
      <c r="CF62" s="462"/>
      <c r="CG62" s="462"/>
      <c r="CH62" s="462"/>
      <c r="CI62" s="462"/>
      <c r="CJ62" s="462"/>
      <c r="CK62" s="462"/>
      <c r="CL62" s="462"/>
      <c r="CM62" s="462"/>
      <c r="CN62" s="462"/>
      <c r="CO62" s="462"/>
      <c r="CP62" s="462"/>
      <c r="CQ62" s="462"/>
      <c r="CR62" s="462"/>
      <c r="CS62" s="462"/>
      <c r="CT62" s="462"/>
      <c r="CU62" s="110"/>
      <c r="CV62" s="110"/>
      <c r="CW62" s="110"/>
      <c r="CX62" s="110"/>
      <c r="CY62" s="110"/>
      <c r="CZ62" s="110"/>
      <c r="DA62" s="110"/>
      <c r="DB62" s="110"/>
      <c r="DC62" s="110"/>
      <c r="DD62" s="110"/>
      <c r="DE62" s="110"/>
      <c r="DF62" s="110"/>
      <c r="DG62" s="110"/>
      <c r="DH62" s="110"/>
      <c r="DI62" s="110"/>
      <c r="DJ62" s="110"/>
      <c r="DK62" s="110"/>
      <c r="DL62" s="110"/>
      <c r="DM62" s="110"/>
      <c r="DN62" s="368"/>
      <c r="FX62" s="105"/>
    </row>
    <row r="63" spans="1:180" ht="16.5" customHeight="1">
      <c r="A63" s="108"/>
      <c r="C63" s="428"/>
      <c r="D63" s="428"/>
      <c r="E63" s="428"/>
      <c r="F63" s="428"/>
      <c r="G63" s="463" t="s">
        <v>354</v>
      </c>
      <c r="H63" s="428"/>
      <c r="I63" s="428"/>
      <c r="J63" s="428"/>
      <c r="K63" s="428"/>
      <c r="L63" s="428"/>
      <c r="M63" s="428"/>
      <c r="N63" s="428"/>
      <c r="O63" s="428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  <c r="BJ63" s="428"/>
      <c r="BK63" s="446"/>
      <c r="BL63" s="446"/>
      <c r="BM63" s="446"/>
      <c r="BN63" s="446"/>
      <c r="BO63" s="446"/>
      <c r="BP63" s="446"/>
      <c r="BQ63" s="446"/>
      <c r="BR63" s="446"/>
      <c r="BS63" s="446"/>
      <c r="BT63" s="446"/>
      <c r="BU63" s="462"/>
      <c r="BV63" s="462"/>
      <c r="BW63" s="462"/>
      <c r="BX63" s="462"/>
      <c r="BY63" s="462"/>
      <c r="BZ63" s="462"/>
      <c r="CA63" s="462"/>
      <c r="CB63" s="462"/>
      <c r="CC63" s="462"/>
      <c r="CD63" s="462"/>
      <c r="CE63" s="462"/>
      <c r="CF63" s="462"/>
      <c r="CG63" s="462"/>
      <c r="CH63" s="462"/>
      <c r="CI63" s="462"/>
      <c r="CJ63" s="462"/>
      <c r="CK63" s="462"/>
      <c r="CL63" s="462"/>
      <c r="CM63" s="462"/>
      <c r="CN63" s="462"/>
      <c r="CO63" s="462"/>
      <c r="CP63" s="462"/>
      <c r="CQ63" s="462"/>
      <c r="CR63" s="462"/>
      <c r="CS63" s="462"/>
      <c r="CT63" s="462"/>
      <c r="CU63" s="110"/>
      <c r="CV63" s="110"/>
      <c r="CW63" s="110"/>
      <c r="CX63" s="110"/>
      <c r="CY63" s="110"/>
      <c r="CZ63" s="110"/>
      <c r="DA63" s="110"/>
      <c r="DB63" s="110"/>
      <c r="DC63" s="110"/>
      <c r="DD63" s="110"/>
      <c r="DE63" s="110"/>
      <c r="DF63" s="110"/>
      <c r="DG63" s="110"/>
      <c r="DH63" s="110"/>
      <c r="DI63" s="110"/>
      <c r="DJ63" s="110"/>
      <c r="DK63" s="110"/>
      <c r="DL63" s="110"/>
      <c r="DM63" s="110"/>
      <c r="DN63" s="368"/>
      <c r="FX63" s="105"/>
    </row>
    <row r="64" spans="1:180" ht="16.5" customHeight="1">
      <c r="A64" s="108"/>
      <c r="C64" s="428"/>
      <c r="D64" s="428"/>
      <c r="E64" s="428"/>
      <c r="F64" s="428"/>
      <c r="G64" s="428"/>
      <c r="H64" s="428" t="s">
        <v>355</v>
      </c>
      <c r="I64" s="428"/>
      <c r="J64" s="428"/>
      <c r="K64" s="428"/>
      <c r="L64" s="428"/>
      <c r="M64" s="428"/>
      <c r="N64" s="428"/>
      <c r="O64" s="428"/>
      <c r="P64" s="428"/>
      <c r="Q64" s="428"/>
      <c r="R64" s="428"/>
      <c r="S64" s="428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  <c r="BJ64" s="428"/>
      <c r="BK64" s="446"/>
      <c r="BL64" s="446"/>
      <c r="BM64" s="446"/>
      <c r="BN64" s="446"/>
      <c r="BO64" s="446"/>
      <c r="BP64" s="446"/>
      <c r="BQ64" s="446"/>
      <c r="BR64" s="446"/>
      <c r="BS64" s="446"/>
      <c r="BT64" s="446"/>
      <c r="BU64" s="462"/>
      <c r="BV64" s="462"/>
      <c r="BW64" s="462"/>
      <c r="BX64" s="462"/>
      <c r="BY64" s="462"/>
      <c r="BZ64" s="462"/>
      <c r="CA64" s="462"/>
      <c r="CB64" s="462"/>
      <c r="CC64" s="462"/>
      <c r="CD64" s="462"/>
      <c r="CE64" s="462"/>
      <c r="CF64" s="462"/>
      <c r="CG64" s="462"/>
      <c r="CH64" s="462"/>
      <c r="CI64" s="462"/>
      <c r="CJ64" s="462"/>
      <c r="CK64" s="462"/>
      <c r="CL64" s="462"/>
      <c r="CM64" s="462"/>
      <c r="CN64" s="462"/>
      <c r="CO64" s="462"/>
      <c r="CP64" s="462"/>
      <c r="CQ64" s="462"/>
      <c r="CR64" s="462"/>
      <c r="CS64" s="462"/>
      <c r="CT64" s="462"/>
      <c r="CU64" s="110"/>
      <c r="CV64" s="110"/>
      <c r="CW64" s="110"/>
      <c r="CX64" s="110"/>
      <c r="CY64" s="110"/>
      <c r="CZ64" s="110"/>
      <c r="DA64" s="110"/>
      <c r="DB64" s="110"/>
      <c r="DC64" s="110"/>
      <c r="DD64" s="110"/>
      <c r="DE64" s="110"/>
      <c r="DF64" s="110"/>
      <c r="DG64" s="110"/>
      <c r="DH64" s="110"/>
      <c r="DI64" s="110"/>
      <c r="DJ64" s="110"/>
      <c r="DK64" s="110"/>
      <c r="DL64" s="110"/>
      <c r="DM64" s="110"/>
      <c r="DN64" s="368"/>
      <c r="FX64" s="105"/>
    </row>
    <row r="65" spans="1:180" ht="16.5" customHeight="1">
      <c r="A65" s="108"/>
      <c r="C65" s="428"/>
      <c r="D65" s="428"/>
      <c r="E65" s="428"/>
      <c r="F65" s="428"/>
      <c r="G65" s="428"/>
      <c r="H65" s="428" t="s">
        <v>356</v>
      </c>
      <c r="I65" s="428"/>
      <c r="J65" s="428"/>
      <c r="K65" s="428"/>
      <c r="L65" s="428"/>
      <c r="M65" s="428"/>
      <c r="N65" s="428"/>
      <c r="O65" s="428"/>
      <c r="P65" s="428"/>
      <c r="Q65" s="428"/>
      <c r="R65" s="428"/>
      <c r="S65" s="428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  <c r="BJ65" s="428"/>
      <c r="BK65" s="446"/>
      <c r="BL65" s="446"/>
      <c r="BM65" s="446"/>
      <c r="BN65" s="446"/>
      <c r="BO65" s="446"/>
      <c r="BP65" s="446"/>
      <c r="BQ65" s="446"/>
      <c r="BR65" s="446"/>
      <c r="BS65" s="446"/>
      <c r="BT65" s="446"/>
      <c r="BU65" s="462"/>
      <c r="BV65" s="462"/>
      <c r="BW65" s="462"/>
      <c r="BX65" s="462"/>
      <c r="BY65" s="462"/>
      <c r="BZ65" s="462"/>
      <c r="CA65" s="462"/>
      <c r="CB65" s="462"/>
      <c r="CC65" s="462"/>
      <c r="CD65" s="462"/>
      <c r="CE65" s="462"/>
      <c r="CF65" s="462"/>
      <c r="CG65" s="462"/>
      <c r="CH65" s="462"/>
      <c r="CI65" s="462"/>
      <c r="CJ65" s="462"/>
      <c r="CK65" s="462"/>
      <c r="CL65" s="462"/>
      <c r="CM65" s="462"/>
      <c r="CN65" s="462"/>
      <c r="CO65" s="462"/>
      <c r="CP65" s="462"/>
      <c r="CQ65" s="462"/>
      <c r="CR65" s="462"/>
      <c r="CS65" s="462"/>
      <c r="CT65" s="462"/>
      <c r="CU65" s="110"/>
      <c r="CV65" s="110"/>
      <c r="CW65" s="110"/>
      <c r="CX65" s="110"/>
      <c r="CY65" s="110"/>
      <c r="CZ65" s="110"/>
      <c r="DA65" s="110"/>
      <c r="DB65" s="110"/>
      <c r="DC65" s="110"/>
      <c r="DD65" s="110"/>
      <c r="DE65" s="110"/>
      <c r="DF65" s="110"/>
      <c r="DG65" s="110"/>
      <c r="DH65" s="110"/>
      <c r="DI65" s="110"/>
      <c r="DJ65" s="110"/>
      <c r="DK65" s="110"/>
      <c r="DL65" s="110"/>
      <c r="DM65" s="110"/>
      <c r="DN65" s="368"/>
      <c r="FX65" s="105"/>
    </row>
    <row r="66" spans="1:180" ht="16.5" customHeight="1">
      <c r="A66" s="108"/>
      <c r="C66" s="428"/>
      <c r="D66" s="428"/>
      <c r="E66" s="428"/>
      <c r="F66" s="428"/>
      <c r="G66" s="428"/>
      <c r="H66" s="428" t="s">
        <v>357</v>
      </c>
      <c r="I66" s="428"/>
      <c r="J66" s="428"/>
      <c r="K66" s="428"/>
      <c r="L66" s="428"/>
      <c r="M66" s="428"/>
      <c r="N66" s="428"/>
      <c r="O66" s="428"/>
      <c r="P66" s="428"/>
      <c r="Q66" s="428"/>
      <c r="R66" s="428"/>
      <c r="S66" s="428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  <c r="BJ66" s="428"/>
      <c r="BK66" s="446"/>
      <c r="BL66" s="446"/>
      <c r="BM66" s="446"/>
      <c r="BN66" s="446"/>
      <c r="BO66" s="446"/>
      <c r="BP66" s="446"/>
      <c r="BQ66" s="446"/>
      <c r="BR66" s="446"/>
      <c r="BS66" s="446"/>
      <c r="BT66" s="446"/>
      <c r="BU66" s="462"/>
      <c r="BV66" s="462"/>
      <c r="BW66" s="462"/>
      <c r="BX66" s="462"/>
      <c r="BY66" s="462"/>
      <c r="BZ66" s="462"/>
      <c r="CA66" s="462"/>
      <c r="CB66" s="462"/>
      <c r="CC66" s="462"/>
      <c r="CD66" s="462"/>
      <c r="CE66" s="462"/>
      <c r="CF66" s="462"/>
      <c r="CG66" s="462"/>
      <c r="CH66" s="462"/>
      <c r="CI66" s="462"/>
      <c r="CJ66" s="462"/>
      <c r="CK66" s="462"/>
      <c r="CL66" s="462"/>
      <c r="CM66" s="462"/>
      <c r="CN66" s="462"/>
      <c r="CO66" s="462"/>
      <c r="CP66" s="462"/>
      <c r="CQ66" s="462"/>
      <c r="CR66" s="462"/>
      <c r="CS66" s="462"/>
      <c r="CT66" s="462"/>
      <c r="CU66" s="110"/>
      <c r="CV66" s="110"/>
      <c r="CW66" s="110"/>
      <c r="CX66" s="110"/>
      <c r="CY66" s="110"/>
      <c r="CZ66" s="110"/>
      <c r="DA66" s="110"/>
      <c r="DB66" s="110"/>
      <c r="DC66" s="110"/>
      <c r="DD66" s="110"/>
      <c r="DE66" s="110"/>
      <c r="DF66" s="110"/>
      <c r="DG66" s="110"/>
      <c r="DH66" s="110"/>
      <c r="DI66" s="110"/>
      <c r="DJ66" s="110"/>
      <c r="DK66" s="110"/>
      <c r="DL66" s="110"/>
      <c r="DM66" s="110"/>
      <c r="DN66" s="368"/>
      <c r="FX66" s="105"/>
    </row>
    <row r="67" spans="1:180" ht="16.5" customHeight="1">
      <c r="A67" s="10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  <c r="BJ67" s="428"/>
      <c r="BK67" s="446"/>
      <c r="BL67" s="446"/>
      <c r="BM67" s="446"/>
      <c r="BN67" s="446"/>
      <c r="BO67" s="446"/>
      <c r="BP67" s="446"/>
      <c r="BQ67" s="446"/>
      <c r="BR67" s="446"/>
      <c r="BS67" s="446"/>
      <c r="BT67" s="446"/>
      <c r="BU67" s="462"/>
      <c r="BV67" s="462"/>
      <c r="BW67" s="462"/>
      <c r="BX67" s="462"/>
      <c r="BY67" s="462"/>
      <c r="BZ67" s="462"/>
      <c r="CA67" s="462"/>
      <c r="CB67" s="462"/>
      <c r="CC67" s="462"/>
      <c r="CD67" s="462"/>
      <c r="CE67" s="462"/>
      <c r="CF67" s="462"/>
      <c r="CG67" s="462"/>
      <c r="CH67" s="462"/>
      <c r="CI67" s="462"/>
      <c r="CJ67" s="462"/>
      <c r="CK67" s="462"/>
      <c r="CL67" s="462"/>
      <c r="CM67" s="462"/>
      <c r="CN67" s="462"/>
      <c r="CO67" s="462"/>
      <c r="CP67" s="462"/>
      <c r="CQ67" s="462"/>
      <c r="CR67" s="462"/>
      <c r="CS67" s="462"/>
      <c r="CT67" s="462"/>
      <c r="CU67" s="110"/>
      <c r="CV67" s="110"/>
      <c r="CW67" s="110"/>
      <c r="CX67" s="110"/>
      <c r="CY67" s="110"/>
      <c r="CZ67" s="110"/>
      <c r="DA67" s="110"/>
      <c r="DB67" s="110"/>
      <c r="DC67" s="110"/>
      <c r="DD67" s="110"/>
      <c r="DE67" s="110"/>
      <c r="DF67" s="110"/>
      <c r="DG67" s="110"/>
      <c r="DH67" s="110"/>
      <c r="DI67" s="110"/>
      <c r="DJ67" s="110"/>
      <c r="DK67" s="110"/>
      <c r="DL67" s="110"/>
      <c r="DM67" s="110"/>
      <c r="DN67" s="368"/>
      <c r="FX67" s="105"/>
    </row>
    <row r="68" spans="1:180" ht="16.5" customHeight="1">
      <c r="A68" s="108"/>
      <c r="C68" s="428"/>
      <c r="D68" s="428"/>
      <c r="E68" s="428"/>
      <c r="F68" s="428"/>
      <c r="G68" s="428"/>
      <c r="H68" s="428" t="s">
        <v>358</v>
      </c>
      <c r="I68" s="428"/>
      <c r="J68" s="428"/>
      <c r="K68" s="428"/>
      <c r="L68" s="428"/>
      <c r="M68" s="428"/>
      <c r="N68" s="428"/>
      <c r="O68" s="428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  <c r="BJ68" s="428"/>
      <c r="BK68" s="446"/>
      <c r="BL68" s="446"/>
      <c r="BM68" s="446"/>
      <c r="BN68" s="446"/>
      <c r="BO68" s="446"/>
      <c r="BP68" s="446"/>
      <c r="BQ68" s="446"/>
      <c r="BR68" s="446"/>
      <c r="BS68" s="446"/>
      <c r="BT68" s="446"/>
      <c r="BU68" s="462"/>
      <c r="BV68" s="462"/>
      <c r="BW68" s="462"/>
      <c r="BX68" s="462"/>
      <c r="BY68" s="462"/>
      <c r="BZ68" s="462"/>
      <c r="CA68" s="462"/>
      <c r="CB68" s="462"/>
      <c r="CC68" s="462"/>
      <c r="CD68" s="462"/>
      <c r="CE68" s="462"/>
      <c r="CF68" s="462"/>
      <c r="CG68" s="462"/>
      <c r="CH68" s="462"/>
      <c r="CI68" s="462"/>
      <c r="CJ68" s="462"/>
      <c r="CK68" s="462"/>
      <c r="CL68" s="462"/>
      <c r="CM68" s="462"/>
      <c r="CN68" s="462"/>
      <c r="CO68" s="462"/>
      <c r="CP68" s="462"/>
      <c r="CQ68" s="462"/>
      <c r="CR68" s="462"/>
      <c r="CS68" s="462"/>
      <c r="CT68" s="462"/>
      <c r="CU68" s="110"/>
      <c r="CV68" s="110"/>
      <c r="CW68" s="110"/>
      <c r="CX68" s="110"/>
      <c r="CY68" s="110"/>
      <c r="CZ68" s="110"/>
      <c r="DA68" s="110"/>
      <c r="DB68" s="110"/>
      <c r="DC68" s="110"/>
      <c r="DD68" s="110"/>
      <c r="DE68" s="110"/>
      <c r="DF68" s="110"/>
      <c r="DG68" s="110"/>
      <c r="DH68" s="110"/>
      <c r="DI68" s="110"/>
      <c r="DJ68" s="110"/>
      <c r="DK68" s="110"/>
      <c r="DL68" s="110"/>
      <c r="DM68" s="110"/>
      <c r="DN68" s="368"/>
      <c r="FX68" s="105"/>
    </row>
    <row r="69" spans="1:180" ht="16.5" customHeight="1">
      <c r="A69" s="108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  <c r="BJ69" s="428"/>
      <c r="BK69" s="446"/>
      <c r="BL69" s="446"/>
      <c r="BM69" s="446"/>
      <c r="BN69" s="446"/>
      <c r="BO69" s="446"/>
      <c r="BP69" s="446"/>
      <c r="BQ69" s="446"/>
      <c r="BR69" s="446"/>
      <c r="BS69" s="446"/>
      <c r="BT69" s="446"/>
      <c r="BU69" s="462"/>
      <c r="BV69" s="462"/>
      <c r="BW69" s="462"/>
      <c r="BX69" s="462"/>
      <c r="BY69" s="462"/>
      <c r="BZ69" s="462"/>
      <c r="CA69" s="462"/>
      <c r="CB69" s="462"/>
      <c r="CC69" s="462"/>
      <c r="CD69" s="462"/>
      <c r="CE69" s="462"/>
      <c r="CF69" s="462"/>
      <c r="CG69" s="462"/>
      <c r="CH69" s="462"/>
      <c r="CI69" s="462"/>
      <c r="CJ69" s="462"/>
      <c r="CK69" s="462"/>
      <c r="CL69" s="462"/>
      <c r="CM69" s="462"/>
      <c r="CN69" s="462"/>
      <c r="CO69" s="462"/>
      <c r="CP69" s="462"/>
      <c r="CQ69" s="462"/>
      <c r="CR69" s="462"/>
      <c r="CS69" s="462"/>
      <c r="CT69" s="462"/>
      <c r="CU69" s="110"/>
      <c r="CV69" s="110"/>
      <c r="CW69" s="110"/>
      <c r="CX69" s="110"/>
      <c r="CY69" s="110"/>
      <c r="CZ69" s="110"/>
      <c r="DA69" s="110"/>
      <c r="DB69" s="110"/>
      <c r="DC69" s="110"/>
      <c r="DD69" s="110"/>
      <c r="DE69" s="110"/>
      <c r="DF69" s="110"/>
      <c r="DG69" s="110"/>
      <c r="DH69" s="110"/>
      <c r="DI69" s="110"/>
      <c r="DJ69" s="110"/>
      <c r="DK69" s="110"/>
      <c r="DL69" s="110"/>
      <c r="DM69" s="110"/>
      <c r="DN69" s="368"/>
      <c r="FX69" s="105"/>
    </row>
    <row r="70" spans="1:180" ht="16.5" customHeight="1">
      <c r="A70" s="108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BJ70" s="105"/>
      <c r="BU70" s="110"/>
      <c r="BV70" s="110"/>
      <c r="BW70" s="110"/>
      <c r="BX70" s="110"/>
      <c r="BY70" s="110"/>
      <c r="BZ70" s="110"/>
      <c r="CA70" s="110"/>
      <c r="CB70" s="110"/>
      <c r="CC70" s="110"/>
      <c r="CD70" s="110"/>
      <c r="CE70" s="110"/>
      <c r="CF70" s="110"/>
      <c r="CG70" s="110"/>
      <c r="CH70" s="110"/>
      <c r="CI70" s="110"/>
      <c r="CJ70" s="110"/>
      <c r="CK70" s="110"/>
      <c r="CL70" s="110"/>
      <c r="CM70" s="110"/>
      <c r="CN70" s="110"/>
      <c r="CO70" s="110"/>
      <c r="CP70" s="110"/>
      <c r="CQ70" s="110"/>
      <c r="CR70" s="110"/>
      <c r="CS70" s="110"/>
      <c r="CT70" s="110"/>
      <c r="CU70" s="110"/>
      <c r="CV70" s="110"/>
      <c r="CW70" s="110"/>
      <c r="CX70" s="110"/>
      <c r="CY70" s="110"/>
      <c r="CZ70" s="110"/>
      <c r="DA70" s="110"/>
      <c r="DB70" s="110"/>
      <c r="DC70" s="110"/>
      <c r="DD70" s="110"/>
      <c r="DE70" s="110"/>
      <c r="DF70" s="110"/>
      <c r="DG70" s="110"/>
      <c r="DH70" s="110"/>
      <c r="DI70" s="110"/>
      <c r="DJ70" s="110"/>
      <c r="DK70" s="110"/>
      <c r="DL70" s="110"/>
      <c r="DM70" s="110"/>
      <c r="DN70" s="368"/>
      <c r="FX70" s="105"/>
    </row>
    <row r="71" spans="1:180" ht="16.5" customHeight="1">
      <c r="A71" s="108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BJ71" s="105"/>
      <c r="BU71" s="110"/>
      <c r="BV71" s="110"/>
      <c r="BW71" s="110"/>
      <c r="BX71" s="110"/>
      <c r="BY71" s="110"/>
      <c r="BZ71" s="110"/>
      <c r="CA71" s="110"/>
      <c r="CB71" s="110"/>
      <c r="CC71" s="110"/>
      <c r="CD71" s="110"/>
      <c r="CE71" s="110"/>
      <c r="CF71" s="110"/>
      <c r="CG71" s="110"/>
      <c r="CH71" s="110"/>
      <c r="CI71" s="110"/>
      <c r="CJ71" s="110"/>
      <c r="CK71" s="110"/>
      <c r="CL71" s="110"/>
      <c r="CM71" s="110"/>
      <c r="CN71" s="110"/>
      <c r="CO71" s="110"/>
      <c r="CP71" s="110"/>
      <c r="CQ71" s="110"/>
      <c r="CR71" s="110"/>
      <c r="CS71" s="110"/>
      <c r="CT71" s="110"/>
      <c r="CU71" s="110"/>
      <c r="CV71" s="110"/>
      <c r="CW71" s="110"/>
      <c r="CX71" s="110"/>
      <c r="CY71" s="110"/>
      <c r="CZ71" s="110"/>
      <c r="DA71" s="110"/>
      <c r="DB71" s="110"/>
      <c r="DC71" s="110"/>
      <c r="DD71" s="110"/>
      <c r="DE71" s="110"/>
      <c r="DF71" s="110"/>
      <c r="DG71" s="110"/>
      <c r="DH71" s="110"/>
      <c r="DI71" s="110"/>
      <c r="DJ71" s="110"/>
      <c r="DK71" s="110"/>
      <c r="DL71" s="110"/>
      <c r="DM71" s="110"/>
      <c r="DN71" s="368"/>
      <c r="FX71" s="105"/>
    </row>
    <row r="72" spans="1:180" ht="16.5" customHeight="1">
      <c r="A72" s="108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BJ72" s="105"/>
      <c r="BU72" s="110"/>
      <c r="BV72" s="110"/>
      <c r="BW72" s="110"/>
      <c r="BX72" s="110"/>
      <c r="BY72" s="110"/>
      <c r="BZ72" s="110"/>
      <c r="CA72" s="110"/>
      <c r="CB72" s="110"/>
      <c r="CC72" s="110"/>
      <c r="CD72" s="110"/>
      <c r="CE72" s="110"/>
      <c r="CF72" s="110"/>
      <c r="CG72" s="110"/>
      <c r="CH72" s="110"/>
      <c r="CI72" s="110"/>
      <c r="CJ72" s="110"/>
      <c r="CK72" s="110"/>
      <c r="CL72" s="110"/>
      <c r="CM72" s="110"/>
      <c r="CN72" s="110"/>
      <c r="CO72" s="110"/>
      <c r="CP72" s="110"/>
      <c r="CQ72" s="110"/>
      <c r="CR72" s="110"/>
      <c r="CS72" s="110"/>
      <c r="CT72" s="110"/>
      <c r="CU72" s="110"/>
      <c r="CV72" s="110"/>
      <c r="CW72" s="110"/>
      <c r="CX72" s="110"/>
      <c r="CY72" s="110"/>
      <c r="CZ72" s="110"/>
      <c r="DA72" s="110"/>
      <c r="DB72" s="110"/>
      <c r="DC72" s="110"/>
      <c r="DD72" s="110"/>
      <c r="DE72" s="110"/>
      <c r="DF72" s="110"/>
      <c r="DG72" s="110"/>
      <c r="DH72" s="110"/>
      <c r="DI72" s="110"/>
      <c r="DJ72" s="110"/>
      <c r="DK72" s="110"/>
      <c r="DL72" s="110"/>
      <c r="DM72" s="110"/>
      <c r="DN72" s="368"/>
      <c r="FX72" s="105"/>
    </row>
    <row r="73" spans="1:180" ht="16.5" customHeight="1">
      <c r="A73" s="108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BJ73" s="105"/>
      <c r="BU73" s="110"/>
      <c r="BV73" s="110"/>
      <c r="BW73" s="110"/>
      <c r="BX73" s="110"/>
      <c r="BY73" s="110"/>
      <c r="BZ73" s="110"/>
      <c r="CA73" s="110"/>
      <c r="CB73" s="110"/>
      <c r="CC73" s="110"/>
      <c r="CD73" s="110"/>
      <c r="CE73" s="110"/>
      <c r="CF73" s="110"/>
      <c r="CG73" s="110"/>
      <c r="CH73" s="110"/>
      <c r="CI73" s="110"/>
      <c r="CJ73" s="110"/>
      <c r="CK73" s="110"/>
      <c r="CL73" s="110"/>
      <c r="CM73" s="110"/>
      <c r="CN73" s="110"/>
      <c r="CO73" s="110"/>
      <c r="CP73" s="110"/>
      <c r="CQ73" s="110"/>
      <c r="CR73" s="110"/>
      <c r="CS73" s="110"/>
      <c r="CT73" s="110"/>
      <c r="CU73" s="110"/>
      <c r="CV73" s="110"/>
      <c r="CW73" s="110"/>
      <c r="CX73" s="110"/>
      <c r="CY73" s="110"/>
      <c r="CZ73" s="110"/>
      <c r="DA73" s="110"/>
      <c r="DB73" s="110"/>
      <c r="DC73" s="110"/>
      <c r="DD73" s="110"/>
      <c r="DE73" s="110"/>
      <c r="DF73" s="110"/>
      <c r="DG73" s="110"/>
      <c r="DH73" s="110"/>
      <c r="DI73" s="110"/>
      <c r="DJ73" s="110"/>
      <c r="DK73" s="110"/>
      <c r="DL73" s="110"/>
      <c r="DM73" s="110"/>
      <c r="DN73" s="368"/>
      <c r="FX73" s="105"/>
    </row>
    <row r="74" spans="1:180" ht="16.5" customHeight="1">
      <c r="A74" s="108"/>
      <c r="BJ74" s="105"/>
      <c r="BU74" s="113"/>
      <c r="BV74" s="113"/>
      <c r="BW74" s="113"/>
      <c r="BX74" s="113"/>
      <c r="BY74" s="113"/>
      <c r="BZ74" s="113"/>
      <c r="CA74" s="113"/>
      <c r="CB74" s="113"/>
      <c r="CC74" s="113"/>
      <c r="CD74" s="113"/>
      <c r="CE74" s="113"/>
      <c r="CF74" s="113"/>
      <c r="CG74" s="113"/>
      <c r="CH74" s="113"/>
      <c r="CI74" s="113"/>
      <c r="CJ74" s="113"/>
      <c r="CK74" s="113"/>
      <c r="CL74" s="113"/>
      <c r="CM74" s="113"/>
      <c r="CN74" s="113"/>
      <c r="CO74" s="113"/>
      <c r="CP74" s="113"/>
      <c r="CQ74" s="113"/>
      <c r="CR74" s="113"/>
      <c r="CS74" s="113"/>
      <c r="CT74" s="113"/>
      <c r="CU74" s="113"/>
      <c r="CV74" s="113"/>
      <c r="CW74" s="113"/>
      <c r="CX74" s="113"/>
      <c r="CY74" s="113"/>
      <c r="CZ74" s="113"/>
      <c r="DA74" s="113"/>
      <c r="DB74" s="113"/>
      <c r="DC74" s="113"/>
      <c r="DD74" s="113"/>
      <c r="DE74" s="113"/>
      <c r="DF74" s="113"/>
      <c r="DG74" s="113"/>
      <c r="DH74" s="113"/>
      <c r="DI74" s="113"/>
      <c r="DJ74" s="113"/>
      <c r="DK74" s="113"/>
      <c r="DL74" s="113"/>
      <c r="DM74" s="113"/>
      <c r="DN74" s="369"/>
      <c r="FX74" s="105" t="s">
        <v>132</v>
      </c>
    </row>
    <row r="75" spans="1:180" ht="16.5" customHeight="1">
      <c r="A75" s="108"/>
      <c r="BJ75" s="105"/>
      <c r="BU75" s="113"/>
      <c r="BV75" s="113"/>
      <c r="BW75" s="113"/>
      <c r="BX75" s="113"/>
      <c r="BY75" s="113"/>
      <c r="BZ75" s="113"/>
      <c r="CA75" s="113"/>
      <c r="CB75" s="113"/>
      <c r="CC75" s="113"/>
      <c r="CD75" s="113"/>
      <c r="CE75" s="113"/>
      <c r="CF75" s="113"/>
      <c r="CG75" s="113"/>
      <c r="CH75" s="113"/>
      <c r="CI75" s="113"/>
      <c r="CJ75" s="113"/>
      <c r="CK75" s="113"/>
      <c r="CL75" s="113"/>
      <c r="CM75" s="113"/>
      <c r="CN75" s="113"/>
      <c r="CO75" s="113"/>
      <c r="CP75" s="113"/>
      <c r="CQ75" s="113"/>
      <c r="CR75" s="113"/>
      <c r="CS75" s="113"/>
      <c r="CT75" s="113"/>
      <c r="CU75" s="113"/>
      <c r="CV75" s="113"/>
      <c r="CW75" s="113"/>
      <c r="CX75" s="113"/>
      <c r="CY75" s="113"/>
      <c r="CZ75" s="113"/>
      <c r="DA75" s="113"/>
      <c r="DB75" s="113"/>
      <c r="DC75" s="113"/>
      <c r="DD75" s="113"/>
      <c r="DE75" s="113"/>
      <c r="DF75" s="113"/>
      <c r="DG75" s="113"/>
      <c r="DH75" s="113"/>
      <c r="DI75" s="113"/>
      <c r="DJ75" s="113"/>
      <c r="DK75" s="113"/>
      <c r="DL75" s="113"/>
      <c r="DM75" s="113"/>
      <c r="DN75" s="369"/>
      <c r="FX75" s="105" t="s">
        <v>101</v>
      </c>
    </row>
    <row r="76" spans="1:180" ht="16.5" customHeight="1" thickBot="1">
      <c r="A76" s="181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4"/>
      <c r="BT76" s="114"/>
      <c r="BU76" s="115"/>
      <c r="BV76" s="115"/>
      <c r="BW76" s="115"/>
      <c r="BX76" s="115"/>
      <c r="BY76" s="114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4"/>
      <c r="CM76" s="114"/>
      <c r="CN76" s="114"/>
      <c r="CO76" s="114"/>
      <c r="CP76" s="114"/>
      <c r="CQ76" s="114"/>
      <c r="CR76" s="114"/>
      <c r="CS76" s="114"/>
      <c r="CT76" s="114"/>
      <c r="CU76" s="114"/>
      <c r="CV76" s="114"/>
      <c r="CW76" s="114"/>
      <c r="CX76" s="114"/>
      <c r="CY76" s="114"/>
      <c r="CZ76" s="114"/>
      <c r="DA76" s="114"/>
      <c r="DB76" s="114"/>
      <c r="DC76" s="114"/>
      <c r="DD76" s="114"/>
      <c r="DE76" s="114"/>
      <c r="DF76" s="114"/>
      <c r="DG76" s="114"/>
      <c r="DH76" s="114"/>
      <c r="DI76" s="114"/>
      <c r="DJ76" s="114"/>
      <c r="DK76" s="114"/>
      <c r="DL76" s="114"/>
      <c r="DM76" s="114"/>
      <c r="DN76" s="370"/>
      <c r="FX76" s="105" t="s">
        <v>103</v>
      </c>
    </row>
    <row r="77" spans="1:180" ht="16.5" customHeight="1">
      <c r="BJ77" s="105"/>
      <c r="BU77" s="105"/>
      <c r="BV77" s="105"/>
      <c r="BW77" s="105"/>
      <c r="BX77" s="105"/>
    </row>
    <row r="78" spans="1:180" ht="16.5" customHeight="1">
      <c r="BJ78" s="105"/>
      <c r="BU78" s="105"/>
      <c r="BV78" s="105"/>
      <c r="BW78" s="105"/>
      <c r="BX78" s="105"/>
    </row>
    <row r="79" spans="1:180" ht="16.5" customHeight="1">
      <c r="BJ79" s="105"/>
      <c r="BU79" s="105"/>
      <c r="BV79" s="105"/>
      <c r="BW79" s="105"/>
      <c r="BX79" s="105"/>
    </row>
    <row r="80" spans="1:180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  <c r="BU1659" s="105"/>
      <c r="BV1659" s="105"/>
      <c r="BW1659" s="105"/>
      <c r="BX1659" s="105"/>
    </row>
    <row r="1660" spans="62:76" ht="16.5" customHeight="1">
      <c r="BJ1660" s="105"/>
      <c r="BU1660" s="105"/>
      <c r="BV1660" s="105"/>
      <c r="BW1660" s="105"/>
      <c r="BX1660" s="105"/>
    </row>
    <row r="1661" spans="62:76" ht="16.5" customHeight="1">
      <c r="BJ1661" s="105"/>
      <c r="BU1661" s="105"/>
      <c r="BV1661" s="105"/>
      <c r="BW1661" s="105"/>
      <c r="BX1661" s="105"/>
    </row>
    <row r="1662" spans="62:76" ht="16.5" customHeight="1">
      <c r="BJ1662" s="105"/>
      <c r="BU1662" s="105"/>
      <c r="BV1662" s="105"/>
      <c r="BW1662" s="105"/>
      <c r="BX1662" s="105"/>
    </row>
    <row r="1663" spans="62:76" ht="16.5" customHeight="1">
      <c r="BJ1663" s="105"/>
      <c r="BU1663" s="105"/>
      <c r="BV1663" s="105"/>
      <c r="BW1663" s="105"/>
      <c r="BX1663" s="105"/>
    </row>
    <row r="1664" spans="62:76" ht="16.5" customHeight="1">
      <c r="BJ1664" s="105"/>
      <c r="BU1664" s="105"/>
      <c r="BV1664" s="105"/>
      <c r="BW1664" s="105"/>
      <c r="BX1664" s="105"/>
    </row>
    <row r="1665" spans="62:76" ht="16.5" customHeight="1">
      <c r="BJ1665" s="105"/>
      <c r="BU1665" s="105"/>
      <c r="BV1665" s="105"/>
      <c r="BW1665" s="105"/>
      <c r="BX1665" s="105"/>
    </row>
    <row r="1666" spans="62:76" ht="16.5" customHeight="1">
      <c r="BJ1666" s="105"/>
      <c r="BU1666" s="105"/>
      <c r="BV1666" s="105"/>
      <c r="BW1666" s="105"/>
      <c r="BX1666" s="105"/>
    </row>
    <row r="1667" spans="62:76" ht="16.5" customHeight="1">
      <c r="BJ1667" s="105"/>
      <c r="BU1667" s="105"/>
      <c r="BV1667" s="105"/>
      <c r="BW1667" s="105"/>
      <c r="BX1667" s="105"/>
    </row>
    <row r="1668" spans="62:76" ht="16.5" customHeight="1">
      <c r="BJ1668" s="105"/>
      <c r="BU1668" s="105"/>
      <c r="BV1668" s="105"/>
      <c r="BW1668" s="105"/>
      <c r="BX1668" s="105"/>
    </row>
    <row r="1669" spans="62:76" ht="16.5" customHeight="1">
      <c r="BJ1669" s="105"/>
      <c r="BU1669" s="105"/>
      <c r="BV1669" s="105"/>
      <c r="BW1669" s="105"/>
      <c r="BX1669" s="105"/>
    </row>
    <row r="1670" spans="62:76" ht="16.5" customHeight="1">
      <c r="BJ1670" s="105"/>
      <c r="BU1670" s="105"/>
      <c r="BV1670" s="105"/>
      <c r="BW1670" s="105"/>
      <c r="BX1670" s="105"/>
    </row>
    <row r="1671" spans="62:76" ht="16.5" customHeight="1">
      <c r="BJ1671" s="105"/>
      <c r="BU1671" s="105"/>
      <c r="BV1671" s="105"/>
      <c r="BW1671" s="105"/>
      <c r="BX1671" s="105"/>
    </row>
    <row r="1672" spans="62:76" ht="16.5" customHeight="1">
      <c r="BJ1672" s="105"/>
      <c r="BU1672" s="105"/>
      <c r="BV1672" s="105"/>
      <c r="BW1672" s="105"/>
      <c r="BX1672" s="105"/>
    </row>
    <row r="1673" spans="62:76" ht="16.5" customHeight="1">
      <c r="BJ1673" s="105"/>
      <c r="BU1673" s="105"/>
      <c r="BV1673" s="105"/>
      <c r="BW1673" s="105"/>
      <c r="BX1673" s="105"/>
    </row>
    <row r="1674" spans="62:76" ht="16.5" customHeight="1">
      <c r="BJ1674" s="105"/>
      <c r="BU1674" s="105"/>
      <c r="BV1674" s="105"/>
      <c r="BW1674" s="105"/>
      <c r="BX1674" s="105"/>
    </row>
    <row r="1675" spans="62:76" ht="16.5" customHeight="1">
      <c r="BJ1675" s="105"/>
      <c r="BU1675" s="105"/>
      <c r="BV1675" s="105"/>
      <c r="BW1675" s="105"/>
      <c r="BX1675" s="105"/>
    </row>
    <row r="1676" spans="62:76" ht="16.5" customHeight="1">
      <c r="BJ1676" s="105"/>
      <c r="BU1676" s="105"/>
      <c r="BV1676" s="105"/>
      <c r="BW1676" s="105"/>
      <c r="BX1676" s="105"/>
    </row>
    <row r="1677" spans="62:76" ht="16.5" customHeight="1">
      <c r="BJ1677" s="105"/>
      <c r="BU1677" s="105"/>
      <c r="BV1677" s="105"/>
      <c r="BW1677" s="105"/>
      <c r="BX1677" s="105"/>
    </row>
    <row r="1678" spans="62:76" ht="16.5" customHeight="1">
      <c r="BJ1678" s="105"/>
      <c r="BU1678" s="105"/>
      <c r="BV1678" s="105"/>
      <c r="BW1678" s="105"/>
      <c r="BX1678" s="105"/>
    </row>
    <row r="1679" spans="62:76" ht="16.5" customHeight="1">
      <c r="BJ1679" s="105"/>
      <c r="BU1679" s="105"/>
      <c r="BV1679" s="105"/>
      <c r="BW1679" s="105"/>
      <c r="BX1679" s="105"/>
    </row>
    <row r="1680" spans="62:76" ht="16.5" customHeight="1">
      <c r="BJ1680" s="105"/>
      <c r="BU1680" s="105"/>
      <c r="BV1680" s="105"/>
      <c r="BW1680" s="105"/>
      <c r="BX1680" s="105"/>
    </row>
    <row r="1681" spans="62:76" ht="16.5" customHeight="1">
      <c r="BJ1681" s="105"/>
      <c r="BU1681" s="105"/>
      <c r="BV1681" s="105"/>
      <c r="BW1681" s="105"/>
      <c r="BX1681" s="105"/>
    </row>
    <row r="1682" spans="62:76" ht="16.5" customHeight="1">
      <c r="BJ1682" s="105"/>
      <c r="BU1682" s="105"/>
      <c r="BV1682" s="105"/>
      <c r="BW1682" s="105"/>
      <c r="BX1682" s="105"/>
    </row>
    <row r="1683" spans="62:76" ht="16.5" customHeight="1">
      <c r="BJ1683" s="105"/>
      <c r="BU1683" s="105"/>
      <c r="BV1683" s="105"/>
      <c r="BW1683" s="105"/>
      <c r="BX1683" s="105"/>
    </row>
    <row r="1684" spans="62:76" ht="16.5" customHeight="1">
      <c r="BJ1684" s="105"/>
      <c r="BU1684" s="105"/>
      <c r="BV1684" s="105"/>
      <c r="BW1684" s="105"/>
      <c r="BX1684" s="105"/>
    </row>
    <row r="1685" spans="62:76" ht="16.5" customHeight="1">
      <c r="BJ1685" s="105"/>
      <c r="BU1685" s="105"/>
      <c r="BV1685" s="105"/>
      <c r="BW1685" s="105"/>
      <c r="BX1685" s="105"/>
    </row>
    <row r="1686" spans="62:76" ht="16.5" customHeight="1">
      <c r="BJ1686" s="105"/>
      <c r="BU1686" s="105"/>
      <c r="BV1686" s="105"/>
      <c r="BW1686" s="105"/>
      <c r="BX1686" s="105"/>
    </row>
    <row r="1687" spans="62:76" ht="16.5" customHeight="1">
      <c r="BJ1687" s="105"/>
      <c r="BU1687" s="105"/>
      <c r="BV1687" s="105"/>
      <c r="BW1687" s="105"/>
      <c r="BX1687" s="105"/>
    </row>
    <row r="1688" spans="62:76" ht="16.5" customHeight="1">
      <c r="BJ1688" s="105"/>
      <c r="BU1688" s="105"/>
      <c r="BV1688" s="105"/>
      <c r="BW1688" s="105"/>
      <c r="BX1688" s="105"/>
    </row>
    <row r="1689" spans="62:76" ht="16.5" customHeight="1">
      <c r="BJ1689" s="105"/>
      <c r="BU1689" s="105"/>
      <c r="BV1689" s="105"/>
      <c r="BW1689" s="105"/>
      <c r="BX1689" s="105"/>
    </row>
    <row r="1690" spans="62:76" ht="16.5" customHeight="1">
      <c r="BJ1690" s="105"/>
      <c r="BU1690" s="105"/>
      <c r="BV1690" s="105"/>
      <c r="BW1690" s="105"/>
      <c r="BX1690" s="105"/>
    </row>
    <row r="1691" spans="62:76" ht="16.5" customHeight="1">
      <c r="BJ1691" s="105"/>
      <c r="BU1691" s="105"/>
      <c r="BV1691" s="105"/>
      <c r="BW1691" s="105"/>
      <c r="BX1691" s="105"/>
    </row>
    <row r="1692" spans="62:76" ht="16.5" customHeight="1">
      <c r="BJ1692" s="105"/>
      <c r="BU1692" s="105"/>
      <c r="BV1692" s="105"/>
      <c r="BW1692" s="105"/>
      <c r="BX1692" s="105"/>
    </row>
    <row r="1693" spans="62:76" ht="16.5" customHeight="1">
      <c r="BJ1693" s="105"/>
      <c r="BU1693" s="105"/>
      <c r="BV1693" s="105"/>
      <c r="BW1693" s="105"/>
      <c r="BX1693" s="105"/>
    </row>
    <row r="1694" spans="62:76" ht="16.5" customHeight="1">
      <c r="BJ1694" s="105"/>
      <c r="BU1694" s="105"/>
      <c r="BV1694" s="105"/>
      <c r="BW1694" s="105"/>
      <c r="BX1694" s="105"/>
    </row>
    <row r="1695" spans="62:76" ht="16.5" customHeight="1">
      <c r="BJ1695" s="105"/>
      <c r="BU1695" s="105"/>
      <c r="BV1695" s="105"/>
      <c r="BW1695" s="105"/>
      <c r="BX1695" s="105"/>
    </row>
    <row r="1696" spans="62:76" ht="16.5" customHeight="1">
      <c r="BJ1696" s="105"/>
      <c r="BU1696" s="105"/>
      <c r="BV1696" s="105"/>
      <c r="BW1696" s="105"/>
      <c r="BX1696" s="105"/>
    </row>
    <row r="1697" spans="62:76" ht="16.5" customHeight="1">
      <c r="BJ1697" s="105"/>
      <c r="BU1697" s="105"/>
      <c r="BV1697" s="105"/>
      <c r="BW1697" s="105"/>
      <c r="BX1697" s="105"/>
    </row>
    <row r="1698" spans="62:76" ht="16.5" customHeight="1">
      <c r="BJ1698" s="105"/>
      <c r="BU1698" s="105"/>
      <c r="BV1698" s="105"/>
      <c r="BW1698" s="105"/>
      <c r="BX1698" s="105"/>
    </row>
    <row r="1699" spans="62:76" ht="16.5" customHeight="1">
      <c r="BJ1699" s="105"/>
      <c r="BU1699" s="105"/>
      <c r="BV1699" s="105"/>
      <c r="BW1699" s="105"/>
      <c r="BX1699" s="105"/>
    </row>
    <row r="1700" spans="62:76" ht="16.5" customHeight="1">
      <c r="BJ1700" s="105"/>
      <c r="BU1700" s="105"/>
      <c r="BV1700" s="105"/>
      <c r="BW1700" s="105"/>
      <c r="BX1700" s="105"/>
    </row>
    <row r="1701" spans="62:76" ht="16.5" customHeight="1">
      <c r="BJ1701" s="105"/>
      <c r="BU1701" s="105"/>
      <c r="BV1701" s="105"/>
      <c r="BW1701" s="105"/>
      <c r="BX1701" s="105"/>
    </row>
    <row r="1702" spans="62:76" ht="16.5" customHeight="1">
      <c r="BJ1702" s="105"/>
      <c r="BU1702" s="105"/>
      <c r="BV1702" s="105"/>
      <c r="BW1702" s="105"/>
      <c r="BX1702" s="105"/>
    </row>
    <row r="1703" spans="62:76" ht="16.5" customHeight="1">
      <c r="BJ1703" s="105"/>
      <c r="BU1703" s="105"/>
      <c r="BV1703" s="105"/>
      <c r="BW1703" s="105"/>
      <c r="BX1703" s="105"/>
    </row>
    <row r="1704" spans="62:76" ht="16.5" customHeight="1">
      <c r="BJ1704" s="105"/>
      <c r="BU1704" s="105"/>
      <c r="BV1704" s="105"/>
      <c r="BW1704" s="105"/>
      <c r="BX1704" s="105"/>
    </row>
    <row r="1705" spans="62:76" ht="16.5" customHeight="1">
      <c r="BJ1705" s="105"/>
    </row>
    <row r="1706" spans="62:76" ht="16.5" customHeight="1">
      <c r="BJ1706" s="105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22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A7DF-DB4D-46B7-8722-C086496FAE23}">
  <sheetPr>
    <tabColor rgb="FFFF0000"/>
    <pageSetUpPr fitToPage="1"/>
  </sheetPr>
  <dimension ref="A1:DU1669"/>
  <sheetViews>
    <sheetView topLeftCell="A7" zoomScale="70" zoomScaleNormal="70" workbookViewId="0">
      <selection activeCell="CV29" sqref="CV29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215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135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IF([11]表紙!BC2="","",[11]表紙!BC2)</f>
        <v>45287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136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68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C7" s="20" t="s">
        <v>69</v>
      </c>
      <c r="P7" s="37" t="s">
        <v>184</v>
      </c>
      <c r="AK7" s="42" t="s">
        <v>48</v>
      </c>
      <c r="AL7" s="43"/>
      <c r="AM7" s="44"/>
      <c r="AN7" s="45"/>
      <c r="AO7" s="58"/>
      <c r="AP7" s="46"/>
      <c r="AQ7" s="46"/>
      <c r="AR7" s="46"/>
      <c r="AS7" s="46"/>
      <c r="AT7" s="46"/>
      <c r="AU7" s="46"/>
      <c r="AV7" s="47"/>
      <c r="AW7" s="47"/>
      <c r="AX7" s="47"/>
      <c r="AY7" s="47"/>
      <c r="AZ7" s="47"/>
      <c r="BA7" s="48"/>
      <c r="BB7" s="48"/>
      <c r="BC7" s="48"/>
      <c r="BD7" s="48"/>
      <c r="BE7" s="48"/>
      <c r="BF7" s="48"/>
      <c r="BG7" s="49"/>
      <c r="BH7" s="34"/>
      <c r="BI7" s="50" t="s">
        <v>137</v>
      </c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D8" s="56" t="s">
        <v>45</v>
      </c>
      <c r="E8" s="56"/>
      <c r="F8" s="56"/>
      <c r="G8" s="56"/>
      <c r="H8" s="56"/>
      <c r="I8" s="56"/>
      <c r="J8" s="36"/>
      <c r="K8" s="36"/>
      <c r="L8" s="36"/>
      <c r="M8" s="36"/>
      <c r="N8" s="36"/>
      <c r="O8" s="36"/>
      <c r="P8" s="37" t="s">
        <v>64</v>
      </c>
      <c r="Q8" s="36"/>
      <c r="R8" s="36"/>
      <c r="S8" s="36"/>
      <c r="T8" s="36"/>
      <c r="U8" s="38" t="s">
        <v>47</v>
      </c>
      <c r="V8" s="39"/>
      <c r="W8" s="39"/>
      <c r="X8" s="39"/>
      <c r="Y8" s="40"/>
      <c r="Z8" s="272"/>
      <c r="AA8" s="120"/>
      <c r="AB8" s="120"/>
      <c r="AC8" s="120"/>
      <c r="AD8" s="120"/>
      <c r="AE8" s="120"/>
      <c r="AF8" s="120"/>
      <c r="AG8" s="120"/>
      <c r="AH8" s="120"/>
      <c r="AI8" s="120"/>
      <c r="AJ8" s="41"/>
      <c r="AK8" s="42" t="s">
        <v>48</v>
      </c>
      <c r="AL8" s="43"/>
      <c r="AM8" s="44"/>
      <c r="AN8" s="45"/>
      <c r="BE8" s="48"/>
      <c r="BF8" s="48"/>
      <c r="BG8" s="49"/>
      <c r="BH8" s="34"/>
      <c r="BZ8" s="57"/>
      <c r="CA8" s="58"/>
      <c r="CB8" s="57"/>
      <c r="CC8" s="57"/>
      <c r="CD8" s="57"/>
      <c r="CE8" s="57"/>
      <c r="CF8" s="58"/>
      <c r="CG8" s="59"/>
      <c r="CH8" s="57"/>
      <c r="CI8" s="57"/>
      <c r="CJ8" s="57"/>
      <c r="CK8" s="57"/>
      <c r="CL8" s="57"/>
      <c r="CM8" s="59"/>
      <c r="CN8" s="59"/>
      <c r="CO8" s="59"/>
      <c r="CP8" s="59"/>
      <c r="CQ8" s="59"/>
      <c r="CR8" s="59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D9" s="55" t="s">
        <v>50</v>
      </c>
      <c r="L9" s="56"/>
      <c r="M9" s="56"/>
      <c r="N9" s="56"/>
      <c r="O9" s="56"/>
      <c r="P9" s="37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37"/>
      <c r="AA9" s="41"/>
      <c r="AB9" s="36"/>
      <c r="AC9" s="36"/>
      <c r="AD9" s="36"/>
      <c r="AE9" s="36"/>
      <c r="AF9" s="36"/>
      <c r="AG9" s="41"/>
      <c r="AH9" s="41"/>
      <c r="AI9" s="41"/>
      <c r="AK9" s="42" t="s">
        <v>48</v>
      </c>
      <c r="AL9" s="43"/>
      <c r="AM9" s="44"/>
      <c r="AN9" s="45"/>
      <c r="AO9" s="46"/>
      <c r="AP9" s="46"/>
      <c r="AQ9" s="46"/>
      <c r="AR9" s="46"/>
      <c r="AS9" s="46"/>
      <c r="AT9" s="46"/>
      <c r="AU9" s="46"/>
      <c r="AV9" s="47"/>
      <c r="AW9" s="47"/>
      <c r="AX9" s="47"/>
      <c r="AY9" s="47"/>
      <c r="AZ9" s="47"/>
      <c r="BA9" s="48"/>
      <c r="BB9" s="48"/>
      <c r="BC9" s="48"/>
      <c r="BD9" s="48"/>
      <c r="BE9" s="48"/>
      <c r="BF9" s="48"/>
      <c r="BG9" s="49"/>
      <c r="BH9" s="34"/>
      <c r="BI9" s="11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D10" s="55" t="s">
        <v>284</v>
      </c>
      <c r="E10" s="56"/>
      <c r="F10" s="56"/>
      <c r="G10" s="56"/>
      <c r="H10" s="56"/>
      <c r="I10" s="56"/>
      <c r="J10" s="56"/>
      <c r="K10" s="56"/>
      <c r="L10" s="56"/>
      <c r="P10" s="37" t="s">
        <v>64</v>
      </c>
      <c r="Q10" s="56"/>
      <c r="R10" s="56"/>
      <c r="S10" s="56"/>
      <c r="T10" s="56"/>
      <c r="U10" s="38" t="s">
        <v>47</v>
      </c>
      <c r="V10" s="39"/>
      <c r="W10" s="39"/>
      <c r="X10" s="39"/>
      <c r="Y10" s="40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K10" s="42" t="s">
        <v>48</v>
      </c>
      <c r="AL10" s="43"/>
      <c r="AM10" s="44"/>
      <c r="AN10" s="45"/>
      <c r="AO10" s="46"/>
      <c r="AP10" s="46"/>
      <c r="AQ10" s="46"/>
      <c r="AR10" s="46"/>
      <c r="AS10" s="46"/>
      <c r="AT10" s="46"/>
      <c r="AU10" s="46"/>
      <c r="AV10" s="47"/>
      <c r="AW10" s="47"/>
      <c r="AX10" s="47"/>
      <c r="AY10" s="47"/>
      <c r="AZ10" s="47"/>
      <c r="BA10" s="48"/>
      <c r="BB10" s="48"/>
      <c r="BC10" s="48"/>
      <c r="BD10" s="48"/>
      <c r="BE10" s="48"/>
      <c r="BF10" s="48"/>
      <c r="BG10" s="49"/>
      <c r="BH10" s="34"/>
      <c r="BI10" s="11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D11" s="55" t="s">
        <v>285</v>
      </c>
      <c r="M11" s="56"/>
      <c r="N11" s="56"/>
      <c r="O11" s="56"/>
      <c r="P11" s="61" t="s">
        <v>64</v>
      </c>
      <c r="Q11" s="56"/>
      <c r="R11" s="56"/>
      <c r="S11" s="56"/>
      <c r="T11" s="56"/>
      <c r="U11" s="38" t="s">
        <v>47</v>
      </c>
      <c r="V11" s="39"/>
      <c r="W11" s="39"/>
      <c r="X11" s="39"/>
      <c r="Y11" s="40"/>
      <c r="Z11" s="37"/>
      <c r="AA11" s="41"/>
      <c r="AB11" s="36"/>
      <c r="AC11" s="36"/>
      <c r="AD11" s="36"/>
      <c r="AE11" s="36"/>
      <c r="AF11" s="36"/>
      <c r="AG11" s="41"/>
      <c r="AH11" s="41"/>
      <c r="AI11" s="41"/>
      <c r="AJ11" s="41"/>
      <c r="AK11" s="178" t="s">
        <v>181</v>
      </c>
      <c r="AL11" s="43"/>
      <c r="AM11" s="44"/>
      <c r="AN11" s="45"/>
      <c r="AO11" s="46"/>
      <c r="AP11" s="46"/>
      <c r="AQ11" s="46"/>
      <c r="AR11" s="46"/>
      <c r="AS11" s="46"/>
      <c r="AT11" s="46"/>
      <c r="AU11" s="46"/>
      <c r="AV11" s="47"/>
      <c r="AW11" s="47"/>
      <c r="AX11" s="47"/>
      <c r="AY11" s="47"/>
      <c r="AZ11" s="47"/>
      <c r="BA11" s="48"/>
      <c r="BB11" s="48"/>
      <c r="BC11" s="48"/>
      <c r="BD11" s="48"/>
      <c r="BE11" s="48"/>
      <c r="BF11" s="48"/>
      <c r="BG11" s="49"/>
      <c r="BH11" s="34"/>
      <c r="BI11" s="11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8"/>
      <c r="BZ11" s="57"/>
      <c r="CA11" s="58"/>
      <c r="CB11" s="57"/>
      <c r="CC11" s="57"/>
      <c r="CD11" s="57"/>
      <c r="CE11" s="63"/>
      <c r="CF11" s="58"/>
      <c r="CG11" s="57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D12" s="20" t="s">
        <v>79</v>
      </c>
      <c r="M12" s="56"/>
      <c r="N12" s="56"/>
      <c r="O12" s="56"/>
      <c r="P12" s="61" t="s">
        <v>64</v>
      </c>
      <c r="Q12" s="56"/>
      <c r="R12" s="56"/>
      <c r="S12" s="56"/>
      <c r="T12" s="56"/>
      <c r="U12" s="38" t="s">
        <v>47</v>
      </c>
      <c r="V12" s="39"/>
      <c r="W12" s="39"/>
      <c r="X12" s="39"/>
      <c r="Y12" s="40"/>
      <c r="Z12" s="37"/>
      <c r="AA12" s="41"/>
      <c r="AB12" s="36"/>
      <c r="AC12" s="36"/>
      <c r="AD12" s="36"/>
      <c r="AE12" s="36"/>
      <c r="AF12" s="36"/>
      <c r="AG12" s="41"/>
      <c r="AH12" s="41"/>
      <c r="AI12" s="41"/>
      <c r="AJ12" s="41"/>
      <c r="AK12" s="178" t="s">
        <v>181</v>
      </c>
      <c r="AL12" s="43"/>
      <c r="AM12" s="44"/>
      <c r="AN12" s="107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34"/>
      <c r="BI12" s="110"/>
      <c r="BV12" s="58"/>
      <c r="BZ12" s="57"/>
      <c r="CA12" s="58"/>
      <c r="CB12" s="57"/>
      <c r="CC12" s="57"/>
      <c r="CD12" s="57"/>
      <c r="CE12" s="63"/>
      <c r="CF12" s="58"/>
      <c r="CG12" s="57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D13" s="20" t="s">
        <v>310</v>
      </c>
      <c r="P13" s="20" t="s">
        <v>64</v>
      </c>
      <c r="U13" s="38" t="s">
        <v>47</v>
      </c>
      <c r="V13" s="39"/>
      <c r="W13" s="39"/>
      <c r="X13" s="39"/>
      <c r="Y13" s="40"/>
      <c r="AK13" s="42" t="s">
        <v>48</v>
      </c>
      <c r="AL13" s="43"/>
      <c r="AM13" s="44"/>
      <c r="AN13" s="52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34"/>
      <c r="BI13" s="110"/>
      <c r="BV13" s="58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 t="s">
        <v>134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61"/>
      <c r="AA14" s="56"/>
      <c r="AB14" s="56"/>
      <c r="AC14" s="56"/>
      <c r="AD14" s="56"/>
      <c r="AE14" s="56"/>
      <c r="AF14" s="56"/>
      <c r="AG14" s="55"/>
      <c r="AH14" s="55"/>
      <c r="AI14" s="55"/>
      <c r="AJ14" s="55"/>
      <c r="AK14" s="65"/>
      <c r="AL14" s="55"/>
      <c r="AM14" s="66"/>
      <c r="AN14" s="52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34"/>
      <c r="BI14" s="110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110"/>
      <c r="BV15" s="58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110"/>
      <c r="BJ16" s="58"/>
      <c r="BV16" s="58"/>
      <c r="BZ16" s="57"/>
      <c r="CA16" s="57"/>
      <c r="CB16" s="58"/>
      <c r="CC16" s="57"/>
      <c r="CD16" s="57"/>
      <c r="CE16" s="57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Z17" s="57"/>
      <c r="CA17" s="57"/>
      <c r="CB17" s="58"/>
      <c r="CC17" s="57"/>
      <c r="CD17" s="57"/>
      <c r="CE17" s="57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Z18" s="57"/>
      <c r="CA18" s="57"/>
      <c r="CB18" s="58"/>
      <c r="CC18" s="57"/>
      <c r="CD18" s="57"/>
      <c r="CE18" s="57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K19" s="57"/>
      <c r="BL19" s="57"/>
      <c r="BM19" s="57"/>
      <c r="BN19" s="57"/>
      <c r="BO19" s="110"/>
      <c r="BP19" s="106"/>
      <c r="BQ19" s="58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8"/>
      <c r="CC19" s="57"/>
      <c r="CD19" s="57"/>
      <c r="CE19" s="57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7"/>
      <c r="V20" s="68"/>
      <c r="W20" s="68"/>
      <c r="X20" s="68"/>
      <c r="Y20" s="69"/>
      <c r="Z20" s="67"/>
      <c r="AA20" s="68"/>
      <c r="AB20" s="56"/>
      <c r="AC20" s="56"/>
      <c r="AD20" s="56"/>
      <c r="AE20" s="56"/>
      <c r="AF20" s="56"/>
      <c r="AG20" s="55"/>
      <c r="AH20" s="55"/>
      <c r="AI20" s="55"/>
      <c r="AJ20" s="55"/>
      <c r="AK20" s="70"/>
      <c r="AL20" s="71"/>
      <c r="AM20" s="72"/>
      <c r="AN20" s="73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5"/>
      <c r="BH20" s="34"/>
      <c r="BI20" s="68"/>
      <c r="BK20" s="68"/>
      <c r="BL20" s="68"/>
      <c r="BM20" s="68"/>
      <c r="BN20" s="68"/>
      <c r="BO20" s="110"/>
      <c r="BP20" s="106"/>
      <c r="BQ20" s="58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8"/>
      <c r="CC20" s="57"/>
      <c r="CD20" s="57"/>
      <c r="CE20" s="57"/>
      <c r="CF20" s="67"/>
      <c r="CG20" s="68"/>
      <c r="CH20" s="68"/>
      <c r="CI20" s="68"/>
      <c r="CJ20" s="68"/>
      <c r="CK20" s="68"/>
      <c r="CL20" s="68"/>
      <c r="CM20" s="71"/>
      <c r="CN20" s="71"/>
      <c r="CO20" s="71"/>
      <c r="CP20" s="71"/>
      <c r="CQ20" s="71"/>
      <c r="CR20" s="71"/>
      <c r="CS20" s="76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8"/>
      <c r="DO20" s="26"/>
    </row>
    <row r="21" spans="1:119" s="20" customFormat="1" ht="19.5" customHeight="1">
      <c r="A21" s="19"/>
      <c r="B21" s="79" t="s">
        <v>52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25"/>
      <c r="BH21" s="24" t="s">
        <v>53</v>
      </c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1"/>
      <c r="DO21" s="26"/>
    </row>
    <row r="22" spans="1:119" s="50" customFormat="1" ht="19.5" customHeight="1">
      <c r="A22" s="82"/>
      <c r="B22" s="34"/>
      <c r="C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4"/>
      <c r="BH22" s="85"/>
      <c r="BI22" s="29" t="s">
        <v>54</v>
      </c>
      <c r="BJ22" s="29"/>
      <c r="BK22" s="29"/>
      <c r="BL22" s="29"/>
      <c r="BM22" s="29"/>
      <c r="BN22" s="29"/>
      <c r="BO22" s="29"/>
      <c r="BP22" s="29"/>
      <c r="BQ22" s="30" t="s">
        <v>55</v>
      </c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32"/>
      <c r="CS22" s="29" t="s">
        <v>41</v>
      </c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O22" s="86"/>
    </row>
    <row r="23" spans="1:119" s="50" customFormat="1" ht="19.5" customHeight="1">
      <c r="A23" s="82"/>
      <c r="B23" s="34"/>
      <c r="D23" s="180" t="s">
        <v>325</v>
      </c>
      <c r="BG23" s="87"/>
      <c r="BH23" s="34"/>
      <c r="BI23" s="88" t="s">
        <v>56</v>
      </c>
      <c r="BJ23" s="89"/>
      <c r="BK23" s="89"/>
      <c r="BL23" s="89"/>
      <c r="BM23" s="89"/>
      <c r="BN23" s="89"/>
      <c r="BO23" s="89"/>
      <c r="BP23" s="89"/>
      <c r="BQ23" s="90" t="s">
        <v>57</v>
      </c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91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92"/>
      <c r="DO23" s="86"/>
    </row>
    <row r="24" spans="1:119" s="50" customFormat="1" ht="19.149999999999999" customHeight="1">
      <c r="A24" s="82"/>
      <c r="B24" s="34"/>
      <c r="D24" s="180" t="s">
        <v>316</v>
      </c>
      <c r="BG24" s="87"/>
      <c r="BH24" s="34"/>
      <c r="BI24" s="88" t="s">
        <v>314</v>
      </c>
      <c r="BJ24" s="89"/>
      <c r="BK24" s="89"/>
      <c r="BL24" s="89"/>
      <c r="BM24" s="89"/>
      <c r="BN24" s="89"/>
      <c r="BO24" s="89"/>
      <c r="BP24" s="89"/>
      <c r="BQ24" s="90" t="s">
        <v>315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4"/>
      <c r="CS24" s="93"/>
      <c r="CT24" s="93"/>
      <c r="CU24" s="93"/>
      <c r="CV24" s="93"/>
      <c r="CW24" s="93"/>
      <c r="CX24" s="93"/>
      <c r="CY24" s="93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BG25" s="87"/>
      <c r="BH25" s="34"/>
      <c r="BI25" s="88"/>
      <c r="BJ25" s="89"/>
      <c r="BK25" s="89"/>
      <c r="BL25" s="89"/>
      <c r="BM25" s="89"/>
      <c r="BN25" s="89"/>
      <c r="BO25" s="89"/>
      <c r="BP25" s="89"/>
      <c r="BQ25" s="90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89"/>
      <c r="CT25" s="93"/>
      <c r="CU25" s="93"/>
      <c r="CV25" s="93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91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6.5" customHeight="1">
      <c r="A28" s="82"/>
      <c r="B28" s="3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6"/>
      <c r="BH28" s="34"/>
      <c r="BI28" s="97"/>
      <c r="BJ28" s="97"/>
      <c r="BK28" s="97"/>
      <c r="BL28" s="97"/>
      <c r="BM28" s="97"/>
      <c r="BN28" s="97"/>
      <c r="BO28" s="97"/>
      <c r="BP28" s="97"/>
      <c r="BQ28" s="98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9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100"/>
      <c r="DO28" s="86"/>
    </row>
    <row r="29" spans="1:119" ht="16.5" customHeight="1" thickBot="1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3"/>
    </row>
    <row r="31" spans="1:119" ht="16.5" customHeight="1">
      <c r="BJ31" s="105"/>
      <c r="BU31" s="105"/>
      <c r="BV31" s="105"/>
      <c r="BW31" s="105"/>
      <c r="BX31" s="105"/>
    </row>
    <row r="32" spans="1:119" ht="16.5" customHeight="1">
      <c r="A32" s="116" t="s">
        <v>143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</row>
    <row r="33" spans="1:118" ht="16.5" customHeight="1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</row>
    <row r="34" spans="1:118" ht="16.5" customHeight="1">
      <c r="A34" s="118"/>
      <c r="B34" s="268" t="s">
        <v>239</v>
      </c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268" t="s">
        <v>240</v>
      </c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2"/>
      <c r="DN34" s="118"/>
    </row>
    <row r="35" spans="1:118" ht="16.5" customHeight="1">
      <c r="A35" s="118"/>
      <c r="B35" s="149"/>
      <c r="C35" s="160" t="s">
        <v>144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1"/>
      <c r="V35" s="160" t="s">
        <v>145</v>
      </c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2"/>
      <c r="AL35" s="160"/>
      <c r="AM35" s="160"/>
      <c r="AN35" s="160"/>
      <c r="AO35" s="160"/>
      <c r="AP35" s="160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4"/>
      <c r="BH35" s="165"/>
      <c r="BI35" s="166" t="s">
        <v>144</v>
      </c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1"/>
      <c r="CB35" s="160" t="s">
        <v>145</v>
      </c>
      <c r="CC35" s="160"/>
      <c r="CD35" s="160"/>
      <c r="CE35" s="160"/>
      <c r="CF35" s="160"/>
      <c r="CG35" s="160"/>
      <c r="CH35" s="160"/>
      <c r="CI35" s="160"/>
      <c r="CJ35" s="160"/>
      <c r="CK35" s="160"/>
      <c r="CL35" s="160"/>
      <c r="CM35" s="160"/>
      <c r="CN35" s="160"/>
      <c r="CO35" s="160"/>
      <c r="CP35" s="160"/>
      <c r="CQ35" s="162"/>
      <c r="CR35" s="160"/>
      <c r="CS35" s="160"/>
      <c r="CT35" s="160"/>
      <c r="CU35" s="160"/>
      <c r="CV35" s="160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53"/>
      <c r="DN35" s="118"/>
    </row>
    <row r="36" spans="1:118" ht="16.5" customHeight="1">
      <c r="A36" s="118"/>
      <c r="B36" s="149"/>
      <c r="C36" s="56" t="s">
        <v>45</v>
      </c>
      <c r="D36" s="56"/>
      <c r="E36" s="56"/>
      <c r="F36" s="56"/>
      <c r="G36" s="56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9"/>
      <c r="V36" s="120" t="s">
        <v>151</v>
      </c>
      <c r="W36" s="118"/>
      <c r="X36" s="118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1"/>
      <c r="AL36" s="121"/>
      <c r="AM36" s="122"/>
      <c r="AN36" s="123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5"/>
      <c r="BH36" s="159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9"/>
      <c r="CB36" s="120"/>
      <c r="CC36" s="118"/>
      <c r="CD36" s="118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1"/>
      <c r="CR36" s="121"/>
      <c r="CS36" s="122"/>
      <c r="CT36" s="123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439"/>
      <c r="DN36" s="118"/>
    </row>
    <row r="37" spans="1:118" ht="16.5" customHeight="1">
      <c r="A37" s="118"/>
      <c r="B37" s="149"/>
      <c r="C37" s="55" t="s">
        <v>50</v>
      </c>
      <c r="D37" s="20"/>
      <c r="E37" s="20"/>
      <c r="F37" s="20"/>
      <c r="G37" s="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6"/>
      <c r="V37" s="120" t="s">
        <v>289</v>
      </c>
      <c r="W37" s="120"/>
      <c r="X37" s="120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27"/>
      <c r="AL37" s="127"/>
      <c r="AM37" s="128"/>
      <c r="AN37" s="129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1"/>
      <c r="BH37" s="159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6"/>
      <c r="CB37" s="120"/>
      <c r="CC37" s="120"/>
      <c r="CD37" s="120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27"/>
      <c r="CR37" s="127"/>
      <c r="CS37" s="128"/>
      <c r="CT37" s="129"/>
      <c r="CU37" s="130"/>
      <c r="CV37" s="130"/>
      <c r="CW37" s="130"/>
      <c r="CX37" s="130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  <c r="DI37" s="130"/>
      <c r="DJ37" s="130"/>
      <c r="DK37" s="130"/>
      <c r="DL37" s="130"/>
      <c r="DM37" s="439"/>
      <c r="DN37" s="118"/>
    </row>
    <row r="38" spans="1:118" ht="16.5" customHeight="1">
      <c r="A38" s="118"/>
      <c r="B38" s="149"/>
      <c r="C38" s="55" t="s">
        <v>284</v>
      </c>
      <c r="D38" s="56"/>
      <c r="E38" s="56"/>
      <c r="F38" s="56"/>
      <c r="G38" s="56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408" t="s">
        <v>290</v>
      </c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1"/>
      <c r="BH38" s="159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1"/>
      <c r="CR38" s="121"/>
      <c r="CS38" s="128"/>
      <c r="CT38" s="129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439"/>
      <c r="DN38" s="118"/>
    </row>
    <row r="39" spans="1:118" ht="16.5" customHeight="1">
      <c r="A39" s="118"/>
      <c r="B39" s="149"/>
      <c r="C39" s="453" t="s">
        <v>285</v>
      </c>
      <c r="D39" s="453"/>
      <c r="E39" s="453"/>
      <c r="F39" s="453"/>
      <c r="G39" s="453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5"/>
      <c r="V39" s="454" t="s">
        <v>291</v>
      </c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6"/>
      <c r="AL39" s="456"/>
      <c r="AM39" s="457"/>
      <c r="AN39" s="458"/>
      <c r="AO39" s="459"/>
      <c r="AP39" s="460"/>
      <c r="AQ39" s="460"/>
      <c r="AR39" s="46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1"/>
      <c r="BH39" s="159"/>
      <c r="BI39" s="132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6"/>
      <c r="CB39" s="408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1"/>
      <c r="CR39" s="121"/>
      <c r="CS39" s="128"/>
      <c r="CT39" s="129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439"/>
      <c r="DN39" s="118"/>
    </row>
    <row r="40" spans="1:118" ht="16.5" customHeight="1">
      <c r="A40" s="118"/>
      <c r="B40" s="149"/>
      <c r="C40" s="20" t="s">
        <v>79</v>
      </c>
      <c r="D40" s="20"/>
      <c r="E40" s="20"/>
      <c r="F40" s="20"/>
      <c r="G40" s="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120" t="s">
        <v>154</v>
      </c>
      <c r="W40" s="120"/>
      <c r="X40" s="120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20"/>
      <c r="AK40" s="127"/>
      <c r="AL40" s="127"/>
      <c r="AM40" s="128"/>
      <c r="AN40" s="129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1"/>
      <c r="BH40" s="159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6"/>
      <c r="CB40" s="120"/>
      <c r="CC40" s="120"/>
      <c r="CD40" s="120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27"/>
      <c r="CR40" s="127"/>
      <c r="CS40" s="128"/>
      <c r="CT40" s="129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439"/>
      <c r="DN40" s="118"/>
    </row>
    <row r="41" spans="1:118" ht="16.5" customHeight="1">
      <c r="A41" s="118"/>
      <c r="B41" s="149"/>
      <c r="C41" s="20" t="s">
        <v>310</v>
      </c>
      <c r="D41" s="20"/>
      <c r="E41" s="20"/>
      <c r="F41" s="20"/>
      <c r="G41" s="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K41" s="127"/>
      <c r="AL41" s="127"/>
      <c r="AM41" s="128"/>
      <c r="AN41" s="129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1"/>
      <c r="BH41" s="159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9"/>
      <c r="CB41" s="120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27"/>
      <c r="CR41" s="127"/>
      <c r="CS41" s="128"/>
      <c r="CT41" s="129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439"/>
      <c r="DN41" s="118"/>
    </row>
    <row r="42" spans="1:118" ht="18.75" customHeight="1">
      <c r="A42" s="118"/>
      <c r="B42" s="149"/>
      <c r="AK42" s="121"/>
      <c r="AL42" s="121"/>
      <c r="AM42" s="122"/>
      <c r="AN42" s="123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159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6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439"/>
      <c r="DN42" s="118"/>
    </row>
    <row r="43" spans="1:118" ht="16.5" customHeight="1">
      <c r="A43" s="118"/>
      <c r="B43" s="149"/>
      <c r="C43" s="132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33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59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439"/>
      <c r="DN43" s="118"/>
    </row>
    <row r="44" spans="1:118" ht="16.5" customHeight="1">
      <c r="A44" s="118"/>
      <c r="B44" s="149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26"/>
      <c r="V44" s="118"/>
      <c r="W44" s="118"/>
      <c r="X44" s="118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59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439"/>
      <c r="DN44" s="118"/>
    </row>
    <row r="45" spans="1:118" ht="16.5" customHeight="1">
      <c r="A45" s="118"/>
      <c r="B45" s="149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6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59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439"/>
      <c r="DN45" s="118"/>
    </row>
    <row r="46" spans="1:118" ht="16.5" customHeight="1">
      <c r="A46" s="118"/>
      <c r="B46" s="149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59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439"/>
      <c r="DN46" s="118"/>
    </row>
    <row r="47" spans="1:118" ht="16.5" customHeight="1">
      <c r="A47" s="118"/>
      <c r="B47" s="14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59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439"/>
      <c r="DN47" s="118"/>
    </row>
    <row r="48" spans="1:118" ht="16.5" customHeight="1">
      <c r="A48" s="134"/>
      <c r="B48" s="148"/>
      <c r="C48" s="167" t="s">
        <v>147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67"/>
      <c r="BL48" s="167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8"/>
      <c r="CR48" s="168"/>
      <c r="CS48" s="169"/>
      <c r="CT48" s="170"/>
      <c r="CU48" s="171"/>
      <c r="CV48" s="171"/>
      <c r="CW48" s="171"/>
      <c r="CX48" s="171"/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71"/>
      <c r="DL48" s="171"/>
      <c r="DM48" s="439"/>
      <c r="DN48" s="118"/>
    </row>
    <row r="49" spans="1:118" ht="16.5" customHeight="1">
      <c r="A49" s="134"/>
      <c r="B49" s="149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27"/>
      <c r="CR49" s="127"/>
      <c r="CS49" s="128"/>
      <c r="CT49" s="129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  <c r="DG49" s="130"/>
      <c r="DH49" s="130"/>
      <c r="DI49" s="130"/>
      <c r="DJ49" s="130"/>
      <c r="DK49" s="130"/>
      <c r="DL49" s="130"/>
      <c r="DM49" s="439"/>
      <c r="DN49" s="118"/>
    </row>
    <row r="50" spans="1:118" ht="16.5" customHeight="1">
      <c r="A50" s="134"/>
      <c r="B50" s="149"/>
      <c r="C50" s="136"/>
      <c r="D50" s="440" t="s">
        <v>292</v>
      </c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8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9"/>
      <c r="CR50" s="139"/>
      <c r="CS50" s="140"/>
      <c r="CT50" s="141"/>
      <c r="CU50" s="142"/>
      <c r="CV50" s="142"/>
      <c r="CW50" s="142"/>
      <c r="CX50" s="142"/>
      <c r="CY50" s="142"/>
      <c r="CZ50" s="142"/>
      <c r="DA50" s="142"/>
      <c r="DB50" s="142"/>
      <c r="DC50" s="142"/>
      <c r="DD50" s="142"/>
      <c r="DE50" s="142"/>
      <c r="DF50" s="142"/>
      <c r="DG50" s="142"/>
      <c r="DH50" s="142"/>
      <c r="DI50" s="142"/>
      <c r="DJ50" s="142"/>
      <c r="DK50" s="142"/>
      <c r="DL50" s="142"/>
      <c r="DM50" s="439"/>
      <c r="DN50" s="118"/>
    </row>
    <row r="51" spans="1:118" ht="16.5" customHeight="1">
      <c r="A51" s="134"/>
      <c r="B51" s="149"/>
      <c r="C51" s="136"/>
      <c r="D51" s="332" t="s">
        <v>327</v>
      </c>
      <c r="E51" s="426"/>
      <c r="F51" s="426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343"/>
      <c r="R51" s="343"/>
      <c r="S51" s="343"/>
      <c r="T51" s="343"/>
      <c r="U51" s="343"/>
      <c r="V51" s="343"/>
      <c r="W51" s="343"/>
      <c r="X51" s="343"/>
      <c r="Y51" s="343"/>
      <c r="Z51" s="343"/>
      <c r="AA51" s="343"/>
      <c r="AB51" s="343"/>
      <c r="AC51" s="343"/>
      <c r="AD51" s="343"/>
      <c r="AE51" s="343"/>
      <c r="AF51" s="343"/>
      <c r="AG51" s="343"/>
      <c r="AH51" s="343"/>
      <c r="AI51" s="343"/>
      <c r="AJ51" s="343"/>
      <c r="AK51" s="343"/>
      <c r="AL51" s="343"/>
      <c r="AM51" s="343"/>
      <c r="AN51" s="343"/>
      <c r="AO51" s="343"/>
      <c r="AP51" s="343"/>
      <c r="AQ51" s="343"/>
      <c r="AR51" s="343"/>
      <c r="AS51" s="343"/>
      <c r="AT51" s="343"/>
      <c r="AU51" s="343"/>
      <c r="AV51" s="343"/>
      <c r="AW51" s="343"/>
      <c r="AX51" s="343"/>
      <c r="AY51" s="343"/>
      <c r="AZ51" s="343"/>
      <c r="BA51" s="343"/>
      <c r="BB51" s="343"/>
      <c r="BC51" s="343"/>
      <c r="BD51" s="343"/>
      <c r="BE51" s="343"/>
      <c r="BF51" s="343"/>
      <c r="BG51" s="343"/>
      <c r="BH51" s="343"/>
      <c r="BI51" s="343"/>
      <c r="BJ51" s="343"/>
      <c r="BK51" s="343"/>
      <c r="BL51" s="343"/>
      <c r="BM51" s="343"/>
      <c r="BN51" s="343"/>
      <c r="BO51" s="343"/>
      <c r="BP51" s="343"/>
      <c r="BQ51" s="343"/>
      <c r="BR51" s="343"/>
      <c r="BS51" s="343"/>
      <c r="BT51" s="343"/>
      <c r="BU51" s="343"/>
      <c r="BV51" s="343"/>
      <c r="BW51" s="343"/>
      <c r="BX51" s="343"/>
      <c r="BY51" s="343"/>
      <c r="BZ51" s="343"/>
      <c r="CA51" s="441"/>
      <c r="CB51" s="343"/>
      <c r="CC51" s="343"/>
      <c r="CD51" s="343"/>
      <c r="CE51" s="343"/>
      <c r="CF51" s="343"/>
      <c r="CG51" s="343"/>
      <c r="CH51" s="343"/>
      <c r="CI51" s="343"/>
      <c r="CJ51" s="343"/>
      <c r="CK51" s="343"/>
      <c r="CL51" s="343"/>
      <c r="CM51" s="343"/>
      <c r="CN51" s="343"/>
      <c r="CO51" s="343"/>
      <c r="CP51" s="343"/>
      <c r="CQ51" s="442"/>
      <c r="CR51" s="442"/>
      <c r="CS51" s="443"/>
      <c r="CT51" s="444"/>
      <c r="CU51" s="445"/>
      <c r="CV51" s="445"/>
      <c r="CW51" s="445"/>
      <c r="CX51" s="445"/>
      <c r="CY51" s="445"/>
      <c r="CZ51" s="445"/>
      <c r="DA51" s="445"/>
      <c r="DB51" s="445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439"/>
      <c r="DN51" s="118"/>
    </row>
    <row r="52" spans="1:118" ht="16.5" customHeight="1">
      <c r="A52" s="134"/>
      <c r="B52" s="149"/>
      <c r="C52" s="136"/>
      <c r="D52" s="343"/>
      <c r="E52" s="427" t="s">
        <v>323</v>
      </c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  <c r="AC52" s="343"/>
      <c r="AD52" s="343"/>
      <c r="AE52" s="343"/>
      <c r="AF52" s="343"/>
      <c r="AG52" s="343"/>
      <c r="AH52" s="343"/>
      <c r="AI52" s="343"/>
      <c r="AJ52" s="343"/>
      <c r="AK52" s="343"/>
      <c r="AL52" s="343"/>
      <c r="AM52" s="343"/>
      <c r="AN52" s="343"/>
      <c r="AO52" s="343"/>
      <c r="AP52" s="343"/>
      <c r="AQ52" s="343"/>
      <c r="AR52" s="343"/>
      <c r="AS52" s="343"/>
      <c r="AT52" s="343"/>
      <c r="AU52" s="343"/>
      <c r="AV52" s="343"/>
      <c r="AW52" s="343"/>
      <c r="AX52" s="343"/>
      <c r="AY52" s="343"/>
      <c r="AZ52" s="343"/>
      <c r="BA52" s="343"/>
      <c r="BB52" s="343"/>
      <c r="BC52" s="343"/>
      <c r="BD52" s="343"/>
      <c r="BE52" s="343"/>
      <c r="BF52" s="343"/>
      <c r="BG52" s="343"/>
      <c r="BH52" s="343"/>
      <c r="BI52" s="343"/>
      <c r="BJ52" s="343"/>
      <c r="BK52" s="343"/>
      <c r="BL52" s="343"/>
      <c r="BM52" s="343"/>
      <c r="BN52" s="343"/>
      <c r="BO52" s="343"/>
      <c r="BP52" s="343"/>
      <c r="BQ52" s="343"/>
      <c r="BR52" s="343"/>
      <c r="BS52" s="343"/>
      <c r="BT52" s="343"/>
      <c r="BU52" s="343"/>
      <c r="BV52" s="343"/>
      <c r="BW52" s="343"/>
      <c r="BX52" s="343"/>
      <c r="BY52" s="343"/>
      <c r="BZ52" s="343"/>
      <c r="CA52" s="441"/>
      <c r="CB52" s="343"/>
      <c r="CC52" s="343"/>
      <c r="CD52" s="343"/>
      <c r="CE52" s="343"/>
      <c r="CF52" s="343"/>
      <c r="CG52" s="343"/>
      <c r="CH52" s="343"/>
      <c r="CI52" s="343"/>
      <c r="CJ52" s="343"/>
      <c r="CK52" s="343"/>
      <c r="CL52" s="343"/>
      <c r="CM52" s="343"/>
      <c r="CN52" s="343"/>
      <c r="CO52" s="343"/>
      <c r="CP52" s="343"/>
      <c r="CQ52" s="442"/>
      <c r="CR52" s="442"/>
      <c r="CS52" s="443"/>
      <c r="CT52" s="444"/>
      <c r="CU52" s="445"/>
      <c r="CV52" s="445"/>
      <c r="CW52" s="445"/>
      <c r="CX52" s="445"/>
      <c r="CY52" s="445"/>
      <c r="CZ52" s="445"/>
      <c r="DA52" s="445"/>
      <c r="DB52" s="445"/>
      <c r="DC52" s="142"/>
      <c r="DD52" s="142"/>
      <c r="DE52" s="142"/>
      <c r="DF52" s="142"/>
      <c r="DG52" s="142"/>
      <c r="DH52" s="142"/>
      <c r="DI52" s="142"/>
      <c r="DJ52" s="142"/>
      <c r="DK52" s="142"/>
      <c r="DL52" s="142"/>
      <c r="DM52" s="439"/>
      <c r="DN52" s="118"/>
    </row>
    <row r="53" spans="1:118" ht="16.5" customHeight="1">
      <c r="A53" s="134"/>
      <c r="B53" s="149"/>
      <c r="C53" s="136"/>
      <c r="D53" s="343"/>
      <c r="E53" s="427" t="s">
        <v>324</v>
      </c>
      <c r="F53" s="343"/>
      <c r="G53" s="343"/>
      <c r="H53" s="343"/>
      <c r="I53" s="343"/>
      <c r="J53" s="343"/>
      <c r="K53" s="343"/>
      <c r="L53" s="343"/>
      <c r="M53" s="343"/>
      <c r="N53" s="343"/>
      <c r="O53" s="343"/>
      <c r="P53" s="343"/>
      <c r="Q53" s="343"/>
      <c r="R53" s="343"/>
      <c r="S53" s="343"/>
      <c r="T53" s="343"/>
      <c r="U53" s="343"/>
      <c r="V53" s="343"/>
      <c r="W53" s="343"/>
      <c r="X53" s="343"/>
      <c r="Y53" s="343"/>
      <c r="Z53" s="343"/>
      <c r="AA53" s="343"/>
      <c r="AB53" s="343"/>
      <c r="AC53" s="343"/>
      <c r="AD53" s="343"/>
      <c r="AE53" s="343"/>
      <c r="AF53" s="343"/>
      <c r="AG53" s="343"/>
      <c r="AH53" s="343"/>
      <c r="AI53" s="343"/>
      <c r="AJ53" s="343"/>
      <c r="AK53" s="343"/>
      <c r="AL53" s="343"/>
      <c r="AM53" s="343"/>
      <c r="AN53" s="343"/>
      <c r="AO53" s="343"/>
      <c r="AP53" s="343"/>
      <c r="AQ53" s="343"/>
      <c r="AR53" s="343"/>
      <c r="AS53" s="343"/>
      <c r="AT53" s="343"/>
      <c r="AU53" s="343"/>
      <c r="AV53" s="343"/>
      <c r="AW53" s="343"/>
      <c r="AX53" s="343"/>
      <c r="AY53" s="343"/>
      <c r="AZ53" s="343"/>
      <c r="BA53" s="343"/>
      <c r="BB53" s="343"/>
      <c r="BC53" s="343"/>
      <c r="BD53" s="343"/>
      <c r="BE53" s="343"/>
      <c r="BF53" s="343"/>
      <c r="BG53" s="343"/>
      <c r="BH53" s="343"/>
      <c r="BI53" s="343"/>
      <c r="BJ53" s="343"/>
      <c r="BK53" s="343"/>
      <c r="BL53" s="343"/>
      <c r="BM53" s="343"/>
      <c r="BN53" s="343"/>
      <c r="BO53" s="343"/>
      <c r="BP53" s="343"/>
      <c r="BQ53" s="343"/>
      <c r="BR53" s="343"/>
      <c r="BS53" s="343"/>
      <c r="BT53" s="343"/>
      <c r="BU53" s="343"/>
      <c r="BV53" s="343"/>
      <c r="BW53" s="343"/>
      <c r="BX53" s="343"/>
      <c r="BY53" s="343"/>
      <c r="BZ53" s="343"/>
      <c r="CA53" s="441"/>
      <c r="CB53" s="343"/>
      <c r="CC53" s="343"/>
      <c r="CD53" s="343"/>
      <c r="CE53" s="343"/>
      <c r="CF53" s="343"/>
      <c r="CG53" s="343"/>
      <c r="CH53" s="343"/>
      <c r="CI53" s="343"/>
      <c r="CJ53" s="343"/>
      <c r="CK53" s="343"/>
      <c r="CL53" s="343"/>
      <c r="CM53" s="343"/>
      <c r="CN53" s="343"/>
      <c r="CO53" s="343"/>
      <c r="CP53" s="343"/>
      <c r="CQ53" s="442"/>
      <c r="CR53" s="442"/>
      <c r="CS53" s="443"/>
      <c r="CT53" s="444"/>
      <c r="CU53" s="445"/>
      <c r="CV53" s="445"/>
      <c r="CW53" s="445"/>
      <c r="CX53" s="445"/>
      <c r="CY53" s="445"/>
      <c r="CZ53" s="445"/>
      <c r="DA53" s="445"/>
      <c r="DB53" s="445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439"/>
      <c r="DN53" s="118"/>
    </row>
    <row r="54" spans="1:118" ht="16.5" customHeight="1">
      <c r="A54" s="134"/>
      <c r="B54" s="149"/>
      <c r="C54" s="136"/>
      <c r="D54" s="343"/>
      <c r="E54" s="446"/>
      <c r="F54" s="343"/>
      <c r="G54" s="343"/>
      <c r="H54" s="343"/>
      <c r="I54" s="343"/>
      <c r="J54" s="343"/>
      <c r="K54" s="343"/>
      <c r="L54" s="343"/>
      <c r="M54" s="343"/>
      <c r="N54" s="343"/>
      <c r="O54" s="343"/>
      <c r="P54" s="343"/>
      <c r="Q54" s="343"/>
      <c r="R54" s="343"/>
      <c r="S54" s="343"/>
      <c r="T54" s="343"/>
      <c r="U54" s="343"/>
      <c r="V54" s="343"/>
      <c r="W54" s="343"/>
      <c r="X54" s="343"/>
      <c r="Y54" s="343"/>
      <c r="Z54" s="343"/>
      <c r="AA54" s="343"/>
      <c r="AB54" s="343"/>
      <c r="AC54" s="343"/>
      <c r="AD54" s="343"/>
      <c r="AE54" s="343"/>
      <c r="AF54" s="343"/>
      <c r="AG54" s="343"/>
      <c r="AH54" s="343"/>
      <c r="AI54" s="343"/>
      <c r="AJ54" s="343"/>
      <c r="AK54" s="343"/>
      <c r="AL54" s="343"/>
      <c r="AM54" s="343"/>
      <c r="AN54" s="343"/>
      <c r="AO54" s="343"/>
      <c r="AP54" s="343"/>
      <c r="AQ54" s="343"/>
      <c r="AR54" s="343"/>
      <c r="AS54" s="343"/>
      <c r="AT54" s="343"/>
      <c r="AU54" s="343"/>
      <c r="AV54" s="343"/>
      <c r="AW54" s="343"/>
      <c r="AX54" s="343"/>
      <c r="AY54" s="343"/>
      <c r="AZ54" s="343"/>
      <c r="BA54" s="343"/>
      <c r="BB54" s="343"/>
      <c r="BC54" s="343"/>
      <c r="BD54" s="343"/>
      <c r="BE54" s="343"/>
      <c r="BF54" s="343"/>
      <c r="BG54" s="343"/>
      <c r="BH54" s="343"/>
      <c r="BI54" s="343"/>
      <c r="BJ54" s="343"/>
      <c r="BK54" s="343"/>
      <c r="BL54" s="343"/>
      <c r="BM54" s="343"/>
      <c r="BN54" s="343"/>
      <c r="BO54" s="343"/>
      <c r="BP54" s="343"/>
      <c r="BQ54" s="343"/>
      <c r="BR54" s="343"/>
      <c r="BS54" s="343"/>
      <c r="BT54" s="343"/>
      <c r="BU54" s="343"/>
      <c r="BV54" s="343"/>
      <c r="BW54" s="343"/>
      <c r="BX54" s="343"/>
      <c r="BY54" s="343"/>
      <c r="BZ54" s="343"/>
      <c r="CA54" s="441"/>
      <c r="CB54" s="343"/>
      <c r="CC54" s="343"/>
      <c r="CD54" s="343"/>
      <c r="CE54" s="343"/>
      <c r="CF54" s="343"/>
      <c r="CG54" s="343"/>
      <c r="CH54" s="343"/>
      <c r="CI54" s="343"/>
      <c r="CJ54" s="343"/>
      <c r="CK54" s="343"/>
      <c r="CL54" s="343"/>
      <c r="CM54" s="343"/>
      <c r="CN54" s="343"/>
      <c r="CO54" s="343"/>
      <c r="CP54" s="343"/>
      <c r="CQ54" s="442"/>
      <c r="CR54" s="442"/>
      <c r="CS54" s="443"/>
      <c r="CT54" s="444"/>
      <c r="CU54" s="445"/>
      <c r="CV54" s="445"/>
      <c r="CW54" s="445"/>
      <c r="CX54" s="445"/>
      <c r="CY54" s="445"/>
      <c r="CZ54" s="445"/>
      <c r="DA54" s="445"/>
      <c r="DB54" s="445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439"/>
      <c r="DN54" s="118"/>
    </row>
    <row r="55" spans="1:118" ht="16.5" customHeight="1">
      <c r="A55" s="134"/>
      <c r="B55" s="149"/>
      <c r="C55" s="136"/>
      <c r="D55" s="332" t="s">
        <v>326</v>
      </c>
      <c r="E55" s="426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  <c r="AA55" s="343"/>
      <c r="AB55" s="343"/>
      <c r="AC55" s="343"/>
      <c r="AD55" s="343"/>
      <c r="AE55" s="343"/>
      <c r="AF55" s="343"/>
      <c r="AG55" s="343"/>
      <c r="AH55" s="343"/>
      <c r="AI55" s="343"/>
      <c r="AJ55" s="343"/>
      <c r="AK55" s="343"/>
      <c r="AL55" s="343"/>
      <c r="AM55" s="343"/>
      <c r="AN55" s="343"/>
      <c r="AO55" s="343"/>
      <c r="AP55" s="343"/>
      <c r="AQ55" s="343"/>
      <c r="AR55" s="343"/>
      <c r="AS55" s="343"/>
      <c r="AT55" s="343"/>
      <c r="AU55" s="343"/>
      <c r="AV55" s="343"/>
      <c r="AW55" s="343"/>
      <c r="AX55" s="343"/>
      <c r="AY55" s="343"/>
      <c r="AZ55" s="343"/>
      <c r="BA55" s="343"/>
      <c r="BB55" s="343"/>
      <c r="BC55" s="343"/>
      <c r="BD55" s="343"/>
      <c r="BE55" s="343"/>
      <c r="BF55" s="343"/>
      <c r="BG55" s="343"/>
      <c r="BH55" s="343"/>
      <c r="BI55" s="343"/>
      <c r="BJ55" s="343"/>
      <c r="BK55" s="343"/>
      <c r="BL55" s="343"/>
      <c r="BM55" s="343"/>
      <c r="BN55" s="343"/>
      <c r="BO55" s="343"/>
      <c r="BP55" s="343"/>
      <c r="BQ55" s="343"/>
      <c r="BR55" s="343"/>
      <c r="BS55" s="343"/>
      <c r="BT55" s="343"/>
      <c r="BU55" s="343"/>
      <c r="BV55" s="343"/>
      <c r="BW55" s="343"/>
      <c r="BX55" s="343"/>
      <c r="BY55" s="343"/>
      <c r="BZ55" s="343"/>
      <c r="CA55" s="441"/>
      <c r="CB55" s="343"/>
      <c r="CC55" s="343"/>
      <c r="CD55" s="343"/>
      <c r="CE55" s="343"/>
      <c r="CF55" s="343"/>
      <c r="CG55" s="343"/>
      <c r="CH55" s="343"/>
      <c r="CI55" s="343"/>
      <c r="CJ55" s="343"/>
      <c r="CK55" s="343"/>
      <c r="CL55" s="343"/>
      <c r="CM55" s="343"/>
      <c r="CN55" s="343"/>
      <c r="CO55" s="343"/>
      <c r="CP55" s="343"/>
      <c r="CQ55" s="442"/>
      <c r="CR55" s="442"/>
      <c r="CS55" s="443"/>
      <c r="CT55" s="444"/>
      <c r="CU55" s="445"/>
      <c r="CV55" s="445"/>
      <c r="CW55" s="445"/>
      <c r="CX55" s="445"/>
      <c r="CY55" s="445"/>
      <c r="CZ55" s="445"/>
      <c r="DA55" s="445"/>
      <c r="DB55" s="445"/>
      <c r="DC55" s="142"/>
      <c r="DD55" s="142"/>
      <c r="DE55" s="142"/>
      <c r="DF55" s="142"/>
      <c r="DG55" s="142"/>
      <c r="DH55" s="142"/>
      <c r="DI55" s="142"/>
      <c r="DJ55" s="142"/>
      <c r="DK55" s="142"/>
      <c r="DL55" s="142"/>
      <c r="DM55" s="439"/>
      <c r="DN55" s="118"/>
    </row>
    <row r="56" spans="1:118" ht="16.5" customHeight="1">
      <c r="A56" s="134"/>
      <c r="B56" s="149"/>
      <c r="C56" s="136"/>
      <c r="D56" s="343"/>
      <c r="E56" s="426"/>
      <c r="F56" s="332" t="s">
        <v>329</v>
      </c>
      <c r="G56" s="343"/>
      <c r="H56" s="343"/>
      <c r="I56" s="343"/>
      <c r="J56" s="343"/>
      <c r="K56" s="343"/>
      <c r="L56" s="343"/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43"/>
      <c r="AA56" s="343"/>
      <c r="AB56" s="343"/>
      <c r="AC56" s="343"/>
      <c r="AD56" s="343"/>
      <c r="AE56" s="343"/>
      <c r="AF56" s="343"/>
      <c r="AG56" s="343"/>
      <c r="AH56" s="343"/>
      <c r="AI56" s="343"/>
      <c r="AJ56" s="343"/>
      <c r="AK56" s="343"/>
      <c r="AL56" s="343"/>
      <c r="AM56" s="343"/>
      <c r="AN56" s="343"/>
      <c r="AO56" s="343"/>
      <c r="AP56" s="343"/>
      <c r="AQ56" s="343"/>
      <c r="AR56" s="343"/>
      <c r="AS56" s="343"/>
      <c r="AT56" s="343"/>
      <c r="AU56" s="343"/>
      <c r="AV56" s="343"/>
      <c r="AW56" s="343"/>
      <c r="AX56" s="343"/>
      <c r="AY56" s="343"/>
      <c r="AZ56" s="343"/>
      <c r="BA56" s="343"/>
      <c r="BB56" s="343"/>
      <c r="BC56" s="343"/>
      <c r="BD56" s="343"/>
      <c r="BE56" s="343"/>
      <c r="BF56" s="343"/>
      <c r="BG56" s="343"/>
      <c r="BH56" s="343"/>
      <c r="BI56" s="343"/>
      <c r="BJ56" s="343"/>
      <c r="BK56" s="343"/>
      <c r="BL56" s="343"/>
      <c r="BM56" s="343"/>
      <c r="BN56" s="343"/>
      <c r="BO56" s="343"/>
      <c r="BP56" s="343"/>
      <c r="BQ56" s="343"/>
      <c r="BR56" s="343"/>
      <c r="BS56" s="343"/>
      <c r="BT56" s="343"/>
      <c r="BU56" s="343"/>
      <c r="BV56" s="343"/>
      <c r="BW56" s="343"/>
      <c r="BX56" s="343"/>
      <c r="BY56" s="343"/>
      <c r="BZ56" s="343"/>
      <c r="CA56" s="441"/>
      <c r="CB56" s="343"/>
      <c r="CC56" s="343"/>
      <c r="CD56" s="343"/>
      <c r="CE56" s="343"/>
      <c r="CF56" s="343"/>
      <c r="CG56" s="343"/>
      <c r="CH56" s="343"/>
      <c r="CI56" s="343"/>
      <c r="CJ56" s="343"/>
      <c r="CK56" s="343"/>
      <c r="CL56" s="343"/>
      <c r="CM56" s="343"/>
      <c r="CN56" s="343"/>
      <c r="CO56" s="343"/>
      <c r="CP56" s="343"/>
      <c r="CQ56" s="442"/>
      <c r="CR56" s="442"/>
      <c r="CS56" s="443"/>
      <c r="CT56" s="444"/>
      <c r="CU56" s="445"/>
      <c r="CV56" s="445"/>
      <c r="CW56" s="445"/>
      <c r="CX56" s="445"/>
      <c r="CY56" s="445"/>
      <c r="CZ56" s="445"/>
      <c r="DA56" s="445"/>
      <c r="DB56" s="445"/>
      <c r="DC56" s="142"/>
      <c r="DD56" s="142"/>
      <c r="DE56" s="142"/>
      <c r="DF56" s="142"/>
      <c r="DG56" s="142"/>
      <c r="DH56" s="142"/>
      <c r="DI56" s="142"/>
      <c r="DJ56" s="142"/>
      <c r="DK56" s="142"/>
      <c r="DL56" s="142"/>
      <c r="DM56" s="439"/>
      <c r="DN56" s="118"/>
    </row>
    <row r="57" spans="1:118" ht="16.5" customHeight="1">
      <c r="A57" s="134"/>
      <c r="B57" s="149"/>
      <c r="C57" s="136"/>
      <c r="D57" s="446"/>
      <c r="E57" s="426"/>
      <c r="F57" s="343"/>
      <c r="G57" s="343"/>
      <c r="H57" s="343" t="s">
        <v>328</v>
      </c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43"/>
      <c r="AA57" s="343"/>
      <c r="AB57" s="343"/>
      <c r="AC57" s="343"/>
      <c r="AD57" s="343"/>
      <c r="AE57" s="343"/>
      <c r="AF57" s="343"/>
      <c r="AG57" s="343"/>
      <c r="AH57" s="343"/>
      <c r="AI57" s="343"/>
      <c r="AJ57" s="343"/>
      <c r="AK57" s="343"/>
      <c r="AL57" s="343"/>
      <c r="AM57" s="343"/>
      <c r="AN57" s="343"/>
      <c r="AO57" s="343"/>
      <c r="AP57" s="343"/>
      <c r="AQ57" s="343"/>
      <c r="AR57" s="343"/>
      <c r="AS57" s="343"/>
      <c r="AT57" s="343"/>
      <c r="AU57" s="343"/>
      <c r="AV57" s="343"/>
      <c r="AW57" s="343"/>
      <c r="AX57" s="343"/>
      <c r="AY57" s="343"/>
      <c r="AZ57" s="343"/>
      <c r="BA57" s="343"/>
      <c r="BB57" s="343"/>
      <c r="BC57" s="343"/>
      <c r="BD57" s="343"/>
      <c r="BE57" s="343"/>
      <c r="BF57" s="343"/>
      <c r="BG57" s="343"/>
      <c r="BH57" s="343"/>
      <c r="BI57" s="343"/>
      <c r="BJ57" s="343"/>
      <c r="BK57" s="343"/>
      <c r="BL57" s="343"/>
      <c r="BM57" s="343"/>
      <c r="BN57" s="343"/>
      <c r="BO57" s="343"/>
      <c r="BP57" s="343"/>
      <c r="BQ57" s="343"/>
      <c r="BR57" s="343"/>
      <c r="BS57" s="343"/>
      <c r="BT57" s="343"/>
      <c r="BU57" s="343"/>
      <c r="BV57" s="343"/>
      <c r="BW57" s="343"/>
      <c r="BX57" s="343"/>
      <c r="BY57" s="343"/>
      <c r="BZ57" s="343"/>
      <c r="CA57" s="441"/>
      <c r="CB57" s="343"/>
      <c r="CC57" s="343"/>
      <c r="CD57" s="343"/>
      <c r="CE57" s="343"/>
      <c r="CF57" s="343"/>
      <c r="CG57" s="343"/>
      <c r="CH57" s="343"/>
      <c r="CI57" s="343"/>
      <c r="CJ57" s="343"/>
      <c r="CK57" s="343"/>
      <c r="CL57" s="343"/>
      <c r="CM57" s="343"/>
      <c r="CN57" s="343"/>
      <c r="CO57" s="343"/>
      <c r="CP57" s="343"/>
      <c r="CQ57" s="442"/>
      <c r="CR57" s="442"/>
      <c r="CS57" s="443"/>
      <c r="CT57" s="444"/>
      <c r="CU57" s="445"/>
      <c r="CV57" s="445"/>
      <c r="CW57" s="445"/>
      <c r="CX57" s="445"/>
      <c r="CY57" s="445"/>
      <c r="CZ57" s="445"/>
      <c r="DA57" s="445"/>
      <c r="DB57" s="445"/>
      <c r="DC57" s="142"/>
      <c r="DD57" s="142"/>
      <c r="DE57" s="142"/>
      <c r="DF57" s="142"/>
      <c r="DG57" s="142"/>
      <c r="DH57" s="142"/>
      <c r="DI57" s="142"/>
      <c r="DJ57" s="142"/>
      <c r="DK57" s="142"/>
      <c r="DL57" s="142"/>
      <c r="DM57" s="439"/>
      <c r="DN57" s="118"/>
    </row>
    <row r="58" spans="1:118" ht="16.5" customHeight="1">
      <c r="A58" s="134"/>
      <c r="B58" s="149"/>
      <c r="C58" s="136"/>
      <c r="D58" s="343"/>
      <c r="E58" s="426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  <c r="AA58" s="343"/>
      <c r="AB58" s="343"/>
      <c r="AC58" s="343"/>
      <c r="AD58" s="343"/>
      <c r="AE58" s="343"/>
      <c r="AF58" s="343"/>
      <c r="AG58" s="343"/>
      <c r="AH58" s="343"/>
      <c r="AI58" s="343"/>
      <c r="AJ58" s="343"/>
      <c r="AK58" s="343"/>
      <c r="AL58" s="343"/>
      <c r="AM58" s="343"/>
      <c r="AN58" s="343"/>
      <c r="AO58" s="343"/>
      <c r="AP58" s="343"/>
      <c r="AQ58" s="343"/>
      <c r="AR58" s="343"/>
      <c r="AS58" s="343"/>
      <c r="AT58" s="343"/>
      <c r="AU58" s="343"/>
      <c r="AV58" s="343"/>
      <c r="AW58" s="343"/>
      <c r="AX58" s="343"/>
      <c r="AY58" s="343"/>
      <c r="AZ58" s="343"/>
      <c r="BA58" s="343"/>
      <c r="BB58" s="343"/>
      <c r="BC58" s="343"/>
      <c r="BD58" s="343"/>
      <c r="BE58" s="343"/>
      <c r="BF58" s="343"/>
      <c r="BG58" s="343"/>
      <c r="BH58" s="343"/>
      <c r="BI58" s="343"/>
      <c r="BJ58" s="343"/>
      <c r="BK58" s="343"/>
      <c r="BL58" s="343"/>
      <c r="BM58" s="343"/>
      <c r="BN58" s="343"/>
      <c r="BO58" s="343"/>
      <c r="BP58" s="343"/>
      <c r="BQ58" s="343"/>
      <c r="BR58" s="343"/>
      <c r="BS58" s="343"/>
      <c r="BT58" s="343"/>
      <c r="BU58" s="343"/>
      <c r="BV58" s="343"/>
      <c r="BW58" s="343"/>
      <c r="BX58" s="343"/>
      <c r="BY58" s="343"/>
      <c r="BZ58" s="343"/>
      <c r="CA58" s="441"/>
      <c r="CB58" s="343"/>
      <c r="CC58" s="343"/>
      <c r="CD58" s="343"/>
      <c r="CE58" s="343"/>
      <c r="CF58" s="343"/>
      <c r="CG58" s="343"/>
      <c r="CH58" s="343"/>
      <c r="CI58" s="343"/>
      <c r="CJ58" s="343"/>
      <c r="CK58" s="343"/>
      <c r="CL58" s="343"/>
      <c r="CM58" s="343"/>
      <c r="CN58" s="343"/>
      <c r="CO58" s="343"/>
      <c r="CP58" s="343"/>
      <c r="CQ58" s="442"/>
      <c r="CR58" s="442"/>
      <c r="CS58" s="443"/>
      <c r="CT58" s="444"/>
      <c r="CU58" s="445"/>
      <c r="CV58" s="445"/>
      <c r="CW58" s="445"/>
      <c r="CX58" s="445"/>
      <c r="CY58" s="445"/>
      <c r="CZ58" s="445"/>
      <c r="DA58" s="445"/>
      <c r="DB58" s="445"/>
      <c r="DC58" s="142"/>
      <c r="DD58" s="142"/>
      <c r="DE58" s="142"/>
      <c r="DF58" s="142"/>
      <c r="DG58" s="142"/>
      <c r="DH58" s="142"/>
      <c r="DI58" s="142"/>
      <c r="DJ58" s="142"/>
      <c r="DK58" s="142"/>
      <c r="DL58" s="142"/>
      <c r="DM58" s="439"/>
      <c r="DN58" s="118"/>
    </row>
    <row r="59" spans="1:118" ht="16.5" customHeight="1">
      <c r="A59" s="134"/>
      <c r="B59" s="149"/>
      <c r="C59" s="136"/>
      <c r="D59" s="343"/>
      <c r="E59" s="426"/>
      <c r="F59" s="332" t="s">
        <v>330</v>
      </c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343"/>
      <c r="AB59" s="343"/>
      <c r="AC59" s="343"/>
      <c r="AD59" s="343"/>
      <c r="AE59" s="343"/>
      <c r="AF59" s="343"/>
      <c r="AG59" s="343"/>
      <c r="AH59" s="343"/>
      <c r="AI59" s="343"/>
      <c r="AJ59" s="343"/>
      <c r="AK59" s="343"/>
      <c r="AL59" s="343"/>
      <c r="AM59" s="343"/>
      <c r="AN59" s="343"/>
      <c r="AO59" s="343"/>
      <c r="AP59" s="343"/>
      <c r="AQ59" s="343"/>
      <c r="AR59" s="343"/>
      <c r="AS59" s="343"/>
      <c r="AT59" s="343"/>
      <c r="AU59" s="343"/>
      <c r="AV59" s="343"/>
      <c r="AW59" s="343"/>
      <c r="AX59" s="343"/>
      <c r="AY59" s="343"/>
      <c r="AZ59" s="343"/>
      <c r="BA59" s="343"/>
      <c r="BB59" s="343"/>
      <c r="BC59" s="343"/>
      <c r="BD59" s="343"/>
      <c r="BE59" s="343"/>
      <c r="BF59" s="343"/>
      <c r="BG59" s="343"/>
      <c r="BH59" s="343"/>
      <c r="BI59" s="343"/>
      <c r="BJ59" s="343"/>
      <c r="BK59" s="343"/>
      <c r="BL59" s="343"/>
      <c r="BM59" s="343"/>
      <c r="BN59" s="343"/>
      <c r="BO59" s="343"/>
      <c r="BP59" s="343"/>
      <c r="BQ59" s="343"/>
      <c r="BR59" s="343"/>
      <c r="BS59" s="343"/>
      <c r="BT59" s="343"/>
      <c r="BU59" s="343"/>
      <c r="BV59" s="343"/>
      <c r="BW59" s="343"/>
      <c r="BX59" s="343"/>
      <c r="BY59" s="343"/>
      <c r="BZ59" s="343"/>
      <c r="CA59" s="441"/>
      <c r="CB59" s="343"/>
      <c r="CC59" s="343"/>
      <c r="CD59" s="343"/>
      <c r="CE59" s="343"/>
      <c r="CF59" s="343"/>
      <c r="CG59" s="343"/>
      <c r="CH59" s="343"/>
      <c r="CI59" s="343"/>
      <c r="CJ59" s="343"/>
      <c r="CK59" s="343"/>
      <c r="CL59" s="343"/>
      <c r="CM59" s="343"/>
      <c r="CN59" s="343"/>
      <c r="CO59" s="343"/>
      <c r="CP59" s="343"/>
      <c r="CQ59" s="442"/>
      <c r="CR59" s="442"/>
      <c r="CS59" s="443"/>
      <c r="CT59" s="444"/>
      <c r="CU59" s="445"/>
      <c r="CV59" s="445"/>
      <c r="CW59" s="445"/>
      <c r="CX59" s="445"/>
      <c r="CY59" s="445"/>
      <c r="CZ59" s="445"/>
      <c r="DA59" s="445"/>
      <c r="DB59" s="445"/>
      <c r="DC59" s="142"/>
      <c r="DD59" s="142"/>
      <c r="DE59" s="142"/>
      <c r="DF59" s="142"/>
      <c r="DG59" s="142"/>
      <c r="DH59" s="142"/>
      <c r="DI59" s="142"/>
      <c r="DJ59" s="142"/>
      <c r="DK59" s="142"/>
      <c r="DL59" s="142"/>
      <c r="DM59" s="439"/>
      <c r="DN59" s="118"/>
    </row>
    <row r="60" spans="1:118" ht="16.5" customHeight="1">
      <c r="A60" s="134"/>
      <c r="B60" s="149"/>
      <c r="C60" s="136"/>
      <c r="D60" s="343"/>
      <c r="E60" s="426"/>
      <c r="F60" s="343"/>
      <c r="G60" s="343"/>
      <c r="H60" s="343" t="s">
        <v>332</v>
      </c>
      <c r="I60" s="343"/>
      <c r="J60" s="343"/>
      <c r="K60" s="343"/>
      <c r="L60" s="343"/>
      <c r="M60" s="343"/>
      <c r="N60" s="343"/>
      <c r="O60" s="343"/>
      <c r="P60" s="343"/>
      <c r="Q60" s="343"/>
      <c r="R60" s="343"/>
      <c r="S60" s="343"/>
      <c r="T60" s="343"/>
      <c r="U60" s="343"/>
      <c r="V60" s="343"/>
      <c r="W60" s="343"/>
      <c r="X60" s="343"/>
      <c r="Y60" s="343"/>
      <c r="Z60" s="343"/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K60" s="343"/>
      <c r="AL60" s="343"/>
      <c r="AM60" s="343"/>
      <c r="AN60" s="343"/>
      <c r="AO60" s="343"/>
      <c r="AP60" s="343"/>
      <c r="AQ60" s="343"/>
      <c r="AR60" s="343"/>
      <c r="AS60" s="343"/>
      <c r="AT60" s="343"/>
      <c r="AU60" s="343"/>
      <c r="AV60" s="343"/>
      <c r="AW60" s="343"/>
      <c r="AX60" s="343"/>
      <c r="AY60" s="343"/>
      <c r="AZ60" s="343"/>
      <c r="BA60" s="343"/>
      <c r="BB60" s="343"/>
      <c r="BC60" s="343"/>
      <c r="BD60" s="343"/>
      <c r="BE60" s="343"/>
      <c r="BF60" s="343"/>
      <c r="BG60" s="343"/>
      <c r="BH60" s="343"/>
      <c r="BI60" s="343"/>
      <c r="BJ60" s="343"/>
      <c r="BK60" s="343"/>
      <c r="BL60" s="343"/>
      <c r="BM60" s="343"/>
      <c r="BN60" s="343"/>
      <c r="BO60" s="343"/>
      <c r="BP60" s="343"/>
      <c r="BQ60" s="343"/>
      <c r="BR60" s="343"/>
      <c r="BS60" s="343"/>
      <c r="BT60" s="343"/>
      <c r="BU60" s="343"/>
      <c r="BV60" s="343"/>
      <c r="BW60" s="343"/>
      <c r="BX60" s="343"/>
      <c r="BY60" s="343"/>
      <c r="BZ60" s="343"/>
      <c r="CA60" s="441"/>
      <c r="CB60" s="343"/>
      <c r="CC60" s="343"/>
      <c r="CD60" s="343"/>
      <c r="CE60" s="343"/>
      <c r="CF60" s="343"/>
      <c r="CG60" s="343"/>
      <c r="CH60" s="343"/>
      <c r="CI60" s="343"/>
      <c r="CJ60" s="343"/>
      <c r="CK60" s="343"/>
      <c r="CL60" s="343"/>
      <c r="CM60" s="343"/>
      <c r="CN60" s="343"/>
      <c r="CO60" s="343"/>
      <c r="CP60" s="343"/>
      <c r="CQ60" s="442"/>
      <c r="CR60" s="442"/>
      <c r="CS60" s="443"/>
      <c r="CT60" s="444"/>
      <c r="CU60" s="445"/>
      <c r="CV60" s="445"/>
      <c r="CW60" s="445"/>
      <c r="CX60" s="445"/>
      <c r="CY60" s="445"/>
      <c r="CZ60" s="445"/>
      <c r="DA60" s="445"/>
      <c r="DB60" s="445"/>
      <c r="DC60" s="142"/>
      <c r="DD60" s="142"/>
      <c r="DE60" s="142"/>
      <c r="DF60" s="142"/>
      <c r="DG60" s="142"/>
      <c r="DH60" s="142"/>
      <c r="DI60" s="142"/>
      <c r="DJ60" s="142"/>
      <c r="DK60" s="142"/>
      <c r="DL60" s="142"/>
      <c r="DM60" s="439"/>
      <c r="DN60" s="118"/>
    </row>
    <row r="61" spans="1:118" ht="16.5" customHeight="1">
      <c r="A61" s="134"/>
      <c r="B61" s="149"/>
      <c r="C61" s="147"/>
      <c r="D61" s="144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447"/>
      <c r="CB61" s="133"/>
      <c r="CC61" s="133"/>
      <c r="CD61" s="133"/>
      <c r="CE61" s="133"/>
      <c r="CF61" s="133"/>
      <c r="CG61" s="133"/>
      <c r="CH61" s="133"/>
      <c r="CI61" s="133"/>
      <c r="CJ61" s="133"/>
      <c r="CK61" s="133"/>
      <c r="CL61" s="133"/>
      <c r="CM61" s="133"/>
      <c r="CN61" s="133"/>
      <c r="CO61" s="133"/>
      <c r="CP61" s="133"/>
      <c r="CQ61" s="448"/>
      <c r="CR61" s="448"/>
      <c r="CS61" s="449"/>
      <c r="CT61" s="450"/>
      <c r="CU61" s="451"/>
      <c r="CV61" s="451"/>
      <c r="CW61" s="451"/>
      <c r="CX61" s="451"/>
      <c r="CY61" s="451"/>
      <c r="CZ61" s="451"/>
      <c r="DA61" s="451"/>
      <c r="DB61" s="451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439"/>
      <c r="DN61" s="118"/>
    </row>
    <row r="62" spans="1:118" ht="16.5" customHeight="1">
      <c r="A62" s="134"/>
      <c r="B62" s="149"/>
      <c r="C62" s="120"/>
      <c r="D62" s="133"/>
      <c r="E62" s="428"/>
      <c r="F62" s="452" t="s">
        <v>362</v>
      </c>
      <c r="G62" s="428"/>
      <c r="H62" s="428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  <c r="BX62" s="133"/>
      <c r="BY62" s="133"/>
      <c r="BZ62" s="133"/>
      <c r="CA62" s="447"/>
      <c r="CB62" s="133"/>
      <c r="CC62" s="133"/>
      <c r="CD62" s="133"/>
      <c r="CE62" s="133"/>
      <c r="CF62" s="133"/>
      <c r="CG62" s="133"/>
      <c r="CH62" s="133"/>
      <c r="CI62" s="133"/>
      <c r="CJ62" s="133"/>
      <c r="CK62" s="133"/>
      <c r="CL62" s="133"/>
      <c r="CM62" s="133"/>
      <c r="CN62" s="133"/>
      <c r="CO62" s="133"/>
      <c r="CP62" s="133"/>
      <c r="CQ62" s="448"/>
      <c r="CR62" s="448"/>
      <c r="CS62" s="449"/>
      <c r="CT62" s="450"/>
      <c r="CU62" s="451"/>
      <c r="CV62" s="451"/>
      <c r="CW62" s="451"/>
      <c r="CX62" s="451"/>
      <c r="CY62" s="451"/>
      <c r="CZ62" s="451"/>
      <c r="DA62" s="451"/>
      <c r="DB62" s="451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439"/>
      <c r="DN62" s="118"/>
    </row>
    <row r="63" spans="1:118" ht="16.5" customHeight="1">
      <c r="A63" s="118"/>
      <c r="B63" s="149"/>
      <c r="C63" s="120"/>
      <c r="D63" s="133"/>
      <c r="E63" s="133"/>
      <c r="F63" s="133"/>
      <c r="G63" s="133"/>
      <c r="H63" s="133" t="s">
        <v>331</v>
      </c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3"/>
      <c r="BZ63" s="133"/>
      <c r="CA63" s="447"/>
      <c r="CB63" s="133"/>
      <c r="CC63" s="133"/>
      <c r="CD63" s="133"/>
      <c r="CE63" s="133"/>
      <c r="CF63" s="133"/>
      <c r="CG63" s="133"/>
      <c r="CH63" s="133"/>
      <c r="CI63" s="133"/>
      <c r="CJ63" s="133"/>
      <c r="CK63" s="133"/>
      <c r="CL63" s="133"/>
      <c r="CM63" s="133"/>
      <c r="CN63" s="133"/>
      <c r="CO63" s="133"/>
      <c r="CP63" s="133"/>
      <c r="CQ63" s="448"/>
      <c r="CR63" s="448"/>
      <c r="CS63" s="449"/>
      <c r="CT63" s="450"/>
      <c r="CU63" s="451"/>
      <c r="CV63" s="451"/>
      <c r="CW63" s="451"/>
      <c r="CX63" s="451"/>
      <c r="CY63" s="451"/>
      <c r="CZ63" s="451"/>
      <c r="DA63" s="451"/>
      <c r="DB63" s="451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439"/>
      <c r="DN63" s="118"/>
    </row>
    <row r="64" spans="1:118" ht="16.5" customHeight="1">
      <c r="A64" s="118"/>
      <c r="B64" s="149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45"/>
      <c r="CB64" s="120"/>
      <c r="CC64" s="120"/>
      <c r="CD64" s="120"/>
      <c r="CE64" s="120"/>
      <c r="CF64" s="120"/>
      <c r="CG64" s="120"/>
      <c r="CH64" s="120"/>
      <c r="CI64" s="120"/>
      <c r="CJ64" s="120"/>
      <c r="CK64" s="120"/>
      <c r="CL64" s="120"/>
      <c r="CM64" s="120"/>
      <c r="CN64" s="120"/>
      <c r="CO64" s="120"/>
      <c r="CP64" s="120"/>
      <c r="CQ64" s="121"/>
      <c r="CR64" s="121"/>
      <c r="CS64" s="122"/>
      <c r="CT64" s="123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439"/>
      <c r="DN64" s="118"/>
    </row>
    <row r="65" spans="1:118" ht="16.5" customHeight="1">
      <c r="A65" s="118"/>
      <c r="B65" s="149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45"/>
      <c r="CB65" s="120"/>
      <c r="CC65" s="120"/>
      <c r="CD65" s="120"/>
      <c r="CE65" s="120"/>
      <c r="CF65" s="120"/>
      <c r="CG65" s="120"/>
      <c r="CH65" s="120"/>
      <c r="CI65" s="120"/>
      <c r="CJ65" s="120"/>
      <c r="CK65" s="120"/>
      <c r="CL65" s="120"/>
      <c r="CM65" s="120"/>
      <c r="CN65" s="120"/>
      <c r="CO65" s="120"/>
      <c r="CP65" s="120"/>
      <c r="CQ65" s="121"/>
      <c r="CR65" s="121"/>
      <c r="CS65" s="122"/>
      <c r="CT65" s="123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439"/>
      <c r="DN65" s="118"/>
    </row>
    <row r="66" spans="1:118" ht="16.5" customHeight="1">
      <c r="A66" s="118"/>
      <c r="B66" s="149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45"/>
      <c r="CB66" s="120"/>
      <c r="CC66" s="120"/>
      <c r="CD66" s="120"/>
      <c r="CE66" s="120"/>
      <c r="CF66" s="120"/>
      <c r="CG66" s="120"/>
      <c r="CH66" s="120"/>
      <c r="CI66" s="120"/>
      <c r="CJ66" s="120"/>
      <c r="CK66" s="120"/>
      <c r="CL66" s="120"/>
      <c r="CM66" s="120"/>
      <c r="CN66" s="120"/>
      <c r="CO66" s="120"/>
      <c r="CP66" s="120"/>
      <c r="CQ66" s="121"/>
      <c r="CR66" s="121"/>
      <c r="CS66" s="122"/>
      <c r="CT66" s="123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439"/>
      <c r="DN66" s="118"/>
    </row>
    <row r="67" spans="1:118" ht="16.5" customHeight="1">
      <c r="A67" s="118"/>
      <c r="B67" s="149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45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1"/>
      <c r="AL67" s="121"/>
      <c r="AM67" s="122"/>
      <c r="AN67" s="123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45"/>
      <c r="CB67" s="120"/>
      <c r="CC67" s="120"/>
      <c r="CD67" s="120"/>
      <c r="CE67" s="120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0"/>
      <c r="CQ67" s="121"/>
      <c r="CR67" s="121"/>
      <c r="CS67" s="122"/>
      <c r="CT67" s="123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439"/>
      <c r="DN67" s="118"/>
    </row>
    <row r="68" spans="1:118" ht="16.5" customHeight="1">
      <c r="A68" s="118"/>
      <c r="B68" s="150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438"/>
      <c r="DN68" s="118"/>
    </row>
    <row r="69" spans="1:118" ht="16.5" customHeight="1">
      <c r="BJ69" s="105"/>
      <c r="BU69" s="105"/>
      <c r="BV69" s="105"/>
      <c r="BW69" s="105"/>
      <c r="BX69" s="105"/>
    </row>
    <row r="70" spans="1:118" ht="16.5" customHeight="1">
      <c r="BJ70" s="105"/>
      <c r="BU70" s="105"/>
      <c r="BV70" s="105"/>
      <c r="BW70" s="105"/>
      <c r="BX70" s="105"/>
    </row>
    <row r="71" spans="1:118" ht="16.5" customHeight="1">
      <c r="BJ71" s="105"/>
      <c r="BU71" s="105"/>
      <c r="BV71" s="105"/>
      <c r="BW71" s="105"/>
      <c r="BX71" s="105"/>
    </row>
    <row r="72" spans="1:118" ht="16.5" customHeight="1">
      <c r="BJ72" s="105"/>
      <c r="BU72" s="105"/>
      <c r="BV72" s="105"/>
      <c r="BW72" s="105"/>
      <c r="BX72" s="105"/>
    </row>
    <row r="73" spans="1:118" ht="16.5" customHeight="1">
      <c r="BJ73" s="105"/>
      <c r="BU73" s="105"/>
      <c r="BV73" s="105"/>
      <c r="BW73" s="105"/>
      <c r="BX73" s="105"/>
    </row>
    <row r="74" spans="1:118" ht="16.5" customHeight="1">
      <c r="BJ74" s="105"/>
      <c r="BU74" s="105"/>
      <c r="BV74" s="105"/>
      <c r="BW74" s="105"/>
      <c r="BX74" s="105"/>
    </row>
    <row r="75" spans="1:118" ht="16.5" customHeight="1">
      <c r="BJ75" s="105"/>
      <c r="BU75" s="105"/>
      <c r="BV75" s="105"/>
      <c r="BW75" s="105"/>
      <c r="BX75" s="105"/>
    </row>
    <row r="76" spans="1:118" ht="16.5" customHeight="1">
      <c r="BJ76" s="105"/>
      <c r="BU76" s="105"/>
      <c r="BV76" s="105"/>
      <c r="BW76" s="105"/>
      <c r="BX76" s="105"/>
    </row>
    <row r="77" spans="1:118" ht="16.5" customHeight="1">
      <c r="BJ77" s="105"/>
      <c r="BU77" s="105"/>
      <c r="BV77" s="105"/>
      <c r="BW77" s="105"/>
      <c r="BX77" s="105"/>
    </row>
    <row r="78" spans="1:118" ht="16.5" customHeight="1">
      <c r="BJ78" s="105"/>
      <c r="BU78" s="105"/>
      <c r="BV78" s="105"/>
      <c r="BW78" s="105"/>
      <c r="BX78" s="105"/>
    </row>
    <row r="79" spans="1:118" ht="16.5" customHeight="1">
      <c r="BJ79" s="105"/>
      <c r="BU79" s="105"/>
      <c r="BV79" s="105"/>
      <c r="BW79" s="105"/>
      <c r="BX79" s="105"/>
    </row>
    <row r="80" spans="1:118" ht="16.5" customHeight="1">
      <c r="BJ80" s="105"/>
      <c r="BU80" s="105"/>
      <c r="BV80" s="105"/>
      <c r="BW80" s="105"/>
      <c r="BX80" s="105"/>
    </row>
    <row r="81" spans="62:76" ht="16.5" customHeight="1">
      <c r="BJ81" s="105"/>
      <c r="BU81" s="105"/>
      <c r="BV81" s="105"/>
      <c r="BW81" s="105"/>
      <c r="BX81" s="105"/>
    </row>
    <row r="82" spans="62:76" ht="16.5" customHeight="1">
      <c r="BJ82" s="105"/>
      <c r="BU82" s="105"/>
      <c r="BV82" s="105"/>
      <c r="BW82" s="105"/>
      <c r="BX82" s="105"/>
    </row>
    <row r="83" spans="62:76" ht="16.5" customHeight="1">
      <c r="BJ83" s="105"/>
      <c r="BU83" s="105"/>
      <c r="BV83" s="105"/>
      <c r="BW83" s="105"/>
      <c r="BX83" s="105"/>
    </row>
    <row r="84" spans="62:76" ht="16.5" customHeight="1">
      <c r="BJ84" s="105"/>
      <c r="BU84" s="105"/>
      <c r="BV84" s="105"/>
      <c r="BW84" s="105"/>
      <c r="BX84" s="105"/>
    </row>
    <row r="85" spans="62:76" ht="16.5" customHeight="1">
      <c r="BJ85" s="105"/>
      <c r="BU85" s="105"/>
      <c r="BV85" s="105"/>
      <c r="BW85" s="105"/>
      <c r="BX85" s="105"/>
    </row>
    <row r="86" spans="62:76" ht="16.5" customHeight="1">
      <c r="BJ86" s="105"/>
      <c r="BU86" s="105"/>
      <c r="BV86" s="105"/>
      <c r="BW86" s="105"/>
      <c r="BX86" s="105"/>
    </row>
    <row r="87" spans="62:76" ht="16.5" customHeight="1">
      <c r="BJ87" s="105"/>
      <c r="BU87" s="105"/>
      <c r="BV87" s="105"/>
      <c r="BW87" s="105"/>
      <c r="BX87" s="105"/>
    </row>
    <row r="88" spans="62:76" ht="16.5" customHeight="1">
      <c r="BJ88" s="105"/>
      <c r="BU88" s="105"/>
      <c r="BV88" s="105"/>
      <c r="BW88" s="105"/>
      <c r="BX88" s="105"/>
    </row>
    <row r="89" spans="62:76" ht="16.5" customHeight="1">
      <c r="BJ89" s="105"/>
      <c r="BU89" s="105"/>
      <c r="BV89" s="105"/>
      <c r="BW89" s="105"/>
      <c r="BX89" s="105"/>
    </row>
    <row r="90" spans="62:76" ht="16.5" customHeight="1">
      <c r="BJ90" s="105"/>
      <c r="BU90" s="105"/>
      <c r="BV90" s="105"/>
      <c r="BW90" s="105"/>
      <c r="BX90" s="105"/>
    </row>
    <row r="91" spans="62:76" ht="16.5" customHeight="1">
      <c r="BJ91" s="105"/>
      <c r="BU91" s="105"/>
      <c r="BV91" s="105"/>
      <c r="BW91" s="105"/>
      <c r="BX91" s="105"/>
    </row>
    <row r="92" spans="62:76" ht="16.5" customHeight="1">
      <c r="BJ92" s="105"/>
      <c r="BU92" s="105"/>
      <c r="BV92" s="105"/>
      <c r="BW92" s="105"/>
      <c r="BX92" s="105"/>
    </row>
    <row r="93" spans="62:76" ht="16.5" customHeight="1">
      <c r="BJ93" s="105"/>
      <c r="BU93" s="105"/>
      <c r="BV93" s="105"/>
      <c r="BW93" s="105"/>
      <c r="BX93" s="105"/>
    </row>
    <row r="94" spans="62:76" ht="16.5" customHeight="1">
      <c r="BJ94" s="105"/>
      <c r="BU94" s="105"/>
      <c r="BV94" s="105"/>
      <c r="BW94" s="105"/>
      <c r="BX94" s="105"/>
    </row>
    <row r="95" spans="62:76" ht="16.5" customHeight="1">
      <c r="BJ95" s="105"/>
      <c r="BU95" s="105"/>
      <c r="BV95" s="105"/>
      <c r="BW95" s="105"/>
      <c r="BX95" s="105"/>
    </row>
    <row r="96" spans="62:76" ht="16.5" customHeight="1">
      <c r="BJ96" s="105"/>
      <c r="BU96" s="105"/>
      <c r="BV96" s="105"/>
      <c r="BW96" s="105"/>
      <c r="BX96" s="105"/>
    </row>
    <row r="97" spans="62:76" ht="16.5" customHeight="1">
      <c r="BJ97" s="105"/>
      <c r="BU97" s="105"/>
      <c r="BV97" s="105"/>
      <c r="BW97" s="105"/>
      <c r="BX97" s="105"/>
    </row>
    <row r="98" spans="62:76" ht="16.5" customHeight="1">
      <c r="BJ98" s="105"/>
      <c r="BU98" s="105"/>
      <c r="BV98" s="105"/>
      <c r="BW98" s="105"/>
      <c r="BX98" s="105"/>
    </row>
    <row r="99" spans="62:76" ht="16.5" customHeight="1">
      <c r="BJ99" s="105"/>
      <c r="BU99" s="105"/>
      <c r="BV99" s="105"/>
      <c r="BW99" s="105"/>
      <c r="BX99" s="105"/>
    </row>
    <row r="100" spans="62:76" ht="16.5" customHeight="1">
      <c r="BJ100" s="105"/>
      <c r="BU100" s="105"/>
      <c r="BV100" s="105"/>
      <c r="BW100" s="105"/>
      <c r="BX100" s="105"/>
    </row>
    <row r="101" spans="62:76" ht="16.5" customHeight="1">
      <c r="BJ101" s="105"/>
      <c r="BU101" s="105"/>
      <c r="BV101" s="105"/>
      <c r="BW101" s="105"/>
      <c r="BX101" s="105"/>
    </row>
    <row r="102" spans="62:76" ht="16.5" customHeight="1">
      <c r="BJ102" s="105"/>
      <c r="BU102" s="105"/>
      <c r="BV102" s="105"/>
      <c r="BW102" s="105"/>
      <c r="BX102" s="105"/>
    </row>
    <row r="103" spans="62:76" ht="16.5" customHeight="1">
      <c r="BJ103" s="105"/>
      <c r="BU103" s="105"/>
      <c r="BV103" s="105"/>
      <c r="BW103" s="105"/>
      <c r="BX103" s="105"/>
    </row>
    <row r="104" spans="62:76" ht="16.5" customHeight="1">
      <c r="BJ104" s="105"/>
      <c r="BU104" s="105"/>
      <c r="BV104" s="105"/>
      <c r="BW104" s="105"/>
      <c r="BX104" s="105"/>
    </row>
    <row r="105" spans="62:76" ht="16.5" customHeight="1">
      <c r="BJ105" s="105"/>
      <c r="BU105" s="105"/>
      <c r="BV105" s="105"/>
      <c r="BW105" s="105"/>
      <c r="BX105" s="105"/>
    </row>
    <row r="106" spans="62:76" ht="16.5" customHeight="1">
      <c r="BJ106" s="105"/>
      <c r="BU106" s="105"/>
      <c r="BV106" s="105"/>
      <c r="BW106" s="105"/>
      <c r="BX106" s="105"/>
    </row>
    <row r="107" spans="62:76" ht="16.5" customHeight="1">
      <c r="BJ107" s="105"/>
      <c r="BU107" s="105"/>
      <c r="BV107" s="105"/>
      <c r="BW107" s="105"/>
      <c r="BX107" s="105"/>
    </row>
    <row r="108" spans="62:76" ht="16.5" customHeight="1">
      <c r="BJ108" s="105"/>
      <c r="BU108" s="105"/>
      <c r="BV108" s="105"/>
      <c r="BW108" s="105"/>
      <c r="BX108" s="105"/>
    </row>
    <row r="109" spans="62:76" ht="16.5" customHeight="1">
      <c r="BJ109" s="105"/>
      <c r="BU109" s="105"/>
      <c r="BV109" s="105"/>
      <c r="BW109" s="105"/>
      <c r="BX109" s="105"/>
    </row>
    <row r="110" spans="62:76" ht="16.5" customHeight="1">
      <c r="BJ110" s="105"/>
      <c r="BU110" s="105"/>
      <c r="BV110" s="105"/>
      <c r="BW110" s="105"/>
      <c r="BX110" s="105"/>
    </row>
    <row r="111" spans="62:76" ht="16.5" customHeight="1">
      <c r="BJ111" s="105"/>
      <c r="BU111" s="105"/>
      <c r="BV111" s="105"/>
      <c r="BW111" s="105"/>
      <c r="BX111" s="105"/>
    </row>
    <row r="112" spans="62:76" ht="16.5" customHeight="1">
      <c r="BJ112" s="105"/>
      <c r="BU112" s="105"/>
      <c r="BV112" s="105"/>
      <c r="BW112" s="105"/>
      <c r="BX112" s="105"/>
    </row>
    <row r="113" spans="62:76" ht="16.5" customHeight="1">
      <c r="BJ113" s="105"/>
      <c r="BU113" s="105"/>
      <c r="BV113" s="105"/>
      <c r="BW113" s="105"/>
      <c r="BX113" s="105"/>
    </row>
    <row r="114" spans="62:76" ht="16.5" customHeight="1">
      <c r="BJ114" s="105"/>
      <c r="BU114" s="105"/>
      <c r="BV114" s="105"/>
      <c r="BW114" s="105"/>
      <c r="BX114" s="105"/>
    </row>
    <row r="115" spans="62:76" ht="16.5" customHeight="1">
      <c r="BJ115" s="105"/>
      <c r="BU115" s="105"/>
      <c r="BV115" s="105"/>
      <c r="BW115" s="105"/>
      <c r="BX115" s="105"/>
    </row>
    <row r="116" spans="62:76" ht="16.5" customHeight="1">
      <c r="BJ116" s="105"/>
      <c r="BU116" s="105"/>
      <c r="BV116" s="105"/>
      <c r="BW116" s="105"/>
      <c r="BX116" s="105"/>
    </row>
    <row r="117" spans="62:76" ht="16.5" customHeight="1">
      <c r="BJ117" s="105"/>
      <c r="BU117" s="105"/>
      <c r="BV117" s="105"/>
      <c r="BW117" s="105"/>
      <c r="BX117" s="105"/>
    </row>
    <row r="118" spans="62:76" ht="16.5" customHeight="1">
      <c r="BJ118" s="105"/>
      <c r="BU118" s="105"/>
      <c r="BV118" s="105"/>
      <c r="BW118" s="105"/>
      <c r="BX118" s="105"/>
    </row>
    <row r="119" spans="62:76" ht="16.5" customHeight="1">
      <c r="BJ119" s="105"/>
      <c r="BU119" s="105"/>
      <c r="BV119" s="105"/>
      <c r="BW119" s="105"/>
      <c r="BX119" s="105"/>
    </row>
    <row r="120" spans="62:76" ht="16.5" customHeight="1">
      <c r="BJ120" s="105"/>
      <c r="BU120" s="105"/>
      <c r="BV120" s="105"/>
      <c r="BW120" s="105"/>
      <c r="BX120" s="105"/>
    </row>
    <row r="121" spans="62:76" ht="16.5" customHeight="1">
      <c r="BJ121" s="105"/>
      <c r="BU121" s="105"/>
      <c r="BV121" s="105"/>
      <c r="BW121" s="105"/>
      <c r="BX121" s="105"/>
    </row>
    <row r="122" spans="62:76" ht="16.5" customHeight="1">
      <c r="BJ122" s="105"/>
      <c r="BU122" s="105"/>
      <c r="BV122" s="105"/>
      <c r="BW122" s="105"/>
      <c r="BX122" s="105"/>
    </row>
    <row r="123" spans="62:76" ht="16.5" customHeight="1">
      <c r="BJ123" s="105"/>
      <c r="BU123" s="105"/>
      <c r="BV123" s="105"/>
      <c r="BW123" s="105"/>
      <c r="BX123" s="105"/>
    </row>
    <row r="124" spans="62:76" ht="16.5" customHeight="1">
      <c r="BJ124" s="105"/>
      <c r="BU124" s="105"/>
      <c r="BV124" s="105"/>
      <c r="BW124" s="105"/>
      <c r="BX124" s="105"/>
    </row>
    <row r="125" spans="62:76" ht="16.5" customHeight="1">
      <c r="BJ125" s="105"/>
      <c r="BU125" s="105"/>
      <c r="BV125" s="105"/>
      <c r="BW125" s="105"/>
      <c r="BX125" s="105"/>
    </row>
    <row r="126" spans="62:76" ht="16.5" customHeight="1">
      <c r="BJ126" s="105"/>
      <c r="BU126" s="105"/>
      <c r="BV126" s="105"/>
      <c r="BW126" s="105"/>
      <c r="BX126" s="105"/>
    </row>
    <row r="127" spans="62:76" ht="16.5" customHeight="1">
      <c r="BJ127" s="105"/>
      <c r="BU127" s="105"/>
      <c r="BV127" s="105"/>
      <c r="BW127" s="105"/>
      <c r="BX127" s="105"/>
    </row>
    <row r="128" spans="62:76" ht="16.5" customHeight="1">
      <c r="BJ128" s="105"/>
      <c r="BU128" s="105"/>
      <c r="BV128" s="105"/>
      <c r="BW128" s="105"/>
      <c r="BX128" s="105"/>
    </row>
    <row r="129" spans="62:76" ht="16.5" customHeight="1">
      <c r="BJ129" s="105"/>
      <c r="BU129" s="105"/>
      <c r="BV129" s="105"/>
      <c r="BW129" s="105"/>
      <c r="BX129" s="105"/>
    </row>
    <row r="130" spans="62:76" ht="16.5" customHeight="1">
      <c r="BJ130" s="105"/>
      <c r="BU130" s="105"/>
      <c r="BV130" s="105"/>
      <c r="BW130" s="105"/>
      <c r="BX130" s="105"/>
    </row>
    <row r="131" spans="62:76" ht="16.5" customHeight="1">
      <c r="BJ131" s="105"/>
      <c r="BU131" s="105"/>
      <c r="BV131" s="105"/>
      <c r="BW131" s="105"/>
      <c r="BX131" s="105"/>
    </row>
    <row r="132" spans="62:76" ht="16.5" customHeight="1">
      <c r="BJ132" s="105"/>
      <c r="BU132" s="105"/>
      <c r="BV132" s="105"/>
      <c r="BW132" s="105"/>
      <c r="BX132" s="105"/>
    </row>
    <row r="133" spans="62:76" ht="16.5" customHeight="1">
      <c r="BJ133" s="105"/>
      <c r="BU133" s="105"/>
      <c r="BV133" s="105"/>
      <c r="BW133" s="105"/>
      <c r="BX133" s="105"/>
    </row>
    <row r="134" spans="62:76" ht="16.5" customHeight="1">
      <c r="BJ134" s="105"/>
      <c r="BU134" s="105"/>
      <c r="BV134" s="105"/>
      <c r="BW134" s="105"/>
      <c r="BX134" s="105"/>
    </row>
    <row r="135" spans="62:76" ht="16.5" customHeight="1">
      <c r="BJ135" s="105"/>
      <c r="BU135" s="105"/>
      <c r="BV135" s="105"/>
      <c r="BW135" s="105"/>
      <c r="BX135" s="105"/>
    </row>
    <row r="136" spans="62:76" ht="16.5" customHeight="1">
      <c r="BJ136" s="105"/>
      <c r="BU136" s="105"/>
      <c r="BV136" s="105"/>
      <c r="BW136" s="105"/>
      <c r="BX136" s="105"/>
    </row>
    <row r="137" spans="62:76" ht="16.5" customHeight="1">
      <c r="BJ137" s="105"/>
      <c r="BU137" s="105"/>
      <c r="BV137" s="105"/>
      <c r="BW137" s="105"/>
      <c r="BX137" s="105"/>
    </row>
    <row r="138" spans="62:76" ht="16.5" customHeight="1">
      <c r="BJ138" s="105"/>
      <c r="BU138" s="105"/>
      <c r="BV138" s="105"/>
      <c r="BW138" s="105"/>
      <c r="BX138" s="105"/>
    </row>
    <row r="139" spans="62:76" ht="16.5" customHeight="1">
      <c r="BJ139" s="105"/>
      <c r="BU139" s="105"/>
      <c r="BV139" s="105"/>
      <c r="BW139" s="105"/>
      <c r="BX139" s="105"/>
    </row>
    <row r="140" spans="62:76" ht="16.5" customHeight="1">
      <c r="BJ140" s="105"/>
      <c r="BU140" s="105"/>
      <c r="BV140" s="105"/>
      <c r="BW140" s="105"/>
      <c r="BX140" s="105"/>
    </row>
    <row r="141" spans="62:76" ht="16.5" customHeight="1">
      <c r="BJ141" s="105"/>
      <c r="BU141" s="105"/>
      <c r="BV141" s="105"/>
      <c r="BW141" s="105"/>
      <c r="BX141" s="105"/>
    </row>
    <row r="142" spans="62:76" ht="16.5" customHeight="1">
      <c r="BJ142" s="105"/>
      <c r="BU142" s="105"/>
      <c r="BV142" s="105"/>
      <c r="BW142" s="105"/>
      <c r="BX142" s="105"/>
    </row>
    <row r="143" spans="62:76" ht="16.5" customHeight="1">
      <c r="BJ143" s="105"/>
      <c r="BU143" s="105"/>
      <c r="BV143" s="105"/>
      <c r="BW143" s="105"/>
      <c r="BX143" s="105"/>
    </row>
    <row r="144" spans="62:76" ht="16.5" customHeight="1">
      <c r="BJ144" s="105"/>
      <c r="BU144" s="105"/>
      <c r="BV144" s="105"/>
      <c r="BW144" s="105"/>
      <c r="BX144" s="105"/>
    </row>
    <row r="145" spans="62:76" ht="16.5" customHeight="1">
      <c r="BJ145" s="105"/>
      <c r="BU145" s="105"/>
      <c r="BV145" s="105"/>
      <c r="BW145" s="105"/>
      <c r="BX145" s="105"/>
    </row>
    <row r="146" spans="62:76" ht="16.5" customHeight="1">
      <c r="BJ146" s="105"/>
      <c r="BU146" s="105"/>
      <c r="BV146" s="105"/>
      <c r="BW146" s="105"/>
      <c r="BX146" s="105"/>
    </row>
    <row r="147" spans="62:76" ht="16.5" customHeight="1">
      <c r="BJ147" s="105"/>
      <c r="BU147" s="105"/>
      <c r="BV147" s="105"/>
      <c r="BW147" s="105"/>
      <c r="BX147" s="105"/>
    </row>
    <row r="148" spans="62:76" ht="16.5" customHeight="1">
      <c r="BJ148" s="105"/>
      <c r="BU148" s="105"/>
      <c r="BV148" s="105"/>
      <c r="BW148" s="105"/>
      <c r="BX148" s="105"/>
    </row>
    <row r="149" spans="62:76" ht="16.5" customHeight="1">
      <c r="BJ149" s="105"/>
      <c r="BU149" s="105"/>
      <c r="BV149" s="105"/>
      <c r="BW149" s="105"/>
      <c r="BX149" s="105"/>
    </row>
    <row r="150" spans="62:76" ht="16.5" customHeight="1">
      <c r="BJ150" s="105"/>
      <c r="BU150" s="105"/>
      <c r="BV150" s="105"/>
      <c r="BW150" s="105"/>
      <c r="BX150" s="105"/>
    </row>
    <row r="151" spans="62:76" ht="16.5" customHeight="1">
      <c r="BJ151" s="105"/>
      <c r="BU151" s="105"/>
      <c r="BV151" s="105"/>
      <c r="BW151" s="105"/>
      <c r="BX151" s="105"/>
    </row>
    <row r="152" spans="62:76" ht="16.5" customHeight="1">
      <c r="BJ152" s="105"/>
      <c r="BU152" s="105"/>
      <c r="BV152" s="105"/>
      <c r="BW152" s="105"/>
      <c r="BX152" s="105"/>
    </row>
    <row r="153" spans="62:76" ht="16.5" customHeight="1">
      <c r="BJ153" s="105"/>
      <c r="BU153" s="105"/>
      <c r="BV153" s="105"/>
      <c r="BW153" s="105"/>
      <c r="BX153" s="105"/>
    </row>
    <row r="154" spans="62:76" ht="16.5" customHeight="1">
      <c r="BJ154" s="105"/>
      <c r="BU154" s="105"/>
      <c r="BV154" s="105"/>
      <c r="BW154" s="105"/>
      <c r="BX154" s="105"/>
    </row>
    <row r="155" spans="62:76" ht="16.5" customHeight="1">
      <c r="BJ155" s="105"/>
      <c r="BU155" s="105"/>
      <c r="BV155" s="105"/>
      <c r="BW155" s="105"/>
      <c r="BX155" s="105"/>
    </row>
    <row r="156" spans="62:76" ht="16.5" customHeight="1">
      <c r="BJ156" s="105"/>
      <c r="BU156" s="105"/>
      <c r="BV156" s="105"/>
      <c r="BW156" s="105"/>
      <c r="BX156" s="105"/>
    </row>
    <row r="157" spans="62:76" ht="16.5" customHeight="1">
      <c r="BJ157" s="105"/>
      <c r="BU157" s="105"/>
      <c r="BV157" s="105"/>
      <c r="BW157" s="105"/>
      <c r="BX157" s="105"/>
    </row>
    <row r="158" spans="62:76" ht="16.5" customHeight="1">
      <c r="BJ158" s="105"/>
      <c r="BU158" s="105"/>
      <c r="BV158" s="105"/>
      <c r="BW158" s="105"/>
      <c r="BX158" s="105"/>
    </row>
    <row r="159" spans="62:76" ht="16.5" customHeight="1">
      <c r="BJ159" s="105"/>
      <c r="BU159" s="105"/>
      <c r="BV159" s="105"/>
      <c r="BW159" s="105"/>
      <c r="BX159" s="105"/>
    </row>
    <row r="160" spans="62:76" ht="16.5" customHeight="1">
      <c r="BJ160" s="105"/>
      <c r="BU160" s="105"/>
      <c r="BV160" s="105"/>
      <c r="BW160" s="105"/>
      <c r="BX160" s="105"/>
    </row>
    <row r="161" spans="62:76" ht="16.5" customHeight="1">
      <c r="BJ161" s="105"/>
      <c r="BU161" s="105"/>
      <c r="BV161" s="105"/>
      <c r="BW161" s="105"/>
      <c r="BX161" s="105"/>
    </row>
    <row r="162" spans="62:76" ht="16.5" customHeight="1">
      <c r="BJ162" s="105"/>
      <c r="BU162" s="105"/>
      <c r="BV162" s="105"/>
      <c r="BW162" s="105"/>
      <c r="BX162" s="105"/>
    </row>
    <row r="163" spans="62:76" ht="16.5" customHeight="1">
      <c r="BJ163" s="105"/>
      <c r="BU163" s="105"/>
      <c r="BV163" s="105"/>
      <c r="BW163" s="105"/>
      <c r="BX163" s="105"/>
    </row>
    <row r="164" spans="62:76" ht="16.5" customHeight="1">
      <c r="BJ164" s="105"/>
      <c r="BU164" s="105"/>
      <c r="BV164" s="105"/>
      <c r="BW164" s="105"/>
      <c r="BX164" s="105"/>
    </row>
    <row r="165" spans="62:76" ht="16.5" customHeight="1">
      <c r="BJ165" s="105"/>
      <c r="BU165" s="105"/>
      <c r="BV165" s="105"/>
      <c r="BW165" s="105"/>
      <c r="BX165" s="105"/>
    </row>
    <row r="166" spans="62:76" ht="16.5" customHeight="1">
      <c r="BJ166" s="105"/>
      <c r="BU166" s="105"/>
      <c r="BV166" s="105"/>
      <c r="BW166" s="105"/>
      <c r="BX166" s="105"/>
    </row>
    <row r="167" spans="62:76" ht="16.5" customHeight="1">
      <c r="BJ167" s="105"/>
      <c r="BU167" s="105"/>
      <c r="BV167" s="105"/>
      <c r="BW167" s="105"/>
      <c r="BX167" s="105"/>
    </row>
    <row r="168" spans="62:76" ht="16.5" customHeight="1">
      <c r="BJ168" s="105"/>
      <c r="BU168" s="105"/>
      <c r="BV168" s="105"/>
      <c r="BW168" s="105"/>
      <c r="BX168" s="105"/>
    </row>
    <row r="169" spans="62:76" ht="16.5" customHeight="1">
      <c r="BJ169" s="105"/>
      <c r="BU169" s="105"/>
      <c r="BV169" s="105"/>
      <c r="BW169" s="105"/>
      <c r="BX169" s="105"/>
    </row>
    <row r="170" spans="62:76" ht="16.5" customHeight="1">
      <c r="BJ170" s="105"/>
      <c r="BU170" s="105"/>
      <c r="BV170" s="105"/>
      <c r="BW170" s="105"/>
      <c r="BX170" s="105"/>
    </row>
    <row r="171" spans="62:76" ht="16.5" customHeight="1">
      <c r="BJ171" s="105"/>
      <c r="BU171" s="105"/>
      <c r="BV171" s="105"/>
      <c r="BW171" s="105"/>
      <c r="BX171" s="105"/>
    </row>
    <row r="172" spans="62:76" ht="16.5" customHeight="1">
      <c r="BJ172" s="105"/>
      <c r="BU172" s="105"/>
      <c r="BV172" s="105"/>
      <c r="BW172" s="105"/>
      <c r="BX172" s="105"/>
    </row>
    <row r="173" spans="62:76" ht="16.5" customHeight="1">
      <c r="BJ173" s="105"/>
      <c r="BU173" s="105"/>
      <c r="BV173" s="105"/>
      <c r="BW173" s="105"/>
      <c r="BX173" s="105"/>
    </row>
    <row r="174" spans="62:76" ht="16.5" customHeight="1">
      <c r="BJ174" s="105"/>
      <c r="BU174" s="105"/>
      <c r="BV174" s="105"/>
      <c r="BW174" s="105"/>
      <c r="BX174" s="105"/>
    </row>
    <row r="175" spans="62:76" ht="16.5" customHeight="1">
      <c r="BJ175" s="105"/>
      <c r="BU175" s="105"/>
      <c r="BV175" s="105"/>
      <c r="BW175" s="105"/>
      <c r="BX175" s="105"/>
    </row>
    <row r="176" spans="62:76" ht="16.5" customHeight="1">
      <c r="BJ176" s="105"/>
      <c r="BU176" s="105"/>
      <c r="BV176" s="105"/>
      <c r="BW176" s="105"/>
      <c r="BX176" s="105"/>
    </row>
    <row r="177" spans="62:76" ht="16.5" customHeight="1">
      <c r="BJ177" s="105"/>
      <c r="BU177" s="105"/>
      <c r="BV177" s="105"/>
      <c r="BW177" s="105"/>
      <c r="BX177" s="105"/>
    </row>
    <row r="178" spans="62:76" ht="16.5" customHeight="1">
      <c r="BJ178" s="105"/>
      <c r="BU178" s="105"/>
      <c r="BV178" s="105"/>
      <c r="BW178" s="105"/>
      <c r="BX178" s="105"/>
    </row>
    <row r="179" spans="62:76" ht="16.5" customHeight="1">
      <c r="BJ179" s="105"/>
      <c r="BU179" s="105"/>
      <c r="BV179" s="105"/>
      <c r="BW179" s="105"/>
      <c r="BX179" s="105"/>
    </row>
    <row r="180" spans="62:76" ht="16.5" customHeight="1">
      <c r="BJ180" s="105"/>
      <c r="BU180" s="105"/>
      <c r="BV180" s="105"/>
      <c r="BW180" s="105"/>
      <c r="BX180" s="105"/>
    </row>
    <row r="181" spans="62:76" ht="16.5" customHeight="1">
      <c r="BJ181" s="105"/>
      <c r="BU181" s="105"/>
      <c r="BV181" s="105"/>
      <c r="BW181" s="105"/>
      <c r="BX181" s="105"/>
    </row>
    <row r="182" spans="62:76" ht="16.5" customHeight="1">
      <c r="BJ182" s="105"/>
      <c r="BU182" s="105"/>
      <c r="BV182" s="105"/>
      <c r="BW182" s="105"/>
      <c r="BX182" s="105"/>
    </row>
    <row r="183" spans="62:76" ht="16.5" customHeight="1">
      <c r="BJ183" s="105"/>
      <c r="BU183" s="105"/>
      <c r="BV183" s="105"/>
      <c r="BW183" s="105"/>
      <c r="BX183" s="105"/>
    </row>
    <row r="184" spans="62:76" ht="16.5" customHeight="1">
      <c r="BJ184" s="105"/>
      <c r="BU184" s="105"/>
      <c r="BV184" s="105"/>
      <c r="BW184" s="105"/>
      <c r="BX184" s="105"/>
    </row>
    <row r="185" spans="62:76" ht="16.5" customHeight="1">
      <c r="BJ185" s="105"/>
      <c r="BU185" s="105"/>
      <c r="BV185" s="105"/>
      <c r="BW185" s="105"/>
      <c r="BX185" s="105"/>
    </row>
    <row r="186" spans="62:76" ht="16.5" customHeight="1">
      <c r="BJ186" s="105"/>
      <c r="BU186" s="105"/>
      <c r="BV186" s="105"/>
      <c r="BW186" s="105"/>
      <c r="BX186" s="105"/>
    </row>
    <row r="187" spans="62:76" ht="16.5" customHeight="1">
      <c r="BJ187" s="105"/>
      <c r="BU187" s="105"/>
      <c r="BV187" s="105"/>
      <c r="BW187" s="105"/>
      <c r="BX187" s="105"/>
    </row>
    <row r="188" spans="62:76" ht="16.5" customHeight="1">
      <c r="BJ188" s="105"/>
      <c r="BU188" s="105"/>
      <c r="BV188" s="105"/>
      <c r="BW188" s="105"/>
      <c r="BX188" s="105"/>
    </row>
    <row r="189" spans="62:76" ht="16.5" customHeight="1">
      <c r="BJ189" s="105"/>
      <c r="BU189" s="105"/>
      <c r="BV189" s="105"/>
      <c r="BW189" s="105"/>
      <c r="BX189" s="105"/>
    </row>
    <row r="190" spans="62:76" ht="16.5" customHeight="1">
      <c r="BJ190" s="105"/>
      <c r="BU190" s="105"/>
      <c r="BV190" s="105"/>
      <c r="BW190" s="105"/>
      <c r="BX190" s="105"/>
    </row>
    <row r="191" spans="62:76" ht="16.5" customHeight="1">
      <c r="BJ191" s="105"/>
      <c r="BU191" s="105"/>
      <c r="BV191" s="105"/>
      <c r="BW191" s="105"/>
      <c r="BX191" s="105"/>
    </row>
    <row r="192" spans="62:76" ht="16.5" customHeight="1">
      <c r="BJ192" s="105"/>
      <c r="BU192" s="105"/>
      <c r="BV192" s="105"/>
      <c r="BW192" s="105"/>
      <c r="BX192" s="105"/>
    </row>
    <row r="193" spans="62:76" ht="16.5" customHeight="1">
      <c r="BJ193" s="105"/>
      <c r="BU193" s="105"/>
      <c r="BV193" s="105"/>
      <c r="BW193" s="105"/>
      <c r="BX193" s="105"/>
    </row>
    <row r="194" spans="62:76" ht="16.5" customHeight="1">
      <c r="BJ194" s="105"/>
      <c r="BU194" s="105"/>
      <c r="BV194" s="105"/>
      <c r="BW194" s="105"/>
      <c r="BX194" s="105"/>
    </row>
    <row r="195" spans="62:76" ht="16.5" customHeight="1">
      <c r="BJ195" s="105"/>
      <c r="BU195" s="105"/>
      <c r="BV195" s="105"/>
      <c r="BW195" s="105"/>
      <c r="BX195" s="105"/>
    </row>
    <row r="196" spans="62:76" ht="16.5" customHeight="1">
      <c r="BJ196" s="105"/>
      <c r="BU196" s="105"/>
      <c r="BV196" s="105"/>
      <c r="BW196" s="105"/>
      <c r="BX196" s="105"/>
    </row>
    <row r="197" spans="62:76" ht="16.5" customHeight="1">
      <c r="BJ197" s="105"/>
      <c r="BU197" s="105"/>
      <c r="BV197" s="105"/>
      <c r="BW197" s="105"/>
      <c r="BX197" s="105"/>
    </row>
    <row r="198" spans="62:76" ht="16.5" customHeight="1">
      <c r="BJ198" s="105"/>
      <c r="BU198" s="105"/>
      <c r="BV198" s="105"/>
      <c r="BW198" s="105"/>
      <c r="BX198" s="105"/>
    </row>
    <row r="199" spans="62:76" ht="16.5" customHeight="1">
      <c r="BJ199" s="105"/>
      <c r="BU199" s="105"/>
      <c r="BV199" s="105"/>
      <c r="BW199" s="105"/>
      <c r="BX199" s="105"/>
    </row>
    <row r="200" spans="62:76" ht="16.5" customHeight="1">
      <c r="BJ200" s="105"/>
      <c r="BU200" s="105"/>
      <c r="BV200" s="105"/>
      <c r="BW200" s="105"/>
      <c r="BX200" s="105"/>
    </row>
    <row r="201" spans="62:76" ht="16.5" customHeight="1">
      <c r="BJ201" s="105"/>
      <c r="BU201" s="105"/>
      <c r="BV201" s="105"/>
      <c r="BW201" s="105"/>
      <c r="BX201" s="105"/>
    </row>
    <row r="202" spans="62:76" ht="16.5" customHeight="1">
      <c r="BJ202" s="105"/>
      <c r="BU202" s="105"/>
      <c r="BV202" s="105"/>
      <c r="BW202" s="105"/>
      <c r="BX202" s="105"/>
    </row>
    <row r="203" spans="62:76" ht="16.5" customHeight="1">
      <c r="BJ203" s="105"/>
      <c r="BU203" s="105"/>
      <c r="BV203" s="105"/>
      <c r="BW203" s="105"/>
      <c r="BX203" s="105"/>
    </row>
    <row r="204" spans="62:76" ht="16.5" customHeight="1">
      <c r="BJ204" s="105"/>
      <c r="BU204" s="105"/>
      <c r="BV204" s="105"/>
      <c r="BW204" s="105"/>
      <c r="BX204" s="105"/>
    </row>
    <row r="205" spans="62:76" ht="16.5" customHeight="1">
      <c r="BJ205" s="105"/>
      <c r="BU205" s="105"/>
      <c r="BV205" s="105"/>
      <c r="BW205" s="105"/>
      <c r="BX205" s="105"/>
    </row>
    <row r="206" spans="62:76" ht="16.5" customHeight="1">
      <c r="BJ206" s="105"/>
      <c r="BU206" s="105"/>
      <c r="BV206" s="105"/>
      <c r="BW206" s="105"/>
      <c r="BX206" s="105"/>
    </row>
    <row r="207" spans="62:76" ht="16.5" customHeight="1">
      <c r="BJ207" s="105"/>
      <c r="BU207" s="105"/>
      <c r="BV207" s="105"/>
      <c r="BW207" s="105"/>
      <c r="BX207" s="105"/>
    </row>
    <row r="208" spans="62:76" ht="16.5" customHeight="1">
      <c r="BJ208" s="105"/>
      <c r="BU208" s="105"/>
      <c r="BV208" s="105"/>
      <c r="BW208" s="105"/>
      <c r="BX208" s="105"/>
    </row>
    <row r="209" spans="62:76" ht="16.5" customHeight="1">
      <c r="BJ209" s="105"/>
      <c r="BU209" s="105"/>
      <c r="BV209" s="105"/>
      <c r="BW209" s="105"/>
      <c r="BX209" s="105"/>
    </row>
    <row r="210" spans="62:76" ht="16.5" customHeight="1">
      <c r="BJ210" s="105"/>
      <c r="BU210" s="105"/>
      <c r="BV210" s="105"/>
      <c r="BW210" s="105"/>
      <c r="BX210" s="105"/>
    </row>
    <row r="211" spans="62:76" ht="16.5" customHeight="1">
      <c r="BJ211" s="105"/>
      <c r="BU211" s="105"/>
      <c r="BV211" s="105"/>
      <c r="BW211" s="105"/>
      <c r="BX211" s="105"/>
    </row>
    <row r="212" spans="62:76" ht="16.5" customHeight="1">
      <c r="BJ212" s="105"/>
      <c r="BU212" s="105"/>
      <c r="BV212" s="105"/>
      <c r="BW212" s="105"/>
      <c r="BX212" s="105"/>
    </row>
    <row r="213" spans="62:76" ht="16.5" customHeight="1">
      <c r="BJ213" s="105"/>
      <c r="BU213" s="105"/>
      <c r="BV213" s="105"/>
      <c r="BW213" s="105"/>
      <c r="BX213" s="105"/>
    </row>
    <row r="214" spans="62:76" ht="16.5" customHeight="1">
      <c r="BJ214" s="105"/>
      <c r="BU214" s="105"/>
      <c r="BV214" s="105"/>
      <c r="BW214" s="105"/>
      <c r="BX214" s="105"/>
    </row>
    <row r="215" spans="62:76" ht="16.5" customHeight="1">
      <c r="BJ215" s="105"/>
      <c r="BU215" s="105"/>
      <c r="BV215" s="105"/>
      <c r="BW215" s="105"/>
      <c r="BX215" s="105"/>
    </row>
    <row r="216" spans="62:76" ht="16.5" customHeight="1">
      <c r="BJ216" s="105"/>
      <c r="BU216" s="105"/>
      <c r="BV216" s="105"/>
      <c r="BW216" s="105"/>
      <c r="BX216" s="105"/>
    </row>
    <row r="217" spans="62:76" ht="16.5" customHeight="1">
      <c r="BJ217" s="105"/>
      <c r="BU217" s="105"/>
      <c r="BV217" s="105"/>
      <c r="BW217" s="105"/>
      <c r="BX217" s="105"/>
    </row>
    <row r="218" spans="62:76" ht="16.5" customHeight="1">
      <c r="BJ218" s="105"/>
      <c r="BU218" s="105"/>
      <c r="BV218" s="105"/>
      <c r="BW218" s="105"/>
      <c r="BX218" s="105"/>
    </row>
    <row r="219" spans="62:76" ht="16.5" customHeight="1">
      <c r="BJ219" s="105"/>
      <c r="BU219" s="105"/>
      <c r="BV219" s="105"/>
      <c r="BW219" s="105"/>
      <c r="BX219" s="105"/>
    </row>
    <row r="220" spans="62:76" ht="16.5" customHeight="1">
      <c r="BJ220" s="105"/>
      <c r="BU220" s="105"/>
      <c r="BV220" s="105"/>
      <c r="BW220" s="105"/>
      <c r="BX220" s="105"/>
    </row>
    <row r="221" spans="62:76" ht="16.5" customHeight="1">
      <c r="BJ221" s="105"/>
      <c r="BU221" s="105"/>
      <c r="BV221" s="105"/>
      <c r="BW221" s="105"/>
      <c r="BX221" s="105"/>
    </row>
    <row r="222" spans="62:76" ht="16.5" customHeight="1">
      <c r="BJ222" s="105"/>
      <c r="BU222" s="105"/>
      <c r="BV222" s="105"/>
      <c r="BW222" s="105"/>
      <c r="BX222" s="105"/>
    </row>
    <row r="223" spans="62:76" ht="16.5" customHeight="1">
      <c r="BJ223" s="105"/>
      <c r="BU223" s="105"/>
      <c r="BV223" s="105"/>
      <c r="BW223" s="105"/>
      <c r="BX223" s="105"/>
    </row>
    <row r="224" spans="62:76" ht="16.5" customHeight="1">
      <c r="BJ224" s="105"/>
      <c r="BU224" s="105"/>
      <c r="BV224" s="105"/>
      <c r="BW224" s="105"/>
      <c r="BX224" s="105"/>
    </row>
    <row r="225" spans="62:76" ht="16.5" customHeight="1">
      <c r="BJ225" s="105"/>
      <c r="BU225" s="105"/>
      <c r="BV225" s="105"/>
      <c r="BW225" s="105"/>
      <c r="BX225" s="105"/>
    </row>
    <row r="226" spans="62:76" ht="16.5" customHeight="1">
      <c r="BJ226" s="105"/>
      <c r="BU226" s="105"/>
      <c r="BV226" s="105"/>
      <c r="BW226" s="105"/>
      <c r="BX226" s="105"/>
    </row>
    <row r="227" spans="62:76" ht="16.5" customHeight="1">
      <c r="BJ227" s="105"/>
      <c r="BU227" s="105"/>
      <c r="BV227" s="105"/>
      <c r="BW227" s="105"/>
      <c r="BX227" s="105"/>
    </row>
    <row r="228" spans="62:76" ht="16.5" customHeight="1">
      <c r="BJ228" s="105"/>
      <c r="BU228" s="105"/>
      <c r="BV228" s="105"/>
      <c r="BW228" s="105"/>
      <c r="BX228" s="105"/>
    </row>
    <row r="229" spans="62:76" ht="16.5" customHeight="1">
      <c r="BJ229" s="105"/>
      <c r="BU229" s="105"/>
      <c r="BV229" s="105"/>
      <c r="BW229" s="105"/>
      <c r="BX229" s="105"/>
    </row>
    <row r="230" spans="62:76" ht="16.5" customHeight="1">
      <c r="BJ230" s="105"/>
      <c r="BU230" s="105"/>
      <c r="BV230" s="105"/>
      <c r="BW230" s="105"/>
      <c r="BX230" s="105"/>
    </row>
    <row r="231" spans="62:76" ht="16.5" customHeight="1">
      <c r="BJ231" s="105"/>
      <c r="BU231" s="105"/>
      <c r="BV231" s="105"/>
      <c r="BW231" s="105"/>
      <c r="BX231" s="105"/>
    </row>
    <row r="232" spans="62:76" ht="16.5" customHeight="1">
      <c r="BJ232" s="105"/>
      <c r="BU232" s="105"/>
      <c r="BV232" s="105"/>
      <c r="BW232" s="105"/>
      <c r="BX232" s="105"/>
    </row>
    <row r="233" spans="62:76" ht="16.5" customHeight="1">
      <c r="BJ233" s="105"/>
      <c r="BU233" s="105"/>
      <c r="BV233" s="105"/>
      <c r="BW233" s="105"/>
      <c r="BX233" s="105"/>
    </row>
    <row r="234" spans="62:76" ht="16.5" customHeight="1">
      <c r="BJ234" s="105"/>
      <c r="BU234" s="105"/>
      <c r="BV234" s="105"/>
      <c r="BW234" s="105"/>
      <c r="BX234" s="105"/>
    </row>
    <row r="235" spans="62:76" ht="16.5" customHeight="1">
      <c r="BJ235" s="105"/>
      <c r="BU235" s="105"/>
      <c r="BV235" s="105"/>
      <c r="BW235" s="105"/>
      <c r="BX235" s="105"/>
    </row>
    <row r="236" spans="62:76" ht="16.5" customHeight="1">
      <c r="BJ236" s="105"/>
      <c r="BU236" s="105"/>
      <c r="BV236" s="105"/>
      <c r="BW236" s="105"/>
      <c r="BX236" s="105"/>
    </row>
    <row r="237" spans="62:76" ht="16.5" customHeight="1">
      <c r="BJ237" s="105"/>
      <c r="BU237" s="105"/>
      <c r="BV237" s="105"/>
      <c r="BW237" s="105"/>
      <c r="BX237" s="105"/>
    </row>
    <row r="238" spans="62:76" ht="16.5" customHeight="1">
      <c r="BJ238" s="105"/>
      <c r="BU238" s="105"/>
      <c r="BV238" s="105"/>
      <c r="BW238" s="105"/>
      <c r="BX238" s="105"/>
    </row>
    <row r="239" spans="62:76" ht="16.5" customHeight="1">
      <c r="BJ239" s="105"/>
      <c r="BU239" s="105"/>
      <c r="BV239" s="105"/>
      <c r="BW239" s="105"/>
      <c r="BX239" s="105"/>
    </row>
    <row r="240" spans="62:76" ht="16.5" customHeight="1">
      <c r="BJ240" s="105"/>
      <c r="BU240" s="105"/>
      <c r="BV240" s="105"/>
      <c r="BW240" s="105"/>
      <c r="BX240" s="105"/>
    </row>
    <row r="241" spans="62:76" ht="16.5" customHeight="1">
      <c r="BJ241" s="105"/>
      <c r="BU241" s="105"/>
      <c r="BV241" s="105"/>
      <c r="BW241" s="105"/>
      <c r="BX241" s="105"/>
    </row>
    <row r="242" spans="62:76" ht="16.5" customHeight="1">
      <c r="BJ242" s="105"/>
      <c r="BU242" s="105"/>
      <c r="BV242" s="105"/>
      <c r="BW242" s="105"/>
      <c r="BX242" s="105"/>
    </row>
    <row r="243" spans="62:76" ht="16.5" customHeight="1">
      <c r="BJ243" s="105"/>
      <c r="BU243" s="105"/>
      <c r="BV243" s="105"/>
      <c r="BW243" s="105"/>
      <c r="BX243" s="105"/>
    </row>
    <row r="244" spans="62:76" ht="16.5" customHeight="1">
      <c r="BJ244" s="105"/>
      <c r="BU244" s="105"/>
      <c r="BV244" s="105"/>
      <c r="BW244" s="105"/>
      <c r="BX244" s="105"/>
    </row>
    <row r="245" spans="62:76" ht="16.5" customHeight="1">
      <c r="BJ245" s="105"/>
      <c r="BU245" s="105"/>
      <c r="BV245" s="105"/>
      <c r="BW245" s="105"/>
      <c r="BX245" s="105"/>
    </row>
    <row r="246" spans="62:76" ht="16.5" customHeight="1">
      <c r="BJ246" s="105"/>
      <c r="BU246" s="105"/>
      <c r="BV246" s="105"/>
      <c r="BW246" s="105"/>
      <c r="BX246" s="105"/>
    </row>
    <row r="247" spans="62:76" ht="16.5" customHeight="1">
      <c r="BJ247" s="105"/>
      <c r="BU247" s="105"/>
      <c r="BV247" s="105"/>
      <c r="BW247" s="105"/>
      <c r="BX247" s="105"/>
    </row>
    <row r="248" spans="62:76" ht="16.5" customHeight="1">
      <c r="BJ248" s="105"/>
      <c r="BU248" s="105"/>
      <c r="BV248" s="105"/>
      <c r="BW248" s="105"/>
      <c r="BX248" s="105"/>
    </row>
    <row r="249" spans="62:76" ht="16.5" customHeight="1">
      <c r="BJ249" s="105"/>
      <c r="BU249" s="105"/>
      <c r="BV249" s="105"/>
      <c r="BW249" s="105"/>
      <c r="BX249" s="105"/>
    </row>
    <row r="250" spans="62:76" ht="16.5" customHeight="1">
      <c r="BJ250" s="105"/>
      <c r="BU250" s="105"/>
      <c r="BV250" s="105"/>
      <c r="BW250" s="105"/>
      <c r="BX250" s="105"/>
    </row>
    <row r="251" spans="62:76" ht="16.5" customHeight="1">
      <c r="BJ251" s="105"/>
      <c r="BU251" s="105"/>
      <c r="BV251" s="105"/>
      <c r="BW251" s="105"/>
      <c r="BX251" s="105"/>
    </row>
    <row r="252" spans="62:76" ht="16.5" customHeight="1">
      <c r="BJ252" s="105"/>
      <c r="BU252" s="105"/>
      <c r="BV252" s="105"/>
      <c r="BW252" s="105"/>
      <c r="BX252" s="105"/>
    </row>
    <row r="253" spans="62:76" ht="16.5" customHeight="1">
      <c r="BJ253" s="105"/>
      <c r="BU253" s="105"/>
      <c r="BV253" s="105"/>
      <c r="BW253" s="105"/>
      <c r="BX253" s="105"/>
    </row>
    <row r="254" spans="62:76" ht="16.5" customHeight="1">
      <c r="BJ254" s="105"/>
      <c r="BU254" s="105"/>
      <c r="BV254" s="105"/>
      <c r="BW254" s="105"/>
      <c r="BX254" s="105"/>
    </row>
    <row r="255" spans="62:76" ht="16.5" customHeight="1">
      <c r="BJ255" s="105"/>
      <c r="BU255" s="105"/>
      <c r="BV255" s="105"/>
      <c r="BW255" s="105"/>
      <c r="BX255" s="105"/>
    </row>
    <row r="256" spans="62:76" ht="16.5" customHeight="1">
      <c r="BJ256" s="105"/>
      <c r="BU256" s="105"/>
      <c r="BV256" s="105"/>
      <c r="BW256" s="105"/>
      <c r="BX256" s="105"/>
    </row>
    <row r="257" spans="62:76" ht="16.5" customHeight="1">
      <c r="BJ257" s="105"/>
      <c r="BU257" s="105"/>
      <c r="BV257" s="105"/>
      <c r="BW257" s="105"/>
      <c r="BX257" s="105"/>
    </row>
    <row r="258" spans="62:76" ht="16.5" customHeight="1">
      <c r="BJ258" s="105"/>
      <c r="BU258" s="105"/>
      <c r="BV258" s="105"/>
      <c r="BW258" s="105"/>
      <c r="BX258" s="105"/>
    </row>
    <row r="259" spans="62:76" ht="16.5" customHeight="1">
      <c r="BJ259" s="105"/>
      <c r="BU259" s="105"/>
      <c r="BV259" s="105"/>
      <c r="BW259" s="105"/>
      <c r="BX259" s="105"/>
    </row>
    <row r="260" spans="62:76" ht="16.5" customHeight="1">
      <c r="BJ260" s="105"/>
      <c r="BU260" s="105"/>
      <c r="BV260" s="105"/>
      <c r="BW260" s="105"/>
      <c r="BX260" s="105"/>
    </row>
    <row r="261" spans="62:76" ht="16.5" customHeight="1">
      <c r="BJ261" s="105"/>
      <c r="BU261" s="105"/>
      <c r="BV261" s="105"/>
      <c r="BW261" s="105"/>
      <c r="BX261" s="105"/>
    </row>
    <row r="262" spans="62:76" ht="16.5" customHeight="1">
      <c r="BJ262" s="105"/>
      <c r="BU262" s="105"/>
      <c r="BV262" s="105"/>
      <c r="BW262" s="105"/>
      <c r="BX262" s="105"/>
    </row>
    <row r="263" spans="62:76" ht="16.5" customHeight="1">
      <c r="BJ263" s="105"/>
      <c r="BU263" s="105"/>
      <c r="BV263" s="105"/>
      <c r="BW263" s="105"/>
      <c r="BX263" s="105"/>
    </row>
    <row r="264" spans="62:76" ht="16.5" customHeight="1">
      <c r="BJ264" s="105"/>
      <c r="BU264" s="105"/>
      <c r="BV264" s="105"/>
      <c r="BW264" s="105"/>
      <c r="BX264" s="105"/>
    </row>
    <row r="265" spans="62:76" ht="16.5" customHeight="1">
      <c r="BJ265" s="105"/>
      <c r="BU265" s="105"/>
      <c r="BV265" s="105"/>
      <c r="BW265" s="105"/>
      <c r="BX265" s="105"/>
    </row>
    <row r="266" spans="62:76" ht="16.5" customHeight="1">
      <c r="BJ266" s="105"/>
      <c r="BU266" s="105"/>
      <c r="BV266" s="105"/>
      <c r="BW266" s="105"/>
      <c r="BX266" s="105"/>
    </row>
    <row r="267" spans="62:76" ht="16.5" customHeight="1">
      <c r="BJ267" s="105"/>
      <c r="BU267" s="105"/>
      <c r="BV267" s="105"/>
      <c r="BW267" s="105"/>
      <c r="BX267" s="105"/>
    </row>
    <row r="268" spans="62:76" ht="16.5" customHeight="1">
      <c r="BJ268" s="105"/>
      <c r="BU268" s="105"/>
      <c r="BV268" s="105"/>
      <c r="BW268" s="105"/>
      <c r="BX268" s="105"/>
    </row>
    <row r="269" spans="62:76" ht="16.5" customHeight="1">
      <c r="BJ269" s="105"/>
      <c r="BU269" s="105"/>
      <c r="BV269" s="105"/>
      <c r="BW269" s="105"/>
      <c r="BX269" s="105"/>
    </row>
    <row r="270" spans="62:76" ht="16.5" customHeight="1">
      <c r="BJ270" s="105"/>
      <c r="BU270" s="105"/>
      <c r="BV270" s="105"/>
      <c r="BW270" s="105"/>
      <c r="BX270" s="105"/>
    </row>
    <row r="271" spans="62:76" ht="16.5" customHeight="1">
      <c r="BJ271" s="105"/>
      <c r="BU271" s="105"/>
      <c r="BV271" s="105"/>
      <c r="BW271" s="105"/>
      <c r="BX271" s="105"/>
    </row>
    <row r="272" spans="62:76" ht="16.5" customHeight="1">
      <c r="BJ272" s="105"/>
      <c r="BU272" s="105"/>
      <c r="BV272" s="105"/>
      <c r="BW272" s="105"/>
      <c r="BX272" s="105"/>
    </row>
    <row r="273" spans="62:76" ht="16.5" customHeight="1">
      <c r="BJ273" s="105"/>
      <c r="BU273" s="105"/>
      <c r="BV273" s="105"/>
      <c r="BW273" s="105"/>
      <c r="BX273" s="105"/>
    </row>
    <row r="274" spans="62:76" ht="16.5" customHeight="1">
      <c r="BJ274" s="105"/>
      <c r="BU274" s="105"/>
      <c r="BV274" s="105"/>
      <c r="BW274" s="105"/>
      <c r="BX274" s="105"/>
    </row>
    <row r="275" spans="62:76" ht="16.5" customHeight="1">
      <c r="BJ275" s="105"/>
      <c r="BU275" s="105"/>
      <c r="BV275" s="105"/>
      <c r="BW275" s="105"/>
      <c r="BX275" s="105"/>
    </row>
    <row r="276" spans="62:76" ht="16.5" customHeight="1">
      <c r="BJ276" s="105"/>
      <c r="BU276" s="105"/>
      <c r="BV276" s="105"/>
      <c r="BW276" s="105"/>
      <c r="BX276" s="105"/>
    </row>
    <row r="277" spans="62:76" ht="16.5" customHeight="1">
      <c r="BJ277" s="105"/>
      <c r="BU277" s="105"/>
      <c r="BV277" s="105"/>
      <c r="BW277" s="105"/>
      <c r="BX277" s="105"/>
    </row>
    <row r="278" spans="62:76" ht="16.5" customHeight="1">
      <c r="BJ278" s="105"/>
      <c r="BU278" s="105"/>
      <c r="BV278" s="105"/>
      <c r="BW278" s="105"/>
      <c r="BX278" s="105"/>
    </row>
    <row r="279" spans="62:76" ht="16.5" customHeight="1">
      <c r="BJ279" s="105"/>
      <c r="BU279" s="105"/>
      <c r="BV279" s="105"/>
      <c r="BW279" s="105"/>
      <c r="BX279" s="105"/>
    </row>
    <row r="280" spans="62:76" ht="16.5" customHeight="1">
      <c r="BJ280" s="105"/>
      <c r="BU280" s="105"/>
      <c r="BV280" s="105"/>
      <c r="BW280" s="105"/>
      <c r="BX280" s="105"/>
    </row>
    <row r="281" spans="62:76" ht="16.5" customHeight="1">
      <c r="BJ281" s="105"/>
      <c r="BU281" s="105"/>
      <c r="BV281" s="105"/>
      <c r="BW281" s="105"/>
      <c r="BX281" s="105"/>
    </row>
    <row r="282" spans="62:76" ht="16.5" customHeight="1">
      <c r="BJ282" s="105"/>
      <c r="BU282" s="105"/>
      <c r="BV282" s="105"/>
      <c r="BW282" s="105"/>
      <c r="BX282" s="105"/>
    </row>
    <row r="283" spans="62:76" ht="16.5" customHeight="1">
      <c r="BJ283" s="105"/>
      <c r="BU283" s="105"/>
      <c r="BV283" s="105"/>
      <c r="BW283" s="105"/>
      <c r="BX283" s="105"/>
    </row>
    <row r="284" spans="62:76" ht="16.5" customHeight="1">
      <c r="BJ284" s="105"/>
      <c r="BU284" s="105"/>
      <c r="BV284" s="105"/>
      <c r="BW284" s="105"/>
      <c r="BX284" s="105"/>
    </row>
    <row r="285" spans="62:76" ht="16.5" customHeight="1">
      <c r="BJ285" s="105"/>
      <c r="BU285" s="105"/>
      <c r="BV285" s="105"/>
      <c r="BW285" s="105"/>
      <c r="BX285" s="105"/>
    </row>
    <row r="286" spans="62:76" ht="16.5" customHeight="1">
      <c r="BJ286" s="105"/>
      <c r="BU286" s="105"/>
      <c r="BV286" s="105"/>
      <c r="BW286" s="105"/>
      <c r="BX286" s="105"/>
    </row>
    <row r="287" spans="62:76" ht="16.5" customHeight="1">
      <c r="BJ287" s="105"/>
      <c r="BU287" s="105"/>
      <c r="BV287" s="105"/>
      <c r="BW287" s="105"/>
      <c r="BX287" s="105"/>
    </row>
    <row r="288" spans="62:76" ht="16.5" customHeight="1">
      <c r="BJ288" s="105"/>
      <c r="BU288" s="105"/>
      <c r="BV288" s="105"/>
      <c r="BW288" s="105"/>
      <c r="BX288" s="105"/>
    </row>
    <row r="289" spans="62:76" ht="16.5" customHeight="1">
      <c r="BJ289" s="105"/>
      <c r="BU289" s="105"/>
      <c r="BV289" s="105"/>
      <c r="BW289" s="105"/>
      <c r="BX289" s="105"/>
    </row>
    <row r="290" spans="62:76" ht="16.5" customHeight="1">
      <c r="BJ290" s="105"/>
      <c r="BU290" s="105"/>
      <c r="BV290" s="105"/>
      <c r="BW290" s="105"/>
      <c r="BX290" s="105"/>
    </row>
    <row r="291" spans="62:76" ht="16.5" customHeight="1">
      <c r="BJ291" s="105"/>
      <c r="BU291" s="105"/>
      <c r="BV291" s="105"/>
      <c r="BW291" s="105"/>
      <c r="BX291" s="105"/>
    </row>
    <row r="292" spans="62:76" ht="16.5" customHeight="1">
      <c r="BJ292" s="105"/>
      <c r="BU292" s="105"/>
      <c r="BV292" s="105"/>
      <c r="BW292" s="105"/>
      <c r="BX292" s="105"/>
    </row>
    <row r="293" spans="62:76" ht="16.5" customHeight="1">
      <c r="BJ293" s="105"/>
      <c r="BU293" s="105"/>
      <c r="BV293" s="105"/>
      <c r="BW293" s="105"/>
      <c r="BX293" s="105"/>
    </row>
    <row r="294" spans="62:76" ht="16.5" customHeight="1">
      <c r="BJ294" s="105"/>
      <c r="BU294" s="105"/>
      <c r="BV294" s="105"/>
      <c r="BW294" s="105"/>
      <c r="BX294" s="105"/>
    </row>
    <row r="295" spans="62:76" ht="16.5" customHeight="1">
      <c r="BJ295" s="105"/>
      <c r="BU295" s="105"/>
      <c r="BV295" s="105"/>
      <c r="BW295" s="105"/>
      <c r="BX295" s="105"/>
    </row>
    <row r="296" spans="62:76" ht="16.5" customHeight="1">
      <c r="BJ296" s="105"/>
      <c r="BU296" s="105"/>
      <c r="BV296" s="105"/>
      <c r="BW296" s="105"/>
      <c r="BX296" s="105"/>
    </row>
    <row r="297" spans="62:76" ht="16.5" customHeight="1">
      <c r="BJ297" s="105"/>
      <c r="BU297" s="105"/>
      <c r="BV297" s="105"/>
      <c r="BW297" s="105"/>
      <c r="BX297" s="105"/>
    </row>
    <row r="298" spans="62:76" ht="16.5" customHeight="1">
      <c r="BJ298" s="105"/>
      <c r="BU298" s="105"/>
      <c r="BV298" s="105"/>
      <c r="BW298" s="105"/>
      <c r="BX298" s="105"/>
    </row>
    <row r="299" spans="62:76" ht="16.5" customHeight="1">
      <c r="BJ299" s="105"/>
      <c r="BU299" s="105"/>
      <c r="BV299" s="105"/>
      <c r="BW299" s="105"/>
      <c r="BX299" s="105"/>
    </row>
    <row r="300" spans="62:76" ht="16.5" customHeight="1">
      <c r="BJ300" s="105"/>
      <c r="BU300" s="105"/>
      <c r="BV300" s="105"/>
      <c r="BW300" s="105"/>
      <c r="BX300" s="105"/>
    </row>
    <row r="301" spans="62:76" ht="16.5" customHeight="1">
      <c r="BJ301" s="105"/>
      <c r="BU301" s="105"/>
      <c r="BV301" s="105"/>
      <c r="BW301" s="105"/>
      <c r="BX301" s="105"/>
    </row>
    <row r="302" spans="62:76" ht="16.5" customHeight="1">
      <c r="BJ302" s="105"/>
      <c r="BU302" s="105"/>
      <c r="BV302" s="105"/>
      <c r="BW302" s="105"/>
      <c r="BX302" s="105"/>
    </row>
    <row r="303" spans="62:76" ht="16.5" customHeight="1">
      <c r="BJ303" s="105"/>
      <c r="BU303" s="105"/>
      <c r="BV303" s="105"/>
      <c r="BW303" s="105"/>
      <c r="BX303" s="105"/>
    </row>
    <row r="304" spans="62:76" ht="16.5" customHeight="1">
      <c r="BJ304" s="105"/>
      <c r="BU304" s="105"/>
      <c r="BV304" s="105"/>
      <c r="BW304" s="105"/>
      <c r="BX304" s="105"/>
    </row>
    <row r="305" spans="62:76" ht="16.5" customHeight="1">
      <c r="BJ305" s="105"/>
      <c r="BU305" s="105"/>
      <c r="BV305" s="105"/>
      <c r="BW305" s="105"/>
      <c r="BX305" s="105"/>
    </row>
    <row r="306" spans="62:76" ht="16.5" customHeight="1">
      <c r="BJ306" s="105"/>
      <c r="BU306" s="105"/>
      <c r="BV306" s="105"/>
      <c r="BW306" s="105"/>
      <c r="BX306" s="105"/>
    </row>
    <row r="307" spans="62:76" ht="16.5" customHeight="1">
      <c r="BJ307" s="105"/>
      <c r="BU307" s="105"/>
      <c r="BV307" s="105"/>
      <c r="BW307" s="105"/>
      <c r="BX307" s="105"/>
    </row>
    <row r="308" spans="62:76" ht="16.5" customHeight="1">
      <c r="BJ308" s="105"/>
      <c r="BU308" s="105"/>
      <c r="BV308" s="105"/>
      <c r="BW308" s="105"/>
      <c r="BX308" s="105"/>
    </row>
    <row r="309" spans="62:76" ht="16.5" customHeight="1">
      <c r="BJ309" s="105"/>
      <c r="BU309" s="105"/>
      <c r="BV309" s="105"/>
      <c r="BW309" s="105"/>
      <c r="BX309" s="105"/>
    </row>
    <row r="310" spans="62:76" ht="16.5" customHeight="1">
      <c r="BJ310" s="105"/>
      <c r="BU310" s="105"/>
      <c r="BV310" s="105"/>
      <c r="BW310" s="105"/>
      <c r="BX310" s="105"/>
    </row>
    <row r="311" spans="62:76" ht="16.5" customHeight="1">
      <c r="BJ311" s="105"/>
      <c r="BU311" s="105"/>
      <c r="BV311" s="105"/>
      <c r="BW311" s="105"/>
      <c r="BX311" s="105"/>
    </row>
    <row r="312" spans="62:76" ht="16.5" customHeight="1">
      <c r="BJ312" s="105"/>
      <c r="BU312" s="105"/>
      <c r="BV312" s="105"/>
      <c r="BW312" s="105"/>
      <c r="BX312" s="105"/>
    </row>
    <row r="313" spans="62:76" ht="16.5" customHeight="1">
      <c r="BJ313" s="105"/>
      <c r="BU313" s="105"/>
      <c r="BV313" s="105"/>
      <c r="BW313" s="105"/>
      <c r="BX313" s="105"/>
    </row>
    <row r="314" spans="62:76" ht="16.5" customHeight="1">
      <c r="BJ314" s="105"/>
      <c r="BU314" s="105"/>
      <c r="BV314" s="105"/>
      <c r="BW314" s="105"/>
      <c r="BX314" s="105"/>
    </row>
    <row r="315" spans="62:76" ht="16.5" customHeight="1">
      <c r="BJ315" s="105"/>
      <c r="BU315" s="105"/>
      <c r="BV315" s="105"/>
      <c r="BW315" s="105"/>
      <c r="BX315" s="105"/>
    </row>
    <row r="316" spans="62:76" ht="16.5" customHeight="1">
      <c r="BJ316" s="105"/>
      <c r="BU316" s="105"/>
      <c r="BV316" s="105"/>
      <c r="BW316" s="105"/>
      <c r="BX316" s="105"/>
    </row>
    <row r="317" spans="62:76" ht="16.5" customHeight="1">
      <c r="BJ317" s="105"/>
      <c r="BU317" s="105"/>
      <c r="BV317" s="105"/>
      <c r="BW317" s="105"/>
      <c r="BX317" s="105"/>
    </row>
    <row r="318" spans="62:76" ht="16.5" customHeight="1">
      <c r="BJ318" s="105"/>
      <c r="BU318" s="105"/>
      <c r="BV318" s="105"/>
      <c r="BW318" s="105"/>
      <c r="BX318" s="105"/>
    </row>
    <row r="319" spans="62:76" ht="16.5" customHeight="1">
      <c r="BJ319" s="105"/>
      <c r="BU319" s="105"/>
      <c r="BV319" s="105"/>
      <c r="BW319" s="105"/>
      <c r="BX319" s="105"/>
    </row>
    <row r="320" spans="62:76" ht="16.5" customHeight="1">
      <c r="BJ320" s="105"/>
      <c r="BU320" s="105"/>
      <c r="BV320" s="105"/>
      <c r="BW320" s="105"/>
      <c r="BX320" s="105"/>
    </row>
    <row r="321" spans="62:76" ht="16.5" customHeight="1">
      <c r="BJ321" s="105"/>
      <c r="BU321" s="105"/>
      <c r="BV321" s="105"/>
      <c r="BW321" s="105"/>
      <c r="BX321" s="105"/>
    </row>
    <row r="322" spans="62:76" ht="16.5" customHeight="1">
      <c r="BJ322" s="105"/>
      <c r="BU322" s="105"/>
      <c r="BV322" s="105"/>
      <c r="BW322" s="105"/>
      <c r="BX322" s="105"/>
    </row>
    <row r="323" spans="62:76" ht="16.5" customHeight="1">
      <c r="BJ323" s="105"/>
      <c r="BU323" s="105"/>
      <c r="BV323" s="105"/>
      <c r="BW323" s="105"/>
      <c r="BX323" s="105"/>
    </row>
    <row r="324" spans="62:76" ht="16.5" customHeight="1">
      <c r="BJ324" s="105"/>
      <c r="BU324" s="105"/>
      <c r="BV324" s="105"/>
      <c r="BW324" s="105"/>
      <c r="BX324" s="105"/>
    </row>
    <row r="325" spans="62:76" ht="16.5" customHeight="1">
      <c r="BJ325" s="105"/>
      <c r="BU325" s="105"/>
      <c r="BV325" s="105"/>
      <c r="BW325" s="105"/>
      <c r="BX325" s="105"/>
    </row>
    <row r="326" spans="62:76" ht="16.5" customHeight="1">
      <c r="BJ326" s="105"/>
      <c r="BU326" s="105"/>
      <c r="BV326" s="105"/>
      <c r="BW326" s="105"/>
      <c r="BX326" s="105"/>
    </row>
    <row r="327" spans="62:76" ht="16.5" customHeight="1">
      <c r="BJ327" s="105"/>
      <c r="BU327" s="105"/>
      <c r="BV327" s="105"/>
      <c r="BW327" s="105"/>
      <c r="BX327" s="105"/>
    </row>
    <row r="328" spans="62:76" ht="16.5" customHeight="1">
      <c r="BJ328" s="105"/>
      <c r="BU328" s="105"/>
      <c r="BV328" s="105"/>
      <c r="BW328" s="105"/>
      <c r="BX328" s="105"/>
    </row>
    <row r="329" spans="62:76" ht="16.5" customHeight="1">
      <c r="BJ329" s="105"/>
      <c r="BU329" s="105"/>
      <c r="BV329" s="105"/>
      <c r="BW329" s="105"/>
      <c r="BX329" s="105"/>
    </row>
    <row r="330" spans="62:76" ht="16.5" customHeight="1">
      <c r="BJ330" s="105"/>
      <c r="BU330" s="105"/>
      <c r="BV330" s="105"/>
      <c r="BW330" s="105"/>
      <c r="BX330" s="105"/>
    </row>
    <row r="331" spans="62:76" ht="16.5" customHeight="1">
      <c r="BJ331" s="105"/>
      <c r="BU331" s="105"/>
      <c r="BV331" s="105"/>
      <c r="BW331" s="105"/>
      <c r="BX331" s="105"/>
    </row>
    <row r="332" spans="62:76" ht="16.5" customHeight="1">
      <c r="BJ332" s="105"/>
      <c r="BU332" s="105"/>
      <c r="BV332" s="105"/>
      <c r="BW332" s="105"/>
      <c r="BX332" s="105"/>
    </row>
    <row r="333" spans="62:76" ht="16.5" customHeight="1">
      <c r="BJ333" s="105"/>
      <c r="BU333" s="105"/>
      <c r="BV333" s="105"/>
      <c r="BW333" s="105"/>
      <c r="BX333" s="105"/>
    </row>
    <row r="334" spans="62:76" ht="16.5" customHeight="1">
      <c r="BJ334" s="105"/>
      <c r="BU334" s="105"/>
      <c r="BV334" s="105"/>
      <c r="BW334" s="105"/>
      <c r="BX334" s="105"/>
    </row>
    <row r="335" spans="62:76" ht="16.5" customHeight="1">
      <c r="BJ335" s="105"/>
      <c r="BU335" s="105"/>
      <c r="BV335" s="105"/>
      <c r="BW335" s="105"/>
      <c r="BX335" s="105"/>
    </row>
    <row r="336" spans="62:76" ht="16.5" customHeight="1">
      <c r="BJ336" s="105"/>
      <c r="BU336" s="105"/>
      <c r="BV336" s="105"/>
      <c r="BW336" s="105"/>
      <c r="BX336" s="105"/>
    </row>
    <row r="337" spans="62:76" ht="16.5" customHeight="1">
      <c r="BJ337" s="105"/>
      <c r="BU337" s="105"/>
      <c r="BV337" s="105"/>
      <c r="BW337" s="105"/>
      <c r="BX337" s="105"/>
    </row>
    <row r="338" spans="62:76" ht="16.5" customHeight="1">
      <c r="BJ338" s="105"/>
      <c r="BU338" s="105"/>
      <c r="BV338" s="105"/>
      <c r="BW338" s="105"/>
      <c r="BX338" s="105"/>
    </row>
    <row r="339" spans="62:76" ht="16.5" customHeight="1">
      <c r="BJ339" s="105"/>
      <c r="BU339" s="105"/>
      <c r="BV339" s="105"/>
      <c r="BW339" s="105"/>
      <c r="BX339" s="105"/>
    </row>
    <row r="340" spans="62:76" ht="16.5" customHeight="1">
      <c r="BJ340" s="105"/>
      <c r="BU340" s="105"/>
      <c r="BV340" s="105"/>
      <c r="BW340" s="105"/>
      <c r="BX340" s="105"/>
    </row>
    <row r="341" spans="62:76" ht="16.5" customHeight="1">
      <c r="BJ341" s="105"/>
      <c r="BU341" s="105"/>
      <c r="BV341" s="105"/>
      <c r="BW341" s="105"/>
      <c r="BX341" s="105"/>
    </row>
    <row r="342" spans="62:76" ht="16.5" customHeight="1">
      <c r="BJ342" s="105"/>
      <c r="BU342" s="105"/>
      <c r="BV342" s="105"/>
      <c r="BW342" s="105"/>
      <c r="BX342" s="105"/>
    </row>
    <row r="343" spans="62:76" ht="16.5" customHeight="1">
      <c r="BJ343" s="105"/>
      <c r="BU343" s="105"/>
      <c r="BV343" s="105"/>
      <c r="BW343" s="105"/>
      <c r="BX343" s="105"/>
    </row>
    <row r="344" spans="62:76" ht="16.5" customHeight="1">
      <c r="BJ344" s="105"/>
      <c r="BU344" s="105"/>
      <c r="BV344" s="105"/>
      <c r="BW344" s="105"/>
      <c r="BX344" s="105"/>
    </row>
    <row r="345" spans="62:76" ht="16.5" customHeight="1">
      <c r="BJ345" s="105"/>
      <c r="BU345" s="105"/>
      <c r="BV345" s="105"/>
      <c r="BW345" s="105"/>
      <c r="BX345" s="105"/>
    </row>
    <row r="346" spans="62:76" ht="16.5" customHeight="1">
      <c r="BJ346" s="105"/>
      <c r="BU346" s="105"/>
      <c r="BV346" s="105"/>
      <c r="BW346" s="105"/>
      <c r="BX346" s="105"/>
    </row>
    <row r="347" spans="62:76" ht="16.5" customHeight="1">
      <c r="BJ347" s="105"/>
      <c r="BU347" s="105"/>
      <c r="BV347" s="105"/>
      <c r="BW347" s="105"/>
      <c r="BX347" s="105"/>
    </row>
    <row r="348" spans="62:76" ht="16.5" customHeight="1">
      <c r="BJ348" s="105"/>
      <c r="BU348" s="105"/>
      <c r="BV348" s="105"/>
      <c r="BW348" s="105"/>
      <c r="BX348" s="105"/>
    </row>
    <row r="349" spans="62:76" ht="16.5" customHeight="1">
      <c r="BJ349" s="105"/>
      <c r="BU349" s="105"/>
      <c r="BV349" s="105"/>
      <c r="BW349" s="105"/>
      <c r="BX349" s="105"/>
    </row>
    <row r="350" spans="62:76" ht="16.5" customHeight="1">
      <c r="BJ350" s="105"/>
      <c r="BU350" s="105"/>
      <c r="BV350" s="105"/>
      <c r="BW350" s="105"/>
      <c r="BX350" s="105"/>
    </row>
    <row r="351" spans="62:76" ht="16.5" customHeight="1">
      <c r="BJ351" s="105"/>
      <c r="BU351" s="105"/>
      <c r="BV351" s="105"/>
      <c r="BW351" s="105"/>
      <c r="BX351" s="105"/>
    </row>
    <row r="352" spans="62:76" ht="16.5" customHeight="1">
      <c r="BJ352" s="105"/>
      <c r="BU352" s="105"/>
      <c r="BV352" s="105"/>
      <c r="BW352" s="105"/>
      <c r="BX352" s="105"/>
    </row>
    <row r="353" spans="62:76" ht="16.5" customHeight="1">
      <c r="BJ353" s="105"/>
      <c r="BU353" s="105"/>
      <c r="BV353" s="105"/>
      <c r="BW353" s="105"/>
      <c r="BX353" s="105"/>
    </row>
    <row r="354" spans="62:76" ht="16.5" customHeight="1">
      <c r="BJ354" s="105"/>
      <c r="BU354" s="105"/>
      <c r="BV354" s="105"/>
      <c r="BW354" s="105"/>
      <c r="BX354" s="105"/>
    </row>
    <row r="355" spans="62:76" ht="16.5" customHeight="1">
      <c r="BJ355" s="105"/>
      <c r="BU355" s="105"/>
      <c r="BV355" s="105"/>
      <c r="BW355" s="105"/>
      <c r="BX355" s="105"/>
    </row>
    <row r="356" spans="62:76" ht="16.5" customHeight="1">
      <c r="BJ356" s="105"/>
      <c r="BU356" s="105"/>
      <c r="BV356" s="105"/>
      <c r="BW356" s="105"/>
      <c r="BX356" s="105"/>
    </row>
    <row r="357" spans="62:76" ht="16.5" customHeight="1">
      <c r="BJ357" s="105"/>
      <c r="BU357" s="105"/>
      <c r="BV357" s="105"/>
      <c r="BW357" s="105"/>
      <c r="BX357" s="105"/>
    </row>
    <row r="358" spans="62:76" ht="16.5" customHeight="1">
      <c r="BJ358" s="105"/>
      <c r="BU358" s="105"/>
      <c r="BV358" s="105"/>
      <c r="BW358" s="105"/>
      <c r="BX358" s="105"/>
    </row>
    <row r="359" spans="62:76" ht="16.5" customHeight="1">
      <c r="BJ359" s="105"/>
      <c r="BU359" s="105"/>
      <c r="BV359" s="105"/>
      <c r="BW359" s="105"/>
      <c r="BX359" s="105"/>
    </row>
    <row r="360" spans="62:76" ht="16.5" customHeight="1">
      <c r="BJ360" s="105"/>
      <c r="BU360" s="105"/>
      <c r="BV360" s="105"/>
      <c r="BW360" s="105"/>
      <c r="BX360" s="105"/>
    </row>
    <row r="361" spans="62:76" ht="16.5" customHeight="1">
      <c r="BJ361" s="105"/>
      <c r="BU361" s="105"/>
      <c r="BV361" s="105"/>
      <c r="BW361" s="105"/>
      <c r="BX361" s="105"/>
    </row>
    <row r="362" spans="62:76" ht="16.5" customHeight="1">
      <c r="BJ362" s="105"/>
      <c r="BU362" s="105"/>
      <c r="BV362" s="105"/>
      <c r="BW362" s="105"/>
      <c r="BX362" s="105"/>
    </row>
    <row r="363" spans="62:76" ht="16.5" customHeight="1">
      <c r="BJ363" s="105"/>
      <c r="BU363" s="105"/>
      <c r="BV363" s="105"/>
      <c r="BW363" s="105"/>
      <c r="BX363" s="105"/>
    </row>
    <row r="364" spans="62:76" ht="16.5" customHeight="1">
      <c r="BJ364" s="105"/>
      <c r="BU364" s="105"/>
      <c r="BV364" s="105"/>
      <c r="BW364" s="105"/>
      <c r="BX364" s="105"/>
    </row>
    <row r="365" spans="62:76" ht="16.5" customHeight="1">
      <c r="BJ365" s="105"/>
      <c r="BU365" s="105"/>
      <c r="BV365" s="105"/>
      <c r="BW365" s="105"/>
      <c r="BX365" s="105"/>
    </row>
    <row r="366" spans="62:76" ht="16.5" customHeight="1">
      <c r="BJ366" s="105"/>
      <c r="BU366" s="105"/>
      <c r="BV366" s="105"/>
      <c r="BW366" s="105"/>
      <c r="BX366" s="105"/>
    </row>
    <row r="367" spans="62:76" ht="16.5" customHeight="1">
      <c r="BJ367" s="105"/>
      <c r="BU367" s="105"/>
      <c r="BV367" s="105"/>
      <c r="BW367" s="105"/>
      <c r="BX367" s="105"/>
    </row>
    <row r="368" spans="62:76" ht="16.5" customHeight="1">
      <c r="BJ368" s="105"/>
      <c r="BU368" s="105"/>
      <c r="BV368" s="105"/>
      <c r="BW368" s="105"/>
      <c r="BX368" s="105"/>
    </row>
    <row r="369" spans="62:76" ht="16.5" customHeight="1">
      <c r="BJ369" s="105"/>
      <c r="BU369" s="105"/>
      <c r="BV369" s="105"/>
      <c r="BW369" s="105"/>
      <c r="BX369" s="105"/>
    </row>
    <row r="370" spans="62:76" ht="16.5" customHeight="1">
      <c r="BJ370" s="105"/>
      <c r="BU370" s="105"/>
      <c r="BV370" s="105"/>
      <c r="BW370" s="105"/>
      <c r="BX370" s="105"/>
    </row>
    <row r="371" spans="62:76" ht="16.5" customHeight="1">
      <c r="BJ371" s="105"/>
      <c r="BU371" s="105"/>
      <c r="BV371" s="105"/>
      <c r="BW371" s="105"/>
      <c r="BX371" s="105"/>
    </row>
    <row r="372" spans="62:76" ht="16.5" customHeight="1">
      <c r="BJ372" s="105"/>
      <c r="BU372" s="105"/>
      <c r="BV372" s="105"/>
      <c r="BW372" s="105"/>
      <c r="BX372" s="105"/>
    </row>
    <row r="373" spans="62:76" ht="16.5" customHeight="1">
      <c r="BJ373" s="105"/>
      <c r="BU373" s="105"/>
      <c r="BV373" s="105"/>
      <c r="BW373" s="105"/>
      <c r="BX373" s="105"/>
    </row>
    <row r="374" spans="62:76" ht="16.5" customHeight="1">
      <c r="BJ374" s="105"/>
      <c r="BU374" s="105"/>
      <c r="BV374" s="105"/>
      <c r="BW374" s="105"/>
      <c r="BX374" s="105"/>
    </row>
    <row r="375" spans="62:76" ht="16.5" customHeight="1">
      <c r="BJ375" s="105"/>
      <c r="BU375" s="105"/>
      <c r="BV375" s="105"/>
      <c r="BW375" s="105"/>
      <c r="BX375" s="105"/>
    </row>
    <row r="376" spans="62:76" ht="16.5" customHeight="1">
      <c r="BJ376" s="105"/>
      <c r="BU376" s="105"/>
      <c r="BV376" s="105"/>
      <c r="BW376" s="105"/>
      <c r="BX376" s="105"/>
    </row>
    <row r="377" spans="62:76" ht="16.5" customHeight="1">
      <c r="BJ377" s="105"/>
      <c r="BU377" s="105"/>
      <c r="BV377" s="105"/>
      <c r="BW377" s="105"/>
      <c r="BX377" s="105"/>
    </row>
    <row r="378" spans="62:76" ht="16.5" customHeight="1">
      <c r="BJ378" s="105"/>
      <c r="BU378" s="105"/>
      <c r="BV378" s="105"/>
      <c r="BW378" s="105"/>
      <c r="BX378" s="105"/>
    </row>
    <row r="379" spans="62:76" ht="16.5" customHeight="1">
      <c r="BJ379" s="105"/>
      <c r="BU379" s="105"/>
      <c r="BV379" s="105"/>
      <c r="BW379" s="105"/>
      <c r="BX379" s="105"/>
    </row>
    <row r="380" spans="62:76" ht="16.5" customHeight="1">
      <c r="BJ380" s="105"/>
      <c r="BU380" s="105"/>
      <c r="BV380" s="105"/>
      <c r="BW380" s="105"/>
      <c r="BX380" s="105"/>
    </row>
    <row r="381" spans="62:76" ht="16.5" customHeight="1">
      <c r="BJ381" s="105"/>
      <c r="BU381" s="105"/>
      <c r="BV381" s="105"/>
      <c r="BW381" s="105"/>
      <c r="BX381" s="105"/>
    </row>
    <row r="382" spans="62:76" ht="16.5" customHeight="1">
      <c r="BJ382" s="105"/>
      <c r="BU382" s="105"/>
      <c r="BV382" s="105"/>
      <c r="BW382" s="105"/>
      <c r="BX382" s="105"/>
    </row>
    <row r="383" spans="62:76" ht="16.5" customHeight="1">
      <c r="BJ383" s="105"/>
      <c r="BU383" s="105"/>
      <c r="BV383" s="105"/>
      <c r="BW383" s="105"/>
      <c r="BX383" s="105"/>
    </row>
    <row r="384" spans="62:76" ht="16.5" customHeight="1">
      <c r="BJ384" s="105"/>
      <c r="BU384" s="105"/>
      <c r="BV384" s="105"/>
      <c r="BW384" s="105"/>
      <c r="BX384" s="105"/>
    </row>
    <row r="385" spans="62:76" ht="16.5" customHeight="1">
      <c r="BJ385" s="105"/>
      <c r="BU385" s="105"/>
      <c r="BV385" s="105"/>
      <c r="BW385" s="105"/>
      <c r="BX385" s="105"/>
    </row>
    <row r="386" spans="62:76" ht="16.5" customHeight="1">
      <c r="BJ386" s="105"/>
      <c r="BU386" s="105"/>
      <c r="BV386" s="105"/>
      <c r="BW386" s="105"/>
      <c r="BX386" s="105"/>
    </row>
    <row r="387" spans="62:76" ht="16.5" customHeight="1">
      <c r="BJ387" s="105"/>
      <c r="BU387" s="105"/>
      <c r="BV387" s="105"/>
      <c r="BW387" s="105"/>
      <c r="BX387" s="105"/>
    </row>
    <row r="388" spans="62:76" ht="16.5" customHeight="1">
      <c r="BJ388" s="105"/>
      <c r="BU388" s="105"/>
      <c r="BV388" s="105"/>
      <c r="BW388" s="105"/>
      <c r="BX388" s="105"/>
    </row>
    <row r="389" spans="62:76" ht="16.5" customHeight="1">
      <c r="BJ389" s="105"/>
      <c r="BU389" s="105"/>
      <c r="BV389" s="105"/>
      <c r="BW389" s="105"/>
      <c r="BX389" s="105"/>
    </row>
    <row r="390" spans="62:76" ht="16.5" customHeight="1">
      <c r="BJ390" s="105"/>
      <c r="BU390" s="105"/>
      <c r="BV390" s="105"/>
      <c r="BW390" s="105"/>
      <c r="BX390" s="105"/>
    </row>
    <row r="391" spans="62:76" ht="16.5" customHeight="1">
      <c r="BJ391" s="105"/>
      <c r="BU391" s="105"/>
      <c r="BV391" s="105"/>
      <c r="BW391" s="105"/>
      <c r="BX391" s="105"/>
    </row>
    <row r="392" spans="62:76" ht="16.5" customHeight="1">
      <c r="BJ392" s="105"/>
      <c r="BU392" s="105"/>
      <c r="BV392" s="105"/>
      <c r="BW392" s="105"/>
      <c r="BX392" s="105"/>
    </row>
    <row r="393" spans="62:76" ht="16.5" customHeight="1">
      <c r="BJ393" s="105"/>
      <c r="BU393" s="105"/>
      <c r="BV393" s="105"/>
      <c r="BW393" s="105"/>
      <c r="BX393" s="105"/>
    </row>
    <row r="394" spans="62:76" ht="16.5" customHeight="1">
      <c r="BJ394" s="105"/>
      <c r="BU394" s="105"/>
      <c r="BV394" s="105"/>
      <c r="BW394" s="105"/>
      <c r="BX394" s="105"/>
    </row>
    <row r="395" spans="62:76" ht="16.5" customHeight="1">
      <c r="BJ395" s="105"/>
      <c r="BU395" s="105"/>
      <c r="BV395" s="105"/>
      <c r="BW395" s="105"/>
      <c r="BX395" s="105"/>
    </row>
    <row r="396" spans="62:76" ht="16.5" customHeight="1">
      <c r="BJ396" s="105"/>
      <c r="BU396" s="105"/>
      <c r="BV396" s="105"/>
      <c r="BW396" s="105"/>
      <c r="BX396" s="105"/>
    </row>
    <row r="397" spans="62:76" ht="16.5" customHeight="1">
      <c r="BJ397" s="105"/>
      <c r="BU397" s="105"/>
      <c r="BV397" s="105"/>
      <c r="BW397" s="105"/>
      <c r="BX397" s="105"/>
    </row>
    <row r="398" spans="62:76" ht="16.5" customHeight="1">
      <c r="BJ398" s="105"/>
      <c r="BU398" s="105"/>
      <c r="BV398" s="105"/>
      <c r="BW398" s="105"/>
      <c r="BX398" s="105"/>
    </row>
    <row r="399" spans="62:76" ht="16.5" customHeight="1">
      <c r="BJ399" s="105"/>
      <c r="BU399" s="105"/>
      <c r="BV399" s="105"/>
      <c r="BW399" s="105"/>
      <c r="BX399" s="105"/>
    </row>
    <row r="400" spans="62:76" ht="16.5" customHeight="1">
      <c r="BJ400" s="105"/>
      <c r="BU400" s="105"/>
      <c r="BV400" s="105"/>
      <c r="BW400" s="105"/>
      <c r="BX400" s="105"/>
    </row>
    <row r="401" spans="62:76" ht="16.5" customHeight="1">
      <c r="BJ401" s="105"/>
      <c r="BU401" s="105"/>
      <c r="BV401" s="105"/>
      <c r="BW401" s="105"/>
      <c r="BX401" s="105"/>
    </row>
    <row r="402" spans="62:76" ht="16.5" customHeight="1">
      <c r="BJ402" s="105"/>
      <c r="BU402" s="105"/>
      <c r="BV402" s="105"/>
      <c r="BW402" s="105"/>
      <c r="BX402" s="105"/>
    </row>
    <row r="403" spans="62:76" ht="16.5" customHeight="1">
      <c r="BJ403" s="105"/>
      <c r="BU403" s="105"/>
      <c r="BV403" s="105"/>
      <c r="BW403" s="105"/>
      <c r="BX403" s="105"/>
    </row>
    <row r="404" spans="62:76" ht="16.5" customHeight="1">
      <c r="BJ404" s="105"/>
      <c r="BU404" s="105"/>
      <c r="BV404" s="105"/>
      <c r="BW404" s="105"/>
      <c r="BX404" s="105"/>
    </row>
    <row r="405" spans="62:76" ht="16.5" customHeight="1">
      <c r="BJ405" s="105"/>
      <c r="BU405" s="105"/>
      <c r="BV405" s="105"/>
      <c r="BW405" s="105"/>
      <c r="BX405" s="105"/>
    </row>
    <row r="406" spans="62:76" ht="16.5" customHeight="1">
      <c r="BJ406" s="105"/>
      <c r="BU406" s="105"/>
      <c r="BV406" s="105"/>
      <c r="BW406" s="105"/>
      <c r="BX406" s="105"/>
    </row>
    <row r="407" spans="62:76" ht="16.5" customHeight="1">
      <c r="BJ407" s="105"/>
      <c r="BU407" s="105"/>
      <c r="BV407" s="105"/>
      <c r="BW407" s="105"/>
      <c r="BX407" s="105"/>
    </row>
    <row r="408" spans="62:76" ht="16.5" customHeight="1">
      <c r="BJ408" s="105"/>
      <c r="BU408" s="105"/>
      <c r="BV408" s="105"/>
      <c r="BW408" s="105"/>
      <c r="BX408" s="105"/>
    </row>
    <row r="409" spans="62:76" ht="16.5" customHeight="1">
      <c r="BJ409" s="105"/>
      <c r="BU409" s="105"/>
      <c r="BV409" s="105"/>
      <c r="BW409" s="105"/>
      <c r="BX409" s="105"/>
    </row>
    <row r="410" spans="62:76" ht="16.5" customHeight="1">
      <c r="BJ410" s="105"/>
      <c r="BU410" s="105"/>
      <c r="BV410" s="105"/>
      <c r="BW410" s="105"/>
      <c r="BX410" s="105"/>
    </row>
    <row r="411" spans="62:76" ht="16.5" customHeight="1">
      <c r="BJ411" s="105"/>
      <c r="BU411" s="105"/>
      <c r="BV411" s="105"/>
      <c r="BW411" s="105"/>
      <c r="BX411" s="105"/>
    </row>
    <row r="412" spans="62:76" ht="16.5" customHeight="1">
      <c r="BJ412" s="105"/>
      <c r="BU412" s="105"/>
      <c r="BV412" s="105"/>
      <c r="BW412" s="105"/>
      <c r="BX412" s="105"/>
    </row>
    <row r="413" spans="62:76" ht="16.5" customHeight="1">
      <c r="BJ413" s="105"/>
      <c r="BU413" s="105"/>
      <c r="BV413" s="105"/>
      <c r="BW413" s="105"/>
      <c r="BX413" s="105"/>
    </row>
    <row r="414" spans="62:76" ht="16.5" customHeight="1">
      <c r="BJ414" s="105"/>
      <c r="BU414" s="105"/>
      <c r="BV414" s="105"/>
      <c r="BW414" s="105"/>
      <c r="BX414" s="105"/>
    </row>
    <row r="415" spans="62:76" ht="16.5" customHeight="1">
      <c r="BJ415" s="105"/>
      <c r="BU415" s="105"/>
      <c r="BV415" s="105"/>
      <c r="BW415" s="105"/>
      <c r="BX415" s="105"/>
    </row>
    <row r="416" spans="62:76" ht="16.5" customHeight="1">
      <c r="BJ416" s="105"/>
      <c r="BU416" s="105"/>
      <c r="BV416" s="105"/>
      <c r="BW416" s="105"/>
      <c r="BX416" s="105"/>
    </row>
    <row r="417" spans="62:76" ht="16.5" customHeight="1">
      <c r="BJ417" s="105"/>
      <c r="BU417" s="105"/>
      <c r="BV417" s="105"/>
      <c r="BW417" s="105"/>
      <c r="BX417" s="105"/>
    </row>
    <row r="418" spans="62:76" ht="16.5" customHeight="1">
      <c r="BJ418" s="105"/>
      <c r="BU418" s="105"/>
      <c r="BV418" s="105"/>
      <c r="BW418" s="105"/>
      <c r="BX418" s="105"/>
    </row>
    <row r="419" spans="62:76" ht="16.5" customHeight="1">
      <c r="BJ419" s="105"/>
      <c r="BU419" s="105"/>
      <c r="BV419" s="105"/>
      <c r="BW419" s="105"/>
      <c r="BX419" s="105"/>
    </row>
    <row r="420" spans="62:76" ht="16.5" customHeight="1">
      <c r="BJ420" s="105"/>
      <c r="BU420" s="105"/>
      <c r="BV420" s="105"/>
      <c r="BW420" s="105"/>
      <c r="BX420" s="105"/>
    </row>
    <row r="421" spans="62:76" ht="16.5" customHeight="1">
      <c r="BJ421" s="105"/>
      <c r="BU421" s="105"/>
      <c r="BV421" s="105"/>
      <c r="BW421" s="105"/>
      <c r="BX421" s="105"/>
    </row>
    <row r="422" spans="62:76" ht="16.5" customHeight="1">
      <c r="BJ422" s="105"/>
      <c r="BU422" s="105"/>
      <c r="BV422" s="105"/>
      <c r="BW422" s="105"/>
      <c r="BX422" s="105"/>
    </row>
    <row r="423" spans="62:76" ht="16.5" customHeight="1">
      <c r="BJ423" s="105"/>
      <c r="BU423" s="105"/>
      <c r="BV423" s="105"/>
      <c r="BW423" s="105"/>
      <c r="BX423" s="105"/>
    </row>
    <row r="424" spans="62:76" ht="16.5" customHeight="1">
      <c r="BJ424" s="105"/>
      <c r="BU424" s="105"/>
      <c r="BV424" s="105"/>
      <c r="BW424" s="105"/>
      <c r="BX424" s="105"/>
    </row>
    <row r="425" spans="62:76" ht="16.5" customHeight="1">
      <c r="BJ425" s="105"/>
      <c r="BU425" s="105"/>
      <c r="BV425" s="105"/>
      <c r="BW425" s="105"/>
      <c r="BX425" s="105"/>
    </row>
    <row r="426" spans="62:76" ht="16.5" customHeight="1">
      <c r="BJ426" s="105"/>
      <c r="BU426" s="105"/>
      <c r="BV426" s="105"/>
      <c r="BW426" s="105"/>
      <c r="BX426" s="105"/>
    </row>
    <row r="427" spans="62:76" ht="16.5" customHeight="1">
      <c r="BJ427" s="105"/>
      <c r="BU427" s="105"/>
      <c r="BV427" s="105"/>
      <c r="BW427" s="105"/>
      <c r="BX427" s="105"/>
    </row>
    <row r="428" spans="62:76" ht="16.5" customHeight="1">
      <c r="BJ428" s="105"/>
      <c r="BU428" s="105"/>
      <c r="BV428" s="105"/>
      <c r="BW428" s="105"/>
      <c r="BX428" s="105"/>
    </row>
    <row r="429" spans="62:76" ht="16.5" customHeight="1">
      <c r="BJ429" s="105"/>
      <c r="BU429" s="105"/>
      <c r="BV429" s="105"/>
      <c r="BW429" s="105"/>
      <c r="BX429" s="105"/>
    </row>
    <row r="430" spans="62:76" ht="16.5" customHeight="1">
      <c r="BJ430" s="105"/>
      <c r="BU430" s="105"/>
      <c r="BV430" s="105"/>
      <c r="BW430" s="105"/>
      <c r="BX430" s="105"/>
    </row>
    <row r="431" spans="62:76" ht="16.5" customHeight="1">
      <c r="BJ431" s="105"/>
      <c r="BU431" s="105"/>
      <c r="BV431" s="105"/>
      <c r="BW431" s="105"/>
      <c r="BX431" s="105"/>
    </row>
    <row r="432" spans="62:76" ht="16.5" customHeight="1">
      <c r="BJ432" s="105"/>
      <c r="BU432" s="105"/>
      <c r="BV432" s="105"/>
      <c r="BW432" s="105"/>
      <c r="BX432" s="105"/>
    </row>
    <row r="433" spans="62:76" ht="16.5" customHeight="1">
      <c r="BJ433" s="105"/>
      <c r="BU433" s="105"/>
      <c r="BV433" s="105"/>
      <c r="BW433" s="105"/>
      <c r="BX433" s="105"/>
    </row>
    <row r="434" spans="62:76" ht="16.5" customHeight="1">
      <c r="BJ434" s="105"/>
      <c r="BU434" s="105"/>
      <c r="BV434" s="105"/>
      <c r="BW434" s="105"/>
      <c r="BX434" s="105"/>
    </row>
    <row r="435" spans="62:76" ht="16.5" customHeight="1">
      <c r="BJ435" s="105"/>
      <c r="BU435" s="105"/>
      <c r="BV435" s="105"/>
      <c r="BW435" s="105"/>
      <c r="BX435" s="105"/>
    </row>
    <row r="436" spans="62:76" ht="16.5" customHeight="1">
      <c r="BJ436" s="105"/>
      <c r="BU436" s="105"/>
      <c r="BV436" s="105"/>
      <c r="BW436" s="105"/>
      <c r="BX436" s="105"/>
    </row>
    <row r="437" spans="62:76" ht="16.5" customHeight="1">
      <c r="BJ437" s="105"/>
      <c r="BU437" s="105"/>
      <c r="BV437" s="105"/>
      <c r="BW437" s="105"/>
      <c r="BX437" s="105"/>
    </row>
    <row r="438" spans="62:76" ht="16.5" customHeight="1">
      <c r="BJ438" s="105"/>
      <c r="BU438" s="105"/>
      <c r="BV438" s="105"/>
      <c r="BW438" s="105"/>
      <c r="BX438" s="105"/>
    </row>
    <row r="439" spans="62:76" ht="16.5" customHeight="1">
      <c r="BJ439" s="105"/>
      <c r="BU439" s="105"/>
      <c r="BV439" s="105"/>
      <c r="BW439" s="105"/>
      <c r="BX439" s="105"/>
    </row>
    <row r="440" spans="62:76" ht="16.5" customHeight="1">
      <c r="BJ440" s="105"/>
      <c r="BU440" s="105"/>
      <c r="BV440" s="105"/>
      <c r="BW440" s="105"/>
      <c r="BX440" s="105"/>
    </row>
    <row r="441" spans="62:76" ht="16.5" customHeight="1">
      <c r="BJ441" s="105"/>
      <c r="BU441" s="105"/>
      <c r="BV441" s="105"/>
      <c r="BW441" s="105"/>
      <c r="BX441" s="105"/>
    </row>
    <row r="442" spans="62:76" ht="16.5" customHeight="1">
      <c r="BJ442" s="105"/>
      <c r="BU442" s="105"/>
      <c r="BV442" s="105"/>
      <c r="BW442" s="105"/>
      <c r="BX442" s="105"/>
    </row>
    <row r="443" spans="62:76" ht="16.5" customHeight="1">
      <c r="BJ443" s="105"/>
      <c r="BU443" s="105"/>
      <c r="BV443" s="105"/>
      <c r="BW443" s="105"/>
      <c r="BX443" s="105"/>
    </row>
    <row r="444" spans="62:76" ht="16.5" customHeight="1">
      <c r="BJ444" s="105"/>
      <c r="BU444" s="105"/>
      <c r="BV444" s="105"/>
      <c r="BW444" s="105"/>
      <c r="BX444" s="105"/>
    </row>
    <row r="445" spans="62:76" ht="16.5" customHeight="1">
      <c r="BJ445" s="105"/>
      <c r="BU445" s="105"/>
      <c r="BV445" s="105"/>
      <c r="BW445" s="105"/>
      <c r="BX445" s="105"/>
    </row>
    <row r="446" spans="62:76" ht="16.5" customHeight="1">
      <c r="BJ446" s="105"/>
      <c r="BU446" s="105"/>
      <c r="BV446" s="105"/>
      <c r="BW446" s="105"/>
      <c r="BX446" s="105"/>
    </row>
    <row r="447" spans="62:76" ht="16.5" customHeight="1">
      <c r="BJ447" s="105"/>
      <c r="BU447" s="105"/>
      <c r="BV447" s="105"/>
      <c r="BW447" s="105"/>
      <c r="BX447" s="105"/>
    </row>
    <row r="448" spans="62:76" ht="16.5" customHeight="1">
      <c r="BJ448" s="105"/>
      <c r="BU448" s="105"/>
      <c r="BV448" s="105"/>
      <c r="BW448" s="105"/>
      <c r="BX448" s="105"/>
    </row>
    <row r="449" spans="62:76" ht="16.5" customHeight="1">
      <c r="BJ449" s="105"/>
      <c r="BU449" s="105"/>
      <c r="BV449" s="105"/>
      <c r="BW449" s="105"/>
      <c r="BX449" s="105"/>
    </row>
    <row r="450" spans="62:76" ht="16.5" customHeight="1">
      <c r="BJ450" s="105"/>
      <c r="BU450" s="105"/>
      <c r="BV450" s="105"/>
      <c r="BW450" s="105"/>
      <c r="BX450" s="105"/>
    </row>
    <row r="451" spans="62:76" ht="16.5" customHeight="1">
      <c r="BJ451" s="105"/>
      <c r="BU451" s="105"/>
      <c r="BV451" s="105"/>
      <c r="BW451" s="105"/>
      <c r="BX451" s="105"/>
    </row>
    <row r="452" spans="62:76" ht="16.5" customHeight="1">
      <c r="BJ452" s="105"/>
      <c r="BU452" s="105"/>
      <c r="BV452" s="105"/>
      <c r="BW452" s="105"/>
      <c r="BX452" s="105"/>
    </row>
    <row r="453" spans="62:76" ht="16.5" customHeight="1">
      <c r="BJ453" s="105"/>
      <c r="BU453" s="105"/>
      <c r="BV453" s="105"/>
      <c r="BW453" s="105"/>
      <c r="BX453" s="105"/>
    </row>
    <row r="454" spans="62:76" ht="16.5" customHeight="1">
      <c r="BJ454" s="105"/>
      <c r="BU454" s="105"/>
      <c r="BV454" s="105"/>
      <c r="BW454" s="105"/>
      <c r="BX454" s="105"/>
    </row>
    <row r="455" spans="62:76" ht="16.5" customHeight="1">
      <c r="BJ455" s="105"/>
      <c r="BU455" s="105"/>
      <c r="BV455" s="105"/>
      <c r="BW455" s="105"/>
      <c r="BX455" s="105"/>
    </row>
    <row r="456" spans="62:76" ht="16.5" customHeight="1">
      <c r="BJ456" s="105"/>
      <c r="BU456" s="105"/>
      <c r="BV456" s="105"/>
      <c r="BW456" s="105"/>
      <c r="BX456" s="105"/>
    </row>
    <row r="457" spans="62:76" ht="16.5" customHeight="1">
      <c r="BJ457" s="105"/>
      <c r="BU457" s="105"/>
      <c r="BV457" s="105"/>
      <c r="BW457" s="105"/>
      <c r="BX457" s="105"/>
    </row>
    <row r="458" spans="62:76" ht="16.5" customHeight="1">
      <c r="BJ458" s="105"/>
      <c r="BU458" s="105"/>
      <c r="BV458" s="105"/>
      <c r="BW458" s="105"/>
      <c r="BX458" s="105"/>
    </row>
    <row r="459" spans="62:76" ht="16.5" customHeight="1">
      <c r="BJ459" s="105"/>
      <c r="BU459" s="105"/>
      <c r="BV459" s="105"/>
      <c r="BW459" s="105"/>
      <c r="BX459" s="105"/>
    </row>
    <row r="460" spans="62:76" ht="16.5" customHeight="1">
      <c r="BJ460" s="105"/>
      <c r="BU460" s="105"/>
      <c r="BV460" s="105"/>
      <c r="BW460" s="105"/>
      <c r="BX460" s="105"/>
    </row>
    <row r="461" spans="62:76" ht="16.5" customHeight="1">
      <c r="BJ461" s="105"/>
      <c r="BU461" s="105"/>
      <c r="BV461" s="105"/>
      <c r="BW461" s="105"/>
      <c r="BX461" s="105"/>
    </row>
    <row r="462" spans="62:76" ht="16.5" customHeight="1">
      <c r="BJ462" s="105"/>
      <c r="BU462" s="105"/>
      <c r="BV462" s="105"/>
      <c r="BW462" s="105"/>
      <c r="BX462" s="105"/>
    </row>
    <row r="463" spans="62:76" ht="16.5" customHeight="1">
      <c r="BJ463" s="105"/>
      <c r="BU463" s="105"/>
      <c r="BV463" s="105"/>
      <c r="BW463" s="105"/>
      <c r="BX463" s="105"/>
    </row>
    <row r="464" spans="62:76" ht="16.5" customHeight="1">
      <c r="BJ464" s="105"/>
      <c r="BU464" s="105"/>
      <c r="BV464" s="105"/>
      <c r="BW464" s="105"/>
      <c r="BX464" s="105"/>
    </row>
    <row r="465" spans="62:76" ht="16.5" customHeight="1">
      <c r="BJ465" s="105"/>
      <c r="BU465" s="105"/>
      <c r="BV465" s="105"/>
      <c r="BW465" s="105"/>
      <c r="BX465" s="105"/>
    </row>
    <row r="466" spans="62:76" ht="16.5" customHeight="1">
      <c r="BJ466" s="105"/>
      <c r="BU466" s="105"/>
      <c r="BV466" s="105"/>
      <c r="BW466" s="105"/>
      <c r="BX466" s="105"/>
    </row>
    <row r="467" spans="62:76" ht="16.5" customHeight="1">
      <c r="BJ467" s="105"/>
      <c r="BU467" s="105"/>
      <c r="BV467" s="105"/>
      <c r="BW467" s="105"/>
      <c r="BX467" s="105"/>
    </row>
    <row r="468" spans="62:76" ht="16.5" customHeight="1">
      <c r="BJ468" s="105"/>
      <c r="BU468" s="105"/>
      <c r="BV468" s="105"/>
      <c r="BW468" s="105"/>
      <c r="BX468" s="105"/>
    </row>
    <row r="469" spans="62:76" ht="16.5" customHeight="1">
      <c r="BJ469" s="105"/>
      <c r="BU469" s="105"/>
      <c r="BV469" s="105"/>
      <c r="BW469" s="105"/>
      <c r="BX469" s="105"/>
    </row>
    <row r="470" spans="62:76" ht="16.5" customHeight="1">
      <c r="BJ470" s="105"/>
      <c r="BU470" s="105"/>
      <c r="BV470" s="105"/>
      <c r="BW470" s="105"/>
      <c r="BX470" s="105"/>
    </row>
    <row r="471" spans="62:76" ht="16.5" customHeight="1">
      <c r="BJ471" s="105"/>
      <c r="BU471" s="105"/>
      <c r="BV471" s="105"/>
      <c r="BW471" s="105"/>
      <c r="BX471" s="105"/>
    </row>
    <row r="472" spans="62:76" ht="16.5" customHeight="1">
      <c r="BJ472" s="105"/>
      <c r="BU472" s="105"/>
      <c r="BV472" s="105"/>
      <c r="BW472" s="105"/>
      <c r="BX472" s="105"/>
    </row>
    <row r="473" spans="62:76" ht="16.5" customHeight="1">
      <c r="BJ473" s="105"/>
      <c r="BU473" s="105"/>
      <c r="BV473" s="105"/>
      <c r="BW473" s="105"/>
      <c r="BX473" s="105"/>
    </row>
    <row r="474" spans="62:76" ht="16.5" customHeight="1">
      <c r="BJ474" s="105"/>
      <c r="BU474" s="105"/>
      <c r="BV474" s="105"/>
      <c r="BW474" s="105"/>
      <c r="BX474" s="105"/>
    </row>
    <row r="475" spans="62:76" ht="16.5" customHeight="1">
      <c r="BJ475" s="105"/>
      <c r="BU475" s="105"/>
      <c r="BV475" s="105"/>
      <c r="BW475" s="105"/>
      <c r="BX475" s="105"/>
    </row>
    <row r="476" spans="62:76" ht="16.5" customHeight="1">
      <c r="BJ476" s="105"/>
      <c r="BU476" s="105"/>
      <c r="BV476" s="105"/>
      <c r="BW476" s="105"/>
      <c r="BX476" s="105"/>
    </row>
    <row r="477" spans="62:76" ht="16.5" customHeight="1">
      <c r="BJ477" s="105"/>
      <c r="BU477" s="105"/>
      <c r="BV477" s="105"/>
      <c r="BW477" s="105"/>
      <c r="BX477" s="105"/>
    </row>
    <row r="478" spans="62:76" ht="16.5" customHeight="1">
      <c r="BJ478" s="105"/>
      <c r="BU478" s="105"/>
      <c r="BV478" s="105"/>
      <c r="BW478" s="105"/>
      <c r="BX478" s="105"/>
    </row>
    <row r="479" spans="62:76" ht="16.5" customHeight="1">
      <c r="BJ479" s="105"/>
      <c r="BU479" s="105"/>
      <c r="BV479" s="105"/>
      <c r="BW479" s="105"/>
      <c r="BX479" s="105"/>
    </row>
    <row r="480" spans="62:76" ht="16.5" customHeight="1">
      <c r="BJ480" s="105"/>
      <c r="BU480" s="105"/>
      <c r="BV480" s="105"/>
      <c r="BW480" s="105"/>
      <c r="BX480" s="105"/>
    </row>
    <row r="481" spans="62:76" ht="16.5" customHeight="1">
      <c r="BJ481" s="105"/>
      <c r="BU481" s="105"/>
      <c r="BV481" s="105"/>
      <c r="BW481" s="105"/>
      <c r="BX481" s="105"/>
    </row>
    <row r="482" spans="62:76" ht="16.5" customHeight="1">
      <c r="BJ482" s="105"/>
      <c r="BU482" s="105"/>
      <c r="BV482" s="105"/>
      <c r="BW482" s="105"/>
      <c r="BX482" s="105"/>
    </row>
    <row r="483" spans="62:76" ht="16.5" customHeight="1">
      <c r="BJ483" s="105"/>
      <c r="BU483" s="105"/>
      <c r="BV483" s="105"/>
      <c r="BW483" s="105"/>
      <c r="BX483" s="105"/>
    </row>
    <row r="484" spans="62:76" ht="16.5" customHeight="1">
      <c r="BJ484" s="105"/>
      <c r="BU484" s="105"/>
      <c r="BV484" s="105"/>
      <c r="BW484" s="105"/>
      <c r="BX484" s="105"/>
    </row>
    <row r="485" spans="62:76" ht="16.5" customHeight="1">
      <c r="BJ485" s="105"/>
      <c r="BU485" s="105"/>
      <c r="BV485" s="105"/>
      <c r="BW485" s="105"/>
      <c r="BX485" s="105"/>
    </row>
    <row r="486" spans="62:76" ht="16.5" customHeight="1">
      <c r="BJ486" s="105"/>
      <c r="BU486" s="105"/>
      <c r="BV486" s="105"/>
      <c r="BW486" s="105"/>
      <c r="BX486" s="105"/>
    </row>
    <row r="487" spans="62:76" ht="16.5" customHeight="1">
      <c r="BJ487" s="105"/>
      <c r="BU487" s="105"/>
      <c r="BV487" s="105"/>
      <c r="BW487" s="105"/>
      <c r="BX487" s="105"/>
    </row>
    <row r="488" spans="62:76" ht="16.5" customHeight="1">
      <c r="BJ488" s="105"/>
      <c r="BU488" s="105"/>
      <c r="BV488" s="105"/>
      <c r="BW488" s="105"/>
      <c r="BX488" s="105"/>
    </row>
    <row r="489" spans="62:76" ht="16.5" customHeight="1">
      <c r="BJ489" s="105"/>
      <c r="BU489" s="105"/>
      <c r="BV489" s="105"/>
      <c r="BW489" s="105"/>
      <c r="BX489" s="105"/>
    </row>
    <row r="490" spans="62:76" ht="16.5" customHeight="1">
      <c r="BJ490" s="105"/>
      <c r="BU490" s="105"/>
      <c r="BV490" s="105"/>
      <c r="BW490" s="105"/>
      <c r="BX490" s="105"/>
    </row>
    <row r="491" spans="62:76" ht="16.5" customHeight="1">
      <c r="BJ491" s="105"/>
      <c r="BU491" s="105"/>
      <c r="BV491" s="105"/>
      <c r="BW491" s="105"/>
      <c r="BX491" s="105"/>
    </row>
    <row r="492" spans="62:76" ht="16.5" customHeight="1">
      <c r="BJ492" s="105"/>
      <c r="BU492" s="105"/>
      <c r="BV492" s="105"/>
      <c r="BW492" s="105"/>
      <c r="BX492" s="105"/>
    </row>
    <row r="493" spans="62:76" ht="16.5" customHeight="1">
      <c r="BJ493" s="105"/>
      <c r="BU493" s="105"/>
      <c r="BV493" s="105"/>
      <c r="BW493" s="105"/>
      <c r="BX493" s="105"/>
    </row>
    <row r="494" spans="62:76" ht="16.5" customHeight="1">
      <c r="BJ494" s="105"/>
      <c r="BU494" s="105"/>
      <c r="BV494" s="105"/>
      <c r="BW494" s="105"/>
      <c r="BX494" s="105"/>
    </row>
    <row r="495" spans="62:76" ht="16.5" customHeight="1">
      <c r="BJ495" s="105"/>
      <c r="BU495" s="105"/>
      <c r="BV495" s="105"/>
      <c r="BW495" s="105"/>
      <c r="BX495" s="105"/>
    </row>
    <row r="496" spans="62:76" ht="16.5" customHeight="1">
      <c r="BJ496" s="105"/>
      <c r="BU496" s="105"/>
      <c r="BV496" s="105"/>
      <c r="BW496" s="105"/>
      <c r="BX496" s="105"/>
    </row>
    <row r="497" spans="62:76" ht="16.5" customHeight="1">
      <c r="BJ497" s="105"/>
      <c r="BU497" s="105"/>
      <c r="BV497" s="105"/>
      <c r="BW497" s="105"/>
      <c r="BX497" s="105"/>
    </row>
    <row r="498" spans="62:76" ht="16.5" customHeight="1">
      <c r="BJ498" s="105"/>
      <c r="BU498" s="105"/>
      <c r="BV498" s="105"/>
      <c r="BW498" s="105"/>
      <c r="BX498" s="105"/>
    </row>
    <row r="499" spans="62:76" ht="16.5" customHeight="1">
      <c r="BJ499" s="105"/>
      <c r="BU499" s="105"/>
      <c r="BV499" s="105"/>
      <c r="BW499" s="105"/>
      <c r="BX499" s="105"/>
    </row>
    <row r="500" spans="62:76" ht="16.5" customHeight="1">
      <c r="BJ500" s="105"/>
      <c r="BU500" s="105"/>
      <c r="BV500" s="105"/>
      <c r="BW500" s="105"/>
      <c r="BX500" s="105"/>
    </row>
    <row r="501" spans="62:76" ht="16.5" customHeight="1">
      <c r="BJ501" s="105"/>
      <c r="BU501" s="105"/>
      <c r="BV501" s="105"/>
      <c r="BW501" s="105"/>
      <c r="BX501" s="105"/>
    </row>
    <row r="502" spans="62:76" ht="16.5" customHeight="1">
      <c r="BJ502" s="105"/>
      <c r="BU502" s="105"/>
      <c r="BV502" s="105"/>
      <c r="BW502" s="105"/>
      <c r="BX502" s="105"/>
    </row>
    <row r="503" spans="62:76" ht="16.5" customHeight="1">
      <c r="BJ503" s="105"/>
      <c r="BU503" s="105"/>
      <c r="BV503" s="105"/>
      <c r="BW503" s="105"/>
      <c r="BX503" s="105"/>
    </row>
    <row r="504" spans="62:76" ht="16.5" customHeight="1">
      <c r="BJ504" s="105"/>
      <c r="BU504" s="105"/>
      <c r="BV504" s="105"/>
      <c r="BW504" s="105"/>
      <c r="BX504" s="105"/>
    </row>
    <row r="505" spans="62:76" ht="16.5" customHeight="1">
      <c r="BJ505" s="105"/>
      <c r="BU505" s="105"/>
      <c r="BV505" s="105"/>
      <c r="BW505" s="105"/>
      <c r="BX505" s="105"/>
    </row>
    <row r="506" spans="62:76" ht="16.5" customHeight="1">
      <c r="BJ506" s="105"/>
      <c r="BU506" s="105"/>
      <c r="BV506" s="105"/>
      <c r="BW506" s="105"/>
      <c r="BX506" s="105"/>
    </row>
    <row r="507" spans="62:76" ht="16.5" customHeight="1">
      <c r="BJ507" s="105"/>
      <c r="BU507" s="105"/>
      <c r="BV507" s="105"/>
      <c r="BW507" s="105"/>
      <c r="BX507" s="105"/>
    </row>
    <row r="508" spans="62:76" ht="16.5" customHeight="1">
      <c r="BJ508" s="105"/>
      <c r="BU508" s="105"/>
      <c r="BV508" s="105"/>
      <c r="BW508" s="105"/>
      <c r="BX508" s="105"/>
    </row>
    <row r="509" spans="62:76" ht="16.5" customHeight="1">
      <c r="BJ509" s="105"/>
      <c r="BU509" s="105"/>
      <c r="BV509" s="105"/>
      <c r="BW509" s="105"/>
      <c r="BX509" s="105"/>
    </row>
    <row r="510" spans="62:76" ht="16.5" customHeight="1">
      <c r="BJ510" s="105"/>
      <c r="BU510" s="105"/>
      <c r="BV510" s="105"/>
      <c r="BW510" s="105"/>
      <c r="BX510" s="105"/>
    </row>
    <row r="511" spans="62:76" ht="16.5" customHeight="1">
      <c r="BJ511" s="105"/>
      <c r="BU511" s="105"/>
      <c r="BV511" s="105"/>
      <c r="BW511" s="105"/>
      <c r="BX511" s="105"/>
    </row>
    <row r="512" spans="62:76" ht="16.5" customHeight="1">
      <c r="BJ512" s="105"/>
      <c r="BU512" s="105"/>
      <c r="BV512" s="105"/>
      <c r="BW512" s="105"/>
      <c r="BX512" s="105"/>
    </row>
    <row r="513" spans="62:76" ht="16.5" customHeight="1">
      <c r="BJ513" s="105"/>
      <c r="BU513" s="105"/>
      <c r="BV513" s="105"/>
      <c r="BW513" s="105"/>
      <c r="BX513" s="105"/>
    </row>
    <row r="514" spans="62:76" ht="16.5" customHeight="1">
      <c r="BJ514" s="105"/>
      <c r="BU514" s="105"/>
      <c r="BV514" s="105"/>
      <c r="BW514" s="105"/>
      <c r="BX514" s="105"/>
    </row>
    <row r="515" spans="62:76" ht="16.5" customHeight="1">
      <c r="BJ515" s="105"/>
      <c r="BU515" s="105"/>
      <c r="BV515" s="105"/>
      <c r="BW515" s="105"/>
      <c r="BX515" s="105"/>
    </row>
    <row r="516" spans="62:76" ht="16.5" customHeight="1">
      <c r="BJ516" s="105"/>
      <c r="BU516" s="105"/>
      <c r="BV516" s="105"/>
      <c r="BW516" s="105"/>
      <c r="BX516" s="105"/>
    </row>
    <row r="517" spans="62:76" ht="16.5" customHeight="1">
      <c r="BJ517" s="105"/>
      <c r="BU517" s="105"/>
      <c r="BV517" s="105"/>
      <c r="BW517" s="105"/>
      <c r="BX517" s="105"/>
    </row>
    <row r="518" spans="62:76" ht="16.5" customHeight="1">
      <c r="BJ518" s="105"/>
      <c r="BU518" s="105"/>
      <c r="BV518" s="105"/>
      <c r="BW518" s="105"/>
      <c r="BX518" s="105"/>
    </row>
    <row r="519" spans="62:76" ht="16.5" customHeight="1">
      <c r="BJ519" s="105"/>
      <c r="BU519" s="105"/>
      <c r="BV519" s="105"/>
      <c r="BW519" s="105"/>
      <c r="BX519" s="105"/>
    </row>
    <row r="520" spans="62:76" ht="16.5" customHeight="1">
      <c r="BJ520" s="105"/>
      <c r="BU520" s="105"/>
      <c r="BV520" s="105"/>
      <c r="BW520" s="105"/>
      <c r="BX520" s="105"/>
    </row>
    <row r="521" spans="62:76" ht="16.5" customHeight="1">
      <c r="BJ521" s="105"/>
      <c r="BU521" s="105"/>
      <c r="BV521" s="105"/>
      <c r="BW521" s="105"/>
      <c r="BX521" s="105"/>
    </row>
    <row r="522" spans="62:76" ht="16.5" customHeight="1">
      <c r="BJ522" s="105"/>
      <c r="BU522" s="105"/>
      <c r="BV522" s="105"/>
      <c r="BW522" s="105"/>
      <c r="BX522" s="105"/>
    </row>
    <row r="523" spans="62:76" ht="16.5" customHeight="1">
      <c r="BJ523" s="105"/>
      <c r="BU523" s="105"/>
      <c r="BV523" s="105"/>
      <c r="BW523" s="105"/>
      <c r="BX523" s="105"/>
    </row>
    <row r="524" spans="62:76" ht="16.5" customHeight="1">
      <c r="BJ524" s="105"/>
      <c r="BU524" s="105"/>
      <c r="BV524" s="105"/>
      <c r="BW524" s="105"/>
      <c r="BX524" s="105"/>
    </row>
    <row r="525" spans="62:76" ht="16.5" customHeight="1">
      <c r="BJ525" s="105"/>
      <c r="BU525" s="105"/>
      <c r="BV525" s="105"/>
      <c r="BW525" s="105"/>
      <c r="BX525" s="105"/>
    </row>
    <row r="526" spans="62:76" ht="16.5" customHeight="1">
      <c r="BJ526" s="105"/>
      <c r="BU526" s="105"/>
      <c r="BV526" s="105"/>
      <c r="BW526" s="105"/>
      <c r="BX526" s="105"/>
    </row>
    <row r="527" spans="62:76" ht="16.5" customHeight="1">
      <c r="BJ527" s="105"/>
      <c r="BU527" s="105"/>
      <c r="BV527" s="105"/>
      <c r="BW527" s="105"/>
      <c r="BX527" s="105"/>
    </row>
    <row r="528" spans="62:76" ht="16.5" customHeight="1">
      <c r="BJ528" s="105"/>
      <c r="BU528" s="105"/>
      <c r="BV528" s="105"/>
      <c r="BW528" s="105"/>
      <c r="BX528" s="105"/>
    </row>
    <row r="529" spans="62:76" ht="16.5" customHeight="1">
      <c r="BJ529" s="105"/>
      <c r="BU529" s="105"/>
      <c r="BV529" s="105"/>
      <c r="BW529" s="105"/>
      <c r="BX529" s="105"/>
    </row>
    <row r="530" spans="62:76" ht="16.5" customHeight="1">
      <c r="BJ530" s="105"/>
      <c r="BU530" s="105"/>
      <c r="BV530" s="105"/>
      <c r="BW530" s="105"/>
      <c r="BX530" s="105"/>
    </row>
    <row r="531" spans="62:76" ht="16.5" customHeight="1">
      <c r="BJ531" s="105"/>
      <c r="BU531" s="105"/>
      <c r="BV531" s="105"/>
      <c r="BW531" s="105"/>
      <c r="BX531" s="105"/>
    </row>
    <row r="532" spans="62:76" ht="16.5" customHeight="1">
      <c r="BJ532" s="105"/>
      <c r="BU532" s="105"/>
      <c r="BV532" s="105"/>
      <c r="BW532" s="105"/>
      <c r="BX532" s="105"/>
    </row>
    <row r="533" spans="62:76" ht="16.5" customHeight="1">
      <c r="BJ533" s="105"/>
      <c r="BU533" s="105"/>
      <c r="BV533" s="105"/>
      <c r="BW533" s="105"/>
      <c r="BX533" s="105"/>
    </row>
    <row r="534" spans="62:76" ht="16.5" customHeight="1">
      <c r="BJ534" s="105"/>
      <c r="BU534" s="105"/>
      <c r="BV534" s="105"/>
      <c r="BW534" s="105"/>
      <c r="BX534" s="105"/>
    </row>
    <row r="535" spans="62:76" ht="16.5" customHeight="1">
      <c r="BJ535" s="105"/>
      <c r="BU535" s="105"/>
      <c r="BV535" s="105"/>
      <c r="BW535" s="105"/>
      <c r="BX535" s="105"/>
    </row>
    <row r="536" spans="62:76" ht="16.5" customHeight="1">
      <c r="BJ536" s="105"/>
      <c r="BU536" s="105"/>
      <c r="BV536" s="105"/>
      <c r="BW536" s="105"/>
      <c r="BX536" s="105"/>
    </row>
    <row r="537" spans="62:76" ht="16.5" customHeight="1">
      <c r="BJ537" s="105"/>
      <c r="BU537" s="105"/>
      <c r="BV537" s="105"/>
      <c r="BW537" s="105"/>
      <c r="BX537" s="105"/>
    </row>
    <row r="538" spans="62:76" ht="16.5" customHeight="1">
      <c r="BJ538" s="105"/>
      <c r="BU538" s="105"/>
      <c r="BV538" s="105"/>
      <c r="BW538" s="105"/>
      <c r="BX538" s="105"/>
    </row>
    <row r="539" spans="62:76" ht="16.5" customHeight="1">
      <c r="BJ539" s="105"/>
      <c r="BU539" s="105"/>
      <c r="BV539" s="105"/>
      <c r="BW539" s="105"/>
      <c r="BX539" s="105"/>
    </row>
    <row r="540" spans="62:76" ht="16.5" customHeight="1">
      <c r="BJ540" s="105"/>
      <c r="BU540" s="105"/>
      <c r="BV540" s="105"/>
      <c r="BW540" s="105"/>
      <c r="BX540" s="105"/>
    </row>
    <row r="541" spans="62:76" ht="16.5" customHeight="1">
      <c r="BJ541" s="105"/>
      <c r="BU541" s="105"/>
      <c r="BV541" s="105"/>
      <c r="BW541" s="105"/>
      <c r="BX541" s="105"/>
    </row>
    <row r="542" spans="62:76" ht="16.5" customHeight="1">
      <c r="BJ542" s="105"/>
      <c r="BU542" s="105"/>
      <c r="BV542" s="105"/>
      <c r="BW542" s="105"/>
      <c r="BX542" s="105"/>
    </row>
    <row r="543" spans="62:76" ht="16.5" customHeight="1">
      <c r="BJ543" s="105"/>
      <c r="BU543" s="105"/>
      <c r="BV543" s="105"/>
      <c r="BW543" s="105"/>
      <c r="BX543" s="105"/>
    </row>
    <row r="544" spans="62:76" ht="16.5" customHeight="1">
      <c r="BJ544" s="105"/>
      <c r="BU544" s="105"/>
      <c r="BV544" s="105"/>
      <c r="BW544" s="105"/>
      <c r="BX544" s="105"/>
    </row>
    <row r="545" spans="62:76" ht="16.5" customHeight="1">
      <c r="BJ545" s="105"/>
      <c r="BU545" s="105"/>
      <c r="BV545" s="105"/>
      <c r="BW545" s="105"/>
      <c r="BX545" s="105"/>
    </row>
    <row r="546" spans="62:76" ht="16.5" customHeight="1">
      <c r="BJ546" s="105"/>
      <c r="BU546" s="105"/>
      <c r="BV546" s="105"/>
      <c r="BW546" s="105"/>
      <c r="BX546" s="105"/>
    </row>
    <row r="547" spans="62:76" ht="16.5" customHeight="1">
      <c r="BJ547" s="105"/>
      <c r="BU547" s="105"/>
      <c r="BV547" s="105"/>
      <c r="BW547" s="105"/>
      <c r="BX547" s="105"/>
    </row>
    <row r="548" spans="62:76" ht="16.5" customHeight="1">
      <c r="BJ548" s="105"/>
      <c r="BU548" s="105"/>
      <c r="BV548" s="105"/>
      <c r="BW548" s="105"/>
      <c r="BX548" s="105"/>
    </row>
    <row r="549" spans="62:76" ht="16.5" customHeight="1">
      <c r="BJ549" s="105"/>
      <c r="BU549" s="105"/>
      <c r="BV549" s="105"/>
      <c r="BW549" s="105"/>
      <c r="BX549" s="105"/>
    </row>
    <row r="550" spans="62:76" ht="16.5" customHeight="1">
      <c r="BJ550" s="105"/>
      <c r="BU550" s="105"/>
      <c r="BV550" s="105"/>
      <c r="BW550" s="105"/>
      <c r="BX550" s="105"/>
    </row>
    <row r="551" spans="62:76" ht="16.5" customHeight="1">
      <c r="BJ551" s="105"/>
      <c r="BU551" s="105"/>
      <c r="BV551" s="105"/>
      <c r="BW551" s="105"/>
      <c r="BX551" s="105"/>
    </row>
    <row r="552" spans="62:76" ht="16.5" customHeight="1">
      <c r="BJ552" s="105"/>
      <c r="BU552" s="105"/>
      <c r="BV552" s="105"/>
      <c r="BW552" s="105"/>
      <c r="BX552" s="105"/>
    </row>
    <row r="553" spans="62:76" ht="16.5" customHeight="1">
      <c r="BJ553" s="105"/>
      <c r="BU553" s="105"/>
      <c r="BV553" s="105"/>
      <c r="BW553" s="105"/>
      <c r="BX553" s="105"/>
    </row>
    <row r="554" spans="62:76" ht="16.5" customHeight="1">
      <c r="BJ554" s="105"/>
      <c r="BU554" s="105"/>
      <c r="BV554" s="105"/>
      <c r="BW554" s="105"/>
      <c r="BX554" s="105"/>
    </row>
    <row r="555" spans="62:76" ht="16.5" customHeight="1">
      <c r="BJ555" s="105"/>
      <c r="BU555" s="105"/>
      <c r="BV555" s="105"/>
      <c r="BW555" s="105"/>
      <c r="BX555" s="105"/>
    </row>
    <row r="556" spans="62:76" ht="16.5" customHeight="1">
      <c r="BJ556" s="105"/>
      <c r="BU556" s="105"/>
      <c r="BV556" s="105"/>
      <c r="BW556" s="105"/>
      <c r="BX556" s="105"/>
    </row>
    <row r="557" spans="62:76" ht="16.5" customHeight="1">
      <c r="BJ557" s="105"/>
      <c r="BU557" s="105"/>
      <c r="BV557" s="105"/>
      <c r="BW557" s="105"/>
      <c r="BX557" s="105"/>
    </row>
    <row r="558" spans="62:76" ht="16.5" customHeight="1">
      <c r="BJ558" s="105"/>
      <c r="BU558" s="105"/>
      <c r="BV558" s="105"/>
      <c r="BW558" s="105"/>
      <c r="BX558" s="105"/>
    </row>
    <row r="559" spans="62:76" ht="16.5" customHeight="1">
      <c r="BJ559" s="105"/>
      <c r="BU559" s="105"/>
      <c r="BV559" s="105"/>
      <c r="BW559" s="105"/>
      <c r="BX559" s="105"/>
    </row>
    <row r="560" spans="62:76" ht="16.5" customHeight="1">
      <c r="BJ560" s="105"/>
      <c r="BU560" s="105"/>
      <c r="BV560" s="105"/>
      <c r="BW560" s="105"/>
      <c r="BX560" s="105"/>
    </row>
    <row r="561" spans="62:76" ht="16.5" customHeight="1">
      <c r="BJ561" s="105"/>
      <c r="BU561" s="105"/>
      <c r="BV561" s="105"/>
      <c r="BW561" s="105"/>
      <c r="BX561" s="105"/>
    </row>
    <row r="562" spans="62:76" ht="16.5" customHeight="1">
      <c r="BJ562" s="105"/>
      <c r="BU562" s="105"/>
      <c r="BV562" s="105"/>
      <c r="BW562" s="105"/>
      <c r="BX562" s="105"/>
    </row>
    <row r="563" spans="62:76" ht="16.5" customHeight="1">
      <c r="BJ563" s="105"/>
      <c r="BU563" s="105"/>
      <c r="BV563" s="105"/>
      <c r="BW563" s="105"/>
      <c r="BX563" s="105"/>
    </row>
    <row r="564" spans="62:76" ht="16.5" customHeight="1">
      <c r="BJ564" s="105"/>
      <c r="BU564" s="105"/>
      <c r="BV564" s="105"/>
      <c r="BW564" s="105"/>
      <c r="BX564" s="105"/>
    </row>
    <row r="565" spans="62:76" ht="16.5" customHeight="1">
      <c r="BJ565" s="105"/>
      <c r="BU565" s="105"/>
      <c r="BV565" s="105"/>
      <c r="BW565" s="105"/>
      <c r="BX565" s="105"/>
    </row>
    <row r="566" spans="62:76" ht="16.5" customHeight="1">
      <c r="BJ566" s="105"/>
      <c r="BU566" s="105"/>
      <c r="BV566" s="105"/>
      <c r="BW566" s="105"/>
      <c r="BX566" s="105"/>
    </row>
    <row r="567" spans="62:76" ht="16.5" customHeight="1">
      <c r="BJ567" s="105"/>
      <c r="BU567" s="105"/>
      <c r="BV567" s="105"/>
      <c r="BW567" s="105"/>
      <c r="BX567" s="105"/>
    </row>
    <row r="568" spans="62:76" ht="16.5" customHeight="1">
      <c r="BJ568" s="105"/>
      <c r="BU568" s="105"/>
      <c r="BV568" s="105"/>
      <c r="BW568" s="105"/>
      <c r="BX568" s="105"/>
    </row>
    <row r="569" spans="62:76" ht="16.5" customHeight="1">
      <c r="BJ569" s="105"/>
      <c r="BU569" s="105"/>
      <c r="BV569" s="105"/>
      <c r="BW569" s="105"/>
      <c r="BX569" s="105"/>
    </row>
    <row r="570" spans="62:76" ht="16.5" customHeight="1">
      <c r="BJ570" s="105"/>
      <c r="BU570" s="105"/>
      <c r="BV570" s="105"/>
      <c r="BW570" s="105"/>
      <c r="BX570" s="105"/>
    </row>
    <row r="571" spans="62:76" ht="16.5" customHeight="1">
      <c r="BJ571" s="105"/>
      <c r="BU571" s="105"/>
      <c r="BV571" s="105"/>
      <c r="BW571" s="105"/>
      <c r="BX571" s="105"/>
    </row>
    <row r="572" spans="62:76" ht="16.5" customHeight="1">
      <c r="BJ572" s="105"/>
      <c r="BU572" s="105"/>
      <c r="BV572" s="105"/>
      <c r="BW572" s="105"/>
      <c r="BX572" s="105"/>
    </row>
    <row r="573" spans="62:76" ht="16.5" customHeight="1">
      <c r="BJ573" s="105"/>
      <c r="BU573" s="105"/>
      <c r="BV573" s="105"/>
      <c r="BW573" s="105"/>
      <c r="BX573" s="105"/>
    </row>
    <row r="574" spans="62:76" ht="16.5" customHeight="1">
      <c r="BJ574" s="105"/>
      <c r="BU574" s="105"/>
      <c r="BV574" s="105"/>
      <c r="BW574" s="105"/>
      <c r="BX574" s="105"/>
    </row>
    <row r="575" spans="62:76" ht="16.5" customHeight="1">
      <c r="BJ575" s="105"/>
      <c r="BU575" s="105"/>
      <c r="BV575" s="105"/>
      <c r="BW575" s="105"/>
      <c r="BX575" s="105"/>
    </row>
    <row r="576" spans="62:76" ht="16.5" customHeight="1">
      <c r="BJ576" s="105"/>
      <c r="BU576" s="105"/>
      <c r="BV576" s="105"/>
      <c r="BW576" s="105"/>
      <c r="BX576" s="105"/>
    </row>
    <row r="577" spans="62:76" ht="16.5" customHeight="1">
      <c r="BJ577" s="105"/>
      <c r="BU577" s="105"/>
      <c r="BV577" s="105"/>
      <c r="BW577" s="105"/>
      <c r="BX577" s="105"/>
    </row>
    <row r="578" spans="62:76" ht="16.5" customHeight="1">
      <c r="BJ578" s="105"/>
      <c r="BU578" s="105"/>
      <c r="BV578" s="105"/>
      <c r="BW578" s="105"/>
      <c r="BX578" s="105"/>
    </row>
    <row r="579" spans="62:76" ht="16.5" customHeight="1">
      <c r="BJ579" s="105"/>
      <c r="BU579" s="105"/>
      <c r="BV579" s="105"/>
      <c r="BW579" s="105"/>
      <c r="BX579" s="105"/>
    </row>
    <row r="580" spans="62:76" ht="16.5" customHeight="1">
      <c r="BJ580" s="105"/>
      <c r="BU580" s="105"/>
      <c r="BV580" s="105"/>
      <c r="BW580" s="105"/>
      <c r="BX580" s="105"/>
    </row>
    <row r="581" spans="62:76" ht="16.5" customHeight="1">
      <c r="BJ581" s="105"/>
      <c r="BU581" s="105"/>
      <c r="BV581" s="105"/>
      <c r="BW581" s="105"/>
      <c r="BX581" s="105"/>
    </row>
    <row r="582" spans="62:76" ht="16.5" customHeight="1">
      <c r="BJ582" s="105"/>
      <c r="BU582" s="105"/>
      <c r="BV582" s="105"/>
      <c r="BW582" s="105"/>
      <c r="BX582" s="105"/>
    </row>
    <row r="583" spans="62:76" ht="16.5" customHeight="1">
      <c r="BJ583" s="105"/>
      <c r="BU583" s="105"/>
      <c r="BV583" s="105"/>
      <c r="BW583" s="105"/>
      <c r="BX583" s="105"/>
    </row>
    <row r="584" spans="62:76" ht="16.5" customHeight="1">
      <c r="BJ584" s="105"/>
      <c r="BU584" s="105"/>
      <c r="BV584" s="105"/>
      <c r="BW584" s="105"/>
      <c r="BX584" s="105"/>
    </row>
    <row r="585" spans="62:76" ht="16.5" customHeight="1">
      <c r="BJ585" s="105"/>
      <c r="BU585" s="105"/>
      <c r="BV585" s="105"/>
      <c r="BW585" s="105"/>
      <c r="BX585" s="105"/>
    </row>
    <row r="586" spans="62:76" ht="16.5" customHeight="1">
      <c r="BJ586" s="105"/>
      <c r="BU586" s="105"/>
      <c r="BV586" s="105"/>
      <c r="BW586" s="105"/>
      <c r="BX586" s="105"/>
    </row>
    <row r="587" spans="62:76" ht="16.5" customHeight="1">
      <c r="BJ587" s="105"/>
      <c r="BU587" s="105"/>
      <c r="BV587" s="105"/>
      <c r="BW587" s="105"/>
      <c r="BX587" s="105"/>
    </row>
    <row r="588" spans="62:76" ht="16.5" customHeight="1">
      <c r="BJ588" s="105"/>
      <c r="BU588" s="105"/>
      <c r="BV588" s="105"/>
      <c r="BW588" s="105"/>
      <c r="BX588" s="105"/>
    </row>
    <row r="589" spans="62:76" ht="16.5" customHeight="1">
      <c r="BJ589" s="105"/>
      <c r="BU589" s="105"/>
      <c r="BV589" s="105"/>
      <c r="BW589" s="105"/>
      <c r="BX589" s="105"/>
    </row>
    <row r="590" spans="62:76" ht="16.5" customHeight="1">
      <c r="BJ590" s="105"/>
      <c r="BU590" s="105"/>
      <c r="BV590" s="105"/>
      <c r="BW590" s="105"/>
      <c r="BX590" s="105"/>
    </row>
    <row r="591" spans="62:76" ht="16.5" customHeight="1">
      <c r="BJ591" s="105"/>
      <c r="BU591" s="105"/>
      <c r="BV591" s="105"/>
      <c r="BW591" s="105"/>
      <c r="BX591" s="105"/>
    </row>
    <row r="592" spans="62:76" ht="16.5" customHeight="1">
      <c r="BJ592" s="105"/>
      <c r="BU592" s="105"/>
      <c r="BV592" s="105"/>
      <c r="BW592" s="105"/>
      <c r="BX592" s="105"/>
    </row>
    <row r="593" spans="62:76" ht="16.5" customHeight="1">
      <c r="BJ593" s="105"/>
      <c r="BU593" s="105"/>
      <c r="BV593" s="105"/>
      <c r="BW593" s="105"/>
      <c r="BX593" s="105"/>
    </row>
    <row r="594" spans="62:76" ht="16.5" customHeight="1">
      <c r="BJ594" s="105"/>
      <c r="BU594" s="105"/>
      <c r="BV594" s="105"/>
      <c r="BW594" s="105"/>
      <c r="BX594" s="105"/>
    </row>
    <row r="595" spans="62:76" ht="16.5" customHeight="1">
      <c r="BJ595" s="105"/>
      <c r="BU595" s="105"/>
      <c r="BV595" s="105"/>
      <c r="BW595" s="105"/>
      <c r="BX595" s="105"/>
    </row>
    <row r="596" spans="62:76" ht="16.5" customHeight="1">
      <c r="BJ596" s="105"/>
      <c r="BU596" s="105"/>
      <c r="BV596" s="105"/>
      <c r="BW596" s="105"/>
      <c r="BX596" s="105"/>
    </row>
    <row r="597" spans="62:76" ht="16.5" customHeight="1">
      <c r="BJ597" s="105"/>
      <c r="BU597" s="105"/>
      <c r="BV597" s="105"/>
      <c r="BW597" s="105"/>
      <c r="BX597" s="105"/>
    </row>
    <row r="598" spans="62:76" ht="16.5" customHeight="1">
      <c r="BJ598" s="105"/>
      <c r="BU598" s="105"/>
      <c r="BV598" s="105"/>
      <c r="BW598" s="105"/>
      <c r="BX598" s="105"/>
    </row>
    <row r="599" spans="62:76" ht="16.5" customHeight="1">
      <c r="BJ599" s="105"/>
      <c r="BU599" s="105"/>
      <c r="BV599" s="105"/>
      <c r="BW599" s="105"/>
      <c r="BX599" s="105"/>
    </row>
    <row r="600" spans="62:76" ht="16.5" customHeight="1">
      <c r="BJ600" s="105"/>
      <c r="BU600" s="105"/>
      <c r="BV600" s="105"/>
      <c r="BW600" s="105"/>
      <c r="BX600" s="105"/>
    </row>
    <row r="601" spans="62:76" ht="16.5" customHeight="1">
      <c r="BJ601" s="105"/>
      <c r="BU601" s="105"/>
      <c r="BV601" s="105"/>
      <c r="BW601" s="105"/>
      <c r="BX601" s="105"/>
    </row>
    <row r="602" spans="62:76" ht="16.5" customHeight="1">
      <c r="BJ602" s="105"/>
      <c r="BU602" s="105"/>
      <c r="BV602" s="105"/>
      <c r="BW602" s="105"/>
      <c r="BX602" s="105"/>
    </row>
    <row r="603" spans="62:76" ht="16.5" customHeight="1">
      <c r="BJ603" s="105"/>
      <c r="BU603" s="105"/>
      <c r="BV603" s="105"/>
      <c r="BW603" s="105"/>
      <c r="BX603" s="105"/>
    </row>
    <row r="604" spans="62:76" ht="16.5" customHeight="1">
      <c r="BJ604" s="105"/>
      <c r="BU604" s="105"/>
      <c r="BV604" s="105"/>
      <c r="BW604" s="105"/>
      <c r="BX604" s="105"/>
    </row>
    <row r="605" spans="62:76" ht="16.5" customHeight="1">
      <c r="BJ605" s="105"/>
      <c r="BU605" s="105"/>
      <c r="BV605" s="105"/>
      <c r="BW605" s="105"/>
      <c r="BX605" s="105"/>
    </row>
    <row r="606" spans="62:76" ht="16.5" customHeight="1">
      <c r="BJ606" s="105"/>
      <c r="BU606" s="105"/>
      <c r="BV606" s="105"/>
      <c r="BW606" s="105"/>
      <c r="BX606" s="105"/>
    </row>
    <row r="607" spans="62:76" ht="16.5" customHeight="1">
      <c r="BJ607" s="105"/>
      <c r="BU607" s="105"/>
      <c r="BV607" s="105"/>
      <c r="BW607" s="105"/>
      <c r="BX607" s="105"/>
    </row>
    <row r="608" spans="62:76" ht="16.5" customHeight="1">
      <c r="BJ608" s="105"/>
      <c r="BU608" s="105"/>
      <c r="BV608" s="105"/>
      <c r="BW608" s="105"/>
      <c r="BX608" s="105"/>
    </row>
    <row r="609" spans="62:76" ht="16.5" customHeight="1">
      <c r="BJ609" s="105"/>
      <c r="BU609" s="105"/>
      <c r="BV609" s="105"/>
      <c r="BW609" s="105"/>
      <c r="BX609" s="105"/>
    </row>
    <row r="610" spans="62:76" ht="16.5" customHeight="1">
      <c r="BJ610" s="105"/>
      <c r="BU610" s="105"/>
      <c r="BV610" s="105"/>
      <c r="BW610" s="105"/>
      <c r="BX610" s="105"/>
    </row>
    <row r="611" spans="62:76" ht="16.5" customHeight="1">
      <c r="BJ611" s="105"/>
      <c r="BU611" s="105"/>
      <c r="BV611" s="105"/>
      <c r="BW611" s="105"/>
      <c r="BX611" s="105"/>
    </row>
    <row r="612" spans="62:76" ht="16.5" customHeight="1">
      <c r="BJ612" s="105"/>
      <c r="BU612" s="105"/>
      <c r="BV612" s="105"/>
      <c r="BW612" s="105"/>
      <c r="BX612" s="105"/>
    </row>
    <row r="613" spans="62:76" ht="16.5" customHeight="1">
      <c r="BJ613" s="105"/>
      <c r="BU613" s="105"/>
      <c r="BV613" s="105"/>
      <c r="BW613" s="105"/>
      <c r="BX613" s="105"/>
    </row>
    <row r="614" spans="62:76" ht="16.5" customHeight="1">
      <c r="BJ614" s="105"/>
      <c r="BU614" s="105"/>
      <c r="BV614" s="105"/>
      <c r="BW614" s="105"/>
      <c r="BX614" s="105"/>
    </row>
    <row r="615" spans="62:76" ht="16.5" customHeight="1">
      <c r="BJ615" s="105"/>
      <c r="BU615" s="105"/>
      <c r="BV615" s="105"/>
      <c r="BW615" s="105"/>
      <c r="BX615" s="105"/>
    </row>
    <row r="616" spans="62:76" ht="16.5" customHeight="1">
      <c r="BJ616" s="105"/>
      <c r="BU616" s="105"/>
      <c r="BV616" s="105"/>
      <c r="BW616" s="105"/>
      <c r="BX616" s="105"/>
    </row>
    <row r="617" spans="62:76" ht="16.5" customHeight="1">
      <c r="BJ617" s="105"/>
      <c r="BU617" s="105"/>
      <c r="BV617" s="105"/>
      <c r="BW617" s="105"/>
      <c r="BX617" s="105"/>
    </row>
    <row r="618" spans="62:76" ht="16.5" customHeight="1">
      <c r="BJ618" s="105"/>
      <c r="BU618" s="105"/>
      <c r="BV618" s="105"/>
      <c r="BW618" s="105"/>
      <c r="BX618" s="105"/>
    </row>
    <row r="619" spans="62:76" ht="16.5" customHeight="1">
      <c r="BJ619" s="105"/>
      <c r="BU619" s="105"/>
      <c r="BV619" s="105"/>
      <c r="BW619" s="105"/>
      <c r="BX619" s="105"/>
    </row>
    <row r="620" spans="62:76" ht="16.5" customHeight="1">
      <c r="BJ620" s="105"/>
      <c r="BU620" s="105"/>
      <c r="BV620" s="105"/>
      <c r="BW620" s="105"/>
      <c r="BX620" s="105"/>
    </row>
    <row r="621" spans="62:76" ht="16.5" customHeight="1">
      <c r="BJ621" s="105"/>
      <c r="BU621" s="105"/>
      <c r="BV621" s="105"/>
      <c r="BW621" s="105"/>
      <c r="BX621" s="105"/>
    </row>
    <row r="622" spans="62:76" ht="16.5" customHeight="1">
      <c r="BJ622" s="105"/>
      <c r="BU622" s="105"/>
      <c r="BV622" s="105"/>
      <c r="BW622" s="105"/>
      <c r="BX622" s="105"/>
    </row>
    <row r="623" spans="62:76" ht="16.5" customHeight="1">
      <c r="BJ623" s="105"/>
      <c r="BU623" s="105"/>
      <c r="BV623" s="105"/>
      <c r="BW623" s="105"/>
      <c r="BX623" s="105"/>
    </row>
    <row r="624" spans="62:76" ht="16.5" customHeight="1">
      <c r="BJ624" s="105"/>
      <c r="BU624" s="105"/>
      <c r="BV624" s="105"/>
      <c r="BW624" s="105"/>
      <c r="BX624" s="105"/>
    </row>
    <row r="625" spans="62:76" ht="16.5" customHeight="1">
      <c r="BJ625" s="105"/>
      <c r="BU625" s="105"/>
      <c r="BV625" s="105"/>
      <c r="BW625" s="105"/>
      <c r="BX625" s="105"/>
    </row>
    <row r="626" spans="62:76" ht="16.5" customHeight="1">
      <c r="BJ626" s="105"/>
      <c r="BU626" s="105"/>
      <c r="BV626" s="105"/>
      <c r="BW626" s="105"/>
      <c r="BX626" s="105"/>
    </row>
    <row r="627" spans="62:76" ht="16.5" customHeight="1">
      <c r="BJ627" s="105"/>
      <c r="BU627" s="105"/>
      <c r="BV627" s="105"/>
      <c r="BW627" s="105"/>
      <c r="BX627" s="105"/>
    </row>
    <row r="628" spans="62:76" ht="16.5" customHeight="1">
      <c r="BJ628" s="105"/>
      <c r="BU628" s="105"/>
      <c r="BV628" s="105"/>
      <c r="BW628" s="105"/>
      <c r="BX628" s="105"/>
    </row>
    <row r="629" spans="62:76" ht="16.5" customHeight="1">
      <c r="BJ629" s="105"/>
      <c r="BU629" s="105"/>
      <c r="BV629" s="105"/>
      <c r="BW629" s="105"/>
      <c r="BX629" s="105"/>
    </row>
    <row r="630" spans="62:76" ht="16.5" customHeight="1">
      <c r="BJ630" s="105"/>
      <c r="BU630" s="105"/>
      <c r="BV630" s="105"/>
      <c r="BW630" s="105"/>
      <c r="BX630" s="105"/>
    </row>
    <row r="631" spans="62:76" ht="16.5" customHeight="1">
      <c r="BJ631" s="105"/>
      <c r="BU631" s="105"/>
      <c r="BV631" s="105"/>
      <c r="BW631" s="105"/>
      <c r="BX631" s="105"/>
    </row>
    <row r="632" spans="62:76" ht="16.5" customHeight="1">
      <c r="BJ632" s="105"/>
      <c r="BU632" s="105"/>
      <c r="BV632" s="105"/>
      <c r="BW632" s="105"/>
      <c r="BX632" s="105"/>
    </row>
    <row r="633" spans="62:76" ht="16.5" customHeight="1">
      <c r="BJ633" s="105"/>
      <c r="BU633" s="105"/>
      <c r="BV633" s="105"/>
      <c r="BW633" s="105"/>
      <c r="BX633" s="105"/>
    </row>
    <row r="634" spans="62:76" ht="16.5" customHeight="1">
      <c r="BJ634" s="105"/>
      <c r="BU634" s="105"/>
      <c r="BV634" s="105"/>
      <c r="BW634" s="105"/>
      <c r="BX634" s="105"/>
    </row>
    <row r="635" spans="62:76" ht="16.5" customHeight="1">
      <c r="BJ635" s="105"/>
      <c r="BU635" s="105"/>
      <c r="BV635" s="105"/>
      <c r="BW635" s="105"/>
      <c r="BX635" s="105"/>
    </row>
    <row r="636" spans="62:76" ht="16.5" customHeight="1">
      <c r="BJ636" s="105"/>
      <c r="BU636" s="105"/>
      <c r="BV636" s="105"/>
      <c r="BW636" s="105"/>
      <c r="BX636" s="105"/>
    </row>
    <row r="637" spans="62:76" ht="16.5" customHeight="1">
      <c r="BJ637" s="105"/>
      <c r="BU637" s="105"/>
      <c r="BV637" s="105"/>
      <c r="BW637" s="105"/>
      <c r="BX637" s="105"/>
    </row>
    <row r="638" spans="62:76" ht="16.5" customHeight="1">
      <c r="BJ638" s="105"/>
      <c r="BU638" s="105"/>
      <c r="BV638" s="105"/>
      <c r="BW638" s="105"/>
      <c r="BX638" s="105"/>
    </row>
    <row r="639" spans="62:76" ht="16.5" customHeight="1">
      <c r="BJ639" s="105"/>
      <c r="BU639" s="105"/>
      <c r="BV639" s="105"/>
      <c r="BW639" s="105"/>
      <c r="BX639" s="105"/>
    </row>
    <row r="640" spans="62:76" ht="16.5" customHeight="1">
      <c r="BJ640" s="105"/>
      <c r="BU640" s="105"/>
      <c r="BV640" s="105"/>
      <c r="BW640" s="105"/>
      <c r="BX640" s="105"/>
    </row>
    <row r="641" spans="62:76" ht="16.5" customHeight="1">
      <c r="BJ641" s="105"/>
      <c r="BU641" s="105"/>
      <c r="BV641" s="105"/>
      <c r="BW641" s="105"/>
      <c r="BX641" s="105"/>
    </row>
    <row r="642" spans="62:76" ht="16.5" customHeight="1">
      <c r="BJ642" s="105"/>
      <c r="BU642" s="105"/>
      <c r="BV642" s="105"/>
      <c r="BW642" s="105"/>
      <c r="BX642" s="105"/>
    </row>
    <row r="643" spans="62:76" ht="16.5" customHeight="1">
      <c r="BJ643" s="105"/>
      <c r="BU643" s="105"/>
      <c r="BV643" s="105"/>
      <c r="BW643" s="105"/>
      <c r="BX643" s="105"/>
    </row>
    <row r="644" spans="62:76" ht="16.5" customHeight="1">
      <c r="BJ644" s="105"/>
      <c r="BU644" s="105"/>
      <c r="BV644" s="105"/>
      <c r="BW644" s="105"/>
      <c r="BX644" s="105"/>
    </row>
    <row r="645" spans="62:76" ht="16.5" customHeight="1">
      <c r="BJ645" s="105"/>
      <c r="BU645" s="105"/>
      <c r="BV645" s="105"/>
      <c r="BW645" s="105"/>
      <c r="BX645" s="105"/>
    </row>
    <row r="646" spans="62:76" ht="16.5" customHeight="1">
      <c r="BJ646" s="105"/>
      <c r="BU646" s="105"/>
      <c r="BV646" s="105"/>
      <c r="BW646" s="105"/>
      <c r="BX646" s="105"/>
    </row>
    <row r="647" spans="62:76" ht="16.5" customHeight="1">
      <c r="BJ647" s="105"/>
      <c r="BU647" s="105"/>
      <c r="BV647" s="105"/>
      <c r="BW647" s="105"/>
      <c r="BX647" s="105"/>
    </row>
    <row r="648" spans="62:76" ht="16.5" customHeight="1">
      <c r="BJ648" s="105"/>
      <c r="BU648" s="105"/>
      <c r="BV648" s="105"/>
      <c r="BW648" s="105"/>
      <c r="BX648" s="105"/>
    </row>
    <row r="649" spans="62:76" ht="16.5" customHeight="1">
      <c r="BJ649" s="105"/>
      <c r="BU649" s="105"/>
      <c r="BV649" s="105"/>
      <c r="BW649" s="105"/>
      <c r="BX649" s="105"/>
    </row>
    <row r="650" spans="62:76" ht="16.5" customHeight="1">
      <c r="BJ650" s="105"/>
      <c r="BU650" s="105"/>
      <c r="BV650" s="105"/>
      <c r="BW650" s="105"/>
      <c r="BX650" s="105"/>
    </row>
    <row r="651" spans="62:76" ht="16.5" customHeight="1">
      <c r="BJ651" s="105"/>
      <c r="BU651" s="105"/>
      <c r="BV651" s="105"/>
      <c r="BW651" s="105"/>
      <c r="BX651" s="105"/>
    </row>
    <row r="652" spans="62:76" ht="16.5" customHeight="1">
      <c r="BJ652" s="105"/>
      <c r="BU652" s="105"/>
      <c r="BV652" s="105"/>
      <c r="BW652" s="105"/>
      <c r="BX652" s="105"/>
    </row>
    <row r="653" spans="62:76" ht="16.5" customHeight="1">
      <c r="BJ653" s="105"/>
      <c r="BU653" s="105"/>
      <c r="BV653" s="105"/>
      <c r="BW653" s="105"/>
      <c r="BX653" s="105"/>
    </row>
    <row r="654" spans="62:76" ht="16.5" customHeight="1">
      <c r="BJ654" s="105"/>
      <c r="BU654" s="105"/>
      <c r="BV654" s="105"/>
      <c r="BW654" s="105"/>
      <c r="BX654" s="105"/>
    </row>
    <row r="655" spans="62:76" ht="16.5" customHeight="1">
      <c r="BJ655" s="105"/>
      <c r="BU655" s="105"/>
      <c r="BV655" s="105"/>
      <c r="BW655" s="105"/>
      <c r="BX655" s="105"/>
    </row>
    <row r="656" spans="62:76" ht="16.5" customHeight="1">
      <c r="BJ656" s="105"/>
      <c r="BU656" s="105"/>
      <c r="BV656" s="105"/>
      <c r="BW656" s="105"/>
      <c r="BX656" s="105"/>
    </row>
    <row r="657" spans="62:76" ht="16.5" customHeight="1">
      <c r="BJ657" s="105"/>
      <c r="BU657" s="105"/>
      <c r="BV657" s="105"/>
      <c r="BW657" s="105"/>
      <c r="BX657" s="105"/>
    </row>
    <row r="658" spans="62:76" ht="16.5" customHeight="1">
      <c r="BJ658" s="105"/>
      <c r="BU658" s="105"/>
      <c r="BV658" s="105"/>
      <c r="BW658" s="105"/>
      <c r="BX658" s="105"/>
    </row>
    <row r="659" spans="62:76" ht="16.5" customHeight="1">
      <c r="BJ659" s="105"/>
      <c r="BU659" s="105"/>
      <c r="BV659" s="105"/>
      <c r="BW659" s="105"/>
      <c r="BX659" s="105"/>
    </row>
    <row r="660" spans="62:76" ht="16.5" customHeight="1">
      <c r="BJ660" s="105"/>
      <c r="BU660" s="105"/>
      <c r="BV660" s="105"/>
      <c r="BW660" s="105"/>
      <c r="BX660" s="105"/>
    </row>
    <row r="661" spans="62:76" ht="16.5" customHeight="1">
      <c r="BJ661" s="105"/>
      <c r="BU661" s="105"/>
      <c r="BV661" s="105"/>
      <c r="BW661" s="105"/>
      <c r="BX661" s="105"/>
    </row>
    <row r="662" spans="62:76" ht="16.5" customHeight="1">
      <c r="BJ662" s="105"/>
      <c r="BU662" s="105"/>
      <c r="BV662" s="105"/>
      <c r="BW662" s="105"/>
      <c r="BX662" s="105"/>
    </row>
    <row r="663" spans="62:76" ht="16.5" customHeight="1">
      <c r="BJ663" s="105"/>
      <c r="BU663" s="105"/>
      <c r="BV663" s="105"/>
      <c r="BW663" s="105"/>
      <c r="BX663" s="105"/>
    </row>
    <row r="664" spans="62:76" ht="16.5" customHeight="1">
      <c r="BJ664" s="105"/>
      <c r="BU664" s="105"/>
      <c r="BV664" s="105"/>
      <c r="BW664" s="105"/>
      <c r="BX664" s="105"/>
    </row>
    <row r="665" spans="62:76" ht="16.5" customHeight="1">
      <c r="BJ665" s="105"/>
      <c r="BU665" s="105"/>
      <c r="BV665" s="105"/>
      <c r="BW665" s="105"/>
      <c r="BX665" s="105"/>
    </row>
    <row r="666" spans="62:76" ht="16.5" customHeight="1">
      <c r="BJ666" s="105"/>
      <c r="BU666" s="105"/>
      <c r="BV666" s="105"/>
      <c r="BW666" s="105"/>
      <c r="BX666" s="105"/>
    </row>
    <row r="667" spans="62:76" ht="16.5" customHeight="1">
      <c r="BJ667" s="105"/>
      <c r="BU667" s="105"/>
      <c r="BV667" s="105"/>
      <c r="BW667" s="105"/>
      <c r="BX667" s="105"/>
    </row>
    <row r="668" spans="62:76" ht="16.5" customHeight="1">
      <c r="BJ668" s="105"/>
      <c r="BU668" s="105"/>
      <c r="BV668" s="105"/>
      <c r="BW668" s="105"/>
      <c r="BX668" s="105"/>
    </row>
    <row r="669" spans="62:76" ht="16.5" customHeight="1">
      <c r="BJ669" s="105"/>
      <c r="BU669" s="105"/>
      <c r="BV669" s="105"/>
      <c r="BW669" s="105"/>
      <c r="BX669" s="105"/>
    </row>
    <row r="670" spans="62:76" ht="16.5" customHeight="1">
      <c r="BJ670" s="105"/>
      <c r="BU670" s="105"/>
      <c r="BV670" s="105"/>
      <c r="BW670" s="105"/>
      <c r="BX670" s="105"/>
    </row>
    <row r="671" spans="62:76" ht="16.5" customHeight="1">
      <c r="BJ671" s="105"/>
      <c r="BU671" s="105"/>
      <c r="BV671" s="105"/>
      <c r="BW671" s="105"/>
      <c r="BX671" s="105"/>
    </row>
    <row r="672" spans="62:76" ht="16.5" customHeight="1">
      <c r="BJ672" s="105"/>
      <c r="BU672" s="105"/>
      <c r="BV672" s="105"/>
      <c r="BW672" s="105"/>
      <c r="BX672" s="105"/>
    </row>
    <row r="673" spans="62:76" ht="16.5" customHeight="1">
      <c r="BJ673" s="105"/>
      <c r="BU673" s="105"/>
      <c r="BV673" s="105"/>
      <c r="BW673" s="105"/>
      <c r="BX673" s="105"/>
    </row>
    <row r="674" spans="62:76" ht="16.5" customHeight="1">
      <c r="BJ674" s="105"/>
      <c r="BU674" s="105"/>
      <c r="BV674" s="105"/>
      <c r="BW674" s="105"/>
      <c r="BX674" s="105"/>
    </row>
    <row r="675" spans="62:76" ht="16.5" customHeight="1">
      <c r="BJ675" s="105"/>
      <c r="BU675" s="105"/>
      <c r="BV675" s="105"/>
      <c r="BW675" s="105"/>
      <c r="BX675" s="105"/>
    </row>
    <row r="676" spans="62:76" ht="16.5" customHeight="1">
      <c r="BJ676" s="105"/>
      <c r="BU676" s="105"/>
      <c r="BV676" s="105"/>
      <c r="BW676" s="105"/>
      <c r="BX676" s="105"/>
    </row>
    <row r="677" spans="62:76" ht="16.5" customHeight="1">
      <c r="BJ677" s="105"/>
      <c r="BU677" s="105"/>
      <c r="BV677" s="105"/>
      <c r="BW677" s="105"/>
      <c r="BX677" s="105"/>
    </row>
    <row r="678" spans="62:76" ht="16.5" customHeight="1">
      <c r="BJ678" s="105"/>
      <c r="BU678" s="105"/>
      <c r="BV678" s="105"/>
      <c r="BW678" s="105"/>
      <c r="BX678" s="105"/>
    </row>
    <row r="679" spans="62:76" ht="16.5" customHeight="1">
      <c r="BJ679" s="105"/>
      <c r="BU679" s="105"/>
      <c r="BV679" s="105"/>
      <c r="BW679" s="105"/>
      <c r="BX679" s="105"/>
    </row>
    <row r="680" spans="62:76" ht="16.5" customHeight="1">
      <c r="BJ680" s="105"/>
      <c r="BU680" s="105"/>
      <c r="BV680" s="105"/>
      <c r="BW680" s="105"/>
      <c r="BX680" s="105"/>
    </row>
    <row r="681" spans="62:76" ht="16.5" customHeight="1">
      <c r="BJ681" s="105"/>
      <c r="BU681" s="105"/>
      <c r="BV681" s="105"/>
      <c r="BW681" s="105"/>
      <c r="BX681" s="105"/>
    </row>
    <row r="682" spans="62:76" ht="16.5" customHeight="1">
      <c r="BJ682" s="105"/>
      <c r="BU682" s="105"/>
      <c r="BV682" s="105"/>
      <c r="BW682" s="105"/>
      <c r="BX682" s="105"/>
    </row>
    <row r="683" spans="62:76" ht="16.5" customHeight="1">
      <c r="BJ683" s="105"/>
      <c r="BU683" s="105"/>
      <c r="BV683" s="105"/>
      <c r="BW683" s="105"/>
      <c r="BX683" s="105"/>
    </row>
    <row r="684" spans="62:76" ht="16.5" customHeight="1">
      <c r="BJ684" s="105"/>
      <c r="BU684" s="105"/>
      <c r="BV684" s="105"/>
      <c r="BW684" s="105"/>
      <c r="BX684" s="105"/>
    </row>
    <row r="685" spans="62:76" ht="16.5" customHeight="1">
      <c r="BJ685" s="105"/>
      <c r="BU685" s="105"/>
      <c r="BV685" s="105"/>
      <c r="BW685" s="105"/>
      <c r="BX685" s="105"/>
    </row>
    <row r="686" spans="62:76" ht="16.5" customHeight="1">
      <c r="BJ686" s="105"/>
      <c r="BU686" s="105"/>
      <c r="BV686" s="105"/>
      <c r="BW686" s="105"/>
      <c r="BX686" s="105"/>
    </row>
    <row r="687" spans="62:76" ht="16.5" customHeight="1">
      <c r="BJ687" s="105"/>
      <c r="BU687" s="105"/>
      <c r="BV687" s="105"/>
      <c r="BW687" s="105"/>
      <c r="BX687" s="105"/>
    </row>
    <row r="688" spans="62:76" ht="16.5" customHeight="1">
      <c r="BJ688" s="105"/>
      <c r="BU688" s="105"/>
      <c r="BV688" s="105"/>
      <c r="BW688" s="105"/>
      <c r="BX688" s="105"/>
    </row>
    <row r="689" spans="62:76" ht="16.5" customHeight="1">
      <c r="BJ689" s="105"/>
      <c r="BU689" s="105"/>
      <c r="BV689" s="105"/>
      <c r="BW689" s="105"/>
      <c r="BX689" s="105"/>
    </row>
    <row r="690" spans="62:76" ht="16.5" customHeight="1">
      <c r="BJ690" s="105"/>
      <c r="BU690" s="105"/>
      <c r="BV690" s="105"/>
      <c r="BW690" s="105"/>
      <c r="BX690" s="105"/>
    </row>
    <row r="691" spans="62:76" ht="16.5" customHeight="1">
      <c r="BJ691" s="105"/>
      <c r="BU691" s="105"/>
      <c r="BV691" s="105"/>
      <c r="BW691" s="105"/>
      <c r="BX691" s="105"/>
    </row>
    <row r="692" spans="62:76" ht="16.5" customHeight="1">
      <c r="BJ692" s="105"/>
      <c r="BU692" s="105"/>
      <c r="BV692" s="105"/>
      <c r="BW692" s="105"/>
      <c r="BX692" s="105"/>
    </row>
    <row r="693" spans="62:76" ht="16.5" customHeight="1">
      <c r="BJ693" s="105"/>
      <c r="BU693" s="105"/>
      <c r="BV693" s="105"/>
      <c r="BW693" s="105"/>
      <c r="BX693" s="105"/>
    </row>
    <row r="694" spans="62:76" ht="16.5" customHeight="1">
      <c r="BJ694" s="105"/>
      <c r="BU694" s="105"/>
      <c r="BV694" s="105"/>
      <c r="BW694" s="105"/>
      <c r="BX694" s="105"/>
    </row>
    <row r="695" spans="62:76" ht="16.5" customHeight="1">
      <c r="BJ695" s="105"/>
      <c r="BU695" s="105"/>
      <c r="BV695" s="105"/>
      <c r="BW695" s="105"/>
      <c r="BX695" s="105"/>
    </row>
    <row r="696" spans="62:76" ht="16.5" customHeight="1">
      <c r="BJ696" s="105"/>
      <c r="BU696" s="105"/>
      <c r="BV696" s="105"/>
      <c r="BW696" s="105"/>
      <c r="BX696" s="105"/>
    </row>
    <row r="697" spans="62:76" ht="16.5" customHeight="1">
      <c r="BJ697" s="105"/>
      <c r="BU697" s="105"/>
      <c r="BV697" s="105"/>
      <c r="BW697" s="105"/>
      <c r="BX697" s="105"/>
    </row>
    <row r="698" spans="62:76" ht="16.5" customHeight="1">
      <c r="BJ698" s="105"/>
      <c r="BU698" s="105"/>
      <c r="BV698" s="105"/>
      <c r="BW698" s="105"/>
      <c r="BX698" s="105"/>
    </row>
    <row r="699" spans="62:76" ht="16.5" customHeight="1">
      <c r="BJ699" s="105"/>
      <c r="BU699" s="105"/>
      <c r="BV699" s="105"/>
      <c r="BW699" s="105"/>
      <c r="BX699" s="105"/>
    </row>
    <row r="700" spans="62:76" ht="16.5" customHeight="1">
      <c r="BJ700" s="105"/>
      <c r="BU700" s="105"/>
      <c r="BV700" s="105"/>
      <c r="BW700" s="105"/>
      <c r="BX700" s="105"/>
    </row>
    <row r="701" spans="62:76" ht="16.5" customHeight="1">
      <c r="BJ701" s="105"/>
      <c r="BU701" s="105"/>
      <c r="BV701" s="105"/>
      <c r="BW701" s="105"/>
      <c r="BX701" s="105"/>
    </row>
    <row r="702" spans="62:76" ht="16.5" customHeight="1">
      <c r="BJ702" s="105"/>
      <c r="BU702" s="105"/>
      <c r="BV702" s="105"/>
      <c r="BW702" s="105"/>
      <c r="BX702" s="105"/>
    </row>
    <row r="703" spans="62:76" ht="16.5" customHeight="1">
      <c r="BJ703" s="105"/>
      <c r="BU703" s="105"/>
      <c r="BV703" s="105"/>
      <c r="BW703" s="105"/>
      <c r="BX703" s="105"/>
    </row>
    <row r="704" spans="62:76" ht="16.5" customHeight="1">
      <c r="BJ704" s="105"/>
      <c r="BU704" s="105"/>
      <c r="BV704" s="105"/>
      <c r="BW704" s="105"/>
      <c r="BX704" s="105"/>
    </row>
    <row r="705" spans="62:76" ht="16.5" customHeight="1">
      <c r="BJ705" s="105"/>
      <c r="BU705" s="105"/>
      <c r="BV705" s="105"/>
      <c r="BW705" s="105"/>
      <c r="BX705" s="105"/>
    </row>
    <row r="706" spans="62:76" ht="16.5" customHeight="1">
      <c r="BJ706" s="105"/>
      <c r="BU706" s="105"/>
      <c r="BV706" s="105"/>
      <c r="BW706" s="105"/>
      <c r="BX706" s="105"/>
    </row>
    <row r="707" spans="62:76" ht="16.5" customHeight="1">
      <c r="BJ707" s="105"/>
      <c r="BU707" s="105"/>
      <c r="BV707" s="105"/>
      <c r="BW707" s="105"/>
      <c r="BX707" s="105"/>
    </row>
    <row r="708" spans="62:76" ht="16.5" customHeight="1">
      <c r="BJ708" s="105"/>
      <c r="BU708" s="105"/>
      <c r="BV708" s="105"/>
      <c r="BW708" s="105"/>
      <c r="BX708" s="105"/>
    </row>
    <row r="709" spans="62:76" ht="16.5" customHeight="1">
      <c r="BJ709" s="105"/>
      <c r="BU709" s="105"/>
      <c r="BV709" s="105"/>
      <c r="BW709" s="105"/>
      <c r="BX709" s="105"/>
    </row>
    <row r="710" spans="62:76" ht="16.5" customHeight="1">
      <c r="BJ710" s="105"/>
      <c r="BU710" s="105"/>
      <c r="BV710" s="105"/>
      <c r="BW710" s="105"/>
      <c r="BX710" s="105"/>
    </row>
    <row r="711" spans="62:76" ht="16.5" customHeight="1">
      <c r="BJ711" s="105"/>
      <c r="BU711" s="105"/>
      <c r="BV711" s="105"/>
      <c r="BW711" s="105"/>
      <c r="BX711" s="105"/>
    </row>
    <row r="712" spans="62:76" ht="16.5" customHeight="1">
      <c r="BJ712" s="105"/>
      <c r="BU712" s="105"/>
      <c r="BV712" s="105"/>
      <c r="BW712" s="105"/>
      <c r="BX712" s="105"/>
    </row>
    <row r="713" spans="62:76" ht="16.5" customHeight="1">
      <c r="BJ713" s="105"/>
      <c r="BU713" s="105"/>
      <c r="BV713" s="105"/>
      <c r="BW713" s="105"/>
      <c r="BX713" s="105"/>
    </row>
    <row r="714" spans="62:76" ht="16.5" customHeight="1">
      <c r="BJ714" s="105"/>
      <c r="BU714" s="105"/>
      <c r="BV714" s="105"/>
      <c r="BW714" s="105"/>
      <c r="BX714" s="105"/>
    </row>
    <row r="715" spans="62:76" ht="16.5" customHeight="1">
      <c r="BJ715" s="105"/>
      <c r="BU715" s="105"/>
      <c r="BV715" s="105"/>
      <c r="BW715" s="105"/>
      <c r="BX715" s="105"/>
    </row>
    <row r="716" spans="62:76" ht="16.5" customHeight="1">
      <c r="BJ716" s="105"/>
      <c r="BU716" s="105"/>
      <c r="BV716" s="105"/>
      <c r="BW716" s="105"/>
      <c r="BX716" s="105"/>
    </row>
    <row r="717" spans="62:76" ht="16.5" customHeight="1">
      <c r="BJ717" s="105"/>
      <c r="BU717" s="105"/>
      <c r="BV717" s="105"/>
      <c r="BW717" s="105"/>
      <c r="BX717" s="105"/>
    </row>
    <row r="718" spans="62:76" ht="16.5" customHeight="1">
      <c r="BJ718" s="105"/>
      <c r="BU718" s="105"/>
      <c r="BV718" s="105"/>
      <c r="BW718" s="105"/>
      <c r="BX718" s="105"/>
    </row>
    <row r="719" spans="62:76" ht="16.5" customHeight="1">
      <c r="BJ719" s="105"/>
      <c r="BU719" s="105"/>
      <c r="BV719" s="105"/>
      <c r="BW719" s="105"/>
      <c r="BX719" s="105"/>
    </row>
    <row r="720" spans="62:76" ht="16.5" customHeight="1">
      <c r="BJ720" s="105"/>
      <c r="BU720" s="105"/>
      <c r="BV720" s="105"/>
      <c r="BW720" s="105"/>
      <c r="BX720" s="105"/>
    </row>
    <row r="721" spans="62:76" ht="16.5" customHeight="1">
      <c r="BJ721" s="105"/>
      <c r="BU721" s="105"/>
      <c r="BV721" s="105"/>
      <c r="BW721" s="105"/>
      <c r="BX721" s="105"/>
    </row>
    <row r="722" spans="62:76" ht="16.5" customHeight="1">
      <c r="BJ722" s="105"/>
      <c r="BU722" s="105"/>
      <c r="BV722" s="105"/>
      <c r="BW722" s="105"/>
      <c r="BX722" s="105"/>
    </row>
    <row r="723" spans="62:76" ht="16.5" customHeight="1">
      <c r="BJ723" s="105"/>
      <c r="BU723" s="105"/>
      <c r="BV723" s="105"/>
      <c r="BW723" s="105"/>
      <c r="BX723" s="105"/>
    </row>
    <row r="724" spans="62:76" ht="16.5" customHeight="1">
      <c r="BJ724" s="105"/>
      <c r="BU724" s="105"/>
      <c r="BV724" s="105"/>
      <c r="BW724" s="105"/>
      <c r="BX724" s="105"/>
    </row>
    <row r="725" spans="62:76" ht="16.5" customHeight="1">
      <c r="BJ725" s="105"/>
      <c r="BU725" s="105"/>
      <c r="BV725" s="105"/>
      <c r="BW725" s="105"/>
      <c r="BX725" s="105"/>
    </row>
    <row r="726" spans="62:76" ht="16.5" customHeight="1">
      <c r="BJ726" s="105"/>
      <c r="BU726" s="105"/>
      <c r="BV726" s="105"/>
      <c r="BW726" s="105"/>
      <c r="BX726" s="105"/>
    </row>
    <row r="727" spans="62:76" ht="16.5" customHeight="1">
      <c r="BJ727" s="105"/>
      <c r="BU727" s="105"/>
      <c r="BV727" s="105"/>
      <c r="BW727" s="105"/>
      <c r="BX727" s="105"/>
    </row>
    <row r="728" spans="62:76" ht="16.5" customHeight="1">
      <c r="BJ728" s="105"/>
      <c r="BU728" s="105"/>
      <c r="BV728" s="105"/>
      <c r="BW728" s="105"/>
      <c r="BX728" s="105"/>
    </row>
    <row r="729" spans="62:76" ht="16.5" customHeight="1">
      <c r="BJ729" s="105"/>
      <c r="BU729" s="105"/>
      <c r="BV729" s="105"/>
      <c r="BW729" s="105"/>
      <c r="BX729" s="105"/>
    </row>
    <row r="730" spans="62:76" ht="16.5" customHeight="1">
      <c r="BJ730" s="105"/>
      <c r="BU730" s="105"/>
      <c r="BV730" s="105"/>
      <c r="BW730" s="105"/>
      <c r="BX730" s="105"/>
    </row>
    <row r="731" spans="62:76" ht="16.5" customHeight="1">
      <c r="BJ731" s="105"/>
      <c r="BU731" s="105"/>
      <c r="BV731" s="105"/>
      <c r="BW731" s="105"/>
      <c r="BX731" s="105"/>
    </row>
    <row r="732" spans="62:76" ht="16.5" customHeight="1">
      <c r="BJ732" s="105"/>
      <c r="BU732" s="105"/>
      <c r="BV732" s="105"/>
      <c r="BW732" s="105"/>
      <c r="BX732" s="105"/>
    </row>
    <row r="733" spans="62:76" ht="16.5" customHeight="1">
      <c r="BJ733" s="105"/>
      <c r="BU733" s="105"/>
      <c r="BV733" s="105"/>
      <c r="BW733" s="105"/>
      <c r="BX733" s="105"/>
    </row>
    <row r="734" spans="62:76" ht="16.5" customHeight="1">
      <c r="BJ734" s="105"/>
      <c r="BU734" s="105"/>
      <c r="BV734" s="105"/>
      <c r="BW734" s="105"/>
      <c r="BX734" s="105"/>
    </row>
    <row r="735" spans="62:76" ht="16.5" customHeight="1">
      <c r="BJ735" s="105"/>
      <c r="BU735" s="105"/>
      <c r="BV735" s="105"/>
      <c r="BW735" s="105"/>
      <c r="BX735" s="105"/>
    </row>
    <row r="736" spans="62:76" ht="16.5" customHeight="1">
      <c r="BJ736" s="105"/>
      <c r="BU736" s="105"/>
      <c r="BV736" s="105"/>
      <c r="BW736" s="105"/>
      <c r="BX736" s="105"/>
    </row>
    <row r="737" spans="62:76" ht="16.5" customHeight="1">
      <c r="BJ737" s="105"/>
      <c r="BU737" s="105"/>
      <c r="BV737" s="105"/>
      <c r="BW737" s="105"/>
      <c r="BX737" s="105"/>
    </row>
    <row r="738" spans="62:76" ht="16.5" customHeight="1">
      <c r="BJ738" s="105"/>
      <c r="BU738" s="105"/>
      <c r="BV738" s="105"/>
      <c r="BW738" s="105"/>
      <c r="BX738" s="105"/>
    </row>
    <row r="739" spans="62:76" ht="16.5" customHeight="1">
      <c r="BJ739" s="105"/>
      <c r="BU739" s="105"/>
      <c r="BV739" s="105"/>
      <c r="BW739" s="105"/>
      <c r="BX739" s="105"/>
    </row>
    <row r="740" spans="62:76" ht="16.5" customHeight="1">
      <c r="BJ740" s="105"/>
      <c r="BU740" s="105"/>
      <c r="BV740" s="105"/>
      <c r="BW740" s="105"/>
      <c r="BX740" s="105"/>
    </row>
    <row r="741" spans="62:76" ht="16.5" customHeight="1">
      <c r="BJ741" s="105"/>
      <c r="BU741" s="105"/>
      <c r="BV741" s="105"/>
      <c r="BW741" s="105"/>
      <c r="BX741" s="105"/>
    </row>
    <row r="742" spans="62:76" ht="16.5" customHeight="1">
      <c r="BJ742" s="105"/>
      <c r="BU742" s="105"/>
      <c r="BV742" s="105"/>
      <c r="BW742" s="105"/>
      <c r="BX742" s="105"/>
    </row>
    <row r="743" spans="62:76" ht="16.5" customHeight="1">
      <c r="BJ743" s="105"/>
      <c r="BU743" s="105"/>
      <c r="BV743" s="105"/>
      <c r="BW743" s="105"/>
      <c r="BX743" s="105"/>
    </row>
    <row r="744" spans="62:76" ht="16.5" customHeight="1">
      <c r="BJ744" s="105"/>
      <c r="BU744" s="105"/>
      <c r="BV744" s="105"/>
      <c r="BW744" s="105"/>
      <c r="BX744" s="105"/>
    </row>
    <row r="745" spans="62:76" ht="16.5" customHeight="1">
      <c r="BJ745" s="105"/>
      <c r="BU745" s="105"/>
      <c r="BV745" s="105"/>
      <c r="BW745" s="105"/>
      <c r="BX745" s="105"/>
    </row>
    <row r="746" spans="62:76" ht="16.5" customHeight="1">
      <c r="BJ746" s="105"/>
      <c r="BU746" s="105"/>
      <c r="BV746" s="105"/>
      <c r="BW746" s="105"/>
      <c r="BX746" s="105"/>
    </row>
    <row r="747" spans="62:76" ht="16.5" customHeight="1">
      <c r="BJ747" s="105"/>
      <c r="BU747" s="105"/>
      <c r="BV747" s="105"/>
      <c r="BW747" s="105"/>
      <c r="BX747" s="105"/>
    </row>
    <row r="748" spans="62:76" ht="16.5" customHeight="1">
      <c r="BJ748" s="105"/>
      <c r="BU748" s="105"/>
      <c r="BV748" s="105"/>
      <c r="BW748" s="105"/>
      <c r="BX748" s="105"/>
    </row>
    <row r="749" spans="62:76" ht="16.5" customHeight="1">
      <c r="BJ749" s="105"/>
      <c r="BU749" s="105"/>
      <c r="BV749" s="105"/>
      <c r="BW749" s="105"/>
      <c r="BX749" s="105"/>
    </row>
    <row r="750" spans="62:76" ht="16.5" customHeight="1">
      <c r="BJ750" s="105"/>
      <c r="BU750" s="105"/>
      <c r="BV750" s="105"/>
      <c r="BW750" s="105"/>
      <c r="BX750" s="105"/>
    </row>
    <row r="751" spans="62:76" ht="16.5" customHeight="1">
      <c r="BJ751" s="105"/>
      <c r="BU751" s="105"/>
      <c r="BV751" s="105"/>
      <c r="BW751" s="105"/>
      <c r="BX751" s="105"/>
    </row>
    <row r="752" spans="62:76" ht="16.5" customHeight="1">
      <c r="BJ752" s="105"/>
      <c r="BU752" s="105"/>
      <c r="BV752" s="105"/>
      <c r="BW752" s="105"/>
      <c r="BX752" s="105"/>
    </row>
    <row r="753" spans="62:76" ht="16.5" customHeight="1">
      <c r="BJ753" s="105"/>
      <c r="BU753" s="105"/>
      <c r="BV753" s="105"/>
      <c r="BW753" s="105"/>
      <c r="BX753" s="105"/>
    </row>
    <row r="754" spans="62:76" ht="16.5" customHeight="1">
      <c r="BJ754" s="105"/>
      <c r="BU754" s="105"/>
      <c r="BV754" s="105"/>
      <c r="BW754" s="105"/>
      <c r="BX754" s="105"/>
    </row>
    <row r="755" spans="62:76" ht="16.5" customHeight="1">
      <c r="BJ755" s="105"/>
      <c r="BU755" s="105"/>
      <c r="BV755" s="105"/>
      <c r="BW755" s="105"/>
      <c r="BX755" s="105"/>
    </row>
    <row r="756" spans="62:76" ht="16.5" customHeight="1">
      <c r="BJ756" s="105"/>
      <c r="BU756" s="105"/>
      <c r="BV756" s="105"/>
      <c r="BW756" s="105"/>
      <c r="BX756" s="105"/>
    </row>
    <row r="757" spans="62:76" ht="16.5" customHeight="1">
      <c r="BJ757" s="105"/>
      <c r="BU757" s="105"/>
      <c r="BV757" s="105"/>
      <c r="BW757" s="105"/>
      <c r="BX757" s="105"/>
    </row>
    <row r="758" spans="62:76" ht="16.5" customHeight="1">
      <c r="BJ758" s="105"/>
      <c r="BU758" s="105"/>
      <c r="BV758" s="105"/>
      <c r="BW758" s="105"/>
      <c r="BX758" s="105"/>
    </row>
    <row r="759" spans="62:76" ht="16.5" customHeight="1">
      <c r="BJ759" s="105"/>
      <c r="BU759" s="105"/>
      <c r="BV759" s="105"/>
      <c r="BW759" s="105"/>
      <c r="BX759" s="105"/>
    </row>
    <row r="760" spans="62:76" ht="16.5" customHeight="1">
      <c r="BJ760" s="105"/>
      <c r="BU760" s="105"/>
      <c r="BV760" s="105"/>
      <c r="BW760" s="105"/>
      <c r="BX760" s="105"/>
    </row>
    <row r="761" spans="62:76" ht="16.5" customHeight="1">
      <c r="BJ761" s="105"/>
      <c r="BU761" s="105"/>
      <c r="BV761" s="105"/>
      <c r="BW761" s="105"/>
      <c r="BX761" s="105"/>
    </row>
    <row r="762" spans="62:76" ht="16.5" customHeight="1">
      <c r="BJ762" s="105"/>
      <c r="BU762" s="105"/>
      <c r="BV762" s="105"/>
      <c r="BW762" s="105"/>
      <c r="BX762" s="105"/>
    </row>
    <row r="763" spans="62:76" ht="16.5" customHeight="1">
      <c r="BJ763" s="105"/>
      <c r="BU763" s="105"/>
      <c r="BV763" s="105"/>
      <c r="BW763" s="105"/>
      <c r="BX763" s="105"/>
    </row>
    <row r="764" spans="62:76" ht="16.5" customHeight="1">
      <c r="BJ764" s="105"/>
      <c r="BU764" s="105"/>
      <c r="BV764" s="105"/>
      <c r="BW764" s="105"/>
      <c r="BX764" s="105"/>
    </row>
    <row r="765" spans="62:76" ht="16.5" customHeight="1">
      <c r="BJ765" s="105"/>
      <c r="BU765" s="105"/>
      <c r="BV765" s="105"/>
      <c r="BW765" s="105"/>
      <c r="BX765" s="105"/>
    </row>
    <row r="766" spans="62:76" ht="16.5" customHeight="1">
      <c r="BJ766" s="105"/>
      <c r="BU766" s="105"/>
      <c r="BV766" s="105"/>
      <c r="BW766" s="105"/>
      <c r="BX766" s="105"/>
    </row>
    <row r="767" spans="62:76" ht="16.5" customHeight="1">
      <c r="BJ767" s="105"/>
      <c r="BU767" s="105"/>
      <c r="BV767" s="105"/>
      <c r="BW767" s="105"/>
      <c r="BX767" s="105"/>
    </row>
    <row r="768" spans="62:76" ht="16.5" customHeight="1">
      <c r="BJ768" s="105"/>
      <c r="BU768" s="105"/>
      <c r="BV768" s="105"/>
      <c r="BW768" s="105"/>
      <c r="BX768" s="105"/>
    </row>
    <row r="769" spans="62:76" ht="16.5" customHeight="1">
      <c r="BJ769" s="105"/>
      <c r="BU769" s="105"/>
      <c r="BV769" s="105"/>
      <c r="BW769" s="105"/>
      <c r="BX769" s="105"/>
    </row>
    <row r="770" spans="62:76" ht="16.5" customHeight="1">
      <c r="BJ770" s="105"/>
      <c r="BU770" s="105"/>
      <c r="BV770" s="105"/>
      <c r="BW770" s="105"/>
      <c r="BX770" s="105"/>
    </row>
    <row r="771" spans="62:76" ht="16.5" customHeight="1">
      <c r="BJ771" s="105"/>
      <c r="BU771" s="105"/>
      <c r="BV771" s="105"/>
      <c r="BW771" s="105"/>
      <c r="BX771" s="105"/>
    </row>
    <row r="772" spans="62:76" ht="16.5" customHeight="1">
      <c r="BJ772" s="105"/>
      <c r="BU772" s="105"/>
      <c r="BV772" s="105"/>
      <c r="BW772" s="105"/>
      <c r="BX772" s="105"/>
    </row>
    <row r="773" spans="62:76" ht="16.5" customHeight="1">
      <c r="BJ773" s="105"/>
      <c r="BU773" s="105"/>
      <c r="BV773" s="105"/>
      <c r="BW773" s="105"/>
      <c r="BX773" s="105"/>
    </row>
    <row r="774" spans="62:76" ht="16.5" customHeight="1">
      <c r="BJ774" s="105"/>
      <c r="BU774" s="105"/>
      <c r="BV774" s="105"/>
      <c r="BW774" s="105"/>
      <c r="BX774" s="105"/>
    </row>
    <row r="775" spans="62:76" ht="16.5" customHeight="1">
      <c r="BJ775" s="105"/>
      <c r="BU775" s="105"/>
      <c r="BV775" s="105"/>
      <c r="BW775" s="105"/>
      <c r="BX775" s="105"/>
    </row>
    <row r="776" spans="62:76" ht="16.5" customHeight="1">
      <c r="BJ776" s="105"/>
      <c r="BU776" s="105"/>
      <c r="BV776" s="105"/>
      <c r="BW776" s="105"/>
      <c r="BX776" s="105"/>
    </row>
    <row r="777" spans="62:76" ht="16.5" customHeight="1">
      <c r="BJ777" s="105"/>
      <c r="BU777" s="105"/>
      <c r="BV777" s="105"/>
      <c r="BW777" s="105"/>
      <c r="BX777" s="105"/>
    </row>
    <row r="778" spans="62:76" ht="16.5" customHeight="1">
      <c r="BJ778" s="105"/>
      <c r="BU778" s="105"/>
      <c r="BV778" s="105"/>
      <c r="BW778" s="105"/>
      <c r="BX778" s="105"/>
    </row>
    <row r="779" spans="62:76" ht="16.5" customHeight="1">
      <c r="BJ779" s="105"/>
      <c r="BU779" s="105"/>
      <c r="BV779" s="105"/>
      <c r="BW779" s="105"/>
      <c r="BX779" s="105"/>
    </row>
    <row r="780" spans="62:76" ht="16.5" customHeight="1">
      <c r="BJ780" s="105"/>
      <c r="BU780" s="105"/>
      <c r="BV780" s="105"/>
      <c r="BW780" s="105"/>
      <c r="BX780" s="105"/>
    </row>
    <row r="781" spans="62:76" ht="16.5" customHeight="1">
      <c r="BJ781" s="105"/>
      <c r="BU781" s="105"/>
      <c r="BV781" s="105"/>
      <c r="BW781" s="105"/>
      <c r="BX781" s="105"/>
    </row>
    <row r="782" spans="62:76" ht="16.5" customHeight="1">
      <c r="BJ782" s="105"/>
      <c r="BU782" s="105"/>
      <c r="BV782" s="105"/>
      <c r="BW782" s="105"/>
      <c r="BX782" s="105"/>
    </row>
    <row r="783" spans="62:76" ht="16.5" customHeight="1">
      <c r="BJ783" s="105"/>
      <c r="BU783" s="105"/>
      <c r="BV783" s="105"/>
      <c r="BW783" s="105"/>
      <c r="BX783" s="105"/>
    </row>
    <row r="784" spans="62:76" ht="16.5" customHeight="1">
      <c r="BJ784" s="105"/>
      <c r="BU784" s="105"/>
      <c r="BV784" s="105"/>
      <c r="BW784" s="105"/>
      <c r="BX784" s="105"/>
    </row>
    <row r="785" spans="62:76" ht="16.5" customHeight="1">
      <c r="BJ785" s="105"/>
      <c r="BU785" s="105"/>
      <c r="BV785" s="105"/>
      <c r="BW785" s="105"/>
      <c r="BX785" s="105"/>
    </row>
    <row r="786" spans="62:76" ht="16.5" customHeight="1">
      <c r="BJ786" s="105"/>
      <c r="BU786" s="105"/>
      <c r="BV786" s="105"/>
      <c r="BW786" s="105"/>
      <c r="BX786" s="105"/>
    </row>
    <row r="787" spans="62:76" ht="16.5" customHeight="1">
      <c r="BJ787" s="105"/>
      <c r="BU787" s="105"/>
      <c r="BV787" s="105"/>
      <c r="BW787" s="105"/>
      <c r="BX787" s="105"/>
    </row>
    <row r="788" spans="62:76" ht="16.5" customHeight="1">
      <c r="BJ788" s="105"/>
      <c r="BU788" s="105"/>
      <c r="BV788" s="105"/>
      <c r="BW788" s="105"/>
      <c r="BX788" s="105"/>
    </row>
    <row r="789" spans="62:76" ht="16.5" customHeight="1">
      <c r="BJ789" s="105"/>
      <c r="BU789" s="105"/>
      <c r="BV789" s="105"/>
      <c r="BW789" s="105"/>
      <c r="BX789" s="105"/>
    </row>
    <row r="790" spans="62:76" ht="16.5" customHeight="1">
      <c r="BJ790" s="105"/>
      <c r="BU790" s="105"/>
      <c r="BV790" s="105"/>
      <c r="BW790" s="105"/>
      <c r="BX790" s="105"/>
    </row>
    <row r="791" spans="62:76" ht="16.5" customHeight="1">
      <c r="BJ791" s="105"/>
      <c r="BU791" s="105"/>
      <c r="BV791" s="105"/>
      <c r="BW791" s="105"/>
      <c r="BX791" s="105"/>
    </row>
    <row r="792" spans="62:76" ht="16.5" customHeight="1">
      <c r="BJ792" s="105"/>
      <c r="BU792" s="105"/>
      <c r="BV792" s="105"/>
      <c r="BW792" s="105"/>
      <c r="BX792" s="105"/>
    </row>
    <row r="793" spans="62:76" ht="16.5" customHeight="1">
      <c r="BJ793" s="105"/>
      <c r="BU793" s="105"/>
      <c r="BV793" s="105"/>
      <c r="BW793" s="105"/>
      <c r="BX793" s="105"/>
    </row>
    <row r="794" spans="62:76" ht="16.5" customHeight="1">
      <c r="BJ794" s="105"/>
      <c r="BU794" s="105"/>
      <c r="BV794" s="105"/>
      <c r="BW794" s="105"/>
      <c r="BX794" s="105"/>
    </row>
    <row r="795" spans="62:76" ht="16.5" customHeight="1">
      <c r="BJ795" s="105"/>
      <c r="BU795" s="105"/>
      <c r="BV795" s="105"/>
      <c r="BW795" s="105"/>
      <c r="BX795" s="105"/>
    </row>
    <row r="796" spans="62:76" ht="16.5" customHeight="1">
      <c r="BJ796" s="105"/>
      <c r="BU796" s="105"/>
      <c r="BV796" s="105"/>
      <c r="BW796" s="105"/>
      <c r="BX796" s="105"/>
    </row>
    <row r="797" spans="62:76" ht="16.5" customHeight="1">
      <c r="BJ797" s="105"/>
      <c r="BU797" s="105"/>
      <c r="BV797" s="105"/>
      <c r="BW797" s="105"/>
      <c r="BX797" s="105"/>
    </row>
    <row r="798" spans="62:76" ht="16.5" customHeight="1">
      <c r="BJ798" s="105"/>
      <c r="BU798" s="105"/>
      <c r="BV798" s="105"/>
      <c r="BW798" s="105"/>
      <c r="BX798" s="105"/>
    </row>
    <row r="799" spans="62:76" ht="16.5" customHeight="1">
      <c r="BJ799" s="105"/>
      <c r="BU799" s="105"/>
      <c r="BV799" s="105"/>
      <c r="BW799" s="105"/>
      <c r="BX799" s="105"/>
    </row>
    <row r="800" spans="62:76" ht="16.5" customHeight="1">
      <c r="BJ800" s="105"/>
      <c r="BU800" s="105"/>
      <c r="BV800" s="105"/>
      <c r="BW800" s="105"/>
      <c r="BX800" s="105"/>
    </row>
    <row r="801" spans="62:76" ht="16.5" customHeight="1">
      <c r="BJ801" s="105"/>
      <c r="BU801" s="105"/>
      <c r="BV801" s="105"/>
      <c r="BW801" s="105"/>
      <c r="BX801" s="105"/>
    </row>
    <row r="802" spans="62:76" ht="16.5" customHeight="1">
      <c r="BJ802" s="105"/>
      <c r="BU802" s="105"/>
      <c r="BV802" s="105"/>
      <c r="BW802" s="105"/>
      <c r="BX802" s="105"/>
    </row>
    <row r="803" spans="62:76" ht="16.5" customHeight="1">
      <c r="BJ803" s="105"/>
      <c r="BU803" s="105"/>
      <c r="BV803" s="105"/>
      <c r="BW803" s="105"/>
      <c r="BX803" s="105"/>
    </row>
    <row r="804" spans="62:76" ht="16.5" customHeight="1">
      <c r="BJ804" s="105"/>
      <c r="BU804" s="105"/>
      <c r="BV804" s="105"/>
      <c r="BW804" s="105"/>
      <c r="BX804" s="105"/>
    </row>
    <row r="805" spans="62:76" ht="16.5" customHeight="1">
      <c r="BJ805" s="105"/>
      <c r="BU805" s="105"/>
      <c r="BV805" s="105"/>
      <c r="BW805" s="105"/>
      <c r="BX805" s="105"/>
    </row>
    <row r="806" spans="62:76" ht="16.5" customHeight="1">
      <c r="BJ806" s="105"/>
      <c r="BU806" s="105"/>
      <c r="BV806" s="105"/>
      <c r="BW806" s="105"/>
      <c r="BX806" s="105"/>
    </row>
    <row r="807" spans="62:76" ht="16.5" customHeight="1">
      <c r="BJ807" s="105"/>
      <c r="BU807" s="105"/>
      <c r="BV807" s="105"/>
      <c r="BW807" s="105"/>
      <c r="BX807" s="105"/>
    </row>
    <row r="808" spans="62:76" ht="16.5" customHeight="1">
      <c r="BJ808" s="105"/>
      <c r="BU808" s="105"/>
      <c r="BV808" s="105"/>
      <c r="BW808" s="105"/>
      <c r="BX808" s="105"/>
    </row>
    <row r="809" spans="62:76" ht="16.5" customHeight="1">
      <c r="BJ809" s="105"/>
      <c r="BU809" s="105"/>
      <c r="BV809" s="105"/>
      <c r="BW809" s="105"/>
      <c r="BX809" s="105"/>
    </row>
    <row r="810" spans="62:76" ht="16.5" customHeight="1">
      <c r="BJ810" s="105"/>
      <c r="BU810" s="105"/>
      <c r="BV810" s="105"/>
      <c r="BW810" s="105"/>
      <c r="BX810" s="105"/>
    </row>
    <row r="811" spans="62:76" ht="16.5" customHeight="1">
      <c r="BJ811" s="105"/>
      <c r="BU811" s="105"/>
      <c r="BV811" s="105"/>
      <c r="BW811" s="105"/>
      <c r="BX811" s="105"/>
    </row>
    <row r="812" spans="62:76" ht="16.5" customHeight="1">
      <c r="BJ812" s="105"/>
      <c r="BU812" s="105"/>
      <c r="BV812" s="105"/>
      <c r="BW812" s="105"/>
      <c r="BX812" s="105"/>
    </row>
    <row r="813" spans="62:76" ht="16.5" customHeight="1">
      <c r="BJ813" s="105"/>
      <c r="BU813" s="105"/>
      <c r="BV813" s="105"/>
      <c r="BW813" s="105"/>
      <c r="BX813" s="105"/>
    </row>
    <row r="814" spans="62:76" ht="16.5" customHeight="1">
      <c r="BJ814" s="105"/>
      <c r="BU814" s="105"/>
      <c r="BV814" s="105"/>
      <c r="BW814" s="105"/>
      <c r="BX814" s="105"/>
    </row>
    <row r="815" spans="62:76" ht="16.5" customHeight="1">
      <c r="BJ815" s="105"/>
      <c r="BU815" s="105"/>
      <c r="BV815" s="105"/>
      <c r="BW815" s="105"/>
      <c r="BX815" s="105"/>
    </row>
    <row r="816" spans="62:76" ht="16.5" customHeight="1">
      <c r="BJ816" s="105"/>
      <c r="BU816" s="105"/>
      <c r="BV816" s="105"/>
      <c r="BW816" s="105"/>
      <c r="BX816" s="105"/>
    </row>
    <row r="817" spans="62:76" ht="16.5" customHeight="1">
      <c r="BJ817" s="105"/>
      <c r="BU817" s="105"/>
      <c r="BV817" s="105"/>
      <c r="BW817" s="105"/>
      <c r="BX817" s="105"/>
    </row>
    <row r="818" spans="62:76" ht="16.5" customHeight="1">
      <c r="BJ818" s="105"/>
      <c r="BU818" s="105"/>
      <c r="BV818" s="105"/>
      <c r="BW818" s="105"/>
      <c r="BX818" s="105"/>
    </row>
    <row r="819" spans="62:76" ht="16.5" customHeight="1">
      <c r="BJ819" s="105"/>
      <c r="BU819" s="105"/>
      <c r="BV819" s="105"/>
      <c r="BW819" s="105"/>
      <c r="BX819" s="105"/>
    </row>
    <row r="820" spans="62:76" ht="16.5" customHeight="1">
      <c r="BJ820" s="105"/>
      <c r="BU820" s="105"/>
      <c r="BV820" s="105"/>
      <c r="BW820" s="105"/>
      <c r="BX820" s="105"/>
    </row>
    <row r="821" spans="62:76" ht="16.5" customHeight="1">
      <c r="BJ821" s="105"/>
      <c r="BU821" s="105"/>
      <c r="BV821" s="105"/>
      <c r="BW821" s="105"/>
      <c r="BX821" s="105"/>
    </row>
    <row r="822" spans="62:76" ht="16.5" customHeight="1">
      <c r="BJ822" s="105"/>
      <c r="BU822" s="105"/>
      <c r="BV822" s="105"/>
      <c r="BW822" s="105"/>
      <c r="BX822" s="105"/>
    </row>
    <row r="823" spans="62:76" ht="16.5" customHeight="1">
      <c r="BJ823" s="105"/>
      <c r="BU823" s="105"/>
      <c r="BV823" s="105"/>
      <c r="BW823" s="105"/>
      <c r="BX823" s="105"/>
    </row>
    <row r="824" spans="62:76" ht="16.5" customHeight="1">
      <c r="BJ824" s="105"/>
      <c r="BU824" s="105"/>
      <c r="BV824" s="105"/>
      <c r="BW824" s="105"/>
      <c r="BX824" s="105"/>
    </row>
    <row r="825" spans="62:76" ht="16.5" customHeight="1">
      <c r="BJ825" s="105"/>
      <c r="BU825" s="105"/>
      <c r="BV825" s="105"/>
      <c r="BW825" s="105"/>
      <c r="BX825" s="105"/>
    </row>
    <row r="826" spans="62:76" ht="16.5" customHeight="1">
      <c r="BJ826" s="105"/>
      <c r="BU826" s="105"/>
      <c r="BV826" s="105"/>
      <c r="BW826" s="105"/>
      <c r="BX826" s="105"/>
    </row>
    <row r="827" spans="62:76" ht="16.5" customHeight="1">
      <c r="BJ827" s="105"/>
      <c r="BU827" s="105"/>
      <c r="BV827" s="105"/>
      <c r="BW827" s="105"/>
      <c r="BX827" s="105"/>
    </row>
    <row r="828" spans="62:76" ht="16.5" customHeight="1">
      <c r="BJ828" s="105"/>
      <c r="BU828" s="105"/>
      <c r="BV828" s="105"/>
      <c r="BW828" s="105"/>
      <c r="BX828" s="105"/>
    </row>
    <row r="829" spans="62:76" ht="16.5" customHeight="1">
      <c r="BJ829" s="105"/>
      <c r="BU829" s="105"/>
      <c r="BV829" s="105"/>
      <c r="BW829" s="105"/>
      <c r="BX829" s="105"/>
    </row>
    <row r="830" spans="62:76" ht="16.5" customHeight="1">
      <c r="BJ830" s="105"/>
      <c r="BU830" s="105"/>
      <c r="BV830" s="105"/>
      <c r="BW830" s="105"/>
      <c r="BX830" s="105"/>
    </row>
    <row r="831" spans="62:76" ht="16.5" customHeight="1">
      <c r="BJ831" s="105"/>
      <c r="BU831" s="105"/>
      <c r="BV831" s="105"/>
      <c r="BW831" s="105"/>
      <c r="BX831" s="105"/>
    </row>
    <row r="832" spans="62:76" ht="16.5" customHeight="1">
      <c r="BJ832" s="105"/>
      <c r="BU832" s="105"/>
      <c r="BV832" s="105"/>
      <c r="BW832" s="105"/>
      <c r="BX832" s="105"/>
    </row>
    <row r="833" spans="62:76" ht="16.5" customHeight="1">
      <c r="BJ833" s="105"/>
      <c r="BU833" s="105"/>
      <c r="BV833" s="105"/>
      <c r="BW833" s="105"/>
      <c r="BX833" s="105"/>
    </row>
    <row r="834" spans="62:76" ht="16.5" customHeight="1">
      <c r="BJ834" s="105"/>
      <c r="BU834" s="105"/>
      <c r="BV834" s="105"/>
      <c r="BW834" s="105"/>
      <c r="BX834" s="105"/>
    </row>
    <row r="835" spans="62:76" ht="16.5" customHeight="1">
      <c r="BJ835" s="105"/>
      <c r="BU835" s="105"/>
      <c r="BV835" s="105"/>
      <c r="BW835" s="105"/>
      <c r="BX835" s="105"/>
    </row>
    <row r="836" spans="62:76" ht="16.5" customHeight="1">
      <c r="BJ836" s="105"/>
      <c r="BU836" s="105"/>
      <c r="BV836" s="105"/>
      <c r="BW836" s="105"/>
      <c r="BX836" s="105"/>
    </row>
    <row r="837" spans="62:76" ht="16.5" customHeight="1">
      <c r="BJ837" s="105"/>
      <c r="BU837" s="105"/>
      <c r="BV837" s="105"/>
      <c r="BW837" s="105"/>
      <c r="BX837" s="105"/>
    </row>
    <row r="838" spans="62:76" ht="16.5" customHeight="1">
      <c r="BJ838" s="105"/>
      <c r="BU838" s="105"/>
      <c r="BV838" s="105"/>
      <c r="BW838" s="105"/>
      <c r="BX838" s="105"/>
    </row>
    <row r="839" spans="62:76" ht="16.5" customHeight="1">
      <c r="BJ839" s="105"/>
      <c r="BU839" s="105"/>
      <c r="BV839" s="105"/>
      <c r="BW839" s="105"/>
      <c r="BX839" s="105"/>
    </row>
    <row r="840" spans="62:76" ht="16.5" customHeight="1">
      <c r="BJ840" s="105"/>
      <c r="BU840" s="105"/>
      <c r="BV840" s="105"/>
      <c r="BW840" s="105"/>
      <c r="BX840" s="105"/>
    </row>
    <row r="841" spans="62:76" ht="16.5" customHeight="1">
      <c r="BJ841" s="105"/>
      <c r="BU841" s="105"/>
      <c r="BV841" s="105"/>
      <c r="BW841" s="105"/>
      <c r="BX841" s="105"/>
    </row>
    <row r="842" spans="62:76" ht="16.5" customHeight="1">
      <c r="BJ842" s="105"/>
      <c r="BU842" s="105"/>
      <c r="BV842" s="105"/>
      <c r="BW842" s="105"/>
      <c r="BX842" s="105"/>
    </row>
    <row r="843" spans="62:76" ht="16.5" customHeight="1">
      <c r="BJ843" s="105"/>
      <c r="BU843" s="105"/>
      <c r="BV843" s="105"/>
      <c r="BW843" s="105"/>
      <c r="BX843" s="105"/>
    </row>
    <row r="844" spans="62:76" ht="16.5" customHeight="1">
      <c r="BJ844" s="105"/>
      <c r="BU844" s="105"/>
      <c r="BV844" s="105"/>
      <c r="BW844" s="105"/>
      <c r="BX844" s="105"/>
    </row>
    <row r="845" spans="62:76" ht="16.5" customHeight="1">
      <c r="BJ845" s="105"/>
      <c r="BU845" s="105"/>
      <c r="BV845" s="105"/>
      <c r="BW845" s="105"/>
      <c r="BX845" s="105"/>
    </row>
    <row r="846" spans="62:76" ht="16.5" customHeight="1">
      <c r="BJ846" s="105"/>
      <c r="BU846" s="105"/>
      <c r="BV846" s="105"/>
      <c r="BW846" s="105"/>
      <c r="BX846" s="105"/>
    </row>
    <row r="847" spans="62:76" ht="16.5" customHeight="1">
      <c r="BJ847" s="105"/>
      <c r="BU847" s="105"/>
      <c r="BV847" s="105"/>
      <c r="BW847" s="105"/>
      <c r="BX847" s="105"/>
    </row>
    <row r="848" spans="62:76" ht="16.5" customHeight="1">
      <c r="BJ848" s="105"/>
      <c r="BU848" s="105"/>
      <c r="BV848" s="105"/>
      <c r="BW848" s="105"/>
      <c r="BX848" s="105"/>
    </row>
    <row r="849" spans="62:76" ht="16.5" customHeight="1">
      <c r="BJ849" s="105"/>
      <c r="BU849" s="105"/>
      <c r="BV849" s="105"/>
      <c r="BW849" s="105"/>
      <c r="BX849" s="105"/>
    </row>
    <row r="850" spans="62:76" ht="16.5" customHeight="1">
      <c r="BJ850" s="105"/>
      <c r="BU850" s="105"/>
      <c r="BV850" s="105"/>
      <c r="BW850" s="105"/>
      <c r="BX850" s="105"/>
    </row>
    <row r="851" spans="62:76" ht="16.5" customHeight="1">
      <c r="BJ851" s="105"/>
      <c r="BU851" s="105"/>
      <c r="BV851" s="105"/>
      <c r="BW851" s="105"/>
      <c r="BX851" s="105"/>
    </row>
    <row r="852" spans="62:76" ht="16.5" customHeight="1">
      <c r="BJ852" s="105"/>
      <c r="BU852" s="105"/>
      <c r="BV852" s="105"/>
      <c r="BW852" s="105"/>
      <c r="BX852" s="105"/>
    </row>
    <row r="853" spans="62:76" ht="16.5" customHeight="1">
      <c r="BJ853" s="105"/>
      <c r="BU853" s="105"/>
      <c r="BV853" s="105"/>
      <c r="BW853" s="105"/>
      <c r="BX853" s="105"/>
    </row>
    <row r="854" spans="62:76" ht="16.5" customHeight="1">
      <c r="BJ854" s="105"/>
      <c r="BU854" s="105"/>
      <c r="BV854" s="105"/>
      <c r="BW854" s="105"/>
      <c r="BX854" s="105"/>
    </row>
    <row r="855" spans="62:76" ht="16.5" customHeight="1">
      <c r="BJ855" s="105"/>
      <c r="BU855" s="105"/>
      <c r="BV855" s="105"/>
      <c r="BW855" s="105"/>
      <c r="BX855" s="105"/>
    </row>
    <row r="856" spans="62:76" ht="16.5" customHeight="1">
      <c r="BJ856" s="105"/>
      <c r="BU856" s="105"/>
      <c r="BV856" s="105"/>
      <c r="BW856" s="105"/>
      <c r="BX856" s="105"/>
    </row>
    <row r="857" spans="62:76" ht="16.5" customHeight="1">
      <c r="BJ857" s="105"/>
      <c r="BU857" s="105"/>
      <c r="BV857" s="105"/>
      <c r="BW857" s="105"/>
      <c r="BX857" s="105"/>
    </row>
    <row r="858" spans="62:76" ht="16.5" customHeight="1">
      <c r="BJ858" s="105"/>
      <c r="BU858" s="105"/>
      <c r="BV858" s="105"/>
      <c r="BW858" s="105"/>
      <c r="BX858" s="105"/>
    </row>
    <row r="859" spans="62:76" ht="16.5" customHeight="1">
      <c r="BJ859" s="105"/>
      <c r="BU859" s="105"/>
      <c r="BV859" s="105"/>
      <c r="BW859" s="105"/>
      <c r="BX859" s="105"/>
    </row>
    <row r="860" spans="62:76" ht="16.5" customHeight="1">
      <c r="BJ860" s="105"/>
      <c r="BU860" s="105"/>
      <c r="BV860" s="105"/>
      <c r="BW860" s="105"/>
      <c r="BX860" s="105"/>
    </row>
    <row r="861" spans="62:76" ht="16.5" customHeight="1">
      <c r="BJ861" s="105"/>
      <c r="BU861" s="105"/>
      <c r="BV861" s="105"/>
      <c r="BW861" s="105"/>
      <c r="BX861" s="105"/>
    </row>
    <row r="862" spans="62:76" ht="16.5" customHeight="1">
      <c r="BJ862" s="105"/>
      <c r="BU862" s="105"/>
      <c r="BV862" s="105"/>
      <c r="BW862" s="105"/>
      <c r="BX862" s="105"/>
    </row>
    <row r="863" spans="62:76" ht="16.5" customHeight="1">
      <c r="BJ863" s="105"/>
      <c r="BU863" s="105"/>
      <c r="BV863" s="105"/>
      <c r="BW863" s="105"/>
      <c r="BX863" s="105"/>
    </row>
    <row r="864" spans="62:76" ht="16.5" customHeight="1">
      <c r="BJ864" s="105"/>
      <c r="BU864" s="105"/>
      <c r="BV864" s="105"/>
      <c r="BW864" s="105"/>
      <c r="BX864" s="105"/>
    </row>
    <row r="865" spans="62:76" ht="16.5" customHeight="1">
      <c r="BJ865" s="105"/>
      <c r="BU865" s="105"/>
      <c r="BV865" s="105"/>
      <c r="BW865" s="105"/>
      <c r="BX865" s="105"/>
    </row>
    <row r="866" spans="62:76" ht="16.5" customHeight="1">
      <c r="BJ866" s="105"/>
      <c r="BU866" s="105"/>
      <c r="BV866" s="105"/>
      <c r="BW866" s="105"/>
      <c r="BX866" s="105"/>
    </row>
    <row r="867" spans="62:76" ht="16.5" customHeight="1">
      <c r="BJ867" s="105"/>
      <c r="BU867" s="105"/>
      <c r="BV867" s="105"/>
      <c r="BW867" s="105"/>
      <c r="BX867" s="105"/>
    </row>
    <row r="868" spans="62:76" ht="16.5" customHeight="1">
      <c r="BJ868" s="105"/>
      <c r="BU868" s="105"/>
      <c r="BV868" s="105"/>
      <c r="BW868" s="105"/>
      <c r="BX868" s="105"/>
    </row>
    <row r="869" spans="62:76" ht="16.5" customHeight="1">
      <c r="BJ869" s="105"/>
      <c r="BU869" s="105"/>
      <c r="BV869" s="105"/>
      <c r="BW869" s="105"/>
      <c r="BX869" s="105"/>
    </row>
    <row r="870" spans="62:76" ht="16.5" customHeight="1">
      <c r="BJ870" s="105"/>
      <c r="BU870" s="105"/>
      <c r="BV870" s="105"/>
      <c r="BW870" s="105"/>
      <c r="BX870" s="105"/>
    </row>
    <row r="871" spans="62:76" ht="16.5" customHeight="1">
      <c r="BJ871" s="105"/>
      <c r="BU871" s="105"/>
      <c r="BV871" s="105"/>
      <c r="BW871" s="105"/>
      <c r="BX871" s="105"/>
    </row>
    <row r="872" spans="62:76" ht="16.5" customHeight="1">
      <c r="BJ872" s="105"/>
      <c r="BU872" s="105"/>
      <c r="BV872" s="105"/>
      <c r="BW872" s="105"/>
      <c r="BX872" s="105"/>
    </row>
    <row r="873" spans="62:76" ht="16.5" customHeight="1">
      <c r="BJ873" s="105"/>
      <c r="BU873" s="105"/>
      <c r="BV873" s="105"/>
      <c r="BW873" s="105"/>
      <c r="BX873" s="105"/>
    </row>
    <row r="874" spans="62:76" ht="16.5" customHeight="1">
      <c r="BJ874" s="105"/>
      <c r="BU874" s="105"/>
      <c r="BV874" s="105"/>
      <c r="BW874" s="105"/>
      <c r="BX874" s="105"/>
    </row>
    <row r="875" spans="62:76" ht="16.5" customHeight="1">
      <c r="BJ875" s="105"/>
      <c r="BU875" s="105"/>
      <c r="BV875" s="105"/>
      <c r="BW875" s="105"/>
      <c r="BX875" s="105"/>
    </row>
    <row r="876" spans="62:76" ht="16.5" customHeight="1">
      <c r="BJ876" s="105"/>
      <c r="BU876" s="105"/>
      <c r="BV876" s="105"/>
      <c r="BW876" s="105"/>
      <c r="BX876" s="105"/>
    </row>
    <row r="877" spans="62:76" ht="16.5" customHeight="1">
      <c r="BJ877" s="105"/>
      <c r="BU877" s="105"/>
      <c r="BV877" s="105"/>
      <c r="BW877" s="105"/>
      <c r="BX877" s="105"/>
    </row>
    <row r="878" spans="62:76" ht="16.5" customHeight="1">
      <c r="BJ878" s="105"/>
      <c r="BU878" s="105"/>
      <c r="BV878" s="105"/>
      <c r="BW878" s="105"/>
      <c r="BX878" s="105"/>
    </row>
    <row r="879" spans="62:76" ht="16.5" customHeight="1">
      <c r="BJ879" s="105"/>
      <c r="BU879" s="105"/>
      <c r="BV879" s="105"/>
      <c r="BW879" s="105"/>
      <c r="BX879" s="105"/>
    </row>
    <row r="880" spans="62:76" ht="16.5" customHeight="1">
      <c r="BJ880" s="105"/>
      <c r="BU880" s="105"/>
      <c r="BV880" s="105"/>
      <c r="BW880" s="105"/>
      <c r="BX880" s="105"/>
    </row>
    <row r="881" spans="62:76" ht="16.5" customHeight="1">
      <c r="BJ881" s="105"/>
      <c r="BU881" s="105"/>
      <c r="BV881" s="105"/>
      <c r="BW881" s="105"/>
      <c r="BX881" s="105"/>
    </row>
    <row r="882" spans="62:76" ht="16.5" customHeight="1">
      <c r="BJ882" s="105"/>
      <c r="BU882" s="105"/>
      <c r="BV882" s="105"/>
      <c r="BW882" s="105"/>
      <c r="BX882" s="105"/>
    </row>
    <row r="883" spans="62:76" ht="16.5" customHeight="1">
      <c r="BJ883" s="105"/>
      <c r="BU883" s="105"/>
      <c r="BV883" s="105"/>
      <c r="BW883" s="105"/>
      <c r="BX883" s="105"/>
    </row>
    <row r="884" spans="62:76" ht="16.5" customHeight="1">
      <c r="BJ884" s="105"/>
      <c r="BU884" s="105"/>
      <c r="BV884" s="105"/>
      <c r="BW884" s="105"/>
      <c r="BX884" s="105"/>
    </row>
    <row r="885" spans="62:76" ht="16.5" customHeight="1">
      <c r="BJ885" s="105"/>
      <c r="BU885" s="105"/>
      <c r="BV885" s="105"/>
      <c r="BW885" s="105"/>
      <c r="BX885" s="105"/>
    </row>
    <row r="886" spans="62:76" ht="16.5" customHeight="1">
      <c r="BJ886" s="105"/>
      <c r="BU886" s="105"/>
      <c r="BV886" s="105"/>
      <c r="BW886" s="105"/>
      <c r="BX886" s="105"/>
    </row>
    <row r="887" spans="62:76" ht="16.5" customHeight="1">
      <c r="BJ887" s="105"/>
      <c r="BU887" s="105"/>
      <c r="BV887" s="105"/>
      <c r="BW887" s="105"/>
      <c r="BX887" s="105"/>
    </row>
    <row r="888" spans="62:76" ht="16.5" customHeight="1">
      <c r="BJ888" s="105"/>
      <c r="BU888" s="105"/>
      <c r="BV888" s="105"/>
      <c r="BW888" s="105"/>
      <c r="BX888" s="105"/>
    </row>
    <row r="889" spans="62:76" ht="16.5" customHeight="1">
      <c r="BJ889" s="105"/>
      <c r="BU889" s="105"/>
      <c r="BV889" s="105"/>
      <c r="BW889" s="105"/>
      <c r="BX889" s="105"/>
    </row>
    <row r="890" spans="62:76" ht="16.5" customHeight="1">
      <c r="BJ890" s="105"/>
      <c r="BU890" s="105"/>
      <c r="BV890" s="105"/>
      <c r="BW890" s="105"/>
      <c r="BX890" s="105"/>
    </row>
    <row r="891" spans="62:76" ht="16.5" customHeight="1">
      <c r="BJ891" s="105"/>
      <c r="BU891" s="105"/>
      <c r="BV891" s="105"/>
      <c r="BW891" s="105"/>
      <c r="BX891" s="105"/>
    </row>
    <row r="892" spans="62:76" ht="16.5" customHeight="1">
      <c r="BJ892" s="105"/>
      <c r="BU892" s="105"/>
      <c r="BV892" s="105"/>
      <c r="BW892" s="105"/>
      <c r="BX892" s="105"/>
    </row>
    <row r="893" spans="62:76" ht="16.5" customHeight="1">
      <c r="BJ893" s="105"/>
      <c r="BU893" s="105"/>
      <c r="BV893" s="105"/>
      <c r="BW893" s="105"/>
      <c r="BX893" s="105"/>
    </row>
    <row r="894" spans="62:76" ht="16.5" customHeight="1">
      <c r="BJ894" s="105"/>
      <c r="BU894" s="105"/>
      <c r="BV894" s="105"/>
      <c r="BW894" s="105"/>
      <c r="BX894" s="105"/>
    </row>
    <row r="895" spans="62:76" ht="16.5" customHeight="1">
      <c r="BJ895" s="105"/>
      <c r="BU895" s="105"/>
      <c r="BV895" s="105"/>
      <c r="BW895" s="105"/>
      <c r="BX895" s="105"/>
    </row>
    <row r="896" spans="62:76" ht="16.5" customHeight="1">
      <c r="BJ896" s="105"/>
      <c r="BU896" s="105"/>
      <c r="BV896" s="105"/>
      <c r="BW896" s="105"/>
      <c r="BX896" s="105"/>
    </row>
    <row r="897" spans="62:76" ht="16.5" customHeight="1">
      <c r="BJ897" s="105"/>
      <c r="BU897" s="105"/>
      <c r="BV897" s="105"/>
      <c r="BW897" s="105"/>
      <c r="BX897" s="105"/>
    </row>
    <row r="898" spans="62:76" ht="16.5" customHeight="1">
      <c r="BJ898" s="105"/>
      <c r="BU898" s="105"/>
      <c r="BV898" s="105"/>
      <c r="BW898" s="105"/>
      <c r="BX898" s="105"/>
    </row>
    <row r="899" spans="62:76" ht="16.5" customHeight="1">
      <c r="BJ899" s="105"/>
      <c r="BU899" s="105"/>
      <c r="BV899" s="105"/>
      <c r="BW899" s="105"/>
      <c r="BX899" s="105"/>
    </row>
    <row r="900" spans="62:76" ht="16.5" customHeight="1">
      <c r="BJ900" s="105"/>
      <c r="BU900" s="105"/>
      <c r="BV900" s="105"/>
      <c r="BW900" s="105"/>
      <c r="BX900" s="105"/>
    </row>
    <row r="901" spans="62:76" ht="16.5" customHeight="1">
      <c r="BJ901" s="105"/>
      <c r="BU901" s="105"/>
      <c r="BV901" s="105"/>
      <c r="BW901" s="105"/>
      <c r="BX901" s="105"/>
    </row>
    <row r="902" spans="62:76" ht="16.5" customHeight="1">
      <c r="BJ902" s="105"/>
      <c r="BU902" s="105"/>
      <c r="BV902" s="105"/>
      <c r="BW902" s="105"/>
      <c r="BX902" s="105"/>
    </row>
    <row r="903" spans="62:76" ht="16.5" customHeight="1">
      <c r="BJ903" s="105"/>
      <c r="BU903" s="105"/>
      <c r="BV903" s="105"/>
      <c r="BW903" s="105"/>
      <c r="BX903" s="105"/>
    </row>
    <row r="904" spans="62:76" ht="16.5" customHeight="1">
      <c r="BJ904" s="105"/>
      <c r="BU904" s="105"/>
      <c r="BV904" s="105"/>
      <c r="BW904" s="105"/>
      <c r="BX904" s="105"/>
    </row>
    <row r="905" spans="62:76" ht="16.5" customHeight="1">
      <c r="BJ905" s="105"/>
      <c r="BU905" s="105"/>
      <c r="BV905" s="105"/>
      <c r="BW905" s="105"/>
      <c r="BX905" s="105"/>
    </row>
    <row r="906" spans="62:76" ht="16.5" customHeight="1">
      <c r="BJ906" s="105"/>
      <c r="BU906" s="105"/>
      <c r="BV906" s="105"/>
      <c r="BW906" s="105"/>
      <c r="BX906" s="105"/>
    </row>
    <row r="907" spans="62:76" ht="16.5" customHeight="1">
      <c r="BJ907" s="105"/>
      <c r="BU907" s="105"/>
      <c r="BV907" s="105"/>
      <c r="BW907" s="105"/>
      <c r="BX907" s="105"/>
    </row>
    <row r="908" spans="62:76" ht="16.5" customHeight="1">
      <c r="BJ908" s="105"/>
      <c r="BU908" s="105"/>
      <c r="BV908" s="105"/>
      <c r="BW908" s="105"/>
      <c r="BX908" s="105"/>
    </row>
    <row r="909" spans="62:76" ht="16.5" customHeight="1">
      <c r="BJ909" s="105"/>
      <c r="BU909" s="105"/>
      <c r="BV909" s="105"/>
      <c r="BW909" s="105"/>
      <c r="BX909" s="105"/>
    </row>
    <row r="910" spans="62:76" ht="16.5" customHeight="1">
      <c r="BJ910" s="105"/>
      <c r="BU910" s="105"/>
      <c r="BV910" s="105"/>
      <c r="BW910" s="105"/>
      <c r="BX910" s="105"/>
    </row>
    <row r="911" spans="62:76" ht="16.5" customHeight="1">
      <c r="BJ911" s="105"/>
      <c r="BU911" s="105"/>
      <c r="BV911" s="105"/>
      <c r="BW911" s="105"/>
      <c r="BX911" s="105"/>
    </row>
    <row r="912" spans="62:76" ht="16.5" customHeight="1">
      <c r="BJ912" s="105"/>
      <c r="BU912" s="105"/>
      <c r="BV912" s="105"/>
      <c r="BW912" s="105"/>
      <c r="BX912" s="105"/>
    </row>
    <row r="913" spans="62:76" ht="16.5" customHeight="1">
      <c r="BJ913" s="105"/>
      <c r="BU913" s="105"/>
      <c r="BV913" s="105"/>
      <c r="BW913" s="105"/>
      <c r="BX913" s="105"/>
    </row>
    <row r="914" spans="62:76" ht="16.5" customHeight="1">
      <c r="BJ914" s="105"/>
      <c r="BU914" s="105"/>
      <c r="BV914" s="105"/>
      <c r="BW914" s="105"/>
      <c r="BX914" s="105"/>
    </row>
    <row r="915" spans="62:76" ht="16.5" customHeight="1">
      <c r="BJ915" s="105"/>
      <c r="BU915" s="105"/>
      <c r="BV915" s="105"/>
      <c r="BW915" s="105"/>
      <c r="BX915" s="105"/>
    </row>
    <row r="916" spans="62:76" ht="16.5" customHeight="1">
      <c r="BJ916" s="105"/>
      <c r="BU916" s="105"/>
      <c r="BV916" s="105"/>
      <c r="BW916" s="105"/>
      <c r="BX916" s="105"/>
    </row>
    <row r="917" spans="62:76" ht="16.5" customHeight="1">
      <c r="BJ917" s="105"/>
      <c r="BU917" s="105"/>
      <c r="BV917" s="105"/>
      <c r="BW917" s="105"/>
      <c r="BX917" s="105"/>
    </row>
    <row r="918" spans="62:76" ht="16.5" customHeight="1">
      <c r="BJ918" s="105"/>
      <c r="BU918" s="105"/>
      <c r="BV918" s="105"/>
      <c r="BW918" s="105"/>
      <c r="BX918" s="105"/>
    </row>
    <row r="919" spans="62:76" ht="16.5" customHeight="1">
      <c r="BJ919" s="105"/>
      <c r="BU919" s="105"/>
      <c r="BV919" s="105"/>
      <c r="BW919" s="105"/>
      <c r="BX919" s="105"/>
    </row>
    <row r="920" spans="62:76" ht="16.5" customHeight="1">
      <c r="BJ920" s="105"/>
      <c r="BU920" s="105"/>
      <c r="BV920" s="105"/>
      <c r="BW920" s="105"/>
      <c r="BX920" s="105"/>
    </row>
    <row r="921" spans="62:76" ht="16.5" customHeight="1">
      <c r="BJ921" s="105"/>
      <c r="BU921" s="105"/>
      <c r="BV921" s="105"/>
      <c r="BW921" s="105"/>
      <c r="BX921" s="105"/>
    </row>
    <row r="922" spans="62:76" ht="16.5" customHeight="1">
      <c r="BJ922" s="105"/>
      <c r="BU922" s="105"/>
      <c r="BV922" s="105"/>
      <c r="BW922" s="105"/>
      <c r="BX922" s="105"/>
    </row>
    <row r="923" spans="62:76" ht="16.5" customHeight="1">
      <c r="BJ923" s="105"/>
      <c r="BU923" s="105"/>
      <c r="BV923" s="105"/>
      <c r="BW923" s="105"/>
      <c r="BX923" s="105"/>
    </row>
    <row r="924" spans="62:76" ht="16.5" customHeight="1">
      <c r="BJ924" s="105"/>
      <c r="BU924" s="105"/>
      <c r="BV924" s="105"/>
      <c r="BW924" s="105"/>
      <c r="BX924" s="105"/>
    </row>
    <row r="925" spans="62:76" ht="16.5" customHeight="1">
      <c r="BJ925" s="105"/>
      <c r="BU925" s="105"/>
      <c r="BV925" s="105"/>
      <c r="BW925" s="105"/>
      <c r="BX925" s="105"/>
    </row>
    <row r="926" spans="62:76" ht="16.5" customHeight="1">
      <c r="BJ926" s="105"/>
      <c r="BU926" s="105"/>
      <c r="BV926" s="105"/>
      <c r="BW926" s="105"/>
      <c r="BX926" s="105"/>
    </row>
    <row r="927" spans="62:76" ht="16.5" customHeight="1">
      <c r="BJ927" s="105"/>
      <c r="BU927" s="105"/>
      <c r="BV927" s="105"/>
      <c r="BW927" s="105"/>
      <c r="BX927" s="105"/>
    </row>
    <row r="928" spans="62:76" ht="16.5" customHeight="1">
      <c r="BJ928" s="105"/>
      <c r="BU928" s="105"/>
      <c r="BV928" s="105"/>
      <c r="BW928" s="105"/>
      <c r="BX928" s="105"/>
    </row>
    <row r="929" spans="62:76" ht="16.5" customHeight="1">
      <c r="BJ929" s="105"/>
      <c r="BU929" s="105"/>
      <c r="BV929" s="105"/>
      <c r="BW929" s="105"/>
      <c r="BX929" s="105"/>
    </row>
    <row r="930" spans="62:76" ht="16.5" customHeight="1">
      <c r="BJ930" s="105"/>
      <c r="BU930" s="105"/>
      <c r="BV930" s="105"/>
      <c r="BW930" s="105"/>
      <c r="BX930" s="105"/>
    </row>
    <row r="931" spans="62:76" ht="16.5" customHeight="1">
      <c r="BJ931" s="105"/>
      <c r="BU931" s="105"/>
      <c r="BV931" s="105"/>
      <c r="BW931" s="105"/>
      <c r="BX931" s="105"/>
    </row>
    <row r="932" spans="62:76" ht="16.5" customHeight="1">
      <c r="BJ932" s="105"/>
      <c r="BU932" s="105"/>
      <c r="BV932" s="105"/>
      <c r="BW932" s="105"/>
      <c r="BX932" s="105"/>
    </row>
    <row r="933" spans="62:76" ht="16.5" customHeight="1">
      <c r="BJ933" s="105"/>
      <c r="BU933" s="105"/>
      <c r="BV933" s="105"/>
      <c r="BW933" s="105"/>
      <c r="BX933" s="105"/>
    </row>
    <row r="934" spans="62:76" ht="16.5" customHeight="1">
      <c r="BJ934" s="105"/>
      <c r="BU934" s="105"/>
      <c r="BV934" s="105"/>
      <c r="BW934" s="105"/>
      <c r="BX934" s="105"/>
    </row>
    <row r="935" spans="62:76" ht="16.5" customHeight="1">
      <c r="BJ935" s="105"/>
      <c r="BU935" s="105"/>
      <c r="BV935" s="105"/>
      <c r="BW935" s="105"/>
      <c r="BX935" s="105"/>
    </row>
    <row r="936" spans="62:76" ht="16.5" customHeight="1">
      <c r="BJ936" s="105"/>
      <c r="BU936" s="105"/>
      <c r="BV936" s="105"/>
      <c r="BW936" s="105"/>
      <c r="BX936" s="105"/>
    </row>
    <row r="937" spans="62:76" ht="16.5" customHeight="1">
      <c r="BJ937" s="105"/>
      <c r="BU937" s="105"/>
      <c r="BV937" s="105"/>
      <c r="BW937" s="105"/>
      <c r="BX937" s="105"/>
    </row>
    <row r="938" spans="62:76" ht="16.5" customHeight="1">
      <c r="BJ938" s="105"/>
      <c r="BU938" s="105"/>
      <c r="BV938" s="105"/>
      <c r="BW938" s="105"/>
      <c r="BX938" s="105"/>
    </row>
    <row r="939" spans="62:76" ht="16.5" customHeight="1">
      <c r="BJ939" s="105"/>
      <c r="BU939" s="105"/>
      <c r="BV939" s="105"/>
      <c r="BW939" s="105"/>
      <c r="BX939" s="105"/>
    </row>
    <row r="940" spans="62:76" ht="16.5" customHeight="1">
      <c r="BJ940" s="105"/>
      <c r="BU940" s="105"/>
      <c r="BV940" s="105"/>
      <c r="BW940" s="105"/>
      <c r="BX940" s="105"/>
    </row>
    <row r="941" spans="62:76" ht="16.5" customHeight="1">
      <c r="BJ941" s="105"/>
      <c r="BU941" s="105"/>
      <c r="BV941" s="105"/>
      <c r="BW941" s="105"/>
      <c r="BX941" s="105"/>
    </row>
    <row r="942" spans="62:76" ht="16.5" customHeight="1">
      <c r="BJ942" s="105"/>
      <c r="BU942" s="105"/>
      <c r="BV942" s="105"/>
      <c r="BW942" s="105"/>
      <c r="BX942" s="105"/>
    </row>
    <row r="943" spans="62:76" ht="16.5" customHeight="1">
      <c r="BJ943" s="105"/>
      <c r="BU943" s="105"/>
      <c r="BV943" s="105"/>
      <c r="BW943" s="105"/>
      <c r="BX943" s="105"/>
    </row>
    <row r="944" spans="62:76" ht="16.5" customHeight="1">
      <c r="BJ944" s="105"/>
      <c r="BU944" s="105"/>
      <c r="BV944" s="105"/>
      <c r="BW944" s="105"/>
      <c r="BX944" s="105"/>
    </row>
    <row r="945" spans="62:76" ht="16.5" customHeight="1">
      <c r="BJ945" s="105"/>
      <c r="BU945" s="105"/>
      <c r="BV945" s="105"/>
      <c r="BW945" s="105"/>
      <c r="BX945" s="105"/>
    </row>
    <row r="946" spans="62:76" ht="16.5" customHeight="1">
      <c r="BJ946" s="105"/>
      <c r="BU946" s="105"/>
      <c r="BV946" s="105"/>
      <c r="BW946" s="105"/>
      <c r="BX946" s="105"/>
    </row>
    <row r="947" spans="62:76" ht="16.5" customHeight="1">
      <c r="BJ947" s="105"/>
      <c r="BU947" s="105"/>
      <c r="BV947" s="105"/>
      <c r="BW947" s="105"/>
      <c r="BX947" s="105"/>
    </row>
    <row r="948" spans="62:76" ht="16.5" customHeight="1">
      <c r="BJ948" s="105"/>
      <c r="BU948" s="105"/>
      <c r="BV948" s="105"/>
      <c r="BW948" s="105"/>
      <c r="BX948" s="105"/>
    </row>
    <row r="949" spans="62:76" ht="16.5" customHeight="1">
      <c r="BJ949" s="105"/>
      <c r="BU949" s="105"/>
      <c r="BV949" s="105"/>
      <c r="BW949" s="105"/>
      <c r="BX949" s="105"/>
    </row>
    <row r="950" spans="62:76" ht="16.5" customHeight="1">
      <c r="BJ950" s="105"/>
      <c r="BU950" s="105"/>
      <c r="BV950" s="105"/>
      <c r="BW950" s="105"/>
      <c r="BX950" s="105"/>
    </row>
    <row r="951" spans="62:76" ht="16.5" customHeight="1">
      <c r="BJ951" s="105"/>
      <c r="BU951" s="105"/>
      <c r="BV951" s="105"/>
      <c r="BW951" s="105"/>
      <c r="BX951" s="105"/>
    </row>
    <row r="952" spans="62:76" ht="16.5" customHeight="1">
      <c r="BJ952" s="105"/>
      <c r="BU952" s="105"/>
      <c r="BV952" s="105"/>
      <c r="BW952" s="105"/>
      <c r="BX952" s="105"/>
    </row>
    <row r="953" spans="62:76" ht="16.5" customHeight="1">
      <c r="BJ953" s="105"/>
      <c r="BU953" s="105"/>
      <c r="BV953" s="105"/>
      <c r="BW953" s="105"/>
      <c r="BX953" s="105"/>
    </row>
    <row r="954" spans="62:76" ht="16.5" customHeight="1">
      <c r="BJ954" s="105"/>
      <c r="BU954" s="105"/>
      <c r="BV954" s="105"/>
      <c r="BW954" s="105"/>
      <c r="BX954" s="105"/>
    </row>
    <row r="955" spans="62:76" ht="16.5" customHeight="1">
      <c r="BJ955" s="105"/>
      <c r="BU955" s="105"/>
      <c r="BV955" s="105"/>
      <c r="BW955" s="105"/>
      <c r="BX955" s="105"/>
    </row>
    <row r="956" spans="62:76" ht="16.5" customHeight="1">
      <c r="BJ956" s="105"/>
      <c r="BU956" s="105"/>
      <c r="BV956" s="105"/>
      <c r="BW956" s="105"/>
      <c r="BX956" s="105"/>
    </row>
    <row r="957" spans="62:76" ht="16.5" customHeight="1">
      <c r="BJ957" s="105"/>
      <c r="BU957" s="105"/>
      <c r="BV957" s="105"/>
      <c r="BW957" s="105"/>
      <c r="BX957" s="105"/>
    </row>
    <row r="958" spans="62:76" ht="16.5" customHeight="1">
      <c r="BJ958" s="105"/>
      <c r="BU958" s="105"/>
      <c r="BV958" s="105"/>
      <c r="BW958" s="105"/>
      <c r="BX958" s="105"/>
    </row>
    <row r="959" spans="62:76" ht="16.5" customHeight="1">
      <c r="BJ959" s="105"/>
      <c r="BU959" s="105"/>
      <c r="BV959" s="105"/>
      <c r="BW959" s="105"/>
      <c r="BX959" s="105"/>
    </row>
    <row r="960" spans="62:76" ht="16.5" customHeight="1">
      <c r="BJ960" s="105"/>
      <c r="BU960" s="105"/>
      <c r="BV960" s="105"/>
      <c r="BW960" s="105"/>
      <c r="BX960" s="105"/>
    </row>
    <row r="961" spans="62:76" ht="16.5" customHeight="1">
      <c r="BJ961" s="105"/>
      <c r="BU961" s="105"/>
      <c r="BV961" s="105"/>
      <c r="BW961" s="105"/>
      <c r="BX961" s="105"/>
    </row>
    <row r="962" spans="62:76" ht="16.5" customHeight="1">
      <c r="BJ962" s="105"/>
      <c r="BU962" s="105"/>
      <c r="BV962" s="105"/>
      <c r="BW962" s="105"/>
      <c r="BX962" s="105"/>
    </row>
    <row r="963" spans="62:76" ht="16.5" customHeight="1">
      <c r="BJ963" s="105"/>
      <c r="BU963" s="105"/>
      <c r="BV963" s="105"/>
      <c r="BW963" s="105"/>
      <c r="BX963" s="105"/>
    </row>
    <row r="964" spans="62:76" ht="16.5" customHeight="1">
      <c r="BJ964" s="105"/>
      <c r="BU964" s="105"/>
      <c r="BV964" s="105"/>
      <c r="BW964" s="105"/>
      <c r="BX964" s="105"/>
    </row>
    <row r="965" spans="62:76" ht="16.5" customHeight="1">
      <c r="BJ965" s="105"/>
      <c r="BU965" s="105"/>
      <c r="BV965" s="105"/>
      <c r="BW965" s="105"/>
      <c r="BX965" s="105"/>
    </row>
    <row r="966" spans="62:76" ht="16.5" customHeight="1">
      <c r="BJ966" s="105"/>
      <c r="BU966" s="105"/>
      <c r="BV966" s="105"/>
      <c r="BW966" s="105"/>
      <c r="BX966" s="105"/>
    </row>
    <row r="967" spans="62:76" ht="16.5" customHeight="1">
      <c r="BJ967" s="105"/>
      <c r="BU967" s="105"/>
      <c r="BV967" s="105"/>
      <c r="BW967" s="105"/>
      <c r="BX967" s="105"/>
    </row>
    <row r="968" spans="62:76" ht="16.5" customHeight="1">
      <c r="BJ968" s="105"/>
      <c r="BU968" s="105"/>
      <c r="BV968" s="105"/>
      <c r="BW968" s="105"/>
      <c r="BX968" s="105"/>
    </row>
    <row r="969" spans="62:76" ht="16.5" customHeight="1">
      <c r="BJ969" s="105"/>
      <c r="BU969" s="105"/>
      <c r="BV969" s="105"/>
      <c r="BW969" s="105"/>
      <c r="BX969" s="105"/>
    </row>
    <row r="970" spans="62:76" ht="16.5" customHeight="1">
      <c r="BJ970" s="105"/>
      <c r="BU970" s="105"/>
      <c r="BV970" s="105"/>
      <c r="BW970" s="105"/>
      <c r="BX970" s="105"/>
    </row>
    <row r="971" spans="62:76" ht="16.5" customHeight="1">
      <c r="BJ971" s="105"/>
      <c r="BU971" s="105"/>
      <c r="BV971" s="105"/>
      <c r="BW971" s="105"/>
      <c r="BX971" s="105"/>
    </row>
    <row r="972" spans="62:76" ht="16.5" customHeight="1">
      <c r="BJ972" s="105"/>
      <c r="BU972" s="105"/>
      <c r="BV972" s="105"/>
      <c r="BW972" s="105"/>
      <c r="BX972" s="105"/>
    </row>
    <row r="973" spans="62:76" ht="16.5" customHeight="1">
      <c r="BJ973" s="105"/>
      <c r="BU973" s="105"/>
      <c r="BV973" s="105"/>
      <c r="BW973" s="105"/>
      <c r="BX973" s="105"/>
    </row>
    <row r="974" spans="62:76" ht="16.5" customHeight="1">
      <c r="BJ974" s="105"/>
      <c r="BU974" s="105"/>
      <c r="BV974" s="105"/>
      <c r="BW974" s="105"/>
      <c r="BX974" s="105"/>
    </row>
    <row r="975" spans="62:76" ht="16.5" customHeight="1">
      <c r="BJ975" s="105"/>
      <c r="BU975" s="105"/>
      <c r="BV975" s="105"/>
      <c r="BW975" s="105"/>
      <c r="BX975" s="105"/>
    </row>
    <row r="976" spans="62:76" ht="16.5" customHeight="1">
      <c r="BJ976" s="105"/>
      <c r="BU976" s="105"/>
      <c r="BV976" s="105"/>
      <c r="BW976" s="105"/>
      <c r="BX976" s="105"/>
    </row>
    <row r="977" spans="62:76" ht="16.5" customHeight="1">
      <c r="BJ977" s="105"/>
      <c r="BU977" s="105"/>
      <c r="BV977" s="105"/>
      <c r="BW977" s="105"/>
      <c r="BX977" s="105"/>
    </row>
    <row r="978" spans="62:76" ht="16.5" customHeight="1">
      <c r="BJ978" s="105"/>
      <c r="BU978" s="105"/>
      <c r="BV978" s="105"/>
      <c r="BW978" s="105"/>
      <c r="BX978" s="105"/>
    </row>
    <row r="979" spans="62:76" ht="16.5" customHeight="1">
      <c r="BJ979" s="105"/>
      <c r="BU979" s="105"/>
      <c r="BV979" s="105"/>
      <c r="BW979" s="105"/>
      <c r="BX979" s="105"/>
    </row>
    <row r="980" spans="62:76" ht="16.5" customHeight="1">
      <c r="BJ980" s="105"/>
      <c r="BU980" s="105"/>
      <c r="BV980" s="105"/>
      <c r="BW980" s="105"/>
      <c r="BX980" s="105"/>
    </row>
    <row r="981" spans="62:76" ht="16.5" customHeight="1">
      <c r="BJ981" s="105"/>
      <c r="BU981" s="105"/>
      <c r="BV981" s="105"/>
      <c r="BW981" s="105"/>
      <c r="BX981" s="105"/>
    </row>
    <row r="982" spans="62:76" ht="16.5" customHeight="1">
      <c r="BJ982" s="105"/>
      <c r="BU982" s="105"/>
      <c r="BV982" s="105"/>
      <c r="BW982" s="105"/>
      <c r="BX982" s="105"/>
    </row>
    <row r="983" spans="62:76" ht="16.5" customHeight="1">
      <c r="BJ983" s="105"/>
      <c r="BU983" s="105"/>
      <c r="BV983" s="105"/>
      <c r="BW983" s="105"/>
      <c r="BX983" s="105"/>
    </row>
    <row r="984" spans="62:76" ht="16.5" customHeight="1">
      <c r="BJ984" s="105"/>
      <c r="BU984" s="105"/>
      <c r="BV984" s="105"/>
      <c r="BW984" s="105"/>
      <c r="BX984" s="105"/>
    </row>
    <row r="985" spans="62:76" ht="16.5" customHeight="1">
      <c r="BJ985" s="105"/>
      <c r="BU985" s="105"/>
      <c r="BV985" s="105"/>
      <c r="BW985" s="105"/>
      <c r="BX985" s="105"/>
    </row>
    <row r="986" spans="62:76" ht="16.5" customHeight="1">
      <c r="BJ986" s="105"/>
      <c r="BU986" s="105"/>
      <c r="BV986" s="105"/>
      <c r="BW986" s="105"/>
      <c r="BX986" s="105"/>
    </row>
    <row r="987" spans="62:76" ht="16.5" customHeight="1">
      <c r="BJ987" s="105"/>
      <c r="BU987" s="105"/>
      <c r="BV987" s="105"/>
      <c r="BW987" s="105"/>
      <c r="BX987" s="105"/>
    </row>
    <row r="988" spans="62:76" ht="16.5" customHeight="1">
      <c r="BJ988" s="105"/>
      <c r="BU988" s="105"/>
      <c r="BV988" s="105"/>
      <c r="BW988" s="105"/>
      <c r="BX988" s="105"/>
    </row>
    <row r="989" spans="62:76" ht="16.5" customHeight="1">
      <c r="BJ989" s="105"/>
      <c r="BU989" s="105"/>
      <c r="BV989" s="105"/>
      <c r="BW989" s="105"/>
      <c r="BX989" s="105"/>
    </row>
    <row r="990" spans="62:76" ht="16.5" customHeight="1">
      <c r="BJ990" s="105"/>
      <c r="BU990" s="105"/>
      <c r="BV990" s="105"/>
      <c r="BW990" s="105"/>
      <c r="BX990" s="105"/>
    </row>
    <row r="991" spans="62:76" ht="16.5" customHeight="1">
      <c r="BJ991" s="105"/>
      <c r="BU991" s="105"/>
      <c r="BV991" s="105"/>
      <c r="BW991" s="105"/>
      <c r="BX991" s="105"/>
    </row>
    <row r="992" spans="62:76" ht="16.5" customHeight="1">
      <c r="BJ992" s="105"/>
      <c r="BU992" s="105"/>
      <c r="BV992" s="105"/>
      <c r="BW992" s="105"/>
      <c r="BX992" s="105"/>
    </row>
    <row r="993" spans="62:76" ht="16.5" customHeight="1">
      <c r="BJ993" s="105"/>
      <c r="BU993" s="105"/>
      <c r="BV993" s="105"/>
      <c r="BW993" s="105"/>
      <c r="BX993" s="105"/>
    </row>
    <row r="994" spans="62:76" ht="16.5" customHeight="1">
      <c r="BJ994" s="105"/>
      <c r="BU994" s="105"/>
      <c r="BV994" s="105"/>
      <c r="BW994" s="105"/>
      <c r="BX994" s="105"/>
    </row>
    <row r="995" spans="62:76" ht="16.5" customHeight="1">
      <c r="BJ995" s="105"/>
      <c r="BU995" s="105"/>
      <c r="BV995" s="105"/>
      <c r="BW995" s="105"/>
      <c r="BX995" s="105"/>
    </row>
    <row r="996" spans="62:76" ht="16.5" customHeight="1">
      <c r="BJ996" s="105"/>
      <c r="BU996" s="105"/>
      <c r="BV996" s="105"/>
      <c r="BW996" s="105"/>
      <c r="BX996" s="105"/>
    </row>
    <row r="997" spans="62:76" ht="16.5" customHeight="1">
      <c r="BJ997" s="105"/>
      <c r="BU997" s="105"/>
      <c r="BV997" s="105"/>
      <c r="BW997" s="105"/>
      <c r="BX997" s="105"/>
    </row>
    <row r="998" spans="62:76" ht="16.5" customHeight="1">
      <c r="BJ998" s="105"/>
      <c r="BU998" s="105"/>
      <c r="BV998" s="105"/>
      <c r="BW998" s="105"/>
      <c r="BX998" s="105"/>
    </row>
    <row r="999" spans="62:76" ht="16.5" customHeight="1">
      <c r="BJ999" s="105"/>
      <c r="BU999" s="105"/>
      <c r="BV999" s="105"/>
      <c r="BW999" s="105"/>
      <c r="BX999" s="105"/>
    </row>
    <row r="1000" spans="62:76" ht="16.5" customHeight="1">
      <c r="BJ1000" s="105"/>
      <c r="BU1000" s="105"/>
      <c r="BV1000" s="105"/>
      <c r="BW1000" s="105"/>
      <c r="BX1000" s="105"/>
    </row>
    <row r="1001" spans="62:76" ht="16.5" customHeight="1">
      <c r="BJ1001" s="105"/>
      <c r="BU1001" s="105"/>
      <c r="BV1001" s="105"/>
      <c r="BW1001" s="105"/>
      <c r="BX1001" s="105"/>
    </row>
    <row r="1002" spans="62:76" ht="16.5" customHeight="1">
      <c r="BJ1002" s="105"/>
      <c r="BU1002" s="105"/>
      <c r="BV1002" s="105"/>
      <c r="BW1002" s="105"/>
      <c r="BX1002" s="105"/>
    </row>
    <row r="1003" spans="62:76" ht="16.5" customHeight="1">
      <c r="BJ1003" s="105"/>
      <c r="BU1003" s="105"/>
      <c r="BV1003" s="105"/>
      <c r="BW1003" s="105"/>
      <c r="BX1003" s="105"/>
    </row>
    <row r="1004" spans="62:76" ht="16.5" customHeight="1">
      <c r="BJ1004" s="105"/>
      <c r="BU1004" s="105"/>
      <c r="BV1004" s="105"/>
      <c r="BW1004" s="105"/>
      <c r="BX1004" s="105"/>
    </row>
    <row r="1005" spans="62:76" ht="16.5" customHeight="1">
      <c r="BJ1005" s="105"/>
      <c r="BU1005" s="105"/>
      <c r="BV1005" s="105"/>
      <c r="BW1005" s="105"/>
      <c r="BX1005" s="105"/>
    </row>
    <row r="1006" spans="62:76" ht="16.5" customHeight="1">
      <c r="BJ1006" s="105"/>
      <c r="BU1006" s="105"/>
      <c r="BV1006" s="105"/>
      <c r="BW1006" s="105"/>
      <c r="BX1006" s="105"/>
    </row>
    <row r="1007" spans="62:76" ht="16.5" customHeight="1">
      <c r="BJ1007" s="105"/>
      <c r="BU1007" s="105"/>
      <c r="BV1007" s="105"/>
      <c r="BW1007" s="105"/>
      <c r="BX1007" s="105"/>
    </row>
    <row r="1008" spans="62:76" ht="16.5" customHeight="1">
      <c r="BJ1008" s="105"/>
      <c r="BU1008" s="105"/>
      <c r="BV1008" s="105"/>
      <c r="BW1008" s="105"/>
      <c r="BX1008" s="105"/>
    </row>
    <row r="1009" spans="62:76" ht="16.5" customHeight="1">
      <c r="BJ1009" s="105"/>
      <c r="BU1009" s="105"/>
      <c r="BV1009" s="105"/>
      <c r="BW1009" s="105"/>
      <c r="BX1009" s="105"/>
    </row>
    <row r="1010" spans="62:76" ht="16.5" customHeight="1">
      <c r="BJ1010" s="105"/>
      <c r="BU1010" s="105"/>
      <c r="BV1010" s="105"/>
      <c r="BW1010" s="105"/>
      <c r="BX1010" s="105"/>
    </row>
    <row r="1011" spans="62:76" ht="16.5" customHeight="1">
      <c r="BJ1011" s="105"/>
      <c r="BU1011" s="105"/>
      <c r="BV1011" s="105"/>
      <c r="BW1011" s="105"/>
      <c r="BX1011" s="105"/>
    </row>
    <row r="1012" spans="62:76" ht="16.5" customHeight="1">
      <c r="BJ1012" s="105"/>
      <c r="BU1012" s="105"/>
      <c r="BV1012" s="105"/>
      <c r="BW1012" s="105"/>
      <c r="BX1012" s="105"/>
    </row>
    <row r="1013" spans="62:76" ht="16.5" customHeight="1">
      <c r="BJ1013" s="105"/>
      <c r="BU1013" s="105"/>
      <c r="BV1013" s="105"/>
      <c r="BW1013" s="105"/>
      <c r="BX1013" s="105"/>
    </row>
    <row r="1014" spans="62:76" ht="16.5" customHeight="1">
      <c r="BJ1014" s="105"/>
      <c r="BU1014" s="105"/>
      <c r="BV1014" s="105"/>
      <c r="BW1014" s="105"/>
      <c r="BX1014" s="105"/>
    </row>
    <row r="1015" spans="62:76" ht="16.5" customHeight="1">
      <c r="BJ1015" s="105"/>
      <c r="BU1015" s="105"/>
      <c r="BV1015" s="105"/>
      <c r="BW1015" s="105"/>
      <c r="BX1015" s="105"/>
    </row>
    <row r="1016" spans="62:76" ht="16.5" customHeight="1">
      <c r="BJ1016" s="105"/>
      <c r="BU1016" s="105"/>
      <c r="BV1016" s="105"/>
      <c r="BW1016" s="105"/>
      <c r="BX1016" s="105"/>
    </row>
    <row r="1017" spans="62:76" ht="16.5" customHeight="1">
      <c r="BJ1017" s="105"/>
      <c r="BU1017" s="105"/>
      <c r="BV1017" s="105"/>
      <c r="BW1017" s="105"/>
      <c r="BX1017" s="105"/>
    </row>
    <row r="1018" spans="62:76" ht="16.5" customHeight="1">
      <c r="BJ1018" s="105"/>
      <c r="BU1018" s="105"/>
      <c r="BV1018" s="105"/>
      <c r="BW1018" s="105"/>
      <c r="BX1018" s="105"/>
    </row>
    <row r="1019" spans="62:76" ht="16.5" customHeight="1">
      <c r="BJ1019" s="105"/>
      <c r="BU1019" s="105"/>
      <c r="BV1019" s="105"/>
      <c r="BW1019" s="105"/>
      <c r="BX1019" s="105"/>
    </row>
    <row r="1020" spans="62:76" ht="16.5" customHeight="1">
      <c r="BJ1020" s="105"/>
      <c r="BU1020" s="105"/>
      <c r="BV1020" s="105"/>
      <c r="BW1020" s="105"/>
      <c r="BX1020" s="105"/>
    </row>
    <row r="1021" spans="62:76" ht="16.5" customHeight="1">
      <c r="BJ1021" s="105"/>
      <c r="BU1021" s="105"/>
      <c r="BV1021" s="105"/>
      <c r="BW1021" s="105"/>
      <c r="BX1021" s="105"/>
    </row>
    <row r="1022" spans="62:76" ht="16.5" customHeight="1">
      <c r="BJ1022" s="105"/>
      <c r="BU1022" s="105"/>
      <c r="BV1022" s="105"/>
      <c r="BW1022" s="105"/>
      <c r="BX1022" s="105"/>
    </row>
    <row r="1023" spans="62:76" ht="16.5" customHeight="1">
      <c r="BJ1023" s="105"/>
      <c r="BU1023" s="105"/>
      <c r="BV1023" s="105"/>
      <c r="BW1023" s="105"/>
      <c r="BX1023" s="105"/>
    </row>
    <row r="1024" spans="62:76" ht="16.5" customHeight="1">
      <c r="BJ1024" s="105"/>
      <c r="BU1024" s="105"/>
      <c r="BV1024" s="105"/>
      <c r="BW1024" s="105"/>
      <c r="BX1024" s="105"/>
    </row>
    <row r="1025" spans="62:76" ht="16.5" customHeight="1">
      <c r="BJ1025" s="105"/>
      <c r="BU1025" s="105"/>
      <c r="BV1025" s="105"/>
      <c r="BW1025" s="105"/>
      <c r="BX1025" s="105"/>
    </row>
    <row r="1026" spans="62:76" ht="16.5" customHeight="1">
      <c r="BJ1026" s="105"/>
      <c r="BU1026" s="105"/>
      <c r="BV1026" s="105"/>
      <c r="BW1026" s="105"/>
      <c r="BX1026" s="105"/>
    </row>
    <row r="1027" spans="62:76" ht="16.5" customHeight="1">
      <c r="BJ1027" s="105"/>
      <c r="BU1027" s="105"/>
      <c r="BV1027" s="105"/>
      <c r="BW1027" s="105"/>
      <c r="BX1027" s="105"/>
    </row>
    <row r="1028" spans="62:76" ht="16.5" customHeight="1">
      <c r="BJ1028" s="105"/>
      <c r="BU1028" s="105"/>
      <c r="BV1028" s="105"/>
      <c r="BW1028" s="105"/>
      <c r="BX1028" s="105"/>
    </row>
    <row r="1029" spans="62:76" ht="16.5" customHeight="1">
      <c r="BJ1029" s="105"/>
      <c r="BU1029" s="105"/>
      <c r="BV1029" s="105"/>
      <c r="BW1029" s="105"/>
      <c r="BX1029" s="105"/>
    </row>
    <row r="1030" spans="62:76" ht="16.5" customHeight="1">
      <c r="BJ1030" s="105"/>
      <c r="BU1030" s="105"/>
      <c r="BV1030" s="105"/>
      <c r="BW1030" s="105"/>
      <c r="BX1030" s="105"/>
    </row>
    <row r="1031" spans="62:76" ht="16.5" customHeight="1">
      <c r="BJ1031" s="105"/>
      <c r="BU1031" s="105"/>
      <c r="BV1031" s="105"/>
      <c r="BW1031" s="105"/>
      <c r="BX1031" s="105"/>
    </row>
    <row r="1032" spans="62:76" ht="16.5" customHeight="1">
      <c r="BJ1032" s="105"/>
      <c r="BU1032" s="105"/>
      <c r="BV1032" s="105"/>
      <c r="BW1032" s="105"/>
      <c r="BX1032" s="105"/>
    </row>
    <row r="1033" spans="62:76" ht="16.5" customHeight="1">
      <c r="BJ1033" s="105"/>
      <c r="BU1033" s="105"/>
      <c r="BV1033" s="105"/>
      <c r="BW1033" s="105"/>
      <c r="BX1033" s="105"/>
    </row>
    <row r="1034" spans="62:76" ht="16.5" customHeight="1">
      <c r="BJ1034" s="105"/>
      <c r="BU1034" s="105"/>
      <c r="BV1034" s="105"/>
      <c r="BW1034" s="105"/>
      <c r="BX1034" s="105"/>
    </row>
    <row r="1035" spans="62:76" ht="16.5" customHeight="1">
      <c r="BJ1035" s="105"/>
      <c r="BU1035" s="105"/>
      <c r="BV1035" s="105"/>
      <c r="BW1035" s="105"/>
      <c r="BX1035" s="105"/>
    </row>
    <row r="1036" spans="62:76" ht="16.5" customHeight="1">
      <c r="BJ1036" s="105"/>
      <c r="BU1036" s="105"/>
      <c r="BV1036" s="105"/>
      <c r="BW1036" s="105"/>
      <c r="BX1036" s="105"/>
    </row>
    <row r="1037" spans="62:76" ht="16.5" customHeight="1">
      <c r="BJ1037" s="105"/>
      <c r="BU1037" s="105"/>
      <c r="BV1037" s="105"/>
      <c r="BW1037" s="105"/>
      <c r="BX1037" s="105"/>
    </row>
    <row r="1038" spans="62:76" ht="16.5" customHeight="1">
      <c r="BJ1038" s="105"/>
      <c r="BU1038" s="105"/>
      <c r="BV1038" s="105"/>
      <c r="BW1038" s="105"/>
      <c r="BX1038" s="105"/>
    </row>
    <row r="1039" spans="62:76" ht="16.5" customHeight="1">
      <c r="BJ1039" s="105"/>
      <c r="BU1039" s="105"/>
      <c r="BV1039" s="105"/>
      <c r="BW1039" s="105"/>
      <c r="BX1039" s="105"/>
    </row>
    <row r="1040" spans="62:76" ht="16.5" customHeight="1">
      <c r="BJ1040" s="105"/>
      <c r="BU1040" s="105"/>
      <c r="BV1040" s="105"/>
      <c r="BW1040" s="105"/>
      <c r="BX1040" s="105"/>
    </row>
    <row r="1041" spans="62:76" ht="16.5" customHeight="1">
      <c r="BJ1041" s="105"/>
      <c r="BU1041" s="105"/>
      <c r="BV1041" s="105"/>
      <c r="BW1041" s="105"/>
      <c r="BX1041" s="105"/>
    </row>
    <row r="1042" spans="62:76" ht="16.5" customHeight="1">
      <c r="BJ1042" s="105"/>
      <c r="BU1042" s="105"/>
      <c r="BV1042" s="105"/>
      <c r="BW1042" s="105"/>
      <c r="BX1042" s="105"/>
    </row>
    <row r="1043" spans="62:76" ht="16.5" customHeight="1">
      <c r="BJ1043" s="105"/>
      <c r="BU1043" s="105"/>
      <c r="BV1043" s="105"/>
      <c r="BW1043" s="105"/>
      <c r="BX1043" s="105"/>
    </row>
    <row r="1044" spans="62:76" ht="16.5" customHeight="1">
      <c r="BJ1044" s="105"/>
      <c r="BU1044" s="105"/>
      <c r="BV1044" s="105"/>
      <c r="BW1044" s="105"/>
      <c r="BX1044" s="105"/>
    </row>
    <row r="1045" spans="62:76" ht="16.5" customHeight="1">
      <c r="BJ1045" s="105"/>
      <c r="BU1045" s="105"/>
      <c r="BV1045" s="105"/>
      <c r="BW1045" s="105"/>
      <c r="BX1045" s="105"/>
    </row>
    <row r="1046" spans="62:76" ht="16.5" customHeight="1">
      <c r="BJ1046" s="105"/>
      <c r="BU1046" s="105"/>
      <c r="BV1046" s="105"/>
      <c r="BW1046" s="105"/>
      <c r="BX1046" s="105"/>
    </row>
    <row r="1047" spans="62:76" ht="16.5" customHeight="1">
      <c r="BJ1047" s="105"/>
      <c r="BU1047" s="105"/>
      <c r="BV1047" s="105"/>
      <c r="BW1047" s="105"/>
      <c r="BX1047" s="105"/>
    </row>
    <row r="1048" spans="62:76" ht="16.5" customHeight="1">
      <c r="BJ1048" s="105"/>
      <c r="BU1048" s="105"/>
      <c r="BV1048" s="105"/>
      <c r="BW1048" s="105"/>
      <c r="BX1048" s="105"/>
    </row>
    <row r="1049" spans="62:76" ht="16.5" customHeight="1">
      <c r="BJ1049" s="105"/>
      <c r="BU1049" s="105"/>
      <c r="BV1049" s="105"/>
      <c r="BW1049" s="105"/>
      <c r="BX1049" s="105"/>
    </row>
    <row r="1050" spans="62:76" ht="16.5" customHeight="1">
      <c r="BJ1050" s="105"/>
      <c r="BU1050" s="105"/>
      <c r="BV1050" s="105"/>
      <c r="BW1050" s="105"/>
      <c r="BX1050" s="105"/>
    </row>
    <row r="1051" spans="62:76" ht="16.5" customHeight="1">
      <c r="BJ1051" s="105"/>
      <c r="BU1051" s="105"/>
      <c r="BV1051" s="105"/>
      <c r="BW1051" s="105"/>
      <c r="BX1051" s="105"/>
    </row>
    <row r="1052" spans="62:76" ht="16.5" customHeight="1">
      <c r="BJ1052" s="105"/>
      <c r="BU1052" s="105"/>
      <c r="BV1052" s="105"/>
      <c r="BW1052" s="105"/>
      <c r="BX1052" s="105"/>
    </row>
    <row r="1053" spans="62:76" ht="16.5" customHeight="1">
      <c r="BJ1053" s="105"/>
      <c r="BU1053" s="105"/>
      <c r="BV1053" s="105"/>
      <c r="BW1053" s="105"/>
      <c r="BX1053" s="105"/>
    </row>
    <row r="1054" spans="62:76" ht="16.5" customHeight="1">
      <c r="BJ1054" s="105"/>
      <c r="BU1054" s="105"/>
      <c r="BV1054" s="105"/>
      <c r="BW1054" s="105"/>
      <c r="BX1054" s="105"/>
    </row>
    <row r="1055" spans="62:76" ht="16.5" customHeight="1">
      <c r="BJ1055" s="105"/>
      <c r="BU1055" s="105"/>
      <c r="BV1055" s="105"/>
      <c r="BW1055" s="105"/>
      <c r="BX1055" s="105"/>
    </row>
    <row r="1056" spans="62:76" ht="16.5" customHeight="1">
      <c r="BJ1056" s="105"/>
      <c r="BU1056" s="105"/>
      <c r="BV1056" s="105"/>
      <c r="BW1056" s="105"/>
      <c r="BX1056" s="105"/>
    </row>
    <row r="1057" spans="62:76" ht="16.5" customHeight="1">
      <c r="BJ1057" s="105"/>
      <c r="BU1057" s="105"/>
      <c r="BV1057" s="105"/>
      <c r="BW1057" s="105"/>
      <c r="BX1057" s="105"/>
    </row>
    <row r="1058" spans="62:76" ht="16.5" customHeight="1">
      <c r="BJ1058" s="105"/>
      <c r="BU1058" s="105"/>
      <c r="BV1058" s="105"/>
      <c r="BW1058" s="105"/>
      <c r="BX1058" s="105"/>
    </row>
    <row r="1059" spans="62:76" ht="16.5" customHeight="1">
      <c r="BJ1059" s="105"/>
      <c r="BU1059" s="105"/>
      <c r="BV1059" s="105"/>
      <c r="BW1059" s="105"/>
      <c r="BX1059" s="105"/>
    </row>
    <row r="1060" spans="62:76" ht="16.5" customHeight="1">
      <c r="BJ1060" s="105"/>
      <c r="BU1060" s="105"/>
      <c r="BV1060" s="105"/>
      <c r="BW1060" s="105"/>
      <c r="BX1060" s="105"/>
    </row>
    <row r="1061" spans="62:76" ht="16.5" customHeight="1">
      <c r="BJ1061" s="105"/>
      <c r="BU1061" s="105"/>
      <c r="BV1061" s="105"/>
      <c r="BW1061" s="105"/>
      <c r="BX1061" s="105"/>
    </row>
    <row r="1062" spans="62:76" ht="16.5" customHeight="1">
      <c r="BJ1062" s="105"/>
      <c r="BU1062" s="105"/>
      <c r="BV1062" s="105"/>
      <c r="BW1062" s="105"/>
      <c r="BX1062" s="105"/>
    </row>
    <row r="1063" spans="62:76" ht="16.5" customHeight="1">
      <c r="BJ1063" s="105"/>
      <c r="BU1063" s="105"/>
      <c r="BV1063" s="105"/>
      <c r="BW1063" s="105"/>
      <c r="BX1063" s="105"/>
    </row>
    <row r="1064" spans="62:76" ht="16.5" customHeight="1">
      <c r="BJ1064" s="105"/>
      <c r="BU1064" s="105"/>
      <c r="BV1064" s="105"/>
      <c r="BW1064" s="105"/>
      <c r="BX1064" s="105"/>
    </row>
    <row r="1065" spans="62:76" ht="16.5" customHeight="1">
      <c r="BJ1065" s="105"/>
      <c r="BU1065" s="105"/>
      <c r="BV1065" s="105"/>
      <c r="BW1065" s="105"/>
      <c r="BX1065" s="105"/>
    </row>
    <row r="1066" spans="62:76" ht="16.5" customHeight="1">
      <c r="BJ1066" s="105"/>
      <c r="BU1066" s="105"/>
      <c r="BV1066" s="105"/>
      <c r="BW1066" s="105"/>
      <c r="BX1066" s="105"/>
    </row>
    <row r="1067" spans="62:76" ht="16.5" customHeight="1">
      <c r="BJ1067" s="105"/>
      <c r="BU1067" s="105"/>
      <c r="BV1067" s="105"/>
      <c r="BW1067" s="105"/>
      <c r="BX1067" s="105"/>
    </row>
    <row r="1068" spans="62:76" ht="16.5" customHeight="1">
      <c r="BJ1068" s="105"/>
      <c r="BU1068" s="105"/>
      <c r="BV1068" s="105"/>
      <c r="BW1068" s="105"/>
      <c r="BX1068" s="105"/>
    </row>
    <row r="1069" spans="62:76" ht="16.5" customHeight="1">
      <c r="BJ1069" s="105"/>
      <c r="BU1069" s="105"/>
      <c r="BV1069" s="105"/>
      <c r="BW1069" s="105"/>
      <c r="BX1069" s="105"/>
    </row>
    <row r="1070" spans="62:76" ht="16.5" customHeight="1">
      <c r="BJ1070" s="105"/>
      <c r="BU1070" s="105"/>
      <c r="BV1070" s="105"/>
      <c r="BW1070" s="105"/>
      <c r="BX1070" s="105"/>
    </row>
    <row r="1071" spans="62:76" ht="16.5" customHeight="1">
      <c r="BJ1071" s="105"/>
      <c r="BU1071" s="105"/>
      <c r="BV1071" s="105"/>
      <c r="BW1071" s="105"/>
      <c r="BX1071" s="105"/>
    </row>
    <row r="1072" spans="62:76" ht="16.5" customHeight="1">
      <c r="BJ1072" s="105"/>
      <c r="BU1072" s="105"/>
      <c r="BV1072" s="105"/>
      <c r="BW1072" s="105"/>
      <c r="BX1072" s="105"/>
    </row>
    <row r="1073" spans="62:76" ht="16.5" customHeight="1">
      <c r="BJ1073" s="105"/>
      <c r="BU1073" s="105"/>
      <c r="BV1073" s="105"/>
      <c r="BW1073" s="105"/>
      <c r="BX1073" s="105"/>
    </row>
    <row r="1074" spans="62:76" ht="16.5" customHeight="1">
      <c r="BJ1074" s="105"/>
      <c r="BU1074" s="105"/>
      <c r="BV1074" s="105"/>
      <c r="BW1074" s="105"/>
      <c r="BX1074" s="105"/>
    </row>
    <row r="1075" spans="62:76" ht="16.5" customHeight="1">
      <c r="BJ1075" s="105"/>
      <c r="BU1075" s="105"/>
      <c r="BV1075" s="105"/>
      <c r="BW1075" s="105"/>
      <c r="BX1075" s="105"/>
    </row>
    <row r="1076" spans="62:76" ht="16.5" customHeight="1">
      <c r="BJ1076" s="105"/>
      <c r="BU1076" s="105"/>
      <c r="BV1076" s="105"/>
      <c r="BW1076" s="105"/>
      <c r="BX1076" s="105"/>
    </row>
    <row r="1077" spans="62:76" ht="16.5" customHeight="1">
      <c r="BJ1077" s="105"/>
      <c r="BU1077" s="105"/>
      <c r="BV1077" s="105"/>
      <c r="BW1077" s="105"/>
      <c r="BX1077" s="105"/>
    </row>
    <row r="1078" spans="62:76" ht="16.5" customHeight="1">
      <c r="BJ1078" s="105"/>
      <c r="BU1078" s="105"/>
      <c r="BV1078" s="105"/>
      <c r="BW1078" s="105"/>
      <c r="BX1078" s="105"/>
    </row>
    <row r="1079" spans="62:76" ht="16.5" customHeight="1">
      <c r="BJ1079" s="105"/>
      <c r="BU1079" s="105"/>
      <c r="BV1079" s="105"/>
      <c r="BW1079" s="105"/>
      <c r="BX1079" s="105"/>
    </row>
    <row r="1080" spans="62:76" ht="16.5" customHeight="1">
      <c r="BJ1080" s="105"/>
      <c r="BU1080" s="105"/>
      <c r="BV1080" s="105"/>
      <c r="BW1080" s="105"/>
      <c r="BX1080" s="105"/>
    </row>
    <row r="1081" spans="62:76" ht="16.5" customHeight="1">
      <c r="BJ1081" s="105"/>
      <c r="BU1081" s="105"/>
      <c r="BV1081" s="105"/>
      <c r="BW1081" s="105"/>
      <c r="BX1081" s="105"/>
    </row>
    <row r="1082" spans="62:76" ht="16.5" customHeight="1">
      <c r="BJ1082" s="105"/>
      <c r="BU1082" s="105"/>
      <c r="BV1082" s="105"/>
      <c r="BW1082" s="105"/>
      <c r="BX1082" s="105"/>
    </row>
    <row r="1083" spans="62:76" ht="16.5" customHeight="1">
      <c r="BJ1083" s="105"/>
      <c r="BU1083" s="105"/>
      <c r="BV1083" s="105"/>
      <c r="BW1083" s="105"/>
      <c r="BX1083" s="105"/>
    </row>
    <row r="1084" spans="62:76" ht="16.5" customHeight="1">
      <c r="BJ1084" s="105"/>
      <c r="BU1084" s="105"/>
      <c r="BV1084" s="105"/>
      <c r="BW1084" s="105"/>
      <c r="BX1084" s="105"/>
    </row>
    <row r="1085" spans="62:76" ht="16.5" customHeight="1">
      <c r="BJ1085" s="105"/>
      <c r="BU1085" s="105"/>
      <c r="BV1085" s="105"/>
      <c r="BW1085" s="105"/>
      <c r="BX1085" s="105"/>
    </row>
    <row r="1086" spans="62:76" ht="16.5" customHeight="1">
      <c r="BJ1086" s="105"/>
      <c r="BU1086" s="105"/>
      <c r="BV1086" s="105"/>
      <c r="BW1086" s="105"/>
      <c r="BX1086" s="105"/>
    </row>
    <row r="1087" spans="62:76" ht="16.5" customHeight="1">
      <c r="BJ1087" s="105"/>
      <c r="BU1087" s="105"/>
      <c r="BV1087" s="105"/>
      <c r="BW1087" s="105"/>
      <c r="BX1087" s="105"/>
    </row>
    <row r="1088" spans="62:76" ht="16.5" customHeight="1">
      <c r="BJ1088" s="105"/>
      <c r="BU1088" s="105"/>
      <c r="BV1088" s="105"/>
      <c r="BW1088" s="105"/>
      <c r="BX1088" s="105"/>
    </row>
    <row r="1089" spans="62:76" ht="16.5" customHeight="1">
      <c r="BJ1089" s="105"/>
      <c r="BU1089" s="105"/>
      <c r="BV1089" s="105"/>
      <c r="BW1089" s="105"/>
      <c r="BX1089" s="105"/>
    </row>
    <row r="1090" spans="62:76" ht="16.5" customHeight="1">
      <c r="BJ1090" s="105"/>
      <c r="BU1090" s="105"/>
      <c r="BV1090" s="105"/>
      <c r="BW1090" s="105"/>
      <c r="BX1090" s="105"/>
    </row>
    <row r="1091" spans="62:76" ht="16.5" customHeight="1">
      <c r="BJ1091" s="105"/>
      <c r="BU1091" s="105"/>
      <c r="BV1091" s="105"/>
      <c r="BW1091" s="105"/>
      <c r="BX1091" s="105"/>
    </row>
    <row r="1092" spans="62:76" ht="16.5" customHeight="1">
      <c r="BJ1092" s="105"/>
      <c r="BU1092" s="105"/>
      <c r="BV1092" s="105"/>
      <c r="BW1092" s="105"/>
      <c r="BX1092" s="105"/>
    </row>
    <row r="1093" spans="62:76" ht="16.5" customHeight="1">
      <c r="BJ1093" s="105"/>
      <c r="BU1093" s="105"/>
      <c r="BV1093" s="105"/>
      <c r="BW1093" s="105"/>
      <c r="BX1093" s="105"/>
    </row>
    <row r="1094" spans="62:76" ht="16.5" customHeight="1">
      <c r="BJ1094" s="105"/>
      <c r="BU1094" s="105"/>
      <c r="BV1094" s="105"/>
      <c r="BW1094" s="105"/>
      <c r="BX1094" s="105"/>
    </row>
    <row r="1095" spans="62:76" ht="16.5" customHeight="1">
      <c r="BJ1095" s="105"/>
      <c r="BU1095" s="105"/>
      <c r="BV1095" s="105"/>
      <c r="BW1095" s="105"/>
      <c r="BX1095" s="105"/>
    </row>
    <row r="1096" spans="62:76" ht="16.5" customHeight="1">
      <c r="BJ1096" s="105"/>
      <c r="BU1096" s="105"/>
      <c r="BV1096" s="105"/>
      <c r="BW1096" s="105"/>
      <c r="BX1096" s="105"/>
    </row>
    <row r="1097" spans="62:76" ht="16.5" customHeight="1">
      <c r="BJ1097" s="105"/>
      <c r="BU1097" s="105"/>
      <c r="BV1097" s="105"/>
      <c r="BW1097" s="105"/>
      <c r="BX1097" s="105"/>
    </row>
    <row r="1098" spans="62:76" ht="16.5" customHeight="1">
      <c r="BJ1098" s="105"/>
      <c r="BU1098" s="105"/>
      <c r="BV1098" s="105"/>
      <c r="BW1098" s="105"/>
      <c r="BX1098" s="105"/>
    </row>
    <row r="1099" spans="62:76" ht="16.5" customHeight="1">
      <c r="BJ1099" s="105"/>
      <c r="BU1099" s="105"/>
      <c r="BV1099" s="105"/>
      <c r="BW1099" s="105"/>
      <c r="BX1099" s="105"/>
    </row>
    <row r="1100" spans="62:76" ht="16.5" customHeight="1">
      <c r="BJ1100" s="105"/>
      <c r="BU1100" s="105"/>
      <c r="BV1100" s="105"/>
      <c r="BW1100" s="105"/>
      <c r="BX1100" s="105"/>
    </row>
    <row r="1101" spans="62:76" ht="16.5" customHeight="1">
      <c r="BJ1101" s="105"/>
      <c r="BU1101" s="105"/>
      <c r="BV1101" s="105"/>
      <c r="BW1101" s="105"/>
      <c r="BX1101" s="105"/>
    </row>
    <row r="1102" spans="62:76" ht="16.5" customHeight="1">
      <c r="BJ1102" s="105"/>
      <c r="BU1102" s="105"/>
      <c r="BV1102" s="105"/>
      <c r="BW1102" s="105"/>
      <c r="BX1102" s="105"/>
    </row>
    <row r="1103" spans="62:76" ht="16.5" customHeight="1">
      <c r="BJ1103" s="105"/>
      <c r="BU1103" s="105"/>
      <c r="BV1103" s="105"/>
      <c r="BW1103" s="105"/>
      <c r="BX1103" s="105"/>
    </row>
    <row r="1104" spans="62:76" ht="16.5" customHeight="1">
      <c r="BJ1104" s="105"/>
      <c r="BU1104" s="105"/>
      <c r="BV1104" s="105"/>
      <c r="BW1104" s="105"/>
      <c r="BX1104" s="105"/>
    </row>
    <row r="1105" spans="62:76" ht="16.5" customHeight="1">
      <c r="BJ1105" s="105"/>
      <c r="BU1105" s="105"/>
      <c r="BV1105" s="105"/>
      <c r="BW1105" s="105"/>
      <c r="BX1105" s="105"/>
    </row>
    <row r="1106" spans="62:76" ht="16.5" customHeight="1">
      <c r="BJ1106" s="105"/>
      <c r="BU1106" s="105"/>
      <c r="BV1106" s="105"/>
      <c r="BW1106" s="105"/>
      <c r="BX1106" s="105"/>
    </row>
    <row r="1107" spans="62:76" ht="16.5" customHeight="1">
      <c r="BJ1107" s="105"/>
      <c r="BU1107" s="105"/>
      <c r="BV1107" s="105"/>
      <c r="BW1107" s="105"/>
      <c r="BX1107" s="105"/>
    </row>
    <row r="1108" spans="62:76" ht="16.5" customHeight="1">
      <c r="BJ1108" s="105"/>
      <c r="BU1108" s="105"/>
      <c r="BV1108" s="105"/>
      <c r="BW1108" s="105"/>
      <c r="BX1108" s="105"/>
    </row>
    <row r="1109" spans="62:76" ht="16.5" customHeight="1">
      <c r="BJ1109" s="105"/>
      <c r="BU1109" s="105"/>
      <c r="BV1109" s="105"/>
      <c r="BW1109" s="105"/>
      <c r="BX1109" s="105"/>
    </row>
    <row r="1110" spans="62:76" ht="16.5" customHeight="1">
      <c r="BJ1110" s="105"/>
      <c r="BU1110" s="105"/>
      <c r="BV1110" s="105"/>
      <c r="BW1110" s="105"/>
      <c r="BX1110" s="105"/>
    </row>
    <row r="1111" spans="62:76" ht="16.5" customHeight="1">
      <c r="BJ1111" s="105"/>
      <c r="BU1111" s="105"/>
      <c r="BV1111" s="105"/>
      <c r="BW1111" s="105"/>
      <c r="BX1111" s="105"/>
    </row>
    <row r="1112" spans="62:76" ht="16.5" customHeight="1">
      <c r="BJ1112" s="105"/>
      <c r="BU1112" s="105"/>
      <c r="BV1112" s="105"/>
      <c r="BW1112" s="105"/>
      <c r="BX1112" s="105"/>
    </row>
    <row r="1113" spans="62:76" ht="16.5" customHeight="1">
      <c r="BJ1113" s="105"/>
      <c r="BU1113" s="105"/>
      <c r="BV1113" s="105"/>
      <c r="BW1113" s="105"/>
      <c r="BX1113" s="105"/>
    </row>
    <row r="1114" spans="62:76" ht="16.5" customHeight="1">
      <c r="BJ1114" s="105"/>
      <c r="BU1114" s="105"/>
      <c r="BV1114" s="105"/>
      <c r="BW1114" s="105"/>
      <c r="BX1114" s="105"/>
    </row>
    <row r="1115" spans="62:76" ht="16.5" customHeight="1">
      <c r="BJ1115" s="105"/>
      <c r="BU1115" s="105"/>
      <c r="BV1115" s="105"/>
      <c r="BW1115" s="105"/>
      <c r="BX1115" s="105"/>
    </row>
    <row r="1116" spans="62:76" ht="16.5" customHeight="1">
      <c r="BJ1116" s="105"/>
      <c r="BU1116" s="105"/>
      <c r="BV1116" s="105"/>
      <c r="BW1116" s="105"/>
      <c r="BX1116" s="105"/>
    </row>
    <row r="1117" spans="62:76" ht="16.5" customHeight="1">
      <c r="BJ1117" s="105"/>
      <c r="BU1117" s="105"/>
      <c r="BV1117" s="105"/>
      <c r="BW1117" s="105"/>
      <c r="BX1117" s="105"/>
    </row>
    <row r="1118" spans="62:76" ht="16.5" customHeight="1">
      <c r="BJ1118" s="105"/>
      <c r="BU1118" s="105"/>
      <c r="BV1118" s="105"/>
      <c r="BW1118" s="105"/>
      <c r="BX1118" s="105"/>
    </row>
    <row r="1119" spans="62:76" ht="16.5" customHeight="1">
      <c r="BJ1119" s="105"/>
      <c r="BU1119" s="105"/>
      <c r="BV1119" s="105"/>
      <c r="BW1119" s="105"/>
      <c r="BX1119" s="105"/>
    </row>
    <row r="1120" spans="62:76" ht="16.5" customHeight="1">
      <c r="BJ1120" s="105"/>
      <c r="BU1120" s="105"/>
      <c r="BV1120" s="105"/>
      <c r="BW1120" s="105"/>
      <c r="BX1120" s="105"/>
    </row>
    <row r="1121" spans="62:76" ht="16.5" customHeight="1">
      <c r="BJ1121" s="105"/>
      <c r="BU1121" s="105"/>
      <c r="BV1121" s="105"/>
      <c r="BW1121" s="105"/>
      <c r="BX1121" s="105"/>
    </row>
    <row r="1122" spans="62:76" ht="16.5" customHeight="1">
      <c r="BJ1122" s="105"/>
      <c r="BU1122" s="105"/>
      <c r="BV1122" s="105"/>
      <c r="BW1122" s="105"/>
      <c r="BX1122" s="105"/>
    </row>
    <row r="1123" spans="62:76" ht="16.5" customHeight="1">
      <c r="BJ1123" s="105"/>
      <c r="BU1123" s="105"/>
      <c r="BV1123" s="105"/>
      <c r="BW1123" s="105"/>
      <c r="BX1123" s="105"/>
    </row>
    <row r="1124" spans="62:76" ht="16.5" customHeight="1">
      <c r="BJ1124" s="105"/>
      <c r="BU1124" s="105"/>
      <c r="BV1124" s="105"/>
      <c r="BW1124" s="105"/>
      <c r="BX1124" s="105"/>
    </row>
    <row r="1125" spans="62:76" ht="16.5" customHeight="1">
      <c r="BJ1125" s="105"/>
      <c r="BU1125" s="105"/>
      <c r="BV1125" s="105"/>
      <c r="BW1125" s="105"/>
      <c r="BX1125" s="105"/>
    </row>
    <row r="1126" spans="62:76" ht="16.5" customHeight="1">
      <c r="BJ1126" s="105"/>
      <c r="BU1126" s="105"/>
      <c r="BV1126" s="105"/>
      <c r="BW1126" s="105"/>
      <c r="BX1126" s="105"/>
    </row>
    <row r="1127" spans="62:76" ht="16.5" customHeight="1">
      <c r="BJ1127" s="105"/>
      <c r="BU1127" s="105"/>
      <c r="BV1127" s="105"/>
      <c r="BW1127" s="105"/>
      <c r="BX1127" s="105"/>
    </row>
    <row r="1128" spans="62:76" ht="16.5" customHeight="1">
      <c r="BJ1128" s="105"/>
      <c r="BU1128" s="105"/>
      <c r="BV1128" s="105"/>
      <c r="BW1128" s="105"/>
      <c r="BX1128" s="105"/>
    </row>
    <row r="1129" spans="62:76" ht="16.5" customHeight="1">
      <c r="BJ1129" s="105"/>
      <c r="BU1129" s="105"/>
      <c r="BV1129" s="105"/>
      <c r="BW1129" s="105"/>
      <c r="BX1129" s="105"/>
    </row>
    <row r="1130" spans="62:76" ht="16.5" customHeight="1">
      <c r="BJ1130" s="105"/>
      <c r="BU1130" s="105"/>
      <c r="BV1130" s="105"/>
      <c r="BW1130" s="105"/>
      <c r="BX1130" s="105"/>
    </row>
    <row r="1131" spans="62:76" ht="16.5" customHeight="1">
      <c r="BJ1131" s="105"/>
      <c r="BU1131" s="105"/>
      <c r="BV1131" s="105"/>
      <c r="BW1131" s="105"/>
      <c r="BX1131" s="105"/>
    </row>
    <row r="1132" spans="62:76" ht="16.5" customHeight="1">
      <c r="BJ1132" s="105"/>
      <c r="BU1132" s="105"/>
      <c r="BV1132" s="105"/>
      <c r="BW1132" s="105"/>
      <c r="BX1132" s="105"/>
    </row>
    <row r="1133" spans="62:76" ht="16.5" customHeight="1">
      <c r="BJ1133" s="105"/>
      <c r="BU1133" s="105"/>
      <c r="BV1133" s="105"/>
      <c r="BW1133" s="105"/>
      <c r="BX1133" s="105"/>
    </row>
    <row r="1134" spans="62:76" ht="16.5" customHeight="1">
      <c r="BJ1134" s="105"/>
      <c r="BU1134" s="105"/>
      <c r="BV1134" s="105"/>
      <c r="BW1134" s="105"/>
      <c r="BX1134" s="105"/>
    </row>
    <row r="1135" spans="62:76" ht="16.5" customHeight="1">
      <c r="BJ1135" s="105"/>
      <c r="BU1135" s="105"/>
      <c r="BV1135" s="105"/>
      <c r="BW1135" s="105"/>
      <c r="BX1135" s="105"/>
    </row>
    <row r="1136" spans="62:76" ht="16.5" customHeight="1">
      <c r="BJ1136" s="105"/>
      <c r="BU1136" s="105"/>
      <c r="BV1136" s="105"/>
      <c r="BW1136" s="105"/>
      <c r="BX1136" s="105"/>
    </row>
    <row r="1137" spans="62:76" ht="16.5" customHeight="1">
      <c r="BJ1137" s="105"/>
      <c r="BU1137" s="105"/>
      <c r="BV1137" s="105"/>
      <c r="BW1137" s="105"/>
      <c r="BX1137" s="105"/>
    </row>
    <row r="1138" spans="62:76" ht="16.5" customHeight="1">
      <c r="BJ1138" s="105"/>
      <c r="BU1138" s="105"/>
      <c r="BV1138" s="105"/>
      <c r="BW1138" s="105"/>
      <c r="BX1138" s="105"/>
    </row>
    <row r="1139" spans="62:76" ht="16.5" customHeight="1">
      <c r="BJ1139" s="105"/>
      <c r="BU1139" s="105"/>
      <c r="BV1139" s="105"/>
      <c r="BW1139" s="105"/>
      <c r="BX1139" s="105"/>
    </row>
    <row r="1140" spans="62:76" ht="16.5" customHeight="1">
      <c r="BJ1140" s="105"/>
      <c r="BU1140" s="105"/>
      <c r="BV1140" s="105"/>
      <c r="BW1140" s="105"/>
      <c r="BX1140" s="105"/>
    </row>
    <row r="1141" spans="62:76" ht="16.5" customHeight="1">
      <c r="BJ1141" s="105"/>
      <c r="BU1141" s="105"/>
      <c r="BV1141" s="105"/>
      <c r="BW1141" s="105"/>
      <c r="BX1141" s="105"/>
    </row>
    <row r="1142" spans="62:76" ht="16.5" customHeight="1">
      <c r="BJ1142" s="105"/>
      <c r="BU1142" s="105"/>
      <c r="BV1142" s="105"/>
      <c r="BW1142" s="105"/>
      <c r="BX1142" s="105"/>
    </row>
    <row r="1143" spans="62:76" ht="16.5" customHeight="1">
      <c r="BJ1143" s="105"/>
      <c r="BU1143" s="105"/>
      <c r="BV1143" s="105"/>
      <c r="BW1143" s="105"/>
      <c r="BX1143" s="105"/>
    </row>
    <row r="1144" spans="62:76" ht="16.5" customHeight="1">
      <c r="BJ1144" s="105"/>
      <c r="BU1144" s="105"/>
      <c r="BV1144" s="105"/>
      <c r="BW1144" s="105"/>
      <c r="BX1144" s="105"/>
    </row>
    <row r="1145" spans="62:76" ht="16.5" customHeight="1">
      <c r="BJ1145" s="105"/>
      <c r="BU1145" s="105"/>
      <c r="BV1145" s="105"/>
      <c r="BW1145" s="105"/>
      <c r="BX1145" s="105"/>
    </row>
    <row r="1146" spans="62:76" ht="16.5" customHeight="1">
      <c r="BJ1146" s="105"/>
      <c r="BU1146" s="105"/>
      <c r="BV1146" s="105"/>
      <c r="BW1146" s="105"/>
      <c r="BX1146" s="105"/>
    </row>
    <row r="1147" spans="62:76" ht="16.5" customHeight="1">
      <c r="BJ1147" s="105"/>
      <c r="BU1147" s="105"/>
      <c r="BV1147" s="105"/>
      <c r="BW1147" s="105"/>
      <c r="BX1147" s="105"/>
    </row>
    <row r="1148" spans="62:76" ht="16.5" customHeight="1">
      <c r="BJ1148" s="105"/>
      <c r="BU1148" s="105"/>
      <c r="BV1148" s="105"/>
      <c r="BW1148" s="105"/>
      <c r="BX1148" s="105"/>
    </row>
    <row r="1149" spans="62:76" ht="16.5" customHeight="1">
      <c r="BJ1149" s="105"/>
      <c r="BU1149" s="105"/>
      <c r="BV1149" s="105"/>
      <c r="BW1149" s="105"/>
      <c r="BX1149" s="105"/>
    </row>
    <row r="1150" spans="62:76" ht="16.5" customHeight="1">
      <c r="BJ1150" s="105"/>
      <c r="BU1150" s="105"/>
      <c r="BV1150" s="105"/>
      <c r="BW1150" s="105"/>
      <c r="BX1150" s="105"/>
    </row>
    <row r="1151" spans="62:76" ht="16.5" customHeight="1">
      <c r="BJ1151" s="105"/>
      <c r="BU1151" s="105"/>
      <c r="BV1151" s="105"/>
      <c r="BW1151" s="105"/>
      <c r="BX1151" s="105"/>
    </row>
    <row r="1152" spans="62:76" ht="16.5" customHeight="1">
      <c r="BJ1152" s="105"/>
      <c r="BU1152" s="105"/>
      <c r="BV1152" s="105"/>
      <c r="BW1152" s="105"/>
      <c r="BX1152" s="105"/>
    </row>
    <row r="1153" spans="62:76" ht="16.5" customHeight="1">
      <c r="BJ1153" s="105"/>
      <c r="BU1153" s="105"/>
      <c r="BV1153" s="105"/>
      <c r="BW1153" s="105"/>
      <c r="BX1153" s="105"/>
    </row>
    <row r="1154" spans="62:76" ht="16.5" customHeight="1">
      <c r="BJ1154" s="105"/>
      <c r="BU1154" s="105"/>
      <c r="BV1154" s="105"/>
      <c r="BW1154" s="105"/>
      <c r="BX1154" s="105"/>
    </row>
    <row r="1155" spans="62:76" ht="16.5" customHeight="1">
      <c r="BJ1155" s="105"/>
      <c r="BU1155" s="105"/>
      <c r="BV1155" s="105"/>
      <c r="BW1155" s="105"/>
      <c r="BX1155" s="105"/>
    </row>
    <row r="1156" spans="62:76" ht="16.5" customHeight="1">
      <c r="BJ1156" s="105"/>
      <c r="BU1156" s="105"/>
      <c r="BV1156" s="105"/>
      <c r="BW1156" s="105"/>
      <c r="BX1156" s="105"/>
    </row>
    <row r="1157" spans="62:76" ht="16.5" customHeight="1">
      <c r="BJ1157" s="105"/>
      <c r="BU1157" s="105"/>
      <c r="BV1157" s="105"/>
      <c r="BW1157" s="105"/>
      <c r="BX1157" s="105"/>
    </row>
    <row r="1158" spans="62:76" ht="16.5" customHeight="1">
      <c r="BJ1158" s="105"/>
      <c r="BU1158" s="105"/>
      <c r="BV1158" s="105"/>
      <c r="BW1158" s="105"/>
      <c r="BX1158" s="105"/>
    </row>
    <row r="1159" spans="62:76" ht="16.5" customHeight="1">
      <c r="BJ1159" s="105"/>
      <c r="BU1159" s="105"/>
      <c r="BV1159" s="105"/>
      <c r="BW1159" s="105"/>
      <c r="BX1159" s="105"/>
    </row>
    <row r="1160" spans="62:76" ht="16.5" customHeight="1">
      <c r="BJ1160" s="105"/>
      <c r="BU1160" s="105"/>
      <c r="BV1160" s="105"/>
      <c r="BW1160" s="105"/>
      <c r="BX1160" s="105"/>
    </row>
    <row r="1161" spans="62:76" ht="16.5" customHeight="1">
      <c r="BJ1161" s="105"/>
      <c r="BU1161" s="105"/>
      <c r="BV1161" s="105"/>
      <c r="BW1161" s="105"/>
      <c r="BX1161" s="105"/>
    </row>
    <row r="1162" spans="62:76" ht="16.5" customHeight="1">
      <c r="BJ1162" s="105"/>
      <c r="BU1162" s="105"/>
      <c r="BV1162" s="105"/>
      <c r="BW1162" s="105"/>
      <c r="BX1162" s="105"/>
    </row>
    <row r="1163" spans="62:76" ht="16.5" customHeight="1">
      <c r="BJ1163" s="105"/>
      <c r="BU1163" s="105"/>
      <c r="BV1163" s="105"/>
      <c r="BW1163" s="105"/>
      <c r="BX1163" s="105"/>
    </row>
    <row r="1164" spans="62:76" ht="16.5" customHeight="1">
      <c r="BJ1164" s="105"/>
      <c r="BU1164" s="105"/>
      <c r="BV1164" s="105"/>
      <c r="BW1164" s="105"/>
      <c r="BX1164" s="105"/>
    </row>
    <row r="1165" spans="62:76" ht="16.5" customHeight="1">
      <c r="BJ1165" s="105"/>
      <c r="BU1165" s="105"/>
      <c r="BV1165" s="105"/>
      <c r="BW1165" s="105"/>
      <c r="BX1165" s="105"/>
    </row>
    <row r="1166" spans="62:76" ht="16.5" customHeight="1">
      <c r="BJ1166" s="105"/>
      <c r="BU1166" s="105"/>
      <c r="BV1166" s="105"/>
      <c r="BW1166" s="105"/>
      <c r="BX1166" s="105"/>
    </row>
    <row r="1167" spans="62:76" ht="16.5" customHeight="1">
      <c r="BJ1167" s="105"/>
      <c r="BU1167" s="105"/>
      <c r="BV1167" s="105"/>
      <c r="BW1167" s="105"/>
      <c r="BX1167" s="105"/>
    </row>
    <row r="1168" spans="62:76" ht="16.5" customHeight="1">
      <c r="BJ1168" s="105"/>
      <c r="BU1168" s="105"/>
      <c r="BV1168" s="105"/>
      <c r="BW1168" s="105"/>
      <c r="BX1168" s="105"/>
    </row>
    <row r="1169" spans="62:76" ht="16.5" customHeight="1">
      <c r="BJ1169" s="105"/>
      <c r="BU1169" s="105"/>
      <c r="BV1169" s="105"/>
      <c r="BW1169" s="105"/>
      <c r="BX1169" s="105"/>
    </row>
    <row r="1170" spans="62:76" ht="16.5" customHeight="1">
      <c r="BJ1170" s="105"/>
      <c r="BU1170" s="105"/>
      <c r="BV1170" s="105"/>
      <c r="BW1170" s="105"/>
      <c r="BX1170" s="105"/>
    </row>
    <row r="1171" spans="62:76" ht="16.5" customHeight="1">
      <c r="BJ1171" s="105"/>
      <c r="BU1171" s="105"/>
      <c r="BV1171" s="105"/>
      <c r="BW1171" s="105"/>
      <c r="BX1171" s="105"/>
    </row>
    <row r="1172" spans="62:76" ht="16.5" customHeight="1">
      <c r="BJ1172" s="105"/>
      <c r="BU1172" s="105"/>
      <c r="BV1172" s="105"/>
      <c r="BW1172" s="105"/>
      <c r="BX1172" s="105"/>
    </row>
    <row r="1173" spans="62:76" ht="16.5" customHeight="1">
      <c r="BJ1173" s="105"/>
      <c r="BU1173" s="105"/>
      <c r="BV1173" s="105"/>
      <c r="BW1173" s="105"/>
      <c r="BX1173" s="105"/>
    </row>
    <row r="1174" spans="62:76" ht="16.5" customHeight="1">
      <c r="BJ1174" s="105"/>
      <c r="BU1174" s="105"/>
      <c r="BV1174" s="105"/>
      <c r="BW1174" s="105"/>
      <c r="BX1174" s="105"/>
    </row>
    <row r="1175" spans="62:76" ht="16.5" customHeight="1">
      <c r="BJ1175" s="105"/>
      <c r="BU1175" s="105"/>
      <c r="BV1175" s="105"/>
      <c r="BW1175" s="105"/>
      <c r="BX1175" s="105"/>
    </row>
    <row r="1176" spans="62:76" ht="16.5" customHeight="1">
      <c r="BJ1176" s="105"/>
      <c r="BU1176" s="105"/>
      <c r="BV1176" s="105"/>
      <c r="BW1176" s="105"/>
      <c r="BX1176" s="105"/>
    </row>
    <row r="1177" spans="62:76" ht="16.5" customHeight="1">
      <c r="BJ1177" s="105"/>
      <c r="BU1177" s="105"/>
      <c r="BV1177" s="105"/>
      <c r="BW1177" s="105"/>
      <c r="BX1177" s="105"/>
    </row>
    <row r="1178" spans="62:76" ht="16.5" customHeight="1">
      <c r="BJ1178" s="105"/>
      <c r="BU1178" s="105"/>
      <c r="BV1178" s="105"/>
      <c r="BW1178" s="105"/>
      <c r="BX1178" s="105"/>
    </row>
    <row r="1179" spans="62:76" ht="16.5" customHeight="1">
      <c r="BJ1179" s="105"/>
      <c r="BU1179" s="105"/>
      <c r="BV1179" s="105"/>
      <c r="BW1179" s="105"/>
      <c r="BX1179" s="105"/>
    </row>
    <row r="1180" spans="62:76" ht="16.5" customHeight="1">
      <c r="BJ1180" s="105"/>
      <c r="BU1180" s="105"/>
      <c r="BV1180" s="105"/>
      <c r="BW1180" s="105"/>
      <c r="BX1180" s="105"/>
    </row>
    <row r="1181" spans="62:76" ht="16.5" customHeight="1">
      <c r="BJ1181" s="105"/>
      <c r="BU1181" s="105"/>
      <c r="BV1181" s="105"/>
      <c r="BW1181" s="105"/>
      <c r="BX1181" s="105"/>
    </row>
    <row r="1182" spans="62:76" ht="16.5" customHeight="1">
      <c r="BJ1182" s="105"/>
      <c r="BU1182" s="105"/>
      <c r="BV1182" s="105"/>
      <c r="BW1182" s="105"/>
      <c r="BX1182" s="105"/>
    </row>
    <row r="1183" spans="62:76" ht="16.5" customHeight="1">
      <c r="BJ1183" s="105"/>
      <c r="BU1183" s="105"/>
      <c r="BV1183" s="105"/>
      <c r="BW1183" s="105"/>
      <c r="BX1183" s="105"/>
    </row>
    <row r="1184" spans="62:76" ht="16.5" customHeight="1">
      <c r="BJ1184" s="105"/>
      <c r="BU1184" s="105"/>
      <c r="BV1184" s="105"/>
      <c r="BW1184" s="105"/>
      <c r="BX1184" s="105"/>
    </row>
    <row r="1185" spans="62:76" ht="16.5" customHeight="1">
      <c r="BJ1185" s="105"/>
      <c r="BU1185" s="105"/>
      <c r="BV1185" s="105"/>
      <c r="BW1185" s="105"/>
      <c r="BX1185" s="105"/>
    </row>
    <row r="1186" spans="62:76" ht="16.5" customHeight="1">
      <c r="BJ1186" s="105"/>
      <c r="BU1186" s="105"/>
      <c r="BV1186" s="105"/>
      <c r="BW1186" s="105"/>
      <c r="BX1186" s="105"/>
    </row>
    <row r="1187" spans="62:76" ht="16.5" customHeight="1">
      <c r="BJ1187" s="105"/>
      <c r="BU1187" s="105"/>
      <c r="BV1187" s="105"/>
      <c r="BW1187" s="105"/>
      <c r="BX1187" s="105"/>
    </row>
    <row r="1188" spans="62:76" ht="16.5" customHeight="1">
      <c r="BJ1188" s="105"/>
      <c r="BU1188" s="105"/>
      <c r="BV1188" s="105"/>
      <c r="BW1188" s="105"/>
      <c r="BX1188" s="105"/>
    </row>
    <row r="1189" spans="62:76" ht="16.5" customHeight="1">
      <c r="BJ1189" s="105"/>
      <c r="BU1189" s="105"/>
      <c r="BV1189" s="105"/>
      <c r="BW1189" s="105"/>
      <c r="BX1189" s="105"/>
    </row>
    <row r="1190" spans="62:76" ht="16.5" customHeight="1">
      <c r="BJ1190" s="105"/>
      <c r="BU1190" s="105"/>
      <c r="BV1190" s="105"/>
      <c r="BW1190" s="105"/>
      <c r="BX1190" s="105"/>
    </row>
    <row r="1191" spans="62:76" ht="16.5" customHeight="1">
      <c r="BJ1191" s="105"/>
      <c r="BU1191" s="105"/>
      <c r="BV1191" s="105"/>
      <c r="BW1191" s="105"/>
      <c r="BX1191" s="105"/>
    </row>
    <row r="1192" spans="62:76" ht="16.5" customHeight="1">
      <c r="BJ1192" s="105"/>
      <c r="BU1192" s="105"/>
      <c r="BV1192" s="105"/>
      <c r="BW1192" s="105"/>
      <c r="BX1192" s="105"/>
    </row>
    <row r="1193" spans="62:76" ht="16.5" customHeight="1">
      <c r="BJ1193" s="105"/>
      <c r="BU1193" s="105"/>
      <c r="BV1193" s="105"/>
      <c r="BW1193" s="105"/>
      <c r="BX1193" s="105"/>
    </row>
    <row r="1194" spans="62:76" ht="16.5" customHeight="1">
      <c r="BJ1194" s="105"/>
      <c r="BU1194" s="105"/>
      <c r="BV1194" s="105"/>
      <c r="BW1194" s="105"/>
      <c r="BX1194" s="105"/>
    </row>
    <row r="1195" spans="62:76" ht="16.5" customHeight="1">
      <c r="BJ1195" s="105"/>
      <c r="BU1195" s="105"/>
      <c r="BV1195" s="105"/>
      <c r="BW1195" s="105"/>
      <c r="BX1195" s="105"/>
    </row>
    <row r="1196" spans="62:76" ht="16.5" customHeight="1">
      <c r="BJ1196" s="105"/>
      <c r="BU1196" s="105"/>
      <c r="BV1196" s="105"/>
      <c r="BW1196" s="105"/>
      <c r="BX1196" s="105"/>
    </row>
    <row r="1197" spans="62:76" ht="16.5" customHeight="1">
      <c r="BJ1197" s="105"/>
      <c r="BU1197" s="105"/>
      <c r="BV1197" s="105"/>
      <c r="BW1197" s="105"/>
      <c r="BX1197" s="105"/>
    </row>
    <row r="1198" spans="62:76" ht="16.5" customHeight="1">
      <c r="BJ1198" s="105"/>
      <c r="BU1198" s="105"/>
      <c r="BV1198" s="105"/>
      <c r="BW1198" s="105"/>
      <c r="BX1198" s="105"/>
    </row>
    <row r="1199" spans="62:76" ht="16.5" customHeight="1">
      <c r="BJ1199" s="105"/>
      <c r="BU1199" s="105"/>
      <c r="BV1199" s="105"/>
      <c r="BW1199" s="105"/>
      <c r="BX1199" s="105"/>
    </row>
    <row r="1200" spans="62:76" ht="16.5" customHeight="1">
      <c r="BJ1200" s="105"/>
      <c r="BU1200" s="105"/>
      <c r="BV1200" s="105"/>
      <c r="BW1200" s="105"/>
      <c r="BX1200" s="105"/>
    </row>
    <row r="1201" spans="62:76" ht="16.5" customHeight="1">
      <c r="BJ1201" s="105"/>
      <c r="BU1201" s="105"/>
      <c r="BV1201" s="105"/>
      <c r="BW1201" s="105"/>
      <c r="BX1201" s="105"/>
    </row>
    <row r="1202" spans="62:76" ht="16.5" customHeight="1">
      <c r="BJ1202" s="105"/>
      <c r="BU1202" s="105"/>
      <c r="BV1202" s="105"/>
      <c r="BW1202" s="105"/>
      <c r="BX1202" s="105"/>
    </row>
    <row r="1203" spans="62:76" ht="16.5" customHeight="1">
      <c r="BJ1203" s="105"/>
      <c r="BU1203" s="105"/>
      <c r="BV1203" s="105"/>
      <c r="BW1203" s="105"/>
      <c r="BX1203" s="105"/>
    </row>
    <row r="1204" spans="62:76" ht="16.5" customHeight="1">
      <c r="BJ1204" s="105"/>
      <c r="BU1204" s="105"/>
      <c r="BV1204" s="105"/>
      <c r="BW1204" s="105"/>
      <c r="BX1204" s="105"/>
    </row>
    <row r="1205" spans="62:76" ht="16.5" customHeight="1">
      <c r="BJ1205" s="105"/>
      <c r="BU1205" s="105"/>
      <c r="BV1205" s="105"/>
      <c r="BW1205" s="105"/>
      <c r="BX1205" s="105"/>
    </row>
    <row r="1206" spans="62:76" ht="16.5" customHeight="1">
      <c r="BJ1206" s="105"/>
      <c r="BU1206" s="105"/>
      <c r="BV1206" s="105"/>
      <c r="BW1206" s="105"/>
      <c r="BX1206" s="105"/>
    </row>
    <row r="1207" spans="62:76" ht="16.5" customHeight="1">
      <c r="BJ1207" s="105"/>
      <c r="BU1207" s="105"/>
      <c r="BV1207" s="105"/>
      <c r="BW1207" s="105"/>
      <c r="BX1207" s="105"/>
    </row>
    <row r="1208" spans="62:76" ht="16.5" customHeight="1">
      <c r="BJ1208" s="105"/>
      <c r="BU1208" s="105"/>
      <c r="BV1208" s="105"/>
      <c r="BW1208" s="105"/>
      <c r="BX1208" s="105"/>
    </row>
    <row r="1209" spans="62:76" ht="16.5" customHeight="1">
      <c r="BJ1209" s="105"/>
      <c r="BU1209" s="105"/>
      <c r="BV1209" s="105"/>
      <c r="BW1209" s="105"/>
      <c r="BX1209" s="105"/>
    </row>
    <row r="1210" spans="62:76" ht="16.5" customHeight="1">
      <c r="BJ1210" s="105"/>
      <c r="BU1210" s="105"/>
      <c r="BV1210" s="105"/>
      <c r="BW1210" s="105"/>
      <c r="BX1210" s="105"/>
    </row>
    <row r="1211" spans="62:76" ht="16.5" customHeight="1">
      <c r="BJ1211" s="105"/>
      <c r="BU1211" s="105"/>
      <c r="BV1211" s="105"/>
      <c r="BW1211" s="105"/>
      <c r="BX1211" s="105"/>
    </row>
    <row r="1212" spans="62:76" ht="16.5" customHeight="1">
      <c r="BJ1212" s="105"/>
      <c r="BU1212" s="105"/>
      <c r="BV1212" s="105"/>
      <c r="BW1212" s="105"/>
      <c r="BX1212" s="105"/>
    </row>
    <row r="1213" spans="62:76" ht="16.5" customHeight="1">
      <c r="BJ1213" s="105"/>
      <c r="BU1213" s="105"/>
      <c r="BV1213" s="105"/>
      <c r="BW1213" s="105"/>
      <c r="BX1213" s="105"/>
    </row>
    <row r="1214" spans="62:76" ht="16.5" customHeight="1">
      <c r="BJ1214" s="105"/>
      <c r="BU1214" s="105"/>
      <c r="BV1214" s="105"/>
      <c r="BW1214" s="105"/>
      <c r="BX1214" s="105"/>
    </row>
    <row r="1215" spans="62:76" ht="16.5" customHeight="1">
      <c r="BJ1215" s="105"/>
      <c r="BU1215" s="105"/>
      <c r="BV1215" s="105"/>
      <c r="BW1215" s="105"/>
      <c r="BX1215" s="105"/>
    </row>
    <row r="1216" spans="62:76" ht="16.5" customHeight="1">
      <c r="BJ1216" s="105"/>
      <c r="BU1216" s="105"/>
      <c r="BV1216" s="105"/>
      <c r="BW1216" s="105"/>
      <c r="BX1216" s="105"/>
    </row>
    <row r="1217" spans="62:76" ht="16.5" customHeight="1">
      <c r="BJ1217" s="105"/>
      <c r="BU1217" s="105"/>
      <c r="BV1217" s="105"/>
      <c r="BW1217" s="105"/>
      <c r="BX1217" s="105"/>
    </row>
    <row r="1218" spans="62:76" ht="16.5" customHeight="1">
      <c r="BJ1218" s="105"/>
      <c r="BU1218" s="105"/>
      <c r="BV1218" s="105"/>
      <c r="BW1218" s="105"/>
      <c r="BX1218" s="105"/>
    </row>
    <row r="1219" spans="62:76" ht="16.5" customHeight="1">
      <c r="BJ1219" s="105"/>
      <c r="BU1219" s="105"/>
      <c r="BV1219" s="105"/>
      <c r="BW1219" s="105"/>
      <c r="BX1219" s="105"/>
    </row>
    <row r="1220" spans="62:76" ht="16.5" customHeight="1">
      <c r="BJ1220" s="105"/>
      <c r="BU1220" s="105"/>
      <c r="BV1220" s="105"/>
      <c r="BW1220" s="105"/>
      <c r="BX1220" s="105"/>
    </row>
    <row r="1221" spans="62:76" ht="16.5" customHeight="1">
      <c r="BJ1221" s="105"/>
      <c r="BU1221" s="105"/>
      <c r="BV1221" s="105"/>
      <c r="BW1221" s="105"/>
      <c r="BX1221" s="105"/>
    </row>
    <row r="1222" spans="62:76" ht="16.5" customHeight="1">
      <c r="BJ1222" s="105"/>
      <c r="BU1222" s="105"/>
      <c r="BV1222" s="105"/>
      <c r="BW1222" s="105"/>
      <c r="BX1222" s="105"/>
    </row>
    <row r="1223" spans="62:76" ht="16.5" customHeight="1">
      <c r="BJ1223" s="105"/>
      <c r="BU1223" s="105"/>
      <c r="BV1223" s="105"/>
      <c r="BW1223" s="105"/>
      <c r="BX1223" s="105"/>
    </row>
    <row r="1224" spans="62:76" ht="16.5" customHeight="1">
      <c r="BJ1224" s="105"/>
      <c r="BU1224" s="105"/>
      <c r="BV1224" s="105"/>
      <c r="BW1224" s="105"/>
      <c r="BX1224" s="105"/>
    </row>
    <row r="1225" spans="62:76" ht="16.5" customHeight="1">
      <c r="BJ1225" s="105"/>
      <c r="BU1225" s="105"/>
      <c r="BV1225" s="105"/>
      <c r="BW1225" s="105"/>
      <c r="BX1225" s="105"/>
    </row>
    <row r="1226" spans="62:76" ht="16.5" customHeight="1">
      <c r="BJ1226" s="105"/>
      <c r="BU1226" s="105"/>
      <c r="BV1226" s="105"/>
      <c r="BW1226" s="105"/>
      <c r="BX1226" s="105"/>
    </row>
    <row r="1227" spans="62:76" ht="16.5" customHeight="1">
      <c r="BJ1227" s="105"/>
      <c r="BU1227" s="105"/>
      <c r="BV1227" s="105"/>
      <c r="BW1227" s="105"/>
      <c r="BX1227" s="105"/>
    </row>
    <row r="1228" spans="62:76" ht="16.5" customHeight="1">
      <c r="BJ1228" s="105"/>
      <c r="BU1228" s="105"/>
      <c r="BV1228" s="105"/>
      <c r="BW1228" s="105"/>
      <c r="BX1228" s="105"/>
    </row>
    <row r="1229" spans="62:76" ht="16.5" customHeight="1">
      <c r="BJ1229" s="105"/>
      <c r="BU1229" s="105"/>
      <c r="BV1229" s="105"/>
      <c r="BW1229" s="105"/>
      <c r="BX1229" s="105"/>
    </row>
    <row r="1230" spans="62:76" ht="16.5" customHeight="1">
      <c r="BJ1230" s="105"/>
      <c r="BU1230" s="105"/>
      <c r="BV1230" s="105"/>
      <c r="BW1230" s="105"/>
      <c r="BX1230" s="105"/>
    </row>
    <row r="1231" spans="62:76" ht="16.5" customHeight="1">
      <c r="BJ1231" s="105"/>
      <c r="BU1231" s="105"/>
      <c r="BV1231" s="105"/>
      <c r="BW1231" s="105"/>
      <c r="BX1231" s="105"/>
    </row>
    <row r="1232" spans="62:76" ht="16.5" customHeight="1">
      <c r="BJ1232" s="105"/>
      <c r="BU1232" s="105"/>
      <c r="BV1232" s="105"/>
      <c r="BW1232" s="105"/>
      <c r="BX1232" s="105"/>
    </row>
    <row r="1233" spans="62:76" ht="16.5" customHeight="1">
      <c r="BJ1233" s="105"/>
      <c r="BU1233" s="105"/>
      <c r="BV1233" s="105"/>
      <c r="BW1233" s="105"/>
      <c r="BX1233" s="105"/>
    </row>
    <row r="1234" spans="62:76" ht="16.5" customHeight="1">
      <c r="BJ1234" s="105"/>
      <c r="BU1234" s="105"/>
      <c r="BV1234" s="105"/>
      <c r="BW1234" s="105"/>
      <c r="BX1234" s="105"/>
    </row>
    <row r="1235" spans="62:76" ht="16.5" customHeight="1">
      <c r="BJ1235" s="105"/>
      <c r="BU1235" s="105"/>
      <c r="BV1235" s="105"/>
      <c r="BW1235" s="105"/>
      <c r="BX1235" s="105"/>
    </row>
    <row r="1236" spans="62:76" ht="16.5" customHeight="1">
      <c r="BJ1236" s="105"/>
      <c r="BU1236" s="105"/>
      <c r="BV1236" s="105"/>
      <c r="BW1236" s="105"/>
      <c r="BX1236" s="105"/>
    </row>
    <row r="1237" spans="62:76" ht="16.5" customHeight="1">
      <c r="BJ1237" s="105"/>
      <c r="BU1237" s="105"/>
      <c r="BV1237" s="105"/>
      <c r="BW1237" s="105"/>
      <c r="BX1237" s="105"/>
    </row>
    <row r="1238" spans="62:76" ht="16.5" customHeight="1">
      <c r="BJ1238" s="105"/>
      <c r="BU1238" s="105"/>
      <c r="BV1238" s="105"/>
      <c r="BW1238" s="105"/>
      <c r="BX1238" s="105"/>
    </row>
    <row r="1239" spans="62:76" ht="16.5" customHeight="1">
      <c r="BJ1239" s="105"/>
      <c r="BU1239" s="105"/>
      <c r="BV1239" s="105"/>
      <c r="BW1239" s="105"/>
      <c r="BX1239" s="105"/>
    </row>
    <row r="1240" spans="62:76" ht="16.5" customHeight="1">
      <c r="BJ1240" s="105"/>
      <c r="BU1240" s="105"/>
      <c r="BV1240" s="105"/>
      <c r="BW1240" s="105"/>
      <c r="BX1240" s="105"/>
    </row>
    <row r="1241" spans="62:76" ht="16.5" customHeight="1">
      <c r="BJ1241" s="105"/>
      <c r="BU1241" s="105"/>
      <c r="BV1241" s="105"/>
      <c r="BW1241" s="105"/>
      <c r="BX1241" s="105"/>
    </row>
    <row r="1242" spans="62:76" ht="16.5" customHeight="1">
      <c r="BJ1242" s="105"/>
      <c r="BU1242" s="105"/>
      <c r="BV1242" s="105"/>
      <c r="BW1242" s="105"/>
      <c r="BX1242" s="105"/>
    </row>
    <row r="1243" spans="62:76" ht="16.5" customHeight="1">
      <c r="BJ1243" s="105"/>
      <c r="BU1243" s="105"/>
      <c r="BV1243" s="105"/>
      <c r="BW1243" s="105"/>
      <c r="BX1243" s="105"/>
    </row>
    <row r="1244" spans="62:76" ht="16.5" customHeight="1">
      <c r="BJ1244" s="105"/>
      <c r="BU1244" s="105"/>
      <c r="BV1244" s="105"/>
      <c r="BW1244" s="105"/>
      <c r="BX1244" s="105"/>
    </row>
    <row r="1245" spans="62:76" ht="16.5" customHeight="1">
      <c r="BJ1245" s="105"/>
      <c r="BU1245" s="105"/>
      <c r="BV1245" s="105"/>
      <c r="BW1245" s="105"/>
      <c r="BX1245" s="105"/>
    </row>
    <row r="1246" spans="62:76" ht="16.5" customHeight="1">
      <c r="BJ1246" s="105"/>
      <c r="BU1246" s="105"/>
      <c r="BV1246" s="105"/>
      <c r="BW1246" s="105"/>
      <c r="BX1246" s="105"/>
    </row>
    <row r="1247" spans="62:76" ht="16.5" customHeight="1">
      <c r="BJ1247" s="105"/>
      <c r="BU1247" s="105"/>
      <c r="BV1247" s="105"/>
      <c r="BW1247" s="105"/>
      <c r="BX1247" s="105"/>
    </row>
    <row r="1248" spans="62:76" ht="16.5" customHeight="1">
      <c r="BJ1248" s="105"/>
      <c r="BU1248" s="105"/>
      <c r="BV1248" s="105"/>
      <c r="BW1248" s="105"/>
      <c r="BX1248" s="105"/>
    </row>
    <row r="1249" spans="62:76" ht="16.5" customHeight="1">
      <c r="BJ1249" s="105"/>
      <c r="BU1249" s="105"/>
      <c r="BV1249" s="105"/>
      <c r="BW1249" s="105"/>
      <c r="BX1249" s="105"/>
    </row>
    <row r="1250" spans="62:76" ht="16.5" customHeight="1">
      <c r="BJ1250" s="105"/>
      <c r="BU1250" s="105"/>
      <c r="BV1250" s="105"/>
      <c r="BW1250" s="105"/>
      <c r="BX1250" s="105"/>
    </row>
    <row r="1251" spans="62:76" ht="16.5" customHeight="1">
      <c r="BJ1251" s="105"/>
      <c r="BU1251" s="105"/>
      <c r="BV1251" s="105"/>
      <c r="BW1251" s="105"/>
      <c r="BX1251" s="105"/>
    </row>
    <row r="1252" spans="62:76" ht="16.5" customHeight="1">
      <c r="BJ1252" s="105"/>
      <c r="BU1252" s="105"/>
      <c r="BV1252" s="105"/>
      <c r="BW1252" s="105"/>
      <c r="BX1252" s="105"/>
    </row>
    <row r="1253" spans="62:76" ht="16.5" customHeight="1">
      <c r="BJ1253" s="105"/>
      <c r="BU1253" s="105"/>
      <c r="BV1253" s="105"/>
      <c r="BW1253" s="105"/>
      <c r="BX1253" s="105"/>
    </row>
    <row r="1254" spans="62:76" ht="16.5" customHeight="1">
      <c r="BJ1254" s="105"/>
      <c r="BU1254" s="105"/>
      <c r="BV1254" s="105"/>
      <c r="BW1254" s="105"/>
      <c r="BX1254" s="105"/>
    </row>
    <row r="1255" spans="62:76" ht="16.5" customHeight="1">
      <c r="BJ1255" s="105"/>
      <c r="BU1255" s="105"/>
      <c r="BV1255" s="105"/>
      <c r="BW1255" s="105"/>
      <c r="BX1255" s="105"/>
    </row>
    <row r="1256" spans="62:76" ht="16.5" customHeight="1">
      <c r="BJ1256" s="105"/>
      <c r="BU1256" s="105"/>
      <c r="BV1256" s="105"/>
      <c r="BW1256" s="105"/>
      <c r="BX1256" s="105"/>
    </row>
    <row r="1257" spans="62:76" ht="16.5" customHeight="1">
      <c r="BJ1257" s="105"/>
      <c r="BU1257" s="105"/>
      <c r="BV1257" s="105"/>
      <c r="BW1257" s="105"/>
      <c r="BX1257" s="105"/>
    </row>
    <row r="1258" spans="62:76" ht="16.5" customHeight="1">
      <c r="BJ1258" s="105"/>
      <c r="BU1258" s="105"/>
      <c r="BV1258" s="105"/>
      <c r="BW1258" s="105"/>
      <c r="BX1258" s="105"/>
    </row>
    <row r="1259" spans="62:76" ht="16.5" customHeight="1">
      <c r="BJ1259" s="105"/>
      <c r="BU1259" s="105"/>
      <c r="BV1259" s="105"/>
      <c r="BW1259" s="105"/>
      <c r="BX1259" s="105"/>
    </row>
    <row r="1260" spans="62:76" ht="16.5" customHeight="1">
      <c r="BJ1260" s="105"/>
      <c r="BU1260" s="105"/>
      <c r="BV1260" s="105"/>
      <c r="BW1260" s="105"/>
      <c r="BX1260" s="105"/>
    </row>
    <row r="1261" spans="62:76" ht="16.5" customHeight="1">
      <c r="BJ1261" s="105"/>
      <c r="BU1261" s="105"/>
      <c r="BV1261" s="105"/>
      <c r="BW1261" s="105"/>
      <c r="BX1261" s="105"/>
    </row>
    <row r="1262" spans="62:76" ht="16.5" customHeight="1">
      <c r="BJ1262" s="105"/>
      <c r="BU1262" s="105"/>
      <c r="BV1262" s="105"/>
      <c r="BW1262" s="105"/>
      <c r="BX1262" s="105"/>
    </row>
    <row r="1263" spans="62:76" ht="16.5" customHeight="1">
      <c r="BJ1263" s="105"/>
      <c r="BU1263" s="105"/>
      <c r="BV1263" s="105"/>
      <c r="BW1263" s="105"/>
      <c r="BX1263" s="105"/>
    </row>
    <row r="1264" spans="62:76" ht="16.5" customHeight="1">
      <c r="BJ1264" s="105"/>
      <c r="BU1264" s="105"/>
      <c r="BV1264" s="105"/>
      <c r="BW1264" s="105"/>
      <c r="BX1264" s="105"/>
    </row>
    <row r="1265" spans="62:76" ht="16.5" customHeight="1">
      <c r="BJ1265" s="105"/>
      <c r="BU1265" s="105"/>
      <c r="BV1265" s="105"/>
      <c r="BW1265" s="105"/>
      <c r="BX1265" s="105"/>
    </row>
    <row r="1266" spans="62:76" ht="16.5" customHeight="1">
      <c r="BJ1266" s="105"/>
      <c r="BU1266" s="105"/>
      <c r="BV1266" s="105"/>
      <c r="BW1266" s="105"/>
      <c r="BX1266" s="105"/>
    </row>
    <row r="1267" spans="62:76" ht="16.5" customHeight="1">
      <c r="BJ1267" s="105"/>
      <c r="BU1267" s="105"/>
      <c r="BV1267" s="105"/>
      <c r="BW1267" s="105"/>
      <c r="BX1267" s="105"/>
    </row>
    <row r="1268" spans="62:76" ht="16.5" customHeight="1">
      <c r="BJ1268" s="105"/>
      <c r="BU1268" s="105"/>
      <c r="BV1268" s="105"/>
      <c r="BW1268" s="105"/>
      <c r="BX1268" s="105"/>
    </row>
    <row r="1269" spans="62:76" ht="16.5" customHeight="1">
      <c r="BJ1269" s="105"/>
      <c r="BU1269" s="105"/>
      <c r="BV1269" s="105"/>
      <c r="BW1269" s="105"/>
      <c r="BX1269" s="105"/>
    </row>
    <row r="1270" spans="62:76" ht="16.5" customHeight="1">
      <c r="BJ1270" s="105"/>
      <c r="BU1270" s="105"/>
      <c r="BV1270" s="105"/>
      <c r="BW1270" s="105"/>
      <c r="BX1270" s="105"/>
    </row>
    <row r="1271" spans="62:76" ht="16.5" customHeight="1">
      <c r="BJ1271" s="105"/>
      <c r="BU1271" s="105"/>
      <c r="BV1271" s="105"/>
      <c r="BW1271" s="105"/>
      <c r="BX1271" s="105"/>
    </row>
    <row r="1272" spans="62:76" ht="16.5" customHeight="1">
      <c r="BJ1272" s="105"/>
      <c r="BU1272" s="105"/>
      <c r="BV1272" s="105"/>
      <c r="BW1272" s="105"/>
      <c r="BX1272" s="105"/>
    </row>
    <row r="1273" spans="62:76" ht="16.5" customHeight="1">
      <c r="BJ1273" s="105"/>
      <c r="BU1273" s="105"/>
      <c r="BV1273" s="105"/>
      <c r="BW1273" s="105"/>
      <c r="BX1273" s="105"/>
    </row>
    <row r="1274" spans="62:76" ht="16.5" customHeight="1">
      <c r="BJ1274" s="105"/>
      <c r="BU1274" s="105"/>
      <c r="BV1274" s="105"/>
      <c r="BW1274" s="105"/>
      <c r="BX1274" s="105"/>
    </row>
    <row r="1275" spans="62:76" ht="16.5" customHeight="1">
      <c r="BJ1275" s="105"/>
      <c r="BU1275" s="105"/>
      <c r="BV1275" s="105"/>
      <c r="BW1275" s="105"/>
      <c r="BX1275" s="105"/>
    </row>
    <row r="1276" spans="62:76" ht="16.5" customHeight="1">
      <c r="BJ1276" s="105"/>
      <c r="BU1276" s="105"/>
      <c r="BV1276" s="105"/>
      <c r="BW1276" s="105"/>
      <c r="BX1276" s="105"/>
    </row>
    <row r="1277" spans="62:76" ht="16.5" customHeight="1">
      <c r="BJ1277" s="105"/>
      <c r="BU1277" s="105"/>
      <c r="BV1277" s="105"/>
      <c r="BW1277" s="105"/>
      <c r="BX1277" s="105"/>
    </row>
    <row r="1278" spans="62:76" ht="16.5" customHeight="1">
      <c r="BJ1278" s="105"/>
      <c r="BU1278" s="105"/>
      <c r="BV1278" s="105"/>
      <c r="BW1278" s="105"/>
      <c r="BX1278" s="105"/>
    </row>
    <row r="1279" spans="62:76" ht="16.5" customHeight="1">
      <c r="BJ1279" s="105"/>
      <c r="BU1279" s="105"/>
      <c r="BV1279" s="105"/>
      <c r="BW1279" s="105"/>
      <c r="BX1279" s="105"/>
    </row>
    <row r="1280" spans="62:76" ht="16.5" customHeight="1">
      <c r="BJ1280" s="105"/>
      <c r="BU1280" s="105"/>
      <c r="BV1280" s="105"/>
      <c r="BW1280" s="105"/>
      <c r="BX1280" s="105"/>
    </row>
    <row r="1281" spans="62:76" ht="16.5" customHeight="1">
      <c r="BJ1281" s="105"/>
      <c r="BU1281" s="105"/>
      <c r="BV1281" s="105"/>
      <c r="BW1281" s="105"/>
      <c r="BX1281" s="105"/>
    </row>
    <row r="1282" spans="62:76" ht="16.5" customHeight="1">
      <c r="BJ1282" s="105"/>
      <c r="BU1282" s="105"/>
      <c r="BV1282" s="105"/>
      <c r="BW1282" s="105"/>
      <c r="BX1282" s="105"/>
    </row>
    <row r="1283" spans="62:76" ht="16.5" customHeight="1">
      <c r="BJ1283" s="105"/>
      <c r="BU1283" s="105"/>
      <c r="BV1283" s="105"/>
      <c r="BW1283" s="105"/>
      <c r="BX1283" s="105"/>
    </row>
    <row r="1284" spans="62:76" ht="16.5" customHeight="1">
      <c r="BJ1284" s="105"/>
      <c r="BU1284" s="105"/>
      <c r="BV1284" s="105"/>
      <c r="BW1284" s="105"/>
      <c r="BX1284" s="105"/>
    </row>
    <row r="1285" spans="62:76" ht="16.5" customHeight="1">
      <c r="BJ1285" s="105"/>
      <c r="BU1285" s="105"/>
      <c r="BV1285" s="105"/>
      <c r="BW1285" s="105"/>
      <c r="BX1285" s="105"/>
    </row>
    <row r="1286" spans="62:76" ht="16.5" customHeight="1">
      <c r="BJ1286" s="105"/>
      <c r="BU1286" s="105"/>
      <c r="BV1286" s="105"/>
      <c r="BW1286" s="105"/>
      <c r="BX1286" s="105"/>
    </row>
    <row r="1287" spans="62:76" ht="16.5" customHeight="1">
      <c r="BJ1287" s="105"/>
      <c r="BU1287" s="105"/>
      <c r="BV1287" s="105"/>
      <c r="BW1287" s="105"/>
      <c r="BX1287" s="105"/>
    </row>
    <row r="1288" spans="62:76" ht="16.5" customHeight="1">
      <c r="BJ1288" s="105"/>
      <c r="BU1288" s="105"/>
      <c r="BV1288" s="105"/>
      <c r="BW1288" s="105"/>
      <c r="BX1288" s="105"/>
    </row>
    <row r="1289" spans="62:76" ht="16.5" customHeight="1">
      <c r="BJ1289" s="105"/>
      <c r="BU1289" s="105"/>
      <c r="BV1289" s="105"/>
      <c r="BW1289" s="105"/>
      <c r="BX1289" s="105"/>
    </row>
    <row r="1290" spans="62:76" ht="16.5" customHeight="1">
      <c r="BJ1290" s="105"/>
      <c r="BU1290" s="105"/>
      <c r="BV1290" s="105"/>
      <c r="BW1290" s="105"/>
      <c r="BX1290" s="105"/>
    </row>
    <row r="1291" spans="62:76" ht="16.5" customHeight="1">
      <c r="BJ1291" s="105"/>
      <c r="BU1291" s="105"/>
      <c r="BV1291" s="105"/>
      <c r="BW1291" s="105"/>
      <c r="BX1291" s="105"/>
    </row>
    <row r="1292" spans="62:76" ht="16.5" customHeight="1">
      <c r="BJ1292" s="105"/>
      <c r="BU1292" s="105"/>
      <c r="BV1292" s="105"/>
      <c r="BW1292" s="105"/>
      <c r="BX1292" s="105"/>
    </row>
    <row r="1293" spans="62:76" ht="16.5" customHeight="1">
      <c r="BJ1293" s="105"/>
      <c r="BU1293" s="105"/>
      <c r="BV1293" s="105"/>
      <c r="BW1293" s="105"/>
      <c r="BX1293" s="105"/>
    </row>
    <row r="1294" spans="62:76" ht="16.5" customHeight="1">
      <c r="BJ1294" s="105"/>
      <c r="BU1294" s="105"/>
      <c r="BV1294" s="105"/>
      <c r="BW1294" s="105"/>
      <c r="BX1294" s="105"/>
    </row>
    <row r="1295" spans="62:76" ht="16.5" customHeight="1">
      <c r="BJ1295" s="105"/>
      <c r="BU1295" s="105"/>
      <c r="BV1295" s="105"/>
      <c r="BW1295" s="105"/>
      <c r="BX1295" s="105"/>
    </row>
    <row r="1296" spans="62:76" ht="16.5" customHeight="1">
      <c r="BJ1296" s="105"/>
      <c r="BU1296" s="105"/>
      <c r="BV1296" s="105"/>
      <c r="BW1296" s="105"/>
      <c r="BX1296" s="105"/>
    </row>
    <row r="1297" spans="62:76" ht="16.5" customHeight="1">
      <c r="BJ1297" s="105"/>
      <c r="BU1297" s="105"/>
      <c r="BV1297" s="105"/>
      <c r="BW1297" s="105"/>
      <c r="BX1297" s="105"/>
    </row>
    <row r="1298" spans="62:76" ht="16.5" customHeight="1">
      <c r="BJ1298" s="105"/>
      <c r="BU1298" s="105"/>
      <c r="BV1298" s="105"/>
      <c r="BW1298" s="105"/>
      <c r="BX1298" s="105"/>
    </row>
    <row r="1299" spans="62:76" ht="16.5" customHeight="1">
      <c r="BJ1299" s="105"/>
      <c r="BU1299" s="105"/>
      <c r="BV1299" s="105"/>
      <c r="BW1299" s="105"/>
      <c r="BX1299" s="105"/>
    </row>
    <row r="1300" spans="62:76" ht="16.5" customHeight="1">
      <c r="BJ1300" s="105"/>
      <c r="BU1300" s="105"/>
      <c r="BV1300" s="105"/>
      <c r="BW1300" s="105"/>
      <c r="BX1300" s="105"/>
    </row>
    <row r="1301" spans="62:76" ht="16.5" customHeight="1">
      <c r="BJ1301" s="105"/>
      <c r="BU1301" s="105"/>
      <c r="BV1301" s="105"/>
      <c r="BW1301" s="105"/>
      <c r="BX1301" s="105"/>
    </row>
    <row r="1302" spans="62:76" ht="16.5" customHeight="1">
      <c r="BJ1302" s="105"/>
      <c r="BU1302" s="105"/>
      <c r="BV1302" s="105"/>
      <c r="BW1302" s="105"/>
      <c r="BX1302" s="105"/>
    </row>
    <row r="1303" spans="62:76" ht="16.5" customHeight="1">
      <c r="BJ1303" s="105"/>
      <c r="BU1303" s="105"/>
      <c r="BV1303" s="105"/>
      <c r="BW1303" s="105"/>
      <c r="BX1303" s="105"/>
    </row>
    <row r="1304" spans="62:76" ht="16.5" customHeight="1">
      <c r="BJ1304" s="105"/>
      <c r="BU1304" s="105"/>
      <c r="BV1304" s="105"/>
      <c r="BW1304" s="105"/>
      <c r="BX1304" s="105"/>
    </row>
    <row r="1305" spans="62:76" ht="16.5" customHeight="1">
      <c r="BJ1305" s="105"/>
      <c r="BU1305" s="105"/>
      <c r="BV1305" s="105"/>
      <c r="BW1305" s="105"/>
      <c r="BX1305" s="105"/>
    </row>
    <row r="1306" spans="62:76" ht="16.5" customHeight="1">
      <c r="BJ1306" s="105"/>
      <c r="BU1306" s="105"/>
      <c r="BV1306" s="105"/>
      <c r="BW1306" s="105"/>
      <c r="BX1306" s="105"/>
    </row>
    <row r="1307" spans="62:76" ht="16.5" customHeight="1">
      <c r="BJ1307" s="105"/>
      <c r="BU1307" s="105"/>
      <c r="BV1307" s="105"/>
      <c r="BW1307" s="105"/>
      <c r="BX1307" s="105"/>
    </row>
    <row r="1308" spans="62:76" ht="16.5" customHeight="1">
      <c r="BJ1308" s="105"/>
      <c r="BU1308" s="105"/>
      <c r="BV1308" s="105"/>
      <c r="BW1308" s="105"/>
      <c r="BX1308" s="105"/>
    </row>
    <row r="1309" spans="62:76" ht="16.5" customHeight="1">
      <c r="BJ1309" s="105"/>
      <c r="BU1309" s="105"/>
      <c r="BV1309" s="105"/>
      <c r="BW1309" s="105"/>
      <c r="BX1309" s="105"/>
    </row>
    <row r="1310" spans="62:76" ht="16.5" customHeight="1">
      <c r="BJ1310" s="105"/>
      <c r="BU1310" s="105"/>
      <c r="BV1310" s="105"/>
      <c r="BW1310" s="105"/>
      <c r="BX1310" s="105"/>
    </row>
    <row r="1311" spans="62:76" ht="16.5" customHeight="1">
      <c r="BJ1311" s="105"/>
      <c r="BU1311" s="105"/>
      <c r="BV1311" s="105"/>
      <c r="BW1311" s="105"/>
      <c r="BX1311" s="105"/>
    </row>
    <row r="1312" spans="62:76" ht="16.5" customHeight="1">
      <c r="BJ1312" s="105"/>
      <c r="BU1312" s="105"/>
      <c r="BV1312" s="105"/>
      <c r="BW1312" s="105"/>
      <c r="BX1312" s="105"/>
    </row>
    <row r="1313" spans="62:76" ht="16.5" customHeight="1">
      <c r="BJ1313" s="105"/>
      <c r="BU1313" s="105"/>
      <c r="BV1313" s="105"/>
      <c r="BW1313" s="105"/>
      <c r="BX1313" s="105"/>
    </row>
    <row r="1314" spans="62:76" ht="16.5" customHeight="1">
      <c r="BJ1314" s="105"/>
      <c r="BU1314" s="105"/>
      <c r="BV1314" s="105"/>
      <c r="BW1314" s="105"/>
      <c r="BX1314" s="105"/>
    </row>
    <row r="1315" spans="62:76" ht="16.5" customHeight="1">
      <c r="BJ1315" s="105"/>
      <c r="BU1315" s="105"/>
      <c r="BV1315" s="105"/>
      <c r="BW1315" s="105"/>
      <c r="BX1315" s="105"/>
    </row>
    <row r="1316" spans="62:76" ht="16.5" customHeight="1">
      <c r="BJ1316" s="105"/>
      <c r="BU1316" s="105"/>
      <c r="BV1316" s="105"/>
      <c r="BW1316" s="105"/>
      <c r="BX1316" s="105"/>
    </row>
    <row r="1317" spans="62:76" ht="16.5" customHeight="1">
      <c r="BJ1317" s="105"/>
      <c r="BU1317" s="105"/>
      <c r="BV1317" s="105"/>
      <c r="BW1317" s="105"/>
      <c r="BX1317" s="105"/>
    </row>
    <row r="1318" spans="62:76" ht="16.5" customHeight="1">
      <c r="BJ1318" s="105"/>
      <c r="BU1318" s="105"/>
      <c r="BV1318" s="105"/>
      <c r="BW1318" s="105"/>
      <c r="BX1318" s="105"/>
    </row>
    <row r="1319" spans="62:76" ht="16.5" customHeight="1">
      <c r="BJ1319" s="105"/>
      <c r="BU1319" s="105"/>
      <c r="BV1319" s="105"/>
      <c r="BW1319" s="105"/>
      <c r="BX1319" s="105"/>
    </row>
    <row r="1320" spans="62:76" ht="16.5" customHeight="1">
      <c r="BJ1320" s="105"/>
      <c r="BU1320" s="105"/>
      <c r="BV1320" s="105"/>
      <c r="BW1320" s="105"/>
      <c r="BX1320" s="105"/>
    </row>
    <row r="1321" spans="62:76" ht="16.5" customHeight="1">
      <c r="BJ1321" s="105"/>
      <c r="BU1321" s="105"/>
      <c r="BV1321" s="105"/>
      <c r="BW1321" s="105"/>
      <c r="BX1321" s="105"/>
    </row>
    <row r="1322" spans="62:76" ht="16.5" customHeight="1">
      <c r="BJ1322" s="105"/>
      <c r="BU1322" s="105"/>
      <c r="BV1322" s="105"/>
      <c r="BW1322" s="105"/>
      <c r="BX1322" s="105"/>
    </row>
    <row r="1323" spans="62:76" ht="16.5" customHeight="1">
      <c r="BJ1323" s="105"/>
      <c r="BU1323" s="105"/>
      <c r="BV1323" s="105"/>
      <c r="BW1323" s="105"/>
      <c r="BX1323" s="105"/>
    </row>
    <row r="1324" spans="62:76" ht="16.5" customHeight="1">
      <c r="BJ1324" s="105"/>
      <c r="BU1324" s="105"/>
      <c r="BV1324" s="105"/>
      <c r="BW1324" s="105"/>
      <c r="BX1324" s="105"/>
    </row>
    <row r="1325" spans="62:76" ht="16.5" customHeight="1">
      <c r="BJ1325" s="105"/>
      <c r="BU1325" s="105"/>
      <c r="BV1325" s="105"/>
      <c r="BW1325" s="105"/>
      <c r="BX1325" s="105"/>
    </row>
    <row r="1326" spans="62:76" ht="16.5" customHeight="1">
      <c r="BJ1326" s="105"/>
      <c r="BU1326" s="105"/>
      <c r="BV1326" s="105"/>
      <c r="BW1326" s="105"/>
      <c r="BX1326" s="105"/>
    </row>
    <row r="1327" spans="62:76" ht="16.5" customHeight="1">
      <c r="BJ1327" s="105"/>
      <c r="BU1327" s="105"/>
      <c r="BV1327" s="105"/>
      <c r="BW1327" s="105"/>
      <c r="BX1327" s="105"/>
    </row>
    <row r="1328" spans="62:76" ht="16.5" customHeight="1">
      <c r="BJ1328" s="105"/>
      <c r="BU1328" s="105"/>
      <c r="BV1328" s="105"/>
      <c r="BW1328" s="105"/>
      <c r="BX1328" s="105"/>
    </row>
    <row r="1329" spans="62:76" ht="16.5" customHeight="1">
      <c r="BJ1329" s="105"/>
      <c r="BU1329" s="105"/>
      <c r="BV1329" s="105"/>
      <c r="BW1329" s="105"/>
      <c r="BX1329" s="105"/>
    </row>
    <row r="1330" spans="62:76" ht="16.5" customHeight="1">
      <c r="BJ1330" s="105"/>
      <c r="BU1330" s="105"/>
      <c r="BV1330" s="105"/>
      <c r="BW1330" s="105"/>
      <c r="BX1330" s="105"/>
    </row>
    <row r="1331" spans="62:76" ht="16.5" customHeight="1">
      <c r="BJ1331" s="105"/>
      <c r="BU1331" s="105"/>
      <c r="BV1331" s="105"/>
      <c r="BW1331" s="105"/>
      <c r="BX1331" s="105"/>
    </row>
    <row r="1332" spans="62:76" ht="16.5" customHeight="1">
      <c r="BJ1332" s="105"/>
      <c r="BU1332" s="105"/>
      <c r="BV1332" s="105"/>
      <c r="BW1332" s="105"/>
      <c r="BX1332" s="105"/>
    </row>
    <row r="1333" spans="62:76" ht="16.5" customHeight="1">
      <c r="BJ1333" s="105"/>
      <c r="BU1333" s="105"/>
      <c r="BV1333" s="105"/>
      <c r="BW1333" s="105"/>
      <c r="BX1333" s="105"/>
    </row>
    <row r="1334" spans="62:76" ht="16.5" customHeight="1">
      <c r="BJ1334" s="105"/>
      <c r="BU1334" s="105"/>
      <c r="BV1334" s="105"/>
      <c r="BW1334" s="105"/>
      <c r="BX1334" s="105"/>
    </row>
    <row r="1335" spans="62:76" ht="16.5" customHeight="1">
      <c r="BJ1335" s="105"/>
      <c r="BU1335" s="105"/>
      <c r="BV1335" s="105"/>
      <c r="BW1335" s="105"/>
      <c r="BX1335" s="105"/>
    </row>
    <row r="1336" spans="62:76" ht="16.5" customHeight="1">
      <c r="BJ1336" s="105"/>
      <c r="BU1336" s="105"/>
      <c r="BV1336" s="105"/>
      <c r="BW1336" s="105"/>
      <c r="BX1336" s="105"/>
    </row>
    <row r="1337" spans="62:76" ht="16.5" customHeight="1">
      <c r="BJ1337" s="105"/>
      <c r="BU1337" s="105"/>
      <c r="BV1337" s="105"/>
      <c r="BW1337" s="105"/>
      <c r="BX1337" s="105"/>
    </row>
    <row r="1338" spans="62:76" ht="16.5" customHeight="1">
      <c r="BJ1338" s="105"/>
      <c r="BU1338" s="105"/>
      <c r="BV1338" s="105"/>
      <c r="BW1338" s="105"/>
      <c r="BX1338" s="105"/>
    </row>
    <row r="1339" spans="62:76" ht="16.5" customHeight="1">
      <c r="BJ1339" s="105"/>
      <c r="BU1339" s="105"/>
      <c r="BV1339" s="105"/>
      <c r="BW1339" s="105"/>
      <c r="BX1339" s="105"/>
    </row>
    <row r="1340" spans="62:76" ht="16.5" customHeight="1">
      <c r="BJ1340" s="105"/>
      <c r="BU1340" s="105"/>
      <c r="BV1340" s="105"/>
      <c r="BW1340" s="105"/>
      <c r="BX1340" s="105"/>
    </row>
    <row r="1341" spans="62:76" ht="16.5" customHeight="1">
      <c r="BJ1341" s="105"/>
      <c r="BU1341" s="105"/>
      <c r="BV1341" s="105"/>
      <c r="BW1341" s="105"/>
      <c r="BX1341" s="105"/>
    </row>
    <row r="1342" spans="62:76" ht="16.5" customHeight="1">
      <c r="BJ1342" s="105"/>
      <c r="BU1342" s="105"/>
      <c r="BV1342" s="105"/>
      <c r="BW1342" s="105"/>
      <c r="BX1342" s="105"/>
    </row>
    <row r="1343" spans="62:76" ht="16.5" customHeight="1">
      <c r="BJ1343" s="105"/>
      <c r="BU1343" s="105"/>
      <c r="BV1343" s="105"/>
      <c r="BW1343" s="105"/>
      <c r="BX1343" s="105"/>
    </row>
    <row r="1344" spans="62:76" ht="16.5" customHeight="1">
      <c r="BJ1344" s="105"/>
      <c r="BU1344" s="105"/>
      <c r="BV1344" s="105"/>
      <c r="BW1344" s="105"/>
      <c r="BX1344" s="105"/>
    </row>
    <row r="1345" spans="62:76" ht="16.5" customHeight="1">
      <c r="BJ1345" s="105"/>
      <c r="BU1345" s="105"/>
      <c r="BV1345" s="105"/>
      <c r="BW1345" s="105"/>
      <c r="BX1345" s="105"/>
    </row>
    <row r="1346" spans="62:76" ht="16.5" customHeight="1">
      <c r="BJ1346" s="105"/>
      <c r="BU1346" s="105"/>
      <c r="BV1346" s="105"/>
      <c r="BW1346" s="105"/>
      <c r="BX1346" s="105"/>
    </row>
    <row r="1347" spans="62:76" ht="16.5" customHeight="1">
      <c r="BJ1347" s="105"/>
      <c r="BU1347" s="105"/>
      <c r="BV1347" s="105"/>
      <c r="BW1347" s="105"/>
      <c r="BX1347" s="105"/>
    </row>
    <row r="1348" spans="62:76" ht="16.5" customHeight="1">
      <c r="BJ1348" s="105"/>
      <c r="BU1348" s="105"/>
      <c r="BV1348" s="105"/>
      <c r="BW1348" s="105"/>
      <c r="BX1348" s="105"/>
    </row>
    <row r="1349" spans="62:76" ht="16.5" customHeight="1">
      <c r="BJ1349" s="105"/>
      <c r="BU1349" s="105"/>
      <c r="BV1349" s="105"/>
      <c r="BW1349" s="105"/>
      <c r="BX1349" s="105"/>
    </row>
    <row r="1350" spans="62:76" ht="16.5" customHeight="1">
      <c r="BJ1350" s="105"/>
      <c r="BU1350" s="105"/>
      <c r="BV1350" s="105"/>
      <c r="BW1350" s="105"/>
      <c r="BX1350" s="105"/>
    </row>
    <row r="1351" spans="62:76" ht="16.5" customHeight="1">
      <c r="BJ1351" s="105"/>
      <c r="BU1351" s="105"/>
      <c r="BV1351" s="105"/>
      <c r="BW1351" s="105"/>
      <c r="BX1351" s="105"/>
    </row>
    <row r="1352" spans="62:76" ht="16.5" customHeight="1">
      <c r="BJ1352" s="105"/>
      <c r="BU1352" s="105"/>
      <c r="BV1352" s="105"/>
      <c r="BW1352" s="105"/>
      <c r="BX1352" s="105"/>
    </row>
    <row r="1353" spans="62:76" ht="16.5" customHeight="1">
      <c r="BJ1353" s="105"/>
      <c r="BU1353" s="105"/>
      <c r="BV1353" s="105"/>
      <c r="BW1353" s="105"/>
      <c r="BX1353" s="105"/>
    </row>
    <row r="1354" spans="62:76" ht="16.5" customHeight="1">
      <c r="BJ1354" s="105"/>
      <c r="BU1354" s="105"/>
      <c r="BV1354" s="105"/>
      <c r="BW1354" s="105"/>
      <c r="BX1354" s="105"/>
    </row>
    <row r="1355" spans="62:76" ht="16.5" customHeight="1">
      <c r="BJ1355" s="105"/>
      <c r="BU1355" s="105"/>
      <c r="BV1355" s="105"/>
      <c r="BW1355" s="105"/>
      <c r="BX1355" s="105"/>
    </row>
    <row r="1356" spans="62:76" ht="16.5" customHeight="1">
      <c r="BJ1356" s="105"/>
      <c r="BU1356" s="105"/>
      <c r="BV1356" s="105"/>
      <c r="BW1356" s="105"/>
      <c r="BX1356" s="105"/>
    </row>
    <row r="1357" spans="62:76" ht="16.5" customHeight="1">
      <c r="BJ1357" s="105"/>
      <c r="BU1357" s="105"/>
      <c r="BV1357" s="105"/>
      <c r="BW1357" s="105"/>
      <c r="BX1357" s="105"/>
    </row>
    <row r="1358" spans="62:76" ht="16.5" customHeight="1">
      <c r="BJ1358" s="105"/>
      <c r="BU1358" s="105"/>
      <c r="BV1358" s="105"/>
      <c r="BW1358" s="105"/>
      <c r="BX1358" s="105"/>
    </row>
    <row r="1359" spans="62:76" ht="16.5" customHeight="1">
      <c r="BJ1359" s="105"/>
      <c r="BU1359" s="105"/>
      <c r="BV1359" s="105"/>
      <c r="BW1359" s="105"/>
      <c r="BX1359" s="105"/>
    </row>
    <row r="1360" spans="62:76" ht="16.5" customHeight="1">
      <c r="BJ1360" s="105"/>
      <c r="BU1360" s="105"/>
      <c r="BV1360" s="105"/>
      <c r="BW1360" s="105"/>
      <c r="BX1360" s="105"/>
    </row>
    <row r="1361" spans="62:76" ht="16.5" customHeight="1">
      <c r="BJ1361" s="105"/>
      <c r="BU1361" s="105"/>
      <c r="BV1361" s="105"/>
      <c r="BW1361" s="105"/>
      <c r="BX1361" s="105"/>
    </row>
    <row r="1362" spans="62:76" ht="16.5" customHeight="1">
      <c r="BJ1362" s="105"/>
      <c r="BU1362" s="105"/>
      <c r="BV1362" s="105"/>
      <c r="BW1362" s="105"/>
      <c r="BX1362" s="105"/>
    </row>
    <row r="1363" spans="62:76" ht="16.5" customHeight="1">
      <c r="BJ1363" s="105"/>
      <c r="BU1363" s="105"/>
      <c r="BV1363" s="105"/>
      <c r="BW1363" s="105"/>
      <c r="BX1363" s="105"/>
    </row>
    <row r="1364" spans="62:76" ht="16.5" customHeight="1">
      <c r="BJ1364" s="105"/>
      <c r="BU1364" s="105"/>
      <c r="BV1364" s="105"/>
      <c r="BW1364" s="105"/>
      <c r="BX1364" s="105"/>
    </row>
    <row r="1365" spans="62:76" ht="16.5" customHeight="1">
      <c r="BJ1365" s="105"/>
      <c r="BU1365" s="105"/>
      <c r="BV1365" s="105"/>
      <c r="BW1365" s="105"/>
      <c r="BX1365" s="105"/>
    </row>
    <row r="1366" spans="62:76" ht="16.5" customHeight="1">
      <c r="BJ1366" s="105"/>
      <c r="BU1366" s="105"/>
      <c r="BV1366" s="105"/>
      <c r="BW1366" s="105"/>
      <c r="BX1366" s="105"/>
    </row>
    <row r="1367" spans="62:76" ht="16.5" customHeight="1">
      <c r="BJ1367" s="105"/>
      <c r="BU1367" s="105"/>
      <c r="BV1367" s="105"/>
      <c r="BW1367" s="105"/>
      <c r="BX1367" s="105"/>
    </row>
    <row r="1368" spans="62:76" ht="16.5" customHeight="1">
      <c r="BJ1368" s="105"/>
      <c r="BU1368" s="105"/>
      <c r="BV1368" s="105"/>
      <c r="BW1368" s="105"/>
      <c r="BX1368" s="105"/>
    </row>
    <row r="1369" spans="62:76" ht="16.5" customHeight="1">
      <c r="BJ1369" s="105"/>
      <c r="BU1369" s="105"/>
      <c r="BV1369" s="105"/>
      <c r="BW1369" s="105"/>
      <c r="BX1369" s="105"/>
    </row>
    <row r="1370" spans="62:76" ht="16.5" customHeight="1">
      <c r="BJ1370" s="105"/>
      <c r="BU1370" s="105"/>
      <c r="BV1370" s="105"/>
      <c r="BW1370" s="105"/>
      <c r="BX1370" s="105"/>
    </row>
    <row r="1371" spans="62:76" ht="16.5" customHeight="1">
      <c r="BJ1371" s="105"/>
      <c r="BU1371" s="105"/>
      <c r="BV1371" s="105"/>
      <c r="BW1371" s="105"/>
      <c r="BX1371" s="105"/>
    </row>
    <row r="1372" spans="62:76" ht="16.5" customHeight="1">
      <c r="BJ1372" s="105"/>
      <c r="BU1372" s="105"/>
      <c r="BV1372" s="105"/>
      <c r="BW1372" s="105"/>
      <c r="BX1372" s="105"/>
    </row>
    <row r="1373" spans="62:76" ht="16.5" customHeight="1">
      <c r="BJ1373" s="105"/>
      <c r="BU1373" s="105"/>
      <c r="BV1373" s="105"/>
      <c r="BW1373" s="105"/>
      <c r="BX1373" s="105"/>
    </row>
    <row r="1374" spans="62:76" ht="16.5" customHeight="1">
      <c r="BJ1374" s="105"/>
      <c r="BU1374" s="105"/>
      <c r="BV1374" s="105"/>
      <c r="BW1374" s="105"/>
      <c r="BX1374" s="105"/>
    </row>
    <row r="1375" spans="62:76" ht="16.5" customHeight="1">
      <c r="BJ1375" s="105"/>
      <c r="BU1375" s="105"/>
      <c r="BV1375" s="105"/>
      <c r="BW1375" s="105"/>
      <c r="BX1375" s="105"/>
    </row>
    <row r="1376" spans="62:76" ht="16.5" customHeight="1">
      <c r="BJ1376" s="105"/>
      <c r="BU1376" s="105"/>
      <c r="BV1376" s="105"/>
      <c r="BW1376" s="105"/>
      <c r="BX1376" s="105"/>
    </row>
    <row r="1377" spans="62:76" ht="16.5" customHeight="1">
      <c r="BJ1377" s="105"/>
      <c r="BU1377" s="105"/>
      <c r="BV1377" s="105"/>
      <c r="BW1377" s="105"/>
      <c r="BX1377" s="105"/>
    </row>
    <row r="1378" spans="62:76" ht="16.5" customHeight="1">
      <c r="BJ1378" s="105"/>
      <c r="BU1378" s="105"/>
      <c r="BV1378" s="105"/>
      <c r="BW1378" s="105"/>
      <c r="BX1378" s="105"/>
    </row>
    <row r="1379" spans="62:76" ht="16.5" customHeight="1">
      <c r="BJ1379" s="105"/>
      <c r="BU1379" s="105"/>
      <c r="BV1379" s="105"/>
      <c r="BW1379" s="105"/>
      <c r="BX1379" s="105"/>
    </row>
    <row r="1380" spans="62:76" ht="16.5" customHeight="1">
      <c r="BJ1380" s="105"/>
      <c r="BU1380" s="105"/>
      <c r="BV1380" s="105"/>
      <c r="BW1380" s="105"/>
      <c r="BX1380" s="105"/>
    </row>
    <row r="1381" spans="62:76" ht="16.5" customHeight="1">
      <c r="BJ1381" s="105"/>
      <c r="BU1381" s="105"/>
      <c r="BV1381" s="105"/>
      <c r="BW1381" s="105"/>
      <c r="BX1381" s="105"/>
    </row>
    <row r="1382" spans="62:76" ht="16.5" customHeight="1">
      <c r="BJ1382" s="105"/>
      <c r="BU1382" s="105"/>
      <c r="BV1382" s="105"/>
      <c r="BW1382" s="105"/>
      <c r="BX1382" s="105"/>
    </row>
    <row r="1383" spans="62:76" ht="16.5" customHeight="1">
      <c r="BJ1383" s="105"/>
      <c r="BU1383" s="105"/>
      <c r="BV1383" s="105"/>
      <c r="BW1383" s="105"/>
      <c r="BX1383" s="105"/>
    </row>
    <row r="1384" spans="62:76" ht="16.5" customHeight="1">
      <c r="BJ1384" s="105"/>
      <c r="BU1384" s="105"/>
      <c r="BV1384" s="105"/>
      <c r="BW1384" s="105"/>
      <c r="BX1384" s="105"/>
    </row>
    <row r="1385" spans="62:76" ht="16.5" customHeight="1">
      <c r="BJ1385" s="105"/>
      <c r="BU1385" s="105"/>
      <c r="BV1385" s="105"/>
      <c r="BW1385" s="105"/>
      <c r="BX1385" s="105"/>
    </row>
    <row r="1386" spans="62:76" ht="16.5" customHeight="1">
      <c r="BJ1386" s="105"/>
      <c r="BU1386" s="105"/>
      <c r="BV1386" s="105"/>
      <c r="BW1386" s="105"/>
      <c r="BX1386" s="105"/>
    </row>
    <row r="1387" spans="62:76" ht="16.5" customHeight="1">
      <c r="BJ1387" s="105"/>
      <c r="BU1387" s="105"/>
      <c r="BV1387" s="105"/>
      <c r="BW1387" s="105"/>
      <c r="BX1387" s="105"/>
    </row>
    <row r="1388" spans="62:76" ht="16.5" customHeight="1">
      <c r="BJ1388" s="105"/>
      <c r="BU1388" s="105"/>
      <c r="BV1388" s="105"/>
      <c r="BW1388" s="105"/>
      <c r="BX1388" s="105"/>
    </row>
    <row r="1389" spans="62:76" ht="16.5" customHeight="1">
      <c r="BJ1389" s="105"/>
      <c r="BU1389" s="105"/>
      <c r="BV1389" s="105"/>
      <c r="BW1389" s="105"/>
      <c r="BX1389" s="105"/>
    </row>
    <row r="1390" spans="62:76" ht="16.5" customHeight="1">
      <c r="BJ1390" s="105"/>
      <c r="BU1390" s="105"/>
      <c r="BV1390" s="105"/>
      <c r="BW1390" s="105"/>
      <c r="BX1390" s="105"/>
    </row>
    <row r="1391" spans="62:76" ht="16.5" customHeight="1">
      <c r="BJ1391" s="105"/>
      <c r="BU1391" s="105"/>
      <c r="BV1391" s="105"/>
      <c r="BW1391" s="105"/>
      <c r="BX1391" s="105"/>
    </row>
    <row r="1392" spans="62:76" ht="16.5" customHeight="1">
      <c r="BJ1392" s="105"/>
      <c r="BU1392" s="105"/>
      <c r="BV1392" s="105"/>
      <c r="BW1392" s="105"/>
      <c r="BX1392" s="105"/>
    </row>
    <row r="1393" spans="62:76" ht="16.5" customHeight="1">
      <c r="BJ1393" s="105"/>
      <c r="BU1393" s="105"/>
      <c r="BV1393" s="105"/>
      <c r="BW1393" s="105"/>
      <c r="BX1393" s="105"/>
    </row>
    <row r="1394" spans="62:76" ht="16.5" customHeight="1">
      <c r="BJ1394" s="105"/>
      <c r="BU1394" s="105"/>
      <c r="BV1394" s="105"/>
      <c r="BW1394" s="105"/>
      <c r="BX1394" s="105"/>
    </row>
    <row r="1395" spans="62:76" ht="16.5" customHeight="1">
      <c r="BJ1395" s="105"/>
      <c r="BU1395" s="105"/>
      <c r="BV1395" s="105"/>
      <c r="BW1395" s="105"/>
      <c r="BX1395" s="105"/>
    </row>
    <row r="1396" spans="62:76" ht="16.5" customHeight="1">
      <c r="BJ1396" s="105"/>
      <c r="BU1396" s="105"/>
      <c r="BV1396" s="105"/>
      <c r="BW1396" s="105"/>
      <c r="BX1396" s="105"/>
    </row>
    <row r="1397" spans="62:76" ht="16.5" customHeight="1">
      <c r="BJ1397" s="105"/>
      <c r="BU1397" s="105"/>
      <c r="BV1397" s="105"/>
      <c r="BW1397" s="105"/>
      <c r="BX1397" s="105"/>
    </row>
    <row r="1398" spans="62:76" ht="16.5" customHeight="1">
      <c r="BJ1398" s="105"/>
      <c r="BU1398" s="105"/>
      <c r="BV1398" s="105"/>
      <c r="BW1398" s="105"/>
      <c r="BX1398" s="105"/>
    </row>
    <row r="1399" spans="62:76" ht="16.5" customHeight="1">
      <c r="BJ1399" s="105"/>
      <c r="BU1399" s="105"/>
      <c r="BV1399" s="105"/>
      <c r="BW1399" s="105"/>
      <c r="BX1399" s="105"/>
    </row>
    <row r="1400" spans="62:76" ht="16.5" customHeight="1">
      <c r="BJ1400" s="105"/>
      <c r="BU1400" s="105"/>
      <c r="BV1400" s="105"/>
      <c r="BW1400" s="105"/>
      <c r="BX1400" s="105"/>
    </row>
    <row r="1401" spans="62:76" ht="16.5" customHeight="1">
      <c r="BJ1401" s="105"/>
      <c r="BU1401" s="105"/>
      <c r="BV1401" s="105"/>
      <c r="BW1401" s="105"/>
      <c r="BX1401" s="105"/>
    </row>
    <row r="1402" spans="62:76" ht="16.5" customHeight="1">
      <c r="BJ1402" s="105"/>
      <c r="BU1402" s="105"/>
      <c r="BV1402" s="105"/>
      <c r="BW1402" s="105"/>
      <c r="BX1402" s="105"/>
    </row>
    <row r="1403" spans="62:76" ht="16.5" customHeight="1">
      <c r="BJ1403" s="105"/>
      <c r="BU1403" s="105"/>
      <c r="BV1403" s="105"/>
      <c r="BW1403" s="105"/>
      <c r="BX1403" s="105"/>
    </row>
    <row r="1404" spans="62:76" ht="16.5" customHeight="1">
      <c r="BJ1404" s="105"/>
      <c r="BU1404" s="105"/>
      <c r="BV1404" s="105"/>
      <c r="BW1404" s="105"/>
      <c r="BX1404" s="105"/>
    </row>
    <row r="1405" spans="62:76" ht="16.5" customHeight="1">
      <c r="BJ1405" s="105"/>
      <c r="BU1405" s="105"/>
      <c r="BV1405" s="105"/>
      <c r="BW1405" s="105"/>
      <c r="BX1405" s="105"/>
    </row>
    <row r="1406" spans="62:76" ht="16.5" customHeight="1">
      <c r="BJ1406" s="105"/>
      <c r="BU1406" s="105"/>
      <c r="BV1406" s="105"/>
      <c r="BW1406" s="105"/>
      <c r="BX1406" s="105"/>
    </row>
    <row r="1407" spans="62:76" ht="16.5" customHeight="1">
      <c r="BJ1407" s="105"/>
      <c r="BU1407" s="105"/>
      <c r="BV1407" s="105"/>
      <c r="BW1407" s="105"/>
      <c r="BX1407" s="105"/>
    </row>
    <row r="1408" spans="62:76" ht="16.5" customHeight="1">
      <c r="BJ1408" s="105"/>
      <c r="BU1408" s="105"/>
      <c r="BV1408" s="105"/>
      <c r="BW1408" s="105"/>
      <c r="BX1408" s="105"/>
    </row>
    <row r="1409" spans="62:76" ht="16.5" customHeight="1">
      <c r="BJ1409" s="105"/>
      <c r="BU1409" s="105"/>
      <c r="BV1409" s="105"/>
      <c r="BW1409" s="105"/>
      <c r="BX1409" s="105"/>
    </row>
    <row r="1410" spans="62:76" ht="16.5" customHeight="1">
      <c r="BJ1410" s="105"/>
      <c r="BU1410" s="105"/>
      <c r="BV1410" s="105"/>
      <c r="BW1410" s="105"/>
      <c r="BX1410" s="105"/>
    </row>
    <row r="1411" spans="62:76" ht="16.5" customHeight="1">
      <c r="BJ1411" s="105"/>
      <c r="BU1411" s="105"/>
      <c r="BV1411" s="105"/>
      <c r="BW1411" s="105"/>
      <c r="BX1411" s="105"/>
    </row>
    <row r="1412" spans="62:76" ht="16.5" customHeight="1">
      <c r="BJ1412" s="105"/>
      <c r="BU1412" s="105"/>
      <c r="BV1412" s="105"/>
      <c r="BW1412" s="105"/>
      <c r="BX1412" s="105"/>
    </row>
    <row r="1413" spans="62:76" ht="16.5" customHeight="1">
      <c r="BJ1413" s="105"/>
      <c r="BU1413" s="105"/>
      <c r="BV1413" s="105"/>
      <c r="BW1413" s="105"/>
      <c r="BX1413" s="105"/>
    </row>
    <row r="1414" spans="62:76" ht="16.5" customHeight="1">
      <c r="BJ1414" s="105"/>
      <c r="BU1414" s="105"/>
      <c r="BV1414" s="105"/>
      <c r="BW1414" s="105"/>
      <c r="BX1414" s="105"/>
    </row>
    <row r="1415" spans="62:76" ht="16.5" customHeight="1">
      <c r="BJ1415" s="105"/>
      <c r="BU1415" s="105"/>
      <c r="BV1415" s="105"/>
      <c r="BW1415" s="105"/>
      <c r="BX1415" s="105"/>
    </row>
    <row r="1416" spans="62:76" ht="16.5" customHeight="1">
      <c r="BJ1416" s="105"/>
      <c r="BU1416" s="105"/>
      <c r="BV1416" s="105"/>
      <c r="BW1416" s="105"/>
      <c r="BX1416" s="105"/>
    </row>
    <row r="1417" spans="62:76" ht="16.5" customHeight="1">
      <c r="BJ1417" s="105"/>
      <c r="BU1417" s="105"/>
      <c r="BV1417" s="105"/>
      <c r="BW1417" s="105"/>
      <c r="BX1417" s="105"/>
    </row>
    <row r="1418" spans="62:76" ht="16.5" customHeight="1">
      <c r="BJ1418" s="105"/>
      <c r="BU1418" s="105"/>
      <c r="BV1418" s="105"/>
      <c r="BW1418" s="105"/>
      <c r="BX1418" s="105"/>
    </row>
    <row r="1419" spans="62:76" ht="16.5" customHeight="1">
      <c r="BJ1419" s="105"/>
      <c r="BU1419" s="105"/>
      <c r="BV1419" s="105"/>
      <c r="BW1419" s="105"/>
      <c r="BX1419" s="105"/>
    </row>
    <row r="1420" spans="62:76" ht="16.5" customHeight="1">
      <c r="BJ1420" s="105"/>
      <c r="BU1420" s="105"/>
      <c r="BV1420" s="105"/>
      <c r="BW1420" s="105"/>
      <c r="BX1420" s="105"/>
    </row>
    <row r="1421" spans="62:76" ht="16.5" customHeight="1">
      <c r="BJ1421" s="105"/>
      <c r="BU1421" s="105"/>
      <c r="BV1421" s="105"/>
      <c r="BW1421" s="105"/>
      <c r="BX1421" s="105"/>
    </row>
    <row r="1422" spans="62:76" ht="16.5" customHeight="1">
      <c r="BJ1422" s="105"/>
      <c r="BU1422" s="105"/>
      <c r="BV1422" s="105"/>
      <c r="BW1422" s="105"/>
      <c r="BX1422" s="105"/>
    </row>
    <row r="1423" spans="62:76" ht="16.5" customHeight="1">
      <c r="BJ1423" s="105"/>
      <c r="BU1423" s="105"/>
      <c r="BV1423" s="105"/>
      <c r="BW1423" s="105"/>
      <c r="BX1423" s="105"/>
    </row>
    <row r="1424" spans="62:76" ht="16.5" customHeight="1">
      <c r="BJ1424" s="105"/>
      <c r="BU1424" s="105"/>
      <c r="BV1424" s="105"/>
      <c r="BW1424" s="105"/>
      <c r="BX1424" s="105"/>
    </row>
    <row r="1425" spans="62:76" ht="16.5" customHeight="1">
      <c r="BJ1425" s="105"/>
      <c r="BU1425" s="105"/>
      <c r="BV1425" s="105"/>
      <c r="BW1425" s="105"/>
      <c r="BX1425" s="105"/>
    </row>
    <row r="1426" spans="62:76" ht="16.5" customHeight="1">
      <c r="BJ1426" s="105"/>
      <c r="BU1426" s="105"/>
      <c r="BV1426" s="105"/>
      <c r="BW1426" s="105"/>
      <c r="BX1426" s="105"/>
    </row>
    <row r="1427" spans="62:76" ht="16.5" customHeight="1">
      <c r="BJ1427" s="105"/>
      <c r="BU1427" s="105"/>
      <c r="BV1427" s="105"/>
      <c r="BW1427" s="105"/>
      <c r="BX1427" s="105"/>
    </row>
    <row r="1428" spans="62:76" ht="16.5" customHeight="1">
      <c r="BJ1428" s="105"/>
      <c r="BU1428" s="105"/>
      <c r="BV1428" s="105"/>
      <c r="BW1428" s="105"/>
      <c r="BX1428" s="105"/>
    </row>
    <row r="1429" spans="62:76" ht="16.5" customHeight="1">
      <c r="BJ1429" s="105"/>
      <c r="BU1429" s="105"/>
      <c r="BV1429" s="105"/>
      <c r="BW1429" s="105"/>
      <c r="BX1429" s="105"/>
    </row>
    <row r="1430" spans="62:76" ht="16.5" customHeight="1">
      <c r="BJ1430" s="105"/>
      <c r="BU1430" s="105"/>
      <c r="BV1430" s="105"/>
      <c r="BW1430" s="105"/>
      <c r="BX1430" s="105"/>
    </row>
    <row r="1431" spans="62:76" ht="16.5" customHeight="1">
      <c r="BJ1431" s="105"/>
      <c r="BU1431" s="105"/>
      <c r="BV1431" s="105"/>
      <c r="BW1431" s="105"/>
      <c r="BX1431" s="105"/>
    </row>
    <row r="1432" spans="62:76" ht="16.5" customHeight="1">
      <c r="BJ1432" s="105"/>
      <c r="BU1432" s="105"/>
      <c r="BV1432" s="105"/>
      <c r="BW1432" s="105"/>
      <c r="BX1432" s="105"/>
    </row>
    <row r="1433" spans="62:76" ht="16.5" customHeight="1">
      <c r="BJ1433" s="105"/>
      <c r="BU1433" s="105"/>
      <c r="BV1433" s="105"/>
      <c r="BW1433" s="105"/>
      <c r="BX1433" s="105"/>
    </row>
    <row r="1434" spans="62:76" ht="16.5" customHeight="1">
      <c r="BJ1434" s="105"/>
      <c r="BU1434" s="105"/>
      <c r="BV1434" s="105"/>
      <c r="BW1434" s="105"/>
      <c r="BX1434" s="105"/>
    </row>
    <row r="1435" spans="62:76" ht="16.5" customHeight="1">
      <c r="BJ1435" s="105"/>
      <c r="BU1435" s="105"/>
      <c r="BV1435" s="105"/>
      <c r="BW1435" s="105"/>
      <c r="BX1435" s="105"/>
    </row>
    <row r="1436" spans="62:76" ht="16.5" customHeight="1">
      <c r="BJ1436" s="105"/>
      <c r="BU1436" s="105"/>
      <c r="BV1436" s="105"/>
      <c r="BW1436" s="105"/>
      <c r="BX1436" s="105"/>
    </row>
    <row r="1437" spans="62:76" ht="16.5" customHeight="1">
      <c r="BJ1437" s="105"/>
      <c r="BU1437" s="105"/>
      <c r="BV1437" s="105"/>
      <c r="BW1437" s="105"/>
      <c r="BX1437" s="105"/>
    </row>
    <row r="1438" spans="62:76" ht="16.5" customHeight="1">
      <c r="BJ1438" s="105"/>
      <c r="BU1438" s="105"/>
      <c r="BV1438" s="105"/>
      <c r="BW1438" s="105"/>
      <c r="BX1438" s="105"/>
    </row>
    <row r="1439" spans="62:76" ht="16.5" customHeight="1">
      <c r="BJ1439" s="105"/>
      <c r="BU1439" s="105"/>
      <c r="BV1439" s="105"/>
      <c r="BW1439" s="105"/>
      <c r="BX1439" s="105"/>
    </row>
    <row r="1440" spans="62:76" ht="16.5" customHeight="1">
      <c r="BJ1440" s="105"/>
      <c r="BU1440" s="105"/>
      <c r="BV1440" s="105"/>
      <c r="BW1440" s="105"/>
      <c r="BX1440" s="105"/>
    </row>
    <row r="1441" spans="62:76" ht="16.5" customHeight="1">
      <c r="BJ1441" s="105"/>
      <c r="BU1441" s="105"/>
      <c r="BV1441" s="105"/>
      <c r="BW1441" s="105"/>
      <c r="BX1441" s="105"/>
    </row>
    <row r="1442" spans="62:76" ht="16.5" customHeight="1">
      <c r="BJ1442" s="105"/>
      <c r="BU1442" s="105"/>
      <c r="BV1442" s="105"/>
      <c r="BW1442" s="105"/>
      <c r="BX1442" s="105"/>
    </row>
    <row r="1443" spans="62:76" ht="16.5" customHeight="1">
      <c r="BJ1443" s="105"/>
      <c r="BU1443" s="105"/>
      <c r="BV1443" s="105"/>
      <c r="BW1443" s="105"/>
      <c r="BX1443" s="105"/>
    </row>
    <row r="1444" spans="62:76" ht="16.5" customHeight="1">
      <c r="BJ1444" s="105"/>
      <c r="BU1444" s="105"/>
      <c r="BV1444" s="105"/>
      <c r="BW1444" s="105"/>
      <c r="BX1444" s="105"/>
    </row>
    <row r="1445" spans="62:76" ht="16.5" customHeight="1">
      <c r="BJ1445" s="105"/>
      <c r="BU1445" s="105"/>
      <c r="BV1445" s="105"/>
      <c r="BW1445" s="105"/>
      <c r="BX1445" s="105"/>
    </row>
    <row r="1446" spans="62:76" ht="16.5" customHeight="1">
      <c r="BJ1446" s="105"/>
      <c r="BU1446" s="105"/>
      <c r="BV1446" s="105"/>
      <c r="BW1446" s="105"/>
      <c r="BX1446" s="105"/>
    </row>
    <row r="1447" spans="62:76" ht="16.5" customHeight="1">
      <c r="BJ1447" s="105"/>
      <c r="BU1447" s="105"/>
      <c r="BV1447" s="105"/>
      <c r="BW1447" s="105"/>
      <c r="BX1447" s="105"/>
    </row>
    <row r="1448" spans="62:76" ht="16.5" customHeight="1">
      <c r="BJ1448" s="105"/>
      <c r="BU1448" s="105"/>
      <c r="BV1448" s="105"/>
      <c r="BW1448" s="105"/>
      <c r="BX1448" s="105"/>
    </row>
    <row r="1449" spans="62:76" ht="16.5" customHeight="1">
      <c r="BJ1449" s="105"/>
      <c r="BU1449" s="105"/>
      <c r="BV1449" s="105"/>
      <c r="BW1449" s="105"/>
      <c r="BX1449" s="105"/>
    </row>
    <row r="1450" spans="62:76" ht="16.5" customHeight="1">
      <c r="BJ1450" s="105"/>
      <c r="BU1450" s="105"/>
      <c r="BV1450" s="105"/>
      <c r="BW1450" s="105"/>
      <c r="BX1450" s="105"/>
    </row>
    <row r="1451" spans="62:76" ht="16.5" customHeight="1">
      <c r="BJ1451" s="105"/>
      <c r="BU1451" s="105"/>
      <c r="BV1451" s="105"/>
      <c r="BW1451" s="105"/>
      <c r="BX1451" s="105"/>
    </row>
    <row r="1452" spans="62:76" ht="16.5" customHeight="1">
      <c r="BJ1452" s="105"/>
      <c r="BU1452" s="105"/>
      <c r="BV1452" s="105"/>
      <c r="BW1452" s="105"/>
      <c r="BX1452" s="105"/>
    </row>
    <row r="1453" spans="62:76" ht="16.5" customHeight="1">
      <c r="BJ1453" s="105"/>
      <c r="BU1453" s="105"/>
      <c r="BV1453" s="105"/>
      <c r="BW1453" s="105"/>
      <c r="BX1453" s="105"/>
    </row>
    <row r="1454" spans="62:76" ht="16.5" customHeight="1">
      <c r="BJ1454" s="105"/>
      <c r="BU1454" s="105"/>
      <c r="BV1454" s="105"/>
      <c r="BW1454" s="105"/>
      <c r="BX1454" s="105"/>
    </row>
    <row r="1455" spans="62:76" ht="16.5" customHeight="1">
      <c r="BJ1455" s="105"/>
      <c r="BU1455" s="105"/>
      <c r="BV1455" s="105"/>
      <c r="BW1455" s="105"/>
      <c r="BX1455" s="105"/>
    </row>
    <row r="1456" spans="62:76" ht="16.5" customHeight="1">
      <c r="BJ1456" s="105"/>
      <c r="BU1456" s="105"/>
      <c r="BV1456" s="105"/>
      <c r="BW1456" s="105"/>
      <c r="BX1456" s="105"/>
    </row>
    <row r="1457" spans="62:76" ht="16.5" customHeight="1">
      <c r="BJ1457" s="105"/>
      <c r="BU1457" s="105"/>
      <c r="BV1457" s="105"/>
      <c r="BW1457" s="105"/>
      <c r="BX1457" s="105"/>
    </row>
    <row r="1458" spans="62:76" ht="16.5" customHeight="1">
      <c r="BJ1458" s="105"/>
      <c r="BU1458" s="105"/>
      <c r="BV1458" s="105"/>
      <c r="BW1458" s="105"/>
      <c r="BX1458" s="105"/>
    </row>
    <row r="1459" spans="62:76" ht="16.5" customHeight="1">
      <c r="BJ1459" s="105"/>
      <c r="BU1459" s="105"/>
      <c r="BV1459" s="105"/>
      <c r="BW1459" s="105"/>
      <c r="BX1459" s="105"/>
    </row>
    <row r="1460" spans="62:76" ht="16.5" customHeight="1">
      <c r="BJ1460" s="105"/>
      <c r="BU1460" s="105"/>
      <c r="BV1460" s="105"/>
      <c r="BW1460" s="105"/>
      <c r="BX1460" s="105"/>
    </row>
    <row r="1461" spans="62:76" ht="16.5" customHeight="1">
      <c r="BJ1461" s="105"/>
      <c r="BU1461" s="105"/>
      <c r="BV1461" s="105"/>
      <c r="BW1461" s="105"/>
      <c r="BX1461" s="105"/>
    </row>
    <row r="1462" spans="62:76" ht="16.5" customHeight="1">
      <c r="BJ1462" s="105"/>
      <c r="BU1462" s="105"/>
      <c r="BV1462" s="105"/>
      <c r="BW1462" s="105"/>
      <c r="BX1462" s="105"/>
    </row>
    <row r="1463" spans="62:76" ht="16.5" customHeight="1">
      <c r="BJ1463" s="105"/>
      <c r="BU1463" s="105"/>
      <c r="BV1463" s="105"/>
      <c r="BW1463" s="105"/>
      <c r="BX1463" s="105"/>
    </row>
    <row r="1464" spans="62:76" ht="16.5" customHeight="1">
      <c r="BJ1464" s="105"/>
      <c r="BU1464" s="105"/>
      <c r="BV1464" s="105"/>
      <c r="BW1464" s="105"/>
      <c r="BX1464" s="105"/>
    </row>
    <row r="1465" spans="62:76" ht="16.5" customHeight="1">
      <c r="BJ1465" s="105"/>
      <c r="BU1465" s="105"/>
      <c r="BV1465" s="105"/>
      <c r="BW1465" s="105"/>
      <c r="BX1465" s="105"/>
    </row>
    <row r="1466" spans="62:76" ht="16.5" customHeight="1">
      <c r="BJ1466" s="105"/>
      <c r="BU1466" s="105"/>
      <c r="BV1466" s="105"/>
      <c r="BW1466" s="105"/>
      <c r="BX1466" s="105"/>
    </row>
    <row r="1467" spans="62:76" ht="16.5" customHeight="1">
      <c r="BJ1467" s="105"/>
      <c r="BU1467" s="105"/>
      <c r="BV1467" s="105"/>
      <c r="BW1467" s="105"/>
      <c r="BX1467" s="105"/>
    </row>
    <row r="1468" spans="62:76" ht="16.5" customHeight="1">
      <c r="BJ1468" s="105"/>
      <c r="BU1468" s="105"/>
      <c r="BV1468" s="105"/>
      <c r="BW1468" s="105"/>
      <c r="BX1468" s="105"/>
    </row>
    <row r="1469" spans="62:76" ht="16.5" customHeight="1">
      <c r="BJ1469" s="105"/>
      <c r="BU1469" s="105"/>
      <c r="BV1469" s="105"/>
      <c r="BW1469" s="105"/>
      <c r="BX1469" s="105"/>
    </row>
    <row r="1470" spans="62:76" ht="16.5" customHeight="1">
      <c r="BJ1470" s="105"/>
      <c r="BU1470" s="105"/>
      <c r="BV1470" s="105"/>
      <c r="BW1470" s="105"/>
      <c r="BX1470" s="105"/>
    </row>
    <row r="1471" spans="62:76" ht="16.5" customHeight="1">
      <c r="BJ1471" s="105"/>
      <c r="BU1471" s="105"/>
      <c r="BV1471" s="105"/>
      <c r="BW1471" s="105"/>
      <c r="BX1471" s="105"/>
    </row>
    <row r="1472" spans="62:76" ht="16.5" customHeight="1">
      <c r="BJ1472" s="105"/>
      <c r="BU1472" s="105"/>
      <c r="BV1472" s="105"/>
      <c r="BW1472" s="105"/>
      <c r="BX1472" s="105"/>
    </row>
    <row r="1473" spans="62:76" ht="16.5" customHeight="1">
      <c r="BJ1473" s="105"/>
      <c r="BU1473" s="105"/>
      <c r="BV1473" s="105"/>
      <c r="BW1473" s="105"/>
      <c r="BX1473" s="105"/>
    </row>
    <row r="1474" spans="62:76" ht="16.5" customHeight="1">
      <c r="BJ1474" s="105"/>
      <c r="BU1474" s="105"/>
      <c r="BV1474" s="105"/>
      <c r="BW1474" s="105"/>
      <c r="BX1474" s="105"/>
    </row>
    <row r="1475" spans="62:76" ht="16.5" customHeight="1">
      <c r="BJ1475" s="105"/>
      <c r="BU1475" s="105"/>
      <c r="BV1475" s="105"/>
      <c r="BW1475" s="105"/>
      <c r="BX1475" s="105"/>
    </row>
    <row r="1476" spans="62:76" ht="16.5" customHeight="1">
      <c r="BJ1476" s="105"/>
      <c r="BU1476" s="105"/>
      <c r="BV1476" s="105"/>
      <c r="BW1476" s="105"/>
      <c r="BX1476" s="105"/>
    </row>
    <row r="1477" spans="62:76" ht="16.5" customHeight="1">
      <c r="BJ1477" s="105"/>
      <c r="BU1477" s="105"/>
      <c r="BV1477" s="105"/>
      <c r="BW1477" s="105"/>
      <c r="BX1477" s="105"/>
    </row>
    <row r="1478" spans="62:76" ht="16.5" customHeight="1">
      <c r="BJ1478" s="105"/>
      <c r="BU1478" s="105"/>
      <c r="BV1478" s="105"/>
      <c r="BW1478" s="105"/>
      <c r="BX1478" s="105"/>
    </row>
    <row r="1479" spans="62:76" ht="16.5" customHeight="1">
      <c r="BJ1479" s="105"/>
      <c r="BU1479" s="105"/>
      <c r="BV1479" s="105"/>
      <c r="BW1479" s="105"/>
      <c r="BX1479" s="105"/>
    </row>
    <row r="1480" spans="62:76" ht="16.5" customHeight="1">
      <c r="BJ1480" s="105"/>
      <c r="BU1480" s="105"/>
      <c r="BV1480" s="105"/>
      <c r="BW1480" s="105"/>
      <c r="BX1480" s="105"/>
    </row>
    <row r="1481" spans="62:76" ht="16.5" customHeight="1">
      <c r="BJ1481" s="105"/>
      <c r="BU1481" s="105"/>
      <c r="BV1481" s="105"/>
      <c r="BW1481" s="105"/>
      <c r="BX1481" s="105"/>
    </row>
    <row r="1482" spans="62:76" ht="16.5" customHeight="1">
      <c r="BJ1482" s="105"/>
      <c r="BU1482" s="105"/>
      <c r="BV1482" s="105"/>
      <c r="BW1482" s="105"/>
      <c r="BX1482" s="105"/>
    </row>
    <row r="1483" spans="62:76" ht="16.5" customHeight="1">
      <c r="BJ1483" s="105"/>
      <c r="BU1483" s="105"/>
      <c r="BV1483" s="105"/>
      <c r="BW1483" s="105"/>
      <c r="BX1483" s="105"/>
    </row>
    <row r="1484" spans="62:76" ht="16.5" customHeight="1">
      <c r="BJ1484" s="105"/>
      <c r="BU1484" s="105"/>
      <c r="BV1484" s="105"/>
      <c r="BW1484" s="105"/>
      <c r="BX1484" s="105"/>
    </row>
    <row r="1485" spans="62:76" ht="16.5" customHeight="1">
      <c r="BJ1485" s="105"/>
      <c r="BU1485" s="105"/>
      <c r="BV1485" s="105"/>
      <c r="BW1485" s="105"/>
      <c r="BX1485" s="105"/>
    </row>
    <row r="1486" spans="62:76" ht="16.5" customHeight="1">
      <c r="BJ1486" s="105"/>
      <c r="BU1486" s="105"/>
      <c r="BV1486" s="105"/>
      <c r="BW1486" s="105"/>
      <c r="BX1486" s="105"/>
    </row>
    <row r="1487" spans="62:76" ht="16.5" customHeight="1">
      <c r="BJ1487" s="105"/>
      <c r="BU1487" s="105"/>
      <c r="BV1487" s="105"/>
      <c r="BW1487" s="105"/>
      <c r="BX1487" s="105"/>
    </row>
    <row r="1488" spans="62:76" ht="16.5" customHeight="1">
      <c r="BJ1488" s="105"/>
      <c r="BU1488" s="105"/>
      <c r="BV1488" s="105"/>
      <c r="BW1488" s="105"/>
      <c r="BX1488" s="105"/>
    </row>
    <row r="1489" spans="62:76" ht="16.5" customHeight="1">
      <c r="BJ1489" s="105"/>
      <c r="BU1489" s="105"/>
      <c r="BV1489" s="105"/>
      <c r="BW1489" s="105"/>
      <c r="BX1489" s="105"/>
    </row>
    <row r="1490" spans="62:76" ht="16.5" customHeight="1">
      <c r="BJ1490" s="105"/>
      <c r="BU1490" s="105"/>
      <c r="BV1490" s="105"/>
      <c r="BW1490" s="105"/>
      <c r="BX1490" s="105"/>
    </row>
    <row r="1491" spans="62:76" ht="16.5" customHeight="1">
      <c r="BJ1491" s="105"/>
      <c r="BU1491" s="105"/>
      <c r="BV1491" s="105"/>
      <c r="BW1491" s="105"/>
      <c r="BX1491" s="105"/>
    </row>
    <row r="1492" spans="62:76" ht="16.5" customHeight="1">
      <c r="BJ1492" s="105"/>
      <c r="BU1492" s="105"/>
      <c r="BV1492" s="105"/>
      <c r="BW1492" s="105"/>
      <c r="BX1492" s="105"/>
    </row>
    <row r="1493" spans="62:76" ht="16.5" customHeight="1">
      <c r="BJ1493" s="105"/>
      <c r="BU1493" s="105"/>
      <c r="BV1493" s="105"/>
      <c r="BW1493" s="105"/>
      <c r="BX1493" s="105"/>
    </row>
    <row r="1494" spans="62:76" ht="16.5" customHeight="1">
      <c r="BJ1494" s="105"/>
      <c r="BU1494" s="105"/>
      <c r="BV1494" s="105"/>
      <c r="BW1494" s="105"/>
      <c r="BX1494" s="105"/>
    </row>
    <row r="1495" spans="62:76" ht="16.5" customHeight="1">
      <c r="BJ1495" s="105"/>
      <c r="BU1495" s="105"/>
      <c r="BV1495" s="105"/>
      <c r="BW1495" s="105"/>
      <c r="BX1495" s="105"/>
    </row>
    <row r="1496" spans="62:76" ht="16.5" customHeight="1">
      <c r="BJ1496" s="105"/>
      <c r="BU1496" s="105"/>
      <c r="BV1496" s="105"/>
      <c r="BW1496" s="105"/>
      <c r="BX1496" s="105"/>
    </row>
    <row r="1497" spans="62:76" ht="16.5" customHeight="1">
      <c r="BJ1497" s="105"/>
      <c r="BU1497" s="105"/>
      <c r="BV1497" s="105"/>
      <c r="BW1497" s="105"/>
      <c r="BX1497" s="105"/>
    </row>
    <row r="1498" spans="62:76" ht="16.5" customHeight="1">
      <c r="BJ1498" s="105"/>
      <c r="BU1498" s="105"/>
      <c r="BV1498" s="105"/>
      <c r="BW1498" s="105"/>
      <c r="BX1498" s="105"/>
    </row>
    <row r="1499" spans="62:76" ht="16.5" customHeight="1">
      <c r="BJ1499" s="105"/>
      <c r="BU1499" s="105"/>
      <c r="BV1499" s="105"/>
      <c r="BW1499" s="105"/>
      <c r="BX1499" s="105"/>
    </row>
    <row r="1500" spans="62:76" ht="16.5" customHeight="1">
      <c r="BJ1500" s="105"/>
      <c r="BU1500" s="105"/>
      <c r="BV1500" s="105"/>
      <c r="BW1500" s="105"/>
      <c r="BX1500" s="105"/>
    </row>
    <row r="1501" spans="62:76" ht="16.5" customHeight="1">
      <c r="BJ1501" s="105"/>
      <c r="BU1501" s="105"/>
      <c r="BV1501" s="105"/>
      <c r="BW1501" s="105"/>
      <c r="BX1501" s="105"/>
    </row>
    <row r="1502" spans="62:76" ht="16.5" customHeight="1">
      <c r="BJ1502" s="105"/>
      <c r="BU1502" s="105"/>
      <c r="BV1502" s="105"/>
      <c r="BW1502" s="105"/>
      <c r="BX1502" s="105"/>
    </row>
    <row r="1503" spans="62:76" ht="16.5" customHeight="1">
      <c r="BJ1503" s="105"/>
      <c r="BU1503" s="105"/>
      <c r="BV1503" s="105"/>
      <c r="BW1503" s="105"/>
      <c r="BX1503" s="105"/>
    </row>
    <row r="1504" spans="62:76" ht="16.5" customHeight="1">
      <c r="BJ1504" s="105"/>
      <c r="BU1504" s="105"/>
      <c r="BV1504" s="105"/>
      <c r="BW1504" s="105"/>
      <c r="BX1504" s="105"/>
    </row>
    <row r="1505" spans="62:76" ht="16.5" customHeight="1">
      <c r="BJ1505" s="105"/>
      <c r="BU1505" s="105"/>
      <c r="BV1505" s="105"/>
      <c r="BW1505" s="105"/>
      <c r="BX1505" s="105"/>
    </row>
    <row r="1506" spans="62:76" ht="16.5" customHeight="1">
      <c r="BJ1506" s="105"/>
      <c r="BU1506" s="105"/>
      <c r="BV1506" s="105"/>
      <c r="BW1506" s="105"/>
      <c r="BX1506" s="105"/>
    </row>
    <row r="1507" spans="62:76" ht="16.5" customHeight="1">
      <c r="BJ1507" s="105"/>
      <c r="BU1507" s="105"/>
      <c r="BV1507" s="105"/>
      <c r="BW1507" s="105"/>
      <c r="BX1507" s="105"/>
    </row>
    <row r="1508" spans="62:76" ht="16.5" customHeight="1">
      <c r="BJ1508" s="105"/>
      <c r="BU1508" s="105"/>
      <c r="BV1508" s="105"/>
      <c r="BW1508" s="105"/>
      <c r="BX1508" s="105"/>
    </row>
    <row r="1509" spans="62:76" ht="16.5" customHeight="1">
      <c r="BJ1509" s="105"/>
      <c r="BU1509" s="105"/>
      <c r="BV1509" s="105"/>
      <c r="BW1509" s="105"/>
      <c r="BX1509" s="105"/>
    </row>
    <row r="1510" spans="62:76" ht="16.5" customHeight="1">
      <c r="BJ1510" s="105"/>
      <c r="BU1510" s="105"/>
      <c r="BV1510" s="105"/>
      <c r="BW1510" s="105"/>
      <c r="BX1510" s="105"/>
    </row>
    <row r="1511" spans="62:76" ht="16.5" customHeight="1">
      <c r="BJ1511" s="105"/>
      <c r="BU1511" s="105"/>
      <c r="BV1511" s="105"/>
      <c r="BW1511" s="105"/>
      <c r="BX1511" s="105"/>
    </row>
    <row r="1512" spans="62:76" ht="16.5" customHeight="1">
      <c r="BJ1512" s="105"/>
      <c r="BU1512" s="105"/>
      <c r="BV1512" s="105"/>
      <c r="BW1512" s="105"/>
      <c r="BX1512" s="105"/>
    </row>
    <row r="1513" spans="62:76" ht="16.5" customHeight="1">
      <c r="BJ1513" s="105"/>
      <c r="BU1513" s="105"/>
      <c r="BV1513" s="105"/>
      <c r="BW1513" s="105"/>
      <c r="BX1513" s="105"/>
    </row>
    <row r="1514" spans="62:76" ht="16.5" customHeight="1">
      <c r="BJ1514" s="105"/>
      <c r="BU1514" s="105"/>
      <c r="BV1514" s="105"/>
      <c r="BW1514" s="105"/>
      <c r="BX1514" s="105"/>
    </row>
    <row r="1515" spans="62:76" ht="16.5" customHeight="1">
      <c r="BJ1515" s="105"/>
      <c r="BU1515" s="105"/>
      <c r="BV1515" s="105"/>
      <c r="BW1515" s="105"/>
      <c r="BX1515" s="105"/>
    </row>
    <row r="1516" spans="62:76" ht="16.5" customHeight="1">
      <c r="BJ1516" s="105"/>
      <c r="BU1516" s="105"/>
      <c r="BV1516" s="105"/>
      <c r="BW1516" s="105"/>
      <c r="BX1516" s="105"/>
    </row>
    <row r="1517" spans="62:76" ht="16.5" customHeight="1">
      <c r="BJ1517" s="105"/>
      <c r="BU1517" s="105"/>
      <c r="BV1517" s="105"/>
      <c r="BW1517" s="105"/>
      <c r="BX1517" s="105"/>
    </row>
    <row r="1518" spans="62:76" ht="16.5" customHeight="1">
      <c r="BJ1518" s="105"/>
      <c r="BU1518" s="105"/>
      <c r="BV1518" s="105"/>
      <c r="BW1518" s="105"/>
      <c r="BX1518" s="105"/>
    </row>
    <row r="1519" spans="62:76" ht="16.5" customHeight="1">
      <c r="BJ1519" s="105"/>
      <c r="BU1519" s="105"/>
      <c r="BV1519" s="105"/>
      <c r="BW1519" s="105"/>
      <c r="BX1519" s="105"/>
    </row>
    <row r="1520" spans="62:76" ht="16.5" customHeight="1">
      <c r="BJ1520" s="105"/>
      <c r="BU1520" s="105"/>
      <c r="BV1520" s="105"/>
      <c r="BW1520" s="105"/>
      <c r="BX1520" s="105"/>
    </row>
    <row r="1521" spans="62:76" ht="16.5" customHeight="1">
      <c r="BJ1521" s="105"/>
      <c r="BU1521" s="105"/>
      <c r="BV1521" s="105"/>
      <c r="BW1521" s="105"/>
      <c r="BX1521" s="105"/>
    </row>
    <row r="1522" spans="62:76" ht="16.5" customHeight="1">
      <c r="BJ1522" s="105"/>
      <c r="BU1522" s="105"/>
      <c r="BV1522" s="105"/>
      <c r="BW1522" s="105"/>
      <c r="BX1522" s="105"/>
    </row>
    <row r="1523" spans="62:76" ht="16.5" customHeight="1">
      <c r="BJ1523" s="105"/>
      <c r="BU1523" s="105"/>
      <c r="BV1523" s="105"/>
      <c r="BW1523" s="105"/>
      <c r="BX1523" s="105"/>
    </row>
    <row r="1524" spans="62:76" ht="16.5" customHeight="1">
      <c r="BJ1524" s="105"/>
      <c r="BU1524" s="105"/>
      <c r="BV1524" s="105"/>
      <c r="BW1524" s="105"/>
      <c r="BX1524" s="105"/>
    </row>
    <row r="1525" spans="62:76" ht="16.5" customHeight="1">
      <c r="BJ1525" s="105"/>
      <c r="BU1525" s="105"/>
      <c r="BV1525" s="105"/>
      <c r="BW1525" s="105"/>
      <c r="BX1525" s="105"/>
    </row>
    <row r="1526" spans="62:76" ht="16.5" customHeight="1">
      <c r="BJ1526" s="105"/>
      <c r="BU1526" s="105"/>
      <c r="BV1526" s="105"/>
      <c r="BW1526" s="105"/>
      <c r="BX1526" s="105"/>
    </row>
    <row r="1527" spans="62:76" ht="16.5" customHeight="1">
      <c r="BJ1527" s="105"/>
      <c r="BU1527" s="105"/>
      <c r="BV1527" s="105"/>
      <c r="BW1527" s="105"/>
      <c r="BX1527" s="105"/>
    </row>
    <row r="1528" spans="62:76" ht="16.5" customHeight="1">
      <c r="BJ1528" s="105"/>
      <c r="BU1528" s="105"/>
      <c r="BV1528" s="105"/>
      <c r="BW1528" s="105"/>
      <c r="BX1528" s="105"/>
    </row>
    <row r="1529" spans="62:76" ht="16.5" customHeight="1">
      <c r="BJ1529" s="105"/>
      <c r="BU1529" s="105"/>
      <c r="BV1529" s="105"/>
      <c r="BW1529" s="105"/>
      <c r="BX1529" s="105"/>
    </row>
    <row r="1530" spans="62:76" ht="16.5" customHeight="1">
      <c r="BJ1530" s="105"/>
      <c r="BU1530" s="105"/>
      <c r="BV1530" s="105"/>
      <c r="BW1530" s="105"/>
      <c r="BX1530" s="105"/>
    </row>
    <row r="1531" spans="62:76" ht="16.5" customHeight="1">
      <c r="BJ1531" s="105"/>
      <c r="BU1531" s="105"/>
      <c r="BV1531" s="105"/>
      <c r="BW1531" s="105"/>
      <c r="BX1531" s="105"/>
    </row>
    <row r="1532" spans="62:76" ht="16.5" customHeight="1">
      <c r="BJ1532" s="105"/>
      <c r="BU1532" s="105"/>
      <c r="BV1532" s="105"/>
      <c r="BW1532" s="105"/>
      <c r="BX1532" s="105"/>
    </row>
    <row r="1533" spans="62:76" ht="16.5" customHeight="1">
      <c r="BJ1533" s="105"/>
      <c r="BU1533" s="105"/>
      <c r="BV1533" s="105"/>
      <c r="BW1533" s="105"/>
      <c r="BX1533" s="105"/>
    </row>
    <row r="1534" spans="62:76" ht="16.5" customHeight="1">
      <c r="BJ1534" s="105"/>
      <c r="BU1534" s="105"/>
      <c r="BV1534" s="105"/>
      <c r="BW1534" s="105"/>
      <c r="BX1534" s="105"/>
    </row>
    <row r="1535" spans="62:76" ht="16.5" customHeight="1">
      <c r="BJ1535" s="105"/>
      <c r="BU1535" s="105"/>
      <c r="BV1535" s="105"/>
      <c r="BW1535" s="105"/>
      <c r="BX1535" s="105"/>
    </row>
    <row r="1536" spans="62:76" ht="16.5" customHeight="1">
      <c r="BJ1536" s="105"/>
      <c r="BU1536" s="105"/>
      <c r="BV1536" s="105"/>
      <c r="BW1536" s="105"/>
      <c r="BX1536" s="105"/>
    </row>
    <row r="1537" spans="62:76" ht="16.5" customHeight="1">
      <c r="BJ1537" s="105"/>
      <c r="BU1537" s="105"/>
      <c r="BV1537" s="105"/>
      <c r="BW1537" s="105"/>
      <c r="BX1537" s="105"/>
    </row>
    <row r="1538" spans="62:76" ht="16.5" customHeight="1">
      <c r="BJ1538" s="105"/>
      <c r="BU1538" s="105"/>
      <c r="BV1538" s="105"/>
      <c r="BW1538" s="105"/>
      <c r="BX1538" s="105"/>
    </row>
    <row r="1539" spans="62:76" ht="16.5" customHeight="1">
      <c r="BJ1539" s="105"/>
      <c r="BU1539" s="105"/>
      <c r="BV1539" s="105"/>
      <c r="BW1539" s="105"/>
      <c r="BX1539" s="105"/>
    </row>
    <row r="1540" spans="62:76" ht="16.5" customHeight="1">
      <c r="BJ1540" s="105"/>
      <c r="BU1540" s="105"/>
      <c r="BV1540" s="105"/>
      <c r="BW1540" s="105"/>
      <c r="BX1540" s="105"/>
    </row>
    <row r="1541" spans="62:76" ht="16.5" customHeight="1">
      <c r="BJ1541" s="105"/>
      <c r="BU1541" s="105"/>
      <c r="BV1541" s="105"/>
      <c r="BW1541" s="105"/>
      <c r="BX1541" s="105"/>
    </row>
    <row r="1542" spans="62:76" ht="16.5" customHeight="1">
      <c r="BJ1542" s="105"/>
      <c r="BU1542" s="105"/>
      <c r="BV1542" s="105"/>
      <c r="BW1542" s="105"/>
      <c r="BX1542" s="105"/>
    </row>
    <row r="1543" spans="62:76" ht="16.5" customHeight="1">
      <c r="BJ1543" s="105"/>
      <c r="BU1543" s="105"/>
      <c r="BV1543" s="105"/>
      <c r="BW1543" s="105"/>
      <c r="BX1543" s="105"/>
    </row>
    <row r="1544" spans="62:76" ht="16.5" customHeight="1">
      <c r="BJ1544" s="105"/>
      <c r="BU1544" s="105"/>
      <c r="BV1544" s="105"/>
      <c r="BW1544" s="105"/>
      <c r="BX1544" s="105"/>
    </row>
    <row r="1545" spans="62:76" ht="16.5" customHeight="1">
      <c r="BJ1545" s="105"/>
      <c r="BU1545" s="105"/>
      <c r="BV1545" s="105"/>
      <c r="BW1545" s="105"/>
      <c r="BX1545" s="105"/>
    </row>
    <row r="1546" spans="62:76" ht="16.5" customHeight="1">
      <c r="BJ1546" s="105"/>
      <c r="BU1546" s="105"/>
      <c r="BV1546" s="105"/>
      <c r="BW1546" s="105"/>
      <c r="BX1546" s="105"/>
    </row>
    <row r="1547" spans="62:76" ht="16.5" customHeight="1">
      <c r="BJ1547" s="105"/>
      <c r="BU1547" s="105"/>
      <c r="BV1547" s="105"/>
      <c r="BW1547" s="105"/>
      <c r="BX1547" s="105"/>
    </row>
    <row r="1548" spans="62:76" ht="16.5" customHeight="1">
      <c r="BJ1548" s="105"/>
      <c r="BU1548" s="105"/>
      <c r="BV1548" s="105"/>
      <c r="BW1548" s="105"/>
      <c r="BX1548" s="105"/>
    </row>
    <row r="1549" spans="62:76" ht="16.5" customHeight="1">
      <c r="BJ1549" s="105"/>
      <c r="BU1549" s="105"/>
      <c r="BV1549" s="105"/>
      <c r="BW1549" s="105"/>
      <c r="BX1549" s="105"/>
    </row>
    <row r="1550" spans="62:76" ht="16.5" customHeight="1">
      <c r="BJ1550" s="105"/>
      <c r="BU1550" s="105"/>
      <c r="BV1550" s="105"/>
      <c r="BW1550" s="105"/>
      <c r="BX1550" s="105"/>
    </row>
    <row r="1551" spans="62:76" ht="16.5" customHeight="1">
      <c r="BJ1551" s="105"/>
      <c r="BU1551" s="105"/>
      <c r="BV1551" s="105"/>
      <c r="BW1551" s="105"/>
      <c r="BX1551" s="105"/>
    </row>
    <row r="1552" spans="62:76" ht="16.5" customHeight="1">
      <c r="BJ1552" s="105"/>
      <c r="BU1552" s="105"/>
      <c r="BV1552" s="105"/>
      <c r="BW1552" s="105"/>
      <c r="BX1552" s="105"/>
    </row>
    <row r="1553" spans="62:76" ht="16.5" customHeight="1">
      <c r="BJ1553" s="105"/>
      <c r="BU1553" s="105"/>
      <c r="BV1553" s="105"/>
      <c r="BW1553" s="105"/>
      <c r="BX1553" s="105"/>
    </row>
    <row r="1554" spans="62:76" ht="16.5" customHeight="1">
      <c r="BJ1554" s="105"/>
      <c r="BU1554" s="105"/>
      <c r="BV1554" s="105"/>
      <c r="BW1554" s="105"/>
      <c r="BX1554" s="105"/>
    </row>
    <row r="1555" spans="62:76" ht="16.5" customHeight="1">
      <c r="BJ1555" s="105"/>
      <c r="BU1555" s="105"/>
      <c r="BV1555" s="105"/>
      <c r="BW1555" s="105"/>
      <c r="BX1555" s="105"/>
    </row>
    <row r="1556" spans="62:76" ht="16.5" customHeight="1">
      <c r="BJ1556" s="105"/>
      <c r="BU1556" s="105"/>
      <c r="BV1556" s="105"/>
      <c r="BW1556" s="105"/>
      <c r="BX1556" s="105"/>
    </row>
    <row r="1557" spans="62:76" ht="16.5" customHeight="1">
      <c r="BJ1557" s="105"/>
      <c r="BU1557" s="105"/>
      <c r="BV1557" s="105"/>
      <c r="BW1557" s="105"/>
      <c r="BX1557" s="105"/>
    </row>
    <row r="1558" spans="62:76" ht="16.5" customHeight="1">
      <c r="BJ1558" s="105"/>
      <c r="BU1558" s="105"/>
      <c r="BV1558" s="105"/>
      <c r="BW1558" s="105"/>
      <c r="BX1558" s="105"/>
    </row>
    <row r="1559" spans="62:76" ht="16.5" customHeight="1">
      <c r="BJ1559" s="105"/>
      <c r="BU1559" s="105"/>
      <c r="BV1559" s="105"/>
      <c r="BW1559" s="105"/>
      <c r="BX1559" s="105"/>
    </row>
    <row r="1560" spans="62:76" ht="16.5" customHeight="1">
      <c r="BJ1560" s="105"/>
      <c r="BU1560" s="105"/>
      <c r="BV1560" s="105"/>
      <c r="BW1560" s="105"/>
      <c r="BX1560" s="105"/>
    </row>
    <row r="1561" spans="62:76" ht="16.5" customHeight="1">
      <c r="BJ1561" s="105"/>
      <c r="BU1561" s="105"/>
      <c r="BV1561" s="105"/>
      <c r="BW1561" s="105"/>
      <c r="BX1561" s="105"/>
    </row>
    <row r="1562" spans="62:76" ht="16.5" customHeight="1">
      <c r="BJ1562" s="105"/>
      <c r="BU1562" s="105"/>
      <c r="BV1562" s="105"/>
      <c r="BW1562" s="105"/>
      <c r="BX1562" s="105"/>
    </row>
    <row r="1563" spans="62:76" ht="16.5" customHeight="1">
      <c r="BJ1563" s="105"/>
      <c r="BU1563" s="105"/>
      <c r="BV1563" s="105"/>
      <c r="BW1563" s="105"/>
      <c r="BX1563" s="105"/>
    </row>
    <row r="1564" spans="62:76" ht="16.5" customHeight="1">
      <c r="BJ1564" s="105"/>
      <c r="BU1564" s="105"/>
      <c r="BV1564" s="105"/>
      <c r="BW1564" s="105"/>
      <c r="BX1564" s="105"/>
    </row>
    <row r="1565" spans="62:76" ht="16.5" customHeight="1">
      <c r="BJ1565" s="105"/>
      <c r="BU1565" s="105"/>
      <c r="BV1565" s="105"/>
      <c r="BW1565" s="105"/>
      <c r="BX1565" s="105"/>
    </row>
    <row r="1566" spans="62:76" ht="16.5" customHeight="1">
      <c r="BJ1566" s="105"/>
      <c r="BU1566" s="105"/>
      <c r="BV1566" s="105"/>
      <c r="BW1566" s="105"/>
      <c r="BX1566" s="105"/>
    </row>
    <row r="1567" spans="62:76" ht="16.5" customHeight="1">
      <c r="BJ1567" s="105"/>
      <c r="BU1567" s="105"/>
      <c r="BV1567" s="105"/>
      <c r="BW1567" s="105"/>
      <c r="BX1567" s="105"/>
    </row>
    <row r="1568" spans="62:76" ht="16.5" customHeight="1">
      <c r="BJ1568" s="105"/>
      <c r="BU1568" s="105"/>
      <c r="BV1568" s="105"/>
      <c r="BW1568" s="105"/>
      <c r="BX1568" s="105"/>
    </row>
    <row r="1569" spans="62:76" ht="16.5" customHeight="1">
      <c r="BJ1569" s="105"/>
      <c r="BU1569" s="105"/>
      <c r="BV1569" s="105"/>
      <c r="BW1569" s="105"/>
      <c r="BX1569" s="105"/>
    </row>
    <row r="1570" spans="62:76" ht="16.5" customHeight="1">
      <c r="BJ1570" s="105"/>
      <c r="BU1570" s="105"/>
      <c r="BV1570" s="105"/>
      <c r="BW1570" s="105"/>
      <c r="BX1570" s="105"/>
    </row>
    <row r="1571" spans="62:76" ht="16.5" customHeight="1">
      <c r="BJ1571" s="105"/>
      <c r="BU1571" s="105"/>
      <c r="BV1571" s="105"/>
      <c r="BW1571" s="105"/>
      <c r="BX1571" s="105"/>
    </row>
    <row r="1572" spans="62:76" ht="16.5" customHeight="1">
      <c r="BJ1572" s="105"/>
      <c r="BU1572" s="105"/>
      <c r="BV1572" s="105"/>
      <c r="BW1572" s="105"/>
      <c r="BX1572" s="105"/>
    </row>
    <row r="1573" spans="62:76" ht="16.5" customHeight="1">
      <c r="BJ1573" s="105"/>
      <c r="BU1573" s="105"/>
      <c r="BV1573" s="105"/>
      <c r="BW1573" s="105"/>
      <c r="BX1573" s="105"/>
    </row>
    <row r="1574" spans="62:76" ht="16.5" customHeight="1">
      <c r="BJ1574" s="105"/>
      <c r="BU1574" s="105"/>
      <c r="BV1574" s="105"/>
      <c r="BW1574" s="105"/>
      <c r="BX1574" s="105"/>
    </row>
    <row r="1575" spans="62:76" ht="16.5" customHeight="1">
      <c r="BJ1575" s="105"/>
      <c r="BU1575" s="105"/>
      <c r="BV1575" s="105"/>
      <c r="BW1575" s="105"/>
      <c r="BX1575" s="105"/>
    </row>
    <row r="1576" spans="62:76" ht="16.5" customHeight="1">
      <c r="BJ1576" s="105"/>
      <c r="BU1576" s="105"/>
      <c r="BV1576" s="105"/>
      <c r="BW1576" s="105"/>
      <c r="BX1576" s="105"/>
    </row>
    <row r="1577" spans="62:76" ht="16.5" customHeight="1">
      <c r="BJ1577" s="105"/>
      <c r="BU1577" s="105"/>
      <c r="BV1577" s="105"/>
      <c r="BW1577" s="105"/>
      <c r="BX1577" s="105"/>
    </row>
    <row r="1578" spans="62:76" ht="16.5" customHeight="1">
      <c r="BJ1578" s="105"/>
      <c r="BU1578" s="105"/>
      <c r="BV1578" s="105"/>
      <c r="BW1578" s="105"/>
      <c r="BX1578" s="105"/>
    </row>
    <row r="1579" spans="62:76" ht="16.5" customHeight="1">
      <c r="BJ1579" s="105"/>
      <c r="BU1579" s="105"/>
      <c r="BV1579" s="105"/>
      <c r="BW1579" s="105"/>
      <c r="BX1579" s="105"/>
    </row>
    <row r="1580" spans="62:76" ht="16.5" customHeight="1">
      <c r="BJ1580" s="105"/>
      <c r="BU1580" s="105"/>
      <c r="BV1580" s="105"/>
      <c r="BW1580" s="105"/>
      <c r="BX1580" s="105"/>
    </row>
    <row r="1581" spans="62:76" ht="16.5" customHeight="1">
      <c r="BJ1581" s="105"/>
      <c r="BU1581" s="105"/>
      <c r="BV1581" s="105"/>
      <c r="BW1581" s="105"/>
      <c r="BX1581" s="105"/>
    </row>
    <row r="1582" spans="62:76" ht="16.5" customHeight="1">
      <c r="BJ1582" s="105"/>
      <c r="BU1582" s="105"/>
      <c r="BV1582" s="105"/>
      <c r="BW1582" s="105"/>
      <c r="BX1582" s="105"/>
    </row>
    <row r="1583" spans="62:76" ht="16.5" customHeight="1">
      <c r="BJ1583" s="105"/>
      <c r="BU1583" s="105"/>
      <c r="BV1583" s="105"/>
      <c r="BW1583" s="105"/>
      <c r="BX1583" s="105"/>
    </row>
    <row r="1584" spans="62:76" ht="16.5" customHeight="1">
      <c r="BJ1584" s="105"/>
      <c r="BU1584" s="105"/>
      <c r="BV1584" s="105"/>
      <c r="BW1584" s="105"/>
      <c r="BX1584" s="105"/>
    </row>
    <row r="1585" spans="62:76" ht="16.5" customHeight="1">
      <c r="BJ1585" s="105"/>
      <c r="BU1585" s="105"/>
      <c r="BV1585" s="105"/>
      <c r="BW1585" s="105"/>
      <c r="BX1585" s="105"/>
    </row>
    <row r="1586" spans="62:76" ht="16.5" customHeight="1">
      <c r="BJ1586" s="105"/>
      <c r="BU1586" s="105"/>
      <c r="BV1586" s="105"/>
      <c r="BW1586" s="105"/>
      <c r="BX1586" s="105"/>
    </row>
    <row r="1587" spans="62:76" ht="16.5" customHeight="1">
      <c r="BJ1587" s="105"/>
      <c r="BU1587" s="105"/>
      <c r="BV1587" s="105"/>
      <c r="BW1587" s="105"/>
      <c r="BX1587" s="105"/>
    </row>
    <row r="1588" spans="62:76" ht="16.5" customHeight="1">
      <c r="BJ1588" s="105"/>
      <c r="BU1588" s="105"/>
      <c r="BV1588" s="105"/>
      <c r="BW1588" s="105"/>
      <c r="BX1588" s="105"/>
    </row>
    <row r="1589" spans="62:76" ht="16.5" customHeight="1">
      <c r="BJ1589" s="105"/>
      <c r="BU1589" s="105"/>
      <c r="BV1589" s="105"/>
      <c r="BW1589" s="105"/>
      <c r="BX1589" s="105"/>
    </row>
    <row r="1590" spans="62:76" ht="16.5" customHeight="1">
      <c r="BJ1590" s="105"/>
      <c r="BU1590" s="105"/>
      <c r="BV1590" s="105"/>
      <c r="BW1590" s="105"/>
      <c r="BX1590" s="105"/>
    </row>
    <row r="1591" spans="62:76" ht="16.5" customHeight="1">
      <c r="BJ1591" s="105"/>
      <c r="BU1591" s="105"/>
      <c r="BV1591" s="105"/>
      <c r="BW1591" s="105"/>
      <c r="BX1591" s="105"/>
    </row>
    <row r="1592" spans="62:76" ht="16.5" customHeight="1">
      <c r="BJ1592" s="105"/>
      <c r="BU1592" s="105"/>
      <c r="BV1592" s="105"/>
      <c r="BW1592" s="105"/>
      <c r="BX1592" s="105"/>
    </row>
    <row r="1593" spans="62:76" ht="16.5" customHeight="1">
      <c r="BJ1593" s="105"/>
      <c r="BU1593" s="105"/>
      <c r="BV1593" s="105"/>
      <c r="BW1593" s="105"/>
      <c r="BX1593" s="105"/>
    </row>
    <row r="1594" spans="62:76" ht="16.5" customHeight="1">
      <c r="BJ1594" s="105"/>
      <c r="BU1594" s="105"/>
      <c r="BV1594" s="105"/>
      <c r="BW1594" s="105"/>
      <c r="BX1594" s="105"/>
    </row>
    <row r="1595" spans="62:76" ht="16.5" customHeight="1">
      <c r="BJ1595" s="105"/>
      <c r="BU1595" s="105"/>
      <c r="BV1595" s="105"/>
      <c r="BW1595" s="105"/>
      <c r="BX1595" s="105"/>
    </row>
    <row r="1596" spans="62:76" ht="16.5" customHeight="1">
      <c r="BJ1596" s="105"/>
      <c r="BU1596" s="105"/>
      <c r="BV1596" s="105"/>
      <c r="BW1596" s="105"/>
      <c r="BX1596" s="105"/>
    </row>
    <row r="1597" spans="62:76" ht="16.5" customHeight="1">
      <c r="BJ1597" s="105"/>
      <c r="BU1597" s="105"/>
      <c r="BV1597" s="105"/>
      <c r="BW1597" s="105"/>
      <c r="BX1597" s="105"/>
    </row>
    <row r="1598" spans="62:76" ht="16.5" customHeight="1">
      <c r="BJ1598" s="105"/>
      <c r="BU1598" s="105"/>
      <c r="BV1598" s="105"/>
      <c r="BW1598" s="105"/>
      <c r="BX1598" s="105"/>
    </row>
    <row r="1599" spans="62:76" ht="16.5" customHeight="1">
      <c r="BJ1599" s="105"/>
      <c r="BU1599" s="105"/>
      <c r="BV1599" s="105"/>
      <c r="BW1599" s="105"/>
      <c r="BX1599" s="105"/>
    </row>
    <row r="1600" spans="62:76" ht="16.5" customHeight="1">
      <c r="BJ1600" s="105"/>
      <c r="BU1600" s="105"/>
      <c r="BV1600" s="105"/>
      <c r="BW1600" s="105"/>
      <c r="BX1600" s="105"/>
    </row>
    <row r="1601" spans="62:76" ht="16.5" customHeight="1">
      <c r="BJ1601" s="105"/>
      <c r="BU1601" s="105"/>
      <c r="BV1601" s="105"/>
      <c r="BW1601" s="105"/>
      <c r="BX1601" s="105"/>
    </row>
    <row r="1602" spans="62:76" ht="16.5" customHeight="1">
      <c r="BJ1602" s="105"/>
      <c r="BU1602" s="105"/>
      <c r="BV1602" s="105"/>
      <c r="BW1602" s="105"/>
      <c r="BX1602" s="105"/>
    </row>
    <row r="1603" spans="62:76" ht="16.5" customHeight="1">
      <c r="BJ1603" s="105"/>
      <c r="BU1603" s="105"/>
      <c r="BV1603" s="105"/>
      <c r="BW1603" s="105"/>
      <c r="BX1603" s="105"/>
    </row>
    <row r="1604" spans="62:76" ht="16.5" customHeight="1">
      <c r="BJ1604" s="105"/>
      <c r="BU1604" s="105"/>
      <c r="BV1604" s="105"/>
      <c r="BW1604" s="105"/>
      <c r="BX1604" s="105"/>
    </row>
    <row r="1605" spans="62:76" ht="16.5" customHeight="1">
      <c r="BJ1605" s="105"/>
      <c r="BU1605" s="105"/>
      <c r="BV1605" s="105"/>
      <c r="BW1605" s="105"/>
      <c r="BX1605" s="105"/>
    </row>
    <row r="1606" spans="62:76" ht="16.5" customHeight="1">
      <c r="BJ1606" s="105"/>
      <c r="BU1606" s="105"/>
      <c r="BV1606" s="105"/>
      <c r="BW1606" s="105"/>
      <c r="BX1606" s="105"/>
    </row>
    <row r="1607" spans="62:76" ht="16.5" customHeight="1">
      <c r="BJ1607" s="105"/>
      <c r="BU1607" s="105"/>
      <c r="BV1607" s="105"/>
      <c r="BW1607" s="105"/>
      <c r="BX1607" s="105"/>
    </row>
    <row r="1608" spans="62:76" ht="16.5" customHeight="1">
      <c r="BJ1608" s="105"/>
      <c r="BU1608" s="105"/>
      <c r="BV1608" s="105"/>
      <c r="BW1608" s="105"/>
      <c r="BX1608" s="105"/>
    </row>
    <row r="1609" spans="62:76" ht="16.5" customHeight="1">
      <c r="BJ1609" s="105"/>
      <c r="BU1609" s="105"/>
      <c r="BV1609" s="105"/>
      <c r="BW1609" s="105"/>
      <c r="BX1609" s="105"/>
    </row>
    <row r="1610" spans="62:76" ht="16.5" customHeight="1">
      <c r="BJ1610" s="105"/>
      <c r="BU1610" s="105"/>
      <c r="BV1610" s="105"/>
      <c r="BW1610" s="105"/>
      <c r="BX1610" s="105"/>
    </row>
    <row r="1611" spans="62:76" ht="16.5" customHeight="1">
      <c r="BJ1611" s="105"/>
      <c r="BU1611" s="105"/>
      <c r="BV1611" s="105"/>
      <c r="BW1611" s="105"/>
      <c r="BX1611" s="105"/>
    </row>
    <row r="1612" spans="62:76" ht="16.5" customHeight="1">
      <c r="BJ1612" s="105"/>
      <c r="BU1612" s="105"/>
      <c r="BV1612" s="105"/>
      <c r="BW1612" s="105"/>
      <c r="BX1612" s="105"/>
    </row>
    <row r="1613" spans="62:76" ht="16.5" customHeight="1">
      <c r="BJ1613" s="105"/>
      <c r="BU1613" s="105"/>
      <c r="BV1613" s="105"/>
      <c r="BW1613" s="105"/>
      <c r="BX1613" s="105"/>
    </row>
    <row r="1614" spans="62:76" ht="16.5" customHeight="1">
      <c r="BJ1614" s="105"/>
      <c r="BU1614" s="105"/>
      <c r="BV1614" s="105"/>
      <c r="BW1614" s="105"/>
      <c r="BX1614" s="105"/>
    </row>
    <row r="1615" spans="62:76" ht="16.5" customHeight="1">
      <c r="BJ1615" s="105"/>
      <c r="BU1615" s="105"/>
      <c r="BV1615" s="105"/>
      <c r="BW1615" s="105"/>
      <c r="BX1615" s="105"/>
    </row>
    <row r="1616" spans="62:76" ht="16.5" customHeight="1">
      <c r="BJ1616" s="105"/>
      <c r="BU1616" s="105"/>
      <c r="BV1616" s="105"/>
      <c r="BW1616" s="105"/>
      <c r="BX1616" s="105"/>
    </row>
    <row r="1617" spans="62:76" ht="16.5" customHeight="1">
      <c r="BJ1617" s="105"/>
      <c r="BU1617" s="105"/>
      <c r="BV1617" s="105"/>
      <c r="BW1617" s="105"/>
      <c r="BX1617" s="105"/>
    </row>
    <row r="1618" spans="62:76" ht="16.5" customHeight="1">
      <c r="BJ1618" s="105"/>
      <c r="BU1618" s="105"/>
      <c r="BV1618" s="105"/>
      <c r="BW1618" s="105"/>
      <c r="BX1618" s="105"/>
    </row>
    <row r="1619" spans="62:76" ht="16.5" customHeight="1">
      <c r="BJ1619" s="105"/>
      <c r="BU1619" s="105"/>
      <c r="BV1619" s="105"/>
      <c r="BW1619" s="105"/>
      <c r="BX1619" s="105"/>
    </row>
    <row r="1620" spans="62:76" ht="16.5" customHeight="1">
      <c r="BJ1620" s="105"/>
      <c r="BU1620" s="105"/>
      <c r="BV1620" s="105"/>
      <c r="BW1620" s="105"/>
      <c r="BX1620" s="105"/>
    </row>
    <row r="1621" spans="62:76" ht="16.5" customHeight="1">
      <c r="BJ1621" s="105"/>
      <c r="BU1621" s="105"/>
      <c r="BV1621" s="105"/>
      <c r="BW1621" s="105"/>
      <c r="BX1621" s="105"/>
    </row>
    <row r="1622" spans="62:76" ht="16.5" customHeight="1">
      <c r="BJ1622" s="105"/>
      <c r="BU1622" s="105"/>
      <c r="BV1622" s="105"/>
      <c r="BW1622" s="105"/>
      <c r="BX1622" s="105"/>
    </row>
    <row r="1623" spans="62:76" ht="16.5" customHeight="1">
      <c r="BJ1623" s="105"/>
      <c r="BU1623" s="105"/>
      <c r="BV1623" s="105"/>
      <c r="BW1623" s="105"/>
      <c r="BX1623" s="105"/>
    </row>
    <row r="1624" spans="62:76" ht="16.5" customHeight="1">
      <c r="BJ1624" s="105"/>
      <c r="BU1624" s="105"/>
      <c r="BV1624" s="105"/>
      <c r="BW1624" s="105"/>
      <c r="BX1624" s="105"/>
    </row>
    <row r="1625" spans="62:76" ht="16.5" customHeight="1">
      <c r="BJ1625" s="105"/>
      <c r="BU1625" s="105"/>
      <c r="BV1625" s="105"/>
      <c r="BW1625" s="105"/>
      <c r="BX1625" s="105"/>
    </row>
    <row r="1626" spans="62:76" ht="16.5" customHeight="1">
      <c r="BJ1626" s="105"/>
      <c r="BU1626" s="105"/>
      <c r="BV1626" s="105"/>
      <c r="BW1626" s="105"/>
      <c r="BX1626" s="105"/>
    </row>
    <row r="1627" spans="62:76" ht="16.5" customHeight="1">
      <c r="BJ1627" s="105"/>
      <c r="BU1627" s="105"/>
      <c r="BV1627" s="105"/>
      <c r="BW1627" s="105"/>
      <c r="BX1627" s="105"/>
    </row>
    <row r="1628" spans="62:76" ht="16.5" customHeight="1">
      <c r="BJ1628" s="105"/>
      <c r="BU1628" s="105"/>
      <c r="BV1628" s="105"/>
      <c r="BW1628" s="105"/>
      <c r="BX1628" s="105"/>
    </row>
    <row r="1629" spans="62:76" ht="16.5" customHeight="1">
      <c r="BJ1629" s="105"/>
      <c r="BU1629" s="105"/>
      <c r="BV1629" s="105"/>
      <c r="BW1629" s="105"/>
      <c r="BX1629" s="105"/>
    </row>
    <row r="1630" spans="62:76" ht="16.5" customHeight="1">
      <c r="BJ1630" s="105"/>
      <c r="BU1630" s="105"/>
      <c r="BV1630" s="105"/>
      <c r="BW1630" s="105"/>
      <c r="BX1630" s="105"/>
    </row>
    <row r="1631" spans="62:76" ht="16.5" customHeight="1">
      <c r="BJ1631" s="105"/>
      <c r="BU1631" s="105"/>
      <c r="BV1631" s="105"/>
      <c r="BW1631" s="105"/>
      <c r="BX1631" s="105"/>
    </row>
    <row r="1632" spans="62:76" ht="16.5" customHeight="1">
      <c r="BJ1632" s="105"/>
      <c r="BU1632" s="105"/>
      <c r="BV1632" s="105"/>
      <c r="BW1632" s="105"/>
      <c r="BX1632" s="105"/>
    </row>
    <row r="1633" spans="62:76" ht="16.5" customHeight="1">
      <c r="BJ1633" s="105"/>
      <c r="BU1633" s="105"/>
      <c r="BV1633" s="105"/>
      <c r="BW1633" s="105"/>
      <c r="BX1633" s="105"/>
    </row>
    <row r="1634" spans="62:76" ht="16.5" customHeight="1">
      <c r="BJ1634" s="105"/>
      <c r="BU1634" s="105"/>
      <c r="BV1634" s="105"/>
      <c r="BW1634" s="105"/>
      <c r="BX1634" s="105"/>
    </row>
    <row r="1635" spans="62:76" ht="16.5" customHeight="1">
      <c r="BJ1635" s="105"/>
      <c r="BU1635" s="105"/>
      <c r="BV1635" s="105"/>
      <c r="BW1635" s="105"/>
      <c r="BX1635" s="105"/>
    </row>
    <row r="1636" spans="62:76" ht="16.5" customHeight="1">
      <c r="BJ1636" s="105"/>
      <c r="BU1636" s="105"/>
      <c r="BV1636" s="105"/>
      <c r="BW1636" s="105"/>
      <c r="BX1636" s="105"/>
    </row>
    <row r="1637" spans="62:76" ht="16.5" customHeight="1">
      <c r="BJ1637" s="105"/>
      <c r="BU1637" s="105"/>
      <c r="BV1637" s="105"/>
      <c r="BW1637" s="105"/>
      <c r="BX1637" s="105"/>
    </row>
    <row r="1638" spans="62:76" ht="16.5" customHeight="1">
      <c r="BJ1638" s="105"/>
      <c r="BU1638" s="105"/>
      <c r="BV1638" s="105"/>
      <c r="BW1638" s="105"/>
      <c r="BX1638" s="105"/>
    </row>
    <row r="1639" spans="62:76" ht="16.5" customHeight="1">
      <c r="BJ1639" s="105"/>
      <c r="BU1639" s="105"/>
      <c r="BV1639" s="105"/>
      <c r="BW1639" s="105"/>
      <c r="BX1639" s="105"/>
    </row>
    <row r="1640" spans="62:76" ht="16.5" customHeight="1">
      <c r="BJ1640" s="105"/>
      <c r="BU1640" s="105"/>
      <c r="BV1640" s="105"/>
      <c r="BW1640" s="105"/>
      <c r="BX1640" s="105"/>
    </row>
    <row r="1641" spans="62:76" ht="16.5" customHeight="1">
      <c r="BJ1641" s="105"/>
      <c r="BU1641" s="105"/>
      <c r="BV1641" s="105"/>
      <c r="BW1641" s="105"/>
      <c r="BX1641" s="105"/>
    </row>
    <row r="1642" spans="62:76" ht="16.5" customHeight="1">
      <c r="BJ1642" s="105"/>
      <c r="BU1642" s="105"/>
      <c r="BV1642" s="105"/>
      <c r="BW1642" s="105"/>
      <c r="BX1642" s="105"/>
    </row>
    <row r="1643" spans="62:76" ht="16.5" customHeight="1">
      <c r="BJ1643" s="105"/>
      <c r="BU1643" s="105"/>
      <c r="BV1643" s="105"/>
      <c r="BW1643" s="105"/>
      <c r="BX1643" s="105"/>
    </row>
    <row r="1644" spans="62:76" ht="16.5" customHeight="1">
      <c r="BJ1644" s="105"/>
      <c r="BU1644" s="105"/>
      <c r="BV1644" s="105"/>
      <c r="BW1644" s="105"/>
      <c r="BX1644" s="105"/>
    </row>
    <row r="1645" spans="62:76" ht="16.5" customHeight="1">
      <c r="BJ1645" s="105"/>
      <c r="BU1645" s="105"/>
      <c r="BV1645" s="105"/>
      <c r="BW1645" s="105"/>
      <c r="BX1645" s="105"/>
    </row>
    <row r="1646" spans="62:76" ht="16.5" customHeight="1">
      <c r="BJ1646" s="105"/>
      <c r="BU1646" s="105"/>
      <c r="BV1646" s="105"/>
      <c r="BW1646" s="105"/>
      <c r="BX1646" s="105"/>
    </row>
    <row r="1647" spans="62:76" ht="16.5" customHeight="1">
      <c r="BJ1647" s="105"/>
      <c r="BU1647" s="105"/>
      <c r="BV1647" s="105"/>
      <c r="BW1647" s="105"/>
      <c r="BX1647" s="105"/>
    </row>
    <row r="1648" spans="62:76" ht="16.5" customHeight="1">
      <c r="BJ1648" s="105"/>
      <c r="BU1648" s="105"/>
      <c r="BV1648" s="105"/>
      <c r="BW1648" s="105"/>
      <c r="BX1648" s="105"/>
    </row>
    <row r="1649" spans="62:76" ht="16.5" customHeight="1">
      <c r="BJ1649" s="105"/>
      <c r="BU1649" s="105"/>
      <c r="BV1649" s="105"/>
      <c r="BW1649" s="105"/>
      <c r="BX1649" s="105"/>
    </row>
    <row r="1650" spans="62:76" ht="16.5" customHeight="1">
      <c r="BJ1650" s="105"/>
      <c r="BU1650" s="105"/>
      <c r="BV1650" s="105"/>
      <c r="BW1650" s="105"/>
      <c r="BX1650" s="105"/>
    </row>
    <row r="1651" spans="62:76" ht="16.5" customHeight="1">
      <c r="BJ1651" s="105"/>
      <c r="BU1651" s="105"/>
      <c r="BV1651" s="105"/>
      <c r="BW1651" s="105"/>
      <c r="BX1651" s="105"/>
    </row>
    <row r="1652" spans="62:76" ht="16.5" customHeight="1">
      <c r="BJ1652" s="105"/>
      <c r="BU1652" s="105"/>
      <c r="BV1652" s="105"/>
      <c r="BW1652" s="105"/>
      <c r="BX1652" s="105"/>
    </row>
    <row r="1653" spans="62:76" ht="16.5" customHeight="1">
      <c r="BJ1653" s="105"/>
      <c r="BU1653" s="105"/>
      <c r="BV1653" s="105"/>
      <c r="BW1653" s="105"/>
      <c r="BX1653" s="105"/>
    </row>
    <row r="1654" spans="62:76" ht="16.5" customHeight="1">
      <c r="BJ1654" s="105"/>
      <c r="BU1654" s="105"/>
      <c r="BV1654" s="105"/>
      <c r="BW1654" s="105"/>
      <c r="BX1654" s="105"/>
    </row>
    <row r="1655" spans="62:76" ht="16.5" customHeight="1">
      <c r="BJ1655" s="105"/>
      <c r="BU1655" s="105"/>
      <c r="BV1655" s="105"/>
      <c r="BW1655" s="105"/>
      <c r="BX1655" s="105"/>
    </row>
    <row r="1656" spans="62:76" ht="16.5" customHeight="1">
      <c r="BJ1656" s="105"/>
      <c r="BU1656" s="105"/>
      <c r="BV1656" s="105"/>
      <c r="BW1656" s="105"/>
      <c r="BX1656" s="105"/>
    </row>
    <row r="1657" spans="62:76" ht="16.5" customHeight="1">
      <c r="BJ1657" s="105"/>
      <c r="BU1657" s="105"/>
      <c r="BV1657" s="105"/>
      <c r="BW1657" s="105"/>
      <c r="BX1657" s="105"/>
    </row>
    <row r="1658" spans="62:76" ht="16.5" customHeight="1">
      <c r="BJ1658" s="105"/>
      <c r="BU1658" s="105"/>
      <c r="BV1658" s="105"/>
      <c r="BW1658" s="105"/>
      <c r="BX1658" s="105"/>
    </row>
    <row r="1659" spans="62:76" ht="16.5" customHeight="1">
      <c r="BJ1659" s="105"/>
      <c r="BU1659" s="105"/>
      <c r="BV1659" s="105"/>
      <c r="BW1659" s="105"/>
      <c r="BX1659" s="105"/>
    </row>
    <row r="1660" spans="62:76" ht="16.5" customHeight="1">
      <c r="BJ1660" s="105"/>
      <c r="BU1660" s="105"/>
      <c r="BV1660" s="105"/>
      <c r="BW1660" s="105"/>
      <c r="BX1660" s="105"/>
    </row>
    <row r="1661" spans="62:76" ht="16.5" customHeight="1">
      <c r="BJ1661" s="105"/>
      <c r="BU1661" s="105"/>
      <c r="BV1661" s="105"/>
      <c r="BW1661" s="105"/>
      <c r="BX1661" s="105"/>
    </row>
    <row r="1662" spans="62:76" ht="16.5" customHeight="1">
      <c r="BJ1662" s="105"/>
      <c r="BU1662" s="105"/>
      <c r="BV1662" s="105"/>
      <c r="BW1662" s="105"/>
      <c r="BX1662" s="105"/>
    </row>
    <row r="1663" spans="62:76" ht="16.5" customHeight="1">
      <c r="BJ1663" s="105"/>
      <c r="BU1663" s="105"/>
      <c r="BV1663" s="105"/>
      <c r="BW1663" s="105"/>
      <c r="BX1663" s="105"/>
    </row>
    <row r="1664" spans="62:76" ht="16.5" customHeight="1">
      <c r="BJ1664" s="105"/>
      <c r="BU1664" s="105"/>
      <c r="BV1664" s="105"/>
      <c r="BW1664" s="105"/>
      <c r="BX1664" s="105"/>
    </row>
    <row r="1665" spans="62:76" ht="16.5" customHeight="1">
      <c r="BJ1665" s="105"/>
      <c r="BU1665" s="105"/>
      <c r="BV1665" s="105"/>
      <c r="BW1665" s="105"/>
      <c r="BX1665" s="105"/>
    </row>
    <row r="1666" spans="62:76" ht="16.5" customHeight="1">
      <c r="BJ1666" s="105"/>
      <c r="BU1666" s="105"/>
      <c r="BV1666" s="105"/>
      <c r="BW1666" s="105"/>
      <c r="BX1666" s="105"/>
    </row>
    <row r="1667" spans="62:76" ht="16.5" customHeight="1">
      <c r="BJ1667" s="105"/>
      <c r="BU1667" s="105"/>
      <c r="BV1667" s="105"/>
      <c r="BW1667" s="105"/>
      <c r="BX1667" s="105"/>
    </row>
    <row r="1668" spans="62:76" ht="16.5" customHeight="1">
      <c r="BJ1668" s="105"/>
    </row>
    <row r="1669" spans="62:76" ht="16.5" customHeight="1">
      <c r="BJ1669" s="105"/>
    </row>
  </sheetData>
  <mergeCells count="23">
    <mergeCell ref="A1:L3"/>
    <mergeCell ref="M1:AD1"/>
    <mergeCell ref="AE1:AQ1"/>
    <mergeCell ref="AR1:BA1"/>
    <mergeCell ref="BB1:BT1"/>
    <mergeCell ref="M2:AD3"/>
    <mergeCell ref="AE2:AQ3"/>
    <mergeCell ref="AR2:BA3"/>
    <mergeCell ref="BB2:BT3"/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</mergeCells>
  <pageMargins left="0.19685039370078741" right="0.19685039370078741" top="0.59055118110236227" bottom="0.39370078740157483" header="0.19685039370078741" footer="0.19685039370078741"/>
  <pageSetup paperSize="9" scale="38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A4C9-A583-4B6E-B6EF-F7F45BED99C3}">
  <sheetPr>
    <pageSetUpPr fitToPage="1"/>
  </sheetPr>
  <dimension ref="A1:FX48"/>
  <sheetViews>
    <sheetView zoomScale="70" zoomScaleNormal="70" workbookViewId="0">
      <selection activeCell="BI43" sqref="BI43"/>
    </sheetView>
  </sheetViews>
  <sheetFormatPr defaultColWidth="3.140625" defaultRowHeight="16.5" customHeight="1"/>
  <cols>
    <col min="1" max="2" width="3.140625" style="104" customWidth="1"/>
    <col min="3" max="3" width="4" style="104" customWidth="1"/>
    <col min="4" max="10" width="3.140625" style="104" customWidth="1"/>
    <col min="11" max="11" width="4" style="104" customWidth="1"/>
    <col min="12" max="41" width="3.140625" style="104" customWidth="1"/>
    <col min="42" max="42" width="4.28515625" style="104" customWidth="1"/>
    <col min="43" max="43" width="3.140625" style="104" customWidth="1"/>
    <col min="44" max="71" width="3.140625" style="104"/>
    <col min="72" max="72" width="4.5703125" style="104" customWidth="1"/>
    <col min="73" max="16384" width="3.140625" style="104"/>
  </cols>
  <sheetData>
    <row r="1" spans="1:125" s="17" customFormat="1" ht="19.5" customHeight="1">
      <c r="A1" s="617" t="s">
        <v>23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9"/>
      <c r="M1" s="626" t="s">
        <v>24</v>
      </c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8"/>
      <c r="AE1" s="626" t="s">
        <v>25</v>
      </c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9" t="s">
        <v>26</v>
      </c>
      <c r="AS1" s="630"/>
      <c r="AT1" s="630"/>
      <c r="AU1" s="630"/>
      <c r="AV1" s="630"/>
      <c r="AW1" s="630"/>
      <c r="AX1" s="630"/>
      <c r="AY1" s="630"/>
      <c r="AZ1" s="630"/>
      <c r="BA1" s="630"/>
      <c r="BB1" s="629" t="s">
        <v>27</v>
      </c>
      <c r="BC1" s="630"/>
      <c r="BD1" s="630"/>
      <c r="BE1" s="630"/>
      <c r="BF1" s="630"/>
      <c r="BG1" s="630"/>
      <c r="BH1" s="630"/>
      <c r="BI1" s="630"/>
      <c r="BJ1" s="630"/>
      <c r="BK1" s="630"/>
      <c r="BL1" s="630"/>
      <c r="BM1" s="630"/>
      <c r="BN1" s="630"/>
      <c r="BO1" s="630"/>
      <c r="BP1" s="630"/>
      <c r="BQ1" s="630"/>
      <c r="BR1" s="630"/>
      <c r="BS1" s="630"/>
      <c r="BT1" s="631"/>
      <c r="BU1" s="655" t="s">
        <v>28</v>
      </c>
      <c r="BV1" s="627"/>
      <c r="BW1" s="627"/>
      <c r="BX1" s="627"/>
      <c r="BY1" s="627"/>
      <c r="BZ1" s="627"/>
      <c r="CA1" s="627"/>
      <c r="CB1" s="627"/>
      <c r="CC1" s="627"/>
      <c r="CD1" s="627"/>
      <c r="CE1" s="627"/>
      <c r="CF1" s="627"/>
      <c r="CG1" s="627"/>
      <c r="CH1" s="627"/>
      <c r="CI1" s="627"/>
      <c r="CJ1" s="655" t="s">
        <v>60</v>
      </c>
      <c r="CK1" s="627"/>
      <c r="CL1" s="627"/>
      <c r="CM1" s="627"/>
      <c r="CN1" s="627"/>
      <c r="CO1" s="627"/>
      <c r="CP1" s="627"/>
      <c r="CQ1" s="627"/>
      <c r="CR1" s="627"/>
      <c r="CS1" s="627"/>
      <c r="CT1" s="627"/>
      <c r="CU1" s="627"/>
      <c r="CV1" s="627"/>
      <c r="CW1" s="628"/>
      <c r="CX1" s="635" t="s">
        <v>29</v>
      </c>
      <c r="CY1" s="635"/>
      <c r="CZ1" s="635"/>
      <c r="DA1" s="635"/>
      <c r="DB1" s="635"/>
      <c r="DC1" s="635"/>
      <c r="DD1" s="635"/>
      <c r="DE1" s="635"/>
      <c r="DF1" s="635"/>
      <c r="DG1" s="635" t="s">
        <v>29</v>
      </c>
      <c r="DH1" s="635"/>
      <c r="DI1" s="635"/>
      <c r="DJ1" s="635"/>
      <c r="DK1" s="635"/>
      <c r="DL1" s="635"/>
      <c r="DM1" s="635"/>
      <c r="DN1" s="635"/>
      <c r="DO1" s="636"/>
    </row>
    <row r="2" spans="1:125" s="17" customFormat="1" ht="19.899999999999999" customHeight="1">
      <c r="A2" s="620"/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2"/>
      <c r="M2" s="637" t="s">
        <v>200</v>
      </c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9"/>
      <c r="AE2" s="643" t="s">
        <v>218</v>
      </c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7" t="s">
        <v>215</v>
      </c>
      <c r="AS2" s="648"/>
      <c r="AT2" s="648"/>
      <c r="AU2" s="648"/>
      <c r="AV2" s="648"/>
      <c r="AW2" s="648"/>
      <c r="AX2" s="648"/>
      <c r="AY2" s="648"/>
      <c r="AZ2" s="648"/>
      <c r="BA2" s="648"/>
      <c r="BB2" s="647" t="s">
        <v>263</v>
      </c>
      <c r="BC2" s="648"/>
      <c r="BD2" s="648"/>
      <c r="BE2" s="648"/>
      <c r="BF2" s="648"/>
      <c r="BG2" s="648"/>
      <c r="BH2" s="648"/>
      <c r="BI2" s="648"/>
      <c r="BJ2" s="648"/>
      <c r="BK2" s="648"/>
      <c r="BL2" s="648"/>
      <c r="BM2" s="648"/>
      <c r="BN2" s="648"/>
      <c r="BO2" s="648"/>
      <c r="BP2" s="648"/>
      <c r="BQ2" s="648"/>
      <c r="BR2" s="648"/>
      <c r="BS2" s="648"/>
      <c r="BT2" s="651"/>
      <c r="BU2" s="647" t="s">
        <v>32</v>
      </c>
      <c r="BV2" s="648"/>
      <c r="BW2" s="648"/>
      <c r="BX2" s="648"/>
      <c r="BY2" s="648"/>
      <c r="BZ2" s="648"/>
      <c r="CA2" s="648"/>
      <c r="CB2" s="648"/>
      <c r="CC2" s="648"/>
      <c r="CD2" s="648"/>
      <c r="CE2" s="648"/>
      <c r="CF2" s="648"/>
      <c r="CG2" s="648"/>
      <c r="CH2" s="648"/>
      <c r="CI2" s="648"/>
      <c r="CJ2" s="647" t="s">
        <v>180</v>
      </c>
      <c r="CK2" s="648"/>
      <c r="CL2" s="648"/>
      <c r="CM2" s="648"/>
      <c r="CN2" s="648"/>
      <c r="CO2" s="648"/>
      <c r="CP2" s="648"/>
      <c r="CQ2" s="648"/>
      <c r="CR2" s="648"/>
      <c r="CS2" s="648"/>
      <c r="CT2" s="648"/>
      <c r="CU2" s="648"/>
      <c r="CV2" s="648"/>
      <c r="CW2" s="648"/>
      <c r="CX2" s="653" t="s">
        <v>33</v>
      </c>
      <c r="CY2" s="653"/>
      <c r="CZ2" s="654"/>
      <c r="DA2" s="656" t="s">
        <v>12</v>
      </c>
      <c r="DB2" s="656"/>
      <c r="DC2" s="656"/>
      <c r="DD2" s="656"/>
      <c r="DE2" s="656"/>
      <c r="DF2" s="656"/>
      <c r="DG2" s="657" t="s">
        <v>34</v>
      </c>
      <c r="DH2" s="657"/>
      <c r="DI2" s="657"/>
      <c r="DJ2" s="656" t="s">
        <v>12</v>
      </c>
      <c r="DK2" s="656"/>
      <c r="DL2" s="656"/>
      <c r="DM2" s="656"/>
      <c r="DN2" s="656"/>
      <c r="DO2" s="658"/>
      <c r="DP2" s="18"/>
      <c r="DQ2" s="18"/>
      <c r="DR2" s="18"/>
      <c r="DS2" s="18"/>
      <c r="DT2" s="18"/>
      <c r="DU2" s="18"/>
    </row>
    <row r="3" spans="1:125" s="17" customFormat="1" ht="20.45" customHeight="1" thickBot="1">
      <c r="A3" s="623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5"/>
      <c r="M3" s="640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2"/>
      <c r="AE3" s="645"/>
      <c r="AF3" s="646"/>
      <c r="AG3" s="646"/>
      <c r="AH3" s="646"/>
      <c r="AI3" s="646"/>
      <c r="AJ3" s="646"/>
      <c r="AK3" s="646"/>
      <c r="AL3" s="646"/>
      <c r="AM3" s="646"/>
      <c r="AN3" s="646"/>
      <c r="AO3" s="646"/>
      <c r="AP3" s="646"/>
      <c r="AQ3" s="646"/>
      <c r="AR3" s="649"/>
      <c r="AS3" s="650"/>
      <c r="AT3" s="650"/>
      <c r="AU3" s="650"/>
      <c r="AV3" s="650"/>
      <c r="AW3" s="650"/>
      <c r="AX3" s="650"/>
      <c r="AY3" s="650"/>
      <c r="AZ3" s="650"/>
      <c r="BA3" s="650"/>
      <c r="BB3" s="649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0"/>
      <c r="BP3" s="650"/>
      <c r="BQ3" s="650"/>
      <c r="BR3" s="650"/>
      <c r="BS3" s="650"/>
      <c r="BT3" s="652"/>
      <c r="BU3" s="649"/>
      <c r="BV3" s="650"/>
      <c r="BW3" s="650"/>
      <c r="BX3" s="650"/>
      <c r="BY3" s="650"/>
      <c r="BZ3" s="650"/>
      <c r="CA3" s="650"/>
      <c r="CB3" s="650"/>
      <c r="CC3" s="650"/>
      <c r="CD3" s="650"/>
      <c r="CE3" s="650"/>
      <c r="CF3" s="650"/>
      <c r="CG3" s="650"/>
      <c r="CH3" s="650"/>
      <c r="CI3" s="650"/>
      <c r="CJ3" s="649"/>
      <c r="CK3" s="650"/>
      <c r="CL3" s="650"/>
      <c r="CM3" s="650"/>
      <c r="CN3" s="650"/>
      <c r="CO3" s="650"/>
      <c r="CP3" s="650"/>
      <c r="CQ3" s="650"/>
      <c r="CR3" s="650"/>
      <c r="CS3" s="650"/>
      <c r="CT3" s="650"/>
      <c r="CU3" s="650"/>
      <c r="CV3" s="650"/>
      <c r="CW3" s="650"/>
      <c r="CX3" s="612" t="s">
        <v>22</v>
      </c>
      <c r="CY3" s="612"/>
      <c r="CZ3" s="613"/>
      <c r="DA3" s="614">
        <v>44861</v>
      </c>
      <c r="DB3" s="615"/>
      <c r="DC3" s="615"/>
      <c r="DD3" s="615"/>
      <c r="DE3" s="615"/>
      <c r="DF3" s="616"/>
      <c r="DG3" s="632" t="s">
        <v>35</v>
      </c>
      <c r="DH3" s="632"/>
      <c r="DI3" s="632"/>
      <c r="DJ3" s="633">
        <f>IF(表紙!BC2="","",表紙!BC2)</f>
        <v>45316</v>
      </c>
      <c r="DK3" s="633"/>
      <c r="DL3" s="633"/>
      <c r="DM3" s="633"/>
      <c r="DN3" s="633"/>
      <c r="DO3" s="634"/>
      <c r="DP3" s="18"/>
      <c r="DQ3" s="18"/>
      <c r="DR3" s="18"/>
      <c r="DS3" s="18"/>
      <c r="DT3" s="18"/>
      <c r="DU3" s="18"/>
    </row>
    <row r="4" spans="1:125" s="20" customFormat="1" ht="19.5" customHeight="1" thickTop="1">
      <c r="A4" s="19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3"/>
    </row>
    <row r="5" spans="1:125" s="20" customFormat="1" ht="19.5" customHeight="1">
      <c r="A5" s="19"/>
      <c r="B5" s="24" t="s">
        <v>36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4" t="s">
        <v>37</v>
      </c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O5" s="26"/>
    </row>
    <row r="6" spans="1:125" s="20" customFormat="1" ht="19.5" customHeight="1">
      <c r="A6" s="19"/>
      <c r="B6" s="27"/>
      <c r="C6" s="28" t="s">
        <v>38</v>
      </c>
      <c r="D6" s="28"/>
      <c r="E6" s="28"/>
      <c r="F6" s="28"/>
      <c r="G6" s="28"/>
      <c r="H6" s="28"/>
      <c r="I6" s="28"/>
      <c r="J6" s="28"/>
      <c r="K6" s="28"/>
      <c r="L6" s="28"/>
      <c r="M6" s="29"/>
      <c r="N6" s="29"/>
      <c r="O6" s="29"/>
      <c r="P6" s="30" t="s">
        <v>39</v>
      </c>
      <c r="Q6" s="29"/>
      <c r="R6" s="29"/>
      <c r="S6" s="28"/>
      <c r="T6" s="28"/>
      <c r="U6" s="30" t="s">
        <v>40</v>
      </c>
      <c r="V6" s="28"/>
      <c r="W6" s="28"/>
      <c r="X6" s="28"/>
      <c r="Y6" s="28"/>
      <c r="Z6" s="30" t="s">
        <v>68</v>
      </c>
      <c r="AA6" s="29"/>
      <c r="AB6" s="28"/>
      <c r="AC6" s="28"/>
      <c r="AD6" s="28"/>
      <c r="AE6" s="28"/>
      <c r="AF6" s="28"/>
      <c r="AG6" s="28"/>
      <c r="AH6" s="28"/>
      <c r="AI6" s="28"/>
      <c r="AJ6" s="28"/>
      <c r="AK6" s="31" t="s">
        <v>42</v>
      </c>
      <c r="AL6" s="30"/>
      <c r="AM6" s="32"/>
      <c r="AN6" s="30" t="s">
        <v>43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7"/>
      <c r="BI6" s="28" t="s">
        <v>38</v>
      </c>
      <c r="BJ6" s="28"/>
      <c r="BK6" s="28"/>
      <c r="BL6" s="28"/>
      <c r="BM6" s="28"/>
      <c r="BN6" s="28"/>
      <c r="BO6" s="28"/>
      <c r="BP6" s="28"/>
      <c r="BQ6" s="28"/>
      <c r="BR6" s="28"/>
      <c r="BS6" s="29"/>
      <c r="BT6" s="29"/>
      <c r="BU6" s="29"/>
      <c r="BV6" s="30" t="s">
        <v>39</v>
      </c>
      <c r="BW6" s="29"/>
      <c r="BX6" s="29"/>
      <c r="BY6" s="28"/>
      <c r="BZ6" s="28"/>
      <c r="CA6" s="30" t="s">
        <v>44</v>
      </c>
      <c r="CB6" s="28"/>
      <c r="CC6" s="28"/>
      <c r="CD6" s="28"/>
      <c r="CE6" s="28"/>
      <c r="CF6" s="30" t="s">
        <v>41</v>
      </c>
      <c r="CG6" s="29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32"/>
      <c r="CS6" s="30" t="s">
        <v>43</v>
      </c>
      <c r="CT6" s="30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33"/>
      <c r="DO6" s="26"/>
    </row>
    <row r="7" spans="1:125" s="20" customFormat="1" ht="19.5" customHeight="1">
      <c r="A7" s="19"/>
      <c r="B7" s="34"/>
      <c r="Z7" s="20" t="s">
        <v>256</v>
      </c>
      <c r="AN7" s="64" t="s">
        <v>49</v>
      </c>
      <c r="AO7" s="46"/>
      <c r="AP7" s="46"/>
      <c r="BC7" s="48"/>
      <c r="BD7" s="48"/>
      <c r="BE7" s="48"/>
      <c r="BF7" s="48"/>
      <c r="BG7" s="49"/>
      <c r="BH7" s="34"/>
      <c r="BI7" s="50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7"/>
      <c r="BW7" s="36"/>
      <c r="BX7" s="36"/>
      <c r="BY7" s="36"/>
      <c r="BZ7" s="36"/>
      <c r="CA7" s="37"/>
      <c r="CB7" s="36"/>
      <c r="CC7" s="36"/>
      <c r="CD7" s="36"/>
      <c r="CE7" s="36"/>
      <c r="CF7" s="37"/>
      <c r="CG7" s="41"/>
      <c r="CH7" s="36"/>
      <c r="CI7" s="36"/>
      <c r="CJ7" s="36"/>
      <c r="CK7" s="36"/>
      <c r="CL7" s="36"/>
      <c r="CM7" s="41"/>
      <c r="CN7" s="41"/>
      <c r="CO7" s="41"/>
      <c r="CP7" s="41"/>
      <c r="CQ7" s="41"/>
      <c r="CR7" s="51"/>
      <c r="CS7" s="52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4"/>
      <c r="DO7" s="26"/>
    </row>
    <row r="8" spans="1:125" s="20" customFormat="1" ht="19.5" customHeight="1">
      <c r="A8" s="19"/>
      <c r="B8" s="34"/>
      <c r="C8" s="35" t="s">
        <v>62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 t="s">
        <v>46</v>
      </c>
      <c r="Q8" s="36"/>
      <c r="R8" s="36"/>
      <c r="S8" s="36"/>
      <c r="T8" s="36"/>
      <c r="U8" s="38" t="s">
        <v>47</v>
      </c>
      <c r="V8" s="39"/>
      <c r="W8" s="39"/>
      <c r="X8" s="39"/>
      <c r="Y8" s="40"/>
      <c r="Z8" s="272" t="s">
        <v>253</v>
      </c>
      <c r="AA8" s="41"/>
      <c r="AB8" s="36"/>
      <c r="AC8" s="36"/>
      <c r="AD8" s="36"/>
      <c r="AE8" s="36"/>
      <c r="AF8" s="36"/>
      <c r="AG8" s="41"/>
      <c r="AH8" s="41"/>
      <c r="AI8" s="41"/>
      <c r="AJ8" s="41"/>
      <c r="AK8" s="178" t="s">
        <v>181</v>
      </c>
      <c r="AL8" s="43"/>
      <c r="AM8" s="44"/>
      <c r="AN8" s="45" t="s">
        <v>182</v>
      </c>
      <c r="AO8" s="46"/>
      <c r="AP8" s="46"/>
      <c r="BC8" s="48"/>
      <c r="BD8" s="48"/>
      <c r="BE8" s="48"/>
      <c r="BF8" s="48"/>
      <c r="BG8" s="49"/>
      <c r="BH8" s="34"/>
      <c r="BI8" s="120" t="s">
        <v>228</v>
      </c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272" t="s">
        <v>70</v>
      </c>
      <c r="BW8" s="120"/>
      <c r="BX8" s="120"/>
      <c r="BY8" s="120"/>
      <c r="BZ8" s="120"/>
      <c r="CA8" s="277" t="s">
        <v>47</v>
      </c>
      <c r="CB8" s="120"/>
      <c r="CC8" s="120"/>
      <c r="CD8" s="120"/>
      <c r="CE8" s="120"/>
      <c r="CF8" s="272" t="s">
        <v>241</v>
      </c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0"/>
      <c r="CS8" s="60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4"/>
      <c r="DO8" s="26"/>
    </row>
    <row r="9" spans="1:125" s="20" customFormat="1" ht="19.5" customHeight="1">
      <c r="A9" s="19"/>
      <c r="B9" s="34"/>
      <c r="C9" s="55" t="s">
        <v>63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37" t="s">
        <v>64</v>
      </c>
      <c r="Q9" s="56"/>
      <c r="R9" s="56"/>
      <c r="S9" s="56"/>
      <c r="T9" s="56"/>
      <c r="U9" s="38" t="s">
        <v>47</v>
      </c>
      <c r="V9" s="39"/>
      <c r="W9" s="39"/>
      <c r="X9" s="39"/>
      <c r="Y9" s="40"/>
      <c r="Z9" s="272" t="s">
        <v>254</v>
      </c>
      <c r="AA9" s="41"/>
      <c r="AB9" s="36"/>
      <c r="AC9" s="36"/>
      <c r="AD9" s="36"/>
      <c r="AE9" s="36"/>
      <c r="AF9" s="36"/>
      <c r="AG9" s="41"/>
      <c r="AH9" s="41"/>
      <c r="AI9" s="41"/>
      <c r="AJ9" s="41"/>
      <c r="AK9" s="178" t="s">
        <v>181</v>
      </c>
      <c r="AL9" s="43"/>
      <c r="AM9" s="44"/>
      <c r="AN9" s="45" t="s">
        <v>183</v>
      </c>
      <c r="AO9" s="46"/>
      <c r="AP9" s="46"/>
      <c r="BC9" s="48"/>
      <c r="BD9" s="48"/>
      <c r="BE9" s="48"/>
      <c r="BF9" s="48"/>
      <c r="BG9" s="49"/>
      <c r="BH9" s="34"/>
      <c r="BI9" s="50"/>
      <c r="BJ9" s="58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8"/>
      <c r="BW9" s="57"/>
      <c r="BX9" s="57"/>
      <c r="BY9" s="57"/>
      <c r="BZ9" s="57"/>
      <c r="CA9" s="58"/>
      <c r="CB9" s="57"/>
      <c r="CC9" s="57"/>
      <c r="CD9" s="57"/>
      <c r="CE9" s="63"/>
      <c r="CF9" s="58"/>
      <c r="CG9" s="57"/>
      <c r="CH9" s="57"/>
      <c r="CI9" s="57"/>
      <c r="CJ9" s="57"/>
      <c r="CK9" s="57"/>
      <c r="CL9" s="57"/>
      <c r="CM9" s="59"/>
      <c r="CN9" s="59"/>
      <c r="CO9" s="59"/>
      <c r="CP9" s="59"/>
      <c r="CQ9" s="59"/>
      <c r="CR9" s="59"/>
      <c r="CS9" s="60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4"/>
      <c r="DO9" s="26"/>
    </row>
    <row r="10" spans="1:125" s="20" customFormat="1" ht="19.5" customHeight="1">
      <c r="A10" s="19"/>
      <c r="B10" s="34"/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61"/>
      <c r="Q10" s="56"/>
      <c r="R10" s="56"/>
      <c r="S10" s="56"/>
      <c r="T10" s="56"/>
      <c r="U10" s="61"/>
      <c r="V10" s="56"/>
      <c r="W10" s="56"/>
      <c r="X10" s="56"/>
      <c r="Y10" s="62"/>
      <c r="Z10" s="37"/>
      <c r="AA10" s="41"/>
      <c r="AB10" s="36"/>
      <c r="AC10" s="36"/>
      <c r="AD10" s="36"/>
      <c r="AE10" s="36"/>
      <c r="AF10" s="36"/>
      <c r="AG10" s="41"/>
      <c r="AH10" s="41"/>
      <c r="AI10" s="41"/>
      <c r="AJ10" s="41"/>
      <c r="AK10" s="65"/>
      <c r="AL10" s="55"/>
      <c r="AM10" s="66"/>
      <c r="AN10" s="45" t="s">
        <v>51</v>
      </c>
      <c r="AO10" s="46"/>
      <c r="AP10" s="46"/>
      <c r="AQ10" s="46"/>
      <c r="AR10" s="46"/>
      <c r="BC10" s="48"/>
      <c r="BD10" s="48"/>
      <c r="BE10" s="48"/>
      <c r="BF10" s="48"/>
      <c r="BG10" s="49"/>
      <c r="BH10" s="34"/>
      <c r="BI10" s="50"/>
      <c r="BJ10" s="58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8"/>
      <c r="BW10" s="57"/>
      <c r="BX10" s="57"/>
      <c r="BY10" s="57"/>
      <c r="BZ10" s="57"/>
      <c r="CA10" s="58"/>
      <c r="CB10" s="57"/>
      <c r="CC10" s="57"/>
      <c r="CD10" s="57"/>
      <c r="CE10" s="63"/>
      <c r="CF10" s="58"/>
      <c r="CG10" s="57"/>
      <c r="CH10" s="57"/>
      <c r="CI10" s="57"/>
      <c r="CJ10" s="57"/>
      <c r="CK10" s="57"/>
      <c r="CL10" s="57"/>
      <c r="CM10" s="59"/>
      <c r="CN10" s="59"/>
      <c r="CO10" s="59"/>
      <c r="CP10" s="59"/>
      <c r="CQ10" s="59"/>
      <c r="CR10" s="59"/>
      <c r="CS10" s="60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4"/>
      <c r="DO10" s="26"/>
    </row>
    <row r="11" spans="1:125" s="20" customFormat="1" ht="19.5" customHeight="1">
      <c r="A11" s="19"/>
      <c r="B11" s="34"/>
      <c r="C11" s="55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61"/>
      <c r="Q11" s="56"/>
      <c r="R11" s="56"/>
      <c r="S11" s="56"/>
      <c r="T11" s="56"/>
      <c r="U11" s="61"/>
      <c r="V11" s="56"/>
      <c r="W11" s="56"/>
      <c r="X11" s="56"/>
      <c r="Y11" s="62"/>
      <c r="Z11" s="37"/>
      <c r="AA11" s="41"/>
      <c r="AB11" s="36"/>
      <c r="AC11" s="36"/>
      <c r="AD11" s="36"/>
      <c r="AE11" s="36"/>
      <c r="AF11" s="36"/>
      <c r="AG11" s="41"/>
      <c r="AH11" s="41"/>
      <c r="AI11" s="41"/>
      <c r="AJ11" s="41"/>
      <c r="AK11" s="65"/>
      <c r="AL11" s="55"/>
      <c r="AM11" s="66"/>
      <c r="AQ11" s="46"/>
      <c r="AR11" s="46"/>
      <c r="AS11" s="46"/>
      <c r="AT11" s="46"/>
      <c r="AU11" s="46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34"/>
      <c r="BI11" s="50"/>
      <c r="BJ11" s="106"/>
      <c r="BK11" s="58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8"/>
      <c r="BW11" s="57"/>
      <c r="BX11" s="57"/>
      <c r="BY11" s="57"/>
      <c r="BZ11" s="57"/>
      <c r="CA11" s="58"/>
      <c r="CB11" s="57"/>
      <c r="CC11" s="57"/>
      <c r="CD11" s="57"/>
      <c r="CE11" s="57"/>
      <c r="CF11" s="58"/>
      <c r="CG11" s="59"/>
      <c r="CH11" s="57"/>
      <c r="CI11" s="57"/>
      <c r="CJ11" s="57"/>
      <c r="CK11" s="57"/>
      <c r="CL11" s="57"/>
      <c r="CM11" s="59"/>
      <c r="CN11" s="59"/>
      <c r="CO11" s="59"/>
      <c r="CP11" s="59"/>
      <c r="CQ11" s="59"/>
      <c r="CR11" s="59"/>
      <c r="CS11" s="60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4"/>
      <c r="DO11" s="26"/>
    </row>
    <row r="12" spans="1:125" s="20" customFormat="1" ht="19.5" customHeight="1">
      <c r="A12" s="19"/>
      <c r="B12" s="34"/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37"/>
      <c r="Q12" s="56"/>
      <c r="R12" s="56"/>
      <c r="S12" s="56"/>
      <c r="T12" s="56"/>
      <c r="U12" s="38"/>
      <c r="V12" s="39"/>
      <c r="W12" s="39"/>
      <c r="X12" s="39"/>
      <c r="Y12" s="40"/>
      <c r="Z12" s="272"/>
      <c r="AA12" s="41"/>
      <c r="AB12" s="36"/>
      <c r="AC12" s="36"/>
      <c r="AD12" s="36"/>
      <c r="AE12" s="36"/>
      <c r="AF12" s="36"/>
      <c r="AG12" s="41"/>
      <c r="AH12" s="41"/>
      <c r="AI12" s="41"/>
      <c r="AJ12" s="41"/>
      <c r="AK12" s="178"/>
      <c r="AL12" s="43"/>
      <c r="AM12" s="44"/>
      <c r="AN12" s="45"/>
      <c r="AO12" s="46"/>
      <c r="AP12" s="46"/>
      <c r="AQ12" s="46"/>
      <c r="AR12" s="46"/>
      <c r="AS12" s="46"/>
      <c r="AT12" s="46"/>
      <c r="AU12" s="46"/>
      <c r="AV12" s="47"/>
      <c r="AW12" s="47"/>
      <c r="AX12" s="47"/>
      <c r="AY12" s="47"/>
      <c r="AZ12" s="47"/>
      <c r="BA12" s="47"/>
      <c r="BB12" s="47"/>
      <c r="BC12" s="48"/>
      <c r="BD12" s="48"/>
      <c r="BE12" s="48"/>
      <c r="BF12" s="48"/>
      <c r="BG12" s="49"/>
      <c r="BH12" s="34"/>
      <c r="BI12" s="50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57"/>
      <c r="BU12" s="57"/>
      <c r="BV12" s="58"/>
      <c r="BW12" s="57"/>
      <c r="BX12" s="57"/>
      <c r="BY12" s="57"/>
      <c r="BZ12" s="57"/>
      <c r="CA12" s="58"/>
      <c r="CB12" s="57"/>
      <c r="CC12" s="57"/>
      <c r="CD12" s="57"/>
      <c r="CE12" s="63"/>
      <c r="CF12" s="58"/>
      <c r="CG12" s="57"/>
      <c r="CH12" s="57"/>
      <c r="CI12" s="57"/>
      <c r="CJ12" s="57"/>
      <c r="CK12" s="57"/>
      <c r="CL12" s="57"/>
      <c r="CM12" s="59"/>
      <c r="CN12" s="59"/>
      <c r="CO12" s="59"/>
      <c r="CP12" s="59"/>
      <c r="CQ12" s="59"/>
      <c r="CR12" s="59"/>
      <c r="CS12" s="60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4"/>
      <c r="DO12" s="26"/>
    </row>
    <row r="13" spans="1:125" s="20" customFormat="1" ht="19.5" customHeight="1">
      <c r="A13" s="19"/>
      <c r="B13" s="34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61"/>
      <c r="Q13" s="56"/>
      <c r="R13" s="56"/>
      <c r="S13" s="56"/>
      <c r="T13" s="56"/>
      <c r="U13" s="61"/>
      <c r="V13" s="56"/>
      <c r="W13" s="56"/>
      <c r="X13" s="56"/>
      <c r="Y13" s="62"/>
      <c r="Z13" s="37"/>
      <c r="AA13" s="41"/>
      <c r="AB13" s="36"/>
      <c r="AC13" s="36"/>
      <c r="AD13" s="36"/>
      <c r="AE13" s="36"/>
      <c r="AF13" s="36"/>
      <c r="AG13" s="41"/>
      <c r="AH13" s="41"/>
      <c r="AI13" s="41"/>
      <c r="AJ13" s="41"/>
      <c r="AK13" s="65"/>
      <c r="AL13" s="55"/>
      <c r="AM13" s="66"/>
      <c r="AN13" s="45"/>
      <c r="AO13" s="46"/>
      <c r="AP13" s="46"/>
      <c r="AQ13" s="46"/>
      <c r="AR13" s="46"/>
      <c r="AS13" s="46"/>
      <c r="AT13" s="46"/>
      <c r="AU13" s="46"/>
      <c r="AV13" s="47"/>
      <c r="AW13" s="47"/>
      <c r="AX13" s="47"/>
      <c r="AY13" s="47"/>
      <c r="AZ13" s="47"/>
      <c r="BA13" s="47"/>
      <c r="BB13" s="47"/>
      <c r="BC13" s="48"/>
      <c r="BD13" s="48"/>
      <c r="BE13" s="48"/>
      <c r="BF13" s="48"/>
      <c r="BG13" s="49"/>
      <c r="BH13" s="34"/>
      <c r="BI13" s="50"/>
      <c r="BJ13" s="58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8"/>
      <c r="BW13" s="57"/>
      <c r="BX13" s="57"/>
      <c r="BY13" s="57"/>
      <c r="BZ13" s="57"/>
      <c r="CA13" s="58"/>
      <c r="CB13" s="57"/>
      <c r="CC13" s="57"/>
      <c r="CD13" s="57"/>
      <c r="CE13" s="63"/>
      <c r="CF13" s="58"/>
      <c r="CG13" s="57"/>
      <c r="CH13" s="57"/>
      <c r="CI13" s="57"/>
      <c r="CJ13" s="57"/>
      <c r="CK13" s="57"/>
      <c r="CL13" s="57"/>
      <c r="CM13" s="59"/>
      <c r="CN13" s="59"/>
      <c r="CO13" s="59"/>
      <c r="CP13" s="59"/>
      <c r="CQ13" s="59"/>
      <c r="CR13" s="59"/>
      <c r="CS13" s="60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4"/>
      <c r="DO13" s="26"/>
    </row>
    <row r="14" spans="1:125" s="20" customFormat="1" ht="19.5" customHeight="1">
      <c r="A14" s="19"/>
      <c r="B14" s="34"/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61"/>
      <c r="Q14" s="56"/>
      <c r="R14" s="56"/>
      <c r="S14" s="56"/>
      <c r="T14" s="56"/>
      <c r="U14" s="61"/>
      <c r="V14" s="56"/>
      <c r="W14" s="56"/>
      <c r="X14" s="56"/>
      <c r="Y14" s="62"/>
      <c r="Z14" s="37"/>
      <c r="AA14" s="41"/>
      <c r="AB14" s="36"/>
      <c r="AC14" s="36"/>
      <c r="AD14" s="36"/>
      <c r="AE14" s="36"/>
      <c r="AF14" s="36"/>
      <c r="AG14" s="41"/>
      <c r="AH14" s="41"/>
      <c r="AI14" s="41"/>
      <c r="AJ14" s="41"/>
      <c r="AK14" s="65"/>
      <c r="AL14" s="55"/>
      <c r="AM14" s="66"/>
      <c r="AS14" s="46"/>
      <c r="AT14" s="46"/>
      <c r="AU14" s="46"/>
      <c r="AV14" s="47"/>
      <c r="AW14" s="47"/>
      <c r="AX14" s="47"/>
      <c r="AY14" s="47"/>
      <c r="AZ14" s="47"/>
      <c r="BA14" s="47"/>
      <c r="BB14" s="47"/>
      <c r="BC14" s="48"/>
      <c r="BD14" s="48"/>
      <c r="BE14" s="48"/>
      <c r="BF14" s="48"/>
      <c r="BG14" s="49"/>
      <c r="BH14" s="34"/>
      <c r="BI14" s="50"/>
      <c r="BJ14" s="58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8"/>
      <c r="BW14" s="57"/>
      <c r="BX14" s="57"/>
      <c r="BY14" s="57"/>
      <c r="BZ14" s="57"/>
      <c r="CA14" s="58"/>
      <c r="CB14" s="57"/>
      <c r="CC14" s="57"/>
      <c r="CD14" s="57"/>
      <c r="CE14" s="63"/>
      <c r="CF14" s="58"/>
      <c r="CG14" s="57"/>
      <c r="CH14" s="57"/>
      <c r="CI14" s="57"/>
      <c r="CJ14" s="57"/>
      <c r="CK14" s="57"/>
      <c r="CL14" s="57"/>
      <c r="CM14" s="59"/>
      <c r="CN14" s="59"/>
      <c r="CO14" s="59"/>
      <c r="CP14" s="59"/>
      <c r="CQ14" s="59"/>
      <c r="CR14" s="59"/>
      <c r="CS14" s="60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4"/>
      <c r="DO14" s="26"/>
    </row>
    <row r="15" spans="1:125" s="20" customFormat="1" ht="19.5" customHeight="1">
      <c r="A15" s="19"/>
      <c r="B15" s="34"/>
      <c r="C15" s="55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61"/>
      <c r="Q15" s="56"/>
      <c r="R15" s="56"/>
      <c r="S15" s="56"/>
      <c r="T15" s="56"/>
      <c r="U15" s="61"/>
      <c r="V15" s="56"/>
      <c r="W15" s="56"/>
      <c r="X15" s="56"/>
      <c r="Y15" s="62"/>
      <c r="Z15" s="61"/>
      <c r="AA15" s="56"/>
      <c r="AB15" s="56"/>
      <c r="AC15" s="56"/>
      <c r="AD15" s="56"/>
      <c r="AE15" s="56"/>
      <c r="AF15" s="56"/>
      <c r="AG15" s="55"/>
      <c r="AH15" s="55"/>
      <c r="AI15" s="55"/>
      <c r="AJ15" s="55"/>
      <c r="AK15" s="65"/>
      <c r="AL15" s="55"/>
      <c r="AM15" s="66"/>
      <c r="AN15" s="52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34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8"/>
      <c r="BW15" s="57"/>
      <c r="BX15" s="57"/>
      <c r="BY15" s="57"/>
      <c r="BZ15" s="57"/>
      <c r="CA15" s="58"/>
      <c r="CB15" s="57"/>
      <c r="CC15" s="57"/>
      <c r="CD15" s="57"/>
      <c r="CE15" s="63"/>
      <c r="CF15" s="58"/>
      <c r="CG15" s="57"/>
      <c r="CH15" s="57"/>
      <c r="CI15" s="57"/>
      <c r="CJ15" s="57"/>
      <c r="CK15" s="57"/>
      <c r="CL15" s="57"/>
      <c r="CM15" s="59"/>
      <c r="CN15" s="59"/>
      <c r="CO15" s="59"/>
      <c r="CP15" s="59"/>
      <c r="CQ15" s="59"/>
      <c r="CR15" s="59"/>
      <c r="CS15" s="60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4"/>
      <c r="DO15" s="26"/>
    </row>
    <row r="16" spans="1:125" s="20" customFormat="1" ht="19.5" customHeight="1">
      <c r="A16" s="19"/>
      <c r="B16" s="34"/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61"/>
      <c r="Q16" s="56"/>
      <c r="R16" s="56"/>
      <c r="S16" s="56"/>
      <c r="T16" s="56"/>
      <c r="U16" s="61"/>
      <c r="V16" s="56"/>
      <c r="W16" s="56"/>
      <c r="X16" s="56"/>
      <c r="Y16" s="62"/>
      <c r="Z16" s="61"/>
      <c r="AA16" s="56"/>
      <c r="AB16" s="56"/>
      <c r="AC16" s="56"/>
      <c r="AD16" s="56"/>
      <c r="AE16" s="56"/>
      <c r="AF16" s="56"/>
      <c r="AG16" s="55"/>
      <c r="AH16" s="55"/>
      <c r="AI16" s="55"/>
      <c r="AJ16" s="55"/>
      <c r="AK16" s="65"/>
      <c r="AL16" s="55"/>
      <c r="AM16" s="66"/>
      <c r="AN16" s="52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34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8"/>
      <c r="BW16" s="57"/>
      <c r="BX16" s="57"/>
      <c r="BY16" s="57"/>
      <c r="BZ16" s="57"/>
      <c r="CA16" s="58"/>
      <c r="CB16" s="57"/>
      <c r="CC16" s="57"/>
      <c r="CD16" s="57"/>
      <c r="CE16" s="63"/>
      <c r="CF16" s="58"/>
      <c r="CG16" s="57"/>
      <c r="CH16" s="57"/>
      <c r="CI16" s="57"/>
      <c r="CJ16" s="57"/>
      <c r="CK16" s="57"/>
      <c r="CL16" s="57"/>
      <c r="CM16" s="59"/>
      <c r="CN16" s="59"/>
      <c r="CO16" s="59"/>
      <c r="CP16" s="59"/>
      <c r="CQ16" s="59"/>
      <c r="CR16" s="59"/>
      <c r="CS16" s="60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4"/>
      <c r="DO16" s="26"/>
    </row>
    <row r="17" spans="1:119" s="20" customFormat="1" ht="19.5" customHeight="1">
      <c r="A17" s="19"/>
      <c r="B17" s="34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1"/>
      <c r="Q17" s="56"/>
      <c r="R17" s="56"/>
      <c r="S17" s="56"/>
      <c r="T17" s="56"/>
      <c r="U17" s="61"/>
      <c r="V17" s="56"/>
      <c r="W17" s="56"/>
      <c r="X17" s="56"/>
      <c r="Y17" s="62"/>
      <c r="Z17" s="61"/>
      <c r="AA17" s="56"/>
      <c r="AB17" s="56"/>
      <c r="AC17" s="56"/>
      <c r="AD17" s="56"/>
      <c r="AE17" s="56"/>
      <c r="AF17" s="56"/>
      <c r="AG17" s="55"/>
      <c r="AH17" s="55"/>
      <c r="AI17" s="55"/>
      <c r="AJ17" s="55"/>
      <c r="AK17" s="65"/>
      <c r="AL17" s="55"/>
      <c r="AM17" s="66"/>
      <c r="AN17" s="52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34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8"/>
      <c r="BW17" s="57"/>
      <c r="BX17" s="57"/>
      <c r="BY17" s="57"/>
      <c r="BZ17" s="57"/>
      <c r="CA17" s="58"/>
      <c r="CB17" s="57"/>
      <c r="CC17" s="57"/>
      <c r="CD17" s="57"/>
      <c r="CE17" s="63"/>
      <c r="CF17" s="58"/>
      <c r="CG17" s="57"/>
      <c r="CH17" s="57"/>
      <c r="CI17" s="57"/>
      <c r="CJ17" s="57"/>
      <c r="CK17" s="57"/>
      <c r="CL17" s="57"/>
      <c r="CM17" s="59"/>
      <c r="CN17" s="59"/>
      <c r="CO17" s="59"/>
      <c r="CP17" s="59"/>
      <c r="CQ17" s="59"/>
      <c r="CR17" s="59"/>
      <c r="CS17" s="60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4"/>
      <c r="DO17" s="26"/>
    </row>
    <row r="18" spans="1:119" s="20" customFormat="1" ht="19.5" customHeight="1">
      <c r="A18" s="19"/>
      <c r="B18" s="34"/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61"/>
      <c r="Q18" s="56"/>
      <c r="R18" s="56"/>
      <c r="S18" s="56"/>
      <c r="T18" s="56"/>
      <c r="U18" s="61"/>
      <c r="V18" s="56"/>
      <c r="W18" s="56"/>
      <c r="X18" s="56"/>
      <c r="Y18" s="62"/>
      <c r="Z18" s="61"/>
      <c r="AA18" s="56"/>
      <c r="AB18" s="56"/>
      <c r="AC18" s="56"/>
      <c r="AD18" s="56"/>
      <c r="AE18" s="56"/>
      <c r="AF18" s="56"/>
      <c r="AG18" s="55"/>
      <c r="AH18" s="55"/>
      <c r="AI18" s="55"/>
      <c r="AJ18" s="55"/>
      <c r="AK18" s="65"/>
      <c r="AL18" s="55"/>
      <c r="AM18" s="66"/>
      <c r="AN18" s="52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34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8"/>
      <c r="BW18" s="57"/>
      <c r="BX18" s="57"/>
      <c r="BY18" s="57"/>
      <c r="BZ18" s="57"/>
      <c r="CA18" s="58"/>
      <c r="CB18" s="57"/>
      <c r="CC18" s="57"/>
      <c r="CD18" s="57"/>
      <c r="CE18" s="63"/>
      <c r="CF18" s="58"/>
      <c r="CG18" s="57"/>
      <c r="CH18" s="57"/>
      <c r="CI18" s="57"/>
      <c r="CJ18" s="57"/>
      <c r="CK18" s="57"/>
      <c r="CL18" s="57"/>
      <c r="CM18" s="59"/>
      <c r="CN18" s="59"/>
      <c r="CO18" s="59"/>
      <c r="CP18" s="59"/>
      <c r="CQ18" s="59"/>
      <c r="CR18" s="59"/>
      <c r="CS18" s="60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4"/>
      <c r="DO18" s="26"/>
    </row>
    <row r="19" spans="1:119" s="20" customFormat="1" ht="19.5" customHeight="1">
      <c r="A19" s="19"/>
      <c r="B19" s="34"/>
      <c r="C19" s="55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61"/>
      <c r="Q19" s="56"/>
      <c r="R19" s="56"/>
      <c r="S19" s="56"/>
      <c r="T19" s="56"/>
      <c r="U19" s="61"/>
      <c r="V19" s="56"/>
      <c r="W19" s="56"/>
      <c r="X19" s="56"/>
      <c r="Y19" s="62"/>
      <c r="Z19" s="61"/>
      <c r="AA19" s="56"/>
      <c r="AB19" s="56"/>
      <c r="AC19" s="56"/>
      <c r="AD19" s="56"/>
      <c r="AE19" s="56"/>
      <c r="AF19" s="56"/>
      <c r="AG19" s="55"/>
      <c r="AH19" s="55"/>
      <c r="AI19" s="55"/>
      <c r="AJ19" s="55"/>
      <c r="AK19" s="65"/>
      <c r="AL19" s="55"/>
      <c r="AM19" s="66"/>
      <c r="AN19" s="52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34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8"/>
      <c r="BW19" s="57"/>
      <c r="BX19" s="57"/>
      <c r="BY19" s="57"/>
      <c r="BZ19" s="57"/>
      <c r="CA19" s="58"/>
      <c r="CB19" s="57"/>
      <c r="CC19" s="57"/>
      <c r="CD19" s="57"/>
      <c r="CE19" s="63"/>
      <c r="CF19" s="58"/>
      <c r="CG19" s="57"/>
      <c r="CH19" s="57"/>
      <c r="CI19" s="57"/>
      <c r="CJ19" s="57"/>
      <c r="CK19" s="57"/>
      <c r="CL19" s="57"/>
      <c r="CM19" s="59"/>
      <c r="CN19" s="59"/>
      <c r="CO19" s="59"/>
      <c r="CP19" s="59"/>
      <c r="CQ19" s="59"/>
      <c r="CR19" s="59"/>
      <c r="CS19" s="60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4"/>
      <c r="DO19" s="26"/>
    </row>
    <row r="20" spans="1:119" s="20" customFormat="1" ht="19.5" customHeight="1">
      <c r="A20" s="19"/>
      <c r="B20" s="34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61"/>
      <c r="Q20" s="56"/>
      <c r="R20" s="56"/>
      <c r="S20" s="56"/>
      <c r="T20" s="56"/>
      <c r="U20" s="67"/>
      <c r="V20" s="68"/>
      <c r="W20" s="68"/>
      <c r="X20" s="68"/>
      <c r="Y20" s="69"/>
      <c r="Z20" s="67"/>
      <c r="AA20" s="68"/>
      <c r="AB20" s="56"/>
      <c r="AC20" s="56"/>
      <c r="AD20" s="56"/>
      <c r="AE20" s="56"/>
      <c r="AF20" s="56"/>
      <c r="AG20" s="55"/>
      <c r="AH20" s="55"/>
      <c r="AI20" s="55"/>
      <c r="AJ20" s="55"/>
      <c r="AK20" s="70"/>
      <c r="AL20" s="71"/>
      <c r="AM20" s="72"/>
      <c r="AN20" s="73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5"/>
      <c r="BH20" s="34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7"/>
      <c r="BW20" s="68"/>
      <c r="BX20" s="68"/>
      <c r="BY20" s="68"/>
      <c r="BZ20" s="68"/>
      <c r="CA20" s="67"/>
      <c r="CB20" s="68"/>
      <c r="CC20" s="68"/>
      <c r="CD20" s="68"/>
      <c r="CE20" s="69"/>
      <c r="CF20" s="67"/>
      <c r="CG20" s="68"/>
      <c r="CH20" s="68"/>
      <c r="CI20" s="68"/>
      <c r="CJ20" s="68"/>
      <c r="CK20" s="68"/>
      <c r="CL20" s="68"/>
      <c r="CM20" s="71"/>
      <c r="CN20" s="71"/>
      <c r="CO20" s="71"/>
      <c r="CP20" s="71"/>
      <c r="CQ20" s="71"/>
      <c r="CR20" s="71"/>
      <c r="CS20" s="76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8"/>
      <c r="DO20" s="26"/>
    </row>
    <row r="21" spans="1:119" s="20" customFormat="1" ht="19.5" customHeight="1">
      <c r="A21" s="19"/>
      <c r="B21" s="79" t="s">
        <v>52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25"/>
      <c r="BH21" s="24" t="s">
        <v>53</v>
      </c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1"/>
      <c r="DO21" s="26"/>
    </row>
    <row r="22" spans="1:119" s="50" customFormat="1" ht="19.5" customHeight="1">
      <c r="A22" s="82"/>
      <c r="B22" s="34"/>
      <c r="C22" s="2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4"/>
      <c r="BH22" s="85"/>
      <c r="BI22" s="29" t="s">
        <v>54</v>
      </c>
      <c r="BJ22" s="29"/>
      <c r="BK22" s="29"/>
      <c r="BL22" s="29"/>
      <c r="BM22" s="29"/>
      <c r="BN22" s="29"/>
      <c r="BO22" s="29"/>
      <c r="BP22" s="29"/>
      <c r="BQ22" s="30" t="s">
        <v>55</v>
      </c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32"/>
      <c r="CS22" s="29" t="s">
        <v>41</v>
      </c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O22" s="86"/>
    </row>
    <row r="23" spans="1:119" s="50" customFormat="1" ht="19.5" customHeight="1">
      <c r="A23" s="82"/>
      <c r="B23" s="34"/>
      <c r="D23" s="118" t="s">
        <v>250</v>
      </c>
      <c r="BG23" s="87"/>
      <c r="BH23" s="34"/>
      <c r="BI23" s="88" t="s">
        <v>56</v>
      </c>
      <c r="BJ23" s="89"/>
      <c r="BK23" s="89"/>
      <c r="BL23" s="89"/>
      <c r="BM23" s="89"/>
      <c r="BN23" s="89"/>
      <c r="BO23" s="89"/>
      <c r="BP23" s="89"/>
      <c r="BQ23" s="90" t="s">
        <v>57</v>
      </c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91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92"/>
      <c r="DO23" s="86"/>
    </row>
    <row r="24" spans="1:119" s="50" customFormat="1" ht="19.149999999999999" customHeight="1">
      <c r="A24" s="82"/>
      <c r="B24" s="34"/>
      <c r="D24" s="272" t="s">
        <v>251</v>
      </c>
      <c r="BG24" s="87"/>
      <c r="BH24" s="34"/>
      <c r="BI24" s="88" t="s">
        <v>58</v>
      </c>
      <c r="BJ24" s="89"/>
      <c r="BK24" s="89"/>
      <c r="BL24" s="89"/>
      <c r="BM24" s="89"/>
      <c r="BN24" s="89"/>
      <c r="BO24" s="89"/>
      <c r="BP24" s="89"/>
      <c r="BQ24" s="90" t="s">
        <v>59</v>
      </c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4"/>
      <c r="CS24" s="93"/>
      <c r="CT24" s="93"/>
      <c r="CU24" s="93"/>
      <c r="CV24" s="93"/>
      <c r="CW24" s="93"/>
      <c r="CX24" s="93"/>
      <c r="CY24" s="93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92"/>
      <c r="DO24" s="86"/>
    </row>
    <row r="25" spans="1:119" s="50" customFormat="1" ht="19.149999999999999" customHeight="1">
      <c r="A25" s="82"/>
      <c r="B25" s="34"/>
      <c r="D25" s="272" t="s">
        <v>252</v>
      </c>
      <c r="BG25" s="87"/>
      <c r="BH25" s="34"/>
      <c r="BI25" s="88"/>
      <c r="BJ25" s="89"/>
      <c r="BK25" s="89"/>
      <c r="BL25" s="89"/>
      <c r="BM25" s="89"/>
      <c r="BN25" s="89"/>
      <c r="BO25" s="89"/>
      <c r="BP25" s="89"/>
      <c r="BQ25" s="90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4"/>
      <c r="CS25" s="89"/>
      <c r="CT25" s="93"/>
      <c r="CU25" s="93"/>
      <c r="CV25" s="93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92"/>
      <c r="DO25" s="86"/>
    </row>
    <row r="26" spans="1:119" s="50" customFormat="1" ht="19.149999999999999" customHeight="1">
      <c r="A26" s="82"/>
      <c r="B26" s="34"/>
      <c r="D26" s="120" t="s">
        <v>255</v>
      </c>
      <c r="BG26" s="87"/>
      <c r="BH26" s="34"/>
      <c r="BI26" s="88"/>
      <c r="BJ26" s="89"/>
      <c r="BK26" s="89"/>
      <c r="BL26" s="89"/>
      <c r="BM26" s="89"/>
      <c r="BN26" s="89"/>
      <c r="BO26" s="89"/>
      <c r="BP26" s="89"/>
      <c r="BQ26" s="90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91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92"/>
      <c r="DO26" s="86"/>
    </row>
    <row r="27" spans="1:119" s="50" customFormat="1" ht="19.149999999999999" customHeight="1">
      <c r="A27" s="82"/>
      <c r="B27" s="34"/>
      <c r="D27" s="20" t="s">
        <v>256</v>
      </c>
      <c r="BG27" s="87"/>
      <c r="BH27" s="34"/>
      <c r="BI27" s="88"/>
      <c r="BJ27" s="89"/>
      <c r="BK27" s="89"/>
      <c r="BL27" s="89"/>
      <c r="BM27" s="89"/>
      <c r="BN27" s="89"/>
      <c r="BO27" s="89"/>
      <c r="BP27" s="89"/>
      <c r="BQ27" s="90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91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92"/>
      <c r="DO27" s="86"/>
    </row>
    <row r="28" spans="1:119" s="50" customFormat="1" ht="16.5" customHeight="1">
      <c r="A28" s="82"/>
      <c r="B28" s="3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6"/>
      <c r="BH28" s="34"/>
      <c r="BI28" s="97"/>
      <c r="BJ28" s="97"/>
      <c r="BK28" s="97"/>
      <c r="BL28" s="97"/>
      <c r="BM28" s="97"/>
      <c r="BN28" s="97"/>
      <c r="BO28" s="97"/>
      <c r="BP28" s="97"/>
      <c r="BQ28" s="98"/>
      <c r="BR28" s="97"/>
      <c r="BS28" s="97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9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100"/>
      <c r="DO28" s="86"/>
    </row>
    <row r="29" spans="1:119" ht="16.5" customHeight="1" thickBot="1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3"/>
    </row>
    <row r="31" spans="1:119" ht="16.5" customHeight="1">
      <c r="A31" s="116" t="s">
        <v>143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</row>
    <row r="33" spans="1:180" ht="16.5" customHeight="1">
      <c r="A33" s="175"/>
      <c r="B33" s="177" t="s">
        <v>147</v>
      </c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76"/>
      <c r="BG33" s="176"/>
      <c r="BH33" s="176"/>
      <c r="BI33" s="176"/>
      <c r="BJ33" s="177"/>
      <c r="BK33" s="176"/>
      <c r="BL33" s="176"/>
      <c r="BM33" s="176"/>
      <c r="BN33" s="176"/>
      <c r="BO33" s="176"/>
      <c r="BP33" s="176"/>
      <c r="BQ33" s="176"/>
      <c r="BR33" s="176"/>
      <c r="BS33" s="176"/>
      <c r="BT33" s="172"/>
      <c r="BU33" s="173"/>
      <c r="BV33" s="173"/>
      <c r="BW33" s="173"/>
      <c r="BX33" s="173"/>
      <c r="BY33" s="173"/>
      <c r="BZ33" s="173"/>
      <c r="CA33" s="173"/>
      <c r="CB33" s="173"/>
      <c r="CC33" s="173"/>
      <c r="CD33" s="173"/>
      <c r="CE33" s="173"/>
      <c r="CF33" s="173"/>
      <c r="CG33" s="173"/>
      <c r="CH33" s="173"/>
      <c r="CI33" s="173"/>
      <c r="CJ33" s="173"/>
      <c r="CK33" s="173"/>
      <c r="CL33" s="173"/>
      <c r="CM33" s="173"/>
      <c r="CN33" s="173"/>
      <c r="CO33" s="173"/>
      <c r="CP33" s="173"/>
      <c r="CQ33" s="173"/>
      <c r="CR33" s="173"/>
      <c r="CS33" s="173"/>
      <c r="CT33" s="173"/>
      <c r="CU33" s="173"/>
      <c r="CV33" s="173"/>
      <c r="CW33" s="173"/>
      <c r="CX33" s="173"/>
      <c r="CY33" s="173"/>
      <c r="CZ33" s="173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367"/>
      <c r="FX33" s="105" t="s">
        <v>121</v>
      </c>
    </row>
    <row r="34" spans="1:180" ht="16.5" customHeight="1">
      <c r="A34" s="111"/>
      <c r="BJ34" s="105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367"/>
      <c r="FX34" s="105" t="s">
        <v>122</v>
      </c>
    </row>
    <row r="35" spans="1:180" ht="16.5" customHeight="1">
      <c r="A35" s="111"/>
      <c r="C35" s="180" t="s">
        <v>188</v>
      </c>
      <c r="D35" s="180"/>
      <c r="E35" s="180"/>
      <c r="F35" s="180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BJ35" s="105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2"/>
      <c r="DB35" s="112"/>
      <c r="DC35" s="112"/>
      <c r="DD35" s="112"/>
      <c r="DE35" s="112"/>
      <c r="DF35" s="112"/>
      <c r="DG35" s="112"/>
      <c r="DH35" s="112"/>
      <c r="DI35" s="112"/>
      <c r="DJ35" s="112"/>
      <c r="DK35" s="112"/>
      <c r="DL35" s="112"/>
      <c r="DM35" s="112"/>
      <c r="DN35" s="367"/>
      <c r="FX35" s="105" t="s">
        <v>123</v>
      </c>
    </row>
    <row r="36" spans="1:180" ht="16.5" customHeight="1">
      <c r="A36" s="111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BJ36" s="105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2"/>
      <c r="DB36" s="112"/>
      <c r="DC36" s="112"/>
      <c r="DD36" s="112"/>
      <c r="DE36" s="112"/>
      <c r="DF36" s="112"/>
      <c r="DG36" s="112"/>
      <c r="DH36" s="112"/>
      <c r="DI36" s="112"/>
      <c r="DJ36" s="112"/>
      <c r="DK36" s="112"/>
      <c r="DL36" s="112"/>
      <c r="DM36" s="112"/>
      <c r="DN36" s="367"/>
      <c r="FX36" s="105" t="s">
        <v>124</v>
      </c>
    </row>
    <row r="37" spans="1:180" ht="16.5" customHeight="1">
      <c r="A37" s="111"/>
      <c r="C37" s="105" t="s">
        <v>193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BJ37" s="105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2"/>
      <c r="DB37" s="112"/>
      <c r="DC37" s="112"/>
      <c r="DD37" s="112"/>
      <c r="DE37" s="112"/>
      <c r="DF37" s="112"/>
      <c r="DG37" s="112"/>
      <c r="DH37" s="112"/>
      <c r="DI37" s="112"/>
      <c r="DJ37" s="112"/>
      <c r="DK37" s="112"/>
      <c r="DL37" s="112"/>
      <c r="DM37" s="112"/>
      <c r="DN37" s="367"/>
      <c r="FX37" s="105" t="s">
        <v>94</v>
      </c>
    </row>
    <row r="38" spans="1:180" ht="16.5" customHeight="1">
      <c r="A38" s="111"/>
      <c r="C38" s="105" t="s">
        <v>194</v>
      </c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BJ38" s="105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2"/>
      <c r="DB38" s="112"/>
      <c r="DC38" s="112"/>
      <c r="DD38" s="112"/>
      <c r="DE38" s="112"/>
      <c r="DF38" s="112"/>
      <c r="DG38" s="112"/>
      <c r="DH38" s="112"/>
      <c r="DI38" s="112"/>
      <c r="DJ38" s="112"/>
      <c r="DK38" s="112"/>
      <c r="DL38" s="112"/>
      <c r="DM38" s="112"/>
      <c r="DN38" s="367"/>
      <c r="FX38" s="105" t="s">
        <v>96</v>
      </c>
    </row>
    <row r="39" spans="1:180" ht="16.5" customHeight="1">
      <c r="A39" s="111"/>
      <c r="C39" s="105" t="s">
        <v>191</v>
      </c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BJ39" s="105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2"/>
      <c r="DB39" s="112"/>
      <c r="DC39" s="112"/>
      <c r="DD39" s="112"/>
      <c r="DE39" s="112"/>
      <c r="DF39" s="112"/>
      <c r="DG39" s="112"/>
      <c r="DH39" s="112"/>
      <c r="DI39" s="112"/>
      <c r="DJ39" s="112"/>
      <c r="DK39" s="112"/>
      <c r="DL39" s="112"/>
      <c r="DM39" s="112"/>
      <c r="DN39" s="367"/>
      <c r="FX39" s="105" t="s">
        <v>125</v>
      </c>
    </row>
    <row r="40" spans="1:180" ht="16.5" customHeight="1">
      <c r="A40" s="111"/>
      <c r="C40" s="105" t="s">
        <v>258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BJ40" s="105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367"/>
      <c r="FX40" s="105" t="s">
        <v>98</v>
      </c>
    </row>
    <row r="41" spans="1:180" ht="16.5" customHeight="1">
      <c r="A41" s="108"/>
      <c r="C41" s="371" t="s">
        <v>259</v>
      </c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BJ41" s="105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368"/>
      <c r="FX41" s="105" t="s">
        <v>126</v>
      </c>
    </row>
    <row r="42" spans="1:180" ht="16.5" customHeight="1">
      <c r="A42" s="108"/>
      <c r="C42" s="105" t="s">
        <v>192</v>
      </c>
      <c r="BJ42" s="105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0"/>
      <c r="CM42" s="110"/>
      <c r="CN42" s="110"/>
      <c r="CO42" s="110"/>
      <c r="CP42" s="110"/>
      <c r="CQ42" s="110"/>
      <c r="CR42" s="110"/>
      <c r="CS42" s="110"/>
      <c r="CT42" s="110"/>
      <c r="CU42" s="110"/>
      <c r="CV42" s="110"/>
      <c r="CW42" s="110"/>
      <c r="CX42" s="110"/>
      <c r="CY42" s="110"/>
      <c r="CZ42" s="110"/>
      <c r="DA42" s="110"/>
      <c r="DB42" s="110"/>
      <c r="DC42" s="110"/>
      <c r="DD42" s="110"/>
      <c r="DE42" s="110"/>
      <c r="DF42" s="110"/>
      <c r="DG42" s="110"/>
      <c r="DH42" s="110"/>
      <c r="DI42" s="110"/>
      <c r="DJ42" s="110"/>
      <c r="DK42" s="110"/>
      <c r="DL42" s="110"/>
      <c r="DM42" s="110"/>
      <c r="DN42" s="368"/>
      <c r="FX42" s="105" t="s">
        <v>101</v>
      </c>
    </row>
    <row r="43" spans="1:180" ht="16.5" customHeight="1">
      <c r="A43" s="108"/>
      <c r="BJ43" s="105"/>
      <c r="BU43" s="109"/>
      <c r="BV43" s="110"/>
      <c r="BW43" s="110"/>
      <c r="BX43" s="110"/>
      <c r="BY43" s="110"/>
      <c r="BZ43" s="110"/>
      <c r="CA43" s="110"/>
      <c r="CB43" s="110"/>
      <c r="CC43" s="110"/>
      <c r="CD43" s="110"/>
      <c r="CE43" s="110"/>
      <c r="CF43" s="110"/>
      <c r="CG43" s="110"/>
      <c r="CH43" s="110"/>
      <c r="CI43" s="110"/>
      <c r="CJ43" s="110"/>
      <c r="CK43" s="110"/>
      <c r="CL43" s="110"/>
      <c r="CM43" s="110"/>
      <c r="CN43" s="110"/>
      <c r="CO43" s="110"/>
      <c r="CP43" s="110"/>
      <c r="CQ43" s="110"/>
      <c r="CR43" s="110"/>
      <c r="CS43" s="110"/>
      <c r="CT43" s="110"/>
      <c r="CU43" s="110"/>
      <c r="CV43" s="110"/>
      <c r="CW43" s="110"/>
      <c r="CX43" s="110"/>
      <c r="CY43" s="110"/>
      <c r="CZ43" s="110"/>
      <c r="DA43" s="110"/>
      <c r="DB43" s="110"/>
      <c r="DC43" s="110"/>
      <c r="DD43" s="110"/>
      <c r="DE43" s="110"/>
      <c r="DF43" s="110"/>
      <c r="DG43" s="110"/>
      <c r="DH43" s="110"/>
      <c r="DI43" s="110"/>
      <c r="DJ43" s="110"/>
      <c r="DK43" s="110"/>
      <c r="DL43" s="110"/>
      <c r="DM43" s="110"/>
      <c r="DN43" s="368"/>
      <c r="FX43" s="105" t="s">
        <v>103</v>
      </c>
    </row>
    <row r="44" spans="1:180" ht="16.5" customHeight="1">
      <c r="A44" s="108"/>
      <c r="BJ44" s="105"/>
      <c r="BU44" s="109"/>
      <c r="BV44" s="110"/>
      <c r="BW44" s="110"/>
      <c r="BX44" s="110"/>
      <c r="BY44" s="110"/>
      <c r="BZ44" s="110"/>
      <c r="CA44" s="110"/>
      <c r="CB44" s="110"/>
      <c r="CC44" s="110"/>
      <c r="CD44" s="110"/>
      <c r="CE44" s="110"/>
      <c r="CF44" s="110"/>
      <c r="CG44" s="110"/>
      <c r="CH44" s="110"/>
      <c r="CI44" s="110"/>
      <c r="CJ44" s="110"/>
      <c r="CK44" s="110"/>
      <c r="CL44" s="110"/>
      <c r="CM44" s="110"/>
      <c r="CN44" s="110"/>
      <c r="CO44" s="110"/>
      <c r="CP44" s="110"/>
      <c r="CQ44" s="110"/>
      <c r="CR44" s="110"/>
      <c r="CS44" s="110"/>
      <c r="CT44" s="110"/>
      <c r="CU44" s="110"/>
      <c r="CV44" s="110"/>
      <c r="CW44" s="110"/>
      <c r="CX44" s="110"/>
      <c r="CY44" s="110"/>
      <c r="CZ44" s="110"/>
      <c r="DA44" s="110"/>
      <c r="DB44" s="110"/>
      <c r="DC44" s="110"/>
      <c r="DD44" s="110"/>
      <c r="DE44" s="110"/>
      <c r="DF44" s="110"/>
      <c r="DG44" s="110"/>
      <c r="DH44" s="110"/>
      <c r="DI44" s="110"/>
      <c r="DJ44" s="110"/>
      <c r="DK44" s="110"/>
      <c r="DL44" s="110"/>
      <c r="DM44" s="110"/>
      <c r="DN44" s="368"/>
      <c r="FX44" s="105" t="s">
        <v>104</v>
      </c>
    </row>
    <row r="45" spans="1:180" ht="16.5" customHeight="1">
      <c r="A45" s="108"/>
      <c r="BJ45" s="105"/>
      <c r="BU45" s="109"/>
      <c r="BV45" s="110"/>
      <c r="BW45" s="110"/>
      <c r="BX45" s="110"/>
      <c r="BY45" s="110"/>
      <c r="BZ45" s="110"/>
      <c r="CA45" s="110"/>
      <c r="CB45" s="110"/>
      <c r="CC45" s="110"/>
      <c r="CD45" s="110"/>
      <c r="CE45" s="110"/>
      <c r="CF45" s="110"/>
      <c r="CG45" s="110"/>
      <c r="CH45" s="110"/>
      <c r="CI45" s="110"/>
      <c r="CJ45" s="110"/>
      <c r="CK45" s="110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368"/>
      <c r="FX45" s="105" t="s">
        <v>127</v>
      </c>
    </row>
    <row r="46" spans="1:180" ht="16.5" customHeight="1">
      <c r="A46" s="108"/>
      <c r="BJ46" s="105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113"/>
      <c r="CF46" s="113"/>
      <c r="CG46" s="113"/>
      <c r="CH46" s="113"/>
      <c r="CI46" s="113"/>
      <c r="CJ46" s="113"/>
      <c r="CK46" s="113"/>
      <c r="CL46" s="113"/>
      <c r="CM46" s="113"/>
      <c r="CN46" s="113"/>
      <c r="CO46" s="113"/>
      <c r="CP46" s="113"/>
      <c r="CQ46" s="113"/>
      <c r="CR46" s="113"/>
      <c r="CS46" s="113"/>
      <c r="CT46" s="113"/>
      <c r="CU46" s="113"/>
      <c r="CV46" s="113"/>
      <c r="CW46" s="113"/>
      <c r="CX46" s="113"/>
      <c r="CY46" s="113"/>
      <c r="CZ46" s="113"/>
      <c r="DA46" s="113"/>
      <c r="DB46" s="113"/>
      <c r="DC46" s="113"/>
      <c r="DD46" s="113"/>
      <c r="DE46" s="113"/>
      <c r="DF46" s="113"/>
      <c r="DG46" s="113"/>
      <c r="DH46" s="113"/>
      <c r="DI46" s="113"/>
      <c r="DJ46" s="113"/>
      <c r="DK46" s="113"/>
      <c r="DL46" s="113"/>
      <c r="DM46" s="113"/>
      <c r="DN46" s="369"/>
      <c r="FX46" s="105" t="s">
        <v>132</v>
      </c>
    </row>
    <row r="47" spans="1:180" ht="16.5" customHeight="1">
      <c r="A47" s="108"/>
      <c r="BJ47" s="105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369"/>
      <c r="FX47" s="105" t="s">
        <v>101</v>
      </c>
    </row>
    <row r="48" spans="1:180" ht="16.5" customHeight="1" thickBot="1">
      <c r="A48" s="182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4"/>
      <c r="BT48" s="114"/>
      <c r="BU48" s="115"/>
      <c r="BV48" s="115"/>
      <c r="BW48" s="115"/>
      <c r="BX48" s="115"/>
      <c r="BY48" s="114"/>
      <c r="BZ48" s="114"/>
      <c r="CA48" s="114"/>
      <c r="CB48" s="114"/>
      <c r="CC48" s="114"/>
      <c r="CD48" s="114"/>
      <c r="CE48" s="114"/>
      <c r="CF48" s="114"/>
      <c r="CG48" s="114"/>
      <c r="CH48" s="114"/>
      <c r="CI48" s="114"/>
      <c r="CJ48" s="114"/>
      <c r="CK48" s="114"/>
      <c r="CL48" s="114"/>
      <c r="CM48" s="114"/>
      <c r="CN48" s="114"/>
      <c r="CO48" s="114"/>
      <c r="CP48" s="114"/>
      <c r="CQ48" s="114"/>
      <c r="CR48" s="114"/>
      <c r="CS48" s="114"/>
      <c r="CT48" s="114"/>
      <c r="CU48" s="114"/>
      <c r="CV48" s="114"/>
      <c r="CW48" s="114"/>
      <c r="CX48" s="114"/>
      <c r="CY48" s="114"/>
      <c r="CZ48" s="114"/>
      <c r="DA48" s="114"/>
      <c r="DB48" s="114"/>
      <c r="DC48" s="114"/>
      <c r="DD48" s="114"/>
      <c r="DE48" s="114"/>
      <c r="DF48" s="114"/>
      <c r="DG48" s="114"/>
      <c r="DH48" s="114"/>
      <c r="DI48" s="114"/>
      <c r="DJ48" s="114"/>
      <c r="DK48" s="114"/>
      <c r="DL48" s="114"/>
      <c r="DM48" s="114"/>
      <c r="DN48" s="370"/>
      <c r="FX48" s="105" t="s">
        <v>103</v>
      </c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19685039370078741" right="0.19685039370078741" top="0.59055118110236227" bottom="0.39370078740157483" header="0.19685039370078741" footer="0.19685039370078741"/>
  <pageSetup paperSize="9" scale="23" fitToHeight="0" orientation="landscape" r:id="rId1"/>
  <headerFooter alignWithMargins="0">
    <oddFooter>&amp;LFUJITSU SYSTEMS EAST CONFIDENTIAL&amp;RCopyright (C) 2016- FUJITSU SYSTEMS EAST  LIMITED All rights reserved.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281A-2C22-48B1-8CA2-6AB4AD8C5263}">
  <dimension ref="A1:FH69"/>
  <sheetViews>
    <sheetView zoomScale="85" zoomScaleNormal="85" workbookViewId="0">
      <selection activeCell="E29" sqref="E29"/>
    </sheetView>
  </sheetViews>
  <sheetFormatPr defaultColWidth="2.28515625" defaultRowHeight="20.100000000000001" customHeight="1"/>
  <cols>
    <col min="1" max="37" width="2.28515625" style="118"/>
    <col min="38" max="38" width="2.28515625" style="118" customWidth="1"/>
    <col min="39" max="16384" width="2.28515625" style="118"/>
  </cols>
  <sheetData>
    <row r="1" spans="1:164" s="184" customFormat="1" ht="20.100000000000001" customHeight="1">
      <c r="A1" s="572" t="s">
        <v>23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4"/>
      <c r="M1" s="578" t="s">
        <v>24</v>
      </c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687"/>
      <c r="AE1" s="578" t="s">
        <v>25</v>
      </c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80"/>
      <c r="AR1" s="667" t="s">
        <v>26</v>
      </c>
      <c r="AS1" s="579"/>
      <c r="AT1" s="579"/>
      <c r="AU1" s="579"/>
      <c r="AV1" s="579"/>
      <c r="AW1" s="579"/>
      <c r="AX1" s="579"/>
      <c r="AY1" s="579"/>
      <c r="AZ1" s="579"/>
      <c r="BA1" s="580"/>
      <c r="BB1" s="667" t="s">
        <v>27</v>
      </c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79"/>
      <c r="BR1" s="579"/>
      <c r="BS1" s="579"/>
      <c r="BT1" s="580"/>
      <c r="BU1" s="667" t="s">
        <v>28</v>
      </c>
      <c r="BV1" s="579"/>
      <c r="BW1" s="579"/>
      <c r="BX1" s="579"/>
      <c r="BY1" s="579"/>
      <c r="BZ1" s="579"/>
      <c r="CA1" s="579"/>
      <c r="CB1" s="579"/>
      <c r="CC1" s="579"/>
      <c r="CD1" s="579"/>
      <c r="CE1" s="579"/>
      <c r="CF1" s="579"/>
      <c r="CG1" s="579"/>
      <c r="CH1" s="579"/>
      <c r="CI1" s="580"/>
      <c r="CJ1" s="667" t="s">
        <v>60</v>
      </c>
      <c r="CK1" s="579"/>
      <c r="CL1" s="579"/>
      <c r="CM1" s="579"/>
      <c r="CN1" s="579"/>
      <c r="CO1" s="579"/>
      <c r="CP1" s="579"/>
      <c r="CQ1" s="579"/>
      <c r="CR1" s="579"/>
      <c r="CS1" s="579"/>
      <c r="CT1" s="579"/>
      <c r="CU1" s="579"/>
      <c r="CV1" s="579"/>
      <c r="CW1" s="580"/>
      <c r="CX1" s="702" t="s">
        <v>198</v>
      </c>
      <c r="CY1" s="703"/>
      <c r="CZ1" s="703"/>
      <c r="DA1" s="703"/>
      <c r="DB1" s="703"/>
      <c r="DC1" s="703"/>
      <c r="DD1" s="703"/>
      <c r="DE1" s="703"/>
      <c r="DF1" s="704"/>
      <c r="DG1" s="702" t="s">
        <v>199</v>
      </c>
      <c r="DH1" s="703"/>
      <c r="DI1" s="703"/>
      <c r="DJ1" s="703"/>
      <c r="DK1" s="703"/>
      <c r="DL1" s="703"/>
      <c r="DM1" s="703"/>
      <c r="DN1" s="703"/>
      <c r="DO1" s="705"/>
      <c r="DP1" s="337"/>
    </row>
    <row r="2" spans="1:164" s="184" customFormat="1" ht="20.100000000000001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7"/>
      <c r="M2" s="583" t="s">
        <v>200</v>
      </c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688"/>
      <c r="AE2" s="589" t="s">
        <v>30</v>
      </c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1"/>
      <c r="AR2" s="675"/>
      <c r="AS2" s="676"/>
      <c r="AT2" s="676"/>
      <c r="AU2" s="676"/>
      <c r="AV2" s="676"/>
      <c r="AW2" s="676"/>
      <c r="AX2" s="676"/>
      <c r="AY2" s="676"/>
      <c r="AZ2" s="676"/>
      <c r="BA2" s="679"/>
      <c r="BB2" s="675" t="str">
        <f ca="1">MID(CELL("filename",A1),FIND("]",CELL("filename",A1))+1,255)</f>
        <v>JSON定義&lt;menu&gt;</v>
      </c>
      <c r="BC2" s="676"/>
      <c r="BD2" s="676"/>
      <c r="BE2" s="676"/>
      <c r="BF2" s="676"/>
      <c r="BG2" s="676"/>
      <c r="BH2" s="676"/>
      <c r="BI2" s="676"/>
      <c r="BJ2" s="676"/>
      <c r="BK2" s="676"/>
      <c r="BL2" s="676"/>
      <c r="BM2" s="676"/>
      <c r="BN2" s="676"/>
      <c r="BO2" s="676"/>
      <c r="BP2" s="676"/>
      <c r="BQ2" s="676"/>
      <c r="BR2" s="676"/>
      <c r="BS2" s="676"/>
      <c r="BT2" s="679"/>
      <c r="BU2" s="675" t="s">
        <v>47</v>
      </c>
      <c r="BV2" s="676"/>
      <c r="BW2" s="676"/>
      <c r="BX2" s="676"/>
      <c r="BY2" s="676"/>
      <c r="BZ2" s="676"/>
      <c r="CA2" s="676"/>
      <c r="CB2" s="676"/>
      <c r="CC2" s="676"/>
      <c r="CD2" s="676"/>
      <c r="CE2" s="676"/>
      <c r="CF2" s="676"/>
      <c r="CG2" s="676"/>
      <c r="CH2" s="676"/>
      <c r="CI2" s="679"/>
      <c r="CJ2" s="675" t="s">
        <v>47</v>
      </c>
      <c r="CK2" s="676"/>
      <c r="CL2" s="676"/>
      <c r="CM2" s="676"/>
      <c r="CN2" s="676"/>
      <c r="CO2" s="676"/>
      <c r="CP2" s="676"/>
      <c r="CQ2" s="676"/>
      <c r="CR2" s="676"/>
      <c r="CS2" s="676"/>
      <c r="CT2" s="676"/>
      <c r="CU2" s="676"/>
      <c r="CV2" s="676"/>
      <c r="CW2" s="676"/>
      <c r="CX2" s="595" t="s">
        <v>33</v>
      </c>
      <c r="CY2" s="595"/>
      <c r="CZ2" s="596"/>
      <c r="DA2" s="693" t="s">
        <v>12</v>
      </c>
      <c r="DB2" s="694"/>
      <c r="DC2" s="694"/>
      <c r="DD2" s="694"/>
      <c r="DE2" s="694"/>
      <c r="DF2" s="695"/>
      <c r="DG2" s="696" t="s">
        <v>34</v>
      </c>
      <c r="DH2" s="595"/>
      <c r="DI2" s="596"/>
      <c r="DJ2" s="693" t="s">
        <v>12</v>
      </c>
      <c r="DK2" s="694"/>
      <c r="DL2" s="694"/>
      <c r="DM2" s="694"/>
      <c r="DN2" s="694"/>
      <c r="DO2" s="697"/>
      <c r="DP2" s="118"/>
      <c r="DQ2" s="118"/>
      <c r="DR2" s="118"/>
      <c r="DS2" s="118"/>
      <c r="DT2" s="118"/>
      <c r="DU2" s="118"/>
    </row>
    <row r="3" spans="1:164" s="184" customFormat="1" ht="20.100000000000001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6"/>
      <c r="M3" s="689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691"/>
      <c r="AE3" s="673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92"/>
      <c r="AR3" s="677"/>
      <c r="AS3" s="678"/>
      <c r="AT3" s="678"/>
      <c r="AU3" s="678"/>
      <c r="AV3" s="678"/>
      <c r="AW3" s="678"/>
      <c r="AX3" s="678"/>
      <c r="AY3" s="678"/>
      <c r="AZ3" s="678"/>
      <c r="BA3" s="680"/>
      <c r="BB3" s="677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80"/>
      <c r="BU3" s="677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80"/>
      <c r="CJ3" s="677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81" t="s">
        <v>22</v>
      </c>
      <c r="CY3" s="681"/>
      <c r="CZ3" s="682"/>
      <c r="DA3" s="698">
        <v>45088</v>
      </c>
      <c r="DB3" s="699"/>
      <c r="DC3" s="699"/>
      <c r="DD3" s="699"/>
      <c r="DE3" s="699"/>
      <c r="DF3" s="700"/>
      <c r="DG3" s="701" t="s">
        <v>35</v>
      </c>
      <c r="DH3" s="681"/>
      <c r="DI3" s="682"/>
      <c r="DJ3" s="698">
        <f>IF(表紙!BC2="","",表紙!BC2)</f>
        <v>45316</v>
      </c>
      <c r="DK3" s="699"/>
      <c r="DL3" s="699"/>
      <c r="DM3" s="699"/>
      <c r="DN3" s="699"/>
      <c r="DO3" s="700"/>
      <c r="DP3" s="118"/>
      <c r="DQ3" s="118"/>
      <c r="FH3" s="118"/>
    </row>
    <row r="4" spans="1:164" ht="20.100000000000001" customHeight="1" thickTop="1">
      <c r="A4" s="134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3"/>
      <c r="FH4" s="338"/>
    </row>
    <row r="5" spans="1:164" ht="20.100000000000001" customHeight="1">
      <c r="A5" s="264" t="s">
        <v>222</v>
      </c>
      <c r="B5" s="265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7"/>
    </row>
    <row r="6" spans="1:164" ht="20.100000000000001" customHeight="1">
      <c r="A6" s="134"/>
      <c r="DO6" s="194"/>
    </row>
    <row r="7" spans="1:164" ht="20.100000000000001" customHeight="1">
      <c r="A7" s="134"/>
      <c r="B7" s="165"/>
      <c r="C7" s="160" t="s">
        <v>144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3"/>
      <c r="Z7" s="163"/>
      <c r="AA7" s="163"/>
      <c r="AB7" s="270" t="s">
        <v>149</v>
      </c>
      <c r="AC7" s="163"/>
      <c r="AD7" s="163"/>
      <c r="AE7" s="160"/>
      <c r="AF7" s="160"/>
      <c r="AG7" s="270" t="s">
        <v>150</v>
      </c>
      <c r="AH7" s="160"/>
      <c r="AI7" s="160"/>
      <c r="AJ7" s="160"/>
      <c r="AK7" s="160"/>
      <c r="AL7" s="270" t="s">
        <v>204</v>
      </c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0"/>
      <c r="BK7" s="160"/>
      <c r="BL7" s="160"/>
      <c r="BM7" s="160"/>
      <c r="BN7" s="160"/>
      <c r="BO7" s="160"/>
      <c r="BP7" s="160"/>
      <c r="BQ7" s="160"/>
      <c r="BR7" s="160"/>
      <c r="BS7" s="271" t="s">
        <v>225</v>
      </c>
      <c r="BT7" s="270"/>
      <c r="BU7" s="161"/>
      <c r="BV7" s="270" t="s">
        <v>226</v>
      </c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3"/>
      <c r="CL7" s="163"/>
      <c r="CM7" s="163"/>
      <c r="CN7" s="163"/>
      <c r="CO7" s="163"/>
      <c r="CP7" s="163"/>
      <c r="CQ7" s="163"/>
      <c r="CR7" s="163"/>
      <c r="CS7" s="163"/>
      <c r="CT7" s="163"/>
      <c r="CU7" s="163"/>
      <c r="CV7" s="163"/>
      <c r="CW7" s="163"/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4"/>
      <c r="DO7" s="194"/>
    </row>
    <row r="8" spans="1:164" ht="20.100000000000001" customHeight="1">
      <c r="A8" s="134"/>
      <c r="B8" s="159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277"/>
      <c r="AC8" s="137"/>
      <c r="AD8" s="137"/>
      <c r="AE8" s="137"/>
      <c r="AF8" s="137"/>
      <c r="AG8" s="277"/>
      <c r="AH8" s="137"/>
      <c r="AI8" s="137"/>
      <c r="AJ8" s="137"/>
      <c r="AK8" s="137"/>
      <c r="AL8" s="27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277"/>
      <c r="BT8" s="137"/>
      <c r="BU8" s="280"/>
      <c r="BV8" s="110" t="s">
        <v>69</v>
      </c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DM8" s="286"/>
      <c r="DO8" s="194"/>
      <c r="DS8" s="340"/>
      <c r="DT8" s="340"/>
    </row>
    <row r="9" spans="1:164" ht="20.100000000000001" customHeight="1">
      <c r="A9" s="134"/>
      <c r="B9" s="159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277"/>
      <c r="AC9" s="137"/>
      <c r="AD9" s="137"/>
      <c r="AE9" s="137"/>
      <c r="AF9" s="137"/>
      <c r="AG9" s="279"/>
      <c r="AH9" s="137"/>
      <c r="AI9" s="137"/>
      <c r="AJ9" s="137"/>
      <c r="AK9" s="280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/>
      <c r="BO9" s="137"/>
      <c r="BP9" s="137"/>
      <c r="BQ9" s="137"/>
      <c r="BR9" s="137"/>
      <c r="BS9" s="277"/>
      <c r="BT9" s="137"/>
      <c r="BU9" s="280"/>
      <c r="BV9" s="110" t="s">
        <v>71</v>
      </c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DM9" s="286"/>
      <c r="DO9" s="194"/>
      <c r="DS9" s="340"/>
      <c r="DT9" s="340"/>
    </row>
    <row r="10" spans="1:164" ht="20.100000000000001" customHeight="1">
      <c r="A10" s="134"/>
      <c r="B10" s="159"/>
      <c r="C10" s="354" t="s">
        <v>45</v>
      </c>
      <c r="D10" s="355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354" t="s">
        <v>72</v>
      </c>
      <c r="AC10" s="137"/>
      <c r="AD10" s="137"/>
      <c r="AE10" s="137"/>
      <c r="AF10" s="137"/>
      <c r="AG10" s="279"/>
      <c r="AH10" s="137"/>
      <c r="AI10" s="137"/>
      <c r="AJ10" s="137"/>
      <c r="AK10" s="280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277"/>
      <c r="BT10" s="137"/>
      <c r="BU10" s="280"/>
      <c r="BV10" s="110" t="s">
        <v>73</v>
      </c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DM10" s="286"/>
      <c r="DO10" s="194"/>
      <c r="DS10" s="340"/>
      <c r="DT10" s="340"/>
    </row>
    <row r="11" spans="1:164" ht="20.100000000000001" customHeight="1">
      <c r="A11" s="134"/>
      <c r="B11" s="159"/>
      <c r="C11" s="354" t="s">
        <v>50</v>
      </c>
      <c r="D11" s="355"/>
      <c r="E11" s="120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354" t="s">
        <v>72</v>
      </c>
      <c r="AC11" s="137"/>
      <c r="AD11" s="137"/>
      <c r="AE11" s="137"/>
      <c r="AF11" s="137"/>
      <c r="AG11" s="273"/>
      <c r="AH11" s="120"/>
      <c r="AI11" s="120"/>
      <c r="AJ11" s="120"/>
      <c r="AK11" s="341"/>
      <c r="AL11" s="120"/>
      <c r="AM11" s="120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137"/>
      <c r="BO11" s="137"/>
      <c r="BP11" s="137"/>
      <c r="BQ11" s="137"/>
      <c r="BR11" s="137"/>
      <c r="BS11" s="277"/>
      <c r="BT11" s="137"/>
      <c r="BU11" s="280"/>
      <c r="BV11" s="110" t="s">
        <v>74</v>
      </c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DM11" s="286"/>
      <c r="DO11" s="194"/>
      <c r="DS11" s="340"/>
      <c r="DT11" s="340"/>
    </row>
    <row r="12" spans="1:164" ht="20.100000000000001" customHeight="1">
      <c r="A12" s="134"/>
      <c r="B12" s="159"/>
      <c r="C12" s="354" t="s">
        <v>146</v>
      </c>
      <c r="D12" s="355"/>
      <c r="E12" s="120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354" t="s">
        <v>72</v>
      </c>
      <c r="AC12" s="137"/>
      <c r="AD12" s="137"/>
      <c r="AE12" s="137"/>
      <c r="AF12" s="137"/>
      <c r="AG12" s="273"/>
      <c r="AH12" s="120"/>
      <c r="AI12" s="120"/>
      <c r="AJ12" s="120"/>
      <c r="AK12" s="120"/>
      <c r="AL12" s="272"/>
      <c r="AM12" s="120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277"/>
      <c r="BT12" s="137"/>
      <c r="BU12" s="280"/>
      <c r="BV12" s="110" t="s">
        <v>287</v>
      </c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DM12" s="286"/>
      <c r="DO12" s="194"/>
      <c r="DS12" s="340"/>
      <c r="DT12" s="340"/>
    </row>
    <row r="13" spans="1:164" ht="20.100000000000001" customHeight="1">
      <c r="A13" s="134"/>
      <c r="B13" s="159"/>
      <c r="C13" s="354" t="s">
        <v>75</v>
      </c>
      <c r="D13" s="356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354" t="s">
        <v>10</v>
      </c>
      <c r="AC13" s="137"/>
      <c r="AD13" s="137"/>
      <c r="AE13" s="137"/>
      <c r="AF13" s="137"/>
      <c r="AG13" s="273"/>
      <c r="AH13" s="137"/>
      <c r="AI13" s="137"/>
      <c r="AJ13" s="137"/>
      <c r="AK13" s="137"/>
      <c r="AL13" s="272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/>
      <c r="BO13" s="137"/>
      <c r="BP13" s="137"/>
      <c r="BQ13" s="137"/>
      <c r="BR13" s="137"/>
      <c r="BS13" s="277"/>
      <c r="BT13" s="137"/>
      <c r="BU13" s="280"/>
      <c r="BV13" s="110" t="s">
        <v>76</v>
      </c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10"/>
      <c r="CT13" s="110"/>
      <c r="CU13" s="110"/>
      <c r="CV13" s="110"/>
      <c r="CW13" s="110"/>
      <c r="DM13" s="286"/>
      <c r="DO13" s="194"/>
      <c r="DS13" s="340"/>
      <c r="DT13" s="340"/>
    </row>
    <row r="14" spans="1:164" ht="20.100000000000001" customHeight="1">
      <c r="A14" s="134"/>
      <c r="B14" s="159"/>
      <c r="C14" s="354" t="s">
        <v>77</v>
      </c>
      <c r="D14" s="355"/>
      <c r="E14" s="120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354" t="s">
        <v>10</v>
      </c>
      <c r="AC14" s="137"/>
      <c r="AD14" s="137"/>
      <c r="AE14" s="137"/>
      <c r="AF14" s="137"/>
      <c r="AG14" s="273"/>
      <c r="AH14" s="120"/>
      <c r="AI14" s="120"/>
      <c r="AJ14" s="120"/>
      <c r="AK14" s="120"/>
      <c r="AL14" s="272"/>
      <c r="AM14" s="120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277"/>
      <c r="BT14" s="137"/>
      <c r="BU14" s="280"/>
      <c r="BV14" s="110" t="s">
        <v>78</v>
      </c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10"/>
      <c r="CT14" s="110"/>
      <c r="CU14" s="110"/>
      <c r="CV14" s="110"/>
      <c r="CW14" s="110"/>
      <c r="DM14" s="286"/>
      <c r="DO14" s="194"/>
      <c r="DS14" s="340"/>
      <c r="DT14" s="340"/>
    </row>
    <row r="15" spans="1:164" ht="20.100000000000001" customHeight="1">
      <c r="A15" s="134"/>
      <c r="B15" s="159"/>
      <c r="C15" s="354" t="s">
        <v>79</v>
      </c>
      <c r="D15" s="356"/>
      <c r="E15" s="120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354" t="s">
        <v>72</v>
      </c>
      <c r="AC15" s="137"/>
      <c r="AD15" s="137"/>
      <c r="AE15" s="137"/>
      <c r="AF15" s="137"/>
      <c r="AG15" s="342"/>
      <c r="AH15" s="120"/>
      <c r="AI15" s="120"/>
      <c r="AJ15" s="120"/>
      <c r="AK15" s="120"/>
      <c r="AL15" s="272"/>
      <c r="AM15" s="120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137"/>
      <c r="BO15" s="137"/>
      <c r="BP15" s="137"/>
      <c r="BQ15" s="137"/>
      <c r="BR15" s="137"/>
      <c r="BS15" s="277"/>
      <c r="BT15" s="137"/>
      <c r="BU15" s="280"/>
      <c r="BV15" s="110" t="s">
        <v>80</v>
      </c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10"/>
      <c r="CT15" s="110"/>
      <c r="CU15" s="110"/>
      <c r="CV15" s="110"/>
      <c r="CW15" s="110"/>
      <c r="DM15" s="286"/>
      <c r="DO15" s="194"/>
      <c r="DS15" s="340"/>
      <c r="DT15" s="340"/>
    </row>
    <row r="16" spans="1:164" ht="20.100000000000001" customHeight="1">
      <c r="A16" s="134"/>
      <c r="B16" s="159"/>
      <c r="C16" s="354" t="s">
        <v>62</v>
      </c>
      <c r="D16" s="355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354" t="s">
        <v>72</v>
      </c>
      <c r="AC16" s="137"/>
      <c r="AD16" s="137"/>
      <c r="AE16" s="137"/>
      <c r="AF16" s="137"/>
      <c r="AG16" s="342"/>
      <c r="AH16" s="137"/>
      <c r="AI16" s="137"/>
      <c r="AJ16" s="137"/>
      <c r="AK16" s="137"/>
      <c r="AL16" s="272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277"/>
      <c r="BT16" s="137"/>
      <c r="BU16" s="280"/>
      <c r="BV16" s="110" t="s">
        <v>81</v>
      </c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DM16" s="286"/>
      <c r="DO16" s="194"/>
      <c r="DS16" s="340"/>
      <c r="DT16" s="340"/>
    </row>
    <row r="17" spans="1:124" ht="20.100000000000001" customHeight="1">
      <c r="A17" s="134"/>
      <c r="B17" s="159"/>
      <c r="C17" s="354" t="s">
        <v>63</v>
      </c>
      <c r="D17" s="355"/>
      <c r="E17" s="120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354" t="s">
        <v>72</v>
      </c>
      <c r="AC17" s="137"/>
      <c r="AD17" s="137"/>
      <c r="AE17" s="137"/>
      <c r="AF17" s="137"/>
      <c r="AG17" s="273"/>
      <c r="AH17" s="120"/>
      <c r="AI17" s="120"/>
      <c r="AJ17" s="120"/>
      <c r="AK17" s="120"/>
      <c r="AL17" s="272"/>
      <c r="AM17" s="120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277"/>
      <c r="BT17" s="137"/>
      <c r="BU17" s="280"/>
      <c r="BV17" s="110" t="s">
        <v>82</v>
      </c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10"/>
      <c r="CT17" s="110"/>
      <c r="CU17" s="110"/>
      <c r="CV17" s="110"/>
      <c r="CW17" s="110"/>
      <c r="DM17" s="286"/>
      <c r="DO17" s="194"/>
      <c r="DS17" s="340"/>
      <c r="DT17" s="340"/>
    </row>
    <row r="18" spans="1:124" ht="20.100000000000001" customHeight="1">
      <c r="A18" s="134"/>
      <c r="B18" s="159"/>
      <c r="C18" s="354" t="s">
        <v>83</v>
      </c>
      <c r="D18" s="355"/>
      <c r="E18" s="120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354" t="s">
        <v>10</v>
      </c>
      <c r="AC18" s="137"/>
      <c r="AD18" s="137"/>
      <c r="AE18" s="137"/>
      <c r="AF18" s="137"/>
      <c r="AG18" s="273"/>
      <c r="AH18" s="120"/>
      <c r="AI18" s="120"/>
      <c r="AJ18" s="120"/>
      <c r="AK18" s="120"/>
      <c r="AL18" s="272"/>
      <c r="AM18" s="120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7"/>
      <c r="BS18" s="277"/>
      <c r="BT18" s="137"/>
      <c r="BU18" s="280"/>
      <c r="BV18" s="110" t="s">
        <v>84</v>
      </c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  <c r="CP18" s="110"/>
      <c r="CQ18" s="110"/>
      <c r="CR18" s="110"/>
      <c r="CS18" s="110"/>
      <c r="CT18" s="110"/>
      <c r="CU18" s="110"/>
      <c r="CV18" s="110"/>
      <c r="CW18" s="110"/>
      <c r="DM18" s="286"/>
      <c r="DO18" s="194"/>
      <c r="DS18" s="340"/>
      <c r="DT18" s="340"/>
    </row>
    <row r="19" spans="1:124" ht="20.100000000000001" customHeight="1">
      <c r="A19" s="134"/>
      <c r="B19" s="159"/>
      <c r="C19" s="354" t="s">
        <v>85</v>
      </c>
      <c r="D19" s="355"/>
      <c r="E19" s="120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354" t="s">
        <v>10</v>
      </c>
      <c r="AC19" s="137"/>
      <c r="AD19" s="137"/>
      <c r="AE19" s="137"/>
      <c r="AF19" s="137"/>
      <c r="AG19" s="273"/>
      <c r="AH19" s="120"/>
      <c r="AI19" s="120"/>
      <c r="AJ19" s="120"/>
      <c r="AK19" s="120"/>
      <c r="AL19" s="272"/>
      <c r="AM19" s="120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277"/>
      <c r="BT19" s="137"/>
      <c r="BU19" s="280"/>
      <c r="BV19" s="110" t="s">
        <v>86</v>
      </c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  <c r="CV19" s="110"/>
      <c r="CW19" s="110"/>
      <c r="DM19" s="286"/>
      <c r="DO19" s="194"/>
      <c r="DS19" s="340"/>
      <c r="DT19" s="340"/>
    </row>
    <row r="20" spans="1:124" ht="20.100000000000001" customHeight="1">
      <c r="A20" s="134"/>
      <c r="B20" s="159"/>
      <c r="C20" s="354" t="s">
        <v>87</v>
      </c>
      <c r="D20" s="355"/>
      <c r="E20" s="120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354" t="s">
        <v>72</v>
      </c>
      <c r="AC20" s="137"/>
      <c r="AD20" s="137"/>
      <c r="AE20" s="137"/>
      <c r="AF20" s="137"/>
      <c r="AG20" s="273"/>
      <c r="AH20" s="120"/>
      <c r="AI20" s="120"/>
      <c r="AJ20" s="120"/>
      <c r="AK20" s="120"/>
      <c r="AL20" s="272"/>
      <c r="AM20" s="120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277"/>
      <c r="BT20" s="137"/>
      <c r="BU20" s="280"/>
      <c r="BV20" s="110" t="s">
        <v>88</v>
      </c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10"/>
      <c r="CT20" s="110"/>
      <c r="CU20" s="110"/>
      <c r="CV20" s="110"/>
      <c r="CW20" s="110"/>
      <c r="DM20" s="286"/>
      <c r="DO20" s="194"/>
      <c r="DS20" s="340"/>
      <c r="DT20" s="340"/>
    </row>
    <row r="21" spans="1:124" ht="20.100000000000001" customHeight="1">
      <c r="A21" s="134"/>
      <c r="B21" s="159"/>
      <c r="C21" s="354" t="s">
        <v>89</v>
      </c>
      <c r="D21" s="355"/>
      <c r="E21" s="120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354" t="s">
        <v>72</v>
      </c>
      <c r="AC21" s="137"/>
      <c r="AD21" s="137"/>
      <c r="AE21" s="137"/>
      <c r="AF21" s="137"/>
      <c r="AG21" s="273"/>
      <c r="AH21" s="120"/>
      <c r="AI21" s="120"/>
      <c r="AJ21" s="120"/>
      <c r="AK21" s="120"/>
      <c r="AL21" s="272"/>
      <c r="AM21" s="120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277"/>
      <c r="BT21" s="137"/>
      <c r="BU21" s="280"/>
      <c r="BV21" s="110" t="s">
        <v>90</v>
      </c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10"/>
      <c r="CT21" s="110"/>
      <c r="CU21" s="110"/>
      <c r="CV21" s="110"/>
      <c r="CW21" s="110"/>
      <c r="DM21" s="286"/>
      <c r="DO21" s="194"/>
      <c r="DS21" s="340"/>
      <c r="DT21" s="340"/>
    </row>
    <row r="22" spans="1:124" ht="20.100000000000001" customHeight="1">
      <c r="A22" s="134"/>
      <c r="B22" s="159"/>
      <c r="C22" s="354" t="s">
        <v>310</v>
      </c>
      <c r="D22" s="355"/>
      <c r="E22" s="120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354" t="s">
        <v>72</v>
      </c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277"/>
      <c r="BT22" s="137"/>
      <c r="BU22" s="280"/>
      <c r="BV22" s="110" t="s">
        <v>313</v>
      </c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DM22" s="286"/>
      <c r="DO22" s="194"/>
      <c r="DS22" s="340"/>
      <c r="DT22" s="340"/>
    </row>
    <row r="23" spans="1:124" ht="20.100000000000001" customHeight="1">
      <c r="A23" s="134"/>
      <c r="B23" s="159"/>
      <c r="C23" s="354" t="s">
        <v>92</v>
      </c>
      <c r="D23" s="355"/>
      <c r="E23" s="120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272" t="s">
        <v>247</v>
      </c>
      <c r="AC23" s="137"/>
      <c r="AD23" s="137"/>
      <c r="AE23" s="137"/>
      <c r="AF23" s="137"/>
      <c r="AG23" s="342" t="s">
        <v>181</v>
      </c>
      <c r="AH23" s="120"/>
      <c r="AI23" s="120"/>
      <c r="AJ23" s="120"/>
      <c r="AK23" s="120"/>
      <c r="AL23" s="272" t="s">
        <v>248</v>
      </c>
      <c r="AM23" s="120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277"/>
      <c r="BT23" s="137"/>
      <c r="BU23" s="280"/>
      <c r="BV23" s="113" t="s">
        <v>133</v>
      </c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0"/>
      <c r="CL23" s="110"/>
      <c r="CM23" s="110"/>
      <c r="CN23" s="110"/>
      <c r="CO23" s="110"/>
      <c r="CP23" s="110"/>
      <c r="CQ23" s="110"/>
      <c r="CR23" s="110"/>
      <c r="CS23" s="110"/>
      <c r="CT23" s="110"/>
      <c r="CU23" s="110"/>
      <c r="CV23" s="110"/>
      <c r="CW23" s="110"/>
      <c r="DM23" s="286"/>
      <c r="DO23" s="194"/>
      <c r="DS23" s="340"/>
      <c r="DT23" s="340"/>
    </row>
    <row r="24" spans="1:124" ht="20.100000000000001" customHeight="1">
      <c r="A24" s="134"/>
      <c r="B24" s="159"/>
      <c r="C24" s="386"/>
      <c r="D24" s="387"/>
      <c r="E24" s="388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6"/>
      <c r="AC24" s="390"/>
      <c r="AD24" s="390"/>
      <c r="AE24" s="390"/>
      <c r="AF24" s="390"/>
      <c r="AG24" s="390"/>
      <c r="AH24" s="388"/>
      <c r="AI24" s="120"/>
      <c r="AJ24" s="120"/>
      <c r="AK24" s="120"/>
      <c r="AL24" s="272"/>
      <c r="AM24" s="120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137"/>
      <c r="BO24" s="137"/>
      <c r="BP24" s="137"/>
      <c r="BQ24" s="137"/>
      <c r="BR24" s="137"/>
      <c r="BS24" s="277"/>
      <c r="BT24" s="137"/>
      <c r="BU24" s="280"/>
      <c r="BV24" s="110" t="s">
        <v>249</v>
      </c>
      <c r="BW24" s="110"/>
      <c r="BX24" s="383"/>
      <c r="BY24" s="383"/>
      <c r="BZ24" s="383"/>
      <c r="CA24" s="383"/>
      <c r="CB24" s="383"/>
      <c r="CC24" s="383"/>
      <c r="CD24" s="383"/>
      <c r="CE24" s="383"/>
      <c r="CF24" s="383"/>
      <c r="CG24" s="383"/>
      <c r="CH24" s="383"/>
      <c r="CI24" s="383"/>
      <c r="CJ24" s="383"/>
      <c r="CK24" s="383"/>
      <c r="CL24" s="383"/>
      <c r="CM24" s="383"/>
      <c r="CN24" s="383"/>
      <c r="CO24" s="383"/>
      <c r="CP24" s="110"/>
      <c r="CQ24" s="110"/>
      <c r="CR24" s="110"/>
      <c r="CS24" s="110"/>
      <c r="CT24" s="110"/>
      <c r="CU24" s="110"/>
      <c r="CV24" s="110"/>
      <c r="CW24" s="110"/>
      <c r="DM24" s="286"/>
      <c r="DO24" s="194"/>
      <c r="DS24" s="340"/>
      <c r="DT24" s="340"/>
    </row>
    <row r="25" spans="1:124" ht="20.100000000000001" customHeight="1">
      <c r="A25" s="134"/>
      <c r="B25" s="159"/>
      <c r="C25" s="120"/>
      <c r="D25" s="120"/>
      <c r="E25" s="120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272"/>
      <c r="AC25" s="137"/>
      <c r="AD25" s="137"/>
      <c r="AE25" s="137"/>
      <c r="AF25" s="137"/>
      <c r="AG25" s="273"/>
      <c r="AH25" s="120"/>
      <c r="AI25" s="120"/>
      <c r="AJ25" s="120"/>
      <c r="AK25" s="120"/>
      <c r="AL25" s="272"/>
      <c r="AM25" s="120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277"/>
      <c r="BT25" s="137"/>
      <c r="BU25" s="280"/>
      <c r="BV25" s="118" t="s">
        <v>134</v>
      </c>
      <c r="BX25" s="339"/>
      <c r="DM25" s="286"/>
      <c r="DO25" s="194"/>
      <c r="DS25" s="340"/>
      <c r="DT25" s="340"/>
    </row>
    <row r="26" spans="1:124" ht="20.100000000000001" customHeight="1">
      <c r="A26" s="134"/>
      <c r="B26" s="159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272"/>
      <c r="AC26" s="120"/>
      <c r="AD26" s="120"/>
      <c r="AE26" s="120"/>
      <c r="AF26" s="120"/>
      <c r="AG26" s="287"/>
      <c r="AH26" s="120"/>
      <c r="AI26" s="120"/>
      <c r="AJ26" s="120"/>
      <c r="AK26" s="120"/>
      <c r="AL26" s="272"/>
      <c r="AM26" s="120"/>
      <c r="AN26" s="120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277"/>
      <c r="BT26" s="137"/>
      <c r="BU26" s="280"/>
      <c r="BX26" s="340"/>
      <c r="DM26" s="286"/>
      <c r="DO26" s="194"/>
      <c r="DS26" s="340"/>
      <c r="DT26" s="340"/>
    </row>
    <row r="27" spans="1:124" ht="20.100000000000001" customHeight="1">
      <c r="A27" s="134"/>
      <c r="B27" s="281" t="s">
        <v>52</v>
      </c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7"/>
      <c r="DH27" s="167"/>
      <c r="DI27" s="167"/>
      <c r="DJ27" s="167"/>
      <c r="DK27" s="167"/>
      <c r="DL27" s="167"/>
      <c r="DM27" s="269"/>
      <c r="DO27" s="194"/>
    </row>
    <row r="28" spans="1:124" ht="20.100000000000001" customHeight="1">
      <c r="A28" s="134"/>
      <c r="B28" s="159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3"/>
      <c r="BK28" s="283"/>
      <c r="BL28" s="283"/>
      <c r="BM28" s="283"/>
      <c r="BN28" s="283"/>
      <c r="BO28" s="283"/>
      <c r="BP28" s="283"/>
      <c r="BQ28" s="283"/>
      <c r="BR28" s="283"/>
      <c r="BS28" s="283"/>
      <c r="BT28" s="283"/>
      <c r="BU28" s="283"/>
      <c r="BV28" s="283"/>
      <c r="BW28" s="283"/>
      <c r="BX28" s="283"/>
      <c r="BY28" s="283"/>
      <c r="BZ28" s="283"/>
      <c r="CA28" s="283"/>
      <c r="CB28" s="283"/>
      <c r="CC28" s="283"/>
      <c r="CD28" s="283"/>
      <c r="CE28" s="283"/>
      <c r="CF28" s="283"/>
      <c r="CG28" s="283"/>
      <c r="CH28" s="283"/>
      <c r="CI28" s="283"/>
      <c r="CJ28" s="283"/>
      <c r="CK28" s="283"/>
      <c r="CL28" s="283"/>
      <c r="CM28" s="283"/>
      <c r="CN28" s="283"/>
      <c r="CO28" s="283"/>
      <c r="CP28" s="283"/>
      <c r="CQ28" s="283"/>
      <c r="CR28" s="283"/>
      <c r="CS28" s="283"/>
      <c r="CT28" s="283"/>
      <c r="CU28" s="283"/>
      <c r="CV28" s="283"/>
      <c r="CW28" s="283"/>
      <c r="CX28" s="283"/>
      <c r="CY28" s="283"/>
      <c r="CZ28" s="283"/>
      <c r="DA28" s="283"/>
      <c r="DB28" s="283"/>
      <c r="DC28" s="283"/>
      <c r="DD28" s="283"/>
      <c r="DE28" s="283"/>
      <c r="DF28" s="283"/>
      <c r="DG28" s="283"/>
      <c r="DH28" s="283"/>
      <c r="DI28" s="283"/>
      <c r="DJ28" s="283"/>
      <c r="DK28" s="283"/>
      <c r="DL28" s="283"/>
      <c r="DM28" s="284"/>
      <c r="DO28" s="194"/>
    </row>
    <row r="29" spans="1:124" ht="20.100000000000001" customHeight="1">
      <c r="A29" s="134"/>
      <c r="B29" s="159"/>
      <c r="E29" s="180" t="s">
        <v>322</v>
      </c>
      <c r="DM29" s="286"/>
      <c r="DO29" s="194"/>
    </row>
    <row r="30" spans="1:124" ht="20.100000000000001" customHeight="1">
      <c r="A30" s="134"/>
      <c r="B30" s="159"/>
      <c r="DM30" s="286"/>
      <c r="DO30" s="194"/>
    </row>
    <row r="31" spans="1:124" ht="20.100000000000001" customHeight="1">
      <c r="A31" s="134"/>
      <c r="B31" s="159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  <c r="AR31" s="305"/>
      <c r="AS31" s="305"/>
      <c r="AT31" s="305"/>
      <c r="AU31" s="305"/>
      <c r="AV31" s="305"/>
      <c r="AW31" s="305"/>
      <c r="AX31" s="305"/>
      <c r="AY31" s="305"/>
      <c r="AZ31" s="305"/>
      <c r="BA31" s="305"/>
      <c r="BB31" s="305"/>
      <c r="BC31" s="305"/>
      <c r="BD31" s="305"/>
      <c r="BE31" s="305"/>
      <c r="BF31" s="305"/>
      <c r="BG31" s="305"/>
      <c r="BH31" s="305"/>
      <c r="BI31" s="305"/>
      <c r="BJ31" s="305"/>
      <c r="BK31" s="305"/>
      <c r="BL31" s="305"/>
      <c r="BM31" s="305"/>
      <c r="BN31" s="305"/>
      <c r="BO31" s="305"/>
      <c r="BP31" s="305"/>
      <c r="BQ31" s="305"/>
      <c r="BR31" s="305"/>
      <c r="BS31" s="305"/>
      <c r="BT31" s="305"/>
      <c r="BU31" s="305"/>
      <c r="BV31" s="305"/>
      <c r="BW31" s="305"/>
      <c r="BX31" s="305"/>
      <c r="BY31" s="305"/>
      <c r="BZ31" s="305"/>
      <c r="CA31" s="305"/>
      <c r="CB31" s="305"/>
      <c r="CC31" s="305"/>
      <c r="CD31" s="305"/>
      <c r="CE31" s="305"/>
      <c r="CF31" s="305"/>
      <c r="CG31" s="305"/>
      <c r="CH31" s="305"/>
      <c r="CI31" s="305"/>
      <c r="CJ31" s="305"/>
      <c r="CK31" s="305"/>
      <c r="CL31" s="305"/>
      <c r="CM31" s="305"/>
      <c r="CN31" s="305"/>
      <c r="CO31" s="305"/>
      <c r="CP31" s="305"/>
      <c r="CQ31" s="305"/>
      <c r="CR31" s="305"/>
      <c r="CS31" s="305"/>
      <c r="CT31" s="305"/>
      <c r="CU31" s="305"/>
      <c r="CV31" s="305"/>
      <c r="CW31" s="305"/>
      <c r="CX31" s="305"/>
      <c r="CY31" s="305"/>
      <c r="CZ31" s="305"/>
      <c r="DA31" s="305"/>
      <c r="DB31" s="305"/>
      <c r="DC31" s="305"/>
      <c r="DD31" s="305"/>
      <c r="DE31" s="305"/>
      <c r="DF31" s="305"/>
      <c r="DG31" s="305"/>
      <c r="DH31" s="305"/>
      <c r="DI31" s="305"/>
      <c r="DJ31" s="305"/>
      <c r="DK31" s="305"/>
      <c r="DL31" s="305"/>
      <c r="DM31" s="306"/>
      <c r="DO31" s="194"/>
    </row>
    <row r="32" spans="1:124" ht="20.100000000000001" customHeight="1">
      <c r="DO32" s="194"/>
    </row>
    <row r="33" spans="1:119" ht="20.100000000000001" customHeight="1">
      <c r="DO33" s="194"/>
    </row>
    <row r="34" spans="1:119" ht="20.100000000000001" customHeight="1">
      <c r="A34" s="116" t="s">
        <v>143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311"/>
    </row>
    <row r="35" spans="1:119" ht="20.100000000000001" customHeight="1">
      <c r="DO35" s="194"/>
    </row>
    <row r="36" spans="1:119" ht="20.100000000000001" customHeight="1">
      <c r="B36" s="312" t="s">
        <v>239</v>
      </c>
      <c r="C36" s="313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2" t="s">
        <v>240</v>
      </c>
      <c r="BI36" s="313"/>
      <c r="BJ36" s="313"/>
      <c r="BK36" s="313"/>
      <c r="BL36" s="313"/>
      <c r="BM36" s="313"/>
      <c r="BN36" s="313"/>
      <c r="BO36" s="313"/>
      <c r="BP36" s="313"/>
      <c r="BQ36" s="313"/>
      <c r="BR36" s="313"/>
      <c r="BS36" s="313"/>
      <c r="BT36" s="313"/>
      <c r="BU36" s="313"/>
      <c r="BV36" s="313"/>
      <c r="BW36" s="313"/>
      <c r="BX36" s="313"/>
      <c r="BY36" s="313"/>
      <c r="BZ36" s="313"/>
      <c r="CA36" s="313"/>
      <c r="CB36" s="313"/>
      <c r="CC36" s="313"/>
      <c r="CD36" s="313"/>
      <c r="CE36" s="313"/>
      <c r="CF36" s="313"/>
      <c r="CG36" s="313"/>
      <c r="CH36" s="313"/>
      <c r="CI36" s="313"/>
      <c r="CJ36" s="313"/>
      <c r="CK36" s="313"/>
      <c r="CL36" s="313"/>
      <c r="CM36" s="313"/>
      <c r="CN36" s="313"/>
      <c r="CO36" s="313"/>
      <c r="CP36" s="313"/>
      <c r="CQ36" s="313"/>
      <c r="CR36" s="313"/>
      <c r="CS36" s="313"/>
      <c r="CT36" s="313"/>
      <c r="CU36" s="313"/>
      <c r="CV36" s="313"/>
      <c r="CW36" s="313"/>
      <c r="CX36" s="313"/>
      <c r="CY36" s="313"/>
      <c r="CZ36" s="313"/>
      <c r="DA36" s="313"/>
      <c r="DB36" s="313"/>
      <c r="DC36" s="313"/>
      <c r="DD36" s="313"/>
      <c r="DE36" s="313"/>
      <c r="DF36" s="313"/>
      <c r="DG36" s="313"/>
      <c r="DH36" s="313"/>
      <c r="DI36" s="313"/>
      <c r="DJ36" s="313"/>
      <c r="DK36" s="313"/>
      <c r="DL36" s="313"/>
      <c r="DM36" s="314"/>
      <c r="DO36" s="194"/>
    </row>
    <row r="37" spans="1:119" ht="20.100000000000001" customHeight="1">
      <c r="B37" s="315"/>
      <c r="C37" s="117" t="s">
        <v>144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316"/>
      <c r="V37" s="117" t="s">
        <v>145</v>
      </c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317"/>
      <c r="AL37" s="117"/>
      <c r="AM37" s="117"/>
      <c r="AN37" s="117"/>
      <c r="AO37" s="117"/>
      <c r="AP37" s="117"/>
      <c r="AQ37" s="318"/>
      <c r="AR37" s="318"/>
      <c r="AS37" s="318"/>
      <c r="AT37" s="318"/>
      <c r="AU37" s="318"/>
      <c r="AV37" s="318"/>
      <c r="AW37" s="318"/>
      <c r="AX37" s="318"/>
      <c r="AY37" s="318"/>
      <c r="AZ37" s="318"/>
      <c r="BA37" s="318"/>
      <c r="BB37" s="318"/>
      <c r="BC37" s="318"/>
      <c r="BD37" s="318"/>
      <c r="BE37" s="318"/>
      <c r="BF37" s="318"/>
      <c r="BG37" s="319"/>
      <c r="BH37" s="315"/>
      <c r="BI37" s="117" t="s">
        <v>144</v>
      </c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316"/>
      <c r="CB37" s="117" t="s">
        <v>145</v>
      </c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317"/>
      <c r="CR37" s="117"/>
      <c r="CS37" s="117"/>
      <c r="CT37" s="117"/>
      <c r="CU37" s="117"/>
      <c r="CV37" s="117"/>
      <c r="CW37" s="318"/>
      <c r="CX37" s="318"/>
      <c r="CY37" s="318"/>
      <c r="CZ37" s="318"/>
      <c r="DA37" s="318"/>
      <c r="DB37" s="318"/>
      <c r="DC37" s="318"/>
      <c r="DD37" s="318"/>
      <c r="DE37" s="318"/>
      <c r="DF37" s="318"/>
      <c r="DG37" s="318"/>
      <c r="DH37" s="318"/>
      <c r="DI37" s="318"/>
      <c r="DJ37" s="318"/>
      <c r="DK37" s="318"/>
      <c r="DL37" s="318"/>
      <c r="DM37" s="319"/>
      <c r="DO37" s="194"/>
    </row>
    <row r="38" spans="1:119" ht="20.100000000000001" customHeight="1">
      <c r="B38" s="315"/>
      <c r="C38" s="120"/>
      <c r="D38" s="120"/>
      <c r="E38" s="120"/>
      <c r="F38" s="137"/>
      <c r="G38" s="137"/>
      <c r="H38" s="137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6"/>
      <c r="V38" s="120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1"/>
      <c r="AL38" s="121"/>
      <c r="AM38" s="122"/>
      <c r="AN38" s="123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315"/>
      <c r="BI38" s="354" t="s">
        <v>45</v>
      </c>
      <c r="BJ38" s="137"/>
      <c r="BK38" s="137"/>
      <c r="BL38" s="137"/>
      <c r="BM38" s="137"/>
      <c r="BN38" s="137"/>
      <c r="BO38" s="137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6"/>
      <c r="CB38" s="354" t="s">
        <v>151</v>
      </c>
      <c r="CC38" s="355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1"/>
      <c r="CR38" s="121"/>
      <c r="CS38" s="122"/>
      <c r="CT38" s="123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5"/>
      <c r="DO38" s="194"/>
    </row>
    <row r="39" spans="1:119" ht="20.100000000000001" customHeight="1">
      <c r="B39" s="315"/>
      <c r="C39" s="120"/>
      <c r="D39" s="120"/>
      <c r="E39" s="120"/>
      <c r="F39" s="137"/>
      <c r="G39" s="137"/>
      <c r="H39" s="137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6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1"/>
      <c r="AL39" s="121"/>
      <c r="AM39" s="122"/>
      <c r="AN39" s="123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5"/>
      <c r="BH39" s="315"/>
      <c r="BI39" s="354" t="s">
        <v>50</v>
      </c>
      <c r="BJ39" s="120"/>
      <c r="BK39" s="120"/>
      <c r="BL39" s="137"/>
      <c r="BM39" s="137"/>
      <c r="BN39" s="137"/>
      <c r="BO39" s="137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6"/>
      <c r="CB39" s="354" t="s">
        <v>152</v>
      </c>
      <c r="CC39" s="355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1"/>
      <c r="CR39" s="121"/>
      <c r="CS39" s="122"/>
      <c r="CT39" s="123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5"/>
      <c r="DO39" s="194"/>
    </row>
    <row r="40" spans="1:119" ht="20.100000000000001" customHeight="1">
      <c r="B40" s="315"/>
      <c r="D40" s="120"/>
      <c r="E40" s="120"/>
      <c r="F40" s="137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6"/>
      <c r="V40" s="133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1"/>
      <c r="AL40" s="121"/>
      <c r="AM40" s="122"/>
      <c r="AN40" s="123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5"/>
      <c r="BH40" s="315"/>
      <c r="BI40" s="354" t="s">
        <v>284</v>
      </c>
      <c r="BJ40" s="120"/>
      <c r="BK40" s="120"/>
      <c r="BL40" s="137"/>
      <c r="BM40" s="137"/>
      <c r="BN40" s="137"/>
      <c r="BO40" s="137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6"/>
      <c r="CB40" s="354" t="s">
        <v>290</v>
      </c>
      <c r="CC40" s="355"/>
      <c r="CD40" s="120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0"/>
      <c r="CQ40" s="121"/>
      <c r="CR40" s="121"/>
      <c r="CS40" s="122"/>
      <c r="CT40" s="123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5"/>
      <c r="DO40" s="194"/>
    </row>
    <row r="41" spans="1:119" ht="20.100000000000001" customHeight="1">
      <c r="B41" s="315"/>
      <c r="C41" s="120"/>
      <c r="D41" s="120"/>
      <c r="E41" s="120"/>
      <c r="F41" s="137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6"/>
      <c r="V41" s="133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1"/>
      <c r="AL41" s="121"/>
      <c r="AM41" s="122"/>
      <c r="AN41" s="123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5"/>
      <c r="BH41" s="315"/>
      <c r="BI41" s="354" t="s">
        <v>75</v>
      </c>
      <c r="BK41" s="137"/>
      <c r="BL41" s="137"/>
      <c r="BM41" s="137"/>
      <c r="BN41" s="137"/>
      <c r="BO41" s="137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6"/>
      <c r="CB41" s="357" t="s">
        <v>162</v>
      </c>
      <c r="CC41" s="355"/>
      <c r="CD41" s="120"/>
      <c r="CE41" s="120"/>
      <c r="CF41" s="120"/>
      <c r="CG41" s="120"/>
      <c r="CH41" s="120"/>
      <c r="CI41" s="120"/>
      <c r="CJ41" s="120"/>
      <c r="CK41" s="120"/>
      <c r="CL41" s="120"/>
      <c r="CM41" s="120"/>
      <c r="CN41" s="120"/>
      <c r="CO41" s="120"/>
      <c r="CP41" s="120"/>
      <c r="CQ41" s="121"/>
      <c r="CR41" s="121"/>
      <c r="CS41" s="122"/>
      <c r="CT41" s="123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5"/>
      <c r="DO41" s="194"/>
    </row>
    <row r="42" spans="1:119" ht="20.100000000000001" customHeight="1">
      <c r="B42" s="315"/>
      <c r="C42" s="120"/>
      <c r="D42" s="120"/>
      <c r="E42" s="120"/>
      <c r="F42" s="137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6"/>
      <c r="V42" s="343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1"/>
      <c r="AL42" s="121"/>
      <c r="AM42" s="122"/>
      <c r="AN42" s="123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315"/>
      <c r="BI42" s="354" t="s">
        <v>77</v>
      </c>
      <c r="BK42" s="120"/>
      <c r="BL42" s="137"/>
      <c r="BM42" s="137"/>
      <c r="BN42" s="137"/>
      <c r="BO42" s="137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6"/>
      <c r="CB42" s="354" t="s">
        <v>153</v>
      </c>
      <c r="CC42" s="355"/>
      <c r="CD42" s="120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0"/>
      <c r="CQ42" s="121"/>
      <c r="CR42" s="121"/>
      <c r="CS42" s="122"/>
      <c r="CT42" s="123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5"/>
      <c r="DO42" s="194"/>
    </row>
    <row r="43" spans="1:119" ht="20.100000000000001" customHeight="1">
      <c r="B43" s="315"/>
      <c r="C43" s="120"/>
      <c r="D43" s="137"/>
      <c r="E43" s="137"/>
      <c r="F43" s="137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6"/>
      <c r="V43" s="137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1"/>
      <c r="AL43" s="121"/>
      <c r="AM43" s="122"/>
      <c r="AN43" s="123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315"/>
      <c r="BI43" s="354" t="s">
        <v>79</v>
      </c>
      <c r="BK43" s="120"/>
      <c r="BL43" s="137"/>
      <c r="BM43" s="137"/>
      <c r="BN43" s="137"/>
      <c r="BO43" s="137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6"/>
      <c r="CB43" s="354" t="s">
        <v>154</v>
      </c>
      <c r="CC43" s="355"/>
      <c r="CD43" s="120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0"/>
      <c r="CQ43" s="121"/>
      <c r="CR43" s="121"/>
      <c r="CS43" s="122"/>
      <c r="CT43" s="123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5"/>
      <c r="DO43" s="194"/>
    </row>
    <row r="44" spans="1:119" ht="20.100000000000001" customHeight="1">
      <c r="B44" s="315"/>
      <c r="C44" s="120"/>
      <c r="D44" s="120"/>
      <c r="E44" s="120"/>
      <c r="F44" s="137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6"/>
      <c r="V44" s="343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1"/>
      <c r="AL44" s="121"/>
      <c r="AM44" s="122"/>
      <c r="AN44" s="123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315"/>
      <c r="BI44" s="354" t="s">
        <v>62</v>
      </c>
      <c r="BK44" s="120"/>
      <c r="BL44" s="137"/>
      <c r="BM44" s="137"/>
      <c r="BN44" s="137"/>
      <c r="BO44" s="137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6"/>
      <c r="CB44" s="354" t="s">
        <v>155</v>
      </c>
      <c r="CC44" s="355"/>
      <c r="CD44" s="120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0"/>
      <c r="CQ44" s="121"/>
      <c r="CR44" s="121"/>
      <c r="CS44" s="122"/>
      <c r="CT44" s="123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5"/>
      <c r="DO44" s="194"/>
    </row>
    <row r="45" spans="1:119" ht="20.100000000000001" customHeight="1">
      <c r="B45" s="315"/>
      <c r="C45" s="120"/>
      <c r="D45" s="120"/>
      <c r="E45" s="120"/>
      <c r="F45" s="137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6"/>
      <c r="V45" s="343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1"/>
      <c r="AL45" s="121"/>
      <c r="AM45" s="122"/>
      <c r="AN45" s="123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315"/>
      <c r="BI45" s="354" t="s">
        <v>63</v>
      </c>
      <c r="BK45" s="120"/>
      <c r="BL45" s="137"/>
      <c r="BM45" s="137"/>
      <c r="BN45" s="137"/>
      <c r="BO45" s="137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6"/>
      <c r="CB45" s="354" t="s">
        <v>156</v>
      </c>
      <c r="CC45" s="355"/>
      <c r="CD45" s="120"/>
      <c r="CE45" s="120"/>
      <c r="CF45" s="120"/>
      <c r="CG45" s="120"/>
      <c r="CH45" s="120"/>
      <c r="CI45" s="120"/>
      <c r="CJ45" s="120"/>
      <c r="CK45" s="120"/>
      <c r="CL45" s="120"/>
      <c r="CM45" s="120"/>
      <c r="CN45" s="120"/>
      <c r="CO45" s="120"/>
      <c r="CP45" s="120"/>
      <c r="CQ45" s="121"/>
      <c r="CR45" s="121"/>
      <c r="CS45" s="122"/>
      <c r="CT45" s="123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5"/>
      <c r="DO45" s="194"/>
    </row>
    <row r="46" spans="1:119" ht="20.100000000000001" customHeight="1">
      <c r="B46" s="315"/>
      <c r="D46" s="120"/>
      <c r="E46" s="120"/>
      <c r="F46" s="137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6"/>
      <c r="V46" s="343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1"/>
      <c r="AL46" s="121"/>
      <c r="AM46" s="122"/>
      <c r="AN46" s="123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315"/>
      <c r="BI46" s="354" t="s">
        <v>83</v>
      </c>
      <c r="BJ46" s="120"/>
      <c r="BK46" s="120"/>
      <c r="BL46" s="137"/>
      <c r="BM46" s="137"/>
      <c r="BN46" s="137"/>
      <c r="BO46" s="137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6"/>
      <c r="CB46" s="354" t="s">
        <v>157</v>
      </c>
      <c r="CC46" s="355"/>
      <c r="CD46" s="120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0"/>
      <c r="CQ46" s="121"/>
      <c r="CR46" s="121"/>
      <c r="CS46" s="122"/>
      <c r="CT46" s="123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5"/>
      <c r="DO46" s="194"/>
    </row>
    <row r="47" spans="1:119" ht="20.100000000000001" customHeight="1">
      <c r="B47" s="315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6"/>
      <c r="V47" s="343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1"/>
      <c r="AL47" s="121"/>
      <c r="AM47" s="122"/>
      <c r="AN47" s="123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315"/>
      <c r="BI47" s="354" t="s">
        <v>85</v>
      </c>
      <c r="BJ47" s="137"/>
      <c r="BK47" s="137"/>
      <c r="BL47" s="137"/>
      <c r="BM47" s="137"/>
      <c r="BN47" s="137"/>
      <c r="BO47" s="137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6"/>
      <c r="CB47" s="354" t="s">
        <v>158</v>
      </c>
      <c r="CC47" s="355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1"/>
      <c r="CR47" s="121"/>
      <c r="CS47" s="122"/>
      <c r="CT47" s="123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5"/>
      <c r="DO47" s="194"/>
    </row>
    <row r="48" spans="1:119" ht="20.100000000000001" customHeight="1">
      <c r="B48" s="315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6"/>
      <c r="V48" s="343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1"/>
      <c r="AL48" s="121"/>
      <c r="AM48" s="122"/>
      <c r="AN48" s="123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315"/>
      <c r="BI48" s="354" t="s">
        <v>87</v>
      </c>
      <c r="BJ48" s="120"/>
      <c r="BK48" s="120"/>
      <c r="BL48" s="137"/>
      <c r="BM48" s="137"/>
      <c r="BN48" s="137"/>
      <c r="BO48" s="137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6"/>
      <c r="CB48" s="354" t="s">
        <v>159</v>
      </c>
      <c r="CC48" s="355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1"/>
      <c r="CR48" s="121"/>
      <c r="CS48" s="122"/>
      <c r="CT48" s="123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5"/>
      <c r="DO48" s="194"/>
    </row>
    <row r="49" spans="1:119" ht="20.100000000000001" customHeight="1">
      <c r="B49" s="315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6"/>
      <c r="V49" s="343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1"/>
      <c r="AL49" s="121"/>
      <c r="AM49" s="122"/>
      <c r="AN49" s="123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5"/>
      <c r="BH49" s="315"/>
      <c r="BI49" s="354" t="s">
        <v>89</v>
      </c>
      <c r="BJ49" s="120"/>
      <c r="BK49" s="120"/>
      <c r="BL49" s="137"/>
      <c r="BM49" s="137"/>
      <c r="BN49" s="137"/>
      <c r="BO49" s="137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6"/>
      <c r="CB49" s="354" t="s">
        <v>160</v>
      </c>
      <c r="CC49" s="355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1"/>
      <c r="CR49" s="121"/>
      <c r="CS49" s="122"/>
      <c r="CT49" s="123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5"/>
      <c r="DO49" s="194"/>
    </row>
    <row r="50" spans="1:119" ht="20.100000000000001" customHeight="1">
      <c r="B50" s="315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6"/>
      <c r="V50" s="343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1"/>
      <c r="AL50" s="121"/>
      <c r="AM50" s="122"/>
      <c r="AN50" s="123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5"/>
      <c r="BH50" s="315"/>
      <c r="BI50" s="354" t="s">
        <v>91</v>
      </c>
      <c r="BJ50" s="120"/>
      <c r="BK50" s="120"/>
      <c r="BL50" s="137"/>
      <c r="BM50" s="137"/>
      <c r="BN50" s="137"/>
      <c r="BO50" s="137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6"/>
      <c r="CB50" s="354" t="s">
        <v>161</v>
      </c>
      <c r="CC50" s="355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1"/>
      <c r="CR50" s="121"/>
      <c r="CS50" s="122"/>
      <c r="CT50" s="123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5"/>
      <c r="DO50" s="194"/>
    </row>
    <row r="51" spans="1:119" ht="20.100000000000001" customHeight="1">
      <c r="B51" s="315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6"/>
      <c r="V51" s="343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1"/>
      <c r="AL51" s="121"/>
      <c r="AM51" s="122"/>
      <c r="AN51" s="123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5"/>
      <c r="BH51" s="315"/>
      <c r="BI51" s="378"/>
      <c r="BJ51" s="378"/>
      <c r="BK51" s="378"/>
      <c r="BL51" s="374"/>
      <c r="BM51" s="374"/>
      <c r="BN51" s="374"/>
      <c r="BO51" s="391"/>
      <c r="BP51" s="391"/>
      <c r="BQ51" s="391"/>
      <c r="BR51" s="374"/>
      <c r="BS51" s="374"/>
      <c r="BT51" s="374"/>
      <c r="BU51" s="374"/>
      <c r="BV51" s="374"/>
      <c r="BW51" s="374"/>
      <c r="BX51" s="374"/>
      <c r="BY51" s="374"/>
      <c r="BZ51" s="374"/>
      <c r="CA51" s="375"/>
      <c r="CB51" s="392"/>
      <c r="CC51" s="378"/>
      <c r="CD51" s="378"/>
      <c r="CE51" s="378"/>
      <c r="CF51" s="378"/>
      <c r="CG51" s="378"/>
      <c r="CH51" s="378"/>
      <c r="CI51" s="378"/>
      <c r="CJ51" s="378"/>
      <c r="CK51" s="378"/>
      <c r="CL51" s="378"/>
      <c r="CM51" s="378"/>
      <c r="CN51" s="378"/>
      <c r="CO51" s="374"/>
      <c r="CP51" s="374"/>
      <c r="CQ51" s="373"/>
      <c r="CR51" s="121"/>
      <c r="CS51" s="122"/>
      <c r="CT51" s="123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5"/>
      <c r="DO51" s="194"/>
    </row>
    <row r="52" spans="1:119" ht="20.100000000000001" customHeight="1">
      <c r="B52" s="333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5"/>
      <c r="Q52" s="305"/>
      <c r="R52" s="305"/>
      <c r="S52" s="305"/>
      <c r="T52" s="305"/>
      <c r="U52" s="344"/>
      <c r="V52" s="305"/>
      <c r="W52" s="305"/>
      <c r="X52" s="305"/>
      <c r="Y52" s="305"/>
      <c r="Z52" s="305"/>
      <c r="AA52" s="305"/>
      <c r="AB52" s="305"/>
      <c r="AC52" s="305"/>
      <c r="AD52" s="305"/>
      <c r="AE52" s="305"/>
      <c r="AF52" s="305"/>
      <c r="AG52" s="305"/>
      <c r="AH52" s="305"/>
      <c r="AI52" s="305"/>
      <c r="AJ52" s="305"/>
      <c r="AK52" s="305"/>
      <c r="AL52" s="305"/>
      <c r="AM52" s="305"/>
      <c r="AN52" s="305"/>
      <c r="AO52" s="305"/>
      <c r="AP52" s="305"/>
      <c r="AQ52" s="305"/>
      <c r="AR52" s="305"/>
      <c r="AS52" s="305"/>
      <c r="AT52" s="305"/>
      <c r="AU52" s="305"/>
      <c r="AV52" s="305"/>
      <c r="AW52" s="305"/>
      <c r="AX52" s="305"/>
      <c r="AY52" s="305"/>
      <c r="AZ52" s="305"/>
      <c r="BA52" s="305"/>
      <c r="BB52" s="305"/>
      <c r="BC52" s="305"/>
      <c r="BD52" s="305"/>
      <c r="BE52" s="305"/>
      <c r="BF52" s="305"/>
      <c r="BG52" s="306"/>
      <c r="BH52" s="333"/>
      <c r="BI52" s="305"/>
      <c r="BJ52" s="305"/>
      <c r="BK52" s="305"/>
      <c r="BL52" s="305"/>
      <c r="BM52" s="305"/>
      <c r="BN52" s="305"/>
      <c r="BO52" s="305"/>
      <c r="BP52" s="305"/>
      <c r="BQ52" s="305"/>
      <c r="BR52" s="305"/>
      <c r="BS52" s="305"/>
      <c r="BT52" s="305"/>
      <c r="BU52" s="305"/>
      <c r="BV52" s="305"/>
      <c r="BW52" s="305"/>
      <c r="BX52" s="305"/>
      <c r="BY52" s="305"/>
      <c r="BZ52" s="305"/>
      <c r="CA52" s="344"/>
      <c r="CB52" s="305"/>
      <c r="CC52" s="305"/>
      <c r="CD52" s="305"/>
      <c r="CE52" s="305"/>
      <c r="CF52" s="305"/>
      <c r="CG52" s="305"/>
      <c r="CH52" s="305"/>
      <c r="CI52" s="305"/>
      <c r="CJ52" s="305"/>
      <c r="CK52" s="305"/>
      <c r="CL52" s="305"/>
      <c r="CM52" s="305"/>
      <c r="CN52" s="305"/>
      <c r="CO52" s="305"/>
      <c r="CP52" s="305"/>
      <c r="CQ52" s="305"/>
      <c r="CR52" s="305"/>
      <c r="CS52" s="305"/>
      <c r="CT52" s="305"/>
      <c r="CU52" s="305"/>
      <c r="CV52" s="305"/>
      <c r="CW52" s="305"/>
      <c r="CX52" s="305"/>
      <c r="CY52" s="305"/>
      <c r="CZ52" s="305"/>
      <c r="DA52" s="305"/>
      <c r="DB52" s="305"/>
      <c r="DC52" s="305"/>
      <c r="DD52" s="305"/>
      <c r="DE52" s="305"/>
      <c r="DF52" s="305"/>
      <c r="DG52" s="305"/>
      <c r="DH52" s="305"/>
      <c r="DI52" s="305"/>
      <c r="DJ52" s="305"/>
      <c r="DK52" s="305"/>
      <c r="DL52" s="305"/>
      <c r="DM52" s="306"/>
      <c r="DO52" s="194"/>
    </row>
    <row r="53" spans="1:119" ht="20.100000000000001" customHeight="1">
      <c r="A53" s="134"/>
      <c r="B53" s="322" t="s">
        <v>147</v>
      </c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  <c r="AK53" s="323"/>
      <c r="AL53" s="323"/>
      <c r="AM53" s="323"/>
      <c r="AN53" s="323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323"/>
      <c r="BF53" s="323"/>
      <c r="BG53" s="323"/>
      <c r="BH53" s="322" t="s">
        <v>147</v>
      </c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  <c r="CQ53" s="324"/>
      <c r="CR53" s="324"/>
      <c r="CS53" s="325"/>
      <c r="CT53" s="326"/>
      <c r="CU53" s="327"/>
      <c r="CV53" s="327"/>
      <c r="CW53" s="327"/>
      <c r="CX53" s="327"/>
      <c r="CY53" s="327"/>
      <c r="CZ53" s="327"/>
      <c r="DA53" s="327"/>
      <c r="DB53" s="327"/>
      <c r="DC53" s="327"/>
      <c r="DD53" s="327"/>
      <c r="DE53" s="327"/>
      <c r="DF53" s="327"/>
      <c r="DG53" s="327"/>
      <c r="DH53" s="327"/>
      <c r="DI53" s="327"/>
      <c r="DJ53" s="327"/>
      <c r="DK53" s="327"/>
      <c r="DL53" s="327"/>
      <c r="DM53" s="328"/>
      <c r="DO53" s="194"/>
    </row>
    <row r="54" spans="1:119" ht="20.100000000000001" customHeight="1">
      <c r="A54" s="134"/>
      <c r="B54" s="315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345"/>
      <c r="BH54" s="315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8"/>
      <c r="CB54" s="137"/>
      <c r="CC54" s="137"/>
      <c r="CD54" s="137"/>
      <c r="CE54" s="137"/>
      <c r="CF54" s="137"/>
      <c r="CG54" s="137"/>
      <c r="CH54" s="137"/>
      <c r="CI54" s="137"/>
      <c r="CJ54" s="137"/>
      <c r="CK54" s="137"/>
      <c r="CL54" s="137"/>
      <c r="CM54" s="137"/>
      <c r="CN54" s="137"/>
      <c r="CO54" s="137"/>
      <c r="CP54" s="137"/>
      <c r="CQ54" s="139"/>
      <c r="CR54" s="139"/>
      <c r="CS54" s="140"/>
      <c r="CT54" s="141"/>
      <c r="CU54" s="142"/>
      <c r="CV54" s="142"/>
      <c r="CW54" s="142"/>
      <c r="CX54" s="142"/>
      <c r="CY54" s="142"/>
      <c r="CZ54" s="142"/>
      <c r="DA54" s="142"/>
      <c r="DB54" s="142"/>
      <c r="DC54" s="142"/>
      <c r="DD54" s="142"/>
      <c r="DE54" s="142"/>
      <c r="DF54" s="142"/>
      <c r="DG54" s="142"/>
      <c r="DH54" s="142"/>
      <c r="DI54" s="142"/>
      <c r="DJ54" s="142"/>
      <c r="DK54" s="142"/>
      <c r="DL54" s="142"/>
      <c r="DM54" s="330"/>
      <c r="DO54" s="194"/>
    </row>
    <row r="55" spans="1:119" ht="20.100000000000001" customHeight="1">
      <c r="A55" s="134"/>
      <c r="B55" s="315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346"/>
      <c r="BH55" s="315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45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5"/>
      <c r="DO55" s="194"/>
    </row>
    <row r="56" spans="1:119" ht="20.100000000000001" customHeight="1">
      <c r="A56" s="134"/>
      <c r="B56" s="315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346"/>
      <c r="BH56" s="315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45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5"/>
      <c r="DO56" s="194"/>
    </row>
    <row r="57" spans="1:119" ht="20.100000000000001" customHeight="1">
      <c r="B57" s="315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45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1"/>
      <c r="AL57" s="121"/>
      <c r="AM57" s="122"/>
      <c r="AN57" s="123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5"/>
      <c r="BH57" s="315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45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5"/>
      <c r="DO57" s="194"/>
    </row>
    <row r="58" spans="1:119" ht="20.100000000000001" customHeight="1">
      <c r="B58" s="333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336"/>
      <c r="BH58" s="333"/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BT58" s="146"/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4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6"/>
      <c r="DI58" s="146"/>
      <c r="DJ58" s="146"/>
      <c r="DK58" s="146"/>
      <c r="DL58" s="146"/>
      <c r="DM58" s="336"/>
      <c r="DO58" s="194"/>
    </row>
    <row r="59" spans="1:119" ht="20.100000000000001" customHeight="1">
      <c r="DO59" s="194"/>
    </row>
    <row r="60" spans="1:119" ht="20.100000000000001" customHeight="1">
      <c r="DO60" s="194"/>
    </row>
    <row r="61" spans="1:119" ht="20.100000000000001" customHeight="1">
      <c r="DO61" s="194"/>
    </row>
    <row r="62" spans="1:119" ht="20.100000000000001" customHeight="1">
      <c r="DO62" s="194"/>
    </row>
    <row r="63" spans="1:119" ht="20.100000000000001" customHeight="1">
      <c r="DO63" s="194"/>
    </row>
    <row r="64" spans="1:119" ht="20.100000000000001" customHeight="1">
      <c r="DO64" s="194"/>
    </row>
    <row r="65" spans="1:119" ht="20.100000000000001" customHeight="1">
      <c r="DO65" s="194"/>
    </row>
    <row r="66" spans="1:119" ht="20.100000000000001" customHeight="1">
      <c r="DO66" s="194"/>
    </row>
    <row r="67" spans="1:119" ht="20.100000000000001" customHeight="1">
      <c r="DO67" s="194"/>
    </row>
    <row r="68" spans="1:119" ht="20.100000000000001" customHeight="1">
      <c r="DO68" s="194"/>
    </row>
    <row r="69" spans="1:119" ht="20.100000000000001" customHeight="1" thickBot="1">
      <c r="A69" s="258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260"/>
      <c r="BB69" s="260"/>
      <c r="BC69" s="260"/>
      <c r="BD69" s="260"/>
      <c r="BE69" s="260"/>
      <c r="BF69" s="260"/>
      <c r="BG69" s="260"/>
      <c r="BH69" s="260"/>
      <c r="BI69" s="260"/>
      <c r="BJ69" s="260"/>
      <c r="BK69" s="260"/>
      <c r="BL69" s="260"/>
      <c r="BM69" s="260"/>
      <c r="BN69" s="260"/>
      <c r="BO69" s="260"/>
      <c r="BP69" s="260"/>
      <c r="BQ69" s="260"/>
      <c r="BR69" s="260"/>
      <c r="BS69" s="260"/>
      <c r="BT69" s="260"/>
      <c r="BU69" s="260"/>
      <c r="BV69" s="260"/>
      <c r="BW69" s="260"/>
      <c r="BX69" s="260"/>
      <c r="BY69" s="260"/>
      <c r="BZ69" s="260"/>
      <c r="CA69" s="260"/>
      <c r="CB69" s="260"/>
      <c r="CC69" s="260"/>
      <c r="CD69" s="260"/>
      <c r="CE69" s="260"/>
      <c r="CF69" s="260"/>
      <c r="CG69" s="260"/>
      <c r="CH69" s="260"/>
      <c r="CI69" s="260"/>
      <c r="CJ69" s="260"/>
      <c r="CK69" s="260"/>
      <c r="CL69" s="260"/>
      <c r="CM69" s="260"/>
      <c r="CN69" s="260"/>
      <c r="CO69" s="260"/>
      <c r="CP69" s="260"/>
      <c r="CQ69" s="260"/>
      <c r="CR69" s="260"/>
      <c r="CS69" s="260"/>
      <c r="CT69" s="260"/>
      <c r="CU69" s="260"/>
      <c r="CV69" s="260"/>
      <c r="CW69" s="260"/>
      <c r="CX69" s="260"/>
      <c r="CY69" s="260"/>
      <c r="CZ69" s="260"/>
      <c r="DA69" s="260"/>
      <c r="DB69" s="260"/>
      <c r="DC69" s="260"/>
      <c r="DD69" s="260"/>
      <c r="DE69" s="260"/>
      <c r="DF69" s="260"/>
      <c r="DG69" s="260"/>
      <c r="DH69" s="260"/>
      <c r="DI69" s="260"/>
      <c r="DJ69" s="260"/>
      <c r="DK69" s="260"/>
      <c r="DL69" s="260"/>
      <c r="DM69" s="260"/>
      <c r="DN69" s="260"/>
      <c r="DO69" s="261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1D46-4477-43E8-A506-212107492FB1}">
  <sheetPr>
    <tabColor theme="4"/>
  </sheetPr>
  <dimension ref="A1:FH91"/>
  <sheetViews>
    <sheetView zoomScale="85" zoomScaleNormal="85" workbookViewId="0">
      <selection activeCell="AJ38" sqref="AJ38"/>
    </sheetView>
  </sheetViews>
  <sheetFormatPr defaultColWidth="2.28515625" defaultRowHeight="20.100000000000001" customHeight="1"/>
  <cols>
    <col min="1" max="16384" width="2.28515625" style="118"/>
  </cols>
  <sheetData>
    <row r="1" spans="1:164" s="184" customFormat="1" ht="20.100000000000001" customHeight="1">
      <c r="A1" s="572" t="s">
        <v>23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4"/>
      <c r="M1" s="578" t="s">
        <v>24</v>
      </c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687"/>
      <c r="AE1" s="578" t="s">
        <v>25</v>
      </c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80"/>
      <c r="AR1" s="667" t="s">
        <v>26</v>
      </c>
      <c r="AS1" s="579"/>
      <c r="AT1" s="579"/>
      <c r="AU1" s="579"/>
      <c r="AV1" s="579"/>
      <c r="AW1" s="579"/>
      <c r="AX1" s="579"/>
      <c r="AY1" s="579"/>
      <c r="AZ1" s="579"/>
      <c r="BA1" s="580"/>
      <c r="BB1" s="667" t="s">
        <v>27</v>
      </c>
      <c r="BC1" s="579"/>
      <c r="BD1" s="579"/>
      <c r="BE1" s="579"/>
      <c r="BF1" s="579"/>
      <c r="BG1" s="579"/>
      <c r="BH1" s="579"/>
      <c r="BI1" s="579"/>
      <c r="BJ1" s="579"/>
      <c r="BK1" s="579"/>
      <c r="BL1" s="579"/>
      <c r="BM1" s="579"/>
      <c r="BN1" s="579"/>
      <c r="BO1" s="579"/>
      <c r="BP1" s="579"/>
      <c r="BQ1" s="579"/>
      <c r="BR1" s="579"/>
      <c r="BS1" s="579"/>
      <c r="BT1" s="580"/>
      <c r="BU1" s="667" t="s">
        <v>28</v>
      </c>
      <c r="BV1" s="579"/>
      <c r="BW1" s="579"/>
      <c r="BX1" s="579"/>
      <c r="BY1" s="579"/>
      <c r="BZ1" s="579"/>
      <c r="CA1" s="579"/>
      <c r="CB1" s="579"/>
      <c r="CC1" s="579"/>
      <c r="CD1" s="579"/>
      <c r="CE1" s="579"/>
      <c r="CF1" s="579"/>
      <c r="CG1" s="579"/>
      <c r="CH1" s="579"/>
      <c r="CI1" s="580"/>
      <c r="CJ1" s="667" t="s">
        <v>60</v>
      </c>
      <c r="CK1" s="579"/>
      <c r="CL1" s="579"/>
      <c r="CM1" s="579"/>
      <c r="CN1" s="579"/>
      <c r="CO1" s="579"/>
      <c r="CP1" s="579"/>
      <c r="CQ1" s="579"/>
      <c r="CR1" s="579"/>
      <c r="CS1" s="579"/>
      <c r="CT1" s="579"/>
      <c r="CU1" s="579"/>
      <c r="CV1" s="579"/>
      <c r="CW1" s="580"/>
      <c r="CX1" s="702" t="s">
        <v>198</v>
      </c>
      <c r="CY1" s="703"/>
      <c r="CZ1" s="703"/>
      <c r="DA1" s="703"/>
      <c r="DB1" s="703"/>
      <c r="DC1" s="703"/>
      <c r="DD1" s="703"/>
      <c r="DE1" s="703"/>
      <c r="DF1" s="704"/>
      <c r="DG1" s="702" t="s">
        <v>199</v>
      </c>
      <c r="DH1" s="703"/>
      <c r="DI1" s="703"/>
      <c r="DJ1" s="703"/>
      <c r="DK1" s="703"/>
      <c r="DL1" s="703"/>
      <c r="DM1" s="703"/>
      <c r="DN1" s="703"/>
      <c r="DO1" s="705"/>
      <c r="DP1" s="337"/>
    </row>
    <row r="2" spans="1:164" s="184" customFormat="1" ht="20.100000000000001" customHeight="1">
      <c r="A2" s="575"/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7"/>
      <c r="M2" s="583" t="s">
        <v>200</v>
      </c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688"/>
      <c r="AE2" s="589" t="s">
        <v>30</v>
      </c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1"/>
      <c r="AR2" s="675"/>
      <c r="AS2" s="676"/>
      <c r="AT2" s="676"/>
      <c r="AU2" s="676"/>
      <c r="AV2" s="676"/>
      <c r="AW2" s="676"/>
      <c r="AX2" s="676"/>
      <c r="AY2" s="676"/>
      <c r="AZ2" s="676"/>
      <c r="BA2" s="679"/>
      <c r="BB2" s="675" t="str">
        <f ca="1">MID(CELL("filename",A1),FIND("]",CELL("filename",A1))+1,255)</f>
        <v xml:space="preserve">JSON定義&lt;menu-button&gt; </v>
      </c>
      <c r="BC2" s="676"/>
      <c r="BD2" s="676"/>
      <c r="BE2" s="676"/>
      <c r="BF2" s="676"/>
      <c r="BG2" s="676"/>
      <c r="BH2" s="676"/>
      <c r="BI2" s="676"/>
      <c r="BJ2" s="676"/>
      <c r="BK2" s="676"/>
      <c r="BL2" s="676"/>
      <c r="BM2" s="676"/>
      <c r="BN2" s="676"/>
      <c r="BO2" s="676"/>
      <c r="BP2" s="676"/>
      <c r="BQ2" s="676"/>
      <c r="BR2" s="676"/>
      <c r="BS2" s="676"/>
      <c r="BT2" s="679"/>
      <c r="BU2" s="675" t="s">
        <v>47</v>
      </c>
      <c r="BV2" s="676"/>
      <c r="BW2" s="676"/>
      <c r="BX2" s="676"/>
      <c r="BY2" s="676"/>
      <c r="BZ2" s="676"/>
      <c r="CA2" s="676"/>
      <c r="CB2" s="676"/>
      <c r="CC2" s="676"/>
      <c r="CD2" s="676"/>
      <c r="CE2" s="676"/>
      <c r="CF2" s="676"/>
      <c r="CG2" s="676"/>
      <c r="CH2" s="676"/>
      <c r="CI2" s="679"/>
      <c r="CJ2" s="675" t="s">
        <v>47</v>
      </c>
      <c r="CK2" s="676"/>
      <c r="CL2" s="676"/>
      <c r="CM2" s="676"/>
      <c r="CN2" s="676"/>
      <c r="CO2" s="676"/>
      <c r="CP2" s="676"/>
      <c r="CQ2" s="676"/>
      <c r="CR2" s="676"/>
      <c r="CS2" s="676"/>
      <c r="CT2" s="676"/>
      <c r="CU2" s="676"/>
      <c r="CV2" s="676"/>
      <c r="CW2" s="676"/>
      <c r="CX2" s="595" t="s">
        <v>33</v>
      </c>
      <c r="CY2" s="595"/>
      <c r="CZ2" s="596"/>
      <c r="DA2" s="693" t="s">
        <v>12</v>
      </c>
      <c r="DB2" s="694"/>
      <c r="DC2" s="694"/>
      <c r="DD2" s="694"/>
      <c r="DE2" s="694"/>
      <c r="DF2" s="695"/>
      <c r="DG2" s="696" t="s">
        <v>34</v>
      </c>
      <c r="DH2" s="595"/>
      <c r="DI2" s="596"/>
      <c r="DJ2" s="693" t="s">
        <v>12</v>
      </c>
      <c r="DK2" s="694"/>
      <c r="DL2" s="694"/>
      <c r="DM2" s="694"/>
      <c r="DN2" s="694"/>
      <c r="DO2" s="697"/>
      <c r="DP2" s="118"/>
      <c r="DQ2" s="118"/>
      <c r="DR2" s="118"/>
      <c r="DS2" s="118"/>
      <c r="DT2" s="118"/>
      <c r="DU2" s="118"/>
    </row>
    <row r="3" spans="1:164" s="184" customFormat="1" ht="20.100000000000001" customHeight="1" thickBot="1">
      <c r="A3" s="684"/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6"/>
      <c r="M3" s="689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691"/>
      <c r="AE3" s="673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92"/>
      <c r="AR3" s="677"/>
      <c r="AS3" s="678"/>
      <c r="AT3" s="678"/>
      <c r="AU3" s="678"/>
      <c r="AV3" s="678"/>
      <c r="AW3" s="678"/>
      <c r="AX3" s="678"/>
      <c r="AY3" s="678"/>
      <c r="AZ3" s="678"/>
      <c r="BA3" s="680"/>
      <c r="BB3" s="677"/>
      <c r="BC3" s="678"/>
      <c r="BD3" s="678"/>
      <c r="BE3" s="678"/>
      <c r="BF3" s="678"/>
      <c r="BG3" s="678"/>
      <c r="BH3" s="678"/>
      <c r="BI3" s="678"/>
      <c r="BJ3" s="678"/>
      <c r="BK3" s="678"/>
      <c r="BL3" s="678"/>
      <c r="BM3" s="678"/>
      <c r="BN3" s="678"/>
      <c r="BO3" s="678"/>
      <c r="BP3" s="678"/>
      <c r="BQ3" s="678"/>
      <c r="BR3" s="678"/>
      <c r="BS3" s="678"/>
      <c r="BT3" s="680"/>
      <c r="BU3" s="677"/>
      <c r="BV3" s="678"/>
      <c r="BW3" s="678"/>
      <c r="BX3" s="678"/>
      <c r="BY3" s="678"/>
      <c r="BZ3" s="678"/>
      <c r="CA3" s="678"/>
      <c r="CB3" s="678"/>
      <c r="CC3" s="678"/>
      <c r="CD3" s="678"/>
      <c r="CE3" s="678"/>
      <c r="CF3" s="678"/>
      <c r="CG3" s="678"/>
      <c r="CH3" s="678"/>
      <c r="CI3" s="680"/>
      <c r="CJ3" s="677"/>
      <c r="CK3" s="678"/>
      <c r="CL3" s="678"/>
      <c r="CM3" s="678"/>
      <c r="CN3" s="678"/>
      <c r="CO3" s="678"/>
      <c r="CP3" s="678"/>
      <c r="CQ3" s="678"/>
      <c r="CR3" s="678"/>
      <c r="CS3" s="678"/>
      <c r="CT3" s="678"/>
      <c r="CU3" s="678"/>
      <c r="CV3" s="678"/>
      <c r="CW3" s="678"/>
      <c r="CX3" s="681" t="s">
        <v>22</v>
      </c>
      <c r="CY3" s="681"/>
      <c r="CZ3" s="682"/>
      <c r="DA3" s="698">
        <v>45088</v>
      </c>
      <c r="DB3" s="699"/>
      <c r="DC3" s="699"/>
      <c r="DD3" s="699"/>
      <c r="DE3" s="699"/>
      <c r="DF3" s="700"/>
      <c r="DG3" s="701" t="s">
        <v>35</v>
      </c>
      <c r="DH3" s="681"/>
      <c r="DI3" s="682"/>
      <c r="DJ3" s="698">
        <f>IF(表紙!BC2="","",表紙!BC2)</f>
        <v>45316</v>
      </c>
      <c r="DK3" s="699"/>
      <c r="DL3" s="699"/>
      <c r="DM3" s="699"/>
      <c r="DN3" s="699"/>
      <c r="DO3" s="700"/>
      <c r="DP3" s="118"/>
      <c r="DQ3" s="118"/>
      <c r="FH3" s="118"/>
    </row>
    <row r="4" spans="1:164" ht="20.100000000000001" customHeight="1" thickTop="1">
      <c r="A4" s="134"/>
      <c r="BI4" s="262"/>
      <c r="BJ4" s="262"/>
      <c r="BK4" s="262"/>
      <c r="BL4" s="262"/>
      <c r="BM4" s="262"/>
      <c r="BN4" s="262"/>
      <c r="BO4" s="262"/>
      <c r="BP4" s="262"/>
      <c r="BQ4" s="262"/>
      <c r="BR4" s="262"/>
      <c r="BS4" s="262"/>
      <c r="BT4" s="262"/>
      <c r="BU4" s="262"/>
      <c r="BV4" s="262"/>
      <c r="BW4" s="262"/>
      <c r="BX4" s="262"/>
      <c r="BY4" s="262"/>
      <c r="BZ4" s="262"/>
      <c r="CA4" s="262"/>
      <c r="CB4" s="262"/>
      <c r="CC4" s="262"/>
      <c r="CD4" s="262"/>
      <c r="CE4" s="262"/>
      <c r="CF4" s="262"/>
      <c r="CG4" s="262"/>
      <c r="CH4" s="262"/>
      <c r="CI4" s="262"/>
      <c r="CJ4" s="262"/>
      <c r="CK4" s="262"/>
      <c r="CL4" s="262"/>
      <c r="CM4" s="262"/>
      <c r="CN4" s="262"/>
      <c r="CO4" s="262"/>
      <c r="CP4" s="262"/>
      <c r="CQ4" s="262"/>
      <c r="CR4" s="262"/>
      <c r="CS4" s="262"/>
      <c r="CT4" s="262"/>
      <c r="CU4" s="262"/>
      <c r="CV4" s="262"/>
      <c r="CW4" s="262"/>
      <c r="CX4" s="262"/>
      <c r="CY4" s="262"/>
      <c r="CZ4" s="262"/>
      <c r="DA4" s="262"/>
      <c r="DB4" s="262"/>
      <c r="DC4" s="262"/>
      <c r="DD4" s="262"/>
      <c r="DE4" s="262"/>
      <c r="DF4" s="262"/>
      <c r="DG4" s="262"/>
      <c r="DH4" s="262"/>
      <c r="DI4" s="262"/>
      <c r="DJ4" s="262"/>
      <c r="DK4" s="262"/>
      <c r="DL4" s="262"/>
      <c r="DM4" s="262"/>
      <c r="DN4" s="262"/>
      <c r="DO4" s="263"/>
      <c r="FH4" s="338"/>
    </row>
    <row r="5" spans="1:164" ht="20.100000000000001" customHeight="1">
      <c r="A5" s="264" t="s">
        <v>222</v>
      </c>
      <c r="B5" s="265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6"/>
      <c r="CL5" s="266"/>
      <c r="CM5" s="266"/>
      <c r="CN5" s="266"/>
      <c r="CO5" s="266"/>
      <c r="CP5" s="266"/>
      <c r="CQ5" s="266"/>
      <c r="CR5" s="266"/>
      <c r="CS5" s="266"/>
      <c r="CT5" s="266"/>
      <c r="CU5" s="266"/>
      <c r="CV5" s="266"/>
      <c r="CW5" s="266"/>
      <c r="CX5" s="266"/>
      <c r="CY5" s="266"/>
      <c r="CZ5" s="266"/>
      <c r="DA5" s="266"/>
      <c r="DB5" s="266"/>
      <c r="DC5" s="266"/>
      <c r="DD5" s="266"/>
      <c r="DE5" s="266"/>
      <c r="DF5" s="266"/>
      <c r="DG5" s="266"/>
      <c r="DH5" s="266"/>
      <c r="DI5" s="266"/>
      <c r="DJ5" s="266"/>
      <c r="DK5" s="266"/>
      <c r="DL5" s="266"/>
      <c r="DM5" s="266"/>
      <c r="DN5" s="266"/>
      <c r="DO5" s="267"/>
    </row>
    <row r="6" spans="1:164" ht="20.100000000000001" customHeight="1">
      <c r="A6" s="134"/>
      <c r="DO6" s="194"/>
    </row>
    <row r="7" spans="1:164" ht="20.100000000000001" customHeight="1">
      <c r="A7" s="134"/>
      <c r="B7" s="165"/>
      <c r="C7" s="160" t="s">
        <v>144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3"/>
      <c r="Z7" s="163"/>
      <c r="AA7" s="163"/>
      <c r="AB7" s="270" t="s">
        <v>149</v>
      </c>
      <c r="AC7" s="163"/>
      <c r="AD7" s="163"/>
      <c r="AE7" s="160"/>
      <c r="AF7" s="160"/>
      <c r="AG7" s="270" t="s">
        <v>150</v>
      </c>
      <c r="AH7" s="160"/>
      <c r="AI7" s="160"/>
      <c r="AJ7" s="160"/>
      <c r="AK7" s="160"/>
      <c r="AL7" s="270" t="s">
        <v>204</v>
      </c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0"/>
      <c r="BK7" s="160"/>
      <c r="BL7" s="160"/>
      <c r="BM7" s="160"/>
      <c r="BN7" s="160"/>
      <c r="BO7" s="160"/>
      <c r="BP7" s="160"/>
      <c r="BQ7" s="160"/>
      <c r="BR7" s="160"/>
      <c r="BS7" s="271" t="s">
        <v>225</v>
      </c>
      <c r="BT7" s="270"/>
      <c r="BU7" s="161"/>
      <c r="BV7" s="270" t="s">
        <v>226</v>
      </c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3"/>
      <c r="CL7" s="163"/>
      <c r="CM7" s="163"/>
      <c r="CN7" s="163"/>
      <c r="CO7" s="163"/>
      <c r="CP7" s="163"/>
      <c r="CQ7" s="163"/>
      <c r="CR7" s="163"/>
      <c r="CS7" s="163"/>
      <c r="CT7" s="163"/>
      <c r="CU7" s="163"/>
      <c r="CV7" s="163"/>
      <c r="CW7" s="163"/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4"/>
      <c r="DO7" s="194"/>
    </row>
    <row r="8" spans="1:164" ht="20.100000000000001" customHeight="1">
      <c r="A8" s="134"/>
      <c r="B8" s="159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277"/>
      <c r="AC8" s="137"/>
      <c r="AD8" s="137"/>
      <c r="AE8" s="137"/>
      <c r="AF8" s="137"/>
      <c r="AG8" s="277"/>
      <c r="AH8" s="137"/>
      <c r="AI8" s="137"/>
      <c r="AJ8" s="137"/>
      <c r="AK8" s="137"/>
      <c r="AL8" s="27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277"/>
      <c r="BT8" s="137"/>
      <c r="BU8" s="280"/>
      <c r="BV8" s="347" t="s">
        <v>49</v>
      </c>
      <c r="BW8" s="348"/>
      <c r="BX8" s="348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37"/>
      <c r="DM8" s="345"/>
      <c r="DO8" s="194"/>
      <c r="DS8" s="340"/>
      <c r="DT8" s="340"/>
    </row>
    <row r="9" spans="1:164" ht="20.100000000000001" customHeight="1">
      <c r="A9" s="134"/>
      <c r="B9" s="159"/>
      <c r="C9" s="354" t="s">
        <v>92</v>
      </c>
      <c r="D9" s="355"/>
      <c r="E9" s="355"/>
      <c r="F9" s="355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272" t="s">
        <v>70</v>
      </c>
      <c r="AC9" s="120"/>
      <c r="AD9" s="120"/>
      <c r="AE9" s="120"/>
      <c r="AF9" s="120"/>
      <c r="AG9" s="277"/>
      <c r="AH9" s="137"/>
      <c r="AI9" s="137"/>
      <c r="AJ9" s="137"/>
      <c r="AK9" s="137"/>
      <c r="AL9" s="272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277"/>
      <c r="BT9" s="137"/>
      <c r="BU9" s="280"/>
      <c r="BV9" s="109" t="s">
        <v>139</v>
      </c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20"/>
      <c r="DF9" s="120"/>
      <c r="DG9" s="120"/>
      <c r="DH9" s="120"/>
      <c r="DI9" s="120"/>
      <c r="DJ9" s="120"/>
      <c r="DK9" s="120"/>
      <c r="DL9" s="120"/>
      <c r="DM9" s="346"/>
      <c r="DO9" s="194"/>
      <c r="DS9" s="340"/>
      <c r="DT9" s="340"/>
    </row>
    <row r="10" spans="1:164" ht="20.100000000000001" customHeight="1">
      <c r="A10" s="134"/>
      <c r="B10" s="159"/>
      <c r="C10" s="358"/>
      <c r="D10" s="361" t="s">
        <v>93</v>
      </c>
      <c r="E10" s="361"/>
      <c r="F10" s="361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354" t="s">
        <v>10</v>
      </c>
      <c r="AC10" s="355"/>
      <c r="AD10" s="120"/>
      <c r="AE10" s="120"/>
      <c r="AF10" s="120"/>
      <c r="AG10" s="277"/>
      <c r="AH10" s="137"/>
      <c r="AI10" s="137"/>
      <c r="AJ10" s="137"/>
      <c r="AK10" s="137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277"/>
      <c r="BT10" s="137"/>
      <c r="BU10" s="280"/>
      <c r="BV10" s="109" t="s">
        <v>96</v>
      </c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346"/>
      <c r="DO10" s="194"/>
      <c r="DS10" s="340"/>
      <c r="DT10" s="340"/>
    </row>
    <row r="11" spans="1:164" ht="20.100000000000001" customHeight="1">
      <c r="A11" s="134"/>
      <c r="B11" s="159"/>
      <c r="C11" s="358"/>
      <c r="D11" s="355" t="s">
        <v>95</v>
      </c>
      <c r="E11" s="355"/>
      <c r="F11" s="355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354" t="s">
        <v>10</v>
      </c>
      <c r="AC11" s="355"/>
      <c r="AD11" s="120"/>
      <c r="AE11" s="120"/>
      <c r="AF11" s="120"/>
      <c r="AG11" s="277"/>
      <c r="AH11" s="137"/>
      <c r="AI11" s="137"/>
      <c r="AJ11" s="137"/>
      <c r="AK11" s="137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277"/>
      <c r="BT11" s="137"/>
      <c r="BU11" s="280"/>
      <c r="BV11" s="109" t="s">
        <v>97</v>
      </c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20"/>
      <c r="DF11" s="120"/>
      <c r="DG11" s="120"/>
      <c r="DH11" s="120"/>
      <c r="DI11" s="120"/>
      <c r="DJ11" s="120"/>
      <c r="DK11" s="120"/>
      <c r="DL11" s="120"/>
      <c r="DM11" s="346"/>
      <c r="DO11" s="194"/>
      <c r="DS11" s="340"/>
      <c r="DT11" s="340"/>
    </row>
    <row r="12" spans="1:164" ht="20.100000000000001" customHeight="1">
      <c r="A12" s="134"/>
      <c r="B12" s="159"/>
      <c r="C12" s="355"/>
      <c r="D12" s="355" t="s">
        <v>62</v>
      </c>
      <c r="E12" s="355"/>
      <c r="F12" s="355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354" t="s">
        <v>46</v>
      </c>
      <c r="AC12" s="355"/>
      <c r="AD12" s="120"/>
      <c r="AE12" s="120"/>
      <c r="AF12" s="120"/>
      <c r="AG12" s="277"/>
      <c r="AH12" s="137"/>
      <c r="AI12" s="137"/>
      <c r="AJ12" s="137"/>
      <c r="AK12" s="137"/>
      <c r="AL12" s="272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277"/>
      <c r="BT12" s="137"/>
      <c r="BU12" s="280"/>
      <c r="BV12" s="109" t="s">
        <v>98</v>
      </c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  <c r="DK12" s="120"/>
      <c r="DL12" s="120"/>
      <c r="DM12" s="346"/>
      <c r="DO12" s="194"/>
      <c r="DS12" s="340"/>
      <c r="DT12" s="340"/>
    </row>
    <row r="13" spans="1:164" ht="20.100000000000001" customHeight="1">
      <c r="A13" s="134"/>
      <c r="B13" s="159"/>
      <c r="C13" s="358"/>
      <c r="D13" s="355" t="s">
        <v>63</v>
      </c>
      <c r="E13" s="355"/>
      <c r="F13" s="355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358" t="s">
        <v>46</v>
      </c>
      <c r="AC13" s="361"/>
      <c r="AD13" s="120"/>
      <c r="AE13" s="120"/>
      <c r="AF13" s="120"/>
      <c r="AG13" s="277"/>
      <c r="AH13" s="137"/>
      <c r="AI13" s="137"/>
      <c r="AJ13" s="137"/>
      <c r="AK13" s="137"/>
      <c r="AL13" s="272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277"/>
      <c r="BT13" s="137"/>
      <c r="BU13" s="280"/>
      <c r="BV13" s="109" t="s">
        <v>99</v>
      </c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0"/>
      <c r="CP13" s="110"/>
      <c r="CQ13" s="110"/>
      <c r="CR13" s="11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  <c r="DK13" s="120"/>
      <c r="DL13" s="120"/>
      <c r="DM13" s="346"/>
      <c r="DO13" s="194"/>
      <c r="DS13" s="340"/>
      <c r="DT13" s="340"/>
    </row>
    <row r="14" spans="1:164" ht="20.100000000000001" customHeight="1">
      <c r="A14" s="134"/>
      <c r="B14" s="159"/>
      <c r="C14" s="365"/>
      <c r="D14" s="361" t="s">
        <v>79</v>
      </c>
      <c r="E14" s="361"/>
      <c r="F14" s="361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359" t="s">
        <v>46</v>
      </c>
      <c r="AC14" s="362"/>
      <c r="AD14" s="120"/>
      <c r="AE14" s="120"/>
      <c r="AF14" s="120"/>
      <c r="AG14" s="277"/>
      <c r="AH14" s="137"/>
      <c r="AI14" s="137"/>
      <c r="AJ14" s="137"/>
      <c r="AK14" s="137"/>
      <c r="AL14" s="272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277"/>
      <c r="BT14" s="137"/>
      <c r="BU14" s="280"/>
      <c r="BV14" s="109" t="s">
        <v>101</v>
      </c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0"/>
      <c r="CP14" s="110"/>
      <c r="CQ14" s="110"/>
      <c r="CR14" s="11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0"/>
      <c r="DJ14" s="120"/>
      <c r="DK14" s="120"/>
      <c r="DL14" s="120"/>
      <c r="DM14" s="346"/>
      <c r="DO14" s="194"/>
      <c r="DS14" s="340"/>
      <c r="DT14" s="340"/>
    </row>
    <row r="15" spans="1:164" ht="20.100000000000001" customHeight="1">
      <c r="A15" s="134"/>
      <c r="B15" s="159"/>
      <c r="C15" s="354"/>
      <c r="D15" s="355" t="s">
        <v>100</v>
      </c>
      <c r="E15" s="363"/>
      <c r="F15" s="363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354" t="s">
        <v>10</v>
      </c>
      <c r="AC15" s="355"/>
      <c r="AD15" s="120"/>
      <c r="AE15" s="120"/>
      <c r="AF15" s="120"/>
      <c r="AG15" s="277"/>
      <c r="AH15" s="137"/>
      <c r="AI15" s="137"/>
      <c r="AJ15" s="137"/>
      <c r="AK15" s="137"/>
      <c r="AL15" s="272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277"/>
      <c r="BT15" s="137"/>
      <c r="BU15" s="280"/>
      <c r="BV15" s="109" t="s">
        <v>103</v>
      </c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0"/>
      <c r="CP15" s="110"/>
      <c r="CQ15" s="110"/>
      <c r="CR15" s="11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346"/>
      <c r="DO15" s="194"/>
      <c r="DS15" s="340"/>
      <c r="DT15" s="340"/>
    </row>
    <row r="16" spans="1:164" ht="20.100000000000001" customHeight="1">
      <c r="A16" s="134"/>
      <c r="B16" s="159"/>
      <c r="C16" s="365"/>
      <c r="D16" s="355" t="s">
        <v>102</v>
      </c>
      <c r="E16" s="355"/>
      <c r="F16" s="355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359" t="s">
        <v>10</v>
      </c>
      <c r="AC16" s="363"/>
      <c r="AD16" s="120"/>
      <c r="AE16" s="120"/>
      <c r="AF16" s="120"/>
      <c r="AG16" s="277"/>
      <c r="AH16" s="137"/>
      <c r="AI16" s="137"/>
      <c r="AJ16" s="137"/>
      <c r="AK16" s="137"/>
      <c r="AL16" s="272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277"/>
      <c r="BT16" s="137"/>
      <c r="BU16" s="280"/>
      <c r="BV16" s="109" t="s">
        <v>104</v>
      </c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20"/>
      <c r="CT16" s="120"/>
      <c r="CU16" s="120"/>
      <c r="CV16" s="120"/>
      <c r="CW16" s="120"/>
      <c r="CX16" s="120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0"/>
      <c r="DJ16" s="120"/>
      <c r="DK16" s="120"/>
      <c r="DL16" s="120"/>
      <c r="DM16" s="346"/>
      <c r="DO16" s="194"/>
      <c r="DS16" s="340"/>
      <c r="DT16" s="340"/>
    </row>
    <row r="17" spans="1:124" ht="20.100000000000001" customHeight="1">
      <c r="A17" s="134"/>
      <c r="B17" s="159"/>
      <c r="C17" s="354"/>
      <c r="D17" s="355" t="s">
        <v>87</v>
      </c>
      <c r="E17" s="363"/>
      <c r="F17" s="363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354" t="s">
        <v>46</v>
      </c>
      <c r="AC17" s="355"/>
      <c r="AD17" s="120"/>
      <c r="AE17" s="120"/>
      <c r="AF17" s="120"/>
      <c r="AG17" s="277"/>
      <c r="AH17" s="137"/>
      <c r="AI17" s="137"/>
      <c r="AJ17" s="137"/>
      <c r="AK17" s="137"/>
      <c r="AL17" s="272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277"/>
      <c r="BT17" s="137"/>
      <c r="BU17" s="280"/>
      <c r="BV17" s="109" t="s">
        <v>105</v>
      </c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0"/>
      <c r="CP17" s="110"/>
      <c r="CQ17" s="110"/>
      <c r="CR17" s="11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0"/>
      <c r="DJ17" s="120"/>
      <c r="DK17" s="120"/>
      <c r="DL17" s="120"/>
      <c r="DM17" s="346"/>
      <c r="DO17" s="194"/>
      <c r="DS17" s="340"/>
      <c r="DT17" s="340"/>
    </row>
    <row r="18" spans="1:124" ht="20.100000000000001" customHeight="1">
      <c r="A18" s="134"/>
      <c r="B18" s="159"/>
      <c r="C18" s="354"/>
      <c r="D18" s="355" t="s">
        <v>89</v>
      </c>
      <c r="E18" s="355"/>
      <c r="F18" s="355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354" t="s">
        <v>46</v>
      </c>
      <c r="AC18" s="355"/>
      <c r="AD18" s="120"/>
      <c r="AE18" s="120"/>
      <c r="AF18" s="120"/>
      <c r="AG18" s="277"/>
      <c r="AH18" s="137"/>
      <c r="AI18" s="137"/>
      <c r="AJ18" s="137"/>
      <c r="AK18" s="137"/>
      <c r="AL18" s="272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277"/>
      <c r="BT18" s="137"/>
      <c r="BU18" s="280"/>
      <c r="BV18" s="109" t="s">
        <v>107</v>
      </c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0"/>
      <c r="CP18" s="110"/>
      <c r="CQ18" s="110"/>
      <c r="CR18" s="11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20"/>
      <c r="DF18" s="120"/>
      <c r="DG18" s="120"/>
      <c r="DH18" s="120"/>
      <c r="DI18" s="120"/>
      <c r="DJ18" s="120"/>
      <c r="DK18" s="120"/>
      <c r="DL18" s="120"/>
      <c r="DM18" s="346"/>
      <c r="DO18" s="194"/>
      <c r="DS18" s="340"/>
      <c r="DT18" s="340"/>
    </row>
    <row r="19" spans="1:124" ht="20.100000000000001" customHeight="1">
      <c r="A19" s="134"/>
      <c r="B19" s="159"/>
      <c r="C19" s="354"/>
      <c r="D19" s="355" t="s">
        <v>106</v>
      </c>
      <c r="E19" s="355"/>
      <c r="F19" s="355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354" t="s">
        <v>46</v>
      </c>
      <c r="AC19" s="355"/>
      <c r="AD19" s="120"/>
      <c r="AE19" s="120"/>
      <c r="AF19" s="120"/>
      <c r="AG19" s="277"/>
      <c r="AH19" s="137"/>
      <c r="AI19" s="137"/>
      <c r="AJ19" s="137"/>
      <c r="AK19" s="137"/>
      <c r="AL19" s="272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277"/>
      <c r="BT19" s="137"/>
      <c r="BU19" s="280"/>
      <c r="BV19" s="109" t="s">
        <v>109</v>
      </c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20"/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20"/>
      <c r="DE19" s="120"/>
      <c r="DF19" s="120"/>
      <c r="DG19" s="120"/>
      <c r="DH19" s="120"/>
      <c r="DI19" s="120"/>
      <c r="DJ19" s="120"/>
      <c r="DK19" s="120"/>
      <c r="DL19" s="120"/>
      <c r="DM19" s="346"/>
      <c r="DO19" s="194"/>
      <c r="DS19" s="340"/>
      <c r="DT19" s="340"/>
    </row>
    <row r="20" spans="1:124" ht="20.100000000000001" customHeight="1">
      <c r="A20" s="134"/>
      <c r="B20" s="159"/>
      <c r="C20" s="366"/>
      <c r="D20" s="355" t="s">
        <v>108</v>
      </c>
      <c r="E20" s="355"/>
      <c r="F20" s="355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359" t="s">
        <v>10</v>
      </c>
      <c r="AC20" s="362"/>
      <c r="AD20" s="120"/>
      <c r="AE20" s="120"/>
      <c r="AF20" s="120"/>
      <c r="AG20" s="277"/>
      <c r="AH20" s="137"/>
      <c r="AI20" s="137"/>
      <c r="AJ20" s="137"/>
      <c r="AK20" s="137"/>
      <c r="AL20" s="272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277"/>
      <c r="BT20" s="137"/>
      <c r="BU20" s="280"/>
      <c r="BV20" s="109" t="s">
        <v>110</v>
      </c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0"/>
      <c r="CP20" s="110"/>
      <c r="CQ20" s="110"/>
      <c r="CR20" s="110"/>
      <c r="CS20" s="120"/>
      <c r="CT20" s="120"/>
      <c r="CU20" s="120"/>
      <c r="CV20" s="120"/>
      <c r="CW20" s="120"/>
      <c r="CX20" s="120"/>
      <c r="CY20" s="120"/>
      <c r="CZ20" s="120"/>
      <c r="DA20" s="120"/>
      <c r="DB20" s="120"/>
      <c r="DC20" s="120"/>
      <c r="DD20" s="120"/>
      <c r="DE20" s="120"/>
      <c r="DF20" s="120"/>
      <c r="DG20" s="120"/>
      <c r="DH20" s="120"/>
      <c r="DI20" s="120"/>
      <c r="DJ20" s="120"/>
      <c r="DK20" s="120"/>
      <c r="DL20" s="120"/>
      <c r="DM20" s="346"/>
      <c r="DO20" s="194"/>
      <c r="DS20" s="340"/>
      <c r="DT20" s="340"/>
    </row>
    <row r="21" spans="1:124" ht="20.100000000000001" customHeight="1">
      <c r="A21" s="134"/>
      <c r="B21" s="159"/>
      <c r="C21" s="109"/>
      <c r="D21" s="362" t="s">
        <v>310</v>
      </c>
      <c r="E21" s="362"/>
      <c r="F21" s="362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360" t="s">
        <v>72</v>
      </c>
      <c r="AC21" s="364"/>
      <c r="AD21" s="120"/>
      <c r="AE21" s="120"/>
      <c r="AF21" s="120"/>
      <c r="AG21" s="277"/>
      <c r="AH21" s="137"/>
      <c r="AI21" s="137"/>
      <c r="AJ21" s="137"/>
      <c r="AK21" s="137"/>
      <c r="AL21" s="272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277"/>
      <c r="BT21" s="137"/>
      <c r="BU21" s="280"/>
      <c r="BV21" s="109" t="s">
        <v>311</v>
      </c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0"/>
      <c r="CP21" s="110"/>
      <c r="CQ21" s="110"/>
      <c r="CR21" s="110"/>
      <c r="CS21" s="120"/>
      <c r="CT21" s="120"/>
      <c r="CU21" s="120"/>
      <c r="CV21" s="120"/>
      <c r="CW21" s="120"/>
      <c r="CX21" s="120"/>
      <c r="CY21" s="120"/>
      <c r="CZ21" s="120"/>
      <c r="DA21" s="120"/>
      <c r="DB21" s="120"/>
      <c r="DC21" s="120"/>
      <c r="DD21" s="120"/>
      <c r="DE21" s="120"/>
      <c r="DF21" s="120"/>
      <c r="DG21" s="120"/>
      <c r="DH21" s="120"/>
      <c r="DI21" s="120"/>
      <c r="DJ21" s="120"/>
      <c r="DK21" s="120"/>
      <c r="DL21" s="120"/>
      <c r="DM21" s="346"/>
      <c r="DO21" s="194"/>
      <c r="DS21" s="340"/>
      <c r="DT21" s="340"/>
    </row>
    <row r="22" spans="1:124" ht="20.100000000000001" customHeight="1">
      <c r="A22" s="134"/>
      <c r="B22" s="159"/>
      <c r="C22" s="109"/>
      <c r="D22" s="362" t="s">
        <v>261</v>
      </c>
      <c r="E22" s="362"/>
      <c r="F22" s="362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359" t="s">
        <v>246</v>
      </c>
      <c r="AC22" s="362"/>
      <c r="AD22" s="120"/>
      <c r="AE22" s="120"/>
      <c r="AF22" s="120"/>
      <c r="AG22" s="277"/>
      <c r="AH22" s="137"/>
      <c r="AI22" s="137" t="s">
        <v>262</v>
      </c>
      <c r="AJ22" s="137"/>
      <c r="AK22" s="137"/>
      <c r="AL22" s="272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277"/>
      <c r="BT22" s="137"/>
      <c r="BU22" s="280"/>
      <c r="BV22" s="109"/>
      <c r="BW22" s="110"/>
      <c r="BX22" s="110"/>
      <c r="BY22" s="110"/>
      <c r="BZ22" s="110"/>
      <c r="CA22" s="110"/>
      <c r="CB22" s="362" t="s">
        <v>309</v>
      </c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  <c r="DK22" s="120"/>
      <c r="DL22" s="120"/>
      <c r="DM22" s="346"/>
      <c r="DO22" s="194"/>
      <c r="DS22" s="340"/>
      <c r="DT22" s="340"/>
    </row>
    <row r="23" spans="1:124" ht="20.100000000000001" customHeight="1">
      <c r="A23" s="134"/>
      <c r="B23" s="159"/>
      <c r="C23" s="109"/>
      <c r="D23" s="393" t="s">
        <v>111</v>
      </c>
      <c r="E23" s="394"/>
      <c r="F23" s="394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6" t="s">
        <v>70</v>
      </c>
      <c r="AC23" s="377"/>
      <c r="AD23" s="395"/>
      <c r="AE23" s="395"/>
      <c r="AF23" s="395"/>
      <c r="AG23" s="397"/>
      <c r="AH23" s="137"/>
      <c r="AI23" s="137"/>
      <c r="AJ23" s="137"/>
      <c r="AK23" s="137"/>
      <c r="AL23" s="272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277"/>
      <c r="BT23" s="137"/>
      <c r="BU23" s="280"/>
      <c r="BV23" s="398" t="s">
        <v>115</v>
      </c>
      <c r="BW23" s="382"/>
      <c r="BX23" s="382"/>
      <c r="BY23" s="382"/>
      <c r="BZ23" s="382"/>
      <c r="CA23" s="382"/>
      <c r="CB23" s="382"/>
      <c r="CC23" s="382"/>
      <c r="CD23" s="382"/>
      <c r="CE23" s="382"/>
      <c r="CF23" s="382"/>
      <c r="CG23" s="382"/>
      <c r="CH23" s="382"/>
      <c r="CI23" s="382"/>
      <c r="CJ23" s="382"/>
      <c r="CK23" s="382"/>
      <c r="CL23" s="382"/>
      <c r="CM23" s="382"/>
      <c r="CN23" s="382"/>
      <c r="CO23" s="382"/>
      <c r="CP23" s="382"/>
      <c r="CQ23" s="385"/>
      <c r="CR23" s="385"/>
      <c r="CS23" s="384"/>
      <c r="CT23" s="384"/>
      <c r="CU23" s="384"/>
      <c r="CV23" s="120"/>
      <c r="CW23" s="120"/>
      <c r="CX23" s="120"/>
      <c r="CY23" s="120"/>
      <c r="CZ23" s="120"/>
      <c r="DA23" s="120"/>
      <c r="DB23" s="120"/>
      <c r="DC23" s="120"/>
      <c r="DD23" s="120"/>
      <c r="DE23" s="120"/>
      <c r="DF23" s="120"/>
      <c r="DG23" s="120"/>
      <c r="DH23" s="120"/>
      <c r="DI23" s="120"/>
      <c r="DJ23" s="120"/>
      <c r="DK23" s="120"/>
      <c r="DL23" s="120"/>
      <c r="DM23" s="346"/>
      <c r="DO23" s="194"/>
      <c r="DS23" s="340"/>
      <c r="DT23" s="340"/>
    </row>
    <row r="24" spans="1:124" ht="20.100000000000001" customHeight="1">
      <c r="A24" s="134"/>
      <c r="B24" s="159"/>
      <c r="C24" s="109"/>
      <c r="D24" s="396"/>
      <c r="E24" s="377"/>
      <c r="F24" s="377" t="s">
        <v>113</v>
      </c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6" t="s">
        <v>114</v>
      </c>
      <c r="AC24" s="377"/>
      <c r="AD24" s="395"/>
      <c r="AE24" s="395"/>
      <c r="AF24" s="395"/>
      <c r="AG24" s="397"/>
      <c r="AH24" s="137"/>
      <c r="AI24" s="137"/>
      <c r="AJ24" s="137"/>
      <c r="AK24" s="137"/>
      <c r="AL24" s="272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277"/>
      <c r="BT24" s="137"/>
      <c r="BU24" s="280"/>
      <c r="BV24" s="398" t="s">
        <v>117</v>
      </c>
      <c r="BW24" s="382"/>
      <c r="BX24" s="382"/>
      <c r="BY24" s="382"/>
      <c r="BZ24" s="382"/>
      <c r="CA24" s="382"/>
      <c r="CB24" s="382"/>
      <c r="CC24" s="382"/>
      <c r="CD24" s="382"/>
      <c r="CE24" s="382"/>
      <c r="CF24" s="382"/>
      <c r="CG24" s="382"/>
      <c r="CH24" s="382"/>
      <c r="CI24" s="382"/>
      <c r="CJ24" s="382"/>
      <c r="CK24" s="382"/>
      <c r="CL24" s="382"/>
      <c r="CM24" s="382"/>
      <c r="CN24" s="382"/>
      <c r="CO24" s="382"/>
      <c r="CP24" s="382"/>
      <c r="CQ24" s="385"/>
      <c r="CR24" s="385"/>
      <c r="CS24" s="384"/>
      <c r="CT24" s="384"/>
      <c r="CU24" s="384"/>
      <c r="CV24" s="120"/>
      <c r="CW24" s="120"/>
      <c r="CX24" s="120"/>
      <c r="CY24" s="120"/>
      <c r="CZ24" s="120"/>
      <c r="DA24" s="120"/>
      <c r="DB24" s="120"/>
      <c r="DC24" s="120"/>
      <c r="DD24" s="120"/>
      <c r="DE24" s="120"/>
      <c r="DF24" s="120"/>
      <c r="DG24" s="120"/>
      <c r="DH24" s="120"/>
      <c r="DI24" s="120"/>
      <c r="DJ24" s="120"/>
      <c r="DK24" s="120"/>
      <c r="DL24" s="120"/>
      <c r="DM24" s="346"/>
      <c r="DO24" s="194"/>
      <c r="DS24" s="340"/>
      <c r="DT24" s="340"/>
    </row>
    <row r="25" spans="1:124" ht="20.100000000000001" customHeight="1">
      <c r="A25" s="134"/>
      <c r="B25" s="159"/>
      <c r="C25" s="359"/>
      <c r="D25" s="359"/>
      <c r="E25" s="362"/>
      <c r="F25" s="362" t="s">
        <v>116</v>
      </c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359" t="s">
        <v>46</v>
      </c>
      <c r="AC25" s="362"/>
      <c r="AD25" s="120"/>
      <c r="AE25" s="120"/>
      <c r="AF25" s="120"/>
      <c r="AG25" s="277"/>
      <c r="AH25" s="137"/>
      <c r="AI25" s="137"/>
      <c r="AJ25" s="137"/>
      <c r="AK25" s="137"/>
      <c r="AL25" s="272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277"/>
      <c r="BT25" s="137"/>
      <c r="BU25" s="280"/>
      <c r="BV25" s="110" t="s">
        <v>277</v>
      </c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0"/>
      <c r="CP25" s="110"/>
      <c r="CQ25" s="110"/>
      <c r="CR25" s="110"/>
      <c r="CS25" s="120"/>
      <c r="CT25" s="120"/>
      <c r="CU25" s="120"/>
      <c r="CV25" s="120"/>
      <c r="CW25" s="120"/>
      <c r="CX25" s="120"/>
      <c r="CY25" s="120"/>
      <c r="CZ25" s="120"/>
      <c r="DA25" s="120"/>
      <c r="DB25" s="120"/>
      <c r="DC25" s="120"/>
      <c r="DD25" s="120"/>
      <c r="DE25" s="120"/>
      <c r="DF25" s="120"/>
      <c r="DG25" s="120"/>
      <c r="DH25" s="120"/>
      <c r="DI25" s="120"/>
      <c r="DJ25" s="120"/>
      <c r="DK25" s="120"/>
      <c r="DL25" s="120"/>
      <c r="DM25" s="346"/>
      <c r="DO25" s="194"/>
      <c r="DS25" s="340"/>
      <c r="DT25" s="340"/>
    </row>
    <row r="26" spans="1:124" ht="20.100000000000001" customHeight="1">
      <c r="A26" s="134"/>
      <c r="B26" s="159"/>
      <c r="C26" s="366"/>
      <c r="D26" s="378"/>
      <c r="E26" s="378"/>
      <c r="F26" s="378" t="s">
        <v>118</v>
      </c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  <c r="AA26" s="374"/>
      <c r="AB26" s="392" t="s">
        <v>46</v>
      </c>
      <c r="AC26" s="378"/>
      <c r="AD26" s="374"/>
      <c r="AE26" s="374"/>
      <c r="AF26" s="374"/>
      <c r="AG26" s="399"/>
      <c r="AH26" s="137"/>
      <c r="AI26" s="137"/>
      <c r="AJ26" s="137"/>
      <c r="AK26" s="137"/>
      <c r="AL26" s="272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277"/>
      <c r="BT26" s="137"/>
      <c r="BU26" s="280"/>
      <c r="BV26" s="382" t="s">
        <v>119</v>
      </c>
      <c r="BW26" s="382"/>
      <c r="BX26" s="382"/>
      <c r="BY26" s="382"/>
      <c r="BZ26" s="382"/>
      <c r="CA26" s="382"/>
      <c r="CB26" s="382"/>
      <c r="CC26" s="382"/>
      <c r="CD26" s="382"/>
      <c r="CE26" s="382"/>
      <c r="CF26" s="382"/>
      <c r="CG26" s="382"/>
      <c r="CH26" s="382"/>
      <c r="CI26" s="382"/>
      <c r="CJ26" s="382"/>
      <c r="CK26" s="382"/>
      <c r="CL26" s="382"/>
      <c r="CM26" s="382"/>
      <c r="CN26" s="382"/>
      <c r="CO26" s="382"/>
      <c r="CP26" s="382"/>
      <c r="CQ26" s="382"/>
      <c r="CR26" s="382"/>
      <c r="CS26" s="120"/>
      <c r="CT26" s="120"/>
      <c r="CU26" s="120"/>
      <c r="CV26" s="120"/>
      <c r="CW26" s="120"/>
      <c r="CX26" s="120"/>
      <c r="CY26" s="120"/>
      <c r="CZ26" s="120"/>
      <c r="DA26" s="120"/>
      <c r="DB26" s="120"/>
      <c r="DC26" s="120"/>
      <c r="DD26" s="120"/>
      <c r="DE26" s="120"/>
      <c r="DF26" s="120"/>
      <c r="DG26" s="120"/>
      <c r="DH26" s="120"/>
      <c r="DI26" s="120"/>
      <c r="DJ26" s="120"/>
      <c r="DK26" s="120"/>
      <c r="DL26" s="120"/>
      <c r="DM26" s="346"/>
      <c r="DO26" s="194"/>
      <c r="DS26" s="340"/>
      <c r="DT26" s="340"/>
    </row>
    <row r="27" spans="1:124" ht="20.100000000000001" customHeight="1">
      <c r="A27" s="134"/>
      <c r="B27" s="159"/>
      <c r="C27" s="109"/>
      <c r="D27" s="400"/>
      <c r="E27" s="401"/>
      <c r="F27" s="378" t="s">
        <v>87</v>
      </c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92" t="s">
        <v>46</v>
      </c>
      <c r="AC27" s="378"/>
      <c r="AD27" s="374"/>
      <c r="AE27" s="374"/>
      <c r="AF27" s="374"/>
      <c r="AG27" s="399"/>
      <c r="AH27" s="137"/>
      <c r="AI27" s="137"/>
      <c r="AJ27" s="137"/>
      <c r="AK27" s="137"/>
      <c r="AL27" s="272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277"/>
      <c r="BT27" s="137"/>
      <c r="BU27" s="280"/>
      <c r="BV27" s="382" t="s">
        <v>121</v>
      </c>
      <c r="BW27" s="382"/>
      <c r="BX27" s="382"/>
      <c r="BY27" s="382"/>
      <c r="BZ27" s="382"/>
      <c r="CA27" s="382"/>
      <c r="CB27" s="382"/>
      <c r="CC27" s="382"/>
      <c r="CD27" s="382"/>
      <c r="CE27" s="382"/>
      <c r="CF27" s="382"/>
      <c r="CG27" s="382"/>
      <c r="CH27" s="382"/>
      <c r="CI27" s="382"/>
      <c r="CJ27" s="382"/>
      <c r="CK27" s="382"/>
      <c r="CL27" s="382"/>
      <c r="CM27" s="382"/>
      <c r="CN27" s="382"/>
      <c r="CO27" s="382"/>
      <c r="CP27" s="382"/>
      <c r="CQ27" s="382"/>
      <c r="CR27" s="382"/>
      <c r="CS27" s="120"/>
      <c r="CT27" s="120"/>
      <c r="CU27" s="120"/>
      <c r="CV27" s="120"/>
      <c r="CW27" s="120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0"/>
      <c r="DJ27" s="120"/>
      <c r="DK27" s="120"/>
      <c r="DL27" s="120"/>
      <c r="DM27" s="346"/>
      <c r="DO27" s="194"/>
      <c r="DS27" s="340"/>
      <c r="DT27" s="340"/>
    </row>
    <row r="28" spans="1:124" ht="20.100000000000001" customHeight="1">
      <c r="A28" s="134"/>
      <c r="B28" s="159"/>
      <c r="C28" s="109"/>
      <c r="D28" s="392"/>
      <c r="E28" s="378"/>
      <c r="F28" s="378" t="s">
        <v>120</v>
      </c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  <c r="AA28" s="374"/>
      <c r="AB28" s="392" t="s">
        <v>46</v>
      </c>
      <c r="AC28" s="378"/>
      <c r="AD28" s="374"/>
      <c r="AE28" s="374"/>
      <c r="AF28" s="374"/>
      <c r="AG28" s="399"/>
      <c r="AH28" s="137"/>
      <c r="AI28" s="137"/>
      <c r="AJ28" s="137"/>
      <c r="AK28" s="137"/>
      <c r="AL28" s="272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277"/>
      <c r="BT28" s="137"/>
      <c r="BU28" s="280"/>
      <c r="BV28" s="382" t="s">
        <v>122</v>
      </c>
      <c r="BW28" s="382"/>
      <c r="BX28" s="382"/>
      <c r="BY28" s="382"/>
      <c r="BZ28" s="382"/>
      <c r="CA28" s="382"/>
      <c r="CB28" s="382"/>
      <c r="CC28" s="382"/>
      <c r="CD28" s="382"/>
      <c r="CE28" s="382"/>
      <c r="CF28" s="382"/>
      <c r="CG28" s="382"/>
      <c r="CH28" s="382"/>
      <c r="CI28" s="382"/>
      <c r="CJ28" s="382"/>
      <c r="CK28" s="382"/>
      <c r="CL28" s="382"/>
      <c r="CM28" s="382"/>
      <c r="CN28" s="382"/>
      <c r="CO28" s="382"/>
      <c r="CP28" s="382"/>
      <c r="CQ28" s="382"/>
      <c r="CR28" s="382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0"/>
      <c r="DJ28" s="120"/>
      <c r="DK28" s="120"/>
      <c r="DL28" s="120"/>
      <c r="DM28" s="346"/>
      <c r="DO28" s="194"/>
      <c r="DS28" s="340"/>
      <c r="DT28" s="340"/>
    </row>
    <row r="29" spans="1:124" ht="20.100000000000001" customHeight="1">
      <c r="A29" s="134"/>
      <c r="B29" s="159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272"/>
      <c r="AC29" s="120"/>
      <c r="AD29" s="120"/>
      <c r="AE29" s="120"/>
      <c r="AF29" s="120"/>
      <c r="AG29" s="277"/>
      <c r="AH29" s="137"/>
      <c r="AI29" s="137"/>
      <c r="AJ29" s="137"/>
      <c r="AK29" s="137"/>
      <c r="AL29" s="272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277"/>
      <c r="BT29" s="137"/>
      <c r="BU29" s="280"/>
      <c r="BV29" s="110" t="s">
        <v>123</v>
      </c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0"/>
      <c r="CP29" s="110"/>
      <c r="CQ29" s="110"/>
      <c r="CR29" s="110"/>
      <c r="CS29" s="120"/>
      <c r="CT29" s="120"/>
      <c r="CU29" s="120"/>
      <c r="CV29" s="120"/>
      <c r="CW29" s="120"/>
      <c r="CX29" s="120"/>
      <c r="CY29" s="120"/>
      <c r="CZ29" s="120"/>
      <c r="DA29" s="120"/>
      <c r="DB29" s="120"/>
      <c r="DC29" s="120"/>
      <c r="DD29" s="120"/>
      <c r="DE29" s="120"/>
      <c r="DF29" s="120"/>
      <c r="DG29" s="120"/>
      <c r="DH29" s="120"/>
      <c r="DI29" s="120"/>
      <c r="DJ29" s="120"/>
      <c r="DK29" s="120"/>
      <c r="DL29" s="120"/>
      <c r="DM29" s="346"/>
      <c r="DO29" s="194"/>
      <c r="DS29" s="340"/>
      <c r="DT29" s="340"/>
    </row>
    <row r="30" spans="1:124" ht="20.100000000000001" customHeight="1">
      <c r="A30" s="134"/>
      <c r="B30" s="159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272"/>
      <c r="AC30" s="120"/>
      <c r="AD30" s="120"/>
      <c r="AE30" s="120"/>
      <c r="AF30" s="120"/>
      <c r="AG30" s="277"/>
      <c r="AH30" s="137"/>
      <c r="AI30" s="137"/>
      <c r="AJ30" s="137"/>
      <c r="AK30" s="137"/>
      <c r="AL30" s="272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277"/>
      <c r="BT30" s="137"/>
      <c r="BU30" s="280"/>
      <c r="CX30" s="120"/>
      <c r="CY30" s="120"/>
      <c r="CZ30" s="120"/>
      <c r="DA30" s="120"/>
      <c r="DB30" s="120"/>
      <c r="DC30" s="120"/>
      <c r="DD30" s="120"/>
      <c r="DE30" s="120"/>
      <c r="DF30" s="120"/>
      <c r="DG30" s="120"/>
      <c r="DH30" s="120"/>
      <c r="DI30" s="120"/>
      <c r="DJ30" s="120"/>
      <c r="DK30" s="120"/>
      <c r="DL30" s="120"/>
      <c r="DM30" s="346"/>
      <c r="DO30" s="194"/>
      <c r="DS30" s="340"/>
      <c r="DT30" s="340"/>
    </row>
    <row r="31" spans="1:124" ht="20.100000000000001" customHeight="1">
      <c r="A31" s="134"/>
      <c r="B31" s="159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272"/>
      <c r="AC31" s="120"/>
      <c r="AD31" s="120"/>
      <c r="AE31" s="120"/>
      <c r="AF31" s="120"/>
      <c r="AG31" s="277"/>
      <c r="AH31" s="137"/>
      <c r="AI31" s="137"/>
      <c r="AJ31" s="137"/>
      <c r="AK31" s="137"/>
      <c r="AL31" s="272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277"/>
      <c r="BT31" s="137"/>
      <c r="BU31" s="280"/>
      <c r="BV31" s="120"/>
      <c r="BW31" s="349"/>
      <c r="BX31" s="349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  <c r="DE31" s="120"/>
      <c r="DF31" s="120"/>
      <c r="DG31" s="120"/>
      <c r="DH31" s="120"/>
      <c r="DI31" s="120"/>
      <c r="DJ31" s="120"/>
      <c r="DK31" s="120"/>
      <c r="DL31" s="120"/>
      <c r="DM31" s="346"/>
      <c r="DO31" s="194"/>
      <c r="DS31" s="340"/>
      <c r="DT31" s="340"/>
    </row>
    <row r="32" spans="1:124" ht="20.100000000000001" customHeight="1">
      <c r="A32" s="134"/>
      <c r="B32" s="159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272"/>
      <c r="AC32" s="120"/>
      <c r="AD32" s="120"/>
      <c r="AE32" s="120"/>
      <c r="AF32" s="120"/>
      <c r="AG32" s="277"/>
      <c r="AH32" s="137"/>
      <c r="AI32" s="137"/>
      <c r="AJ32" s="137"/>
      <c r="AK32" s="137"/>
      <c r="AL32" s="272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277"/>
      <c r="BT32" s="137"/>
      <c r="BU32" s="280"/>
      <c r="BV32" s="120"/>
      <c r="BW32" s="349"/>
      <c r="BX32" s="349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346"/>
      <c r="DO32" s="194"/>
      <c r="DS32" s="340"/>
      <c r="DT32" s="340"/>
    </row>
    <row r="33" spans="1:124" ht="20.100000000000001" customHeight="1">
      <c r="A33" s="134"/>
      <c r="B33" s="159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272"/>
      <c r="AC33" s="120"/>
      <c r="AD33" s="120"/>
      <c r="AE33" s="120"/>
      <c r="AF33" s="120"/>
      <c r="AG33" s="277"/>
      <c r="AH33" s="137"/>
      <c r="AI33" s="137"/>
      <c r="AJ33" s="137"/>
      <c r="AK33" s="137"/>
      <c r="AL33" s="272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277"/>
      <c r="BT33" s="137"/>
      <c r="BU33" s="280"/>
      <c r="BV33" s="120"/>
      <c r="BW33" s="349"/>
      <c r="BX33" s="349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  <c r="DF33" s="120"/>
      <c r="DG33" s="120"/>
      <c r="DH33" s="120"/>
      <c r="DI33" s="120"/>
      <c r="DJ33" s="120"/>
      <c r="DK33" s="120"/>
      <c r="DL33" s="120"/>
      <c r="DM33" s="346"/>
      <c r="DO33" s="194"/>
      <c r="DS33" s="340"/>
      <c r="DT33" s="340"/>
    </row>
    <row r="34" spans="1:124" ht="20.100000000000001" customHeight="1">
      <c r="A34" s="134"/>
      <c r="B34" s="159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272"/>
      <c r="AC34" s="120"/>
      <c r="AD34" s="120"/>
      <c r="AE34" s="120"/>
      <c r="AF34" s="120"/>
      <c r="AG34" s="277"/>
      <c r="AH34" s="137"/>
      <c r="AI34" s="137"/>
      <c r="AJ34" s="137"/>
      <c r="AK34" s="137"/>
      <c r="AL34" s="272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277"/>
      <c r="BT34" s="137"/>
      <c r="BU34" s="280"/>
      <c r="BV34" s="120"/>
      <c r="BW34" s="349"/>
      <c r="BX34" s="349"/>
      <c r="BY34" s="120"/>
      <c r="BZ34" s="120"/>
      <c r="CA34" s="120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0"/>
      <c r="DA34" s="120"/>
      <c r="DB34" s="120"/>
      <c r="DC34" s="120"/>
      <c r="DD34" s="120"/>
      <c r="DE34" s="120"/>
      <c r="DF34" s="120"/>
      <c r="DG34" s="120"/>
      <c r="DH34" s="120"/>
      <c r="DI34" s="120"/>
      <c r="DJ34" s="120"/>
      <c r="DK34" s="120"/>
      <c r="DL34" s="120"/>
      <c r="DM34" s="346"/>
      <c r="DO34" s="194"/>
      <c r="DS34" s="340"/>
      <c r="DT34" s="340"/>
    </row>
    <row r="35" spans="1:124" ht="20.100000000000001" customHeight="1">
      <c r="A35" s="134"/>
      <c r="B35" s="159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272"/>
      <c r="AC35" s="120"/>
      <c r="AD35" s="120"/>
      <c r="AE35" s="120"/>
      <c r="AF35" s="120"/>
      <c r="AG35" s="277"/>
      <c r="AH35" s="137"/>
      <c r="AI35" s="137"/>
      <c r="AJ35" s="137"/>
      <c r="AK35" s="137"/>
      <c r="AL35" s="272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277"/>
      <c r="BT35" s="137"/>
      <c r="BU35" s="280"/>
      <c r="BV35" s="120"/>
      <c r="BW35" s="349"/>
      <c r="BX35" s="349"/>
      <c r="BY35" s="120"/>
      <c r="BZ35" s="120"/>
      <c r="CA35" s="120"/>
      <c r="CB35" s="120"/>
      <c r="CC35" s="120"/>
      <c r="CD35" s="120"/>
      <c r="CE35" s="120"/>
      <c r="CF35" s="120"/>
      <c r="CG35" s="120"/>
      <c r="CH35" s="120"/>
      <c r="CI35" s="120"/>
      <c r="CJ35" s="120"/>
      <c r="CK35" s="120"/>
      <c r="CL35" s="120"/>
      <c r="CM35" s="120"/>
      <c r="CN35" s="120"/>
      <c r="CO35" s="120"/>
      <c r="CP35" s="120"/>
      <c r="CQ35" s="120"/>
      <c r="CR35" s="120"/>
      <c r="CS35" s="120"/>
      <c r="CT35" s="120"/>
      <c r="CU35" s="120"/>
      <c r="CV35" s="120"/>
      <c r="CW35" s="120"/>
      <c r="CX35" s="120"/>
      <c r="CY35" s="120"/>
      <c r="CZ35" s="120"/>
      <c r="DA35" s="120"/>
      <c r="DB35" s="120"/>
      <c r="DC35" s="120"/>
      <c r="DD35" s="120"/>
      <c r="DE35" s="120"/>
      <c r="DF35" s="120"/>
      <c r="DG35" s="120"/>
      <c r="DH35" s="120"/>
      <c r="DI35" s="120"/>
      <c r="DJ35" s="120"/>
      <c r="DK35" s="120"/>
      <c r="DL35" s="120"/>
      <c r="DM35" s="346"/>
      <c r="DO35" s="194"/>
      <c r="DS35" s="340"/>
      <c r="DT35" s="340"/>
    </row>
    <row r="36" spans="1:124" ht="20.100000000000001" customHeight="1">
      <c r="A36" s="134"/>
      <c r="B36" s="159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272"/>
      <c r="AC36" s="120"/>
      <c r="AD36" s="120"/>
      <c r="AE36" s="120"/>
      <c r="AF36" s="120"/>
      <c r="AG36" s="277"/>
      <c r="AH36" s="137"/>
      <c r="AI36" s="137"/>
      <c r="AJ36" s="137"/>
      <c r="AK36" s="137"/>
      <c r="AL36" s="272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277"/>
      <c r="BT36" s="137"/>
      <c r="BU36" s="280"/>
      <c r="BV36" s="120"/>
      <c r="BW36" s="349"/>
      <c r="BX36" s="349"/>
      <c r="BY36" s="120"/>
      <c r="BZ36" s="120"/>
      <c r="CA36" s="120"/>
      <c r="CB36" s="120"/>
      <c r="CC36" s="120"/>
      <c r="CD36" s="120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0"/>
      <c r="CQ36" s="120"/>
      <c r="CR36" s="120"/>
      <c r="CS36" s="120"/>
      <c r="CT36" s="120"/>
      <c r="CU36" s="120"/>
      <c r="CV36" s="120"/>
      <c r="CW36" s="120"/>
      <c r="CX36" s="120"/>
      <c r="CY36" s="120"/>
      <c r="CZ36" s="120"/>
      <c r="DA36" s="120"/>
      <c r="DB36" s="120"/>
      <c r="DC36" s="120"/>
      <c r="DD36" s="120"/>
      <c r="DE36" s="120"/>
      <c r="DF36" s="120"/>
      <c r="DG36" s="120"/>
      <c r="DH36" s="120"/>
      <c r="DI36" s="120"/>
      <c r="DJ36" s="120"/>
      <c r="DK36" s="120"/>
      <c r="DL36" s="120"/>
      <c r="DM36" s="346"/>
      <c r="DO36" s="194"/>
      <c r="DS36" s="340"/>
      <c r="DT36" s="340"/>
    </row>
    <row r="37" spans="1:124" ht="20.100000000000001" customHeight="1">
      <c r="A37" s="134"/>
      <c r="B37" s="159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272"/>
      <c r="AC37" s="120"/>
      <c r="AD37" s="120"/>
      <c r="AE37" s="120"/>
      <c r="AF37" s="120"/>
      <c r="AG37" s="277"/>
      <c r="AH37" s="137"/>
      <c r="AI37" s="137"/>
      <c r="AJ37" s="137"/>
      <c r="AK37" s="137"/>
      <c r="AL37" s="272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277"/>
      <c r="BT37" s="137"/>
      <c r="BU37" s="280"/>
      <c r="BV37" s="120"/>
      <c r="BW37" s="349"/>
      <c r="BX37" s="349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0"/>
      <c r="CQ37" s="120"/>
      <c r="CR37" s="120"/>
      <c r="CS37" s="120"/>
      <c r="CT37" s="120"/>
      <c r="CU37" s="120"/>
      <c r="CV37" s="120"/>
      <c r="CW37" s="120"/>
      <c r="CX37" s="120"/>
      <c r="CY37" s="120"/>
      <c r="CZ37" s="120"/>
      <c r="DA37" s="120"/>
      <c r="DB37" s="120"/>
      <c r="DC37" s="120"/>
      <c r="DD37" s="120"/>
      <c r="DE37" s="120"/>
      <c r="DF37" s="120"/>
      <c r="DG37" s="120"/>
      <c r="DH37" s="120"/>
      <c r="DI37" s="120"/>
      <c r="DJ37" s="120"/>
      <c r="DK37" s="120"/>
      <c r="DL37" s="120"/>
      <c r="DM37" s="346"/>
      <c r="DO37" s="194"/>
      <c r="DS37" s="340"/>
      <c r="DT37" s="340"/>
    </row>
    <row r="38" spans="1:124" ht="20.100000000000001" customHeight="1">
      <c r="A38" s="134"/>
      <c r="B38" s="159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272"/>
      <c r="AC38" s="120"/>
      <c r="AD38" s="120"/>
      <c r="AE38" s="120"/>
      <c r="AF38" s="120"/>
      <c r="AL38" s="272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272"/>
      <c r="BT38" s="120"/>
      <c r="BU38" s="341"/>
      <c r="BV38" s="120"/>
      <c r="BW38" s="349"/>
      <c r="BX38" s="349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0"/>
      <c r="CR38" s="120"/>
      <c r="CS38" s="120"/>
      <c r="CT38" s="120"/>
      <c r="CU38" s="120"/>
      <c r="CV38" s="120"/>
      <c r="CW38" s="120"/>
      <c r="CX38" s="120"/>
      <c r="CY38" s="120"/>
      <c r="CZ38" s="120"/>
      <c r="DA38" s="120"/>
      <c r="DB38" s="120"/>
      <c r="DC38" s="120"/>
      <c r="DD38" s="120"/>
      <c r="DE38" s="120"/>
      <c r="DF38" s="120"/>
      <c r="DG38" s="120"/>
      <c r="DH38" s="120"/>
      <c r="DI38" s="120"/>
      <c r="DJ38" s="120"/>
      <c r="DK38" s="120"/>
      <c r="DL38" s="120"/>
      <c r="DM38" s="346"/>
      <c r="DO38" s="194"/>
      <c r="DS38" s="340"/>
      <c r="DT38" s="340"/>
    </row>
    <row r="39" spans="1:124" ht="20.100000000000001" customHeight="1">
      <c r="A39" s="134"/>
      <c r="B39" s="15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272"/>
      <c r="AC39" s="120"/>
      <c r="AD39" s="120"/>
      <c r="AE39" s="120"/>
      <c r="AF39" s="120"/>
      <c r="AG39" s="273"/>
      <c r="AH39" s="120"/>
      <c r="AI39" s="120"/>
      <c r="AJ39" s="120"/>
      <c r="AK39" s="120"/>
      <c r="AL39" s="272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272"/>
      <c r="BT39" s="120"/>
      <c r="BU39" s="341"/>
      <c r="BV39" s="120"/>
      <c r="BW39" s="349"/>
      <c r="BX39" s="349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0"/>
      <c r="CU39" s="120"/>
      <c r="CV39" s="120"/>
      <c r="CW39" s="120"/>
      <c r="CX39" s="120"/>
      <c r="CY39" s="120"/>
      <c r="CZ39" s="120"/>
      <c r="DA39" s="120"/>
      <c r="DB39" s="120"/>
      <c r="DC39" s="120"/>
      <c r="DD39" s="120"/>
      <c r="DE39" s="120"/>
      <c r="DF39" s="120"/>
      <c r="DG39" s="120"/>
      <c r="DH39" s="120"/>
      <c r="DI39" s="120"/>
      <c r="DJ39" s="120"/>
      <c r="DK39" s="120"/>
      <c r="DL39" s="120"/>
      <c r="DM39" s="346"/>
      <c r="DO39" s="194"/>
      <c r="DS39" s="340"/>
      <c r="DT39" s="340"/>
    </row>
    <row r="40" spans="1:124" ht="20.100000000000001" customHeight="1">
      <c r="A40" s="134"/>
      <c r="B40" s="159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350"/>
      <c r="AC40" s="146"/>
      <c r="AD40" s="146"/>
      <c r="AE40" s="146"/>
      <c r="AF40" s="146"/>
      <c r="AG40" s="351"/>
      <c r="AH40" s="146"/>
      <c r="AI40" s="146"/>
      <c r="AJ40" s="146"/>
      <c r="AK40" s="146"/>
      <c r="AL40" s="350"/>
      <c r="AM40" s="146"/>
      <c r="AN40" s="146"/>
      <c r="AO40" s="146"/>
      <c r="AP40" s="146"/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350"/>
      <c r="BT40" s="146"/>
      <c r="BU40" s="352"/>
      <c r="BV40" s="146"/>
      <c r="BW40" s="353"/>
      <c r="BX40" s="353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  <c r="DB40" s="146"/>
      <c r="DC40" s="146"/>
      <c r="DD40" s="146"/>
      <c r="DE40" s="146"/>
      <c r="DF40" s="146"/>
      <c r="DG40" s="146"/>
      <c r="DH40" s="146"/>
      <c r="DI40" s="146"/>
      <c r="DJ40" s="146"/>
      <c r="DK40" s="146"/>
      <c r="DL40" s="146"/>
      <c r="DM40" s="336"/>
      <c r="DO40" s="194"/>
      <c r="DS40" s="340"/>
      <c r="DT40" s="340"/>
    </row>
    <row r="41" spans="1:124" ht="20.100000000000001" customHeight="1">
      <c r="A41" s="134"/>
      <c r="B41" s="281" t="s">
        <v>52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  <c r="CY41" s="167"/>
      <c r="CZ41" s="167"/>
      <c r="DA41" s="167"/>
      <c r="DB41" s="167"/>
      <c r="DC41" s="167"/>
      <c r="DD41" s="167"/>
      <c r="DE41" s="167"/>
      <c r="DF41" s="167"/>
      <c r="DG41" s="167"/>
      <c r="DH41" s="167"/>
      <c r="DI41" s="167"/>
      <c r="DJ41" s="167"/>
      <c r="DK41" s="167"/>
      <c r="DL41" s="167"/>
      <c r="DM41" s="269"/>
      <c r="DO41" s="194"/>
    </row>
    <row r="42" spans="1:124" ht="20.100000000000001" customHeight="1">
      <c r="A42" s="134"/>
      <c r="B42" s="159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283"/>
      <c r="AY42" s="283"/>
      <c r="AZ42" s="283"/>
      <c r="BA42" s="283"/>
      <c r="BB42" s="283"/>
      <c r="BC42" s="283"/>
      <c r="BD42" s="283"/>
      <c r="BE42" s="283"/>
      <c r="BF42" s="283"/>
      <c r="BG42" s="283"/>
      <c r="BH42" s="283"/>
      <c r="BI42" s="283"/>
      <c r="BJ42" s="283"/>
      <c r="BK42" s="283"/>
      <c r="BL42" s="283"/>
      <c r="BM42" s="283"/>
      <c r="BN42" s="283"/>
      <c r="BO42" s="283"/>
      <c r="BP42" s="283"/>
      <c r="BQ42" s="283"/>
      <c r="BR42" s="283"/>
      <c r="BS42" s="283"/>
      <c r="BT42" s="283"/>
      <c r="BU42" s="283"/>
      <c r="BV42" s="283"/>
      <c r="BW42" s="283"/>
      <c r="BX42" s="283"/>
      <c r="BY42" s="283"/>
      <c r="BZ42" s="283"/>
      <c r="CA42" s="283"/>
      <c r="CB42" s="283"/>
      <c r="CC42" s="283"/>
      <c r="CD42" s="283"/>
      <c r="CE42" s="283"/>
      <c r="CF42" s="283"/>
      <c r="CG42" s="283"/>
      <c r="CH42" s="283"/>
      <c r="CI42" s="283"/>
      <c r="CJ42" s="283"/>
      <c r="CK42" s="283"/>
      <c r="CL42" s="283"/>
      <c r="CM42" s="283"/>
      <c r="CN42" s="283"/>
      <c r="CO42" s="283"/>
      <c r="CP42" s="283"/>
      <c r="CQ42" s="283"/>
      <c r="CR42" s="283"/>
      <c r="CS42" s="283"/>
      <c r="CT42" s="283"/>
      <c r="CU42" s="283"/>
      <c r="CV42" s="283"/>
      <c r="CW42" s="283"/>
      <c r="CX42" s="283"/>
      <c r="CY42" s="283"/>
      <c r="CZ42" s="283"/>
      <c r="DA42" s="283"/>
      <c r="DB42" s="283"/>
      <c r="DC42" s="283"/>
      <c r="DD42" s="283"/>
      <c r="DE42" s="283"/>
      <c r="DF42" s="283"/>
      <c r="DG42" s="283"/>
      <c r="DH42" s="283"/>
      <c r="DI42" s="283"/>
      <c r="DJ42" s="283"/>
      <c r="DK42" s="283"/>
      <c r="DL42" s="283"/>
      <c r="DM42" s="284"/>
      <c r="DO42" s="194"/>
    </row>
    <row r="43" spans="1:124" ht="20.100000000000001" customHeight="1">
      <c r="A43" s="134"/>
      <c r="B43" s="159"/>
      <c r="F43" s="180" t="s">
        <v>312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DM43" s="286"/>
      <c r="DO43" s="194"/>
    </row>
    <row r="44" spans="1:124" ht="20.100000000000001" customHeight="1">
      <c r="A44" s="134"/>
      <c r="B44" s="159"/>
      <c r="AD44" s="416"/>
      <c r="DM44" s="286"/>
      <c r="DO44" s="194"/>
    </row>
    <row r="45" spans="1:124" ht="20.100000000000001" customHeight="1">
      <c r="A45" s="134"/>
      <c r="B45" s="159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  <c r="BI45" s="305"/>
      <c r="BJ45" s="305"/>
      <c r="BK45" s="305"/>
      <c r="BL45" s="305"/>
      <c r="BM45" s="305"/>
      <c r="BN45" s="305"/>
      <c r="BO45" s="305"/>
      <c r="BP45" s="305"/>
      <c r="BQ45" s="305"/>
      <c r="BR45" s="305"/>
      <c r="BS45" s="305"/>
      <c r="BT45" s="305"/>
      <c r="BU45" s="305"/>
      <c r="BV45" s="305"/>
      <c r="BW45" s="305"/>
      <c r="BX45" s="305"/>
      <c r="BY45" s="305"/>
      <c r="BZ45" s="305"/>
      <c r="CA45" s="305"/>
      <c r="CB45" s="305"/>
      <c r="CC45" s="305"/>
      <c r="CD45" s="305"/>
      <c r="CE45" s="305"/>
      <c r="CF45" s="305"/>
      <c r="CG45" s="305"/>
      <c r="CH45" s="305"/>
      <c r="CI45" s="305"/>
      <c r="CJ45" s="305"/>
      <c r="CK45" s="305"/>
      <c r="CL45" s="305"/>
      <c r="CM45" s="305"/>
      <c r="CN45" s="305"/>
      <c r="CO45" s="305"/>
      <c r="CP45" s="305"/>
      <c r="CQ45" s="305"/>
      <c r="CR45" s="305"/>
      <c r="CS45" s="305"/>
      <c r="CT45" s="305"/>
      <c r="CU45" s="305"/>
      <c r="CV45" s="305"/>
      <c r="CW45" s="305"/>
      <c r="CX45" s="305"/>
      <c r="CY45" s="305"/>
      <c r="CZ45" s="305"/>
      <c r="DA45" s="305"/>
      <c r="DB45" s="305"/>
      <c r="DC45" s="305"/>
      <c r="DD45" s="305"/>
      <c r="DE45" s="305"/>
      <c r="DF45" s="305"/>
      <c r="DG45" s="305"/>
      <c r="DH45" s="305"/>
      <c r="DI45" s="305"/>
      <c r="DJ45" s="305"/>
      <c r="DK45" s="305"/>
      <c r="DL45" s="305"/>
      <c r="DM45" s="306"/>
      <c r="DO45" s="194"/>
    </row>
    <row r="46" spans="1:124" ht="20.100000000000001" customHeight="1">
      <c r="DO46" s="194"/>
    </row>
    <row r="47" spans="1:124" ht="20.100000000000001" customHeight="1">
      <c r="DO47" s="194"/>
    </row>
    <row r="48" spans="1:124" ht="20.100000000000001" customHeight="1">
      <c r="A48" s="116" t="s">
        <v>143</v>
      </c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311"/>
    </row>
    <row r="49" spans="2:119" ht="20.100000000000001" customHeight="1">
      <c r="DO49" s="194"/>
    </row>
    <row r="50" spans="2:119" ht="20.100000000000001" customHeight="1">
      <c r="B50" s="312" t="s">
        <v>239</v>
      </c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3"/>
      <c r="AT50" s="313"/>
      <c r="AU50" s="313"/>
      <c r="AV50" s="313"/>
      <c r="AW50" s="313"/>
      <c r="AX50" s="313"/>
      <c r="AY50" s="313"/>
      <c r="AZ50" s="313"/>
      <c r="BA50" s="313"/>
      <c r="BB50" s="313"/>
      <c r="BC50" s="313"/>
      <c r="BD50" s="313"/>
      <c r="BE50" s="313"/>
      <c r="BF50" s="313"/>
      <c r="BG50" s="313"/>
      <c r="BH50" s="312" t="s">
        <v>240</v>
      </c>
      <c r="BI50" s="313"/>
      <c r="BJ50" s="313"/>
      <c r="BK50" s="313"/>
      <c r="BL50" s="313"/>
      <c r="BM50" s="313"/>
      <c r="BN50" s="313"/>
      <c r="BO50" s="313"/>
      <c r="BP50" s="313"/>
      <c r="BQ50" s="313"/>
      <c r="BR50" s="313"/>
      <c r="BS50" s="313"/>
      <c r="BT50" s="313"/>
      <c r="BU50" s="313"/>
      <c r="BV50" s="313"/>
      <c r="BW50" s="313"/>
      <c r="BX50" s="313"/>
      <c r="BY50" s="313"/>
      <c r="BZ50" s="313"/>
      <c r="CA50" s="313"/>
      <c r="CB50" s="313"/>
      <c r="CC50" s="313"/>
      <c r="CD50" s="313"/>
      <c r="CE50" s="313"/>
      <c r="CF50" s="313"/>
      <c r="CG50" s="313"/>
      <c r="CH50" s="313"/>
      <c r="CI50" s="313"/>
      <c r="CJ50" s="313"/>
      <c r="CK50" s="313"/>
      <c r="CL50" s="313"/>
      <c r="CM50" s="313"/>
      <c r="CN50" s="313"/>
      <c r="CO50" s="313"/>
      <c r="CP50" s="313"/>
      <c r="CQ50" s="313"/>
      <c r="CR50" s="313"/>
      <c r="CS50" s="313"/>
      <c r="CT50" s="313"/>
      <c r="CU50" s="313"/>
      <c r="CV50" s="313"/>
      <c r="CW50" s="313"/>
      <c r="CX50" s="313"/>
      <c r="CY50" s="313"/>
      <c r="CZ50" s="313"/>
      <c r="DA50" s="313"/>
      <c r="DB50" s="313"/>
      <c r="DC50" s="313"/>
      <c r="DD50" s="313"/>
      <c r="DE50" s="313"/>
      <c r="DF50" s="313"/>
      <c r="DG50" s="313"/>
      <c r="DH50" s="313"/>
      <c r="DI50" s="313"/>
      <c r="DJ50" s="313"/>
      <c r="DK50" s="313"/>
      <c r="DL50" s="313"/>
      <c r="DM50" s="314"/>
      <c r="DO50" s="194"/>
    </row>
    <row r="51" spans="2:119" ht="20.100000000000001" customHeight="1">
      <c r="B51" s="315"/>
      <c r="C51" s="117" t="s">
        <v>144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316"/>
      <c r="V51" s="117" t="s">
        <v>145</v>
      </c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317"/>
      <c r="AL51" s="117"/>
      <c r="AM51" s="117"/>
      <c r="AN51" s="117"/>
      <c r="AO51" s="117"/>
      <c r="AP51" s="117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  <c r="BA51" s="318"/>
      <c r="BB51" s="318"/>
      <c r="BC51" s="318"/>
      <c r="BD51" s="318"/>
      <c r="BE51" s="318"/>
      <c r="BF51" s="318"/>
      <c r="BG51" s="319"/>
      <c r="BH51" s="315"/>
      <c r="BI51" s="117" t="s">
        <v>144</v>
      </c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316"/>
      <c r="CB51" s="117" t="s">
        <v>145</v>
      </c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317"/>
      <c r="CR51" s="117"/>
      <c r="CS51" s="117"/>
      <c r="CT51" s="117"/>
      <c r="CU51" s="117"/>
      <c r="CV51" s="117"/>
      <c r="CW51" s="318"/>
      <c r="CX51" s="318"/>
      <c r="CY51" s="318"/>
      <c r="CZ51" s="318"/>
      <c r="DA51" s="318"/>
      <c r="DB51" s="318"/>
      <c r="DC51" s="318"/>
      <c r="DD51" s="318"/>
      <c r="DE51" s="318"/>
      <c r="DF51" s="318"/>
      <c r="DG51" s="318"/>
      <c r="DH51" s="318"/>
      <c r="DI51" s="318"/>
      <c r="DJ51" s="318"/>
      <c r="DK51" s="318"/>
      <c r="DL51" s="318"/>
      <c r="DM51" s="319"/>
      <c r="DO51" s="194"/>
    </row>
    <row r="52" spans="2:119" ht="20.100000000000001" customHeight="1">
      <c r="B52" s="315"/>
      <c r="C52" s="137"/>
      <c r="D52" s="137"/>
      <c r="E52" s="137"/>
      <c r="F52" s="137"/>
      <c r="G52" s="137"/>
      <c r="H52" s="137"/>
      <c r="U52" s="119"/>
      <c r="V52" s="137"/>
      <c r="AK52" s="127"/>
      <c r="AL52" s="127"/>
      <c r="AM52" s="128"/>
      <c r="AN52" s="129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1"/>
      <c r="BH52" s="315"/>
      <c r="BI52" s="354" t="s">
        <v>92</v>
      </c>
      <c r="BJ52" s="355"/>
      <c r="BK52" s="355"/>
      <c r="BL52" s="355"/>
      <c r="BM52" s="355"/>
      <c r="BN52" s="355"/>
      <c r="CA52" s="119"/>
      <c r="CB52" s="354"/>
      <c r="CC52" s="355"/>
      <c r="CD52" s="355"/>
      <c r="CE52" s="355"/>
      <c r="CF52" s="355"/>
      <c r="CG52" s="355"/>
      <c r="CH52" s="355"/>
      <c r="CI52" s="355"/>
      <c r="CJ52" s="355"/>
      <c r="CK52" s="355"/>
      <c r="CL52" s="355"/>
      <c r="CM52" s="355"/>
      <c r="CN52" s="355"/>
      <c r="CO52" s="355"/>
      <c r="CP52" s="355"/>
      <c r="CQ52" s="127"/>
      <c r="CR52" s="127"/>
      <c r="CS52" s="128"/>
      <c r="CT52" s="129"/>
      <c r="CU52" s="130"/>
      <c r="CV52" s="130"/>
      <c r="CW52" s="130"/>
      <c r="CX52" s="130"/>
      <c r="CY52" s="130"/>
      <c r="CZ52" s="130"/>
      <c r="DA52" s="130"/>
      <c r="DB52" s="130"/>
      <c r="DC52" s="130"/>
      <c r="DD52" s="130"/>
      <c r="DE52" s="130"/>
      <c r="DF52" s="130"/>
      <c r="DG52" s="130"/>
      <c r="DH52" s="130"/>
      <c r="DI52" s="130"/>
      <c r="DJ52" s="130"/>
      <c r="DK52" s="130"/>
      <c r="DL52" s="130"/>
      <c r="DM52" s="131"/>
      <c r="DO52" s="194"/>
    </row>
    <row r="53" spans="2:119" ht="20.100000000000001" customHeight="1">
      <c r="B53" s="315"/>
      <c r="C53" s="120"/>
      <c r="D53" s="120"/>
      <c r="E53" s="120"/>
      <c r="F53" s="137"/>
      <c r="G53" s="137"/>
      <c r="H53" s="137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6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1"/>
      <c r="AL53" s="121"/>
      <c r="AM53" s="122"/>
      <c r="AN53" s="123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5"/>
      <c r="BH53" s="315"/>
      <c r="BI53" s="358"/>
      <c r="BJ53" s="361" t="s">
        <v>93</v>
      </c>
      <c r="BK53" s="361"/>
      <c r="BL53" s="361"/>
      <c r="BM53" s="361"/>
      <c r="BN53" s="361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6"/>
      <c r="CB53" s="354" t="s">
        <v>163</v>
      </c>
      <c r="CC53" s="355"/>
      <c r="CD53" s="355"/>
      <c r="CE53" s="355"/>
      <c r="CF53" s="355"/>
      <c r="CG53" s="355"/>
      <c r="CH53" s="355"/>
      <c r="CI53" s="355"/>
      <c r="CJ53" s="355"/>
      <c r="CK53" s="355"/>
      <c r="CL53" s="355"/>
      <c r="CM53" s="355"/>
      <c r="CN53" s="355"/>
      <c r="CO53" s="355"/>
      <c r="CP53" s="355"/>
      <c r="CQ53" s="121"/>
      <c r="CR53" s="121"/>
      <c r="CS53" s="122"/>
      <c r="CT53" s="123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5"/>
      <c r="DO53" s="194"/>
    </row>
    <row r="54" spans="2:119" ht="20.100000000000001" customHeight="1">
      <c r="B54" s="315"/>
      <c r="C54" s="120"/>
      <c r="D54" s="120"/>
      <c r="E54" s="120"/>
      <c r="F54" s="137"/>
      <c r="G54" s="137"/>
      <c r="H54" s="137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6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1"/>
      <c r="AL54" s="121"/>
      <c r="AM54" s="122"/>
      <c r="AN54" s="123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5"/>
      <c r="BH54" s="315"/>
      <c r="BI54" s="358"/>
      <c r="BJ54" s="355" t="s">
        <v>95</v>
      </c>
      <c r="BK54" s="355"/>
      <c r="BL54" s="355"/>
      <c r="BM54" s="355"/>
      <c r="BN54" s="355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6"/>
      <c r="CB54" s="354" t="s">
        <v>164</v>
      </c>
      <c r="CC54" s="355"/>
      <c r="CD54" s="355"/>
      <c r="CE54" s="355"/>
      <c r="CF54" s="355"/>
      <c r="CG54" s="355"/>
      <c r="CH54" s="355"/>
      <c r="CI54" s="355"/>
      <c r="CJ54" s="355"/>
      <c r="CK54" s="355"/>
      <c r="CL54" s="355"/>
      <c r="CM54" s="355"/>
      <c r="CN54" s="355"/>
      <c r="CO54" s="355"/>
      <c r="CP54" s="355"/>
      <c r="CQ54" s="121"/>
      <c r="CR54" s="121"/>
      <c r="CS54" s="122"/>
      <c r="CT54" s="123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5"/>
      <c r="DO54" s="194"/>
    </row>
    <row r="55" spans="2:119" ht="20.100000000000001" customHeight="1">
      <c r="B55" s="315"/>
      <c r="D55" s="120"/>
      <c r="E55" s="120"/>
      <c r="F55" s="137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6"/>
      <c r="V55" s="133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1"/>
      <c r="AL55" s="121"/>
      <c r="AM55" s="122"/>
      <c r="AN55" s="123"/>
      <c r="AO55" s="124"/>
      <c r="AP55" s="124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5"/>
      <c r="BH55" s="315"/>
      <c r="BI55" s="355"/>
      <c r="BJ55" s="355" t="s">
        <v>62</v>
      </c>
      <c r="BK55" s="355"/>
      <c r="BL55" s="355"/>
      <c r="BM55" s="355"/>
      <c r="BN55" s="355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6"/>
      <c r="CB55" s="354" t="s">
        <v>165</v>
      </c>
      <c r="CC55" s="355"/>
      <c r="CD55" s="355"/>
      <c r="CE55" s="355"/>
      <c r="CF55" s="355"/>
      <c r="CG55" s="355"/>
      <c r="CH55" s="355"/>
      <c r="CI55" s="355"/>
      <c r="CJ55" s="355"/>
      <c r="CK55" s="355"/>
      <c r="CL55" s="355"/>
      <c r="CM55" s="355"/>
      <c r="CN55" s="355"/>
      <c r="CO55" s="355"/>
      <c r="CP55" s="355"/>
      <c r="CQ55" s="121"/>
      <c r="CR55" s="121"/>
      <c r="CS55" s="122"/>
      <c r="CT55" s="123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5"/>
      <c r="DO55" s="194"/>
    </row>
    <row r="56" spans="2:119" ht="20.100000000000001" customHeight="1">
      <c r="B56" s="315"/>
      <c r="C56" s="120"/>
      <c r="D56" s="120"/>
      <c r="E56" s="120"/>
      <c r="F56" s="137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6"/>
      <c r="V56" s="133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1"/>
      <c r="AL56" s="121"/>
      <c r="AM56" s="122"/>
      <c r="AN56" s="123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5"/>
      <c r="BH56" s="315"/>
      <c r="BI56" s="358"/>
      <c r="BJ56" s="355" t="s">
        <v>63</v>
      </c>
      <c r="BK56" s="355"/>
      <c r="BL56" s="355"/>
      <c r="BM56" s="355"/>
      <c r="BN56" s="355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6"/>
      <c r="CB56" s="354" t="s">
        <v>166</v>
      </c>
      <c r="CC56" s="361"/>
      <c r="CD56" s="361"/>
      <c r="CE56" s="355"/>
      <c r="CF56" s="355"/>
      <c r="CG56" s="355"/>
      <c r="CH56" s="355"/>
      <c r="CI56" s="355"/>
      <c r="CJ56" s="355"/>
      <c r="CK56" s="355"/>
      <c r="CL56" s="355"/>
      <c r="CM56" s="355"/>
      <c r="CN56" s="355"/>
      <c r="CO56" s="355"/>
      <c r="CP56" s="355"/>
      <c r="CQ56" s="121"/>
      <c r="CR56" s="121"/>
      <c r="CS56" s="122"/>
      <c r="CT56" s="123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5"/>
      <c r="DO56" s="194"/>
    </row>
    <row r="57" spans="2:119" ht="20.100000000000001" customHeight="1">
      <c r="B57" s="315"/>
      <c r="C57" s="120"/>
      <c r="D57" s="120"/>
      <c r="E57" s="120"/>
      <c r="F57" s="137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6"/>
      <c r="V57" s="343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1"/>
      <c r="AL57" s="121"/>
      <c r="AM57" s="122"/>
      <c r="AN57" s="123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5"/>
      <c r="BH57" s="315"/>
      <c r="BI57" s="365"/>
      <c r="BJ57" s="361" t="s">
        <v>79</v>
      </c>
      <c r="BK57" s="361"/>
      <c r="BL57" s="361"/>
      <c r="BM57" s="361"/>
      <c r="BN57" s="361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6"/>
      <c r="CB57" s="354" t="s">
        <v>167</v>
      </c>
      <c r="CC57" s="363"/>
      <c r="CD57" s="363"/>
      <c r="CE57" s="363"/>
      <c r="CF57" s="363"/>
      <c r="CG57" s="363"/>
      <c r="CH57" s="363"/>
      <c r="CI57" s="363"/>
      <c r="CJ57" s="363"/>
      <c r="CK57" s="363"/>
      <c r="CL57" s="363"/>
      <c r="CM57" s="363"/>
      <c r="CN57" s="363"/>
      <c r="CO57" s="363"/>
      <c r="CP57" s="363"/>
      <c r="CQ57" s="121"/>
      <c r="CR57" s="121"/>
      <c r="CS57" s="122"/>
      <c r="CT57" s="123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5"/>
      <c r="DO57" s="194"/>
    </row>
    <row r="58" spans="2:119" ht="20.100000000000001" customHeight="1">
      <c r="B58" s="315"/>
      <c r="C58" s="120"/>
      <c r="D58" s="137"/>
      <c r="E58" s="137"/>
      <c r="F58" s="137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6"/>
      <c r="V58" s="137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1"/>
      <c r="AL58" s="121"/>
      <c r="AM58" s="122"/>
      <c r="AN58" s="123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5"/>
      <c r="BH58" s="315"/>
      <c r="BI58" s="354"/>
      <c r="BJ58" s="355" t="s">
        <v>100</v>
      </c>
      <c r="BK58" s="363"/>
      <c r="BL58" s="363"/>
      <c r="BM58" s="363"/>
      <c r="BN58" s="363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6"/>
      <c r="CB58" s="354" t="s">
        <v>168</v>
      </c>
      <c r="CC58" s="355"/>
      <c r="CD58" s="355"/>
      <c r="CE58" s="355"/>
      <c r="CF58" s="355"/>
      <c r="CG58" s="355"/>
      <c r="CH58" s="355"/>
      <c r="CI58" s="355"/>
      <c r="CJ58" s="355"/>
      <c r="CK58" s="355"/>
      <c r="CL58" s="355"/>
      <c r="CM58" s="355"/>
      <c r="CN58" s="355"/>
      <c r="CO58" s="355"/>
      <c r="CP58" s="355"/>
      <c r="CQ58" s="121"/>
      <c r="CR58" s="121"/>
      <c r="CS58" s="122"/>
      <c r="CT58" s="123"/>
      <c r="CU58" s="124"/>
      <c r="CV58" s="124"/>
      <c r="CW58" s="124"/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4"/>
      <c r="DJ58" s="124"/>
      <c r="DK58" s="124"/>
      <c r="DL58" s="124"/>
      <c r="DM58" s="125"/>
      <c r="DO58" s="194"/>
    </row>
    <row r="59" spans="2:119" ht="20.100000000000001" customHeight="1">
      <c r="B59" s="315"/>
      <c r="C59" s="120"/>
      <c r="D59" s="120"/>
      <c r="E59" s="120"/>
      <c r="F59" s="137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6"/>
      <c r="V59" s="343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1"/>
      <c r="AL59" s="121"/>
      <c r="AM59" s="122"/>
      <c r="AN59" s="123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5"/>
      <c r="BH59" s="315"/>
      <c r="BI59" s="365"/>
      <c r="BJ59" s="355" t="s">
        <v>102</v>
      </c>
      <c r="BK59" s="355"/>
      <c r="BL59" s="355"/>
      <c r="BM59" s="355"/>
      <c r="BN59" s="355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6"/>
      <c r="CB59" s="354" t="s">
        <v>169</v>
      </c>
      <c r="CC59" s="363"/>
      <c r="CD59" s="363"/>
      <c r="CE59" s="363"/>
      <c r="CF59" s="363"/>
      <c r="CG59" s="363"/>
      <c r="CH59" s="363"/>
      <c r="CI59" s="363"/>
      <c r="CJ59" s="363"/>
      <c r="CK59" s="363"/>
      <c r="CL59" s="363"/>
      <c r="CM59" s="363"/>
      <c r="CN59" s="363"/>
      <c r="CO59" s="363"/>
      <c r="CP59" s="363"/>
      <c r="CQ59" s="121"/>
      <c r="CR59" s="121"/>
      <c r="CS59" s="122"/>
      <c r="CT59" s="123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5"/>
      <c r="DO59" s="194"/>
    </row>
    <row r="60" spans="2:119" ht="20.100000000000001" customHeight="1">
      <c r="B60" s="315"/>
      <c r="C60" s="120"/>
      <c r="D60" s="120"/>
      <c r="E60" s="120"/>
      <c r="F60" s="137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6"/>
      <c r="V60" s="343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1"/>
      <c r="AL60" s="121"/>
      <c r="AM60" s="122"/>
      <c r="AN60" s="123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5"/>
      <c r="BH60" s="315"/>
      <c r="BI60" s="354"/>
      <c r="BJ60" s="355" t="s">
        <v>87</v>
      </c>
      <c r="BK60" s="363"/>
      <c r="BL60" s="363"/>
      <c r="BM60" s="363"/>
      <c r="BN60" s="363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6"/>
      <c r="CB60" s="354" t="s">
        <v>170</v>
      </c>
      <c r="CC60" s="355"/>
      <c r="CD60" s="355"/>
      <c r="CE60" s="355"/>
      <c r="CF60" s="355"/>
      <c r="CG60" s="355"/>
      <c r="CH60" s="355"/>
      <c r="CI60" s="355"/>
      <c r="CJ60" s="355"/>
      <c r="CK60" s="355"/>
      <c r="CL60" s="355"/>
      <c r="CM60" s="355"/>
      <c r="CN60" s="355"/>
      <c r="CO60" s="355"/>
      <c r="CP60" s="355"/>
      <c r="CQ60" s="121"/>
      <c r="CR60" s="121"/>
      <c r="CS60" s="122"/>
      <c r="CT60" s="123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5"/>
      <c r="DO60" s="194"/>
    </row>
    <row r="61" spans="2:119" ht="20.100000000000001" customHeight="1">
      <c r="B61" s="315"/>
      <c r="D61" s="120"/>
      <c r="E61" s="120"/>
      <c r="F61" s="137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6"/>
      <c r="V61" s="343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1"/>
      <c r="AL61" s="121"/>
      <c r="AM61" s="122"/>
      <c r="AN61" s="123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5"/>
      <c r="BH61" s="315"/>
      <c r="BI61" s="354"/>
      <c r="BJ61" s="355" t="s">
        <v>89</v>
      </c>
      <c r="BK61" s="355"/>
      <c r="BL61" s="355"/>
      <c r="BM61" s="355"/>
      <c r="BN61" s="355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6"/>
      <c r="CB61" s="354" t="s">
        <v>171</v>
      </c>
      <c r="CC61" s="355"/>
      <c r="CD61" s="355"/>
      <c r="CE61" s="355"/>
      <c r="CF61" s="355"/>
      <c r="CG61" s="355"/>
      <c r="CH61" s="355"/>
      <c r="CI61" s="355"/>
      <c r="CJ61" s="355"/>
      <c r="CK61" s="355"/>
      <c r="CL61" s="355"/>
      <c r="CM61" s="355"/>
      <c r="CN61" s="355"/>
      <c r="CO61" s="355"/>
      <c r="CP61" s="355"/>
      <c r="CQ61" s="121"/>
      <c r="CR61" s="121"/>
      <c r="CS61" s="122"/>
      <c r="CT61" s="123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5"/>
      <c r="DO61" s="194"/>
    </row>
    <row r="62" spans="2:119" ht="20.100000000000001" customHeight="1">
      <c r="B62" s="315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6"/>
      <c r="V62" s="343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1"/>
      <c r="AL62" s="121"/>
      <c r="AM62" s="122"/>
      <c r="AN62" s="123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5"/>
      <c r="BH62" s="315"/>
      <c r="BI62" s="354"/>
      <c r="BJ62" s="355" t="s">
        <v>106</v>
      </c>
      <c r="BK62" s="355"/>
      <c r="BL62" s="355"/>
      <c r="BM62" s="355"/>
      <c r="BN62" s="355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6"/>
      <c r="CB62" s="354" t="s">
        <v>172</v>
      </c>
      <c r="CC62" s="355"/>
      <c r="CD62" s="355"/>
      <c r="CE62" s="355"/>
      <c r="CF62" s="355"/>
      <c r="CG62" s="355"/>
      <c r="CH62" s="355"/>
      <c r="CI62" s="355"/>
      <c r="CJ62" s="355"/>
      <c r="CK62" s="355"/>
      <c r="CL62" s="355"/>
      <c r="CM62" s="355"/>
      <c r="CN62" s="355"/>
      <c r="CO62" s="355"/>
      <c r="CP62" s="355"/>
      <c r="CQ62" s="121"/>
      <c r="CR62" s="121"/>
      <c r="CS62" s="122"/>
      <c r="CT62" s="123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5"/>
      <c r="DO62" s="194"/>
    </row>
    <row r="63" spans="2:119" ht="20.100000000000001" customHeight="1">
      <c r="B63" s="315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6"/>
      <c r="V63" s="343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1"/>
      <c r="AL63" s="121"/>
      <c r="AM63" s="122"/>
      <c r="AN63" s="123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5"/>
      <c r="BH63" s="315"/>
      <c r="BI63" s="366"/>
      <c r="BJ63" s="355" t="s">
        <v>108</v>
      </c>
      <c r="BK63" s="355"/>
      <c r="BL63" s="355"/>
      <c r="BM63" s="355"/>
      <c r="BN63" s="355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6"/>
      <c r="CB63" s="354" t="s">
        <v>173</v>
      </c>
      <c r="CC63" s="362"/>
      <c r="CD63" s="362"/>
      <c r="CE63" s="362"/>
      <c r="CF63" s="362"/>
      <c r="CG63" s="362"/>
      <c r="CH63" s="362"/>
      <c r="CI63" s="362"/>
      <c r="CJ63" s="362"/>
      <c r="CK63" s="362"/>
      <c r="CL63" s="362"/>
      <c r="CM63" s="362"/>
      <c r="CN63" s="362"/>
      <c r="CO63" s="362"/>
      <c r="CP63" s="362"/>
      <c r="CQ63" s="121"/>
      <c r="CR63" s="121"/>
      <c r="CS63" s="122"/>
      <c r="CT63" s="123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5"/>
      <c r="DO63" s="194"/>
    </row>
    <row r="64" spans="2:119" ht="20.100000000000001" customHeight="1">
      <c r="B64" s="315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6"/>
      <c r="V64" s="343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1"/>
      <c r="AL64" s="121"/>
      <c r="AM64" s="122"/>
      <c r="AN64" s="123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5"/>
      <c r="BH64" s="315"/>
      <c r="BI64" s="109"/>
      <c r="BJ64" s="362" t="s">
        <v>91</v>
      </c>
      <c r="BK64" s="362"/>
      <c r="BL64" s="362"/>
      <c r="BM64" s="362"/>
      <c r="BN64" s="362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6"/>
      <c r="CB64" s="354" t="s">
        <v>174</v>
      </c>
      <c r="CC64" s="364"/>
      <c r="CD64" s="364"/>
      <c r="CE64" s="364"/>
      <c r="CF64" s="364"/>
      <c r="CG64" s="364"/>
      <c r="CH64" s="364"/>
      <c r="CI64" s="364"/>
      <c r="CJ64" s="364"/>
      <c r="CK64" s="364"/>
      <c r="CL64" s="364"/>
      <c r="CM64" s="364"/>
      <c r="CN64" s="364"/>
      <c r="CO64" s="364"/>
      <c r="CP64" s="364"/>
      <c r="CQ64" s="121"/>
      <c r="CR64" s="121"/>
      <c r="CS64" s="122"/>
      <c r="CT64" s="123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5"/>
      <c r="DO64" s="194"/>
    </row>
    <row r="65" spans="1:119" ht="20.100000000000001" customHeight="1">
      <c r="B65" s="315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6"/>
      <c r="V65" s="343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1"/>
      <c r="AL65" s="121"/>
      <c r="AM65" s="122"/>
      <c r="AN65" s="123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5"/>
      <c r="BH65" s="315"/>
      <c r="BI65" s="402"/>
      <c r="BJ65" s="393" t="s">
        <v>111</v>
      </c>
      <c r="BK65" s="394"/>
      <c r="BL65" s="394"/>
      <c r="BM65" s="394"/>
      <c r="BN65" s="394"/>
      <c r="BO65" s="395"/>
      <c r="BP65" s="395"/>
      <c r="BQ65" s="395"/>
      <c r="BR65" s="395"/>
      <c r="BS65" s="395"/>
      <c r="BT65" s="395"/>
      <c r="BU65" s="395"/>
      <c r="BV65" s="395"/>
      <c r="BW65" s="395"/>
      <c r="BX65" s="395"/>
      <c r="BY65" s="395"/>
      <c r="BZ65" s="395"/>
      <c r="CA65" s="403"/>
      <c r="CB65" s="396"/>
      <c r="CC65" s="377"/>
      <c r="CD65" s="377"/>
      <c r="CE65" s="377"/>
      <c r="CF65" s="377"/>
      <c r="CG65" s="377"/>
      <c r="CH65" s="377"/>
      <c r="CI65" s="377"/>
      <c r="CJ65" s="377"/>
      <c r="CK65" s="377"/>
      <c r="CL65" s="377"/>
      <c r="CM65" s="377"/>
      <c r="CN65" s="378"/>
      <c r="CO65" s="362"/>
      <c r="CP65" s="362"/>
      <c r="CQ65" s="121"/>
      <c r="CR65" s="121"/>
      <c r="CS65" s="122"/>
      <c r="CT65" s="123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5"/>
      <c r="DO65" s="194"/>
    </row>
    <row r="66" spans="1:119" ht="20.100000000000001" customHeight="1">
      <c r="B66" s="315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6"/>
      <c r="V66" s="343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1"/>
      <c r="AL66" s="121"/>
      <c r="AM66" s="122"/>
      <c r="AN66" s="123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5"/>
      <c r="BH66" s="315"/>
      <c r="BI66" s="402"/>
      <c r="BJ66" s="396"/>
      <c r="BK66" s="377"/>
      <c r="BL66" s="377" t="s">
        <v>113</v>
      </c>
      <c r="BM66" s="377"/>
      <c r="BN66" s="377"/>
      <c r="BO66" s="395"/>
      <c r="BP66" s="395"/>
      <c r="BQ66" s="395"/>
      <c r="BR66" s="395"/>
      <c r="BS66" s="395"/>
      <c r="BT66" s="395"/>
      <c r="BU66" s="395"/>
      <c r="BV66" s="395"/>
      <c r="BW66" s="395"/>
      <c r="BX66" s="395"/>
      <c r="BY66" s="395"/>
      <c r="BZ66" s="395"/>
      <c r="CA66" s="403"/>
      <c r="CB66" s="396" t="s">
        <v>175</v>
      </c>
      <c r="CC66" s="377"/>
      <c r="CD66" s="377"/>
      <c r="CE66" s="377"/>
      <c r="CF66" s="377"/>
      <c r="CG66" s="377"/>
      <c r="CH66" s="377"/>
      <c r="CI66" s="377"/>
      <c r="CJ66" s="377"/>
      <c r="CK66" s="377"/>
      <c r="CL66" s="377"/>
      <c r="CM66" s="377"/>
      <c r="CN66" s="378"/>
      <c r="CO66" s="362"/>
      <c r="CP66" s="362"/>
      <c r="CQ66" s="121"/>
      <c r="CR66" s="121"/>
      <c r="CS66" s="122"/>
      <c r="CT66" s="123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5"/>
      <c r="DO66" s="194"/>
    </row>
    <row r="67" spans="1:119" ht="20.100000000000001" customHeight="1">
      <c r="B67" s="315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6"/>
      <c r="V67" s="343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1"/>
      <c r="AL67" s="121"/>
      <c r="AM67" s="122"/>
      <c r="AN67" s="123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5"/>
      <c r="BH67" s="315"/>
      <c r="BI67" s="359"/>
      <c r="BJ67" s="362" t="s">
        <v>116</v>
      </c>
      <c r="BK67" s="362"/>
      <c r="BM67" s="362"/>
      <c r="BN67" s="362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6"/>
      <c r="CB67" s="359" t="s">
        <v>176</v>
      </c>
      <c r="CC67" s="362"/>
      <c r="CD67" s="362"/>
      <c r="CE67" s="362"/>
      <c r="CF67" s="362"/>
      <c r="CG67" s="362"/>
      <c r="CH67" s="362"/>
      <c r="CI67" s="362"/>
      <c r="CJ67" s="362"/>
      <c r="CK67" s="362"/>
      <c r="CL67" s="362"/>
      <c r="CM67" s="362"/>
      <c r="CN67" s="362"/>
      <c r="CO67" s="362"/>
      <c r="CP67" s="362"/>
      <c r="CQ67" s="121"/>
      <c r="CR67" s="121"/>
      <c r="CS67" s="122"/>
      <c r="CT67" s="123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5"/>
      <c r="DO67" s="194"/>
    </row>
    <row r="68" spans="1:119" ht="20.100000000000001" customHeight="1">
      <c r="B68" s="315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6"/>
      <c r="V68" s="343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1"/>
      <c r="AL68" s="121"/>
      <c r="AM68" s="122"/>
      <c r="AN68" s="123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5"/>
      <c r="BH68" s="315"/>
      <c r="BI68" s="404"/>
      <c r="BJ68" s="405"/>
      <c r="BK68" s="377"/>
      <c r="BL68" s="377" t="s">
        <v>118</v>
      </c>
      <c r="BM68" s="377"/>
      <c r="BN68" s="377"/>
      <c r="BO68" s="395"/>
      <c r="BP68" s="395"/>
      <c r="BQ68" s="395"/>
      <c r="BR68" s="395"/>
      <c r="BS68" s="395"/>
      <c r="BT68" s="395"/>
      <c r="BU68" s="395"/>
      <c r="BV68" s="395"/>
      <c r="BW68" s="395"/>
      <c r="BX68" s="395"/>
      <c r="BY68" s="395"/>
      <c r="BZ68" s="395"/>
      <c r="CA68" s="403"/>
      <c r="CB68" s="396" t="s">
        <v>177</v>
      </c>
      <c r="CC68" s="377"/>
      <c r="CD68" s="377"/>
      <c r="CE68" s="377"/>
      <c r="CF68" s="377"/>
      <c r="CG68" s="377"/>
      <c r="CH68" s="377"/>
      <c r="CI68" s="377"/>
      <c r="CJ68" s="377"/>
      <c r="CK68" s="377"/>
      <c r="CL68" s="377"/>
      <c r="CM68" s="377"/>
      <c r="CN68" s="377"/>
      <c r="CO68" s="377"/>
      <c r="CP68" s="377"/>
      <c r="CQ68" s="376"/>
      <c r="CR68" s="121"/>
      <c r="CS68" s="122"/>
      <c r="CT68" s="123"/>
      <c r="CU68" s="124"/>
      <c r="CV68" s="124"/>
      <c r="CW68" s="124"/>
      <c r="CX68" s="124"/>
      <c r="CY68" s="124"/>
      <c r="CZ68" s="124"/>
      <c r="DA68" s="124"/>
      <c r="DB68" s="124"/>
      <c r="DC68" s="124"/>
      <c r="DD68" s="124"/>
      <c r="DE68" s="124"/>
      <c r="DF68" s="124"/>
      <c r="DG68" s="124"/>
      <c r="DH68" s="124"/>
      <c r="DI68" s="124"/>
      <c r="DJ68" s="124"/>
      <c r="DK68" s="124"/>
      <c r="DL68" s="124"/>
      <c r="DM68" s="125"/>
      <c r="DO68" s="194"/>
    </row>
    <row r="69" spans="1:119" ht="20.100000000000001" customHeight="1">
      <c r="B69" s="315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6"/>
      <c r="V69" s="343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1"/>
      <c r="AL69" s="121"/>
      <c r="AM69" s="122"/>
      <c r="AN69" s="123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5"/>
      <c r="BH69" s="315"/>
      <c r="BI69" s="406"/>
      <c r="BJ69" s="407"/>
      <c r="BK69" s="394"/>
      <c r="BL69" s="377" t="s">
        <v>87</v>
      </c>
      <c r="BM69" s="377"/>
      <c r="BN69" s="377"/>
      <c r="BO69" s="395"/>
      <c r="BP69" s="395"/>
      <c r="BQ69" s="395"/>
      <c r="BR69" s="395"/>
      <c r="BS69" s="395"/>
      <c r="BT69" s="395"/>
      <c r="BU69" s="395"/>
      <c r="BV69" s="395"/>
      <c r="BW69" s="395"/>
      <c r="BX69" s="395"/>
      <c r="BY69" s="395"/>
      <c r="BZ69" s="395"/>
      <c r="CA69" s="403"/>
      <c r="CB69" s="396" t="s">
        <v>178</v>
      </c>
      <c r="CC69" s="377"/>
      <c r="CD69" s="377"/>
      <c r="CE69" s="377"/>
      <c r="CF69" s="377"/>
      <c r="CG69" s="377"/>
      <c r="CH69" s="377"/>
      <c r="CI69" s="377"/>
      <c r="CJ69" s="377"/>
      <c r="CK69" s="377"/>
      <c r="CL69" s="377"/>
      <c r="CM69" s="377"/>
      <c r="CN69" s="377"/>
      <c r="CO69" s="377"/>
      <c r="CP69" s="377"/>
      <c r="CQ69" s="376"/>
      <c r="CR69" s="121"/>
      <c r="CS69" s="122"/>
      <c r="CT69" s="123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5"/>
      <c r="DO69" s="194"/>
    </row>
    <row r="70" spans="1:119" ht="20.100000000000001" customHeight="1">
      <c r="B70" s="315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6"/>
      <c r="V70" s="343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1"/>
      <c r="AL70" s="121"/>
      <c r="AM70" s="122"/>
      <c r="AN70" s="123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5"/>
      <c r="BH70" s="315"/>
      <c r="BI70" s="406"/>
      <c r="BJ70" s="365"/>
      <c r="BK70" s="377"/>
      <c r="BL70" s="377" t="s">
        <v>120</v>
      </c>
      <c r="BM70" s="377"/>
      <c r="BN70" s="377"/>
      <c r="BO70" s="395"/>
      <c r="BP70" s="395"/>
      <c r="BQ70" s="395"/>
      <c r="BR70" s="395"/>
      <c r="BS70" s="395"/>
      <c r="BT70" s="395"/>
      <c r="BU70" s="395"/>
      <c r="BV70" s="395"/>
      <c r="BW70" s="395"/>
      <c r="BX70" s="395"/>
      <c r="BY70" s="395"/>
      <c r="BZ70" s="395"/>
      <c r="CA70" s="403"/>
      <c r="CB70" s="396" t="s">
        <v>179</v>
      </c>
      <c r="CC70" s="377"/>
      <c r="CD70" s="377"/>
      <c r="CE70" s="377"/>
      <c r="CF70" s="377"/>
      <c r="CG70" s="377"/>
      <c r="CH70" s="377"/>
      <c r="CI70" s="377"/>
      <c r="CJ70" s="377"/>
      <c r="CK70" s="377"/>
      <c r="CL70" s="377"/>
      <c r="CM70" s="377"/>
      <c r="CN70" s="377"/>
      <c r="CO70" s="377"/>
      <c r="CP70" s="377"/>
      <c r="CQ70" s="376"/>
      <c r="CR70" s="121"/>
      <c r="CS70" s="122"/>
      <c r="CT70" s="123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5"/>
      <c r="DO70" s="194"/>
    </row>
    <row r="71" spans="1:119" ht="20.100000000000001" customHeight="1">
      <c r="B71" s="315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6"/>
      <c r="V71" s="343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1"/>
      <c r="AL71" s="121"/>
      <c r="AM71" s="122"/>
      <c r="AN71" s="123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5"/>
      <c r="BH71" s="315"/>
      <c r="BI71" s="120"/>
      <c r="BJ71" s="120"/>
      <c r="BK71" s="374"/>
      <c r="BL71" s="374"/>
      <c r="BM71" s="374"/>
      <c r="BN71" s="374"/>
      <c r="BO71" s="374"/>
      <c r="BP71" s="374"/>
      <c r="BQ71" s="374"/>
      <c r="BR71" s="374"/>
      <c r="BS71" s="374"/>
      <c r="BT71" s="374"/>
      <c r="BU71" s="374"/>
      <c r="BV71" s="374"/>
      <c r="BW71" s="374"/>
      <c r="BX71" s="374"/>
      <c r="BY71" s="374"/>
      <c r="BZ71" s="374"/>
      <c r="CA71" s="375"/>
      <c r="CB71" s="374"/>
      <c r="CC71" s="374"/>
      <c r="CD71" s="374"/>
      <c r="CE71" s="374"/>
      <c r="CF71" s="374"/>
      <c r="CG71" s="374"/>
      <c r="CH71" s="374"/>
      <c r="CI71" s="374"/>
      <c r="CJ71" s="374"/>
      <c r="CK71" s="374"/>
      <c r="CL71" s="374"/>
      <c r="CM71" s="374"/>
      <c r="CN71" s="374"/>
      <c r="CO71" s="374"/>
      <c r="CP71" s="374"/>
      <c r="CQ71" s="373"/>
      <c r="CR71" s="121"/>
      <c r="CS71" s="122"/>
      <c r="CT71" s="123"/>
      <c r="CU71" s="124"/>
      <c r="CV71" s="124"/>
      <c r="CW71" s="124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5"/>
      <c r="DO71" s="194"/>
    </row>
    <row r="72" spans="1:119" ht="20.100000000000001" customHeight="1">
      <c r="B72" s="315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6"/>
      <c r="V72" s="343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1"/>
      <c r="AL72" s="121"/>
      <c r="AM72" s="122"/>
      <c r="AN72" s="123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5"/>
      <c r="BH72" s="315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6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1"/>
      <c r="CR72" s="121"/>
      <c r="CS72" s="122"/>
      <c r="CT72" s="123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5"/>
      <c r="DO72" s="194"/>
    </row>
    <row r="73" spans="1:119" ht="20.100000000000001" customHeight="1">
      <c r="B73" s="315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6"/>
      <c r="V73" s="343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1"/>
      <c r="AL73" s="121"/>
      <c r="AM73" s="122"/>
      <c r="AN73" s="123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5"/>
      <c r="BH73" s="315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6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1"/>
      <c r="CR73" s="121"/>
      <c r="CS73" s="122"/>
      <c r="CT73" s="123"/>
      <c r="CU73" s="124"/>
      <c r="CV73" s="124"/>
      <c r="CW73" s="124"/>
      <c r="CX73" s="124"/>
      <c r="CY73" s="124"/>
      <c r="CZ73" s="124"/>
      <c r="DA73" s="124"/>
      <c r="DB73" s="124"/>
      <c r="DC73" s="124"/>
      <c r="DD73" s="124"/>
      <c r="DE73" s="124"/>
      <c r="DF73" s="124"/>
      <c r="DG73" s="124"/>
      <c r="DH73" s="124"/>
      <c r="DI73" s="124"/>
      <c r="DJ73" s="124"/>
      <c r="DK73" s="124"/>
      <c r="DL73" s="124"/>
      <c r="DM73" s="125"/>
      <c r="DO73" s="194"/>
    </row>
    <row r="74" spans="1:119" ht="20.100000000000001" customHeight="1">
      <c r="B74" s="333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44"/>
      <c r="V74" s="305"/>
      <c r="W74" s="305"/>
      <c r="X74" s="305"/>
      <c r="Y74" s="305"/>
      <c r="Z74" s="305"/>
      <c r="AA74" s="305"/>
      <c r="AB74" s="305"/>
      <c r="AC74" s="305"/>
      <c r="AD74" s="305"/>
      <c r="AE74" s="305"/>
      <c r="AF74" s="305"/>
      <c r="AG74" s="305"/>
      <c r="AH74" s="305"/>
      <c r="AI74" s="305"/>
      <c r="AJ74" s="305"/>
      <c r="AK74" s="305"/>
      <c r="AL74" s="305"/>
      <c r="AM74" s="305"/>
      <c r="AN74" s="305"/>
      <c r="AO74" s="305"/>
      <c r="AP74" s="305"/>
      <c r="AQ74" s="305"/>
      <c r="AR74" s="305"/>
      <c r="AS74" s="305"/>
      <c r="AT74" s="305"/>
      <c r="AU74" s="305"/>
      <c r="AV74" s="305"/>
      <c r="AW74" s="305"/>
      <c r="AX74" s="305"/>
      <c r="AY74" s="305"/>
      <c r="AZ74" s="305"/>
      <c r="BA74" s="305"/>
      <c r="BB74" s="305"/>
      <c r="BC74" s="305"/>
      <c r="BD74" s="305"/>
      <c r="BE74" s="305"/>
      <c r="BF74" s="305"/>
      <c r="BG74" s="306"/>
      <c r="BH74" s="333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6"/>
      <c r="CB74" s="120"/>
      <c r="CC74" s="120"/>
      <c r="CD74" s="120"/>
      <c r="CE74" s="120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1"/>
      <c r="CR74" s="121"/>
      <c r="CS74" s="122"/>
      <c r="CT74" s="123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5"/>
      <c r="DO74" s="194"/>
    </row>
    <row r="75" spans="1:119" ht="20.100000000000001" customHeight="1">
      <c r="A75" s="134"/>
      <c r="B75" s="322" t="s">
        <v>147</v>
      </c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323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23"/>
      <c r="AN75" s="323"/>
      <c r="AO75" s="323"/>
      <c r="AP75" s="323"/>
      <c r="AQ75" s="323"/>
      <c r="AR75" s="323"/>
      <c r="AS75" s="323"/>
      <c r="AT75" s="323"/>
      <c r="AU75" s="323"/>
      <c r="AV75" s="323"/>
      <c r="AW75" s="323"/>
      <c r="AX75" s="323"/>
      <c r="AY75" s="323"/>
      <c r="AZ75" s="323"/>
      <c r="BA75" s="323"/>
      <c r="BB75" s="323"/>
      <c r="BC75" s="323"/>
      <c r="BD75" s="323"/>
      <c r="BE75" s="323"/>
      <c r="BF75" s="323"/>
      <c r="BG75" s="323"/>
      <c r="BH75" s="322" t="s">
        <v>147</v>
      </c>
      <c r="BI75" s="318"/>
      <c r="BJ75" s="318"/>
      <c r="BK75" s="318"/>
      <c r="BL75" s="318"/>
      <c r="BM75" s="318"/>
      <c r="BN75" s="318"/>
      <c r="BO75" s="318"/>
      <c r="BP75" s="318"/>
      <c r="BQ75" s="318"/>
      <c r="BR75" s="318"/>
      <c r="BS75" s="318"/>
      <c r="BT75" s="318"/>
      <c r="BU75" s="318"/>
      <c r="BV75" s="318"/>
      <c r="BW75" s="318"/>
      <c r="BX75" s="318"/>
      <c r="BY75" s="318"/>
      <c r="BZ75" s="318"/>
      <c r="CA75" s="318"/>
      <c r="CB75" s="318"/>
      <c r="CC75" s="318"/>
      <c r="CD75" s="318"/>
      <c r="CE75" s="318"/>
      <c r="CF75" s="318"/>
      <c r="CG75" s="318"/>
      <c r="CH75" s="318"/>
      <c r="CI75" s="318"/>
      <c r="CJ75" s="318"/>
      <c r="CK75" s="318"/>
      <c r="CL75" s="318"/>
      <c r="CM75" s="318"/>
      <c r="CN75" s="318"/>
      <c r="CO75" s="318"/>
      <c r="CP75" s="318"/>
      <c r="CQ75" s="324"/>
      <c r="CR75" s="324"/>
      <c r="CS75" s="325"/>
      <c r="CT75" s="326"/>
      <c r="CU75" s="327"/>
      <c r="CV75" s="327"/>
      <c r="CW75" s="327"/>
      <c r="CX75" s="327"/>
      <c r="CY75" s="327"/>
      <c r="CZ75" s="327"/>
      <c r="DA75" s="327"/>
      <c r="DB75" s="327"/>
      <c r="DC75" s="327"/>
      <c r="DD75" s="327"/>
      <c r="DE75" s="327"/>
      <c r="DF75" s="327"/>
      <c r="DG75" s="327"/>
      <c r="DH75" s="327"/>
      <c r="DI75" s="327"/>
      <c r="DJ75" s="327"/>
      <c r="DK75" s="327"/>
      <c r="DL75" s="327"/>
      <c r="DM75" s="328"/>
      <c r="DO75" s="194"/>
    </row>
    <row r="76" spans="1:119" ht="20.100000000000001" customHeight="1">
      <c r="A76" s="134"/>
      <c r="B76" s="315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345"/>
      <c r="BH76" s="315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8"/>
      <c r="CB76" s="137"/>
      <c r="CC76" s="137"/>
      <c r="CD76" s="137"/>
      <c r="CE76" s="137"/>
      <c r="CF76" s="137"/>
      <c r="CG76" s="137"/>
      <c r="CH76" s="137"/>
      <c r="CI76" s="137"/>
      <c r="CJ76" s="137"/>
      <c r="CK76" s="137"/>
      <c r="CL76" s="137"/>
      <c r="CM76" s="137"/>
      <c r="CN76" s="137"/>
      <c r="CO76" s="137"/>
      <c r="CP76" s="137"/>
      <c r="CQ76" s="139"/>
      <c r="CR76" s="139"/>
      <c r="CS76" s="140"/>
      <c r="CT76" s="141"/>
      <c r="CU76" s="142"/>
      <c r="CV76" s="142"/>
      <c r="CW76" s="142"/>
      <c r="CX76" s="142"/>
      <c r="CY76" s="142"/>
      <c r="CZ76" s="142"/>
      <c r="DA76" s="142"/>
      <c r="DB76" s="142"/>
      <c r="DC76" s="142"/>
      <c r="DD76" s="142"/>
      <c r="DE76" s="142"/>
      <c r="DF76" s="142"/>
      <c r="DG76" s="142"/>
      <c r="DH76" s="142"/>
      <c r="DI76" s="142"/>
      <c r="DJ76" s="142"/>
      <c r="DK76" s="142"/>
      <c r="DL76" s="142"/>
      <c r="DM76" s="330"/>
      <c r="DO76" s="194"/>
    </row>
    <row r="77" spans="1:119" ht="20.100000000000001" customHeight="1">
      <c r="A77" s="134"/>
      <c r="B77" s="315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346"/>
      <c r="BH77" s="315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45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1"/>
      <c r="CR77" s="121"/>
      <c r="CS77" s="122"/>
      <c r="CT77" s="123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5"/>
      <c r="DO77" s="194"/>
    </row>
    <row r="78" spans="1:119" ht="20.100000000000001" customHeight="1">
      <c r="A78" s="134"/>
      <c r="B78" s="315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346"/>
      <c r="BH78" s="315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45"/>
      <c r="CB78" s="120"/>
      <c r="CC78" s="120"/>
      <c r="CD78" s="120"/>
      <c r="CE78" s="120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0"/>
      <c r="CQ78" s="121"/>
      <c r="CR78" s="121"/>
      <c r="CS78" s="122"/>
      <c r="CT78" s="123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5"/>
      <c r="DO78" s="194"/>
    </row>
    <row r="79" spans="1:119" ht="20.100000000000001" customHeight="1">
      <c r="B79" s="315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45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1"/>
      <c r="AL79" s="121"/>
      <c r="AM79" s="122"/>
      <c r="AN79" s="123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5"/>
      <c r="BH79" s="315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45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0"/>
      <c r="CQ79" s="121"/>
      <c r="CR79" s="121"/>
      <c r="CS79" s="122"/>
      <c r="CT79" s="123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4"/>
      <c r="DJ79" s="124"/>
      <c r="DK79" s="124"/>
      <c r="DL79" s="124"/>
      <c r="DM79" s="125"/>
      <c r="DO79" s="194"/>
    </row>
    <row r="80" spans="1:119" ht="20.100000000000001" customHeight="1">
      <c r="B80" s="333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336"/>
      <c r="BH80" s="333"/>
      <c r="BI80" s="146"/>
      <c r="BJ80" s="146"/>
      <c r="BK80" s="146"/>
      <c r="BL80" s="146"/>
      <c r="BM80" s="146"/>
      <c r="BN80" s="146"/>
      <c r="BO80" s="146"/>
      <c r="BP80" s="146"/>
      <c r="BQ80" s="146"/>
      <c r="BR80" s="146"/>
      <c r="BS80" s="146"/>
      <c r="BT80" s="146"/>
      <c r="BU80" s="146"/>
      <c r="BV80" s="146"/>
      <c r="BW80" s="146"/>
      <c r="BX80" s="146"/>
      <c r="BY80" s="146"/>
      <c r="BZ80" s="146"/>
      <c r="CA80" s="146"/>
      <c r="CB80" s="146"/>
      <c r="CC80" s="146"/>
      <c r="CD80" s="146"/>
      <c r="CE80" s="146"/>
      <c r="CF80" s="146"/>
      <c r="CG80" s="146"/>
      <c r="CH80" s="146"/>
      <c r="CI80" s="146"/>
      <c r="CJ80" s="146"/>
      <c r="CK80" s="146"/>
      <c r="CL80" s="146"/>
      <c r="CM80" s="146"/>
      <c r="CN80" s="146"/>
      <c r="CO80" s="146"/>
      <c r="CP80" s="146"/>
      <c r="CQ80" s="146"/>
      <c r="CR80" s="146"/>
      <c r="CS80" s="146"/>
      <c r="CT80" s="146"/>
      <c r="CU80" s="146"/>
      <c r="CV80" s="146"/>
      <c r="CW80" s="146"/>
      <c r="CX80" s="146"/>
      <c r="CY80" s="146"/>
      <c r="CZ80" s="146"/>
      <c r="DA80" s="146"/>
      <c r="DB80" s="146"/>
      <c r="DC80" s="146"/>
      <c r="DD80" s="146"/>
      <c r="DE80" s="146"/>
      <c r="DF80" s="146"/>
      <c r="DG80" s="146"/>
      <c r="DH80" s="146"/>
      <c r="DI80" s="146"/>
      <c r="DJ80" s="146"/>
      <c r="DK80" s="146"/>
      <c r="DL80" s="146"/>
      <c r="DM80" s="336"/>
      <c r="DO80" s="194"/>
    </row>
    <row r="81" spans="1:119" ht="20.100000000000001" customHeight="1">
      <c r="DO81" s="194"/>
    </row>
    <row r="82" spans="1:119" ht="20.100000000000001" customHeight="1">
      <c r="DO82" s="194"/>
    </row>
    <row r="83" spans="1:119" ht="20.100000000000001" customHeight="1">
      <c r="DO83" s="194"/>
    </row>
    <row r="84" spans="1:119" ht="20.100000000000001" customHeight="1">
      <c r="DO84" s="194"/>
    </row>
    <row r="85" spans="1:119" ht="20.100000000000001" customHeight="1">
      <c r="DO85" s="194"/>
    </row>
    <row r="86" spans="1:119" ht="20.100000000000001" customHeight="1">
      <c r="DO86" s="194"/>
    </row>
    <row r="87" spans="1:119" ht="20.100000000000001" customHeight="1">
      <c r="DO87" s="194"/>
    </row>
    <row r="88" spans="1:119" ht="20.100000000000001" customHeight="1">
      <c r="DO88" s="194"/>
    </row>
    <row r="89" spans="1:119" ht="20.100000000000001" customHeight="1">
      <c r="DO89" s="194"/>
    </row>
    <row r="90" spans="1:119" ht="20.100000000000001" customHeight="1">
      <c r="DO90" s="194"/>
    </row>
    <row r="91" spans="1:119" ht="20.100000000000001" customHeight="1" thickBot="1">
      <c r="A91" s="258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0"/>
      <c r="AJ91" s="260"/>
      <c r="AK91" s="260"/>
      <c r="AL91" s="260"/>
      <c r="AM91" s="260"/>
      <c r="AN91" s="260"/>
      <c r="AO91" s="260"/>
      <c r="AP91" s="260"/>
      <c r="AQ91" s="260"/>
      <c r="AR91" s="260"/>
      <c r="AS91" s="260"/>
      <c r="AT91" s="260"/>
      <c r="AU91" s="260"/>
      <c r="AV91" s="260"/>
      <c r="AW91" s="260"/>
      <c r="AX91" s="260"/>
      <c r="AY91" s="260"/>
      <c r="AZ91" s="260"/>
      <c r="BA91" s="260"/>
      <c r="BB91" s="260"/>
      <c r="BC91" s="260"/>
      <c r="BD91" s="260"/>
      <c r="BE91" s="260"/>
      <c r="BF91" s="260"/>
      <c r="BG91" s="260"/>
      <c r="BH91" s="260"/>
      <c r="BI91" s="260"/>
      <c r="BJ91" s="260"/>
      <c r="BK91" s="260"/>
      <c r="BL91" s="260"/>
      <c r="BM91" s="260"/>
      <c r="BN91" s="260"/>
      <c r="BO91" s="260"/>
      <c r="BP91" s="260"/>
      <c r="BQ91" s="260"/>
      <c r="BR91" s="260"/>
      <c r="BS91" s="260"/>
      <c r="BT91" s="260"/>
      <c r="BU91" s="260"/>
      <c r="BV91" s="260"/>
      <c r="BW91" s="260"/>
      <c r="BX91" s="260"/>
      <c r="BY91" s="260"/>
      <c r="BZ91" s="260"/>
      <c r="CA91" s="260"/>
      <c r="CB91" s="260"/>
      <c r="CC91" s="260"/>
      <c r="CD91" s="260"/>
      <c r="CE91" s="260"/>
      <c r="CF91" s="260"/>
      <c r="CG91" s="260"/>
      <c r="CH91" s="260"/>
      <c r="CI91" s="260"/>
      <c r="CJ91" s="260"/>
      <c r="CK91" s="260"/>
      <c r="CL91" s="260"/>
      <c r="CM91" s="260"/>
      <c r="CN91" s="260"/>
      <c r="CO91" s="260"/>
      <c r="CP91" s="260"/>
      <c r="CQ91" s="260"/>
      <c r="CR91" s="260"/>
      <c r="CS91" s="260"/>
      <c r="CT91" s="260"/>
      <c r="CU91" s="260"/>
      <c r="CV91" s="260"/>
      <c r="CW91" s="260"/>
      <c r="CX91" s="260"/>
      <c r="CY91" s="260"/>
      <c r="CZ91" s="260"/>
      <c r="DA91" s="260"/>
      <c r="DB91" s="260"/>
      <c r="DC91" s="260"/>
      <c r="DD91" s="260"/>
      <c r="DE91" s="260"/>
      <c r="DF91" s="260"/>
      <c r="DG91" s="260"/>
      <c r="DH91" s="260"/>
      <c r="DI91" s="260"/>
      <c r="DJ91" s="260"/>
      <c r="DK91" s="260"/>
      <c r="DL91" s="260"/>
      <c r="DM91" s="260"/>
      <c r="DN91" s="260"/>
      <c r="DO91" s="261"/>
    </row>
  </sheetData>
  <mergeCells count="23">
    <mergeCell ref="BU1:CI1"/>
    <mergeCell ref="DA2:DF2"/>
    <mergeCell ref="DG2:DI2"/>
    <mergeCell ref="DJ2:DO2"/>
    <mergeCell ref="CX3:CZ3"/>
    <mergeCell ref="DA3:DF3"/>
    <mergeCell ref="BU2:CI3"/>
    <mergeCell ref="DG3:DI3"/>
    <mergeCell ref="DJ3:DO3"/>
    <mergeCell ref="CJ1:CW1"/>
    <mergeCell ref="CX1:DF1"/>
    <mergeCell ref="DG1:DO1"/>
    <mergeCell ref="CJ2:CW3"/>
    <mergeCell ref="CX2:CZ2"/>
    <mergeCell ref="A1:L3"/>
    <mergeCell ref="M1:AD1"/>
    <mergeCell ref="AE1:AQ1"/>
    <mergeCell ref="AR1:BA1"/>
    <mergeCell ref="BB1:BT1"/>
    <mergeCell ref="M2:AD3"/>
    <mergeCell ref="AE2:AQ3"/>
    <mergeCell ref="AR2:BA3"/>
    <mergeCell ref="BB2:BT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表紙</vt:lpstr>
      <vt:lpstr>改廃履歴</vt:lpstr>
      <vt:lpstr>API一覧</vt:lpstr>
      <vt:lpstr>API P001</vt:lpstr>
      <vt:lpstr>API P002</vt:lpstr>
      <vt:lpstr>API P003</vt:lpstr>
      <vt:lpstr>API P003_old</vt:lpstr>
      <vt:lpstr>API P004</vt:lpstr>
      <vt:lpstr>API P005</vt:lpstr>
      <vt:lpstr>API P006</vt:lpstr>
      <vt:lpstr>A001</vt:lpstr>
      <vt:lpstr>JSON定義&lt;menu&gt;</vt:lpstr>
      <vt:lpstr>JSON定義&lt;menu-button&gt; </vt:lpstr>
      <vt:lpstr>API一覧!Print_Area</vt:lpstr>
      <vt:lpstr>改廃履歴!Print_Area</vt:lpstr>
      <vt:lpstr>表紙!Print_Area</vt:lpstr>
      <vt:lpstr>API一覧!Print_Titles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 Duy Thai</dc:creator>
  <cp:lastModifiedBy>Dam Duy Thai</cp:lastModifiedBy>
  <dcterms:created xsi:type="dcterms:W3CDTF">2015-06-05T18:17:20Z</dcterms:created>
  <dcterms:modified xsi:type="dcterms:W3CDTF">2024-01-26T02:32:05Z</dcterms:modified>
</cp:coreProperties>
</file>