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6D576458-2F74-4C50-986F-134D4C9CFC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'AP1506'!$A$1:$BK$78</definedName>
    <definedName name="_xlnm.Print_Area" localSheetId="5">テンプレート!$A$1:$BK$54</definedName>
    <definedName name="_xlnm.Print_Area" localSheetId="4">処理フロー!$A$1:$BK$110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8" i="8"/>
  <c r="C49" i="8" s="1"/>
  <c r="C50" i="8" s="1"/>
  <c r="C51" i="8" s="1"/>
  <c r="C52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<sst xmlns="http://schemas.openxmlformats.org/spreadsheetml/2006/main" count="299" uniqueCount="161">
  <si>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</si>
  <si>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</si>
  <si>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</si>
  <si>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</si>
  <si>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</si>
  <si>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</si>
  <si>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</si>
  <si>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</si>
  <si>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</si>
  <si>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</si>
  <si>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</si>
  <si>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</si>
  <si>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</si>
  <si>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</si>
  <si>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</si>
  <si>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</si>
  <si>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</si>
  <si>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</si>
  <si>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</si>
  <si>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</si>
  <si>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</si>
  <si>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</si>
  <si>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</si>
  <si>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</si>
  <si>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</si>
  <si>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</si>
  <si>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</si>
  <si>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</si>
  <si>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</si>
  <si>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</si>
  <si>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</si>
  <si>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</si>
  <si>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</si>
  <si>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</si>
  <si>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</si>
  <si>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</si>
  <si>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</si>
  <si>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</si>
  <si>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</si>
  <si>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</si>
  <si>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</si>
  <si>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</si>
  <si>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</si>
  <si>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</si>
  <si>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ユーザーが選択した店舗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</si>
  <si>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</si>
  <si>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</si>
  <si>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Query parameter: 部門</t>
    </r>
  </si>
  <si>
    <r>
      <rPr>
        <sz val="11"/>
        <color rgb="FF000000"/>
        <rFont val="Meiryo UI"/>
        <family val="2"/>
      </rPr>
      <t>Query parameter: 商品コード</t>
    </r>
  </si>
  <si>
    <t>{</t>
  </si>
  <si>
    <r>
      <rPr>
        <sz val="11"/>
        <color rgb="FF000000"/>
        <rFont val="Meiryo UI"/>
        <family val="2"/>
      </rPr>
      <t>"company_code":"100",</t>
    </r>
  </si>
  <si>
    <r>
      <rPr>
        <sz val="11"/>
        <color rgb="FF000000"/>
        <rFont val="Meiryo UI"/>
        <family val="2"/>
      </rPr>
      <t>"item_code":"0000000000017",</t>
    </r>
  </si>
  <si>
    <t>}</t>
  </si>
  <si>
    <r>
      <rPr>
        <sz val="11"/>
        <color rgb="FF000000"/>
        <rFont val="Meiryo UI"/>
        <family val="2"/>
      </rPr>
      <t>"SKU_code":"0000000000017",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</si>
  <si>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</si>
  <si>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api/v1/product/suggest</t>
    </r>
  </si>
  <si>
    <r>
      <rPr>
        <sz val="11"/>
        <color rgb="FF000000"/>
        <rFont val="Meiryo UI"/>
        <family val="2"/>
      </rPr>
      <t>urlの更新</t>
    </r>
  </si>
  <si>
    <r>
      <rPr>
        <sz val="11"/>
        <color rgb="FF000000"/>
        <rFont val="Meiryo UI"/>
        <family val="2"/>
      </rPr>
      <t>部門コードと商品コードを使用した商品検索の説明を追加する。</t>
    </r>
  </si>
  <si>
    <r>
      <rPr>
        <sz val="11"/>
        <color rgb="FF000000"/>
        <rFont val="Meiryo UI"/>
        <family val="2"/>
      </rPr>
      <t>TuyeNH</t>
    </r>
  </si>
  <si>
    <r>
      <rPr>
        <sz val="11"/>
        <color rgb="FF000000"/>
        <rFont val="Meiryo UI"/>
        <family val="2"/>
      </rPr>
      <t>現在売価を取得する。</t>
    </r>
  </si>
  <si>
    <r>
      <rPr>
        <sz val="11"/>
        <color rgb="FF000000"/>
        <rFont val="Meiryo UI"/>
        <family val="2"/>
      </rPr>
      <t>AP1506、処理フロー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</si>
  <si>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</si>
  <si>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</si>
  <si>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</si>
  <si>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現在売価、計算詳細は[処理フロー]シートをご参照ください。</t>
    </r>
  </si>
  <si>
    <r>
      <rPr>
        <sz val="11"/>
        <color rgb="FF000000"/>
        <rFont val="Meiryo UI"/>
        <family val="2"/>
      </rPr>
      <t>"desctiption":"",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</si>
  <si>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</si>
  <si>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リクエストキーの変更：PLU -&gt; plu</t>
    </r>
  </si>
  <si>
    <r>
      <rPr>
        <sz val="11"/>
        <color rgb="FF000000"/>
        <rFont val="Meiryo UI"/>
        <family val="2"/>
      </rPr>
      <t>会員売価取得</t>
    </r>
  </si>
  <si>
    <r>
      <rPr>
        <sz val="11"/>
        <color rgb="FF000000"/>
        <rFont val="Meiryo UI"/>
        <family val="2"/>
      </rPr>
      <t>現在売価のロジックを共通ファイルに移行する。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</si>
  <si>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</si>
  <si>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</si>
  <si>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special_valid</t>
    </r>
  </si>
  <si>
    <r>
      <rPr>
        <sz val="11"/>
        <color rgb="FF000000"/>
        <rFont val="Meiryo UI"/>
        <family val="2"/>
      </rPr>
      <t>マッピングDBの更新</t>
    </r>
  </si>
  <si>
    <r>
      <rPr>
        <sz val="11"/>
        <color rgb="FF000000"/>
        <rFont val="Meiryo UI"/>
        <family val="2"/>
      </rPr>
      <t>unit_price、force_priceフィールドを追加</t>
    </r>
  </si>
  <si>
    <r>
      <rPr>
        <sz val="11"/>
        <color rgb="FF000000"/>
        <rFont val="Meiryo UI"/>
        <family val="2"/>
      </rPr>
      <t>s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</si>
  <si>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</si>
  <si>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string</t>
    </r>
  </si>
  <si>
    <t>DuNT</t>
  </si>
  <si>
    <t>AnhTTP</t>
  </si>
  <si>
    <t>AP1506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</si>
  <si>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</si>
  <si>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</si>
  <si>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</si>
  <si>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</si>
  <si>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</si>
  <si>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</si>
  <si>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</si>
  <si>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</si>
  <si>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</si>
  <si>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</si>
  <si>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</si>
  <si>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</si>
  <si>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</si>
  <si>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</si>
  <si>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</si>
  <si>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</si>
  <si>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親PLU検索ロジックを追加</t>
  </si>
  <si>
    <t>定番売価取得更新</t>
  </si>
  <si>
    <t>my_company_codeで商品を取得する条件を更新する。</t>
  </si>
  <si>
    <t>定番売価取得を更新</t>
  </si>
  <si>
    <t>param booking_dateを追加</t>
  </si>
  <si>
    <t>DB snake_caseマッピング更新</t>
  </si>
  <si>
    <t>商品取得ロジックを更新 
record_void_flag != 1の条件を追加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</si>
  <si>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</si>
  <si>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</si>
  <si>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(13桁。13桁未満の場合、先頭に「0」を自動的に追加する)に基づいて商品を検索し、商品の基本情報を取得する。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</si>
  <si>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</si>
  <si>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</si>
  <si>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</si>
  <si>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</si>
  <si>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</si>
  <si>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</si>
  <si>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</si>
  <si>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</si>
  <si>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Int</t>
  </si>
  <si>
    <t>対象店舗への操作権限のバリデーションチェックを行う。</t>
  </si>
  <si>
    <r>
      <rPr>
        <sz val="11"/>
        <color rgb="FF000000"/>
        <rFont val="Meiryo UI"/>
        <family val="2"/>
      </rPr>
      <t xml:space="preserve">Query parameter: PLUコード </t>
    </r>
  </si>
  <si>
    <r>
      <rPr>
        <sz val="11"/>
        <color rgb="FF000000"/>
        <rFont val="Meiryo UI"/>
        <family val="2"/>
      </rPr>
      <t>13桁。13桁未満の場合、エラーメッセージ = MSG_VAL_002</t>
    </r>
  </si>
  <si>
    <r>
      <rPr>
        <sz val="11"/>
        <color rgb="FF000000"/>
        <rFont val="Meiryo UI"/>
        <family val="2"/>
      </rPr>
      <t>2桁。2桁未満の場合、 エラーメッセージ = MSG_VAL_002</t>
    </r>
  </si>
  <si>
    <r>
      <rPr>
        <sz val="11"/>
        <color rgb="FF000000"/>
        <rFont val="Meiryo UI"/>
        <family val="2"/>
      </rPr>
      <t>6桁。6桁未満の場合、 エラーメッセージ = MSG_VAL_002</t>
    </r>
  </si>
  <si>
    <r>
      <rPr>
        <sz val="11"/>
        <color rgb="FF000000"/>
        <rFont val="Meiryo UI"/>
        <family val="2"/>
      </rPr>
      <t>5桁。5桁未満の場合、 エラーメッセージ = MSG_VAL_002</t>
    </r>
  </si>
  <si>
    <t>booking_date</t>
  </si>
  <si>
    <t>string</t>
  </si>
  <si>
    <t>適用日</t>
  </si>
  <si>
    <t>バリデーションチェック：日付形式yyyy/MM/dd、正しい日付。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</si>
  <si>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</si>
  <si>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</si>
  <si>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</si>
  <si>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</si>
  <si>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items.company_code</t>
  </si>
  <si>
    <r>
      <rPr>
        <sz val="11"/>
        <color rgb="FF000000"/>
        <rFont val="Meiryo UI"/>
        <family val="2"/>
      </rPr>
      <t>企業コード カスミ =100、いなげや=800</t>
    </r>
  </si>
  <si>
    <t>int</t>
  </si>
  <si>
    <t>items.store_code</t>
  </si>
  <si>
    <t>items.item_code/ items.parent_item_code</t>
  </si>
  <si>
    <r>
      <rPr>
        <sz val="11"/>
        <color rgb="FF000000"/>
        <rFont val="Meiryo UI"/>
        <family val="2"/>
      </rPr>
      <t>表示するJANコード 13桁未満の場合、先頭に「0」を自動的に追加する。</t>
    </r>
  </si>
  <si>
    <t>items.my_company_code</t>
  </si>
  <si>
    <t>items.description</t>
  </si>
  <si>
    <r>
      <rPr>
        <sz val="11"/>
        <color rgb="FF000000"/>
        <rFont val="Meiryo UI"/>
        <family val="2"/>
      </rPr>
      <t xml:space="preserve">decimal </t>
    </r>
  </si>
  <si>
    <t>exist_in</t>
  </si>
  <si>
    <t>items.ExistIn</t>
  </si>
  <si>
    <t>0: 全て（All）、1: カスミ、2: ウエルシア</t>
  </si>
  <si>
    <t>belong_to</t>
  </si>
  <si>
    <t>items.BelongTo</t>
  </si>
  <si>
    <t>1: カスミ、2: ウエルシア</t>
  </si>
  <si>
    <t>apply_date</t>
  </si>
  <si>
    <t>items.apply_date</t>
  </si>
  <si>
    <t>items.force_price</t>
  </si>
  <si>
    <t>force_prices.force_price
special_prices.special_price
items.unit_price
standard_prices.standard_price</t>
  </si>
  <si>
    <r>
      <rPr>
        <sz val="11"/>
        <color rgb="FF000000"/>
        <rFont val="Meiryo UI"/>
        <family val="2"/>
      </rPr>
      <t xml:space="preserve">  0: 新規: 新規
  1: 変更: 変更</t>
    </r>
  </si>
  <si>
    <t>※サンプル</t>
  </si>
  <si>
    <t>"store_code":"9176",</t>
  </si>
  <si>
    <r>
      <rPr>
        <sz val="11"/>
        <color rgb="FF000000"/>
        <rFont val="Meiryo UI"/>
        <family val="2"/>
      </rPr>
      <t>"my_company_code": "0000007796735",</t>
    </r>
  </si>
  <si>
    <r>
      <rPr>
        <sz val="11"/>
        <color rgb="FF000000"/>
        <rFont val="Meiryo UI"/>
        <family val="2"/>
      </rPr>
      <t>"unit_price": 100.00,</t>
    </r>
  </si>
  <si>
    <t>"exist_in": 1,</t>
  </si>
  <si>
    <t>"belong_to": 1,</t>
  </si>
  <si>
    <r>
      <rPr>
        <sz val="11"/>
        <color rgb="FF000000"/>
        <rFont val="Meiryo UI"/>
        <family val="2"/>
      </rPr>
      <t>"current_price": 96.00,</t>
    </r>
  </si>
  <si>
    <r>
      <rPr>
        <sz val="11"/>
        <color rgb="FF000000"/>
        <rFont val="Meiryo UI"/>
        <family val="2"/>
      </rPr>
      <t>"special_valid": 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</si>
  <si>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</si>
  <si>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商品単価
standard_prices.standard_priceのレコードが存在し、かつstandard_prices.booking_date&lt;=現在日付の場合、standard_prices.standard_priceを取得する。上記以外の場合、items.unit_priceを取得する。</t>
  </si>
  <si>
    <t>standard_prices.standard_price又は items.unit_price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</si>
</sst>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B0F0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trike/>
      <sz val="11"/>
      <name val="Meiryo UI"/>
      <family val="2"/>
    </font>
    <font>
      <strike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20" fillId="0" borderId="0">
      <alignment vertical="center"/>
    </xf>
    <xf numFmtId="0" fontId="5" fillId="0" borderId="0">
      <alignment vertical="center"/>
    </xf>
  </cellStyleXfs>
  <cellXfs count="364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 applyAlignment="1">
      <alignment vertical="top" wrapText="1"/>
    </xf>
    <xf numFmtId="0" fontId="11" fillId="0" borderId="30" xfId="0" applyFont="1" applyBorder="1" applyAlignment="1">
      <alignment vertical="top"/>
    </xf>
    <xf numFmtId="0" fontId="11" fillId="0" borderId="31" xfId="0" applyFont="1" applyBorder="1" applyAlignment="1">
      <alignment vertical="top"/>
    </xf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6" xfId="0" applyFont="1" applyBorder="1"/>
    <xf numFmtId="0" fontId="16" fillId="0" borderId="2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6" xfId="0" applyFont="1" applyBorder="1"/>
    <xf numFmtId="0" fontId="15" fillId="0" borderId="2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23" xfId="0" quotePrefix="1" applyFont="1" applyBorder="1" applyAlignment="1">
      <alignment horizontal="left" vertical="center" wrapText="1"/>
    </xf>
    <xf numFmtId="0" fontId="11" fillId="0" borderId="24" xfId="0" quotePrefix="1" applyFont="1" applyBorder="1" applyAlignment="1">
      <alignment horizontal="left" vertical="center" wrapText="1"/>
    </xf>
    <xf numFmtId="0" fontId="11" fillId="0" borderId="25" xfId="0" quotePrefix="1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1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2" fontId="25" fillId="0" borderId="16" xfId="0" applyNumberFormat="1" applyFont="1" applyBorder="1" applyAlignment="1">
      <alignment horizontal="center" vertical="center"/>
    </xf>
    <xf numFmtId="2" fontId="25" fillId="0" borderId="17" xfId="0" applyNumberFormat="1" applyFont="1" applyBorder="1" applyAlignment="1">
      <alignment horizontal="center" vertical="center"/>
    </xf>
    <xf numFmtId="2" fontId="25" fillId="0" borderId="18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5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" xfId="0" applyFont="1" applyBorder="1"/>
    <xf numFmtId="0" fontId="25" fillId="0" borderId="4" xfId="0" applyFont="1" applyBorder="1"/>
    <xf numFmtId="0" fontId="25" fillId="0" borderId="7" xfId="0" applyFont="1" applyBorder="1"/>
    <xf numFmtId="0" fontId="25" fillId="0" borderId="8" xfId="0" applyFont="1" applyBorder="1"/>
    <xf numFmtId="0" fontId="25" fillId="0" borderId="11" xfId="0" applyFont="1" applyBorder="1"/>
    <xf numFmtId="0" fontId="25" fillId="0" borderId="6" xfId="0" applyFont="1" applyBorder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2" xfId="0" applyFont="1" applyBorder="1"/>
    <xf numFmtId="0" fontId="25" fillId="0" borderId="14" xfId="0" applyFont="1" applyBorder="1"/>
    <xf numFmtId="0" fontId="25" fillId="0" borderId="15" xfId="0" applyFont="1" applyBorder="1"/>
    <xf numFmtId="0" fontId="25" fillId="0" borderId="9" xfId="0" applyFont="1" applyBorder="1"/>
    <xf numFmtId="0" fontId="25" fillId="0" borderId="10" xfId="0" applyFont="1" applyBorder="1"/>
    <xf numFmtId="0" fontId="25" fillId="0" borderId="13" xfId="0" applyFont="1" applyBorder="1"/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1" fillId="4" borderId="0" xfId="0" applyFont="1" applyFill="1"/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6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2" xfId="0" applyFont="1" applyBorder="1"/>
    <xf numFmtId="14" fontId="28" fillId="0" borderId="16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6" xfId="0" applyFont="1" applyBorder="1"/>
    <xf numFmtId="0" fontId="28" fillId="0" borderId="27" xfId="0" applyFont="1" applyBorder="1"/>
    <xf numFmtId="0" fontId="28" fillId="0" borderId="28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1" fillId="4" borderId="23" xfId="6" applyFont="1" applyFill="1" applyBorder="1" applyAlignment="1">
      <alignment horizontal="center" vertical="center"/>
    </xf>
    <xf numFmtId="0" fontId="21" fillId="4" borderId="24" xfId="6" applyFont="1" applyFill="1" applyBorder="1" applyAlignment="1">
      <alignment horizontal="center" vertical="center"/>
    </xf>
    <xf numFmtId="0" fontId="21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21" xfId="0" applyFont="1" applyFill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3" xfId="0" quotePrefix="1" applyFont="1" applyBorder="1" applyAlignment="1">
      <alignment horizontal="left" vertical="center"/>
    </xf>
    <xf numFmtId="0" fontId="25" fillId="0" borderId="24" xfId="0" quotePrefix="1" applyFont="1" applyBorder="1" applyAlignment="1">
      <alignment horizontal="left" vertical="center"/>
    </xf>
    <xf numFmtId="0" fontId="25" fillId="0" borderId="25" xfId="0" quotePrefix="1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quotePrefix="1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6" xfId="0" quotePrefix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left" vertical="center"/>
    </xf>
    <xf numFmtId="0" fontId="25" fillId="0" borderId="17" xfId="0" quotePrefix="1" applyFont="1" applyBorder="1" applyAlignment="1">
      <alignment horizontal="left" vertical="center"/>
    </xf>
    <xf numFmtId="0" fontId="25" fillId="0" borderId="18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17" xfId="0" quotePrefix="1" applyFont="1" applyBorder="1" applyAlignment="1">
      <alignment horizontal="left" vertical="top" wrapText="1"/>
    </xf>
    <xf numFmtId="0" fontId="25" fillId="0" borderId="18" xfId="0" quotePrefix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1" xfId="0" quotePrefix="1" applyFont="1" applyBorder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0" fontId="25" fillId="0" borderId="4" xfId="0" quotePrefix="1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4" xfId="0" quotePrefix="1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5" fillId="0" borderId="0" xfId="0" quotePrefix="1" applyFont="1" applyAlignment="1">
      <alignment horizontal="left" vertical="top" wrapText="1"/>
    </xf>
    <xf numFmtId="0" fontId="25" fillId="0" borderId="4" xfId="0" quotePrefix="1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2" xfId="0" quotePrefix="1" applyFont="1" applyBorder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5" xfId="0" quotePrefix="1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left" vertical="center"/>
    </xf>
    <xf numFmtId="0" fontId="25" fillId="0" borderId="3" xfId="0" quotePrefix="1" applyFont="1" applyBorder="1" applyAlignment="1">
      <alignment horizontal="left" vertical="center"/>
    </xf>
    <xf numFmtId="0" fontId="25" fillId="0" borderId="5" xfId="0" quotePrefix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top"/>
    </xf>
    <xf numFmtId="0" fontId="25" fillId="0" borderId="5" xfId="0" applyFont="1" applyBorder="1" applyAlignment="1">
      <alignment horizontal="left" vertical="top"/>
    </xf>
    <xf numFmtId="0" fontId="25" fillId="0" borderId="3" xfId="0" quotePrefix="1" applyFont="1" applyBorder="1" applyAlignment="1">
      <alignment horizontal="left" vertical="top" wrapText="1"/>
    </xf>
    <xf numFmtId="0" fontId="25" fillId="0" borderId="5" xfId="0" quotePrefix="1" applyFont="1" applyBorder="1" applyAlignment="1">
      <alignment horizontal="left" vertical="top" wrapText="1"/>
    </xf>
    <xf numFmtId="0" fontId="25" fillId="0" borderId="0" xfId="0" quotePrefix="1" applyFont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5" borderId="24" xfId="0" applyFont="1" applyFill="1" applyBorder="1" applyAlignment="1">
      <alignment horizontal="left" vertical="center"/>
    </xf>
    <xf numFmtId="0" fontId="25" fillId="5" borderId="25" xfId="0" applyFont="1" applyFill="1" applyBorder="1" applyAlignment="1">
      <alignment horizontal="left"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3" xfId="0" applyFont="1" applyBorder="1" applyAlignment="1">
      <alignment vertical="center"/>
    </xf>
    <xf numFmtId="0" fontId="25" fillId="0" borderId="16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indent="1"/>
    </xf>
    <xf numFmtId="0" fontId="25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52</xdr:row>
      <xdr:rowOff>190499</xdr:rowOff>
    </xdr:from>
    <xdr:to>
      <xdr:col>62</xdr:col>
      <xdr:colOff>0</xdr:colOff>
      <xdr:row>60</xdr:row>
      <xdr:rowOff>33616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8236324" y="10208558"/>
          <a:ext cx="6353735" cy="1367117"/>
        </a:xfrm>
        <a:prstGeom prst="borderCallout1">
          <a:avLst>
            <a:gd name="adj1" fmla="val 33259"/>
            <a:gd name="adj2" fmla="val 294"/>
            <a:gd name="adj3" fmla="val 33450"/>
            <a:gd name="adj4" fmla="val -1037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・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items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parent_item_code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が存在している場合、「4.親商品情報取得」ステップを実行する。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・レコードが存在していない場合、以下のようにセットする。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item_code = 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items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item_code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200, データ = 「1.商品情報取得」ステップとステップ3から取得された商品情報</a:t>
          </a:r>
        </a:p>
      </xdr:txBody>
    </xdr:sp>
    <xdr:clientData/>
  </xdr:twoCellAnchor>
  <xdr:twoCellAnchor>
    <xdr:from>
      <xdr:col>34</xdr:col>
      <xdr:colOff>224118</xdr:colOff>
      <xdr:row>44</xdr:row>
      <xdr:rowOff>0</xdr:rowOff>
    </xdr:from>
    <xdr:to>
      <xdr:col>61</xdr:col>
      <xdr:colOff>179294</xdr:colOff>
      <xdr:row>50</xdr:row>
      <xdr:rowOff>179294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25118" y="8494059"/>
          <a:ext cx="6308911" cy="1322294"/>
        </a:xfrm>
        <a:prstGeom prst="borderCallout1">
          <a:avLst>
            <a:gd name="adj1" fmla="val 48946"/>
            <a:gd name="adj2" fmla="val -59"/>
            <a:gd name="adj3" fmla="val 51098"/>
            <a:gd name="adj4" fmla="val -1037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・レコードが存在している場合、[3.store配列の最後要素であるかを確認する]ステップを実行する。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items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.parent_item_code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status_code = 404, message = MSG_ERR_001</a:t>
          </a:r>
        </a:p>
      </xdr:txBody>
    </xdr:sp>
    <xdr:clientData/>
  </xdr:twoCellAnchor>
  <xdr:twoCellAnchor>
    <xdr:from>
      <xdr:col>35</xdr:col>
      <xdr:colOff>0</xdr:colOff>
      <xdr:row>5</xdr:row>
      <xdr:rowOff>100853</xdr:rowOff>
    </xdr:from>
    <xdr:to>
      <xdr:col>62</xdr:col>
      <xdr:colOff>0</xdr:colOff>
      <xdr:row>43</xdr:row>
      <xdr:rowOff>11206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171575"/>
          <a:ext cx="7200900" cy="7143750"/>
        </a:xfrm>
        <a:prstGeom prst="borderCallout1">
          <a:avLst>
            <a:gd name="adj1" fmla="val 48808"/>
            <a:gd name="adj2" fmla="val -59"/>
            <a:gd name="adj3" fmla="val 29052"/>
            <a:gd name="adj4" fmla="val -969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1. 以下を満たす</a:t>
          </a: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items</a:t>
          </a:r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テーブルの商品情報レコードを取得する(AP1506レスポンス記述による)</a:t>
          </a:r>
          <a:endParaRPr lang="en-US" altLang="ja-JP" sz="9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 algn="l"/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force_prices ON force_prices.company_code = items.company_code AND force_prices.store_code = items.store_code AND force_prices.item_code = items.item_code AND force_prices.record_void_flag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standard_prices sph ON sph.company_code = items.company_code  AND sph.store_code = items.store_code AND sph.record_void_flag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▪booking_date != NULLの場合、以下の条件を追加する。</a:t>
          </a:r>
          <a:endParaRPr lang="en-US" altLang="ja-JP" sz="900" b="0" i="0" u="none" baseline="0">
            <a:solidFill>
              <a:srgbClr val="FF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9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AND sph.booking_date &lt;= params{booking_date}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</a:t>
          </a: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booking</a:t>
          </a: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_date = NULLの場合、以下の条件を追加する。</a:t>
          </a:r>
          <a:endParaRPr lang="en-US" altLang="ja-JP" sz="900" b="0" i="0" u="none" baseline="0">
            <a:solidFill>
              <a:srgbClr val="FF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900" b="0" i="0" u="none" baseline="0">
              <a:solidFill>
                <a:srgbClr val="FF0000"/>
              </a:solidFill>
              <a:latin typeface="Meiryo UI"/>
              <a:ea typeface="Meiryo UI"/>
            </a:rPr>
            <a:t>　</a:t>
          </a: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AND sph.booking_date &lt;= 現在日付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special_prices sp ON sp.item_code = items.item_code AND sp.company_code = items.company_code AND sp.store_code = items.store_code  AND sp.record_void_flag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▪promotion_code != nullの場合: AND sp.promotion_code = params{promotion_code}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promotion_code = nullの場合：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AND (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(sp.typeCode = '0' AND (NOW() BETWEEN DATETIME(CONCAT(sp.start_date, ' ', sp.start_time)) AND DATETIME(CONCAT(sp.end_date, ' ', sp.end_time))))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OR (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sp.typeCode = '1' AND (CURRENT_DATE() BETWEEN sp.start_date AND sp.end_date)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AND (TIME(NOW()) BETWEEN sp.start_time AND sp.end_time)))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  WHERE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items.company_code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items.store_code = params{selected_store}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items.apply_date &lt;= 現在日付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PLU != nullの場合、items.item_code = params{PLU}を確認する。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▪PLU = null、かつparams{group_code} != null、かつparams {product_code} != nullの場合、以下の条件を満たすレコードを取得する。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  ・items.my_company_code LIKE CONCAT('%', params{group_code}, params {product_code})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ORDER BY items.apply_date DESC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LIMIT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・特売売価が存在している場合、special_valid = 1を返す。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・特売売価が存在していない場合、special_valid = 0を返す。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 2. 商品の売価情報を計算する（force_price、current_priceを含む）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 ▪40_API設計_商品の現在売価取得.xlsxをご参照ください。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sz="9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105</xdr:row>
      <xdr:rowOff>0</xdr:rowOff>
    </xdr:from>
    <xdr:to>
      <xdr:col>8</xdr:col>
      <xdr:colOff>0</xdr:colOff>
      <xdr:row>107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116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45</xdr:row>
      <xdr:rowOff>11206</xdr:rowOff>
    </xdr:from>
    <xdr:to>
      <xdr:col>9</xdr:col>
      <xdr:colOff>0</xdr:colOff>
      <xdr:row>50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8696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47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906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51</xdr:row>
      <xdr:rowOff>0</xdr:rowOff>
    </xdr:from>
    <xdr:to>
      <xdr:col>6</xdr:col>
      <xdr:colOff>1</xdr:colOff>
      <xdr:row>54</xdr:row>
      <xdr:rowOff>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61" idx="0"/>
        </xdr:cNvCxnSpPr>
      </xdr:nvCxnSpPr>
      <xdr:spPr>
        <a:xfrm>
          <a:off x="1600200" y="9829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45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534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1</xdr:rowOff>
    </xdr:from>
    <xdr:to>
      <xdr:col>9</xdr:col>
      <xdr:colOff>0</xdr:colOff>
      <xdr:row>60</xdr:row>
      <xdr:rowOff>67235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10401300"/>
          <a:ext cx="1600200" cy="12096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3. </a:t>
          </a:r>
          <a:r>
            <a:rPr lang="en-US" sz="800" b="0" i="0" u="none" baseline="0">
              <a:solidFill>
                <a:srgbClr val="FF0000"/>
              </a:solidFill>
              <a:latin typeface="Meiryo UI"/>
              <a:ea typeface="Meiryo UI"/>
            </a:rPr>
            <a:t>parent_item_code</a:t>
          </a:r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が存在しているか</a:t>
          </a:r>
          <a:endParaRPr lang="en-US" sz="80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11206</xdr:colOff>
      <xdr:row>60</xdr:row>
      <xdr:rowOff>123265</xdr:rowOff>
    </xdr:from>
    <xdr:to>
      <xdr:col>7</xdr:col>
      <xdr:colOff>11206</xdr:colOff>
      <xdr:row>61</xdr:row>
      <xdr:rowOff>123265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43025" y="116681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11206</xdr:colOff>
      <xdr:row>56</xdr:row>
      <xdr:rowOff>0</xdr:rowOff>
    </xdr:from>
    <xdr:to>
      <xdr:col>11</xdr:col>
      <xdr:colOff>11206</xdr:colOff>
      <xdr:row>57</xdr:row>
      <xdr:rowOff>0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409825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47</xdr:row>
      <xdr:rowOff>95250</xdr:rowOff>
    </xdr:from>
    <xdr:to>
      <xdr:col>29</xdr:col>
      <xdr:colOff>1</xdr:colOff>
      <xdr:row>96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20" idx="0"/>
        </xdr:cNvCxnSpPr>
      </xdr:nvCxnSpPr>
      <xdr:spPr>
        <a:xfrm>
          <a:off x="2933700" y="9163050"/>
          <a:ext cx="4800600" cy="9239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0</xdr:colOff>
      <xdr:row>105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19545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61</xdr:row>
      <xdr:rowOff>123265</xdr:rowOff>
    </xdr:from>
    <xdr:to>
      <xdr:col>6</xdr:col>
      <xdr:colOff>11207</xdr:colOff>
      <xdr:row>69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62" idx="2"/>
          <a:endCxn id="14" idx="0"/>
        </xdr:cNvCxnSpPr>
      </xdr:nvCxnSpPr>
      <xdr:spPr>
        <a:xfrm flipH="1">
          <a:off x="1600200" y="11858625"/>
          <a:ext cx="9525" cy="14001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97</xdr:row>
      <xdr:rowOff>0</xdr:rowOff>
    </xdr:from>
    <xdr:to>
      <xdr:col>29</xdr:col>
      <xdr:colOff>1</xdr:colOff>
      <xdr:row>105</xdr:row>
      <xdr:rowOff>0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0" idx="2"/>
          <a:endCxn id="5" idx="0"/>
        </xdr:cNvCxnSpPr>
      </xdr:nvCxnSpPr>
      <xdr:spPr>
        <a:xfrm rot="5400000">
          <a:off x="1600200" y="18592800"/>
          <a:ext cx="61341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60</xdr:row>
      <xdr:rowOff>44822</xdr:rowOff>
    </xdr:from>
    <xdr:to>
      <xdr:col>62</xdr:col>
      <xdr:colOff>0</xdr:colOff>
      <xdr:row>94</xdr:row>
      <xdr:rowOff>134470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11591925"/>
          <a:ext cx="7200900" cy="6562725"/>
        </a:xfrm>
        <a:prstGeom prst="borderCallout1">
          <a:avLst>
            <a:gd name="adj1" fmla="val 48808"/>
            <a:gd name="adj2" fmla="val -59"/>
            <a:gd name="adj3" fmla="val 33385"/>
            <a:gd name="adj4" fmla="val -967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4. 以下を満たす</a:t>
          </a: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items</a:t>
          </a: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テーブルの親商品情報レコードを取得する(AP1506レスポンス記述による) </a:t>
          </a:r>
        </a:p>
        <a:p>
          <a:pPr algn="l"/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force_prices ON force_prices.company_code = items.company_code AND force_prices.store_code = items.store_code AND force_prices.item_code = items.item_code AND force_prices.record_void_flag != 1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standard_prices sph ON sph.company_code = items.company_code  AND sph.store_code = items.store_code AND sph.record_void_flag != 1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▪booking_date != NULLの場合、以下の条件を追加する。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 AND sph.booking_date &gt;= params{booking_date}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▪booking_date = NULLの場合、以下の条件を追加する。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 AND sph.booking_date &gt;= 現在日付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LEFT JOIN special_prices sp ON sp.item_code = items.item_code AND sp.company_code = items.company_code AND sp.store_code = items.store_code  AND sp.record_void_flag != 1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promotion_code != nullの場合: AND sp.promotion_code = params{promotion_code}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promotion_code = nullの場合：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AND (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(sp.typeCode = '0' AND (NOW() BETWEEN DATETIME(CONCAT(sp.start_date, ' ', sp.start_time)) AND DATETIME(CONCAT(sp.end_date, ' ', sp.end_time))))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OR (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sp.typeCode = '1' AND (CURRENT_DATE() BETWEEN sp.start_date AND sp.end_date)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	AND (TIME(NOW()) BETWEEN sp.start_time AND sp.end_time)))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  WHERE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items.store_code = params{selected_store}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items.record_void_flag != 1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 ▪ items.apply_date &lt;= 現在日付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 </a:t>
          </a: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▪ items</a:t>
          </a: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.</a:t>
          </a: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item_code = parent_item_code </a:t>
          </a: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(ステップ1の結果)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ORDER BY items.apply_date DESC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・特売売価が存在している場合、special_valid = 1を返す。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・特売売価が存在していない場合、special_valid = 0を返す。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 2. 商品の現在売価情報を計算する。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/>
              <a:ea typeface="Meiryo UI"/>
            </a:rPr>
            <a:t> ▪ 40_API設計_商品の現在売価取得.xlsxをご参照ください。</a:t>
          </a:r>
        </a:p>
      </xdr:txBody>
    </xdr:sp>
    <xdr:clientData/>
  </xdr:twoCellAnchor>
  <xdr:twoCellAnchor>
    <xdr:from>
      <xdr:col>3</xdr:col>
      <xdr:colOff>0</xdr:colOff>
      <xdr:row>69</xdr:row>
      <xdr:rowOff>0</xdr:rowOff>
    </xdr:from>
    <xdr:to>
      <xdr:col>9</xdr:col>
      <xdr:colOff>0</xdr:colOff>
      <xdr:row>73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1325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 親商品情報取得</a:t>
          </a:r>
        </a:p>
      </xdr:txBody>
    </xdr:sp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</xdr:colOff>
      <xdr:row>105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4" idx="2"/>
          <a:endCxn id="5" idx="0"/>
        </xdr:cNvCxnSpPr>
      </xdr:nvCxnSpPr>
      <xdr:spPr>
        <a:xfrm flipH="1">
          <a:off x="1600200" y="14020800"/>
          <a:ext cx="0" cy="609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96</xdr:row>
      <xdr:rowOff>0</xdr:rowOff>
    </xdr:from>
    <xdr:to>
      <xdr:col>30</xdr:col>
      <xdr:colOff>0</xdr:colOff>
      <xdr:row>97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467600" y="18402300"/>
          <a:ext cx="533400" cy="190500"/>
        </a:xfrm>
        <a:prstGeom prst="rect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11206</xdr:colOff>
      <xdr:row>56</xdr:row>
      <xdr:rowOff>95250</xdr:rowOff>
    </xdr:from>
    <xdr:to>
      <xdr:col>29</xdr:col>
      <xdr:colOff>1</xdr:colOff>
      <xdr:row>96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63" idx="3"/>
          <a:endCxn id="20" idx="0"/>
        </xdr:cNvCxnSpPr>
      </xdr:nvCxnSpPr>
      <xdr:spPr>
        <a:xfrm>
          <a:off x="2943225" y="10877550"/>
          <a:ext cx="4791075" cy="7524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96</xdr:row>
      <xdr:rowOff>11205</xdr:rowOff>
    </xdr:from>
    <xdr:to>
      <xdr:col>62</xdr:col>
      <xdr:colOff>11206</xdr:colOff>
      <xdr:row>101</xdr:row>
      <xdr:rowOff>44823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247530" y="18411264"/>
          <a:ext cx="6353735" cy="986118"/>
        </a:xfrm>
        <a:prstGeom prst="borderCallout1">
          <a:avLst>
            <a:gd name="adj1" fmla="val 48946"/>
            <a:gd name="adj2" fmla="val -59"/>
            <a:gd name="adj3" fmla="val -85134"/>
            <a:gd name="adj4" fmla="val -1035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5.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・レコードが存在している場合、status_code = 200（ステップ4で記載されたレスポンス）を返す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・レコードが存在していない場合、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: </a:t>
          </a: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以下のレスポンスを返す。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/>
              <a:ea typeface="Meiryo UI"/>
            </a:rPr>
            <a:t> status_code = 404, message = MSG_ERR_001</a:t>
          </a:r>
        </a:p>
      </xdr:txBody>
    </xdr:sp>
    <xdr:clientData/>
  </xdr:twoCellAnchor>
  <xdr:twoCellAnchor>
    <xdr:from>
      <xdr:col>3</xdr:col>
      <xdr:colOff>0</xdr:colOff>
      <xdr:row>87</xdr:row>
      <xdr:rowOff>11206</xdr:rowOff>
    </xdr:from>
    <xdr:to>
      <xdr:col>9</xdr:col>
      <xdr:colOff>0</xdr:colOff>
      <xdr:row>92</xdr:row>
      <xdr:rowOff>0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16697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5.  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7</xdr:col>
      <xdr:colOff>0</xdr:colOff>
      <xdr:row>93</xdr:row>
      <xdr:rowOff>0</xdr:rowOff>
    </xdr:to>
    <xdr:sp macro="" textlink="" fLocksText="0">
      <xdr:nvSpPr>
        <xdr:cNvPr id="29" name="Flowchart: Proces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333500" y="1764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0</xdr:colOff>
      <xdr:row>90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400300" y="1706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89</xdr:row>
      <xdr:rowOff>95250</xdr:rowOff>
    </xdr:from>
    <xdr:to>
      <xdr:col>29</xdr:col>
      <xdr:colOff>1</xdr:colOff>
      <xdr:row>96</xdr:row>
      <xdr:rowOff>0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30" idx="3"/>
          <a:endCxn id="20" idx="0"/>
        </xdr:cNvCxnSpPr>
      </xdr:nvCxnSpPr>
      <xdr:spPr>
        <a:xfrm>
          <a:off x="2933700" y="17164050"/>
          <a:ext cx="4800600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3" customWidth="1"/>
    <col min="61" max="16384" width="2.77734375" style="203"/>
  </cols>
  <sheetData>
    <row r="1" spans="1:63" ht="24.95" customHeight="1" x14ac:dyDescent="0.25">
      <c r="A1" s="197" t="s">
        <v>84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85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00" t="s">
        <v>82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197" t="s">
        <v>86</v>
      </c>
      <c r="AQ1" s="198"/>
      <c r="AR1" s="198"/>
      <c r="AS1" s="199"/>
      <c r="AT1" s="197" t="s">
        <v>87</v>
      </c>
      <c r="AU1" s="198"/>
      <c r="AV1" s="198"/>
      <c r="AW1" s="198"/>
      <c r="AX1" s="199"/>
      <c r="AY1" s="197" t="s">
        <v>88</v>
      </c>
      <c r="AZ1" s="198"/>
      <c r="BA1" s="198"/>
      <c r="BB1" s="199"/>
      <c r="BC1" s="197" t="s">
        <v>89</v>
      </c>
      <c r="BD1" s="198"/>
      <c r="BE1" s="198"/>
      <c r="BF1" s="198"/>
      <c r="BG1" s="199"/>
      <c r="BH1" s="197" t="s">
        <v>90</v>
      </c>
      <c r="BI1" s="198"/>
      <c r="BJ1" s="198"/>
      <c r="BK1" s="199"/>
    </row>
    <row r="2" spans="1:63" ht="15" customHeight="1" x14ac:dyDescent="0.25">
      <c r="A2" s="75" t="s">
        <v>81</v>
      </c>
      <c r="B2" s="204"/>
      <c r="C2" s="204"/>
      <c r="D2" s="204"/>
      <c r="E2" s="204"/>
      <c r="F2" s="204"/>
      <c r="G2" s="204"/>
      <c r="H2" s="204"/>
      <c r="I2" s="204"/>
      <c r="J2" s="205"/>
      <c r="K2" s="206" t="s">
        <v>10</v>
      </c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  <c r="W2" s="207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9"/>
      <c r="AP2" s="206" t="str">
        <f>改訂履歴!$H$11</f>
        <v>DuNT</v>
      </c>
      <c r="AQ2" s="204"/>
      <c r="AR2" s="204"/>
      <c r="AS2" s="205"/>
      <c r="AT2" s="210">
        <f>改訂履歴!$B$11</f>
        <v>45475</v>
      </c>
      <c r="AU2" s="211"/>
      <c r="AV2" s="211"/>
      <c r="AW2" s="211"/>
      <c r="AX2" s="212"/>
      <c r="AY2" s="206" t="str">
        <f>LOOKUP(2,1/(改訂履歴!H11:H30000&lt;&gt;""),改訂履歴!H11:H30000)</f>
        <v>AnhTTP</v>
      </c>
      <c r="AZ2" s="204"/>
      <c r="BA2" s="204"/>
      <c r="BB2" s="205"/>
      <c r="BC2" s="210">
        <f>LOOKUP(2,1/(改訂履歴!B11:B30000&lt;&gt;""),改訂履歴!B11:B30000)</f>
        <v>45791</v>
      </c>
      <c r="BD2" s="211"/>
      <c r="BE2" s="211"/>
      <c r="BF2" s="211"/>
      <c r="BG2" s="212"/>
      <c r="BH2" s="213">
        <f>LOOKUP(2,1/(改訂履歴!O11:O30000&lt;&gt;""),改訂履歴!O11:O30000)</f>
        <v>0.56999999999999995</v>
      </c>
      <c r="BI2" s="214"/>
      <c r="BJ2" s="214"/>
      <c r="BK2" s="215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19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1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25"/>
      <c r="BI3" s="226"/>
      <c r="BJ3" s="226"/>
      <c r="BK3" s="227"/>
    </row>
    <row r="4" spans="1:63" ht="24.95" customHeight="1" x14ac:dyDescent="0.25">
      <c r="A4" s="197" t="s">
        <v>91</v>
      </c>
      <c r="B4" s="198"/>
      <c r="C4" s="198"/>
      <c r="D4" s="198"/>
      <c r="E4" s="198"/>
      <c r="F4" s="198"/>
      <c r="G4" s="199"/>
      <c r="H4" s="228" t="s">
        <v>40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197" t="s">
        <v>92</v>
      </c>
      <c r="V4" s="198"/>
      <c r="W4" s="198"/>
      <c r="X4" s="198"/>
      <c r="Y4" s="199"/>
      <c r="Z4" s="68" t="s">
        <v>83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‎表紙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K6" s="235"/>
    </row>
    <row r="7" spans="1:63" ht="15" customHeight="1" x14ac:dyDescent="0.25">
      <c r="A7" s="234"/>
      <c r="BK7" s="235"/>
    </row>
    <row r="8" spans="1:63" ht="15" customHeight="1" x14ac:dyDescent="0.25">
      <c r="A8" s="234"/>
      <c r="BK8" s="235"/>
    </row>
    <row r="9" spans="1:63" ht="15" customHeight="1" x14ac:dyDescent="0.25">
      <c r="A9" s="234"/>
      <c r="BK9" s="235"/>
    </row>
    <row r="10" spans="1:63" ht="15" customHeight="1" x14ac:dyDescent="0.25">
      <c r="A10" s="234"/>
      <c r="BK10" s="235"/>
    </row>
    <row r="11" spans="1:63" ht="15" customHeight="1" x14ac:dyDescent="0.25">
      <c r="A11" s="234"/>
      <c r="BK11" s="235"/>
    </row>
    <row r="12" spans="1:63" ht="15" customHeight="1" x14ac:dyDescent="0.25">
      <c r="A12" s="234"/>
      <c r="BK12" s="235"/>
    </row>
    <row r="13" spans="1:63" ht="15" customHeight="1" x14ac:dyDescent="0.25">
      <c r="A13" s="234"/>
      <c r="BK13" s="235"/>
    </row>
    <row r="14" spans="1:63" ht="15" customHeight="1" thickBot="1" x14ac:dyDescent="0.3">
      <c r="A14" s="234"/>
      <c r="BK14" s="235"/>
    </row>
    <row r="15" spans="1:63" ht="15" customHeight="1" thickTop="1" x14ac:dyDescent="0.25">
      <c r="A15" s="234"/>
      <c r="K15" s="236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8"/>
      <c r="BK15" s="235"/>
    </row>
    <row r="16" spans="1:63" ht="15" customHeight="1" x14ac:dyDescent="0.25">
      <c r="A16" s="234"/>
      <c r="K16" s="239"/>
      <c r="L16" s="240" t="s">
        <v>93</v>
      </c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2"/>
      <c r="BK16" s="235"/>
    </row>
    <row r="17" spans="1:63" ht="15" customHeight="1" x14ac:dyDescent="0.25">
      <c r="A17" s="234"/>
      <c r="K17" s="239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2"/>
      <c r="BK17" s="235"/>
    </row>
    <row r="18" spans="1:63" ht="15" customHeight="1" x14ac:dyDescent="0.25">
      <c r="A18" s="234"/>
      <c r="K18" s="239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2"/>
      <c r="BK18" s="235"/>
    </row>
    <row r="19" spans="1:63" ht="15" customHeight="1" x14ac:dyDescent="0.25">
      <c r="A19" s="234"/>
      <c r="K19" s="239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2"/>
      <c r="BK19" s="235"/>
    </row>
    <row r="20" spans="1:63" ht="15" customHeight="1" x14ac:dyDescent="0.25">
      <c r="A20" s="234"/>
      <c r="K20" s="239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2"/>
      <c r="BK20" s="235"/>
    </row>
    <row r="21" spans="1:63" ht="15" customHeight="1" x14ac:dyDescent="0.25">
      <c r="A21" s="234"/>
      <c r="K21" s="239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2"/>
      <c r="BK21" s="235"/>
    </row>
    <row r="22" spans="1:63" ht="15" customHeight="1" thickBot="1" x14ac:dyDescent="0.3">
      <c r="A22" s="234"/>
      <c r="K22" s="239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  <c r="AW22" s="243"/>
      <c r="AX22" s="243"/>
      <c r="AY22" s="243"/>
      <c r="AZ22" s="243"/>
      <c r="BA22" s="242"/>
      <c r="BK22" s="235"/>
    </row>
    <row r="23" spans="1:63" ht="15" customHeight="1" x14ac:dyDescent="0.25">
      <c r="A23" s="234"/>
      <c r="K23" s="239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2"/>
      <c r="BK23" s="235"/>
    </row>
    <row r="24" spans="1:63" ht="15" customHeight="1" x14ac:dyDescent="0.25">
      <c r="A24" s="234"/>
      <c r="K24" s="239"/>
      <c r="L24" s="241" t="str">
        <f>K2&amp;"/"&amp;H4&amp;"/"&amp;Z4</f>
        <v>POSサーバー/AP1506/API設計書</v>
      </c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2"/>
      <c r="BK24" s="235"/>
    </row>
    <row r="25" spans="1:63" ht="15" customHeight="1" x14ac:dyDescent="0.25">
      <c r="A25" s="234"/>
      <c r="K25" s="239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2"/>
      <c r="BK25" s="235"/>
    </row>
    <row r="26" spans="1:63" ht="15" customHeight="1" x14ac:dyDescent="0.25">
      <c r="A26" s="234"/>
      <c r="K26" s="239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2"/>
      <c r="BK26" s="235"/>
    </row>
    <row r="27" spans="1:63" ht="15" customHeight="1" x14ac:dyDescent="0.25">
      <c r="A27" s="234"/>
      <c r="K27" s="239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2"/>
      <c r="BK27" s="235"/>
    </row>
    <row r="28" spans="1:63" ht="15" customHeight="1" x14ac:dyDescent="0.25">
      <c r="A28" s="234"/>
      <c r="K28" s="239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2"/>
      <c r="BK28" s="235"/>
    </row>
    <row r="29" spans="1:63" ht="15" customHeight="1" x14ac:dyDescent="0.25">
      <c r="A29" s="234"/>
      <c r="K29" s="239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2"/>
      <c r="BK29" s="235"/>
    </row>
    <row r="30" spans="1:63" ht="15" customHeight="1" x14ac:dyDescent="0.25">
      <c r="A30" s="234"/>
      <c r="K30" s="239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2"/>
      <c r="BK30" s="235"/>
    </row>
    <row r="31" spans="1:63" ht="15" customHeight="1" x14ac:dyDescent="0.25">
      <c r="A31" s="234"/>
      <c r="K31" s="239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2"/>
      <c r="BK31" s="235"/>
    </row>
    <row r="32" spans="1:63" ht="15" customHeight="1" x14ac:dyDescent="0.25">
      <c r="A32" s="234"/>
      <c r="K32" s="239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2"/>
      <c r="BK32" s="235"/>
    </row>
    <row r="33" spans="1:63" ht="15" customHeight="1" x14ac:dyDescent="0.25">
      <c r="A33" s="234"/>
      <c r="K33" s="239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2"/>
      <c r="BK33" s="235"/>
    </row>
    <row r="34" spans="1:63" ht="15" customHeight="1" x14ac:dyDescent="0.25">
      <c r="A34" s="234"/>
      <c r="K34" s="239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2"/>
      <c r="BK34" s="235"/>
    </row>
    <row r="35" spans="1:63" ht="15" customHeight="1" x14ac:dyDescent="0.25">
      <c r="A35" s="234"/>
      <c r="K35" s="239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2"/>
      <c r="BK35" s="235"/>
    </row>
    <row r="36" spans="1:63" ht="15" customHeight="1" x14ac:dyDescent="0.25">
      <c r="A36" s="234"/>
      <c r="K36" s="239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2"/>
      <c r="BK36" s="235"/>
    </row>
    <row r="37" spans="1:63" ht="15" customHeight="1" thickBot="1" x14ac:dyDescent="0.3">
      <c r="A37" s="234"/>
      <c r="K37" s="245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  <c r="BA37" s="247"/>
      <c r="BK37" s="235"/>
    </row>
    <row r="38" spans="1:63" ht="15" customHeight="1" thickTop="1" x14ac:dyDescent="0.25">
      <c r="A38" s="234"/>
      <c r="BK38" s="235"/>
    </row>
    <row r="39" spans="1:63" ht="15" customHeight="1" x14ac:dyDescent="0.25">
      <c r="A39" s="234"/>
      <c r="BK39" s="235"/>
    </row>
    <row r="40" spans="1:63" ht="15" customHeight="1" x14ac:dyDescent="0.25">
      <c r="A40" s="234"/>
      <c r="BK40" s="235"/>
    </row>
    <row r="41" spans="1:63" ht="15" customHeight="1" x14ac:dyDescent="0.25">
      <c r="A41" s="234"/>
      <c r="BK41" s="235"/>
    </row>
    <row r="42" spans="1:63" ht="15" customHeight="1" x14ac:dyDescent="0.25">
      <c r="A42" s="234"/>
      <c r="BK42" s="235"/>
    </row>
    <row r="43" spans="1:63" ht="15" customHeight="1" x14ac:dyDescent="0.25">
      <c r="A43" s="234"/>
      <c r="BK43" s="235"/>
    </row>
    <row r="44" spans="1:63" ht="15" customHeight="1" x14ac:dyDescent="0.25">
      <c r="A44" s="234"/>
      <c r="Q44" s="248" t="s">
        <v>94</v>
      </c>
      <c r="R44" s="249"/>
      <c r="S44" s="249"/>
      <c r="T44" s="249"/>
      <c r="U44" s="249"/>
      <c r="V44" s="249"/>
      <c r="W44" s="249"/>
      <c r="X44" s="249"/>
      <c r="Y44" s="249"/>
      <c r="Z44" s="250"/>
      <c r="AA44" s="248" t="s">
        <v>95</v>
      </c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50"/>
      <c r="AQ44" s="248" t="s">
        <v>90</v>
      </c>
      <c r="AR44" s="249"/>
      <c r="AS44" s="249"/>
      <c r="AT44" s="249"/>
      <c r="AU44" s="250"/>
      <c r="BK44" s="235"/>
    </row>
    <row r="45" spans="1:63" ht="15" customHeight="1" x14ac:dyDescent="0.25">
      <c r="A45" s="234"/>
      <c r="Q45" s="251"/>
      <c r="R45" s="252"/>
      <c r="S45" s="252"/>
      <c r="T45" s="252"/>
      <c r="U45" s="252"/>
      <c r="V45" s="252"/>
      <c r="W45" s="252"/>
      <c r="X45" s="252"/>
      <c r="Y45" s="252"/>
      <c r="Z45" s="253"/>
      <c r="AA45" s="251"/>
      <c r="AB45" s="252"/>
      <c r="AC45" s="252"/>
      <c r="AD45" s="252"/>
      <c r="AE45" s="252"/>
      <c r="AF45" s="252"/>
      <c r="AG45" s="252"/>
      <c r="AH45" s="252"/>
      <c r="AI45" s="252"/>
      <c r="AJ45" s="252"/>
      <c r="AK45" s="252"/>
      <c r="AL45" s="252"/>
      <c r="AM45" s="252"/>
      <c r="AN45" s="252"/>
      <c r="AO45" s="252"/>
      <c r="AP45" s="253"/>
      <c r="AQ45" s="251"/>
      <c r="AR45" s="252"/>
      <c r="AS45" s="252"/>
      <c r="AT45" s="252"/>
      <c r="AU45" s="253"/>
      <c r="BK45" s="235"/>
    </row>
    <row r="46" spans="1:63" ht="15" customHeight="1" x14ac:dyDescent="0.25">
      <c r="A46" s="234"/>
      <c r="Q46" s="206"/>
      <c r="R46" s="204"/>
      <c r="S46" s="204"/>
      <c r="T46" s="204"/>
      <c r="U46" s="204"/>
      <c r="V46" s="204"/>
      <c r="W46" s="204"/>
      <c r="X46" s="204"/>
      <c r="Y46" s="204"/>
      <c r="Z46" s="205"/>
      <c r="AA46" s="206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5"/>
      <c r="AQ46" s="206"/>
      <c r="AR46" s="204"/>
      <c r="AS46" s="204"/>
      <c r="AT46" s="204"/>
      <c r="AU46" s="205"/>
      <c r="BK46" s="235"/>
    </row>
    <row r="47" spans="1:63" ht="15" customHeight="1" x14ac:dyDescent="0.25">
      <c r="A47" s="234"/>
      <c r="Q47" s="254"/>
      <c r="R47" s="255"/>
      <c r="S47" s="255"/>
      <c r="T47" s="255"/>
      <c r="U47" s="255"/>
      <c r="V47" s="255"/>
      <c r="W47" s="255"/>
      <c r="X47" s="255"/>
      <c r="Y47" s="255"/>
      <c r="Z47" s="256"/>
      <c r="AA47" s="254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6"/>
      <c r="AQ47" s="254"/>
      <c r="AR47" s="255"/>
      <c r="AS47" s="255"/>
      <c r="AT47" s="255"/>
      <c r="AU47" s="256"/>
      <c r="BK47" s="235"/>
    </row>
    <row r="48" spans="1:63" ht="15" customHeight="1" x14ac:dyDescent="0.25">
      <c r="A48" s="234"/>
      <c r="Q48" s="254"/>
      <c r="R48" s="255"/>
      <c r="S48" s="255"/>
      <c r="T48" s="255"/>
      <c r="U48" s="255"/>
      <c r="V48" s="255"/>
      <c r="W48" s="255"/>
      <c r="X48" s="255"/>
      <c r="Y48" s="255"/>
      <c r="Z48" s="256"/>
      <c r="AA48" s="254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6"/>
      <c r="AQ48" s="254"/>
      <c r="AR48" s="255"/>
      <c r="AS48" s="255"/>
      <c r="AT48" s="255"/>
      <c r="AU48" s="256"/>
      <c r="BK48" s="235"/>
    </row>
    <row r="49" spans="1:63" ht="15" customHeight="1" x14ac:dyDescent="0.25">
      <c r="A49" s="234"/>
      <c r="Q49" s="216"/>
      <c r="R49" s="217"/>
      <c r="S49" s="217"/>
      <c r="T49" s="217"/>
      <c r="U49" s="217"/>
      <c r="V49" s="217"/>
      <c r="W49" s="217"/>
      <c r="X49" s="217"/>
      <c r="Y49" s="217"/>
      <c r="Z49" s="218"/>
      <c r="AA49" s="216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8"/>
      <c r="AQ49" s="216"/>
      <c r="AR49" s="217"/>
      <c r="AS49" s="217"/>
      <c r="AT49" s="217"/>
      <c r="AU49" s="218"/>
      <c r="BK49" s="235"/>
    </row>
    <row r="50" spans="1:63" ht="15" customHeight="1" x14ac:dyDescent="0.25">
      <c r="A50" s="234"/>
      <c r="BK50" s="235"/>
    </row>
    <row r="51" spans="1:63" ht="15" customHeight="1" x14ac:dyDescent="0.25">
      <c r="A51" s="234"/>
      <c r="BK51" s="235"/>
    </row>
    <row r="52" spans="1:63" ht="15" customHeight="1" x14ac:dyDescent="0.25">
      <c r="A52" s="234"/>
      <c r="BK52" s="235"/>
    </row>
    <row r="53" spans="1:63" ht="15" customHeight="1" x14ac:dyDescent="0.25">
      <c r="A53" s="234"/>
      <c r="BK53" s="235"/>
    </row>
    <row r="54" spans="1:63" ht="15" customHeight="1" x14ac:dyDescent="0.25">
      <c r="A54" s="234"/>
      <c r="BK54" s="235"/>
    </row>
    <row r="55" spans="1:63" ht="15" customHeight="1" x14ac:dyDescent="0.25">
      <c r="A55" s="231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3" customWidth="1"/>
    <col min="61" max="16384" width="2.77734375" style="203"/>
  </cols>
  <sheetData>
    <row r="1" spans="1:63" ht="24.95" customHeight="1" x14ac:dyDescent="0.25">
      <c r="A1" s="197" t="s">
        <v>84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85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57" t="s">
        <v>82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197" t="s">
        <v>86</v>
      </c>
      <c r="AQ1" s="198"/>
      <c r="AR1" s="198"/>
      <c r="AS1" s="199"/>
      <c r="AT1" s="197" t="s">
        <v>87</v>
      </c>
      <c r="AU1" s="198"/>
      <c r="AV1" s="198"/>
      <c r="AW1" s="198"/>
      <c r="AX1" s="199"/>
      <c r="AY1" s="197" t="s">
        <v>88</v>
      </c>
      <c r="AZ1" s="198"/>
      <c r="BA1" s="198"/>
      <c r="BB1" s="199"/>
      <c r="BC1" s="197" t="s">
        <v>89</v>
      </c>
      <c r="BD1" s="198"/>
      <c r="BE1" s="198"/>
      <c r="BF1" s="198"/>
      <c r="BG1" s="199"/>
      <c r="BH1" s="197" t="s">
        <v>90</v>
      </c>
      <c r="BI1" s="198"/>
      <c r="BJ1" s="198"/>
      <c r="BK1" s="199"/>
    </row>
    <row r="2" spans="1:63" ht="15" customHeight="1" x14ac:dyDescent="0.25">
      <c r="A2" s="206" t="s">
        <v>81</v>
      </c>
      <c r="B2" s="204"/>
      <c r="C2" s="204"/>
      <c r="D2" s="204"/>
      <c r="E2" s="204"/>
      <c r="F2" s="204"/>
      <c r="G2" s="204"/>
      <c r="H2" s="204"/>
      <c r="I2" s="204"/>
      <c r="J2" s="205"/>
      <c r="K2" s="206" t="s">
        <v>81</v>
      </c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  <c r="W2" s="207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9"/>
      <c r="AP2" s="206" t="s">
        <v>78</v>
      </c>
      <c r="AQ2" s="204"/>
      <c r="AR2" s="204"/>
      <c r="AS2" s="205"/>
      <c r="AT2" s="210">
        <v>45475</v>
      </c>
      <c r="AU2" s="211"/>
      <c r="AV2" s="211"/>
      <c r="AW2" s="211"/>
      <c r="AX2" s="212"/>
      <c r="AY2" s="206" t="s">
        <v>79</v>
      </c>
      <c r="AZ2" s="204"/>
      <c r="BA2" s="204"/>
      <c r="BB2" s="205"/>
      <c r="BC2" s="210">
        <v>45791</v>
      </c>
      <c r="BD2" s="211"/>
      <c r="BE2" s="211"/>
      <c r="BF2" s="211"/>
      <c r="BG2" s="212"/>
      <c r="BH2" s="206">
        <v>0.56999999999999995</v>
      </c>
      <c r="BI2" s="204"/>
      <c r="BJ2" s="204"/>
      <c r="BK2" s="205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19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1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197" t="s">
        <v>91</v>
      </c>
      <c r="B4" s="198"/>
      <c r="C4" s="198"/>
      <c r="D4" s="198"/>
      <c r="E4" s="198"/>
      <c r="F4" s="198"/>
      <c r="G4" s="199"/>
      <c r="H4" s="228" t="s">
        <v>80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197" t="s">
        <v>92</v>
      </c>
      <c r="V4" s="198"/>
      <c r="W4" s="198"/>
      <c r="X4" s="198"/>
      <c r="Y4" s="199"/>
      <c r="Z4" s="228" t="s">
        <v>83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改訂履歴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K6" s="235"/>
    </row>
    <row r="7" spans="1:63" ht="15" customHeight="1" x14ac:dyDescent="0.25">
      <c r="A7" s="234"/>
      <c r="BK7" s="235"/>
    </row>
    <row r="8" spans="1:63" ht="15" customHeight="1" x14ac:dyDescent="0.25">
      <c r="A8" s="234"/>
      <c r="B8" s="203" t="s">
        <v>9</v>
      </c>
      <c r="BK8" s="235"/>
    </row>
    <row r="9" spans="1:63" ht="15" customHeight="1" x14ac:dyDescent="0.25">
      <c r="A9" s="234"/>
      <c r="BK9" s="235"/>
    </row>
    <row r="10" spans="1:63" ht="15" customHeight="1" x14ac:dyDescent="0.25">
      <c r="A10" s="234"/>
      <c r="B10" s="258" t="s">
        <v>89</v>
      </c>
      <c r="C10" s="258"/>
      <c r="D10" s="258"/>
      <c r="E10" s="258"/>
      <c r="F10" s="258"/>
      <c r="G10" s="258"/>
      <c r="H10" s="258" t="s">
        <v>88</v>
      </c>
      <c r="I10" s="258"/>
      <c r="J10" s="258"/>
      <c r="K10" s="258"/>
      <c r="L10" s="258"/>
      <c r="M10" s="258"/>
      <c r="N10" s="258"/>
      <c r="O10" s="258" t="s">
        <v>90</v>
      </c>
      <c r="P10" s="258"/>
      <c r="Q10" s="258"/>
      <c r="R10" s="258"/>
      <c r="S10" s="258" t="s">
        <v>96</v>
      </c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 t="s">
        <v>94</v>
      </c>
      <c r="AY10" s="258"/>
      <c r="AZ10" s="258"/>
      <c r="BA10" s="258"/>
      <c r="BB10" s="258"/>
      <c r="BC10" s="258"/>
      <c r="BD10" s="258" t="s">
        <v>95</v>
      </c>
      <c r="BE10" s="258"/>
      <c r="BF10" s="258"/>
      <c r="BG10" s="258"/>
      <c r="BH10" s="258"/>
      <c r="BI10" s="258"/>
      <c r="BJ10" s="258"/>
      <c r="BK10" s="235"/>
    </row>
    <row r="11" spans="1:63" ht="15" customHeight="1" x14ac:dyDescent="0.25">
      <c r="A11" s="234"/>
      <c r="B11" s="210">
        <v>45475</v>
      </c>
      <c r="C11" s="204"/>
      <c r="D11" s="204"/>
      <c r="E11" s="204"/>
      <c r="F11" s="204"/>
      <c r="G11" s="205"/>
      <c r="H11" s="75" t="s">
        <v>78</v>
      </c>
      <c r="I11" s="204"/>
      <c r="J11" s="204"/>
      <c r="K11" s="204"/>
      <c r="L11" s="204"/>
      <c r="M11" s="204"/>
      <c r="N11" s="205"/>
      <c r="O11" s="206">
        <v>0.1</v>
      </c>
      <c r="P11" s="204"/>
      <c r="Q11" s="204"/>
      <c r="R11" s="204"/>
      <c r="S11" s="259" t="s">
        <v>11</v>
      </c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1"/>
      <c r="AX11" s="262"/>
      <c r="AY11" s="262"/>
      <c r="AZ11" s="262"/>
      <c r="BA11" s="262"/>
      <c r="BB11" s="262"/>
      <c r="BC11" s="263"/>
      <c r="BD11" s="264"/>
      <c r="BE11" s="262"/>
      <c r="BF11" s="262"/>
      <c r="BG11" s="262"/>
      <c r="BH11" s="262"/>
      <c r="BI11" s="262"/>
      <c r="BJ11" s="263"/>
      <c r="BK11" s="235"/>
    </row>
    <row r="12" spans="1:63" ht="15" customHeight="1" x14ac:dyDescent="0.25">
      <c r="A12" s="234"/>
      <c r="B12" s="216"/>
      <c r="C12" s="217"/>
      <c r="D12" s="217"/>
      <c r="E12" s="217"/>
      <c r="F12" s="217"/>
      <c r="G12" s="218"/>
      <c r="H12" s="216"/>
      <c r="I12" s="217"/>
      <c r="J12" s="217"/>
      <c r="K12" s="217"/>
      <c r="L12" s="217"/>
      <c r="M12" s="217"/>
      <c r="N12" s="218"/>
      <c r="O12" s="216"/>
      <c r="P12" s="217"/>
      <c r="Q12" s="217"/>
      <c r="R12" s="217"/>
      <c r="S12" s="265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7"/>
      <c r="AX12" s="268"/>
      <c r="AY12" s="268"/>
      <c r="AZ12" s="268"/>
      <c r="BA12" s="268"/>
      <c r="BB12" s="268"/>
      <c r="BC12" s="269"/>
      <c r="BD12" s="270"/>
      <c r="BE12" s="268"/>
      <c r="BF12" s="268"/>
      <c r="BG12" s="268"/>
      <c r="BH12" s="268"/>
      <c r="BI12" s="268"/>
      <c r="BJ12" s="269"/>
      <c r="BK12" s="235"/>
    </row>
    <row r="13" spans="1:63" ht="15" customHeight="1" x14ac:dyDescent="0.25">
      <c r="A13" s="234"/>
      <c r="B13" s="210">
        <v>45509</v>
      </c>
      <c r="C13" s="204"/>
      <c r="D13" s="204"/>
      <c r="E13" s="204"/>
      <c r="F13" s="204"/>
      <c r="G13" s="205"/>
      <c r="H13" s="206" t="s">
        <v>76</v>
      </c>
      <c r="I13" s="204"/>
      <c r="J13" s="204"/>
      <c r="K13" s="204"/>
      <c r="L13" s="204"/>
      <c r="M13" s="204"/>
      <c r="N13" s="205"/>
      <c r="O13" s="206">
        <v>0.2</v>
      </c>
      <c r="P13" s="204"/>
      <c r="Q13" s="204"/>
      <c r="R13" s="204"/>
      <c r="S13" s="259" t="s">
        <v>56</v>
      </c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1"/>
      <c r="AX13" s="262"/>
      <c r="AY13" s="262"/>
      <c r="AZ13" s="262"/>
      <c r="BA13" s="262"/>
      <c r="BB13" s="262"/>
      <c r="BC13" s="263"/>
      <c r="BD13" s="264"/>
      <c r="BE13" s="262"/>
      <c r="BF13" s="262"/>
      <c r="BG13" s="262"/>
      <c r="BH13" s="262"/>
      <c r="BI13" s="262"/>
      <c r="BJ13" s="263"/>
      <c r="BK13" s="235"/>
    </row>
    <row r="14" spans="1:63" ht="15" customHeight="1" x14ac:dyDescent="0.25">
      <c r="A14" s="234"/>
      <c r="B14" s="216"/>
      <c r="C14" s="217"/>
      <c r="D14" s="217"/>
      <c r="E14" s="217"/>
      <c r="F14" s="217"/>
      <c r="G14" s="218"/>
      <c r="H14" s="216"/>
      <c r="I14" s="217"/>
      <c r="J14" s="217"/>
      <c r="K14" s="217"/>
      <c r="L14" s="217"/>
      <c r="M14" s="217"/>
      <c r="N14" s="218"/>
      <c r="O14" s="216"/>
      <c r="P14" s="217"/>
      <c r="Q14" s="217"/>
      <c r="R14" s="217"/>
      <c r="S14" s="265" t="s">
        <v>57</v>
      </c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7"/>
      <c r="AX14" s="268"/>
      <c r="AY14" s="268"/>
      <c r="AZ14" s="268"/>
      <c r="BA14" s="268"/>
      <c r="BB14" s="268"/>
      <c r="BC14" s="269"/>
      <c r="BD14" s="270"/>
      <c r="BE14" s="268"/>
      <c r="BF14" s="268"/>
      <c r="BG14" s="268"/>
      <c r="BH14" s="268"/>
      <c r="BI14" s="268"/>
      <c r="BJ14" s="269"/>
      <c r="BK14" s="235"/>
    </row>
    <row r="15" spans="1:63" ht="15" customHeight="1" x14ac:dyDescent="0.25">
      <c r="A15" s="234"/>
      <c r="B15" s="210">
        <v>45517</v>
      </c>
      <c r="C15" s="204"/>
      <c r="D15" s="204"/>
      <c r="E15" s="204"/>
      <c r="F15" s="204"/>
      <c r="G15" s="205"/>
      <c r="H15" s="206" t="s">
        <v>58</v>
      </c>
      <c r="I15" s="204"/>
      <c r="J15" s="204"/>
      <c r="K15" s="204"/>
      <c r="L15" s="204"/>
      <c r="M15" s="204"/>
      <c r="N15" s="205"/>
      <c r="O15" s="206">
        <v>0.3</v>
      </c>
      <c r="P15" s="204"/>
      <c r="Q15" s="204"/>
      <c r="R15" s="204"/>
      <c r="S15" s="259" t="s">
        <v>59</v>
      </c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1"/>
      <c r="AX15" s="117"/>
      <c r="AY15" s="117"/>
      <c r="AZ15" s="117"/>
      <c r="BA15" s="117"/>
      <c r="BB15" s="117"/>
      <c r="BC15" s="118"/>
      <c r="BD15" s="121"/>
      <c r="BE15" s="117"/>
      <c r="BF15" s="117"/>
      <c r="BG15" s="117"/>
      <c r="BH15" s="117"/>
      <c r="BI15" s="117"/>
      <c r="BJ15" s="118"/>
      <c r="BK15" s="235"/>
    </row>
    <row r="16" spans="1:63" ht="15" customHeight="1" x14ac:dyDescent="0.25">
      <c r="A16" s="234"/>
      <c r="B16" s="216"/>
      <c r="C16" s="217"/>
      <c r="D16" s="217"/>
      <c r="E16" s="217"/>
      <c r="F16" s="217"/>
      <c r="G16" s="218"/>
      <c r="H16" s="216"/>
      <c r="I16" s="217"/>
      <c r="J16" s="217"/>
      <c r="K16" s="217"/>
      <c r="L16" s="217"/>
      <c r="M16" s="217"/>
      <c r="N16" s="218"/>
      <c r="O16" s="216"/>
      <c r="P16" s="217"/>
      <c r="Q16" s="217"/>
      <c r="R16" s="217"/>
      <c r="S16" s="265" t="s">
        <v>60</v>
      </c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X16" s="119"/>
      <c r="AY16" s="119"/>
      <c r="AZ16" s="119"/>
      <c r="BA16" s="119"/>
      <c r="BB16" s="119"/>
      <c r="BC16" s="120"/>
      <c r="BD16" s="122"/>
      <c r="BE16" s="119"/>
      <c r="BF16" s="119"/>
      <c r="BG16" s="119"/>
      <c r="BH16" s="119"/>
      <c r="BI16" s="119"/>
      <c r="BJ16" s="120"/>
      <c r="BK16" s="235"/>
    </row>
    <row r="17" spans="1:63" ht="15" customHeight="1" x14ac:dyDescent="0.25">
      <c r="A17" s="234"/>
      <c r="B17" s="210">
        <v>45541</v>
      </c>
      <c r="C17" s="204"/>
      <c r="D17" s="204"/>
      <c r="E17" s="204"/>
      <c r="F17" s="204"/>
      <c r="G17" s="205"/>
      <c r="H17" s="206" t="s">
        <v>76</v>
      </c>
      <c r="I17" s="204"/>
      <c r="J17" s="204"/>
      <c r="K17" s="204"/>
      <c r="L17" s="204"/>
      <c r="M17" s="204"/>
      <c r="N17" s="205"/>
      <c r="O17" s="206">
        <v>0.4</v>
      </c>
      <c r="P17" s="204"/>
      <c r="Q17" s="204"/>
      <c r="R17" s="204"/>
      <c r="S17" s="259" t="s">
        <v>67</v>
      </c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1"/>
      <c r="AX17" s="262"/>
      <c r="AY17" s="262"/>
      <c r="AZ17" s="262"/>
      <c r="BA17" s="262"/>
      <c r="BB17" s="262"/>
      <c r="BC17" s="263"/>
      <c r="BD17" s="264"/>
      <c r="BE17" s="262"/>
      <c r="BF17" s="262"/>
      <c r="BG17" s="262"/>
      <c r="BH17" s="262"/>
      <c r="BI17" s="262"/>
      <c r="BJ17" s="263"/>
      <c r="BK17" s="235"/>
    </row>
    <row r="18" spans="1:63" ht="15" customHeight="1" x14ac:dyDescent="0.25">
      <c r="A18" s="234"/>
      <c r="B18" s="216"/>
      <c r="C18" s="217"/>
      <c r="D18" s="217"/>
      <c r="E18" s="217"/>
      <c r="F18" s="217"/>
      <c r="G18" s="218"/>
      <c r="H18" s="216"/>
      <c r="I18" s="217"/>
      <c r="J18" s="217"/>
      <c r="K18" s="217"/>
      <c r="L18" s="217"/>
      <c r="M18" s="217"/>
      <c r="N18" s="218"/>
      <c r="O18" s="216"/>
      <c r="P18" s="217"/>
      <c r="Q18" s="217"/>
      <c r="R18" s="217"/>
      <c r="S18" s="265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7"/>
      <c r="AX18" s="268"/>
      <c r="AY18" s="268"/>
      <c r="AZ18" s="268"/>
      <c r="BA18" s="268"/>
      <c r="BB18" s="268"/>
      <c r="BC18" s="269"/>
      <c r="BD18" s="270"/>
      <c r="BE18" s="268"/>
      <c r="BF18" s="268"/>
      <c r="BG18" s="268"/>
      <c r="BH18" s="268"/>
      <c r="BI18" s="268"/>
      <c r="BJ18" s="269"/>
      <c r="BK18" s="235"/>
    </row>
    <row r="19" spans="1:63" ht="15" customHeight="1" x14ac:dyDescent="0.25">
      <c r="A19" s="234"/>
      <c r="B19" s="210">
        <v>45544</v>
      </c>
      <c r="C19" s="204"/>
      <c r="D19" s="204"/>
      <c r="E19" s="204"/>
      <c r="F19" s="204"/>
      <c r="G19" s="205"/>
      <c r="H19" s="206" t="s">
        <v>58</v>
      </c>
      <c r="I19" s="204"/>
      <c r="J19" s="204"/>
      <c r="K19" s="204"/>
      <c r="L19" s="204"/>
      <c r="M19" s="204"/>
      <c r="N19" s="205"/>
      <c r="O19" s="206">
        <v>0.5</v>
      </c>
      <c r="P19" s="204"/>
      <c r="Q19" s="204"/>
      <c r="R19" s="204"/>
      <c r="S19" s="259" t="s">
        <v>68</v>
      </c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1"/>
      <c r="AX19" s="111"/>
      <c r="AY19" s="111"/>
      <c r="AZ19" s="111"/>
      <c r="BA19" s="111"/>
      <c r="BB19" s="111"/>
      <c r="BC19" s="112"/>
      <c r="BD19" s="115"/>
      <c r="BE19" s="111"/>
      <c r="BF19" s="111"/>
      <c r="BG19" s="111"/>
      <c r="BH19" s="111"/>
      <c r="BI19" s="111"/>
      <c r="BJ19" s="112"/>
      <c r="BK19" s="235"/>
    </row>
    <row r="20" spans="1:63" ht="15" customHeight="1" x14ac:dyDescent="0.25">
      <c r="A20" s="234"/>
      <c r="B20" s="216"/>
      <c r="C20" s="217"/>
      <c r="D20" s="217"/>
      <c r="E20" s="217"/>
      <c r="F20" s="217"/>
      <c r="G20" s="218"/>
      <c r="H20" s="216"/>
      <c r="I20" s="217"/>
      <c r="J20" s="217"/>
      <c r="K20" s="217"/>
      <c r="L20" s="217"/>
      <c r="M20" s="217"/>
      <c r="N20" s="218"/>
      <c r="O20" s="216"/>
      <c r="P20" s="217"/>
      <c r="Q20" s="217"/>
      <c r="R20" s="217"/>
      <c r="S20" s="265" t="s">
        <v>60</v>
      </c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7"/>
      <c r="AX20" s="113"/>
      <c r="AY20" s="113"/>
      <c r="AZ20" s="113"/>
      <c r="BA20" s="113"/>
      <c r="BB20" s="113"/>
      <c r="BC20" s="114"/>
      <c r="BD20" s="116"/>
      <c r="BE20" s="113"/>
      <c r="BF20" s="113"/>
      <c r="BG20" s="113"/>
      <c r="BH20" s="113"/>
      <c r="BI20" s="113"/>
      <c r="BJ20" s="114"/>
      <c r="BK20" s="235"/>
    </row>
    <row r="21" spans="1:63" ht="15" customHeight="1" x14ac:dyDescent="0.25">
      <c r="A21" s="234"/>
      <c r="B21" s="210">
        <v>45624</v>
      </c>
      <c r="C21" s="204"/>
      <c r="D21" s="204"/>
      <c r="E21" s="204"/>
      <c r="F21" s="204"/>
      <c r="G21" s="205"/>
      <c r="H21" s="206" t="s">
        <v>58</v>
      </c>
      <c r="I21" s="204"/>
      <c r="J21" s="204"/>
      <c r="K21" s="204"/>
      <c r="L21" s="204"/>
      <c r="M21" s="204"/>
      <c r="N21" s="205"/>
      <c r="O21" s="206">
        <v>0.51</v>
      </c>
      <c r="P21" s="204"/>
      <c r="Q21" s="204"/>
      <c r="R21" s="204"/>
      <c r="S21" s="259" t="s">
        <v>69</v>
      </c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1"/>
      <c r="AX21" s="105"/>
      <c r="AY21" s="105"/>
      <c r="AZ21" s="105"/>
      <c r="BA21" s="105"/>
      <c r="BB21" s="105"/>
      <c r="BC21" s="106"/>
      <c r="BD21" s="109"/>
      <c r="BE21" s="105"/>
      <c r="BF21" s="105"/>
      <c r="BG21" s="105"/>
      <c r="BH21" s="105"/>
      <c r="BI21" s="105"/>
      <c r="BJ21" s="106"/>
      <c r="BK21" s="235"/>
    </row>
    <row r="22" spans="1:63" ht="15" customHeight="1" x14ac:dyDescent="0.25">
      <c r="A22" s="234"/>
      <c r="B22" s="216"/>
      <c r="C22" s="217"/>
      <c r="D22" s="217"/>
      <c r="E22" s="217"/>
      <c r="F22" s="217"/>
      <c r="G22" s="218"/>
      <c r="H22" s="216"/>
      <c r="I22" s="217"/>
      <c r="J22" s="217"/>
      <c r="K22" s="217"/>
      <c r="L22" s="217"/>
      <c r="M22" s="217"/>
      <c r="N22" s="218"/>
      <c r="O22" s="216"/>
      <c r="P22" s="217"/>
      <c r="Q22" s="217"/>
      <c r="R22" s="217"/>
      <c r="S22" s="265" t="s">
        <v>60</v>
      </c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7"/>
      <c r="AX22" s="107"/>
      <c r="AY22" s="107"/>
      <c r="AZ22" s="107"/>
      <c r="BA22" s="107"/>
      <c r="BB22" s="107"/>
      <c r="BC22" s="108"/>
      <c r="BD22" s="110"/>
      <c r="BE22" s="107"/>
      <c r="BF22" s="107"/>
      <c r="BG22" s="107"/>
      <c r="BH22" s="107"/>
      <c r="BI22" s="107"/>
      <c r="BJ22" s="108"/>
      <c r="BK22" s="235"/>
    </row>
    <row r="23" spans="1:63" ht="15" customHeight="1" x14ac:dyDescent="0.25">
      <c r="A23" s="234"/>
      <c r="B23" s="210">
        <v>45628</v>
      </c>
      <c r="C23" s="204"/>
      <c r="D23" s="204"/>
      <c r="E23" s="204"/>
      <c r="F23" s="204"/>
      <c r="G23" s="205"/>
      <c r="H23" s="206" t="s">
        <v>76</v>
      </c>
      <c r="I23" s="204"/>
      <c r="J23" s="204"/>
      <c r="K23" s="204"/>
      <c r="L23" s="204"/>
      <c r="M23" s="204"/>
      <c r="N23" s="205"/>
      <c r="O23" s="206">
        <v>0.52</v>
      </c>
      <c r="P23" s="204"/>
      <c r="Q23" s="204"/>
      <c r="R23" s="204"/>
      <c r="S23" s="259" t="s">
        <v>73</v>
      </c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1"/>
      <c r="AX23" s="262"/>
      <c r="AY23" s="262"/>
      <c r="AZ23" s="262"/>
      <c r="BA23" s="262"/>
      <c r="BB23" s="262"/>
      <c r="BC23" s="263"/>
      <c r="BD23" s="264"/>
      <c r="BE23" s="262"/>
      <c r="BF23" s="262"/>
      <c r="BG23" s="262"/>
      <c r="BH23" s="262"/>
      <c r="BI23" s="262"/>
      <c r="BJ23" s="263"/>
      <c r="BK23" s="235"/>
    </row>
    <row r="24" spans="1:63" ht="15" customHeight="1" x14ac:dyDescent="0.25">
      <c r="A24" s="234"/>
      <c r="B24" s="216"/>
      <c r="C24" s="217"/>
      <c r="D24" s="217"/>
      <c r="E24" s="217"/>
      <c r="F24" s="217"/>
      <c r="G24" s="218"/>
      <c r="H24" s="216"/>
      <c r="I24" s="217"/>
      <c r="J24" s="217"/>
      <c r="K24" s="217"/>
      <c r="L24" s="217"/>
      <c r="M24" s="217"/>
      <c r="N24" s="218"/>
      <c r="O24" s="216"/>
      <c r="P24" s="217"/>
      <c r="Q24" s="217"/>
      <c r="R24" s="217"/>
      <c r="S24" s="265" t="s">
        <v>74</v>
      </c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7"/>
      <c r="AX24" s="268"/>
      <c r="AY24" s="268"/>
      <c r="AZ24" s="268"/>
      <c r="BA24" s="268"/>
      <c r="BB24" s="268"/>
      <c r="BC24" s="269"/>
      <c r="BD24" s="270"/>
      <c r="BE24" s="268"/>
      <c r="BF24" s="268"/>
      <c r="BG24" s="268"/>
      <c r="BH24" s="268"/>
      <c r="BI24" s="268"/>
      <c r="BJ24" s="269"/>
      <c r="BK24" s="235"/>
    </row>
    <row r="25" spans="1:63" ht="15" customHeight="1" x14ac:dyDescent="0.25">
      <c r="A25" s="234"/>
      <c r="B25" s="92">
        <v>45646</v>
      </c>
      <c r="C25" s="93"/>
      <c r="D25" s="93"/>
      <c r="E25" s="93"/>
      <c r="F25" s="93"/>
      <c r="G25" s="94"/>
      <c r="H25" s="98" t="s">
        <v>78</v>
      </c>
      <c r="I25" s="93"/>
      <c r="J25" s="93"/>
      <c r="K25" s="93"/>
      <c r="L25" s="93"/>
      <c r="M25" s="93"/>
      <c r="N25" s="94"/>
      <c r="O25" s="98">
        <v>0.53</v>
      </c>
      <c r="P25" s="93"/>
      <c r="Q25" s="93"/>
      <c r="R25" s="93"/>
      <c r="S25" s="99" t="s">
        <v>97</v>
      </c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1"/>
      <c r="AX25" s="262"/>
      <c r="AY25" s="262"/>
      <c r="AZ25" s="262"/>
      <c r="BA25" s="262"/>
      <c r="BB25" s="262"/>
      <c r="BC25" s="263"/>
      <c r="BD25" s="264"/>
      <c r="BE25" s="262"/>
      <c r="BF25" s="262"/>
      <c r="BG25" s="262"/>
      <c r="BH25" s="262"/>
      <c r="BI25" s="262"/>
      <c r="BJ25" s="263"/>
      <c r="BK25" s="235"/>
    </row>
    <row r="26" spans="1:63" ht="15" customHeight="1" x14ac:dyDescent="0.25">
      <c r="A26" s="234"/>
      <c r="B26" s="95"/>
      <c r="C26" s="96"/>
      <c r="D26" s="96"/>
      <c r="E26" s="96"/>
      <c r="F26" s="96"/>
      <c r="G26" s="97"/>
      <c r="H26" s="95"/>
      <c r="I26" s="96"/>
      <c r="J26" s="96"/>
      <c r="K26" s="96"/>
      <c r="L26" s="96"/>
      <c r="M26" s="96"/>
      <c r="N26" s="97"/>
      <c r="O26" s="95"/>
      <c r="P26" s="96"/>
      <c r="Q26" s="96"/>
      <c r="R26" s="96"/>
      <c r="S26" s="102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4"/>
      <c r="AX26" s="268"/>
      <c r="AY26" s="268"/>
      <c r="AZ26" s="268"/>
      <c r="BA26" s="268"/>
      <c r="BB26" s="268"/>
      <c r="BC26" s="269"/>
      <c r="BD26" s="270"/>
      <c r="BE26" s="268"/>
      <c r="BF26" s="268"/>
      <c r="BG26" s="268"/>
      <c r="BH26" s="268"/>
      <c r="BI26" s="268"/>
      <c r="BJ26" s="269"/>
      <c r="BK26" s="235"/>
    </row>
    <row r="27" spans="1:63" ht="15" customHeight="1" x14ac:dyDescent="0.25">
      <c r="A27" s="234"/>
      <c r="B27" s="271">
        <v>45667</v>
      </c>
      <c r="C27" s="272"/>
      <c r="D27" s="272"/>
      <c r="E27" s="272"/>
      <c r="F27" s="272"/>
      <c r="G27" s="273"/>
      <c r="H27" s="274" t="s">
        <v>79</v>
      </c>
      <c r="I27" s="272"/>
      <c r="J27" s="272"/>
      <c r="K27" s="272"/>
      <c r="L27" s="272"/>
      <c r="M27" s="272"/>
      <c r="N27" s="273"/>
      <c r="O27" s="274">
        <v>0.54</v>
      </c>
      <c r="P27" s="272"/>
      <c r="Q27" s="272"/>
      <c r="R27" s="272"/>
      <c r="S27" s="275" t="s">
        <v>98</v>
      </c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7"/>
      <c r="AX27" s="262"/>
      <c r="AY27" s="262"/>
      <c r="AZ27" s="262"/>
      <c r="BA27" s="262"/>
      <c r="BB27" s="262"/>
      <c r="BC27" s="263"/>
      <c r="BD27" s="264"/>
      <c r="BE27" s="262"/>
      <c r="BF27" s="262"/>
      <c r="BG27" s="262"/>
      <c r="BH27" s="262"/>
      <c r="BI27" s="262"/>
      <c r="BJ27" s="263"/>
      <c r="BK27" s="235"/>
    </row>
    <row r="28" spans="1:63" ht="15" customHeight="1" x14ac:dyDescent="0.25">
      <c r="A28" s="234"/>
      <c r="B28" s="278"/>
      <c r="C28" s="279"/>
      <c r="D28" s="279"/>
      <c r="E28" s="279"/>
      <c r="F28" s="279"/>
      <c r="G28" s="280"/>
      <c r="H28" s="278"/>
      <c r="I28" s="279"/>
      <c r="J28" s="279"/>
      <c r="K28" s="279"/>
      <c r="L28" s="279"/>
      <c r="M28" s="279"/>
      <c r="N28" s="280"/>
      <c r="O28" s="278"/>
      <c r="P28" s="279"/>
      <c r="Q28" s="279"/>
      <c r="R28" s="279"/>
      <c r="S28" s="265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7"/>
      <c r="AX28" s="268"/>
      <c r="AY28" s="268"/>
      <c r="AZ28" s="268"/>
      <c r="BA28" s="268"/>
      <c r="BB28" s="268"/>
      <c r="BC28" s="269"/>
      <c r="BD28" s="270"/>
      <c r="BE28" s="268"/>
      <c r="BF28" s="268"/>
      <c r="BG28" s="268"/>
      <c r="BH28" s="268"/>
      <c r="BI28" s="268"/>
      <c r="BJ28" s="269"/>
      <c r="BK28" s="235"/>
    </row>
    <row r="29" spans="1:63" ht="15" customHeight="1" x14ac:dyDescent="0.25">
      <c r="A29" s="234"/>
      <c r="B29" s="76">
        <v>45701</v>
      </c>
      <c r="C29" s="77"/>
      <c r="D29" s="77"/>
      <c r="E29" s="77"/>
      <c r="F29" s="77"/>
      <c r="G29" s="78"/>
      <c r="H29" s="82" t="s">
        <v>79</v>
      </c>
      <c r="I29" s="77"/>
      <c r="J29" s="77"/>
      <c r="K29" s="77"/>
      <c r="L29" s="77"/>
      <c r="M29" s="77"/>
      <c r="N29" s="78"/>
      <c r="O29" s="82">
        <v>0.55000000000000004</v>
      </c>
      <c r="P29" s="77"/>
      <c r="Q29" s="77"/>
      <c r="R29" s="77"/>
      <c r="S29" s="83" t="s">
        <v>99</v>
      </c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5"/>
      <c r="AX29" s="262"/>
      <c r="AY29" s="262"/>
      <c r="AZ29" s="262"/>
      <c r="BA29" s="262"/>
      <c r="BB29" s="262"/>
      <c r="BC29" s="263"/>
      <c r="BD29" s="264"/>
      <c r="BE29" s="262"/>
      <c r="BF29" s="262"/>
      <c r="BG29" s="262"/>
      <c r="BH29" s="262"/>
      <c r="BI29" s="262"/>
      <c r="BJ29" s="263"/>
      <c r="BK29" s="235"/>
    </row>
    <row r="30" spans="1:63" ht="15" customHeight="1" x14ac:dyDescent="0.25">
      <c r="A30" s="234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89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1"/>
      <c r="AX30" s="268"/>
      <c r="AY30" s="268"/>
      <c r="AZ30" s="268"/>
      <c r="BA30" s="268"/>
      <c r="BB30" s="268"/>
      <c r="BC30" s="269"/>
      <c r="BD30" s="270"/>
      <c r="BE30" s="268"/>
      <c r="BF30" s="268"/>
      <c r="BG30" s="268"/>
      <c r="BH30" s="268"/>
      <c r="BI30" s="268"/>
      <c r="BJ30" s="269"/>
      <c r="BK30" s="235"/>
    </row>
    <row r="31" spans="1:63" ht="15" customHeight="1" x14ac:dyDescent="0.25">
      <c r="A31" s="234"/>
      <c r="B31" s="76">
        <v>45772</v>
      </c>
      <c r="C31" s="77"/>
      <c r="D31" s="77"/>
      <c r="E31" s="77"/>
      <c r="F31" s="77"/>
      <c r="G31" s="78"/>
      <c r="H31" s="82" t="s">
        <v>79</v>
      </c>
      <c r="I31" s="77"/>
      <c r="J31" s="77"/>
      <c r="K31" s="77"/>
      <c r="L31" s="77"/>
      <c r="M31" s="77"/>
      <c r="N31" s="78"/>
      <c r="O31" s="82">
        <v>0.56000000000000005</v>
      </c>
      <c r="P31" s="77"/>
      <c r="Q31" s="77"/>
      <c r="R31" s="77"/>
      <c r="S31" s="83" t="s">
        <v>100</v>
      </c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5"/>
      <c r="AX31" s="262"/>
      <c r="AY31" s="262"/>
      <c r="AZ31" s="262"/>
      <c r="BA31" s="262"/>
      <c r="BB31" s="262"/>
      <c r="BC31" s="263"/>
      <c r="BD31" s="264"/>
      <c r="BE31" s="262"/>
      <c r="BF31" s="262"/>
      <c r="BG31" s="262"/>
      <c r="BH31" s="262"/>
      <c r="BI31" s="262"/>
      <c r="BJ31" s="263"/>
      <c r="BK31" s="235"/>
    </row>
    <row r="32" spans="1:63" ht="15" customHeight="1" x14ac:dyDescent="0.25">
      <c r="A32" s="234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89" t="s">
        <v>101</v>
      </c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1"/>
      <c r="AX32" s="268"/>
      <c r="AY32" s="268"/>
      <c r="AZ32" s="268"/>
      <c r="BA32" s="268"/>
      <c r="BB32" s="268"/>
      <c r="BC32" s="269"/>
      <c r="BD32" s="270"/>
      <c r="BE32" s="268"/>
      <c r="BF32" s="268"/>
      <c r="BG32" s="268"/>
      <c r="BH32" s="268"/>
      <c r="BI32" s="268"/>
      <c r="BJ32" s="269"/>
      <c r="BK32" s="235"/>
    </row>
    <row r="33" spans="1:63" ht="15" customHeight="1" x14ac:dyDescent="0.25">
      <c r="A33" s="234"/>
      <c r="B33" s="76">
        <v>45791</v>
      </c>
      <c r="C33" s="77"/>
      <c r="D33" s="77"/>
      <c r="E33" s="77"/>
      <c r="F33" s="77"/>
      <c r="G33" s="78"/>
      <c r="H33" s="82" t="s">
        <v>79</v>
      </c>
      <c r="I33" s="77"/>
      <c r="J33" s="77"/>
      <c r="K33" s="77"/>
      <c r="L33" s="77"/>
      <c r="M33" s="77"/>
      <c r="N33" s="78"/>
      <c r="O33" s="82">
        <v>0.56999999999999995</v>
      </c>
      <c r="P33" s="77"/>
      <c r="Q33" s="77"/>
      <c r="R33" s="77"/>
      <c r="S33" s="83" t="s">
        <v>102</v>
      </c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5"/>
      <c r="AX33" s="262"/>
      <c r="AY33" s="262"/>
      <c r="AZ33" s="262"/>
      <c r="BA33" s="262"/>
      <c r="BB33" s="262"/>
      <c r="BC33" s="263"/>
      <c r="BD33" s="264"/>
      <c r="BE33" s="262"/>
      <c r="BF33" s="262"/>
      <c r="BG33" s="262"/>
      <c r="BH33" s="262"/>
      <c r="BI33" s="262"/>
      <c r="BJ33" s="263"/>
      <c r="BK33" s="235"/>
    </row>
    <row r="34" spans="1:63" ht="34.5" customHeight="1" x14ac:dyDescent="0.25">
      <c r="A34" s="234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86" t="s">
        <v>103</v>
      </c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8"/>
      <c r="AX34" s="268"/>
      <c r="AY34" s="268"/>
      <c r="AZ34" s="268"/>
      <c r="BA34" s="268"/>
      <c r="BB34" s="268"/>
      <c r="BC34" s="269"/>
      <c r="BD34" s="270"/>
      <c r="BE34" s="268"/>
      <c r="BF34" s="268"/>
      <c r="BG34" s="268"/>
      <c r="BH34" s="268"/>
      <c r="BI34" s="268"/>
      <c r="BJ34" s="269"/>
      <c r="BK34" s="235"/>
    </row>
    <row r="35" spans="1:63" ht="15" customHeight="1" x14ac:dyDescent="0.25">
      <c r="A35" s="234"/>
      <c r="B35" s="206"/>
      <c r="C35" s="204"/>
      <c r="D35" s="204"/>
      <c r="E35" s="204"/>
      <c r="F35" s="204"/>
      <c r="G35" s="205"/>
      <c r="H35" s="206"/>
      <c r="I35" s="204"/>
      <c r="J35" s="204"/>
      <c r="K35" s="204"/>
      <c r="L35" s="204"/>
      <c r="M35" s="204"/>
      <c r="N35" s="205"/>
      <c r="O35" s="206"/>
      <c r="P35" s="204"/>
      <c r="Q35" s="204"/>
      <c r="R35" s="204"/>
      <c r="S35" s="259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1"/>
      <c r="AX35" s="262"/>
      <c r="AY35" s="262"/>
      <c r="AZ35" s="262"/>
      <c r="BA35" s="262"/>
      <c r="BB35" s="262"/>
      <c r="BC35" s="263"/>
      <c r="BD35" s="264"/>
      <c r="BE35" s="262"/>
      <c r="BF35" s="262"/>
      <c r="BG35" s="262"/>
      <c r="BH35" s="262"/>
      <c r="BI35" s="262"/>
      <c r="BJ35" s="263"/>
      <c r="BK35" s="235"/>
    </row>
    <row r="36" spans="1:63" ht="15" customHeight="1" x14ac:dyDescent="0.25">
      <c r="A36" s="234"/>
      <c r="B36" s="216"/>
      <c r="C36" s="217"/>
      <c r="D36" s="217"/>
      <c r="E36" s="217"/>
      <c r="F36" s="217"/>
      <c r="G36" s="218"/>
      <c r="H36" s="216"/>
      <c r="I36" s="217"/>
      <c r="J36" s="217"/>
      <c r="K36" s="217"/>
      <c r="L36" s="217"/>
      <c r="M36" s="217"/>
      <c r="N36" s="218"/>
      <c r="O36" s="216"/>
      <c r="P36" s="217"/>
      <c r="Q36" s="217"/>
      <c r="R36" s="217"/>
      <c r="S36" s="265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7"/>
      <c r="AX36" s="268"/>
      <c r="AY36" s="268"/>
      <c r="AZ36" s="268"/>
      <c r="BA36" s="268"/>
      <c r="BB36" s="268"/>
      <c r="BC36" s="269"/>
      <c r="BD36" s="270"/>
      <c r="BE36" s="268"/>
      <c r="BF36" s="268"/>
      <c r="BG36" s="268"/>
      <c r="BH36" s="268"/>
      <c r="BI36" s="268"/>
      <c r="BJ36" s="269"/>
      <c r="BK36" s="235"/>
    </row>
    <row r="37" spans="1:63" ht="15" customHeight="1" x14ac:dyDescent="0.25">
      <c r="A37" s="234"/>
      <c r="B37" s="206"/>
      <c r="C37" s="204"/>
      <c r="D37" s="204"/>
      <c r="E37" s="204"/>
      <c r="F37" s="204"/>
      <c r="G37" s="205"/>
      <c r="H37" s="206"/>
      <c r="I37" s="204"/>
      <c r="J37" s="204"/>
      <c r="K37" s="204"/>
      <c r="L37" s="204"/>
      <c r="M37" s="204"/>
      <c r="N37" s="205"/>
      <c r="O37" s="206"/>
      <c r="P37" s="204"/>
      <c r="Q37" s="204"/>
      <c r="R37" s="204"/>
      <c r="S37" s="259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1"/>
      <c r="AX37" s="262"/>
      <c r="AY37" s="262"/>
      <c r="AZ37" s="262"/>
      <c r="BA37" s="262"/>
      <c r="BB37" s="262"/>
      <c r="BC37" s="263"/>
      <c r="BD37" s="264"/>
      <c r="BE37" s="262"/>
      <c r="BF37" s="262"/>
      <c r="BG37" s="262"/>
      <c r="BH37" s="262"/>
      <c r="BI37" s="262"/>
      <c r="BJ37" s="263"/>
      <c r="BK37" s="235"/>
    </row>
    <row r="38" spans="1:63" ht="15" customHeight="1" x14ac:dyDescent="0.25">
      <c r="A38" s="234"/>
      <c r="B38" s="216"/>
      <c r="C38" s="217"/>
      <c r="D38" s="217"/>
      <c r="E38" s="217"/>
      <c r="F38" s="217"/>
      <c r="G38" s="218"/>
      <c r="H38" s="216"/>
      <c r="I38" s="217"/>
      <c r="J38" s="217"/>
      <c r="K38" s="217"/>
      <c r="L38" s="217"/>
      <c r="M38" s="217"/>
      <c r="N38" s="218"/>
      <c r="O38" s="216"/>
      <c r="P38" s="217"/>
      <c r="Q38" s="217"/>
      <c r="R38" s="217"/>
      <c r="S38" s="265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7"/>
      <c r="AX38" s="268"/>
      <c r="AY38" s="268"/>
      <c r="AZ38" s="268"/>
      <c r="BA38" s="268"/>
      <c r="BB38" s="268"/>
      <c r="BC38" s="269"/>
      <c r="BD38" s="270"/>
      <c r="BE38" s="268"/>
      <c r="BF38" s="268"/>
      <c r="BG38" s="268"/>
      <c r="BH38" s="268"/>
      <c r="BI38" s="268"/>
      <c r="BJ38" s="269"/>
      <c r="BK38" s="235"/>
    </row>
    <row r="39" spans="1:63" ht="15" customHeight="1" x14ac:dyDescent="0.25">
      <c r="A39" s="234"/>
      <c r="B39" s="206"/>
      <c r="C39" s="204"/>
      <c r="D39" s="204"/>
      <c r="E39" s="204"/>
      <c r="F39" s="204"/>
      <c r="G39" s="205"/>
      <c r="H39" s="206"/>
      <c r="I39" s="204"/>
      <c r="J39" s="204"/>
      <c r="K39" s="204"/>
      <c r="L39" s="204"/>
      <c r="M39" s="204"/>
      <c r="N39" s="205"/>
      <c r="O39" s="206"/>
      <c r="P39" s="204"/>
      <c r="Q39" s="204"/>
      <c r="R39" s="204"/>
      <c r="S39" s="259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1"/>
      <c r="AX39" s="262"/>
      <c r="AY39" s="262"/>
      <c r="AZ39" s="262"/>
      <c r="BA39" s="262"/>
      <c r="BB39" s="262"/>
      <c r="BC39" s="263"/>
      <c r="BD39" s="264"/>
      <c r="BE39" s="262"/>
      <c r="BF39" s="262"/>
      <c r="BG39" s="262"/>
      <c r="BH39" s="262"/>
      <c r="BI39" s="262"/>
      <c r="BJ39" s="263"/>
      <c r="BK39" s="235"/>
    </row>
    <row r="40" spans="1:63" ht="15" customHeight="1" x14ac:dyDescent="0.25">
      <c r="A40" s="234"/>
      <c r="B40" s="216"/>
      <c r="C40" s="217"/>
      <c r="D40" s="217"/>
      <c r="E40" s="217"/>
      <c r="F40" s="217"/>
      <c r="G40" s="218"/>
      <c r="H40" s="216"/>
      <c r="I40" s="217"/>
      <c r="J40" s="217"/>
      <c r="K40" s="217"/>
      <c r="L40" s="217"/>
      <c r="M40" s="217"/>
      <c r="N40" s="218"/>
      <c r="O40" s="216"/>
      <c r="P40" s="217"/>
      <c r="Q40" s="217"/>
      <c r="R40" s="217"/>
      <c r="S40" s="265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7"/>
      <c r="AX40" s="268"/>
      <c r="AY40" s="268"/>
      <c r="AZ40" s="268"/>
      <c r="BA40" s="268"/>
      <c r="BB40" s="268"/>
      <c r="BC40" s="269"/>
      <c r="BD40" s="270"/>
      <c r="BE40" s="268"/>
      <c r="BF40" s="268"/>
      <c r="BG40" s="268"/>
      <c r="BH40" s="268"/>
      <c r="BI40" s="268"/>
      <c r="BJ40" s="269"/>
      <c r="BK40" s="235"/>
    </row>
    <row r="41" spans="1:63" ht="15" customHeight="1" x14ac:dyDescent="0.25">
      <c r="A41" s="234"/>
      <c r="B41" s="206"/>
      <c r="C41" s="204"/>
      <c r="D41" s="204"/>
      <c r="E41" s="204"/>
      <c r="F41" s="204"/>
      <c r="G41" s="205"/>
      <c r="H41" s="206"/>
      <c r="I41" s="204"/>
      <c r="J41" s="204"/>
      <c r="K41" s="204"/>
      <c r="L41" s="204"/>
      <c r="M41" s="204"/>
      <c r="N41" s="205"/>
      <c r="O41" s="206"/>
      <c r="P41" s="204"/>
      <c r="Q41" s="204"/>
      <c r="R41" s="204"/>
      <c r="S41" s="259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1"/>
      <c r="AX41" s="262"/>
      <c r="AY41" s="262"/>
      <c r="AZ41" s="262"/>
      <c r="BA41" s="262"/>
      <c r="BB41" s="262"/>
      <c r="BC41" s="263"/>
      <c r="BD41" s="264"/>
      <c r="BE41" s="262"/>
      <c r="BF41" s="262"/>
      <c r="BG41" s="262"/>
      <c r="BH41" s="262"/>
      <c r="BI41" s="262"/>
      <c r="BJ41" s="263"/>
      <c r="BK41" s="235"/>
    </row>
    <row r="42" spans="1:63" ht="15" customHeight="1" x14ac:dyDescent="0.25">
      <c r="A42" s="234"/>
      <c r="B42" s="216"/>
      <c r="C42" s="217"/>
      <c r="D42" s="217"/>
      <c r="E42" s="217"/>
      <c r="F42" s="217"/>
      <c r="G42" s="218"/>
      <c r="H42" s="216"/>
      <c r="I42" s="217"/>
      <c r="J42" s="217"/>
      <c r="K42" s="217"/>
      <c r="L42" s="217"/>
      <c r="M42" s="217"/>
      <c r="N42" s="218"/>
      <c r="O42" s="216"/>
      <c r="P42" s="217"/>
      <c r="Q42" s="217"/>
      <c r="R42" s="217"/>
      <c r="S42" s="265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7"/>
      <c r="AX42" s="268"/>
      <c r="AY42" s="268"/>
      <c r="AZ42" s="268"/>
      <c r="BA42" s="268"/>
      <c r="BB42" s="268"/>
      <c r="BC42" s="269"/>
      <c r="BD42" s="270"/>
      <c r="BE42" s="268"/>
      <c r="BF42" s="268"/>
      <c r="BG42" s="268"/>
      <c r="BH42" s="268"/>
      <c r="BI42" s="268"/>
      <c r="BJ42" s="269"/>
      <c r="BK42" s="235"/>
    </row>
    <row r="43" spans="1:63" ht="15" customHeight="1" x14ac:dyDescent="0.25">
      <c r="A43" s="234"/>
      <c r="B43" s="206"/>
      <c r="C43" s="204"/>
      <c r="D43" s="204"/>
      <c r="E43" s="204"/>
      <c r="F43" s="204"/>
      <c r="G43" s="205"/>
      <c r="H43" s="206"/>
      <c r="I43" s="204"/>
      <c r="J43" s="204"/>
      <c r="K43" s="204"/>
      <c r="L43" s="204"/>
      <c r="M43" s="204"/>
      <c r="N43" s="205"/>
      <c r="O43" s="206"/>
      <c r="P43" s="204"/>
      <c r="Q43" s="204"/>
      <c r="R43" s="204"/>
      <c r="S43" s="259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1"/>
      <c r="AX43" s="262"/>
      <c r="AY43" s="262"/>
      <c r="AZ43" s="262"/>
      <c r="BA43" s="262"/>
      <c r="BB43" s="262"/>
      <c r="BC43" s="263"/>
      <c r="BD43" s="264"/>
      <c r="BE43" s="262"/>
      <c r="BF43" s="262"/>
      <c r="BG43" s="262"/>
      <c r="BH43" s="262"/>
      <c r="BI43" s="262"/>
      <c r="BJ43" s="263"/>
      <c r="BK43" s="235"/>
    </row>
    <row r="44" spans="1:63" ht="15" customHeight="1" x14ac:dyDescent="0.25">
      <c r="A44" s="234"/>
      <c r="B44" s="216"/>
      <c r="C44" s="217"/>
      <c r="D44" s="217"/>
      <c r="E44" s="217"/>
      <c r="F44" s="217"/>
      <c r="G44" s="218"/>
      <c r="H44" s="216"/>
      <c r="I44" s="217"/>
      <c r="J44" s="217"/>
      <c r="K44" s="217"/>
      <c r="L44" s="217"/>
      <c r="M44" s="217"/>
      <c r="N44" s="218"/>
      <c r="O44" s="216"/>
      <c r="P44" s="217"/>
      <c r="Q44" s="217"/>
      <c r="R44" s="217"/>
      <c r="S44" s="265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7"/>
      <c r="AX44" s="268"/>
      <c r="AY44" s="268"/>
      <c r="AZ44" s="268"/>
      <c r="BA44" s="268"/>
      <c r="BB44" s="268"/>
      <c r="BC44" s="269"/>
      <c r="BD44" s="270"/>
      <c r="BE44" s="268"/>
      <c r="BF44" s="268"/>
      <c r="BG44" s="268"/>
      <c r="BH44" s="268"/>
      <c r="BI44" s="268"/>
      <c r="BJ44" s="269"/>
      <c r="BK44" s="235"/>
    </row>
    <row r="45" spans="1:63" ht="15" customHeight="1" x14ac:dyDescent="0.25">
      <c r="A45" s="234"/>
      <c r="B45" s="206"/>
      <c r="C45" s="204"/>
      <c r="D45" s="204"/>
      <c r="E45" s="204"/>
      <c r="F45" s="204"/>
      <c r="G45" s="205"/>
      <c r="H45" s="206"/>
      <c r="I45" s="204"/>
      <c r="J45" s="204"/>
      <c r="K45" s="204"/>
      <c r="L45" s="204"/>
      <c r="M45" s="204"/>
      <c r="N45" s="205"/>
      <c r="O45" s="206"/>
      <c r="P45" s="204"/>
      <c r="Q45" s="204"/>
      <c r="R45" s="204"/>
      <c r="S45" s="259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0"/>
      <c r="AV45" s="260"/>
      <c r="AW45" s="261"/>
      <c r="AX45" s="262"/>
      <c r="AY45" s="262"/>
      <c r="AZ45" s="262"/>
      <c r="BA45" s="262"/>
      <c r="BB45" s="262"/>
      <c r="BC45" s="263"/>
      <c r="BD45" s="264"/>
      <c r="BE45" s="262"/>
      <c r="BF45" s="262"/>
      <c r="BG45" s="262"/>
      <c r="BH45" s="262"/>
      <c r="BI45" s="262"/>
      <c r="BJ45" s="263"/>
      <c r="BK45" s="235"/>
    </row>
    <row r="46" spans="1:63" ht="15" customHeight="1" x14ac:dyDescent="0.25">
      <c r="A46" s="234"/>
      <c r="B46" s="216"/>
      <c r="C46" s="217"/>
      <c r="D46" s="217"/>
      <c r="E46" s="217"/>
      <c r="F46" s="217"/>
      <c r="G46" s="218"/>
      <c r="H46" s="216"/>
      <c r="I46" s="217"/>
      <c r="J46" s="217"/>
      <c r="K46" s="217"/>
      <c r="L46" s="217"/>
      <c r="M46" s="217"/>
      <c r="N46" s="218"/>
      <c r="O46" s="216"/>
      <c r="P46" s="217"/>
      <c r="Q46" s="217"/>
      <c r="R46" s="217"/>
      <c r="S46" s="265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7"/>
      <c r="AX46" s="268"/>
      <c r="AY46" s="268"/>
      <c r="AZ46" s="268"/>
      <c r="BA46" s="268"/>
      <c r="BB46" s="268"/>
      <c r="BC46" s="269"/>
      <c r="BD46" s="270"/>
      <c r="BE46" s="268"/>
      <c r="BF46" s="268"/>
      <c r="BG46" s="268"/>
      <c r="BH46" s="268"/>
      <c r="BI46" s="268"/>
      <c r="BJ46" s="269"/>
      <c r="BK46" s="235"/>
    </row>
    <row r="47" spans="1:63" ht="15" customHeight="1" x14ac:dyDescent="0.25">
      <c r="A47" s="234"/>
      <c r="B47" s="206"/>
      <c r="C47" s="204"/>
      <c r="D47" s="204"/>
      <c r="E47" s="204"/>
      <c r="F47" s="204"/>
      <c r="G47" s="205"/>
      <c r="H47" s="206"/>
      <c r="I47" s="204"/>
      <c r="J47" s="204"/>
      <c r="K47" s="204"/>
      <c r="L47" s="204"/>
      <c r="M47" s="204"/>
      <c r="N47" s="205"/>
      <c r="O47" s="206"/>
      <c r="P47" s="204"/>
      <c r="Q47" s="204"/>
      <c r="R47" s="204"/>
      <c r="S47" s="259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0"/>
      <c r="AV47" s="260"/>
      <c r="AW47" s="261"/>
      <c r="AX47" s="262"/>
      <c r="AY47" s="262"/>
      <c r="AZ47" s="262"/>
      <c r="BA47" s="262"/>
      <c r="BB47" s="262"/>
      <c r="BC47" s="263"/>
      <c r="BD47" s="264"/>
      <c r="BE47" s="262"/>
      <c r="BF47" s="262"/>
      <c r="BG47" s="262"/>
      <c r="BH47" s="262"/>
      <c r="BI47" s="262"/>
      <c r="BJ47" s="263"/>
      <c r="BK47" s="235"/>
    </row>
    <row r="48" spans="1:63" ht="15" customHeight="1" x14ac:dyDescent="0.25">
      <c r="A48" s="234"/>
      <c r="B48" s="216"/>
      <c r="C48" s="217"/>
      <c r="D48" s="217"/>
      <c r="E48" s="217"/>
      <c r="F48" s="217"/>
      <c r="G48" s="218"/>
      <c r="H48" s="216"/>
      <c r="I48" s="217"/>
      <c r="J48" s="217"/>
      <c r="K48" s="217"/>
      <c r="L48" s="217"/>
      <c r="M48" s="217"/>
      <c r="N48" s="218"/>
      <c r="O48" s="216"/>
      <c r="P48" s="217"/>
      <c r="Q48" s="217"/>
      <c r="R48" s="217"/>
      <c r="S48" s="265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7"/>
      <c r="AX48" s="268"/>
      <c r="AY48" s="268"/>
      <c r="AZ48" s="268"/>
      <c r="BA48" s="268"/>
      <c r="BB48" s="268"/>
      <c r="BC48" s="269"/>
      <c r="BD48" s="270"/>
      <c r="BE48" s="268"/>
      <c r="BF48" s="268"/>
      <c r="BG48" s="268"/>
      <c r="BH48" s="268"/>
      <c r="BI48" s="268"/>
      <c r="BJ48" s="269"/>
      <c r="BK48" s="235"/>
    </row>
    <row r="49" spans="1:63" ht="15" customHeight="1" x14ac:dyDescent="0.25">
      <c r="A49" s="234"/>
      <c r="B49" s="206"/>
      <c r="C49" s="204"/>
      <c r="D49" s="204"/>
      <c r="E49" s="204"/>
      <c r="F49" s="204"/>
      <c r="G49" s="205"/>
      <c r="H49" s="206"/>
      <c r="I49" s="204"/>
      <c r="J49" s="204"/>
      <c r="K49" s="204"/>
      <c r="L49" s="204"/>
      <c r="M49" s="204"/>
      <c r="N49" s="205"/>
      <c r="O49" s="206"/>
      <c r="P49" s="204"/>
      <c r="Q49" s="204"/>
      <c r="R49" s="204"/>
      <c r="S49" s="259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0"/>
      <c r="AV49" s="260"/>
      <c r="AW49" s="261"/>
      <c r="AX49" s="262"/>
      <c r="AY49" s="262"/>
      <c r="AZ49" s="262"/>
      <c r="BA49" s="262"/>
      <c r="BB49" s="262"/>
      <c r="BC49" s="263"/>
      <c r="BD49" s="264"/>
      <c r="BE49" s="262"/>
      <c r="BF49" s="262"/>
      <c r="BG49" s="262"/>
      <c r="BH49" s="262"/>
      <c r="BI49" s="262"/>
      <c r="BJ49" s="263"/>
      <c r="BK49" s="235"/>
    </row>
    <row r="50" spans="1:63" ht="15" customHeight="1" x14ac:dyDescent="0.25">
      <c r="A50" s="234"/>
      <c r="B50" s="216"/>
      <c r="C50" s="217"/>
      <c r="D50" s="217"/>
      <c r="E50" s="217"/>
      <c r="F50" s="217"/>
      <c r="G50" s="218"/>
      <c r="H50" s="216"/>
      <c r="I50" s="217"/>
      <c r="J50" s="217"/>
      <c r="K50" s="217"/>
      <c r="L50" s="217"/>
      <c r="M50" s="217"/>
      <c r="N50" s="218"/>
      <c r="O50" s="216"/>
      <c r="P50" s="217"/>
      <c r="Q50" s="217"/>
      <c r="R50" s="217"/>
      <c r="S50" s="265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7"/>
      <c r="AX50" s="268"/>
      <c r="AY50" s="268"/>
      <c r="AZ50" s="268"/>
      <c r="BA50" s="268"/>
      <c r="BB50" s="268"/>
      <c r="BC50" s="269"/>
      <c r="BD50" s="270"/>
      <c r="BE50" s="268"/>
      <c r="BF50" s="268"/>
      <c r="BG50" s="268"/>
      <c r="BH50" s="268"/>
      <c r="BI50" s="268"/>
      <c r="BJ50" s="269"/>
      <c r="BK50" s="235"/>
    </row>
    <row r="51" spans="1:63" ht="15" customHeight="1" x14ac:dyDescent="0.25">
      <c r="A51" s="234"/>
      <c r="B51" s="206"/>
      <c r="C51" s="204"/>
      <c r="D51" s="204"/>
      <c r="E51" s="204"/>
      <c r="F51" s="204"/>
      <c r="G51" s="205"/>
      <c r="H51" s="206"/>
      <c r="I51" s="204"/>
      <c r="J51" s="204"/>
      <c r="K51" s="204"/>
      <c r="L51" s="204"/>
      <c r="M51" s="204"/>
      <c r="N51" s="205"/>
      <c r="O51" s="206"/>
      <c r="P51" s="204"/>
      <c r="Q51" s="204"/>
      <c r="R51" s="204"/>
      <c r="S51" s="259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60"/>
      <c r="AH51" s="260"/>
      <c r="AI51" s="260"/>
      <c r="AJ51" s="260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60"/>
      <c r="AV51" s="260"/>
      <c r="AW51" s="261"/>
      <c r="AX51" s="262"/>
      <c r="AY51" s="262"/>
      <c r="AZ51" s="262"/>
      <c r="BA51" s="262"/>
      <c r="BB51" s="262"/>
      <c r="BC51" s="263"/>
      <c r="BD51" s="264"/>
      <c r="BE51" s="262"/>
      <c r="BF51" s="262"/>
      <c r="BG51" s="262"/>
      <c r="BH51" s="262"/>
      <c r="BI51" s="262"/>
      <c r="BJ51" s="263"/>
      <c r="BK51" s="235"/>
    </row>
    <row r="52" spans="1:63" ht="15" customHeight="1" x14ac:dyDescent="0.25">
      <c r="A52" s="234"/>
      <c r="B52" s="216"/>
      <c r="C52" s="217"/>
      <c r="D52" s="217"/>
      <c r="E52" s="217"/>
      <c r="F52" s="217"/>
      <c r="G52" s="218"/>
      <c r="H52" s="216"/>
      <c r="I52" s="217"/>
      <c r="J52" s="217"/>
      <c r="K52" s="217"/>
      <c r="L52" s="217"/>
      <c r="M52" s="217"/>
      <c r="N52" s="218"/>
      <c r="O52" s="216"/>
      <c r="P52" s="217"/>
      <c r="Q52" s="217"/>
      <c r="R52" s="217"/>
      <c r="S52" s="265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7"/>
      <c r="AX52" s="268"/>
      <c r="AY52" s="268"/>
      <c r="AZ52" s="268"/>
      <c r="BA52" s="268"/>
      <c r="BB52" s="268"/>
      <c r="BC52" s="269"/>
      <c r="BD52" s="270"/>
      <c r="BE52" s="268"/>
      <c r="BF52" s="268"/>
      <c r="BG52" s="268"/>
      <c r="BH52" s="268"/>
      <c r="BI52" s="268"/>
      <c r="BJ52" s="269"/>
      <c r="BK52" s="235"/>
    </row>
    <row r="53" spans="1:63" ht="15" customHeight="1" x14ac:dyDescent="0.25">
      <c r="A53" s="234"/>
      <c r="B53" s="206"/>
      <c r="C53" s="204"/>
      <c r="D53" s="204"/>
      <c r="E53" s="204"/>
      <c r="F53" s="204"/>
      <c r="G53" s="205"/>
      <c r="H53" s="206"/>
      <c r="I53" s="204"/>
      <c r="J53" s="204"/>
      <c r="K53" s="204"/>
      <c r="L53" s="204"/>
      <c r="M53" s="204"/>
      <c r="N53" s="205"/>
      <c r="O53" s="206"/>
      <c r="P53" s="204"/>
      <c r="Q53" s="204"/>
      <c r="R53" s="204"/>
      <c r="S53" s="259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0"/>
      <c r="AJ53" s="260"/>
      <c r="AK53" s="260"/>
      <c r="AL53" s="260"/>
      <c r="AM53" s="260"/>
      <c r="AN53" s="260"/>
      <c r="AO53" s="260"/>
      <c r="AP53" s="260"/>
      <c r="AQ53" s="260"/>
      <c r="AR53" s="260"/>
      <c r="AS53" s="260"/>
      <c r="AT53" s="260"/>
      <c r="AU53" s="260"/>
      <c r="AV53" s="260"/>
      <c r="AW53" s="261"/>
      <c r="AX53" s="262"/>
      <c r="AY53" s="262"/>
      <c r="AZ53" s="262"/>
      <c r="BA53" s="262"/>
      <c r="BB53" s="262"/>
      <c r="BC53" s="263"/>
      <c r="BD53" s="264"/>
      <c r="BE53" s="262"/>
      <c r="BF53" s="262"/>
      <c r="BG53" s="262"/>
      <c r="BH53" s="262"/>
      <c r="BI53" s="262"/>
      <c r="BJ53" s="263"/>
      <c r="BK53" s="235"/>
    </row>
    <row r="54" spans="1:63" ht="15" customHeight="1" x14ac:dyDescent="0.25">
      <c r="A54" s="234"/>
      <c r="B54" s="216"/>
      <c r="C54" s="217"/>
      <c r="D54" s="217"/>
      <c r="E54" s="217"/>
      <c r="F54" s="217"/>
      <c r="G54" s="218"/>
      <c r="H54" s="216"/>
      <c r="I54" s="217"/>
      <c r="J54" s="217"/>
      <c r="K54" s="217"/>
      <c r="L54" s="217"/>
      <c r="M54" s="217"/>
      <c r="N54" s="218"/>
      <c r="O54" s="216"/>
      <c r="P54" s="217"/>
      <c r="Q54" s="217"/>
      <c r="R54" s="217"/>
      <c r="S54" s="265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7"/>
      <c r="AX54" s="268"/>
      <c r="AY54" s="268"/>
      <c r="AZ54" s="268"/>
      <c r="BA54" s="268"/>
      <c r="BB54" s="268"/>
      <c r="BC54" s="269"/>
      <c r="BD54" s="270"/>
      <c r="BE54" s="268"/>
      <c r="BF54" s="268"/>
      <c r="BG54" s="268"/>
      <c r="BH54" s="268"/>
      <c r="BI54" s="268"/>
      <c r="BJ54" s="269"/>
      <c r="BK54" s="235"/>
    </row>
    <row r="55" spans="1:63" ht="15" customHeight="1" x14ac:dyDescent="0.25">
      <c r="A55" s="231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81" t="s">
        <v>84</v>
      </c>
      <c r="B1" s="282"/>
      <c r="C1" s="282"/>
      <c r="D1" s="282"/>
      <c r="E1" s="282"/>
      <c r="F1" s="282"/>
      <c r="G1" s="282"/>
      <c r="H1" s="282"/>
      <c r="I1" s="282"/>
      <c r="J1" s="283"/>
      <c r="K1" s="281" t="s">
        <v>85</v>
      </c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3"/>
      <c r="W1" s="284" t="s">
        <v>82</v>
      </c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197" t="s">
        <v>86</v>
      </c>
      <c r="AQ1" s="198"/>
      <c r="AR1" s="198"/>
      <c r="AS1" s="199"/>
      <c r="AT1" s="197" t="s">
        <v>87</v>
      </c>
      <c r="AU1" s="198"/>
      <c r="AV1" s="198"/>
      <c r="AW1" s="198"/>
      <c r="AX1" s="199"/>
      <c r="AY1" s="197" t="s">
        <v>88</v>
      </c>
      <c r="AZ1" s="198"/>
      <c r="BA1" s="198"/>
      <c r="BB1" s="199"/>
      <c r="BC1" s="197" t="s">
        <v>89</v>
      </c>
      <c r="BD1" s="198"/>
      <c r="BE1" s="198"/>
      <c r="BF1" s="198"/>
      <c r="BG1" s="199"/>
      <c r="BH1" s="197" t="s">
        <v>90</v>
      </c>
      <c r="BI1" s="198"/>
      <c r="BJ1" s="198"/>
      <c r="BK1" s="199"/>
    </row>
    <row r="2" spans="1:63" ht="15" customHeight="1" x14ac:dyDescent="0.25">
      <c r="A2" s="123" t="s">
        <v>81</v>
      </c>
      <c r="B2" s="124"/>
      <c r="C2" s="124"/>
      <c r="D2" s="124"/>
      <c r="E2" s="124"/>
      <c r="F2" s="124"/>
      <c r="G2" s="124"/>
      <c r="H2" s="124"/>
      <c r="I2" s="124"/>
      <c r="J2" s="125"/>
      <c r="K2" s="123" t="s">
        <v>81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287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9"/>
      <c r="AP2" s="206" t="s">
        <v>78</v>
      </c>
      <c r="AQ2" s="204"/>
      <c r="AR2" s="204"/>
      <c r="AS2" s="205"/>
      <c r="AT2" s="210">
        <v>45475</v>
      </c>
      <c r="AU2" s="211"/>
      <c r="AV2" s="211"/>
      <c r="AW2" s="211"/>
      <c r="AX2" s="212"/>
      <c r="AY2" s="206" t="s">
        <v>79</v>
      </c>
      <c r="AZ2" s="204"/>
      <c r="BA2" s="204"/>
      <c r="BB2" s="205"/>
      <c r="BC2" s="210">
        <v>45791</v>
      </c>
      <c r="BD2" s="211"/>
      <c r="BE2" s="211"/>
      <c r="BF2" s="211"/>
      <c r="BG2" s="212"/>
      <c r="BH2" s="206">
        <v>0.56999999999999995</v>
      </c>
      <c r="BI2" s="204"/>
      <c r="BJ2" s="204"/>
      <c r="BK2" s="20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290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81" t="s">
        <v>91</v>
      </c>
      <c r="B4" s="282"/>
      <c r="C4" s="282"/>
      <c r="D4" s="282"/>
      <c r="E4" s="282"/>
      <c r="F4" s="282"/>
      <c r="G4" s="283"/>
      <c r="H4" s="141" t="s">
        <v>80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281" t="s">
        <v>92</v>
      </c>
      <c r="V4" s="282"/>
      <c r="W4" s="282"/>
      <c r="X4" s="282"/>
      <c r="Y4" s="283"/>
      <c r="Z4" s="141" t="s">
        <v>83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処理フロー凡例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03" customFormat="1" ht="15" customHeight="1" x14ac:dyDescent="0.25">
      <c r="A7" s="293"/>
      <c r="B7" s="294" t="s">
        <v>104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6"/>
      <c r="AF7" s="297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5"/>
      <c r="AR7" s="295"/>
      <c r="AS7" s="295"/>
      <c r="AT7" s="295"/>
      <c r="AU7" s="295"/>
      <c r="AV7" s="295"/>
      <c r="AW7" s="295"/>
      <c r="AX7" s="295"/>
      <c r="AY7" s="295"/>
      <c r="AZ7" s="295"/>
      <c r="BA7" s="295"/>
      <c r="BB7" s="295"/>
      <c r="BC7" s="295"/>
      <c r="BD7" s="295"/>
      <c r="BE7" s="295"/>
      <c r="BF7" s="295"/>
      <c r="BG7" s="295"/>
      <c r="BH7" s="295"/>
      <c r="BI7" s="296"/>
      <c r="BJ7" s="295"/>
      <c r="BK7" s="298"/>
    </row>
    <row r="8" spans="1:63" s="299" customFormat="1" ht="15" customHeight="1" x14ac:dyDescent="0.25">
      <c r="BK8" s="298"/>
    </row>
    <row r="9" spans="1:63" s="299" customFormat="1" ht="15" customHeight="1" x14ac:dyDescent="0.25">
      <c r="BK9" s="298"/>
    </row>
    <row r="10" spans="1:63" s="299" customFormat="1" ht="15" customHeight="1" x14ac:dyDescent="0.25">
      <c r="BK10" s="298"/>
    </row>
    <row r="11" spans="1:63" s="299" customFormat="1" ht="15" customHeight="1" x14ac:dyDescent="0.25">
      <c r="BK11" s="298"/>
    </row>
    <row r="12" spans="1:63" s="299" customFormat="1" ht="15" customHeight="1" x14ac:dyDescent="0.25">
      <c r="BK12" s="298"/>
    </row>
    <row r="13" spans="1:63" s="299" customFormat="1" ht="15" customHeight="1" x14ac:dyDescent="0.25">
      <c r="BK13" s="298"/>
    </row>
    <row r="14" spans="1:63" s="299" customFormat="1" ht="15" customHeight="1" x14ac:dyDescent="0.25">
      <c r="BK14" s="298"/>
    </row>
    <row r="15" spans="1:63" s="299" customFormat="1" ht="15" customHeight="1" x14ac:dyDescent="0.25">
      <c r="BK15" s="298"/>
    </row>
    <row r="16" spans="1:63" s="299" customFormat="1" ht="15" customHeight="1" x14ac:dyDescent="0.25">
      <c r="BK16" s="298"/>
    </row>
    <row r="17" spans="63:63" s="299" customFormat="1" ht="15" customHeight="1" x14ac:dyDescent="0.25">
      <c r="BK17" s="298"/>
    </row>
    <row r="18" spans="63:63" s="299" customFormat="1" ht="15" customHeight="1" x14ac:dyDescent="0.25">
      <c r="BK18" s="298"/>
    </row>
    <row r="19" spans="63:63" s="299" customFormat="1" ht="15" customHeight="1" x14ac:dyDescent="0.25">
      <c r="BK19" s="298"/>
    </row>
    <row r="20" spans="63:63" s="299" customFormat="1" ht="15" customHeight="1" x14ac:dyDescent="0.25">
      <c r="BK20" s="298"/>
    </row>
    <row r="21" spans="63:63" s="299" customFormat="1" ht="15" customHeight="1" x14ac:dyDescent="0.25">
      <c r="BK21" s="298"/>
    </row>
    <row r="22" spans="63:63" s="299" customFormat="1" ht="15" customHeight="1" x14ac:dyDescent="0.25">
      <c r="BK22" s="298"/>
    </row>
    <row r="23" spans="63:63" s="299" customFormat="1" ht="15" customHeight="1" x14ac:dyDescent="0.25">
      <c r="BK23" s="298"/>
    </row>
    <row r="24" spans="63:63" s="299" customFormat="1" ht="15" customHeight="1" x14ac:dyDescent="0.25">
      <c r="BK24" s="298"/>
    </row>
    <row r="25" spans="63:63" s="299" customFormat="1" ht="15" customHeight="1" x14ac:dyDescent="0.25">
      <c r="BK25" s="298"/>
    </row>
    <row r="26" spans="63:63" s="299" customFormat="1" ht="15" customHeight="1" x14ac:dyDescent="0.25">
      <c r="BK26" s="298"/>
    </row>
    <row r="27" spans="63:63" s="299" customFormat="1" ht="15" customHeight="1" x14ac:dyDescent="0.25">
      <c r="BK27" s="298"/>
    </row>
    <row r="28" spans="63:63" s="299" customFormat="1" ht="15" customHeight="1" x14ac:dyDescent="0.25">
      <c r="BK28" s="298"/>
    </row>
    <row r="29" spans="63:63" s="299" customFormat="1" ht="15" customHeight="1" x14ac:dyDescent="0.25">
      <c r="BK29" s="298"/>
    </row>
    <row r="30" spans="63:63" s="299" customFormat="1" ht="15" customHeight="1" x14ac:dyDescent="0.25">
      <c r="BK30" s="298"/>
    </row>
    <row r="31" spans="63:63" s="299" customFormat="1" ht="15" customHeight="1" x14ac:dyDescent="0.25">
      <c r="BK31" s="298"/>
    </row>
    <row r="32" spans="63:63" s="299" customFormat="1" ht="15" customHeight="1" x14ac:dyDescent="0.25">
      <c r="BK32" s="298"/>
    </row>
    <row r="33" spans="63:63" s="299" customFormat="1" ht="15" customHeight="1" x14ac:dyDescent="0.25">
      <c r="BK33" s="298"/>
    </row>
    <row r="34" spans="63:63" s="299" customFormat="1" ht="15" customHeight="1" x14ac:dyDescent="0.25">
      <c r="BK34" s="298"/>
    </row>
    <row r="35" spans="63:63" s="299" customFormat="1" ht="15" customHeight="1" x14ac:dyDescent="0.25">
      <c r="BK35" s="298"/>
    </row>
    <row r="36" spans="63:63" s="299" customFormat="1" ht="15" customHeight="1" x14ac:dyDescent="0.25">
      <c r="BK36" s="298"/>
    </row>
    <row r="37" spans="63:63" s="299" customFormat="1" ht="15" customHeight="1" x14ac:dyDescent="0.25">
      <c r="BK37" s="298"/>
    </row>
    <row r="38" spans="63:63" s="299" customFormat="1" ht="15" customHeight="1" x14ac:dyDescent="0.25">
      <c r="BK38" s="298"/>
    </row>
    <row r="39" spans="63:63" s="299" customFormat="1" ht="15" customHeight="1" x14ac:dyDescent="0.25">
      <c r="BK39" s="298"/>
    </row>
    <row r="40" spans="63:63" s="299" customFormat="1" ht="15" customHeight="1" x14ac:dyDescent="0.25">
      <c r="BK40" s="298"/>
    </row>
    <row r="41" spans="63:63" s="299" customFormat="1" ht="15" customHeight="1" x14ac:dyDescent="0.25">
      <c r="BK41" s="298"/>
    </row>
    <row r="42" spans="63:63" s="299" customFormat="1" ht="15" customHeight="1" x14ac:dyDescent="0.25">
      <c r="BK42" s="298"/>
    </row>
    <row r="43" spans="63:63" s="299" customFormat="1" ht="15" customHeight="1" x14ac:dyDescent="0.25">
      <c r="BK43" s="298"/>
    </row>
    <row r="44" spans="63:63" s="299" customFormat="1" ht="15" customHeight="1" x14ac:dyDescent="0.25">
      <c r="BK44" s="298"/>
    </row>
    <row r="45" spans="63:63" s="299" customFormat="1" ht="15" customHeight="1" x14ac:dyDescent="0.25">
      <c r="BK45" s="298"/>
    </row>
    <row r="46" spans="63:63" s="299" customFormat="1" ht="15" customHeight="1" x14ac:dyDescent="0.25">
      <c r="BK46" s="298"/>
    </row>
    <row r="47" spans="63:63" x14ac:dyDescent="0.25">
      <c r="BK47" s="11"/>
    </row>
    <row r="48" spans="63:63" x14ac:dyDescent="0.25">
      <c r="BK48" s="11"/>
    </row>
    <row r="49" spans="1:63" x14ac:dyDescent="0.25">
      <c r="BK49" s="11"/>
    </row>
    <row r="50" spans="1:63" x14ac:dyDescent="0.25">
      <c r="BK50" s="11"/>
    </row>
    <row r="51" spans="1:63" x14ac:dyDescent="0.25">
      <c r="BK51" s="11"/>
    </row>
    <row r="52" spans="1:63" x14ac:dyDescent="0.25">
      <c r="BK52" s="11"/>
    </row>
    <row r="53" spans="1:63" x14ac:dyDescent="0.25">
      <c r="BK53" s="11"/>
    </row>
    <row r="54" spans="1:6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81" t="s">
        <v>84</v>
      </c>
      <c r="B1" s="282"/>
      <c r="C1" s="282"/>
      <c r="D1" s="282"/>
      <c r="E1" s="282"/>
      <c r="F1" s="282"/>
      <c r="G1" s="282"/>
      <c r="H1" s="282"/>
      <c r="I1" s="282"/>
      <c r="J1" s="283"/>
      <c r="K1" s="281" t="s">
        <v>85</v>
      </c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3"/>
      <c r="W1" s="284" t="s">
        <v>82</v>
      </c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197" t="s">
        <v>86</v>
      </c>
      <c r="AQ1" s="198"/>
      <c r="AR1" s="198"/>
      <c r="AS1" s="199"/>
      <c r="AT1" s="197" t="s">
        <v>87</v>
      </c>
      <c r="AU1" s="198"/>
      <c r="AV1" s="198"/>
      <c r="AW1" s="198"/>
      <c r="AX1" s="199"/>
      <c r="AY1" s="197" t="s">
        <v>88</v>
      </c>
      <c r="AZ1" s="198"/>
      <c r="BA1" s="198"/>
      <c r="BB1" s="199"/>
      <c r="BC1" s="197" t="s">
        <v>89</v>
      </c>
      <c r="BD1" s="198"/>
      <c r="BE1" s="198"/>
      <c r="BF1" s="198"/>
      <c r="BG1" s="199"/>
      <c r="BH1" s="197" t="s">
        <v>90</v>
      </c>
      <c r="BI1" s="198"/>
      <c r="BJ1" s="198"/>
      <c r="BK1" s="199"/>
    </row>
    <row r="2" spans="1:63" ht="15" customHeight="1" x14ac:dyDescent="0.25">
      <c r="A2" s="123" t="s">
        <v>81</v>
      </c>
      <c r="B2" s="124"/>
      <c r="C2" s="124"/>
      <c r="D2" s="124"/>
      <c r="E2" s="124"/>
      <c r="F2" s="124"/>
      <c r="G2" s="124"/>
      <c r="H2" s="124"/>
      <c r="I2" s="124"/>
      <c r="J2" s="125"/>
      <c r="K2" s="123" t="s">
        <v>81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287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9"/>
      <c r="AP2" s="206" t="s">
        <v>78</v>
      </c>
      <c r="AQ2" s="204"/>
      <c r="AR2" s="204"/>
      <c r="AS2" s="205"/>
      <c r="AT2" s="210">
        <v>45475</v>
      </c>
      <c r="AU2" s="211"/>
      <c r="AV2" s="211"/>
      <c r="AW2" s="211"/>
      <c r="AX2" s="212"/>
      <c r="AY2" s="206" t="s">
        <v>79</v>
      </c>
      <c r="AZ2" s="204"/>
      <c r="BA2" s="204"/>
      <c r="BB2" s="205"/>
      <c r="BC2" s="210">
        <v>45791</v>
      </c>
      <c r="BD2" s="211"/>
      <c r="BE2" s="211"/>
      <c r="BF2" s="211"/>
      <c r="BG2" s="212"/>
      <c r="BH2" s="206">
        <v>0.56999999999999995</v>
      </c>
      <c r="BI2" s="204"/>
      <c r="BJ2" s="204"/>
      <c r="BK2" s="20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290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81" t="s">
        <v>91</v>
      </c>
      <c r="B4" s="282"/>
      <c r="C4" s="282"/>
      <c r="D4" s="282"/>
      <c r="E4" s="282"/>
      <c r="F4" s="282"/>
      <c r="G4" s="283"/>
      <c r="H4" s="141" t="s">
        <v>80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281" t="s">
        <v>92</v>
      </c>
      <c r="V4" s="282"/>
      <c r="W4" s="282"/>
      <c r="X4" s="282"/>
      <c r="Y4" s="283"/>
      <c r="Z4" s="141" t="s">
        <v>83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AP1506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8" customFormat="1" ht="15" customHeight="1" x14ac:dyDescent="0.25">
      <c r="A7" s="23"/>
      <c r="B7" s="24" t="s">
        <v>105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300"/>
      <c r="AQ7" s="300"/>
      <c r="AR7" s="300"/>
      <c r="AS7" s="300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26"/>
      <c r="BJ7" s="26"/>
      <c r="BK7" s="27"/>
    </row>
    <row r="8" spans="1:63" s="28" customFormat="1" ht="15" customHeight="1" x14ac:dyDescent="0.25">
      <c r="A8" s="23"/>
      <c r="B8" s="29"/>
      <c r="C8" s="29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01"/>
      <c r="AQ8" s="301"/>
      <c r="AR8" s="301"/>
      <c r="AS8" s="30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17"/>
      <c r="BI8" s="17"/>
      <c r="BJ8" s="17"/>
      <c r="BK8" s="27"/>
    </row>
    <row r="9" spans="1:63" s="28" customFormat="1" ht="15" customHeight="1" x14ac:dyDescent="0.25">
      <c r="A9" s="23"/>
      <c r="B9" s="29"/>
      <c r="C9" s="30" t="s">
        <v>106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01"/>
      <c r="AQ9" s="301"/>
      <c r="AR9" s="301"/>
      <c r="AS9" s="30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17"/>
      <c r="BI9" s="17"/>
      <c r="BJ9" s="17"/>
      <c r="BK9" s="27"/>
    </row>
    <row r="10" spans="1:63" s="28" customFormat="1" ht="15" customHeight="1" x14ac:dyDescent="0.25">
      <c r="A10" s="23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01"/>
      <c r="AQ10" s="301"/>
      <c r="AR10" s="301"/>
      <c r="AS10" s="30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17"/>
      <c r="BI10" s="17"/>
      <c r="BJ10" s="17"/>
      <c r="BK10" s="27"/>
    </row>
    <row r="11" spans="1:63" s="28" customFormat="1" ht="15" customHeight="1" x14ac:dyDescent="0.25">
      <c r="A11" s="23"/>
      <c r="B11" s="32" t="s">
        <v>107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6"/>
      <c r="BI11" s="26"/>
      <c r="BJ11" s="26"/>
      <c r="BK11" s="27"/>
    </row>
    <row r="12" spans="1:63" s="28" customFormat="1" ht="15" customHeight="1" x14ac:dyDescent="0.25">
      <c r="A12" s="23"/>
      <c r="B12" s="31"/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17"/>
      <c r="BI12" s="17"/>
      <c r="BJ12" s="17"/>
      <c r="BK12" s="27"/>
    </row>
    <row r="13" spans="1:63" s="28" customFormat="1" ht="15" customHeight="1" x14ac:dyDescent="0.25">
      <c r="A13" s="23"/>
      <c r="B13" s="31"/>
      <c r="C13" s="33" t="s">
        <v>108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17"/>
      <c r="BI13" s="17"/>
      <c r="BJ13" s="17"/>
      <c r="BK13" s="27"/>
    </row>
    <row r="14" spans="1:63" s="28" customFormat="1" ht="15" customHeight="1" x14ac:dyDescent="0.25">
      <c r="A14" s="23"/>
      <c r="B14" s="31"/>
      <c r="C14" s="29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17"/>
      <c r="BI14" s="17"/>
      <c r="BJ14" s="17"/>
      <c r="BK14" s="27"/>
    </row>
    <row r="15" spans="1:63" s="28" customFormat="1" ht="15" customHeight="1" x14ac:dyDescent="0.25">
      <c r="A15" s="23"/>
      <c r="B15" s="31"/>
      <c r="C15" s="154" t="s">
        <v>21</v>
      </c>
      <c r="D15" s="156"/>
      <c r="E15" s="154" t="s">
        <v>25</v>
      </c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6"/>
      <c r="AG15" s="154" t="s">
        <v>26</v>
      </c>
      <c r="AH15" s="155"/>
      <c r="AI15" s="155"/>
      <c r="AJ15" s="155"/>
      <c r="AK15" s="155"/>
      <c r="AL15" s="155"/>
      <c r="AM15" s="155"/>
      <c r="AN15" s="155"/>
      <c r="AO15" s="155"/>
      <c r="AP15" s="156"/>
      <c r="AQ15" s="154" t="s">
        <v>27</v>
      </c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6"/>
      <c r="BK15" s="27"/>
    </row>
    <row r="16" spans="1:63" s="28" customFormat="1" ht="15" customHeight="1" x14ac:dyDescent="0.25">
      <c r="A16" s="23"/>
      <c r="B16" s="31"/>
      <c r="C16" s="182">
        <v>1</v>
      </c>
      <c r="D16" s="183"/>
      <c r="E16" s="302" t="s">
        <v>55</v>
      </c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4"/>
      <c r="AG16" s="182" t="s">
        <v>22</v>
      </c>
      <c r="AH16" s="186"/>
      <c r="AI16" s="186"/>
      <c r="AJ16" s="186"/>
      <c r="AK16" s="186"/>
      <c r="AL16" s="186"/>
      <c r="AM16" s="186"/>
      <c r="AN16" s="186"/>
      <c r="AO16" s="186"/>
      <c r="AP16" s="183"/>
      <c r="AQ16" s="190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2"/>
      <c r="BK16" s="27"/>
    </row>
    <row r="17" spans="1:63" s="28" customFormat="1" ht="15" customHeight="1" x14ac:dyDescent="0.25">
      <c r="A17" s="23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17"/>
      <c r="BI17" s="17"/>
      <c r="BJ17" s="17"/>
      <c r="BK17" s="27"/>
    </row>
    <row r="18" spans="1:63" s="28" customFormat="1" ht="15" customHeight="1" x14ac:dyDescent="0.25">
      <c r="A18" s="23"/>
      <c r="B18" s="31"/>
      <c r="C18" s="33" t="s">
        <v>109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17"/>
      <c r="BI18" s="17"/>
      <c r="BJ18" s="17"/>
      <c r="BK18" s="27"/>
    </row>
    <row r="19" spans="1:63" s="28" customFormat="1" ht="15" customHeight="1" x14ac:dyDescent="0.25">
      <c r="A19" s="23"/>
      <c r="B19" s="31"/>
      <c r="C19" s="33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17"/>
      <c r="BI19" s="17"/>
      <c r="BJ19" s="17"/>
      <c r="BK19" s="27"/>
    </row>
    <row r="20" spans="1:63" s="28" customFormat="1" ht="15" customHeight="1" x14ac:dyDescent="0.25">
      <c r="A20" s="23"/>
      <c r="B20" s="31"/>
      <c r="C20" s="173" t="s">
        <v>110</v>
      </c>
      <c r="D20" s="185"/>
      <c r="E20" s="173" t="s">
        <v>111</v>
      </c>
      <c r="F20" s="184"/>
      <c r="G20" s="184"/>
      <c r="H20" s="184"/>
      <c r="I20" s="184"/>
      <c r="J20" s="184"/>
      <c r="K20" s="185"/>
      <c r="L20" s="154" t="s">
        <v>28</v>
      </c>
      <c r="M20" s="155"/>
      <c r="N20" s="156"/>
      <c r="O20" s="154" t="s">
        <v>29</v>
      </c>
      <c r="P20" s="155"/>
      <c r="Q20" s="155"/>
      <c r="R20" s="156"/>
      <c r="S20" s="154" t="s">
        <v>30</v>
      </c>
      <c r="T20" s="155"/>
      <c r="U20" s="155"/>
      <c r="V20" s="155"/>
      <c r="W20" s="155"/>
      <c r="X20" s="155"/>
      <c r="Y20" s="156"/>
      <c r="Z20" s="173" t="s">
        <v>112</v>
      </c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5"/>
      <c r="AQ20" s="154" t="s">
        <v>27</v>
      </c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6"/>
      <c r="BK20" s="27"/>
    </row>
    <row r="21" spans="1:63" s="28" customFormat="1" ht="15" customHeight="1" x14ac:dyDescent="0.25">
      <c r="A21" s="23"/>
      <c r="B21" s="31"/>
      <c r="C21" s="182">
        <v>1</v>
      </c>
      <c r="D21" s="183"/>
      <c r="E21" s="305" t="s">
        <v>12</v>
      </c>
      <c r="F21" s="306"/>
      <c r="G21" s="306"/>
      <c r="H21" s="306"/>
      <c r="I21" s="306"/>
      <c r="J21" s="306"/>
      <c r="K21" s="307"/>
      <c r="L21" s="187" t="s">
        <v>13</v>
      </c>
      <c r="M21" s="188"/>
      <c r="N21" s="189"/>
      <c r="O21" s="182" t="s">
        <v>14</v>
      </c>
      <c r="P21" s="186"/>
      <c r="Q21" s="186"/>
      <c r="R21" s="183"/>
      <c r="S21" s="182" t="s">
        <v>15</v>
      </c>
      <c r="T21" s="186"/>
      <c r="U21" s="186"/>
      <c r="V21" s="186"/>
      <c r="W21" s="186"/>
      <c r="X21" s="186"/>
      <c r="Y21" s="183"/>
      <c r="Z21" s="305" t="s">
        <v>16</v>
      </c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7"/>
      <c r="AQ21" s="308" t="s">
        <v>113</v>
      </c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4"/>
      <c r="BK21" s="27"/>
    </row>
    <row r="22" spans="1:63" s="28" customFormat="1" ht="15" customHeight="1" x14ac:dyDescent="0.25">
      <c r="A22" s="23"/>
      <c r="B22" s="31"/>
      <c r="C22" s="182">
        <v>2</v>
      </c>
      <c r="D22" s="183"/>
      <c r="E22" s="305" t="s">
        <v>17</v>
      </c>
      <c r="F22" s="306"/>
      <c r="G22" s="306"/>
      <c r="H22" s="306"/>
      <c r="I22" s="306"/>
      <c r="J22" s="306"/>
      <c r="K22" s="307"/>
      <c r="L22" s="187" t="s">
        <v>15</v>
      </c>
      <c r="M22" s="188"/>
      <c r="N22" s="189"/>
      <c r="O22" s="182" t="s">
        <v>14</v>
      </c>
      <c r="P22" s="186"/>
      <c r="Q22" s="186"/>
      <c r="R22" s="183"/>
      <c r="S22" s="182" t="s">
        <v>15</v>
      </c>
      <c r="T22" s="186"/>
      <c r="U22" s="186"/>
      <c r="V22" s="186"/>
      <c r="W22" s="186"/>
      <c r="X22" s="186"/>
      <c r="Y22" s="183"/>
      <c r="Z22" s="305" t="s">
        <v>17</v>
      </c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7"/>
      <c r="AQ22" s="302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4"/>
      <c r="BK22" s="27"/>
    </row>
    <row r="23" spans="1:63" s="28" customFormat="1" ht="15" customHeight="1" x14ac:dyDescent="0.25">
      <c r="A23" s="23"/>
      <c r="B23" s="31"/>
      <c r="C23" s="167">
        <v>3</v>
      </c>
      <c r="D23" s="168"/>
      <c r="E23" s="309" t="s">
        <v>18</v>
      </c>
      <c r="F23" s="310"/>
      <c r="G23" s="310"/>
      <c r="H23" s="310"/>
      <c r="I23" s="310"/>
      <c r="J23" s="310"/>
      <c r="K23" s="311"/>
      <c r="L23" s="312" t="s">
        <v>13</v>
      </c>
      <c r="M23" s="313"/>
      <c r="N23" s="314"/>
      <c r="O23" s="315" t="s">
        <v>14</v>
      </c>
      <c r="P23" s="316"/>
      <c r="Q23" s="316"/>
      <c r="R23" s="317"/>
      <c r="S23" s="315" t="s">
        <v>23</v>
      </c>
      <c r="T23" s="316"/>
      <c r="U23" s="316"/>
      <c r="V23" s="316"/>
      <c r="W23" s="316"/>
      <c r="X23" s="316"/>
      <c r="Y23" s="317"/>
      <c r="Z23" s="318" t="s">
        <v>18</v>
      </c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19"/>
      <c r="AL23" s="319"/>
      <c r="AM23" s="319"/>
      <c r="AN23" s="319"/>
      <c r="AO23" s="319"/>
      <c r="AP23" s="320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  <c r="BA23" s="321"/>
      <c r="BB23" s="321"/>
      <c r="BC23" s="321"/>
      <c r="BD23" s="321"/>
      <c r="BE23" s="321"/>
      <c r="BF23" s="321"/>
      <c r="BG23" s="321"/>
      <c r="BH23" s="321"/>
      <c r="BI23" s="321"/>
      <c r="BJ23" s="322"/>
      <c r="BK23" s="27"/>
    </row>
    <row r="24" spans="1:63" s="28" customFormat="1" ht="15" customHeight="1" x14ac:dyDescent="0.25">
      <c r="A24" s="23"/>
      <c r="B24" s="31"/>
      <c r="C24" s="169"/>
      <c r="D24" s="170"/>
      <c r="E24" s="323"/>
      <c r="F24" s="324"/>
      <c r="G24" s="324"/>
      <c r="H24" s="324"/>
      <c r="I24" s="324"/>
      <c r="J24" s="324"/>
      <c r="K24" s="325"/>
      <c r="L24" s="326"/>
      <c r="M24" s="327"/>
      <c r="N24" s="328"/>
      <c r="O24" s="329"/>
      <c r="P24" s="330"/>
      <c r="Q24" s="330"/>
      <c r="R24" s="331"/>
      <c r="S24" s="329"/>
      <c r="T24" s="330"/>
      <c r="U24" s="330"/>
      <c r="V24" s="330"/>
      <c r="W24" s="330"/>
      <c r="X24" s="330"/>
      <c r="Y24" s="331"/>
      <c r="Z24" s="332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333"/>
      <c r="AP24" s="334"/>
      <c r="AQ24" s="335"/>
      <c r="AR24" s="335"/>
      <c r="AS24" s="335"/>
      <c r="AT24" s="335"/>
      <c r="AU24" s="335"/>
      <c r="AV24" s="335"/>
      <c r="AW24" s="335"/>
      <c r="AX24" s="335"/>
      <c r="AY24" s="335"/>
      <c r="AZ24" s="335"/>
      <c r="BA24" s="335"/>
      <c r="BB24" s="335"/>
      <c r="BC24" s="335"/>
      <c r="BD24" s="335"/>
      <c r="BE24" s="335"/>
      <c r="BF24" s="335"/>
      <c r="BG24" s="335"/>
      <c r="BH24" s="335"/>
      <c r="BI24" s="335"/>
      <c r="BJ24" s="336"/>
      <c r="BK24" s="27"/>
    </row>
    <row r="25" spans="1:63" s="28" customFormat="1" ht="15" customHeight="1" x14ac:dyDescent="0.25">
      <c r="A25" s="23"/>
      <c r="B25" s="31"/>
      <c r="C25" s="171"/>
      <c r="D25" s="172"/>
      <c r="E25" s="337"/>
      <c r="F25" s="338"/>
      <c r="G25" s="338"/>
      <c r="H25" s="338"/>
      <c r="I25" s="338"/>
      <c r="J25" s="338"/>
      <c r="K25" s="339"/>
      <c r="L25" s="340"/>
      <c r="M25" s="341"/>
      <c r="N25" s="342"/>
      <c r="O25" s="343"/>
      <c r="P25" s="344"/>
      <c r="Q25" s="344"/>
      <c r="R25" s="345"/>
      <c r="S25" s="343"/>
      <c r="T25" s="344"/>
      <c r="U25" s="344"/>
      <c r="V25" s="344"/>
      <c r="W25" s="344"/>
      <c r="X25" s="344"/>
      <c r="Y25" s="345"/>
      <c r="Z25" s="346"/>
      <c r="AA25" s="347"/>
      <c r="AB25" s="347"/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/>
      <c r="AO25" s="347"/>
      <c r="AP25" s="348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49"/>
      <c r="BG25" s="349"/>
      <c r="BH25" s="349"/>
      <c r="BI25" s="349"/>
      <c r="BJ25" s="350"/>
      <c r="BK25" s="27"/>
    </row>
    <row r="26" spans="1:63" s="28" customFormat="1" ht="15" customHeight="1" x14ac:dyDescent="0.25">
      <c r="A26" s="23"/>
      <c r="B26" s="31"/>
      <c r="C26" s="182">
        <v>4</v>
      </c>
      <c r="D26" s="183"/>
      <c r="E26" s="305" t="s">
        <v>19</v>
      </c>
      <c r="F26" s="306"/>
      <c r="G26" s="306"/>
      <c r="H26" s="306"/>
      <c r="I26" s="306"/>
      <c r="J26" s="306"/>
      <c r="K26" s="307"/>
      <c r="L26" s="187" t="s">
        <v>15</v>
      </c>
      <c r="M26" s="188"/>
      <c r="N26" s="189"/>
      <c r="O26" s="182" t="s">
        <v>14</v>
      </c>
      <c r="P26" s="186"/>
      <c r="Q26" s="186"/>
      <c r="R26" s="183"/>
      <c r="S26" s="182" t="s">
        <v>15</v>
      </c>
      <c r="T26" s="186"/>
      <c r="U26" s="186"/>
      <c r="V26" s="186"/>
      <c r="W26" s="186"/>
      <c r="X26" s="186"/>
      <c r="Y26" s="183"/>
      <c r="Z26" s="305" t="s">
        <v>19</v>
      </c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7"/>
      <c r="AQ26" s="302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4"/>
      <c r="BK26" s="27"/>
    </row>
    <row r="27" spans="1:63" s="28" customFormat="1" ht="15" customHeight="1" x14ac:dyDescent="0.25">
      <c r="A27" s="23"/>
      <c r="B27" s="31"/>
      <c r="C27" s="182">
        <v>5</v>
      </c>
      <c r="D27" s="183"/>
      <c r="E27" s="305" t="s">
        <v>20</v>
      </c>
      <c r="F27" s="306"/>
      <c r="G27" s="306"/>
      <c r="H27" s="306"/>
      <c r="I27" s="306"/>
      <c r="J27" s="306"/>
      <c r="K27" s="307"/>
      <c r="L27" s="187" t="s">
        <v>15</v>
      </c>
      <c r="M27" s="188"/>
      <c r="N27" s="189"/>
      <c r="O27" s="182" t="s">
        <v>14</v>
      </c>
      <c r="P27" s="186"/>
      <c r="Q27" s="186"/>
      <c r="R27" s="183"/>
      <c r="S27" s="182" t="s">
        <v>15</v>
      </c>
      <c r="T27" s="186"/>
      <c r="U27" s="186"/>
      <c r="V27" s="186"/>
      <c r="W27" s="186"/>
      <c r="X27" s="186"/>
      <c r="Y27" s="183"/>
      <c r="Z27" s="305" t="s">
        <v>20</v>
      </c>
      <c r="AA27" s="306"/>
      <c r="AB27" s="306"/>
      <c r="AC27" s="306"/>
      <c r="AD27" s="306"/>
      <c r="AE27" s="306"/>
      <c r="AF27" s="306"/>
      <c r="AG27" s="306"/>
      <c r="AH27" s="306"/>
      <c r="AI27" s="306"/>
      <c r="AJ27" s="306"/>
      <c r="AK27" s="306"/>
      <c r="AL27" s="306"/>
      <c r="AM27" s="306"/>
      <c r="AN27" s="306"/>
      <c r="AO27" s="306"/>
      <c r="AP27" s="307"/>
      <c r="AQ27" s="302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4"/>
      <c r="BK27" s="27"/>
    </row>
    <row r="28" spans="1:63" s="28" customFormat="1" ht="15" customHeight="1" x14ac:dyDescent="0.25">
      <c r="A28" s="23"/>
      <c r="B28" s="31"/>
      <c r="C28" s="31"/>
      <c r="D28" s="31"/>
      <c r="E28" s="301"/>
      <c r="F28" s="301"/>
      <c r="G28" s="301"/>
      <c r="H28" s="301"/>
      <c r="I28" s="31"/>
      <c r="J28" s="31"/>
      <c r="K28" s="31"/>
      <c r="L28" s="351"/>
      <c r="M28" s="301"/>
      <c r="N28" s="301"/>
      <c r="O28" s="301"/>
      <c r="P28" s="301"/>
      <c r="Q28" s="31"/>
      <c r="R28" s="31"/>
      <c r="S28" s="31"/>
      <c r="T28" s="31"/>
      <c r="U28" s="31"/>
      <c r="V28" s="31"/>
      <c r="W28" s="31"/>
      <c r="X28" s="31"/>
      <c r="Y28" s="31"/>
      <c r="Z28" s="37"/>
      <c r="AA28" s="31"/>
      <c r="AB28" s="31"/>
      <c r="AC28" s="31"/>
      <c r="AD28" s="31"/>
      <c r="AE28" s="31"/>
      <c r="AF28" s="31"/>
      <c r="AG28" s="301"/>
      <c r="AH28" s="301"/>
      <c r="AI28" s="301"/>
      <c r="AJ28" s="301"/>
      <c r="AK28" s="301"/>
      <c r="AL28" s="301"/>
      <c r="AM28" s="301"/>
      <c r="AN28" s="301"/>
      <c r="AO28" s="301"/>
      <c r="AP28" s="31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17"/>
      <c r="BI28" s="17"/>
      <c r="BJ28" s="17"/>
      <c r="BK28" s="27"/>
    </row>
    <row r="29" spans="1:63" s="28" customFormat="1" ht="15" customHeight="1" x14ac:dyDescent="0.25">
      <c r="A29" s="23"/>
      <c r="B29" s="31"/>
      <c r="C29" s="31"/>
      <c r="D29" s="31"/>
      <c r="E29" s="301"/>
      <c r="F29" s="301"/>
      <c r="G29" s="301"/>
      <c r="H29" s="301"/>
      <c r="I29" s="31"/>
      <c r="J29" s="31"/>
      <c r="K29" s="31"/>
      <c r="L29" s="39"/>
      <c r="M29" s="301"/>
      <c r="N29" s="301"/>
      <c r="O29" s="301"/>
      <c r="P29" s="301"/>
      <c r="Q29" s="31"/>
      <c r="R29" s="31"/>
      <c r="S29" s="31"/>
      <c r="T29" s="31"/>
      <c r="U29" s="31"/>
      <c r="V29" s="31"/>
      <c r="W29" s="31"/>
      <c r="X29" s="31"/>
      <c r="Y29" s="31"/>
      <c r="Z29" s="37"/>
      <c r="AA29" s="31"/>
      <c r="AB29" s="31"/>
      <c r="AC29" s="31"/>
      <c r="AD29" s="31"/>
      <c r="AE29" s="31"/>
      <c r="AF29" s="31"/>
      <c r="AG29" s="301"/>
      <c r="AH29" s="301"/>
      <c r="AI29" s="301"/>
      <c r="AJ29" s="301"/>
      <c r="AK29" s="301"/>
      <c r="AL29" s="301"/>
      <c r="AM29" s="301"/>
      <c r="AN29" s="301"/>
      <c r="AO29" s="301"/>
      <c r="AP29" s="31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17"/>
      <c r="BI29" s="17"/>
      <c r="BJ29" s="17"/>
      <c r="BK29" s="27"/>
    </row>
    <row r="30" spans="1:63" s="28" customFormat="1" ht="15" customHeight="1" x14ac:dyDescent="0.25">
      <c r="A30" s="23"/>
      <c r="B30" s="31"/>
      <c r="C30" s="33" t="s">
        <v>114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17"/>
      <c r="BI30" s="17"/>
      <c r="BJ30" s="17"/>
      <c r="BK30" s="27"/>
    </row>
    <row r="31" spans="1:63" s="28" customFormat="1" ht="15" customHeight="1" x14ac:dyDescent="0.25">
      <c r="A31" s="23"/>
      <c r="B31" s="31"/>
      <c r="C31" s="29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17"/>
      <c r="BI31" s="17"/>
      <c r="BJ31" s="17"/>
      <c r="BK31" s="27"/>
    </row>
    <row r="32" spans="1:63" s="28" customFormat="1" ht="15" customHeight="1" x14ac:dyDescent="0.25">
      <c r="A32" s="23"/>
      <c r="B32" s="31"/>
      <c r="C32" s="180" t="s">
        <v>21</v>
      </c>
      <c r="D32" s="181"/>
      <c r="E32" s="352" t="s">
        <v>31</v>
      </c>
      <c r="F32" s="353"/>
      <c r="G32" s="353"/>
      <c r="H32" s="353"/>
      <c r="I32" s="353"/>
      <c r="J32" s="353"/>
      <c r="K32" s="354"/>
      <c r="L32" s="154" t="s">
        <v>28</v>
      </c>
      <c r="M32" s="155"/>
      <c r="N32" s="156"/>
      <c r="O32" s="154" t="s">
        <v>29</v>
      </c>
      <c r="P32" s="155"/>
      <c r="Q32" s="155"/>
      <c r="R32" s="156"/>
      <c r="S32" s="154" t="s">
        <v>30</v>
      </c>
      <c r="T32" s="155"/>
      <c r="U32" s="155"/>
      <c r="V32" s="155"/>
      <c r="W32" s="155"/>
      <c r="X32" s="155"/>
      <c r="Y32" s="156"/>
      <c r="Z32" s="173" t="s">
        <v>112</v>
      </c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5"/>
      <c r="AQ32" s="177" t="s">
        <v>27</v>
      </c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9"/>
      <c r="BK32" s="27"/>
    </row>
    <row r="33" spans="1:63" s="28" customFormat="1" ht="15" customHeight="1" x14ac:dyDescent="0.25">
      <c r="A33" s="23"/>
      <c r="B33" s="31"/>
      <c r="C33" s="182">
        <v>1</v>
      </c>
      <c r="D33" s="183"/>
      <c r="E33" s="305" t="s">
        <v>43</v>
      </c>
      <c r="F33" s="306"/>
      <c r="G33" s="306"/>
      <c r="H33" s="306"/>
      <c r="I33" s="306"/>
      <c r="J33" s="306"/>
      <c r="K33" s="307"/>
      <c r="L33" s="196" t="s">
        <v>13</v>
      </c>
      <c r="M33" s="188"/>
      <c r="N33" s="189"/>
      <c r="O33" s="149" t="s">
        <v>115</v>
      </c>
      <c r="P33" s="151"/>
      <c r="Q33" s="151"/>
      <c r="R33" s="150"/>
      <c r="S33" s="182" t="s">
        <v>15</v>
      </c>
      <c r="T33" s="186"/>
      <c r="U33" s="186"/>
      <c r="V33" s="186"/>
      <c r="W33" s="186"/>
      <c r="X33" s="186"/>
      <c r="Y33" s="183"/>
      <c r="Z33" s="305" t="s">
        <v>44</v>
      </c>
      <c r="AA33" s="306"/>
      <c r="AB33" s="306"/>
      <c r="AC33" s="306"/>
      <c r="AD33" s="306"/>
      <c r="AE33" s="306"/>
      <c r="AF33" s="306"/>
      <c r="AG33" s="306"/>
      <c r="AH33" s="306"/>
      <c r="AI33" s="306"/>
      <c r="AJ33" s="306"/>
      <c r="AK33" s="306"/>
      <c r="AL33" s="306"/>
      <c r="AM33" s="306"/>
      <c r="AN33" s="306"/>
      <c r="AO33" s="306"/>
      <c r="AP33" s="307"/>
      <c r="AQ33" s="149" t="s">
        <v>116</v>
      </c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0"/>
      <c r="BK33" s="27"/>
    </row>
    <row r="34" spans="1:63" s="28" customFormat="1" ht="15" customHeight="1" x14ac:dyDescent="0.25">
      <c r="A34" s="23"/>
      <c r="B34" s="31"/>
      <c r="C34" s="305">
        <v>2</v>
      </c>
      <c r="D34" s="307"/>
      <c r="E34" s="305" t="s">
        <v>66</v>
      </c>
      <c r="F34" s="306"/>
      <c r="G34" s="306"/>
      <c r="H34" s="306"/>
      <c r="I34" s="306"/>
      <c r="J34" s="306"/>
      <c r="K34" s="307"/>
      <c r="L34" s="228" t="s">
        <v>15</v>
      </c>
      <c r="M34" s="229"/>
      <c r="N34" s="230"/>
      <c r="O34" s="305" t="s">
        <v>77</v>
      </c>
      <c r="P34" s="306"/>
      <c r="Q34" s="306"/>
      <c r="R34" s="307"/>
      <c r="S34" s="305" t="s">
        <v>15</v>
      </c>
      <c r="T34" s="306"/>
      <c r="U34" s="306"/>
      <c r="V34" s="306"/>
      <c r="W34" s="306"/>
      <c r="X34" s="306"/>
      <c r="Y34" s="307"/>
      <c r="Z34" s="305" t="s">
        <v>117</v>
      </c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7"/>
      <c r="AQ34" s="305" t="s">
        <v>118</v>
      </c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6"/>
      <c r="BD34" s="306"/>
      <c r="BE34" s="306"/>
      <c r="BF34" s="306"/>
      <c r="BG34" s="306"/>
      <c r="BH34" s="306"/>
      <c r="BI34" s="306"/>
      <c r="BJ34" s="307"/>
      <c r="BK34" s="27"/>
    </row>
    <row r="35" spans="1:63" s="28" customFormat="1" ht="15" customHeight="1" x14ac:dyDescent="0.25">
      <c r="A35" s="23"/>
      <c r="B35" s="31"/>
      <c r="C35" s="305">
        <v>3</v>
      </c>
      <c r="D35" s="307"/>
      <c r="E35" s="305" t="s">
        <v>45</v>
      </c>
      <c r="F35" s="306"/>
      <c r="G35" s="306"/>
      <c r="H35" s="306"/>
      <c r="I35" s="306"/>
      <c r="J35" s="306"/>
      <c r="K35" s="307"/>
      <c r="L35" s="228" t="s">
        <v>15</v>
      </c>
      <c r="M35" s="229"/>
      <c r="N35" s="230"/>
      <c r="O35" s="305" t="s">
        <v>77</v>
      </c>
      <c r="P35" s="306"/>
      <c r="Q35" s="306"/>
      <c r="R35" s="307"/>
      <c r="S35" s="305" t="s">
        <v>15</v>
      </c>
      <c r="T35" s="306"/>
      <c r="U35" s="306"/>
      <c r="V35" s="306"/>
      <c r="W35" s="306"/>
      <c r="X35" s="306"/>
      <c r="Y35" s="307"/>
      <c r="Z35" s="305" t="s">
        <v>47</v>
      </c>
      <c r="AA35" s="306"/>
      <c r="AB35" s="306"/>
      <c r="AC35" s="306"/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7"/>
      <c r="AQ35" s="305" t="s">
        <v>119</v>
      </c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7"/>
      <c r="BK35" s="27"/>
    </row>
    <row r="36" spans="1:63" s="28" customFormat="1" ht="15" customHeight="1" x14ac:dyDescent="0.25">
      <c r="A36" s="23"/>
      <c r="B36" s="31"/>
      <c r="C36" s="305">
        <v>4</v>
      </c>
      <c r="D36" s="307"/>
      <c r="E36" s="305" t="s">
        <v>46</v>
      </c>
      <c r="F36" s="306"/>
      <c r="G36" s="306"/>
      <c r="H36" s="306"/>
      <c r="I36" s="306"/>
      <c r="J36" s="306"/>
      <c r="K36" s="307"/>
      <c r="L36" s="228" t="s">
        <v>15</v>
      </c>
      <c r="M36" s="229"/>
      <c r="N36" s="230"/>
      <c r="O36" s="305" t="s">
        <v>77</v>
      </c>
      <c r="P36" s="306"/>
      <c r="Q36" s="306"/>
      <c r="R36" s="307"/>
      <c r="S36" s="305" t="s">
        <v>15</v>
      </c>
      <c r="T36" s="306"/>
      <c r="U36" s="306"/>
      <c r="V36" s="306"/>
      <c r="W36" s="306"/>
      <c r="X36" s="306"/>
      <c r="Y36" s="307"/>
      <c r="Z36" s="305" t="s">
        <v>48</v>
      </c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7"/>
      <c r="AQ36" s="305" t="s">
        <v>120</v>
      </c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307"/>
      <c r="BK36" s="27"/>
    </row>
    <row r="37" spans="1:63" s="28" customFormat="1" ht="15" customHeight="1" x14ac:dyDescent="0.25">
      <c r="A37" s="23"/>
      <c r="B37" s="31"/>
      <c r="C37" s="305">
        <v>5</v>
      </c>
      <c r="D37" s="307"/>
      <c r="E37" s="305" t="s">
        <v>70</v>
      </c>
      <c r="F37" s="306"/>
      <c r="G37" s="306"/>
      <c r="H37" s="306"/>
      <c r="I37" s="306"/>
      <c r="J37" s="306"/>
      <c r="K37" s="307"/>
      <c r="L37" s="228" t="s">
        <v>15</v>
      </c>
      <c r="M37" s="229"/>
      <c r="N37" s="230"/>
      <c r="O37" s="305" t="s">
        <v>77</v>
      </c>
      <c r="P37" s="306"/>
      <c r="Q37" s="306"/>
      <c r="R37" s="307"/>
      <c r="S37" s="305" t="s">
        <v>15</v>
      </c>
      <c r="T37" s="306"/>
      <c r="U37" s="306"/>
      <c r="V37" s="306"/>
      <c r="W37" s="306"/>
      <c r="X37" s="306"/>
      <c r="Y37" s="307"/>
      <c r="Z37" s="305" t="s">
        <v>71</v>
      </c>
      <c r="AA37" s="306"/>
      <c r="AB37" s="306"/>
      <c r="AC37" s="306"/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7"/>
      <c r="AQ37" s="305" t="s">
        <v>121</v>
      </c>
      <c r="AR37" s="306"/>
      <c r="AS37" s="306"/>
      <c r="AT37" s="306"/>
      <c r="AU37" s="306"/>
      <c r="AV37" s="306"/>
      <c r="AW37" s="306"/>
      <c r="AX37" s="306"/>
      <c r="AY37" s="306"/>
      <c r="AZ37" s="306"/>
      <c r="BA37" s="306"/>
      <c r="BB37" s="306"/>
      <c r="BC37" s="306"/>
      <c r="BD37" s="306"/>
      <c r="BE37" s="306"/>
      <c r="BF37" s="306"/>
      <c r="BG37" s="306"/>
      <c r="BH37" s="306"/>
      <c r="BI37" s="306"/>
      <c r="BJ37" s="307"/>
      <c r="BK37" s="27"/>
    </row>
    <row r="38" spans="1:63" s="28" customFormat="1" ht="15" customHeight="1" x14ac:dyDescent="0.25">
      <c r="A38" s="23"/>
      <c r="B38" s="31"/>
      <c r="C38" s="149">
        <v>6</v>
      </c>
      <c r="D38" s="150"/>
      <c r="E38" s="149" t="s">
        <v>122</v>
      </c>
      <c r="F38" s="151"/>
      <c r="G38" s="151"/>
      <c r="H38" s="151"/>
      <c r="I38" s="151"/>
      <c r="J38" s="151"/>
      <c r="K38" s="150"/>
      <c r="L38" s="193" t="s">
        <v>15</v>
      </c>
      <c r="M38" s="194"/>
      <c r="N38" s="195"/>
      <c r="O38" s="149" t="s">
        <v>123</v>
      </c>
      <c r="P38" s="151"/>
      <c r="Q38" s="151"/>
      <c r="R38" s="150"/>
      <c r="S38" s="149" t="s">
        <v>15</v>
      </c>
      <c r="T38" s="151"/>
      <c r="U38" s="151"/>
      <c r="V38" s="151"/>
      <c r="W38" s="151"/>
      <c r="X38" s="151"/>
      <c r="Y38" s="150"/>
      <c r="Z38" s="149" t="s">
        <v>124</v>
      </c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0"/>
      <c r="AQ38" s="146" t="s">
        <v>125</v>
      </c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8"/>
      <c r="BK38" s="27"/>
    </row>
    <row r="39" spans="1:63" s="28" customFormat="1" ht="15" customHeight="1" x14ac:dyDescent="0.25">
      <c r="A39" s="23"/>
      <c r="B39" s="31"/>
      <c r="C39" s="33" t="s">
        <v>126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17"/>
      <c r="BI39" s="17"/>
      <c r="BJ39" s="17"/>
      <c r="BK39" s="27"/>
    </row>
    <row r="40" spans="1:63" s="28" customFormat="1" ht="15" customHeight="1" x14ac:dyDescent="0.25">
      <c r="A40" s="23"/>
      <c r="B40" s="31"/>
      <c r="C40" s="29"/>
      <c r="D40" s="31" t="s">
        <v>24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17"/>
      <c r="BI40" s="17"/>
      <c r="BJ40" s="17"/>
      <c r="BK40" s="27"/>
    </row>
    <row r="41" spans="1:63" s="28" customFormat="1" ht="15" customHeight="1" x14ac:dyDescent="0.25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17"/>
      <c r="BI41" s="17"/>
      <c r="BJ41" s="17"/>
      <c r="BK41" s="27"/>
    </row>
    <row r="42" spans="1:63" s="28" customFormat="1" ht="15" customHeight="1" x14ac:dyDescent="0.25">
      <c r="A42" s="23"/>
      <c r="B42" s="24" t="s">
        <v>127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6"/>
      <c r="BI42" s="26"/>
      <c r="BJ42" s="26"/>
      <c r="BK42" s="27"/>
    </row>
    <row r="43" spans="1:63" s="28" customFormat="1" ht="15" customHeight="1" x14ac:dyDescent="0.25">
      <c r="A43" s="23"/>
      <c r="B43" s="29"/>
      <c r="C43" s="33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17"/>
      <c r="BI43" s="17"/>
      <c r="BJ43" s="17"/>
      <c r="BK43" s="27"/>
    </row>
    <row r="44" spans="1:63" s="28" customFormat="1" ht="15" customHeight="1" x14ac:dyDescent="0.25">
      <c r="A44" s="23"/>
      <c r="B44" s="29"/>
      <c r="C44" s="33" t="s">
        <v>128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17"/>
      <c r="BI44" s="17"/>
      <c r="BJ44" s="17"/>
      <c r="BK44" s="27"/>
    </row>
    <row r="45" spans="1:63" s="28" customFormat="1" ht="15" customHeight="1" x14ac:dyDescent="0.25">
      <c r="A45" s="23"/>
      <c r="B45" s="29"/>
      <c r="C45" s="33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17"/>
      <c r="BI45" s="17"/>
      <c r="BJ45" s="17"/>
      <c r="BK45" s="27"/>
    </row>
    <row r="46" spans="1:63" s="28" customFormat="1" ht="15" customHeight="1" x14ac:dyDescent="0.25">
      <c r="A46" s="23"/>
      <c r="B46" s="31"/>
      <c r="C46" s="154" t="s">
        <v>21</v>
      </c>
      <c r="D46" s="156"/>
      <c r="E46" s="173" t="s">
        <v>129</v>
      </c>
      <c r="F46" s="155"/>
      <c r="G46" s="155"/>
      <c r="H46" s="155"/>
      <c r="I46" s="155"/>
      <c r="J46" s="155"/>
      <c r="K46" s="156"/>
      <c r="L46" s="154" t="s">
        <v>29</v>
      </c>
      <c r="M46" s="155"/>
      <c r="N46" s="155"/>
      <c r="O46" s="155"/>
      <c r="P46" s="155"/>
      <c r="Q46" s="155"/>
      <c r="R46" s="156"/>
      <c r="S46" s="174" t="s">
        <v>112</v>
      </c>
      <c r="T46" s="175"/>
      <c r="U46" s="175"/>
      <c r="V46" s="175"/>
      <c r="W46" s="175"/>
      <c r="X46" s="175"/>
      <c r="Y46" s="175"/>
      <c r="Z46" s="175"/>
      <c r="AA46" s="175"/>
      <c r="AB46" s="176"/>
      <c r="AC46" s="154" t="s">
        <v>27</v>
      </c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6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17"/>
      <c r="BI46" s="17"/>
      <c r="BJ46" s="17"/>
      <c r="BK46" s="27"/>
    </row>
    <row r="47" spans="1:63" s="28" customFormat="1" ht="15" customHeight="1" x14ac:dyDescent="0.25">
      <c r="A47" s="23"/>
      <c r="B47" s="31"/>
      <c r="C47" s="305">
        <v>1</v>
      </c>
      <c r="D47" s="307"/>
      <c r="E47" s="305" t="s">
        <v>32</v>
      </c>
      <c r="F47" s="306"/>
      <c r="G47" s="306"/>
      <c r="H47" s="306"/>
      <c r="I47" s="306"/>
      <c r="J47" s="306"/>
      <c r="K47" s="307"/>
      <c r="L47" s="305" t="s">
        <v>77</v>
      </c>
      <c r="M47" s="306"/>
      <c r="N47" s="306"/>
      <c r="O47" s="306"/>
      <c r="P47" s="306"/>
      <c r="Q47" s="306"/>
      <c r="R47" s="307"/>
      <c r="S47" s="145" t="s">
        <v>130</v>
      </c>
      <c r="T47" s="355"/>
      <c r="U47" s="355"/>
      <c r="V47" s="355"/>
      <c r="W47" s="355"/>
      <c r="X47" s="355"/>
      <c r="Y47" s="355"/>
      <c r="Z47" s="355"/>
      <c r="AA47" s="355"/>
      <c r="AB47" s="356"/>
      <c r="AC47" s="305" t="s">
        <v>131</v>
      </c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7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17"/>
      <c r="BI47" s="17"/>
      <c r="BJ47" s="17"/>
      <c r="BK47" s="27"/>
    </row>
    <row r="48" spans="1:63" s="28" customFormat="1" ht="15" customHeight="1" x14ac:dyDescent="0.25">
      <c r="A48" s="23"/>
      <c r="B48" s="31"/>
      <c r="C48" s="305">
        <f>C47+1</f>
        <v>2</v>
      </c>
      <c r="D48" s="307"/>
      <c r="E48" s="305" t="s">
        <v>33</v>
      </c>
      <c r="F48" s="306"/>
      <c r="G48" s="306"/>
      <c r="H48" s="306"/>
      <c r="I48" s="306"/>
      <c r="J48" s="306"/>
      <c r="K48" s="307"/>
      <c r="L48" s="149" t="s">
        <v>132</v>
      </c>
      <c r="M48" s="151"/>
      <c r="N48" s="151"/>
      <c r="O48" s="151"/>
      <c r="P48" s="151"/>
      <c r="Q48" s="151"/>
      <c r="R48" s="150"/>
      <c r="S48" s="145" t="s">
        <v>133</v>
      </c>
      <c r="T48" s="355"/>
      <c r="U48" s="355"/>
      <c r="V48" s="355"/>
      <c r="W48" s="355"/>
      <c r="X48" s="355"/>
      <c r="Y48" s="355"/>
      <c r="Z48" s="355"/>
      <c r="AA48" s="355"/>
      <c r="AB48" s="356"/>
      <c r="AC48" s="305" t="s">
        <v>37</v>
      </c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7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17"/>
      <c r="BI48" s="17"/>
      <c r="BJ48" s="17"/>
      <c r="BK48" s="27"/>
    </row>
    <row r="49" spans="1:63" s="28" customFormat="1" ht="45" customHeight="1" x14ac:dyDescent="0.25">
      <c r="A49" s="23"/>
      <c r="B49" s="31"/>
      <c r="C49" s="305">
        <f>C48+1</f>
        <v>3</v>
      </c>
      <c r="D49" s="307"/>
      <c r="E49" s="305" t="s">
        <v>34</v>
      </c>
      <c r="F49" s="306"/>
      <c r="G49" s="306"/>
      <c r="H49" s="306"/>
      <c r="I49" s="306"/>
      <c r="J49" s="306"/>
      <c r="K49" s="307"/>
      <c r="L49" s="305" t="s">
        <v>77</v>
      </c>
      <c r="M49" s="306"/>
      <c r="N49" s="306"/>
      <c r="O49" s="306"/>
      <c r="P49" s="306"/>
      <c r="Q49" s="306"/>
      <c r="R49" s="307"/>
      <c r="S49" s="157" t="s">
        <v>134</v>
      </c>
      <c r="T49" s="357"/>
      <c r="U49" s="357"/>
      <c r="V49" s="357"/>
      <c r="W49" s="357"/>
      <c r="X49" s="357"/>
      <c r="Y49" s="357"/>
      <c r="Z49" s="357"/>
      <c r="AA49" s="357"/>
      <c r="AB49" s="358"/>
      <c r="AC49" s="359" t="s">
        <v>135</v>
      </c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7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17"/>
      <c r="BI49" s="17"/>
      <c r="BJ49" s="17"/>
      <c r="BK49" s="27"/>
    </row>
    <row r="50" spans="1:63" s="28" customFormat="1" ht="15" customHeight="1" x14ac:dyDescent="0.25">
      <c r="A50" s="23"/>
      <c r="B50" s="31"/>
      <c r="C50" s="305">
        <f t="shared" ref="C50:C52" si="0">C49+1</f>
        <v>4</v>
      </c>
      <c r="D50" s="307"/>
      <c r="E50" s="305" t="s">
        <v>42</v>
      </c>
      <c r="F50" s="306"/>
      <c r="G50" s="306"/>
      <c r="H50" s="306"/>
      <c r="I50" s="306"/>
      <c r="J50" s="306"/>
      <c r="K50" s="307"/>
      <c r="L50" s="305" t="s">
        <v>77</v>
      </c>
      <c r="M50" s="306"/>
      <c r="N50" s="306"/>
      <c r="O50" s="306"/>
      <c r="P50" s="306"/>
      <c r="Q50" s="306"/>
      <c r="R50" s="307"/>
      <c r="S50" s="145" t="s">
        <v>136</v>
      </c>
      <c r="T50" s="355"/>
      <c r="U50" s="355"/>
      <c r="V50" s="355"/>
      <c r="W50" s="355"/>
      <c r="X50" s="355"/>
      <c r="Y50" s="355"/>
      <c r="Z50" s="355"/>
      <c r="AA50" s="355"/>
      <c r="AB50" s="356"/>
      <c r="AC50" s="305" t="s">
        <v>38</v>
      </c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7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17"/>
      <c r="BI50" s="17"/>
      <c r="BJ50" s="17"/>
      <c r="BK50" s="27"/>
    </row>
    <row r="51" spans="1:63" s="28" customFormat="1" ht="15" customHeight="1" x14ac:dyDescent="0.25">
      <c r="A51" s="23"/>
      <c r="B51" s="31"/>
      <c r="C51" s="305">
        <f t="shared" si="0"/>
        <v>5</v>
      </c>
      <c r="D51" s="307"/>
      <c r="E51" s="305" t="s">
        <v>41</v>
      </c>
      <c r="F51" s="306"/>
      <c r="G51" s="306"/>
      <c r="H51" s="306"/>
      <c r="I51" s="306"/>
      <c r="J51" s="306"/>
      <c r="K51" s="307"/>
      <c r="L51" s="305" t="s">
        <v>77</v>
      </c>
      <c r="M51" s="306"/>
      <c r="N51" s="306"/>
      <c r="O51" s="306"/>
      <c r="P51" s="306"/>
      <c r="Q51" s="306"/>
      <c r="R51" s="307"/>
      <c r="S51" s="145" t="s">
        <v>137</v>
      </c>
      <c r="T51" s="355"/>
      <c r="U51" s="355"/>
      <c r="V51" s="355"/>
      <c r="W51" s="355"/>
      <c r="X51" s="355"/>
      <c r="Y51" s="355"/>
      <c r="Z51" s="355"/>
      <c r="AA51" s="355"/>
      <c r="AB51" s="356"/>
      <c r="AC51" s="305" t="s">
        <v>36</v>
      </c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7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17"/>
      <c r="BI51" s="17"/>
      <c r="BJ51" s="17"/>
      <c r="BK51" s="27"/>
    </row>
    <row r="52" spans="1:63" s="28" customFormat="1" ht="91.5" customHeight="1" x14ac:dyDescent="0.25">
      <c r="A52" s="23"/>
      <c r="B52" s="31"/>
      <c r="C52" s="305">
        <f t="shared" si="0"/>
        <v>6</v>
      </c>
      <c r="D52" s="307"/>
      <c r="E52" s="305" t="s">
        <v>35</v>
      </c>
      <c r="F52" s="306"/>
      <c r="G52" s="306"/>
      <c r="H52" s="306"/>
      <c r="I52" s="306"/>
      <c r="J52" s="306"/>
      <c r="K52" s="307"/>
      <c r="L52" s="305" t="s">
        <v>138</v>
      </c>
      <c r="M52" s="306"/>
      <c r="N52" s="306"/>
      <c r="O52" s="306"/>
      <c r="P52" s="306"/>
      <c r="Q52" s="306"/>
      <c r="R52" s="307"/>
      <c r="S52" s="157" t="s">
        <v>160</v>
      </c>
      <c r="T52" s="165"/>
      <c r="U52" s="165"/>
      <c r="V52" s="165"/>
      <c r="W52" s="165"/>
      <c r="X52" s="165"/>
      <c r="Y52" s="165"/>
      <c r="Z52" s="165"/>
      <c r="AA52" s="165"/>
      <c r="AB52" s="166"/>
      <c r="AC52" s="158" t="s">
        <v>159</v>
      </c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7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17"/>
      <c r="BI52" s="17"/>
      <c r="BJ52" s="17"/>
      <c r="BK52" s="27"/>
    </row>
    <row r="53" spans="1:63" s="28" customFormat="1" ht="15" customHeight="1" x14ac:dyDescent="0.25">
      <c r="A53" s="23"/>
      <c r="B53" s="31"/>
      <c r="C53" s="305"/>
      <c r="D53" s="307"/>
      <c r="E53" s="159" t="s">
        <v>139</v>
      </c>
      <c r="F53" s="160"/>
      <c r="G53" s="160"/>
      <c r="H53" s="160"/>
      <c r="I53" s="160"/>
      <c r="J53" s="160"/>
      <c r="K53" s="161"/>
      <c r="L53" s="159" t="s">
        <v>132</v>
      </c>
      <c r="M53" s="160"/>
      <c r="N53" s="160"/>
      <c r="O53" s="160"/>
      <c r="P53" s="160"/>
      <c r="Q53" s="160"/>
      <c r="R53" s="161"/>
      <c r="S53" s="162" t="s">
        <v>140</v>
      </c>
      <c r="T53" s="163"/>
      <c r="U53" s="163"/>
      <c r="V53" s="163"/>
      <c r="W53" s="163"/>
      <c r="X53" s="163"/>
      <c r="Y53" s="163"/>
      <c r="Z53" s="163"/>
      <c r="AA53" s="163"/>
      <c r="AB53" s="164"/>
      <c r="AC53" s="159" t="s">
        <v>141</v>
      </c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17"/>
      <c r="BI53" s="17"/>
      <c r="BJ53" s="17"/>
      <c r="BK53" s="27"/>
    </row>
    <row r="54" spans="1:63" s="28" customFormat="1" ht="15" customHeight="1" x14ac:dyDescent="0.25">
      <c r="A54" s="23"/>
      <c r="B54" s="31"/>
      <c r="C54" s="305"/>
      <c r="D54" s="307"/>
      <c r="E54" s="159" t="s">
        <v>142</v>
      </c>
      <c r="F54" s="160"/>
      <c r="G54" s="160"/>
      <c r="H54" s="160"/>
      <c r="I54" s="160"/>
      <c r="J54" s="160"/>
      <c r="K54" s="161"/>
      <c r="L54" s="159" t="s">
        <v>132</v>
      </c>
      <c r="M54" s="160"/>
      <c r="N54" s="160"/>
      <c r="O54" s="160"/>
      <c r="P54" s="160"/>
      <c r="Q54" s="160"/>
      <c r="R54" s="161"/>
      <c r="S54" s="162" t="s">
        <v>143</v>
      </c>
      <c r="T54" s="163"/>
      <c r="U54" s="163"/>
      <c r="V54" s="163"/>
      <c r="W54" s="163"/>
      <c r="X54" s="163"/>
      <c r="Y54" s="163"/>
      <c r="Z54" s="163"/>
      <c r="AA54" s="163"/>
      <c r="AB54" s="164"/>
      <c r="AC54" s="159" t="s">
        <v>144</v>
      </c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17"/>
      <c r="BI54" s="17"/>
      <c r="BJ54" s="17"/>
      <c r="BK54" s="27"/>
    </row>
    <row r="55" spans="1:63" s="28" customFormat="1" ht="15" customHeight="1" x14ac:dyDescent="0.25">
      <c r="A55" s="23"/>
      <c r="B55" s="31"/>
      <c r="C55" s="149">
        <v>7</v>
      </c>
      <c r="D55" s="150"/>
      <c r="E55" s="149" t="s">
        <v>145</v>
      </c>
      <c r="F55" s="151"/>
      <c r="G55" s="151"/>
      <c r="H55" s="151"/>
      <c r="I55" s="151"/>
      <c r="J55" s="151"/>
      <c r="K55" s="150"/>
      <c r="L55" s="149" t="s">
        <v>123</v>
      </c>
      <c r="M55" s="151"/>
      <c r="N55" s="151"/>
      <c r="O55" s="151"/>
      <c r="P55" s="151"/>
      <c r="Q55" s="151"/>
      <c r="R55" s="150"/>
      <c r="S55" s="145" t="s">
        <v>146</v>
      </c>
      <c r="T55" s="152"/>
      <c r="U55" s="152"/>
      <c r="V55" s="152"/>
      <c r="W55" s="152"/>
      <c r="X55" s="152"/>
      <c r="Y55" s="152"/>
      <c r="Z55" s="152"/>
      <c r="AA55" s="152"/>
      <c r="AB55" s="153"/>
      <c r="AC55" s="149" t="s">
        <v>124</v>
      </c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0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17"/>
      <c r="BI55" s="17"/>
      <c r="BJ55" s="17"/>
      <c r="BK55" s="27"/>
    </row>
    <row r="56" spans="1:63" s="61" customFormat="1" ht="15" customHeight="1" x14ac:dyDescent="0.25">
      <c r="A56" s="57"/>
      <c r="B56" s="58"/>
      <c r="C56" s="305">
        <v>8</v>
      </c>
      <c r="D56" s="307"/>
      <c r="E56" s="305" t="s">
        <v>61</v>
      </c>
      <c r="F56" s="306"/>
      <c r="G56" s="306"/>
      <c r="H56" s="306"/>
      <c r="I56" s="306"/>
      <c r="J56" s="306"/>
      <c r="K56" s="307"/>
      <c r="L56" s="305" t="s">
        <v>138</v>
      </c>
      <c r="M56" s="306"/>
      <c r="N56" s="306"/>
      <c r="O56" s="306"/>
      <c r="P56" s="306"/>
      <c r="Q56" s="306"/>
      <c r="R56" s="307"/>
      <c r="S56" s="145" t="s">
        <v>147</v>
      </c>
      <c r="T56" s="355"/>
      <c r="U56" s="355"/>
      <c r="V56" s="355"/>
      <c r="W56" s="355"/>
      <c r="X56" s="355"/>
      <c r="Y56" s="355"/>
      <c r="Z56" s="355"/>
      <c r="AA56" s="355"/>
      <c r="AB56" s="356"/>
      <c r="AC56" s="305" t="s">
        <v>63</v>
      </c>
      <c r="AD56" s="306"/>
      <c r="AE56" s="306"/>
      <c r="AF56" s="306"/>
      <c r="AG56" s="306"/>
      <c r="AH56" s="306"/>
      <c r="AI56" s="306"/>
      <c r="AJ56" s="306"/>
      <c r="AK56" s="306"/>
      <c r="AL56" s="306"/>
      <c r="AM56" s="306"/>
      <c r="AN56" s="306"/>
      <c r="AO56" s="306"/>
      <c r="AP56" s="306"/>
      <c r="AQ56" s="306"/>
      <c r="AR56" s="306"/>
      <c r="AS56" s="306"/>
      <c r="AT56" s="306"/>
      <c r="AU56" s="307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9"/>
      <c r="BI56" s="59"/>
      <c r="BJ56" s="59"/>
      <c r="BK56" s="60"/>
    </row>
    <row r="57" spans="1:63" s="55" customFormat="1" ht="70.5" customHeight="1" x14ac:dyDescent="0.25">
      <c r="A57" s="51"/>
      <c r="B57" s="52"/>
      <c r="C57" s="305">
        <v>9</v>
      </c>
      <c r="D57" s="307"/>
      <c r="E57" s="305" t="s">
        <v>62</v>
      </c>
      <c r="F57" s="306"/>
      <c r="G57" s="306"/>
      <c r="H57" s="306"/>
      <c r="I57" s="306"/>
      <c r="J57" s="306"/>
      <c r="K57" s="307"/>
      <c r="L57" s="305" t="s">
        <v>138</v>
      </c>
      <c r="M57" s="306"/>
      <c r="N57" s="306"/>
      <c r="O57" s="306"/>
      <c r="P57" s="306"/>
      <c r="Q57" s="306"/>
      <c r="R57" s="307"/>
      <c r="S57" s="157" t="s">
        <v>148</v>
      </c>
      <c r="T57" s="355"/>
      <c r="U57" s="355"/>
      <c r="V57" s="355"/>
      <c r="W57" s="355"/>
      <c r="X57" s="355"/>
      <c r="Y57" s="355"/>
      <c r="Z57" s="355"/>
      <c r="AA57" s="355"/>
      <c r="AB57" s="356"/>
      <c r="AC57" s="305" t="s">
        <v>64</v>
      </c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7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3"/>
      <c r="BI57" s="53"/>
      <c r="BJ57" s="53"/>
      <c r="BK57" s="54"/>
    </row>
    <row r="58" spans="1:63" s="28" customFormat="1" ht="34.5" customHeight="1" x14ac:dyDescent="0.25">
      <c r="A58" s="23"/>
      <c r="B58" s="31"/>
      <c r="C58" s="305">
        <v>10</v>
      </c>
      <c r="D58" s="307"/>
      <c r="E58" s="305" t="s">
        <v>72</v>
      </c>
      <c r="F58" s="306"/>
      <c r="G58" s="306"/>
      <c r="H58" s="306"/>
      <c r="I58" s="306"/>
      <c r="J58" s="306"/>
      <c r="K58" s="307"/>
      <c r="L58" s="305" t="s">
        <v>39</v>
      </c>
      <c r="M58" s="306"/>
      <c r="N58" s="306"/>
      <c r="O58" s="306"/>
      <c r="P58" s="306"/>
      <c r="Q58" s="306"/>
      <c r="R58" s="307"/>
      <c r="S58" s="360" t="s">
        <v>15</v>
      </c>
      <c r="T58" s="355"/>
      <c r="U58" s="355"/>
      <c r="V58" s="355"/>
      <c r="W58" s="355"/>
      <c r="X58" s="355"/>
      <c r="Y58" s="355"/>
      <c r="Z58" s="355"/>
      <c r="AA58" s="355"/>
      <c r="AB58" s="356"/>
      <c r="AC58" s="359" t="s">
        <v>149</v>
      </c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7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17"/>
      <c r="BI58" s="17"/>
      <c r="BJ58" s="17"/>
      <c r="BK58" s="27"/>
    </row>
    <row r="59" spans="1:63" s="28" customFormat="1" ht="15" customHeight="1" x14ac:dyDescent="0.25">
      <c r="A59" s="23"/>
      <c r="B59" s="31"/>
      <c r="C59" s="33" t="s">
        <v>150</v>
      </c>
      <c r="D59" s="31"/>
      <c r="E59" s="301"/>
      <c r="F59" s="31"/>
      <c r="G59" s="30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17"/>
      <c r="BI59" s="17"/>
      <c r="BJ59" s="17"/>
      <c r="BK59" s="27"/>
    </row>
    <row r="60" spans="1:63" s="28" customFormat="1" ht="15" customHeight="1" x14ac:dyDescent="0.25">
      <c r="A60" s="23"/>
      <c r="B60" s="31"/>
      <c r="C60" s="33"/>
      <c r="D60" s="301"/>
      <c r="E60" s="301"/>
      <c r="F60" s="31"/>
      <c r="G60" s="30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17"/>
      <c r="BI60" s="17"/>
      <c r="BJ60" s="17"/>
      <c r="BK60" s="27"/>
    </row>
    <row r="61" spans="1:63" s="28" customFormat="1" ht="15" customHeight="1" x14ac:dyDescent="0.25">
      <c r="A61" s="23"/>
      <c r="B61" s="31"/>
      <c r="C61" s="361" t="s">
        <v>49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34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17"/>
      <c r="BI61" s="17"/>
      <c r="BJ61" s="17"/>
      <c r="BK61" s="27"/>
    </row>
    <row r="62" spans="1:63" s="28" customFormat="1" ht="15" customHeight="1" x14ac:dyDescent="0.25">
      <c r="A62" s="23"/>
      <c r="B62" s="31"/>
      <c r="C62" s="362" t="s">
        <v>50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5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17"/>
      <c r="BI62" s="17"/>
      <c r="BJ62" s="17"/>
      <c r="BK62" s="27"/>
    </row>
    <row r="63" spans="1:63" s="28" customFormat="1" ht="15" customHeight="1" x14ac:dyDescent="0.25">
      <c r="A63" s="23"/>
      <c r="B63" s="31"/>
      <c r="C63" s="64" t="s">
        <v>151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5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17"/>
      <c r="BI63" s="17"/>
      <c r="BJ63" s="17"/>
      <c r="BK63" s="27"/>
    </row>
    <row r="64" spans="1:63" s="28" customFormat="1" ht="15" customHeight="1" x14ac:dyDescent="0.25">
      <c r="A64" s="23"/>
      <c r="B64" s="31"/>
      <c r="C64" s="362" t="s">
        <v>51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5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17"/>
      <c r="BI64" s="17"/>
      <c r="BJ64" s="17"/>
      <c r="BK64" s="27"/>
    </row>
    <row r="65" spans="1:63" s="28" customFormat="1" ht="15" customHeight="1" x14ac:dyDescent="0.25">
      <c r="A65" s="23"/>
      <c r="B65" s="31"/>
      <c r="C65" s="362" t="s">
        <v>152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5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17"/>
      <c r="BI65" s="17"/>
      <c r="BJ65" s="17"/>
      <c r="BK65" s="27"/>
    </row>
    <row r="66" spans="1:63" s="28" customFormat="1" ht="15" customHeight="1" x14ac:dyDescent="0.25">
      <c r="A66" s="23"/>
      <c r="B66" s="31"/>
      <c r="C66" s="362" t="s">
        <v>53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5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17"/>
      <c r="BI66" s="17"/>
      <c r="BJ66" s="17"/>
      <c r="BK66" s="27"/>
    </row>
    <row r="67" spans="1:63" s="28" customFormat="1" ht="15" customHeight="1" x14ac:dyDescent="0.25">
      <c r="A67" s="23"/>
      <c r="B67" s="31"/>
      <c r="C67" s="362" t="s">
        <v>65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5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17"/>
      <c r="BI67" s="17"/>
      <c r="BJ67" s="17"/>
      <c r="BK67" s="27"/>
    </row>
    <row r="68" spans="1:63" s="28" customFormat="1" ht="15" customHeight="1" x14ac:dyDescent="0.25">
      <c r="A68" s="23"/>
      <c r="B68" s="31"/>
      <c r="C68" s="362" t="s">
        <v>153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5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17"/>
      <c r="BI68" s="17"/>
      <c r="BJ68" s="17"/>
      <c r="BK68" s="27"/>
    </row>
    <row r="69" spans="1:63" s="28" customFormat="1" ht="15" customHeight="1" x14ac:dyDescent="0.25">
      <c r="A69" s="23"/>
      <c r="B69" s="31"/>
      <c r="C69" s="63" t="s">
        <v>154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5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17"/>
      <c r="BI69" s="17"/>
      <c r="BJ69" s="17"/>
      <c r="BK69" s="27"/>
    </row>
    <row r="70" spans="1:63" s="28" customFormat="1" ht="15" customHeight="1" x14ac:dyDescent="0.25">
      <c r="A70" s="23"/>
      <c r="B70" s="31"/>
      <c r="C70" s="63" t="s">
        <v>155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5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17"/>
      <c r="BI70" s="17"/>
      <c r="BJ70" s="17"/>
      <c r="BK70" s="27"/>
    </row>
    <row r="71" spans="1:63" s="55" customFormat="1" ht="15" customHeight="1" x14ac:dyDescent="0.25">
      <c r="A71" s="51"/>
      <c r="B71" s="52"/>
      <c r="C71" s="362" t="s">
        <v>156</v>
      </c>
      <c r="D71" s="6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6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3"/>
      <c r="BI71" s="53"/>
      <c r="BJ71" s="53"/>
      <c r="BK71" s="54"/>
    </row>
    <row r="72" spans="1:63" s="55" customFormat="1" ht="15" customHeight="1" x14ac:dyDescent="0.25">
      <c r="A72" s="51"/>
      <c r="B72" s="52"/>
      <c r="C72" s="362" t="s">
        <v>157</v>
      </c>
      <c r="D72" s="6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6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3"/>
      <c r="BI72" s="53"/>
      <c r="BJ72" s="53"/>
      <c r="BK72" s="54"/>
    </row>
    <row r="73" spans="1:63" s="28" customFormat="1" ht="15" customHeight="1" x14ac:dyDescent="0.25">
      <c r="A73" s="23"/>
      <c r="B73" s="31"/>
      <c r="C73" s="363" t="s">
        <v>52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36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17"/>
      <c r="BI73" s="17"/>
      <c r="BJ73" s="17"/>
      <c r="BK73" s="27"/>
    </row>
    <row r="74" spans="1:63" s="28" customFormat="1" ht="15" customHeight="1" x14ac:dyDescent="0.25">
      <c r="A74" s="23"/>
      <c r="B74" s="31"/>
      <c r="C74" s="31"/>
      <c r="D74" s="301"/>
      <c r="E74" s="301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17"/>
      <c r="BI74" s="17"/>
      <c r="BJ74" s="17"/>
      <c r="BK74" s="27"/>
    </row>
    <row r="75" spans="1:63" s="28" customFormat="1" ht="15" customHeight="1" x14ac:dyDescent="0.25">
      <c r="A75" s="23"/>
      <c r="B75" s="31"/>
      <c r="C75" s="29" t="s">
        <v>158</v>
      </c>
      <c r="D75" s="31"/>
      <c r="E75" s="301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17"/>
      <c r="BI75" s="17"/>
      <c r="BJ75" s="17"/>
      <c r="BK75" s="27"/>
    </row>
    <row r="76" spans="1:63" s="28" customFormat="1" ht="15" customHeight="1" x14ac:dyDescent="0.25">
      <c r="A76" s="23"/>
      <c r="B76" s="31"/>
      <c r="C76" s="29"/>
      <c r="D76" s="31"/>
      <c r="E76" s="301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17"/>
      <c r="BI76" s="17"/>
      <c r="BJ76" s="17"/>
      <c r="BK76" s="27"/>
    </row>
    <row r="77" spans="1:63" s="28" customFormat="1" ht="15" customHeight="1" x14ac:dyDescent="0.25">
      <c r="A77" s="23"/>
      <c r="B77" s="31"/>
      <c r="C77" s="29" t="s">
        <v>54</v>
      </c>
      <c r="D77" s="31"/>
      <c r="E77" s="301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17"/>
      <c r="BI77" s="17"/>
      <c r="BJ77" s="17"/>
      <c r="BK77" s="27"/>
    </row>
    <row r="78" spans="1:63" s="50" customFormat="1" ht="15" customHeight="1" x14ac:dyDescent="0.25">
      <c r="A78" s="45"/>
      <c r="B78" s="46"/>
      <c r="C78" s="46"/>
      <c r="D78" s="46"/>
      <c r="E78" s="47"/>
      <c r="F78" s="47"/>
      <c r="G78" s="47"/>
      <c r="H78" s="47"/>
      <c r="I78" s="47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8"/>
      <c r="BI78" s="48"/>
      <c r="BJ78" s="48"/>
      <c r="BK78" s="49"/>
    </row>
  </sheetData>
  <mergeCells count="184">
    <mergeCell ref="H4:T4"/>
    <mergeCell ref="U4:Y4"/>
    <mergeCell ref="Z4:AO4"/>
    <mergeCell ref="AQ16:BJ16"/>
    <mergeCell ref="L22:N22"/>
    <mergeCell ref="L23:N25"/>
    <mergeCell ref="AC47:AU47"/>
    <mergeCell ref="AC48:AU48"/>
    <mergeCell ref="AC49:AU49"/>
    <mergeCell ref="L34:N34"/>
    <mergeCell ref="O34:R34"/>
    <mergeCell ref="Z34:AP34"/>
    <mergeCell ref="L38:N38"/>
    <mergeCell ref="O38:R38"/>
    <mergeCell ref="S38:Y38"/>
    <mergeCell ref="Z38:AP38"/>
    <mergeCell ref="E22:K22"/>
    <mergeCell ref="Z22:AP22"/>
    <mergeCell ref="L33:N33"/>
    <mergeCell ref="O33:R33"/>
    <mergeCell ref="L32:N32"/>
    <mergeCell ref="O32:R32"/>
    <mergeCell ref="AQ33:BJ33"/>
    <mergeCell ref="Z36:AP36"/>
    <mergeCell ref="BH1:BK1"/>
    <mergeCell ref="AG15:AP15"/>
    <mergeCell ref="AQ15:BJ15"/>
    <mergeCell ref="C58:D58"/>
    <mergeCell ref="E58:K58"/>
    <mergeCell ref="L58:R58"/>
    <mergeCell ref="S58:AB58"/>
    <mergeCell ref="AC58:AU58"/>
    <mergeCell ref="AQ26:BJ26"/>
    <mergeCell ref="C15:D15"/>
    <mergeCell ref="C16:D16"/>
    <mergeCell ref="E15:AF15"/>
    <mergeCell ref="C26:D26"/>
    <mergeCell ref="E26:K26"/>
    <mergeCell ref="AQ27:BJ27"/>
    <mergeCell ref="C54:D54"/>
    <mergeCell ref="E54:K54"/>
    <mergeCell ref="L54:R54"/>
    <mergeCell ref="S54:AB54"/>
    <mergeCell ref="AC54:AU54"/>
    <mergeCell ref="S20:Y20"/>
    <mergeCell ref="Z20:AP20"/>
    <mergeCell ref="S23:Y25"/>
    <mergeCell ref="S21:Y21"/>
    <mergeCell ref="BC1:BG1"/>
    <mergeCell ref="AQ22:BJ22"/>
    <mergeCell ref="AQ21:BJ21"/>
    <mergeCell ref="AQ23:BJ25"/>
    <mergeCell ref="AQ20:BJ20"/>
    <mergeCell ref="C21:D21"/>
    <mergeCell ref="S22:Y22"/>
    <mergeCell ref="O20:R20"/>
    <mergeCell ref="L20:N20"/>
    <mergeCell ref="Z21:AP21"/>
    <mergeCell ref="C22:D22"/>
    <mergeCell ref="A1:J1"/>
    <mergeCell ref="K1:V1"/>
    <mergeCell ref="AG16:AP16"/>
    <mergeCell ref="A2:J3"/>
    <mergeCell ref="K2:V3"/>
    <mergeCell ref="AP2:AS3"/>
    <mergeCell ref="AT2:AX3"/>
    <mergeCell ref="AY2:BB3"/>
    <mergeCell ref="BC2:BG3"/>
    <mergeCell ref="BH2:BK3"/>
    <mergeCell ref="AP4:BK4"/>
    <mergeCell ref="W1:AO3"/>
    <mergeCell ref="AP1:AS1"/>
    <mergeCell ref="AT1:AX1"/>
    <mergeCell ref="AY1:BB1"/>
    <mergeCell ref="E20:K20"/>
    <mergeCell ref="C20:D20"/>
    <mergeCell ref="Z33:AP33"/>
    <mergeCell ref="E27:K27"/>
    <mergeCell ref="C27:D27"/>
    <mergeCell ref="Z26:AP26"/>
    <mergeCell ref="O21:R21"/>
    <mergeCell ref="O22:R22"/>
    <mergeCell ref="O26:R26"/>
    <mergeCell ref="O27:R27"/>
    <mergeCell ref="O23:R25"/>
    <mergeCell ref="L21:N21"/>
    <mergeCell ref="L26:N26"/>
    <mergeCell ref="L27:N27"/>
    <mergeCell ref="S27:Y27"/>
    <mergeCell ref="Z27:AP27"/>
    <mergeCell ref="E21:K21"/>
    <mergeCell ref="Z32:AP32"/>
    <mergeCell ref="S33:Y33"/>
    <mergeCell ref="S26:Y26"/>
    <mergeCell ref="E16:AF16"/>
    <mergeCell ref="A4:G4"/>
    <mergeCell ref="C23:D25"/>
    <mergeCell ref="E23:K25"/>
    <mergeCell ref="C46:D46"/>
    <mergeCell ref="E46:K46"/>
    <mergeCell ref="AC46:AU46"/>
    <mergeCell ref="C47:D47"/>
    <mergeCell ref="C48:D48"/>
    <mergeCell ref="C49:D49"/>
    <mergeCell ref="E34:K34"/>
    <mergeCell ref="S46:AB46"/>
    <mergeCell ref="S47:AB47"/>
    <mergeCell ref="S48:AB48"/>
    <mergeCell ref="S49:AB49"/>
    <mergeCell ref="S36:Y36"/>
    <mergeCell ref="AQ32:BJ32"/>
    <mergeCell ref="Z23:AP25"/>
    <mergeCell ref="S34:Y34"/>
    <mergeCell ref="S32:Y32"/>
    <mergeCell ref="C38:D38"/>
    <mergeCell ref="E38:K38"/>
    <mergeCell ref="C32:D32"/>
    <mergeCell ref="E32:K32"/>
    <mergeCell ref="C33:D33"/>
    <mergeCell ref="E33:K33"/>
    <mergeCell ref="C50:D50"/>
    <mergeCell ref="C51:D51"/>
    <mergeCell ref="C36:D36"/>
    <mergeCell ref="E36:K36"/>
    <mergeCell ref="L36:N36"/>
    <mergeCell ref="O36:R36"/>
    <mergeCell ref="C37:D37"/>
    <mergeCell ref="E37:K37"/>
    <mergeCell ref="E50:K50"/>
    <mergeCell ref="L37:N37"/>
    <mergeCell ref="O37:R37"/>
    <mergeCell ref="AQ36:BJ36"/>
    <mergeCell ref="C35:D35"/>
    <mergeCell ref="E35:K35"/>
    <mergeCell ref="L35:N35"/>
    <mergeCell ref="O35:R35"/>
    <mergeCell ref="S35:Y35"/>
    <mergeCell ref="Z35:AP35"/>
    <mergeCell ref="AQ35:BJ35"/>
    <mergeCell ref="C34:D34"/>
    <mergeCell ref="AQ34:BJ34"/>
    <mergeCell ref="C57:D57"/>
    <mergeCell ref="E57:K57"/>
    <mergeCell ref="L57:R57"/>
    <mergeCell ref="S57:AB57"/>
    <mergeCell ref="AC57:AU57"/>
    <mergeCell ref="AC51:AU51"/>
    <mergeCell ref="AC52:AU52"/>
    <mergeCell ref="C52:D52"/>
    <mergeCell ref="C53:D53"/>
    <mergeCell ref="E53:K53"/>
    <mergeCell ref="L53:R53"/>
    <mergeCell ref="S53:AB53"/>
    <mergeCell ref="S52:AB52"/>
    <mergeCell ref="L52:R52"/>
    <mergeCell ref="E52:K52"/>
    <mergeCell ref="AC53:AU53"/>
    <mergeCell ref="S51:AB51"/>
    <mergeCell ref="E51:K51"/>
    <mergeCell ref="L51:R51"/>
    <mergeCell ref="S37:Y37"/>
    <mergeCell ref="Z37:AP37"/>
    <mergeCell ref="AQ37:BJ37"/>
    <mergeCell ref="C56:D56"/>
    <mergeCell ref="E56:K56"/>
    <mergeCell ref="L56:R56"/>
    <mergeCell ref="S56:AB56"/>
    <mergeCell ref="AC56:AU56"/>
    <mergeCell ref="E47:K47"/>
    <mergeCell ref="E48:K48"/>
    <mergeCell ref="E49:K49"/>
    <mergeCell ref="L49:R49"/>
    <mergeCell ref="L50:R50"/>
    <mergeCell ref="AQ38:BJ38"/>
    <mergeCell ref="AC50:AU50"/>
    <mergeCell ref="S50:AB50"/>
    <mergeCell ref="C55:D55"/>
    <mergeCell ref="E55:K55"/>
    <mergeCell ref="L55:R55"/>
    <mergeCell ref="S55:AB55"/>
    <mergeCell ref="AC55:AU55"/>
    <mergeCell ref="L46:R46"/>
    <mergeCell ref="L47:R47"/>
    <mergeCell ref="L48:R4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11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29" t="s">
        <v>2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32" t="s">
        <v>82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65" t="s">
        <v>3</v>
      </c>
      <c r="AQ1" s="66"/>
      <c r="AR1" s="66"/>
      <c r="AS1" s="67"/>
      <c r="AT1" s="65" t="s">
        <v>4</v>
      </c>
      <c r="AU1" s="66"/>
      <c r="AV1" s="66"/>
      <c r="AW1" s="66"/>
      <c r="AX1" s="67"/>
      <c r="AY1" s="65" t="s">
        <v>5</v>
      </c>
      <c r="AZ1" s="66"/>
      <c r="BA1" s="66"/>
      <c r="BB1" s="67"/>
      <c r="BC1" s="65" t="s">
        <v>6</v>
      </c>
      <c r="BD1" s="66"/>
      <c r="BE1" s="66"/>
      <c r="BF1" s="66"/>
      <c r="BG1" s="67"/>
      <c r="BH1" s="65" t="s">
        <v>7</v>
      </c>
      <c r="BI1" s="66"/>
      <c r="BJ1" s="66"/>
      <c r="BK1" s="67"/>
    </row>
    <row r="2" spans="1:63" ht="15" customHeight="1" x14ac:dyDescent="0.25">
      <c r="A2" s="123" t="s">
        <v>81</v>
      </c>
      <c r="B2" s="124"/>
      <c r="C2" s="124"/>
      <c r="D2" s="124"/>
      <c r="E2" s="124"/>
      <c r="F2" s="124"/>
      <c r="G2" s="124"/>
      <c r="H2" s="124"/>
      <c r="I2" s="124"/>
      <c r="J2" s="125"/>
      <c r="K2" s="123" t="s">
        <v>81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6" t="s">
        <v>78</v>
      </c>
      <c r="AQ2" s="5"/>
      <c r="AR2" s="5"/>
      <c r="AS2" s="4"/>
      <c r="AT2" s="69">
        <v>45475</v>
      </c>
      <c r="AU2" s="70"/>
      <c r="AV2" s="70"/>
      <c r="AW2" s="70"/>
      <c r="AX2" s="71"/>
      <c r="AY2" s="6" t="s">
        <v>79</v>
      </c>
      <c r="AZ2" s="5"/>
      <c r="BA2" s="5"/>
      <c r="BB2" s="4"/>
      <c r="BC2" s="69">
        <v>45791</v>
      </c>
      <c r="BD2" s="70"/>
      <c r="BE2" s="70"/>
      <c r="BF2" s="70"/>
      <c r="BG2" s="71"/>
      <c r="BH2" s="6">
        <v>0.56999999999999995</v>
      </c>
      <c r="BI2" s="5"/>
      <c r="BJ2" s="5"/>
      <c r="BK2" s="4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38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40"/>
      <c r="AP3" s="3"/>
      <c r="AQ3" s="2"/>
      <c r="AR3" s="2"/>
      <c r="AS3" s="1"/>
      <c r="AT3" s="72"/>
      <c r="AU3" s="73"/>
      <c r="AV3" s="73"/>
      <c r="AW3" s="73"/>
      <c r="AX3" s="74"/>
      <c r="AY3" s="3"/>
      <c r="AZ3" s="2"/>
      <c r="BA3" s="2"/>
      <c r="BB3" s="1"/>
      <c r="BC3" s="72"/>
      <c r="BD3" s="73"/>
      <c r="BE3" s="73"/>
      <c r="BF3" s="73"/>
      <c r="BG3" s="74"/>
      <c r="BH3" s="3"/>
      <c r="BI3" s="2"/>
      <c r="BJ3" s="2"/>
      <c r="BK3" s="1"/>
    </row>
    <row r="4" spans="1:63" ht="24.95" customHeight="1" x14ac:dyDescent="0.25">
      <c r="A4" s="129" t="s">
        <v>1</v>
      </c>
      <c r="B4" s="130"/>
      <c r="C4" s="130"/>
      <c r="D4" s="130"/>
      <c r="E4" s="130"/>
      <c r="F4" s="130"/>
      <c r="G4" s="131"/>
      <c r="H4" s="141" t="s">
        <v>80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29" t="s">
        <v>8</v>
      </c>
      <c r="V4" s="130"/>
      <c r="W4" s="130"/>
      <c r="X4" s="130"/>
      <c r="Y4" s="131"/>
      <c r="Z4" s="141" t="s">
        <v>83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18"/>
      <c r="C7" s="17"/>
      <c r="D7" s="17"/>
      <c r="E7" s="17"/>
      <c r="F7" s="17"/>
      <c r="G7" s="17"/>
      <c r="AI7" s="21"/>
      <c r="BJ7" s="21"/>
      <c r="BK7" s="16"/>
    </row>
    <row r="8" spans="1:63" s="12" customFormat="1" ht="15" customHeight="1" x14ac:dyDescent="0.25">
      <c r="B8" s="18"/>
      <c r="C8" s="17"/>
      <c r="D8" s="17"/>
      <c r="E8" s="17"/>
      <c r="F8" s="17"/>
      <c r="G8" s="17"/>
      <c r="AI8" s="21"/>
      <c r="BJ8" s="21"/>
      <c r="BK8" s="16"/>
    </row>
    <row r="9" spans="1:63" s="12" customFormat="1" ht="15" customHeight="1" x14ac:dyDescent="0.25">
      <c r="B9" s="18"/>
      <c r="C9" s="17"/>
      <c r="D9" s="17"/>
      <c r="E9" s="17"/>
      <c r="F9" s="17"/>
      <c r="G9" s="17"/>
      <c r="AI9" s="21"/>
      <c r="BJ9" s="21"/>
      <c r="BK9" s="16"/>
    </row>
    <row r="10" spans="1:63" s="12" customFormat="1" ht="15" customHeight="1" x14ac:dyDescent="0.25">
      <c r="B10" s="18"/>
      <c r="C10" s="17"/>
      <c r="D10" s="17"/>
      <c r="E10" s="17"/>
      <c r="F10" s="17"/>
      <c r="G10" s="17"/>
      <c r="AI10" s="21"/>
      <c r="BJ10" s="21"/>
      <c r="BK10" s="16"/>
    </row>
    <row r="11" spans="1:63" s="12" customFormat="1" ht="15" customHeight="1" x14ac:dyDescent="0.25">
      <c r="B11" s="18"/>
      <c r="C11" s="17"/>
      <c r="D11" s="17"/>
      <c r="E11" s="17"/>
      <c r="F11" s="17"/>
      <c r="G11" s="17"/>
      <c r="AI11" s="21"/>
      <c r="BJ11" s="21"/>
      <c r="BK11" s="16"/>
    </row>
    <row r="12" spans="1:63" s="12" customFormat="1" ht="15" customHeight="1" x14ac:dyDescent="0.25">
      <c r="B12" s="18"/>
      <c r="C12" s="17"/>
      <c r="D12" s="17"/>
      <c r="E12" s="17"/>
      <c r="F12" s="17"/>
      <c r="G12" s="17"/>
      <c r="AI12" s="21"/>
      <c r="BJ12" s="21"/>
      <c r="BK12" s="16"/>
    </row>
    <row r="13" spans="1:63" s="12" customFormat="1" ht="15" customHeight="1" x14ac:dyDescent="0.25">
      <c r="B13" s="18"/>
      <c r="C13" s="17"/>
      <c r="D13" s="17"/>
      <c r="E13" s="17"/>
      <c r="F13" s="17"/>
      <c r="G13" s="17"/>
      <c r="AI13" s="21"/>
      <c r="BJ13" s="21"/>
      <c r="BK13" s="16"/>
    </row>
    <row r="14" spans="1:63" s="12" customFormat="1" ht="15" customHeight="1" x14ac:dyDescent="0.25">
      <c r="B14" s="19"/>
      <c r="AI14" s="21"/>
      <c r="BJ14" s="21"/>
      <c r="BK14" s="16"/>
    </row>
    <row r="15" spans="1:63" s="12" customFormat="1" ht="15" customHeight="1" x14ac:dyDescent="0.25">
      <c r="B15" s="19"/>
      <c r="AI15" s="21"/>
      <c r="BJ15" s="21"/>
      <c r="BK15" s="16"/>
    </row>
    <row r="16" spans="1:63" s="12" customFormat="1" ht="15" customHeight="1" x14ac:dyDescent="0.25">
      <c r="B16" s="19"/>
      <c r="AI16" s="21"/>
      <c r="BJ16" s="21"/>
      <c r="BK16" s="16"/>
    </row>
    <row r="17" spans="2:63" s="12" customFormat="1" ht="15" customHeight="1" x14ac:dyDescent="0.25">
      <c r="B17" s="19"/>
      <c r="AI17" s="21"/>
      <c r="BJ17" s="21"/>
      <c r="BK17" s="16"/>
    </row>
    <row r="18" spans="2:63" s="12" customFormat="1" ht="15" customHeight="1" x14ac:dyDescent="0.25">
      <c r="B18" s="19"/>
      <c r="AI18" s="21"/>
      <c r="BJ18" s="21"/>
      <c r="BK18" s="16"/>
    </row>
    <row r="19" spans="2:63" s="12" customFormat="1" ht="15" customHeight="1" x14ac:dyDescent="0.25">
      <c r="B19" s="19"/>
      <c r="AI19" s="21"/>
      <c r="BJ19" s="21"/>
      <c r="BK19" s="16"/>
    </row>
    <row r="20" spans="2:63" s="12" customFormat="1" ht="15" customHeight="1" x14ac:dyDescent="0.25">
      <c r="B20" s="19"/>
      <c r="AI20" s="21"/>
      <c r="BJ20" s="21"/>
      <c r="BK20" s="16"/>
    </row>
    <row r="21" spans="2:63" s="12" customFormat="1" ht="15" customHeight="1" x14ac:dyDescent="0.25">
      <c r="B21" s="19"/>
      <c r="AI21" s="21"/>
      <c r="BJ21" s="21"/>
      <c r="BK21" s="16"/>
    </row>
    <row r="22" spans="2:63" s="12" customFormat="1" ht="15" customHeight="1" x14ac:dyDescent="0.25">
      <c r="B22" s="19"/>
      <c r="AI22" s="21"/>
      <c r="BJ22" s="21"/>
      <c r="BK22" s="16"/>
    </row>
    <row r="23" spans="2:63" s="12" customFormat="1" ht="15" customHeight="1" x14ac:dyDescent="0.25">
      <c r="B23" s="19"/>
      <c r="AI23" s="21"/>
      <c r="BJ23" s="21"/>
      <c r="BK23" s="16"/>
    </row>
    <row r="24" spans="2:63" s="12" customFormat="1" ht="15" customHeight="1" x14ac:dyDescent="0.25">
      <c r="B24" s="19"/>
      <c r="AI24" s="21"/>
      <c r="BJ24" s="21"/>
      <c r="BK24" s="16"/>
    </row>
    <row r="25" spans="2:63" s="12" customFormat="1" ht="15" customHeight="1" x14ac:dyDescent="0.25">
      <c r="B25" s="19"/>
      <c r="AI25" s="21"/>
      <c r="BJ25" s="21"/>
      <c r="BK25" s="16"/>
    </row>
    <row r="26" spans="2:63" s="12" customFormat="1" ht="15" customHeight="1" x14ac:dyDescent="0.25">
      <c r="B26" s="19"/>
      <c r="AI26" s="21"/>
      <c r="BJ26" s="21"/>
      <c r="BK26" s="16"/>
    </row>
    <row r="27" spans="2:63" s="12" customFormat="1" ht="15" customHeight="1" x14ac:dyDescent="0.25">
      <c r="B27" s="19"/>
      <c r="AI27" s="21"/>
      <c r="BJ27" s="21"/>
      <c r="BK27" s="16"/>
    </row>
    <row r="28" spans="2:63" s="12" customFormat="1" ht="15" customHeight="1" x14ac:dyDescent="0.25">
      <c r="B28" s="19"/>
      <c r="AI28" s="21"/>
      <c r="BJ28" s="21"/>
      <c r="BK28" s="16"/>
    </row>
    <row r="29" spans="2:63" s="12" customFormat="1" ht="15" customHeight="1" x14ac:dyDescent="0.25">
      <c r="B29" s="19"/>
      <c r="AI29" s="21"/>
      <c r="BJ29" s="21"/>
      <c r="BK29" s="16"/>
    </row>
    <row r="30" spans="2:63" s="12" customFormat="1" ht="15" customHeight="1" x14ac:dyDescent="0.25">
      <c r="B30" s="19"/>
      <c r="AI30" s="21"/>
      <c r="BJ30" s="21"/>
      <c r="BK30" s="16"/>
    </row>
    <row r="31" spans="2:63" s="12" customFormat="1" ht="15" customHeight="1" x14ac:dyDescent="0.25">
      <c r="B31" s="19"/>
      <c r="AI31" s="21"/>
      <c r="BJ31" s="21"/>
      <c r="BK31" s="16"/>
    </row>
    <row r="32" spans="2:63" s="12" customFormat="1" ht="15" customHeight="1" x14ac:dyDescent="0.25">
      <c r="B32" s="19"/>
      <c r="AI32" s="21"/>
      <c r="BJ32" s="21"/>
      <c r="BK32" s="16"/>
    </row>
    <row r="33" spans="2:63" s="12" customFormat="1" ht="15" customHeight="1" x14ac:dyDescent="0.25">
      <c r="B33" s="19"/>
      <c r="AI33" s="21"/>
      <c r="BJ33" s="21"/>
      <c r="BK33" s="16"/>
    </row>
    <row r="34" spans="2:63" s="12" customFormat="1" ht="15" customHeight="1" x14ac:dyDescent="0.25">
      <c r="B34" s="19"/>
      <c r="AI34" s="21"/>
      <c r="BJ34" s="21"/>
      <c r="BK34" s="16"/>
    </row>
    <row r="35" spans="2:63" s="12" customFormat="1" ht="15" customHeight="1" x14ac:dyDescent="0.25">
      <c r="B35" s="19"/>
      <c r="AI35" s="21"/>
      <c r="BJ35" s="21"/>
      <c r="BK35" s="16"/>
    </row>
    <row r="36" spans="2:63" s="12" customFormat="1" ht="15" customHeight="1" x14ac:dyDescent="0.25">
      <c r="B36" s="19"/>
      <c r="AI36" s="21"/>
      <c r="BJ36" s="21"/>
      <c r="BK36" s="16"/>
    </row>
    <row r="37" spans="2:63" s="12" customFormat="1" ht="15" customHeight="1" x14ac:dyDescent="0.25">
      <c r="B37" s="19"/>
      <c r="AI37" s="21"/>
      <c r="BJ37" s="21"/>
      <c r="BK37" s="16"/>
    </row>
    <row r="38" spans="2:63" s="12" customFormat="1" ht="15" customHeight="1" x14ac:dyDescent="0.25">
      <c r="B38" s="19"/>
      <c r="AI38" s="21"/>
      <c r="BJ38" s="21"/>
      <c r="BK38" s="16"/>
    </row>
    <row r="39" spans="2:63" s="12" customFormat="1" ht="15" customHeight="1" x14ac:dyDescent="0.25">
      <c r="B39" s="19"/>
      <c r="AI39" s="21"/>
      <c r="BJ39" s="21"/>
      <c r="BK39" s="16"/>
    </row>
    <row r="40" spans="2:63" s="12" customFormat="1" ht="15" customHeight="1" x14ac:dyDescent="0.25">
      <c r="B40" s="19"/>
      <c r="AI40" s="21"/>
      <c r="BJ40" s="21"/>
      <c r="BK40" s="16"/>
    </row>
    <row r="41" spans="2:63" s="12" customFormat="1" ht="15" customHeight="1" x14ac:dyDescent="0.25">
      <c r="B41" s="19"/>
      <c r="AI41" s="21"/>
      <c r="BJ41" s="21"/>
      <c r="BK41" s="16"/>
    </row>
    <row r="42" spans="2:63" s="12" customFormat="1" ht="15" customHeight="1" x14ac:dyDescent="0.25">
      <c r="B42" s="19"/>
      <c r="AI42" s="21"/>
      <c r="BJ42" s="21"/>
      <c r="BK42" s="16"/>
    </row>
    <row r="43" spans="2:63" s="12" customFormat="1" ht="15" customHeight="1" x14ac:dyDescent="0.25">
      <c r="B43" s="19"/>
      <c r="AI43" s="21"/>
      <c r="BJ43" s="21"/>
      <c r="BK43" s="16"/>
    </row>
    <row r="44" spans="2:63" s="12" customFormat="1" ht="15" customHeight="1" x14ac:dyDescent="0.25">
      <c r="B44" s="19"/>
      <c r="AI44" s="21"/>
      <c r="BJ44" s="21"/>
      <c r="BK44" s="16"/>
    </row>
    <row r="45" spans="2:63" s="12" customFormat="1" ht="15" customHeight="1" x14ac:dyDescent="0.25">
      <c r="B45" s="19"/>
      <c r="AI45" s="21"/>
      <c r="BJ45" s="21"/>
      <c r="BK45" s="16"/>
    </row>
    <row r="46" spans="2:63" s="12" customFormat="1" ht="15" customHeight="1" x14ac:dyDescent="0.25">
      <c r="B46" s="19"/>
      <c r="AI46" s="21"/>
      <c r="BJ46" s="21"/>
      <c r="BK46" s="16"/>
    </row>
    <row r="47" spans="2:63" s="12" customFormat="1" ht="15" customHeight="1" x14ac:dyDescent="0.25">
      <c r="B47" s="19"/>
      <c r="AI47" s="21"/>
      <c r="BJ47" s="21"/>
      <c r="BK47" s="16"/>
    </row>
    <row r="48" spans="2:63" s="12" customFormat="1" ht="15" customHeight="1" x14ac:dyDescent="0.25">
      <c r="B48" s="19"/>
      <c r="AI48" s="21"/>
      <c r="BJ48" s="21"/>
      <c r="BK48" s="16"/>
    </row>
    <row r="49" spans="2:63" s="12" customFormat="1" ht="15" customHeight="1" x14ac:dyDescent="0.25">
      <c r="B49" s="19"/>
      <c r="AI49" s="21"/>
      <c r="BJ49" s="21"/>
      <c r="BK49" s="16"/>
    </row>
    <row r="50" spans="2:63" s="12" customFormat="1" ht="15" customHeight="1" x14ac:dyDescent="0.25">
      <c r="B50" s="19"/>
      <c r="AI50" s="21"/>
      <c r="BJ50" s="21"/>
      <c r="BK50" s="16"/>
    </row>
    <row r="51" spans="2:63" s="12" customFormat="1" ht="15" customHeight="1" x14ac:dyDescent="0.25">
      <c r="B51" s="19"/>
      <c r="AI51" s="21"/>
      <c r="BJ51" s="21"/>
      <c r="BK51" s="16"/>
    </row>
    <row r="52" spans="2:63" s="12" customFormat="1" ht="15" customHeight="1" x14ac:dyDescent="0.25">
      <c r="B52" s="19"/>
      <c r="AI52" s="21"/>
      <c r="BJ52" s="21"/>
      <c r="BK52" s="16"/>
    </row>
    <row r="53" spans="2:63" s="12" customFormat="1" ht="15" customHeight="1" x14ac:dyDescent="0.25">
      <c r="B53" s="19"/>
      <c r="AI53" s="21"/>
      <c r="BJ53" s="21"/>
      <c r="BK53" s="16"/>
    </row>
    <row r="54" spans="2:63" s="12" customFormat="1" ht="15" customHeight="1" x14ac:dyDescent="0.25">
      <c r="B54" s="19"/>
      <c r="AI54" s="21"/>
      <c r="BJ54" s="21"/>
      <c r="BK54" s="16"/>
    </row>
    <row r="55" spans="2:63" s="12" customFormat="1" ht="15" customHeight="1" x14ac:dyDescent="0.25">
      <c r="B55" s="19"/>
      <c r="AI55" s="21"/>
      <c r="BJ55" s="21"/>
      <c r="BK55" s="16"/>
    </row>
    <row r="56" spans="2:63" s="12" customFormat="1" ht="15" customHeight="1" x14ac:dyDescent="0.25">
      <c r="B56" s="19"/>
      <c r="AI56" s="21"/>
      <c r="BJ56" s="21"/>
      <c r="BK56" s="16"/>
    </row>
    <row r="57" spans="2:63" s="12" customFormat="1" ht="15" customHeight="1" x14ac:dyDescent="0.25">
      <c r="B57" s="19"/>
      <c r="AI57" s="21"/>
      <c r="BJ57" s="21"/>
      <c r="BK57" s="16"/>
    </row>
    <row r="58" spans="2:63" s="12" customFormat="1" ht="15" customHeight="1" x14ac:dyDescent="0.25">
      <c r="B58" s="19"/>
      <c r="AI58" s="21"/>
      <c r="BJ58" s="21"/>
      <c r="BK58" s="16"/>
    </row>
    <row r="59" spans="2:63" s="12" customFormat="1" ht="15" customHeight="1" x14ac:dyDescent="0.25">
      <c r="B59" s="19"/>
      <c r="AI59" s="21"/>
      <c r="BJ59" s="21"/>
      <c r="BK59" s="16"/>
    </row>
    <row r="60" spans="2:63" s="12" customFormat="1" ht="15" customHeight="1" x14ac:dyDescent="0.25">
      <c r="B60" s="19"/>
      <c r="AI60" s="21"/>
      <c r="BJ60" s="21"/>
      <c r="BK60" s="16"/>
    </row>
    <row r="61" spans="2:63" s="12" customFormat="1" ht="15" customHeight="1" x14ac:dyDescent="0.25">
      <c r="B61" s="19"/>
      <c r="AI61" s="21"/>
      <c r="BJ61" s="21"/>
      <c r="BK61" s="16"/>
    </row>
    <row r="62" spans="2:63" s="12" customFormat="1" ht="15" customHeight="1" x14ac:dyDescent="0.25">
      <c r="B62" s="19"/>
      <c r="AI62" s="21"/>
      <c r="BJ62" s="21"/>
      <c r="BK62" s="16"/>
    </row>
    <row r="63" spans="2:63" s="12" customFormat="1" ht="15" customHeight="1" x14ac:dyDescent="0.25">
      <c r="B63" s="19"/>
      <c r="AI63" s="21"/>
      <c r="BJ63" s="21"/>
      <c r="BK63" s="16"/>
    </row>
    <row r="64" spans="2:63" s="12" customFormat="1" ht="15" customHeight="1" x14ac:dyDescent="0.25">
      <c r="B64" s="19"/>
      <c r="AI64" s="21"/>
      <c r="BJ64" s="21"/>
      <c r="BK64" s="16"/>
    </row>
    <row r="65" spans="2:63" s="12" customFormat="1" ht="15" customHeight="1" x14ac:dyDescent="0.25">
      <c r="B65" s="19"/>
      <c r="AI65" s="21"/>
      <c r="BJ65" s="21"/>
      <c r="BK65" s="16"/>
    </row>
    <row r="66" spans="2:63" s="12" customFormat="1" ht="15" customHeight="1" x14ac:dyDescent="0.25">
      <c r="B66" s="18"/>
      <c r="C66" s="17"/>
      <c r="D66" s="17"/>
      <c r="E66" s="17"/>
      <c r="F66" s="17"/>
      <c r="G66" s="17"/>
      <c r="AI66" s="21"/>
      <c r="BJ66" s="21"/>
      <c r="BK66" s="16"/>
    </row>
    <row r="67" spans="2:63" s="12" customFormat="1" ht="15" customHeight="1" x14ac:dyDescent="0.25">
      <c r="B67" s="18"/>
      <c r="C67" s="17"/>
      <c r="D67" s="17"/>
      <c r="E67" s="17"/>
      <c r="F67" s="17"/>
      <c r="G67" s="17"/>
      <c r="AI67" s="21"/>
      <c r="BJ67" s="21"/>
      <c r="BK67" s="16"/>
    </row>
    <row r="68" spans="2:63" s="12" customFormat="1" ht="15" customHeight="1" x14ac:dyDescent="0.25">
      <c r="B68" s="18"/>
      <c r="C68" s="17"/>
      <c r="D68" s="17"/>
      <c r="E68" s="17"/>
      <c r="F68" s="17"/>
      <c r="G68" s="17"/>
      <c r="AI68" s="21"/>
      <c r="BJ68" s="21"/>
      <c r="BK68" s="16"/>
    </row>
    <row r="69" spans="2:63" s="12" customFormat="1" ht="15" customHeight="1" x14ac:dyDescent="0.25">
      <c r="B69" s="18"/>
      <c r="C69" s="17"/>
      <c r="D69" s="17"/>
      <c r="E69" s="17"/>
      <c r="F69" s="17"/>
      <c r="G69" s="17"/>
      <c r="AI69" s="21"/>
      <c r="BJ69" s="21"/>
      <c r="BK69" s="16"/>
    </row>
    <row r="70" spans="2:63" s="12" customFormat="1" ht="15" customHeight="1" x14ac:dyDescent="0.25">
      <c r="B70" s="19"/>
      <c r="AI70" s="21"/>
      <c r="BJ70" s="21"/>
      <c r="BK70" s="16"/>
    </row>
    <row r="71" spans="2:63" s="12" customFormat="1" ht="15" customHeight="1" x14ac:dyDescent="0.25">
      <c r="B71" s="19"/>
      <c r="AI71" s="21"/>
      <c r="BJ71" s="21"/>
      <c r="BK71" s="16"/>
    </row>
    <row r="72" spans="2:63" s="12" customFormat="1" ht="15" customHeight="1" x14ac:dyDescent="0.25">
      <c r="B72" s="19"/>
      <c r="AI72" s="21"/>
      <c r="BJ72" s="21"/>
      <c r="BK72" s="16"/>
    </row>
    <row r="73" spans="2:63" s="12" customFormat="1" ht="15" customHeight="1" x14ac:dyDescent="0.25">
      <c r="B73" s="19"/>
      <c r="AI73" s="21"/>
      <c r="BJ73" s="21"/>
      <c r="BK73" s="16"/>
    </row>
    <row r="74" spans="2:63" s="12" customFormat="1" ht="15" customHeight="1" x14ac:dyDescent="0.25">
      <c r="B74" s="19"/>
      <c r="AI74" s="21"/>
      <c r="BJ74" s="21"/>
      <c r="BK74" s="16"/>
    </row>
    <row r="75" spans="2:63" s="12" customFormat="1" ht="15" customHeight="1" x14ac:dyDescent="0.25">
      <c r="B75" s="19"/>
      <c r="O75" s="12" t="s">
        <v>75</v>
      </c>
      <c r="AI75" s="21"/>
      <c r="BJ75" s="21"/>
      <c r="BK75" s="16"/>
    </row>
    <row r="76" spans="2:63" s="12" customFormat="1" ht="15" customHeight="1" x14ac:dyDescent="0.25">
      <c r="B76" s="19"/>
      <c r="AI76" s="21"/>
      <c r="BJ76" s="21"/>
      <c r="BK76" s="16"/>
    </row>
    <row r="77" spans="2:63" s="12" customFormat="1" ht="15" customHeight="1" x14ac:dyDescent="0.25">
      <c r="B77" s="19"/>
      <c r="AI77" s="21"/>
      <c r="BJ77" s="21"/>
      <c r="BK77" s="16"/>
    </row>
    <row r="78" spans="2:63" s="12" customFormat="1" ht="15" customHeight="1" x14ac:dyDescent="0.25">
      <c r="B78" s="19"/>
      <c r="AI78" s="21"/>
      <c r="BJ78" s="21"/>
      <c r="BK78" s="16"/>
    </row>
    <row r="79" spans="2:63" s="12" customFormat="1" ht="15" customHeight="1" x14ac:dyDescent="0.25">
      <c r="B79" s="19"/>
      <c r="AI79" s="21"/>
      <c r="BJ79" s="21"/>
      <c r="BK79" s="16"/>
    </row>
    <row r="80" spans="2:63" s="12" customFormat="1" ht="15" customHeight="1" x14ac:dyDescent="0.25">
      <c r="B80" s="19"/>
      <c r="AI80" s="21"/>
      <c r="BJ80" s="21"/>
      <c r="BK80" s="16"/>
    </row>
    <row r="81" spans="2:63" s="12" customFormat="1" ht="15" customHeight="1" x14ac:dyDescent="0.25">
      <c r="B81" s="19"/>
      <c r="AI81" s="21"/>
      <c r="BJ81" s="21"/>
      <c r="BK81" s="16"/>
    </row>
    <row r="82" spans="2:63" s="12" customFormat="1" ht="15" customHeight="1" x14ac:dyDescent="0.25">
      <c r="B82" s="19"/>
      <c r="AI82" s="21"/>
      <c r="BJ82" s="21"/>
      <c r="BK82" s="16"/>
    </row>
    <row r="83" spans="2:63" s="12" customFormat="1" ht="15" customHeight="1" x14ac:dyDescent="0.25">
      <c r="B83" s="19"/>
      <c r="AI83" s="21"/>
      <c r="BJ83" s="21"/>
      <c r="BK83" s="16"/>
    </row>
    <row r="84" spans="2:63" s="12" customFormat="1" ht="15" customHeight="1" x14ac:dyDescent="0.25">
      <c r="B84" s="19"/>
      <c r="AI84" s="21"/>
      <c r="BJ84" s="21"/>
      <c r="BK84" s="16"/>
    </row>
    <row r="85" spans="2:63" s="12" customFormat="1" ht="15" customHeight="1" x14ac:dyDescent="0.25">
      <c r="B85" s="19"/>
      <c r="AI85" s="21"/>
      <c r="BJ85" s="21"/>
      <c r="BK85" s="16"/>
    </row>
    <row r="86" spans="2:63" s="12" customFormat="1" ht="15" customHeight="1" x14ac:dyDescent="0.25">
      <c r="B86" s="19"/>
      <c r="AI86" s="21"/>
      <c r="BJ86" s="21"/>
      <c r="BK86" s="16"/>
    </row>
    <row r="87" spans="2:63" s="12" customFormat="1" ht="15" customHeight="1" x14ac:dyDescent="0.25">
      <c r="B87" s="19"/>
      <c r="AI87" s="21"/>
      <c r="BJ87" s="21"/>
      <c r="BK87" s="16"/>
    </row>
    <row r="88" spans="2:63" s="12" customFormat="1" ht="15" customHeight="1" x14ac:dyDescent="0.25">
      <c r="B88" s="19"/>
      <c r="AI88" s="21"/>
      <c r="BJ88" s="21"/>
      <c r="BK88" s="16"/>
    </row>
    <row r="89" spans="2:63" s="12" customFormat="1" ht="15" customHeight="1" x14ac:dyDescent="0.25">
      <c r="B89" s="19"/>
      <c r="AI89" s="21"/>
      <c r="BJ89" s="21"/>
      <c r="BK89" s="16"/>
    </row>
    <row r="90" spans="2:63" s="12" customFormat="1" ht="15" customHeight="1" x14ac:dyDescent="0.25">
      <c r="B90" s="19"/>
      <c r="AI90" s="21"/>
      <c r="BJ90" s="21"/>
      <c r="BK90" s="16"/>
    </row>
    <row r="91" spans="2:63" s="12" customFormat="1" ht="15" customHeight="1" x14ac:dyDescent="0.25">
      <c r="B91" s="19"/>
      <c r="AI91" s="21"/>
      <c r="BJ91" s="21"/>
      <c r="BK91" s="16"/>
    </row>
    <row r="92" spans="2:63" s="12" customFormat="1" ht="15" customHeight="1" x14ac:dyDescent="0.25">
      <c r="B92" s="19"/>
      <c r="AI92" s="21"/>
      <c r="BJ92" s="21"/>
      <c r="BK92" s="16"/>
    </row>
    <row r="93" spans="2:63" s="12" customFormat="1" ht="15" customHeight="1" x14ac:dyDescent="0.25">
      <c r="B93" s="19"/>
      <c r="AI93" s="21"/>
      <c r="BJ93" s="21"/>
      <c r="BK93" s="16"/>
    </row>
    <row r="94" spans="2:63" s="12" customFormat="1" ht="15" customHeight="1" x14ac:dyDescent="0.25">
      <c r="B94" s="19"/>
      <c r="AI94" s="21"/>
      <c r="BJ94" s="21"/>
      <c r="BK94" s="16"/>
    </row>
    <row r="95" spans="2:63" s="12" customFormat="1" ht="15" customHeight="1" x14ac:dyDescent="0.25">
      <c r="B95" s="19"/>
      <c r="AI95" s="21"/>
      <c r="BJ95" s="21"/>
      <c r="BK95" s="16"/>
    </row>
    <row r="96" spans="2:63" s="12" customFormat="1" ht="15" customHeight="1" x14ac:dyDescent="0.25">
      <c r="B96" s="19"/>
      <c r="AI96" s="21"/>
      <c r="BJ96" s="21"/>
      <c r="BK96" s="16"/>
    </row>
    <row r="97" spans="1:63" s="12" customFormat="1" ht="15" customHeight="1" x14ac:dyDescent="0.25">
      <c r="B97" s="19"/>
      <c r="AI97" s="21"/>
      <c r="BJ97" s="21"/>
      <c r="BK97" s="16"/>
    </row>
    <row r="98" spans="1:63" s="12" customFormat="1" ht="15" customHeight="1" x14ac:dyDescent="0.25">
      <c r="B98" s="19"/>
      <c r="AI98" s="21"/>
      <c r="BJ98" s="21"/>
      <c r="BK98" s="16"/>
    </row>
    <row r="99" spans="1:63" s="12" customFormat="1" ht="15" customHeight="1" x14ac:dyDescent="0.25">
      <c r="B99" s="19"/>
      <c r="AI99" s="21"/>
      <c r="BJ99" s="21"/>
      <c r="BK99" s="16"/>
    </row>
    <row r="100" spans="1:63" s="12" customFormat="1" ht="15" customHeight="1" x14ac:dyDescent="0.25">
      <c r="B100" s="19"/>
      <c r="AI100" s="21"/>
      <c r="BJ100" s="21"/>
      <c r="BK100" s="16"/>
    </row>
    <row r="101" spans="1:63" s="12" customFormat="1" ht="15" customHeight="1" x14ac:dyDescent="0.25">
      <c r="B101" s="19"/>
      <c r="AI101" s="21"/>
      <c r="BJ101" s="21"/>
      <c r="BK101" s="16"/>
    </row>
    <row r="102" spans="1:63" s="12" customFormat="1" ht="15" customHeight="1" x14ac:dyDescent="0.25">
      <c r="B102" s="19"/>
      <c r="AI102" s="21"/>
      <c r="BJ102" s="21"/>
      <c r="BK102" s="16"/>
    </row>
    <row r="103" spans="1:63" s="12" customFormat="1" ht="15" customHeight="1" x14ac:dyDescent="0.25">
      <c r="B103" s="19"/>
      <c r="AI103" s="21"/>
      <c r="BJ103" s="21"/>
      <c r="BK103" s="16"/>
    </row>
    <row r="104" spans="1:63" s="12" customFormat="1" ht="15" customHeight="1" x14ac:dyDescent="0.25">
      <c r="B104" s="19"/>
      <c r="AI104" s="21"/>
      <c r="BJ104" s="21"/>
      <c r="BK104" s="16"/>
    </row>
    <row r="105" spans="1:63" s="12" customFormat="1" ht="15" customHeight="1" x14ac:dyDescent="0.25">
      <c r="B105" s="19"/>
      <c r="AI105" s="21"/>
      <c r="BJ105" s="21"/>
      <c r="BK105" s="16"/>
    </row>
    <row r="106" spans="1:63" s="12" customFormat="1" ht="15" customHeight="1" x14ac:dyDescent="0.25">
      <c r="B106" s="19"/>
      <c r="AI106" s="21"/>
      <c r="BJ106" s="21"/>
      <c r="BK106" s="16"/>
    </row>
    <row r="107" spans="1:63" s="12" customFormat="1" ht="15" customHeight="1" x14ac:dyDescent="0.25">
      <c r="B107" s="19"/>
      <c r="AI107" s="21"/>
      <c r="BJ107" s="21"/>
      <c r="BK107" s="16"/>
    </row>
    <row r="108" spans="1:63" s="12" customFormat="1" ht="15" customHeight="1" x14ac:dyDescent="0.25">
      <c r="B108" s="19"/>
      <c r="AI108" s="21"/>
      <c r="BJ108" s="21"/>
      <c r="BK108" s="16"/>
    </row>
    <row r="109" spans="1:63" s="12" customFormat="1" ht="15" customHeight="1" x14ac:dyDescent="0.25">
      <c r="B109" s="19"/>
      <c r="AI109" s="21"/>
      <c r="BJ109" s="21"/>
      <c r="BK109" s="16"/>
    </row>
    <row r="110" spans="1:63" ht="15" customHeight="1" x14ac:dyDescent="0.25">
      <c r="A110" s="9"/>
      <c r="B110" s="2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22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22"/>
      <c r="BK110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81" t="s">
        <v>84</v>
      </c>
      <c r="B1" s="282"/>
      <c r="C1" s="282"/>
      <c r="D1" s="282"/>
      <c r="E1" s="282"/>
      <c r="F1" s="282"/>
      <c r="G1" s="282"/>
      <c r="H1" s="282"/>
      <c r="I1" s="282"/>
      <c r="J1" s="283"/>
      <c r="K1" s="281" t="s">
        <v>85</v>
      </c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3"/>
      <c r="W1" s="284" t="s">
        <v>82</v>
      </c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197" t="s">
        <v>86</v>
      </c>
      <c r="AQ1" s="198"/>
      <c r="AR1" s="198"/>
      <c r="AS1" s="199"/>
      <c r="AT1" s="197" t="s">
        <v>87</v>
      </c>
      <c r="AU1" s="198"/>
      <c r="AV1" s="198"/>
      <c r="AW1" s="198"/>
      <c r="AX1" s="199"/>
      <c r="AY1" s="197" t="s">
        <v>88</v>
      </c>
      <c r="AZ1" s="198"/>
      <c r="BA1" s="198"/>
      <c r="BB1" s="199"/>
      <c r="BC1" s="197" t="s">
        <v>89</v>
      </c>
      <c r="BD1" s="198"/>
      <c r="BE1" s="198"/>
      <c r="BF1" s="198"/>
      <c r="BG1" s="199"/>
      <c r="BH1" s="197" t="s">
        <v>90</v>
      </c>
      <c r="BI1" s="198"/>
      <c r="BJ1" s="198"/>
      <c r="BK1" s="199"/>
    </row>
    <row r="2" spans="1:63" ht="15" customHeight="1" x14ac:dyDescent="0.25">
      <c r="A2" s="123" t="s">
        <v>81</v>
      </c>
      <c r="B2" s="124"/>
      <c r="C2" s="124"/>
      <c r="D2" s="124"/>
      <c r="E2" s="124"/>
      <c r="F2" s="124"/>
      <c r="G2" s="124"/>
      <c r="H2" s="124"/>
      <c r="I2" s="124"/>
      <c r="J2" s="125"/>
      <c r="K2" s="123" t="s">
        <v>81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287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9"/>
      <c r="AP2" s="206" t="s">
        <v>78</v>
      </c>
      <c r="AQ2" s="204"/>
      <c r="AR2" s="204"/>
      <c r="AS2" s="205"/>
      <c r="AT2" s="210">
        <v>45475</v>
      </c>
      <c r="AU2" s="211"/>
      <c r="AV2" s="211"/>
      <c r="AW2" s="211"/>
      <c r="AX2" s="212"/>
      <c r="AY2" s="206" t="s">
        <v>79</v>
      </c>
      <c r="AZ2" s="204"/>
      <c r="BA2" s="204"/>
      <c r="BB2" s="205"/>
      <c r="BC2" s="210">
        <v>45791</v>
      </c>
      <c r="BD2" s="211"/>
      <c r="BE2" s="211"/>
      <c r="BF2" s="211"/>
      <c r="BG2" s="212"/>
      <c r="BH2" s="206">
        <v>0.56999999999999995</v>
      </c>
      <c r="BI2" s="204"/>
      <c r="BJ2" s="204"/>
      <c r="BK2" s="20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290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2"/>
      <c r="AP3" s="216"/>
      <c r="AQ3" s="217"/>
      <c r="AR3" s="217"/>
      <c r="AS3" s="218"/>
      <c r="AT3" s="222"/>
      <c r="AU3" s="223"/>
      <c r="AV3" s="223"/>
      <c r="AW3" s="223"/>
      <c r="AX3" s="224"/>
      <c r="AY3" s="216"/>
      <c r="AZ3" s="217"/>
      <c r="BA3" s="217"/>
      <c r="BB3" s="218"/>
      <c r="BC3" s="222"/>
      <c r="BD3" s="223"/>
      <c r="BE3" s="223"/>
      <c r="BF3" s="223"/>
      <c r="BG3" s="224"/>
      <c r="BH3" s="216"/>
      <c r="BI3" s="217"/>
      <c r="BJ3" s="217"/>
      <c r="BK3" s="218"/>
    </row>
    <row r="4" spans="1:63" ht="24.95" customHeight="1" x14ac:dyDescent="0.25">
      <c r="A4" s="281" t="s">
        <v>91</v>
      </c>
      <c r="B4" s="282"/>
      <c r="C4" s="282"/>
      <c r="D4" s="282"/>
      <c r="E4" s="282"/>
      <c r="F4" s="282"/>
      <c r="G4" s="283"/>
      <c r="H4" s="141" t="s">
        <v>80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281" t="s">
        <v>92</v>
      </c>
      <c r="V4" s="282"/>
      <c r="W4" s="282"/>
      <c r="X4" s="282"/>
      <c r="Y4" s="283"/>
      <c r="Z4" s="141" t="s">
        <v>83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テンプレート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99" customFormat="1" ht="15" customHeight="1" x14ac:dyDescent="0.25">
      <c r="BK7" s="298"/>
    </row>
    <row r="8" spans="1:63" s="299" customFormat="1" ht="15" customHeight="1" x14ac:dyDescent="0.25">
      <c r="BK8" s="298"/>
    </row>
    <row r="9" spans="1:63" s="299" customFormat="1" ht="15" customHeight="1" x14ac:dyDescent="0.25">
      <c r="BK9" s="298"/>
    </row>
    <row r="10" spans="1:63" s="299" customFormat="1" ht="15" customHeight="1" x14ac:dyDescent="0.25">
      <c r="BK10" s="298"/>
    </row>
    <row r="11" spans="1:63" s="299" customFormat="1" ht="15" customHeight="1" x14ac:dyDescent="0.25">
      <c r="BK11" s="298"/>
    </row>
    <row r="12" spans="1:63" s="299" customFormat="1" ht="15" customHeight="1" x14ac:dyDescent="0.25">
      <c r="BK12" s="298"/>
    </row>
    <row r="13" spans="1:63" s="299" customFormat="1" ht="15" customHeight="1" x14ac:dyDescent="0.25">
      <c r="BK13" s="298"/>
    </row>
    <row r="14" spans="1:63" s="299" customFormat="1" ht="15" customHeight="1" x14ac:dyDescent="0.25">
      <c r="BK14" s="298"/>
    </row>
    <row r="15" spans="1:63" s="299" customFormat="1" ht="15" customHeight="1" x14ac:dyDescent="0.25">
      <c r="BK15" s="298"/>
    </row>
    <row r="16" spans="1:63" s="299" customFormat="1" ht="15" customHeight="1" x14ac:dyDescent="0.25">
      <c r="BK16" s="298"/>
    </row>
    <row r="17" spans="63:63" s="299" customFormat="1" ht="15" customHeight="1" x14ac:dyDescent="0.25">
      <c r="BK17" s="298"/>
    </row>
    <row r="18" spans="63:63" s="299" customFormat="1" ht="15" customHeight="1" x14ac:dyDescent="0.25">
      <c r="BK18" s="298"/>
    </row>
    <row r="19" spans="63:63" s="299" customFormat="1" ht="15" customHeight="1" x14ac:dyDescent="0.25">
      <c r="BK19" s="298"/>
    </row>
    <row r="20" spans="63:63" s="299" customFormat="1" ht="15" customHeight="1" x14ac:dyDescent="0.25">
      <c r="BK20" s="298"/>
    </row>
    <row r="21" spans="63:63" s="299" customFormat="1" ht="15" customHeight="1" x14ac:dyDescent="0.25">
      <c r="BK21" s="298"/>
    </row>
    <row r="22" spans="63:63" s="299" customFormat="1" ht="15" customHeight="1" x14ac:dyDescent="0.25">
      <c r="BK22" s="298"/>
    </row>
    <row r="23" spans="63:63" s="299" customFormat="1" ht="15" customHeight="1" x14ac:dyDescent="0.25">
      <c r="BK23" s="298"/>
    </row>
    <row r="24" spans="63:63" s="299" customFormat="1" ht="15" customHeight="1" x14ac:dyDescent="0.25">
      <c r="BK24" s="298"/>
    </row>
    <row r="25" spans="63:63" s="299" customFormat="1" ht="15" customHeight="1" x14ac:dyDescent="0.25">
      <c r="BK25" s="298"/>
    </row>
    <row r="26" spans="63:63" s="299" customFormat="1" ht="15" customHeight="1" x14ac:dyDescent="0.25">
      <c r="BK26" s="298"/>
    </row>
    <row r="27" spans="63:63" s="299" customFormat="1" ht="15" customHeight="1" x14ac:dyDescent="0.25">
      <c r="BK27" s="298"/>
    </row>
    <row r="28" spans="63:63" s="299" customFormat="1" ht="15" customHeight="1" x14ac:dyDescent="0.25">
      <c r="BK28" s="298"/>
    </row>
    <row r="29" spans="63:63" s="299" customFormat="1" ht="15" customHeight="1" x14ac:dyDescent="0.25">
      <c r="BK29" s="298"/>
    </row>
    <row r="30" spans="63:63" s="299" customFormat="1" ht="15" customHeight="1" x14ac:dyDescent="0.25">
      <c r="BK30" s="298"/>
    </row>
    <row r="31" spans="63:63" s="299" customFormat="1" ht="15" customHeight="1" x14ac:dyDescent="0.25">
      <c r="BK31" s="298"/>
    </row>
    <row r="32" spans="63:63" s="299" customFormat="1" ht="15" customHeight="1" x14ac:dyDescent="0.25">
      <c r="BK32" s="298"/>
    </row>
    <row r="33" spans="63:63" s="299" customFormat="1" ht="15" customHeight="1" x14ac:dyDescent="0.25">
      <c r="BK33" s="298"/>
    </row>
    <row r="34" spans="63:63" s="299" customFormat="1" ht="15" customHeight="1" x14ac:dyDescent="0.25">
      <c r="BK34" s="298"/>
    </row>
    <row r="35" spans="63:63" s="299" customFormat="1" ht="15" customHeight="1" x14ac:dyDescent="0.25">
      <c r="BK35" s="298"/>
    </row>
    <row r="36" spans="63:63" s="299" customFormat="1" ht="15" customHeight="1" x14ac:dyDescent="0.25">
      <c r="BK36" s="298"/>
    </row>
    <row r="37" spans="63:63" s="299" customFormat="1" ht="15" customHeight="1" x14ac:dyDescent="0.25">
      <c r="BK37" s="298"/>
    </row>
    <row r="38" spans="63:63" s="299" customFormat="1" ht="15" customHeight="1" x14ac:dyDescent="0.25">
      <c r="BK38" s="298"/>
    </row>
    <row r="39" spans="63:63" s="299" customFormat="1" ht="15" customHeight="1" x14ac:dyDescent="0.25">
      <c r="BK39" s="298"/>
    </row>
    <row r="40" spans="63:63" s="299" customFormat="1" ht="15" customHeight="1" x14ac:dyDescent="0.25">
      <c r="BK40" s="298"/>
    </row>
    <row r="41" spans="63:63" s="299" customFormat="1" ht="15" customHeight="1" x14ac:dyDescent="0.25">
      <c r="BK41" s="298"/>
    </row>
    <row r="42" spans="63:63" s="299" customFormat="1" ht="15" customHeight="1" x14ac:dyDescent="0.25">
      <c r="BK42" s="298"/>
    </row>
    <row r="43" spans="63:63" s="299" customFormat="1" ht="15" customHeight="1" x14ac:dyDescent="0.25">
      <c r="BK43" s="298"/>
    </row>
    <row r="44" spans="63:63" s="299" customFormat="1" ht="15" customHeight="1" x14ac:dyDescent="0.25">
      <c r="BK44" s="298"/>
    </row>
    <row r="45" spans="63:63" s="299" customFormat="1" ht="15" customHeight="1" x14ac:dyDescent="0.25">
      <c r="BK45" s="298"/>
    </row>
    <row r="46" spans="63:63" s="299" customFormat="1" ht="15" customHeight="1" x14ac:dyDescent="0.25">
      <c r="BK46" s="298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D8B34-F615-49C5-97F3-514FA3529893}"/>
</file>

<file path=customXml/itemProps2.xml><?xml version="1.0" encoding="utf-8"?>
<ds:datastoreItem xmlns:ds="http://schemas.openxmlformats.org/officeDocument/2006/customXml" ds:itemID="{150485B7-49FB-4930-A55B-41B36708206E}"/>
</file>

<file path=customXml/itemProps3.xml><?xml version="1.0" encoding="utf-8"?>
<ds:datastoreItem xmlns:ds="http://schemas.openxmlformats.org/officeDocument/2006/customXml" ds:itemID="{A6F5CC55-63AE-4D43-A1CB-DC3848FF23C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2025-06-18T08:46:23Z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