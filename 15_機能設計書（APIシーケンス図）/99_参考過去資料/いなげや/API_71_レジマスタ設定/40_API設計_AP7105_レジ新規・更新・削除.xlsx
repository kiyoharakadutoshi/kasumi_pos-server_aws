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Pos system\40_API設計\いなげや\API_71_レジマスタ設定\"/>
    </mc:Choice>
  </mc:AlternateContent>
  <xr:revisionPtr revIDLastSave="0" documentId="13_ncr:1_{925CF656-2E47-4205-994C-11B08BA7E9F7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‎表紙" sheetId="4" r:id="rId1"/>
    <sheet name="改訂履歴" sheetId="3" r:id="rId2"/>
    <sheet name="処理フロー凡例" sheetId="10" r:id="rId3"/>
    <sheet name="AP7105" sheetId="8" r:id="rId4"/>
    <sheet name="処理フロー" sheetId="9" r:id="rId5"/>
    <sheet name="テンプレート" sheetId="7" r:id="rId6"/>
  </sheets>
  <definedNames>
    <definedName name="_xlnm.Print_Area" localSheetId="5">テンプレート!$A$1:$BK$54</definedName>
    <definedName name="_xlnm.Print_Area" localSheetId="4">処理フロー!$A$1:$BK$91</definedName>
    <definedName name="_xlnm.Print_Area" localSheetId="2">処理フロー凡例!$A$1:$BK$54</definedName>
    <definedName name="_xlnm.Print_Area" localSheetId="1">改訂履歴!$A$1:$BK$55</definedName>
    <definedName name="_xlnm.Print_Titles" localSheetId="1">改訂履歴!$1:$5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AP4" i="9"/>
  <c r="AP4" i="8"/>
  <c r="AP4" i="10"/>
  <c r="AP4" i="3" a="1"/>
  <c r="AP4" i="3" s="1"/>
  <c r="L24" i="4"/>
  <c r="AP4" i="4" a="1"/>
  <c r="AP4" i="4" s="1"/>
  <c r="BH2" i="4"/>
  <c r="BC2" i="4"/>
  <c r="AY2" i="4"/>
  <c r="AT2" i="4"/>
  <c r="AP2" i="4"/>
</calcChain>
</file>

<file path=xl/sharedStrings.xml><?xml version="1.0" encoding="utf-8"?>
<sst xmlns="http://schemas.openxmlformats.org/spreadsheetml/2006/main" count="589" uniqueCount="183">
  <si>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</si>
  <si>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</si>
  <si>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</si>
  <si>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</si>
  <si>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</si>
  <si>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</si>
  <si>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</si>
  <si>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</si>
  <si>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</si>
  <si>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</si>
  <si>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</si>
  <si>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</si>
  <si>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</si>
  <si>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</si>
  <si>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</si>
  <si>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</si>
  <si>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</si>
  <si>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</si>
  <si>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</si>
  <si>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</si>
  <si>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11"/>
        <color rgb="FF000000"/>
        <rFont val="Meiryo UI"/>
        <family val="2"/>
      </rPr>
      <t>レジを新規作成・更新・削除する。</t>
    </r>
  </si>
  <si>
    <r>
      <rPr>
        <sz val="11"/>
        <color rgb="FF000000"/>
        <rFont val="Meiryo UI"/>
        <family val="2"/>
      </rPr>
      <t>POST</t>
    </r>
  </si>
  <si>
    <r>
      <rPr>
        <sz val="11"/>
        <color rgb="FF000000"/>
        <rFont val="Meiryo UI"/>
        <family val="2"/>
      </rPr>
      <t>application/json</t>
    </r>
  </si>
  <si>
    <r>
      <rPr>
        <sz val="11"/>
        <color rgb="FF000000"/>
        <rFont val="Meiryo UI"/>
        <family val="2"/>
      </rPr>
      <t>NA</t>
    </r>
  </si>
  <si>
    <r>
      <rPr>
        <sz val="11"/>
        <color rgb="FF000000"/>
        <rFont val="Meiryo UI"/>
        <family val="2"/>
      </rPr>
      <t>List&lt;CashRegister&gt;</t>
    </r>
  </si>
  <si>
    <r>
      <rPr>
        <sz val="11"/>
        <color rgb="FF000000"/>
        <rFont val="Meiryo UI"/>
        <family val="2"/>
      </rPr>
      <t>store_code</t>
    </r>
  </si>
  <si>
    <r>
      <rPr>
        <sz val="11"/>
        <color rgb="FF000000"/>
        <rFont val="Meiryo UI"/>
        <family val="2"/>
      </rPr>
      <t>code</t>
    </r>
  </si>
  <si>
    <r>
      <rPr>
        <sz val="11"/>
        <color rgb="FF000000"/>
        <rFont val="Meiryo UI"/>
        <family val="2"/>
      </rPr>
      <t>type_code</t>
    </r>
  </si>
  <si>
    <r>
      <rPr>
        <sz val="11"/>
        <color rgb="FF000000"/>
        <rFont val="Meiryo UI"/>
        <family val="2"/>
      </rPr>
      <t>type_node</t>
    </r>
  </si>
  <si>
    <r>
      <rPr>
        <sz val="11"/>
        <color rgb="FF000000"/>
        <rFont val="Meiryo UI"/>
        <family val="2"/>
      </rPr>
      <t>button_layout_code</t>
    </r>
  </si>
  <si>
    <r>
      <rPr>
        <sz val="11"/>
        <color rgb="FF000000"/>
        <rFont val="Meiryo UI"/>
        <family val="2"/>
      </rPr>
      <t>keyboard_layout_code</t>
    </r>
  </si>
  <si>
    <r>
      <rPr>
        <sz val="11"/>
        <color rgb="FF000000"/>
        <rFont val="Meiryo UI"/>
        <family val="2"/>
      </rPr>
      <t>function_layout_code</t>
    </r>
  </si>
  <si>
    <r>
      <rPr>
        <sz val="11"/>
        <color rgb="FF000000"/>
        <rFont val="Meiryo UI"/>
        <family val="2"/>
      </rPr>
      <t>receipt_message_code</t>
    </r>
  </si>
  <si>
    <r>
      <rPr>
        <sz val="11"/>
        <color rgb="FF000000"/>
        <rFont val="Meiryo UI"/>
        <family val="2"/>
      </rPr>
      <t>ip_address</t>
    </r>
  </si>
  <si>
    <r>
      <rPr>
        <sz val="11"/>
        <color rgb="FF000000"/>
        <rFont val="Meiryo UI"/>
        <family val="2"/>
      </rPr>
      <t>mac_address</t>
    </r>
  </si>
  <si>
    <r>
      <rPr>
        <sz val="11"/>
        <color rgb="FF000000"/>
        <rFont val="Meiryo UI"/>
        <family val="2"/>
      </rPr>
      <t>start_up_time</t>
    </r>
  </si>
  <si>
    <r>
      <rPr>
        <sz val="11"/>
        <color rgb="FF000000"/>
        <rFont val="Meiryo UI"/>
        <family val="2"/>
      </rPr>
      <t>morning_discount_excluded</t>
    </r>
  </si>
  <si>
    <r>
      <rPr>
        <sz val="11"/>
        <color rgb="FF000000"/>
        <rFont val="Meiryo UI"/>
        <family val="2"/>
      </rPr>
      <t>mega_discount_excluded</t>
    </r>
  </si>
  <si>
    <r>
      <rPr>
        <sz val="11"/>
        <color rgb="FF000000"/>
        <rFont val="Meiryo UI"/>
        <family val="2"/>
      </rPr>
      <t>customer_count_excluded</t>
    </r>
  </si>
  <si>
    <r>
      <rPr>
        <sz val="11"/>
        <color rgb="FF000000"/>
        <rFont val="Meiryo UI"/>
        <family val="2"/>
      </rPr>
      <t>pos_model</t>
    </r>
  </si>
  <si>
    <r>
      <rPr>
        <sz val="11"/>
        <color rgb="FF000000"/>
        <rFont val="Meiryo UI"/>
        <family val="2"/>
      </rPr>
      <t>cash_machine_model</t>
    </r>
  </si>
  <si>
    <r>
      <rPr>
        <sz val="11"/>
        <color rgb="FF000000"/>
        <rFont val="Meiryo UI"/>
        <family val="2"/>
      </rPr>
      <t>scanner_model</t>
    </r>
  </si>
  <si>
    <r>
      <rPr>
        <sz val="11"/>
        <color rgb="FF000000"/>
        <rFont val="Meiryo UI"/>
        <family val="2"/>
      </rPr>
      <t>note_1</t>
    </r>
  </si>
  <si>
    <r>
      <rPr>
        <sz val="11"/>
        <color rgb="FF000000"/>
        <rFont val="Meiryo UI"/>
        <family val="2"/>
      </rPr>
      <t>note_2</t>
    </r>
  </si>
  <si>
    <r>
      <rPr>
        <sz val="11"/>
        <color rgb="FF000000"/>
        <rFont val="Meiryo UI"/>
        <family val="2"/>
      </rPr>
      <t>note_3</t>
    </r>
  </si>
  <si>
    <r>
      <rPr>
        <sz val="11"/>
        <color rgb="FF000000"/>
        <rFont val="Meiryo UI"/>
        <family val="2"/>
      </rPr>
      <t>operation_type</t>
    </r>
  </si>
  <si>
    <r>
      <rPr>
        <sz val="11"/>
        <color rgb="FF000000"/>
        <rFont val="Meiryo UI"/>
        <family val="2"/>
      </rPr>
      <t>SmallInt</t>
    </r>
  </si>
  <si>
    <r>
      <rPr>
        <b/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</si>
  <si>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t>`</t>
  </si>
  <si>
    <r>
      <rPr>
        <sz val="11"/>
        <color rgb="FF000000"/>
        <rFont val="Meiryo UI"/>
        <family val="2"/>
      </rPr>
      <t>cash_registers</t>
    </r>
  </si>
  <si>
    <r>
      <rPr>
        <sz val="11"/>
        <color rgb="FF000000"/>
        <rFont val="Meiryo UI"/>
        <family val="2"/>
      </rPr>
      <t>AP7105: name、payment_type_codeを削除する。</t>
    </r>
  </si>
  <si>
    <r>
      <rPr>
        <sz val="11"/>
        <color rgb="FF000000"/>
        <rFont val="Meiryo UI"/>
        <family val="2"/>
      </rPr>
      <t>AP7105: tenant_hierarchy_codeを追加する。</t>
    </r>
  </si>
  <si>
    <r>
      <rPr>
        <sz val="11"/>
        <color rgb="FF000000"/>
        <rFont val="Meiryo UI"/>
        <family val="2"/>
      </rPr>
      <t>処理フロー：リスト内の存在チェックを最適化</t>
    </r>
  </si>
  <si>
    <r>
      <rPr>
        <sz val="11"/>
        <color rgb="FF000000"/>
        <rFont val="Meiryo UI"/>
        <family val="2"/>
      </rPr>
      <t>AP7105：コードは最大4桁の数字</t>
    </r>
  </si>
  <si>
    <r>
      <rPr>
        <sz val="11"/>
        <color rgb="FF000000"/>
        <rFont val="Meiryo UI"/>
        <family val="2"/>
      </rPr>
      <t>AnhDD</t>
    </r>
  </si>
  <si>
    <r>
      <rPr>
        <sz val="11"/>
        <color rgb="FF000000"/>
        <rFont val="Meiryo UI"/>
        <family val="2"/>
      </rPr>
      <t>rate_customer_excluded</t>
    </r>
  </si>
  <si>
    <r>
      <rPr>
        <sz val="11"/>
        <color rgb="FF000000"/>
        <rFont val="Meiryo UI"/>
        <family val="2"/>
      </rPr>
      <t>attendant_monitor_excluded</t>
    </r>
  </si>
  <si>
    <r>
      <rPr>
        <sz val="11"/>
        <color rgb="FF000000"/>
        <rFont val="Meiryo UI"/>
        <family val="2"/>
      </rPr>
      <t>TinNH</t>
    </r>
  </si>
  <si>
    <r>
      <rPr>
        <sz val="11"/>
        <color rgb="FF000000"/>
        <rFont val="Meiryo UI"/>
        <family val="2"/>
      </rPr>
      <t>機能概要</t>
    </r>
  </si>
  <si>
    <r>
      <rPr>
        <sz val="11"/>
        <color rgb="FF000000"/>
        <rFont val="Meiryo UI"/>
        <family val="2"/>
      </rPr>
      <t>・380アテンダントモニタ、構成比を追加する。</t>
    </r>
  </si>
  <si>
    <r>
      <rPr>
        <sz val="11"/>
        <color rgb="FF000000"/>
        <rFont val="Meiryo UI"/>
        <family val="2"/>
      </rPr>
      <t>以下の項目を追加。レシートクーポン発行除外、定番売価使用</t>
    </r>
  </si>
  <si>
    <r>
      <rPr>
        <sz val="11"/>
        <color rgb="FF000000"/>
        <rFont val="Meiryo UI"/>
        <family val="2"/>
      </rPr>
      <t>レジコードのデータ型を変更：BigInt -&gt; String</t>
    </r>
  </si>
  <si>
    <r>
      <rPr>
        <sz val="11"/>
        <color rgb="FF000000"/>
        <rFont val="Meiryo UI"/>
        <family val="2"/>
      </rPr>
      <t>receipt_coupon_excluded</t>
    </r>
  </si>
  <si>
    <r>
      <rPr>
        <sz val="11"/>
        <color rgb="FF000000"/>
        <rFont val="Meiryo UI"/>
        <family val="2"/>
      </rPr>
      <t>used_standard_price</t>
    </r>
  </si>
  <si>
    <r>
      <rPr>
        <sz val="11"/>
        <color rgb="FF000000"/>
        <rFont val="Meiryo UI"/>
        <family val="2"/>
      </rPr>
      <t>レジ情報設定処理を追加</t>
    </r>
  </si>
  <si>
    <r>
      <rPr>
        <sz val="11"/>
        <color rgb="FF000000"/>
        <rFont val="Meiryo UI"/>
        <family val="2"/>
      </rPr>
      <t>api/v1/cash-registers/maintenance</t>
    </r>
  </si>
  <si>
    <r>
      <rPr>
        <sz val="11"/>
        <color rgb="FF000000"/>
        <rFont val="Meiryo UI"/>
        <family val="2"/>
      </rPr>
      <t>AP8105</t>
    </r>
  </si>
  <si>
    <r>
      <rPr>
        <sz val="11"/>
        <color rgb="FF000000"/>
        <rFont val="Meiryo UI"/>
        <family val="2"/>
      </rPr>
      <t>device_class_code</t>
    </r>
  </si>
  <si>
    <r>
      <rPr>
        <sz val="11"/>
        <color rgb="FF000000"/>
        <rFont val="Meiryo UI"/>
        <family val="2"/>
      </rPr>
      <t>Update record_void_flag != 1</t>
    </r>
  </si>
  <si>
    <r>
      <rPr>
        <sz val="11"/>
        <color rgb="FF000000"/>
        <rFont val="Meiryo UI"/>
        <family val="2"/>
      </rPr>
      <t>instores.note_2</t>
    </r>
  </si>
  <si>
    <r>
      <rPr>
        <sz val="11"/>
        <color rgb="FF000000"/>
        <rFont val="Meiryo UI"/>
        <family val="2"/>
      </rPr>
      <t>instores.note_3</t>
    </r>
  </si>
  <si>
    <r>
      <rPr>
        <sz val="11"/>
        <color rgb="FF000000"/>
        <rFont val="Meiryo UI"/>
        <family val="2"/>
      </rPr>
      <t>instores.store_code</t>
    </r>
  </si>
  <si>
    <r>
      <rPr>
        <sz val="11"/>
        <color rgb="FF000000"/>
        <rFont val="Meiryo UI"/>
        <family val="2"/>
      </rPr>
      <t>instores.button_layout_code</t>
    </r>
  </si>
  <si>
    <r>
      <rPr>
        <sz val="11"/>
        <color rgb="FF000000"/>
        <rFont val="Meiryo UI"/>
        <family val="2"/>
      </rPr>
      <t>instores.device_class_code</t>
    </r>
  </si>
  <si>
    <r>
      <rPr>
        <sz val="11"/>
        <color rgb="FF000000"/>
        <rFont val="Meiryo UI"/>
        <family val="2"/>
      </rPr>
      <t>instores.ip_address</t>
    </r>
  </si>
  <si>
    <r>
      <rPr>
        <sz val="11"/>
        <color rgb="FF000000"/>
        <rFont val="Meiryo UI"/>
        <family val="2"/>
      </rPr>
      <t>instores.mac_address</t>
    </r>
  </si>
  <si>
    <r>
      <rPr>
        <sz val="11"/>
        <color rgb="FF000000"/>
        <rFont val="Meiryo UI"/>
        <family val="2"/>
      </rPr>
      <t>instores.start_up_time</t>
    </r>
  </si>
  <si>
    <r>
      <rPr>
        <sz val="11"/>
        <color rgb="FF000000"/>
        <rFont val="Meiryo UI"/>
        <family val="2"/>
      </rPr>
      <t>instores.morning_discount_excluded</t>
    </r>
  </si>
  <si>
    <r>
      <rPr>
        <sz val="11"/>
        <color rgb="FF000000"/>
        <rFont val="Meiryo UI"/>
        <family val="2"/>
      </rPr>
      <t>instores.customer_count_excluded</t>
    </r>
  </si>
  <si>
    <r>
      <rPr>
        <sz val="11"/>
        <color rgb="FF000000"/>
        <rFont val="Meiryo UI"/>
        <family val="2"/>
      </rPr>
      <t>instores.rate_customer_excluded</t>
    </r>
  </si>
  <si>
    <r>
      <rPr>
        <sz val="11"/>
        <color rgb="FF000000"/>
        <rFont val="Meiryo UI"/>
        <family val="2"/>
      </rPr>
      <t>instores.attendant_monitor_excluded</t>
    </r>
  </si>
  <si>
    <r>
      <rPr>
        <sz val="11"/>
        <color rgb="FF000000"/>
        <rFont val="Meiryo UI"/>
        <family val="2"/>
      </rPr>
      <t>instores.receipt_coupon_excluded</t>
    </r>
  </si>
  <si>
    <r>
      <rPr>
        <sz val="11"/>
        <color rgb="FF000000"/>
        <rFont val="Meiryo UI"/>
        <family val="2"/>
      </rPr>
      <t>instores.used_standard_price</t>
    </r>
  </si>
  <si>
    <r>
      <rPr>
        <sz val="11"/>
        <color rgb="FF000000"/>
        <rFont val="Meiryo UI"/>
        <family val="2"/>
      </rPr>
      <t>instores.pos_model</t>
    </r>
  </si>
  <si>
    <r>
      <rPr>
        <sz val="11"/>
        <color rgb="FF000000"/>
        <rFont val="Meiryo UI"/>
        <family val="2"/>
      </rPr>
      <t>instores.cash_machine_model</t>
    </r>
  </si>
  <si>
    <r>
      <rPr>
        <sz val="11"/>
        <color rgb="FF000000"/>
        <rFont val="Meiryo UI"/>
        <family val="2"/>
      </rPr>
      <t>instores.scanner_model</t>
    </r>
  </si>
  <si>
    <r>
      <rPr>
        <sz val="11"/>
        <color rgb="FF000000"/>
        <rFont val="Meiryo UI"/>
        <family val="2"/>
      </rPr>
      <t>instores.note_1</t>
    </r>
  </si>
  <si>
    <r>
      <rPr>
        <sz val="11"/>
        <color rgb="FF000000"/>
        <rFont val="Meiryo UI"/>
        <family val="2"/>
      </rPr>
      <t>instores.instore_code</t>
    </r>
  </si>
  <si>
    <r>
      <rPr>
        <sz val="11"/>
        <color rgb="FF000000"/>
        <rFont val="Meiryo UI"/>
        <family val="2"/>
      </rPr>
      <t>instores.type_code</t>
    </r>
  </si>
  <si>
    <r>
      <rPr>
        <sz val="11"/>
        <color rgb="FF000000"/>
        <rFont val="Meiryo UI"/>
        <family val="2"/>
      </rPr>
      <t>instores.type_node</t>
    </r>
  </si>
  <si>
    <r>
      <rPr>
        <sz val="11"/>
        <color rgb="FF000000"/>
        <rFont val="Meiryo UI"/>
        <family val="2"/>
      </rPr>
      <t>instores.keyboard_layout_code</t>
    </r>
  </si>
  <si>
    <r>
      <rPr>
        <sz val="11"/>
        <color rgb="FF000000"/>
        <rFont val="Meiryo UI"/>
        <family val="2"/>
      </rPr>
      <t>instores.function_layout_code</t>
    </r>
  </si>
  <si>
    <r>
      <rPr>
        <sz val="11"/>
        <color rgb="FF000000"/>
        <rFont val="Meiryo UI"/>
        <family val="2"/>
      </rPr>
      <t>instores.receipt_message_code</t>
    </r>
  </si>
  <si>
    <r>
      <rPr>
        <sz val="11"/>
        <color rgb="FF000000"/>
        <rFont val="Meiryo UI"/>
        <family val="2"/>
      </rPr>
      <t>AnhDD, AnhTTP</t>
    </r>
  </si>
  <si>
    <t>""</t>
  </si>
  <si>
    <r>
      <rPr>
        <sz val="11"/>
        <color rgb="FF000000"/>
        <rFont val="Meiryo UI"/>
        <family val="2"/>
      </rPr>
      <t>AnhTTP</t>
    </r>
  </si>
  <si>
    <r>
      <rPr>
        <sz val="11"/>
        <color rgb="FF000000"/>
        <rFont val="Meiryo UI"/>
        <family val="2"/>
      </rPr>
      <t>messagesテーブルのデータチェックロジックを削除 =&gt; master_codes</t>
    </r>
  </si>
  <si>
    <r>
      <rPr>
        <sz val="11"/>
        <color rgb="FF000000"/>
        <rFont val="Meiryo UI"/>
        <family val="2"/>
      </rPr>
      <t>DuNT</t>
    </r>
  </si>
  <si>
    <r>
      <rPr>
        <sz val="11"/>
        <color rgb="FF000000"/>
        <rFont val="Meiryo UI"/>
        <family val="2"/>
      </rPr>
      <t>ー</t>
    </r>
  </si>
  <si>
    <r>
      <rPr>
        <sz val="11"/>
        <color rgb="FF000000"/>
        <rFont val="Meiryo UI"/>
        <family val="2"/>
      </rPr>
      <t>Int</t>
    </r>
  </si>
  <si>
    <t>DuNT</t>
  </si>
  <si>
    <t>AP8105</t>
  </si>
  <si>
    <t>POSサーバー</t>
  </si>
  <si>
    <t>詳細設計書</t>
  </si>
  <si>
    <t>API設計書</t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</si>
  <si>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</si>
  <si>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</si>
  <si>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</si>
  <si>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</si>
  <si>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</si>
  <si>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</si>
  <si>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</si>
  <si>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</si>
  <si>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</si>
  <si>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</si>
  <si>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</si>
  <si>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</si>
  <si>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更新内容</t>
    </r>
  </si>
  <si>
    <r>
      <rPr>
        <sz val="11"/>
        <color rgb="FF000000"/>
        <rFont val="Meiryo UI"/>
        <family val="2"/>
      </rPr>
      <t>API 7105: パラメータのバリデーションチェック条件の説明を追加：type_code、type_node、button_layout_code、keyboard_layout_code、function_layout_code、receipt_message_code</t>
    </r>
  </si>
  <si>
    <r>
      <rPr>
        <sz val="11"/>
        <color rgb="FF000000"/>
        <rFont val="Meiryo UI"/>
        <family val="2"/>
      </rPr>
      <t>25739: messageMasterテーブルの存在チェック条件を修正する</t>
    </r>
  </si>
  <si>
    <r>
      <rPr>
        <sz val="11"/>
        <color rgb="FF000000"/>
        <rFont val="Meiryo UI"/>
        <family val="2"/>
      </rPr>
      <t>AP7105、処理フロー：device setting、cash_changer_settingsの情報保存処理を追加</t>
    </r>
  </si>
  <si>
    <t>node_type_codeのデータ型を変更：int -&gt; string。instore_typesテーブルを削除</t>
  </si>
  <si>
    <t>master_codes -&gt; code_master、cash_changer_settingsを削除、処理フロー更新</t>
  </si>
  <si>
    <t>●API処理フロー</t>
  </si>
  <si>
    <r>
      <rPr>
        <b/>
        <sz val="11"/>
        <color rgb="FF000000"/>
        <rFont val="Meiryo UI"/>
        <family val="2"/>
      </rPr>
      <t>1. 概要</t>
    </r>
  </si>
  <si>
    <t>2. リクエスト</t>
  </si>
  <si>
    <t>2.1 Request URL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</si>
  <si>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</si>
  <si>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</si>
  <si>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</si>
  <si>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</si>
  <si>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形式："Bearer {api_key}"</t>
    </r>
  </si>
  <si>
    <t>2.3 Query Parameter/ path parameter</t>
  </si>
  <si>
    <t>2.4 Request Body</t>
  </si>
  <si>
    <r>
      <rPr>
        <sz val="11"/>
        <color rgb="FF000000"/>
        <rFont val="Meiryo UI"/>
        <family val="2"/>
      </rPr>
      <t>・新規作成の場合、operation_typeを「1」として渡す。
・編集の場合、operation_type を「2」として渡す。
・削除の場合、operation_typeを「3」として渡す。
上記以外の場合、エラーメッセージ = MSG_VAL_019</t>
    </r>
  </si>
  <si>
    <r>
      <rPr>
        <sz val="11"/>
        <color rgb="FF000000"/>
        <rFont val="Meiryo UI"/>
        <family val="2"/>
      </rPr>
      <t>最大数字の4桁。満たさない場合、エラーメッセージ = MSG_VAL_019</t>
    </r>
  </si>
  <si>
    <t>String</t>
  </si>
  <si>
    <r>
      <rPr>
        <sz val="11"/>
        <color rgb="FF000000"/>
        <rFont val="Meiryo UI"/>
        <family val="2"/>
      </rPr>
      <t>preset_menusテーブルで、preset_menus.button_layout_code = button_layout_codeかつpreset_menus.company_code = User.CompanyCode(ログインしているユーザー) かつpreset_menus.store_code = store_codeの存在をチェックする。
満たさない場合、エラーメッセージ = MSG_VAL_019</t>
    </r>
  </si>
  <si>
    <r>
      <rPr>
        <sz val="11"/>
        <color rgb="FF000000"/>
        <rFont val="Meiryo UI"/>
        <family val="2"/>
      </rPr>
      <t>レジ種別
以下の値を受け取る。
1: 本番機
9: 検証機
エラーメッセージ = MSG_VAL_019
operation_type != 3の場合、必須チェックを実行する。エラーの場合、メッセージ = MSG_VAL_001を返す。</t>
    </r>
  </si>
  <si>
    <r>
      <rPr>
        <sz val="11"/>
        <color rgb="FF000000"/>
        <rFont val="Meiryo UI"/>
        <family val="2"/>
      </rPr>
      <t>IPアドレスの形式:ドットデシマル。例：10.2.12.124</t>
    </r>
  </si>
  <si>
    <r>
      <rPr>
        <sz val="11"/>
        <color rgb="FF000000"/>
        <rFont val="Meiryo UI"/>
        <family val="2"/>
      </rPr>
      <t>MACアドレスの形式:ドットデシマル。例：XX:XX:XX:XX:XX:XX</t>
    </r>
  </si>
  <si>
    <r>
      <rPr>
        <sz val="11"/>
        <color rgb="FF000000"/>
        <rFont val="Meiryo UI"/>
        <family val="2"/>
      </rPr>
      <t>形式: hh:mm。エラーの場合、エラーメッセージ = MSG_VAL_019</t>
    </r>
  </si>
  <si>
    <r>
      <rPr>
        <sz val="11"/>
        <color rgb="FF000000"/>
        <rFont val="Meiryo UI"/>
        <family val="2"/>
      </rPr>
      <t xml:space="preserve">instores.mega_discount_excluded </t>
    </r>
  </si>
  <si>
    <r>
      <rPr>
        <sz val="11"/>
        <color rgb="FF000000"/>
        <rFont val="Meiryo UI"/>
        <family val="2"/>
      </rPr>
      <t>最大50桁。桁数 &gt; 50の場合、 エラーメッセージ = MSG_VAL_002</t>
    </r>
  </si>
  <si>
    <r>
      <rPr>
        <sz val="11"/>
        <color rgb="FF000000"/>
        <rFont val="Meiryo UI"/>
        <family val="2"/>
      </rPr>
      <t>最大200桁。桁数 &gt; 200の場合、 エラーメッセージ = MSG_VAL_002</t>
    </r>
  </si>
  <si>
    <t>cash_changer_settings</t>
  </si>
  <si>
    <t>ー</t>
  </si>
  <si>
    <t>List&lt;ChangeMachineSetting&gt;</t>
  </si>
  <si>
    <t>status</t>
  </si>
  <si>
    <t>Int</t>
  </si>
  <si>
    <t>cash_changer_settings.status</t>
  </si>
  <si>
    <r>
      <t>1〜8の値のみ入力可能。エラーの場合、メッセージ = MSG_VAL_019</t>
    </r>
    <r>
      <rPr>
        <sz val="11"/>
        <color rgb="FF00B050"/>
        <rFont val="Meiryo UI"/>
        <family val="2"/>
      </rPr>
      <t xml:space="preserve">
</t>
    </r>
    <r>
      <rPr>
        <strike/>
        <sz val="11"/>
        <color rgb="FF00B050"/>
        <rFont val="Meiryo UI"/>
        <family val="2"/>
      </rPr>
      <t>operation_type != 3の場合、必須チェックを実行する。エラーの場合、メッセージ = MSG_VAL_001を返す。</t>
    </r>
  </si>
  <si>
    <t>count_10000</t>
  </si>
  <si>
    <t>cash_changer_settings.count_10000</t>
  </si>
  <si>
    <r>
      <t>最大値：9999、エラーの場合、メッセージMSG_VAL_002を返す。</t>
    </r>
    <r>
      <rPr>
        <sz val="11"/>
        <color rgb="FF00B050"/>
        <rFont val="Meiryo UI"/>
        <family val="2"/>
      </rPr>
      <t xml:space="preserve">
</t>
    </r>
    <r>
      <rPr>
        <strike/>
        <sz val="11"/>
        <color rgb="FF00B050"/>
        <rFont val="Meiryo UI"/>
        <family val="2"/>
      </rPr>
      <t>operation_type != 3の場合、必須チェックを実行する。エラーの場合、メッセージ = MSG_VAL_001を返す。</t>
    </r>
  </si>
  <si>
    <t>count_5000</t>
  </si>
  <si>
    <t>cash_changer_settings.count_5000</t>
  </si>
  <si>
    <t>count_2000</t>
  </si>
  <si>
    <t>cash_changer_settings.count_2000</t>
  </si>
  <si>
    <t>count_1000</t>
  </si>
  <si>
    <t>cash_changer_settings.count_1000</t>
  </si>
  <si>
    <t>count_500</t>
  </si>
  <si>
    <t>cash_changer_settings.count_500</t>
  </si>
  <si>
    <t>count_100</t>
  </si>
  <si>
    <t>cash_changer_settings.count_100</t>
  </si>
  <si>
    <t>count_50</t>
  </si>
  <si>
    <t>cash_changer_settings.count_50</t>
  </si>
  <si>
    <t>count_10</t>
  </si>
  <si>
    <t>cash_changer_settings.count_10</t>
  </si>
  <si>
    <t>count_5</t>
  </si>
  <si>
    <t>cash_changer_settings.count_5</t>
  </si>
  <si>
    <t>count_1</t>
  </si>
  <si>
    <t>cash_changer_settings.count_1</t>
  </si>
  <si>
    <t>cassette</t>
  </si>
  <si>
    <t>cash_changer_settings.cassette</t>
  </si>
  <si>
    <r>
      <rPr>
        <b/>
        <sz val="11"/>
        <color rgb="FF000000"/>
        <rFont val="Meiryo UI"/>
        <family val="2"/>
      </rPr>
      <t>3. レスポンス</t>
    </r>
  </si>
  <si>
    <t>3.1. 正常の場合のレスポンスフォーマット</t>
  </si>
  <si>
    <r>
      <rPr>
        <b/>
        <sz val="11"/>
        <color rgb="FF000000"/>
        <rFont val="Meiryo UI"/>
        <family val="2"/>
      </rPr>
      <t>3.2. エラーの場合のレスポンスフォーマット</t>
    </r>
  </si>
  <si>
    <r>
      <rPr>
        <sz val="11"/>
        <color rgb="FF000000"/>
        <rFont val="Meiryo UI"/>
        <family val="2"/>
      </rPr>
      <t>以下の条件を満たす、</t>
    </r>
    <r>
      <rPr>
        <sz val="11"/>
        <color rgb="FF00B050"/>
        <rFont val="Meiryo UI"/>
        <family val="2"/>
      </rPr>
      <t xml:space="preserve">code_master </t>
    </r>
    <r>
      <rPr>
        <sz val="11"/>
        <color rgb="FF000000"/>
        <rFont val="Meiryo UI"/>
        <family val="2"/>
      </rPr>
      <t>テーブルで</t>
    </r>
    <r>
      <rPr>
        <sz val="11"/>
        <color rgb="FF00B050"/>
        <rFont val="Meiryo UI"/>
        <family val="2"/>
      </rPr>
      <t>code_master</t>
    </r>
    <r>
      <rPr>
        <sz val="11"/>
        <color rgb="FF000000"/>
        <rFont val="Meiryo UI"/>
        <family val="2"/>
      </rPr>
      <t xml:space="preserve">.code_no = receipt_message_code の存在を確認する。
</t>
    </r>
    <r>
      <rPr>
        <sz val="11"/>
        <color rgb="FF00B050"/>
        <rFont val="Meiryo UI"/>
        <family val="2"/>
      </rPr>
      <t>code_master</t>
    </r>
    <r>
      <rPr>
        <sz val="11"/>
        <color rgb="FF000000"/>
        <rFont val="Meiryo UI"/>
        <family val="2"/>
      </rPr>
      <t xml:space="preserve">.master_code = "MC8301"
</t>
    </r>
    <r>
      <rPr>
        <sz val="11"/>
        <color rgb="FF00B050"/>
        <rFont val="Meiryo UI"/>
        <family val="2"/>
      </rPr>
      <t>code_master</t>
    </r>
    <r>
      <rPr>
        <sz val="11"/>
        <color rgb="FF000000"/>
        <rFont val="Meiryo UI"/>
        <family val="2"/>
      </rPr>
      <t>.company_code = User.company_code(ログイン中のユーザ)
満たさない場合、エラーメッセージ = MSG_VAL_019</t>
    </r>
  </si>
  <si>
    <r>
      <t>以下の条件を満たす、code_master テーブルでcode_master.code_no = type_codeの存在を確認する。
code_master.master_code = "</t>
    </r>
    <r>
      <rPr>
        <sz val="11"/>
        <color rgb="FF0000FF"/>
        <rFont val="Meiryo UI"/>
        <family val="2"/>
      </rPr>
      <t>MC0003</t>
    </r>
    <r>
      <rPr>
        <sz val="11"/>
        <color rgb="FF00B050"/>
        <rFont val="Meiryo UI"/>
        <family val="2"/>
      </rPr>
      <t>"
code_master.company_code = User.CompanyCode (ログイン中のユーザ)
満たさない場合、エラーメッセージ = MSG_VAL_019</t>
    </r>
  </si>
  <si>
    <r>
      <rPr>
        <sz val="11"/>
        <color rgb="FF000000"/>
        <rFont val="Meiryo UI"/>
        <family val="2"/>
      </rPr>
      <t>以下の条件を満たす、code_master テーブルで</t>
    </r>
    <r>
      <rPr>
        <sz val="11"/>
        <color rgb="FF00B050"/>
        <rFont val="Meiryo UI"/>
        <family val="2"/>
      </rPr>
      <t>code_master</t>
    </r>
    <r>
      <rPr>
        <sz val="11"/>
        <color rgb="FF000000"/>
        <rFont val="Meiryo UI"/>
        <family val="2"/>
      </rPr>
      <t>.code_no = type_nodeの存在を確認する。
code_master.master_code = "</t>
    </r>
    <r>
      <rPr>
        <sz val="11"/>
        <color rgb="FF0000FF"/>
        <rFont val="Meiryo UI"/>
        <family val="2"/>
      </rPr>
      <t>MC0005</t>
    </r>
    <r>
      <rPr>
        <sz val="11"/>
        <color rgb="FF000000"/>
        <rFont val="Meiryo UI"/>
        <family val="2"/>
      </rPr>
      <t xml:space="preserve">"
code_master.company_code = </t>
    </r>
    <r>
      <rPr>
        <sz val="11"/>
        <color rgb="FF0000FF"/>
        <rFont val="Meiryo UI"/>
        <family val="2"/>
      </rPr>
      <t>99999</t>
    </r>
    <r>
      <rPr>
        <sz val="11"/>
        <color rgb="FF000000"/>
        <rFont val="Meiryo UI"/>
        <family val="2"/>
      </rPr>
      <t xml:space="preserve">
満たさない場合、エラーメッセージ = MSG_VAL_019
</t>
    </r>
    <r>
      <rPr>
        <strike/>
        <sz val="11"/>
        <color rgb="FF00B050"/>
        <rFont val="Meiryo UI"/>
        <family val="2"/>
      </rPr>
      <t>注意：カスミ会社の場合、code_master.master_code = "MC7102"</t>
    </r>
  </si>
  <si>
    <r>
      <rPr>
        <sz val="11"/>
        <color rgb="FF000000"/>
        <rFont val="Meiryo UI"/>
        <family val="2"/>
      </rPr>
      <t>以下の条件を満たす、code_master テーブルで</t>
    </r>
    <r>
      <rPr>
        <sz val="11"/>
        <color rgb="FF00B050"/>
        <rFont val="Meiryo UI"/>
        <family val="2"/>
      </rPr>
      <t>code_master</t>
    </r>
    <r>
      <rPr>
        <sz val="11"/>
        <color rgb="FF000000"/>
        <rFont val="Meiryo UI"/>
        <family val="2"/>
      </rPr>
      <t>.code_no = keyboard_layout_codeの存在を確認する。
code_master.master_code = "</t>
    </r>
    <r>
      <rPr>
        <sz val="11"/>
        <color rgb="FF0000FF"/>
        <rFont val="Meiryo UI"/>
        <family val="2"/>
      </rPr>
      <t>MC7104</t>
    </r>
    <r>
      <rPr>
        <sz val="11"/>
        <color rgb="FF000000"/>
        <rFont val="Meiryo UI"/>
        <family val="2"/>
      </rPr>
      <t xml:space="preserve">"
code_master.company_code = User.CompanyCode (ログイン中のユーザ)
満たさない場合、エラーメッセージ = MSG_VAL_019
</t>
    </r>
    <r>
      <rPr>
        <strike/>
        <sz val="11"/>
        <color rgb="FF00B050"/>
        <rFont val="Meiryo UI"/>
        <family val="2"/>
      </rPr>
      <t>注意：カスミ会社の場合、master_code.master_code = "MC7105"</t>
    </r>
  </si>
  <si>
    <r>
      <rPr>
        <sz val="11"/>
        <color rgb="FF000000"/>
        <rFont val="Meiryo UI"/>
        <family val="2"/>
      </rPr>
      <t>以下の条件を満たす、code_master テーブルで</t>
    </r>
    <r>
      <rPr>
        <sz val="11"/>
        <color rgb="FF00B050"/>
        <rFont val="Meiryo UI"/>
        <family val="2"/>
      </rPr>
      <t>code_master</t>
    </r>
    <r>
      <rPr>
        <sz val="11"/>
        <color rgb="FF000000"/>
        <rFont val="Meiryo UI"/>
        <family val="2"/>
      </rPr>
      <t xml:space="preserve">.code_no = function_layout_codeの存在を確認する。
</t>
    </r>
    <r>
      <rPr>
        <sz val="11"/>
        <color rgb="FF00B050"/>
        <rFont val="Meiryo UI"/>
        <family val="2"/>
      </rPr>
      <t>code_master</t>
    </r>
    <r>
      <rPr>
        <sz val="11"/>
        <color rgb="FF000000"/>
        <rFont val="Meiryo UI"/>
        <family val="2"/>
      </rPr>
      <t xml:space="preserve">.master_code = </t>
    </r>
    <r>
      <rPr>
        <sz val="11"/>
        <color rgb="FF0000FF"/>
        <rFont val="Meiryo UI"/>
        <family val="2"/>
      </rPr>
      <t>"MC7105"</t>
    </r>
    <r>
      <rPr>
        <sz val="11"/>
        <color rgb="FF00B050"/>
        <rFont val="Meiryo UI"/>
        <family val="2"/>
      </rPr>
      <t xml:space="preserve">
code_master</t>
    </r>
    <r>
      <rPr>
        <sz val="11"/>
        <color rgb="FF000000"/>
        <rFont val="Meiryo UI"/>
        <family val="2"/>
      </rPr>
      <t xml:space="preserve">.company_code = User.company_code(ログイン中のユーザ)
満たさない場合、エラーメッセージ = MSG_VAL_019
</t>
    </r>
    <r>
      <rPr>
        <strike/>
        <sz val="11"/>
        <color rgb="FF00B050"/>
        <rFont val="Meiryo UI"/>
        <family val="2"/>
      </rPr>
      <t>注意：カスミ会社の場合、master_code.master_code = "MC7104"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</si>
</sst>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4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b/>
      <sz val="11"/>
      <name val="Meiryo UI"/>
      <family val="2"/>
    </font>
    <font>
      <strike/>
      <sz val="11"/>
      <color theme="1"/>
      <name val="Meiryo UI"/>
      <family val="2"/>
    </font>
    <font>
      <strike/>
      <sz val="11"/>
      <color rgb="FF00B05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rgb="FF0000FF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0" fontId="15" fillId="0" borderId="0">
      <alignment vertical="center"/>
    </xf>
    <xf numFmtId="0" fontId="2" fillId="0" borderId="0">
      <alignment vertical="center"/>
    </xf>
  </cellStyleXfs>
  <cellXfs count="259">
    <xf numFmtId="0" fontId="0" fillId="0" borderId="0" xfId="0"/>
    <xf numFmtId="0" fontId="3" fillId="0" borderId="0" xfId="6" applyFont="1" applyAlignment="1">
      <alignment vertical="center"/>
    </xf>
    <xf numFmtId="0" fontId="3" fillId="0" borderId="2" xfId="6" applyFont="1" applyBorder="1" applyAlignment="1">
      <alignment vertical="center"/>
    </xf>
    <xf numFmtId="0" fontId="3" fillId="0" borderId="3" xfId="6" applyFont="1" applyBorder="1" applyAlignment="1">
      <alignment vertical="center"/>
    </xf>
    <xf numFmtId="0" fontId="3" fillId="0" borderId="5" xfId="6" applyFont="1" applyBorder="1" applyAlignment="1">
      <alignment vertical="center"/>
    </xf>
    <xf numFmtId="0" fontId="3" fillId="0" borderId="4" xfId="6" applyFont="1" applyBorder="1" applyAlignment="1">
      <alignment vertical="center"/>
    </xf>
    <xf numFmtId="0" fontId="3" fillId="0" borderId="16" xfId="6" applyFont="1" applyBorder="1" applyAlignment="1">
      <alignment vertical="center"/>
    </xf>
    <xf numFmtId="0" fontId="3" fillId="0" borderId="17" xfId="6" applyFont="1" applyBorder="1" applyAlignment="1">
      <alignment vertical="center"/>
    </xf>
    <xf numFmtId="0" fontId="3" fillId="0" borderId="18" xfId="6" applyFont="1" applyBorder="1" applyAlignment="1">
      <alignment vertical="center"/>
    </xf>
    <xf numFmtId="0" fontId="3" fillId="0" borderId="19" xfId="6" applyFont="1" applyBorder="1" applyAlignment="1">
      <alignment vertical="center"/>
    </xf>
    <xf numFmtId="0" fontId="3" fillId="0" borderId="20" xfId="6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3" fillId="0" borderId="4" xfId="0" applyFont="1" applyBorder="1" applyAlignment="1">
      <alignment vertical="center"/>
    </xf>
    <xf numFmtId="0" fontId="3" fillId="3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6" fillId="2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7" fillId="0" borderId="0" xfId="0" quotePrefix="1" applyFont="1" applyAlignment="1">
      <alignment horizontal="left" vertical="center" wrapText="1"/>
    </xf>
    <xf numFmtId="0" fontId="8" fillId="0" borderId="0" xfId="0" quotePrefix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0" fillId="0" borderId="3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0" fillId="3" borderId="0" xfId="0" applyFont="1" applyFill="1" applyAlignment="1">
      <alignment vertical="center"/>
    </xf>
    <xf numFmtId="0" fontId="3" fillId="0" borderId="19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14" fillId="0" borderId="1" xfId="0" applyFont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4" xfId="0" applyFont="1" applyBorder="1" applyAlignment="1">
      <alignment vertical="center"/>
    </xf>
    <xf numFmtId="0" fontId="14" fillId="3" borderId="0" xfId="0" applyFont="1" applyFill="1" applyAlignment="1">
      <alignment vertical="center"/>
    </xf>
    <xf numFmtId="0" fontId="20" fillId="0" borderId="0" xfId="0" applyFont="1"/>
    <xf numFmtId="0" fontId="20" fillId="0" borderId="2" xfId="0" applyFont="1" applyBorder="1"/>
    <xf numFmtId="0" fontId="20" fillId="0" borderId="3" xfId="0" applyFont="1" applyBorder="1"/>
    <xf numFmtId="0" fontId="20" fillId="0" borderId="5" xfId="0" applyFont="1" applyBorder="1"/>
    <xf numFmtId="0" fontId="20" fillId="0" borderId="1" xfId="0" applyFont="1" applyBorder="1"/>
    <xf numFmtId="0" fontId="20" fillId="0" borderId="4" xfId="0" applyFont="1" applyBorder="1"/>
    <xf numFmtId="0" fontId="20" fillId="0" borderId="7" xfId="0" applyFont="1" applyBorder="1"/>
    <xf numFmtId="0" fontId="20" fillId="0" borderId="8" xfId="0" applyFont="1" applyBorder="1"/>
    <xf numFmtId="0" fontId="20" fillId="0" borderId="11" xfId="0" applyFont="1" applyBorder="1"/>
    <xf numFmtId="0" fontId="20" fillId="0" borderId="6" xfId="0" applyFont="1" applyBorder="1"/>
    <xf numFmtId="0" fontId="20" fillId="0" borderId="12" xfId="0" applyFont="1" applyBorder="1"/>
    <xf numFmtId="0" fontId="20" fillId="0" borderId="14" xfId="0" applyFont="1" applyBorder="1"/>
    <xf numFmtId="0" fontId="20" fillId="0" borderId="15" xfId="0" applyFont="1" applyBorder="1"/>
    <xf numFmtId="0" fontId="20" fillId="0" borderId="9" xfId="0" applyFont="1" applyBorder="1"/>
    <xf numFmtId="0" fontId="20" fillId="0" borderId="10" xfId="0" applyFont="1" applyBorder="1"/>
    <xf numFmtId="0" fontId="20" fillId="0" borderId="13" xfId="0" applyFont="1" applyBorder="1"/>
    <xf numFmtId="0" fontId="20" fillId="0" borderId="1" xfId="0" applyFont="1" applyBorder="1" applyAlignment="1">
      <alignment vertical="center"/>
    </xf>
    <xf numFmtId="0" fontId="17" fillId="4" borderId="19" xfId="0" applyFont="1" applyFill="1" applyBorder="1" applyAlignment="1">
      <alignment vertical="center"/>
    </xf>
    <xf numFmtId="0" fontId="16" fillId="4" borderId="0" xfId="0" applyFont="1" applyFill="1" applyAlignment="1">
      <alignment vertical="center"/>
    </xf>
    <xf numFmtId="0" fontId="16" fillId="4" borderId="20" xfId="0" applyFont="1" applyFill="1" applyBorder="1" applyAlignment="1">
      <alignment vertical="center"/>
    </xf>
    <xf numFmtId="0" fontId="16" fillId="4" borderId="19" xfId="0" applyFont="1" applyFill="1" applyBorder="1" applyAlignment="1">
      <alignment vertical="center"/>
    </xf>
    <xf numFmtId="0" fontId="20" fillId="0" borderId="4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20" fillId="2" borderId="0" xfId="0" applyFont="1" applyFill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0" xfId="0" quotePrefix="1" applyFont="1" applyAlignment="1">
      <alignment horizontal="left" vertical="center"/>
    </xf>
    <xf numFmtId="0" fontId="20" fillId="0" borderId="20" xfId="0" applyFont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0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16" fillId="4" borderId="16" xfId="0" applyFont="1" applyFill="1" applyBorder="1" applyAlignment="1">
      <alignment horizontal="center" vertical="center"/>
    </xf>
    <xf numFmtId="0" fontId="16" fillId="4" borderId="17" xfId="0" applyFont="1" applyFill="1" applyBorder="1" applyAlignment="1">
      <alignment horizontal="center" vertical="center"/>
    </xf>
    <xf numFmtId="0" fontId="16" fillId="4" borderId="18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0" fontId="16" fillId="4" borderId="3" xfId="0" applyFont="1" applyFill="1" applyBorder="1" applyAlignment="1">
      <alignment horizontal="center" vertical="center"/>
    </xf>
    <xf numFmtId="0" fontId="16" fillId="4" borderId="5" xfId="0" applyFont="1" applyFill="1" applyBorder="1" applyAlignment="1">
      <alignment horizontal="center" vertical="center"/>
    </xf>
    <xf numFmtId="0" fontId="16" fillId="4" borderId="21" xfId="0" applyFont="1" applyFill="1" applyBorder="1" applyAlignment="1">
      <alignment horizontal="center" vertical="center"/>
    </xf>
    <xf numFmtId="0" fontId="16" fillId="4" borderId="22" xfId="0" applyFont="1" applyFill="1" applyBorder="1" applyAlignment="1">
      <alignment horizontal="center" vertical="center"/>
    </xf>
    <xf numFmtId="0" fontId="16" fillId="4" borderId="23" xfId="0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2" fontId="20" fillId="0" borderId="16" xfId="0" applyNumberFormat="1" applyFont="1" applyBorder="1" applyAlignment="1">
      <alignment horizontal="center" vertical="center"/>
    </xf>
    <xf numFmtId="2" fontId="20" fillId="0" borderId="17" xfId="0" applyNumberFormat="1" applyFont="1" applyBorder="1" applyAlignment="1">
      <alignment horizontal="center" vertical="center"/>
    </xf>
    <xf numFmtId="2" fontId="20" fillId="0" borderId="18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2" fontId="20" fillId="0" borderId="3" xfId="0" applyNumberFormat="1" applyFont="1" applyBorder="1" applyAlignment="1">
      <alignment horizontal="center" vertical="center"/>
    </xf>
    <xf numFmtId="2" fontId="20" fillId="0" borderId="5" xfId="0" applyNumberFormat="1" applyFont="1" applyBorder="1" applyAlignment="1">
      <alignment horizontal="center" vertical="center"/>
    </xf>
    <xf numFmtId="14" fontId="20" fillId="0" borderId="16" xfId="0" applyNumberFormat="1" applyFont="1" applyBorder="1" applyAlignment="1">
      <alignment horizontal="center" vertical="center"/>
    </xf>
    <xf numFmtId="14" fontId="20" fillId="0" borderId="17" xfId="0" applyNumberFormat="1" applyFont="1" applyBorder="1" applyAlignment="1">
      <alignment horizontal="center" vertical="center"/>
    </xf>
    <xf numFmtId="14" fontId="20" fillId="0" borderId="18" xfId="0" applyNumberFormat="1" applyFont="1" applyBorder="1" applyAlignment="1">
      <alignment horizontal="center" vertical="center"/>
    </xf>
    <xf numFmtId="14" fontId="20" fillId="0" borderId="2" xfId="0" applyNumberFormat="1" applyFont="1" applyBorder="1" applyAlignment="1">
      <alignment horizontal="center" vertical="center"/>
    </xf>
    <xf numFmtId="14" fontId="20" fillId="0" borderId="3" xfId="0" applyNumberFormat="1" applyFont="1" applyBorder="1" applyAlignment="1">
      <alignment horizontal="center" vertical="center"/>
    </xf>
    <xf numFmtId="14" fontId="20" fillId="0" borderId="5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0" fillId="0" borderId="24" xfId="0" applyFont="1" applyBorder="1"/>
    <xf numFmtId="0" fontId="20" fillId="0" borderId="25" xfId="0" applyFont="1" applyBorder="1"/>
    <xf numFmtId="0" fontId="20" fillId="0" borderId="26" xfId="0" applyFont="1" applyBorder="1"/>
    <xf numFmtId="0" fontId="20" fillId="0" borderId="17" xfId="0" applyFont="1" applyBorder="1"/>
    <xf numFmtId="0" fontId="20" fillId="0" borderId="18" xfId="0" applyFont="1" applyBorder="1"/>
    <xf numFmtId="0" fontId="20" fillId="0" borderId="3" xfId="0" applyFont="1" applyBorder="1"/>
    <xf numFmtId="0" fontId="20" fillId="0" borderId="5" xfId="0" applyFont="1" applyBorder="1"/>
    <xf numFmtId="0" fontId="20" fillId="0" borderId="16" xfId="0" applyFont="1" applyBorder="1"/>
    <xf numFmtId="0" fontId="20" fillId="0" borderId="2" xfId="0" applyFont="1" applyBorder="1"/>
    <xf numFmtId="0" fontId="20" fillId="0" borderId="27" xfId="0" applyFont="1" applyBorder="1"/>
    <xf numFmtId="0" fontId="20" fillId="0" borderId="28" xfId="0" applyFont="1" applyBorder="1"/>
    <xf numFmtId="0" fontId="20" fillId="0" borderId="29" xfId="0" applyFont="1" applyBorder="1"/>
    <xf numFmtId="0" fontId="7" fillId="0" borderId="27" xfId="0" applyFont="1" applyBorder="1"/>
    <xf numFmtId="0" fontId="7" fillId="0" borderId="28" xfId="0" applyFont="1" applyBorder="1"/>
    <xf numFmtId="0" fontId="7" fillId="0" borderId="29" xfId="0" applyFont="1" applyBorder="1"/>
    <xf numFmtId="14" fontId="7" fillId="0" borderId="16" xfId="0" applyNumberFormat="1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24" xfId="0" applyFont="1" applyBorder="1"/>
    <xf numFmtId="0" fontId="7" fillId="0" borderId="25" xfId="0" applyFont="1" applyBorder="1"/>
    <xf numFmtId="0" fontId="7" fillId="0" borderId="26" xfId="0" applyFont="1" applyBorder="1"/>
    <xf numFmtId="14" fontId="3" fillId="0" borderId="16" xfId="0" applyNumberFormat="1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24" xfId="0" applyFont="1" applyBorder="1"/>
    <xf numFmtId="0" fontId="3" fillId="0" borderId="25" xfId="0" applyFont="1" applyBorder="1"/>
    <xf numFmtId="0" fontId="3" fillId="0" borderId="26" xfId="0" applyFont="1" applyBorder="1"/>
    <xf numFmtId="0" fontId="3" fillId="0" borderId="27" xfId="0" applyFont="1" applyBorder="1"/>
    <xf numFmtId="0" fontId="3" fillId="0" borderId="28" xfId="0" applyFont="1" applyBorder="1"/>
    <xf numFmtId="0" fontId="3" fillId="0" borderId="29" xfId="0" applyFont="1" applyBorder="1"/>
    <xf numFmtId="0" fontId="20" fillId="0" borderId="27" xfId="0" applyFont="1" applyBorder="1" applyAlignment="1">
      <alignment wrapText="1"/>
    </xf>
    <xf numFmtId="0" fontId="20" fillId="0" borderId="28" xfId="0" applyFont="1" applyBorder="1" applyAlignment="1">
      <alignment wrapText="1"/>
    </xf>
    <xf numFmtId="0" fontId="20" fillId="0" borderId="29" xfId="0" applyFont="1" applyBorder="1" applyAlignment="1">
      <alignment wrapText="1"/>
    </xf>
    <xf numFmtId="0" fontId="20" fillId="0" borderId="24" xfId="0" applyFont="1" applyBorder="1" applyAlignment="1">
      <alignment wrapText="1"/>
    </xf>
    <xf numFmtId="0" fontId="20" fillId="0" borderId="25" xfId="0" applyFont="1" applyBorder="1" applyAlignment="1">
      <alignment wrapText="1"/>
    </xf>
    <xf numFmtId="0" fontId="20" fillId="0" borderId="26" xfId="0" applyFont="1" applyBorder="1" applyAlignment="1">
      <alignment wrapText="1"/>
    </xf>
    <xf numFmtId="0" fontId="16" fillId="4" borderId="0" xfId="0" applyFont="1" applyFill="1"/>
    <xf numFmtId="0" fontId="19" fillId="0" borderId="16" xfId="0" applyFont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16" fillId="4" borderId="21" xfId="6" applyFont="1" applyFill="1" applyBorder="1" applyAlignment="1">
      <alignment horizontal="center" vertical="center"/>
    </xf>
    <xf numFmtId="0" fontId="16" fillId="4" borderId="22" xfId="6" applyFont="1" applyFill="1" applyBorder="1" applyAlignment="1">
      <alignment horizontal="center" vertical="center"/>
    </xf>
    <xf numFmtId="0" fontId="16" fillId="4" borderId="23" xfId="6" applyFont="1" applyFill="1" applyBorder="1" applyAlignment="1">
      <alignment horizontal="center" vertical="center"/>
    </xf>
    <xf numFmtId="0" fontId="19" fillId="0" borderId="16" xfId="6" applyFont="1" applyBorder="1" applyAlignment="1">
      <alignment horizontal="center" vertical="center"/>
    </xf>
    <xf numFmtId="0" fontId="19" fillId="0" borderId="17" xfId="6" applyFont="1" applyBorder="1" applyAlignment="1">
      <alignment horizontal="center" vertical="center"/>
    </xf>
    <xf numFmtId="0" fontId="19" fillId="0" borderId="18" xfId="6" applyFont="1" applyBorder="1" applyAlignment="1">
      <alignment horizontal="center" vertical="center"/>
    </xf>
    <xf numFmtId="0" fontId="19" fillId="0" borderId="1" xfId="6" applyFont="1" applyBorder="1" applyAlignment="1">
      <alignment horizontal="center" vertical="center"/>
    </xf>
    <xf numFmtId="0" fontId="19" fillId="0" borderId="0" xfId="6" applyFont="1" applyAlignment="1">
      <alignment horizontal="center" vertical="center"/>
    </xf>
    <xf numFmtId="0" fontId="19" fillId="0" borderId="4" xfId="6" applyFont="1" applyBorder="1" applyAlignment="1">
      <alignment horizontal="center" vertical="center"/>
    </xf>
    <xf numFmtId="0" fontId="19" fillId="0" borderId="2" xfId="6" applyFont="1" applyBorder="1" applyAlignment="1">
      <alignment horizontal="center" vertical="center"/>
    </xf>
    <xf numFmtId="0" fontId="19" fillId="0" borderId="3" xfId="6" applyFont="1" applyBorder="1" applyAlignment="1">
      <alignment horizontal="center" vertical="center"/>
    </xf>
    <xf numFmtId="0" fontId="19" fillId="0" borderId="5" xfId="6" applyFont="1" applyBorder="1" applyAlignment="1">
      <alignment horizontal="center" vertical="center"/>
    </xf>
    <xf numFmtId="0" fontId="3" fillId="0" borderId="21" xfId="6" applyFont="1" applyBorder="1" applyAlignment="1">
      <alignment horizontal="center" vertical="center"/>
    </xf>
    <xf numFmtId="0" fontId="3" fillId="0" borderId="22" xfId="6" applyFont="1" applyBorder="1" applyAlignment="1">
      <alignment horizontal="center" vertical="center"/>
    </xf>
    <xf numFmtId="0" fontId="3" fillId="0" borderId="23" xfId="6" applyFont="1" applyBorder="1" applyAlignment="1">
      <alignment horizontal="center" vertical="center"/>
    </xf>
    <xf numFmtId="0" fontId="4" fillId="0" borderId="21" xfId="6" applyFont="1" applyBorder="1" applyAlignment="1">
      <alignment horizontal="center" vertical="center"/>
    </xf>
    <xf numFmtId="0" fontId="3" fillId="0" borderId="16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20" fillId="0" borderId="16" xfId="0" applyFont="1" applyBorder="1" applyAlignment="1">
      <alignment horizontal="left" vertical="center"/>
    </xf>
    <xf numFmtId="0" fontId="20" fillId="0" borderId="17" xfId="0" applyFont="1" applyBorder="1" applyAlignment="1">
      <alignment horizontal="left" vertical="center"/>
    </xf>
    <xf numFmtId="0" fontId="20" fillId="0" borderId="18" xfId="0" applyFont="1" applyBorder="1" applyAlignment="1">
      <alignment horizontal="left" vertical="center"/>
    </xf>
    <xf numFmtId="0" fontId="20" fillId="0" borderId="16" xfId="0" quotePrefix="1" applyFont="1" applyBorder="1" applyAlignment="1">
      <alignment horizontal="center" vertical="center"/>
    </xf>
    <xf numFmtId="0" fontId="20" fillId="0" borderId="17" xfId="0" quotePrefix="1" applyFont="1" applyBorder="1" applyAlignment="1">
      <alignment horizontal="center" vertical="center"/>
    </xf>
    <xf numFmtId="0" fontId="20" fillId="0" borderId="18" xfId="0" quotePrefix="1" applyFont="1" applyBorder="1" applyAlignment="1">
      <alignment horizontal="center" vertical="center"/>
    </xf>
    <xf numFmtId="0" fontId="20" fillId="0" borderId="16" xfId="0" quotePrefix="1" applyFont="1" applyBorder="1" applyAlignment="1">
      <alignment horizontal="left" vertical="center"/>
    </xf>
    <xf numFmtId="0" fontId="20" fillId="0" borderId="17" xfId="0" quotePrefix="1" applyFont="1" applyBorder="1" applyAlignment="1">
      <alignment horizontal="left" vertical="center"/>
    </xf>
    <xf numFmtId="0" fontId="20" fillId="0" borderId="18" xfId="0" quotePrefix="1" applyFont="1" applyBorder="1" applyAlignment="1">
      <alignment horizontal="left" vertical="center"/>
    </xf>
    <xf numFmtId="0" fontId="20" fillId="0" borderId="16" xfId="0" applyFont="1" applyBorder="1" applyAlignment="1">
      <alignment horizontal="left" vertical="top"/>
    </xf>
    <xf numFmtId="0" fontId="20" fillId="0" borderId="17" xfId="0" applyFont="1" applyBorder="1" applyAlignment="1">
      <alignment horizontal="left" vertical="top"/>
    </xf>
    <xf numFmtId="0" fontId="20" fillId="0" borderId="18" xfId="0" applyFont="1" applyBorder="1" applyAlignment="1">
      <alignment horizontal="left" vertical="top"/>
    </xf>
    <xf numFmtId="0" fontId="6" fillId="5" borderId="21" xfId="0" applyFont="1" applyFill="1" applyBorder="1" applyAlignment="1">
      <alignment horizontal="left" vertical="center"/>
    </xf>
    <xf numFmtId="0" fontId="6" fillId="5" borderId="22" xfId="0" applyFont="1" applyFill="1" applyBorder="1" applyAlignment="1">
      <alignment horizontal="left" vertical="center"/>
    </xf>
    <xf numFmtId="0" fontId="6" fillId="5" borderId="23" xfId="0" applyFont="1" applyFill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0" fontId="3" fillId="0" borderId="23" xfId="0" applyFont="1" applyBorder="1" applyAlignment="1">
      <alignment horizontal="left" vertical="center"/>
    </xf>
    <xf numFmtId="0" fontId="20" fillId="0" borderId="21" xfId="0" applyFont="1" applyBorder="1" applyAlignment="1">
      <alignment horizontal="left" vertical="center"/>
    </xf>
    <xf numFmtId="0" fontId="20" fillId="0" borderId="22" xfId="0" applyFont="1" applyBorder="1" applyAlignment="1">
      <alignment horizontal="left" vertical="center"/>
    </xf>
    <xf numFmtId="0" fontId="20" fillId="0" borderId="23" xfId="0" applyFont="1" applyBorder="1" applyAlignment="1">
      <alignment horizontal="left" vertical="center"/>
    </xf>
    <xf numFmtId="0" fontId="3" fillId="5" borderId="21" xfId="0" applyFont="1" applyFill="1" applyBorder="1" applyAlignment="1">
      <alignment horizontal="left" vertical="center"/>
    </xf>
    <xf numFmtId="0" fontId="3" fillId="5" borderId="23" xfId="0" applyFont="1" applyFill="1" applyBorder="1" applyAlignment="1">
      <alignment horizontal="left" vertical="center"/>
    </xf>
    <xf numFmtId="0" fontId="20" fillId="5" borderId="21" xfId="0" applyFont="1" applyFill="1" applyBorder="1" applyAlignment="1">
      <alignment horizontal="left" vertical="center"/>
    </xf>
    <xf numFmtId="0" fontId="20" fillId="5" borderId="22" xfId="0" applyFont="1" applyFill="1" applyBorder="1" applyAlignment="1">
      <alignment horizontal="left" vertical="center"/>
    </xf>
    <xf numFmtId="0" fontId="20" fillId="5" borderId="23" xfId="0" applyFont="1" applyFill="1" applyBorder="1" applyAlignment="1">
      <alignment horizontal="left" vertical="center"/>
    </xf>
    <xf numFmtId="0" fontId="5" fillId="5" borderId="21" xfId="0" applyFont="1" applyFill="1" applyBorder="1" applyAlignment="1">
      <alignment horizontal="left" vertical="center"/>
    </xf>
    <xf numFmtId="0" fontId="5" fillId="5" borderId="22" xfId="0" applyFont="1" applyFill="1" applyBorder="1" applyAlignment="1">
      <alignment horizontal="left" vertical="center"/>
    </xf>
    <xf numFmtId="0" fontId="5" fillId="5" borderId="23" xfId="0" applyFont="1" applyFill="1" applyBorder="1" applyAlignment="1">
      <alignment horizontal="left" vertical="center"/>
    </xf>
    <xf numFmtId="0" fontId="3" fillId="0" borderId="22" xfId="0" applyFont="1" applyBorder="1" applyAlignment="1">
      <alignment horizontal="left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16" xfId="0" quotePrefix="1" applyFont="1" applyBorder="1" applyAlignment="1">
      <alignment horizontal="center" vertical="center"/>
    </xf>
    <xf numFmtId="0" fontId="3" fillId="0" borderId="17" xfId="0" quotePrefix="1" applyFont="1" applyBorder="1" applyAlignment="1">
      <alignment horizontal="center" vertical="center"/>
    </xf>
    <xf numFmtId="0" fontId="3" fillId="0" borderId="18" xfId="0" quotePrefix="1" applyFont="1" applyBorder="1" applyAlignment="1">
      <alignment horizontal="center" vertical="center"/>
    </xf>
    <xf numFmtId="0" fontId="7" fillId="0" borderId="21" xfId="0" applyFont="1" applyBorder="1" applyAlignment="1">
      <alignment horizontal="left" vertical="center"/>
    </xf>
    <xf numFmtId="0" fontId="7" fillId="0" borderId="22" xfId="0" applyFont="1" applyBorder="1" applyAlignment="1">
      <alignment horizontal="left" vertical="center"/>
    </xf>
    <xf numFmtId="0" fontId="7" fillId="0" borderId="23" xfId="0" applyFont="1" applyBorder="1" applyAlignment="1">
      <alignment horizontal="left" vertical="center"/>
    </xf>
    <xf numFmtId="0" fontId="3" fillId="0" borderId="21" xfId="0" applyFont="1" applyBorder="1" applyAlignment="1">
      <alignment horizontal="left" vertical="center" wrapText="1"/>
    </xf>
    <xf numFmtId="0" fontId="3" fillId="0" borderId="22" xfId="0" applyFont="1" applyBorder="1" applyAlignment="1">
      <alignment horizontal="left" vertical="center" wrapText="1"/>
    </xf>
    <xf numFmtId="0" fontId="3" fillId="0" borderId="23" xfId="0" applyFont="1" applyBorder="1" applyAlignment="1">
      <alignment horizontal="left" vertical="center" wrapText="1"/>
    </xf>
    <xf numFmtId="0" fontId="13" fillId="0" borderId="21" xfId="0" applyFont="1" applyBorder="1" applyAlignment="1">
      <alignment horizontal="left" vertical="center" wrapText="1"/>
    </xf>
    <xf numFmtId="0" fontId="13" fillId="0" borderId="22" xfId="0" applyFont="1" applyBorder="1" applyAlignment="1">
      <alignment horizontal="left" vertical="center" wrapText="1"/>
    </xf>
    <xf numFmtId="0" fontId="13" fillId="0" borderId="23" xfId="0" applyFont="1" applyBorder="1" applyAlignment="1">
      <alignment horizontal="left" vertical="center" wrapText="1"/>
    </xf>
    <xf numFmtId="0" fontId="3" fillId="0" borderId="21" xfId="0" quotePrefix="1" applyFont="1" applyBorder="1" applyAlignment="1">
      <alignment horizontal="left" vertical="center"/>
    </xf>
    <xf numFmtId="0" fontId="3" fillId="0" borderId="22" xfId="0" quotePrefix="1" applyFont="1" applyBorder="1" applyAlignment="1">
      <alignment horizontal="left" vertical="center"/>
    </xf>
    <xf numFmtId="0" fontId="3" fillId="0" borderId="23" xfId="0" quotePrefix="1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5" borderId="21" xfId="0" applyFont="1" applyFill="1" applyBorder="1" applyAlignment="1">
      <alignment horizontal="left" vertical="center"/>
    </xf>
    <xf numFmtId="0" fontId="4" fillId="5" borderId="22" xfId="0" applyFont="1" applyFill="1" applyBorder="1" applyAlignment="1">
      <alignment horizontal="left" vertical="center"/>
    </xf>
    <xf numFmtId="0" fontId="4" fillId="5" borderId="23" xfId="0" applyFont="1" applyFill="1" applyBorder="1" applyAlignment="1">
      <alignment horizontal="left" vertical="center"/>
    </xf>
    <xf numFmtId="0" fontId="20" fillId="0" borderId="17" xfId="0" quotePrefix="1" applyFont="1" applyBorder="1" applyAlignment="1">
      <alignment horizontal="left" vertical="top" wrapText="1"/>
    </xf>
    <xf numFmtId="0" fontId="20" fillId="0" borderId="18" xfId="0" quotePrefix="1" applyFont="1" applyBorder="1" applyAlignment="1">
      <alignment horizontal="left" vertical="top" wrapText="1"/>
    </xf>
    <xf numFmtId="0" fontId="20" fillId="0" borderId="21" xfId="0" quotePrefix="1" applyFont="1" applyBorder="1" applyAlignment="1">
      <alignment horizontal="left" vertical="center"/>
    </xf>
    <xf numFmtId="0" fontId="20" fillId="0" borderId="22" xfId="0" quotePrefix="1" applyFont="1" applyBorder="1" applyAlignment="1">
      <alignment horizontal="left" vertical="center"/>
    </xf>
    <xf numFmtId="0" fontId="20" fillId="0" borderId="23" xfId="0" quotePrefix="1" applyFont="1" applyBorder="1" applyAlignment="1">
      <alignment horizontal="left" vertical="center"/>
    </xf>
    <xf numFmtId="0" fontId="3" fillId="0" borderId="21" xfId="0" quotePrefix="1" applyFont="1" applyBorder="1" applyAlignment="1">
      <alignment horizontal="left" vertical="center" wrapText="1"/>
    </xf>
    <xf numFmtId="0" fontId="7" fillId="0" borderId="21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/>
    </xf>
    <xf numFmtId="0" fontId="14" fillId="0" borderId="23" xfId="0" applyFont="1" applyBorder="1" applyAlignment="1">
      <alignment horizontal="left" vertical="center"/>
    </xf>
    <xf numFmtId="0" fontId="14" fillId="0" borderId="21" xfId="0" applyFont="1" applyBorder="1" applyAlignment="1">
      <alignment horizontal="left" vertical="center" wrapText="1"/>
    </xf>
    <xf numFmtId="0" fontId="14" fillId="0" borderId="22" xfId="0" applyFont="1" applyBorder="1" applyAlignment="1">
      <alignment horizontal="left" vertical="center" wrapText="1"/>
    </xf>
    <xf numFmtId="0" fontId="14" fillId="0" borderId="23" xfId="0" applyFont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indent="1"/>
    </xf>
    <xf numFmtId="0" fontId="14" fillId="0" borderId="22" xfId="0" applyFont="1" applyBorder="1" applyAlignment="1">
      <alignment horizontal="left" vertical="center" indent="1"/>
    </xf>
    <xf numFmtId="0" fontId="14" fillId="0" borderId="23" xfId="0" applyFont="1" applyBorder="1" applyAlignment="1">
      <alignment horizontal="left" vertical="center" indent="1"/>
    </xf>
    <xf numFmtId="0" fontId="14" fillId="0" borderId="22" xfId="0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14" fillId="0" borderId="23" xfId="0" applyFont="1" applyBorder="1" applyAlignment="1">
      <alignment horizontal="center"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0</xdr:colOff>
      <xdr:row>24</xdr:row>
      <xdr:rowOff>67236</xdr:rowOff>
    </xdr:from>
    <xdr:to>
      <xdr:col>62</xdr:col>
      <xdr:colOff>0</xdr:colOff>
      <xdr:row>41</xdr:row>
      <xdr:rowOff>0</xdr:rowOff>
    </xdr:to>
    <xdr:sp macro="" textlink="" fLocksText="0">
      <xdr:nvSpPr>
        <xdr:cNvPr id="109" name="吹き出し: 線 2">
          <a:extLst>
            <a:ext uri="{FF2B5EF4-FFF2-40B4-BE49-F238E27FC236}">
              <a16:creationId xmlns:a16="http://schemas.microsoft.com/office/drawing/2014/main" id="{00000000-0008-0000-0400-00006D000000}"/>
            </a:ext>
          </a:extLst>
        </xdr:cNvPr>
        <xdr:cNvSpPr/>
      </xdr:nvSpPr>
      <xdr:spPr>
        <a:xfrm>
          <a:off x="9334500" y="4752975"/>
          <a:ext cx="7200900" cy="3171825"/>
        </a:xfrm>
        <a:prstGeom prst="borderCallout1">
          <a:avLst>
            <a:gd name="adj1" fmla="val 53848"/>
            <a:gd name="adj2" fmla="val -59"/>
            <a:gd name="adj3" fmla="val 51116"/>
            <a:gd name="adj4" fmla="val -979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以下のキーでinstoresテーブルにループ中のレコードが存在しているかを確認する。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</a:t>
          </a:r>
          <a:r>
            <a: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instores.company_code = User.CompanyCode (ログイン中のユーザーの会社コード) 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instores.store_code = request[i].store_code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instores.instore_code= request[i].code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▪レコードが存在している場合、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・operation_type = 1の場合、「ステップ4.レジ更新」を実行する。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・operation_type = 2の場合、 「ステップ4.レジ更新」を実行する。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・operation_type = 3の場合、「ステップ6. レジロジック削除」を実行し、同時にそのレコードをステップ1の結果リストから削除する。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▪レコードが存在していない場合、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・operation_type = 1の場合、「5. レジ新規作成」ステップを実行する。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・operation_type = 2の場合、「5. レジ新規作成」ステップを実行する。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・operation_type = 3の場合、「8. 配列の最後の要素であるかを確認する。」ステップを実行する。</a:t>
          </a:r>
        </a:p>
      </xdr:txBody>
    </xdr:sp>
    <xdr:clientData/>
  </xdr:twoCellAnchor>
  <xdr:twoCellAnchor>
    <xdr:from>
      <xdr:col>35</xdr:col>
      <xdr:colOff>0</xdr:colOff>
      <xdr:row>55</xdr:row>
      <xdr:rowOff>0</xdr:rowOff>
    </xdr:from>
    <xdr:to>
      <xdr:col>62</xdr:col>
      <xdr:colOff>0</xdr:colOff>
      <xdr:row>67</xdr:row>
      <xdr:rowOff>0</xdr:rowOff>
    </xdr:to>
    <xdr:sp macro="" textlink="" fLocksText="0">
      <xdr:nvSpPr>
        <xdr:cNvPr id="48" name="吹き出し: 線 2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SpPr/>
      </xdr:nvSpPr>
      <xdr:spPr>
        <a:xfrm>
          <a:off x="9334500" y="10591800"/>
          <a:ext cx="7200900" cy="2286000"/>
        </a:xfrm>
        <a:prstGeom prst="borderCallout1">
          <a:avLst>
            <a:gd name="adj1" fmla="val 50907"/>
            <a:gd name="adj2" fmla="val 647"/>
            <a:gd name="adj3" fmla="val 23189"/>
            <a:gd name="adj4" fmla="val -6070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注意：削除実行の前に、以下の条件を満たす、opened_closed_histories as o テーブルのレジの状態を確認する。</a:t>
          </a:r>
        </a:p>
        <a:p>
          <a:pPr>
            <a:def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o.company_code = User.company_code AND o.store_code = request[i].store_code AND o.instore_code = request[i].instore_code AND o.business_date = CURDATE() ORDER BY record_update_date DESC LIMIT 1;</a:t>
          </a:r>
        </a:p>
        <a:p>
          <a:pPr>
            <a:def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o.instore_status = 1 (稼働中)の場合: 削除不可。</a:t>
          </a:r>
        </a:p>
        <a:p>
          <a:pPr>
            <a:def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o.instore_status != 1の場合、「ステップ6</a:t>
          </a:r>
          <a:r>
            <a:rPr lang="ja-JP" altLang="en-US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」を実行する。</a:t>
          </a:r>
          <a:endParaRPr lang="en-US" altLang="ja-JP" sz="1000" b="0" i="0" u="none" baseline="0">
            <a:solidFill>
              <a:srgbClr val="00B05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6. レジロジック削除」を実行：record_void_flag = 1に更新する。</a:t>
          </a:r>
        </a:p>
        <a:p>
          <a:pPr>
            <a:def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以下のように自動的に更新する。</a:t>
          </a:r>
        </a:p>
        <a:p>
          <a:pPr>
            <a:def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cash_registers.record_update_date= 当日、 cash_registers.updated_user＝ログインしているユーザー(user.record_id)</a:t>
          </a:r>
        </a:p>
      </xdr:txBody>
    </xdr:sp>
    <xdr:clientData/>
  </xdr:twoCellAnchor>
  <xdr:twoCellAnchor>
    <xdr:from>
      <xdr:col>5</xdr:col>
      <xdr:colOff>0</xdr:colOff>
      <xdr:row>7</xdr:row>
      <xdr:rowOff>0</xdr:rowOff>
    </xdr:from>
    <xdr:to>
      <xdr:col>9</xdr:col>
      <xdr:colOff>0</xdr:colOff>
      <xdr:row>8</xdr:row>
      <xdr:rowOff>179294</xdr:rowOff>
    </xdr:to>
    <xdr:sp macro="" textlink="" fLocksText="0">
      <xdr:nvSpPr>
        <xdr:cNvPr id="2" name="Oval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1333500" y="14478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7</xdr:col>
      <xdr:colOff>0</xdr:colOff>
      <xdr:row>8</xdr:row>
      <xdr:rowOff>179294</xdr:rowOff>
    </xdr:from>
    <xdr:to>
      <xdr:col>7</xdr:col>
      <xdr:colOff>0</xdr:colOff>
      <xdr:row>11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CxnSpPr>
          <a:stCxn id="2" idx="4"/>
          <a:endCxn id="13" idx="0"/>
        </xdr:cNvCxnSpPr>
      </xdr:nvCxnSpPr>
      <xdr:spPr>
        <a:xfrm>
          <a:off x="1866900" y="1819275"/>
          <a:ext cx="0" cy="3905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20</xdr:row>
      <xdr:rowOff>0</xdr:rowOff>
    </xdr:from>
    <xdr:to>
      <xdr:col>10</xdr:col>
      <xdr:colOff>0</xdr:colOff>
      <xdr:row>24</xdr:row>
      <xdr:rowOff>0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941294" y="3922059"/>
          <a:ext cx="1411941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レジデータ配列をループする。</a:t>
          </a:r>
        </a:p>
      </xdr:txBody>
    </xdr:sp>
    <xdr:clientData/>
  </xdr:twoCellAnchor>
  <xdr:twoCellAnchor>
    <xdr:from>
      <xdr:col>7</xdr:col>
      <xdr:colOff>0</xdr:colOff>
      <xdr:row>15</xdr:row>
      <xdr:rowOff>0</xdr:rowOff>
    </xdr:from>
    <xdr:to>
      <xdr:col>7</xdr:col>
      <xdr:colOff>0</xdr:colOff>
      <xdr:row>20</xdr:row>
      <xdr:rowOff>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CxnSpPr>
          <a:stCxn id="13" idx="2"/>
          <a:endCxn id="4" idx="0"/>
        </xdr:cNvCxnSpPr>
      </xdr:nvCxnSpPr>
      <xdr:spPr>
        <a:xfrm>
          <a:off x="1866900" y="2971800"/>
          <a:ext cx="0" cy="952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11</xdr:row>
      <xdr:rowOff>0</xdr:rowOff>
    </xdr:from>
    <xdr:to>
      <xdr:col>10</xdr:col>
      <xdr:colOff>0</xdr:colOff>
      <xdr:row>15</xdr:row>
      <xdr:rowOff>0</xdr:rowOff>
    </xdr:to>
    <xdr:sp macro="" textlink="" fLocksText="0">
      <xdr:nvSpPr>
        <xdr:cNvPr id="13" name="Rectangle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1066800" y="2209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strike="sngStrik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存在しているレジのレコード一覧を取得する。</a:t>
          </a:r>
        </a:p>
      </xdr:txBody>
    </xdr:sp>
    <xdr:clientData/>
  </xdr:twoCellAnchor>
  <xdr:twoCellAnchor>
    <xdr:from>
      <xdr:col>4</xdr:col>
      <xdr:colOff>0</xdr:colOff>
      <xdr:row>30</xdr:row>
      <xdr:rowOff>0</xdr:rowOff>
    </xdr:from>
    <xdr:to>
      <xdr:col>10</xdr:col>
      <xdr:colOff>0</xdr:colOff>
      <xdr:row>35</xdr:row>
      <xdr:rowOff>0</xdr:rowOff>
    </xdr:to>
    <xdr:sp macro="" textlink="" fLocksText="0">
      <xdr:nvSpPr>
        <xdr:cNvPr id="22" name="Flowchart: Decision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>
          <a:off x="1066800" y="5829300"/>
          <a:ext cx="16002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レコードが存在している</a:t>
          </a:r>
        </a:p>
      </xdr:txBody>
    </xdr:sp>
    <xdr:clientData/>
  </xdr:twoCellAnchor>
  <xdr:twoCellAnchor>
    <xdr:from>
      <xdr:col>10</xdr:col>
      <xdr:colOff>0</xdr:colOff>
      <xdr:row>32</xdr:row>
      <xdr:rowOff>0</xdr:rowOff>
    </xdr:from>
    <xdr:to>
      <xdr:col>12</xdr:col>
      <xdr:colOff>0</xdr:colOff>
      <xdr:row>33</xdr:row>
      <xdr:rowOff>0</xdr:rowOff>
    </xdr:to>
    <xdr:sp macro="" textlink="" fLocksText="0">
      <xdr:nvSpPr>
        <xdr:cNvPr id="23" name="Flowchart: Process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2667000" y="6210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ja-JP" alt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  <a:endParaRPr lang="en-US" sz="1100" b="0" i="0" u="none" baseline="0">
            <a:solidFill>
              <a:srgbClr val="FFFF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0</xdr:colOff>
      <xdr:row>35</xdr:row>
      <xdr:rowOff>0</xdr:rowOff>
    </xdr:from>
    <xdr:to>
      <xdr:col>8</xdr:col>
      <xdr:colOff>0</xdr:colOff>
      <xdr:row>36</xdr:row>
      <xdr:rowOff>0</xdr:rowOff>
    </xdr:to>
    <xdr:sp macro="" textlink="" fLocksText="0">
      <xdr:nvSpPr>
        <xdr:cNvPr id="24" name="Flowchart: Process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1600200" y="6781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12</xdr:col>
      <xdr:colOff>0</xdr:colOff>
      <xdr:row>32</xdr:row>
      <xdr:rowOff>95250</xdr:rowOff>
    </xdr:from>
    <xdr:to>
      <xdr:col>25</xdr:col>
      <xdr:colOff>11208</xdr:colOff>
      <xdr:row>40</xdr:row>
      <xdr:rowOff>0</xdr:rowOff>
    </xdr:to>
    <xdr:cxnSp macro="">
      <xdr:nvCxnSpPr>
        <xdr:cNvPr id="25" name="Connector: Elbow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CxnSpPr>
          <a:stCxn id="23" idx="3"/>
          <a:endCxn id="58" idx="0"/>
        </xdr:cNvCxnSpPr>
      </xdr:nvCxnSpPr>
      <xdr:spPr>
        <a:xfrm>
          <a:off x="3200400" y="6305550"/>
          <a:ext cx="3476625" cy="142875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24</xdr:row>
      <xdr:rowOff>0</xdr:rowOff>
    </xdr:from>
    <xdr:to>
      <xdr:col>7</xdr:col>
      <xdr:colOff>0</xdr:colOff>
      <xdr:row>30</xdr:row>
      <xdr:rowOff>0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CxnSpPr>
          <a:stCxn id="4" idx="2"/>
          <a:endCxn id="22" idx="0"/>
        </xdr:cNvCxnSpPr>
      </xdr:nvCxnSpPr>
      <xdr:spPr>
        <a:xfrm>
          <a:off x="1866900" y="4686300"/>
          <a:ext cx="0" cy="1143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55</xdr:row>
      <xdr:rowOff>0</xdr:rowOff>
    </xdr:from>
    <xdr:to>
      <xdr:col>28</xdr:col>
      <xdr:colOff>0</xdr:colOff>
      <xdr:row>59</xdr:row>
      <xdr:rowOff>0</xdr:rowOff>
    </xdr:to>
    <xdr:sp macro="" textlink="" fLocksText="0">
      <xdr:nvSpPr>
        <xdr:cNvPr id="29" name="Rectangle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5867400" y="10591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5. レジ新規作成</a:t>
          </a:r>
        </a:p>
      </xdr:txBody>
    </xdr:sp>
    <xdr:clientData/>
  </xdr:twoCellAnchor>
  <xdr:twoCellAnchor>
    <xdr:from>
      <xdr:col>4</xdr:col>
      <xdr:colOff>0</xdr:colOff>
      <xdr:row>55</xdr:row>
      <xdr:rowOff>0</xdr:rowOff>
    </xdr:from>
    <xdr:to>
      <xdr:col>10</xdr:col>
      <xdr:colOff>0</xdr:colOff>
      <xdr:row>59</xdr:row>
      <xdr:rowOff>0</xdr:rowOff>
    </xdr:to>
    <xdr:sp macro="" textlink="" fLocksText="0">
      <xdr:nvSpPr>
        <xdr:cNvPr id="30" name="Rectangle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1066800" y="10591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4.レジ更新</a:t>
          </a:r>
        </a:p>
      </xdr:txBody>
    </xdr:sp>
    <xdr:clientData/>
  </xdr:twoCellAnchor>
  <xdr:twoCellAnchor>
    <xdr:from>
      <xdr:col>7</xdr:col>
      <xdr:colOff>0</xdr:colOff>
      <xdr:row>36</xdr:row>
      <xdr:rowOff>0</xdr:rowOff>
    </xdr:from>
    <xdr:to>
      <xdr:col>7</xdr:col>
      <xdr:colOff>1</xdr:colOff>
      <xdr:row>40</xdr:row>
      <xdr:rowOff>0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CxnSpPr>
          <a:stCxn id="24" idx="2"/>
          <a:endCxn id="52" idx="0"/>
        </xdr:cNvCxnSpPr>
      </xdr:nvCxnSpPr>
      <xdr:spPr>
        <a:xfrm>
          <a:off x="1866900" y="6972300"/>
          <a:ext cx="0" cy="762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59</xdr:row>
      <xdr:rowOff>0</xdr:rowOff>
    </xdr:from>
    <xdr:to>
      <xdr:col>7</xdr:col>
      <xdr:colOff>1</xdr:colOff>
      <xdr:row>65</xdr:row>
      <xdr:rowOff>0</xdr:rowOff>
    </xdr:to>
    <xdr:cxnSp macro="">
      <xdr:nvCxnSpPr>
        <xdr:cNvPr id="39" name="Connector: Elbow 81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CxnSpPr>
          <a:stCxn id="30" idx="2"/>
          <a:endCxn id="121" idx="0"/>
        </xdr:cNvCxnSpPr>
      </xdr:nvCxnSpPr>
      <xdr:spPr>
        <a:xfrm>
          <a:off x="1866900" y="11353800"/>
          <a:ext cx="0" cy="1143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235322</xdr:colOff>
      <xdr:row>76</xdr:row>
      <xdr:rowOff>0</xdr:rowOff>
    </xdr:from>
    <xdr:to>
      <xdr:col>9</xdr:col>
      <xdr:colOff>235322</xdr:colOff>
      <xdr:row>81</xdr:row>
      <xdr:rowOff>0</xdr:rowOff>
    </xdr:to>
    <xdr:sp macro="" textlink="" fLocksText="0">
      <xdr:nvSpPr>
        <xdr:cNvPr id="40" name="Flowchart: Decision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/>
      </xdr:nvSpPr>
      <xdr:spPr>
        <a:xfrm>
          <a:off x="1038225" y="14592300"/>
          <a:ext cx="16002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8. cash register配列の最後の要素</a:t>
          </a:r>
        </a:p>
      </xdr:txBody>
    </xdr:sp>
    <xdr:clientData/>
  </xdr:twoCellAnchor>
  <xdr:twoCellAnchor>
    <xdr:from>
      <xdr:col>1</xdr:col>
      <xdr:colOff>235322</xdr:colOff>
      <xdr:row>78</xdr:row>
      <xdr:rowOff>0</xdr:rowOff>
    </xdr:from>
    <xdr:to>
      <xdr:col>3</xdr:col>
      <xdr:colOff>235322</xdr:colOff>
      <xdr:row>79</xdr:row>
      <xdr:rowOff>0</xdr:rowOff>
    </xdr:to>
    <xdr:sp macro="" textlink="" fLocksText="0">
      <xdr:nvSpPr>
        <xdr:cNvPr id="41" name="Flowchart: Process 4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SpPr/>
      </xdr:nvSpPr>
      <xdr:spPr>
        <a:xfrm>
          <a:off x="504825" y="14973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ja-JP" alt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  <a:endParaRPr lang="en-US" sz="1100" b="0" i="0" u="none" baseline="0">
            <a:solidFill>
              <a:srgbClr val="FFFF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235322</xdr:colOff>
      <xdr:row>81</xdr:row>
      <xdr:rowOff>0</xdr:rowOff>
    </xdr:from>
    <xdr:to>
      <xdr:col>7</xdr:col>
      <xdr:colOff>235322</xdr:colOff>
      <xdr:row>82</xdr:row>
      <xdr:rowOff>0</xdr:rowOff>
    </xdr:to>
    <xdr:sp macro="" textlink="" fLocksText="0">
      <xdr:nvSpPr>
        <xdr:cNvPr id="42" name="Flowchart: Process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/>
      </xdr:nvSpPr>
      <xdr:spPr>
        <a:xfrm>
          <a:off x="1571625" y="15544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7</xdr:col>
      <xdr:colOff>1</xdr:colOff>
      <xdr:row>59</xdr:row>
      <xdr:rowOff>1</xdr:rowOff>
    </xdr:from>
    <xdr:to>
      <xdr:col>25</xdr:col>
      <xdr:colOff>1</xdr:colOff>
      <xdr:row>65</xdr:row>
      <xdr:rowOff>1</xdr:rowOff>
    </xdr:to>
    <xdr:cxnSp macro="">
      <xdr:nvCxnSpPr>
        <xdr:cNvPr id="44" name="Connector: Elbow 43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CxnSpPr>
          <a:stCxn id="29" idx="2"/>
          <a:endCxn id="121" idx="0"/>
        </xdr:cNvCxnSpPr>
      </xdr:nvCxnSpPr>
      <xdr:spPr>
        <a:xfrm rot="5400000">
          <a:off x="1866900" y="11353800"/>
          <a:ext cx="4800600" cy="1143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235323</xdr:colOff>
      <xdr:row>87</xdr:row>
      <xdr:rowOff>0</xdr:rowOff>
    </xdr:from>
    <xdr:to>
      <xdr:col>8</xdr:col>
      <xdr:colOff>235323</xdr:colOff>
      <xdr:row>88</xdr:row>
      <xdr:rowOff>168088</xdr:rowOff>
    </xdr:to>
    <xdr:sp macro="" textlink="" fLocksText="0">
      <xdr:nvSpPr>
        <xdr:cNvPr id="45" name="Oval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/>
      </xdr:nvSpPr>
      <xdr:spPr>
        <a:xfrm>
          <a:off x="1304925" y="16687800"/>
          <a:ext cx="1066800" cy="36195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6</xdr:col>
      <xdr:colOff>235323</xdr:colOff>
      <xdr:row>82</xdr:row>
      <xdr:rowOff>0</xdr:rowOff>
    </xdr:from>
    <xdr:to>
      <xdr:col>6</xdr:col>
      <xdr:colOff>235323</xdr:colOff>
      <xdr:row>87</xdr:row>
      <xdr:rowOff>0</xdr:rowOff>
    </xdr:to>
    <xdr:cxnSp macro="">
      <xdr:nvCxnSpPr>
        <xdr:cNvPr id="46" name="Connector: Elbow 81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CxnSpPr>
          <a:stCxn id="42" idx="2"/>
          <a:endCxn id="45" idx="0"/>
        </xdr:cNvCxnSpPr>
      </xdr:nvCxnSpPr>
      <xdr:spPr>
        <a:xfrm>
          <a:off x="1838325" y="15735300"/>
          <a:ext cx="0" cy="952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77</xdr:row>
      <xdr:rowOff>0</xdr:rowOff>
    </xdr:from>
    <xdr:to>
      <xdr:col>62</xdr:col>
      <xdr:colOff>0</xdr:colOff>
      <xdr:row>81</xdr:row>
      <xdr:rowOff>0</xdr:rowOff>
    </xdr:to>
    <xdr:sp macro="" textlink="" fLocksText="0">
      <xdr:nvSpPr>
        <xdr:cNvPr id="50" name="吹き出し: 線 2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SpPr/>
      </xdr:nvSpPr>
      <xdr:spPr>
        <a:xfrm>
          <a:off x="9334500" y="14782800"/>
          <a:ext cx="7200900" cy="762000"/>
        </a:xfrm>
        <a:prstGeom prst="borderCallout1">
          <a:avLst>
            <a:gd name="adj1" fmla="val 51201"/>
            <a:gd name="adj2" fmla="val -58"/>
            <a:gd name="adj3" fmla="val 42733"/>
            <a:gd name="adj4" fmla="val -9534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8. リクエストのレジデータ配列の最後の要素であるかを確認する。</a:t>
          </a:r>
          <a:endParaRPr lang="vi-VN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▪最後の要素ではない場合、次の要素をループする。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最後の要素の場合、プログラムを終了する。</a:t>
          </a:r>
        </a:p>
      </xdr:txBody>
    </xdr:sp>
    <xdr:clientData/>
  </xdr:twoCellAnchor>
  <xdr:twoCellAnchor>
    <xdr:from>
      <xdr:col>1</xdr:col>
      <xdr:colOff>235322</xdr:colOff>
      <xdr:row>22</xdr:row>
      <xdr:rowOff>0</xdr:rowOff>
    </xdr:from>
    <xdr:to>
      <xdr:col>4</xdr:col>
      <xdr:colOff>0</xdr:colOff>
      <xdr:row>78</xdr:row>
      <xdr:rowOff>95250</xdr:rowOff>
    </xdr:to>
    <xdr:cxnSp macro="">
      <xdr:nvCxnSpPr>
        <xdr:cNvPr id="54" name="Connector: Elbow 53"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CxnSpPr>
          <a:stCxn id="41" idx="1"/>
          <a:endCxn id="4" idx="1"/>
        </xdr:cNvCxnSpPr>
      </xdr:nvCxnSpPr>
      <xdr:spPr>
        <a:xfrm rot="10800000" flipH="1">
          <a:off x="504825" y="4305300"/>
          <a:ext cx="561975" cy="10763250"/>
        </a:xfrm>
        <a:prstGeom prst="bentConnector3">
          <a:avLst>
            <a:gd name="adj1" fmla="val -48571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</xdr:colOff>
      <xdr:row>59</xdr:row>
      <xdr:rowOff>1</xdr:rowOff>
    </xdr:from>
    <xdr:to>
      <xdr:col>16</xdr:col>
      <xdr:colOff>1</xdr:colOff>
      <xdr:row>65</xdr:row>
      <xdr:rowOff>1</xdr:rowOff>
    </xdr:to>
    <xdr:cxnSp macro="">
      <xdr:nvCxnSpPr>
        <xdr:cNvPr id="98" name="Connector: Elbow 97">
          <a:extLst>
            <a:ext uri="{FF2B5EF4-FFF2-40B4-BE49-F238E27FC236}">
              <a16:creationId xmlns:a16="http://schemas.microsoft.com/office/drawing/2014/main" id="{00000000-0008-0000-0400-000062000000}"/>
            </a:ext>
          </a:extLst>
        </xdr:cNvPr>
        <xdr:cNvCxnSpPr>
          <a:stCxn id="120" idx="2"/>
          <a:endCxn id="121" idx="0"/>
        </xdr:cNvCxnSpPr>
      </xdr:nvCxnSpPr>
      <xdr:spPr>
        <a:xfrm rot="5400000">
          <a:off x="1866900" y="11353800"/>
          <a:ext cx="2400300" cy="1143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55</xdr:row>
      <xdr:rowOff>0</xdr:rowOff>
    </xdr:from>
    <xdr:to>
      <xdr:col>19</xdr:col>
      <xdr:colOff>0</xdr:colOff>
      <xdr:row>59</xdr:row>
      <xdr:rowOff>0</xdr:rowOff>
    </xdr:to>
    <xdr:sp macro="" textlink="" fLocksText="0">
      <xdr:nvSpPr>
        <xdr:cNvPr id="120" name="Rectangle 119">
          <a:extLst>
            <a:ext uri="{FF2B5EF4-FFF2-40B4-BE49-F238E27FC236}">
              <a16:creationId xmlns:a16="http://schemas.microsoft.com/office/drawing/2014/main" id="{00000000-0008-0000-0400-000078000000}"/>
            </a:ext>
          </a:extLst>
        </xdr:cNvPr>
        <xdr:cNvSpPr/>
      </xdr:nvSpPr>
      <xdr:spPr>
        <a:xfrm>
          <a:off x="3467100" y="10591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6. レジ削除</a:t>
          </a:r>
        </a:p>
      </xdr:txBody>
    </xdr:sp>
    <xdr:clientData/>
  </xdr:twoCellAnchor>
  <xdr:twoCellAnchor>
    <xdr:from>
      <xdr:col>35</xdr:col>
      <xdr:colOff>0</xdr:colOff>
      <xdr:row>21</xdr:row>
      <xdr:rowOff>0</xdr:rowOff>
    </xdr:from>
    <xdr:to>
      <xdr:col>62</xdr:col>
      <xdr:colOff>0</xdr:colOff>
      <xdr:row>23</xdr:row>
      <xdr:rowOff>0</xdr:rowOff>
    </xdr:to>
    <xdr:sp macro="" textlink="" fLocksText="0">
      <xdr:nvSpPr>
        <xdr:cNvPr id="145" name="吹き出し: 線 2">
          <a:extLst>
            <a:ext uri="{FF2B5EF4-FFF2-40B4-BE49-F238E27FC236}">
              <a16:creationId xmlns:a16="http://schemas.microsoft.com/office/drawing/2014/main" id="{00000000-0008-0000-0400-000091000000}"/>
            </a:ext>
          </a:extLst>
        </xdr:cNvPr>
        <xdr:cNvSpPr/>
      </xdr:nvSpPr>
      <xdr:spPr>
        <a:xfrm>
          <a:off x="9334500" y="4114800"/>
          <a:ext cx="7200900" cy="381000"/>
        </a:xfrm>
        <a:prstGeom prst="borderCallout1">
          <a:avLst>
            <a:gd name="adj1" fmla="val 48945"/>
            <a:gd name="adj2" fmla="val 117"/>
            <a:gd name="adj3" fmla="val 57717"/>
            <a:gd name="adj4" fmla="val -938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リクエストのレジ情報データ配列に対して、各レコードをループする。</a:t>
          </a:r>
        </a:p>
      </xdr:txBody>
    </xdr:sp>
    <xdr:clientData/>
  </xdr:twoCellAnchor>
  <xdr:twoCellAnchor>
    <xdr:from>
      <xdr:col>35</xdr:col>
      <xdr:colOff>0</xdr:colOff>
      <xdr:row>8</xdr:row>
      <xdr:rowOff>179295</xdr:rowOff>
    </xdr:from>
    <xdr:to>
      <xdr:col>62</xdr:col>
      <xdr:colOff>0</xdr:colOff>
      <xdr:row>15</xdr:row>
      <xdr:rowOff>1</xdr:rowOff>
    </xdr:to>
    <xdr:sp macro="" textlink="" fLocksText="0">
      <xdr:nvSpPr>
        <xdr:cNvPr id="155" name="吹き出し: 線 2">
          <a:extLst>
            <a:ext uri="{FF2B5EF4-FFF2-40B4-BE49-F238E27FC236}">
              <a16:creationId xmlns:a16="http://schemas.microsoft.com/office/drawing/2014/main" id="{00000000-0008-0000-0400-00009B000000}"/>
            </a:ext>
          </a:extLst>
        </xdr:cNvPr>
        <xdr:cNvSpPr/>
      </xdr:nvSpPr>
      <xdr:spPr>
        <a:xfrm>
          <a:off x="9334500" y="1819275"/>
          <a:ext cx="7200900" cy="1152525"/>
        </a:xfrm>
        <a:prstGeom prst="borderCallout1">
          <a:avLst>
            <a:gd name="adj1" fmla="val 49926"/>
            <a:gd name="adj2" fmla="val -59"/>
            <a:gd name="adj3" fmla="val 43017"/>
            <a:gd name="adj4" fmla="val -93363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strike="sngStrik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instoresテーブルで、以下の条件を満たす既存のレジレコード一覧を取得する</a:t>
          </a:r>
        </a:p>
        <a:p>
          <a:pPr>
            <a:defRPr lang="en-US" altLang="ja-JP" sz="1000" b="0" i="0" u="none" strike="sngStrik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strike="sngStrik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instores.company_code = User.CompanyCode (ログインしているアカウントが所属する会社) </a:t>
          </a:r>
        </a:p>
        <a:p>
          <a:pPr>
            <a:defRPr lang="en-US" altLang="ja-JP" sz="1000" b="0" i="0" u="none" strike="sngStrik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strike="sngStrik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instores.store_code = request.CashRegister.store_code</a:t>
          </a:r>
        </a:p>
        <a:p>
          <a:pPr>
            <a:defRPr lang="en-US" altLang="ja-JP" sz="1000" b="0" i="0" u="none" strike="sngStrik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strike="sngStrik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instores.instore_code= request.CashRegister.code</a:t>
          </a:r>
        </a:p>
      </xdr:txBody>
    </xdr:sp>
    <xdr:clientData/>
  </xdr:twoCellAnchor>
  <xdr:twoCellAnchor>
    <xdr:from>
      <xdr:col>4</xdr:col>
      <xdr:colOff>1</xdr:colOff>
      <xdr:row>65</xdr:row>
      <xdr:rowOff>0</xdr:rowOff>
    </xdr:from>
    <xdr:to>
      <xdr:col>10</xdr:col>
      <xdr:colOff>1</xdr:colOff>
      <xdr:row>70</xdr:row>
      <xdr:rowOff>0</xdr:rowOff>
    </xdr:to>
    <xdr:sp macro="" textlink="" fLocksText="0">
      <xdr:nvSpPr>
        <xdr:cNvPr id="121" name="Flowchart: Decision 120">
          <a:extLst>
            <a:ext uri="{FF2B5EF4-FFF2-40B4-BE49-F238E27FC236}">
              <a16:creationId xmlns:a16="http://schemas.microsoft.com/office/drawing/2014/main" id="{00000000-0008-0000-0400-000079000000}"/>
            </a:ext>
          </a:extLst>
        </xdr:cNvPr>
        <xdr:cNvSpPr/>
      </xdr:nvSpPr>
      <xdr:spPr>
        <a:xfrm>
          <a:off x="1066800" y="12496800"/>
          <a:ext cx="16002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7. 成功：</a:t>
          </a:r>
        </a:p>
      </xdr:txBody>
    </xdr:sp>
    <xdr:clientData/>
  </xdr:twoCellAnchor>
  <xdr:twoCellAnchor>
    <xdr:from>
      <xdr:col>10</xdr:col>
      <xdr:colOff>1</xdr:colOff>
      <xdr:row>67</xdr:row>
      <xdr:rowOff>0</xdr:rowOff>
    </xdr:from>
    <xdr:to>
      <xdr:col>12</xdr:col>
      <xdr:colOff>1</xdr:colOff>
      <xdr:row>68</xdr:row>
      <xdr:rowOff>0</xdr:rowOff>
    </xdr:to>
    <xdr:sp macro="" textlink="" fLocksText="0">
      <xdr:nvSpPr>
        <xdr:cNvPr id="122" name="Flowchart: Process 121">
          <a:extLst>
            <a:ext uri="{FF2B5EF4-FFF2-40B4-BE49-F238E27FC236}">
              <a16:creationId xmlns:a16="http://schemas.microsoft.com/office/drawing/2014/main" id="{00000000-0008-0000-0400-00007A000000}"/>
            </a:ext>
          </a:extLst>
        </xdr:cNvPr>
        <xdr:cNvSpPr/>
      </xdr:nvSpPr>
      <xdr:spPr>
        <a:xfrm>
          <a:off x="2667000" y="12877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6</xdr:col>
      <xdr:colOff>1</xdr:colOff>
      <xdr:row>70</xdr:row>
      <xdr:rowOff>0</xdr:rowOff>
    </xdr:from>
    <xdr:to>
      <xdr:col>8</xdr:col>
      <xdr:colOff>1</xdr:colOff>
      <xdr:row>71</xdr:row>
      <xdr:rowOff>0</xdr:rowOff>
    </xdr:to>
    <xdr:sp macro="" textlink="" fLocksText="0">
      <xdr:nvSpPr>
        <xdr:cNvPr id="123" name="Flowchart: Process 122">
          <a:extLst>
            <a:ext uri="{FF2B5EF4-FFF2-40B4-BE49-F238E27FC236}">
              <a16:creationId xmlns:a16="http://schemas.microsoft.com/office/drawing/2014/main" id="{00000000-0008-0000-0400-00007B000000}"/>
            </a:ext>
          </a:extLst>
        </xdr:cNvPr>
        <xdr:cNvSpPr/>
      </xdr:nvSpPr>
      <xdr:spPr>
        <a:xfrm>
          <a:off x="1600200" y="13449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6</xdr:col>
      <xdr:colOff>235323</xdr:colOff>
      <xdr:row>71</xdr:row>
      <xdr:rowOff>0</xdr:rowOff>
    </xdr:from>
    <xdr:to>
      <xdr:col>7</xdr:col>
      <xdr:colOff>1</xdr:colOff>
      <xdr:row>76</xdr:row>
      <xdr:rowOff>0</xdr:rowOff>
    </xdr:to>
    <xdr:cxnSp macro="">
      <xdr:nvCxnSpPr>
        <xdr:cNvPr id="130" name="Connector: Elbow 81">
          <a:extLst>
            <a:ext uri="{FF2B5EF4-FFF2-40B4-BE49-F238E27FC236}">
              <a16:creationId xmlns:a16="http://schemas.microsoft.com/office/drawing/2014/main" id="{00000000-0008-0000-0400-000082000000}"/>
            </a:ext>
          </a:extLst>
        </xdr:cNvPr>
        <xdr:cNvCxnSpPr>
          <a:stCxn id="123" idx="2"/>
          <a:endCxn id="40" idx="0"/>
        </xdr:cNvCxnSpPr>
      </xdr:nvCxnSpPr>
      <xdr:spPr>
        <a:xfrm flipH="1">
          <a:off x="1838325" y="13639800"/>
          <a:ext cx="28575" cy="952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</xdr:colOff>
      <xdr:row>67</xdr:row>
      <xdr:rowOff>95250</xdr:rowOff>
    </xdr:from>
    <xdr:to>
      <xdr:col>33</xdr:col>
      <xdr:colOff>1</xdr:colOff>
      <xdr:row>71</xdr:row>
      <xdr:rowOff>0</xdr:rowOff>
    </xdr:to>
    <xdr:cxnSp macro="">
      <xdr:nvCxnSpPr>
        <xdr:cNvPr id="133" name="Connector: Elbow 132">
          <a:extLst>
            <a:ext uri="{FF2B5EF4-FFF2-40B4-BE49-F238E27FC236}">
              <a16:creationId xmlns:a16="http://schemas.microsoft.com/office/drawing/2014/main" id="{00000000-0008-0000-0400-000085000000}"/>
            </a:ext>
          </a:extLst>
        </xdr:cNvPr>
        <xdr:cNvCxnSpPr>
          <a:stCxn id="122" idx="3"/>
          <a:endCxn id="86" idx="0"/>
        </xdr:cNvCxnSpPr>
      </xdr:nvCxnSpPr>
      <xdr:spPr>
        <a:xfrm>
          <a:off x="3200400" y="12973050"/>
          <a:ext cx="5600700" cy="66675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68</xdr:row>
      <xdr:rowOff>0</xdr:rowOff>
    </xdr:from>
    <xdr:to>
      <xdr:col>62</xdr:col>
      <xdr:colOff>0</xdr:colOff>
      <xdr:row>73</xdr:row>
      <xdr:rowOff>0</xdr:rowOff>
    </xdr:to>
    <xdr:sp macro="" textlink="" fLocksText="0">
      <xdr:nvSpPr>
        <xdr:cNvPr id="138" name="吹き出し: 線 2">
          <a:extLst>
            <a:ext uri="{FF2B5EF4-FFF2-40B4-BE49-F238E27FC236}">
              <a16:creationId xmlns:a16="http://schemas.microsoft.com/office/drawing/2014/main" id="{00000000-0008-0000-0400-00008A000000}"/>
            </a:ext>
          </a:extLst>
        </xdr:cNvPr>
        <xdr:cNvSpPr/>
      </xdr:nvSpPr>
      <xdr:spPr>
        <a:xfrm>
          <a:off x="9334500" y="13068300"/>
          <a:ext cx="7200900" cy="952500"/>
        </a:xfrm>
        <a:prstGeom prst="borderCallout1">
          <a:avLst>
            <a:gd name="adj1" fmla="val 55319"/>
            <a:gd name="adj2" fmla="val 498"/>
            <a:gd name="adj3" fmla="val -14622"/>
            <a:gd name="adj4" fmla="val -97771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7. レジ新規作成・編集・削除の状態を確認する。 </a:t>
          </a:r>
          <a:endParaRPr lang="vi-VN" altLang="ja-JP" sz="1000" b="0" i="0" u="none" baseline="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▪成功した場合、ステップ[7.1]を実行する。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▪失敗した場合、status_code = 500, message = MSG_ERR_SERVERのレスポンスを返し、プログラムを停止する。</a:t>
          </a:r>
        </a:p>
      </xdr:txBody>
    </xdr:sp>
    <xdr:clientData/>
  </xdr:twoCellAnchor>
  <xdr:twoCellAnchor>
    <xdr:from>
      <xdr:col>7</xdr:col>
      <xdr:colOff>0</xdr:colOff>
      <xdr:row>46</xdr:row>
      <xdr:rowOff>0</xdr:rowOff>
    </xdr:from>
    <xdr:to>
      <xdr:col>7</xdr:col>
      <xdr:colOff>2</xdr:colOff>
      <xdr:row>55</xdr:row>
      <xdr:rowOff>0</xdr:rowOff>
    </xdr:to>
    <xdr:cxnSp macro="">
      <xdr:nvCxnSpPr>
        <xdr:cNvPr id="49" name="Connector: Elbow 81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CxnSpPr>
          <a:stCxn id="55" idx="2"/>
          <a:endCxn id="30" idx="0"/>
        </xdr:cNvCxnSpPr>
      </xdr:nvCxnSpPr>
      <xdr:spPr>
        <a:xfrm flipH="1">
          <a:off x="1866900" y="8877300"/>
          <a:ext cx="0" cy="1714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235322</xdr:colOff>
      <xdr:row>46</xdr:row>
      <xdr:rowOff>0</xdr:rowOff>
    </xdr:from>
    <xdr:to>
      <xdr:col>25</xdr:col>
      <xdr:colOff>1</xdr:colOff>
      <xdr:row>55</xdr:row>
      <xdr:rowOff>0</xdr:rowOff>
    </xdr:to>
    <xdr:cxnSp macro="">
      <xdr:nvCxnSpPr>
        <xdr:cNvPr id="51" name="Connector: Elbow 50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CxnSpPr>
          <a:stCxn id="60" idx="2"/>
          <a:endCxn id="29" idx="0"/>
        </xdr:cNvCxnSpPr>
      </xdr:nvCxnSpPr>
      <xdr:spPr>
        <a:xfrm rot="16200000" flipH="1">
          <a:off x="6638925" y="8877300"/>
          <a:ext cx="28575" cy="17145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40</xdr:row>
      <xdr:rowOff>0</xdr:rowOff>
    </xdr:from>
    <xdr:to>
      <xdr:col>10</xdr:col>
      <xdr:colOff>2</xdr:colOff>
      <xdr:row>45</xdr:row>
      <xdr:rowOff>0</xdr:rowOff>
    </xdr:to>
    <xdr:sp macro="" textlink="" fLocksText="0">
      <xdr:nvSpPr>
        <xdr:cNvPr id="52" name="Flowchart: Decision 51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SpPr/>
      </xdr:nvSpPr>
      <xdr:spPr>
        <a:xfrm>
          <a:off x="1066800" y="7734300"/>
          <a:ext cx="16002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3.1 operation_type </a:t>
          </a:r>
        </a:p>
      </xdr:txBody>
    </xdr:sp>
    <xdr:clientData/>
  </xdr:twoCellAnchor>
  <xdr:twoCellAnchor>
    <xdr:from>
      <xdr:col>10</xdr:col>
      <xdr:colOff>1</xdr:colOff>
      <xdr:row>42</xdr:row>
      <xdr:rowOff>0</xdr:rowOff>
    </xdr:from>
    <xdr:to>
      <xdr:col>12</xdr:col>
      <xdr:colOff>1</xdr:colOff>
      <xdr:row>43</xdr:row>
      <xdr:rowOff>0</xdr:rowOff>
    </xdr:to>
    <xdr:sp macro="" textlink="" fLocksText="0">
      <xdr:nvSpPr>
        <xdr:cNvPr id="53" name="Flowchart: Process 52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SpPr/>
      </xdr:nvSpPr>
      <xdr:spPr>
        <a:xfrm>
          <a:off x="2667000" y="8115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=3</a:t>
          </a:r>
        </a:p>
      </xdr:txBody>
    </xdr:sp>
    <xdr:clientData/>
  </xdr:twoCellAnchor>
  <xdr:twoCellAnchor>
    <xdr:from>
      <xdr:col>5</xdr:col>
      <xdr:colOff>1</xdr:colOff>
      <xdr:row>44</xdr:row>
      <xdr:rowOff>190499</xdr:rowOff>
    </xdr:from>
    <xdr:to>
      <xdr:col>9</xdr:col>
      <xdr:colOff>3</xdr:colOff>
      <xdr:row>46</xdr:row>
      <xdr:rowOff>0</xdr:rowOff>
    </xdr:to>
    <xdr:sp macro="" textlink="" fLocksText="0">
      <xdr:nvSpPr>
        <xdr:cNvPr id="55" name="Flowchart: Process 54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SpPr/>
      </xdr:nvSpPr>
      <xdr:spPr>
        <a:xfrm>
          <a:off x="1333500" y="8686800"/>
          <a:ext cx="10668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= 1 or = 2</a:t>
          </a:r>
          <a:endParaRPr lang="en-US" sz="11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22</xdr:col>
      <xdr:colOff>11206</xdr:colOff>
      <xdr:row>40</xdr:row>
      <xdr:rowOff>0</xdr:rowOff>
    </xdr:from>
    <xdr:to>
      <xdr:col>28</xdr:col>
      <xdr:colOff>11208</xdr:colOff>
      <xdr:row>45</xdr:row>
      <xdr:rowOff>0</xdr:rowOff>
    </xdr:to>
    <xdr:sp macro="" textlink="" fLocksText="0">
      <xdr:nvSpPr>
        <xdr:cNvPr id="58" name="Flowchart: Decision 57">
          <a:extLst>
            <a:ext uri="{FF2B5EF4-FFF2-40B4-BE49-F238E27FC236}">
              <a16:creationId xmlns:a16="http://schemas.microsoft.com/office/drawing/2014/main" id="{00000000-0008-0000-0400-00003A000000}"/>
            </a:ext>
          </a:extLst>
        </xdr:cNvPr>
        <xdr:cNvSpPr/>
      </xdr:nvSpPr>
      <xdr:spPr>
        <a:xfrm>
          <a:off x="5876925" y="7734300"/>
          <a:ext cx="16002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3.2 operation_type </a:t>
          </a:r>
        </a:p>
      </xdr:txBody>
    </xdr:sp>
    <xdr:clientData/>
  </xdr:twoCellAnchor>
  <xdr:twoCellAnchor>
    <xdr:from>
      <xdr:col>28</xdr:col>
      <xdr:colOff>0</xdr:colOff>
      <xdr:row>42</xdr:row>
      <xdr:rowOff>0</xdr:rowOff>
    </xdr:from>
    <xdr:to>
      <xdr:col>30</xdr:col>
      <xdr:colOff>0</xdr:colOff>
      <xdr:row>43</xdr:row>
      <xdr:rowOff>0</xdr:rowOff>
    </xdr:to>
    <xdr:sp macro="" textlink="" fLocksText="0">
      <xdr:nvSpPr>
        <xdr:cNvPr id="59" name="Flowchart: Process 58">
          <a:extLst>
            <a:ext uri="{FF2B5EF4-FFF2-40B4-BE49-F238E27FC236}">
              <a16:creationId xmlns:a16="http://schemas.microsoft.com/office/drawing/2014/main" id="{00000000-0008-0000-0400-00003B000000}"/>
            </a:ext>
          </a:extLst>
        </xdr:cNvPr>
        <xdr:cNvSpPr/>
      </xdr:nvSpPr>
      <xdr:spPr>
        <a:xfrm>
          <a:off x="7467600" y="8115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=3</a:t>
          </a:r>
        </a:p>
      </xdr:txBody>
    </xdr:sp>
    <xdr:clientData/>
  </xdr:twoCellAnchor>
  <xdr:twoCellAnchor>
    <xdr:from>
      <xdr:col>22</xdr:col>
      <xdr:colOff>235322</xdr:colOff>
      <xdr:row>44</xdr:row>
      <xdr:rowOff>190499</xdr:rowOff>
    </xdr:from>
    <xdr:to>
      <xdr:col>27</xdr:col>
      <xdr:colOff>0</xdr:colOff>
      <xdr:row>46</xdr:row>
      <xdr:rowOff>0</xdr:rowOff>
    </xdr:to>
    <xdr:sp macro="" textlink="" fLocksText="0">
      <xdr:nvSpPr>
        <xdr:cNvPr id="60" name="Flowchart: Process 59">
          <a:extLst>
            <a:ext uri="{FF2B5EF4-FFF2-40B4-BE49-F238E27FC236}">
              <a16:creationId xmlns:a16="http://schemas.microsoft.com/office/drawing/2014/main" id="{00000000-0008-0000-0400-00003C000000}"/>
            </a:ext>
          </a:extLst>
        </xdr:cNvPr>
        <xdr:cNvSpPr/>
      </xdr:nvSpPr>
      <xdr:spPr>
        <a:xfrm flipH="1">
          <a:off x="6105525" y="8686800"/>
          <a:ext cx="1095375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= 1 or = 2</a:t>
          </a:r>
          <a:endParaRPr lang="en-US" sz="11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12</xdr:col>
      <xdr:colOff>1</xdr:colOff>
      <xdr:row>42</xdr:row>
      <xdr:rowOff>95250</xdr:rowOff>
    </xdr:from>
    <xdr:to>
      <xdr:col>16</xdr:col>
      <xdr:colOff>1</xdr:colOff>
      <xdr:row>55</xdr:row>
      <xdr:rowOff>0</xdr:rowOff>
    </xdr:to>
    <xdr:cxnSp macro="">
      <xdr:nvCxnSpPr>
        <xdr:cNvPr id="62" name="Connector: Elbow 61">
          <a:extLst>
            <a:ext uri="{FF2B5EF4-FFF2-40B4-BE49-F238E27FC236}">
              <a16:creationId xmlns:a16="http://schemas.microsoft.com/office/drawing/2014/main" id="{00000000-0008-0000-0400-00003E000000}"/>
            </a:ext>
          </a:extLst>
        </xdr:cNvPr>
        <xdr:cNvCxnSpPr>
          <a:stCxn id="53" idx="3"/>
          <a:endCxn id="120" idx="0"/>
        </xdr:cNvCxnSpPr>
      </xdr:nvCxnSpPr>
      <xdr:spPr>
        <a:xfrm>
          <a:off x="3200400" y="8210550"/>
          <a:ext cx="1066800" cy="238125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0</xdr:colOff>
      <xdr:row>71</xdr:row>
      <xdr:rowOff>0</xdr:rowOff>
    </xdr:from>
    <xdr:to>
      <xdr:col>34</xdr:col>
      <xdr:colOff>0</xdr:colOff>
      <xdr:row>72</xdr:row>
      <xdr:rowOff>0</xdr:rowOff>
    </xdr:to>
    <xdr:sp macro="" textlink="" fLocksText="0">
      <xdr:nvSpPr>
        <xdr:cNvPr id="86" name="Rectangle 85">
          <a:extLst>
            <a:ext uri="{FF2B5EF4-FFF2-40B4-BE49-F238E27FC236}">
              <a16:creationId xmlns:a16="http://schemas.microsoft.com/office/drawing/2014/main" id="{00000000-0008-0000-0400-000056000000}"/>
            </a:ext>
          </a:extLst>
        </xdr:cNvPr>
        <xdr:cNvSpPr/>
      </xdr:nvSpPr>
      <xdr:spPr>
        <a:xfrm>
          <a:off x="8534400" y="13639800"/>
          <a:ext cx="533400" cy="1905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endParaRPr lang="en-US" sz="11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30</xdr:col>
      <xdr:colOff>0</xdr:colOff>
      <xdr:row>42</xdr:row>
      <xdr:rowOff>95250</xdr:rowOff>
    </xdr:from>
    <xdr:to>
      <xdr:col>33</xdr:col>
      <xdr:colOff>1</xdr:colOff>
      <xdr:row>71</xdr:row>
      <xdr:rowOff>0</xdr:rowOff>
    </xdr:to>
    <xdr:cxnSp macro="">
      <xdr:nvCxnSpPr>
        <xdr:cNvPr id="87" name="Connector: Elbow 86">
          <a:extLst>
            <a:ext uri="{FF2B5EF4-FFF2-40B4-BE49-F238E27FC236}">
              <a16:creationId xmlns:a16="http://schemas.microsoft.com/office/drawing/2014/main" id="{00000000-0008-0000-0400-000057000000}"/>
            </a:ext>
          </a:extLst>
        </xdr:cNvPr>
        <xdr:cNvCxnSpPr>
          <a:stCxn id="59" idx="3"/>
          <a:endCxn id="86" idx="0"/>
        </xdr:cNvCxnSpPr>
      </xdr:nvCxnSpPr>
      <xdr:spPr>
        <a:xfrm>
          <a:off x="8001000" y="8210550"/>
          <a:ext cx="800100" cy="542925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235323</xdr:colOff>
      <xdr:row>72</xdr:row>
      <xdr:rowOff>1</xdr:rowOff>
    </xdr:from>
    <xdr:to>
      <xdr:col>33</xdr:col>
      <xdr:colOff>1</xdr:colOff>
      <xdr:row>76</xdr:row>
      <xdr:rowOff>1</xdr:rowOff>
    </xdr:to>
    <xdr:cxnSp macro="">
      <xdr:nvCxnSpPr>
        <xdr:cNvPr id="95" name="Connector: Elbow 94">
          <a:extLst>
            <a:ext uri="{FF2B5EF4-FFF2-40B4-BE49-F238E27FC236}">
              <a16:creationId xmlns:a16="http://schemas.microsoft.com/office/drawing/2014/main" id="{00000000-0008-0000-0400-00005F000000}"/>
            </a:ext>
          </a:extLst>
        </xdr:cNvPr>
        <xdr:cNvCxnSpPr>
          <a:stCxn id="86" idx="2"/>
          <a:endCxn id="40" idx="0"/>
        </xdr:cNvCxnSpPr>
      </xdr:nvCxnSpPr>
      <xdr:spPr>
        <a:xfrm rot="5400000">
          <a:off x="1838325" y="13830300"/>
          <a:ext cx="6962775" cy="762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42</xdr:row>
      <xdr:rowOff>0</xdr:rowOff>
    </xdr:from>
    <xdr:to>
      <xdr:col>62</xdr:col>
      <xdr:colOff>0</xdr:colOff>
      <xdr:row>48</xdr:row>
      <xdr:rowOff>0</xdr:rowOff>
    </xdr:to>
    <xdr:sp macro="" textlink="" fLocksText="0">
      <xdr:nvSpPr>
        <xdr:cNvPr id="105" name="吹き出し: 線 2">
          <a:extLst>
            <a:ext uri="{FF2B5EF4-FFF2-40B4-BE49-F238E27FC236}">
              <a16:creationId xmlns:a16="http://schemas.microsoft.com/office/drawing/2014/main" id="{00000000-0008-0000-0400-000069000000}"/>
            </a:ext>
          </a:extLst>
        </xdr:cNvPr>
        <xdr:cNvSpPr/>
      </xdr:nvSpPr>
      <xdr:spPr>
        <a:xfrm>
          <a:off x="9334500" y="8115300"/>
          <a:ext cx="7200900" cy="1143000"/>
        </a:xfrm>
        <a:prstGeom prst="borderCallout1">
          <a:avLst>
            <a:gd name="adj1" fmla="val 50907"/>
            <a:gd name="adj2" fmla="val 647"/>
            <a:gd name="adj3" fmla="val 240024"/>
            <a:gd name="adj4" fmla="val -99686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以下のようにステップ2のレジを更新する。</a:t>
          </a:r>
        </a:p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cash_registers.record_void_flag  = "" </a:t>
          </a:r>
        </a:p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各カラムに該当する値をDBに更新する。</a:t>
          </a:r>
        </a:p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cash_registers.record_update_dateを自動的に当日に更新し、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cash_registers.updated_userをログイン中のユーザ(user.record_id)に更新する。</a:t>
          </a:r>
        </a:p>
      </xdr:txBody>
    </xdr:sp>
    <xdr:clientData/>
  </xdr:twoCellAnchor>
  <xdr:twoCellAnchor>
    <xdr:from>
      <xdr:col>35</xdr:col>
      <xdr:colOff>0</xdr:colOff>
      <xdr:row>49</xdr:row>
      <xdr:rowOff>0</xdr:rowOff>
    </xdr:from>
    <xdr:to>
      <xdr:col>62</xdr:col>
      <xdr:colOff>0</xdr:colOff>
      <xdr:row>54</xdr:row>
      <xdr:rowOff>0</xdr:rowOff>
    </xdr:to>
    <xdr:sp macro="" textlink="" fLocksText="0">
      <xdr:nvSpPr>
        <xdr:cNvPr id="106" name="吹き出し: 線 2">
          <a:extLst>
            <a:ext uri="{FF2B5EF4-FFF2-40B4-BE49-F238E27FC236}">
              <a16:creationId xmlns:a16="http://schemas.microsoft.com/office/drawing/2014/main" id="{00000000-0008-0000-0400-00006A000000}"/>
            </a:ext>
          </a:extLst>
        </xdr:cNvPr>
        <xdr:cNvSpPr/>
      </xdr:nvSpPr>
      <xdr:spPr>
        <a:xfrm>
          <a:off x="9334500" y="9448800"/>
          <a:ext cx="7200900" cy="952500"/>
        </a:xfrm>
        <a:prstGeom prst="borderCallout1">
          <a:avLst>
            <a:gd name="adj1" fmla="val 50907"/>
            <a:gd name="adj2" fmla="val 647"/>
            <a:gd name="adj3" fmla="val 109632"/>
            <a:gd name="adj4" fmla="val -368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5. ステップ2のレジを新規作成する。ステップ1で存在しているリストに、挿入されたレコードを追加し、各カラムに対応する値をDBに更新する。cash_registers.record_update_dateを自動的に当日に更新し、cash_registers.updated_userをログイン中のユーザ（user.record_id）に更新する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40" customWidth="1"/>
    <col min="61" max="16384" width="2.77734375" style="40"/>
  </cols>
  <sheetData>
    <row r="1" spans="1:63" ht="24.95" customHeight="1" x14ac:dyDescent="0.25">
      <c r="A1" s="83" t="s">
        <v>105</v>
      </c>
      <c r="B1" s="84"/>
      <c r="C1" s="84"/>
      <c r="D1" s="84"/>
      <c r="E1" s="84"/>
      <c r="F1" s="84"/>
      <c r="G1" s="84"/>
      <c r="H1" s="84"/>
      <c r="I1" s="84"/>
      <c r="J1" s="85"/>
      <c r="K1" s="83" t="s">
        <v>106</v>
      </c>
      <c r="L1" s="84"/>
      <c r="M1" s="84"/>
      <c r="N1" s="84"/>
      <c r="O1" s="84"/>
      <c r="P1" s="84"/>
      <c r="Q1" s="84"/>
      <c r="R1" s="84"/>
      <c r="S1" s="84"/>
      <c r="T1" s="84"/>
      <c r="U1" s="84"/>
      <c r="V1" s="85"/>
      <c r="W1" s="105" t="s">
        <v>103</v>
      </c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7"/>
      <c r="AP1" s="83" t="s">
        <v>107</v>
      </c>
      <c r="AQ1" s="84"/>
      <c r="AR1" s="84"/>
      <c r="AS1" s="85"/>
      <c r="AT1" s="83" t="s">
        <v>108</v>
      </c>
      <c r="AU1" s="84"/>
      <c r="AV1" s="84"/>
      <c r="AW1" s="84"/>
      <c r="AX1" s="85"/>
      <c r="AY1" s="83" t="s">
        <v>109</v>
      </c>
      <c r="AZ1" s="84"/>
      <c r="BA1" s="84"/>
      <c r="BB1" s="85"/>
      <c r="BC1" s="83" t="s">
        <v>110</v>
      </c>
      <c r="BD1" s="84"/>
      <c r="BE1" s="84"/>
      <c r="BF1" s="84"/>
      <c r="BG1" s="85"/>
      <c r="BH1" s="83" t="s">
        <v>111</v>
      </c>
      <c r="BI1" s="84"/>
      <c r="BJ1" s="84"/>
      <c r="BK1" s="85"/>
    </row>
    <row r="2" spans="1:63" ht="15" customHeight="1" x14ac:dyDescent="0.25">
      <c r="A2" s="104" t="s">
        <v>102</v>
      </c>
      <c r="B2" s="69"/>
      <c r="C2" s="69"/>
      <c r="D2" s="69"/>
      <c r="E2" s="69"/>
      <c r="F2" s="69"/>
      <c r="G2" s="69"/>
      <c r="H2" s="69"/>
      <c r="I2" s="69"/>
      <c r="J2" s="70"/>
      <c r="K2" s="68" t="s">
        <v>1</v>
      </c>
      <c r="L2" s="69"/>
      <c r="M2" s="69"/>
      <c r="N2" s="69"/>
      <c r="O2" s="69"/>
      <c r="P2" s="69"/>
      <c r="Q2" s="69"/>
      <c r="R2" s="69"/>
      <c r="S2" s="69"/>
      <c r="T2" s="69"/>
      <c r="U2" s="69"/>
      <c r="V2" s="70"/>
      <c r="W2" s="108"/>
      <c r="X2" s="109"/>
      <c r="Y2" s="109"/>
      <c r="Z2" s="109"/>
      <c r="AA2" s="109"/>
      <c r="AB2" s="109"/>
      <c r="AC2" s="109"/>
      <c r="AD2" s="109"/>
      <c r="AE2" s="109"/>
      <c r="AF2" s="109"/>
      <c r="AG2" s="109"/>
      <c r="AH2" s="109"/>
      <c r="AI2" s="109"/>
      <c r="AJ2" s="109"/>
      <c r="AK2" s="109"/>
      <c r="AL2" s="109"/>
      <c r="AM2" s="109"/>
      <c r="AN2" s="109"/>
      <c r="AO2" s="110"/>
      <c r="AP2" s="68" t="str">
        <f>改訂履歴!$H$11</f>
        <v>DuNT</v>
      </c>
      <c r="AQ2" s="69"/>
      <c r="AR2" s="69"/>
      <c r="AS2" s="70"/>
      <c r="AT2" s="98">
        <f>改訂履歴!$B$11</f>
        <v>45492</v>
      </c>
      <c r="AU2" s="99"/>
      <c r="AV2" s="99"/>
      <c r="AW2" s="99"/>
      <c r="AX2" s="100"/>
      <c r="AY2" s="68" t="str">
        <f>LOOKUP(2,1/(改訂履歴!H11:H30000&lt;&gt;""),改訂履歴!H11:H30000)</f>
        <v>DuNT</v>
      </c>
      <c r="AZ2" s="69"/>
      <c r="BA2" s="69"/>
      <c r="BB2" s="70"/>
      <c r="BC2" s="98">
        <f>LOOKUP(2,1/(改訂履歴!B11:B30000&lt;&gt;""),改訂履歴!B11:B30000)</f>
        <v>45811</v>
      </c>
      <c r="BD2" s="99"/>
      <c r="BE2" s="99"/>
      <c r="BF2" s="99"/>
      <c r="BG2" s="100"/>
      <c r="BH2" s="92">
        <f>LOOKUP(2,1/(改訂履歴!O11:O30000&lt;&gt;""),改訂履歴!O11:O30000)</f>
        <v>0.55000000000000004</v>
      </c>
      <c r="BI2" s="93"/>
      <c r="BJ2" s="93"/>
      <c r="BK2" s="94"/>
    </row>
    <row r="3" spans="1:63" ht="15" customHeight="1" x14ac:dyDescent="0.25">
      <c r="A3" s="74"/>
      <c r="B3" s="75"/>
      <c r="C3" s="75"/>
      <c r="D3" s="75"/>
      <c r="E3" s="75"/>
      <c r="F3" s="75"/>
      <c r="G3" s="75"/>
      <c r="H3" s="75"/>
      <c r="I3" s="75"/>
      <c r="J3" s="76"/>
      <c r="K3" s="74"/>
      <c r="L3" s="75"/>
      <c r="M3" s="75"/>
      <c r="N3" s="75"/>
      <c r="O3" s="75"/>
      <c r="P3" s="75"/>
      <c r="Q3" s="75"/>
      <c r="R3" s="75"/>
      <c r="S3" s="75"/>
      <c r="T3" s="75"/>
      <c r="U3" s="75"/>
      <c r="V3" s="76"/>
      <c r="W3" s="111"/>
      <c r="X3" s="112"/>
      <c r="Y3" s="112"/>
      <c r="Z3" s="112"/>
      <c r="AA3" s="112"/>
      <c r="AB3" s="112"/>
      <c r="AC3" s="112"/>
      <c r="AD3" s="112"/>
      <c r="AE3" s="112"/>
      <c r="AF3" s="112"/>
      <c r="AG3" s="112"/>
      <c r="AH3" s="112"/>
      <c r="AI3" s="112"/>
      <c r="AJ3" s="112"/>
      <c r="AK3" s="112"/>
      <c r="AL3" s="112"/>
      <c r="AM3" s="112"/>
      <c r="AN3" s="112"/>
      <c r="AO3" s="113"/>
      <c r="AP3" s="74"/>
      <c r="AQ3" s="75"/>
      <c r="AR3" s="75"/>
      <c r="AS3" s="76"/>
      <c r="AT3" s="101"/>
      <c r="AU3" s="102"/>
      <c r="AV3" s="102"/>
      <c r="AW3" s="102"/>
      <c r="AX3" s="103"/>
      <c r="AY3" s="74"/>
      <c r="AZ3" s="75"/>
      <c r="BA3" s="75"/>
      <c r="BB3" s="76"/>
      <c r="BC3" s="101"/>
      <c r="BD3" s="102"/>
      <c r="BE3" s="102"/>
      <c r="BF3" s="102"/>
      <c r="BG3" s="103"/>
      <c r="BH3" s="95"/>
      <c r="BI3" s="96"/>
      <c r="BJ3" s="96"/>
      <c r="BK3" s="97"/>
    </row>
    <row r="4" spans="1:63" ht="24.95" customHeight="1" x14ac:dyDescent="0.25">
      <c r="A4" s="83" t="s">
        <v>112</v>
      </c>
      <c r="B4" s="84"/>
      <c r="C4" s="84"/>
      <c r="D4" s="84"/>
      <c r="E4" s="84"/>
      <c r="F4" s="84"/>
      <c r="G4" s="85"/>
      <c r="H4" s="88" t="s">
        <v>66</v>
      </c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90"/>
      <c r="U4" s="83" t="s">
        <v>113</v>
      </c>
      <c r="V4" s="84"/>
      <c r="W4" s="84"/>
      <c r="X4" s="84"/>
      <c r="Y4" s="85"/>
      <c r="Z4" s="91" t="s">
        <v>104</v>
      </c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90"/>
      <c r="AP4" s="88" t="str">
        <f t="array" aca="1" ref="AP4" ca="1">RIGHT(CELL("filename",$A$1),LEN(CELL("filename",$A$1))-FIND("]",CELL("filename",$A$1)))</f>
        <v>‎表紙</v>
      </c>
      <c r="AQ4" s="89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89"/>
      <c r="BD4" s="89"/>
      <c r="BE4" s="89"/>
      <c r="BF4" s="89"/>
      <c r="BG4" s="89"/>
      <c r="BH4" s="89"/>
      <c r="BI4" s="89"/>
      <c r="BJ4" s="89"/>
      <c r="BK4" s="90"/>
    </row>
    <row r="5" spans="1:63" ht="5.0999999999999996" customHeight="1" x14ac:dyDescent="0.25">
      <c r="A5" s="41"/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  <c r="AO5" s="42"/>
      <c r="AP5" s="42"/>
      <c r="AQ5" s="42"/>
      <c r="AR5" s="42"/>
      <c r="AS5" s="42"/>
      <c r="AT5" s="42"/>
      <c r="AU5" s="42"/>
      <c r="AV5" s="42"/>
      <c r="AW5" s="42"/>
      <c r="AX5" s="42"/>
      <c r="AY5" s="42"/>
      <c r="AZ5" s="42"/>
      <c r="BA5" s="42"/>
      <c r="BB5" s="42"/>
      <c r="BC5" s="42"/>
      <c r="BD5" s="42"/>
      <c r="BE5" s="42"/>
      <c r="BF5" s="42"/>
      <c r="BG5" s="42"/>
      <c r="BH5" s="42"/>
      <c r="BI5" s="42"/>
      <c r="BJ5" s="42"/>
      <c r="BK5" s="43"/>
    </row>
    <row r="6" spans="1:63" ht="15" customHeight="1" x14ac:dyDescent="0.25">
      <c r="A6" s="44"/>
      <c r="BK6" s="45"/>
    </row>
    <row r="7" spans="1:63" ht="15" customHeight="1" x14ac:dyDescent="0.25">
      <c r="A7" s="44"/>
      <c r="BK7" s="45"/>
    </row>
    <row r="8" spans="1:63" ht="15" customHeight="1" x14ac:dyDescent="0.25">
      <c r="A8" s="44"/>
      <c r="BK8" s="45"/>
    </row>
    <row r="9" spans="1:63" ht="15" customHeight="1" x14ac:dyDescent="0.25">
      <c r="A9" s="44"/>
      <c r="BK9" s="45"/>
    </row>
    <row r="10" spans="1:63" ht="15" customHeight="1" x14ac:dyDescent="0.25">
      <c r="A10" s="44"/>
      <c r="BK10" s="45"/>
    </row>
    <row r="11" spans="1:63" ht="15" customHeight="1" x14ac:dyDescent="0.25">
      <c r="A11" s="44"/>
      <c r="BK11" s="45"/>
    </row>
    <row r="12" spans="1:63" ht="15" customHeight="1" x14ac:dyDescent="0.25">
      <c r="A12" s="44"/>
      <c r="BK12" s="45"/>
    </row>
    <row r="13" spans="1:63" ht="15" customHeight="1" x14ac:dyDescent="0.25">
      <c r="A13" s="44"/>
      <c r="BK13" s="45"/>
    </row>
    <row r="14" spans="1:63" ht="15" customHeight="1" thickBot="1" x14ac:dyDescent="0.3">
      <c r="A14" s="44"/>
      <c r="BK14" s="45"/>
    </row>
    <row r="15" spans="1:63" ht="15" customHeight="1" thickTop="1" x14ac:dyDescent="0.25">
      <c r="A15" s="44"/>
      <c r="K15" s="46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47"/>
      <c r="AW15" s="47"/>
      <c r="AX15" s="47"/>
      <c r="AY15" s="47"/>
      <c r="AZ15" s="47"/>
      <c r="BA15" s="48"/>
      <c r="BK15" s="45"/>
    </row>
    <row r="16" spans="1:63" ht="15" customHeight="1" x14ac:dyDescent="0.25">
      <c r="A16" s="44"/>
      <c r="K16" s="49"/>
      <c r="L16" s="86" t="s">
        <v>114</v>
      </c>
      <c r="M16" s="87"/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  <c r="AA16" s="87"/>
      <c r="AB16" s="87"/>
      <c r="AC16" s="87"/>
      <c r="AD16" s="87"/>
      <c r="AE16" s="87"/>
      <c r="AF16" s="87"/>
      <c r="AG16" s="87"/>
      <c r="AH16" s="87"/>
      <c r="AI16" s="87"/>
      <c r="AJ16" s="87"/>
      <c r="AK16" s="87"/>
      <c r="AL16" s="87"/>
      <c r="AM16" s="87"/>
      <c r="AN16" s="87"/>
      <c r="AO16" s="87"/>
      <c r="AP16" s="87"/>
      <c r="AQ16" s="87"/>
      <c r="AR16" s="87"/>
      <c r="AS16" s="87"/>
      <c r="AT16" s="87"/>
      <c r="AU16" s="87"/>
      <c r="AV16" s="87"/>
      <c r="AW16" s="87"/>
      <c r="AX16" s="87"/>
      <c r="AY16" s="87"/>
      <c r="AZ16" s="87"/>
      <c r="BA16" s="50"/>
      <c r="BK16" s="45"/>
    </row>
    <row r="17" spans="1:63" ht="15" customHeight="1" x14ac:dyDescent="0.25">
      <c r="A17" s="44"/>
      <c r="K17" s="49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87"/>
      <c r="AD17" s="87"/>
      <c r="AE17" s="87"/>
      <c r="AF17" s="87"/>
      <c r="AG17" s="87"/>
      <c r="AH17" s="87"/>
      <c r="AI17" s="87"/>
      <c r="AJ17" s="87"/>
      <c r="AK17" s="87"/>
      <c r="AL17" s="87"/>
      <c r="AM17" s="87"/>
      <c r="AN17" s="87"/>
      <c r="AO17" s="87"/>
      <c r="AP17" s="87"/>
      <c r="AQ17" s="87"/>
      <c r="AR17" s="87"/>
      <c r="AS17" s="87"/>
      <c r="AT17" s="87"/>
      <c r="AU17" s="87"/>
      <c r="AV17" s="87"/>
      <c r="AW17" s="87"/>
      <c r="AX17" s="87"/>
      <c r="AY17" s="87"/>
      <c r="AZ17" s="87"/>
      <c r="BA17" s="50"/>
      <c r="BK17" s="45"/>
    </row>
    <row r="18" spans="1:63" ht="15" customHeight="1" x14ac:dyDescent="0.25">
      <c r="A18" s="44"/>
      <c r="K18" s="49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  <c r="AB18" s="87"/>
      <c r="AC18" s="87"/>
      <c r="AD18" s="87"/>
      <c r="AE18" s="87"/>
      <c r="AF18" s="87"/>
      <c r="AG18" s="87"/>
      <c r="AH18" s="87"/>
      <c r="AI18" s="87"/>
      <c r="AJ18" s="87"/>
      <c r="AK18" s="87"/>
      <c r="AL18" s="87"/>
      <c r="AM18" s="87"/>
      <c r="AN18" s="87"/>
      <c r="AO18" s="87"/>
      <c r="AP18" s="87"/>
      <c r="AQ18" s="87"/>
      <c r="AR18" s="87"/>
      <c r="AS18" s="87"/>
      <c r="AT18" s="87"/>
      <c r="AU18" s="87"/>
      <c r="AV18" s="87"/>
      <c r="AW18" s="87"/>
      <c r="AX18" s="87"/>
      <c r="AY18" s="87"/>
      <c r="AZ18" s="87"/>
      <c r="BA18" s="50"/>
      <c r="BK18" s="45"/>
    </row>
    <row r="19" spans="1:63" ht="15" customHeight="1" x14ac:dyDescent="0.25">
      <c r="A19" s="44"/>
      <c r="K19" s="49"/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87"/>
      <c r="AF19" s="87"/>
      <c r="AG19" s="87"/>
      <c r="AH19" s="87"/>
      <c r="AI19" s="87"/>
      <c r="AJ19" s="87"/>
      <c r="AK19" s="87"/>
      <c r="AL19" s="87"/>
      <c r="AM19" s="87"/>
      <c r="AN19" s="87"/>
      <c r="AO19" s="87"/>
      <c r="AP19" s="87"/>
      <c r="AQ19" s="87"/>
      <c r="AR19" s="87"/>
      <c r="AS19" s="87"/>
      <c r="AT19" s="87"/>
      <c r="AU19" s="87"/>
      <c r="AV19" s="87"/>
      <c r="AW19" s="87"/>
      <c r="AX19" s="87"/>
      <c r="AY19" s="87"/>
      <c r="AZ19" s="87"/>
      <c r="BA19" s="50"/>
      <c r="BK19" s="45"/>
    </row>
    <row r="20" spans="1:63" ht="15" customHeight="1" x14ac:dyDescent="0.25">
      <c r="A20" s="44"/>
      <c r="K20" s="49"/>
      <c r="L20" s="87"/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  <c r="AI20" s="87"/>
      <c r="AJ20" s="87"/>
      <c r="AK20" s="87"/>
      <c r="AL20" s="87"/>
      <c r="AM20" s="87"/>
      <c r="AN20" s="87"/>
      <c r="AO20" s="87"/>
      <c r="AP20" s="87"/>
      <c r="AQ20" s="87"/>
      <c r="AR20" s="87"/>
      <c r="AS20" s="87"/>
      <c r="AT20" s="87"/>
      <c r="AU20" s="87"/>
      <c r="AV20" s="87"/>
      <c r="AW20" s="87"/>
      <c r="AX20" s="87"/>
      <c r="AY20" s="87"/>
      <c r="AZ20" s="87"/>
      <c r="BA20" s="50"/>
      <c r="BK20" s="45"/>
    </row>
    <row r="21" spans="1:63" ht="15" customHeight="1" x14ac:dyDescent="0.25">
      <c r="A21" s="44"/>
      <c r="K21" s="49"/>
      <c r="L21" s="87"/>
      <c r="M21" s="87"/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  <c r="AA21" s="87"/>
      <c r="AB21" s="87"/>
      <c r="AC21" s="87"/>
      <c r="AD21" s="87"/>
      <c r="AE21" s="87"/>
      <c r="AF21" s="87"/>
      <c r="AG21" s="87"/>
      <c r="AH21" s="87"/>
      <c r="AI21" s="87"/>
      <c r="AJ21" s="87"/>
      <c r="AK21" s="87"/>
      <c r="AL21" s="87"/>
      <c r="AM21" s="87"/>
      <c r="AN21" s="87"/>
      <c r="AO21" s="87"/>
      <c r="AP21" s="87"/>
      <c r="AQ21" s="87"/>
      <c r="AR21" s="87"/>
      <c r="AS21" s="87"/>
      <c r="AT21" s="87"/>
      <c r="AU21" s="87"/>
      <c r="AV21" s="87"/>
      <c r="AW21" s="87"/>
      <c r="AX21" s="87"/>
      <c r="AY21" s="87"/>
      <c r="AZ21" s="87"/>
      <c r="BA21" s="50"/>
      <c r="BK21" s="45"/>
    </row>
    <row r="22" spans="1:63" ht="15" customHeight="1" thickBot="1" x14ac:dyDescent="0.3">
      <c r="A22" s="44"/>
      <c r="K22" s="49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51"/>
      <c r="AS22" s="51"/>
      <c r="AT22" s="51"/>
      <c r="AU22" s="51"/>
      <c r="AV22" s="51"/>
      <c r="AW22" s="51"/>
      <c r="AX22" s="51"/>
      <c r="AY22" s="51"/>
      <c r="AZ22" s="51"/>
      <c r="BA22" s="50"/>
      <c r="BK22" s="45"/>
    </row>
    <row r="23" spans="1:63" ht="15" customHeight="1" x14ac:dyDescent="0.25">
      <c r="A23" s="44"/>
      <c r="K23" s="49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2"/>
      <c r="AQ23" s="52"/>
      <c r="AR23" s="52"/>
      <c r="AS23" s="52"/>
      <c r="AT23" s="52"/>
      <c r="AU23" s="52"/>
      <c r="AV23" s="52"/>
      <c r="AW23" s="52"/>
      <c r="AX23" s="52"/>
      <c r="AY23" s="52"/>
      <c r="AZ23" s="52"/>
      <c r="BA23" s="50"/>
      <c r="BK23" s="45"/>
    </row>
    <row r="24" spans="1:63" ht="15" customHeight="1" x14ac:dyDescent="0.25">
      <c r="A24" s="44"/>
      <c r="K24" s="49"/>
      <c r="L24" s="87" t="str">
        <f>K2&amp;"/"&amp;H4&amp;"/"&amp;Z4</f>
        <v>POSサーバー/AP8105/API設計書</v>
      </c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  <c r="AA24" s="87"/>
      <c r="AB24" s="87"/>
      <c r="AC24" s="87"/>
      <c r="AD24" s="87"/>
      <c r="AE24" s="87"/>
      <c r="AF24" s="87"/>
      <c r="AG24" s="87"/>
      <c r="AH24" s="87"/>
      <c r="AI24" s="87"/>
      <c r="AJ24" s="87"/>
      <c r="AK24" s="87"/>
      <c r="AL24" s="87"/>
      <c r="AM24" s="87"/>
      <c r="AN24" s="87"/>
      <c r="AO24" s="87"/>
      <c r="AP24" s="87"/>
      <c r="AQ24" s="87"/>
      <c r="AR24" s="87"/>
      <c r="AS24" s="87"/>
      <c r="AT24" s="87"/>
      <c r="AU24" s="87"/>
      <c r="AV24" s="87"/>
      <c r="AW24" s="87"/>
      <c r="AX24" s="87"/>
      <c r="AY24" s="87"/>
      <c r="AZ24" s="87"/>
      <c r="BA24" s="50"/>
      <c r="BK24" s="45"/>
    </row>
    <row r="25" spans="1:63" ht="15" customHeight="1" x14ac:dyDescent="0.25">
      <c r="A25" s="44"/>
      <c r="K25" s="49"/>
      <c r="L25" s="87"/>
      <c r="M25" s="87"/>
      <c r="N25" s="87"/>
      <c r="O25" s="87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  <c r="AA25" s="87"/>
      <c r="AB25" s="87"/>
      <c r="AC25" s="87"/>
      <c r="AD25" s="87"/>
      <c r="AE25" s="87"/>
      <c r="AF25" s="87"/>
      <c r="AG25" s="87"/>
      <c r="AH25" s="87"/>
      <c r="AI25" s="87"/>
      <c r="AJ25" s="87"/>
      <c r="AK25" s="87"/>
      <c r="AL25" s="87"/>
      <c r="AM25" s="87"/>
      <c r="AN25" s="87"/>
      <c r="AO25" s="87"/>
      <c r="AP25" s="87"/>
      <c r="AQ25" s="87"/>
      <c r="AR25" s="87"/>
      <c r="AS25" s="87"/>
      <c r="AT25" s="87"/>
      <c r="AU25" s="87"/>
      <c r="AV25" s="87"/>
      <c r="AW25" s="87"/>
      <c r="AX25" s="87"/>
      <c r="AY25" s="87"/>
      <c r="AZ25" s="87"/>
      <c r="BA25" s="50"/>
      <c r="BK25" s="45"/>
    </row>
    <row r="26" spans="1:63" ht="15" customHeight="1" x14ac:dyDescent="0.25">
      <c r="A26" s="44"/>
      <c r="K26" s="49"/>
      <c r="L26" s="87"/>
      <c r="M26" s="87"/>
      <c r="N26" s="87"/>
      <c r="O26" s="87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  <c r="AA26" s="87"/>
      <c r="AB26" s="87"/>
      <c r="AC26" s="87"/>
      <c r="AD26" s="87"/>
      <c r="AE26" s="87"/>
      <c r="AF26" s="87"/>
      <c r="AG26" s="87"/>
      <c r="AH26" s="87"/>
      <c r="AI26" s="87"/>
      <c r="AJ26" s="87"/>
      <c r="AK26" s="87"/>
      <c r="AL26" s="87"/>
      <c r="AM26" s="87"/>
      <c r="AN26" s="87"/>
      <c r="AO26" s="87"/>
      <c r="AP26" s="87"/>
      <c r="AQ26" s="87"/>
      <c r="AR26" s="87"/>
      <c r="AS26" s="87"/>
      <c r="AT26" s="87"/>
      <c r="AU26" s="87"/>
      <c r="AV26" s="87"/>
      <c r="AW26" s="87"/>
      <c r="AX26" s="87"/>
      <c r="AY26" s="87"/>
      <c r="AZ26" s="87"/>
      <c r="BA26" s="50"/>
      <c r="BK26" s="45"/>
    </row>
    <row r="27" spans="1:63" ht="15" customHeight="1" x14ac:dyDescent="0.25">
      <c r="A27" s="44"/>
      <c r="K27" s="49"/>
      <c r="L27" s="87"/>
      <c r="M27" s="87"/>
      <c r="N27" s="87"/>
      <c r="O27" s="87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  <c r="AA27" s="87"/>
      <c r="AB27" s="87"/>
      <c r="AC27" s="87"/>
      <c r="AD27" s="87"/>
      <c r="AE27" s="87"/>
      <c r="AF27" s="87"/>
      <c r="AG27" s="87"/>
      <c r="AH27" s="87"/>
      <c r="AI27" s="87"/>
      <c r="AJ27" s="87"/>
      <c r="AK27" s="87"/>
      <c r="AL27" s="87"/>
      <c r="AM27" s="87"/>
      <c r="AN27" s="87"/>
      <c r="AO27" s="87"/>
      <c r="AP27" s="87"/>
      <c r="AQ27" s="87"/>
      <c r="AR27" s="87"/>
      <c r="AS27" s="87"/>
      <c r="AT27" s="87"/>
      <c r="AU27" s="87"/>
      <c r="AV27" s="87"/>
      <c r="AW27" s="87"/>
      <c r="AX27" s="87"/>
      <c r="AY27" s="87"/>
      <c r="AZ27" s="87"/>
      <c r="BA27" s="50"/>
      <c r="BK27" s="45"/>
    </row>
    <row r="28" spans="1:63" ht="15" customHeight="1" x14ac:dyDescent="0.25">
      <c r="A28" s="44"/>
      <c r="K28" s="49"/>
      <c r="L28" s="87"/>
      <c r="M28" s="87"/>
      <c r="N28" s="87"/>
      <c r="O28" s="87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  <c r="AA28" s="87"/>
      <c r="AB28" s="87"/>
      <c r="AC28" s="87"/>
      <c r="AD28" s="87"/>
      <c r="AE28" s="87"/>
      <c r="AF28" s="87"/>
      <c r="AG28" s="87"/>
      <c r="AH28" s="87"/>
      <c r="AI28" s="87"/>
      <c r="AJ28" s="87"/>
      <c r="AK28" s="87"/>
      <c r="AL28" s="87"/>
      <c r="AM28" s="87"/>
      <c r="AN28" s="87"/>
      <c r="AO28" s="87"/>
      <c r="AP28" s="87"/>
      <c r="AQ28" s="87"/>
      <c r="AR28" s="87"/>
      <c r="AS28" s="87"/>
      <c r="AT28" s="87"/>
      <c r="AU28" s="87"/>
      <c r="AV28" s="87"/>
      <c r="AW28" s="87"/>
      <c r="AX28" s="87"/>
      <c r="AY28" s="87"/>
      <c r="AZ28" s="87"/>
      <c r="BA28" s="50"/>
      <c r="BK28" s="45"/>
    </row>
    <row r="29" spans="1:63" ht="15" customHeight="1" x14ac:dyDescent="0.25">
      <c r="A29" s="44"/>
      <c r="K29" s="49"/>
      <c r="L29" s="87"/>
      <c r="M29" s="87"/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87"/>
      <c r="AC29" s="87"/>
      <c r="AD29" s="87"/>
      <c r="AE29" s="87"/>
      <c r="AF29" s="87"/>
      <c r="AG29" s="87"/>
      <c r="AH29" s="87"/>
      <c r="AI29" s="87"/>
      <c r="AJ29" s="87"/>
      <c r="AK29" s="87"/>
      <c r="AL29" s="87"/>
      <c r="AM29" s="87"/>
      <c r="AN29" s="87"/>
      <c r="AO29" s="87"/>
      <c r="AP29" s="87"/>
      <c r="AQ29" s="87"/>
      <c r="AR29" s="87"/>
      <c r="AS29" s="87"/>
      <c r="AT29" s="87"/>
      <c r="AU29" s="87"/>
      <c r="AV29" s="87"/>
      <c r="AW29" s="87"/>
      <c r="AX29" s="87"/>
      <c r="AY29" s="87"/>
      <c r="AZ29" s="87"/>
      <c r="BA29" s="50"/>
      <c r="BK29" s="45"/>
    </row>
    <row r="30" spans="1:63" ht="15" customHeight="1" x14ac:dyDescent="0.25">
      <c r="A30" s="44"/>
      <c r="K30" s="49"/>
      <c r="L30" s="87"/>
      <c r="M30" s="87"/>
      <c r="N30" s="87"/>
      <c r="O30" s="87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  <c r="AA30" s="87"/>
      <c r="AB30" s="87"/>
      <c r="AC30" s="87"/>
      <c r="AD30" s="87"/>
      <c r="AE30" s="87"/>
      <c r="AF30" s="87"/>
      <c r="AG30" s="87"/>
      <c r="AH30" s="87"/>
      <c r="AI30" s="87"/>
      <c r="AJ30" s="87"/>
      <c r="AK30" s="87"/>
      <c r="AL30" s="87"/>
      <c r="AM30" s="87"/>
      <c r="AN30" s="87"/>
      <c r="AO30" s="87"/>
      <c r="AP30" s="87"/>
      <c r="AQ30" s="87"/>
      <c r="AR30" s="87"/>
      <c r="AS30" s="87"/>
      <c r="AT30" s="87"/>
      <c r="AU30" s="87"/>
      <c r="AV30" s="87"/>
      <c r="AW30" s="87"/>
      <c r="AX30" s="87"/>
      <c r="AY30" s="87"/>
      <c r="AZ30" s="87"/>
      <c r="BA30" s="50"/>
      <c r="BK30" s="45"/>
    </row>
    <row r="31" spans="1:63" ht="15" customHeight="1" x14ac:dyDescent="0.25">
      <c r="A31" s="44"/>
      <c r="K31" s="49"/>
      <c r="L31" s="87"/>
      <c r="M31" s="87"/>
      <c r="N31" s="87"/>
      <c r="O31" s="87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  <c r="AA31" s="87"/>
      <c r="AB31" s="87"/>
      <c r="AC31" s="87"/>
      <c r="AD31" s="87"/>
      <c r="AE31" s="87"/>
      <c r="AF31" s="87"/>
      <c r="AG31" s="87"/>
      <c r="AH31" s="87"/>
      <c r="AI31" s="87"/>
      <c r="AJ31" s="87"/>
      <c r="AK31" s="87"/>
      <c r="AL31" s="87"/>
      <c r="AM31" s="87"/>
      <c r="AN31" s="87"/>
      <c r="AO31" s="87"/>
      <c r="AP31" s="87"/>
      <c r="AQ31" s="87"/>
      <c r="AR31" s="87"/>
      <c r="AS31" s="87"/>
      <c r="AT31" s="87"/>
      <c r="AU31" s="87"/>
      <c r="AV31" s="87"/>
      <c r="AW31" s="87"/>
      <c r="AX31" s="87"/>
      <c r="AY31" s="87"/>
      <c r="AZ31" s="87"/>
      <c r="BA31" s="50"/>
      <c r="BK31" s="45"/>
    </row>
    <row r="32" spans="1:63" ht="15" customHeight="1" x14ac:dyDescent="0.25">
      <c r="A32" s="44"/>
      <c r="K32" s="49"/>
      <c r="L32" s="87"/>
      <c r="M32" s="87"/>
      <c r="N32" s="87"/>
      <c r="O32" s="87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  <c r="AA32" s="87"/>
      <c r="AB32" s="87"/>
      <c r="AC32" s="87"/>
      <c r="AD32" s="87"/>
      <c r="AE32" s="87"/>
      <c r="AF32" s="87"/>
      <c r="AG32" s="87"/>
      <c r="AH32" s="87"/>
      <c r="AI32" s="87"/>
      <c r="AJ32" s="87"/>
      <c r="AK32" s="87"/>
      <c r="AL32" s="87"/>
      <c r="AM32" s="87"/>
      <c r="AN32" s="87"/>
      <c r="AO32" s="87"/>
      <c r="AP32" s="87"/>
      <c r="AQ32" s="87"/>
      <c r="AR32" s="87"/>
      <c r="AS32" s="87"/>
      <c r="AT32" s="87"/>
      <c r="AU32" s="87"/>
      <c r="AV32" s="87"/>
      <c r="AW32" s="87"/>
      <c r="AX32" s="87"/>
      <c r="AY32" s="87"/>
      <c r="AZ32" s="87"/>
      <c r="BA32" s="50"/>
      <c r="BK32" s="45"/>
    </row>
    <row r="33" spans="1:63" ht="15" customHeight="1" x14ac:dyDescent="0.25">
      <c r="A33" s="44"/>
      <c r="K33" s="49"/>
      <c r="L33" s="87"/>
      <c r="M33" s="87"/>
      <c r="N33" s="87"/>
      <c r="O33" s="87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  <c r="AA33" s="87"/>
      <c r="AB33" s="87"/>
      <c r="AC33" s="87"/>
      <c r="AD33" s="87"/>
      <c r="AE33" s="87"/>
      <c r="AF33" s="87"/>
      <c r="AG33" s="87"/>
      <c r="AH33" s="87"/>
      <c r="AI33" s="87"/>
      <c r="AJ33" s="87"/>
      <c r="AK33" s="87"/>
      <c r="AL33" s="87"/>
      <c r="AM33" s="87"/>
      <c r="AN33" s="87"/>
      <c r="AO33" s="87"/>
      <c r="AP33" s="87"/>
      <c r="AQ33" s="87"/>
      <c r="AR33" s="87"/>
      <c r="AS33" s="87"/>
      <c r="AT33" s="87"/>
      <c r="AU33" s="87"/>
      <c r="AV33" s="87"/>
      <c r="AW33" s="87"/>
      <c r="AX33" s="87"/>
      <c r="AY33" s="87"/>
      <c r="AZ33" s="87"/>
      <c r="BA33" s="50"/>
      <c r="BK33" s="45"/>
    </row>
    <row r="34" spans="1:63" ht="15" customHeight="1" x14ac:dyDescent="0.25">
      <c r="A34" s="44"/>
      <c r="K34" s="49"/>
      <c r="L34" s="87"/>
      <c r="M34" s="87"/>
      <c r="N34" s="87"/>
      <c r="O34" s="87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  <c r="AA34" s="87"/>
      <c r="AB34" s="87"/>
      <c r="AC34" s="87"/>
      <c r="AD34" s="87"/>
      <c r="AE34" s="87"/>
      <c r="AF34" s="87"/>
      <c r="AG34" s="87"/>
      <c r="AH34" s="87"/>
      <c r="AI34" s="87"/>
      <c r="AJ34" s="87"/>
      <c r="AK34" s="87"/>
      <c r="AL34" s="87"/>
      <c r="AM34" s="87"/>
      <c r="AN34" s="87"/>
      <c r="AO34" s="87"/>
      <c r="AP34" s="87"/>
      <c r="AQ34" s="87"/>
      <c r="AR34" s="87"/>
      <c r="AS34" s="87"/>
      <c r="AT34" s="87"/>
      <c r="AU34" s="87"/>
      <c r="AV34" s="87"/>
      <c r="AW34" s="87"/>
      <c r="AX34" s="87"/>
      <c r="AY34" s="87"/>
      <c r="AZ34" s="87"/>
      <c r="BA34" s="50"/>
      <c r="BK34" s="45"/>
    </row>
    <row r="35" spans="1:63" ht="15" customHeight="1" x14ac:dyDescent="0.25">
      <c r="A35" s="44"/>
      <c r="K35" s="49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7"/>
      <c r="AD35" s="87"/>
      <c r="AE35" s="87"/>
      <c r="AF35" s="87"/>
      <c r="AG35" s="87"/>
      <c r="AH35" s="87"/>
      <c r="AI35" s="87"/>
      <c r="AJ35" s="87"/>
      <c r="AK35" s="87"/>
      <c r="AL35" s="87"/>
      <c r="AM35" s="87"/>
      <c r="AN35" s="87"/>
      <c r="AO35" s="87"/>
      <c r="AP35" s="87"/>
      <c r="AQ35" s="87"/>
      <c r="AR35" s="87"/>
      <c r="AS35" s="87"/>
      <c r="AT35" s="87"/>
      <c r="AU35" s="87"/>
      <c r="AV35" s="87"/>
      <c r="AW35" s="87"/>
      <c r="AX35" s="87"/>
      <c r="AY35" s="87"/>
      <c r="AZ35" s="87"/>
      <c r="BA35" s="50"/>
      <c r="BK35" s="45"/>
    </row>
    <row r="36" spans="1:63" ht="15" customHeight="1" x14ac:dyDescent="0.25">
      <c r="A36" s="44"/>
      <c r="K36" s="49"/>
      <c r="L36" s="87"/>
      <c r="M36" s="87"/>
      <c r="N36" s="87"/>
      <c r="O36" s="87"/>
      <c r="P36" s="87"/>
      <c r="Q36" s="87"/>
      <c r="R36" s="87"/>
      <c r="S36" s="87"/>
      <c r="T36" s="87"/>
      <c r="U36" s="87"/>
      <c r="V36" s="87"/>
      <c r="W36" s="87"/>
      <c r="X36" s="87"/>
      <c r="Y36" s="87"/>
      <c r="Z36" s="87"/>
      <c r="AA36" s="87"/>
      <c r="AB36" s="87"/>
      <c r="AC36" s="87"/>
      <c r="AD36" s="87"/>
      <c r="AE36" s="87"/>
      <c r="AF36" s="87"/>
      <c r="AG36" s="87"/>
      <c r="AH36" s="87"/>
      <c r="AI36" s="87"/>
      <c r="AJ36" s="87"/>
      <c r="AK36" s="87"/>
      <c r="AL36" s="87"/>
      <c r="AM36" s="87"/>
      <c r="AN36" s="87"/>
      <c r="AO36" s="87"/>
      <c r="AP36" s="87"/>
      <c r="AQ36" s="87"/>
      <c r="AR36" s="87"/>
      <c r="AS36" s="87"/>
      <c r="AT36" s="87"/>
      <c r="AU36" s="87"/>
      <c r="AV36" s="87"/>
      <c r="AW36" s="87"/>
      <c r="AX36" s="87"/>
      <c r="AY36" s="87"/>
      <c r="AZ36" s="87"/>
      <c r="BA36" s="50"/>
      <c r="BK36" s="45"/>
    </row>
    <row r="37" spans="1:63" ht="15" customHeight="1" thickBot="1" x14ac:dyDescent="0.3">
      <c r="A37" s="44"/>
      <c r="K37" s="53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  <c r="AE37" s="54"/>
      <c r="AF37" s="54"/>
      <c r="AG37" s="54"/>
      <c r="AH37" s="54"/>
      <c r="AI37" s="54"/>
      <c r="AJ37" s="54"/>
      <c r="AK37" s="54"/>
      <c r="AL37" s="54"/>
      <c r="AM37" s="54"/>
      <c r="AN37" s="54"/>
      <c r="AO37" s="54"/>
      <c r="AP37" s="54"/>
      <c r="AQ37" s="54"/>
      <c r="AR37" s="54"/>
      <c r="AS37" s="54"/>
      <c r="AT37" s="54"/>
      <c r="AU37" s="54"/>
      <c r="AV37" s="54"/>
      <c r="AW37" s="54"/>
      <c r="AX37" s="54"/>
      <c r="AY37" s="54"/>
      <c r="AZ37" s="54"/>
      <c r="BA37" s="55"/>
      <c r="BK37" s="45"/>
    </row>
    <row r="38" spans="1:63" ht="15" customHeight="1" thickTop="1" x14ac:dyDescent="0.25">
      <c r="A38" s="44"/>
      <c r="BK38" s="45"/>
    </row>
    <row r="39" spans="1:63" ht="15" customHeight="1" x14ac:dyDescent="0.25">
      <c r="A39" s="44"/>
      <c r="BK39" s="45"/>
    </row>
    <row r="40" spans="1:63" ht="15" customHeight="1" x14ac:dyDescent="0.25">
      <c r="A40" s="44"/>
      <c r="BK40" s="45"/>
    </row>
    <row r="41" spans="1:63" ht="15" customHeight="1" x14ac:dyDescent="0.25">
      <c r="A41" s="44"/>
      <c r="BK41" s="45"/>
    </row>
    <row r="42" spans="1:63" ht="15" customHeight="1" x14ac:dyDescent="0.25">
      <c r="A42" s="44"/>
      <c r="BK42" s="45"/>
    </row>
    <row r="43" spans="1:63" ht="15" customHeight="1" x14ac:dyDescent="0.25">
      <c r="A43" s="44"/>
      <c r="BK43" s="45"/>
    </row>
    <row r="44" spans="1:63" ht="15" customHeight="1" x14ac:dyDescent="0.25">
      <c r="A44" s="44"/>
      <c r="Q44" s="77" t="s">
        <v>115</v>
      </c>
      <c r="R44" s="78"/>
      <c r="S44" s="78"/>
      <c r="T44" s="78"/>
      <c r="U44" s="78"/>
      <c r="V44" s="78"/>
      <c r="W44" s="78"/>
      <c r="X44" s="78"/>
      <c r="Y44" s="78"/>
      <c r="Z44" s="79"/>
      <c r="AA44" s="77" t="s">
        <v>116</v>
      </c>
      <c r="AB44" s="78"/>
      <c r="AC44" s="78"/>
      <c r="AD44" s="78"/>
      <c r="AE44" s="78"/>
      <c r="AF44" s="78"/>
      <c r="AG44" s="78"/>
      <c r="AH44" s="78"/>
      <c r="AI44" s="78"/>
      <c r="AJ44" s="78"/>
      <c r="AK44" s="78"/>
      <c r="AL44" s="78"/>
      <c r="AM44" s="78"/>
      <c r="AN44" s="78"/>
      <c r="AO44" s="78"/>
      <c r="AP44" s="79"/>
      <c r="AQ44" s="77" t="s">
        <v>111</v>
      </c>
      <c r="AR44" s="78"/>
      <c r="AS44" s="78"/>
      <c r="AT44" s="78"/>
      <c r="AU44" s="79"/>
      <c r="BK44" s="45"/>
    </row>
    <row r="45" spans="1:63" ht="15" customHeight="1" x14ac:dyDescent="0.25">
      <c r="A45" s="44"/>
      <c r="Q45" s="80"/>
      <c r="R45" s="81"/>
      <c r="S45" s="81"/>
      <c r="T45" s="81"/>
      <c r="U45" s="81"/>
      <c r="V45" s="81"/>
      <c r="W45" s="81"/>
      <c r="X45" s="81"/>
      <c r="Y45" s="81"/>
      <c r="Z45" s="82"/>
      <c r="AA45" s="80"/>
      <c r="AB45" s="81"/>
      <c r="AC45" s="81"/>
      <c r="AD45" s="81"/>
      <c r="AE45" s="81"/>
      <c r="AF45" s="81"/>
      <c r="AG45" s="81"/>
      <c r="AH45" s="81"/>
      <c r="AI45" s="81"/>
      <c r="AJ45" s="81"/>
      <c r="AK45" s="81"/>
      <c r="AL45" s="81"/>
      <c r="AM45" s="81"/>
      <c r="AN45" s="81"/>
      <c r="AO45" s="81"/>
      <c r="AP45" s="82"/>
      <c r="AQ45" s="80"/>
      <c r="AR45" s="81"/>
      <c r="AS45" s="81"/>
      <c r="AT45" s="81"/>
      <c r="AU45" s="82"/>
      <c r="BK45" s="45"/>
    </row>
    <row r="46" spans="1:63" ht="15" customHeight="1" x14ac:dyDescent="0.25">
      <c r="A46" s="44"/>
      <c r="Q46" s="68"/>
      <c r="R46" s="69"/>
      <c r="S46" s="69"/>
      <c r="T46" s="69"/>
      <c r="U46" s="69"/>
      <c r="V46" s="69"/>
      <c r="W46" s="69"/>
      <c r="X46" s="69"/>
      <c r="Y46" s="69"/>
      <c r="Z46" s="70"/>
      <c r="AA46" s="68"/>
      <c r="AB46" s="69"/>
      <c r="AC46" s="69"/>
      <c r="AD46" s="69"/>
      <c r="AE46" s="69"/>
      <c r="AF46" s="69"/>
      <c r="AG46" s="69"/>
      <c r="AH46" s="69"/>
      <c r="AI46" s="69"/>
      <c r="AJ46" s="69"/>
      <c r="AK46" s="69"/>
      <c r="AL46" s="69"/>
      <c r="AM46" s="69"/>
      <c r="AN46" s="69"/>
      <c r="AO46" s="69"/>
      <c r="AP46" s="70"/>
      <c r="AQ46" s="68"/>
      <c r="AR46" s="69"/>
      <c r="AS46" s="69"/>
      <c r="AT46" s="69"/>
      <c r="AU46" s="70"/>
      <c r="BK46" s="45"/>
    </row>
    <row r="47" spans="1:63" ht="15" customHeight="1" x14ac:dyDescent="0.25">
      <c r="A47" s="44"/>
      <c r="Q47" s="71"/>
      <c r="R47" s="72"/>
      <c r="S47" s="72"/>
      <c r="T47" s="72"/>
      <c r="U47" s="72"/>
      <c r="V47" s="72"/>
      <c r="W47" s="72"/>
      <c r="X47" s="72"/>
      <c r="Y47" s="72"/>
      <c r="Z47" s="73"/>
      <c r="AA47" s="71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3"/>
      <c r="AQ47" s="71"/>
      <c r="AR47" s="72"/>
      <c r="AS47" s="72"/>
      <c r="AT47" s="72"/>
      <c r="AU47" s="73"/>
      <c r="BK47" s="45"/>
    </row>
    <row r="48" spans="1:63" ht="15" customHeight="1" x14ac:dyDescent="0.25">
      <c r="A48" s="44"/>
      <c r="Q48" s="71"/>
      <c r="R48" s="72"/>
      <c r="S48" s="72"/>
      <c r="T48" s="72"/>
      <c r="U48" s="72"/>
      <c r="V48" s="72"/>
      <c r="W48" s="72"/>
      <c r="X48" s="72"/>
      <c r="Y48" s="72"/>
      <c r="Z48" s="73"/>
      <c r="AA48" s="71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3"/>
      <c r="AQ48" s="71"/>
      <c r="AR48" s="72"/>
      <c r="AS48" s="72"/>
      <c r="AT48" s="72"/>
      <c r="AU48" s="73"/>
      <c r="BK48" s="45"/>
    </row>
    <row r="49" spans="1:63" ht="15" customHeight="1" x14ac:dyDescent="0.25">
      <c r="A49" s="44"/>
      <c r="Q49" s="74"/>
      <c r="R49" s="75"/>
      <c r="S49" s="75"/>
      <c r="T49" s="75"/>
      <c r="U49" s="75"/>
      <c r="V49" s="75"/>
      <c r="W49" s="75"/>
      <c r="X49" s="75"/>
      <c r="Y49" s="75"/>
      <c r="Z49" s="76"/>
      <c r="AA49" s="74"/>
      <c r="AB49" s="75"/>
      <c r="AC49" s="75"/>
      <c r="AD49" s="75"/>
      <c r="AE49" s="75"/>
      <c r="AF49" s="75"/>
      <c r="AG49" s="75"/>
      <c r="AH49" s="75"/>
      <c r="AI49" s="75"/>
      <c r="AJ49" s="75"/>
      <c r="AK49" s="75"/>
      <c r="AL49" s="75"/>
      <c r="AM49" s="75"/>
      <c r="AN49" s="75"/>
      <c r="AO49" s="75"/>
      <c r="AP49" s="76"/>
      <c r="AQ49" s="74"/>
      <c r="AR49" s="75"/>
      <c r="AS49" s="75"/>
      <c r="AT49" s="75"/>
      <c r="AU49" s="76"/>
      <c r="BK49" s="45"/>
    </row>
    <row r="50" spans="1:63" ht="15" customHeight="1" x14ac:dyDescent="0.25">
      <c r="A50" s="44"/>
      <c r="BK50" s="45"/>
    </row>
    <row r="51" spans="1:63" ht="15" customHeight="1" x14ac:dyDescent="0.25">
      <c r="A51" s="44"/>
      <c r="BK51" s="45"/>
    </row>
    <row r="52" spans="1:63" ht="15" customHeight="1" x14ac:dyDescent="0.25">
      <c r="A52" s="44"/>
      <c r="BK52" s="45"/>
    </row>
    <row r="53" spans="1:63" ht="15" customHeight="1" x14ac:dyDescent="0.25">
      <c r="A53" s="44"/>
      <c r="BK53" s="45"/>
    </row>
    <row r="54" spans="1:63" ht="15" customHeight="1" x14ac:dyDescent="0.25">
      <c r="A54" s="44"/>
      <c r="BK54" s="45"/>
    </row>
    <row r="55" spans="1:63" ht="15" customHeight="1" x14ac:dyDescent="0.25">
      <c r="A55" s="41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2"/>
      <c r="AM55" s="42"/>
      <c r="AN55" s="42"/>
      <c r="AO55" s="42"/>
      <c r="AP55" s="42"/>
      <c r="AQ55" s="42"/>
      <c r="AR55" s="42"/>
      <c r="AS55" s="42"/>
      <c r="AT55" s="42"/>
      <c r="AU55" s="42"/>
      <c r="AV55" s="42"/>
      <c r="AW55" s="42"/>
      <c r="AX55" s="42"/>
      <c r="AY55" s="42"/>
      <c r="AZ55" s="42"/>
      <c r="BA55" s="42"/>
      <c r="BB55" s="42"/>
      <c r="BC55" s="42"/>
      <c r="BD55" s="42"/>
      <c r="BE55" s="42"/>
      <c r="BF55" s="42"/>
      <c r="BG55" s="42"/>
      <c r="BH55" s="42"/>
      <c r="BI55" s="42"/>
      <c r="BJ55" s="42"/>
      <c r="BK55" s="43"/>
    </row>
  </sheetData>
  <mergeCells count="28">
    <mergeCell ref="A4:G4"/>
    <mergeCell ref="K2:V3"/>
    <mergeCell ref="A2:J3"/>
    <mergeCell ref="W1:AO3"/>
    <mergeCell ref="K1:V1"/>
    <mergeCell ref="A1:J1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Q46:AU49"/>
    <mergeCell ref="AA46:AP49"/>
    <mergeCell ref="Q46:Z49"/>
    <mergeCell ref="AQ44:AU45"/>
    <mergeCell ref="AA44:AP45"/>
    <mergeCell ref="Q44:Z45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CA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40" customWidth="1"/>
    <col min="61" max="16384" width="2.77734375" style="40"/>
  </cols>
  <sheetData>
    <row r="1" spans="1:63" ht="24.95" customHeight="1" x14ac:dyDescent="0.25">
      <c r="A1" s="83" t="s">
        <v>105</v>
      </c>
      <c r="B1" s="84"/>
      <c r="C1" s="84"/>
      <c r="D1" s="84"/>
      <c r="E1" s="84"/>
      <c r="F1" s="84"/>
      <c r="G1" s="84"/>
      <c r="H1" s="84"/>
      <c r="I1" s="84"/>
      <c r="J1" s="85"/>
      <c r="K1" s="83" t="s">
        <v>106</v>
      </c>
      <c r="L1" s="84"/>
      <c r="M1" s="84"/>
      <c r="N1" s="84"/>
      <c r="O1" s="84"/>
      <c r="P1" s="84"/>
      <c r="Q1" s="84"/>
      <c r="R1" s="84"/>
      <c r="S1" s="84"/>
      <c r="T1" s="84"/>
      <c r="U1" s="84"/>
      <c r="V1" s="85"/>
      <c r="W1" s="160" t="s">
        <v>103</v>
      </c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7"/>
      <c r="AP1" s="83" t="s">
        <v>107</v>
      </c>
      <c r="AQ1" s="84"/>
      <c r="AR1" s="84"/>
      <c r="AS1" s="85"/>
      <c r="AT1" s="83" t="s">
        <v>108</v>
      </c>
      <c r="AU1" s="84"/>
      <c r="AV1" s="84"/>
      <c r="AW1" s="84"/>
      <c r="AX1" s="85"/>
      <c r="AY1" s="83" t="s">
        <v>109</v>
      </c>
      <c r="AZ1" s="84"/>
      <c r="BA1" s="84"/>
      <c r="BB1" s="85"/>
      <c r="BC1" s="83" t="s">
        <v>110</v>
      </c>
      <c r="BD1" s="84"/>
      <c r="BE1" s="84"/>
      <c r="BF1" s="84"/>
      <c r="BG1" s="85"/>
      <c r="BH1" s="83" t="s">
        <v>111</v>
      </c>
      <c r="BI1" s="84"/>
      <c r="BJ1" s="84"/>
      <c r="BK1" s="85"/>
    </row>
    <row r="2" spans="1:63" ht="15" customHeight="1" x14ac:dyDescent="0.25">
      <c r="A2" s="68" t="s">
        <v>102</v>
      </c>
      <c r="B2" s="69"/>
      <c r="C2" s="69"/>
      <c r="D2" s="69"/>
      <c r="E2" s="69"/>
      <c r="F2" s="69"/>
      <c r="G2" s="69"/>
      <c r="H2" s="69"/>
      <c r="I2" s="69"/>
      <c r="J2" s="70"/>
      <c r="K2" s="68" t="s">
        <v>102</v>
      </c>
      <c r="L2" s="69"/>
      <c r="M2" s="69"/>
      <c r="N2" s="69"/>
      <c r="O2" s="69"/>
      <c r="P2" s="69"/>
      <c r="Q2" s="69"/>
      <c r="R2" s="69"/>
      <c r="S2" s="69"/>
      <c r="T2" s="69"/>
      <c r="U2" s="69"/>
      <c r="V2" s="70"/>
      <c r="W2" s="108"/>
      <c r="X2" s="109"/>
      <c r="Y2" s="109"/>
      <c r="Z2" s="109"/>
      <c r="AA2" s="109"/>
      <c r="AB2" s="109"/>
      <c r="AC2" s="109"/>
      <c r="AD2" s="109"/>
      <c r="AE2" s="109"/>
      <c r="AF2" s="109"/>
      <c r="AG2" s="109"/>
      <c r="AH2" s="109"/>
      <c r="AI2" s="109"/>
      <c r="AJ2" s="109"/>
      <c r="AK2" s="109"/>
      <c r="AL2" s="109"/>
      <c r="AM2" s="109"/>
      <c r="AN2" s="109"/>
      <c r="AO2" s="110"/>
      <c r="AP2" s="68" t="s">
        <v>100</v>
      </c>
      <c r="AQ2" s="69"/>
      <c r="AR2" s="69"/>
      <c r="AS2" s="70"/>
      <c r="AT2" s="98">
        <v>45492</v>
      </c>
      <c r="AU2" s="99"/>
      <c r="AV2" s="99"/>
      <c r="AW2" s="99"/>
      <c r="AX2" s="100"/>
      <c r="AY2" s="68" t="s">
        <v>100</v>
      </c>
      <c r="AZ2" s="69"/>
      <c r="BA2" s="69"/>
      <c r="BB2" s="70"/>
      <c r="BC2" s="98">
        <v>45811</v>
      </c>
      <c r="BD2" s="99"/>
      <c r="BE2" s="99"/>
      <c r="BF2" s="99"/>
      <c r="BG2" s="100"/>
      <c r="BH2" s="68">
        <v>0.55000000000000004</v>
      </c>
      <c r="BI2" s="69"/>
      <c r="BJ2" s="69"/>
      <c r="BK2" s="70"/>
    </row>
    <row r="3" spans="1:63" ht="15" customHeight="1" x14ac:dyDescent="0.25">
      <c r="A3" s="74"/>
      <c r="B3" s="75"/>
      <c r="C3" s="75"/>
      <c r="D3" s="75"/>
      <c r="E3" s="75"/>
      <c r="F3" s="75"/>
      <c r="G3" s="75"/>
      <c r="H3" s="75"/>
      <c r="I3" s="75"/>
      <c r="J3" s="76"/>
      <c r="K3" s="74"/>
      <c r="L3" s="75"/>
      <c r="M3" s="75"/>
      <c r="N3" s="75"/>
      <c r="O3" s="75"/>
      <c r="P3" s="75"/>
      <c r="Q3" s="75"/>
      <c r="R3" s="75"/>
      <c r="S3" s="75"/>
      <c r="T3" s="75"/>
      <c r="U3" s="75"/>
      <c r="V3" s="76"/>
      <c r="W3" s="111"/>
      <c r="X3" s="112"/>
      <c r="Y3" s="112"/>
      <c r="Z3" s="112"/>
      <c r="AA3" s="112"/>
      <c r="AB3" s="112"/>
      <c r="AC3" s="112"/>
      <c r="AD3" s="112"/>
      <c r="AE3" s="112"/>
      <c r="AF3" s="112"/>
      <c r="AG3" s="112"/>
      <c r="AH3" s="112"/>
      <c r="AI3" s="112"/>
      <c r="AJ3" s="112"/>
      <c r="AK3" s="112"/>
      <c r="AL3" s="112"/>
      <c r="AM3" s="112"/>
      <c r="AN3" s="112"/>
      <c r="AO3" s="113"/>
      <c r="AP3" s="74"/>
      <c r="AQ3" s="75"/>
      <c r="AR3" s="75"/>
      <c r="AS3" s="76"/>
      <c r="AT3" s="101"/>
      <c r="AU3" s="102"/>
      <c r="AV3" s="102"/>
      <c r="AW3" s="102"/>
      <c r="AX3" s="103"/>
      <c r="AY3" s="74"/>
      <c r="AZ3" s="75"/>
      <c r="BA3" s="75"/>
      <c r="BB3" s="76"/>
      <c r="BC3" s="101"/>
      <c r="BD3" s="102"/>
      <c r="BE3" s="102"/>
      <c r="BF3" s="102"/>
      <c r="BG3" s="103"/>
      <c r="BH3" s="74"/>
      <c r="BI3" s="75"/>
      <c r="BJ3" s="75"/>
      <c r="BK3" s="76"/>
    </row>
    <row r="4" spans="1:63" ht="24.95" customHeight="1" x14ac:dyDescent="0.25">
      <c r="A4" s="83" t="s">
        <v>112</v>
      </c>
      <c r="B4" s="84"/>
      <c r="C4" s="84"/>
      <c r="D4" s="84"/>
      <c r="E4" s="84"/>
      <c r="F4" s="84"/>
      <c r="G4" s="85"/>
      <c r="H4" s="88" t="s">
        <v>101</v>
      </c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90"/>
      <c r="U4" s="83" t="s">
        <v>113</v>
      </c>
      <c r="V4" s="84"/>
      <c r="W4" s="84"/>
      <c r="X4" s="84"/>
      <c r="Y4" s="85"/>
      <c r="Z4" s="88" t="s">
        <v>104</v>
      </c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90"/>
      <c r="AP4" s="88" t="str">
        <f t="array" aca="1" ref="AP4" ca="1">RIGHT(CELL("filename",$A$1),LEN(CELL("filename",$A$1))-FIND("]",CELL("filename",$A$1)))</f>
        <v>改訂履歴</v>
      </c>
      <c r="AQ4" s="89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89"/>
      <c r="BD4" s="89"/>
      <c r="BE4" s="89"/>
      <c r="BF4" s="89"/>
      <c r="BG4" s="89"/>
      <c r="BH4" s="89"/>
      <c r="BI4" s="89"/>
      <c r="BJ4" s="89"/>
      <c r="BK4" s="90"/>
    </row>
    <row r="5" spans="1:63" ht="5.0999999999999996" customHeight="1" x14ac:dyDescent="0.25">
      <c r="A5" s="41"/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  <c r="AO5" s="42"/>
      <c r="AP5" s="42"/>
      <c r="AQ5" s="42"/>
      <c r="AR5" s="42"/>
      <c r="AS5" s="42"/>
      <c r="AT5" s="42"/>
      <c r="AU5" s="42"/>
      <c r="AV5" s="42"/>
      <c r="AW5" s="42"/>
      <c r="AX5" s="42"/>
      <c r="AY5" s="42"/>
      <c r="AZ5" s="42"/>
      <c r="BA5" s="42"/>
      <c r="BB5" s="42"/>
      <c r="BC5" s="42"/>
      <c r="BD5" s="42"/>
      <c r="BE5" s="42"/>
      <c r="BF5" s="42"/>
      <c r="BG5" s="42"/>
      <c r="BH5" s="42"/>
      <c r="BI5" s="42"/>
      <c r="BJ5" s="42"/>
      <c r="BK5" s="43"/>
    </row>
    <row r="6" spans="1:63" ht="15" customHeight="1" x14ac:dyDescent="0.25">
      <c r="A6" s="44"/>
      <c r="BK6" s="45"/>
    </row>
    <row r="7" spans="1:63" ht="15" customHeight="1" x14ac:dyDescent="0.25">
      <c r="A7" s="44"/>
      <c r="BK7" s="45"/>
    </row>
    <row r="8" spans="1:63" ht="15" customHeight="1" x14ac:dyDescent="0.25">
      <c r="A8" s="44"/>
      <c r="B8" s="40" t="s">
        <v>0</v>
      </c>
      <c r="BK8" s="45"/>
    </row>
    <row r="9" spans="1:63" ht="15" customHeight="1" x14ac:dyDescent="0.25">
      <c r="A9" s="44"/>
      <c r="BK9" s="45"/>
    </row>
    <row r="10" spans="1:63" ht="15" customHeight="1" x14ac:dyDescent="0.25">
      <c r="A10" s="44"/>
      <c r="B10" s="159" t="s">
        <v>110</v>
      </c>
      <c r="C10" s="159"/>
      <c r="D10" s="159"/>
      <c r="E10" s="159"/>
      <c r="F10" s="159"/>
      <c r="G10" s="159"/>
      <c r="H10" s="159" t="s">
        <v>109</v>
      </c>
      <c r="I10" s="159"/>
      <c r="J10" s="159"/>
      <c r="K10" s="159"/>
      <c r="L10" s="159"/>
      <c r="M10" s="159"/>
      <c r="N10" s="159"/>
      <c r="O10" s="159" t="s">
        <v>111</v>
      </c>
      <c r="P10" s="159"/>
      <c r="Q10" s="159"/>
      <c r="R10" s="159"/>
      <c r="S10" s="159" t="s">
        <v>117</v>
      </c>
      <c r="T10" s="159"/>
      <c r="U10" s="159"/>
      <c r="V10" s="159"/>
      <c r="W10" s="159"/>
      <c r="X10" s="159"/>
      <c r="Y10" s="159"/>
      <c r="Z10" s="159"/>
      <c r="AA10" s="159"/>
      <c r="AB10" s="159"/>
      <c r="AC10" s="159"/>
      <c r="AD10" s="159"/>
      <c r="AE10" s="159"/>
      <c r="AF10" s="159"/>
      <c r="AG10" s="159"/>
      <c r="AH10" s="159"/>
      <c r="AI10" s="159"/>
      <c r="AJ10" s="159"/>
      <c r="AK10" s="159"/>
      <c r="AL10" s="159"/>
      <c r="AM10" s="159"/>
      <c r="AN10" s="159"/>
      <c r="AO10" s="159"/>
      <c r="AP10" s="159"/>
      <c r="AQ10" s="159"/>
      <c r="AR10" s="159"/>
      <c r="AS10" s="159"/>
      <c r="AT10" s="159"/>
      <c r="AU10" s="159"/>
      <c r="AV10" s="159"/>
      <c r="AW10" s="159"/>
      <c r="AX10" s="159" t="s">
        <v>115</v>
      </c>
      <c r="AY10" s="159"/>
      <c r="AZ10" s="159"/>
      <c r="BA10" s="159"/>
      <c r="BB10" s="159"/>
      <c r="BC10" s="159"/>
      <c r="BD10" s="159" t="s">
        <v>116</v>
      </c>
      <c r="BE10" s="159"/>
      <c r="BF10" s="159"/>
      <c r="BG10" s="159"/>
      <c r="BH10" s="159"/>
      <c r="BI10" s="159"/>
      <c r="BJ10" s="159"/>
      <c r="BK10" s="45"/>
    </row>
    <row r="11" spans="1:63" ht="15" customHeight="1" x14ac:dyDescent="0.25">
      <c r="A11" s="44"/>
      <c r="B11" s="98">
        <v>45492</v>
      </c>
      <c r="C11" s="69"/>
      <c r="D11" s="69"/>
      <c r="E11" s="69"/>
      <c r="F11" s="69"/>
      <c r="G11" s="70"/>
      <c r="H11" s="104" t="s">
        <v>100</v>
      </c>
      <c r="I11" s="69"/>
      <c r="J11" s="69"/>
      <c r="K11" s="69"/>
      <c r="L11" s="69"/>
      <c r="M11" s="69"/>
      <c r="N11" s="70"/>
      <c r="O11" s="68">
        <v>0.1</v>
      </c>
      <c r="P11" s="69"/>
      <c r="Q11" s="69"/>
      <c r="R11" s="69"/>
      <c r="S11" s="115" t="s">
        <v>2</v>
      </c>
      <c r="T11" s="116"/>
      <c r="U11" s="116"/>
      <c r="V11" s="116"/>
      <c r="W11" s="116"/>
      <c r="X11" s="116"/>
      <c r="Y11" s="116"/>
      <c r="Z11" s="116"/>
      <c r="AA11" s="116"/>
      <c r="AB11" s="116"/>
      <c r="AC11" s="116"/>
      <c r="AD11" s="116"/>
      <c r="AE11" s="116"/>
      <c r="AF11" s="116"/>
      <c r="AG11" s="116"/>
      <c r="AH11" s="116"/>
      <c r="AI11" s="116"/>
      <c r="AJ11" s="116"/>
      <c r="AK11" s="116"/>
      <c r="AL11" s="116"/>
      <c r="AM11" s="116"/>
      <c r="AN11" s="116"/>
      <c r="AO11" s="116"/>
      <c r="AP11" s="116"/>
      <c r="AQ11" s="116"/>
      <c r="AR11" s="116"/>
      <c r="AS11" s="116"/>
      <c r="AT11" s="116"/>
      <c r="AU11" s="116"/>
      <c r="AV11" s="116"/>
      <c r="AW11" s="117"/>
      <c r="AX11" s="118"/>
      <c r="AY11" s="118"/>
      <c r="AZ11" s="118"/>
      <c r="BA11" s="118"/>
      <c r="BB11" s="118"/>
      <c r="BC11" s="119"/>
      <c r="BD11" s="122"/>
      <c r="BE11" s="118"/>
      <c r="BF11" s="118"/>
      <c r="BG11" s="118"/>
      <c r="BH11" s="118"/>
      <c r="BI11" s="118"/>
      <c r="BJ11" s="119"/>
      <c r="BK11" s="45"/>
    </row>
    <row r="12" spans="1:63" ht="15" customHeight="1" x14ac:dyDescent="0.25">
      <c r="A12" s="44"/>
      <c r="B12" s="74"/>
      <c r="C12" s="75"/>
      <c r="D12" s="75"/>
      <c r="E12" s="75"/>
      <c r="F12" s="75"/>
      <c r="G12" s="76"/>
      <c r="H12" s="74"/>
      <c r="I12" s="75"/>
      <c r="J12" s="75"/>
      <c r="K12" s="75"/>
      <c r="L12" s="75"/>
      <c r="M12" s="75"/>
      <c r="N12" s="76"/>
      <c r="O12" s="74"/>
      <c r="P12" s="75"/>
      <c r="Q12" s="75"/>
      <c r="R12" s="75"/>
      <c r="S12" s="124"/>
      <c r="T12" s="125"/>
      <c r="U12" s="125"/>
      <c r="V12" s="125"/>
      <c r="W12" s="125"/>
      <c r="X12" s="125"/>
      <c r="Y12" s="125"/>
      <c r="Z12" s="125"/>
      <c r="AA12" s="125"/>
      <c r="AB12" s="125"/>
      <c r="AC12" s="125"/>
      <c r="AD12" s="125"/>
      <c r="AE12" s="125"/>
      <c r="AF12" s="125"/>
      <c r="AG12" s="125"/>
      <c r="AH12" s="125"/>
      <c r="AI12" s="125"/>
      <c r="AJ12" s="125"/>
      <c r="AK12" s="125"/>
      <c r="AL12" s="125"/>
      <c r="AM12" s="125"/>
      <c r="AN12" s="125"/>
      <c r="AO12" s="125"/>
      <c r="AP12" s="125"/>
      <c r="AQ12" s="125"/>
      <c r="AR12" s="125"/>
      <c r="AS12" s="125"/>
      <c r="AT12" s="125"/>
      <c r="AU12" s="125"/>
      <c r="AV12" s="125"/>
      <c r="AW12" s="126"/>
      <c r="AX12" s="120"/>
      <c r="AY12" s="120"/>
      <c r="AZ12" s="120"/>
      <c r="BA12" s="120"/>
      <c r="BB12" s="120"/>
      <c r="BC12" s="121"/>
      <c r="BD12" s="123"/>
      <c r="BE12" s="120"/>
      <c r="BF12" s="120"/>
      <c r="BG12" s="120"/>
      <c r="BH12" s="120"/>
      <c r="BI12" s="120"/>
      <c r="BJ12" s="121"/>
      <c r="BK12" s="45"/>
    </row>
    <row r="13" spans="1:63" ht="15" customHeight="1" x14ac:dyDescent="0.25">
      <c r="A13" s="44"/>
      <c r="B13" s="98">
        <v>45525</v>
      </c>
      <c r="C13" s="69"/>
      <c r="D13" s="69"/>
      <c r="E13" s="69"/>
      <c r="F13" s="69"/>
      <c r="G13" s="70"/>
      <c r="H13" s="68" t="s">
        <v>97</v>
      </c>
      <c r="I13" s="69"/>
      <c r="J13" s="69"/>
      <c r="K13" s="69"/>
      <c r="L13" s="69"/>
      <c r="M13" s="69"/>
      <c r="N13" s="70"/>
      <c r="O13" s="68">
        <v>0.2</v>
      </c>
      <c r="P13" s="69"/>
      <c r="Q13" s="69"/>
      <c r="R13" s="69"/>
      <c r="S13" s="115" t="s">
        <v>51</v>
      </c>
      <c r="T13" s="116"/>
      <c r="U13" s="116"/>
      <c r="V13" s="116"/>
      <c r="W13" s="116"/>
      <c r="X13" s="116"/>
      <c r="Y13" s="116"/>
      <c r="Z13" s="116"/>
      <c r="AA13" s="116"/>
      <c r="AB13" s="116"/>
      <c r="AC13" s="116"/>
      <c r="AD13" s="116"/>
      <c r="AE13" s="116"/>
      <c r="AF13" s="116"/>
      <c r="AG13" s="116"/>
      <c r="AH13" s="116"/>
      <c r="AI13" s="116"/>
      <c r="AJ13" s="116"/>
      <c r="AK13" s="116"/>
      <c r="AL13" s="116"/>
      <c r="AM13" s="116"/>
      <c r="AN13" s="116"/>
      <c r="AO13" s="116"/>
      <c r="AP13" s="116"/>
      <c r="AQ13" s="116"/>
      <c r="AR13" s="116"/>
      <c r="AS13" s="116"/>
      <c r="AT13" s="116"/>
      <c r="AU13" s="116"/>
      <c r="AV13" s="116"/>
      <c r="AW13" s="117"/>
      <c r="AX13" s="118"/>
      <c r="AY13" s="118"/>
      <c r="AZ13" s="118"/>
      <c r="BA13" s="118"/>
      <c r="BB13" s="118"/>
      <c r="BC13" s="119"/>
      <c r="BD13" s="122"/>
      <c r="BE13" s="118"/>
      <c r="BF13" s="118"/>
      <c r="BG13" s="118"/>
      <c r="BH13" s="118"/>
      <c r="BI13" s="118"/>
      <c r="BJ13" s="119"/>
      <c r="BK13" s="45"/>
    </row>
    <row r="14" spans="1:63" ht="15" customHeight="1" x14ac:dyDescent="0.25">
      <c r="A14" s="44"/>
      <c r="B14" s="74"/>
      <c r="C14" s="75"/>
      <c r="D14" s="75"/>
      <c r="E14" s="75"/>
      <c r="F14" s="75"/>
      <c r="G14" s="76"/>
      <c r="H14" s="74"/>
      <c r="I14" s="75"/>
      <c r="J14" s="75"/>
      <c r="K14" s="75"/>
      <c r="L14" s="75"/>
      <c r="M14" s="75"/>
      <c r="N14" s="76"/>
      <c r="O14" s="74"/>
      <c r="P14" s="75"/>
      <c r="Q14" s="75"/>
      <c r="R14" s="75"/>
      <c r="S14" s="124"/>
      <c r="T14" s="125"/>
      <c r="U14" s="125"/>
      <c r="V14" s="125"/>
      <c r="W14" s="125"/>
      <c r="X14" s="125"/>
      <c r="Y14" s="125"/>
      <c r="Z14" s="125"/>
      <c r="AA14" s="125"/>
      <c r="AB14" s="125"/>
      <c r="AC14" s="125"/>
      <c r="AD14" s="125"/>
      <c r="AE14" s="125"/>
      <c r="AF14" s="125"/>
      <c r="AG14" s="125"/>
      <c r="AH14" s="125"/>
      <c r="AI14" s="125"/>
      <c r="AJ14" s="125"/>
      <c r="AK14" s="125"/>
      <c r="AL14" s="125"/>
      <c r="AM14" s="125"/>
      <c r="AN14" s="125"/>
      <c r="AO14" s="125"/>
      <c r="AP14" s="125"/>
      <c r="AQ14" s="125"/>
      <c r="AR14" s="125"/>
      <c r="AS14" s="125"/>
      <c r="AT14" s="125"/>
      <c r="AU14" s="125"/>
      <c r="AV14" s="125"/>
      <c r="AW14" s="126"/>
      <c r="AX14" s="120"/>
      <c r="AY14" s="120"/>
      <c r="AZ14" s="120"/>
      <c r="BA14" s="120"/>
      <c r="BB14" s="120"/>
      <c r="BC14" s="121"/>
      <c r="BD14" s="123"/>
      <c r="BE14" s="120"/>
      <c r="BF14" s="120"/>
      <c r="BG14" s="120"/>
      <c r="BH14" s="120"/>
      <c r="BI14" s="120"/>
      <c r="BJ14" s="121"/>
      <c r="BK14" s="45"/>
    </row>
    <row r="15" spans="1:63" ht="15" customHeight="1" x14ac:dyDescent="0.25">
      <c r="A15" s="44"/>
      <c r="B15" s="98">
        <v>45547</v>
      </c>
      <c r="C15" s="69"/>
      <c r="D15" s="69"/>
      <c r="E15" s="69"/>
      <c r="F15" s="69"/>
      <c r="G15" s="70"/>
      <c r="H15" s="68" t="s">
        <v>97</v>
      </c>
      <c r="I15" s="69"/>
      <c r="J15" s="69"/>
      <c r="K15" s="69"/>
      <c r="L15" s="69"/>
      <c r="M15" s="69"/>
      <c r="N15" s="70"/>
      <c r="O15" s="68">
        <v>0.3</v>
      </c>
      <c r="P15" s="69"/>
      <c r="Q15" s="69"/>
      <c r="R15" s="69"/>
      <c r="S15" s="115" t="s">
        <v>50</v>
      </c>
      <c r="T15" s="116"/>
      <c r="U15" s="116"/>
      <c r="V15" s="116"/>
      <c r="W15" s="116"/>
      <c r="X15" s="116"/>
      <c r="Y15" s="116"/>
      <c r="Z15" s="116"/>
      <c r="AA15" s="116"/>
      <c r="AB15" s="116"/>
      <c r="AC15" s="116"/>
      <c r="AD15" s="116"/>
      <c r="AE15" s="116"/>
      <c r="AF15" s="116"/>
      <c r="AG15" s="116"/>
      <c r="AH15" s="116"/>
      <c r="AI15" s="116"/>
      <c r="AJ15" s="116"/>
      <c r="AK15" s="116"/>
      <c r="AL15" s="116"/>
      <c r="AM15" s="116"/>
      <c r="AN15" s="116"/>
      <c r="AO15" s="116"/>
      <c r="AP15" s="116"/>
      <c r="AQ15" s="116"/>
      <c r="AR15" s="116"/>
      <c r="AS15" s="116"/>
      <c r="AT15" s="116"/>
      <c r="AU15" s="116"/>
      <c r="AV15" s="116"/>
      <c r="AW15" s="117"/>
      <c r="AX15" s="118"/>
      <c r="AY15" s="118"/>
      <c r="AZ15" s="118"/>
      <c r="BA15" s="118"/>
      <c r="BB15" s="118"/>
      <c r="BC15" s="119"/>
      <c r="BD15" s="122"/>
      <c r="BE15" s="118"/>
      <c r="BF15" s="118"/>
      <c r="BG15" s="118"/>
      <c r="BH15" s="118"/>
      <c r="BI15" s="118"/>
      <c r="BJ15" s="119"/>
      <c r="BK15" s="45"/>
    </row>
    <row r="16" spans="1:63" ht="15" customHeight="1" x14ac:dyDescent="0.25">
      <c r="A16" s="44"/>
      <c r="B16" s="74"/>
      <c r="C16" s="75"/>
      <c r="D16" s="75"/>
      <c r="E16" s="75"/>
      <c r="F16" s="75"/>
      <c r="G16" s="76"/>
      <c r="H16" s="74"/>
      <c r="I16" s="75"/>
      <c r="J16" s="75"/>
      <c r="K16" s="75"/>
      <c r="L16" s="75"/>
      <c r="M16" s="75"/>
      <c r="N16" s="76"/>
      <c r="O16" s="74"/>
      <c r="P16" s="75"/>
      <c r="Q16" s="75"/>
      <c r="R16" s="75"/>
      <c r="S16" s="124"/>
      <c r="T16" s="125"/>
      <c r="U16" s="125"/>
      <c r="V16" s="125"/>
      <c r="W16" s="125"/>
      <c r="X16" s="125"/>
      <c r="Y16" s="125"/>
      <c r="Z16" s="125"/>
      <c r="AA16" s="125"/>
      <c r="AB16" s="125"/>
      <c r="AC16" s="125"/>
      <c r="AD16" s="125"/>
      <c r="AE16" s="125"/>
      <c r="AF16" s="125"/>
      <c r="AG16" s="125"/>
      <c r="AH16" s="125"/>
      <c r="AI16" s="125"/>
      <c r="AJ16" s="125"/>
      <c r="AK16" s="125"/>
      <c r="AL16" s="125"/>
      <c r="AM16" s="125"/>
      <c r="AN16" s="125"/>
      <c r="AO16" s="125"/>
      <c r="AP16" s="125"/>
      <c r="AQ16" s="125"/>
      <c r="AR16" s="125"/>
      <c r="AS16" s="125"/>
      <c r="AT16" s="125"/>
      <c r="AU16" s="125"/>
      <c r="AV16" s="125"/>
      <c r="AW16" s="126"/>
      <c r="AX16" s="120"/>
      <c r="AY16" s="120"/>
      <c r="AZ16" s="120"/>
      <c r="BA16" s="120"/>
      <c r="BB16" s="120"/>
      <c r="BC16" s="121"/>
      <c r="BD16" s="123"/>
      <c r="BE16" s="120"/>
      <c r="BF16" s="120"/>
      <c r="BG16" s="120"/>
      <c r="BH16" s="120"/>
      <c r="BI16" s="120"/>
      <c r="BJ16" s="121"/>
      <c r="BK16" s="45"/>
    </row>
    <row r="17" spans="1:79" ht="15" customHeight="1" x14ac:dyDescent="0.25">
      <c r="A17" s="44"/>
      <c r="B17" s="98">
        <v>45559</v>
      </c>
      <c r="C17" s="69"/>
      <c r="D17" s="69"/>
      <c r="E17" s="69"/>
      <c r="F17" s="69"/>
      <c r="G17" s="70"/>
      <c r="H17" s="68" t="s">
        <v>97</v>
      </c>
      <c r="I17" s="69"/>
      <c r="J17" s="69"/>
      <c r="K17" s="69"/>
      <c r="L17" s="69"/>
      <c r="M17" s="69"/>
      <c r="N17" s="70"/>
      <c r="O17" s="68">
        <v>0.31</v>
      </c>
      <c r="P17" s="69"/>
      <c r="Q17" s="69"/>
      <c r="R17" s="69"/>
      <c r="S17" s="115" t="s">
        <v>53</v>
      </c>
      <c r="T17" s="116"/>
      <c r="U17" s="116"/>
      <c r="V17" s="116"/>
      <c r="W17" s="116"/>
      <c r="X17" s="116"/>
      <c r="Y17" s="116"/>
      <c r="Z17" s="116"/>
      <c r="AA17" s="116"/>
      <c r="AB17" s="116"/>
      <c r="AC17" s="116"/>
      <c r="AD17" s="116"/>
      <c r="AE17" s="116"/>
      <c r="AF17" s="116"/>
      <c r="AG17" s="116"/>
      <c r="AH17" s="116"/>
      <c r="AI17" s="116"/>
      <c r="AJ17" s="116"/>
      <c r="AK17" s="116"/>
      <c r="AL17" s="116"/>
      <c r="AM17" s="116"/>
      <c r="AN17" s="116"/>
      <c r="AO17" s="116"/>
      <c r="AP17" s="116"/>
      <c r="AQ17" s="116"/>
      <c r="AR17" s="116"/>
      <c r="AS17" s="116"/>
      <c r="AT17" s="116"/>
      <c r="AU17" s="116"/>
      <c r="AV17" s="116"/>
      <c r="AW17" s="117"/>
      <c r="AX17" s="118"/>
      <c r="AY17" s="118"/>
      <c r="AZ17" s="118"/>
      <c r="BA17" s="118"/>
      <c r="BB17" s="118"/>
      <c r="BC17" s="119"/>
      <c r="BD17" s="122"/>
      <c r="BE17" s="118"/>
      <c r="BF17" s="118"/>
      <c r="BG17" s="118"/>
      <c r="BH17" s="118"/>
      <c r="BI17" s="118"/>
      <c r="BJ17" s="119"/>
      <c r="BK17" s="45"/>
    </row>
    <row r="18" spans="1:79" ht="15" customHeight="1" x14ac:dyDescent="0.25">
      <c r="A18" s="44"/>
      <c r="B18" s="74"/>
      <c r="C18" s="75"/>
      <c r="D18" s="75"/>
      <c r="E18" s="75"/>
      <c r="F18" s="75"/>
      <c r="G18" s="76"/>
      <c r="H18" s="74"/>
      <c r="I18" s="75"/>
      <c r="J18" s="75"/>
      <c r="K18" s="75"/>
      <c r="L18" s="75"/>
      <c r="M18" s="75"/>
      <c r="N18" s="76"/>
      <c r="O18" s="74"/>
      <c r="P18" s="75"/>
      <c r="Q18" s="75"/>
      <c r="R18" s="75"/>
      <c r="S18" s="124" t="s">
        <v>52</v>
      </c>
      <c r="T18" s="125"/>
      <c r="U18" s="125"/>
      <c r="V18" s="125"/>
      <c r="W18" s="125"/>
      <c r="X18" s="125"/>
      <c r="Y18" s="125"/>
      <c r="Z18" s="125"/>
      <c r="AA18" s="125"/>
      <c r="AB18" s="125"/>
      <c r="AC18" s="125"/>
      <c r="AD18" s="125"/>
      <c r="AE18" s="125"/>
      <c r="AF18" s="125"/>
      <c r="AG18" s="125"/>
      <c r="AH18" s="125"/>
      <c r="AI18" s="125"/>
      <c r="AJ18" s="125"/>
      <c r="AK18" s="125"/>
      <c r="AL18" s="125"/>
      <c r="AM18" s="125"/>
      <c r="AN18" s="125"/>
      <c r="AO18" s="125"/>
      <c r="AP18" s="125"/>
      <c r="AQ18" s="125"/>
      <c r="AR18" s="125"/>
      <c r="AS18" s="125"/>
      <c r="AT18" s="125"/>
      <c r="AU18" s="125"/>
      <c r="AV18" s="125"/>
      <c r="AW18" s="126"/>
      <c r="AX18" s="120"/>
      <c r="AY18" s="120"/>
      <c r="AZ18" s="120"/>
      <c r="BA18" s="120"/>
      <c r="BB18" s="120"/>
      <c r="BC18" s="121"/>
      <c r="BD18" s="123"/>
      <c r="BE18" s="120"/>
      <c r="BF18" s="120"/>
      <c r="BG18" s="120"/>
      <c r="BH18" s="120"/>
      <c r="BI18" s="120"/>
      <c r="BJ18" s="121"/>
      <c r="BK18" s="45"/>
    </row>
    <row r="19" spans="1:79" ht="53.25" customHeight="1" x14ac:dyDescent="0.25">
      <c r="A19" s="44"/>
      <c r="B19" s="98">
        <v>45567</v>
      </c>
      <c r="C19" s="69"/>
      <c r="D19" s="69"/>
      <c r="E19" s="69"/>
      <c r="F19" s="69"/>
      <c r="G19" s="70"/>
      <c r="H19" s="68" t="s">
        <v>54</v>
      </c>
      <c r="I19" s="69"/>
      <c r="J19" s="69"/>
      <c r="K19" s="69"/>
      <c r="L19" s="69"/>
      <c r="M19" s="69"/>
      <c r="N19" s="70"/>
      <c r="O19" s="68">
        <v>0.4</v>
      </c>
      <c r="P19" s="69"/>
      <c r="Q19" s="69"/>
      <c r="R19" s="69"/>
      <c r="S19" s="156" t="s">
        <v>118</v>
      </c>
      <c r="T19" s="157"/>
      <c r="U19" s="157"/>
      <c r="V19" s="157"/>
      <c r="W19" s="157"/>
      <c r="X19" s="157"/>
      <c r="Y19" s="157"/>
      <c r="Z19" s="157"/>
      <c r="AA19" s="157"/>
      <c r="AB19" s="157"/>
      <c r="AC19" s="157"/>
      <c r="AD19" s="157"/>
      <c r="AE19" s="157"/>
      <c r="AF19" s="157"/>
      <c r="AG19" s="157"/>
      <c r="AH19" s="157"/>
      <c r="AI19" s="157"/>
      <c r="AJ19" s="157"/>
      <c r="AK19" s="157"/>
      <c r="AL19" s="157"/>
      <c r="AM19" s="157"/>
      <c r="AN19" s="157"/>
      <c r="AO19" s="157"/>
      <c r="AP19" s="157"/>
      <c r="AQ19" s="157"/>
      <c r="AR19" s="157"/>
      <c r="AS19" s="157"/>
      <c r="AT19" s="157"/>
      <c r="AU19" s="157"/>
      <c r="AV19" s="157"/>
      <c r="AW19" s="158"/>
      <c r="AX19" s="118"/>
      <c r="AY19" s="118"/>
      <c r="AZ19" s="118"/>
      <c r="BA19" s="118"/>
      <c r="BB19" s="118"/>
      <c r="BC19" s="119"/>
      <c r="BD19" s="122"/>
      <c r="BE19" s="118"/>
      <c r="BF19" s="118"/>
      <c r="BG19" s="118"/>
      <c r="BH19" s="118"/>
      <c r="BI19" s="118"/>
      <c r="BJ19" s="119"/>
      <c r="BK19" s="45"/>
    </row>
    <row r="20" spans="1:79" ht="15" customHeight="1" x14ac:dyDescent="0.25">
      <c r="A20" s="44"/>
      <c r="B20" s="74"/>
      <c r="C20" s="75"/>
      <c r="D20" s="75"/>
      <c r="E20" s="75"/>
      <c r="F20" s="75"/>
      <c r="G20" s="76"/>
      <c r="H20" s="74"/>
      <c r="I20" s="75"/>
      <c r="J20" s="75"/>
      <c r="K20" s="75"/>
      <c r="L20" s="75"/>
      <c r="M20" s="75"/>
      <c r="N20" s="76"/>
      <c r="O20" s="74"/>
      <c r="P20" s="75"/>
      <c r="Q20" s="75"/>
      <c r="R20" s="75"/>
      <c r="S20" s="124"/>
      <c r="T20" s="125"/>
      <c r="U20" s="125"/>
      <c r="V20" s="125"/>
      <c r="W20" s="125"/>
      <c r="X20" s="125"/>
      <c r="Y20" s="125"/>
      <c r="Z20" s="125"/>
      <c r="AA20" s="125"/>
      <c r="AB20" s="125"/>
      <c r="AC20" s="125"/>
      <c r="AD20" s="125"/>
      <c r="AE20" s="125"/>
      <c r="AF20" s="125"/>
      <c r="AG20" s="125"/>
      <c r="AH20" s="125"/>
      <c r="AI20" s="125"/>
      <c r="AJ20" s="125"/>
      <c r="AK20" s="125"/>
      <c r="AL20" s="125"/>
      <c r="AM20" s="125"/>
      <c r="AN20" s="125"/>
      <c r="AO20" s="125"/>
      <c r="AP20" s="125"/>
      <c r="AQ20" s="125"/>
      <c r="AR20" s="125"/>
      <c r="AS20" s="125"/>
      <c r="AT20" s="125"/>
      <c r="AU20" s="125"/>
      <c r="AV20" s="125"/>
      <c r="AW20" s="126"/>
      <c r="AX20" s="120"/>
      <c r="AY20" s="120"/>
      <c r="AZ20" s="120"/>
      <c r="BA20" s="120"/>
      <c r="BB20" s="120"/>
      <c r="BC20" s="121"/>
      <c r="BD20" s="123"/>
      <c r="BE20" s="120"/>
      <c r="BF20" s="120"/>
      <c r="BG20" s="120"/>
      <c r="BH20" s="120"/>
      <c r="BI20" s="120"/>
      <c r="BJ20" s="121"/>
      <c r="BK20" s="45"/>
      <c r="BU20" s="114"/>
      <c r="BV20" s="114"/>
      <c r="BW20" s="114"/>
      <c r="BX20" s="114"/>
      <c r="BY20" s="114"/>
      <c r="BZ20" s="114"/>
      <c r="CA20" s="114"/>
    </row>
    <row r="21" spans="1:79" ht="15" customHeight="1" x14ac:dyDescent="0.25">
      <c r="A21" s="44"/>
      <c r="B21" s="98">
        <v>45596</v>
      </c>
      <c r="C21" s="69"/>
      <c r="D21" s="69"/>
      <c r="E21" s="69"/>
      <c r="F21" s="69"/>
      <c r="G21" s="70"/>
      <c r="H21" s="68" t="s">
        <v>57</v>
      </c>
      <c r="I21" s="69"/>
      <c r="J21" s="69"/>
      <c r="K21" s="69"/>
      <c r="L21" s="69"/>
      <c r="M21" s="69"/>
      <c r="N21" s="70"/>
      <c r="O21" s="68">
        <v>0.5</v>
      </c>
      <c r="P21" s="69"/>
      <c r="Q21" s="69"/>
      <c r="R21" s="69"/>
      <c r="S21" s="115" t="s">
        <v>58</v>
      </c>
      <c r="T21" s="116"/>
      <c r="U21" s="116"/>
      <c r="V21" s="116"/>
      <c r="W21" s="116"/>
      <c r="X21" s="116"/>
      <c r="Y21" s="116"/>
      <c r="Z21" s="116"/>
      <c r="AA21" s="116"/>
      <c r="AB21" s="116"/>
      <c r="AC21" s="116"/>
      <c r="AD21" s="116"/>
      <c r="AE21" s="116"/>
      <c r="AF21" s="116"/>
      <c r="AG21" s="116"/>
      <c r="AH21" s="116"/>
      <c r="AI21" s="116"/>
      <c r="AJ21" s="116"/>
      <c r="AK21" s="116"/>
      <c r="AL21" s="116"/>
      <c r="AM21" s="116"/>
      <c r="AN21" s="116"/>
      <c r="AO21" s="116"/>
      <c r="AP21" s="116"/>
      <c r="AQ21" s="116"/>
      <c r="AR21" s="116"/>
      <c r="AS21" s="116"/>
      <c r="AT21" s="116"/>
      <c r="AU21" s="116"/>
      <c r="AV21" s="116"/>
      <c r="AW21" s="117"/>
      <c r="AX21" s="118"/>
      <c r="AY21" s="118"/>
      <c r="AZ21" s="118"/>
      <c r="BA21" s="118"/>
      <c r="BB21" s="118"/>
      <c r="BC21" s="119"/>
      <c r="BD21" s="122"/>
      <c r="BE21" s="118"/>
      <c r="BF21" s="118"/>
      <c r="BG21" s="118"/>
      <c r="BH21" s="118"/>
      <c r="BI21" s="118"/>
      <c r="BJ21" s="119"/>
      <c r="BK21" s="45"/>
      <c r="BU21" s="114"/>
      <c r="BV21" s="114"/>
      <c r="BW21" s="114"/>
      <c r="BX21" s="114"/>
      <c r="BY21" s="114"/>
      <c r="BZ21" s="114"/>
      <c r="CA21" s="114"/>
    </row>
    <row r="22" spans="1:79" ht="15" customHeight="1" x14ac:dyDescent="0.25">
      <c r="A22" s="44"/>
      <c r="B22" s="74"/>
      <c r="C22" s="75"/>
      <c r="D22" s="75"/>
      <c r="E22" s="75"/>
      <c r="F22" s="75"/>
      <c r="G22" s="76"/>
      <c r="H22" s="74"/>
      <c r="I22" s="75"/>
      <c r="J22" s="75"/>
      <c r="K22" s="75"/>
      <c r="L22" s="75"/>
      <c r="M22" s="75"/>
      <c r="N22" s="76"/>
      <c r="O22" s="74"/>
      <c r="P22" s="75"/>
      <c r="Q22" s="75"/>
      <c r="R22" s="75"/>
      <c r="S22" s="153" t="s">
        <v>59</v>
      </c>
      <c r="T22" s="154"/>
      <c r="U22" s="154"/>
      <c r="V22" s="154"/>
      <c r="W22" s="154"/>
      <c r="X22" s="154"/>
      <c r="Y22" s="154"/>
      <c r="Z22" s="154"/>
      <c r="AA22" s="154"/>
      <c r="AB22" s="154"/>
      <c r="AC22" s="154"/>
      <c r="AD22" s="154"/>
      <c r="AE22" s="154"/>
      <c r="AF22" s="154"/>
      <c r="AG22" s="154"/>
      <c r="AH22" s="154"/>
      <c r="AI22" s="154"/>
      <c r="AJ22" s="154"/>
      <c r="AK22" s="154"/>
      <c r="AL22" s="154"/>
      <c r="AM22" s="154"/>
      <c r="AN22" s="154"/>
      <c r="AO22" s="154"/>
      <c r="AP22" s="154"/>
      <c r="AQ22" s="154"/>
      <c r="AR22" s="154"/>
      <c r="AS22" s="154"/>
      <c r="AT22" s="154"/>
      <c r="AU22" s="154"/>
      <c r="AV22" s="154"/>
      <c r="AW22" s="155"/>
      <c r="AX22" s="120"/>
      <c r="AY22" s="120"/>
      <c r="AZ22" s="120"/>
      <c r="BA22" s="120"/>
      <c r="BB22" s="120"/>
      <c r="BC22" s="121"/>
      <c r="BD22" s="123"/>
      <c r="BE22" s="120"/>
      <c r="BF22" s="120"/>
      <c r="BG22" s="120"/>
      <c r="BH22" s="120"/>
      <c r="BI22" s="120"/>
      <c r="BJ22" s="121"/>
      <c r="BK22" s="45"/>
      <c r="BU22" s="114"/>
      <c r="BV22" s="114"/>
      <c r="BW22" s="114"/>
      <c r="BX22" s="114"/>
      <c r="BY22" s="114"/>
      <c r="BZ22" s="114"/>
      <c r="CA22" s="114"/>
    </row>
    <row r="23" spans="1:79" ht="15" customHeight="1" x14ac:dyDescent="0.25">
      <c r="A23" s="44"/>
      <c r="B23" s="98">
        <v>45614</v>
      </c>
      <c r="C23" s="69"/>
      <c r="D23" s="69"/>
      <c r="E23" s="69"/>
      <c r="F23" s="69"/>
      <c r="G23" s="70"/>
      <c r="H23" s="68" t="s">
        <v>54</v>
      </c>
      <c r="I23" s="69"/>
      <c r="J23" s="69"/>
      <c r="K23" s="69"/>
      <c r="L23" s="69"/>
      <c r="M23" s="69"/>
      <c r="N23" s="70"/>
      <c r="O23" s="68">
        <v>0.6</v>
      </c>
      <c r="P23" s="69"/>
      <c r="Q23" s="69"/>
      <c r="R23" s="69"/>
      <c r="S23" s="115" t="s">
        <v>119</v>
      </c>
      <c r="T23" s="116"/>
      <c r="U23" s="116"/>
      <c r="V23" s="116"/>
      <c r="W23" s="116"/>
      <c r="X23" s="116"/>
      <c r="Y23" s="116"/>
      <c r="Z23" s="116"/>
      <c r="AA23" s="116"/>
      <c r="AB23" s="116"/>
      <c r="AC23" s="116"/>
      <c r="AD23" s="116"/>
      <c r="AE23" s="116"/>
      <c r="AF23" s="116"/>
      <c r="AG23" s="116"/>
      <c r="AH23" s="116"/>
      <c r="AI23" s="116"/>
      <c r="AJ23" s="116"/>
      <c r="AK23" s="116"/>
      <c r="AL23" s="116"/>
      <c r="AM23" s="116"/>
      <c r="AN23" s="116"/>
      <c r="AO23" s="116"/>
      <c r="AP23" s="116"/>
      <c r="AQ23" s="116"/>
      <c r="AR23" s="116"/>
      <c r="AS23" s="116"/>
      <c r="AT23" s="116"/>
      <c r="AU23" s="116"/>
      <c r="AV23" s="116"/>
      <c r="AW23" s="117"/>
      <c r="AX23" s="118"/>
      <c r="AY23" s="118"/>
      <c r="AZ23" s="118"/>
      <c r="BA23" s="118"/>
      <c r="BB23" s="118"/>
      <c r="BC23" s="119"/>
      <c r="BD23" s="122"/>
      <c r="BE23" s="118"/>
      <c r="BF23" s="118"/>
      <c r="BG23" s="118"/>
      <c r="BH23" s="118"/>
      <c r="BI23" s="118"/>
      <c r="BJ23" s="119"/>
      <c r="BK23" s="45"/>
      <c r="BU23" s="114"/>
      <c r="BV23" s="114"/>
      <c r="BW23" s="114"/>
      <c r="BX23" s="114"/>
      <c r="BY23" s="114"/>
      <c r="BZ23" s="114"/>
      <c r="CA23" s="114"/>
    </row>
    <row r="24" spans="1:79" ht="15" customHeight="1" x14ac:dyDescent="0.25">
      <c r="A24" s="44"/>
      <c r="B24" s="74"/>
      <c r="C24" s="75"/>
      <c r="D24" s="75"/>
      <c r="E24" s="75"/>
      <c r="F24" s="75"/>
      <c r="G24" s="76"/>
      <c r="H24" s="74"/>
      <c r="I24" s="75"/>
      <c r="J24" s="75"/>
      <c r="K24" s="75"/>
      <c r="L24" s="75"/>
      <c r="M24" s="75"/>
      <c r="N24" s="76"/>
      <c r="O24" s="74"/>
      <c r="P24" s="75"/>
      <c r="Q24" s="75"/>
      <c r="R24" s="75"/>
      <c r="S24" s="124"/>
      <c r="T24" s="125"/>
      <c r="U24" s="125"/>
      <c r="V24" s="125"/>
      <c r="W24" s="125"/>
      <c r="X24" s="125"/>
      <c r="Y24" s="125"/>
      <c r="Z24" s="125"/>
      <c r="AA24" s="125"/>
      <c r="AB24" s="125"/>
      <c r="AC24" s="125"/>
      <c r="AD24" s="125"/>
      <c r="AE24" s="125"/>
      <c r="AF24" s="125"/>
      <c r="AG24" s="125"/>
      <c r="AH24" s="125"/>
      <c r="AI24" s="125"/>
      <c r="AJ24" s="125"/>
      <c r="AK24" s="125"/>
      <c r="AL24" s="125"/>
      <c r="AM24" s="125"/>
      <c r="AN24" s="125"/>
      <c r="AO24" s="125"/>
      <c r="AP24" s="125"/>
      <c r="AQ24" s="125"/>
      <c r="AR24" s="125"/>
      <c r="AS24" s="125"/>
      <c r="AT24" s="125"/>
      <c r="AU24" s="125"/>
      <c r="AV24" s="125"/>
      <c r="AW24" s="126"/>
      <c r="AX24" s="120"/>
      <c r="AY24" s="120"/>
      <c r="AZ24" s="120"/>
      <c r="BA24" s="120"/>
      <c r="BB24" s="120"/>
      <c r="BC24" s="121"/>
      <c r="BD24" s="123"/>
      <c r="BE24" s="120"/>
      <c r="BF24" s="120"/>
      <c r="BG24" s="120"/>
      <c r="BH24" s="120"/>
      <c r="BI24" s="120"/>
      <c r="BJ24" s="121"/>
      <c r="BK24" s="45"/>
      <c r="BU24" s="114"/>
      <c r="BV24" s="114"/>
      <c r="BW24" s="114"/>
      <c r="BX24" s="114"/>
      <c r="BY24" s="114"/>
      <c r="BZ24" s="114"/>
      <c r="CA24" s="114"/>
    </row>
    <row r="25" spans="1:79" ht="15" customHeight="1" x14ac:dyDescent="0.25">
      <c r="A25" s="44"/>
      <c r="B25" s="140">
        <v>45705</v>
      </c>
      <c r="C25" s="141"/>
      <c r="D25" s="141"/>
      <c r="E25" s="141"/>
      <c r="F25" s="141"/>
      <c r="G25" s="142"/>
      <c r="H25" s="146" t="s">
        <v>97</v>
      </c>
      <c r="I25" s="141"/>
      <c r="J25" s="141"/>
      <c r="K25" s="141"/>
      <c r="L25" s="141"/>
      <c r="M25" s="141"/>
      <c r="N25" s="142"/>
      <c r="O25" s="146">
        <v>0.51</v>
      </c>
      <c r="P25" s="141"/>
      <c r="Q25" s="141"/>
      <c r="R25" s="141"/>
      <c r="S25" s="147" t="s">
        <v>60</v>
      </c>
      <c r="T25" s="148"/>
      <c r="U25" s="148"/>
      <c r="V25" s="148"/>
      <c r="W25" s="148"/>
      <c r="X25" s="148"/>
      <c r="Y25" s="148"/>
      <c r="Z25" s="148"/>
      <c r="AA25" s="148"/>
      <c r="AB25" s="148"/>
      <c r="AC25" s="148"/>
      <c r="AD25" s="148"/>
      <c r="AE25" s="148"/>
      <c r="AF25" s="148"/>
      <c r="AG25" s="148"/>
      <c r="AH25" s="148"/>
      <c r="AI25" s="148"/>
      <c r="AJ25" s="148"/>
      <c r="AK25" s="148"/>
      <c r="AL25" s="148"/>
      <c r="AM25" s="148"/>
      <c r="AN25" s="148"/>
      <c r="AO25" s="148"/>
      <c r="AP25" s="148"/>
      <c r="AQ25" s="148"/>
      <c r="AR25" s="148"/>
      <c r="AS25" s="148"/>
      <c r="AT25" s="148"/>
      <c r="AU25" s="148"/>
      <c r="AV25" s="148"/>
      <c r="AW25" s="149"/>
      <c r="AX25" s="118"/>
      <c r="AY25" s="118"/>
      <c r="AZ25" s="118"/>
      <c r="BA25" s="118"/>
      <c r="BB25" s="118"/>
      <c r="BC25" s="119"/>
      <c r="BD25" s="122"/>
      <c r="BE25" s="118"/>
      <c r="BF25" s="118"/>
      <c r="BG25" s="118"/>
      <c r="BH25" s="118"/>
      <c r="BI25" s="118"/>
      <c r="BJ25" s="119"/>
      <c r="BK25" s="45"/>
      <c r="BU25" s="114"/>
      <c r="BV25" s="114"/>
      <c r="BW25" s="114"/>
      <c r="BX25" s="114"/>
      <c r="BY25" s="114"/>
      <c r="BZ25" s="114"/>
      <c r="CA25" s="114"/>
    </row>
    <row r="26" spans="1:79" ht="15" customHeight="1" x14ac:dyDescent="0.25">
      <c r="A26" s="44"/>
      <c r="B26" s="143"/>
      <c r="C26" s="144"/>
      <c r="D26" s="144"/>
      <c r="E26" s="144"/>
      <c r="F26" s="144"/>
      <c r="G26" s="145"/>
      <c r="H26" s="143"/>
      <c r="I26" s="144"/>
      <c r="J26" s="144"/>
      <c r="K26" s="144"/>
      <c r="L26" s="144"/>
      <c r="M26" s="144"/>
      <c r="N26" s="145"/>
      <c r="O26" s="143"/>
      <c r="P26" s="144"/>
      <c r="Q26" s="144"/>
      <c r="R26" s="144"/>
      <c r="S26" s="150" t="s">
        <v>61</v>
      </c>
      <c r="T26" s="151"/>
      <c r="U26" s="151"/>
      <c r="V26" s="151"/>
      <c r="W26" s="151"/>
      <c r="X26" s="151"/>
      <c r="Y26" s="151"/>
      <c r="Z26" s="151"/>
      <c r="AA26" s="151"/>
      <c r="AB26" s="151"/>
      <c r="AC26" s="151"/>
      <c r="AD26" s="151"/>
      <c r="AE26" s="151"/>
      <c r="AF26" s="151"/>
      <c r="AG26" s="151"/>
      <c r="AH26" s="151"/>
      <c r="AI26" s="151"/>
      <c r="AJ26" s="151"/>
      <c r="AK26" s="151"/>
      <c r="AL26" s="151"/>
      <c r="AM26" s="151"/>
      <c r="AN26" s="151"/>
      <c r="AO26" s="151"/>
      <c r="AP26" s="151"/>
      <c r="AQ26" s="151"/>
      <c r="AR26" s="151"/>
      <c r="AS26" s="151"/>
      <c r="AT26" s="151"/>
      <c r="AU26" s="151"/>
      <c r="AV26" s="151"/>
      <c r="AW26" s="152"/>
      <c r="AX26" s="120"/>
      <c r="AY26" s="120"/>
      <c r="AZ26" s="120"/>
      <c r="BA26" s="120"/>
      <c r="BB26" s="120"/>
      <c r="BC26" s="121"/>
      <c r="BD26" s="123"/>
      <c r="BE26" s="120"/>
      <c r="BF26" s="120"/>
      <c r="BG26" s="120"/>
      <c r="BH26" s="120"/>
      <c r="BI26" s="120"/>
      <c r="BJ26" s="121"/>
      <c r="BK26" s="45"/>
    </row>
    <row r="27" spans="1:79" ht="15" customHeight="1" x14ac:dyDescent="0.25">
      <c r="A27" s="44"/>
      <c r="B27" s="140">
        <v>45785</v>
      </c>
      <c r="C27" s="141"/>
      <c r="D27" s="141"/>
      <c r="E27" s="141"/>
      <c r="F27" s="141"/>
      <c r="G27" s="142"/>
      <c r="H27" s="146" t="s">
        <v>54</v>
      </c>
      <c r="I27" s="141"/>
      <c r="J27" s="141"/>
      <c r="K27" s="141"/>
      <c r="L27" s="141"/>
      <c r="M27" s="141"/>
      <c r="N27" s="142"/>
      <c r="O27" s="146">
        <v>0.52</v>
      </c>
      <c r="P27" s="141"/>
      <c r="Q27" s="141"/>
      <c r="R27" s="141"/>
      <c r="S27" s="147" t="s">
        <v>120</v>
      </c>
      <c r="T27" s="148"/>
      <c r="U27" s="148"/>
      <c r="V27" s="148"/>
      <c r="W27" s="148"/>
      <c r="X27" s="148"/>
      <c r="Y27" s="148"/>
      <c r="Z27" s="148"/>
      <c r="AA27" s="148"/>
      <c r="AB27" s="148"/>
      <c r="AC27" s="148"/>
      <c r="AD27" s="148"/>
      <c r="AE27" s="148"/>
      <c r="AF27" s="148"/>
      <c r="AG27" s="148"/>
      <c r="AH27" s="148"/>
      <c r="AI27" s="148"/>
      <c r="AJ27" s="148"/>
      <c r="AK27" s="148"/>
      <c r="AL27" s="148"/>
      <c r="AM27" s="148"/>
      <c r="AN27" s="148"/>
      <c r="AO27" s="148"/>
      <c r="AP27" s="148"/>
      <c r="AQ27" s="148"/>
      <c r="AR27" s="148"/>
      <c r="AS27" s="148"/>
      <c r="AT27" s="148"/>
      <c r="AU27" s="148"/>
      <c r="AV27" s="148"/>
      <c r="AW27" s="149"/>
      <c r="AX27" s="118"/>
      <c r="AY27" s="118"/>
      <c r="AZ27" s="118"/>
      <c r="BA27" s="118"/>
      <c r="BB27" s="118"/>
      <c r="BC27" s="119"/>
      <c r="BD27" s="122"/>
      <c r="BE27" s="118"/>
      <c r="BF27" s="118"/>
      <c r="BG27" s="118"/>
      <c r="BH27" s="118"/>
      <c r="BI27" s="118"/>
      <c r="BJ27" s="119"/>
      <c r="BK27" s="45"/>
    </row>
    <row r="28" spans="1:79" ht="15" customHeight="1" x14ac:dyDescent="0.25">
      <c r="A28" s="44"/>
      <c r="B28" s="143"/>
      <c r="C28" s="144"/>
      <c r="D28" s="144"/>
      <c r="E28" s="144"/>
      <c r="F28" s="144"/>
      <c r="G28" s="145"/>
      <c r="H28" s="143"/>
      <c r="I28" s="144"/>
      <c r="J28" s="144"/>
      <c r="K28" s="144"/>
      <c r="L28" s="144"/>
      <c r="M28" s="144"/>
      <c r="N28" s="145"/>
      <c r="O28" s="143"/>
      <c r="P28" s="144"/>
      <c r="Q28" s="144"/>
      <c r="R28" s="144"/>
      <c r="S28" s="150"/>
      <c r="T28" s="151"/>
      <c r="U28" s="151"/>
      <c r="V28" s="151"/>
      <c r="W28" s="151"/>
      <c r="X28" s="151"/>
      <c r="Y28" s="151"/>
      <c r="Z28" s="151"/>
      <c r="AA28" s="151"/>
      <c r="AB28" s="151"/>
      <c r="AC28" s="151"/>
      <c r="AD28" s="151"/>
      <c r="AE28" s="151"/>
      <c r="AF28" s="151"/>
      <c r="AG28" s="151"/>
      <c r="AH28" s="151"/>
      <c r="AI28" s="151"/>
      <c r="AJ28" s="151"/>
      <c r="AK28" s="151"/>
      <c r="AL28" s="151"/>
      <c r="AM28" s="151"/>
      <c r="AN28" s="151"/>
      <c r="AO28" s="151"/>
      <c r="AP28" s="151"/>
      <c r="AQ28" s="151"/>
      <c r="AR28" s="151"/>
      <c r="AS28" s="151"/>
      <c r="AT28" s="151"/>
      <c r="AU28" s="151"/>
      <c r="AV28" s="151"/>
      <c r="AW28" s="152"/>
      <c r="AX28" s="120"/>
      <c r="AY28" s="120"/>
      <c r="AZ28" s="120"/>
      <c r="BA28" s="120"/>
      <c r="BB28" s="120"/>
      <c r="BC28" s="121"/>
      <c r="BD28" s="123"/>
      <c r="BE28" s="120"/>
      <c r="BF28" s="120"/>
      <c r="BG28" s="120"/>
      <c r="BH28" s="120"/>
      <c r="BI28" s="120"/>
      <c r="BJ28" s="121"/>
      <c r="BK28" s="45"/>
    </row>
    <row r="29" spans="1:79" ht="15" customHeight="1" x14ac:dyDescent="0.25">
      <c r="A29" s="44"/>
      <c r="B29" s="140">
        <v>45787</v>
      </c>
      <c r="C29" s="141"/>
      <c r="D29" s="141"/>
      <c r="E29" s="141"/>
      <c r="F29" s="141"/>
      <c r="G29" s="142"/>
      <c r="H29" s="146" t="s">
        <v>93</v>
      </c>
      <c r="I29" s="141"/>
      <c r="J29" s="141"/>
      <c r="K29" s="141"/>
      <c r="L29" s="141"/>
      <c r="M29" s="141"/>
      <c r="N29" s="142"/>
      <c r="O29" s="146">
        <v>0.53</v>
      </c>
      <c r="P29" s="141"/>
      <c r="Q29" s="141"/>
      <c r="R29" s="141"/>
      <c r="S29" s="147" t="s">
        <v>64</v>
      </c>
      <c r="T29" s="148"/>
      <c r="U29" s="148"/>
      <c r="V29" s="148"/>
      <c r="W29" s="148"/>
      <c r="X29" s="148"/>
      <c r="Y29" s="148"/>
      <c r="Z29" s="148"/>
      <c r="AA29" s="148"/>
      <c r="AB29" s="148"/>
      <c r="AC29" s="148"/>
      <c r="AD29" s="148"/>
      <c r="AE29" s="148"/>
      <c r="AF29" s="148"/>
      <c r="AG29" s="148"/>
      <c r="AH29" s="148"/>
      <c r="AI29" s="148"/>
      <c r="AJ29" s="148"/>
      <c r="AK29" s="148"/>
      <c r="AL29" s="148"/>
      <c r="AM29" s="148"/>
      <c r="AN29" s="148"/>
      <c r="AO29" s="148"/>
      <c r="AP29" s="148"/>
      <c r="AQ29" s="148"/>
      <c r="AR29" s="148"/>
      <c r="AS29" s="148"/>
      <c r="AT29" s="148"/>
      <c r="AU29" s="148"/>
      <c r="AV29" s="148"/>
      <c r="AW29" s="149"/>
      <c r="AX29" s="118"/>
      <c r="AY29" s="118"/>
      <c r="AZ29" s="118"/>
      <c r="BA29" s="118"/>
      <c r="BB29" s="118"/>
      <c r="BC29" s="119"/>
      <c r="BD29" s="122"/>
      <c r="BE29" s="118"/>
      <c r="BF29" s="118"/>
      <c r="BG29" s="118"/>
      <c r="BH29" s="118"/>
      <c r="BI29" s="118"/>
      <c r="BJ29" s="119"/>
      <c r="BK29" s="45"/>
    </row>
    <row r="30" spans="1:79" ht="15" customHeight="1" x14ac:dyDescent="0.25">
      <c r="A30" s="44"/>
      <c r="B30" s="143"/>
      <c r="C30" s="144"/>
      <c r="D30" s="144"/>
      <c r="E30" s="144"/>
      <c r="F30" s="144"/>
      <c r="G30" s="145"/>
      <c r="H30" s="143"/>
      <c r="I30" s="144"/>
      <c r="J30" s="144"/>
      <c r="K30" s="144"/>
      <c r="L30" s="144"/>
      <c r="M30" s="144"/>
      <c r="N30" s="145"/>
      <c r="O30" s="143"/>
      <c r="P30" s="144"/>
      <c r="Q30" s="144"/>
      <c r="R30" s="144"/>
      <c r="S30" s="150" t="s">
        <v>68</v>
      </c>
      <c r="T30" s="151"/>
      <c r="U30" s="151"/>
      <c r="V30" s="151"/>
      <c r="W30" s="151"/>
      <c r="X30" s="151"/>
      <c r="Y30" s="151"/>
      <c r="Z30" s="151"/>
      <c r="AA30" s="151"/>
      <c r="AB30" s="151"/>
      <c r="AC30" s="151"/>
      <c r="AD30" s="151"/>
      <c r="AE30" s="151"/>
      <c r="AF30" s="151"/>
      <c r="AG30" s="151"/>
      <c r="AH30" s="151"/>
      <c r="AI30" s="151"/>
      <c r="AJ30" s="151"/>
      <c r="AK30" s="151"/>
      <c r="AL30" s="151"/>
      <c r="AM30" s="151"/>
      <c r="AN30" s="151"/>
      <c r="AO30" s="151"/>
      <c r="AP30" s="151"/>
      <c r="AQ30" s="151"/>
      <c r="AR30" s="151"/>
      <c r="AS30" s="151"/>
      <c r="AT30" s="151"/>
      <c r="AU30" s="151"/>
      <c r="AV30" s="151"/>
      <c r="AW30" s="152"/>
      <c r="AX30" s="120"/>
      <c r="AY30" s="120"/>
      <c r="AZ30" s="120"/>
      <c r="BA30" s="120"/>
      <c r="BB30" s="120"/>
      <c r="BC30" s="121"/>
      <c r="BD30" s="123"/>
      <c r="BE30" s="120"/>
      <c r="BF30" s="120"/>
      <c r="BG30" s="120"/>
      <c r="BH30" s="120"/>
      <c r="BI30" s="120"/>
      <c r="BJ30" s="121"/>
      <c r="BK30" s="45"/>
    </row>
    <row r="31" spans="1:79" ht="15" customHeight="1" x14ac:dyDescent="0.25">
      <c r="A31" s="44"/>
      <c r="B31" s="140">
        <v>45810</v>
      </c>
      <c r="C31" s="141"/>
      <c r="D31" s="141"/>
      <c r="E31" s="141"/>
      <c r="F31" s="141"/>
      <c r="G31" s="142"/>
      <c r="H31" s="146" t="s">
        <v>95</v>
      </c>
      <c r="I31" s="141"/>
      <c r="J31" s="141"/>
      <c r="K31" s="141"/>
      <c r="L31" s="141"/>
      <c r="M31" s="141"/>
      <c r="N31" s="142"/>
      <c r="O31" s="146">
        <v>0.54</v>
      </c>
      <c r="P31" s="141"/>
      <c r="Q31" s="141"/>
      <c r="R31" s="141"/>
      <c r="S31" s="147" t="s">
        <v>96</v>
      </c>
      <c r="T31" s="148"/>
      <c r="U31" s="148"/>
      <c r="V31" s="148"/>
      <c r="W31" s="148"/>
      <c r="X31" s="148"/>
      <c r="Y31" s="148"/>
      <c r="Z31" s="148"/>
      <c r="AA31" s="148"/>
      <c r="AB31" s="148"/>
      <c r="AC31" s="148"/>
      <c r="AD31" s="148"/>
      <c r="AE31" s="148"/>
      <c r="AF31" s="148"/>
      <c r="AG31" s="148"/>
      <c r="AH31" s="148"/>
      <c r="AI31" s="148"/>
      <c r="AJ31" s="148"/>
      <c r="AK31" s="148"/>
      <c r="AL31" s="148"/>
      <c r="AM31" s="148"/>
      <c r="AN31" s="148"/>
      <c r="AO31" s="148"/>
      <c r="AP31" s="148"/>
      <c r="AQ31" s="148"/>
      <c r="AR31" s="148"/>
      <c r="AS31" s="148"/>
      <c r="AT31" s="148"/>
      <c r="AU31" s="148"/>
      <c r="AV31" s="148"/>
      <c r="AW31" s="149"/>
      <c r="AX31" s="118"/>
      <c r="AY31" s="118"/>
      <c r="AZ31" s="118"/>
      <c r="BA31" s="118"/>
      <c r="BB31" s="118"/>
      <c r="BC31" s="119"/>
      <c r="BD31" s="122"/>
      <c r="BE31" s="118"/>
      <c r="BF31" s="118"/>
      <c r="BG31" s="118"/>
      <c r="BH31" s="118"/>
      <c r="BI31" s="118"/>
      <c r="BJ31" s="119"/>
      <c r="BK31" s="45"/>
    </row>
    <row r="32" spans="1:79" ht="15" customHeight="1" x14ac:dyDescent="0.25">
      <c r="A32" s="44"/>
      <c r="B32" s="143"/>
      <c r="C32" s="144"/>
      <c r="D32" s="144"/>
      <c r="E32" s="144"/>
      <c r="F32" s="144"/>
      <c r="G32" s="145"/>
      <c r="H32" s="143"/>
      <c r="I32" s="144"/>
      <c r="J32" s="144"/>
      <c r="K32" s="144"/>
      <c r="L32" s="144"/>
      <c r="M32" s="144"/>
      <c r="N32" s="145"/>
      <c r="O32" s="143"/>
      <c r="P32" s="144"/>
      <c r="Q32" s="144"/>
      <c r="R32" s="144"/>
      <c r="S32" s="150"/>
      <c r="T32" s="151"/>
      <c r="U32" s="151"/>
      <c r="V32" s="151"/>
      <c r="W32" s="151"/>
      <c r="X32" s="151"/>
      <c r="Y32" s="151"/>
      <c r="Z32" s="151"/>
      <c r="AA32" s="151"/>
      <c r="AB32" s="151"/>
      <c r="AC32" s="151"/>
      <c r="AD32" s="151"/>
      <c r="AE32" s="151"/>
      <c r="AF32" s="151"/>
      <c r="AG32" s="151"/>
      <c r="AH32" s="151"/>
      <c r="AI32" s="151"/>
      <c r="AJ32" s="151"/>
      <c r="AK32" s="151"/>
      <c r="AL32" s="151"/>
      <c r="AM32" s="151"/>
      <c r="AN32" s="151"/>
      <c r="AO32" s="151"/>
      <c r="AP32" s="151"/>
      <c r="AQ32" s="151"/>
      <c r="AR32" s="151"/>
      <c r="AS32" s="151"/>
      <c r="AT32" s="151"/>
      <c r="AU32" s="151"/>
      <c r="AV32" s="151"/>
      <c r="AW32" s="152"/>
      <c r="AX32" s="120"/>
      <c r="AY32" s="120"/>
      <c r="AZ32" s="120"/>
      <c r="BA32" s="120"/>
      <c r="BB32" s="120"/>
      <c r="BC32" s="121"/>
      <c r="BD32" s="123"/>
      <c r="BE32" s="120"/>
      <c r="BF32" s="120"/>
      <c r="BG32" s="120"/>
      <c r="BH32" s="120"/>
      <c r="BI32" s="120"/>
      <c r="BJ32" s="121"/>
      <c r="BK32" s="45"/>
    </row>
    <row r="33" spans="1:63" ht="15" customHeight="1" x14ac:dyDescent="0.25">
      <c r="A33" s="44"/>
      <c r="B33" s="130">
        <v>45811</v>
      </c>
      <c r="C33" s="131"/>
      <c r="D33" s="131"/>
      <c r="E33" s="131"/>
      <c r="F33" s="131"/>
      <c r="G33" s="132"/>
      <c r="H33" s="136" t="s">
        <v>100</v>
      </c>
      <c r="I33" s="131"/>
      <c r="J33" s="131"/>
      <c r="K33" s="131"/>
      <c r="L33" s="131"/>
      <c r="M33" s="131"/>
      <c r="N33" s="132"/>
      <c r="O33" s="136">
        <v>0.55000000000000004</v>
      </c>
      <c r="P33" s="131"/>
      <c r="Q33" s="131"/>
      <c r="R33" s="131"/>
      <c r="S33" s="137" t="s">
        <v>121</v>
      </c>
      <c r="T33" s="138"/>
      <c r="U33" s="138"/>
      <c r="V33" s="138"/>
      <c r="W33" s="138"/>
      <c r="X33" s="138"/>
      <c r="Y33" s="138"/>
      <c r="Z33" s="138"/>
      <c r="AA33" s="138"/>
      <c r="AB33" s="138"/>
      <c r="AC33" s="138"/>
      <c r="AD33" s="138"/>
      <c r="AE33" s="138"/>
      <c r="AF33" s="138"/>
      <c r="AG33" s="138"/>
      <c r="AH33" s="138"/>
      <c r="AI33" s="138"/>
      <c r="AJ33" s="138"/>
      <c r="AK33" s="138"/>
      <c r="AL33" s="138"/>
      <c r="AM33" s="138"/>
      <c r="AN33" s="138"/>
      <c r="AO33" s="138"/>
      <c r="AP33" s="138"/>
      <c r="AQ33" s="138"/>
      <c r="AR33" s="138"/>
      <c r="AS33" s="138"/>
      <c r="AT33" s="138"/>
      <c r="AU33" s="138"/>
      <c r="AV33" s="138"/>
      <c r="AW33" s="139"/>
      <c r="AX33" s="118"/>
      <c r="AY33" s="118"/>
      <c r="AZ33" s="118"/>
      <c r="BA33" s="118"/>
      <c r="BB33" s="118"/>
      <c r="BC33" s="119"/>
      <c r="BD33" s="122"/>
      <c r="BE33" s="118"/>
      <c r="BF33" s="118"/>
      <c r="BG33" s="118"/>
      <c r="BH33" s="118"/>
      <c r="BI33" s="118"/>
      <c r="BJ33" s="119"/>
      <c r="BK33" s="45"/>
    </row>
    <row r="34" spans="1:63" ht="15" customHeight="1" x14ac:dyDescent="0.25">
      <c r="A34" s="44"/>
      <c r="B34" s="133"/>
      <c r="C34" s="134"/>
      <c r="D34" s="134"/>
      <c r="E34" s="134"/>
      <c r="F34" s="134"/>
      <c r="G34" s="135"/>
      <c r="H34" s="133"/>
      <c r="I34" s="134"/>
      <c r="J34" s="134"/>
      <c r="K34" s="134"/>
      <c r="L34" s="134"/>
      <c r="M34" s="134"/>
      <c r="N34" s="135"/>
      <c r="O34" s="133"/>
      <c r="P34" s="134"/>
      <c r="Q34" s="134"/>
      <c r="R34" s="134"/>
      <c r="S34" s="127" t="s">
        <v>122</v>
      </c>
      <c r="T34" s="128"/>
      <c r="U34" s="128"/>
      <c r="V34" s="128"/>
      <c r="W34" s="128"/>
      <c r="X34" s="128"/>
      <c r="Y34" s="128"/>
      <c r="Z34" s="128"/>
      <c r="AA34" s="128"/>
      <c r="AB34" s="128"/>
      <c r="AC34" s="128"/>
      <c r="AD34" s="128"/>
      <c r="AE34" s="128"/>
      <c r="AF34" s="128"/>
      <c r="AG34" s="128"/>
      <c r="AH34" s="128"/>
      <c r="AI34" s="128"/>
      <c r="AJ34" s="128"/>
      <c r="AK34" s="128"/>
      <c r="AL34" s="128"/>
      <c r="AM34" s="128"/>
      <c r="AN34" s="128"/>
      <c r="AO34" s="128"/>
      <c r="AP34" s="128"/>
      <c r="AQ34" s="128"/>
      <c r="AR34" s="128"/>
      <c r="AS34" s="128"/>
      <c r="AT34" s="128"/>
      <c r="AU34" s="128"/>
      <c r="AV34" s="128"/>
      <c r="AW34" s="129"/>
      <c r="AX34" s="120"/>
      <c r="AY34" s="120"/>
      <c r="AZ34" s="120"/>
      <c r="BA34" s="120"/>
      <c r="BB34" s="120"/>
      <c r="BC34" s="121"/>
      <c r="BD34" s="123"/>
      <c r="BE34" s="120"/>
      <c r="BF34" s="120"/>
      <c r="BG34" s="120"/>
      <c r="BH34" s="120"/>
      <c r="BI34" s="120"/>
      <c r="BJ34" s="121"/>
      <c r="BK34" s="45"/>
    </row>
    <row r="35" spans="1:63" ht="15" customHeight="1" x14ac:dyDescent="0.25">
      <c r="A35" s="44"/>
      <c r="B35" s="68"/>
      <c r="C35" s="69"/>
      <c r="D35" s="69"/>
      <c r="E35" s="69"/>
      <c r="F35" s="69"/>
      <c r="G35" s="70"/>
      <c r="H35" s="68"/>
      <c r="I35" s="69"/>
      <c r="J35" s="69"/>
      <c r="K35" s="69"/>
      <c r="L35" s="69"/>
      <c r="M35" s="69"/>
      <c r="N35" s="70"/>
      <c r="O35" s="68"/>
      <c r="P35" s="69"/>
      <c r="Q35" s="69"/>
      <c r="R35" s="69"/>
      <c r="S35" s="115"/>
      <c r="T35" s="116"/>
      <c r="U35" s="116"/>
      <c r="V35" s="116"/>
      <c r="W35" s="116"/>
      <c r="X35" s="116"/>
      <c r="Y35" s="116"/>
      <c r="Z35" s="116"/>
      <c r="AA35" s="116"/>
      <c r="AB35" s="116"/>
      <c r="AC35" s="116"/>
      <c r="AD35" s="116"/>
      <c r="AE35" s="116"/>
      <c r="AF35" s="116"/>
      <c r="AG35" s="116"/>
      <c r="AH35" s="116"/>
      <c r="AI35" s="116"/>
      <c r="AJ35" s="116"/>
      <c r="AK35" s="116"/>
      <c r="AL35" s="116"/>
      <c r="AM35" s="116"/>
      <c r="AN35" s="116"/>
      <c r="AO35" s="116"/>
      <c r="AP35" s="116"/>
      <c r="AQ35" s="116"/>
      <c r="AR35" s="116"/>
      <c r="AS35" s="116"/>
      <c r="AT35" s="116"/>
      <c r="AU35" s="116"/>
      <c r="AV35" s="116"/>
      <c r="AW35" s="117"/>
      <c r="AX35" s="118"/>
      <c r="AY35" s="118"/>
      <c r="AZ35" s="118"/>
      <c r="BA35" s="118"/>
      <c r="BB35" s="118"/>
      <c r="BC35" s="119"/>
      <c r="BD35" s="122"/>
      <c r="BE35" s="118"/>
      <c r="BF35" s="118"/>
      <c r="BG35" s="118"/>
      <c r="BH35" s="118"/>
      <c r="BI35" s="118"/>
      <c r="BJ35" s="119"/>
      <c r="BK35" s="45"/>
    </row>
    <row r="36" spans="1:63" ht="15" customHeight="1" x14ac:dyDescent="0.25">
      <c r="A36" s="44"/>
      <c r="B36" s="74"/>
      <c r="C36" s="75"/>
      <c r="D36" s="75"/>
      <c r="E36" s="75"/>
      <c r="F36" s="75"/>
      <c r="G36" s="76"/>
      <c r="H36" s="74"/>
      <c r="I36" s="75"/>
      <c r="J36" s="75"/>
      <c r="K36" s="75"/>
      <c r="L36" s="75"/>
      <c r="M36" s="75"/>
      <c r="N36" s="76"/>
      <c r="O36" s="74"/>
      <c r="P36" s="75"/>
      <c r="Q36" s="75"/>
      <c r="R36" s="75"/>
      <c r="S36" s="124"/>
      <c r="T36" s="125"/>
      <c r="U36" s="125"/>
      <c r="V36" s="125"/>
      <c r="W36" s="125"/>
      <c r="X36" s="125"/>
      <c r="Y36" s="125"/>
      <c r="Z36" s="125"/>
      <c r="AA36" s="125"/>
      <c r="AB36" s="125"/>
      <c r="AC36" s="125"/>
      <c r="AD36" s="125"/>
      <c r="AE36" s="125"/>
      <c r="AF36" s="125"/>
      <c r="AG36" s="125"/>
      <c r="AH36" s="125"/>
      <c r="AI36" s="125"/>
      <c r="AJ36" s="125"/>
      <c r="AK36" s="125"/>
      <c r="AL36" s="125"/>
      <c r="AM36" s="125"/>
      <c r="AN36" s="125"/>
      <c r="AO36" s="125"/>
      <c r="AP36" s="125"/>
      <c r="AQ36" s="125"/>
      <c r="AR36" s="125"/>
      <c r="AS36" s="125"/>
      <c r="AT36" s="125"/>
      <c r="AU36" s="125"/>
      <c r="AV36" s="125"/>
      <c r="AW36" s="126"/>
      <c r="AX36" s="120"/>
      <c r="AY36" s="120"/>
      <c r="AZ36" s="120"/>
      <c r="BA36" s="120"/>
      <c r="BB36" s="120"/>
      <c r="BC36" s="121"/>
      <c r="BD36" s="123"/>
      <c r="BE36" s="120"/>
      <c r="BF36" s="120"/>
      <c r="BG36" s="120"/>
      <c r="BH36" s="120"/>
      <c r="BI36" s="120"/>
      <c r="BJ36" s="121"/>
      <c r="BK36" s="45"/>
    </row>
    <row r="37" spans="1:63" ht="15" customHeight="1" x14ac:dyDescent="0.25">
      <c r="A37" s="44"/>
      <c r="B37" s="68"/>
      <c r="C37" s="69"/>
      <c r="D37" s="69"/>
      <c r="E37" s="69"/>
      <c r="F37" s="69"/>
      <c r="G37" s="70"/>
      <c r="H37" s="68"/>
      <c r="I37" s="69"/>
      <c r="J37" s="69"/>
      <c r="K37" s="69"/>
      <c r="L37" s="69"/>
      <c r="M37" s="69"/>
      <c r="N37" s="70"/>
      <c r="O37" s="68"/>
      <c r="P37" s="69"/>
      <c r="Q37" s="69"/>
      <c r="R37" s="69"/>
      <c r="S37" s="115"/>
      <c r="T37" s="116"/>
      <c r="U37" s="116"/>
      <c r="V37" s="116"/>
      <c r="W37" s="116"/>
      <c r="X37" s="116"/>
      <c r="Y37" s="116"/>
      <c r="Z37" s="116"/>
      <c r="AA37" s="116"/>
      <c r="AB37" s="116"/>
      <c r="AC37" s="116"/>
      <c r="AD37" s="116"/>
      <c r="AE37" s="116"/>
      <c r="AF37" s="116"/>
      <c r="AG37" s="116"/>
      <c r="AH37" s="116"/>
      <c r="AI37" s="116"/>
      <c r="AJ37" s="116"/>
      <c r="AK37" s="116"/>
      <c r="AL37" s="116"/>
      <c r="AM37" s="116"/>
      <c r="AN37" s="116"/>
      <c r="AO37" s="116"/>
      <c r="AP37" s="116"/>
      <c r="AQ37" s="116"/>
      <c r="AR37" s="116"/>
      <c r="AS37" s="116"/>
      <c r="AT37" s="116"/>
      <c r="AU37" s="116"/>
      <c r="AV37" s="116"/>
      <c r="AW37" s="117"/>
      <c r="AX37" s="118"/>
      <c r="AY37" s="118"/>
      <c r="AZ37" s="118"/>
      <c r="BA37" s="118"/>
      <c r="BB37" s="118"/>
      <c r="BC37" s="119"/>
      <c r="BD37" s="122"/>
      <c r="BE37" s="118"/>
      <c r="BF37" s="118"/>
      <c r="BG37" s="118"/>
      <c r="BH37" s="118"/>
      <c r="BI37" s="118"/>
      <c r="BJ37" s="119"/>
      <c r="BK37" s="45"/>
    </row>
    <row r="38" spans="1:63" ht="15" customHeight="1" x14ac:dyDescent="0.25">
      <c r="A38" s="44"/>
      <c r="B38" s="74"/>
      <c r="C38" s="75"/>
      <c r="D38" s="75"/>
      <c r="E38" s="75"/>
      <c r="F38" s="75"/>
      <c r="G38" s="76"/>
      <c r="H38" s="74"/>
      <c r="I38" s="75"/>
      <c r="J38" s="75"/>
      <c r="K38" s="75"/>
      <c r="L38" s="75"/>
      <c r="M38" s="75"/>
      <c r="N38" s="76"/>
      <c r="O38" s="74"/>
      <c r="P38" s="75"/>
      <c r="Q38" s="75"/>
      <c r="R38" s="75"/>
      <c r="S38" s="124"/>
      <c r="T38" s="125"/>
      <c r="U38" s="125"/>
      <c r="V38" s="125"/>
      <c r="W38" s="125"/>
      <c r="X38" s="125"/>
      <c r="Y38" s="125"/>
      <c r="Z38" s="125"/>
      <c r="AA38" s="125"/>
      <c r="AB38" s="125"/>
      <c r="AC38" s="125"/>
      <c r="AD38" s="125"/>
      <c r="AE38" s="125"/>
      <c r="AF38" s="125"/>
      <c r="AG38" s="125"/>
      <c r="AH38" s="125"/>
      <c r="AI38" s="125"/>
      <c r="AJ38" s="125"/>
      <c r="AK38" s="125"/>
      <c r="AL38" s="125"/>
      <c r="AM38" s="125"/>
      <c r="AN38" s="125"/>
      <c r="AO38" s="125"/>
      <c r="AP38" s="125"/>
      <c r="AQ38" s="125"/>
      <c r="AR38" s="125"/>
      <c r="AS38" s="125"/>
      <c r="AT38" s="125"/>
      <c r="AU38" s="125"/>
      <c r="AV38" s="125"/>
      <c r="AW38" s="126"/>
      <c r="AX38" s="120"/>
      <c r="AY38" s="120"/>
      <c r="AZ38" s="120"/>
      <c r="BA38" s="120"/>
      <c r="BB38" s="120"/>
      <c r="BC38" s="121"/>
      <c r="BD38" s="123"/>
      <c r="BE38" s="120"/>
      <c r="BF38" s="120"/>
      <c r="BG38" s="120"/>
      <c r="BH38" s="120"/>
      <c r="BI38" s="120"/>
      <c r="BJ38" s="121"/>
      <c r="BK38" s="45"/>
    </row>
    <row r="39" spans="1:63" ht="15" customHeight="1" x14ac:dyDescent="0.25">
      <c r="A39" s="44"/>
      <c r="B39" s="68"/>
      <c r="C39" s="69"/>
      <c r="D39" s="69"/>
      <c r="E39" s="69"/>
      <c r="F39" s="69"/>
      <c r="G39" s="70"/>
      <c r="H39" s="68"/>
      <c r="I39" s="69"/>
      <c r="J39" s="69"/>
      <c r="K39" s="69"/>
      <c r="L39" s="69"/>
      <c r="M39" s="69"/>
      <c r="N39" s="70"/>
      <c r="O39" s="68"/>
      <c r="P39" s="69"/>
      <c r="Q39" s="69"/>
      <c r="R39" s="69"/>
      <c r="S39" s="115"/>
      <c r="T39" s="116"/>
      <c r="U39" s="116"/>
      <c r="V39" s="116"/>
      <c r="W39" s="116"/>
      <c r="X39" s="116"/>
      <c r="Y39" s="116"/>
      <c r="Z39" s="116"/>
      <c r="AA39" s="116"/>
      <c r="AB39" s="116"/>
      <c r="AC39" s="116"/>
      <c r="AD39" s="116"/>
      <c r="AE39" s="116"/>
      <c r="AF39" s="116"/>
      <c r="AG39" s="116"/>
      <c r="AH39" s="116"/>
      <c r="AI39" s="116"/>
      <c r="AJ39" s="116"/>
      <c r="AK39" s="116"/>
      <c r="AL39" s="116"/>
      <c r="AM39" s="116"/>
      <c r="AN39" s="116"/>
      <c r="AO39" s="116"/>
      <c r="AP39" s="116"/>
      <c r="AQ39" s="116"/>
      <c r="AR39" s="116"/>
      <c r="AS39" s="116"/>
      <c r="AT39" s="116"/>
      <c r="AU39" s="116"/>
      <c r="AV39" s="116"/>
      <c r="AW39" s="117"/>
      <c r="AX39" s="118"/>
      <c r="AY39" s="118"/>
      <c r="AZ39" s="118"/>
      <c r="BA39" s="118"/>
      <c r="BB39" s="118"/>
      <c r="BC39" s="119"/>
      <c r="BD39" s="122"/>
      <c r="BE39" s="118"/>
      <c r="BF39" s="118"/>
      <c r="BG39" s="118"/>
      <c r="BH39" s="118"/>
      <c r="BI39" s="118"/>
      <c r="BJ39" s="119"/>
      <c r="BK39" s="45"/>
    </row>
    <row r="40" spans="1:63" ht="15" customHeight="1" x14ac:dyDescent="0.25">
      <c r="A40" s="44"/>
      <c r="B40" s="74"/>
      <c r="C40" s="75"/>
      <c r="D40" s="75"/>
      <c r="E40" s="75"/>
      <c r="F40" s="75"/>
      <c r="G40" s="76"/>
      <c r="H40" s="74"/>
      <c r="I40" s="75"/>
      <c r="J40" s="75"/>
      <c r="K40" s="75"/>
      <c r="L40" s="75"/>
      <c r="M40" s="75"/>
      <c r="N40" s="76"/>
      <c r="O40" s="74"/>
      <c r="P40" s="75"/>
      <c r="Q40" s="75"/>
      <c r="R40" s="75"/>
      <c r="S40" s="127"/>
      <c r="T40" s="128"/>
      <c r="U40" s="128"/>
      <c r="V40" s="128"/>
      <c r="W40" s="128"/>
      <c r="X40" s="128"/>
      <c r="Y40" s="128"/>
      <c r="Z40" s="128"/>
      <c r="AA40" s="128"/>
      <c r="AB40" s="128"/>
      <c r="AC40" s="128"/>
      <c r="AD40" s="128"/>
      <c r="AE40" s="128"/>
      <c r="AF40" s="128"/>
      <c r="AG40" s="128"/>
      <c r="AH40" s="128"/>
      <c r="AI40" s="128"/>
      <c r="AJ40" s="128"/>
      <c r="AK40" s="128"/>
      <c r="AL40" s="128"/>
      <c r="AM40" s="128"/>
      <c r="AN40" s="128"/>
      <c r="AO40" s="128"/>
      <c r="AP40" s="128"/>
      <c r="AQ40" s="128"/>
      <c r="AR40" s="128"/>
      <c r="AS40" s="128"/>
      <c r="AT40" s="128"/>
      <c r="AU40" s="128"/>
      <c r="AV40" s="128"/>
      <c r="AW40" s="129"/>
      <c r="AX40" s="120"/>
      <c r="AY40" s="120"/>
      <c r="AZ40" s="120"/>
      <c r="BA40" s="120"/>
      <c r="BB40" s="120"/>
      <c r="BC40" s="121"/>
      <c r="BD40" s="123"/>
      <c r="BE40" s="120"/>
      <c r="BF40" s="120"/>
      <c r="BG40" s="120"/>
      <c r="BH40" s="120"/>
      <c r="BI40" s="120"/>
      <c r="BJ40" s="121"/>
      <c r="BK40" s="45"/>
    </row>
    <row r="41" spans="1:63" ht="15" customHeight="1" x14ac:dyDescent="0.25">
      <c r="A41" s="44"/>
      <c r="B41" s="68"/>
      <c r="C41" s="69"/>
      <c r="D41" s="69"/>
      <c r="E41" s="69"/>
      <c r="F41" s="69"/>
      <c r="G41" s="70"/>
      <c r="H41" s="68"/>
      <c r="I41" s="69"/>
      <c r="J41" s="69"/>
      <c r="K41" s="69"/>
      <c r="L41" s="69"/>
      <c r="M41" s="69"/>
      <c r="N41" s="70"/>
      <c r="O41" s="68"/>
      <c r="P41" s="69"/>
      <c r="Q41" s="69"/>
      <c r="R41" s="69"/>
      <c r="S41" s="115"/>
      <c r="T41" s="116"/>
      <c r="U41" s="116"/>
      <c r="V41" s="116"/>
      <c r="W41" s="116"/>
      <c r="X41" s="116"/>
      <c r="Y41" s="116"/>
      <c r="Z41" s="116"/>
      <c r="AA41" s="116"/>
      <c r="AB41" s="116"/>
      <c r="AC41" s="116"/>
      <c r="AD41" s="116"/>
      <c r="AE41" s="116"/>
      <c r="AF41" s="116"/>
      <c r="AG41" s="116"/>
      <c r="AH41" s="116"/>
      <c r="AI41" s="116"/>
      <c r="AJ41" s="116"/>
      <c r="AK41" s="116"/>
      <c r="AL41" s="116"/>
      <c r="AM41" s="116"/>
      <c r="AN41" s="116"/>
      <c r="AO41" s="116"/>
      <c r="AP41" s="116"/>
      <c r="AQ41" s="116"/>
      <c r="AR41" s="116"/>
      <c r="AS41" s="116"/>
      <c r="AT41" s="116"/>
      <c r="AU41" s="116"/>
      <c r="AV41" s="116"/>
      <c r="AW41" s="117"/>
      <c r="AX41" s="118"/>
      <c r="AY41" s="118"/>
      <c r="AZ41" s="118"/>
      <c r="BA41" s="118"/>
      <c r="BB41" s="118"/>
      <c r="BC41" s="119"/>
      <c r="BD41" s="122"/>
      <c r="BE41" s="118"/>
      <c r="BF41" s="118"/>
      <c r="BG41" s="118"/>
      <c r="BH41" s="118"/>
      <c r="BI41" s="118"/>
      <c r="BJ41" s="119"/>
      <c r="BK41" s="45"/>
    </row>
    <row r="42" spans="1:63" ht="15" customHeight="1" x14ac:dyDescent="0.25">
      <c r="A42" s="44"/>
      <c r="B42" s="74"/>
      <c r="C42" s="75"/>
      <c r="D42" s="75"/>
      <c r="E42" s="75"/>
      <c r="F42" s="75"/>
      <c r="G42" s="76"/>
      <c r="H42" s="74"/>
      <c r="I42" s="75"/>
      <c r="J42" s="75"/>
      <c r="K42" s="75"/>
      <c r="L42" s="75"/>
      <c r="M42" s="75"/>
      <c r="N42" s="76"/>
      <c r="O42" s="74"/>
      <c r="P42" s="75"/>
      <c r="Q42" s="75"/>
      <c r="R42" s="75"/>
      <c r="S42" s="124"/>
      <c r="T42" s="125"/>
      <c r="U42" s="125"/>
      <c r="V42" s="125"/>
      <c r="W42" s="125"/>
      <c r="X42" s="125"/>
      <c r="Y42" s="125"/>
      <c r="Z42" s="125"/>
      <c r="AA42" s="125"/>
      <c r="AB42" s="125"/>
      <c r="AC42" s="125"/>
      <c r="AD42" s="125"/>
      <c r="AE42" s="125"/>
      <c r="AF42" s="125"/>
      <c r="AG42" s="125"/>
      <c r="AH42" s="125"/>
      <c r="AI42" s="125"/>
      <c r="AJ42" s="125"/>
      <c r="AK42" s="125"/>
      <c r="AL42" s="125"/>
      <c r="AM42" s="125"/>
      <c r="AN42" s="125"/>
      <c r="AO42" s="125"/>
      <c r="AP42" s="125"/>
      <c r="AQ42" s="125"/>
      <c r="AR42" s="125"/>
      <c r="AS42" s="125"/>
      <c r="AT42" s="125"/>
      <c r="AU42" s="125"/>
      <c r="AV42" s="125"/>
      <c r="AW42" s="126"/>
      <c r="AX42" s="120"/>
      <c r="AY42" s="120"/>
      <c r="AZ42" s="120"/>
      <c r="BA42" s="120"/>
      <c r="BB42" s="120"/>
      <c r="BC42" s="121"/>
      <c r="BD42" s="123"/>
      <c r="BE42" s="120"/>
      <c r="BF42" s="120"/>
      <c r="BG42" s="120"/>
      <c r="BH42" s="120"/>
      <c r="BI42" s="120"/>
      <c r="BJ42" s="121"/>
      <c r="BK42" s="45"/>
    </row>
    <row r="43" spans="1:63" ht="15" customHeight="1" x14ac:dyDescent="0.25">
      <c r="A43" s="44"/>
      <c r="B43" s="68"/>
      <c r="C43" s="69"/>
      <c r="D43" s="69"/>
      <c r="E43" s="69"/>
      <c r="F43" s="69"/>
      <c r="G43" s="70"/>
      <c r="H43" s="68"/>
      <c r="I43" s="69"/>
      <c r="J43" s="69"/>
      <c r="K43" s="69"/>
      <c r="L43" s="69"/>
      <c r="M43" s="69"/>
      <c r="N43" s="70"/>
      <c r="O43" s="68"/>
      <c r="P43" s="69"/>
      <c r="Q43" s="69"/>
      <c r="R43" s="69"/>
      <c r="S43" s="115"/>
      <c r="T43" s="116"/>
      <c r="U43" s="116"/>
      <c r="V43" s="116"/>
      <c r="W43" s="116"/>
      <c r="X43" s="116"/>
      <c r="Y43" s="116"/>
      <c r="Z43" s="116"/>
      <c r="AA43" s="116"/>
      <c r="AB43" s="116"/>
      <c r="AC43" s="116"/>
      <c r="AD43" s="116"/>
      <c r="AE43" s="116"/>
      <c r="AF43" s="116"/>
      <c r="AG43" s="116"/>
      <c r="AH43" s="116"/>
      <c r="AI43" s="116"/>
      <c r="AJ43" s="116"/>
      <c r="AK43" s="116"/>
      <c r="AL43" s="116"/>
      <c r="AM43" s="116"/>
      <c r="AN43" s="116"/>
      <c r="AO43" s="116"/>
      <c r="AP43" s="116"/>
      <c r="AQ43" s="116"/>
      <c r="AR43" s="116"/>
      <c r="AS43" s="116"/>
      <c r="AT43" s="116"/>
      <c r="AU43" s="116"/>
      <c r="AV43" s="116"/>
      <c r="AW43" s="117"/>
      <c r="AX43" s="118"/>
      <c r="AY43" s="118"/>
      <c r="AZ43" s="118"/>
      <c r="BA43" s="118"/>
      <c r="BB43" s="118"/>
      <c r="BC43" s="119"/>
      <c r="BD43" s="122"/>
      <c r="BE43" s="118"/>
      <c r="BF43" s="118"/>
      <c r="BG43" s="118"/>
      <c r="BH43" s="118"/>
      <c r="BI43" s="118"/>
      <c r="BJ43" s="119"/>
      <c r="BK43" s="45"/>
    </row>
    <row r="44" spans="1:63" ht="15" customHeight="1" x14ac:dyDescent="0.25">
      <c r="A44" s="44"/>
      <c r="B44" s="74"/>
      <c r="C44" s="75"/>
      <c r="D44" s="75"/>
      <c r="E44" s="75"/>
      <c r="F44" s="75"/>
      <c r="G44" s="76"/>
      <c r="H44" s="74"/>
      <c r="I44" s="75"/>
      <c r="J44" s="75"/>
      <c r="K44" s="75"/>
      <c r="L44" s="75"/>
      <c r="M44" s="75"/>
      <c r="N44" s="76"/>
      <c r="O44" s="74"/>
      <c r="P44" s="75"/>
      <c r="Q44" s="75"/>
      <c r="R44" s="75"/>
      <c r="S44" s="124"/>
      <c r="T44" s="125"/>
      <c r="U44" s="125"/>
      <c r="V44" s="125"/>
      <c r="W44" s="125"/>
      <c r="X44" s="125"/>
      <c r="Y44" s="125"/>
      <c r="Z44" s="125"/>
      <c r="AA44" s="125"/>
      <c r="AB44" s="125"/>
      <c r="AC44" s="125"/>
      <c r="AD44" s="125"/>
      <c r="AE44" s="125"/>
      <c r="AF44" s="125"/>
      <c r="AG44" s="125"/>
      <c r="AH44" s="125"/>
      <c r="AI44" s="125"/>
      <c r="AJ44" s="125"/>
      <c r="AK44" s="125"/>
      <c r="AL44" s="125"/>
      <c r="AM44" s="125"/>
      <c r="AN44" s="125"/>
      <c r="AO44" s="125"/>
      <c r="AP44" s="125"/>
      <c r="AQ44" s="125"/>
      <c r="AR44" s="125"/>
      <c r="AS44" s="125"/>
      <c r="AT44" s="125"/>
      <c r="AU44" s="125"/>
      <c r="AV44" s="125"/>
      <c r="AW44" s="126"/>
      <c r="AX44" s="120"/>
      <c r="AY44" s="120"/>
      <c r="AZ44" s="120"/>
      <c r="BA44" s="120"/>
      <c r="BB44" s="120"/>
      <c r="BC44" s="121"/>
      <c r="BD44" s="123"/>
      <c r="BE44" s="120"/>
      <c r="BF44" s="120"/>
      <c r="BG44" s="120"/>
      <c r="BH44" s="120"/>
      <c r="BI44" s="120"/>
      <c r="BJ44" s="121"/>
      <c r="BK44" s="45"/>
    </row>
    <row r="45" spans="1:63" ht="15" customHeight="1" x14ac:dyDescent="0.25">
      <c r="A45" s="44"/>
      <c r="B45" s="68"/>
      <c r="C45" s="69"/>
      <c r="D45" s="69"/>
      <c r="E45" s="69"/>
      <c r="F45" s="69"/>
      <c r="G45" s="70"/>
      <c r="H45" s="68"/>
      <c r="I45" s="69"/>
      <c r="J45" s="69"/>
      <c r="K45" s="69"/>
      <c r="L45" s="69"/>
      <c r="M45" s="69"/>
      <c r="N45" s="70"/>
      <c r="O45" s="68"/>
      <c r="P45" s="69"/>
      <c r="Q45" s="69"/>
      <c r="R45" s="69"/>
      <c r="S45" s="115"/>
      <c r="T45" s="116"/>
      <c r="U45" s="116"/>
      <c r="V45" s="116"/>
      <c r="W45" s="116"/>
      <c r="X45" s="116"/>
      <c r="Y45" s="116"/>
      <c r="Z45" s="116"/>
      <c r="AA45" s="116"/>
      <c r="AB45" s="116"/>
      <c r="AC45" s="116"/>
      <c r="AD45" s="116"/>
      <c r="AE45" s="116"/>
      <c r="AF45" s="116"/>
      <c r="AG45" s="116"/>
      <c r="AH45" s="116"/>
      <c r="AI45" s="116"/>
      <c r="AJ45" s="116"/>
      <c r="AK45" s="116"/>
      <c r="AL45" s="116"/>
      <c r="AM45" s="116"/>
      <c r="AN45" s="116"/>
      <c r="AO45" s="116"/>
      <c r="AP45" s="116"/>
      <c r="AQ45" s="116"/>
      <c r="AR45" s="116"/>
      <c r="AS45" s="116"/>
      <c r="AT45" s="116"/>
      <c r="AU45" s="116"/>
      <c r="AV45" s="116"/>
      <c r="AW45" s="117"/>
      <c r="AX45" s="118"/>
      <c r="AY45" s="118"/>
      <c r="AZ45" s="118"/>
      <c r="BA45" s="118"/>
      <c r="BB45" s="118"/>
      <c r="BC45" s="119"/>
      <c r="BD45" s="122"/>
      <c r="BE45" s="118"/>
      <c r="BF45" s="118"/>
      <c r="BG45" s="118"/>
      <c r="BH45" s="118"/>
      <c r="BI45" s="118"/>
      <c r="BJ45" s="119"/>
      <c r="BK45" s="45"/>
    </row>
    <row r="46" spans="1:63" ht="15" customHeight="1" x14ac:dyDescent="0.25">
      <c r="A46" s="44"/>
      <c r="B46" s="74"/>
      <c r="C46" s="75"/>
      <c r="D46" s="75"/>
      <c r="E46" s="75"/>
      <c r="F46" s="75"/>
      <c r="G46" s="76"/>
      <c r="H46" s="74"/>
      <c r="I46" s="75"/>
      <c r="J46" s="75"/>
      <c r="K46" s="75"/>
      <c r="L46" s="75"/>
      <c r="M46" s="75"/>
      <c r="N46" s="76"/>
      <c r="O46" s="74"/>
      <c r="P46" s="75"/>
      <c r="Q46" s="75"/>
      <c r="R46" s="75"/>
      <c r="S46" s="124"/>
      <c r="T46" s="125"/>
      <c r="U46" s="125"/>
      <c r="V46" s="125"/>
      <c r="W46" s="125"/>
      <c r="X46" s="125"/>
      <c r="Y46" s="125"/>
      <c r="Z46" s="125"/>
      <c r="AA46" s="125"/>
      <c r="AB46" s="125"/>
      <c r="AC46" s="125"/>
      <c r="AD46" s="125"/>
      <c r="AE46" s="125"/>
      <c r="AF46" s="125"/>
      <c r="AG46" s="125"/>
      <c r="AH46" s="125"/>
      <c r="AI46" s="125"/>
      <c r="AJ46" s="125"/>
      <c r="AK46" s="125"/>
      <c r="AL46" s="125"/>
      <c r="AM46" s="125"/>
      <c r="AN46" s="125"/>
      <c r="AO46" s="125"/>
      <c r="AP46" s="125"/>
      <c r="AQ46" s="125"/>
      <c r="AR46" s="125"/>
      <c r="AS46" s="125"/>
      <c r="AT46" s="125"/>
      <c r="AU46" s="125"/>
      <c r="AV46" s="125"/>
      <c r="AW46" s="126"/>
      <c r="AX46" s="120"/>
      <c r="AY46" s="120"/>
      <c r="AZ46" s="120"/>
      <c r="BA46" s="120"/>
      <c r="BB46" s="120"/>
      <c r="BC46" s="121"/>
      <c r="BD46" s="123"/>
      <c r="BE46" s="120"/>
      <c r="BF46" s="120"/>
      <c r="BG46" s="120"/>
      <c r="BH46" s="120"/>
      <c r="BI46" s="120"/>
      <c r="BJ46" s="121"/>
      <c r="BK46" s="45"/>
    </row>
    <row r="47" spans="1:63" ht="15" customHeight="1" x14ac:dyDescent="0.25">
      <c r="A47" s="44"/>
      <c r="B47" s="68"/>
      <c r="C47" s="69"/>
      <c r="D47" s="69"/>
      <c r="E47" s="69"/>
      <c r="F47" s="69"/>
      <c r="G47" s="70"/>
      <c r="H47" s="68"/>
      <c r="I47" s="69"/>
      <c r="J47" s="69"/>
      <c r="K47" s="69"/>
      <c r="L47" s="69"/>
      <c r="M47" s="69"/>
      <c r="N47" s="70"/>
      <c r="O47" s="68"/>
      <c r="P47" s="69"/>
      <c r="Q47" s="69"/>
      <c r="R47" s="69"/>
      <c r="S47" s="115"/>
      <c r="T47" s="116"/>
      <c r="U47" s="116"/>
      <c r="V47" s="116"/>
      <c r="W47" s="116"/>
      <c r="X47" s="116"/>
      <c r="Y47" s="116"/>
      <c r="Z47" s="116"/>
      <c r="AA47" s="116"/>
      <c r="AB47" s="116"/>
      <c r="AC47" s="116"/>
      <c r="AD47" s="116"/>
      <c r="AE47" s="116"/>
      <c r="AF47" s="116"/>
      <c r="AG47" s="116"/>
      <c r="AH47" s="116"/>
      <c r="AI47" s="116"/>
      <c r="AJ47" s="116"/>
      <c r="AK47" s="116"/>
      <c r="AL47" s="116"/>
      <c r="AM47" s="116"/>
      <c r="AN47" s="116"/>
      <c r="AO47" s="116"/>
      <c r="AP47" s="116"/>
      <c r="AQ47" s="116"/>
      <c r="AR47" s="116"/>
      <c r="AS47" s="116"/>
      <c r="AT47" s="116"/>
      <c r="AU47" s="116"/>
      <c r="AV47" s="116"/>
      <c r="AW47" s="117"/>
      <c r="AX47" s="118"/>
      <c r="AY47" s="118"/>
      <c r="AZ47" s="118"/>
      <c r="BA47" s="118"/>
      <c r="BB47" s="118"/>
      <c r="BC47" s="119"/>
      <c r="BD47" s="122"/>
      <c r="BE47" s="118"/>
      <c r="BF47" s="118"/>
      <c r="BG47" s="118"/>
      <c r="BH47" s="118"/>
      <c r="BI47" s="118"/>
      <c r="BJ47" s="119"/>
      <c r="BK47" s="45"/>
    </row>
    <row r="48" spans="1:63" ht="15" customHeight="1" x14ac:dyDescent="0.25">
      <c r="A48" s="44"/>
      <c r="B48" s="74"/>
      <c r="C48" s="75"/>
      <c r="D48" s="75"/>
      <c r="E48" s="75"/>
      <c r="F48" s="75"/>
      <c r="G48" s="76"/>
      <c r="H48" s="74"/>
      <c r="I48" s="75"/>
      <c r="J48" s="75"/>
      <c r="K48" s="75"/>
      <c r="L48" s="75"/>
      <c r="M48" s="75"/>
      <c r="N48" s="76"/>
      <c r="O48" s="74"/>
      <c r="P48" s="75"/>
      <c r="Q48" s="75"/>
      <c r="R48" s="75"/>
      <c r="S48" s="124"/>
      <c r="T48" s="125"/>
      <c r="U48" s="125"/>
      <c r="V48" s="125"/>
      <c r="W48" s="125"/>
      <c r="X48" s="125"/>
      <c r="Y48" s="125"/>
      <c r="Z48" s="125"/>
      <c r="AA48" s="125"/>
      <c r="AB48" s="125"/>
      <c r="AC48" s="125"/>
      <c r="AD48" s="125"/>
      <c r="AE48" s="125"/>
      <c r="AF48" s="125"/>
      <c r="AG48" s="125"/>
      <c r="AH48" s="125"/>
      <c r="AI48" s="125"/>
      <c r="AJ48" s="125"/>
      <c r="AK48" s="125"/>
      <c r="AL48" s="125"/>
      <c r="AM48" s="125"/>
      <c r="AN48" s="125"/>
      <c r="AO48" s="125"/>
      <c r="AP48" s="125"/>
      <c r="AQ48" s="125"/>
      <c r="AR48" s="125"/>
      <c r="AS48" s="125"/>
      <c r="AT48" s="125"/>
      <c r="AU48" s="125"/>
      <c r="AV48" s="125"/>
      <c r="AW48" s="126"/>
      <c r="AX48" s="120"/>
      <c r="AY48" s="120"/>
      <c r="AZ48" s="120"/>
      <c r="BA48" s="120"/>
      <c r="BB48" s="120"/>
      <c r="BC48" s="121"/>
      <c r="BD48" s="123"/>
      <c r="BE48" s="120"/>
      <c r="BF48" s="120"/>
      <c r="BG48" s="120"/>
      <c r="BH48" s="120"/>
      <c r="BI48" s="120"/>
      <c r="BJ48" s="121"/>
      <c r="BK48" s="45"/>
    </row>
    <row r="49" spans="1:63" ht="15" customHeight="1" x14ac:dyDescent="0.25">
      <c r="A49" s="44"/>
      <c r="B49" s="68"/>
      <c r="C49" s="69"/>
      <c r="D49" s="69"/>
      <c r="E49" s="69"/>
      <c r="F49" s="69"/>
      <c r="G49" s="70"/>
      <c r="H49" s="68"/>
      <c r="I49" s="69"/>
      <c r="J49" s="69"/>
      <c r="K49" s="69"/>
      <c r="L49" s="69"/>
      <c r="M49" s="69"/>
      <c r="N49" s="70"/>
      <c r="O49" s="68"/>
      <c r="P49" s="69"/>
      <c r="Q49" s="69"/>
      <c r="R49" s="69"/>
      <c r="S49" s="115"/>
      <c r="T49" s="116"/>
      <c r="U49" s="116"/>
      <c r="V49" s="116"/>
      <c r="W49" s="116"/>
      <c r="X49" s="116"/>
      <c r="Y49" s="116"/>
      <c r="Z49" s="116"/>
      <c r="AA49" s="116"/>
      <c r="AB49" s="116"/>
      <c r="AC49" s="116"/>
      <c r="AD49" s="116"/>
      <c r="AE49" s="116"/>
      <c r="AF49" s="116"/>
      <c r="AG49" s="116"/>
      <c r="AH49" s="116"/>
      <c r="AI49" s="116"/>
      <c r="AJ49" s="116"/>
      <c r="AK49" s="116"/>
      <c r="AL49" s="116"/>
      <c r="AM49" s="116"/>
      <c r="AN49" s="116"/>
      <c r="AO49" s="116"/>
      <c r="AP49" s="116"/>
      <c r="AQ49" s="116"/>
      <c r="AR49" s="116"/>
      <c r="AS49" s="116"/>
      <c r="AT49" s="116"/>
      <c r="AU49" s="116"/>
      <c r="AV49" s="116"/>
      <c r="AW49" s="117"/>
      <c r="AX49" s="118"/>
      <c r="AY49" s="118"/>
      <c r="AZ49" s="118"/>
      <c r="BA49" s="118"/>
      <c r="BB49" s="118"/>
      <c r="BC49" s="119"/>
      <c r="BD49" s="122"/>
      <c r="BE49" s="118"/>
      <c r="BF49" s="118"/>
      <c r="BG49" s="118"/>
      <c r="BH49" s="118"/>
      <c r="BI49" s="118"/>
      <c r="BJ49" s="119"/>
      <c r="BK49" s="45"/>
    </row>
    <row r="50" spans="1:63" ht="15" customHeight="1" x14ac:dyDescent="0.25">
      <c r="A50" s="44"/>
      <c r="B50" s="74"/>
      <c r="C50" s="75"/>
      <c r="D50" s="75"/>
      <c r="E50" s="75"/>
      <c r="F50" s="75"/>
      <c r="G50" s="76"/>
      <c r="H50" s="74"/>
      <c r="I50" s="75"/>
      <c r="J50" s="75"/>
      <c r="K50" s="75"/>
      <c r="L50" s="75"/>
      <c r="M50" s="75"/>
      <c r="N50" s="76"/>
      <c r="O50" s="74"/>
      <c r="P50" s="75"/>
      <c r="Q50" s="75"/>
      <c r="R50" s="75"/>
      <c r="S50" s="124"/>
      <c r="T50" s="125"/>
      <c r="U50" s="125"/>
      <c r="V50" s="125"/>
      <c r="W50" s="125"/>
      <c r="X50" s="125"/>
      <c r="Y50" s="125"/>
      <c r="Z50" s="125"/>
      <c r="AA50" s="125"/>
      <c r="AB50" s="125"/>
      <c r="AC50" s="125"/>
      <c r="AD50" s="125"/>
      <c r="AE50" s="125"/>
      <c r="AF50" s="125"/>
      <c r="AG50" s="125"/>
      <c r="AH50" s="125"/>
      <c r="AI50" s="125"/>
      <c r="AJ50" s="125"/>
      <c r="AK50" s="125"/>
      <c r="AL50" s="125"/>
      <c r="AM50" s="125"/>
      <c r="AN50" s="125"/>
      <c r="AO50" s="125"/>
      <c r="AP50" s="125"/>
      <c r="AQ50" s="125"/>
      <c r="AR50" s="125"/>
      <c r="AS50" s="125"/>
      <c r="AT50" s="125"/>
      <c r="AU50" s="125"/>
      <c r="AV50" s="125"/>
      <c r="AW50" s="126"/>
      <c r="AX50" s="120"/>
      <c r="AY50" s="120"/>
      <c r="AZ50" s="120"/>
      <c r="BA50" s="120"/>
      <c r="BB50" s="120"/>
      <c r="BC50" s="121"/>
      <c r="BD50" s="123"/>
      <c r="BE50" s="120"/>
      <c r="BF50" s="120"/>
      <c r="BG50" s="120"/>
      <c r="BH50" s="120"/>
      <c r="BI50" s="120"/>
      <c r="BJ50" s="121"/>
      <c r="BK50" s="45"/>
    </row>
    <row r="51" spans="1:63" ht="15" customHeight="1" x14ac:dyDescent="0.25">
      <c r="A51" s="44"/>
      <c r="B51" s="68"/>
      <c r="C51" s="69"/>
      <c r="D51" s="69"/>
      <c r="E51" s="69"/>
      <c r="F51" s="69"/>
      <c r="G51" s="70"/>
      <c r="H51" s="68"/>
      <c r="I51" s="69"/>
      <c r="J51" s="69"/>
      <c r="K51" s="69"/>
      <c r="L51" s="69"/>
      <c r="M51" s="69"/>
      <c r="N51" s="70"/>
      <c r="O51" s="68"/>
      <c r="P51" s="69"/>
      <c r="Q51" s="69"/>
      <c r="R51" s="69"/>
      <c r="S51" s="115"/>
      <c r="T51" s="116"/>
      <c r="U51" s="116"/>
      <c r="V51" s="116"/>
      <c r="W51" s="116"/>
      <c r="X51" s="116"/>
      <c r="Y51" s="116"/>
      <c r="Z51" s="116"/>
      <c r="AA51" s="116"/>
      <c r="AB51" s="116"/>
      <c r="AC51" s="116"/>
      <c r="AD51" s="116"/>
      <c r="AE51" s="116"/>
      <c r="AF51" s="116"/>
      <c r="AG51" s="116"/>
      <c r="AH51" s="116"/>
      <c r="AI51" s="116"/>
      <c r="AJ51" s="116"/>
      <c r="AK51" s="116"/>
      <c r="AL51" s="116"/>
      <c r="AM51" s="116"/>
      <c r="AN51" s="116"/>
      <c r="AO51" s="116"/>
      <c r="AP51" s="116"/>
      <c r="AQ51" s="116"/>
      <c r="AR51" s="116"/>
      <c r="AS51" s="116"/>
      <c r="AT51" s="116"/>
      <c r="AU51" s="116"/>
      <c r="AV51" s="116"/>
      <c r="AW51" s="117"/>
      <c r="AX51" s="118"/>
      <c r="AY51" s="118"/>
      <c r="AZ51" s="118"/>
      <c r="BA51" s="118"/>
      <c r="BB51" s="118"/>
      <c r="BC51" s="119"/>
      <c r="BD51" s="122"/>
      <c r="BE51" s="118"/>
      <c r="BF51" s="118"/>
      <c r="BG51" s="118"/>
      <c r="BH51" s="118"/>
      <c r="BI51" s="118"/>
      <c r="BJ51" s="119"/>
      <c r="BK51" s="45"/>
    </row>
    <row r="52" spans="1:63" ht="15" customHeight="1" x14ac:dyDescent="0.25">
      <c r="A52" s="44"/>
      <c r="B52" s="74"/>
      <c r="C52" s="75"/>
      <c r="D52" s="75"/>
      <c r="E52" s="75"/>
      <c r="F52" s="75"/>
      <c r="G52" s="76"/>
      <c r="H52" s="74"/>
      <c r="I52" s="75"/>
      <c r="J52" s="75"/>
      <c r="K52" s="75"/>
      <c r="L52" s="75"/>
      <c r="M52" s="75"/>
      <c r="N52" s="76"/>
      <c r="O52" s="74"/>
      <c r="P52" s="75"/>
      <c r="Q52" s="75"/>
      <c r="R52" s="75"/>
      <c r="S52" s="124"/>
      <c r="T52" s="125"/>
      <c r="U52" s="125"/>
      <c r="V52" s="125"/>
      <c r="W52" s="125"/>
      <c r="X52" s="125"/>
      <c r="Y52" s="125"/>
      <c r="Z52" s="125"/>
      <c r="AA52" s="125"/>
      <c r="AB52" s="125"/>
      <c r="AC52" s="125"/>
      <c r="AD52" s="125"/>
      <c r="AE52" s="125"/>
      <c r="AF52" s="125"/>
      <c r="AG52" s="125"/>
      <c r="AH52" s="125"/>
      <c r="AI52" s="125"/>
      <c r="AJ52" s="125"/>
      <c r="AK52" s="125"/>
      <c r="AL52" s="125"/>
      <c r="AM52" s="125"/>
      <c r="AN52" s="125"/>
      <c r="AO52" s="125"/>
      <c r="AP52" s="125"/>
      <c r="AQ52" s="125"/>
      <c r="AR52" s="125"/>
      <c r="AS52" s="125"/>
      <c r="AT52" s="125"/>
      <c r="AU52" s="125"/>
      <c r="AV52" s="125"/>
      <c r="AW52" s="126"/>
      <c r="AX52" s="120"/>
      <c r="AY52" s="120"/>
      <c r="AZ52" s="120"/>
      <c r="BA52" s="120"/>
      <c r="BB52" s="120"/>
      <c r="BC52" s="121"/>
      <c r="BD52" s="123"/>
      <c r="BE52" s="120"/>
      <c r="BF52" s="120"/>
      <c r="BG52" s="120"/>
      <c r="BH52" s="120"/>
      <c r="BI52" s="120"/>
      <c r="BJ52" s="121"/>
      <c r="BK52" s="45"/>
    </row>
    <row r="53" spans="1:63" ht="15" customHeight="1" x14ac:dyDescent="0.25">
      <c r="A53" s="44"/>
      <c r="B53" s="68"/>
      <c r="C53" s="69"/>
      <c r="D53" s="69"/>
      <c r="E53" s="69"/>
      <c r="F53" s="69"/>
      <c r="G53" s="70"/>
      <c r="H53" s="68"/>
      <c r="I53" s="69"/>
      <c r="J53" s="69"/>
      <c r="K53" s="69"/>
      <c r="L53" s="69"/>
      <c r="M53" s="69"/>
      <c r="N53" s="70"/>
      <c r="O53" s="68"/>
      <c r="P53" s="69"/>
      <c r="Q53" s="69"/>
      <c r="R53" s="69"/>
      <c r="S53" s="115"/>
      <c r="T53" s="116"/>
      <c r="U53" s="116"/>
      <c r="V53" s="116"/>
      <c r="W53" s="116"/>
      <c r="X53" s="116"/>
      <c r="Y53" s="116"/>
      <c r="Z53" s="116"/>
      <c r="AA53" s="116"/>
      <c r="AB53" s="116"/>
      <c r="AC53" s="116"/>
      <c r="AD53" s="116"/>
      <c r="AE53" s="116"/>
      <c r="AF53" s="116"/>
      <c r="AG53" s="116"/>
      <c r="AH53" s="116"/>
      <c r="AI53" s="116"/>
      <c r="AJ53" s="116"/>
      <c r="AK53" s="116"/>
      <c r="AL53" s="116"/>
      <c r="AM53" s="116"/>
      <c r="AN53" s="116"/>
      <c r="AO53" s="116"/>
      <c r="AP53" s="116"/>
      <c r="AQ53" s="116"/>
      <c r="AR53" s="116"/>
      <c r="AS53" s="116"/>
      <c r="AT53" s="116"/>
      <c r="AU53" s="116"/>
      <c r="AV53" s="116"/>
      <c r="AW53" s="117"/>
      <c r="AX53" s="118"/>
      <c r="AY53" s="118"/>
      <c r="AZ53" s="118"/>
      <c r="BA53" s="118"/>
      <c r="BB53" s="118"/>
      <c r="BC53" s="119"/>
      <c r="BD53" s="122"/>
      <c r="BE53" s="118"/>
      <c r="BF53" s="118"/>
      <c r="BG53" s="118"/>
      <c r="BH53" s="118"/>
      <c r="BI53" s="118"/>
      <c r="BJ53" s="119"/>
      <c r="BK53" s="45"/>
    </row>
    <row r="54" spans="1:63" ht="15" customHeight="1" x14ac:dyDescent="0.25">
      <c r="A54" s="44"/>
      <c r="B54" s="74"/>
      <c r="C54" s="75"/>
      <c r="D54" s="75"/>
      <c r="E54" s="75"/>
      <c r="F54" s="75"/>
      <c r="G54" s="76"/>
      <c r="H54" s="74"/>
      <c r="I54" s="75"/>
      <c r="J54" s="75"/>
      <c r="K54" s="75"/>
      <c r="L54" s="75"/>
      <c r="M54" s="75"/>
      <c r="N54" s="76"/>
      <c r="O54" s="74"/>
      <c r="P54" s="75"/>
      <c r="Q54" s="75"/>
      <c r="R54" s="75"/>
      <c r="S54" s="124"/>
      <c r="T54" s="125"/>
      <c r="U54" s="125"/>
      <c r="V54" s="125"/>
      <c r="W54" s="125"/>
      <c r="X54" s="125"/>
      <c r="Y54" s="125"/>
      <c r="Z54" s="125"/>
      <c r="AA54" s="125"/>
      <c r="AB54" s="125"/>
      <c r="AC54" s="125"/>
      <c r="AD54" s="125"/>
      <c r="AE54" s="125"/>
      <c r="AF54" s="125"/>
      <c r="AG54" s="125"/>
      <c r="AH54" s="125"/>
      <c r="AI54" s="125"/>
      <c r="AJ54" s="125"/>
      <c r="AK54" s="125"/>
      <c r="AL54" s="125"/>
      <c r="AM54" s="125"/>
      <c r="AN54" s="125"/>
      <c r="AO54" s="125"/>
      <c r="AP54" s="125"/>
      <c r="AQ54" s="125"/>
      <c r="AR54" s="125"/>
      <c r="AS54" s="125"/>
      <c r="AT54" s="125"/>
      <c r="AU54" s="125"/>
      <c r="AV54" s="125"/>
      <c r="AW54" s="126"/>
      <c r="AX54" s="120"/>
      <c r="AY54" s="120"/>
      <c r="AZ54" s="120"/>
      <c r="BA54" s="120"/>
      <c r="BB54" s="120"/>
      <c r="BC54" s="121"/>
      <c r="BD54" s="123"/>
      <c r="BE54" s="120"/>
      <c r="BF54" s="120"/>
      <c r="BG54" s="120"/>
      <c r="BH54" s="120"/>
      <c r="BI54" s="120"/>
      <c r="BJ54" s="121"/>
      <c r="BK54" s="45"/>
    </row>
    <row r="55" spans="1:63" ht="15" customHeight="1" x14ac:dyDescent="0.25">
      <c r="A55" s="41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2"/>
      <c r="AM55" s="42"/>
      <c r="AN55" s="42"/>
      <c r="AO55" s="42"/>
      <c r="AP55" s="42"/>
      <c r="AQ55" s="42"/>
      <c r="AR55" s="42"/>
      <c r="AS55" s="42"/>
      <c r="AT55" s="42"/>
      <c r="AU55" s="42"/>
      <c r="AV55" s="42"/>
      <c r="AW55" s="42"/>
      <c r="AX55" s="42"/>
      <c r="AY55" s="42"/>
      <c r="AZ55" s="42"/>
      <c r="BA55" s="42"/>
      <c r="BB55" s="42"/>
      <c r="BC55" s="42"/>
      <c r="BD55" s="42"/>
      <c r="BE55" s="42"/>
      <c r="BF55" s="42"/>
      <c r="BG55" s="42"/>
      <c r="BH55" s="42"/>
      <c r="BI55" s="42"/>
      <c r="BJ55" s="42"/>
      <c r="BK55" s="43"/>
    </row>
  </sheetData>
  <mergeCells count="186"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U20:CA20"/>
    <mergeCell ref="BU21:CA21"/>
    <mergeCell ref="BU22:CA22"/>
    <mergeCell ref="BU23:CA23"/>
    <mergeCell ref="BU24:CA24"/>
    <mergeCell ref="BU25:CA25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6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67" t="s">
        <v>105</v>
      </c>
      <c r="B1" s="168"/>
      <c r="C1" s="168"/>
      <c r="D1" s="168"/>
      <c r="E1" s="168"/>
      <c r="F1" s="168"/>
      <c r="G1" s="168"/>
      <c r="H1" s="168"/>
      <c r="I1" s="168"/>
      <c r="J1" s="169"/>
      <c r="K1" s="167" t="s">
        <v>106</v>
      </c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9"/>
      <c r="W1" s="170" t="s">
        <v>103</v>
      </c>
      <c r="X1" s="171"/>
      <c r="Y1" s="171"/>
      <c r="Z1" s="171"/>
      <c r="AA1" s="171"/>
      <c r="AB1" s="171"/>
      <c r="AC1" s="171"/>
      <c r="AD1" s="171"/>
      <c r="AE1" s="171"/>
      <c r="AF1" s="171"/>
      <c r="AG1" s="171"/>
      <c r="AH1" s="171"/>
      <c r="AI1" s="171"/>
      <c r="AJ1" s="171"/>
      <c r="AK1" s="171"/>
      <c r="AL1" s="171"/>
      <c r="AM1" s="171"/>
      <c r="AN1" s="171"/>
      <c r="AO1" s="172"/>
      <c r="AP1" s="83" t="s">
        <v>107</v>
      </c>
      <c r="AQ1" s="84"/>
      <c r="AR1" s="84"/>
      <c r="AS1" s="85"/>
      <c r="AT1" s="83" t="s">
        <v>108</v>
      </c>
      <c r="AU1" s="84"/>
      <c r="AV1" s="84"/>
      <c r="AW1" s="84"/>
      <c r="AX1" s="85"/>
      <c r="AY1" s="83" t="s">
        <v>109</v>
      </c>
      <c r="AZ1" s="84"/>
      <c r="BA1" s="84"/>
      <c r="BB1" s="85"/>
      <c r="BC1" s="83" t="s">
        <v>110</v>
      </c>
      <c r="BD1" s="84"/>
      <c r="BE1" s="84"/>
      <c r="BF1" s="84"/>
      <c r="BG1" s="85"/>
      <c r="BH1" s="83" t="s">
        <v>111</v>
      </c>
      <c r="BI1" s="84"/>
      <c r="BJ1" s="84"/>
      <c r="BK1" s="85"/>
    </row>
    <row r="2" spans="1:63" ht="15" customHeight="1" x14ac:dyDescent="0.25">
      <c r="A2" s="161" t="s">
        <v>102</v>
      </c>
      <c r="B2" s="162"/>
      <c r="C2" s="162"/>
      <c r="D2" s="162"/>
      <c r="E2" s="162"/>
      <c r="F2" s="162"/>
      <c r="G2" s="162"/>
      <c r="H2" s="162"/>
      <c r="I2" s="162"/>
      <c r="J2" s="163"/>
      <c r="K2" s="161" t="s">
        <v>102</v>
      </c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3"/>
      <c r="W2" s="173"/>
      <c r="X2" s="174"/>
      <c r="Y2" s="174"/>
      <c r="Z2" s="174"/>
      <c r="AA2" s="174"/>
      <c r="AB2" s="174"/>
      <c r="AC2" s="174"/>
      <c r="AD2" s="174"/>
      <c r="AE2" s="174"/>
      <c r="AF2" s="174"/>
      <c r="AG2" s="174"/>
      <c r="AH2" s="174"/>
      <c r="AI2" s="174"/>
      <c r="AJ2" s="174"/>
      <c r="AK2" s="174"/>
      <c r="AL2" s="174"/>
      <c r="AM2" s="174"/>
      <c r="AN2" s="174"/>
      <c r="AO2" s="175"/>
      <c r="AP2" s="68" t="s">
        <v>100</v>
      </c>
      <c r="AQ2" s="69"/>
      <c r="AR2" s="69"/>
      <c r="AS2" s="70"/>
      <c r="AT2" s="98">
        <v>45492</v>
      </c>
      <c r="AU2" s="99"/>
      <c r="AV2" s="99"/>
      <c r="AW2" s="99"/>
      <c r="AX2" s="100"/>
      <c r="AY2" s="68" t="s">
        <v>100</v>
      </c>
      <c r="AZ2" s="69"/>
      <c r="BA2" s="69"/>
      <c r="BB2" s="70"/>
      <c r="BC2" s="98">
        <v>45811</v>
      </c>
      <c r="BD2" s="99"/>
      <c r="BE2" s="99"/>
      <c r="BF2" s="99"/>
      <c r="BG2" s="100"/>
      <c r="BH2" s="68">
        <v>0.55000000000000004</v>
      </c>
      <c r="BI2" s="69"/>
      <c r="BJ2" s="69"/>
      <c r="BK2" s="70"/>
    </row>
    <row r="3" spans="1:63" ht="15" customHeight="1" x14ac:dyDescent="0.25">
      <c r="A3" s="164"/>
      <c r="B3" s="165"/>
      <c r="C3" s="165"/>
      <c r="D3" s="165"/>
      <c r="E3" s="165"/>
      <c r="F3" s="165"/>
      <c r="G3" s="165"/>
      <c r="H3" s="165"/>
      <c r="I3" s="165"/>
      <c r="J3" s="166"/>
      <c r="K3" s="164"/>
      <c r="L3" s="165"/>
      <c r="M3" s="165"/>
      <c r="N3" s="165"/>
      <c r="O3" s="165"/>
      <c r="P3" s="165"/>
      <c r="Q3" s="165"/>
      <c r="R3" s="165"/>
      <c r="S3" s="165"/>
      <c r="T3" s="165"/>
      <c r="U3" s="165"/>
      <c r="V3" s="166"/>
      <c r="W3" s="176"/>
      <c r="X3" s="177"/>
      <c r="Y3" s="177"/>
      <c r="Z3" s="177"/>
      <c r="AA3" s="177"/>
      <c r="AB3" s="177"/>
      <c r="AC3" s="177"/>
      <c r="AD3" s="177"/>
      <c r="AE3" s="177"/>
      <c r="AF3" s="177"/>
      <c r="AG3" s="177"/>
      <c r="AH3" s="177"/>
      <c r="AI3" s="177"/>
      <c r="AJ3" s="177"/>
      <c r="AK3" s="177"/>
      <c r="AL3" s="177"/>
      <c r="AM3" s="177"/>
      <c r="AN3" s="177"/>
      <c r="AO3" s="178"/>
      <c r="AP3" s="74"/>
      <c r="AQ3" s="75"/>
      <c r="AR3" s="75"/>
      <c r="AS3" s="76"/>
      <c r="AT3" s="101"/>
      <c r="AU3" s="102"/>
      <c r="AV3" s="102"/>
      <c r="AW3" s="102"/>
      <c r="AX3" s="103"/>
      <c r="AY3" s="74"/>
      <c r="AZ3" s="75"/>
      <c r="BA3" s="75"/>
      <c r="BB3" s="76"/>
      <c r="BC3" s="101"/>
      <c r="BD3" s="102"/>
      <c r="BE3" s="102"/>
      <c r="BF3" s="102"/>
      <c r="BG3" s="103"/>
      <c r="BH3" s="74"/>
      <c r="BI3" s="75"/>
      <c r="BJ3" s="75"/>
      <c r="BK3" s="76"/>
    </row>
    <row r="4" spans="1:63" ht="24.95" customHeight="1" x14ac:dyDescent="0.25">
      <c r="A4" s="167" t="s">
        <v>112</v>
      </c>
      <c r="B4" s="168"/>
      <c r="C4" s="168"/>
      <c r="D4" s="168"/>
      <c r="E4" s="168"/>
      <c r="F4" s="168"/>
      <c r="G4" s="169"/>
      <c r="H4" s="179" t="s">
        <v>101</v>
      </c>
      <c r="I4" s="180"/>
      <c r="J4" s="180"/>
      <c r="K4" s="180"/>
      <c r="L4" s="180"/>
      <c r="M4" s="180"/>
      <c r="N4" s="180"/>
      <c r="O4" s="180"/>
      <c r="P4" s="180"/>
      <c r="Q4" s="180"/>
      <c r="R4" s="180"/>
      <c r="S4" s="180"/>
      <c r="T4" s="181"/>
      <c r="U4" s="167" t="s">
        <v>113</v>
      </c>
      <c r="V4" s="168"/>
      <c r="W4" s="168"/>
      <c r="X4" s="168"/>
      <c r="Y4" s="169"/>
      <c r="Z4" s="179" t="s">
        <v>104</v>
      </c>
      <c r="AA4" s="180"/>
      <c r="AB4" s="180"/>
      <c r="AC4" s="180"/>
      <c r="AD4" s="180"/>
      <c r="AE4" s="180"/>
      <c r="AF4" s="180"/>
      <c r="AG4" s="180"/>
      <c r="AH4" s="180"/>
      <c r="AI4" s="180"/>
      <c r="AJ4" s="180"/>
      <c r="AK4" s="180"/>
      <c r="AL4" s="180"/>
      <c r="AM4" s="180"/>
      <c r="AN4" s="180"/>
      <c r="AO4" s="181"/>
      <c r="AP4" s="182" t="str">
        <f ca="1">MID(CELL("filename",A1),FIND("]",CELL("filename",A1))+1,255)</f>
        <v>処理フロー凡例</v>
      </c>
      <c r="AQ4" s="180"/>
      <c r="AR4" s="180"/>
      <c r="AS4" s="180"/>
      <c r="AT4" s="180"/>
      <c r="AU4" s="180"/>
      <c r="AV4" s="180"/>
      <c r="AW4" s="180"/>
      <c r="AX4" s="180"/>
      <c r="AY4" s="180"/>
      <c r="AZ4" s="180"/>
      <c r="BA4" s="180"/>
      <c r="BB4" s="180"/>
      <c r="BC4" s="180"/>
      <c r="BD4" s="180"/>
      <c r="BE4" s="180"/>
      <c r="BF4" s="180"/>
      <c r="BG4" s="180"/>
      <c r="BH4" s="180"/>
      <c r="BI4" s="180"/>
      <c r="BJ4" s="180"/>
      <c r="BK4" s="181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40" customFormat="1" ht="15" customHeight="1" x14ac:dyDescent="0.25">
      <c r="A7" s="56"/>
      <c r="B7" s="57" t="s">
        <v>123</v>
      </c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9"/>
      <c r="AF7" s="60"/>
      <c r="AG7" s="58"/>
      <c r="AH7" s="58"/>
      <c r="AI7" s="58"/>
      <c r="AJ7" s="58"/>
      <c r="AK7" s="58"/>
      <c r="AL7" s="58"/>
      <c r="AM7" s="58"/>
      <c r="AN7" s="58"/>
      <c r="AO7" s="58"/>
      <c r="AP7" s="58"/>
      <c r="AQ7" s="58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58"/>
      <c r="BF7" s="58"/>
      <c r="BG7" s="58"/>
      <c r="BH7" s="58"/>
      <c r="BI7" s="59"/>
      <c r="BJ7" s="58"/>
      <c r="BK7" s="61"/>
    </row>
    <row r="8" spans="1:63" s="62" customFormat="1" ht="15" customHeight="1" x14ac:dyDescent="0.25">
      <c r="BK8" s="61"/>
    </row>
    <row r="9" spans="1:63" s="62" customFormat="1" ht="15" customHeight="1" x14ac:dyDescent="0.25">
      <c r="BK9" s="61"/>
    </row>
    <row r="10" spans="1:63" s="62" customFormat="1" ht="15" customHeight="1" x14ac:dyDescent="0.25">
      <c r="BK10" s="61"/>
    </row>
    <row r="11" spans="1:63" s="62" customFormat="1" ht="15" customHeight="1" x14ac:dyDescent="0.25">
      <c r="BK11" s="61"/>
    </row>
    <row r="12" spans="1:63" s="62" customFormat="1" ht="15" customHeight="1" x14ac:dyDescent="0.25">
      <c r="BK12" s="61"/>
    </row>
    <row r="13" spans="1:63" s="62" customFormat="1" ht="15" customHeight="1" x14ac:dyDescent="0.25">
      <c r="BK13" s="61"/>
    </row>
    <row r="14" spans="1:63" s="62" customFormat="1" ht="15" customHeight="1" x14ac:dyDescent="0.25">
      <c r="BK14" s="61"/>
    </row>
    <row r="15" spans="1:63" s="62" customFormat="1" ht="15" customHeight="1" x14ac:dyDescent="0.25">
      <c r="BK15" s="61"/>
    </row>
    <row r="16" spans="1:63" s="62" customFormat="1" ht="15" customHeight="1" x14ac:dyDescent="0.25">
      <c r="BK16" s="61"/>
    </row>
    <row r="17" spans="63:63" s="62" customFormat="1" ht="15" customHeight="1" x14ac:dyDescent="0.25">
      <c r="BK17" s="61"/>
    </row>
    <row r="18" spans="63:63" s="62" customFormat="1" ht="15" customHeight="1" x14ac:dyDescent="0.25">
      <c r="BK18" s="61"/>
    </row>
    <row r="19" spans="63:63" s="62" customFormat="1" ht="15" customHeight="1" x14ac:dyDescent="0.25">
      <c r="BK19" s="61"/>
    </row>
    <row r="20" spans="63:63" s="62" customFormat="1" ht="15" customHeight="1" x14ac:dyDescent="0.25">
      <c r="BK20" s="61"/>
    </row>
    <row r="21" spans="63:63" s="62" customFormat="1" ht="15" customHeight="1" x14ac:dyDescent="0.25">
      <c r="BK21" s="61"/>
    </row>
    <row r="22" spans="63:63" s="62" customFormat="1" ht="15" customHeight="1" x14ac:dyDescent="0.25">
      <c r="BK22" s="61"/>
    </row>
    <row r="23" spans="63:63" s="62" customFormat="1" ht="15" customHeight="1" x14ac:dyDescent="0.25">
      <c r="BK23" s="61"/>
    </row>
    <row r="24" spans="63:63" s="62" customFormat="1" ht="15" customHeight="1" x14ac:dyDescent="0.25">
      <c r="BK24" s="61"/>
    </row>
    <row r="25" spans="63:63" s="62" customFormat="1" ht="15" customHeight="1" x14ac:dyDescent="0.25">
      <c r="BK25" s="61"/>
    </row>
    <row r="26" spans="63:63" s="62" customFormat="1" ht="15" customHeight="1" x14ac:dyDescent="0.25">
      <c r="BK26" s="61"/>
    </row>
    <row r="27" spans="63:63" s="62" customFormat="1" ht="15" customHeight="1" x14ac:dyDescent="0.25">
      <c r="BK27" s="61"/>
    </row>
    <row r="28" spans="63:63" s="62" customFormat="1" ht="15" customHeight="1" x14ac:dyDescent="0.25">
      <c r="BK28" s="61"/>
    </row>
    <row r="29" spans="63:63" s="62" customFormat="1" ht="15" customHeight="1" x14ac:dyDescent="0.25">
      <c r="BK29" s="61"/>
    </row>
    <row r="30" spans="63:63" s="62" customFormat="1" ht="15" customHeight="1" x14ac:dyDescent="0.25">
      <c r="BK30" s="61"/>
    </row>
    <row r="31" spans="63:63" s="62" customFormat="1" ht="15" customHeight="1" x14ac:dyDescent="0.25">
      <c r="BK31" s="61"/>
    </row>
    <row r="32" spans="63:63" s="62" customFormat="1" ht="15" customHeight="1" x14ac:dyDescent="0.25">
      <c r="BK32" s="61"/>
    </row>
    <row r="33" spans="63:63" s="62" customFormat="1" ht="15" customHeight="1" x14ac:dyDescent="0.25">
      <c r="BK33" s="61"/>
    </row>
    <row r="34" spans="63:63" s="62" customFormat="1" ht="15" customHeight="1" x14ac:dyDescent="0.25">
      <c r="BK34" s="61"/>
    </row>
    <row r="35" spans="63:63" s="62" customFormat="1" ht="15" customHeight="1" x14ac:dyDescent="0.25">
      <c r="BK35" s="61"/>
    </row>
    <row r="36" spans="63:63" s="62" customFormat="1" ht="15" customHeight="1" x14ac:dyDescent="0.25">
      <c r="BK36" s="61"/>
    </row>
    <row r="37" spans="63:63" s="62" customFormat="1" ht="15" customHeight="1" x14ac:dyDescent="0.25">
      <c r="BK37" s="61"/>
    </row>
    <row r="38" spans="63:63" s="62" customFormat="1" ht="15" customHeight="1" x14ac:dyDescent="0.25">
      <c r="BK38" s="61"/>
    </row>
    <row r="39" spans="63:63" s="62" customFormat="1" ht="15" customHeight="1" x14ac:dyDescent="0.25">
      <c r="BK39" s="61"/>
    </row>
    <row r="40" spans="63:63" s="62" customFormat="1" ht="15" customHeight="1" x14ac:dyDescent="0.25">
      <c r="BK40" s="61"/>
    </row>
    <row r="41" spans="63:63" s="62" customFormat="1" ht="15" customHeight="1" x14ac:dyDescent="0.25">
      <c r="BK41" s="61"/>
    </row>
    <row r="42" spans="63:63" s="62" customFormat="1" ht="15" customHeight="1" x14ac:dyDescent="0.25">
      <c r="BK42" s="61"/>
    </row>
    <row r="43" spans="63:63" s="62" customFormat="1" ht="15" customHeight="1" x14ac:dyDescent="0.25">
      <c r="BK43" s="61"/>
    </row>
    <row r="44" spans="63:63" s="62" customFormat="1" ht="15" customHeight="1" x14ac:dyDescent="0.25">
      <c r="BK44" s="61"/>
    </row>
    <row r="45" spans="63:63" s="62" customFormat="1" ht="15" customHeight="1" x14ac:dyDescent="0.25">
      <c r="BK45" s="61"/>
    </row>
    <row r="46" spans="63:63" s="62" customFormat="1" ht="15" customHeight="1" x14ac:dyDescent="0.25">
      <c r="BK46" s="61"/>
    </row>
    <row r="47" spans="63:63" ht="15" customHeight="1" x14ac:dyDescent="0.25">
      <c r="BK47" s="5"/>
    </row>
    <row r="48" spans="63:63" ht="15" customHeight="1" x14ac:dyDescent="0.25">
      <c r="BK48" s="5"/>
    </row>
    <row r="49" spans="1:63" ht="15" customHeight="1" x14ac:dyDescent="0.25">
      <c r="BK49" s="5"/>
    </row>
    <row r="50" spans="1:63" ht="15" customHeight="1" x14ac:dyDescent="0.25">
      <c r="BK50" s="5"/>
    </row>
    <row r="51" spans="1:63" ht="15" customHeight="1" x14ac:dyDescent="0.25">
      <c r="BK51" s="5"/>
    </row>
    <row r="52" spans="1:63" ht="15" customHeight="1" x14ac:dyDescent="0.25">
      <c r="BK52" s="5"/>
    </row>
    <row r="53" spans="1:63" ht="15" customHeight="1" x14ac:dyDescent="0.25">
      <c r="BK53" s="5"/>
    </row>
    <row r="54" spans="1:63" ht="1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4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tabColor rgb="FF00B050"/>
    <pageSetUpPr fitToPage="1"/>
  </sheetPr>
  <dimension ref="A1:BK84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2" width="2.77734375" style="1" customWidth="1"/>
    <col min="3" max="3" width="2.33203125" style="1" customWidth="1"/>
    <col min="4" max="63" width="2.77734375" style="1" customWidth="1"/>
    <col min="64" max="16384" width="10.109375" style="1"/>
  </cols>
  <sheetData>
    <row r="1" spans="1:63" ht="24.95" customHeight="1" x14ac:dyDescent="0.25">
      <c r="A1" s="167" t="s">
        <v>105</v>
      </c>
      <c r="B1" s="168"/>
      <c r="C1" s="168"/>
      <c r="D1" s="168"/>
      <c r="E1" s="168"/>
      <c r="F1" s="168"/>
      <c r="G1" s="168"/>
      <c r="H1" s="168"/>
      <c r="I1" s="168"/>
      <c r="J1" s="169"/>
      <c r="K1" s="167" t="s">
        <v>106</v>
      </c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9"/>
      <c r="W1" s="170" t="s">
        <v>103</v>
      </c>
      <c r="X1" s="171"/>
      <c r="Y1" s="171"/>
      <c r="Z1" s="171"/>
      <c r="AA1" s="171"/>
      <c r="AB1" s="171"/>
      <c r="AC1" s="171"/>
      <c r="AD1" s="171"/>
      <c r="AE1" s="171"/>
      <c r="AF1" s="171"/>
      <c r="AG1" s="171"/>
      <c r="AH1" s="171"/>
      <c r="AI1" s="171"/>
      <c r="AJ1" s="171"/>
      <c r="AK1" s="171"/>
      <c r="AL1" s="171"/>
      <c r="AM1" s="171"/>
      <c r="AN1" s="171"/>
      <c r="AO1" s="172"/>
      <c r="AP1" s="83" t="s">
        <v>107</v>
      </c>
      <c r="AQ1" s="84"/>
      <c r="AR1" s="84"/>
      <c r="AS1" s="85"/>
      <c r="AT1" s="83" t="s">
        <v>108</v>
      </c>
      <c r="AU1" s="84"/>
      <c r="AV1" s="84"/>
      <c r="AW1" s="84"/>
      <c r="AX1" s="85"/>
      <c r="AY1" s="83" t="s">
        <v>109</v>
      </c>
      <c r="AZ1" s="84"/>
      <c r="BA1" s="84"/>
      <c r="BB1" s="85"/>
      <c r="BC1" s="83" t="s">
        <v>110</v>
      </c>
      <c r="BD1" s="84"/>
      <c r="BE1" s="84"/>
      <c r="BF1" s="84"/>
      <c r="BG1" s="85"/>
      <c r="BH1" s="83" t="s">
        <v>111</v>
      </c>
      <c r="BI1" s="84"/>
      <c r="BJ1" s="84"/>
      <c r="BK1" s="85"/>
    </row>
    <row r="2" spans="1:63" ht="15" customHeight="1" x14ac:dyDescent="0.25">
      <c r="A2" s="161" t="s">
        <v>102</v>
      </c>
      <c r="B2" s="162"/>
      <c r="C2" s="162"/>
      <c r="D2" s="162"/>
      <c r="E2" s="162"/>
      <c r="F2" s="162"/>
      <c r="G2" s="162"/>
      <c r="H2" s="162"/>
      <c r="I2" s="162"/>
      <c r="J2" s="163"/>
      <c r="K2" s="161" t="s">
        <v>102</v>
      </c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3"/>
      <c r="W2" s="173"/>
      <c r="X2" s="174"/>
      <c r="Y2" s="174"/>
      <c r="Z2" s="174"/>
      <c r="AA2" s="174"/>
      <c r="AB2" s="174"/>
      <c r="AC2" s="174"/>
      <c r="AD2" s="174"/>
      <c r="AE2" s="174"/>
      <c r="AF2" s="174"/>
      <c r="AG2" s="174"/>
      <c r="AH2" s="174"/>
      <c r="AI2" s="174"/>
      <c r="AJ2" s="174"/>
      <c r="AK2" s="174"/>
      <c r="AL2" s="174"/>
      <c r="AM2" s="174"/>
      <c r="AN2" s="174"/>
      <c r="AO2" s="175"/>
      <c r="AP2" s="68" t="s">
        <v>100</v>
      </c>
      <c r="AQ2" s="69"/>
      <c r="AR2" s="69"/>
      <c r="AS2" s="70"/>
      <c r="AT2" s="98">
        <v>45492</v>
      </c>
      <c r="AU2" s="99"/>
      <c r="AV2" s="99"/>
      <c r="AW2" s="99"/>
      <c r="AX2" s="100"/>
      <c r="AY2" s="68" t="s">
        <v>100</v>
      </c>
      <c r="AZ2" s="69"/>
      <c r="BA2" s="69"/>
      <c r="BB2" s="70"/>
      <c r="BC2" s="98">
        <v>45811</v>
      </c>
      <c r="BD2" s="99"/>
      <c r="BE2" s="99"/>
      <c r="BF2" s="99"/>
      <c r="BG2" s="100"/>
      <c r="BH2" s="68">
        <v>0.55000000000000004</v>
      </c>
      <c r="BI2" s="69"/>
      <c r="BJ2" s="69"/>
      <c r="BK2" s="70"/>
    </row>
    <row r="3" spans="1:63" ht="15" customHeight="1" x14ac:dyDescent="0.25">
      <c r="A3" s="164"/>
      <c r="B3" s="165"/>
      <c r="C3" s="165"/>
      <c r="D3" s="165"/>
      <c r="E3" s="165"/>
      <c r="F3" s="165"/>
      <c r="G3" s="165"/>
      <c r="H3" s="165"/>
      <c r="I3" s="165"/>
      <c r="J3" s="166"/>
      <c r="K3" s="164"/>
      <c r="L3" s="165"/>
      <c r="M3" s="165"/>
      <c r="N3" s="165"/>
      <c r="O3" s="165"/>
      <c r="P3" s="165"/>
      <c r="Q3" s="165"/>
      <c r="R3" s="165"/>
      <c r="S3" s="165"/>
      <c r="T3" s="165"/>
      <c r="U3" s="165"/>
      <c r="V3" s="166"/>
      <c r="W3" s="176"/>
      <c r="X3" s="177"/>
      <c r="Y3" s="177"/>
      <c r="Z3" s="177"/>
      <c r="AA3" s="177"/>
      <c r="AB3" s="177"/>
      <c r="AC3" s="177"/>
      <c r="AD3" s="177"/>
      <c r="AE3" s="177"/>
      <c r="AF3" s="177"/>
      <c r="AG3" s="177"/>
      <c r="AH3" s="177"/>
      <c r="AI3" s="177"/>
      <c r="AJ3" s="177"/>
      <c r="AK3" s="177"/>
      <c r="AL3" s="177"/>
      <c r="AM3" s="177"/>
      <c r="AN3" s="177"/>
      <c r="AO3" s="178"/>
      <c r="AP3" s="74"/>
      <c r="AQ3" s="75"/>
      <c r="AR3" s="75"/>
      <c r="AS3" s="76"/>
      <c r="AT3" s="101"/>
      <c r="AU3" s="102"/>
      <c r="AV3" s="102"/>
      <c r="AW3" s="102"/>
      <c r="AX3" s="103"/>
      <c r="AY3" s="74"/>
      <c r="AZ3" s="75"/>
      <c r="BA3" s="75"/>
      <c r="BB3" s="76"/>
      <c r="BC3" s="101"/>
      <c r="BD3" s="102"/>
      <c r="BE3" s="102"/>
      <c r="BF3" s="102"/>
      <c r="BG3" s="103"/>
      <c r="BH3" s="74"/>
      <c r="BI3" s="75"/>
      <c r="BJ3" s="75"/>
      <c r="BK3" s="76"/>
    </row>
    <row r="4" spans="1:63" ht="24.95" customHeight="1" x14ac:dyDescent="0.25">
      <c r="A4" s="167" t="s">
        <v>112</v>
      </c>
      <c r="B4" s="168"/>
      <c r="C4" s="168"/>
      <c r="D4" s="168"/>
      <c r="E4" s="168"/>
      <c r="F4" s="168"/>
      <c r="G4" s="169"/>
      <c r="H4" s="179" t="s">
        <v>101</v>
      </c>
      <c r="I4" s="180"/>
      <c r="J4" s="180"/>
      <c r="K4" s="180"/>
      <c r="L4" s="180"/>
      <c r="M4" s="180"/>
      <c r="N4" s="180"/>
      <c r="O4" s="180"/>
      <c r="P4" s="180"/>
      <c r="Q4" s="180"/>
      <c r="R4" s="180"/>
      <c r="S4" s="180"/>
      <c r="T4" s="181"/>
      <c r="U4" s="167" t="s">
        <v>113</v>
      </c>
      <c r="V4" s="168"/>
      <c r="W4" s="168"/>
      <c r="X4" s="168"/>
      <c r="Y4" s="169"/>
      <c r="Z4" s="179" t="s">
        <v>104</v>
      </c>
      <c r="AA4" s="180"/>
      <c r="AB4" s="180"/>
      <c r="AC4" s="180"/>
      <c r="AD4" s="180"/>
      <c r="AE4" s="180"/>
      <c r="AF4" s="180"/>
      <c r="AG4" s="180"/>
      <c r="AH4" s="180"/>
      <c r="AI4" s="180"/>
      <c r="AJ4" s="180"/>
      <c r="AK4" s="180"/>
      <c r="AL4" s="180"/>
      <c r="AM4" s="180"/>
      <c r="AN4" s="180"/>
      <c r="AO4" s="181"/>
      <c r="AP4" s="182" t="str">
        <f ca="1">MID(CELL("filename",A1),FIND("]",CELL("filename",A1))+1,255)</f>
        <v>AP7105</v>
      </c>
      <c r="AQ4" s="180"/>
      <c r="AR4" s="180"/>
      <c r="AS4" s="180"/>
      <c r="AT4" s="180"/>
      <c r="AU4" s="180"/>
      <c r="AV4" s="180"/>
      <c r="AW4" s="180"/>
      <c r="AX4" s="180"/>
      <c r="AY4" s="180"/>
      <c r="AZ4" s="180"/>
      <c r="BA4" s="180"/>
      <c r="BB4" s="180"/>
      <c r="BC4" s="180"/>
      <c r="BD4" s="180"/>
      <c r="BE4" s="180"/>
      <c r="BF4" s="180"/>
      <c r="BG4" s="180"/>
      <c r="BH4" s="180"/>
      <c r="BI4" s="180"/>
      <c r="BJ4" s="180"/>
      <c r="BK4" s="181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16" customFormat="1" ht="15" customHeight="1" x14ac:dyDescent="0.25">
      <c r="A7" s="11"/>
      <c r="B7" s="12" t="s">
        <v>124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63"/>
      <c r="AQ7" s="63"/>
      <c r="AR7" s="63"/>
      <c r="AS7" s="6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4"/>
      <c r="BI7" s="14"/>
      <c r="BJ7" s="14"/>
      <c r="BK7" s="15"/>
    </row>
    <row r="8" spans="1:63" s="16" customFormat="1" ht="15" customHeight="1" x14ac:dyDescent="0.25">
      <c r="A8" s="11"/>
      <c r="B8" s="17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64"/>
      <c r="AQ8" s="64"/>
      <c r="AR8" s="64"/>
      <c r="AS8" s="64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9"/>
      <c r="BI8" s="19"/>
      <c r="BJ8" s="19"/>
      <c r="BK8" s="15"/>
    </row>
    <row r="9" spans="1:63" s="16" customFormat="1" ht="15" customHeight="1" x14ac:dyDescent="0.25">
      <c r="A9" s="11"/>
      <c r="B9" s="17"/>
      <c r="C9" s="18" t="s">
        <v>20</v>
      </c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64"/>
      <c r="AQ9" s="64"/>
      <c r="AR9" s="64"/>
      <c r="AS9" s="64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9"/>
      <c r="BI9" s="19"/>
      <c r="BJ9" s="19"/>
      <c r="BK9" s="15"/>
    </row>
    <row r="10" spans="1:63" s="16" customFormat="1" ht="15" customHeight="1" x14ac:dyDescent="0.25">
      <c r="A10" s="11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64"/>
      <c r="AQ10" s="64"/>
      <c r="AR10" s="64"/>
      <c r="AS10" s="64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9"/>
      <c r="BI10" s="19"/>
      <c r="BJ10" s="19"/>
      <c r="BK10" s="15"/>
    </row>
    <row r="11" spans="1:63" s="16" customFormat="1" ht="15" customHeight="1" x14ac:dyDescent="0.25">
      <c r="A11" s="11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9"/>
      <c r="BI11" s="19"/>
      <c r="BJ11" s="19"/>
      <c r="BK11" s="15"/>
    </row>
    <row r="12" spans="1:63" s="16" customFormat="1" ht="15" customHeight="1" x14ac:dyDescent="0.25">
      <c r="A12" s="11"/>
      <c r="B12" s="20" t="s">
        <v>125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4"/>
      <c r="BI12" s="14"/>
      <c r="BJ12" s="14"/>
      <c r="BK12" s="15"/>
    </row>
    <row r="13" spans="1:63" s="16" customFormat="1" ht="15" customHeight="1" x14ac:dyDescent="0.25">
      <c r="A13" s="11"/>
      <c r="B13" s="18"/>
      <c r="C13" s="21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9"/>
      <c r="BI13" s="19"/>
      <c r="BJ13" s="19"/>
      <c r="BK13" s="15"/>
    </row>
    <row r="14" spans="1:63" s="16" customFormat="1" ht="15" customHeight="1" x14ac:dyDescent="0.25">
      <c r="A14" s="11"/>
      <c r="B14" s="18"/>
      <c r="C14" s="21" t="s">
        <v>126</v>
      </c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9"/>
      <c r="BI14" s="19"/>
      <c r="BJ14" s="19"/>
      <c r="BK14" s="15"/>
    </row>
    <row r="15" spans="1:63" s="16" customFormat="1" ht="15" customHeight="1" x14ac:dyDescent="0.25">
      <c r="A15" s="11"/>
      <c r="B15" s="18"/>
      <c r="C15" s="17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9"/>
      <c r="BI15" s="19"/>
      <c r="BJ15" s="19"/>
      <c r="BK15" s="15"/>
    </row>
    <row r="16" spans="1:63" s="16" customFormat="1" ht="15" customHeight="1" x14ac:dyDescent="0.25">
      <c r="A16" s="11"/>
      <c r="B16" s="18"/>
      <c r="C16" s="210" t="s">
        <v>12</v>
      </c>
      <c r="D16" s="212"/>
      <c r="E16" s="210" t="s">
        <v>13</v>
      </c>
      <c r="F16" s="211"/>
      <c r="G16" s="211"/>
      <c r="H16" s="211"/>
      <c r="I16" s="211"/>
      <c r="J16" s="211"/>
      <c r="K16" s="211"/>
      <c r="L16" s="211"/>
      <c r="M16" s="211"/>
      <c r="N16" s="211"/>
      <c r="O16" s="211"/>
      <c r="P16" s="211"/>
      <c r="Q16" s="211"/>
      <c r="R16" s="211"/>
      <c r="S16" s="211"/>
      <c r="T16" s="211"/>
      <c r="U16" s="211"/>
      <c r="V16" s="211"/>
      <c r="W16" s="211"/>
      <c r="X16" s="211"/>
      <c r="Y16" s="211"/>
      <c r="Z16" s="211"/>
      <c r="AA16" s="211"/>
      <c r="AB16" s="211"/>
      <c r="AC16" s="211"/>
      <c r="AD16" s="211"/>
      <c r="AE16" s="211"/>
      <c r="AF16" s="212"/>
      <c r="AG16" s="210" t="s">
        <v>14</v>
      </c>
      <c r="AH16" s="211"/>
      <c r="AI16" s="211"/>
      <c r="AJ16" s="211"/>
      <c r="AK16" s="211"/>
      <c r="AL16" s="211"/>
      <c r="AM16" s="211"/>
      <c r="AN16" s="211"/>
      <c r="AO16" s="211"/>
      <c r="AP16" s="212"/>
      <c r="AQ16" s="210" t="s">
        <v>15</v>
      </c>
      <c r="AR16" s="211"/>
      <c r="AS16" s="211"/>
      <c r="AT16" s="211"/>
      <c r="AU16" s="211"/>
      <c r="AV16" s="211"/>
      <c r="AW16" s="211"/>
      <c r="AX16" s="211"/>
      <c r="AY16" s="211"/>
      <c r="AZ16" s="211"/>
      <c r="BA16" s="211"/>
      <c r="BB16" s="211"/>
      <c r="BC16" s="211"/>
      <c r="BD16" s="211"/>
      <c r="BE16" s="211"/>
      <c r="BF16" s="211"/>
      <c r="BG16" s="211"/>
      <c r="BH16" s="211"/>
      <c r="BI16" s="211"/>
      <c r="BJ16" s="212"/>
      <c r="BK16" s="15"/>
    </row>
    <row r="17" spans="1:63" s="16" customFormat="1" ht="15" customHeight="1" x14ac:dyDescent="0.25">
      <c r="A17" s="11"/>
      <c r="B17" s="18"/>
      <c r="C17" s="200">
        <v>1</v>
      </c>
      <c r="D17" s="201"/>
      <c r="E17" s="229" t="s">
        <v>65</v>
      </c>
      <c r="F17" s="230"/>
      <c r="G17" s="230"/>
      <c r="H17" s="230"/>
      <c r="I17" s="230"/>
      <c r="J17" s="230"/>
      <c r="K17" s="230"/>
      <c r="L17" s="230"/>
      <c r="M17" s="230"/>
      <c r="N17" s="230"/>
      <c r="O17" s="230"/>
      <c r="P17" s="230"/>
      <c r="Q17" s="230"/>
      <c r="R17" s="230"/>
      <c r="S17" s="230"/>
      <c r="T17" s="230"/>
      <c r="U17" s="230"/>
      <c r="V17" s="230"/>
      <c r="W17" s="230"/>
      <c r="X17" s="230"/>
      <c r="Y17" s="230"/>
      <c r="Z17" s="230"/>
      <c r="AA17" s="230"/>
      <c r="AB17" s="230"/>
      <c r="AC17" s="230"/>
      <c r="AD17" s="230"/>
      <c r="AE17" s="230"/>
      <c r="AF17" s="231"/>
      <c r="AG17" s="200" t="s">
        <v>21</v>
      </c>
      <c r="AH17" s="213"/>
      <c r="AI17" s="213"/>
      <c r="AJ17" s="213"/>
      <c r="AK17" s="213"/>
      <c r="AL17" s="213"/>
      <c r="AM17" s="213"/>
      <c r="AN17" s="213"/>
      <c r="AO17" s="213"/>
      <c r="AP17" s="201"/>
      <c r="AQ17" s="232"/>
      <c r="AR17" s="233"/>
      <c r="AS17" s="233"/>
      <c r="AT17" s="233"/>
      <c r="AU17" s="233"/>
      <c r="AV17" s="233"/>
      <c r="AW17" s="233"/>
      <c r="AX17" s="233"/>
      <c r="AY17" s="233"/>
      <c r="AZ17" s="233"/>
      <c r="BA17" s="233"/>
      <c r="BB17" s="233"/>
      <c r="BC17" s="233"/>
      <c r="BD17" s="233"/>
      <c r="BE17" s="233"/>
      <c r="BF17" s="233"/>
      <c r="BG17" s="233"/>
      <c r="BH17" s="233"/>
      <c r="BI17" s="233"/>
      <c r="BJ17" s="234"/>
      <c r="BK17" s="15"/>
    </row>
    <row r="18" spans="1:63" s="16" customFormat="1" ht="15" customHeight="1" x14ac:dyDescent="0.25">
      <c r="A18" s="11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9"/>
      <c r="BI18" s="19"/>
      <c r="BJ18" s="19"/>
      <c r="BK18" s="15"/>
    </row>
    <row r="19" spans="1:63" s="16" customFormat="1" ht="15" customHeight="1" x14ac:dyDescent="0.25">
      <c r="A19" s="11"/>
      <c r="B19" s="18"/>
      <c r="C19" s="21" t="s">
        <v>127</v>
      </c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9"/>
      <c r="BI19" s="19"/>
      <c r="BJ19" s="19"/>
      <c r="BK19" s="15"/>
    </row>
    <row r="20" spans="1:63" s="16" customFormat="1" ht="15" customHeight="1" x14ac:dyDescent="0.25">
      <c r="A20" s="11"/>
      <c r="B20" s="18"/>
      <c r="C20" s="21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9"/>
      <c r="BI20" s="19"/>
      <c r="BJ20" s="19"/>
      <c r="BK20" s="15"/>
    </row>
    <row r="21" spans="1:63" s="16" customFormat="1" ht="15" customHeight="1" x14ac:dyDescent="0.25">
      <c r="A21" s="11"/>
      <c r="B21" s="18"/>
      <c r="C21" s="197" t="s">
        <v>128</v>
      </c>
      <c r="D21" s="199"/>
      <c r="E21" s="197" t="s">
        <v>129</v>
      </c>
      <c r="F21" s="198"/>
      <c r="G21" s="198"/>
      <c r="H21" s="198"/>
      <c r="I21" s="198"/>
      <c r="J21" s="198"/>
      <c r="K21" s="199"/>
      <c r="L21" s="210" t="s">
        <v>16</v>
      </c>
      <c r="M21" s="211"/>
      <c r="N21" s="212"/>
      <c r="O21" s="210" t="s">
        <v>17</v>
      </c>
      <c r="P21" s="211"/>
      <c r="Q21" s="211"/>
      <c r="R21" s="212"/>
      <c r="S21" s="210" t="s">
        <v>18</v>
      </c>
      <c r="T21" s="211"/>
      <c r="U21" s="211"/>
      <c r="V21" s="211"/>
      <c r="W21" s="211"/>
      <c r="X21" s="211"/>
      <c r="Y21" s="212"/>
      <c r="Z21" s="197" t="s">
        <v>130</v>
      </c>
      <c r="AA21" s="198"/>
      <c r="AB21" s="198"/>
      <c r="AC21" s="198"/>
      <c r="AD21" s="198"/>
      <c r="AE21" s="198"/>
      <c r="AF21" s="198"/>
      <c r="AG21" s="198"/>
      <c r="AH21" s="198"/>
      <c r="AI21" s="198"/>
      <c r="AJ21" s="198"/>
      <c r="AK21" s="198"/>
      <c r="AL21" s="198"/>
      <c r="AM21" s="198"/>
      <c r="AN21" s="198"/>
      <c r="AO21" s="198"/>
      <c r="AP21" s="199"/>
      <c r="AQ21" s="210" t="s">
        <v>15</v>
      </c>
      <c r="AR21" s="211"/>
      <c r="AS21" s="211"/>
      <c r="AT21" s="211"/>
      <c r="AU21" s="211"/>
      <c r="AV21" s="211"/>
      <c r="AW21" s="211"/>
      <c r="AX21" s="211"/>
      <c r="AY21" s="211"/>
      <c r="AZ21" s="211"/>
      <c r="BA21" s="211"/>
      <c r="BB21" s="211"/>
      <c r="BC21" s="211"/>
      <c r="BD21" s="211"/>
      <c r="BE21" s="211"/>
      <c r="BF21" s="211"/>
      <c r="BG21" s="211"/>
      <c r="BH21" s="211"/>
      <c r="BI21" s="211"/>
      <c r="BJ21" s="212"/>
      <c r="BK21" s="15"/>
    </row>
    <row r="22" spans="1:63" s="16" customFormat="1" ht="15" customHeight="1" x14ac:dyDescent="0.25">
      <c r="A22" s="11"/>
      <c r="B22" s="18"/>
      <c r="C22" s="200">
        <v>1</v>
      </c>
      <c r="D22" s="201"/>
      <c r="E22" s="202" t="s">
        <v>3</v>
      </c>
      <c r="F22" s="203"/>
      <c r="G22" s="203"/>
      <c r="H22" s="203"/>
      <c r="I22" s="203"/>
      <c r="J22" s="203"/>
      <c r="K22" s="204"/>
      <c r="L22" s="214" t="s">
        <v>4</v>
      </c>
      <c r="M22" s="215"/>
      <c r="N22" s="216"/>
      <c r="O22" s="200" t="s">
        <v>5</v>
      </c>
      <c r="P22" s="213"/>
      <c r="Q22" s="213"/>
      <c r="R22" s="201"/>
      <c r="S22" s="200" t="s">
        <v>6</v>
      </c>
      <c r="T22" s="213"/>
      <c r="U22" s="213"/>
      <c r="V22" s="213"/>
      <c r="W22" s="213"/>
      <c r="X22" s="213"/>
      <c r="Y22" s="201"/>
      <c r="Z22" s="202" t="s">
        <v>7</v>
      </c>
      <c r="AA22" s="203"/>
      <c r="AB22" s="203"/>
      <c r="AC22" s="203"/>
      <c r="AD22" s="203"/>
      <c r="AE22" s="203"/>
      <c r="AF22" s="203"/>
      <c r="AG22" s="203"/>
      <c r="AH22" s="203"/>
      <c r="AI22" s="203"/>
      <c r="AJ22" s="203"/>
      <c r="AK22" s="203"/>
      <c r="AL22" s="203"/>
      <c r="AM22" s="203"/>
      <c r="AN22" s="203"/>
      <c r="AO22" s="203"/>
      <c r="AP22" s="204"/>
      <c r="AQ22" s="240" t="s">
        <v>131</v>
      </c>
      <c r="AR22" s="241"/>
      <c r="AS22" s="241"/>
      <c r="AT22" s="241"/>
      <c r="AU22" s="241"/>
      <c r="AV22" s="241"/>
      <c r="AW22" s="241"/>
      <c r="AX22" s="241"/>
      <c r="AY22" s="241"/>
      <c r="AZ22" s="241"/>
      <c r="BA22" s="241"/>
      <c r="BB22" s="241"/>
      <c r="BC22" s="241"/>
      <c r="BD22" s="241"/>
      <c r="BE22" s="241"/>
      <c r="BF22" s="241"/>
      <c r="BG22" s="241"/>
      <c r="BH22" s="241"/>
      <c r="BI22" s="241"/>
      <c r="BJ22" s="242"/>
      <c r="BK22" s="15"/>
    </row>
    <row r="23" spans="1:63" s="16" customFormat="1" ht="15" customHeight="1" x14ac:dyDescent="0.25">
      <c r="A23" s="11"/>
      <c r="B23" s="18"/>
      <c r="C23" s="200">
        <v>2</v>
      </c>
      <c r="D23" s="201"/>
      <c r="E23" s="202" t="s">
        <v>8</v>
      </c>
      <c r="F23" s="203"/>
      <c r="G23" s="203"/>
      <c r="H23" s="203"/>
      <c r="I23" s="203"/>
      <c r="J23" s="203"/>
      <c r="K23" s="204"/>
      <c r="L23" s="214" t="s">
        <v>6</v>
      </c>
      <c r="M23" s="215"/>
      <c r="N23" s="216"/>
      <c r="O23" s="200" t="s">
        <v>5</v>
      </c>
      <c r="P23" s="213"/>
      <c r="Q23" s="213"/>
      <c r="R23" s="201"/>
      <c r="S23" s="200" t="s">
        <v>6</v>
      </c>
      <c r="T23" s="213"/>
      <c r="U23" s="213"/>
      <c r="V23" s="213"/>
      <c r="W23" s="213"/>
      <c r="X23" s="213"/>
      <c r="Y23" s="201"/>
      <c r="Z23" s="202" t="s">
        <v>8</v>
      </c>
      <c r="AA23" s="203"/>
      <c r="AB23" s="203"/>
      <c r="AC23" s="203"/>
      <c r="AD23" s="203"/>
      <c r="AE23" s="203"/>
      <c r="AF23" s="203"/>
      <c r="AG23" s="203"/>
      <c r="AH23" s="203"/>
      <c r="AI23" s="203"/>
      <c r="AJ23" s="203"/>
      <c r="AK23" s="203"/>
      <c r="AL23" s="203"/>
      <c r="AM23" s="203"/>
      <c r="AN23" s="203"/>
      <c r="AO23" s="203"/>
      <c r="AP23" s="204"/>
      <c r="AQ23" s="240"/>
      <c r="AR23" s="241"/>
      <c r="AS23" s="241"/>
      <c r="AT23" s="241"/>
      <c r="AU23" s="241"/>
      <c r="AV23" s="241"/>
      <c r="AW23" s="241"/>
      <c r="AX23" s="241"/>
      <c r="AY23" s="241"/>
      <c r="AZ23" s="241"/>
      <c r="BA23" s="241"/>
      <c r="BB23" s="241"/>
      <c r="BC23" s="241"/>
      <c r="BD23" s="241"/>
      <c r="BE23" s="241"/>
      <c r="BF23" s="241"/>
      <c r="BG23" s="241"/>
      <c r="BH23" s="241"/>
      <c r="BI23" s="241"/>
      <c r="BJ23" s="242"/>
      <c r="BK23" s="15"/>
    </row>
    <row r="24" spans="1:63" s="16" customFormat="1" ht="15" customHeight="1" x14ac:dyDescent="0.25">
      <c r="A24" s="11"/>
      <c r="B24" s="18"/>
      <c r="C24" s="183">
        <v>3</v>
      </c>
      <c r="D24" s="184"/>
      <c r="E24" s="185" t="s">
        <v>9</v>
      </c>
      <c r="F24" s="186"/>
      <c r="G24" s="186"/>
      <c r="H24" s="186"/>
      <c r="I24" s="186"/>
      <c r="J24" s="186"/>
      <c r="K24" s="187"/>
      <c r="L24" s="188" t="s">
        <v>4</v>
      </c>
      <c r="M24" s="189"/>
      <c r="N24" s="190"/>
      <c r="O24" s="191" t="s">
        <v>5</v>
      </c>
      <c r="P24" s="192"/>
      <c r="Q24" s="192"/>
      <c r="R24" s="193"/>
      <c r="S24" s="191" t="s">
        <v>22</v>
      </c>
      <c r="T24" s="192"/>
      <c r="U24" s="192"/>
      <c r="V24" s="192"/>
      <c r="W24" s="192"/>
      <c r="X24" s="192"/>
      <c r="Y24" s="193"/>
      <c r="Z24" s="194" t="s">
        <v>22</v>
      </c>
      <c r="AA24" s="195"/>
      <c r="AB24" s="195"/>
      <c r="AC24" s="195"/>
      <c r="AD24" s="195"/>
      <c r="AE24" s="195"/>
      <c r="AF24" s="195"/>
      <c r="AG24" s="195"/>
      <c r="AH24" s="195"/>
      <c r="AI24" s="195"/>
      <c r="AJ24" s="195"/>
      <c r="AK24" s="195"/>
      <c r="AL24" s="195"/>
      <c r="AM24" s="195"/>
      <c r="AN24" s="195"/>
      <c r="AO24" s="195"/>
      <c r="AP24" s="196"/>
      <c r="AQ24" s="238"/>
      <c r="AR24" s="238"/>
      <c r="AS24" s="238"/>
      <c r="AT24" s="238"/>
      <c r="AU24" s="238"/>
      <c r="AV24" s="238"/>
      <c r="AW24" s="238"/>
      <c r="AX24" s="238"/>
      <c r="AY24" s="238"/>
      <c r="AZ24" s="238"/>
      <c r="BA24" s="238"/>
      <c r="BB24" s="238"/>
      <c r="BC24" s="238"/>
      <c r="BD24" s="238"/>
      <c r="BE24" s="238"/>
      <c r="BF24" s="238"/>
      <c r="BG24" s="238"/>
      <c r="BH24" s="238"/>
      <c r="BI24" s="238"/>
      <c r="BJ24" s="239"/>
      <c r="BK24" s="15"/>
    </row>
    <row r="25" spans="1:63" s="16" customFormat="1" ht="15" customHeight="1" x14ac:dyDescent="0.25">
      <c r="A25" s="11"/>
      <c r="B25" s="18"/>
      <c r="C25" s="200">
        <v>4</v>
      </c>
      <c r="D25" s="201"/>
      <c r="E25" s="202" t="s">
        <v>10</v>
      </c>
      <c r="F25" s="203"/>
      <c r="G25" s="203"/>
      <c r="H25" s="203"/>
      <c r="I25" s="203"/>
      <c r="J25" s="203"/>
      <c r="K25" s="204"/>
      <c r="L25" s="214" t="s">
        <v>6</v>
      </c>
      <c r="M25" s="215"/>
      <c r="N25" s="216"/>
      <c r="O25" s="200" t="s">
        <v>5</v>
      </c>
      <c r="P25" s="213"/>
      <c r="Q25" s="213"/>
      <c r="R25" s="201"/>
      <c r="S25" s="200" t="s">
        <v>6</v>
      </c>
      <c r="T25" s="213"/>
      <c r="U25" s="213"/>
      <c r="V25" s="213"/>
      <c r="W25" s="213"/>
      <c r="X25" s="213"/>
      <c r="Y25" s="201"/>
      <c r="Z25" s="202" t="s">
        <v>10</v>
      </c>
      <c r="AA25" s="203"/>
      <c r="AB25" s="203"/>
      <c r="AC25" s="203"/>
      <c r="AD25" s="203"/>
      <c r="AE25" s="203"/>
      <c r="AF25" s="203"/>
      <c r="AG25" s="203"/>
      <c r="AH25" s="203"/>
      <c r="AI25" s="203"/>
      <c r="AJ25" s="203"/>
      <c r="AK25" s="203"/>
      <c r="AL25" s="203"/>
      <c r="AM25" s="203"/>
      <c r="AN25" s="203"/>
      <c r="AO25" s="203"/>
      <c r="AP25" s="204"/>
      <c r="AQ25" s="240"/>
      <c r="AR25" s="241"/>
      <c r="AS25" s="241"/>
      <c r="AT25" s="241"/>
      <c r="AU25" s="241"/>
      <c r="AV25" s="241"/>
      <c r="AW25" s="241"/>
      <c r="AX25" s="241"/>
      <c r="AY25" s="241"/>
      <c r="AZ25" s="241"/>
      <c r="BA25" s="241"/>
      <c r="BB25" s="241"/>
      <c r="BC25" s="241"/>
      <c r="BD25" s="241"/>
      <c r="BE25" s="241"/>
      <c r="BF25" s="241"/>
      <c r="BG25" s="241"/>
      <c r="BH25" s="241"/>
      <c r="BI25" s="241"/>
      <c r="BJ25" s="242"/>
      <c r="BK25" s="15"/>
    </row>
    <row r="26" spans="1:63" s="16" customFormat="1" ht="15" customHeight="1" x14ac:dyDescent="0.25">
      <c r="A26" s="11"/>
      <c r="B26" s="18"/>
      <c r="C26" s="200">
        <v>5</v>
      </c>
      <c r="D26" s="201"/>
      <c r="E26" s="202" t="s">
        <v>11</v>
      </c>
      <c r="F26" s="203"/>
      <c r="G26" s="203"/>
      <c r="H26" s="203"/>
      <c r="I26" s="203"/>
      <c r="J26" s="203"/>
      <c r="K26" s="204"/>
      <c r="L26" s="214" t="s">
        <v>6</v>
      </c>
      <c r="M26" s="215"/>
      <c r="N26" s="216"/>
      <c r="O26" s="200" t="s">
        <v>5</v>
      </c>
      <c r="P26" s="213"/>
      <c r="Q26" s="213"/>
      <c r="R26" s="201"/>
      <c r="S26" s="200" t="s">
        <v>6</v>
      </c>
      <c r="T26" s="213"/>
      <c r="U26" s="213"/>
      <c r="V26" s="213"/>
      <c r="W26" s="213"/>
      <c r="X26" s="213"/>
      <c r="Y26" s="201"/>
      <c r="Z26" s="202" t="s">
        <v>11</v>
      </c>
      <c r="AA26" s="203"/>
      <c r="AB26" s="203"/>
      <c r="AC26" s="203"/>
      <c r="AD26" s="203"/>
      <c r="AE26" s="203"/>
      <c r="AF26" s="203"/>
      <c r="AG26" s="203"/>
      <c r="AH26" s="203"/>
      <c r="AI26" s="203"/>
      <c r="AJ26" s="203"/>
      <c r="AK26" s="203"/>
      <c r="AL26" s="203"/>
      <c r="AM26" s="203"/>
      <c r="AN26" s="203"/>
      <c r="AO26" s="203"/>
      <c r="AP26" s="204"/>
      <c r="AQ26" s="240"/>
      <c r="AR26" s="241"/>
      <c r="AS26" s="241"/>
      <c r="AT26" s="241"/>
      <c r="AU26" s="241"/>
      <c r="AV26" s="241"/>
      <c r="AW26" s="241"/>
      <c r="AX26" s="241"/>
      <c r="AY26" s="241"/>
      <c r="AZ26" s="241"/>
      <c r="BA26" s="241"/>
      <c r="BB26" s="241"/>
      <c r="BC26" s="241"/>
      <c r="BD26" s="241"/>
      <c r="BE26" s="241"/>
      <c r="BF26" s="241"/>
      <c r="BG26" s="241"/>
      <c r="BH26" s="241"/>
      <c r="BI26" s="241"/>
      <c r="BJ26" s="242"/>
      <c r="BK26" s="15"/>
    </row>
    <row r="27" spans="1:63" s="16" customFormat="1" ht="15" customHeight="1" x14ac:dyDescent="0.25">
      <c r="A27" s="11"/>
      <c r="B27" s="18"/>
      <c r="C27" s="18"/>
      <c r="D27" s="18"/>
      <c r="E27" s="64"/>
      <c r="F27" s="64"/>
      <c r="G27" s="64"/>
      <c r="H27" s="64"/>
      <c r="I27" s="18"/>
      <c r="J27" s="18"/>
      <c r="K27" s="18"/>
      <c r="L27" s="65"/>
      <c r="M27" s="64"/>
      <c r="N27" s="64"/>
      <c r="O27" s="64"/>
      <c r="P27" s="64"/>
      <c r="Q27" s="18"/>
      <c r="R27" s="18"/>
      <c r="S27" s="18"/>
      <c r="T27" s="18"/>
      <c r="U27" s="18"/>
      <c r="V27" s="18"/>
      <c r="W27" s="18"/>
      <c r="X27" s="18"/>
      <c r="Y27" s="18"/>
      <c r="Z27" s="22"/>
      <c r="AA27" s="18"/>
      <c r="AB27" s="18"/>
      <c r="AC27" s="18"/>
      <c r="AD27" s="18"/>
      <c r="AE27" s="18"/>
      <c r="AF27" s="18"/>
      <c r="AG27" s="64"/>
      <c r="AH27" s="64"/>
      <c r="AI27" s="64"/>
      <c r="AJ27" s="64"/>
      <c r="AK27" s="64"/>
      <c r="AL27" s="64"/>
      <c r="AM27" s="64"/>
      <c r="AN27" s="64"/>
      <c r="AO27" s="64"/>
      <c r="AP27" s="18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19"/>
      <c r="BI27" s="19"/>
      <c r="BJ27" s="19"/>
      <c r="BK27" s="15"/>
    </row>
    <row r="28" spans="1:63" s="16" customFormat="1" ht="15" customHeight="1" x14ac:dyDescent="0.25">
      <c r="A28" s="11"/>
      <c r="B28" s="18"/>
      <c r="C28" s="18"/>
      <c r="D28" s="18"/>
      <c r="E28" s="64"/>
      <c r="F28" s="64"/>
      <c r="G28" s="64"/>
      <c r="H28" s="64"/>
      <c r="I28" s="18"/>
      <c r="J28" s="18"/>
      <c r="K28" s="18"/>
      <c r="L28" s="24"/>
      <c r="M28" s="64"/>
      <c r="N28" s="64"/>
      <c r="O28" s="64"/>
      <c r="P28" s="64"/>
      <c r="Q28" s="18"/>
      <c r="R28" s="18"/>
      <c r="S28" s="18"/>
      <c r="T28" s="18"/>
      <c r="U28" s="18"/>
      <c r="V28" s="18"/>
      <c r="W28" s="18"/>
      <c r="X28" s="18"/>
      <c r="Y28" s="18"/>
      <c r="Z28" s="22"/>
      <c r="AA28" s="18"/>
      <c r="AB28" s="18"/>
      <c r="AC28" s="18"/>
      <c r="AD28" s="18"/>
      <c r="AE28" s="18"/>
      <c r="AF28" s="18"/>
      <c r="AG28" s="64"/>
      <c r="AH28" s="64"/>
      <c r="AI28" s="64"/>
      <c r="AJ28" s="64"/>
      <c r="AK28" s="64"/>
      <c r="AL28" s="64"/>
      <c r="AM28" s="64"/>
      <c r="AN28" s="64"/>
      <c r="AO28" s="64"/>
      <c r="AP28" s="18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19"/>
      <c r="BI28" s="19"/>
      <c r="BJ28" s="19"/>
      <c r="BK28" s="15"/>
    </row>
    <row r="29" spans="1:63" s="16" customFormat="1" ht="15" customHeight="1" x14ac:dyDescent="0.25">
      <c r="A29" s="11"/>
      <c r="B29" s="18"/>
      <c r="C29" s="21" t="s">
        <v>132</v>
      </c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9"/>
      <c r="BI29" s="19"/>
      <c r="BJ29" s="19"/>
      <c r="BK29" s="15"/>
    </row>
    <row r="30" spans="1:63" s="16" customFormat="1" ht="15" customHeight="1" x14ac:dyDescent="0.25">
      <c r="A30" s="11"/>
      <c r="B30" s="18"/>
      <c r="C30" s="17"/>
      <c r="D30" s="18" t="s">
        <v>23</v>
      </c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9"/>
      <c r="BI30" s="19"/>
      <c r="BJ30" s="19"/>
      <c r="BK30" s="15"/>
    </row>
    <row r="31" spans="1:63" s="16" customFormat="1" ht="15" customHeight="1" x14ac:dyDescent="0.25">
      <c r="A31" s="11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9"/>
      <c r="BI31" s="19"/>
      <c r="BJ31" s="19"/>
      <c r="BK31" s="15"/>
    </row>
    <row r="32" spans="1:63" s="16" customFormat="1" ht="15" customHeight="1" x14ac:dyDescent="0.25">
      <c r="A32" s="11"/>
      <c r="B32" s="18"/>
      <c r="C32" s="21" t="s">
        <v>133</v>
      </c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9"/>
      <c r="BI32" s="19"/>
      <c r="BJ32" s="19"/>
      <c r="BK32" s="15"/>
    </row>
    <row r="33" spans="1:63" s="16" customFormat="1" ht="15" customHeight="1" x14ac:dyDescent="0.25">
      <c r="A33" s="11"/>
      <c r="B33" s="18"/>
      <c r="C33" s="17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9"/>
      <c r="BI33" s="19"/>
      <c r="BJ33" s="19"/>
      <c r="BK33" s="15"/>
    </row>
    <row r="34" spans="1:63" s="16" customFormat="1" ht="15" customHeight="1" x14ac:dyDescent="0.25">
      <c r="A34" s="11"/>
      <c r="B34" s="18"/>
      <c r="C34" s="205" t="s">
        <v>12</v>
      </c>
      <c r="D34" s="206"/>
      <c r="E34" s="207" t="s">
        <v>19</v>
      </c>
      <c r="F34" s="208"/>
      <c r="G34" s="208"/>
      <c r="H34" s="208"/>
      <c r="I34" s="208"/>
      <c r="J34" s="208"/>
      <c r="K34" s="209"/>
      <c r="L34" s="210" t="s">
        <v>16</v>
      </c>
      <c r="M34" s="211"/>
      <c r="N34" s="212"/>
      <c r="O34" s="210" t="s">
        <v>17</v>
      </c>
      <c r="P34" s="211"/>
      <c r="Q34" s="211"/>
      <c r="R34" s="212"/>
      <c r="S34" s="210" t="s">
        <v>18</v>
      </c>
      <c r="T34" s="211"/>
      <c r="U34" s="211"/>
      <c r="V34" s="211"/>
      <c r="W34" s="211"/>
      <c r="X34" s="211"/>
      <c r="Y34" s="212"/>
      <c r="Z34" s="197" t="s">
        <v>130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9"/>
      <c r="AQ34" s="235" t="s">
        <v>15</v>
      </c>
      <c r="AR34" s="236"/>
      <c r="AS34" s="236"/>
      <c r="AT34" s="236"/>
      <c r="AU34" s="236"/>
      <c r="AV34" s="236"/>
      <c r="AW34" s="236"/>
      <c r="AX34" s="236"/>
      <c r="AY34" s="236"/>
      <c r="AZ34" s="236"/>
      <c r="BA34" s="236"/>
      <c r="BB34" s="236"/>
      <c r="BC34" s="236"/>
      <c r="BD34" s="236"/>
      <c r="BE34" s="236"/>
      <c r="BF34" s="236"/>
      <c r="BG34" s="236"/>
      <c r="BH34" s="236"/>
      <c r="BI34" s="236"/>
      <c r="BJ34" s="237"/>
      <c r="BK34" s="15"/>
    </row>
    <row r="35" spans="1:63" s="16" customFormat="1" ht="15" customHeight="1" x14ac:dyDescent="0.25">
      <c r="A35" s="11"/>
      <c r="B35" s="18"/>
      <c r="C35" s="200">
        <v>1</v>
      </c>
      <c r="D35" s="201"/>
      <c r="E35" s="200" t="s">
        <v>49</v>
      </c>
      <c r="F35" s="213"/>
      <c r="G35" s="213"/>
      <c r="H35" s="213"/>
      <c r="I35" s="213"/>
      <c r="J35" s="213"/>
      <c r="K35" s="201"/>
      <c r="L35" s="214" t="s">
        <v>98</v>
      </c>
      <c r="M35" s="215"/>
      <c r="N35" s="216"/>
      <c r="O35" s="200" t="s">
        <v>24</v>
      </c>
      <c r="P35" s="213"/>
      <c r="Q35" s="213"/>
      <c r="R35" s="201"/>
      <c r="S35" s="200"/>
      <c r="T35" s="213"/>
      <c r="U35" s="213"/>
      <c r="V35" s="213"/>
      <c r="W35" s="213"/>
      <c r="X35" s="213"/>
      <c r="Y35" s="201"/>
      <c r="Z35" s="200"/>
      <c r="AA35" s="213"/>
      <c r="AB35" s="213"/>
      <c r="AC35" s="213"/>
      <c r="AD35" s="213"/>
      <c r="AE35" s="213"/>
      <c r="AF35" s="213"/>
      <c r="AG35" s="213"/>
      <c r="AH35" s="213"/>
      <c r="AI35" s="213"/>
      <c r="AJ35" s="213"/>
      <c r="AK35" s="213"/>
      <c r="AL35" s="213"/>
      <c r="AM35" s="213"/>
      <c r="AN35" s="213"/>
      <c r="AO35" s="213"/>
      <c r="AP35" s="201"/>
      <c r="AQ35" s="223"/>
      <c r="AR35" s="224"/>
      <c r="AS35" s="224"/>
      <c r="AT35" s="224"/>
      <c r="AU35" s="224"/>
      <c r="AV35" s="224"/>
      <c r="AW35" s="224"/>
      <c r="AX35" s="224"/>
      <c r="AY35" s="224"/>
      <c r="AZ35" s="224"/>
      <c r="BA35" s="224"/>
      <c r="BB35" s="224"/>
      <c r="BC35" s="224"/>
      <c r="BD35" s="224"/>
      <c r="BE35" s="224"/>
      <c r="BF35" s="224"/>
      <c r="BG35" s="224"/>
      <c r="BH35" s="224"/>
      <c r="BI35" s="224"/>
      <c r="BJ35" s="225"/>
      <c r="BK35" s="15"/>
    </row>
    <row r="36" spans="1:63" s="16" customFormat="1" ht="60" customHeight="1" x14ac:dyDescent="0.25">
      <c r="A36" s="11"/>
      <c r="B36" s="18"/>
      <c r="C36" s="200">
        <v>2</v>
      </c>
      <c r="D36" s="201"/>
      <c r="E36" s="200" t="s">
        <v>45</v>
      </c>
      <c r="F36" s="213"/>
      <c r="G36" s="213"/>
      <c r="H36" s="213"/>
      <c r="I36" s="213"/>
      <c r="J36" s="213"/>
      <c r="K36" s="201"/>
      <c r="L36" s="217" t="s">
        <v>4</v>
      </c>
      <c r="M36" s="218"/>
      <c r="N36" s="219"/>
      <c r="O36" s="200" t="s">
        <v>46</v>
      </c>
      <c r="P36" s="213"/>
      <c r="Q36" s="213"/>
      <c r="R36" s="201"/>
      <c r="S36" s="200" t="s">
        <v>98</v>
      </c>
      <c r="T36" s="213"/>
      <c r="U36" s="213"/>
      <c r="V36" s="213"/>
      <c r="W36" s="213"/>
      <c r="X36" s="213"/>
      <c r="Y36" s="201"/>
      <c r="Z36" s="200"/>
      <c r="AA36" s="213"/>
      <c r="AB36" s="213"/>
      <c r="AC36" s="213"/>
      <c r="AD36" s="213"/>
      <c r="AE36" s="213"/>
      <c r="AF36" s="213"/>
      <c r="AG36" s="213"/>
      <c r="AH36" s="213"/>
      <c r="AI36" s="213"/>
      <c r="AJ36" s="213"/>
      <c r="AK36" s="213"/>
      <c r="AL36" s="213"/>
      <c r="AM36" s="213"/>
      <c r="AN36" s="213"/>
      <c r="AO36" s="213"/>
      <c r="AP36" s="201"/>
      <c r="AQ36" s="243" t="s">
        <v>134</v>
      </c>
      <c r="AR36" s="224"/>
      <c r="AS36" s="224"/>
      <c r="AT36" s="224"/>
      <c r="AU36" s="224"/>
      <c r="AV36" s="224"/>
      <c r="AW36" s="224"/>
      <c r="AX36" s="224"/>
      <c r="AY36" s="224"/>
      <c r="AZ36" s="224"/>
      <c r="BA36" s="224"/>
      <c r="BB36" s="224"/>
      <c r="BC36" s="224"/>
      <c r="BD36" s="224"/>
      <c r="BE36" s="224"/>
      <c r="BF36" s="224"/>
      <c r="BG36" s="224"/>
      <c r="BH36" s="224"/>
      <c r="BI36" s="224"/>
      <c r="BJ36" s="225"/>
      <c r="BK36" s="15"/>
    </row>
    <row r="37" spans="1:63" s="16" customFormat="1" ht="15" customHeight="1" x14ac:dyDescent="0.25">
      <c r="A37" s="11"/>
      <c r="B37" s="18"/>
      <c r="C37" s="200">
        <v>3</v>
      </c>
      <c r="D37" s="201"/>
      <c r="E37" s="200" t="s">
        <v>25</v>
      </c>
      <c r="F37" s="213"/>
      <c r="G37" s="213"/>
      <c r="H37" s="213"/>
      <c r="I37" s="213"/>
      <c r="J37" s="213"/>
      <c r="K37" s="201"/>
      <c r="L37" s="217" t="s">
        <v>4</v>
      </c>
      <c r="M37" s="218"/>
      <c r="N37" s="219"/>
      <c r="O37" s="200" t="s">
        <v>99</v>
      </c>
      <c r="P37" s="213"/>
      <c r="Q37" s="213"/>
      <c r="R37" s="201"/>
      <c r="S37" s="200" t="s">
        <v>98</v>
      </c>
      <c r="T37" s="213"/>
      <c r="U37" s="213"/>
      <c r="V37" s="213"/>
      <c r="W37" s="213"/>
      <c r="X37" s="213"/>
      <c r="Y37" s="201"/>
      <c r="Z37" s="200" t="s">
        <v>71</v>
      </c>
      <c r="AA37" s="213"/>
      <c r="AB37" s="213"/>
      <c r="AC37" s="213"/>
      <c r="AD37" s="213"/>
      <c r="AE37" s="213"/>
      <c r="AF37" s="213"/>
      <c r="AG37" s="213"/>
      <c r="AH37" s="213"/>
      <c r="AI37" s="213"/>
      <c r="AJ37" s="213"/>
      <c r="AK37" s="213"/>
      <c r="AL37" s="213"/>
      <c r="AM37" s="213"/>
      <c r="AN37" s="213"/>
      <c r="AO37" s="213"/>
      <c r="AP37" s="201"/>
      <c r="AQ37" s="226"/>
      <c r="AR37" s="227"/>
      <c r="AS37" s="227"/>
      <c r="AT37" s="227"/>
      <c r="AU37" s="227"/>
      <c r="AV37" s="227"/>
      <c r="AW37" s="227"/>
      <c r="AX37" s="227"/>
      <c r="AY37" s="227"/>
      <c r="AZ37" s="227"/>
      <c r="BA37" s="227"/>
      <c r="BB37" s="227"/>
      <c r="BC37" s="227"/>
      <c r="BD37" s="227"/>
      <c r="BE37" s="227"/>
      <c r="BF37" s="227"/>
      <c r="BG37" s="227"/>
      <c r="BH37" s="227"/>
      <c r="BI37" s="227"/>
      <c r="BJ37" s="228"/>
      <c r="BK37" s="15"/>
    </row>
    <row r="38" spans="1:63" s="16" customFormat="1" ht="15" customHeight="1" x14ac:dyDescent="0.25">
      <c r="A38" s="11"/>
      <c r="B38" s="18"/>
      <c r="C38" s="200">
        <v>4</v>
      </c>
      <c r="D38" s="201"/>
      <c r="E38" s="200" t="s">
        <v>26</v>
      </c>
      <c r="F38" s="213"/>
      <c r="G38" s="213"/>
      <c r="H38" s="213"/>
      <c r="I38" s="213"/>
      <c r="J38" s="213"/>
      <c r="K38" s="201"/>
      <c r="L38" s="217" t="s">
        <v>4</v>
      </c>
      <c r="M38" s="218"/>
      <c r="N38" s="219"/>
      <c r="O38" s="200" t="s">
        <v>5</v>
      </c>
      <c r="P38" s="213"/>
      <c r="Q38" s="213"/>
      <c r="R38" s="201"/>
      <c r="S38" s="200" t="s">
        <v>98</v>
      </c>
      <c r="T38" s="213"/>
      <c r="U38" s="213"/>
      <c r="V38" s="213"/>
      <c r="W38" s="213"/>
      <c r="X38" s="213"/>
      <c r="Y38" s="201"/>
      <c r="Z38" s="200" t="s">
        <v>87</v>
      </c>
      <c r="AA38" s="213"/>
      <c r="AB38" s="213"/>
      <c r="AC38" s="213"/>
      <c r="AD38" s="213"/>
      <c r="AE38" s="213"/>
      <c r="AF38" s="213"/>
      <c r="AG38" s="213"/>
      <c r="AH38" s="213"/>
      <c r="AI38" s="213"/>
      <c r="AJ38" s="213"/>
      <c r="AK38" s="213"/>
      <c r="AL38" s="213"/>
      <c r="AM38" s="213"/>
      <c r="AN38" s="213"/>
      <c r="AO38" s="213"/>
      <c r="AP38" s="201"/>
      <c r="AQ38" s="223" t="s">
        <v>135</v>
      </c>
      <c r="AR38" s="224"/>
      <c r="AS38" s="224"/>
      <c r="AT38" s="224"/>
      <c r="AU38" s="224"/>
      <c r="AV38" s="224"/>
      <c r="AW38" s="224"/>
      <c r="AX38" s="224"/>
      <c r="AY38" s="224"/>
      <c r="AZ38" s="224"/>
      <c r="BA38" s="224"/>
      <c r="BB38" s="224"/>
      <c r="BC38" s="224"/>
      <c r="BD38" s="224"/>
      <c r="BE38" s="224"/>
      <c r="BF38" s="224"/>
      <c r="BG38" s="224"/>
      <c r="BH38" s="224"/>
      <c r="BI38" s="224"/>
      <c r="BJ38" s="225"/>
      <c r="BK38" s="15"/>
    </row>
    <row r="39" spans="1:63" s="16" customFormat="1" ht="96.75" customHeight="1" x14ac:dyDescent="0.25">
      <c r="A39" s="11"/>
      <c r="B39" s="18"/>
      <c r="C39" s="200">
        <v>5</v>
      </c>
      <c r="D39" s="201"/>
      <c r="E39" s="200" t="s">
        <v>27</v>
      </c>
      <c r="F39" s="213"/>
      <c r="G39" s="213"/>
      <c r="H39" s="213"/>
      <c r="I39" s="213"/>
      <c r="J39" s="213"/>
      <c r="K39" s="201"/>
      <c r="L39" s="217" t="s">
        <v>4</v>
      </c>
      <c r="M39" s="218"/>
      <c r="N39" s="219"/>
      <c r="O39" s="220" t="s">
        <v>136</v>
      </c>
      <c r="P39" s="221"/>
      <c r="Q39" s="221"/>
      <c r="R39" s="222"/>
      <c r="S39" s="200" t="s">
        <v>98</v>
      </c>
      <c r="T39" s="213"/>
      <c r="U39" s="213"/>
      <c r="V39" s="213"/>
      <c r="W39" s="213"/>
      <c r="X39" s="213"/>
      <c r="Y39" s="201"/>
      <c r="Z39" s="200" t="s">
        <v>88</v>
      </c>
      <c r="AA39" s="213"/>
      <c r="AB39" s="213"/>
      <c r="AC39" s="213"/>
      <c r="AD39" s="213"/>
      <c r="AE39" s="213"/>
      <c r="AF39" s="213"/>
      <c r="AG39" s="213"/>
      <c r="AH39" s="213"/>
      <c r="AI39" s="213"/>
      <c r="AJ39" s="213"/>
      <c r="AK39" s="213"/>
      <c r="AL39" s="213"/>
      <c r="AM39" s="213"/>
      <c r="AN39" s="213"/>
      <c r="AO39" s="213"/>
      <c r="AP39" s="201"/>
      <c r="AQ39" s="244" t="s">
        <v>179</v>
      </c>
      <c r="AR39" s="245"/>
      <c r="AS39" s="245"/>
      <c r="AT39" s="245"/>
      <c r="AU39" s="245"/>
      <c r="AV39" s="245"/>
      <c r="AW39" s="245"/>
      <c r="AX39" s="245"/>
      <c r="AY39" s="245"/>
      <c r="AZ39" s="245"/>
      <c r="BA39" s="245"/>
      <c r="BB39" s="245"/>
      <c r="BC39" s="245"/>
      <c r="BD39" s="245"/>
      <c r="BE39" s="245"/>
      <c r="BF39" s="245"/>
      <c r="BG39" s="245"/>
      <c r="BH39" s="245"/>
      <c r="BI39" s="245"/>
      <c r="BJ39" s="246"/>
      <c r="BK39" s="15"/>
    </row>
    <row r="40" spans="1:63" s="16" customFormat="1" ht="108" customHeight="1" x14ac:dyDescent="0.25">
      <c r="A40" s="11"/>
      <c r="B40" s="18"/>
      <c r="C40" s="200">
        <v>6</v>
      </c>
      <c r="D40" s="201"/>
      <c r="E40" s="200" t="s">
        <v>28</v>
      </c>
      <c r="F40" s="213"/>
      <c r="G40" s="213"/>
      <c r="H40" s="213"/>
      <c r="I40" s="213"/>
      <c r="J40" s="213"/>
      <c r="K40" s="201"/>
      <c r="L40" s="217" t="s">
        <v>4</v>
      </c>
      <c r="M40" s="218"/>
      <c r="N40" s="219"/>
      <c r="O40" s="200" t="s">
        <v>5</v>
      </c>
      <c r="P40" s="213"/>
      <c r="Q40" s="213"/>
      <c r="R40" s="201"/>
      <c r="S40" s="200" t="s">
        <v>98</v>
      </c>
      <c r="T40" s="213"/>
      <c r="U40" s="213"/>
      <c r="V40" s="213"/>
      <c r="W40" s="213"/>
      <c r="X40" s="213"/>
      <c r="Y40" s="201"/>
      <c r="Z40" s="200" t="s">
        <v>89</v>
      </c>
      <c r="AA40" s="213"/>
      <c r="AB40" s="213"/>
      <c r="AC40" s="213"/>
      <c r="AD40" s="213"/>
      <c r="AE40" s="213"/>
      <c r="AF40" s="213"/>
      <c r="AG40" s="213"/>
      <c r="AH40" s="213"/>
      <c r="AI40" s="213"/>
      <c r="AJ40" s="213"/>
      <c r="AK40" s="213"/>
      <c r="AL40" s="213"/>
      <c r="AM40" s="213"/>
      <c r="AN40" s="213"/>
      <c r="AO40" s="213"/>
      <c r="AP40" s="201"/>
      <c r="AQ40" s="223" t="s">
        <v>180</v>
      </c>
      <c r="AR40" s="224"/>
      <c r="AS40" s="224"/>
      <c r="AT40" s="224"/>
      <c r="AU40" s="224"/>
      <c r="AV40" s="224"/>
      <c r="AW40" s="224"/>
      <c r="AX40" s="224"/>
      <c r="AY40" s="224"/>
      <c r="AZ40" s="224"/>
      <c r="BA40" s="224"/>
      <c r="BB40" s="224"/>
      <c r="BC40" s="224"/>
      <c r="BD40" s="224"/>
      <c r="BE40" s="224"/>
      <c r="BF40" s="224"/>
      <c r="BG40" s="224"/>
      <c r="BH40" s="224"/>
      <c r="BI40" s="224"/>
      <c r="BJ40" s="225"/>
      <c r="BK40" s="15"/>
    </row>
    <row r="41" spans="1:63" s="16" customFormat="1" ht="99" customHeight="1" x14ac:dyDescent="0.25">
      <c r="A41" s="11"/>
      <c r="B41" s="18"/>
      <c r="C41" s="200">
        <v>7</v>
      </c>
      <c r="D41" s="201"/>
      <c r="E41" s="200" t="s">
        <v>29</v>
      </c>
      <c r="F41" s="213"/>
      <c r="G41" s="213"/>
      <c r="H41" s="213"/>
      <c r="I41" s="213"/>
      <c r="J41" s="213"/>
      <c r="K41" s="201"/>
      <c r="L41" s="217" t="s">
        <v>4</v>
      </c>
      <c r="M41" s="218"/>
      <c r="N41" s="219"/>
      <c r="O41" s="200" t="s">
        <v>5</v>
      </c>
      <c r="P41" s="213"/>
      <c r="Q41" s="213"/>
      <c r="R41" s="201"/>
      <c r="S41" s="200" t="s">
        <v>98</v>
      </c>
      <c r="T41" s="213"/>
      <c r="U41" s="213"/>
      <c r="V41" s="213"/>
      <c r="W41" s="213"/>
      <c r="X41" s="213"/>
      <c r="Y41" s="201"/>
      <c r="Z41" s="200" t="s">
        <v>72</v>
      </c>
      <c r="AA41" s="213"/>
      <c r="AB41" s="213"/>
      <c r="AC41" s="213"/>
      <c r="AD41" s="213"/>
      <c r="AE41" s="213"/>
      <c r="AF41" s="213"/>
      <c r="AG41" s="213"/>
      <c r="AH41" s="213"/>
      <c r="AI41" s="213"/>
      <c r="AJ41" s="213"/>
      <c r="AK41" s="213"/>
      <c r="AL41" s="213"/>
      <c r="AM41" s="213"/>
      <c r="AN41" s="213"/>
      <c r="AO41" s="213"/>
      <c r="AP41" s="201"/>
      <c r="AQ41" s="223" t="s">
        <v>137</v>
      </c>
      <c r="AR41" s="224"/>
      <c r="AS41" s="224"/>
      <c r="AT41" s="224"/>
      <c r="AU41" s="224"/>
      <c r="AV41" s="224"/>
      <c r="AW41" s="224"/>
      <c r="AX41" s="224"/>
      <c r="AY41" s="224"/>
      <c r="AZ41" s="224"/>
      <c r="BA41" s="224"/>
      <c r="BB41" s="224"/>
      <c r="BC41" s="224"/>
      <c r="BD41" s="224"/>
      <c r="BE41" s="224"/>
      <c r="BF41" s="224"/>
      <c r="BG41" s="224"/>
      <c r="BH41" s="224"/>
      <c r="BI41" s="224"/>
      <c r="BJ41" s="225"/>
      <c r="BK41" s="15"/>
    </row>
    <row r="42" spans="1:63" s="16" customFormat="1" ht="107.25" customHeight="1" x14ac:dyDescent="0.25">
      <c r="A42" s="11"/>
      <c r="B42" s="18"/>
      <c r="C42" s="200">
        <v>8</v>
      </c>
      <c r="D42" s="201"/>
      <c r="E42" s="200" t="s">
        <v>30</v>
      </c>
      <c r="F42" s="213"/>
      <c r="G42" s="213"/>
      <c r="H42" s="213"/>
      <c r="I42" s="213"/>
      <c r="J42" s="213"/>
      <c r="K42" s="201"/>
      <c r="L42" s="217" t="s">
        <v>4</v>
      </c>
      <c r="M42" s="218"/>
      <c r="N42" s="219"/>
      <c r="O42" s="200" t="s">
        <v>5</v>
      </c>
      <c r="P42" s="213"/>
      <c r="Q42" s="213"/>
      <c r="R42" s="201"/>
      <c r="S42" s="200" t="s">
        <v>98</v>
      </c>
      <c r="T42" s="213"/>
      <c r="U42" s="213"/>
      <c r="V42" s="213"/>
      <c r="W42" s="213"/>
      <c r="X42" s="213"/>
      <c r="Y42" s="201"/>
      <c r="Z42" s="200" t="s">
        <v>90</v>
      </c>
      <c r="AA42" s="213"/>
      <c r="AB42" s="213"/>
      <c r="AC42" s="213"/>
      <c r="AD42" s="213"/>
      <c r="AE42" s="213"/>
      <c r="AF42" s="213"/>
      <c r="AG42" s="213"/>
      <c r="AH42" s="213"/>
      <c r="AI42" s="213"/>
      <c r="AJ42" s="213"/>
      <c r="AK42" s="213"/>
      <c r="AL42" s="213"/>
      <c r="AM42" s="213"/>
      <c r="AN42" s="213"/>
      <c r="AO42" s="213"/>
      <c r="AP42" s="201"/>
      <c r="AQ42" s="223" t="s">
        <v>181</v>
      </c>
      <c r="AR42" s="224"/>
      <c r="AS42" s="224"/>
      <c r="AT42" s="224"/>
      <c r="AU42" s="224"/>
      <c r="AV42" s="224"/>
      <c r="AW42" s="224"/>
      <c r="AX42" s="224"/>
      <c r="AY42" s="224"/>
      <c r="AZ42" s="224"/>
      <c r="BA42" s="224"/>
      <c r="BB42" s="224"/>
      <c r="BC42" s="224"/>
      <c r="BD42" s="224"/>
      <c r="BE42" s="224"/>
      <c r="BF42" s="224"/>
      <c r="BG42" s="224"/>
      <c r="BH42" s="224"/>
      <c r="BI42" s="224"/>
      <c r="BJ42" s="225"/>
      <c r="BK42" s="15"/>
    </row>
    <row r="43" spans="1:63" s="16" customFormat="1" ht="111" customHeight="1" x14ac:dyDescent="0.25">
      <c r="A43" s="11"/>
      <c r="B43" s="18"/>
      <c r="C43" s="200">
        <v>9</v>
      </c>
      <c r="D43" s="201"/>
      <c r="E43" s="200" t="s">
        <v>31</v>
      </c>
      <c r="F43" s="213"/>
      <c r="G43" s="213"/>
      <c r="H43" s="213"/>
      <c r="I43" s="213"/>
      <c r="J43" s="213"/>
      <c r="K43" s="201"/>
      <c r="L43" s="217" t="s">
        <v>4</v>
      </c>
      <c r="M43" s="218"/>
      <c r="N43" s="219"/>
      <c r="O43" s="200" t="s">
        <v>5</v>
      </c>
      <c r="P43" s="213"/>
      <c r="Q43" s="213"/>
      <c r="R43" s="201"/>
      <c r="S43" s="200" t="s">
        <v>98</v>
      </c>
      <c r="T43" s="213"/>
      <c r="U43" s="213"/>
      <c r="V43" s="213"/>
      <c r="W43" s="213"/>
      <c r="X43" s="213"/>
      <c r="Y43" s="201"/>
      <c r="Z43" s="200" t="s">
        <v>91</v>
      </c>
      <c r="AA43" s="213"/>
      <c r="AB43" s="213"/>
      <c r="AC43" s="213"/>
      <c r="AD43" s="213"/>
      <c r="AE43" s="213"/>
      <c r="AF43" s="213"/>
      <c r="AG43" s="213"/>
      <c r="AH43" s="213"/>
      <c r="AI43" s="213"/>
      <c r="AJ43" s="213"/>
      <c r="AK43" s="213"/>
      <c r="AL43" s="213"/>
      <c r="AM43" s="213"/>
      <c r="AN43" s="213"/>
      <c r="AO43" s="213"/>
      <c r="AP43" s="201"/>
      <c r="AQ43" s="223" t="s">
        <v>182</v>
      </c>
      <c r="AR43" s="224"/>
      <c r="AS43" s="224"/>
      <c r="AT43" s="224"/>
      <c r="AU43" s="224"/>
      <c r="AV43" s="224"/>
      <c r="AW43" s="224"/>
      <c r="AX43" s="224"/>
      <c r="AY43" s="224"/>
      <c r="AZ43" s="224"/>
      <c r="BA43" s="224"/>
      <c r="BB43" s="224"/>
      <c r="BC43" s="224"/>
      <c r="BD43" s="224"/>
      <c r="BE43" s="224"/>
      <c r="BF43" s="224"/>
      <c r="BG43" s="224"/>
      <c r="BH43" s="224"/>
      <c r="BI43" s="224"/>
      <c r="BJ43" s="225"/>
      <c r="BK43" s="15"/>
    </row>
    <row r="44" spans="1:63" s="16" customFormat="1" ht="86.25" customHeight="1" x14ac:dyDescent="0.25">
      <c r="A44" s="11"/>
      <c r="B44" s="18"/>
      <c r="C44" s="200">
        <v>10</v>
      </c>
      <c r="D44" s="201"/>
      <c r="E44" s="200" t="s">
        <v>32</v>
      </c>
      <c r="F44" s="213"/>
      <c r="G44" s="213"/>
      <c r="H44" s="213"/>
      <c r="I44" s="213"/>
      <c r="J44" s="213"/>
      <c r="K44" s="201"/>
      <c r="L44" s="217" t="s">
        <v>4</v>
      </c>
      <c r="M44" s="218"/>
      <c r="N44" s="219"/>
      <c r="O44" s="200" t="s">
        <v>5</v>
      </c>
      <c r="P44" s="213"/>
      <c r="Q44" s="213"/>
      <c r="R44" s="201"/>
      <c r="S44" s="200" t="s">
        <v>98</v>
      </c>
      <c r="T44" s="213"/>
      <c r="U44" s="213"/>
      <c r="V44" s="213"/>
      <c r="W44" s="213"/>
      <c r="X44" s="213"/>
      <c r="Y44" s="201"/>
      <c r="Z44" s="200" t="s">
        <v>92</v>
      </c>
      <c r="AA44" s="213"/>
      <c r="AB44" s="213"/>
      <c r="AC44" s="213"/>
      <c r="AD44" s="213"/>
      <c r="AE44" s="213"/>
      <c r="AF44" s="213"/>
      <c r="AG44" s="213"/>
      <c r="AH44" s="213"/>
      <c r="AI44" s="213"/>
      <c r="AJ44" s="213"/>
      <c r="AK44" s="213"/>
      <c r="AL44" s="213"/>
      <c r="AM44" s="213"/>
      <c r="AN44" s="213"/>
      <c r="AO44" s="213"/>
      <c r="AP44" s="201"/>
      <c r="AQ44" s="223" t="s">
        <v>178</v>
      </c>
      <c r="AR44" s="224"/>
      <c r="AS44" s="224"/>
      <c r="AT44" s="224"/>
      <c r="AU44" s="224"/>
      <c r="AV44" s="224"/>
      <c r="AW44" s="224"/>
      <c r="AX44" s="224"/>
      <c r="AY44" s="224"/>
      <c r="AZ44" s="224"/>
      <c r="BA44" s="224"/>
      <c r="BB44" s="224"/>
      <c r="BC44" s="224"/>
      <c r="BD44" s="224"/>
      <c r="BE44" s="224"/>
      <c r="BF44" s="224"/>
      <c r="BG44" s="224"/>
      <c r="BH44" s="224"/>
      <c r="BI44" s="224"/>
      <c r="BJ44" s="225"/>
      <c r="BK44" s="15"/>
    </row>
    <row r="45" spans="1:63" s="16" customFormat="1" ht="129" customHeight="1" x14ac:dyDescent="0.25">
      <c r="A45" s="11"/>
      <c r="B45" s="18"/>
      <c r="C45" s="200">
        <v>8</v>
      </c>
      <c r="D45" s="201"/>
      <c r="E45" s="200" t="s">
        <v>67</v>
      </c>
      <c r="F45" s="213"/>
      <c r="G45" s="213"/>
      <c r="H45" s="213"/>
      <c r="I45" s="213"/>
      <c r="J45" s="213"/>
      <c r="K45" s="201"/>
      <c r="L45" s="214" t="s">
        <v>98</v>
      </c>
      <c r="M45" s="215"/>
      <c r="N45" s="216"/>
      <c r="O45" s="200" t="s">
        <v>99</v>
      </c>
      <c r="P45" s="213"/>
      <c r="Q45" s="213"/>
      <c r="R45" s="201"/>
      <c r="S45" s="200" t="s">
        <v>98</v>
      </c>
      <c r="T45" s="213"/>
      <c r="U45" s="213"/>
      <c r="V45" s="213"/>
      <c r="W45" s="213"/>
      <c r="X45" s="213"/>
      <c r="Y45" s="201"/>
      <c r="Z45" s="200" t="s">
        <v>73</v>
      </c>
      <c r="AA45" s="213"/>
      <c r="AB45" s="213"/>
      <c r="AC45" s="213"/>
      <c r="AD45" s="213"/>
      <c r="AE45" s="213"/>
      <c r="AF45" s="213"/>
      <c r="AG45" s="213"/>
      <c r="AH45" s="213"/>
      <c r="AI45" s="213"/>
      <c r="AJ45" s="213"/>
      <c r="AK45" s="213"/>
      <c r="AL45" s="213"/>
      <c r="AM45" s="213"/>
      <c r="AN45" s="213"/>
      <c r="AO45" s="213"/>
      <c r="AP45" s="201"/>
      <c r="AQ45" s="223" t="s">
        <v>138</v>
      </c>
      <c r="AR45" s="224"/>
      <c r="AS45" s="224"/>
      <c r="AT45" s="224"/>
      <c r="AU45" s="224"/>
      <c r="AV45" s="224"/>
      <c r="AW45" s="224"/>
      <c r="AX45" s="224"/>
      <c r="AY45" s="224"/>
      <c r="AZ45" s="224"/>
      <c r="BA45" s="224"/>
      <c r="BB45" s="224"/>
      <c r="BC45" s="224"/>
      <c r="BD45" s="224"/>
      <c r="BE45" s="224"/>
      <c r="BF45" s="224"/>
      <c r="BG45" s="224"/>
      <c r="BH45" s="224"/>
      <c r="BI45" s="224"/>
      <c r="BJ45" s="225"/>
      <c r="BK45" s="15"/>
    </row>
    <row r="46" spans="1:63" s="16" customFormat="1" ht="15" customHeight="1" x14ac:dyDescent="0.25">
      <c r="A46" s="11"/>
      <c r="B46" s="18"/>
      <c r="C46" s="200">
        <v>9</v>
      </c>
      <c r="D46" s="201"/>
      <c r="E46" s="200" t="s">
        <v>33</v>
      </c>
      <c r="F46" s="213"/>
      <c r="G46" s="213"/>
      <c r="H46" s="213"/>
      <c r="I46" s="213"/>
      <c r="J46" s="213"/>
      <c r="K46" s="201"/>
      <c r="L46" s="214" t="s">
        <v>98</v>
      </c>
      <c r="M46" s="215"/>
      <c r="N46" s="216"/>
      <c r="O46" s="200" t="s">
        <v>5</v>
      </c>
      <c r="P46" s="213"/>
      <c r="Q46" s="213"/>
      <c r="R46" s="201"/>
      <c r="S46" s="200" t="s">
        <v>94</v>
      </c>
      <c r="T46" s="213"/>
      <c r="U46" s="213"/>
      <c r="V46" s="213"/>
      <c r="W46" s="213"/>
      <c r="X46" s="213"/>
      <c r="Y46" s="201"/>
      <c r="Z46" s="200" t="s">
        <v>74</v>
      </c>
      <c r="AA46" s="213"/>
      <c r="AB46" s="213"/>
      <c r="AC46" s="213"/>
      <c r="AD46" s="213"/>
      <c r="AE46" s="213"/>
      <c r="AF46" s="213"/>
      <c r="AG46" s="213"/>
      <c r="AH46" s="213"/>
      <c r="AI46" s="213"/>
      <c r="AJ46" s="213"/>
      <c r="AK46" s="213"/>
      <c r="AL46" s="213"/>
      <c r="AM46" s="213"/>
      <c r="AN46" s="213"/>
      <c r="AO46" s="213"/>
      <c r="AP46" s="201"/>
      <c r="AQ46" s="223" t="s">
        <v>139</v>
      </c>
      <c r="AR46" s="224"/>
      <c r="AS46" s="224"/>
      <c r="AT46" s="224"/>
      <c r="AU46" s="224"/>
      <c r="AV46" s="224"/>
      <c r="AW46" s="224"/>
      <c r="AX46" s="224"/>
      <c r="AY46" s="224"/>
      <c r="AZ46" s="224"/>
      <c r="BA46" s="224"/>
      <c r="BB46" s="224"/>
      <c r="BC46" s="224"/>
      <c r="BD46" s="224"/>
      <c r="BE46" s="224"/>
      <c r="BF46" s="224"/>
      <c r="BG46" s="224"/>
      <c r="BH46" s="224"/>
      <c r="BI46" s="224"/>
      <c r="BJ46" s="225"/>
      <c r="BK46" s="15"/>
    </row>
    <row r="47" spans="1:63" s="16" customFormat="1" ht="15" customHeight="1" x14ac:dyDescent="0.25">
      <c r="A47" s="11"/>
      <c r="B47" s="18"/>
      <c r="C47" s="200">
        <v>10</v>
      </c>
      <c r="D47" s="201"/>
      <c r="E47" s="200" t="s">
        <v>34</v>
      </c>
      <c r="F47" s="213"/>
      <c r="G47" s="213"/>
      <c r="H47" s="213"/>
      <c r="I47" s="213"/>
      <c r="J47" s="213"/>
      <c r="K47" s="201"/>
      <c r="L47" s="214" t="s">
        <v>98</v>
      </c>
      <c r="M47" s="215"/>
      <c r="N47" s="216"/>
      <c r="O47" s="200" t="s">
        <v>5</v>
      </c>
      <c r="P47" s="213"/>
      <c r="Q47" s="213"/>
      <c r="R47" s="201"/>
      <c r="S47" s="200" t="s">
        <v>94</v>
      </c>
      <c r="T47" s="213"/>
      <c r="U47" s="213"/>
      <c r="V47" s="213"/>
      <c r="W47" s="213"/>
      <c r="X47" s="213"/>
      <c r="Y47" s="201"/>
      <c r="Z47" s="200" t="s">
        <v>75</v>
      </c>
      <c r="AA47" s="213"/>
      <c r="AB47" s="213"/>
      <c r="AC47" s="213"/>
      <c r="AD47" s="213"/>
      <c r="AE47" s="213"/>
      <c r="AF47" s="213"/>
      <c r="AG47" s="213"/>
      <c r="AH47" s="213"/>
      <c r="AI47" s="213"/>
      <c r="AJ47" s="213"/>
      <c r="AK47" s="213"/>
      <c r="AL47" s="213"/>
      <c r="AM47" s="213"/>
      <c r="AN47" s="213"/>
      <c r="AO47" s="213"/>
      <c r="AP47" s="201"/>
      <c r="AQ47" s="223" t="s">
        <v>140</v>
      </c>
      <c r="AR47" s="224"/>
      <c r="AS47" s="224"/>
      <c r="AT47" s="224"/>
      <c r="AU47" s="224"/>
      <c r="AV47" s="224"/>
      <c r="AW47" s="224"/>
      <c r="AX47" s="224"/>
      <c r="AY47" s="224"/>
      <c r="AZ47" s="224"/>
      <c r="BA47" s="224"/>
      <c r="BB47" s="224"/>
      <c r="BC47" s="224"/>
      <c r="BD47" s="224"/>
      <c r="BE47" s="224"/>
      <c r="BF47" s="224"/>
      <c r="BG47" s="224"/>
      <c r="BH47" s="224"/>
      <c r="BI47" s="224"/>
      <c r="BJ47" s="225"/>
      <c r="BK47" s="15"/>
    </row>
    <row r="48" spans="1:63" s="16" customFormat="1" ht="15" customHeight="1" x14ac:dyDescent="0.25">
      <c r="A48" s="11"/>
      <c r="B48" s="18"/>
      <c r="C48" s="200">
        <v>11</v>
      </c>
      <c r="D48" s="201"/>
      <c r="E48" s="200" t="s">
        <v>35</v>
      </c>
      <c r="F48" s="213"/>
      <c r="G48" s="213"/>
      <c r="H48" s="213"/>
      <c r="I48" s="213"/>
      <c r="J48" s="213"/>
      <c r="K48" s="201"/>
      <c r="L48" s="214" t="s">
        <v>98</v>
      </c>
      <c r="M48" s="215"/>
      <c r="N48" s="216"/>
      <c r="O48" s="200" t="s">
        <v>5</v>
      </c>
      <c r="P48" s="213"/>
      <c r="Q48" s="213"/>
      <c r="R48" s="201"/>
      <c r="S48" s="200" t="s">
        <v>98</v>
      </c>
      <c r="T48" s="213"/>
      <c r="U48" s="213"/>
      <c r="V48" s="213"/>
      <c r="W48" s="213"/>
      <c r="X48" s="213"/>
      <c r="Y48" s="201"/>
      <c r="Z48" s="200" t="s">
        <v>76</v>
      </c>
      <c r="AA48" s="213"/>
      <c r="AB48" s="213"/>
      <c r="AC48" s="213"/>
      <c r="AD48" s="213"/>
      <c r="AE48" s="213"/>
      <c r="AF48" s="213"/>
      <c r="AG48" s="213"/>
      <c r="AH48" s="213"/>
      <c r="AI48" s="213"/>
      <c r="AJ48" s="213"/>
      <c r="AK48" s="213"/>
      <c r="AL48" s="213"/>
      <c r="AM48" s="213"/>
      <c r="AN48" s="213"/>
      <c r="AO48" s="213"/>
      <c r="AP48" s="201"/>
      <c r="AQ48" s="223" t="s">
        <v>141</v>
      </c>
      <c r="AR48" s="224"/>
      <c r="AS48" s="224"/>
      <c r="AT48" s="224"/>
      <c r="AU48" s="224"/>
      <c r="AV48" s="224"/>
      <c r="AW48" s="224"/>
      <c r="AX48" s="224"/>
      <c r="AY48" s="224"/>
      <c r="AZ48" s="224"/>
      <c r="BA48" s="224"/>
      <c r="BB48" s="224"/>
      <c r="BC48" s="224"/>
      <c r="BD48" s="224"/>
      <c r="BE48" s="224"/>
      <c r="BF48" s="224"/>
      <c r="BG48" s="224"/>
      <c r="BH48" s="224"/>
      <c r="BI48" s="224"/>
      <c r="BJ48" s="225"/>
      <c r="BK48" s="15"/>
    </row>
    <row r="49" spans="1:63" s="16" customFormat="1" ht="31.5" customHeight="1" x14ac:dyDescent="0.25">
      <c r="A49" s="11"/>
      <c r="B49" s="18"/>
      <c r="C49" s="200">
        <v>12</v>
      </c>
      <c r="D49" s="201"/>
      <c r="E49" s="223" t="s">
        <v>36</v>
      </c>
      <c r="F49" s="224"/>
      <c r="G49" s="224"/>
      <c r="H49" s="224"/>
      <c r="I49" s="224"/>
      <c r="J49" s="224"/>
      <c r="K49" s="225"/>
      <c r="L49" s="214" t="s">
        <v>98</v>
      </c>
      <c r="M49" s="215"/>
      <c r="N49" s="216"/>
      <c r="O49" s="200" t="s">
        <v>99</v>
      </c>
      <c r="P49" s="213"/>
      <c r="Q49" s="213"/>
      <c r="R49" s="201"/>
      <c r="S49" s="200">
        <v>0</v>
      </c>
      <c r="T49" s="213"/>
      <c r="U49" s="213"/>
      <c r="V49" s="213"/>
      <c r="W49" s="213"/>
      <c r="X49" s="213"/>
      <c r="Y49" s="201"/>
      <c r="Z49" s="200" t="s">
        <v>77</v>
      </c>
      <c r="AA49" s="213"/>
      <c r="AB49" s="213"/>
      <c r="AC49" s="213"/>
      <c r="AD49" s="213"/>
      <c r="AE49" s="213"/>
      <c r="AF49" s="213"/>
      <c r="AG49" s="213"/>
      <c r="AH49" s="213"/>
      <c r="AI49" s="213"/>
      <c r="AJ49" s="213"/>
      <c r="AK49" s="213"/>
      <c r="AL49" s="213"/>
      <c r="AM49" s="213"/>
      <c r="AN49" s="213"/>
      <c r="AO49" s="213"/>
      <c r="AP49" s="201"/>
      <c r="AQ49" s="223"/>
      <c r="AR49" s="224"/>
      <c r="AS49" s="224"/>
      <c r="AT49" s="224"/>
      <c r="AU49" s="224"/>
      <c r="AV49" s="224"/>
      <c r="AW49" s="224"/>
      <c r="AX49" s="224"/>
      <c r="AY49" s="224"/>
      <c r="AZ49" s="224"/>
      <c r="BA49" s="224"/>
      <c r="BB49" s="224"/>
      <c r="BC49" s="224"/>
      <c r="BD49" s="224"/>
      <c r="BE49" s="224"/>
      <c r="BF49" s="224"/>
      <c r="BG49" s="224"/>
      <c r="BH49" s="224"/>
      <c r="BI49" s="224"/>
      <c r="BJ49" s="225"/>
      <c r="BK49" s="15"/>
    </row>
    <row r="50" spans="1:63" s="16" customFormat="1" ht="31.5" customHeight="1" x14ac:dyDescent="0.25">
      <c r="A50" s="11"/>
      <c r="B50" s="18"/>
      <c r="C50" s="200">
        <v>13</v>
      </c>
      <c r="D50" s="201"/>
      <c r="E50" s="223" t="s">
        <v>37</v>
      </c>
      <c r="F50" s="224"/>
      <c r="G50" s="224"/>
      <c r="H50" s="224"/>
      <c r="I50" s="224"/>
      <c r="J50" s="224"/>
      <c r="K50" s="225"/>
      <c r="L50" s="214" t="s">
        <v>98</v>
      </c>
      <c r="M50" s="215"/>
      <c r="N50" s="216"/>
      <c r="O50" s="200" t="s">
        <v>99</v>
      </c>
      <c r="P50" s="213"/>
      <c r="Q50" s="213"/>
      <c r="R50" s="201"/>
      <c r="S50" s="200">
        <v>0</v>
      </c>
      <c r="T50" s="213"/>
      <c r="U50" s="213"/>
      <c r="V50" s="213"/>
      <c r="W50" s="213"/>
      <c r="X50" s="213"/>
      <c r="Y50" s="201"/>
      <c r="Z50" s="200" t="s">
        <v>142</v>
      </c>
      <c r="AA50" s="213"/>
      <c r="AB50" s="213"/>
      <c r="AC50" s="213"/>
      <c r="AD50" s="213"/>
      <c r="AE50" s="213"/>
      <c r="AF50" s="213"/>
      <c r="AG50" s="213"/>
      <c r="AH50" s="213"/>
      <c r="AI50" s="213"/>
      <c r="AJ50" s="213"/>
      <c r="AK50" s="213"/>
      <c r="AL50" s="213"/>
      <c r="AM50" s="213"/>
      <c r="AN50" s="213"/>
      <c r="AO50" s="213"/>
      <c r="AP50" s="201"/>
      <c r="AQ50" s="223"/>
      <c r="AR50" s="224"/>
      <c r="AS50" s="224"/>
      <c r="AT50" s="224"/>
      <c r="AU50" s="224"/>
      <c r="AV50" s="224"/>
      <c r="AW50" s="224"/>
      <c r="AX50" s="224"/>
      <c r="AY50" s="224"/>
      <c r="AZ50" s="224"/>
      <c r="BA50" s="224"/>
      <c r="BB50" s="224"/>
      <c r="BC50" s="224"/>
      <c r="BD50" s="224"/>
      <c r="BE50" s="224"/>
      <c r="BF50" s="224"/>
      <c r="BG50" s="224"/>
      <c r="BH50" s="224"/>
      <c r="BI50" s="224"/>
      <c r="BJ50" s="225"/>
      <c r="BK50" s="15"/>
    </row>
    <row r="51" spans="1:63" s="16" customFormat="1" ht="31.5" customHeight="1" x14ac:dyDescent="0.25">
      <c r="A51" s="11"/>
      <c r="B51" s="18"/>
      <c r="C51" s="200">
        <v>14</v>
      </c>
      <c r="D51" s="201"/>
      <c r="E51" s="223" t="s">
        <v>38</v>
      </c>
      <c r="F51" s="224"/>
      <c r="G51" s="224"/>
      <c r="H51" s="224"/>
      <c r="I51" s="224"/>
      <c r="J51" s="224"/>
      <c r="K51" s="225"/>
      <c r="L51" s="214" t="s">
        <v>98</v>
      </c>
      <c r="M51" s="215"/>
      <c r="N51" s="216"/>
      <c r="O51" s="200" t="s">
        <v>99</v>
      </c>
      <c r="P51" s="213"/>
      <c r="Q51" s="213"/>
      <c r="R51" s="201"/>
      <c r="S51" s="200">
        <v>0</v>
      </c>
      <c r="T51" s="213"/>
      <c r="U51" s="213"/>
      <c r="V51" s="213"/>
      <c r="W51" s="213"/>
      <c r="X51" s="213"/>
      <c r="Y51" s="201"/>
      <c r="Z51" s="200" t="s">
        <v>78</v>
      </c>
      <c r="AA51" s="213"/>
      <c r="AB51" s="213"/>
      <c r="AC51" s="213"/>
      <c r="AD51" s="213"/>
      <c r="AE51" s="213"/>
      <c r="AF51" s="213"/>
      <c r="AG51" s="213"/>
      <c r="AH51" s="213"/>
      <c r="AI51" s="213"/>
      <c r="AJ51" s="213"/>
      <c r="AK51" s="213"/>
      <c r="AL51" s="213"/>
      <c r="AM51" s="213"/>
      <c r="AN51" s="213"/>
      <c r="AO51" s="213"/>
      <c r="AP51" s="201"/>
      <c r="AQ51" s="223"/>
      <c r="AR51" s="224"/>
      <c r="AS51" s="224"/>
      <c r="AT51" s="224"/>
      <c r="AU51" s="224"/>
      <c r="AV51" s="224"/>
      <c r="AW51" s="224"/>
      <c r="AX51" s="224"/>
      <c r="AY51" s="224"/>
      <c r="AZ51" s="224"/>
      <c r="BA51" s="224"/>
      <c r="BB51" s="224"/>
      <c r="BC51" s="224"/>
      <c r="BD51" s="224"/>
      <c r="BE51" s="224"/>
      <c r="BF51" s="224"/>
      <c r="BG51" s="224"/>
      <c r="BH51" s="224"/>
      <c r="BI51" s="224"/>
      <c r="BJ51" s="225"/>
      <c r="BK51" s="15"/>
    </row>
    <row r="52" spans="1:63" s="16" customFormat="1" ht="31.5" customHeight="1" x14ac:dyDescent="0.25">
      <c r="A52" s="11"/>
      <c r="B52" s="18"/>
      <c r="C52" s="200">
        <v>15</v>
      </c>
      <c r="D52" s="201"/>
      <c r="E52" s="223" t="s">
        <v>55</v>
      </c>
      <c r="F52" s="224"/>
      <c r="G52" s="224"/>
      <c r="H52" s="224"/>
      <c r="I52" s="224"/>
      <c r="J52" s="224"/>
      <c r="K52" s="225"/>
      <c r="L52" s="214" t="s">
        <v>98</v>
      </c>
      <c r="M52" s="215"/>
      <c r="N52" s="216"/>
      <c r="O52" s="200" t="s">
        <v>99</v>
      </c>
      <c r="P52" s="213"/>
      <c r="Q52" s="213"/>
      <c r="R52" s="201"/>
      <c r="S52" s="200">
        <v>0</v>
      </c>
      <c r="T52" s="213"/>
      <c r="U52" s="213"/>
      <c r="V52" s="213"/>
      <c r="W52" s="213"/>
      <c r="X52" s="213"/>
      <c r="Y52" s="201"/>
      <c r="Z52" s="200" t="s">
        <v>79</v>
      </c>
      <c r="AA52" s="213"/>
      <c r="AB52" s="213"/>
      <c r="AC52" s="213"/>
      <c r="AD52" s="213"/>
      <c r="AE52" s="213"/>
      <c r="AF52" s="213"/>
      <c r="AG52" s="213"/>
      <c r="AH52" s="213"/>
      <c r="AI52" s="213"/>
      <c r="AJ52" s="213"/>
      <c r="AK52" s="213"/>
      <c r="AL52" s="213"/>
      <c r="AM52" s="213"/>
      <c r="AN52" s="213"/>
      <c r="AO52" s="213"/>
      <c r="AP52" s="201"/>
      <c r="AQ52" s="223"/>
      <c r="AR52" s="224"/>
      <c r="AS52" s="224"/>
      <c r="AT52" s="224"/>
      <c r="AU52" s="224"/>
      <c r="AV52" s="224"/>
      <c r="AW52" s="224"/>
      <c r="AX52" s="224"/>
      <c r="AY52" s="224"/>
      <c r="AZ52" s="224"/>
      <c r="BA52" s="224"/>
      <c r="BB52" s="224"/>
      <c r="BC52" s="224"/>
      <c r="BD52" s="224"/>
      <c r="BE52" s="224"/>
      <c r="BF52" s="224"/>
      <c r="BG52" s="224"/>
      <c r="BH52" s="224"/>
      <c r="BI52" s="224"/>
      <c r="BJ52" s="225"/>
      <c r="BK52" s="15"/>
    </row>
    <row r="53" spans="1:63" s="16" customFormat="1" ht="31.5" customHeight="1" x14ac:dyDescent="0.25">
      <c r="A53" s="11"/>
      <c r="B53" s="18"/>
      <c r="C53" s="200">
        <v>16</v>
      </c>
      <c r="D53" s="201"/>
      <c r="E53" s="223" t="s">
        <v>56</v>
      </c>
      <c r="F53" s="224"/>
      <c r="G53" s="224"/>
      <c r="H53" s="224"/>
      <c r="I53" s="224"/>
      <c r="J53" s="224"/>
      <c r="K53" s="225"/>
      <c r="L53" s="214" t="s">
        <v>98</v>
      </c>
      <c r="M53" s="215"/>
      <c r="N53" s="216"/>
      <c r="O53" s="200" t="s">
        <v>99</v>
      </c>
      <c r="P53" s="213"/>
      <c r="Q53" s="213"/>
      <c r="R53" s="201"/>
      <c r="S53" s="200">
        <v>0</v>
      </c>
      <c r="T53" s="213"/>
      <c r="U53" s="213"/>
      <c r="V53" s="213"/>
      <c r="W53" s="213"/>
      <c r="X53" s="213"/>
      <c r="Y53" s="201"/>
      <c r="Z53" s="200" t="s">
        <v>80</v>
      </c>
      <c r="AA53" s="213"/>
      <c r="AB53" s="213"/>
      <c r="AC53" s="213"/>
      <c r="AD53" s="213"/>
      <c r="AE53" s="213"/>
      <c r="AF53" s="213"/>
      <c r="AG53" s="213"/>
      <c r="AH53" s="213"/>
      <c r="AI53" s="213"/>
      <c r="AJ53" s="213"/>
      <c r="AK53" s="213"/>
      <c r="AL53" s="213"/>
      <c r="AM53" s="213"/>
      <c r="AN53" s="213"/>
      <c r="AO53" s="213"/>
      <c r="AP53" s="201"/>
      <c r="AQ53" s="223"/>
      <c r="AR53" s="224"/>
      <c r="AS53" s="224"/>
      <c r="AT53" s="224"/>
      <c r="AU53" s="224"/>
      <c r="AV53" s="224"/>
      <c r="AW53" s="224"/>
      <c r="AX53" s="224"/>
      <c r="AY53" s="224"/>
      <c r="AZ53" s="224"/>
      <c r="BA53" s="224"/>
      <c r="BB53" s="224"/>
      <c r="BC53" s="224"/>
      <c r="BD53" s="224"/>
      <c r="BE53" s="224"/>
      <c r="BF53" s="224"/>
      <c r="BG53" s="224"/>
      <c r="BH53" s="224"/>
      <c r="BI53" s="224"/>
      <c r="BJ53" s="225"/>
      <c r="BK53" s="15"/>
    </row>
    <row r="54" spans="1:63" s="16" customFormat="1" ht="15" customHeight="1" x14ac:dyDescent="0.25">
      <c r="A54" s="11"/>
      <c r="B54" s="18"/>
      <c r="C54" s="200">
        <v>17</v>
      </c>
      <c r="D54" s="201"/>
      <c r="E54" s="200" t="s">
        <v>62</v>
      </c>
      <c r="F54" s="213"/>
      <c r="G54" s="213"/>
      <c r="H54" s="213"/>
      <c r="I54" s="213"/>
      <c r="J54" s="213"/>
      <c r="K54" s="201"/>
      <c r="L54" s="214" t="s">
        <v>98</v>
      </c>
      <c r="M54" s="215"/>
      <c r="N54" s="216"/>
      <c r="O54" s="200" t="s">
        <v>99</v>
      </c>
      <c r="P54" s="213"/>
      <c r="Q54" s="213"/>
      <c r="R54" s="201"/>
      <c r="S54" s="200">
        <v>0</v>
      </c>
      <c r="T54" s="213"/>
      <c r="U54" s="213"/>
      <c r="V54" s="213"/>
      <c r="W54" s="213"/>
      <c r="X54" s="213"/>
      <c r="Y54" s="201"/>
      <c r="Z54" s="200" t="s">
        <v>81</v>
      </c>
      <c r="AA54" s="213"/>
      <c r="AB54" s="213"/>
      <c r="AC54" s="213"/>
      <c r="AD54" s="213"/>
      <c r="AE54" s="213"/>
      <c r="AF54" s="213"/>
      <c r="AG54" s="213"/>
      <c r="AH54" s="213"/>
      <c r="AI54" s="213"/>
      <c r="AJ54" s="213"/>
      <c r="AK54" s="213"/>
      <c r="AL54" s="213"/>
      <c r="AM54" s="213"/>
      <c r="AN54" s="213"/>
      <c r="AO54" s="213"/>
      <c r="AP54" s="201"/>
      <c r="AQ54" s="223"/>
      <c r="AR54" s="224"/>
      <c r="AS54" s="224"/>
      <c r="AT54" s="224"/>
      <c r="AU54" s="224"/>
      <c r="AV54" s="224"/>
      <c r="AW54" s="224"/>
      <c r="AX54" s="224"/>
      <c r="AY54" s="224"/>
      <c r="AZ54" s="224"/>
      <c r="BA54" s="224"/>
      <c r="BB54" s="224"/>
      <c r="BC54" s="224"/>
      <c r="BD54" s="224"/>
      <c r="BE54" s="224"/>
      <c r="BF54" s="224"/>
      <c r="BG54" s="224"/>
      <c r="BH54" s="224"/>
      <c r="BI54" s="224"/>
      <c r="BJ54" s="225"/>
      <c r="BK54" s="15"/>
    </row>
    <row r="55" spans="1:63" s="16" customFormat="1" ht="15" customHeight="1" x14ac:dyDescent="0.25">
      <c r="A55" s="11"/>
      <c r="B55" s="18"/>
      <c r="C55" s="200">
        <v>18</v>
      </c>
      <c r="D55" s="201"/>
      <c r="E55" s="200" t="s">
        <v>63</v>
      </c>
      <c r="F55" s="213"/>
      <c r="G55" s="213"/>
      <c r="H55" s="213"/>
      <c r="I55" s="213"/>
      <c r="J55" s="213"/>
      <c r="K55" s="201"/>
      <c r="L55" s="214" t="s">
        <v>98</v>
      </c>
      <c r="M55" s="215"/>
      <c r="N55" s="216"/>
      <c r="O55" s="200" t="s">
        <v>99</v>
      </c>
      <c r="P55" s="213"/>
      <c r="Q55" s="213"/>
      <c r="R55" s="201"/>
      <c r="S55" s="200">
        <v>0</v>
      </c>
      <c r="T55" s="213"/>
      <c r="U55" s="213"/>
      <c r="V55" s="213"/>
      <c r="W55" s="213"/>
      <c r="X55" s="213"/>
      <c r="Y55" s="201"/>
      <c r="Z55" s="200" t="s">
        <v>82</v>
      </c>
      <c r="AA55" s="213"/>
      <c r="AB55" s="213"/>
      <c r="AC55" s="213"/>
      <c r="AD55" s="213"/>
      <c r="AE55" s="213"/>
      <c r="AF55" s="213"/>
      <c r="AG55" s="213"/>
      <c r="AH55" s="213"/>
      <c r="AI55" s="213"/>
      <c r="AJ55" s="213"/>
      <c r="AK55" s="213"/>
      <c r="AL55" s="213"/>
      <c r="AM55" s="213"/>
      <c r="AN55" s="213"/>
      <c r="AO55" s="213"/>
      <c r="AP55" s="201"/>
      <c r="AQ55" s="223"/>
      <c r="AR55" s="224"/>
      <c r="AS55" s="224"/>
      <c r="AT55" s="224"/>
      <c r="AU55" s="224"/>
      <c r="AV55" s="224"/>
      <c r="AW55" s="224"/>
      <c r="AX55" s="224"/>
      <c r="AY55" s="224"/>
      <c r="AZ55" s="224"/>
      <c r="BA55" s="224"/>
      <c r="BB55" s="224"/>
      <c r="BC55" s="224"/>
      <c r="BD55" s="224"/>
      <c r="BE55" s="224"/>
      <c r="BF55" s="224"/>
      <c r="BG55" s="224"/>
      <c r="BH55" s="224"/>
      <c r="BI55" s="224"/>
      <c r="BJ55" s="225"/>
      <c r="BK55" s="15"/>
    </row>
    <row r="56" spans="1:63" s="16" customFormat="1" ht="15" customHeight="1" x14ac:dyDescent="0.25">
      <c r="A56" s="11"/>
      <c r="B56" s="18"/>
      <c r="C56" s="200">
        <v>23</v>
      </c>
      <c r="D56" s="201"/>
      <c r="E56" s="200" t="s">
        <v>39</v>
      </c>
      <c r="F56" s="213"/>
      <c r="G56" s="213"/>
      <c r="H56" s="213"/>
      <c r="I56" s="213"/>
      <c r="J56" s="213"/>
      <c r="K56" s="201"/>
      <c r="L56" s="214" t="s">
        <v>98</v>
      </c>
      <c r="M56" s="215"/>
      <c r="N56" s="216"/>
      <c r="O56" s="200" t="s">
        <v>5</v>
      </c>
      <c r="P56" s="213"/>
      <c r="Q56" s="213"/>
      <c r="R56" s="201"/>
      <c r="S56" s="200" t="s">
        <v>94</v>
      </c>
      <c r="T56" s="213"/>
      <c r="U56" s="213"/>
      <c r="V56" s="213"/>
      <c r="W56" s="213"/>
      <c r="X56" s="213"/>
      <c r="Y56" s="201"/>
      <c r="Z56" s="200" t="s">
        <v>83</v>
      </c>
      <c r="AA56" s="213"/>
      <c r="AB56" s="213"/>
      <c r="AC56" s="213"/>
      <c r="AD56" s="213"/>
      <c r="AE56" s="213"/>
      <c r="AF56" s="213"/>
      <c r="AG56" s="213"/>
      <c r="AH56" s="213"/>
      <c r="AI56" s="213"/>
      <c r="AJ56" s="213"/>
      <c r="AK56" s="213"/>
      <c r="AL56" s="213"/>
      <c r="AM56" s="213"/>
      <c r="AN56" s="213"/>
      <c r="AO56" s="213"/>
      <c r="AP56" s="201"/>
      <c r="AQ56" s="223" t="s">
        <v>143</v>
      </c>
      <c r="AR56" s="224"/>
      <c r="AS56" s="224"/>
      <c r="AT56" s="224"/>
      <c r="AU56" s="224"/>
      <c r="AV56" s="224"/>
      <c r="AW56" s="224"/>
      <c r="AX56" s="224"/>
      <c r="AY56" s="224"/>
      <c r="AZ56" s="224"/>
      <c r="BA56" s="224"/>
      <c r="BB56" s="224"/>
      <c r="BC56" s="224"/>
      <c r="BD56" s="224"/>
      <c r="BE56" s="224"/>
      <c r="BF56" s="224"/>
      <c r="BG56" s="224"/>
      <c r="BH56" s="224"/>
      <c r="BI56" s="224"/>
      <c r="BJ56" s="225"/>
      <c r="BK56" s="15"/>
    </row>
    <row r="57" spans="1:63" s="16" customFormat="1" ht="15" customHeight="1" x14ac:dyDescent="0.25">
      <c r="A57" s="11"/>
      <c r="B57" s="18"/>
      <c r="C57" s="200">
        <v>24</v>
      </c>
      <c r="D57" s="201"/>
      <c r="E57" s="200" t="s">
        <v>40</v>
      </c>
      <c r="F57" s="213"/>
      <c r="G57" s="213"/>
      <c r="H57" s="213"/>
      <c r="I57" s="213"/>
      <c r="J57" s="213"/>
      <c r="K57" s="201"/>
      <c r="L57" s="214" t="s">
        <v>98</v>
      </c>
      <c r="M57" s="215"/>
      <c r="N57" s="216"/>
      <c r="O57" s="200" t="s">
        <v>5</v>
      </c>
      <c r="P57" s="213"/>
      <c r="Q57" s="213"/>
      <c r="R57" s="201"/>
      <c r="S57" s="200" t="s">
        <v>94</v>
      </c>
      <c r="T57" s="213"/>
      <c r="U57" s="213"/>
      <c r="V57" s="213"/>
      <c r="W57" s="213"/>
      <c r="X57" s="213"/>
      <c r="Y57" s="201"/>
      <c r="Z57" s="200" t="s">
        <v>84</v>
      </c>
      <c r="AA57" s="213"/>
      <c r="AB57" s="213"/>
      <c r="AC57" s="213"/>
      <c r="AD57" s="213"/>
      <c r="AE57" s="213"/>
      <c r="AF57" s="213"/>
      <c r="AG57" s="213"/>
      <c r="AH57" s="213"/>
      <c r="AI57" s="213"/>
      <c r="AJ57" s="213"/>
      <c r="AK57" s="213"/>
      <c r="AL57" s="213"/>
      <c r="AM57" s="213"/>
      <c r="AN57" s="213"/>
      <c r="AO57" s="213"/>
      <c r="AP57" s="201"/>
      <c r="AQ57" s="223" t="s">
        <v>143</v>
      </c>
      <c r="AR57" s="224"/>
      <c r="AS57" s="224"/>
      <c r="AT57" s="224"/>
      <c r="AU57" s="224"/>
      <c r="AV57" s="224"/>
      <c r="AW57" s="224"/>
      <c r="AX57" s="224"/>
      <c r="AY57" s="224"/>
      <c r="AZ57" s="224"/>
      <c r="BA57" s="224"/>
      <c r="BB57" s="224"/>
      <c r="BC57" s="224"/>
      <c r="BD57" s="224"/>
      <c r="BE57" s="224"/>
      <c r="BF57" s="224"/>
      <c r="BG57" s="224"/>
      <c r="BH57" s="224"/>
      <c r="BI57" s="224"/>
      <c r="BJ57" s="225"/>
      <c r="BK57" s="15"/>
    </row>
    <row r="58" spans="1:63" s="16" customFormat="1" ht="15" customHeight="1" x14ac:dyDescent="0.25">
      <c r="A58" s="11"/>
      <c r="B58" s="18"/>
      <c r="C58" s="200">
        <v>25</v>
      </c>
      <c r="D58" s="201"/>
      <c r="E58" s="200" t="s">
        <v>41</v>
      </c>
      <c r="F58" s="213"/>
      <c r="G58" s="213"/>
      <c r="H58" s="213"/>
      <c r="I58" s="213"/>
      <c r="J58" s="213"/>
      <c r="K58" s="201"/>
      <c r="L58" s="214" t="s">
        <v>98</v>
      </c>
      <c r="M58" s="215"/>
      <c r="N58" s="216"/>
      <c r="O58" s="200" t="s">
        <v>5</v>
      </c>
      <c r="P58" s="213"/>
      <c r="Q58" s="213"/>
      <c r="R58" s="201"/>
      <c r="S58" s="200" t="s">
        <v>94</v>
      </c>
      <c r="T58" s="213"/>
      <c r="U58" s="213"/>
      <c r="V58" s="213"/>
      <c r="W58" s="213"/>
      <c r="X58" s="213"/>
      <c r="Y58" s="201"/>
      <c r="Z58" s="200" t="s">
        <v>85</v>
      </c>
      <c r="AA58" s="213"/>
      <c r="AB58" s="213"/>
      <c r="AC58" s="213"/>
      <c r="AD58" s="213"/>
      <c r="AE58" s="213"/>
      <c r="AF58" s="213"/>
      <c r="AG58" s="213"/>
      <c r="AH58" s="213"/>
      <c r="AI58" s="213"/>
      <c r="AJ58" s="213"/>
      <c r="AK58" s="213"/>
      <c r="AL58" s="213"/>
      <c r="AM58" s="213"/>
      <c r="AN58" s="213"/>
      <c r="AO58" s="213"/>
      <c r="AP58" s="201"/>
      <c r="AQ58" s="223" t="s">
        <v>143</v>
      </c>
      <c r="AR58" s="224"/>
      <c r="AS58" s="224"/>
      <c r="AT58" s="224"/>
      <c r="AU58" s="224"/>
      <c r="AV58" s="224"/>
      <c r="AW58" s="224"/>
      <c r="AX58" s="224"/>
      <c r="AY58" s="224"/>
      <c r="AZ58" s="224"/>
      <c r="BA58" s="224"/>
      <c r="BB58" s="224"/>
      <c r="BC58" s="224"/>
      <c r="BD58" s="224"/>
      <c r="BE58" s="224"/>
      <c r="BF58" s="224"/>
      <c r="BG58" s="224"/>
      <c r="BH58" s="224"/>
      <c r="BI58" s="224"/>
      <c r="BJ58" s="225"/>
      <c r="BK58" s="15"/>
    </row>
    <row r="59" spans="1:63" s="16" customFormat="1" ht="15" customHeight="1" x14ac:dyDescent="0.25">
      <c r="A59" s="11"/>
      <c r="B59" s="18"/>
      <c r="C59" s="200">
        <v>27</v>
      </c>
      <c r="D59" s="201"/>
      <c r="E59" s="200" t="s">
        <v>42</v>
      </c>
      <c r="F59" s="213"/>
      <c r="G59" s="213"/>
      <c r="H59" s="213"/>
      <c r="I59" s="213"/>
      <c r="J59" s="213"/>
      <c r="K59" s="201"/>
      <c r="L59" s="214" t="s">
        <v>98</v>
      </c>
      <c r="M59" s="215"/>
      <c r="N59" s="216"/>
      <c r="O59" s="200" t="s">
        <v>5</v>
      </c>
      <c r="P59" s="213"/>
      <c r="Q59" s="213"/>
      <c r="R59" s="201"/>
      <c r="S59" s="200" t="s">
        <v>94</v>
      </c>
      <c r="T59" s="213"/>
      <c r="U59" s="213"/>
      <c r="V59" s="213"/>
      <c r="W59" s="213"/>
      <c r="X59" s="213"/>
      <c r="Y59" s="201"/>
      <c r="Z59" s="200" t="s">
        <v>86</v>
      </c>
      <c r="AA59" s="213"/>
      <c r="AB59" s="213"/>
      <c r="AC59" s="213"/>
      <c r="AD59" s="213"/>
      <c r="AE59" s="213"/>
      <c r="AF59" s="213"/>
      <c r="AG59" s="213"/>
      <c r="AH59" s="213"/>
      <c r="AI59" s="213"/>
      <c r="AJ59" s="213"/>
      <c r="AK59" s="213"/>
      <c r="AL59" s="213"/>
      <c r="AM59" s="213"/>
      <c r="AN59" s="213"/>
      <c r="AO59" s="213"/>
      <c r="AP59" s="201"/>
      <c r="AQ59" s="223" t="s">
        <v>144</v>
      </c>
      <c r="AR59" s="224"/>
      <c r="AS59" s="224"/>
      <c r="AT59" s="224"/>
      <c r="AU59" s="224"/>
      <c r="AV59" s="224"/>
      <c r="AW59" s="224"/>
      <c r="AX59" s="224"/>
      <c r="AY59" s="224"/>
      <c r="AZ59" s="224"/>
      <c r="BA59" s="224"/>
      <c r="BB59" s="224"/>
      <c r="BC59" s="224"/>
      <c r="BD59" s="224"/>
      <c r="BE59" s="224"/>
      <c r="BF59" s="224"/>
      <c r="BG59" s="224"/>
      <c r="BH59" s="224"/>
      <c r="BI59" s="224"/>
      <c r="BJ59" s="225"/>
      <c r="BK59" s="15"/>
    </row>
    <row r="60" spans="1:63" s="16" customFormat="1" ht="15" customHeight="1" x14ac:dyDescent="0.25">
      <c r="A60" s="11"/>
      <c r="B60" s="18"/>
      <c r="C60" s="200">
        <v>28</v>
      </c>
      <c r="D60" s="201"/>
      <c r="E60" s="200" t="s">
        <v>43</v>
      </c>
      <c r="F60" s="213"/>
      <c r="G60" s="213"/>
      <c r="H60" s="213"/>
      <c r="I60" s="213"/>
      <c r="J60" s="213"/>
      <c r="K60" s="201"/>
      <c r="L60" s="214" t="s">
        <v>98</v>
      </c>
      <c r="M60" s="215"/>
      <c r="N60" s="216"/>
      <c r="O60" s="200" t="s">
        <v>5</v>
      </c>
      <c r="P60" s="213"/>
      <c r="Q60" s="213"/>
      <c r="R60" s="201"/>
      <c r="S60" s="200" t="s">
        <v>94</v>
      </c>
      <c r="T60" s="213"/>
      <c r="U60" s="213"/>
      <c r="V60" s="213"/>
      <c r="W60" s="213"/>
      <c r="X60" s="213"/>
      <c r="Y60" s="201"/>
      <c r="Z60" s="200" t="s">
        <v>69</v>
      </c>
      <c r="AA60" s="213"/>
      <c r="AB60" s="213"/>
      <c r="AC60" s="213"/>
      <c r="AD60" s="213"/>
      <c r="AE60" s="213"/>
      <c r="AF60" s="213"/>
      <c r="AG60" s="213"/>
      <c r="AH60" s="213"/>
      <c r="AI60" s="213"/>
      <c r="AJ60" s="213"/>
      <c r="AK60" s="213"/>
      <c r="AL60" s="213"/>
      <c r="AM60" s="213"/>
      <c r="AN60" s="213"/>
      <c r="AO60" s="213"/>
      <c r="AP60" s="201"/>
      <c r="AQ60" s="223" t="s">
        <v>144</v>
      </c>
      <c r="AR60" s="224"/>
      <c r="AS60" s="224"/>
      <c r="AT60" s="224"/>
      <c r="AU60" s="224"/>
      <c r="AV60" s="224"/>
      <c r="AW60" s="224"/>
      <c r="AX60" s="224"/>
      <c r="AY60" s="224"/>
      <c r="AZ60" s="224"/>
      <c r="BA60" s="224"/>
      <c r="BB60" s="224"/>
      <c r="BC60" s="224"/>
      <c r="BD60" s="224"/>
      <c r="BE60" s="224"/>
      <c r="BF60" s="224"/>
      <c r="BG60" s="224"/>
      <c r="BH60" s="224"/>
      <c r="BI60" s="224"/>
      <c r="BJ60" s="225"/>
      <c r="BK60" s="15"/>
    </row>
    <row r="61" spans="1:63" s="16" customFormat="1" ht="15" customHeight="1" x14ac:dyDescent="0.25">
      <c r="A61" s="11"/>
      <c r="B61" s="18"/>
      <c r="C61" s="200">
        <v>29</v>
      </c>
      <c r="D61" s="201"/>
      <c r="E61" s="200" t="s">
        <v>44</v>
      </c>
      <c r="F61" s="213"/>
      <c r="G61" s="213"/>
      <c r="H61" s="213"/>
      <c r="I61" s="213"/>
      <c r="J61" s="213"/>
      <c r="K61" s="201"/>
      <c r="L61" s="214" t="s">
        <v>98</v>
      </c>
      <c r="M61" s="215"/>
      <c r="N61" s="216"/>
      <c r="O61" s="200" t="s">
        <v>5</v>
      </c>
      <c r="P61" s="213"/>
      <c r="Q61" s="213"/>
      <c r="R61" s="201"/>
      <c r="S61" s="200" t="s">
        <v>94</v>
      </c>
      <c r="T61" s="213"/>
      <c r="U61" s="213"/>
      <c r="V61" s="213"/>
      <c r="W61" s="213"/>
      <c r="X61" s="213"/>
      <c r="Y61" s="201"/>
      <c r="Z61" s="200" t="s">
        <v>70</v>
      </c>
      <c r="AA61" s="213"/>
      <c r="AB61" s="213"/>
      <c r="AC61" s="213"/>
      <c r="AD61" s="213"/>
      <c r="AE61" s="213"/>
      <c r="AF61" s="213"/>
      <c r="AG61" s="213"/>
      <c r="AH61" s="213"/>
      <c r="AI61" s="213"/>
      <c r="AJ61" s="213"/>
      <c r="AK61" s="213"/>
      <c r="AL61" s="213"/>
      <c r="AM61" s="213"/>
      <c r="AN61" s="213"/>
      <c r="AO61" s="213"/>
      <c r="AP61" s="201"/>
      <c r="AQ61" s="223" t="s">
        <v>144</v>
      </c>
      <c r="AR61" s="224"/>
      <c r="AS61" s="224"/>
      <c r="AT61" s="224"/>
      <c r="AU61" s="224"/>
      <c r="AV61" s="224"/>
      <c r="AW61" s="224"/>
      <c r="AX61" s="224"/>
      <c r="AY61" s="224"/>
      <c r="AZ61" s="224"/>
      <c r="BA61" s="224"/>
      <c r="BB61" s="224"/>
      <c r="BC61" s="224"/>
      <c r="BD61" s="224"/>
      <c r="BE61" s="224"/>
      <c r="BF61" s="224"/>
      <c r="BG61" s="224"/>
      <c r="BH61" s="224"/>
      <c r="BI61" s="224"/>
      <c r="BJ61" s="225"/>
      <c r="BK61" s="15"/>
    </row>
    <row r="62" spans="1:63" s="39" customFormat="1" ht="54.75" customHeight="1" x14ac:dyDescent="0.25">
      <c r="A62" s="36"/>
      <c r="B62" s="37"/>
      <c r="C62" s="247">
        <v>30</v>
      </c>
      <c r="D62" s="248"/>
      <c r="E62" s="249" t="s">
        <v>145</v>
      </c>
      <c r="F62" s="250"/>
      <c r="G62" s="250"/>
      <c r="H62" s="250"/>
      <c r="I62" s="250"/>
      <c r="J62" s="250"/>
      <c r="K62" s="251"/>
      <c r="L62" s="256" t="s">
        <v>146</v>
      </c>
      <c r="M62" s="257"/>
      <c r="N62" s="258"/>
      <c r="O62" s="249" t="s">
        <v>147</v>
      </c>
      <c r="P62" s="250"/>
      <c r="Q62" s="250"/>
      <c r="R62" s="251"/>
      <c r="S62" s="247"/>
      <c r="T62" s="255"/>
      <c r="U62" s="255"/>
      <c r="V62" s="255"/>
      <c r="W62" s="255"/>
      <c r="X62" s="255"/>
      <c r="Y62" s="248"/>
      <c r="Z62" s="247"/>
      <c r="AA62" s="255"/>
      <c r="AB62" s="255"/>
      <c r="AC62" s="255"/>
      <c r="AD62" s="255"/>
      <c r="AE62" s="255"/>
      <c r="AF62" s="255"/>
      <c r="AG62" s="255"/>
      <c r="AH62" s="255"/>
      <c r="AI62" s="255"/>
      <c r="AJ62" s="255"/>
      <c r="AK62" s="255"/>
      <c r="AL62" s="255"/>
      <c r="AM62" s="255"/>
      <c r="AN62" s="255"/>
      <c r="AO62" s="255"/>
      <c r="AP62" s="248"/>
      <c r="AQ62" s="249"/>
      <c r="AR62" s="250"/>
      <c r="AS62" s="250"/>
      <c r="AT62" s="250"/>
      <c r="AU62" s="250"/>
      <c r="AV62" s="250"/>
      <c r="AW62" s="250"/>
      <c r="AX62" s="250"/>
      <c r="AY62" s="250"/>
      <c r="AZ62" s="250"/>
      <c r="BA62" s="250"/>
      <c r="BB62" s="250"/>
      <c r="BC62" s="250"/>
      <c r="BD62" s="250"/>
      <c r="BE62" s="250"/>
      <c r="BF62" s="250"/>
      <c r="BG62" s="250"/>
      <c r="BH62" s="250"/>
      <c r="BI62" s="250"/>
      <c r="BJ62" s="251"/>
      <c r="BK62" s="38"/>
    </row>
    <row r="63" spans="1:63" s="39" customFormat="1" ht="49.5" customHeight="1" x14ac:dyDescent="0.25">
      <c r="A63" s="36"/>
      <c r="B63" s="37"/>
      <c r="C63" s="247">
        <v>31</v>
      </c>
      <c r="D63" s="248"/>
      <c r="E63" s="252" t="s">
        <v>148</v>
      </c>
      <c r="F63" s="253"/>
      <c r="G63" s="253"/>
      <c r="H63" s="253"/>
      <c r="I63" s="253"/>
      <c r="J63" s="253"/>
      <c r="K63" s="254"/>
      <c r="L63" s="256" t="s">
        <v>146</v>
      </c>
      <c r="M63" s="257"/>
      <c r="N63" s="258"/>
      <c r="O63" s="252" t="s">
        <v>149</v>
      </c>
      <c r="P63" s="253"/>
      <c r="Q63" s="253"/>
      <c r="R63" s="254"/>
      <c r="S63" s="247" t="s">
        <v>146</v>
      </c>
      <c r="T63" s="255"/>
      <c r="U63" s="255"/>
      <c r="V63" s="255"/>
      <c r="W63" s="255"/>
      <c r="X63" s="255"/>
      <c r="Y63" s="248"/>
      <c r="Z63" s="247" t="s">
        <v>150</v>
      </c>
      <c r="AA63" s="255"/>
      <c r="AB63" s="255"/>
      <c r="AC63" s="255"/>
      <c r="AD63" s="255"/>
      <c r="AE63" s="255"/>
      <c r="AF63" s="255"/>
      <c r="AG63" s="255"/>
      <c r="AH63" s="255"/>
      <c r="AI63" s="255"/>
      <c r="AJ63" s="255"/>
      <c r="AK63" s="255"/>
      <c r="AL63" s="255"/>
      <c r="AM63" s="255"/>
      <c r="AN63" s="255"/>
      <c r="AO63" s="255"/>
      <c r="AP63" s="248"/>
      <c r="AQ63" s="249" t="s">
        <v>151</v>
      </c>
      <c r="AR63" s="250"/>
      <c r="AS63" s="250"/>
      <c r="AT63" s="250"/>
      <c r="AU63" s="250"/>
      <c r="AV63" s="250"/>
      <c r="AW63" s="250"/>
      <c r="AX63" s="250"/>
      <c r="AY63" s="250"/>
      <c r="AZ63" s="250"/>
      <c r="BA63" s="250"/>
      <c r="BB63" s="250"/>
      <c r="BC63" s="250"/>
      <c r="BD63" s="250"/>
      <c r="BE63" s="250"/>
      <c r="BF63" s="250"/>
      <c r="BG63" s="250"/>
      <c r="BH63" s="250"/>
      <c r="BI63" s="250"/>
      <c r="BJ63" s="251"/>
      <c r="BK63" s="38"/>
    </row>
    <row r="64" spans="1:63" s="39" customFormat="1" ht="49.5" customHeight="1" x14ac:dyDescent="0.25">
      <c r="A64" s="36"/>
      <c r="B64" s="37"/>
      <c r="C64" s="247">
        <v>32</v>
      </c>
      <c r="D64" s="248"/>
      <c r="E64" s="252" t="s">
        <v>152</v>
      </c>
      <c r="F64" s="253"/>
      <c r="G64" s="253"/>
      <c r="H64" s="253"/>
      <c r="I64" s="253"/>
      <c r="J64" s="253"/>
      <c r="K64" s="254"/>
      <c r="L64" s="256" t="s">
        <v>146</v>
      </c>
      <c r="M64" s="257"/>
      <c r="N64" s="258"/>
      <c r="O64" s="252" t="s">
        <v>149</v>
      </c>
      <c r="P64" s="253"/>
      <c r="Q64" s="253"/>
      <c r="R64" s="254"/>
      <c r="S64" s="247" t="s">
        <v>146</v>
      </c>
      <c r="T64" s="255"/>
      <c r="U64" s="255"/>
      <c r="V64" s="255"/>
      <c r="W64" s="255"/>
      <c r="X64" s="255"/>
      <c r="Y64" s="248"/>
      <c r="Z64" s="247" t="s">
        <v>153</v>
      </c>
      <c r="AA64" s="255" t="s">
        <v>153</v>
      </c>
      <c r="AB64" s="255" t="s">
        <v>153</v>
      </c>
      <c r="AC64" s="255" t="s">
        <v>153</v>
      </c>
      <c r="AD64" s="255" t="s">
        <v>153</v>
      </c>
      <c r="AE64" s="255" t="s">
        <v>153</v>
      </c>
      <c r="AF64" s="255" t="s">
        <v>153</v>
      </c>
      <c r="AG64" s="255" t="s">
        <v>153</v>
      </c>
      <c r="AH64" s="255" t="s">
        <v>153</v>
      </c>
      <c r="AI64" s="255" t="s">
        <v>153</v>
      </c>
      <c r="AJ64" s="255" t="s">
        <v>153</v>
      </c>
      <c r="AK64" s="255" t="s">
        <v>153</v>
      </c>
      <c r="AL64" s="255" t="s">
        <v>153</v>
      </c>
      <c r="AM64" s="255" t="s">
        <v>153</v>
      </c>
      <c r="AN64" s="255" t="s">
        <v>153</v>
      </c>
      <c r="AO64" s="255" t="s">
        <v>153</v>
      </c>
      <c r="AP64" s="248" t="s">
        <v>153</v>
      </c>
      <c r="AQ64" s="249" t="s">
        <v>154</v>
      </c>
      <c r="AR64" s="250"/>
      <c r="AS64" s="250"/>
      <c r="AT64" s="250"/>
      <c r="AU64" s="250"/>
      <c r="AV64" s="250"/>
      <c r="AW64" s="250"/>
      <c r="AX64" s="250"/>
      <c r="AY64" s="250"/>
      <c r="AZ64" s="250"/>
      <c r="BA64" s="250"/>
      <c r="BB64" s="250"/>
      <c r="BC64" s="250"/>
      <c r="BD64" s="250"/>
      <c r="BE64" s="250"/>
      <c r="BF64" s="250"/>
      <c r="BG64" s="250"/>
      <c r="BH64" s="250"/>
      <c r="BI64" s="250"/>
      <c r="BJ64" s="251"/>
      <c r="BK64" s="38"/>
    </row>
    <row r="65" spans="1:63" s="39" customFormat="1" ht="48" customHeight="1" x14ac:dyDescent="0.25">
      <c r="A65" s="36"/>
      <c r="B65" s="37"/>
      <c r="C65" s="247">
        <v>33</v>
      </c>
      <c r="D65" s="248"/>
      <c r="E65" s="252" t="s">
        <v>155</v>
      </c>
      <c r="F65" s="253"/>
      <c r="G65" s="253"/>
      <c r="H65" s="253"/>
      <c r="I65" s="253"/>
      <c r="J65" s="253"/>
      <c r="K65" s="254"/>
      <c r="L65" s="256" t="s">
        <v>146</v>
      </c>
      <c r="M65" s="257"/>
      <c r="N65" s="258"/>
      <c r="O65" s="252" t="s">
        <v>149</v>
      </c>
      <c r="P65" s="253"/>
      <c r="Q65" s="253"/>
      <c r="R65" s="254"/>
      <c r="S65" s="247" t="s">
        <v>146</v>
      </c>
      <c r="T65" s="255"/>
      <c r="U65" s="255"/>
      <c r="V65" s="255"/>
      <c r="W65" s="255"/>
      <c r="X65" s="255"/>
      <c r="Y65" s="248"/>
      <c r="Z65" s="247" t="s">
        <v>156</v>
      </c>
      <c r="AA65" s="255" t="s">
        <v>156</v>
      </c>
      <c r="AB65" s="255" t="s">
        <v>156</v>
      </c>
      <c r="AC65" s="255" t="s">
        <v>156</v>
      </c>
      <c r="AD65" s="255" t="s">
        <v>156</v>
      </c>
      <c r="AE65" s="255" t="s">
        <v>156</v>
      </c>
      <c r="AF65" s="255" t="s">
        <v>156</v>
      </c>
      <c r="AG65" s="255" t="s">
        <v>156</v>
      </c>
      <c r="AH65" s="255" t="s">
        <v>156</v>
      </c>
      <c r="AI65" s="255" t="s">
        <v>156</v>
      </c>
      <c r="AJ65" s="255" t="s">
        <v>156</v>
      </c>
      <c r="AK65" s="255" t="s">
        <v>156</v>
      </c>
      <c r="AL65" s="255" t="s">
        <v>156</v>
      </c>
      <c r="AM65" s="255" t="s">
        <v>156</v>
      </c>
      <c r="AN65" s="255" t="s">
        <v>156</v>
      </c>
      <c r="AO65" s="255" t="s">
        <v>156</v>
      </c>
      <c r="AP65" s="248" t="s">
        <v>156</v>
      </c>
      <c r="AQ65" s="249" t="s">
        <v>154</v>
      </c>
      <c r="AR65" s="250"/>
      <c r="AS65" s="250"/>
      <c r="AT65" s="250"/>
      <c r="AU65" s="250"/>
      <c r="AV65" s="250"/>
      <c r="AW65" s="250"/>
      <c r="AX65" s="250"/>
      <c r="AY65" s="250"/>
      <c r="AZ65" s="250"/>
      <c r="BA65" s="250"/>
      <c r="BB65" s="250"/>
      <c r="BC65" s="250"/>
      <c r="BD65" s="250"/>
      <c r="BE65" s="250"/>
      <c r="BF65" s="250"/>
      <c r="BG65" s="250"/>
      <c r="BH65" s="250"/>
      <c r="BI65" s="250"/>
      <c r="BJ65" s="251"/>
      <c r="BK65" s="38"/>
    </row>
    <row r="66" spans="1:63" s="39" customFormat="1" ht="48" customHeight="1" x14ac:dyDescent="0.25">
      <c r="A66" s="36"/>
      <c r="B66" s="37"/>
      <c r="C66" s="247">
        <v>34</v>
      </c>
      <c r="D66" s="248"/>
      <c r="E66" s="252" t="s">
        <v>157</v>
      </c>
      <c r="F66" s="253"/>
      <c r="G66" s="253"/>
      <c r="H66" s="253"/>
      <c r="I66" s="253"/>
      <c r="J66" s="253"/>
      <c r="K66" s="254"/>
      <c r="L66" s="256" t="s">
        <v>146</v>
      </c>
      <c r="M66" s="257"/>
      <c r="N66" s="258"/>
      <c r="O66" s="252" t="s">
        <v>149</v>
      </c>
      <c r="P66" s="253"/>
      <c r="Q66" s="253"/>
      <c r="R66" s="254"/>
      <c r="S66" s="247" t="s">
        <v>146</v>
      </c>
      <c r="T66" s="255"/>
      <c r="U66" s="255"/>
      <c r="V66" s="255"/>
      <c r="W66" s="255"/>
      <c r="X66" s="255"/>
      <c r="Y66" s="248"/>
      <c r="Z66" s="247" t="s">
        <v>158</v>
      </c>
      <c r="AA66" s="255" t="s">
        <v>158</v>
      </c>
      <c r="AB66" s="255" t="s">
        <v>158</v>
      </c>
      <c r="AC66" s="255" t="s">
        <v>158</v>
      </c>
      <c r="AD66" s="255" t="s">
        <v>158</v>
      </c>
      <c r="AE66" s="255" t="s">
        <v>158</v>
      </c>
      <c r="AF66" s="255" t="s">
        <v>158</v>
      </c>
      <c r="AG66" s="255" t="s">
        <v>158</v>
      </c>
      <c r="AH66" s="255" t="s">
        <v>158</v>
      </c>
      <c r="AI66" s="255" t="s">
        <v>158</v>
      </c>
      <c r="AJ66" s="255" t="s">
        <v>158</v>
      </c>
      <c r="AK66" s="255" t="s">
        <v>158</v>
      </c>
      <c r="AL66" s="255" t="s">
        <v>158</v>
      </c>
      <c r="AM66" s="255" t="s">
        <v>158</v>
      </c>
      <c r="AN66" s="255" t="s">
        <v>158</v>
      </c>
      <c r="AO66" s="255" t="s">
        <v>158</v>
      </c>
      <c r="AP66" s="248" t="s">
        <v>158</v>
      </c>
      <c r="AQ66" s="249" t="s">
        <v>154</v>
      </c>
      <c r="AR66" s="250"/>
      <c r="AS66" s="250"/>
      <c r="AT66" s="250"/>
      <c r="AU66" s="250"/>
      <c r="AV66" s="250"/>
      <c r="AW66" s="250"/>
      <c r="AX66" s="250"/>
      <c r="AY66" s="250"/>
      <c r="AZ66" s="250"/>
      <c r="BA66" s="250"/>
      <c r="BB66" s="250"/>
      <c r="BC66" s="250"/>
      <c r="BD66" s="250"/>
      <c r="BE66" s="250"/>
      <c r="BF66" s="250"/>
      <c r="BG66" s="250"/>
      <c r="BH66" s="250"/>
      <c r="BI66" s="250"/>
      <c r="BJ66" s="251"/>
      <c r="BK66" s="38"/>
    </row>
    <row r="67" spans="1:63" s="39" customFormat="1" ht="48" customHeight="1" x14ac:dyDescent="0.25">
      <c r="A67" s="36"/>
      <c r="B67" s="37"/>
      <c r="C67" s="247">
        <v>35</v>
      </c>
      <c r="D67" s="248"/>
      <c r="E67" s="252" t="s">
        <v>159</v>
      </c>
      <c r="F67" s="253"/>
      <c r="G67" s="253"/>
      <c r="H67" s="253"/>
      <c r="I67" s="253"/>
      <c r="J67" s="253"/>
      <c r="K67" s="254"/>
      <c r="L67" s="256" t="s">
        <v>146</v>
      </c>
      <c r="M67" s="257"/>
      <c r="N67" s="258"/>
      <c r="O67" s="252" t="s">
        <v>149</v>
      </c>
      <c r="P67" s="253"/>
      <c r="Q67" s="253"/>
      <c r="R67" s="254"/>
      <c r="S67" s="247" t="s">
        <v>146</v>
      </c>
      <c r="T67" s="255"/>
      <c r="U67" s="255"/>
      <c r="V67" s="255"/>
      <c r="W67" s="255"/>
      <c r="X67" s="255"/>
      <c r="Y67" s="248"/>
      <c r="Z67" s="247" t="s">
        <v>160</v>
      </c>
      <c r="AA67" s="255" t="s">
        <v>160</v>
      </c>
      <c r="AB67" s="255" t="s">
        <v>160</v>
      </c>
      <c r="AC67" s="255" t="s">
        <v>160</v>
      </c>
      <c r="AD67" s="255" t="s">
        <v>160</v>
      </c>
      <c r="AE67" s="255" t="s">
        <v>160</v>
      </c>
      <c r="AF67" s="255" t="s">
        <v>160</v>
      </c>
      <c r="AG67" s="255" t="s">
        <v>160</v>
      </c>
      <c r="AH67" s="255" t="s">
        <v>160</v>
      </c>
      <c r="AI67" s="255" t="s">
        <v>160</v>
      </c>
      <c r="AJ67" s="255" t="s">
        <v>160</v>
      </c>
      <c r="AK67" s="255" t="s">
        <v>160</v>
      </c>
      <c r="AL67" s="255" t="s">
        <v>160</v>
      </c>
      <c r="AM67" s="255" t="s">
        <v>160</v>
      </c>
      <c r="AN67" s="255" t="s">
        <v>160</v>
      </c>
      <c r="AO67" s="255" t="s">
        <v>160</v>
      </c>
      <c r="AP67" s="248" t="s">
        <v>160</v>
      </c>
      <c r="AQ67" s="249" t="s">
        <v>154</v>
      </c>
      <c r="AR67" s="250"/>
      <c r="AS67" s="250"/>
      <c r="AT67" s="250"/>
      <c r="AU67" s="250"/>
      <c r="AV67" s="250"/>
      <c r="AW67" s="250"/>
      <c r="AX67" s="250"/>
      <c r="AY67" s="250"/>
      <c r="AZ67" s="250"/>
      <c r="BA67" s="250"/>
      <c r="BB67" s="250"/>
      <c r="BC67" s="250"/>
      <c r="BD67" s="250"/>
      <c r="BE67" s="250"/>
      <c r="BF67" s="250"/>
      <c r="BG67" s="250"/>
      <c r="BH67" s="250"/>
      <c r="BI67" s="250"/>
      <c r="BJ67" s="251"/>
      <c r="BK67" s="38"/>
    </row>
    <row r="68" spans="1:63" s="39" customFormat="1" ht="48" customHeight="1" x14ac:dyDescent="0.25">
      <c r="A68" s="36"/>
      <c r="B68" s="37"/>
      <c r="C68" s="247">
        <v>36</v>
      </c>
      <c r="D68" s="248"/>
      <c r="E68" s="252" t="s">
        <v>161</v>
      </c>
      <c r="F68" s="253"/>
      <c r="G68" s="253"/>
      <c r="H68" s="253"/>
      <c r="I68" s="253"/>
      <c r="J68" s="253"/>
      <c r="K68" s="254"/>
      <c r="L68" s="256" t="s">
        <v>146</v>
      </c>
      <c r="M68" s="257"/>
      <c r="N68" s="258"/>
      <c r="O68" s="252" t="s">
        <v>149</v>
      </c>
      <c r="P68" s="253"/>
      <c r="Q68" s="253"/>
      <c r="R68" s="254"/>
      <c r="S68" s="247" t="s">
        <v>146</v>
      </c>
      <c r="T68" s="255"/>
      <c r="U68" s="255"/>
      <c r="V68" s="255"/>
      <c r="W68" s="255"/>
      <c r="X68" s="255"/>
      <c r="Y68" s="248"/>
      <c r="Z68" s="247" t="s">
        <v>162</v>
      </c>
      <c r="AA68" s="255" t="s">
        <v>162</v>
      </c>
      <c r="AB68" s="255" t="s">
        <v>162</v>
      </c>
      <c r="AC68" s="255" t="s">
        <v>162</v>
      </c>
      <c r="AD68" s="255" t="s">
        <v>162</v>
      </c>
      <c r="AE68" s="255" t="s">
        <v>162</v>
      </c>
      <c r="AF68" s="255" t="s">
        <v>162</v>
      </c>
      <c r="AG68" s="255" t="s">
        <v>162</v>
      </c>
      <c r="AH68" s="255" t="s">
        <v>162</v>
      </c>
      <c r="AI68" s="255" t="s">
        <v>162</v>
      </c>
      <c r="AJ68" s="255" t="s">
        <v>162</v>
      </c>
      <c r="AK68" s="255" t="s">
        <v>162</v>
      </c>
      <c r="AL68" s="255" t="s">
        <v>162</v>
      </c>
      <c r="AM68" s="255" t="s">
        <v>162</v>
      </c>
      <c r="AN68" s="255" t="s">
        <v>162</v>
      </c>
      <c r="AO68" s="255" t="s">
        <v>162</v>
      </c>
      <c r="AP68" s="248" t="s">
        <v>162</v>
      </c>
      <c r="AQ68" s="249" t="s">
        <v>154</v>
      </c>
      <c r="AR68" s="250"/>
      <c r="AS68" s="250"/>
      <c r="AT68" s="250"/>
      <c r="AU68" s="250"/>
      <c r="AV68" s="250"/>
      <c r="AW68" s="250"/>
      <c r="AX68" s="250"/>
      <c r="AY68" s="250"/>
      <c r="AZ68" s="250"/>
      <c r="BA68" s="250"/>
      <c r="BB68" s="250"/>
      <c r="BC68" s="250"/>
      <c r="BD68" s="250"/>
      <c r="BE68" s="250"/>
      <c r="BF68" s="250"/>
      <c r="BG68" s="250"/>
      <c r="BH68" s="250"/>
      <c r="BI68" s="250"/>
      <c r="BJ68" s="251"/>
      <c r="BK68" s="38"/>
    </row>
    <row r="69" spans="1:63" s="39" customFormat="1" ht="48" customHeight="1" x14ac:dyDescent="0.25">
      <c r="A69" s="36"/>
      <c r="B69" s="37"/>
      <c r="C69" s="247">
        <v>37</v>
      </c>
      <c r="D69" s="248"/>
      <c r="E69" s="252" t="s">
        <v>163</v>
      </c>
      <c r="F69" s="253"/>
      <c r="G69" s="253"/>
      <c r="H69" s="253"/>
      <c r="I69" s="253"/>
      <c r="J69" s="253"/>
      <c r="K69" s="254"/>
      <c r="L69" s="256" t="s">
        <v>146</v>
      </c>
      <c r="M69" s="257"/>
      <c r="N69" s="258"/>
      <c r="O69" s="252" t="s">
        <v>149</v>
      </c>
      <c r="P69" s="253"/>
      <c r="Q69" s="253"/>
      <c r="R69" s="254"/>
      <c r="S69" s="247" t="s">
        <v>146</v>
      </c>
      <c r="T69" s="255"/>
      <c r="U69" s="255"/>
      <c r="V69" s="255"/>
      <c r="W69" s="255"/>
      <c r="X69" s="255"/>
      <c r="Y69" s="248"/>
      <c r="Z69" s="247" t="s">
        <v>164</v>
      </c>
      <c r="AA69" s="255" t="s">
        <v>164</v>
      </c>
      <c r="AB69" s="255" t="s">
        <v>164</v>
      </c>
      <c r="AC69" s="255" t="s">
        <v>164</v>
      </c>
      <c r="AD69" s="255" t="s">
        <v>164</v>
      </c>
      <c r="AE69" s="255" t="s">
        <v>164</v>
      </c>
      <c r="AF69" s="255" t="s">
        <v>164</v>
      </c>
      <c r="AG69" s="255" t="s">
        <v>164</v>
      </c>
      <c r="AH69" s="255" t="s">
        <v>164</v>
      </c>
      <c r="AI69" s="255" t="s">
        <v>164</v>
      </c>
      <c r="AJ69" s="255" t="s">
        <v>164</v>
      </c>
      <c r="AK69" s="255" t="s">
        <v>164</v>
      </c>
      <c r="AL69" s="255" t="s">
        <v>164</v>
      </c>
      <c r="AM69" s="255" t="s">
        <v>164</v>
      </c>
      <c r="AN69" s="255" t="s">
        <v>164</v>
      </c>
      <c r="AO69" s="255" t="s">
        <v>164</v>
      </c>
      <c r="AP69" s="248" t="s">
        <v>164</v>
      </c>
      <c r="AQ69" s="249" t="s">
        <v>154</v>
      </c>
      <c r="AR69" s="250"/>
      <c r="AS69" s="250"/>
      <c r="AT69" s="250"/>
      <c r="AU69" s="250"/>
      <c r="AV69" s="250"/>
      <c r="AW69" s="250"/>
      <c r="AX69" s="250"/>
      <c r="AY69" s="250"/>
      <c r="AZ69" s="250"/>
      <c r="BA69" s="250"/>
      <c r="BB69" s="250"/>
      <c r="BC69" s="250"/>
      <c r="BD69" s="250"/>
      <c r="BE69" s="250"/>
      <c r="BF69" s="250"/>
      <c r="BG69" s="250"/>
      <c r="BH69" s="250"/>
      <c r="BI69" s="250"/>
      <c r="BJ69" s="251"/>
      <c r="BK69" s="38"/>
    </row>
    <row r="70" spans="1:63" s="39" customFormat="1" ht="48" customHeight="1" x14ac:dyDescent="0.25">
      <c r="A70" s="36"/>
      <c r="B70" s="37"/>
      <c r="C70" s="247">
        <v>38</v>
      </c>
      <c r="D70" s="248"/>
      <c r="E70" s="252" t="s">
        <v>165</v>
      </c>
      <c r="F70" s="253"/>
      <c r="G70" s="253"/>
      <c r="H70" s="253"/>
      <c r="I70" s="253"/>
      <c r="J70" s="253"/>
      <c r="K70" s="254"/>
      <c r="L70" s="256" t="s">
        <v>146</v>
      </c>
      <c r="M70" s="257"/>
      <c r="N70" s="258"/>
      <c r="O70" s="252" t="s">
        <v>149</v>
      </c>
      <c r="P70" s="253"/>
      <c r="Q70" s="253"/>
      <c r="R70" s="254"/>
      <c r="S70" s="247" t="s">
        <v>146</v>
      </c>
      <c r="T70" s="255"/>
      <c r="U70" s="255"/>
      <c r="V70" s="255"/>
      <c r="W70" s="255"/>
      <c r="X70" s="255"/>
      <c r="Y70" s="248"/>
      <c r="Z70" s="247" t="s">
        <v>166</v>
      </c>
      <c r="AA70" s="255" t="s">
        <v>166</v>
      </c>
      <c r="AB70" s="255" t="s">
        <v>166</v>
      </c>
      <c r="AC70" s="255" t="s">
        <v>166</v>
      </c>
      <c r="AD70" s="255" t="s">
        <v>166</v>
      </c>
      <c r="AE70" s="255" t="s">
        <v>166</v>
      </c>
      <c r="AF70" s="255" t="s">
        <v>166</v>
      </c>
      <c r="AG70" s="255" t="s">
        <v>166</v>
      </c>
      <c r="AH70" s="255" t="s">
        <v>166</v>
      </c>
      <c r="AI70" s="255" t="s">
        <v>166</v>
      </c>
      <c r="AJ70" s="255" t="s">
        <v>166</v>
      </c>
      <c r="AK70" s="255" t="s">
        <v>166</v>
      </c>
      <c r="AL70" s="255" t="s">
        <v>166</v>
      </c>
      <c r="AM70" s="255" t="s">
        <v>166</v>
      </c>
      <c r="AN70" s="255" t="s">
        <v>166</v>
      </c>
      <c r="AO70" s="255" t="s">
        <v>166</v>
      </c>
      <c r="AP70" s="248" t="s">
        <v>166</v>
      </c>
      <c r="AQ70" s="249" t="s">
        <v>154</v>
      </c>
      <c r="AR70" s="250"/>
      <c r="AS70" s="250"/>
      <c r="AT70" s="250"/>
      <c r="AU70" s="250"/>
      <c r="AV70" s="250"/>
      <c r="AW70" s="250"/>
      <c r="AX70" s="250"/>
      <c r="AY70" s="250"/>
      <c r="AZ70" s="250"/>
      <c r="BA70" s="250"/>
      <c r="BB70" s="250"/>
      <c r="BC70" s="250"/>
      <c r="BD70" s="250"/>
      <c r="BE70" s="250"/>
      <c r="BF70" s="250"/>
      <c r="BG70" s="250"/>
      <c r="BH70" s="250"/>
      <c r="BI70" s="250"/>
      <c r="BJ70" s="251"/>
      <c r="BK70" s="38"/>
    </row>
    <row r="71" spans="1:63" s="39" customFormat="1" ht="48" customHeight="1" x14ac:dyDescent="0.25">
      <c r="A71" s="36"/>
      <c r="B71" s="37"/>
      <c r="C71" s="247">
        <v>39</v>
      </c>
      <c r="D71" s="248"/>
      <c r="E71" s="252" t="s">
        <v>167</v>
      </c>
      <c r="F71" s="253"/>
      <c r="G71" s="253"/>
      <c r="H71" s="253"/>
      <c r="I71" s="253"/>
      <c r="J71" s="253"/>
      <c r="K71" s="254"/>
      <c r="L71" s="256" t="s">
        <v>146</v>
      </c>
      <c r="M71" s="257"/>
      <c r="N71" s="258"/>
      <c r="O71" s="252" t="s">
        <v>149</v>
      </c>
      <c r="P71" s="253"/>
      <c r="Q71" s="253"/>
      <c r="R71" s="254"/>
      <c r="S71" s="247" t="s">
        <v>146</v>
      </c>
      <c r="T71" s="255"/>
      <c r="U71" s="255"/>
      <c r="V71" s="255"/>
      <c r="W71" s="255"/>
      <c r="X71" s="255"/>
      <c r="Y71" s="248"/>
      <c r="Z71" s="247" t="s">
        <v>168</v>
      </c>
      <c r="AA71" s="255" t="s">
        <v>168</v>
      </c>
      <c r="AB71" s="255" t="s">
        <v>168</v>
      </c>
      <c r="AC71" s="255" t="s">
        <v>168</v>
      </c>
      <c r="AD71" s="255" t="s">
        <v>168</v>
      </c>
      <c r="AE71" s="255" t="s">
        <v>168</v>
      </c>
      <c r="AF71" s="255" t="s">
        <v>168</v>
      </c>
      <c r="AG71" s="255" t="s">
        <v>168</v>
      </c>
      <c r="AH71" s="255" t="s">
        <v>168</v>
      </c>
      <c r="AI71" s="255" t="s">
        <v>168</v>
      </c>
      <c r="AJ71" s="255" t="s">
        <v>168</v>
      </c>
      <c r="AK71" s="255" t="s">
        <v>168</v>
      </c>
      <c r="AL71" s="255" t="s">
        <v>168</v>
      </c>
      <c r="AM71" s="255" t="s">
        <v>168</v>
      </c>
      <c r="AN71" s="255" t="s">
        <v>168</v>
      </c>
      <c r="AO71" s="255" t="s">
        <v>168</v>
      </c>
      <c r="AP71" s="248" t="s">
        <v>168</v>
      </c>
      <c r="AQ71" s="249" t="s">
        <v>154</v>
      </c>
      <c r="AR71" s="250"/>
      <c r="AS71" s="250"/>
      <c r="AT71" s="250"/>
      <c r="AU71" s="250"/>
      <c r="AV71" s="250"/>
      <c r="AW71" s="250"/>
      <c r="AX71" s="250"/>
      <c r="AY71" s="250"/>
      <c r="AZ71" s="250"/>
      <c r="BA71" s="250"/>
      <c r="BB71" s="250"/>
      <c r="BC71" s="250"/>
      <c r="BD71" s="250"/>
      <c r="BE71" s="250"/>
      <c r="BF71" s="250"/>
      <c r="BG71" s="250"/>
      <c r="BH71" s="250"/>
      <c r="BI71" s="250"/>
      <c r="BJ71" s="251"/>
      <c r="BK71" s="38"/>
    </row>
    <row r="72" spans="1:63" s="39" customFormat="1" ht="48" customHeight="1" x14ac:dyDescent="0.25">
      <c r="A72" s="36"/>
      <c r="B72" s="37"/>
      <c r="C72" s="247">
        <v>40</v>
      </c>
      <c r="D72" s="248"/>
      <c r="E72" s="252" t="s">
        <v>169</v>
      </c>
      <c r="F72" s="253"/>
      <c r="G72" s="253"/>
      <c r="H72" s="253"/>
      <c r="I72" s="253"/>
      <c r="J72" s="253"/>
      <c r="K72" s="254"/>
      <c r="L72" s="256" t="s">
        <v>146</v>
      </c>
      <c r="M72" s="257"/>
      <c r="N72" s="258"/>
      <c r="O72" s="252" t="s">
        <v>149</v>
      </c>
      <c r="P72" s="253"/>
      <c r="Q72" s="253"/>
      <c r="R72" s="254"/>
      <c r="S72" s="247" t="s">
        <v>146</v>
      </c>
      <c r="T72" s="255"/>
      <c r="U72" s="255"/>
      <c r="V72" s="255"/>
      <c r="W72" s="255"/>
      <c r="X72" s="255"/>
      <c r="Y72" s="248"/>
      <c r="Z72" s="247" t="s">
        <v>170</v>
      </c>
      <c r="AA72" s="255" t="s">
        <v>170</v>
      </c>
      <c r="AB72" s="255" t="s">
        <v>170</v>
      </c>
      <c r="AC72" s="255" t="s">
        <v>170</v>
      </c>
      <c r="AD72" s="255" t="s">
        <v>170</v>
      </c>
      <c r="AE72" s="255" t="s">
        <v>170</v>
      </c>
      <c r="AF72" s="255" t="s">
        <v>170</v>
      </c>
      <c r="AG72" s="255" t="s">
        <v>170</v>
      </c>
      <c r="AH72" s="255" t="s">
        <v>170</v>
      </c>
      <c r="AI72" s="255" t="s">
        <v>170</v>
      </c>
      <c r="AJ72" s="255" t="s">
        <v>170</v>
      </c>
      <c r="AK72" s="255" t="s">
        <v>170</v>
      </c>
      <c r="AL72" s="255" t="s">
        <v>170</v>
      </c>
      <c r="AM72" s="255" t="s">
        <v>170</v>
      </c>
      <c r="AN72" s="255" t="s">
        <v>170</v>
      </c>
      <c r="AO72" s="255" t="s">
        <v>170</v>
      </c>
      <c r="AP72" s="248" t="s">
        <v>170</v>
      </c>
      <c r="AQ72" s="249" t="s">
        <v>154</v>
      </c>
      <c r="AR72" s="250"/>
      <c r="AS72" s="250"/>
      <c r="AT72" s="250"/>
      <c r="AU72" s="250"/>
      <c r="AV72" s="250"/>
      <c r="AW72" s="250"/>
      <c r="AX72" s="250"/>
      <c r="AY72" s="250"/>
      <c r="AZ72" s="250"/>
      <c r="BA72" s="250"/>
      <c r="BB72" s="250"/>
      <c r="BC72" s="250"/>
      <c r="BD72" s="250"/>
      <c r="BE72" s="250"/>
      <c r="BF72" s="250"/>
      <c r="BG72" s="250"/>
      <c r="BH72" s="250"/>
      <c r="BI72" s="250"/>
      <c r="BJ72" s="251"/>
      <c r="BK72" s="38"/>
    </row>
    <row r="73" spans="1:63" s="39" customFormat="1" ht="48" customHeight="1" x14ac:dyDescent="0.25">
      <c r="A73" s="36"/>
      <c r="B73" s="37"/>
      <c r="C73" s="247">
        <v>41</v>
      </c>
      <c r="D73" s="248"/>
      <c r="E73" s="252" t="s">
        <v>171</v>
      </c>
      <c r="F73" s="253"/>
      <c r="G73" s="253"/>
      <c r="H73" s="253"/>
      <c r="I73" s="253"/>
      <c r="J73" s="253"/>
      <c r="K73" s="254"/>
      <c r="L73" s="256" t="s">
        <v>146</v>
      </c>
      <c r="M73" s="257"/>
      <c r="N73" s="258"/>
      <c r="O73" s="252" t="s">
        <v>149</v>
      </c>
      <c r="P73" s="253"/>
      <c r="Q73" s="253"/>
      <c r="R73" s="254"/>
      <c r="S73" s="247" t="s">
        <v>146</v>
      </c>
      <c r="T73" s="255"/>
      <c r="U73" s="255"/>
      <c r="V73" s="255"/>
      <c r="W73" s="255"/>
      <c r="X73" s="255"/>
      <c r="Y73" s="248"/>
      <c r="Z73" s="247" t="s">
        <v>172</v>
      </c>
      <c r="AA73" s="255" t="s">
        <v>172</v>
      </c>
      <c r="AB73" s="255" t="s">
        <v>172</v>
      </c>
      <c r="AC73" s="255" t="s">
        <v>172</v>
      </c>
      <c r="AD73" s="255" t="s">
        <v>172</v>
      </c>
      <c r="AE73" s="255" t="s">
        <v>172</v>
      </c>
      <c r="AF73" s="255" t="s">
        <v>172</v>
      </c>
      <c r="AG73" s="255" t="s">
        <v>172</v>
      </c>
      <c r="AH73" s="255" t="s">
        <v>172</v>
      </c>
      <c r="AI73" s="255" t="s">
        <v>172</v>
      </c>
      <c r="AJ73" s="255" t="s">
        <v>172</v>
      </c>
      <c r="AK73" s="255" t="s">
        <v>172</v>
      </c>
      <c r="AL73" s="255" t="s">
        <v>172</v>
      </c>
      <c r="AM73" s="255" t="s">
        <v>172</v>
      </c>
      <c r="AN73" s="255" t="s">
        <v>172</v>
      </c>
      <c r="AO73" s="255" t="s">
        <v>172</v>
      </c>
      <c r="AP73" s="248" t="s">
        <v>172</v>
      </c>
      <c r="AQ73" s="249" t="s">
        <v>154</v>
      </c>
      <c r="AR73" s="250"/>
      <c r="AS73" s="250"/>
      <c r="AT73" s="250"/>
      <c r="AU73" s="250"/>
      <c r="AV73" s="250"/>
      <c r="AW73" s="250"/>
      <c r="AX73" s="250"/>
      <c r="AY73" s="250"/>
      <c r="AZ73" s="250"/>
      <c r="BA73" s="250"/>
      <c r="BB73" s="250"/>
      <c r="BC73" s="250"/>
      <c r="BD73" s="250"/>
      <c r="BE73" s="250"/>
      <c r="BF73" s="250"/>
      <c r="BG73" s="250"/>
      <c r="BH73" s="250"/>
      <c r="BI73" s="250"/>
      <c r="BJ73" s="251"/>
      <c r="BK73" s="38"/>
    </row>
    <row r="74" spans="1:63" s="39" customFormat="1" ht="48" customHeight="1" x14ac:dyDescent="0.25">
      <c r="A74" s="36"/>
      <c r="B74" s="37"/>
      <c r="C74" s="247">
        <v>42</v>
      </c>
      <c r="D74" s="248"/>
      <c r="E74" s="252" t="s">
        <v>173</v>
      </c>
      <c r="F74" s="253"/>
      <c r="G74" s="253"/>
      <c r="H74" s="253"/>
      <c r="I74" s="253"/>
      <c r="J74" s="253"/>
      <c r="K74" s="254"/>
      <c r="L74" s="256" t="s">
        <v>146</v>
      </c>
      <c r="M74" s="257"/>
      <c r="N74" s="258"/>
      <c r="O74" s="252" t="s">
        <v>149</v>
      </c>
      <c r="P74" s="253"/>
      <c r="Q74" s="253"/>
      <c r="R74" s="254"/>
      <c r="S74" s="247" t="s">
        <v>146</v>
      </c>
      <c r="T74" s="255"/>
      <c r="U74" s="255"/>
      <c r="V74" s="255"/>
      <c r="W74" s="255"/>
      <c r="X74" s="255"/>
      <c r="Y74" s="248"/>
      <c r="Z74" s="247" t="s">
        <v>174</v>
      </c>
      <c r="AA74" s="255" t="s">
        <v>174</v>
      </c>
      <c r="AB74" s="255" t="s">
        <v>174</v>
      </c>
      <c r="AC74" s="255" t="s">
        <v>174</v>
      </c>
      <c r="AD74" s="255" t="s">
        <v>174</v>
      </c>
      <c r="AE74" s="255" t="s">
        <v>174</v>
      </c>
      <c r="AF74" s="255" t="s">
        <v>174</v>
      </c>
      <c r="AG74" s="255" t="s">
        <v>174</v>
      </c>
      <c r="AH74" s="255" t="s">
        <v>174</v>
      </c>
      <c r="AI74" s="255" t="s">
        <v>174</v>
      </c>
      <c r="AJ74" s="255" t="s">
        <v>174</v>
      </c>
      <c r="AK74" s="255" t="s">
        <v>174</v>
      </c>
      <c r="AL74" s="255" t="s">
        <v>174</v>
      </c>
      <c r="AM74" s="255" t="s">
        <v>174</v>
      </c>
      <c r="AN74" s="255" t="s">
        <v>174</v>
      </c>
      <c r="AO74" s="255" t="s">
        <v>174</v>
      </c>
      <c r="AP74" s="248" t="s">
        <v>174</v>
      </c>
      <c r="AQ74" s="249" t="s">
        <v>154</v>
      </c>
      <c r="AR74" s="250"/>
      <c r="AS74" s="250"/>
      <c r="AT74" s="250"/>
      <c r="AU74" s="250"/>
      <c r="AV74" s="250"/>
      <c r="AW74" s="250"/>
      <c r="AX74" s="250"/>
      <c r="AY74" s="250"/>
      <c r="AZ74" s="250"/>
      <c r="BA74" s="250"/>
      <c r="BB74" s="250"/>
      <c r="BC74" s="250"/>
      <c r="BD74" s="250"/>
      <c r="BE74" s="250"/>
      <c r="BF74" s="250"/>
      <c r="BG74" s="250"/>
      <c r="BH74" s="250"/>
      <c r="BI74" s="250"/>
      <c r="BJ74" s="251"/>
      <c r="BK74" s="38"/>
    </row>
    <row r="75" spans="1:63" s="16" customFormat="1" ht="15" customHeight="1" x14ac:dyDescent="0.25">
      <c r="A75" s="11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34"/>
      <c r="M75" s="34"/>
      <c r="N75" s="34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64"/>
      <c r="AA75" s="64"/>
      <c r="AB75" s="64"/>
      <c r="AC75" s="64"/>
      <c r="AD75" s="64"/>
      <c r="AE75" s="64"/>
      <c r="AF75" s="64"/>
      <c r="AG75" s="64"/>
      <c r="AH75" s="64"/>
      <c r="AI75" s="64"/>
      <c r="AJ75" s="64"/>
      <c r="AK75" s="64"/>
      <c r="AL75" s="64"/>
      <c r="AM75" s="64"/>
      <c r="AN75" s="64"/>
      <c r="AO75" s="64"/>
      <c r="AP75" s="64"/>
      <c r="AQ75" s="35"/>
      <c r="AR75" s="35"/>
      <c r="AS75" s="35"/>
      <c r="AT75" s="35"/>
      <c r="AU75" s="35"/>
      <c r="AV75" s="35"/>
      <c r="AW75" s="35"/>
      <c r="AX75" s="35"/>
      <c r="AY75" s="35"/>
      <c r="AZ75" s="35"/>
      <c r="BA75" s="35"/>
      <c r="BB75" s="35"/>
      <c r="BC75" s="35"/>
      <c r="BD75" s="35"/>
      <c r="BE75" s="35"/>
      <c r="BF75" s="35"/>
      <c r="BG75" s="35"/>
      <c r="BH75" s="35"/>
      <c r="BI75" s="35"/>
      <c r="BJ75" s="35"/>
      <c r="BK75" s="15"/>
    </row>
    <row r="76" spans="1:63" s="16" customFormat="1" ht="15" customHeight="1" x14ac:dyDescent="0.25">
      <c r="A76" s="11"/>
      <c r="B76" s="12" t="s">
        <v>175</v>
      </c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4"/>
      <c r="BI76" s="14"/>
      <c r="BJ76" s="14"/>
      <c r="BK76" s="15"/>
    </row>
    <row r="77" spans="1:63" s="16" customFormat="1" ht="15" customHeight="1" x14ac:dyDescent="0.25">
      <c r="A77" s="11"/>
      <c r="B77" s="17"/>
      <c r="C77" s="21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9"/>
      <c r="BI77" s="19"/>
      <c r="BJ77" s="19"/>
      <c r="BK77" s="15"/>
    </row>
    <row r="78" spans="1:63" s="16" customFormat="1" ht="15" customHeight="1" x14ac:dyDescent="0.25">
      <c r="A78" s="11"/>
      <c r="B78" s="17"/>
      <c r="C78" s="21" t="s">
        <v>176</v>
      </c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9"/>
      <c r="BI78" s="19"/>
      <c r="BJ78" s="19"/>
      <c r="BK78" s="15"/>
    </row>
    <row r="79" spans="1:63" s="16" customFormat="1" ht="15" customHeight="1" x14ac:dyDescent="0.25">
      <c r="A79" s="11"/>
      <c r="B79" s="17"/>
      <c r="C79" s="21"/>
      <c r="D79" s="18" t="s">
        <v>23</v>
      </c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9"/>
      <c r="BI79" s="19"/>
      <c r="BJ79" s="19"/>
      <c r="BK79" s="15"/>
    </row>
    <row r="80" spans="1:63" s="16" customFormat="1" ht="15" customHeight="1" x14ac:dyDescent="0.25">
      <c r="A80" s="11"/>
      <c r="B80" s="18"/>
      <c r="C80" s="18"/>
      <c r="D80" s="64"/>
      <c r="E80" s="64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9"/>
      <c r="BI80" s="19"/>
      <c r="BJ80" s="19"/>
      <c r="BK80" s="15"/>
    </row>
    <row r="81" spans="1:63" s="16" customFormat="1" ht="15" customHeight="1" x14ac:dyDescent="0.25">
      <c r="A81" s="11"/>
      <c r="B81" s="18"/>
      <c r="C81" s="17" t="s">
        <v>177</v>
      </c>
      <c r="D81" s="18"/>
      <c r="E81" s="64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9"/>
      <c r="BI81" s="19"/>
      <c r="BJ81" s="19"/>
      <c r="BK81" s="15"/>
    </row>
    <row r="82" spans="1:63" s="16" customFormat="1" ht="15" customHeight="1" x14ac:dyDescent="0.25">
      <c r="A82" s="11"/>
      <c r="B82" s="18"/>
      <c r="C82" s="17"/>
      <c r="D82" s="18"/>
      <c r="E82" s="64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9"/>
      <c r="BI82" s="19"/>
      <c r="BJ82" s="19"/>
      <c r="BK82" s="15"/>
    </row>
    <row r="83" spans="1:63" s="16" customFormat="1" ht="15" customHeight="1" x14ac:dyDescent="0.25">
      <c r="A83" s="11"/>
      <c r="B83" s="18"/>
      <c r="C83" s="17" t="s">
        <v>47</v>
      </c>
      <c r="D83" s="18"/>
      <c r="E83" s="64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9"/>
      <c r="BI83" s="19"/>
      <c r="BJ83" s="19"/>
      <c r="BK83" s="15"/>
    </row>
    <row r="84" spans="1:63" s="31" customFormat="1" ht="15" customHeight="1" x14ac:dyDescent="0.25">
      <c r="A84" s="26"/>
      <c r="B84" s="27"/>
      <c r="C84" s="27"/>
      <c r="D84" s="27"/>
      <c r="E84" s="28"/>
      <c r="F84" s="28"/>
      <c r="G84" s="28"/>
      <c r="H84" s="28"/>
      <c r="I84" s="28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7"/>
      <c r="AT84" s="27"/>
      <c r="AU84" s="27"/>
      <c r="AV84" s="27"/>
      <c r="AW84" s="27"/>
      <c r="AX84" s="27"/>
      <c r="AY84" s="27"/>
      <c r="AZ84" s="27"/>
      <c r="BA84" s="27"/>
      <c r="BB84" s="27"/>
      <c r="BC84" s="27"/>
      <c r="BD84" s="27"/>
      <c r="BE84" s="27"/>
      <c r="BF84" s="27"/>
      <c r="BG84" s="27"/>
      <c r="BH84" s="29"/>
      <c r="BI84" s="29"/>
      <c r="BJ84" s="29"/>
      <c r="BK84" s="30"/>
    </row>
  </sheetData>
  <mergeCells count="357">
    <mergeCell ref="O74:R74"/>
    <mergeCell ref="S74:Y74"/>
    <mergeCell ref="Z74:AP74"/>
    <mergeCell ref="AQ74:BJ74"/>
    <mergeCell ref="C74:D74"/>
    <mergeCell ref="E74:K74"/>
    <mergeCell ref="L62:N62"/>
    <mergeCell ref="L63:N63"/>
    <mergeCell ref="L64:N64"/>
    <mergeCell ref="L65:N65"/>
    <mergeCell ref="L66:N66"/>
    <mergeCell ref="L67:N67"/>
    <mergeCell ref="L68:N68"/>
    <mergeCell ref="L69:N69"/>
    <mergeCell ref="L70:N70"/>
    <mergeCell ref="L71:N71"/>
    <mergeCell ref="L72:N72"/>
    <mergeCell ref="L73:N73"/>
    <mergeCell ref="L74:N74"/>
    <mergeCell ref="O62:R62"/>
    <mergeCell ref="S62:Y62"/>
    <mergeCell ref="Z62:AP62"/>
    <mergeCell ref="AQ62:BJ62"/>
    <mergeCell ref="O63:R63"/>
    <mergeCell ref="C72:D72"/>
    <mergeCell ref="E72:K72"/>
    <mergeCell ref="C73:D73"/>
    <mergeCell ref="E73:K73"/>
    <mergeCell ref="O72:R72"/>
    <mergeCell ref="S72:Y72"/>
    <mergeCell ref="Z72:AP72"/>
    <mergeCell ref="AQ72:BJ72"/>
    <mergeCell ref="O73:R73"/>
    <mergeCell ref="S73:Y73"/>
    <mergeCell ref="Z73:AP73"/>
    <mergeCell ref="AQ73:BJ73"/>
    <mergeCell ref="AQ71:BJ71"/>
    <mergeCell ref="C68:D68"/>
    <mergeCell ref="E68:K68"/>
    <mergeCell ref="C69:D69"/>
    <mergeCell ref="E69:K69"/>
    <mergeCell ref="O68:R68"/>
    <mergeCell ref="S68:Y68"/>
    <mergeCell ref="Z68:AP68"/>
    <mergeCell ref="AQ68:BJ68"/>
    <mergeCell ref="O69:R69"/>
    <mergeCell ref="S69:Y69"/>
    <mergeCell ref="Z69:AP69"/>
    <mergeCell ref="AQ69:BJ69"/>
    <mergeCell ref="C70:D70"/>
    <mergeCell ref="E70:K70"/>
    <mergeCell ref="C71:D71"/>
    <mergeCell ref="E71:K71"/>
    <mergeCell ref="O70:R70"/>
    <mergeCell ref="S70:Y70"/>
    <mergeCell ref="Z70:AP70"/>
    <mergeCell ref="AQ70:BJ70"/>
    <mergeCell ref="O71:R71"/>
    <mergeCell ref="S71:Y71"/>
    <mergeCell ref="Z71:AP71"/>
    <mergeCell ref="C66:D66"/>
    <mergeCell ref="E66:K66"/>
    <mergeCell ref="C67:D67"/>
    <mergeCell ref="E67:K67"/>
    <mergeCell ref="O66:R66"/>
    <mergeCell ref="S66:Y66"/>
    <mergeCell ref="Z66:AP66"/>
    <mergeCell ref="AQ66:BJ66"/>
    <mergeCell ref="O67:R67"/>
    <mergeCell ref="S67:Y67"/>
    <mergeCell ref="Z67:AP67"/>
    <mergeCell ref="AQ67:BJ67"/>
    <mergeCell ref="C64:D64"/>
    <mergeCell ref="E64:K64"/>
    <mergeCell ref="C65:D65"/>
    <mergeCell ref="E65:K65"/>
    <mergeCell ref="O64:R64"/>
    <mergeCell ref="S64:Y64"/>
    <mergeCell ref="Z64:AP64"/>
    <mergeCell ref="AQ64:BJ64"/>
    <mergeCell ref="O65:R65"/>
    <mergeCell ref="S65:Y65"/>
    <mergeCell ref="Z65:AP65"/>
    <mergeCell ref="AQ65:BJ65"/>
    <mergeCell ref="C63:D63"/>
    <mergeCell ref="E63:K63"/>
    <mergeCell ref="Z63:AP63"/>
    <mergeCell ref="AQ63:BJ63"/>
    <mergeCell ref="C52:D52"/>
    <mergeCell ref="E52:K52"/>
    <mergeCell ref="C53:D53"/>
    <mergeCell ref="E53:K53"/>
    <mergeCell ref="O52:R52"/>
    <mergeCell ref="O53:R53"/>
    <mergeCell ref="S52:Y52"/>
    <mergeCell ref="S53:Y53"/>
    <mergeCell ref="Z52:AP52"/>
    <mergeCell ref="Z53:AP53"/>
    <mergeCell ref="L52:N52"/>
    <mergeCell ref="L53:N53"/>
    <mergeCell ref="Z61:AP61"/>
    <mergeCell ref="AQ61:BJ61"/>
    <mergeCell ref="AQ59:BJ59"/>
    <mergeCell ref="E60:K60"/>
    <mergeCell ref="S60:Y60"/>
    <mergeCell ref="L60:N60"/>
    <mergeCell ref="S63:Y63"/>
    <mergeCell ref="AQ57:BJ57"/>
    <mergeCell ref="C62:D62"/>
    <mergeCell ref="E62:K62"/>
    <mergeCell ref="C57:D57"/>
    <mergeCell ref="E57:K57"/>
    <mergeCell ref="L57:N57"/>
    <mergeCell ref="O57:R57"/>
    <mergeCell ref="S57:Y57"/>
    <mergeCell ref="Z57:AP57"/>
    <mergeCell ref="C50:D50"/>
    <mergeCell ref="E50:K50"/>
    <mergeCell ref="L50:N50"/>
    <mergeCell ref="O50:R50"/>
    <mergeCell ref="S50:Y50"/>
    <mergeCell ref="Z50:AP50"/>
    <mergeCell ref="S55:Y55"/>
    <mergeCell ref="Z55:AP55"/>
    <mergeCell ref="C54:D54"/>
    <mergeCell ref="E54:K54"/>
    <mergeCell ref="L54:N54"/>
    <mergeCell ref="O54:R54"/>
    <mergeCell ref="S54:Y54"/>
    <mergeCell ref="Z54:AP54"/>
    <mergeCell ref="C56:D56"/>
    <mergeCell ref="E56:K56"/>
    <mergeCell ref="AQ55:BJ55"/>
    <mergeCell ref="S44:Y44"/>
    <mergeCell ref="Z44:AP44"/>
    <mergeCell ref="AQ44:BJ44"/>
    <mergeCell ref="C46:D46"/>
    <mergeCell ref="E46:K46"/>
    <mergeCell ref="L46:N46"/>
    <mergeCell ref="O46:R46"/>
    <mergeCell ref="S46:Y46"/>
    <mergeCell ref="Z46:AP46"/>
    <mergeCell ref="AQ46:BJ46"/>
    <mergeCell ref="S45:Y45"/>
    <mergeCell ref="Z45:AP45"/>
    <mergeCell ref="AQ45:BJ45"/>
    <mergeCell ref="C47:D47"/>
    <mergeCell ref="E47:K47"/>
    <mergeCell ref="L47:N47"/>
    <mergeCell ref="O47:R47"/>
    <mergeCell ref="S47:Y47"/>
    <mergeCell ref="Z47:AP47"/>
    <mergeCell ref="C45:D45"/>
    <mergeCell ref="E45:K45"/>
    <mergeCell ref="AQ52:BJ52"/>
    <mergeCell ref="AQ53:BJ53"/>
    <mergeCell ref="AQ54:BJ54"/>
    <mergeCell ref="L45:N45"/>
    <mergeCell ref="O45:R45"/>
    <mergeCell ref="C44:D44"/>
    <mergeCell ref="E44:K44"/>
    <mergeCell ref="L44:N44"/>
    <mergeCell ref="O44:R44"/>
    <mergeCell ref="C51:D51"/>
    <mergeCell ref="E51:K51"/>
    <mergeCell ref="AQ47:BJ47"/>
    <mergeCell ref="S51:Y51"/>
    <mergeCell ref="Z51:AP51"/>
    <mergeCell ref="L48:N48"/>
    <mergeCell ref="O48:R48"/>
    <mergeCell ref="S48:Y48"/>
    <mergeCell ref="Z48:AP48"/>
    <mergeCell ref="S49:Y49"/>
    <mergeCell ref="Z49:AP49"/>
    <mergeCell ref="AQ50:BJ50"/>
    <mergeCell ref="AQ49:BJ49"/>
    <mergeCell ref="AQ48:BJ48"/>
    <mergeCell ref="L56:N56"/>
    <mergeCell ref="L51:N51"/>
    <mergeCell ref="O51:R51"/>
    <mergeCell ref="C55:D55"/>
    <mergeCell ref="E55:K55"/>
    <mergeCell ref="L55:N55"/>
    <mergeCell ref="O55:R55"/>
    <mergeCell ref="C49:D49"/>
    <mergeCell ref="E49:K49"/>
    <mergeCell ref="L49:N49"/>
    <mergeCell ref="O49:R49"/>
    <mergeCell ref="C42:D42"/>
    <mergeCell ref="E42:K42"/>
    <mergeCell ref="L42:N42"/>
    <mergeCell ref="O42:R42"/>
    <mergeCell ref="S42:Y42"/>
    <mergeCell ref="Z42:AP42"/>
    <mergeCell ref="AQ42:BJ42"/>
    <mergeCell ref="C43:D43"/>
    <mergeCell ref="E43:K43"/>
    <mergeCell ref="L43:N43"/>
    <mergeCell ref="O43:R43"/>
    <mergeCell ref="S43:Y43"/>
    <mergeCell ref="Z43:AP43"/>
    <mergeCell ref="AQ43:BJ43"/>
    <mergeCell ref="AQ35:BJ35"/>
    <mergeCell ref="S36:Y36"/>
    <mergeCell ref="AQ36:BJ36"/>
    <mergeCell ref="O36:R36"/>
    <mergeCell ref="AQ39:BJ39"/>
    <mergeCell ref="L40:N40"/>
    <mergeCell ref="O40:R40"/>
    <mergeCell ref="L36:N36"/>
    <mergeCell ref="L38:N38"/>
    <mergeCell ref="O38:R38"/>
    <mergeCell ref="AQ40:BJ40"/>
    <mergeCell ref="Z39:AP39"/>
    <mergeCell ref="Z37:AP37"/>
    <mergeCell ref="S35:Y35"/>
    <mergeCell ref="Z35:AP35"/>
    <mergeCell ref="Z36:AP36"/>
    <mergeCell ref="A4:G4"/>
    <mergeCell ref="H4:T4"/>
    <mergeCell ref="U4:Y4"/>
    <mergeCell ref="Z4:AO4"/>
    <mergeCell ref="AP4:BK4"/>
    <mergeCell ref="C16:D16"/>
    <mergeCell ref="C17:D17"/>
    <mergeCell ref="E16:AF16"/>
    <mergeCell ref="C26:D26"/>
    <mergeCell ref="E26:K26"/>
    <mergeCell ref="L26:N26"/>
    <mergeCell ref="O26:R26"/>
    <mergeCell ref="S26:Y26"/>
    <mergeCell ref="Z26:AP26"/>
    <mergeCell ref="AQ26:BJ26"/>
    <mergeCell ref="C22:D22"/>
    <mergeCell ref="O23:R23"/>
    <mergeCell ref="L22:N22"/>
    <mergeCell ref="L23:N23"/>
    <mergeCell ref="C23:D23"/>
    <mergeCell ref="AQ21:BJ21"/>
    <mergeCell ref="AQ23:BJ23"/>
    <mergeCell ref="AQ22:BJ22"/>
    <mergeCell ref="E21:K21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C21:D21"/>
    <mergeCell ref="S21:Y21"/>
    <mergeCell ref="Z21:AP21"/>
    <mergeCell ref="O22:R22"/>
    <mergeCell ref="O21:R21"/>
    <mergeCell ref="L21:N21"/>
    <mergeCell ref="S23:Y23"/>
    <mergeCell ref="S22:Y22"/>
    <mergeCell ref="Z22:AP22"/>
    <mergeCell ref="AG16:AP16"/>
    <mergeCell ref="AQ16:BJ16"/>
    <mergeCell ref="E17:AF17"/>
    <mergeCell ref="AQ17:BJ17"/>
    <mergeCell ref="E22:K22"/>
    <mergeCell ref="E23:K23"/>
    <mergeCell ref="AG17:AP17"/>
    <mergeCell ref="AQ34:BJ34"/>
    <mergeCell ref="Z23:AP23"/>
    <mergeCell ref="AQ24:BJ24"/>
    <mergeCell ref="L34:N34"/>
    <mergeCell ref="O34:R34"/>
    <mergeCell ref="AQ25:BJ25"/>
    <mergeCell ref="L25:N25"/>
    <mergeCell ref="O25:R25"/>
    <mergeCell ref="S25:Y25"/>
    <mergeCell ref="Z25:AP25"/>
    <mergeCell ref="O60:R60"/>
    <mergeCell ref="C59:D59"/>
    <mergeCell ref="O59:R59"/>
    <mergeCell ref="Z59:AP59"/>
    <mergeCell ref="AQ60:BJ60"/>
    <mergeCell ref="L61:N61"/>
    <mergeCell ref="O61:R61"/>
    <mergeCell ref="C61:D61"/>
    <mergeCell ref="E61:K61"/>
    <mergeCell ref="S61:Y61"/>
    <mergeCell ref="E59:K59"/>
    <mergeCell ref="S59:Y59"/>
    <mergeCell ref="L59:N59"/>
    <mergeCell ref="C60:D60"/>
    <mergeCell ref="AQ58:BJ58"/>
    <mergeCell ref="Z38:AP38"/>
    <mergeCell ref="Z60:AP60"/>
    <mergeCell ref="S58:Y58"/>
    <mergeCell ref="L58:N58"/>
    <mergeCell ref="O58:R58"/>
    <mergeCell ref="O37:R37"/>
    <mergeCell ref="L41:N41"/>
    <mergeCell ref="O41:R41"/>
    <mergeCell ref="S41:Y41"/>
    <mergeCell ref="Z41:AP41"/>
    <mergeCell ref="AQ41:BJ41"/>
    <mergeCell ref="O56:R56"/>
    <mergeCell ref="S56:Y56"/>
    <mergeCell ref="Z56:AP56"/>
    <mergeCell ref="AQ56:BJ56"/>
    <mergeCell ref="S38:Y38"/>
    <mergeCell ref="AQ38:BJ38"/>
    <mergeCell ref="S37:Y37"/>
    <mergeCell ref="Z40:AP40"/>
    <mergeCell ref="S39:Y39"/>
    <mergeCell ref="AQ37:BJ37"/>
    <mergeCell ref="S40:Y40"/>
    <mergeCell ref="AQ51:BJ51"/>
    <mergeCell ref="Z58:AP58"/>
    <mergeCell ref="C58:D58"/>
    <mergeCell ref="E58:K58"/>
    <mergeCell ref="E38:K38"/>
    <mergeCell ref="E39:K39"/>
    <mergeCell ref="L35:N35"/>
    <mergeCell ref="O35:R35"/>
    <mergeCell ref="C41:D41"/>
    <mergeCell ref="E41:K41"/>
    <mergeCell ref="C35:D35"/>
    <mergeCell ref="C36:D36"/>
    <mergeCell ref="C37:D37"/>
    <mergeCell ref="C38:D38"/>
    <mergeCell ref="E40:K40"/>
    <mergeCell ref="C39:D39"/>
    <mergeCell ref="C40:D40"/>
    <mergeCell ref="E35:K35"/>
    <mergeCell ref="E36:K36"/>
    <mergeCell ref="E37:K37"/>
    <mergeCell ref="L39:N39"/>
    <mergeCell ref="O39:R39"/>
    <mergeCell ref="L37:N37"/>
    <mergeCell ref="C48:D48"/>
    <mergeCell ref="E48:K48"/>
    <mergeCell ref="C24:D24"/>
    <mergeCell ref="E24:K24"/>
    <mergeCell ref="L24:N24"/>
    <mergeCell ref="O24:R24"/>
    <mergeCell ref="S24:Y24"/>
    <mergeCell ref="Z24:AP24"/>
    <mergeCell ref="Z34:AP34"/>
    <mergeCell ref="C25:D25"/>
    <mergeCell ref="E25:K25"/>
    <mergeCell ref="C34:D34"/>
    <mergeCell ref="E34:K34"/>
    <mergeCell ref="S34:Y34"/>
  </mergeCells>
  <pageMargins left="0.7" right="0.7" top="0.75" bottom="0.75" header="0.3" footer="0.3"/>
  <pageSetup scale="27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tabColor rgb="FF00B050"/>
    <pageSetUpPr fitToPage="1"/>
  </sheetPr>
  <dimension ref="A1:BK225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67" t="s">
        <v>105</v>
      </c>
      <c r="B1" s="168"/>
      <c r="C1" s="168"/>
      <c r="D1" s="168"/>
      <c r="E1" s="168"/>
      <c r="F1" s="168"/>
      <c r="G1" s="168"/>
      <c r="H1" s="168"/>
      <c r="I1" s="168"/>
      <c r="J1" s="169"/>
      <c r="K1" s="167" t="s">
        <v>106</v>
      </c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9"/>
      <c r="W1" s="170" t="s">
        <v>103</v>
      </c>
      <c r="X1" s="171"/>
      <c r="Y1" s="171"/>
      <c r="Z1" s="171"/>
      <c r="AA1" s="171"/>
      <c r="AB1" s="171"/>
      <c r="AC1" s="171"/>
      <c r="AD1" s="171"/>
      <c r="AE1" s="171"/>
      <c r="AF1" s="171"/>
      <c r="AG1" s="171"/>
      <c r="AH1" s="171"/>
      <c r="AI1" s="171"/>
      <c r="AJ1" s="171"/>
      <c r="AK1" s="171"/>
      <c r="AL1" s="171"/>
      <c r="AM1" s="171"/>
      <c r="AN1" s="171"/>
      <c r="AO1" s="172"/>
      <c r="AP1" s="83" t="s">
        <v>107</v>
      </c>
      <c r="AQ1" s="84"/>
      <c r="AR1" s="84"/>
      <c r="AS1" s="85"/>
      <c r="AT1" s="83" t="s">
        <v>108</v>
      </c>
      <c r="AU1" s="84"/>
      <c r="AV1" s="84"/>
      <c r="AW1" s="84"/>
      <c r="AX1" s="85"/>
      <c r="AY1" s="83" t="s">
        <v>109</v>
      </c>
      <c r="AZ1" s="84"/>
      <c r="BA1" s="84"/>
      <c r="BB1" s="85"/>
      <c r="BC1" s="83" t="s">
        <v>110</v>
      </c>
      <c r="BD1" s="84"/>
      <c r="BE1" s="84"/>
      <c r="BF1" s="84"/>
      <c r="BG1" s="85"/>
      <c r="BH1" s="83" t="s">
        <v>111</v>
      </c>
      <c r="BI1" s="84"/>
      <c r="BJ1" s="84"/>
      <c r="BK1" s="85"/>
    </row>
    <row r="2" spans="1:63" ht="15" customHeight="1" x14ac:dyDescent="0.25">
      <c r="A2" s="161" t="s">
        <v>102</v>
      </c>
      <c r="B2" s="162"/>
      <c r="C2" s="162"/>
      <c r="D2" s="162"/>
      <c r="E2" s="162"/>
      <c r="F2" s="162"/>
      <c r="G2" s="162"/>
      <c r="H2" s="162"/>
      <c r="I2" s="162"/>
      <c r="J2" s="163"/>
      <c r="K2" s="161" t="s">
        <v>102</v>
      </c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3"/>
      <c r="W2" s="173"/>
      <c r="X2" s="174"/>
      <c r="Y2" s="174"/>
      <c r="Z2" s="174"/>
      <c r="AA2" s="174"/>
      <c r="AB2" s="174"/>
      <c r="AC2" s="174"/>
      <c r="AD2" s="174"/>
      <c r="AE2" s="174"/>
      <c r="AF2" s="174"/>
      <c r="AG2" s="174"/>
      <c r="AH2" s="174"/>
      <c r="AI2" s="174"/>
      <c r="AJ2" s="174"/>
      <c r="AK2" s="174"/>
      <c r="AL2" s="174"/>
      <c r="AM2" s="174"/>
      <c r="AN2" s="174"/>
      <c r="AO2" s="175"/>
      <c r="AP2" s="68" t="s">
        <v>100</v>
      </c>
      <c r="AQ2" s="69"/>
      <c r="AR2" s="69"/>
      <c r="AS2" s="70"/>
      <c r="AT2" s="98">
        <v>45492</v>
      </c>
      <c r="AU2" s="99"/>
      <c r="AV2" s="99"/>
      <c r="AW2" s="99"/>
      <c r="AX2" s="100"/>
      <c r="AY2" s="68" t="s">
        <v>100</v>
      </c>
      <c r="AZ2" s="69"/>
      <c r="BA2" s="69"/>
      <c r="BB2" s="70"/>
      <c r="BC2" s="98">
        <v>45811</v>
      </c>
      <c r="BD2" s="99"/>
      <c r="BE2" s="99"/>
      <c r="BF2" s="99"/>
      <c r="BG2" s="100"/>
      <c r="BH2" s="68">
        <v>0.55000000000000004</v>
      </c>
      <c r="BI2" s="69"/>
      <c r="BJ2" s="69"/>
      <c r="BK2" s="70"/>
    </row>
    <row r="3" spans="1:63" ht="15" customHeight="1" x14ac:dyDescent="0.25">
      <c r="A3" s="164"/>
      <c r="B3" s="165"/>
      <c r="C3" s="165"/>
      <c r="D3" s="165"/>
      <c r="E3" s="165"/>
      <c r="F3" s="165"/>
      <c r="G3" s="165"/>
      <c r="H3" s="165"/>
      <c r="I3" s="165"/>
      <c r="J3" s="166"/>
      <c r="K3" s="164"/>
      <c r="L3" s="165"/>
      <c r="M3" s="165"/>
      <c r="N3" s="165"/>
      <c r="O3" s="165"/>
      <c r="P3" s="165"/>
      <c r="Q3" s="165"/>
      <c r="R3" s="165"/>
      <c r="S3" s="165"/>
      <c r="T3" s="165"/>
      <c r="U3" s="165"/>
      <c r="V3" s="166"/>
      <c r="W3" s="176"/>
      <c r="X3" s="177"/>
      <c r="Y3" s="177"/>
      <c r="Z3" s="177"/>
      <c r="AA3" s="177"/>
      <c r="AB3" s="177"/>
      <c r="AC3" s="177"/>
      <c r="AD3" s="177"/>
      <c r="AE3" s="177"/>
      <c r="AF3" s="177"/>
      <c r="AG3" s="177"/>
      <c r="AH3" s="177"/>
      <c r="AI3" s="177"/>
      <c r="AJ3" s="177"/>
      <c r="AK3" s="177"/>
      <c r="AL3" s="177"/>
      <c r="AM3" s="177"/>
      <c r="AN3" s="177"/>
      <c r="AO3" s="178"/>
      <c r="AP3" s="74"/>
      <c r="AQ3" s="75"/>
      <c r="AR3" s="75"/>
      <c r="AS3" s="76"/>
      <c r="AT3" s="101"/>
      <c r="AU3" s="102"/>
      <c r="AV3" s="102"/>
      <c r="AW3" s="102"/>
      <c r="AX3" s="103"/>
      <c r="AY3" s="74"/>
      <c r="AZ3" s="75"/>
      <c r="BA3" s="75"/>
      <c r="BB3" s="76"/>
      <c r="BC3" s="101"/>
      <c r="BD3" s="102"/>
      <c r="BE3" s="102"/>
      <c r="BF3" s="102"/>
      <c r="BG3" s="103"/>
      <c r="BH3" s="74"/>
      <c r="BI3" s="75"/>
      <c r="BJ3" s="75"/>
      <c r="BK3" s="76"/>
    </row>
    <row r="4" spans="1:63" ht="24.95" customHeight="1" x14ac:dyDescent="0.25">
      <c r="A4" s="167" t="s">
        <v>112</v>
      </c>
      <c r="B4" s="168"/>
      <c r="C4" s="168"/>
      <c r="D4" s="168"/>
      <c r="E4" s="168"/>
      <c r="F4" s="168"/>
      <c r="G4" s="169"/>
      <c r="H4" s="179" t="s">
        <v>101</v>
      </c>
      <c r="I4" s="180"/>
      <c r="J4" s="180"/>
      <c r="K4" s="180"/>
      <c r="L4" s="180"/>
      <c r="M4" s="180"/>
      <c r="N4" s="180"/>
      <c r="O4" s="180"/>
      <c r="P4" s="180"/>
      <c r="Q4" s="180"/>
      <c r="R4" s="180"/>
      <c r="S4" s="180"/>
      <c r="T4" s="181"/>
      <c r="U4" s="167" t="s">
        <v>113</v>
      </c>
      <c r="V4" s="168"/>
      <c r="W4" s="168"/>
      <c r="X4" s="168"/>
      <c r="Y4" s="169"/>
      <c r="Z4" s="179" t="s">
        <v>104</v>
      </c>
      <c r="AA4" s="180"/>
      <c r="AB4" s="180"/>
      <c r="AC4" s="180"/>
      <c r="AD4" s="180"/>
      <c r="AE4" s="180"/>
      <c r="AF4" s="180"/>
      <c r="AG4" s="180"/>
      <c r="AH4" s="180"/>
      <c r="AI4" s="180"/>
      <c r="AJ4" s="180"/>
      <c r="AK4" s="180"/>
      <c r="AL4" s="180"/>
      <c r="AM4" s="180"/>
      <c r="AN4" s="180"/>
      <c r="AO4" s="181"/>
      <c r="AP4" s="182" t="str">
        <f ca="1">MID(CELL("filename",A1),FIND("]",CELL("filename",A1))+1,255)</f>
        <v>処理フロー</v>
      </c>
      <c r="AQ4" s="180"/>
      <c r="AR4" s="180"/>
      <c r="AS4" s="180"/>
      <c r="AT4" s="180"/>
      <c r="AU4" s="180"/>
      <c r="AV4" s="180"/>
      <c r="AW4" s="180"/>
      <c r="AX4" s="180"/>
      <c r="AY4" s="180"/>
      <c r="AZ4" s="180"/>
      <c r="BA4" s="180"/>
      <c r="BB4" s="180"/>
      <c r="BC4" s="180"/>
      <c r="BD4" s="180"/>
      <c r="BE4" s="180"/>
      <c r="BF4" s="180"/>
      <c r="BG4" s="180"/>
      <c r="BH4" s="180"/>
      <c r="BI4" s="180"/>
      <c r="BJ4" s="180"/>
      <c r="BK4" s="181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62" customFormat="1" ht="15" customHeight="1" x14ac:dyDescent="0.25">
      <c r="B7" s="32"/>
      <c r="C7" s="19"/>
      <c r="D7" s="19"/>
      <c r="E7" s="19"/>
      <c r="F7" s="19"/>
      <c r="G7" s="19"/>
      <c r="AI7" s="66"/>
      <c r="BJ7" s="66"/>
      <c r="BK7" s="61"/>
    </row>
    <row r="8" spans="1:63" s="62" customFormat="1" ht="15" customHeight="1" x14ac:dyDescent="0.25">
      <c r="B8" s="32"/>
      <c r="C8" s="19"/>
      <c r="D8" s="19"/>
      <c r="E8" s="19"/>
      <c r="F8" s="19"/>
      <c r="G8" s="19"/>
      <c r="AI8" s="66"/>
      <c r="BJ8" s="66"/>
      <c r="BK8" s="61"/>
    </row>
    <row r="9" spans="1:63" s="62" customFormat="1" ht="15" customHeight="1" x14ac:dyDescent="0.25">
      <c r="B9" s="32"/>
      <c r="C9" s="19"/>
      <c r="D9" s="19"/>
      <c r="E9" s="19"/>
      <c r="F9" s="19"/>
      <c r="G9" s="19"/>
      <c r="AI9" s="66"/>
      <c r="BJ9" s="66"/>
      <c r="BK9" s="61"/>
    </row>
    <row r="10" spans="1:63" s="62" customFormat="1" ht="15" customHeight="1" x14ac:dyDescent="0.25">
      <c r="B10" s="32"/>
      <c r="C10" s="19"/>
      <c r="D10" s="19"/>
      <c r="E10" s="19"/>
      <c r="F10" s="19"/>
      <c r="G10" s="19"/>
      <c r="AI10" s="66"/>
      <c r="BJ10" s="66"/>
      <c r="BK10" s="61"/>
    </row>
    <row r="11" spans="1:63" s="62" customFormat="1" ht="15" customHeight="1" x14ac:dyDescent="0.25">
      <c r="B11" s="67"/>
      <c r="AI11" s="66"/>
      <c r="BJ11" s="66"/>
      <c r="BK11" s="61"/>
    </row>
    <row r="12" spans="1:63" s="62" customFormat="1" ht="15" customHeight="1" x14ac:dyDescent="0.25">
      <c r="B12" s="67"/>
      <c r="AI12" s="66"/>
      <c r="BJ12" s="66"/>
      <c r="BK12" s="61"/>
    </row>
    <row r="13" spans="1:63" s="62" customFormat="1" ht="15" customHeight="1" x14ac:dyDescent="0.25">
      <c r="B13" s="67"/>
      <c r="AI13" s="66"/>
      <c r="BJ13" s="66"/>
      <c r="BK13" s="61"/>
    </row>
    <row r="14" spans="1:63" s="62" customFormat="1" ht="15" customHeight="1" x14ac:dyDescent="0.25">
      <c r="B14" s="67"/>
      <c r="AI14" s="66"/>
      <c r="BJ14" s="66"/>
      <c r="BK14" s="61"/>
    </row>
    <row r="15" spans="1:63" s="62" customFormat="1" ht="15" customHeight="1" x14ac:dyDescent="0.25">
      <c r="B15" s="67"/>
      <c r="AI15" s="66"/>
      <c r="BJ15" s="66"/>
      <c r="BK15" s="61"/>
    </row>
    <row r="16" spans="1:63" s="62" customFormat="1" ht="15" customHeight="1" x14ac:dyDescent="0.25">
      <c r="B16" s="67"/>
      <c r="AI16" s="66"/>
      <c r="BJ16" s="66"/>
      <c r="BK16" s="61"/>
    </row>
    <row r="17" spans="2:63" s="62" customFormat="1" ht="15" customHeight="1" x14ac:dyDescent="0.25">
      <c r="B17" s="67"/>
      <c r="AI17" s="66"/>
      <c r="BJ17" s="66"/>
      <c r="BK17" s="61"/>
    </row>
    <row r="18" spans="2:63" s="62" customFormat="1" ht="15" customHeight="1" x14ac:dyDescent="0.25">
      <c r="B18" s="67"/>
      <c r="AI18" s="66"/>
      <c r="BJ18" s="66"/>
      <c r="BK18" s="61"/>
    </row>
    <row r="19" spans="2:63" s="62" customFormat="1" ht="15" customHeight="1" x14ac:dyDescent="0.25">
      <c r="B19" s="67"/>
      <c r="AI19" s="66"/>
      <c r="BJ19" s="66"/>
      <c r="BK19" s="61"/>
    </row>
    <row r="20" spans="2:63" s="62" customFormat="1" ht="15" customHeight="1" x14ac:dyDescent="0.25">
      <c r="B20" s="67"/>
      <c r="AI20" s="66"/>
      <c r="BJ20" s="66"/>
      <c r="BK20" s="61"/>
    </row>
    <row r="21" spans="2:63" s="62" customFormat="1" ht="15" customHeight="1" x14ac:dyDescent="0.25">
      <c r="B21" s="67"/>
      <c r="AI21" s="66"/>
      <c r="AJ21" s="33"/>
      <c r="BJ21" s="66"/>
      <c r="BK21" s="61"/>
    </row>
    <row r="22" spans="2:63" s="62" customFormat="1" ht="15" customHeight="1" x14ac:dyDescent="0.25">
      <c r="B22" s="67"/>
      <c r="AI22" s="66"/>
      <c r="BJ22" s="66"/>
      <c r="BK22" s="61"/>
    </row>
    <row r="23" spans="2:63" s="62" customFormat="1" ht="15" customHeight="1" x14ac:dyDescent="0.25">
      <c r="B23" s="67"/>
      <c r="AI23" s="66"/>
      <c r="BJ23" s="66"/>
      <c r="BK23" s="61"/>
    </row>
    <row r="24" spans="2:63" s="62" customFormat="1" ht="15" customHeight="1" x14ac:dyDescent="0.25">
      <c r="B24" s="67"/>
      <c r="AI24" s="66"/>
      <c r="BJ24" s="66"/>
      <c r="BK24" s="61"/>
    </row>
    <row r="25" spans="2:63" s="62" customFormat="1" ht="15" customHeight="1" x14ac:dyDescent="0.25">
      <c r="B25" s="67"/>
      <c r="AI25" s="66"/>
      <c r="BJ25" s="66"/>
      <c r="BK25" s="61"/>
    </row>
    <row r="26" spans="2:63" s="62" customFormat="1" ht="15" customHeight="1" x14ac:dyDescent="0.25">
      <c r="B26" s="67"/>
      <c r="AI26" s="66"/>
      <c r="BJ26" s="66"/>
      <c r="BK26" s="61"/>
    </row>
    <row r="27" spans="2:63" s="62" customFormat="1" ht="15" customHeight="1" x14ac:dyDescent="0.25">
      <c r="B27" s="67"/>
      <c r="AI27" s="66"/>
      <c r="BJ27" s="66"/>
      <c r="BK27" s="61"/>
    </row>
    <row r="28" spans="2:63" s="62" customFormat="1" ht="15" customHeight="1" x14ac:dyDescent="0.25">
      <c r="B28" s="67"/>
      <c r="AI28" s="66"/>
      <c r="BJ28" s="66"/>
      <c r="BK28" s="61"/>
    </row>
    <row r="29" spans="2:63" s="62" customFormat="1" ht="15" customHeight="1" x14ac:dyDescent="0.25">
      <c r="B29" s="67"/>
      <c r="AI29" s="66"/>
      <c r="BJ29" s="66"/>
      <c r="BK29" s="61"/>
    </row>
    <row r="30" spans="2:63" s="62" customFormat="1" ht="15" customHeight="1" x14ac:dyDescent="0.25">
      <c r="B30" s="67"/>
      <c r="AI30" s="66"/>
      <c r="BJ30" s="66"/>
      <c r="BK30" s="61"/>
    </row>
    <row r="31" spans="2:63" s="62" customFormat="1" ht="15" customHeight="1" x14ac:dyDescent="0.25">
      <c r="B31" s="67"/>
      <c r="AI31" s="66"/>
      <c r="BJ31" s="66"/>
      <c r="BK31" s="61"/>
    </row>
    <row r="32" spans="2:63" s="62" customFormat="1" ht="15" customHeight="1" x14ac:dyDescent="0.25">
      <c r="B32" s="67"/>
      <c r="AI32" s="66"/>
      <c r="BJ32" s="66"/>
      <c r="BK32" s="61"/>
    </row>
    <row r="33" spans="2:63" s="62" customFormat="1" ht="15" customHeight="1" x14ac:dyDescent="0.25">
      <c r="B33" s="67"/>
      <c r="AI33" s="66"/>
      <c r="BJ33" s="66"/>
      <c r="BK33" s="61"/>
    </row>
    <row r="34" spans="2:63" s="62" customFormat="1" ht="15" customHeight="1" x14ac:dyDescent="0.25">
      <c r="B34" s="67"/>
      <c r="AI34" s="66"/>
      <c r="BJ34" s="66"/>
      <c r="BK34" s="61"/>
    </row>
    <row r="35" spans="2:63" s="62" customFormat="1" ht="15" customHeight="1" x14ac:dyDescent="0.25">
      <c r="B35" s="67"/>
      <c r="AI35" s="66"/>
      <c r="BJ35" s="66"/>
      <c r="BK35" s="61"/>
    </row>
    <row r="36" spans="2:63" s="62" customFormat="1" ht="15" customHeight="1" x14ac:dyDescent="0.25">
      <c r="B36" s="67"/>
      <c r="AI36" s="66"/>
      <c r="BJ36" s="66"/>
      <c r="BK36" s="61"/>
    </row>
    <row r="37" spans="2:63" s="62" customFormat="1" ht="15" customHeight="1" x14ac:dyDescent="0.25">
      <c r="B37" s="67"/>
      <c r="AI37" s="66"/>
      <c r="BJ37" s="66"/>
      <c r="BK37" s="61"/>
    </row>
    <row r="38" spans="2:63" s="62" customFormat="1" ht="15" customHeight="1" x14ac:dyDescent="0.25">
      <c r="B38" s="67"/>
      <c r="AI38" s="66"/>
      <c r="BJ38" s="66"/>
      <c r="BK38" s="61"/>
    </row>
    <row r="39" spans="2:63" s="62" customFormat="1" ht="15" customHeight="1" x14ac:dyDescent="0.25">
      <c r="B39" s="67"/>
      <c r="AI39" s="66"/>
      <c r="BJ39" s="66"/>
      <c r="BK39" s="61"/>
    </row>
    <row r="40" spans="2:63" s="62" customFormat="1" ht="15" customHeight="1" x14ac:dyDescent="0.25">
      <c r="B40" s="67"/>
      <c r="AI40" s="66"/>
      <c r="BJ40" s="66"/>
      <c r="BK40" s="61"/>
    </row>
    <row r="41" spans="2:63" s="62" customFormat="1" ht="15" customHeight="1" x14ac:dyDescent="0.25">
      <c r="B41" s="67"/>
      <c r="AI41" s="66"/>
      <c r="BJ41" s="66"/>
      <c r="BK41" s="61"/>
    </row>
    <row r="42" spans="2:63" s="62" customFormat="1" ht="15" customHeight="1" x14ac:dyDescent="0.25">
      <c r="B42" s="67"/>
      <c r="AI42" s="66"/>
      <c r="BJ42" s="66"/>
      <c r="BK42" s="61"/>
    </row>
    <row r="43" spans="2:63" s="62" customFormat="1" ht="15" customHeight="1" x14ac:dyDescent="0.25">
      <c r="B43" s="67"/>
      <c r="AI43" s="66"/>
      <c r="BJ43" s="66"/>
      <c r="BK43" s="61"/>
    </row>
    <row r="44" spans="2:63" s="62" customFormat="1" ht="15" customHeight="1" x14ac:dyDescent="0.25">
      <c r="B44" s="67"/>
      <c r="AI44" s="66"/>
      <c r="BJ44" s="66"/>
      <c r="BK44" s="61"/>
    </row>
    <row r="45" spans="2:63" s="62" customFormat="1" ht="15" customHeight="1" x14ac:dyDescent="0.25">
      <c r="B45" s="67"/>
      <c r="AI45" s="66"/>
      <c r="BJ45" s="66"/>
      <c r="BK45" s="61"/>
    </row>
    <row r="46" spans="2:63" s="62" customFormat="1" ht="15" customHeight="1" x14ac:dyDescent="0.25">
      <c r="B46" s="67"/>
      <c r="AI46" s="66"/>
      <c r="BJ46" s="66"/>
      <c r="BK46" s="61"/>
    </row>
    <row r="47" spans="2:63" s="62" customFormat="1" ht="15" customHeight="1" x14ac:dyDescent="0.25">
      <c r="B47" s="67"/>
      <c r="AI47" s="66"/>
      <c r="BJ47" s="66"/>
      <c r="BK47" s="61"/>
    </row>
    <row r="48" spans="2:63" s="62" customFormat="1" ht="15" customHeight="1" x14ac:dyDescent="0.25">
      <c r="B48" s="67"/>
      <c r="AI48" s="66"/>
      <c r="BJ48" s="66"/>
      <c r="BK48" s="61"/>
    </row>
    <row r="49" spans="2:63" s="62" customFormat="1" ht="15" customHeight="1" x14ac:dyDescent="0.25">
      <c r="B49" s="67"/>
      <c r="AI49" s="66"/>
      <c r="BJ49" s="66"/>
      <c r="BK49" s="61"/>
    </row>
    <row r="50" spans="2:63" s="62" customFormat="1" ht="15" customHeight="1" x14ac:dyDescent="0.25">
      <c r="B50" s="67"/>
      <c r="AI50" s="66"/>
      <c r="BJ50" s="66"/>
      <c r="BK50" s="61"/>
    </row>
    <row r="51" spans="2:63" s="62" customFormat="1" ht="15" customHeight="1" x14ac:dyDescent="0.25">
      <c r="B51" s="67"/>
      <c r="AI51" s="66"/>
      <c r="BJ51" s="66"/>
      <c r="BK51" s="61"/>
    </row>
    <row r="52" spans="2:63" s="62" customFormat="1" ht="15" customHeight="1" x14ac:dyDescent="0.25">
      <c r="B52" s="67"/>
      <c r="AI52" s="66"/>
      <c r="BJ52" s="66"/>
      <c r="BK52" s="61"/>
    </row>
    <row r="53" spans="2:63" s="62" customFormat="1" ht="15" customHeight="1" x14ac:dyDescent="0.25">
      <c r="B53" s="67"/>
      <c r="AI53" s="66"/>
      <c r="BJ53" s="66"/>
      <c r="BK53" s="61"/>
    </row>
    <row r="54" spans="2:63" ht="15" customHeight="1" x14ac:dyDescent="0.25">
      <c r="B54" s="9"/>
      <c r="AI54" s="10"/>
      <c r="BJ54" s="10"/>
      <c r="BK54" s="5"/>
    </row>
    <row r="55" spans="2:63" ht="15" customHeight="1" x14ac:dyDescent="0.25">
      <c r="B55" s="9"/>
      <c r="AI55" s="10"/>
      <c r="BJ55" s="10"/>
      <c r="BK55" s="5"/>
    </row>
    <row r="56" spans="2:63" ht="15" customHeight="1" x14ac:dyDescent="0.25">
      <c r="B56" s="9"/>
      <c r="AI56" s="10"/>
      <c r="BJ56" s="10"/>
      <c r="BK56" s="5"/>
    </row>
    <row r="57" spans="2:63" ht="15" customHeight="1" x14ac:dyDescent="0.25">
      <c r="B57" s="9"/>
      <c r="AI57" s="10"/>
      <c r="BJ57" s="10"/>
      <c r="BK57" s="5"/>
    </row>
    <row r="58" spans="2:63" ht="15" customHeight="1" x14ac:dyDescent="0.25">
      <c r="B58" s="9"/>
      <c r="AI58" s="10"/>
      <c r="BJ58" s="10"/>
      <c r="BK58" s="5"/>
    </row>
    <row r="59" spans="2:63" ht="15" customHeight="1" x14ac:dyDescent="0.25">
      <c r="B59" s="9"/>
      <c r="AI59" s="10"/>
      <c r="BJ59" s="10"/>
      <c r="BK59" s="5"/>
    </row>
    <row r="60" spans="2:63" s="62" customFormat="1" ht="15" customHeight="1" x14ac:dyDescent="0.25">
      <c r="B60" s="67"/>
      <c r="AI60" s="66"/>
      <c r="BJ60" s="66"/>
      <c r="BK60" s="61"/>
    </row>
    <row r="61" spans="2:63" s="62" customFormat="1" ht="15" customHeight="1" x14ac:dyDescent="0.25">
      <c r="B61" s="67"/>
      <c r="AI61" s="66"/>
      <c r="BJ61" s="66"/>
      <c r="BK61" s="61"/>
    </row>
    <row r="62" spans="2:63" s="62" customFormat="1" ht="15" customHeight="1" x14ac:dyDescent="0.25">
      <c r="B62" s="67"/>
      <c r="AI62" s="66"/>
      <c r="BJ62" s="66"/>
      <c r="BK62" s="61"/>
    </row>
    <row r="63" spans="2:63" s="62" customFormat="1" ht="15" customHeight="1" x14ac:dyDescent="0.25">
      <c r="B63" s="67"/>
      <c r="AI63" s="66"/>
      <c r="BJ63" s="66"/>
      <c r="BK63" s="61"/>
    </row>
    <row r="64" spans="2:63" s="62" customFormat="1" ht="15" customHeight="1" x14ac:dyDescent="0.25">
      <c r="B64" s="67"/>
      <c r="AI64" s="66"/>
      <c r="BJ64" s="66"/>
      <c r="BK64" s="61"/>
    </row>
    <row r="65" spans="2:63" s="62" customFormat="1" ht="15" customHeight="1" x14ac:dyDescent="0.25">
      <c r="B65" s="67"/>
      <c r="AI65" s="66"/>
      <c r="BJ65" s="66"/>
      <c r="BK65" s="61"/>
    </row>
    <row r="66" spans="2:63" s="62" customFormat="1" ht="15" customHeight="1" x14ac:dyDescent="0.25">
      <c r="B66" s="67"/>
      <c r="AI66" s="66"/>
      <c r="BJ66" s="66"/>
      <c r="BK66" s="61"/>
    </row>
    <row r="67" spans="2:63" s="62" customFormat="1" ht="15" customHeight="1" x14ac:dyDescent="0.25">
      <c r="B67" s="67"/>
      <c r="AI67" s="66"/>
      <c r="BJ67" s="66"/>
      <c r="BK67" s="61"/>
    </row>
    <row r="68" spans="2:63" s="62" customFormat="1" ht="15" customHeight="1" x14ac:dyDescent="0.25">
      <c r="B68" s="67"/>
      <c r="AI68" s="66"/>
      <c r="BJ68" s="66"/>
      <c r="BK68" s="61"/>
    </row>
    <row r="69" spans="2:63" s="62" customFormat="1" ht="15" customHeight="1" x14ac:dyDescent="0.25">
      <c r="B69" s="67"/>
      <c r="AI69" s="66"/>
      <c r="BJ69" s="66"/>
      <c r="BK69" s="61"/>
    </row>
    <row r="70" spans="2:63" s="62" customFormat="1" ht="15" customHeight="1" x14ac:dyDescent="0.25">
      <c r="B70" s="67"/>
      <c r="J70" s="33"/>
      <c r="AI70" s="66"/>
      <c r="BJ70" s="66"/>
      <c r="BK70" s="61"/>
    </row>
    <row r="71" spans="2:63" s="62" customFormat="1" ht="15" customHeight="1" x14ac:dyDescent="0.25">
      <c r="B71" s="67"/>
      <c r="AI71" s="66"/>
      <c r="BJ71" s="66"/>
      <c r="BK71" s="61"/>
    </row>
    <row r="72" spans="2:63" s="62" customFormat="1" ht="15" customHeight="1" x14ac:dyDescent="0.25">
      <c r="B72" s="67"/>
      <c r="AI72" s="66"/>
      <c r="BJ72" s="66"/>
      <c r="BK72" s="61"/>
    </row>
    <row r="73" spans="2:63" s="62" customFormat="1" ht="15" customHeight="1" x14ac:dyDescent="0.25">
      <c r="B73" s="67"/>
      <c r="AI73" s="66"/>
      <c r="BJ73" s="66"/>
      <c r="BK73" s="61"/>
    </row>
    <row r="74" spans="2:63" s="62" customFormat="1" ht="15" customHeight="1" x14ac:dyDescent="0.25">
      <c r="B74" s="67"/>
      <c r="AI74" s="66"/>
      <c r="BJ74" s="66"/>
      <c r="BK74" s="61"/>
    </row>
    <row r="75" spans="2:63" s="62" customFormat="1" ht="15" customHeight="1" x14ac:dyDescent="0.25">
      <c r="B75" s="67"/>
      <c r="AI75" s="66"/>
      <c r="BJ75" s="66"/>
      <c r="BK75" s="61"/>
    </row>
    <row r="76" spans="2:63" s="62" customFormat="1" ht="15" customHeight="1" x14ac:dyDescent="0.25">
      <c r="B76" s="67"/>
      <c r="AB76" s="62" t="s">
        <v>48</v>
      </c>
      <c r="AI76" s="66"/>
      <c r="BJ76" s="66"/>
      <c r="BK76" s="61"/>
    </row>
    <row r="77" spans="2:63" s="62" customFormat="1" ht="15" customHeight="1" x14ac:dyDescent="0.25">
      <c r="B77" s="67"/>
      <c r="AI77" s="66"/>
      <c r="BJ77" s="66"/>
      <c r="BK77" s="61"/>
    </row>
    <row r="78" spans="2:63" s="62" customFormat="1" ht="15" customHeight="1" x14ac:dyDescent="0.25">
      <c r="B78" s="67"/>
      <c r="AI78" s="66"/>
      <c r="BJ78" s="66"/>
      <c r="BK78" s="61"/>
    </row>
    <row r="79" spans="2:63" s="62" customFormat="1" ht="15" customHeight="1" x14ac:dyDescent="0.25">
      <c r="B79" s="67"/>
      <c r="AI79" s="66"/>
      <c r="BJ79" s="66"/>
      <c r="BK79" s="61"/>
    </row>
    <row r="80" spans="2:63" s="62" customFormat="1" ht="15" customHeight="1" x14ac:dyDescent="0.25">
      <c r="B80" s="67"/>
      <c r="AI80" s="66"/>
      <c r="BJ80" s="66"/>
      <c r="BK80" s="61"/>
    </row>
    <row r="81" spans="2:63" s="62" customFormat="1" ht="15" customHeight="1" x14ac:dyDescent="0.25">
      <c r="B81" s="67"/>
      <c r="AI81" s="66"/>
      <c r="BJ81" s="66"/>
      <c r="BK81" s="61"/>
    </row>
    <row r="82" spans="2:63" s="62" customFormat="1" ht="15" customHeight="1" x14ac:dyDescent="0.25">
      <c r="B82" s="67"/>
      <c r="AI82" s="66"/>
      <c r="BJ82" s="66"/>
      <c r="BK82" s="61"/>
    </row>
    <row r="83" spans="2:63" ht="15" customHeight="1" x14ac:dyDescent="0.25">
      <c r="B83" s="9"/>
      <c r="AI83" s="10"/>
      <c r="BJ83" s="10"/>
      <c r="BK83" s="5"/>
    </row>
    <row r="84" spans="2:63" ht="15" customHeight="1" x14ac:dyDescent="0.25">
      <c r="B84" s="9"/>
      <c r="AI84" s="10"/>
      <c r="BJ84" s="10"/>
      <c r="BK84" s="5"/>
    </row>
    <row r="85" spans="2:63" ht="15" customHeight="1" x14ac:dyDescent="0.25">
      <c r="B85" s="9"/>
      <c r="AI85" s="10"/>
      <c r="BJ85" s="10"/>
      <c r="BK85" s="5"/>
    </row>
    <row r="86" spans="2:63" ht="15" customHeight="1" x14ac:dyDescent="0.25">
      <c r="B86" s="9"/>
      <c r="AI86" s="10"/>
      <c r="BJ86" s="10"/>
      <c r="BK86" s="5"/>
    </row>
    <row r="87" spans="2:63" ht="15" customHeight="1" x14ac:dyDescent="0.25">
      <c r="B87" s="9"/>
      <c r="AI87" s="10"/>
      <c r="BJ87" s="10"/>
      <c r="BK87" s="5"/>
    </row>
    <row r="88" spans="2:63" ht="15" customHeight="1" x14ac:dyDescent="0.25">
      <c r="B88" s="9"/>
      <c r="AI88" s="10"/>
      <c r="BJ88" s="10"/>
      <c r="BK88" s="5"/>
    </row>
    <row r="89" spans="2:63" ht="15" customHeight="1" x14ac:dyDescent="0.25">
      <c r="B89" s="9"/>
      <c r="AI89" s="10"/>
      <c r="BJ89" s="10"/>
      <c r="BK89" s="5"/>
    </row>
    <row r="90" spans="2:63" ht="15" customHeight="1" x14ac:dyDescent="0.25">
      <c r="B90" s="9"/>
      <c r="AI90" s="10"/>
      <c r="BJ90" s="10"/>
      <c r="BK90" s="5"/>
    </row>
    <row r="91" spans="2:63" ht="15" customHeight="1" x14ac:dyDescent="0.25">
      <c r="B91" s="9"/>
      <c r="AI91" s="10"/>
      <c r="BJ91" s="10"/>
      <c r="BK91" s="5"/>
    </row>
    <row r="92" spans="2:63" ht="15" customHeight="1" x14ac:dyDescent="0.25">
      <c r="B92" s="9"/>
      <c r="AI92" s="10"/>
      <c r="BJ92" s="10"/>
      <c r="BK92" s="5"/>
    </row>
    <row r="93" spans="2:63" ht="15" customHeight="1" x14ac:dyDescent="0.25">
      <c r="B93" s="9"/>
      <c r="AI93" s="10"/>
      <c r="BJ93" s="10"/>
      <c r="BK93" s="5"/>
    </row>
    <row r="94" spans="2:63" ht="15" customHeight="1" x14ac:dyDescent="0.25">
      <c r="B94" s="9"/>
      <c r="AI94" s="10"/>
      <c r="BJ94" s="10"/>
      <c r="BK94" s="5"/>
    </row>
    <row r="95" spans="2:63" ht="15" customHeight="1" x14ac:dyDescent="0.25">
      <c r="B95" s="9"/>
      <c r="AI95" s="10"/>
      <c r="BJ95" s="10"/>
      <c r="BK95" s="5"/>
    </row>
    <row r="96" spans="2:63" ht="15" customHeight="1" x14ac:dyDescent="0.25">
      <c r="B96" s="9"/>
      <c r="AI96" s="10"/>
      <c r="BJ96" s="10"/>
      <c r="BK96" s="5"/>
    </row>
    <row r="97" spans="2:63" ht="15" customHeight="1" x14ac:dyDescent="0.25">
      <c r="B97" s="9"/>
      <c r="AI97" s="10"/>
      <c r="BJ97" s="10"/>
      <c r="BK97" s="5"/>
    </row>
    <row r="98" spans="2:63" ht="15" customHeight="1" x14ac:dyDescent="0.25">
      <c r="B98" s="9"/>
      <c r="AI98" s="10"/>
      <c r="BJ98" s="10"/>
      <c r="BK98" s="5"/>
    </row>
    <row r="99" spans="2:63" ht="15" customHeight="1" x14ac:dyDescent="0.25">
      <c r="B99" s="9"/>
      <c r="AI99" s="10"/>
      <c r="BJ99" s="10"/>
      <c r="BK99" s="5"/>
    </row>
    <row r="100" spans="2:63" ht="15" customHeight="1" x14ac:dyDescent="0.25">
      <c r="B100" s="9"/>
      <c r="AI100" s="10"/>
      <c r="BJ100" s="10"/>
      <c r="BK100" s="5"/>
    </row>
    <row r="101" spans="2:63" ht="15" customHeight="1" x14ac:dyDescent="0.25">
      <c r="B101" s="9"/>
      <c r="AI101" s="10"/>
      <c r="BJ101" s="10"/>
      <c r="BK101" s="5"/>
    </row>
    <row r="102" spans="2:63" ht="15" customHeight="1" x14ac:dyDescent="0.25">
      <c r="B102" s="9"/>
      <c r="AI102" s="10"/>
      <c r="BJ102" s="10"/>
      <c r="BK102" s="5"/>
    </row>
    <row r="103" spans="2:63" ht="15" customHeight="1" x14ac:dyDescent="0.25">
      <c r="B103" s="9"/>
      <c r="AI103" s="10"/>
      <c r="BJ103" s="10"/>
      <c r="BK103" s="5"/>
    </row>
    <row r="104" spans="2:63" ht="15" customHeight="1" x14ac:dyDescent="0.25">
      <c r="B104" s="9"/>
      <c r="AI104" s="10"/>
      <c r="BJ104" s="10"/>
      <c r="BK104" s="5"/>
    </row>
    <row r="105" spans="2:63" ht="15" customHeight="1" x14ac:dyDescent="0.25">
      <c r="B105" s="9"/>
      <c r="AI105" s="10"/>
      <c r="BJ105" s="10"/>
      <c r="BK105" s="5"/>
    </row>
    <row r="106" spans="2:63" ht="15" customHeight="1" x14ac:dyDescent="0.25">
      <c r="B106" s="9"/>
      <c r="AI106" s="10"/>
      <c r="BJ106" s="10"/>
      <c r="BK106" s="5"/>
    </row>
    <row r="107" spans="2:63" ht="15" customHeight="1" x14ac:dyDescent="0.25">
      <c r="B107" s="9"/>
      <c r="AI107" s="10"/>
      <c r="BJ107" s="10"/>
      <c r="BK107" s="5"/>
    </row>
    <row r="108" spans="2:63" ht="15" customHeight="1" x14ac:dyDescent="0.25">
      <c r="B108" s="9"/>
      <c r="AI108" s="10"/>
      <c r="BJ108" s="10"/>
      <c r="BK108" s="5"/>
    </row>
    <row r="109" spans="2:63" ht="15" customHeight="1" x14ac:dyDescent="0.25">
      <c r="B109" s="9"/>
      <c r="AI109" s="10"/>
      <c r="BJ109" s="10"/>
      <c r="BK109" s="5"/>
    </row>
    <row r="110" spans="2:63" ht="15" customHeight="1" x14ac:dyDescent="0.25">
      <c r="B110" s="9"/>
      <c r="AI110" s="10"/>
      <c r="BJ110" s="10"/>
      <c r="BK110" s="5"/>
    </row>
    <row r="111" spans="2:63" ht="15" customHeight="1" x14ac:dyDescent="0.25">
      <c r="B111" s="9"/>
      <c r="AI111" s="10"/>
      <c r="BJ111" s="10"/>
      <c r="BK111" s="5"/>
    </row>
    <row r="112" spans="2:63" ht="15" customHeight="1" x14ac:dyDescent="0.25">
      <c r="B112" s="9"/>
      <c r="AI112" s="10"/>
      <c r="BJ112" s="10"/>
      <c r="BK112" s="5"/>
    </row>
    <row r="113" spans="2:63" ht="15" customHeight="1" x14ac:dyDescent="0.25">
      <c r="B113" s="9"/>
      <c r="AI113" s="10"/>
      <c r="BJ113" s="10"/>
      <c r="BK113" s="5"/>
    </row>
    <row r="114" spans="2:63" ht="15" customHeight="1" x14ac:dyDescent="0.25">
      <c r="B114" s="9"/>
      <c r="AI114" s="10"/>
      <c r="BJ114" s="10"/>
      <c r="BK114" s="5"/>
    </row>
    <row r="115" spans="2:63" ht="15" customHeight="1" x14ac:dyDescent="0.25">
      <c r="B115" s="9"/>
      <c r="AI115" s="10"/>
      <c r="BJ115" s="10"/>
      <c r="BK115" s="5"/>
    </row>
    <row r="116" spans="2:63" ht="15" customHeight="1" x14ac:dyDescent="0.25">
      <c r="B116" s="9"/>
      <c r="AI116" s="10"/>
      <c r="BJ116" s="10"/>
      <c r="BK116" s="5"/>
    </row>
    <row r="117" spans="2:63" ht="15" customHeight="1" x14ac:dyDescent="0.25">
      <c r="B117" s="9"/>
      <c r="AI117" s="10"/>
      <c r="BJ117" s="10"/>
      <c r="BK117" s="5"/>
    </row>
    <row r="118" spans="2:63" ht="15" customHeight="1" x14ac:dyDescent="0.25">
      <c r="B118" s="9"/>
      <c r="AI118" s="10"/>
      <c r="BJ118" s="10"/>
      <c r="BK118" s="5"/>
    </row>
    <row r="119" spans="2:63" ht="15" customHeight="1" x14ac:dyDescent="0.25">
      <c r="B119" s="9"/>
      <c r="AI119" s="10"/>
      <c r="BJ119" s="10"/>
      <c r="BK119" s="5"/>
    </row>
    <row r="120" spans="2:63" ht="15" customHeight="1" x14ac:dyDescent="0.25">
      <c r="B120" s="9"/>
      <c r="AI120" s="10"/>
      <c r="BJ120" s="10"/>
      <c r="BK120" s="5"/>
    </row>
    <row r="121" spans="2:63" ht="15" customHeight="1" x14ac:dyDescent="0.25">
      <c r="B121" s="9"/>
      <c r="AI121" s="10"/>
      <c r="BJ121" s="10"/>
      <c r="BK121" s="5"/>
    </row>
    <row r="122" spans="2:63" ht="15" customHeight="1" x14ac:dyDescent="0.25">
      <c r="B122" s="9"/>
      <c r="AI122" s="10"/>
      <c r="BJ122" s="10"/>
      <c r="BK122" s="5"/>
    </row>
    <row r="123" spans="2:63" ht="15" customHeight="1" x14ac:dyDescent="0.25">
      <c r="B123" s="9"/>
      <c r="AI123" s="10"/>
      <c r="BJ123" s="10"/>
      <c r="BK123" s="5"/>
    </row>
    <row r="124" spans="2:63" ht="15" customHeight="1" x14ac:dyDescent="0.25">
      <c r="B124" s="9"/>
      <c r="AI124" s="10"/>
      <c r="BJ124" s="10"/>
      <c r="BK124" s="5"/>
    </row>
    <row r="125" spans="2:63" ht="15" customHeight="1" x14ac:dyDescent="0.25">
      <c r="B125" s="9"/>
      <c r="AI125" s="10"/>
      <c r="BJ125" s="10"/>
      <c r="BK125" s="5"/>
    </row>
    <row r="126" spans="2:63" ht="15" customHeight="1" x14ac:dyDescent="0.25">
      <c r="B126" s="9"/>
      <c r="AI126" s="10"/>
      <c r="BJ126" s="10"/>
      <c r="BK126" s="5"/>
    </row>
    <row r="127" spans="2:63" ht="15" customHeight="1" x14ac:dyDescent="0.25">
      <c r="B127" s="9"/>
      <c r="AI127" s="10"/>
      <c r="BJ127" s="10"/>
      <c r="BK127" s="5"/>
    </row>
    <row r="128" spans="2:63" ht="15" customHeight="1" x14ac:dyDescent="0.25">
      <c r="B128" s="9"/>
      <c r="AI128" s="10"/>
      <c r="BJ128" s="10"/>
      <c r="BK128" s="5"/>
    </row>
    <row r="129" spans="2:63" ht="15" customHeight="1" x14ac:dyDescent="0.25">
      <c r="B129" s="9"/>
      <c r="AI129" s="10"/>
      <c r="BJ129" s="10"/>
      <c r="BK129" s="5"/>
    </row>
    <row r="130" spans="2:63" ht="15" customHeight="1" x14ac:dyDescent="0.25">
      <c r="B130" s="9"/>
      <c r="AI130" s="10"/>
      <c r="BJ130" s="10"/>
      <c r="BK130" s="5"/>
    </row>
    <row r="131" spans="2:63" ht="15" customHeight="1" x14ac:dyDescent="0.25">
      <c r="B131" s="9"/>
      <c r="AI131" s="10"/>
      <c r="BJ131" s="10"/>
      <c r="BK131" s="5"/>
    </row>
    <row r="132" spans="2:63" ht="15" customHeight="1" x14ac:dyDescent="0.25">
      <c r="B132" s="9"/>
      <c r="AI132" s="10"/>
      <c r="BJ132" s="10"/>
      <c r="BK132" s="5"/>
    </row>
    <row r="133" spans="2:63" ht="15" customHeight="1" x14ac:dyDescent="0.25">
      <c r="B133" s="9"/>
      <c r="AI133" s="10"/>
      <c r="BJ133" s="10"/>
      <c r="BK133" s="5"/>
    </row>
    <row r="134" spans="2:63" ht="15" customHeight="1" x14ac:dyDescent="0.25">
      <c r="B134" s="9"/>
      <c r="AI134" s="10"/>
      <c r="BJ134" s="10"/>
      <c r="BK134" s="5"/>
    </row>
    <row r="135" spans="2:63" ht="15" customHeight="1" x14ac:dyDescent="0.25">
      <c r="B135" s="9"/>
      <c r="AI135" s="10"/>
      <c r="BJ135" s="10"/>
      <c r="BK135" s="5"/>
    </row>
    <row r="136" spans="2:63" ht="15" customHeight="1" x14ac:dyDescent="0.25">
      <c r="B136" s="9"/>
      <c r="AI136" s="10"/>
      <c r="BJ136" s="10"/>
      <c r="BK136" s="5"/>
    </row>
    <row r="137" spans="2:63" ht="15" customHeight="1" x14ac:dyDescent="0.25">
      <c r="B137" s="9"/>
      <c r="AI137" s="10"/>
      <c r="BJ137" s="10"/>
      <c r="BK137" s="5"/>
    </row>
    <row r="138" spans="2:63" ht="15" customHeight="1" x14ac:dyDescent="0.25">
      <c r="B138" s="9"/>
      <c r="AI138" s="10"/>
      <c r="BJ138" s="10"/>
      <c r="BK138" s="5"/>
    </row>
    <row r="139" spans="2:63" ht="15" customHeight="1" x14ac:dyDescent="0.25">
      <c r="B139" s="9"/>
      <c r="AI139" s="10"/>
      <c r="BJ139" s="10"/>
      <c r="BK139" s="5"/>
    </row>
    <row r="140" spans="2:63" ht="15" customHeight="1" x14ac:dyDescent="0.25">
      <c r="B140" s="9"/>
      <c r="AI140" s="10"/>
      <c r="BJ140" s="10"/>
      <c r="BK140" s="5"/>
    </row>
    <row r="141" spans="2:63" ht="15" customHeight="1" x14ac:dyDescent="0.25">
      <c r="B141" s="9"/>
      <c r="AI141" s="10"/>
      <c r="BJ141" s="10"/>
      <c r="BK141" s="5"/>
    </row>
    <row r="142" spans="2:63" ht="15" customHeight="1" x14ac:dyDescent="0.25">
      <c r="B142" s="9"/>
      <c r="AI142" s="10"/>
      <c r="BJ142" s="10"/>
      <c r="BK142" s="5"/>
    </row>
    <row r="143" spans="2:63" ht="15" customHeight="1" x14ac:dyDescent="0.25">
      <c r="B143" s="9"/>
      <c r="AI143" s="10"/>
      <c r="BJ143" s="10"/>
      <c r="BK143" s="5"/>
    </row>
    <row r="144" spans="2:63" ht="15" customHeight="1" x14ac:dyDescent="0.25">
      <c r="B144" s="9"/>
      <c r="AI144" s="10"/>
      <c r="BJ144" s="10"/>
      <c r="BK144" s="5"/>
    </row>
    <row r="145" spans="2:63" ht="15" customHeight="1" x14ac:dyDescent="0.25">
      <c r="B145" s="9"/>
      <c r="AI145" s="10"/>
      <c r="BJ145" s="10"/>
      <c r="BK145" s="5"/>
    </row>
    <row r="146" spans="2:63" ht="15" customHeight="1" x14ac:dyDescent="0.25">
      <c r="B146" s="9"/>
      <c r="AI146" s="10"/>
      <c r="BJ146" s="10"/>
      <c r="BK146" s="5"/>
    </row>
    <row r="147" spans="2:63" ht="15" customHeight="1" x14ac:dyDescent="0.25">
      <c r="B147" s="9"/>
      <c r="AI147" s="10"/>
      <c r="BJ147" s="10"/>
      <c r="BK147" s="5"/>
    </row>
    <row r="148" spans="2:63" ht="15" customHeight="1" x14ac:dyDescent="0.25">
      <c r="B148" s="9"/>
      <c r="AI148" s="10"/>
      <c r="BJ148" s="10"/>
      <c r="BK148" s="5"/>
    </row>
    <row r="149" spans="2:63" ht="15" customHeight="1" x14ac:dyDescent="0.25">
      <c r="B149" s="9"/>
      <c r="AI149" s="10"/>
      <c r="BJ149" s="10"/>
      <c r="BK149" s="5"/>
    </row>
    <row r="150" spans="2:63" ht="15" customHeight="1" x14ac:dyDescent="0.25">
      <c r="B150" s="9"/>
      <c r="AI150" s="10"/>
      <c r="BJ150" s="10"/>
      <c r="BK150" s="5"/>
    </row>
    <row r="151" spans="2:63" ht="15" customHeight="1" x14ac:dyDescent="0.25">
      <c r="B151" s="9"/>
      <c r="AI151" s="10"/>
      <c r="BJ151" s="10"/>
      <c r="BK151" s="5"/>
    </row>
    <row r="152" spans="2:63" ht="15" customHeight="1" x14ac:dyDescent="0.25">
      <c r="B152" s="9"/>
      <c r="AI152" s="10"/>
      <c r="BJ152" s="10"/>
      <c r="BK152" s="5"/>
    </row>
    <row r="153" spans="2:63" ht="15" customHeight="1" x14ac:dyDescent="0.25">
      <c r="B153" s="9"/>
      <c r="AI153" s="10"/>
      <c r="BJ153" s="10"/>
      <c r="BK153" s="5"/>
    </row>
    <row r="154" spans="2:63" ht="15" customHeight="1" x14ac:dyDescent="0.25">
      <c r="B154" s="9"/>
      <c r="AI154" s="10"/>
      <c r="BJ154" s="10"/>
      <c r="BK154" s="5"/>
    </row>
    <row r="155" spans="2:63" ht="15" customHeight="1" x14ac:dyDescent="0.25">
      <c r="B155" s="9"/>
      <c r="AI155" s="10"/>
      <c r="BJ155" s="10"/>
      <c r="BK155" s="5"/>
    </row>
    <row r="156" spans="2:63" ht="15" customHeight="1" x14ac:dyDescent="0.25">
      <c r="B156" s="9"/>
      <c r="AI156" s="10"/>
      <c r="BJ156" s="10"/>
      <c r="BK156" s="5"/>
    </row>
    <row r="157" spans="2:63" ht="15" customHeight="1" x14ac:dyDescent="0.25">
      <c r="B157" s="9"/>
      <c r="AI157" s="10"/>
      <c r="BJ157" s="10"/>
      <c r="BK157" s="5"/>
    </row>
    <row r="158" spans="2:63" ht="15" customHeight="1" x14ac:dyDescent="0.25">
      <c r="B158" s="9"/>
      <c r="AI158" s="10"/>
      <c r="BJ158" s="10"/>
      <c r="BK158" s="5"/>
    </row>
    <row r="159" spans="2:63" ht="15" customHeight="1" x14ac:dyDescent="0.25">
      <c r="B159" s="9"/>
      <c r="AI159" s="10"/>
      <c r="BJ159" s="10"/>
      <c r="BK159" s="5"/>
    </row>
    <row r="160" spans="2:63" ht="15" customHeight="1" x14ac:dyDescent="0.25">
      <c r="B160" s="9"/>
      <c r="AI160" s="10"/>
      <c r="BJ160" s="10"/>
      <c r="BK160" s="5"/>
    </row>
    <row r="161" spans="2:63" ht="15" customHeight="1" x14ac:dyDescent="0.25">
      <c r="B161" s="9"/>
      <c r="AI161" s="10"/>
      <c r="BJ161" s="10"/>
      <c r="BK161" s="5"/>
    </row>
    <row r="162" spans="2:63" ht="15" customHeight="1" x14ac:dyDescent="0.25">
      <c r="B162" s="9"/>
      <c r="AI162" s="10"/>
      <c r="BJ162" s="10"/>
      <c r="BK162" s="5"/>
    </row>
    <row r="163" spans="2:63" ht="15" customHeight="1" x14ac:dyDescent="0.25">
      <c r="B163" s="9"/>
      <c r="AI163" s="10"/>
      <c r="BJ163" s="10"/>
      <c r="BK163" s="5"/>
    </row>
    <row r="164" spans="2:63" ht="15" customHeight="1" x14ac:dyDescent="0.25">
      <c r="B164" s="9"/>
      <c r="AI164" s="10"/>
      <c r="BJ164" s="10"/>
      <c r="BK164" s="5"/>
    </row>
    <row r="165" spans="2:63" ht="15" customHeight="1" x14ac:dyDescent="0.25">
      <c r="B165" s="9"/>
      <c r="AI165" s="10"/>
      <c r="BJ165" s="10"/>
      <c r="BK165" s="5"/>
    </row>
    <row r="166" spans="2:63" ht="15" customHeight="1" x14ac:dyDescent="0.25">
      <c r="B166" s="9"/>
      <c r="AI166" s="10"/>
      <c r="BJ166" s="10"/>
      <c r="BK166" s="5"/>
    </row>
    <row r="167" spans="2:63" ht="15" customHeight="1" x14ac:dyDescent="0.25">
      <c r="B167" s="9"/>
      <c r="AI167" s="10"/>
      <c r="BJ167" s="10"/>
      <c r="BK167" s="5"/>
    </row>
    <row r="168" spans="2:63" ht="15" customHeight="1" x14ac:dyDescent="0.25">
      <c r="B168" s="9"/>
      <c r="AI168" s="10"/>
      <c r="BJ168" s="10"/>
      <c r="BK168" s="5"/>
    </row>
    <row r="169" spans="2:63" ht="15" customHeight="1" x14ac:dyDescent="0.25">
      <c r="B169" s="9"/>
      <c r="AI169" s="10"/>
      <c r="BJ169" s="10"/>
      <c r="BK169" s="5"/>
    </row>
    <row r="170" spans="2:63" ht="15" customHeight="1" x14ac:dyDescent="0.25">
      <c r="B170" s="9"/>
      <c r="AI170" s="10"/>
      <c r="BJ170" s="10"/>
      <c r="BK170" s="5"/>
    </row>
    <row r="171" spans="2:63" ht="15" customHeight="1" x14ac:dyDescent="0.25">
      <c r="B171" s="9"/>
      <c r="AI171" s="10"/>
      <c r="BJ171" s="10"/>
      <c r="BK171" s="5"/>
    </row>
    <row r="172" spans="2:63" ht="15" customHeight="1" x14ac:dyDescent="0.25">
      <c r="B172" s="9"/>
      <c r="AI172" s="10"/>
      <c r="BJ172" s="10"/>
      <c r="BK172" s="5"/>
    </row>
    <row r="173" spans="2:63" ht="15" customHeight="1" x14ac:dyDescent="0.25">
      <c r="B173" s="9"/>
      <c r="AI173" s="10"/>
      <c r="BJ173" s="10"/>
      <c r="BK173" s="5"/>
    </row>
    <row r="174" spans="2:63" ht="15" customHeight="1" x14ac:dyDescent="0.25">
      <c r="B174" s="9"/>
      <c r="AI174" s="10"/>
      <c r="BJ174" s="10"/>
      <c r="BK174" s="5"/>
    </row>
    <row r="175" spans="2:63" ht="15" customHeight="1" x14ac:dyDescent="0.25">
      <c r="B175" s="9"/>
      <c r="AI175" s="10"/>
      <c r="BJ175" s="10"/>
      <c r="BK175" s="5"/>
    </row>
    <row r="176" spans="2:63" ht="15" customHeight="1" x14ac:dyDescent="0.25">
      <c r="B176" s="9"/>
      <c r="AI176" s="10"/>
      <c r="BJ176" s="10"/>
      <c r="BK176" s="5"/>
    </row>
    <row r="177" spans="2:63" ht="15" customHeight="1" x14ac:dyDescent="0.25">
      <c r="B177" s="9"/>
      <c r="AI177" s="10"/>
      <c r="BJ177" s="10"/>
      <c r="BK177" s="5"/>
    </row>
    <row r="178" spans="2:63" ht="15" customHeight="1" x14ac:dyDescent="0.25">
      <c r="B178" s="9"/>
      <c r="AI178" s="10"/>
      <c r="BJ178" s="10"/>
      <c r="BK178" s="5"/>
    </row>
    <row r="179" spans="2:63" ht="15" customHeight="1" x14ac:dyDescent="0.25">
      <c r="B179" s="9"/>
      <c r="AI179" s="10"/>
      <c r="BJ179" s="10"/>
      <c r="BK179" s="5"/>
    </row>
    <row r="180" spans="2:63" ht="15" customHeight="1" x14ac:dyDescent="0.25">
      <c r="B180" s="9"/>
      <c r="AI180" s="10"/>
      <c r="BJ180" s="10"/>
      <c r="BK180" s="5"/>
    </row>
    <row r="181" spans="2:63" ht="15" customHeight="1" x14ac:dyDescent="0.25">
      <c r="B181" s="9"/>
      <c r="AI181" s="10"/>
      <c r="BJ181" s="10"/>
      <c r="BK181" s="5"/>
    </row>
    <row r="182" spans="2:63" ht="15" customHeight="1" x14ac:dyDescent="0.25">
      <c r="B182" s="9"/>
      <c r="AI182" s="10"/>
      <c r="BJ182" s="10"/>
      <c r="BK182" s="5"/>
    </row>
    <row r="183" spans="2:63" ht="15" customHeight="1" x14ac:dyDescent="0.25">
      <c r="B183" s="9"/>
      <c r="AI183" s="10"/>
      <c r="BJ183" s="10"/>
      <c r="BK183" s="5"/>
    </row>
    <row r="184" spans="2:63" ht="15" customHeight="1" x14ac:dyDescent="0.25">
      <c r="B184" s="9"/>
      <c r="AI184" s="10"/>
      <c r="BJ184" s="10"/>
      <c r="BK184" s="5"/>
    </row>
    <row r="185" spans="2:63" ht="15" customHeight="1" x14ac:dyDescent="0.25">
      <c r="B185" s="9"/>
      <c r="AI185" s="10"/>
      <c r="BJ185" s="10"/>
      <c r="BK185" s="5"/>
    </row>
    <row r="186" spans="2:63" ht="15" customHeight="1" x14ac:dyDescent="0.25">
      <c r="B186" s="9"/>
      <c r="AI186" s="10"/>
      <c r="BJ186" s="10"/>
      <c r="BK186" s="5"/>
    </row>
    <row r="187" spans="2:63" ht="15" customHeight="1" x14ac:dyDescent="0.25">
      <c r="B187" s="9"/>
      <c r="AI187" s="10"/>
      <c r="BJ187" s="10"/>
      <c r="BK187" s="5"/>
    </row>
    <row r="188" spans="2:63" ht="15" customHeight="1" x14ac:dyDescent="0.25">
      <c r="B188" s="9"/>
      <c r="AI188" s="10"/>
      <c r="BJ188" s="10"/>
      <c r="BK188" s="5"/>
    </row>
    <row r="189" spans="2:63" ht="15" customHeight="1" x14ac:dyDescent="0.25">
      <c r="B189" s="9"/>
      <c r="AI189" s="10"/>
      <c r="BJ189" s="10"/>
      <c r="BK189" s="5"/>
    </row>
    <row r="190" spans="2:63" ht="15" customHeight="1" x14ac:dyDescent="0.25">
      <c r="B190" s="9"/>
      <c r="AI190" s="10"/>
      <c r="BJ190" s="10"/>
      <c r="BK190" s="5"/>
    </row>
    <row r="191" spans="2:63" ht="15" customHeight="1" x14ac:dyDescent="0.25">
      <c r="B191" s="9"/>
      <c r="AI191" s="10"/>
      <c r="BJ191" s="10"/>
      <c r="BK191" s="5"/>
    </row>
    <row r="192" spans="2:63" ht="15" customHeight="1" x14ac:dyDescent="0.25">
      <c r="B192" s="9"/>
      <c r="AI192" s="10"/>
      <c r="BJ192" s="10"/>
      <c r="BK192" s="5"/>
    </row>
    <row r="193" spans="2:63" ht="15" customHeight="1" x14ac:dyDescent="0.25">
      <c r="B193" s="9"/>
      <c r="AI193" s="10"/>
      <c r="BJ193" s="10"/>
      <c r="BK193" s="5"/>
    </row>
    <row r="194" spans="2:63" ht="15" customHeight="1" x14ac:dyDescent="0.25">
      <c r="B194" s="9"/>
      <c r="AI194" s="10"/>
      <c r="BJ194" s="10"/>
      <c r="BK194" s="5"/>
    </row>
    <row r="195" spans="2:63" ht="15" customHeight="1" x14ac:dyDescent="0.25">
      <c r="B195" s="9"/>
      <c r="AI195" s="10"/>
      <c r="BJ195" s="10"/>
      <c r="BK195" s="5"/>
    </row>
    <row r="196" spans="2:63" ht="15" customHeight="1" x14ac:dyDescent="0.25">
      <c r="B196" s="9"/>
      <c r="AI196" s="10"/>
      <c r="BJ196" s="10"/>
      <c r="BK196" s="5"/>
    </row>
    <row r="197" spans="2:63" ht="15" customHeight="1" x14ac:dyDescent="0.25">
      <c r="B197" s="9"/>
      <c r="AI197" s="10"/>
      <c r="BJ197" s="10"/>
      <c r="BK197" s="5"/>
    </row>
    <row r="198" spans="2:63" ht="15" customHeight="1" x14ac:dyDescent="0.25">
      <c r="B198" s="9"/>
      <c r="AI198" s="10"/>
      <c r="BJ198" s="10"/>
      <c r="BK198" s="5"/>
    </row>
    <row r="199" spans="2:63" ht="15" customHeight="1" x14ac:dyDescent="0.25">
      <c r="B199" s="9"/>
      <c r="AI199" s="10"/>
      <c r="BJ199" s="10"/>
      <c r="BK199" s="5"/>
    </row>
    <row r="200" spans="2:63" ht="15" customHeight="1" x14ac:dyDescent="0.25">
      <c r="B200" s="9"/>
      <c r="AI200" s="10"/>
      <c r="BJ200" s="10"/>
      <c r="BK200" s="5"/>
    </row>
    <row r="201" spans="2:63" ht="15" customHeight="1" x14ac:dyDescent="0.25">
      <c r="B201" s="9"/>
      <c r="AI201" s="10"/>
      <c r="BJ201" s="10"/>
      <c r="BK201" s="5"/>
    </row>
    <row r="202" spans="2:63" ht="15" customHeight="1" x14ac:dyDescent="0.25">
      <c r="B202" s="9"/>
      <c r="AI202" s="10"/>
      <c r="BJ202" s="10"/>
      <c r="BK202" s="5"/>
    </row>
    <row r="203" spans="2:63" ht="15" customHeight="1" x14ac:dyDescent="0.25">
      <c r="B203" s="9"/>
      <c r="AI203" s="10"/>
      <c r="BJ203" s="10"/>
      <c r="BK203" s="5"/>
    </row>
    <row r="204" spans="2:63" ht="15" customHeight="1" x14ac:dyDescent="0.25">
      <c r="B204" s="9"/>
      <c r="AI204" s="10"/>
      <c r="BJ204" s="10"/>
      <c r="BK204" s="5"/>
    </row>
    <row r="205" spans="2:63" ht="15" customHeight="1" x14ac:dyDescent="0.25">
      <c r="B205" s="9"/>
      <c r="AI205" s="10"/>
      <c r="BJ205" s="10"/>
      <c r="BK205" s="5"/>
    </row>
    <row r="206" spans="2:63" ht="15" customHeight="1" x14ac:dyDescent="0.25">
      <c r="B206" s="9"/>
      <c r="AI206" s="10"/>
      <c r="BJ206" s="10"/>
      <c r="BK206" s="5"/>
    </row>
    <row r="207" spans="2:63" ht="15" customHeight="1" x14ac:dyDescent="0.25">
      <c r="B207" s="9"/>
      <c r="AI207" s="10"/>
      <c r="BJ207" s="10"/>
      <c r="BK207" s="5"/>
    </row>
    <row r="208" spans="2:63" ht="15" customHeight="1" x14ac:dyDescent="0.25">
      <c r="B208" s="9"/>
      <c r="AI208" s="10"/>
      <c r="BJ208" s="10"/>
      <c r="BK208" s="5"/>
    </row>
    <row r="209" spans="2:63" ht="15" customHeight="1" x14ac:dyDescent="0.25">
      <c r="B209" s="9"/>
      <c r="AI209" s="10"/>
      <c r="BJ209" s="10"/>
      <c r="BK209" s="5"/>
    </row>
    <row r="210" spans="2:63" ht="15" customHeight="1" x14ac:dyDescent="0.25">
      <c r="B210" s="9"/>
      <c r="AI210" s="10"/>
      <c r="BJ210" s="10"/>
      <c r="BK210" s="5"/>
    </row>
    <row r="211" spans="2:63" ht="15" customHeight="1" x14ac:dyDescent="0.25">
      <c r="B211" s="9"/>
      <c r="AI211" s="10"/>
      <c r="BJ211" s="10"/>
      <c r="BK211" s="5"/>
    </row>
    <row r="212" spans="2:63" ht="15" customHeight="1" x14ac:dyDescent="0.25">
      <c r="B212" s="9"/>
      <c r="AI212" s="10"/>
      <c r="BJ212" s="10"/>
      <c r="BK212" s="5"/>
    </row>
    <row r="213" spans="2:63" ht="15" customHeight="1" x14ac:dyDescent="0.25">
      <c r="B213" s="9"/>
      <c r="AI213" s="10"/>
      <c r="BJ213" s="10"/>
      <c r="BK213" s="5"/>
    </row>
    <row r="214" spans="2:63" ht="15" customHeight="1" x14ac:dyDescent="0.25">
      <c r="B214" s="9"/>
      <c r="AI214" s="10"/>
      <c r="BJ214" s="10"/>
      <c r="BK214" s="5"/>
    </row>
    <row r="215" spans="2:63" ht="15" customHeight="1" x14ac:dyDescent="0.25">
      <c r="B215" s="9"/>
      <c r="AI215" s="10"/>
      <c r="BJ215" s="10"/>
      <c r="BK215" s="5"/>
    </row>
    <row r="216" spans="2:63" ht="15" customHeight="1" x14ac:dyDescent="0.25">
      <c r="B216" s="9"/>
      <c r="AI216" s="10"/>
      <c r="BJ216" s="10"/>
      <c r="BK216" s="5"/>
    </row>
    <row r="217" spans="2:63" ht="15" customHeight="1" x14ac:dyDescent="0.25">
      <c r="B217" s="9"/>
      <c r="AI217" s="10"/>
      <c r="BJ217" s="10"/>
      <c r="BK217" s="5"/>
    </row>
    <row r="218" spans="2:63" ht="15" customHeight="1" x14ac:dyDescent="0.25">
      <c r="B218" s="9"/>
      <c r="AI218" s="10"/>
      <c r="BJ218" s="10"/>
      <c r="BK218" s="5"/>
    </row>
    <row r="219" spans="2:63" ht="15" customHeight="1" x14ac:dyDescent="0.25">
      <c r="B219" s="9"/>
      <c r="AI219" s="10"/>
      <c r="BJ219" s="10"/>
      <c r="BK219" s="5"/>
    </row>
    <row r="220" spans="2:63" ht="15" customHeight="1" x14ac:dyDescent="0.25">
      <c r="B220" s="9"/>
      <c r="AI220" s="10"/>
      <c r="BJ220" s="10"/>
      <c r="BK220" s="5"/>
    </row>
    <row r="221" spans="2:63" ht="15" customHeight="1" x14ac:dyDescent="0.25">
      <c r="B221" s="9"/>
      <c r="AI221" s="10"/>
      <c r="BJ221" s="10"/>
      <c r="BK221" s="5"/>
    </row>
    <row r="222" spans="2:63" ht="15" customHeight="1" x14ac:dyDescent="0.25">
      <c r="B222" s="9"/>
      <c r="AI222" s="10"/>
      <c r="BJ222" s="10"/>
      <c r="BK222" s="5"/>
    </row>
    <row r="223" spans="2:63" ht="15" customHeight="1" x14ac:dyDescent="0.25">
      <c r="B223" s="9"/>
      <c r="AI223" s="10"/>
      <c r="BJ223" s="10"/>
      <c r="BK223" s="5"/>
    </row>
    <row r="224" spans="2:63" ht="15" customHeight="1" x14ac:dyDescent="0.25">
      <c r="B224" s="9"/>
      <c r="AI224" s="10"/>
      <c r="BJ224" s="10"/>
      <c r="BK224" s="5"/>
    </row>
    <row r="225" spans="2:63" ht="15" customHeight="1" x14ac:dyDescent="0.25">
      <c r="B225" s="9"/>
      <c r="AI225" s="10"/>
      <c r="BJ225" s="10"/>
      <c r="BK225" s="5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67" t="s">
        <v>105</v>
      </c>
      <c r="B1" s="168"/>
      <c r="C1" s="168"/>
      <c r="D1" s="168"/>
      <c r="E1" s="168"/>
      <c r="F1" s="168"/>
      <c r="G1" s="168"/>
      <c r="H1" s="168"/>
      <c r="I1" s="168"/>
      <c r="J1" s="169"/>
      <c r="K1" s="167" t="s">
        <v>106</v>
      </c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9"/>
      <c r="W1" s="170" t="s">
        <v>103</v>
      </c>
      <c r="X1" s="171"/>
      <c r="Y1" s="171"/>
      <c r="Z1" s="171"/>
      <c r="AA1" s="171"/>
      <c r="AB1" s="171"/>
      <c r="AC1" s="171"/>
      <c r="AD1" s="171"/>
      <c r="AE1" s="171"/>
      <c r="AF1" s="171"/>
      <c r="AG1" s="171"/>
      <c r="AH1" s="171"/>
      <c r="AI1" s="171"/>
      <c r="AJ1" s="171"/>
      <c r="AK1" s="171"/>
      <c r="AL1" s="171"/>
      <c r="AM1" s="171"/>
      <c r="AN1" s="171"/>
      <c r="AO1" s="172"/>
      <c r="AP1" s="83" t="s">
        <v>107</v>
      </c>
      <c r="AQ1" s="84"/>
      <c r="AR1" s="84"/>
      <c r="AS1" s="85"/>
      <c r="AT1" s="83" t="s">
        <v>108</v>
      </c>
      <c r="AU1" s="84"/>
      <c r="AV1" s="84"/>
      <c r="AW1" s="84"/>
      <c r="AX1" s="85"/>
      <c r="AY1" s="83" t="s">
        <v>109</v>
      </c>
      <c r="AZ1" s="84"/>
      <c r="BA1" s="84"/>
      <c r="BB1" s="85"/>
      <c r="BC1" s="83" t="s">
        <v>110</v>
      </c>
      <c r="BD1" s="84"/>
      <c r="BE1" s="84"/>
      <c r="BF1" s="84"/>
      <c r="BG1" s="85"/>
      <c r="BH1" s="83" t="s">
        <v>111</v>
      </c>
      <c r="BI1" s="84"/>
      <c r="BJ1" s="84"/>
      <c r="BK1" s="85"/>
    </row>
    <row r="2" spans="1:63" ht="15" customHeight="1" x14ac:dyDescent="0.25">
      <c r="A2" s="161" t="s">
        <v>102</v>
      </c>
      <c r="B2" s="162"/>
      <c r="C2" s="162"/>
      <c r="D2" s="162"/>
      <c r="E2" s="162"/>
      <c r="F2" s="162"/>
      <c r="G2" s="162"/>
      <c r="H2" s="162"/>
      <c r="I2" s="162"/>
      <c r="J2" s="163"/>
      <c r="K2" s="161" t="s">
        <v>102</v>
      </c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3"/>
      <c r="W2" s="173"/>
      <c r="X2" s="174"/>
      <c r="Y2" s="174"/>
      <c r="Z2" s="174"/>
      <c r="AA2" s="174"/>
      <c r="AB2" s="174"/>
      <c r="AC2" s="174"/>
      <c r="AD2" s="174"/>
      <c r="AE2" s="174"/>
      <c r="AF2" s="174"/>
      <c r="AG2" s="174"/>
      <c r="AH2" s="174"/>
      <c r="AI2" s="174"/>
      <c r="AJ2" s="174"/>
      <c r="AK2" s="174"/>
      <c r="AL2" s="174"/>
      <c r="AM2" s="174"/>
      <c r="AN2" s="174"/>
      <c r="AO2" s="175"/>
      <c r="AP2" s="68" t="s">
        <v>100</v>
      </c>
      <c r="AQ2" s="69"/>
      <c r="AR2" s="69"/>
      <c r="AS2" s="70"/>
      <c r="AT2" s="98">
        <v>45492</v>
      </c>
      <c r="AU2" s="99"/>
      <c r="AV2" s="99"/>
      <c r="AW2" s="99"/>
      <c r="AX2" s="100"/>
      <c r="AY2" s="68" t="s">
        <v>100</v>
      </c>
      <c r="AZ2" s="69"/>
      <c r="BA2" s="69"/>
      <c r="BB2" s="70"/>
      <c r="BC2" s="98">
        <v>45811</v>
      </c>
      <c r="BD2" s="99"/>
      <c r="BE2" s="99"/>
      <c r="BF2" s="99"/>
      <c r="BG2" s="100"/>
      <c r="BH2" s="68">
        <v>0.55000000000000004</v>
      </c>
      <c r="BI2" s="69"/>
      <c r="BJ2" s="69"/>
      <c r="BK2" s="70"/>
    </row>
    <row r="3" spans="1:63" ht="15" customHeight="1" x14ac:dyDescent="0.25">
      <c r="A3" s="164"/>
      <c r="B3" s="165"/>
      <c r="C3" s="165"/>
      <c r="D3" s="165"/>
      <c r="E3" s="165"/>
      <c r="F3" s="165"/>
      <c r="G3" s="165"/>
      <c r="H3" s="165"/>
      <c r="I3" s="165"/>
      <c r="J3" s="166"/>
      <c r="K3" s="164"/>
      <c r="L3" s="165"/>
      <c r="M3" s="165"/>
      <c r="N3" s="165"/>
      <c r="O3" s="165"/>
      <c r="P3" s="165"/>
      <c r="Q3" s="165"/>
      <c r="R3" s="165"/>
      <c r="S3" s="165"/>
      <c r="T3" s="165"/>
      <c r="U3" s="165"/>
      <c r="V3" s="166"/>
      <c r="W3" s="176"/>
      <c r="X3" s="177"/>
      <c r="Y3" s="177"/>
      <c r="Z3" s="177"/>
      <c r="AA3" s="177"/>
      <c r="AB3" s="177"/>
      <c r="AC3" s="177"/>
      <c r="AD3" s="177"/>
      <c r="AE3" s="177"/>
      <c r="AF3" s="177"/>
      <c r="AG3" s="177"/>
      <c r="AH3" s="177"/>
      <c r="AI3" s="177"/>
      <c r="AJ3" s="177"/>
      <c r="AK3" s="177"/>
      <c r="AL3" s="177"/>
      <c r="AM3" s="177"/>
      <c r="AN3" s="177"/>
      <c r="AO3" s="178"/>
      <c r="AP3" s="74"/>
      <c r="AQ3" s="75"/>
      <c r="AR3" s="75"/>
      <c r="AS3" s="76"/>
      <c r="AT3" s="101"/>
      <c r="AU3" s="102"/>
      <c r="AV3" s="102"/>
      <c r="AW3" s="102"/>
      <c r="AX3" s="103"/>
      <c r="AY3" s="74"/>
      <c r="AZ3" s="75"/>
      <c r="BA3" s="75"/>
      <c r="BB3" s="76"/>
      <c r="BC3" s="101"/>
      <c r="BD3" s="102"/>
      <c r="BE3" s="102"/>
      <c r="BF3" s="102"/>
      <c r="BG3" s="103"/>
      <c r="BH3" s="74"/>
      <c r="BI3" s="75"/>
      <c r="BJ3" s="75"/>
      <c r="BK3" s="76"/>
    </row>
    <row r="4" spans="1:63" ht="24.95" customHeight="1" x14ac:dyDescent="0.25">
      <c r="A4" s="167" t="s">
        <v>112</v>
      </c>
      <c r="B4" s="168"/>
      <c r="C4" s="168"/>
      <c r="D4" s="168"/>
      <c r="E4" s="168"/>
      <c r="F4" s="168"/>
      <c r="G4" s="169"/>
      <c r="H4" s="179" t="s">
        <v>101</v>
      </c>
      <c r="I4" s="180"/>
      <c r="J4" s="180"/>
      <c r="K4" s="180"/>
      <c r="L4" s="180"/>
      <c r="M4" s="180"/>
      <c r="N4" s="180"/>
      <c r="O4" s="180"/>
      <c r="P4" s="180"/>
      <c r="Q4" s="180"/>
      <c r="R4" s="180"/>
      <c r="S4" s="180"/>
      <c r="T4" s="181"/>
      <c r="U4" s="167" t="s">
        <v>113</v>
      </c>
      <c r="V4" s="168"/>
      <c r="W4" s="168"/>
      <c r="X4" s="168"/>
      <c r="Y4" s="169"/>
      <c r="Z4" s="179" t="s">
        <v>104</v>
      </c>
      <c r="AA4" s="180"/>
      <c r="AB4" s="180"/>
      <c r="AC4" s="180"/>
      <c r="AD4" s="180"/>
      <c r="AE4" s="180"/>
      <c r="AF4" s="180"/>
      <c r="AG4" s="180"/>
      <c r="AH4" s="180"/>
      <c r="AI4" s="180"/>
      <c r="AJ4" s="180"/>
      <c r="AK4" s="180"/>
      <c r="AL4" s="180"/>
      <c r="AM4" s="180"/>
      <c r="AN4" s="180"/>
      <c r="AO4" s="181"/>
      <c r="AP4" s="182" t="str">
        <f ca="1">MID(CELL("filename",A1),FIND("]",CELL("filename",A1))+1,255)</f>
        <v>テンプレート</v>
      </c>
      <c r="AQ4" s="180"/>
      <c r="AR4" s="180"/>
      <c r="AS4" s="180"/>
      <c r="AT4" s="180"/>
      <c r="AU4" s="180"/>
      <c r="AV4" s="180"/>
      <c r="AW4" s="180"/>
      <c r="AX4" s="180"/>
      <c r="AY4" s="180"/>
      <c r="AZ4" s="180"/>
      <c r="BA4" s="180"/>
      <c r="BB4" s="180"/>
      <c r="BC4" s="180"/>
      <c r="BD4" s="180"/>
      <c r="BE4" s="180"/>
      <c r="BF4" s="180"/>
      <c r="BG4" s="180"/>
      <c r="BH4" s="180"/>
      <c r="BI4" s="180"/>
      <c r="BJ4" s="180"/>
      <c r="BK4" s="181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62" customFormat="1" ht="15" customHeight="1" x14ac:dyDescent="0.25">
      <c r="BK7" s="61"/>
    </row>
    <row r="8" spans="1:63" s="62" customFormat="1" ht="15" customHeight="1" x14ac:dyDescent="0.25">
      <c r="BK8" s="61"/>
    </row>
    <row r="9" spans="1:63" s="62" customFormat="1" ht="15" customHeight="1" x14ac:dyDescent="0.25">
      <c r="BK9" s="61"/>
    </row>
    <row r="10" spans="1:63" s="62" customFormat="1" ht="15" customHeight="1" x14ac:dyDescent="0.25">
      <c r="BK10" s="61"/>
    </row>
    <row r="11" spans="1:63" s="62" customFormat="1" ht="15" customHeight="1" x14ac:dyDescent="0.25">
      <c r="BK11" s="61"/>
    </row>
    <row r="12" spans="1:63" s="62" customFormat="1" ht="15" customHeight="1" x14ac:dyDescent="0.25">
      <c r="BK12" s="61"/>
    </row>
    <row r="13" spans="1:63" s="62" customFormat="1" ht="15" customHeight="1" x14ac:dyDescent="0.25">
      <c r="BK13" s="61"/>
    </row>
    <row r="14" spans="1:63" s="62" customFormat="1" ht="15" customHeight="1" x14ac:dyDescent="0.25">
      <c r="BK14" s="61"/>
    </row>
    <row r="15" spans="1:63" s="62" customFormat="1" ht="15" customHeight="1" x14ac:dyDescent="0.25">
      <c r="BK15" s="61"/>
    </row>
    <row r="16" spans="1:63" s="62" customFormat="1" ht="15" customHeight="1" x14ac:dyDescent="0.25">
      <c r="BK16" s="61"/>
    </row>
    <row r="17" spans="63:63" s="62" customFormat="1" ht="15" customHeight="1" x14ac:dyDescent="0.25">
      <c r="BK17" s="61"/>
    </row>
    <row r="18" spans="63:63" s="62" customFormat="1" ht="15" customHeight="1" x14ac:dyDescent="0.25">
      <c r="BK18" s="61"/>
    </row>
    <row r="19" spans="63:63" s="62" customFormat="1" ht="15" customHeight="1" x14ac:dyDescent="0.25">
      <c r="BK19" s="61"/>
    </row>
    <row r="20" spans="63:63" s="62" customFormat="1" ht="15" customHeight="1" x14ac:dyDescent="0.25">
      <c r="BK20" s="61"/>
    </row>
    <row r="21" spans="63:63" s="62" customFormat="1" ht="15" customHeight="1" x14ac:dyDescent="0.25">
      <c r="BK21" s="61"/>
    </row>
    <row r="22" spans="63:63" s="62" customFormat="1" ht="15" customHeight="1" x14ac:dyDescent="0.25">
      <c r="BK22" s="61"/>
    </row>
    <row r="23" spans="63:63" s="62" customFormat="1" ht="15" customHeight="1" x14ac:dyDescent="0.25">
      <c r="BK23" s="61"/>
    </row>
    <row r="24" spans="63:63" s="62" customFormat="1" ht="15" customHeight="1" x14ac:dyDescent="0.25">
      <c r="BK24" s="61"/>
    </row>
    <row r="25" spans="63:63" s="62" customFormat="1" ht="15" customHeight="1" x14ac:dyDescent="0.25">
      <c r="BK25" s="61"/>
    </row>
    <row r="26" spans="63:63" s="62" customFormat="1" ht="15" customHeight="1" x14ac:dyDescent="0.25">
      <c r="BK26" s="61"/>
    </row>
    <row r="27" spans="63:63" s="62" customFormat="1" ht="15" customHeight="1" x14ac:dyDescent="0.25">
      <c r="BK27" s="61"/>
    </row>
    <row r="28" spans="63:63" s="62" customFormat="1" ht="15" customHeight="1" x14ac:dyDescent="0.25">
      <c r="BK28" s="61"/>
    </row>
    <row r="29" spans="63:63" s="62" customFormat="1" ht="15" customHeight="1" x14ac:dyDescent="0.25">
      <c r="BK29" s="61"/>
    </row>
    <row r="30" spans="63:63" s="62" customFormat="1" ht="15" customHeight="1" x14ac:dyDescent="0.25">
      <c r="BK30" s="61"/>
    </row>
    <row r="31" spans="63:63" s="62" customFormat="1" ht="15" customHeight="1" x14ac:dyDescent="0.25">
      <c r="BK31" s="61"/>
    </row>
    <row r="32" spans="63:63" s="62" customFormat="1" ht="15" customHeight="1" x14ac:dyDescent="0.25">
      <c r="BK32" s="61"/>
    </row>
    <row r="33" spans="63:63" s="62" customFormat="1" ht="15" customHeight="1" x14ac:dyDescent="0.25">
      <c r="BK33" s="61"/>
    </row>
    <row r="34" spans="63:63" s="62" customFormat="1" ht="15" customHeight="1" x14ac:dyDescent="0.25">
      <c r="BK34" s="61"/>
    </row>
    <row r="35" spans="63:63" s="62" customFormat="1" ht="15" customHeight="1" x14ac:dyDescent="0.25">
      <c r="BK35" s="61"/>
    </row>
    <row r="36" spans="63:63" s="62" customFormat="1" ht="15" customHeight="1" x14ac:dyDescent="0.25">
      <c r="BK36" s="61"/>
    </row>
    <row r="37" spans="63:63" s="62" customFormat="1" ht="15" customHeight="1" x14ac:dyDescent="0.25">
      <c r="BK37" s="61"/>
    </row>
    <row r="38" spans="63:63" s="62" customFormat="1" ht="15" customHeight="1" x14ac:dyDescent="0.25">
      <c r="BK38" s="61"/>
    </row>
    <row r="39" spans="63:63" s="62" customFormat="1" ht="15" customHeight="1" x14ac:dyDescent="0.25">
      <c r="BK39" s="61"/>
    </row>
    <row r="40" spans="63:63" s="62" customFormat="1" ht="15" customHeight="1" x14ac:dyDescent="0.25">
      <c r="BK40" s="61"/>
    </row>
    <row r="41" spans="63:63" s="62" customFormat="1" ht="15" customHeight="1" x14ac:dyDescent="0.25">
      <c r="BK41" s="61"/>
    </row>
    <row r="42" spans="63:63" s="62" customFormat="1" ht="15" customHeight="1" x14ac:dyDescent="0.25">
      <c r="BK42" s="61"/>
    </row>
    <row r="43" spans="63:63" s="62" customFormat="1" ht="15" customHeight="1" x14ac:dyDescent="0.25">
      <c r="BK43" s="61"/>
    </row>
    <row r="44" spans="63:63" s="62" customFormat="1" ht="15" customHeight="1" x14ac:dyDescent="0.25">
      <c r="BK44" s="61"/>
    </row>
    <row r="45" spans="63:63" s="62" customFormat="1" ht="15" customHeight="1" x14ac:dyDescent="0.25">
      <c r="BK45" s="61"/>
    </row>
    <row r="46" spans="63:63" s="62" customFormat="1" ht="15" customHeight="1" x14ac:dyDescent="0.25">
      <c r="BK46" s="61"/>
    </row>
    <row r="47" spans="63:63" ht="15" customHeight="1" x14ac:dyDescent="0.25">
      <c r="BK47" s="5"/>
    </row>
    <row r="48" spans="63:63" ht="15" customHeight="1" x14ac:dyDescent="0.25">
      <c r="BK48" s="5"/>
    </row>
    <row r="49" spans="1:63" ht="15" customHeight="1" x14ac:dyDescent="0.25">
      <c r="BK49" s="5"/>
    </row>
    <row r="50" spans="1:63" ht="15" customHeight="1" x14ac:dyDescent="0.25">
      <c r="BK50" s="5"/>
    </row>
    <row r="51" spans="1:63" ht="15" customHeight="1" x14ac:dyDescent="0.25">
      <c r="BK51" s="5"/>
    </row>
    <row r="52" spans="1:63" ht="15" customHeight="1" x14ac:dyDescent="0.25">
      <c r="BK52" s="5"/>
    </row>
    <row r="53" spans="1:63" ht="15" customHeight="1" x14ac:dyDescent="0.25">
      <c r="BK53" s="5"/>
    </row>
    <row r="54" spans="1:63" ht="1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4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‎表紙</vt:lpstr>
      <vt:lpstr>改訂履歴</vt:lpstr>
      <vt:lpstr>処理フロー凡例</vt:lpstr>
      <vt:lpstr>AP7105</vt:lpstr>
      <vt:lpstr>処理フロー</vt:lpstr>
      <vt:lpstr>テンプレート</vt:lpstr>
      <vt:lpstr>テンプレート!Print_Area</vt:lpstr>
      <vt:lpstr>処理フロー!Print_Area</vt:lpstr>
      <vt:lpstr>処理フロー凡例!Print_Area</vt:lpstr>
      <vt:lpstr>改訂履歴!Print_Area</vt:lpstr>
      <vt:lpstr>改訂履歴!Print_Titles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2025-06-16T07:01:24Z</dcterms:modified>
  <cp:category/>
  <cp:contentStatus/>
</cp:coreProperties>
</file>