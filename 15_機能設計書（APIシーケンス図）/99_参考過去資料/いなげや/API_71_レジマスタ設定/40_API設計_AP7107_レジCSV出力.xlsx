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Pos system\40_API設計\いなげや\API_71_レジマスタ設定\"/>
    </mc:Choice>
  </mc:AlternateContent>
  <xr:revisionPtr revIDLastSave="0" documentId="13_ncr:1_{5A097148-A01F-4820-BEF1-32ECC9770FB4}"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処理フロー凡例" sheetId="10" r:id="rId3"/>
    <sheet name="AP7107" sheetId="8" r:id="rId4"/>
    <sheet name="処理フロー" sheetId="9" r:id="rId5"/>
    <sheet name="テンプレート" sheetId="7" r:id="rId6"/>
  </sheets>
  <definedNames>
    <definedName name="_xlnm.Print_Area" localSheetId="3">'AP7107'!$A$1:$BK$55</definedName>
    <definedName name="_xlnm.Print_Area" localSheetId="5">テンプレート!$A$1:$BK$54</definedName>
    <definedName name="_xlnm.Print_Area" localSheetId="4">処理フロー!$A$1:$BK$68</definedName>
    <definedName name="_xlnm.Print_Area" localSheetId="2">処理フロー凡例!$A$1:$BK$54</definedName>
    <definedName name="_xlnm.Print_Area" localSheetId="1">改訂履歴!$A$1:$BK$55</definedName>
    <definedName name="_xlnm.Print_Titles" localSheetId="1">改訂履歴!$1:$5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AP4" i="9"/>
  <c r="AP4" i="8"/>
  <c r="AP4" i="10"/>
  <c r="AP4" i="3" a="1"/>
  <c r="AP4" i="3" s="1"/>
  <c r="L24" i="4"/>
  <c r="AP4" i="4" a="1"/>
  <c r="AP4" i="4" s="1"/>
  <c r="BH2" i="4"/>
  <c r="BC2" i="4"/>
  <c r="AY2" i="4"/>
  <c r="AT2" i="4"/>
  <c r="AP2" i="4"/>
</calcChain>
</file>

<file path=xl/sharedStrings.xml><?xml version="1.0" encoding="utf-8"?>
<sst xmlns="http://schemas.openxmlformats.org/spreadsheetml/2006/main" count="241" uniqueCount="113">
  <si>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</si>
  <si>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</si>
  <si>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</si>
  <si>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b/>
        <sz val="11"/>
        <color rgb="FF000000"/>
        <rFont val="Meiryo UI"/>
        <family val="2"/>
      </rPr>
      <t>ヘッダー</t>
    </r>
  </si>
  <si>
    <r>
      <rPr>
        <sz val="11"/>
        <color rgb="FF000000"/>
        <rFont val="Meiryo UI"/>
        <family val="2"/>
      </rPr>
      <t>Authorization</t>
    </r>
  </si>
  <si>
    <t>○</t>
  </si>
  <si>
    <r>
      <rPr>
        <sz val="11"/>
        <color rgb="FF000000"/>
        <rFont val="Meiryo UI"/>
        <family val="2"/>
      </rPr>
      <t>String</t>
    </r>
  </si>
  <si>
    <t>-</t>
  </si>
  <si>
    <r>
      <rPr>
        <sz val="11"/>
        <color rgb="FF000000"/>
        <rFont val="Meiryo UI"/>
        <family val="2"/>
      </rPr>
      <t>Api key</t>
    </r>
  </si>
  <si>
    <r>
      <rPr>
        <sz val="11"/>
        <color rgb="FF000000"/>
        <rFont val="Meiryo UI"/>
        <family val="2"/>
      </rPr>
      <t>Accept</t>
    </r>
  </si>
  <si>
    <r>
      <rPr>
        <sz val="11"/>
        <color rgb="FF000000"/>
        <rFont val="Meiryo UI"/>
        <family val="2"/>
      </rPr>
      <t>Content-Type</t>
    </r>
  </si>
  <si>
    <r>
      <rPr>
        <sz val="11"/>
        <color rgb="FF000000"/>
        <rFont val="Meiryo UI"/>
        <family val="2"/>
      </rPr>
      <t>User-Agent</t>
    </r>
  </si>
  <si>
    <r>
      <rPr>
        <sz val="11"/>
        <color rgb="FF000000"/>
        <rFont val="Meiryo UI"/>
        <family val="2"/>
      </rPr>
      <t>Accept-Encoding</t>
    </r>
  </si>
  <si>
    <r>
      <rPr>
        <b/>
        <sz val="11"/>
        <color rgb="FF000000"/>
        <rFont val="Meiryo UI"/>
        <family val="2"/>
      </rPr>
      <t xml:space="preserve">No. </t>
    </r>
    <r>
      <rPr>
        <sz val="11"/>
        <color rgb="FF000000"/>
        <rFont val="Meiryo UI"/>
        <family val="2"/>
      </rPr>
      <t xml:space="preserve"> </t>
    </r>
  </si>
  <si>
    <r>
      <rPr>
        <b/>
        <sz val="11"/>
        <color rgb="FF000000"/>
        <rFont val="Meiryo UI"/>
        <family val="2"/>
      </rPr>
      <t>2.4 Request Body</t>
    </r>
  </si>
  <si>
    <r>
      <rPr>
        <b/>
        <sz val="11"/>
        <color rgb="FF000000"/>
        <rFont val="Meiryo UI"/>
        <family val="2"/>
      </rPr>
      <t>項目説明</t>
    </r>
  </si>
  <si>
    <r>
      <rPr>
        <b/>
        <sz val="11"/>
        <color rgb="FF000000"/>
        <rFont val="Meiryo UI"/>
        <family val="2"/>
      </rPr>
      <t>2.3 Query Parameter/ path parameter</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</si>
  <si>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</si>
  <si>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</si>
  <si>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</si>
  <si>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</si>
  <si>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</si>
  <si>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</si>
  <si>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</si>
  <si>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</si>
  <si>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</si>
  <si>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sz val="11"/>
        <color rgb="FF000000"/>
        <rFont val="Meiryo UI"/>
        <family val="2"/>
      </rPr>
      <t>application/json</t>
    </r>
  </si>
  <si>
    <r>
      <rPr>
        <sz val="11"/>
        <color rgb="FF000000"/>
        <rFont val="Meiryo UI"/>
        <family val="2"/>
      </rPr>
      <t>対象店舗のレジ一覧を取得する。</t>
    </r>
  </si>
  <si>
    <r>
      <rPr>
        <sz val="11"/>
        <color rgb="FF000000"/>
        <rFont val="Meiryo UI"/>
        <family val="2"/>
      </rPr>
      <t>selected_store</t>
    </r>
  </si>
  <si>
    <r>
      <rPr>
        <sz val="11"/>
        <color rgb="FF000000"/>
        <rFont val="Meiryo UI"/>
        <family val="2"/>
      </rPr>
      <t>cash_machine_no</t>
    </r>
  </si>
  <si>
    <r>
      <rPr>
        <sz val="11"/>
        <color rgb="FF000000"/>
        <rFont val="Meiryo UI"/>
        <family val="2"/>
      </rPr>
      <t>cash_machine_type</t>
    </r>
  </si>
  <si>
    <r>
      <rPr>
        <sz val="11"/>
        <color rgb="FF000000"/>
        <rFont val="Meiryo UI"/>
        <family val="2"/>
      </rPr>
      <t>node_type</t>
    </r>
  </si>
  <si>
    <r>
      <rPr>
        <sz val="11"/>
        <color rgb="FF000000"/>
        <rFont val="Meiryo UI"/>
        <family val="2"/>
      </rPr>
      <t>preset_layout_id</t>
    </r>
  </si>
  <si>
    <r>
      <rPr>
        <sz val="11"/>
        <color rgb="FF000000"/>
        <rFont val="Meiryo UI"/>
        <family val="2"/>
      </rPr>
      <t>function_layout_id</t>
    </r>
  </si>
  <si>
    <r>
      <rPr>
        <sz val="11"/>
        <color rgb="FF000000"/>
        <rFont val="Meiryo UI"/>
        <family val="2"/>
      </rPr>
      <t>keyboard_layout_id</t>
    </r>
  </si>
  <si>
    <r>
      <rPr>
        <sz val="11"/>
        <color rgb="FF000000"/>
        <rFont val="Meiryo UI"/>
        <family val="2"/>
      </rPr>
      <t>NA</t>
    </r>
  </si>
  <si>
    <r>
      <rPr>
        <b/>
        <sz val="11"/>
        <color rgb="FF000000"/>
        <rFont val="Meiryo UI"/>
        <family val="2"/>
      </rPr>
      <t>「30_機能設計_00_共通.xlsx」ファイルの「共通APIレスポンス」シートをご参照ください。</t>
    </r>
  </si>
  <si>
    <r>
      <rPr>
        <sz val="11"/>
        <color rgb="FF000000"/>
        <rFont val="Meiryo UI"/>
        <family val="2"/>
      </rPr>
      <t>AP7107</t>
    </r>
  </si>
  <si>
    <r>
      <rPr>
        <sz val="11"/>
        <color rgb="FF000000"/>
        <rFont val="Meiryo UI"/>
        <family val="2"/>
      </rPr>
      <t>csvファイルに出力する。</t>
    </r>
  </si>
  <si>
    <r>
      <rPr>
        <sz val="11"/>
        <color rgb="FF000000"/>
        <rFont val="Meiryo UI"/>
        <family val="2"/>
      </rPr>
      <t>text/csv</t>
    </r>
  </si>
  <si>
    <r>
      <rPr>
        <sz val="11"/>
        <color rgb="FF000000"/>
        <rFont val="Meiryo UI"/>
        <family val="2"/>
      </rPr>
      <t>nullの場合、全て検索する。</t>
    </r>
  </si>
  <si>
    <r>
      <rPr>
        <sz val="11"/>
        <color rgb="FF000000"/>
        <rFont val="Meiryo UI"/>
        <family val="2"/>
      </rPr>
      <t>language</t>
    </r>
  </si>
  <si>
    <r>
      <rPr>
        <sz val="11"/>
        <color rgb="FF000000"/>
        <rFont val="Meiryo UI"/>
        <family val="2"/>
      </rPr>
      <t>ja</t>
    </r>
  </si>
  <si>
    <r>
      <rPr>
        <sz val="11"/>
        <color rgb="FF000000"/>
        <rFont val="Meiryo UI"/>
        <family val="2"/>
      </rPr>
      <t>出力言語</t>
    </r>
  </si>
  <si>
    <r>
      <rPr>
        <sz val="11"/>
        <color rgb="FF000000"/>
        <rFont val="Meiryo UI"/>
        <family val="2"/>
      </rPr>
      <t>POST</t>
    </r>
  </si>
  <si>
    <r>
      <rPr>
        <sz val="11"/>
        <color rgb="FF000000"/>
        <rFont val="Meiryo UI"/>
        <family val="2"/>
      </rPr>
      <t>対象店舗</t>
    </r>
  </si>
  <si>
    <r>
      <rPr>
        <sz val="11"/>
        <color rgb="FF000000"/>
        <rFont val="Meiryo UI"/>
        <family val="2"/>
      </rPr>
      <t>レジ番号</t>
    </r>
  </si>
  <si>
    <r>
      <rPr>
        <sz val="11"/>
        <color rgb="FF000000"/>
        <rFont val="Meiryo UI"/>
        <family val="2"/>
      </rPr>
      <t>ノード種別</t>
    </r>
  </si>
  <si>
    <r>
      <rPr>
        <sz val="11"/>
        <color rgb="FF000000"/>
        <rFont val="Meiryo UI"/>
        <family val="2"/>
      </rPr>
      <t>レジ種別</t>
    </r>
  </si>
  <si>
    <r>
      <rPr>
        <sz val="11"/>
        <color rgb="FF000000"/>
        <rFont val="Meiryo UI"/>
        <family val="2"/>
      </rPr>
      <t>プリセットレイアウトコード</t>
    </r>
  </si>
  <si>
    <r>
      <rPr>
        <sz val="11"/>
        <color rgb="FF000000"/>
        <rFont val="Meiryo UI"/>
        <family val="2"/>
      </rPr>
      <t>ファンクションレイアウトコード</t>
    </r>
  </si>
  <si>
    <r>
      <rPr>
        <sz val="11"/>
        <color rgb="FF000000"/>
        <rFont val="Meiryo UI"/>
        <family val="2"/>
      </rPr>
      <t>キーボードレイアウトコード</t>
    </r>
  </si>
  <si>
    <r>
      <rPr>
        <sz val="11"/>
        <color rgb="FF000000"/>
        <rFont val="Meiryo UI"/>
        <family val="2"/>
      </rPr>
      <t>api/v1/cash-registers/export/</t>
    </r>
  </si>
  <si>
    <r>
      <rPr>
        <sz val="11"/>
        <color rgb="FF000000"/>
        <rFont val="Meiryo UI"/>
        <family val="2"/>
      </rPr>
      <t>レシートメッセージ：Code MasterのMC8301の値、CodeMasterのMC8302line messageを使用する必要がない。</t>
    </r>
  </si>
  <si>
    <r>
      <rPr>
        <sz val="11"/>
        <color rgb="FF000000"/>
        <rFont val="Meiryo UI"/>
        <family val="2"/>
      </rPr>
      <t>支払種別コードを削除する。</t>
    </r>
  </si>
  <si>
    <r>
      <rPr>
        <sz val="11"/>
        <color rgb="FF000000"/>
        <rFont val="Meiryo UI"/>
        <family val="2"/>
      </rPr>
      <t>AnhDD</t>
    </r>
  </si>
  <si>
    <r>
      <rPr>
        <b/>
        <sz val="11"/>
        <color rgb="FF000000"/>
        <rFont val="Meiryo UI"/>
        <family val="2"/>
      </rPr>
      <t>URL</t>
    </r>
  </si>
  <si>
    <r>
      <rPr>
        <b/>
        <sz val="11"/>
        <color rgb="FF000000"/>
        <rFont val="Meiryo UI"/>
        <family val="2"/>
      </rPr>
      <t>HTTPメソッド</t>
    </r>
  </si>
  <si>
    <r>
      <rPr>
        <b/>
        <sz val="11"/>
        <color rgb="FF000000"/>
        <rFont val="Meiryo UI"/>
        <family val="2"/>
      </rPr>
      <t>備考</t>
    </r>
  </si>
  <si>
    <r>
      <rPr>
        <b/>
        <sz val="11"/>
        <color rgb="FF000000"/>
        <rFont val="Meiryo UI"/>
        <family val="2"/>
      </rPr>
      <t>必須</t>
    </r>
  </si>
  <si>
    <r>
      <rPr>
        <b/>
        <sz val="11"/>
        <color rgb="FF000000"/>
        <rFont val="Meiryo UI"/>
        <family val="2"/>
      </rPr>
      <t>型</t>
    </r>
  </si>
  <si>
    <r>
      <rPr>
        <b/>
        <sz val="11"/>
        <color rgb="FF000000"/>
        <rFont val="Meiryo UI"/>
        <family val="2"/>
      </rPr>
      <t>デフォルト値</t>
    </r>
  </si>
  <si>
    <r>
      <rPr>
        <b/>
        <sz val="11"/>
        <color rgb="FF000000"/>
        <rFont val="Meiryo UI"/>
        <family val="2"/>
      </rPr>
      <t>パラメータ</t>
    </r>
  </si>
  <si>
    <r>
      <rPr>
        <sz val="11"/>
        <color rgb="FF000000"/>
        <rFont val="Meiryo UI"/>
        <family val="2"/>
      </rPr>
      <t>データがない場合はエラーメッセージを表示し、空のCSVファイルを返さない。</t>
    </r>
  </si>
  <si>
    <r>
      <rPr>
        <sz val="11"/>
        <color rgb="FF000000"/>
        <rFont val="Meiryo UI"/>
        <family val="2"/>
      </rPr>
      <t>QA22848：ドロップダウンプリセットレイアウト内のアイテムの重複を処理する。</t>
    </r>
  </si>
  <si>
    <r>
      <rPr>
        <sz val="11"/>
        <color rgb="FF000000"/>
        <rFont val="Meiryo UI"/>
        <family val="2"/>
      </rPr>
      <t>TinNH</t>
    </r>
  </si>
  <si>
    <r>
      <rPr>
        <sz val="11"/>
        <color rgb="FF000000"/>
        <rFont val="Meiryo UI"/>
        <family val="2"/>
      </rPr>
      <t>機能概要</t>
    </r>
  </si>
  <si>
    <r>
      <rPr>
        <sz val="11"/>
        <color rgb="FF000000"/>
        <rFont val="Meiryo UI"/>
        <family val="2"/>
      </rPr>
      <t>・380アテンダントモニタ、構成比を追加する。</t>
    </r>
  </si>
  <si>
    <r>
      <rPr>
        <sz val="11"/>
        <color rgb="FF000000"/>
        <rFont val="Meiryo UI"/>
        <family val="2"/>
      </rPr>
      <t>以下の項目を追加。レシートクーポン発行除外、定番売価使用</t>
    </r>
  </si>
  <si>
    <r>
      <rPr>
        <sz val="11"/>
        <color rgb="FF000000"/>
        <rFont val="Meiryo UI"/>
        <family val="2"/>
      </rPr>
      <t>レジ情報設定を追加する時に、画面に該当する出力項目を追加する。</t>
    </r>
  </si>
  <si>
    <r>
      <rPr>
        <sz val="11"/>
        <color rgb="FF000000"/>
        <rFont val="Meiryo UI"/>
        <family val="2"/>
      </rPr>
      <t>AnhDD, AnhTTP</t>
    </r>
  </si>
  <si>
    <r>
      <rPr>
        <sz val="11"/>
        <color rgb="FF000000"/>
        <rFont val="Meiryo UI"/>
        <family val="2"/>
      </rPr>
      <t>List&lt;Int&gt;</t>
    </r>
  </si>
  <si>
    <r>
      <rPr>
        <sz val="11"/>
        <color rgb="FF000000"/>
        <rFont val="Meiryo UI"/>
        <family val="2"/>
      </rPr>
      <t xml:space="preserve">
対象店舗への操作権限のバリデーションチェックを行う。</t>
    </r>
  </si>
  <si>
    <r>
      <rPr>
        <sz val="11"/>
        <color rgb="FF000000"/>
        <rFont val="Meiryo UI"/>
        <family val="2"/>
      </rPr>
      <t>DuNT</t>
    </r>
  </si>
  <si>
    <t>DuNT</t>
  </si>
  <si>
    <t>AP7107</t>
  </si>
  <si>
    <t>POSサーバー</t>
  </si>
  <si>
    <t>詳細設計書</t>
  </si>
  <si>
    <t>API設計書</t>
  </si>
  <si>
    <r>
      <rPr>
        <sz val="11"/>
        <color rgb="FFFFFFFF"/>
        <rFont val="Meiryo UI"/>
        <family val="2"/>
      </rPr>
      <t>システム名</t>
    </r>
  </si>
  <si>
    <r>
      <rPr>
        <sz val="11"/>
        <color rgb="FFFFFFFF"/>
        <rFont val="Meiryo UI"/>
        <family val="2"/>
      </rPr>
      <t>システム種別</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</si>
  <si>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</si>
  <si>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</si>
  <si>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</si>
  <si>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</si>
  <si>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</si>
  <si>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</si>
  <si>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</si>
  <si>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</si>
  <si>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</si>
  <si>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</si>
  <si>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</si>
  <si>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r>
      <rPr>
        <sz val="11"/>
        <color rgb="FF000000"/>
        <rFont val="Meiryo UI"/>
        <family val="2"/>
      </rPr>
      <t>方式変更：GET -&gt; POST。query parameterをrequest bodyに変更する。</t>
    </r>
  </si>
  <si>
    <r>
      <rPr>
        <sz val="11"/>
        <color rgb="FF000000"/>
        <rFont val="Meiryo UI"/>
        <family val="2"/>
      </rPr>
      <t>出力ファイル名を追加する。多言語出力をサポートする。</t>
    </r>
  </si>
  <si>
    <r>
      <rPr>
        <sz val="11"/>
        <color rgb="FF000000"/>
        <rFont val="Meiryo UI"/>
        <family val="2"/>
      </rPr>
      <t>23094: [処理フロー] 検索条件をRECORD_IDに基づいて修正する。</t>
    </r>
  </si>
  <si>
    <r>
      <rPr>
        <sz val="11"/>
        <color rgb="FF000000"/>
        <rFont val="Meiryo UI"/>
        <family val="2"/>
      </rPr>
      <t>DB snake_caseマッピング更新
record_void_flag != 1の条件を追加</t>
    </r>
  </si>
  <si>
    <t>instore_type_codeはinstore_types テーブルではなく、code_master テーブルから取得する。instore_type_code int -&gt; string</t>
  </si>
  <si>
    <t>master_codes -&gt; code_master</t>
  </si>
  <si>
    <t>●API処理フロー</t>
  </si>
  <si>
    <r>
      <rPr>
        <b/>
        <sz val="11"/>
        <color rgb="FF000000"/>
        <rFont val="Meiryo UI"/>
        <family val="2"/>
      </rPr>
      <t>1. 概要</t>
    </r>
  </si>
  <si>
    <t>2. リクエスト</t>
  </si>
  <si>
    <t>2.1 Request URL</t>
  </si>
  <si>
    <r>
      <rPr>
        <b/>
        <sz val="11"/>
        <color rgb="FF000000"/>
        <rFont val="Meiryo UI"/>
        <family val="2"/>
      </rPr>
      <t>2. 2 Request Header</t>
    </r>
  </si>
  <si>
    <r>
      <rPr>
        <sz val="11"/>
        <color rgb="FF000000"/>
        <rFont val="Meiryo UI"/>
        <family val="2"/>
      </rPr>
      <t>形式："Bearer {api_key}"</t>
    </r>
  </si>
  <si>
    <r>
      <rPr>
        <sz val="11"/>
        <color rgb="FF000000"/>
        <rFont val="Meiryo UI"/>
        <family val="2"/>
      </rPr>
      <t>ja: 日本語、en: 英語。サポートされていない言語の場合、エラーメッセージ = MSG_VAL_19</t>
    </r>
  </si>
  <si>
    <r>
      <rPr>
        <sz val="11"/>
        <color rgb="FF000000"/>
        <rFont val="Meiryo UI"/>
        <family val="2"/>
      </rPr>
      <t>最大4桁。桁数 &gt; 4の場合、 エラーメッセージ = MSG_VAL_002</t>
    </r>
  </si>
  <si>
    <t>String</t>
  </si>
  <si>
    <r>
      <rPr>
        <b/>
        <sz val="11"/>
        <color rgb="FF000000"/>
        <rFont val="Meiryo UI"/>
        <family val="2"/>
      </rPr>
      <t>3. レスポンス</t>
    </r>
  </si>
  <si>
    <t>3.1. 正常の場合のレスポンスフォーマット</t>
  </si>
  <si>
    <r>
      <rPr>
        <sz val="11"/>
        <color rgb="FF000000"/>
        <rFont val="Meiryo UI"/>
        <family val="2"/>
      </rPr>
      <t>ファイルを返す。80_CSV設計/71_レジマスタ設定/CSV7101_レジ一覧.xlsxで記載されるcsvファイルの形式をご参照ください。</t>
    </r>
  </si>
  <si>
    <r>
      <rPr>
        <b/>
        <sz val="11"/>
        <color rgb="FF000000"/>
        <rFont val="Meiryo UI"/>
        <family val="2"/>
      </rPr>
      <t>3.2. エラーの場合のレスポンスフォーマット</t>
    </r>
  </si>
  <si>
    <t>AnhTTP</t>
  </si>
  <si>
    <t>マスタコード：instore_type_code、node_type_codeを更新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</si>
</sst>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6"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b/>
      <sz val="11"/>
      <color theme="1"/>
      <name val="Meiryo UI"/>
      <family val="2"/>
    </font>
    <font>
      <b/>
      <sz val="11"/>
      <color rgb="FF000000"/>
      <name val="Meiryo UI"/>
      <family val="2"/>
    </font>
    <font>
      <sz val="11"/>
      <color rgb="FF00B050"/>
      <name val="Meiryo UI"/>
      <family val="2"/>
    </font>
    <font>
      <sz val="11"/>
      <color rgb="FFC00000"/>
      <name val="Meiryo UI"/>
      <family val="2"/>
    </font>
    <font>
      <sz val="10"/>
      <color theme="1"/>
      <name val="Meiryo UI"/>
      <family val="2"/>
    </font>
    <font>
      <sz val="10"/>
      <color rgb="FFC00000"/>
      <name val="Meiryo UI"/>
      <family val="2"/>
    </font>
    <font>
      <b/>
      <sz val="11"/>
      <name val="Meiryo UI"/>
      <family val="2"/>
    </font>
    <font>
      <sz val="11"/>
      <color rgb="FF0000CC"/>
      <name val="Meiryo UI"/>
      <family val="2"/>
    </font>
    <font>
      <strike/>
      <sz val="11"/>
      <color theme="1"/>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00B050"/>
      <name val="Meiryo UI"/>
      <family val="3"/>
      <charset val="128"/>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333399"/>
        <bgColor indexed="64"/>
      </patternFill>
    </fill>
    <fill>
      <patternFill patternType="solid">
        <fgColor theme="4" tint="0.79995117038483843"/>
        <bgColor indexed="64"/>
      </patternFill>
    </fill>
  </fills>
  <borders count="3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hair">
        <color auto="1"/>
      </left>
      <right/>
      <top/>
      <bottom/>
      <diagonal/>
    </border>
    <border>
      <left/>
      <right style="hair">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7" fillId="0" borderId="0">
      <alignment vertical="center"/>
    </xf>
    <xf numFmtId="0" fontId="5" fillId="0" borderId="0">
      <alignment vertical="center"/>
    </xf>
  </cellStyleXfs>
  <cellXfs count="257">
    <xf numFmtId="0" fontId="0" fillId="0" borderId="0" xfId="0"/>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6" fillId="0" borderId="16" xfId="6" applyFont="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6" fillId="0" borderId="19" xfId="6" applyFont="1" applyBorder="1" applyAlignment="1">
      <alignment vertical="center"/>
    </xf>
    <xf numFmtId="0" fontId="0" fillId="0" borderId="20" xfId="0" applyBorder="1" applyAlignment="1">
      <alignment vertical="center"/>
    </xf>
    <xf numFmtId="0" fontId="6" fillId="0" borderId="20" xfId="6" applyFont="1" applyBorder="1" applyAlignment="1">
      <alignment vertical="center"/>
    </xf>
    <xf numFmtId="0" fontId="6" fillId="0" borderId="1" xfId="0" applyFont="1" applyBorder="1" applyAlignment="1">
      <alignment horizontal="left" vertical="center"/>
    </xf>
    <xf numFmtId="0" fontId="8" fillId="2" borderId="0" xfId="0" applyFont="1" applyFill="1" applyAlignment="1">
      <alignment horizontal="left" vertical="center"/>
    </xf>
    <xf numFmtId="0" fontId="6" fillId="2" borderId="0" xfId="0" applyFont="1" applyFill="1" applyAlignment="1">
      <alignment horizontal="left" vertical="center"/>
    </xf>
    <xf numFmtId="0" fontId="6" fillId="2" borderId="0" xfId="0" applyFont="1" applyFill="1" applyAlignment="1">
      <alignment vertical="center"/>
    </xf>
    <xf numFmtId="0" fontId="6" fillId="0" borderId="4" xfId="0" applyFont="1" applyBorder="1" applyAlignment="1">
      <alignment vertical="center"/>
    </xf>
    <xf numFmtId="0" fontId="6" fillId="3" borderId="0" xfId="0" applyFont="1" applyFill="1" applyAlignment="1">
      <alignment vertical="center"/>
    </xf>
    <xf numFmtId="0" fontId="8"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center"/>
    </xf>
    <xf numFmtId="0" fontId="9" fillId="2" borderId="0" xfId="0" applyFont="1" applyFill="1" applyAlignment="1">
      <alignment horizontal="left" vertical="center"/>
    </xf>
    <xf numFmtId="0" fontId="9" fillId="0" borderId="0" xfId="0" applyFont="1" applyAlignment="1">
      <alignment horizontal="left" vertical="center"/>
    </xf>
    <xf numFmtId="0" fontId="11" fillId="0" borderId="0" xfId="0" applyFont="1" applyAlignment="1">
      <alignment horizontal="left" vertical="center"/>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3" fillId="0" borderId="3" xfId="0" applyFont="1" applyBorder="1" applyAlignment="1">
      <alignment horizontal="left" vertical="center"/>
    </xf>
    <xf numFmtId="0" fontId="12" fillId="0" borderId="3" xfId="0" applyFont="1" applyBorder="1" applyAlignment="1">
      <alignment vertical="center"/>
    </xf>
    <xf numFmtId="0" fontId="12" fillId="0" borderId="5" xfId="0" applyFont="1" applyBorder="1" applyAlignment="1">
      <alignment vertical="center"/>
    </xf>
    <xf numFmtId="0" fontId="12" fillId="3" borderId="0" xfId="0" applyFont="1" applyFill="1" applyAlignment="1">
      <alignment vertical="center"/>
    </xf>
    <xf numFmtId="0" fontId="6" fillId="0" borderId="19" xfId="0" applyFont="1" applyBorder="1" applyAlignment="1">
      <alignment vertical="center"/>
    </xf>
    <xf numFmtId="0" fontId="10" fillId="0" borderId="1" xfId="0" applyFont="1" applyBorder="1" applyAlignment="1">
      <alignment horizontal="left" vertical="center"/>
    </xf>
    <xf numFmtId="0" fontId="10" fillId="0" borderId="0" xfId="0" applyFont="1" applyAlignment="1">
      <alignment horizontal="left" vertical="center"/>
    </xf>
    <xf numFmtId="0" fontId="10" fillId="0" borderId="4" xfId="0" applyFont="1" applyBorder="1" applyAlignment="1">
      <alignment vertical="center"/>
    </xf>
    <xf numFmtId="0" fontId="10" fillId="3" borderId="0" xfId="0" applyFont="1" applyFill="1" applyAlignment="1">
      <alignment vertical="center"/>
    </xf>
    <xf numFmtId="0" fontId="14" fillId="0" borderId="0" xfId="0" applyFont="1" applyAlignment="1">
      <alignment horizontal="left" vertical="center"/>
    </xf>
    <xf numFmtId="0" fontId="22" fillId="0" borderId="0" xfId="0" applyFont="1"/>
    <xf numFmtId="0" fontId="22" fillId="0" borderId="2" xfId="0" applyFont="1" applyBorder="1"/>
    <xf numFmtId="0" fontId="22" fillId="0" borderId="3" xfId="0" applyFont="1" applyBorder="1"/>
    <xf numFmtId="0" fontId="22" fillId="0" borderId="5" xfId="0" applyFont="1" applyBorder="1"/>
    <xf numFmtId="0" fontId="22" fillId="0" borderId="1" xfId="0" applyFont="1" applyBorder="1"/>
    <xf numFmtId="0" fontId="22" fillId="0" borderId="4" xfId="0" applyFont="1" applyBorder="1"/>
    <xf numFmtId="0" fontId="22" fillId="0" borderId="7" xfId="0" applyFont="1" applyBorder="1"/>
    <xf numFmtId="0" fontId="22" fillId="0" borderId="8" xfId="0" applyFont="1" applyBorder="1"/>
    <xf numFmtId="0" fontId="22" fillId="0" borderId="11" xfId="0" applyFont="1" applyBorder="1"/>
    <xf numFmtId="0" fontId="22" fillId="0" borderId="6" xfId="0" applyFont="1" applyBorder="1"/>
    <xf numFmtId="0" fontId="22" fillId="0" borderId="12" xfId="0" applyFont="1" applyBorder="1"/>
    <xf numFmtId="0" fontId="22" fillId="0" borderId="14" xfId="0" applyFont="1" applyBorder="1"/>
    <xf numFmtId="0" fontId="22" fillId="0" borderId="15" xfId="0" applyFont="1" applyBorder="1"/>
    <xf numFmtId="0" fontId="22" fillId="0" borderId="9" xfId="0" applyFont="1" applyBorder="1"/>
    <xf numFmtId="0" fontId="22" fillId="0" borderId="10" xfId="0" applyFont="1" applyBorder="1"/>
    <xf numFmtId="0" fontId="22" fillId="0" borderId="13" xfId="0" applyFont="1" applyBorder="1"/>
    <xf numFmtId="0" fontId="22" fillId="0" borderId="1" xfId="0" applyFont="1" applyBorder="1" applyAlignment="1">
      <alignment vertical="center"/>
    </xf>
    <xf numFmtId="0" fontId="19" fillId="4" borderId="19" xfId="0" applyFont="1" applyFill="1" applyBorder="1" applyAlignment="1">
      <alignment vertical="center"/>
    </xf>
    <xf numFmtId="0" fontId="18" fillId="4" borderId="0" xfId="0" applyFont="1" applyFill="1" applyAlignment="1">
      <alignment vertical="center"/>
    </xf>
    <xf numFmtId="0" fontId="18" fillId="4" borderId="20" xfId="0" applyFont="1" applyFill="1" applyBorder="1" applyAlignment="1">
      <alignment vertical="center"/>
    </xf>
    <xf numFmtId="0" fontId="18" fillId="4" borderId="19" xfId="0" applyFont="1" applyFill="1" applyBorder="1" applyAlignment="1">
      <alignment vertical="center"/>
    </xf>
    <xf numFmtId="0" fontId="22" fillId="0" borderId="4" xfId="0" applyFont="1" applyBorder="1" applyAlignment="1">
      <alignment vertical="center"/>
    </xf>
    <xf numFmtId="0" fontId="22" fillId="0" borderId="0" xfId="0" applyFont="1" applyAlignment="1">
      <alignment vertical="center"/>
    </xf>
    <xf numFmtId="0" fontId="22" fillId="2" borderId="0" xfId="0" applyFont="1" applyFill="1" applyAlignment="1">
      <alignment horizontal="left" vertical="center"/>
    </xf>
    <xf numFmtId="0" fontId="22" fillId="0" borderId="0" xfId="0" applyFont="1" applyAlignment="1">
      <alignment horizontal="left" vertical="center"/>
    </xf>
    <xf numFmtId="0" fontId="22" fillId="0" borderId="0" xfId="0" quotePrefix="1" applyFont="1" applyAlignment="1">
      <alignment horizontal="left" vertical="center"/>
    </xf>
    <xf numFmtId="0" fontId="22" fillId="0" borderId="0" xfId="0" quotePrefix="1" applyFont="1" applyAlignment="1">
      <alignment horizontal="left" vertical="center" wrapText="1"/>
    </xf>
    <xf numFmtId="0" fontId="18" fillId="4" borderId="21"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3" xfId="0" applyFont="1" applyFill="1" applyBorder="1" applyAlignment="1">
      <alignment horizontal="center" vertical="center"/>
    </xf>
    <xf numFmtId="0" fontId="22" fillId="0" borderId="16" xfId="0" applyFont="1" applyBorder="1" applyAlignment="1">
      <alignment horizontal="center" vertical="center"/>
    </xf>
    <xf numFmtId="0" fontId="22" fillId="0" borderId="17" xfId="0" applyFont="1" applyBorder="1" applyAlignment="1">
      <alignment horizontal="center" vertical="center"/>
    </xf>
    <xf numFmtId="0" fontId="22" fillId="0" borderId="18"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0" fontId="7" fillId="0" borderId="16" xfId="0" applyFont="1" applyBorder="1" applyAlignment="1">
      <alignment horizontal="center" vertical="center"/>
    </xf>
    <xf numFmtId="0" fontId="20"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4"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22" fillId="0" borderId="21" xfId="0" applyFont="1" applyBorder="1" applyAlignment="1">
      <alignment horizontal="center" vertical="center"/>
    </xf>
    <xf numFmtId="0" fontId="22" fillId="0" borderId="22" xfId="0" applyFont="1" applyBorder="1" applyAlignment="1">
      <alignment horizontal="center" vertical="center"/>
    </xf>
    <xf numFmtId="0" fontId="22" fillId="0" borderId="23" xfId="0" applyFont="1" applyBorder="1" applyAlignment="1">
      <alignment horizontal="center" vertical="center"/>
    </xf>
    <xf numFmtId="0" fontId="7" fillId="0" borderId="21" xfId="0" applyFont="1" applyBorder="1" applyAlignment="1">
      <alignment horizontal="center" vertical="center"/>
    </xf>
    <xf numFmtId="2" fontId="22" fillId="0" borderId="16" xfId="0" applyNumberFormat="1" applyFont="1" applyBorder="1" applyAlignment="1">
      <alignment horizontal="center" vertical="center"/>
    </xf>
    <xf numFmtId="2" fontId="22" fillId="0" borderId="17" xfId="0" applyNumberFormat="1" applyFont="1" applyBorder="1" applyAlignment="1">
      <alignment horizontal="center" vertical="center"/>
    </xf>
    <xf numFmtId="2" fontId="22" fillId="0" borderId="18" xfId="0" applyNumberFormat="1" applyFont="1" applyBorder="1" applyAlignment="1">
      <alignment horizontal="center" vertical="center"/>
    </xf>
    <xf numFmtId="2" fontId="22" fillId="0" borderId="2" xfId="0" applyNumberFormat="1" applyFont="1" applyBorder="1" applyAlignment="1">
      <alignment horizontal="center" vertical="center"/>
    </xf>
    <xf numFmtId="2" fontId="22" fillId="0" borderId="3" xfId="0" applyNumberFormat="1" applyFont="1" applyBorder="1" applyAlignment="1">
      <alignment horizontal="center" vertical="center"/>
    </xf>
    <xf numFmtId="2" fontId="22" fillId="0" borderId="5" xfId="0" applyNumberFormat="1" applyFont="1" applyBorder="1" applyAlignment="1">
      <alignment horizontal="center" vertical="center"/>
    </xf>
    <xf numFmtId="14" fontId="22" fillId="0" borderId="16" xfId="0" applyNumberFormat="1" applyFont="1" applyBorder="1" applyAlignment="1">
      <alignment horizontal="center" vertical="center"/>
    </xf>
    <xf numFmtId="14" fontId="22" fillId="0" borderId="17" xfId="0" applyNumberFormat="1" applyFont="1" applyBorder="1" applyAlignment="1">
      <alignment horizontal="center" vertical="center"/>
    </xf>
    <xf numFmtId="14" fontId="22" fillId="0" borderId="18" xfId="0" applyNumberFormat="1" applyFont="1" applyBorder="1" applyAlignment="1">
      <alignment horizontal="center" vertical="center"/>
    </xf>
    <xf numFmtId="14" fontId="22" fillId="0" borderId="2" xfId="0" applyNumberFormat="1" applyFont="1" applyBorder="1" applyAlignment="1">
      <alignment horizontal="center" vertical="center"/>
    </xf>
    <xf numFmtId="14" fontId="22" fillId="0" borderId="3" xfId="0" applyNumberFormat="1" applyFont="1" applyBorder="1" applyAlignment="1">
      <alignment horizontal="center" vertical="center"/>
    </xf>
    <xf numFmtId="14" fontId="22" fillId="0" borderId="5" xfId="0" applyNumberFormat="1" applyFont="1" applyBorder="1" applyAlignment="1">
      <alignment horizontal="center" vertical="center"/>
    </xf>
    <xf numFmtId="0" fontId="22" fillId="0" borderId="1" xfId="0" applyFont="1" applyBorder="1" applyAlignment="1">
      <alignment horizontal="center" vertical="center"/>
    </xf>
    <xf numFmtId="0" fontId="22" fillId="0" borderId="0" xfId="0" applyFont="1" applyAlignment="1">
      <alignment horizontal="center" vertical="center"/>
    </xf>
    <xf numFmtId="0" fontId="22" fillId="0" borderId="4" xfId="0" applyFont="1" applyBorder="1" applyAlignment="1">
      <alignment horizontal="center" vertical="center"/>
    </xf>
    <xf numFmtId="0" fontId="18" fillId="4" borderId="16" xfId="0" applyFont="1" applyFill="1" applyBorder="1" applyAlignment="1">
      <alignment horizontal="center" vertical="center"/>
    </xf>
    <xf numFmtId="0" fontId="18" fillId="4" borderId="17" xfId="0" applyFont="1" applyFill="1" applyBorder="1" applyAlignment="1">
      <alignment horizontal="center" vertical="center"/>
    </xf>
    <xf numFmtId="0" fontId="18" fillId="4" borderId="18"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3" xfId="0" applyFont="1" applyFill="1" applyBorder="1" applyAlignment="1">
      <alignment horizontal="center" vertical="center"/>
    </xf>
    <xf numFmtId="0" fontId="18" fillId="4" borderId="5" xfId="0" applyFont="1" applyFill="1" applyBorder="1" applyAlignment="1">
      <alignment horizontal="center" vertical="center"/>
    </xf>
    <xf numFmtId="0" fontId="21" fillId="0" borderId="16" xfId="0" applyFont="1" applyBorder="1" applyAlignment="1">
      <alignment horizontal="center" vertical="center"/>
    </xf>
    <xf numFmtId="0" fontId="22" fillId="0" borderId="24" xfId="0" applyFont="1" applyBorder="1"/>
    <xf numFmtId="0" fontId="22" fillId="0" borderId="25" xfId="0" applyFont="1" applyBorder="1"/>
    <xf numFmtId="0" fontId="22" fillId="0" borderId="26" xfId="0" applyFont="1" applyBorder="1"/>
    <xf numFmtId="0" fontId="22" fillId="0" borderId="17" xfId="0" applyFont="1" applyBorder="1"/>
    <xf numFmtId="0" fontId="22" fillId="0" borderId="18" xfId="0" applyFont="1" applyBorder="1"/>
    <xf numFmtId="0" fontId="22" fillId="0" borderId="3" xfId="0" applyFont="1" applyBorder="1"/>
    <xf numFmtId="0" fontId="22" fillId="0" borderId="5" xfId="0" applyFont="1" applyBorder="1"/>
    <xf numFmtId="0" fontId="22" fillId="0" borderId="16" xfId="0" applyFont="1" applyBorder="1"/>
    <xf numFmtId="0" fontId="22" fillId="0" borderId="2" xfId="0" applyFont="1" applyBorder="1"/>
    <xf numFmtId="0" fontId="22" fillId="0" borderId="27" xfId="0" applyFont="1" applyBorder="1"/>
    <xf numFmtId="0" fontId="22" fillId="0" borderId="28" xfId="0" applyFont="1" applyBorder="1"/>
    <xf numFmtId="0" fontId="22" fillId="0" borderId="29" xfId="0" applyFont="1" applyBorder="1"/>
    <xf numFmtId="0" fontId="18" fillId="4" borderId="0" xfId="0" applyFont="1" applyFill="1"/>
    <xf numFmtId="14" fontId="6" fillId="0" borderId="16" xfId="0" applyNumberFormat="1"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16" xfId="0" applyFont="1" applyBorder="1" applyAlignment="1">
      <alignment horizontal="center" vertical="center"/>
    </xf>
    <xf numFmtId="0" fontId="6" fillId="0" borderId="24" xfId="0" applyFont="1" applyBorder="1"/>
    <xf numFmtId="0" fontId="6" fillId="0" borderId="25" xfId="0" applyFont="1" applyBorder="1"/>
    <xf numFmtId="0" fontId="6" fillId="0" borderId="26" xfId="0" applyFont="1" applyBorder="1"/>
    <xf numFmtId="0" fontId="6" fillId="0" borderId="27" xfId="0" applyFont="1" applyBorder="1"/>
    <xf numFmtId="0" fontId="6" fillId="0" borderId="28" xfId="0" applyFont="1" applyBorder="1"/>
    <xf numFmtId="0" fontId="6" fillId="0" borderId="29" xfId="0" applyFont="1" applyBorder="1"/>
    <xf numFmtId="0" fontId="6" fillId="0" borderId="27" xfId="0" applyFont="1" applyBorder="1" applyAlignment="1">
      <alignment wrapText="1"/>
    </xf>
    <xf numFmtId="0" fontId="6" fillId="0" borderId="28" xfId="0" applyFont="1" applyBorder="1" applyAlignment="1">
      <alignment wrapText="1"/>
    </xf>
    <xf numFmtId="0" fontId="6" fillId="0" borderId="29" xfId="0" applyFont="1" applyBorder="1" applyAlignment="1">
      <alignment wrapText="1"/>
    </xf>
    <xf numFmtId="14" fontId="15" fillId="0" borderId="16" xfId="0" applyNumberFormat="1"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16" xfId="0" applyFont="1" applyBorder="1" applyAlignment="1">
      <alignment horizontal="center" vertical="center"/>
    </xf>
    <xf numFmtId="0" fontId="15" fillId="0" borderId="24" xfId="0" applyFont="1" applyBorder="1"/>
    <xf numFmtId="0" fontId="15" fillId="0" borderId="25" xfId="0" applyFont="1" applyBorder="1"/>
    <xf numFmtId="0" fontId="15" fillId="0" borderId="26" xfId="0" applyFont="1" applyBorder="1"/>
    <xf numFmtId="0" fontId="15" fillId="0" borderId="27" xfId="0" applyFont="1" applyBorder="1"/>
    <xf numFmtId="0" fontId="15" fillId="0" borderId="28" xfId="0" applyFont="1" applyBorder="1"/>
    <xf numFmtId="0" fontId="15" fillId="0" borderId="29" xfId="0" applyFont="1" applyBorder="1"/>
    <xf numFmtId="0" fontId="6" fillId="0" borderId="24" xfId="0" applyFont="1" applyBorder="1" applyAlignment="1">
      <alignment wrapText="1"/>
    </xf>
    <xf numFmtId="0" fontId="18" fillId="4" borderId="21" xfId="6" applyFont="1" applyFill="1" applyBorder="1" applyAlignment="1">
      <alignment horizontal="center" vertical="center"/>
    </xf>
    <xf numFmtId="0" fontId="18" fillId="4" borderId="22" xfId="6" applyFont="1" applyFill="1" applyBorder="1" applyAlignment="1">
      <alignment horizontal="center" vertical="center"/>
    </xf>
    <xf numFmtId="0" fontId="18" fillId="4" borderId="23" xfId="6" applyFont="1" applyFill="1" applyBorder="1" applyAlignment="1">
      <alignment horizontal="center" vertical="center"/>
    </xf>
    <xf numFmtId="0" fontId="6" fillId="0" borderId="21" xfId="6" applyFont="1" applyBorder="1" applyAlignment="1">
      <alignment horizontal="center"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7" fillId="0" borderId="21" xfId="6" applyFont="1" applyBorder="1" applyAlignment="1">
      <alignment horizontal="center" vertical="center"/>
    </xf>
    <xf numFmtId="0" fontId="6" fillId="0" borderId="16" xfId="6" applyFont="1" applyBorder="1" applyAlignment="1">
      <alignment horizontal="center" vertical="center"/>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21" fillId="0" borderId="16" xfId="6" applyFont="1" applyBorder="1" applyAlignment="1">
      <alignment horizontal="center" vertical="center"/>
    </xf>
    <xf numFmtId="0" fontId="21" fillId="0" borderId="17" xfId="6" applyFont="1" applyBorder="1" applyAlignment="1">
      <alignment horizontal="center" vertical="center"/>
    </xf>
    <xf numFmtId="0" fontId="21" fillId="0" borderId="18" xfId="6" applyFont="1" applyBorder="1" applyAlignment="1">
      <alignment horizontal="center" vertical="center"/>
    </xf>
    <xf numFmtId="0" fontId="21" fillId="0" borderId="1" xfId="6" applyFont="1" applyBorder="1" applyAlignment="1">
      <alignment horizontal="center" vertical="center"/>
    </xf>
    <xf numFmtId="0" fontId="21" fillId="0" borderId="0" xfId="6" applyFont="1" applyAlignment="1">
      <alignment horizontal="center" vertical="center"/>
    </xf>
    <xf numFmtId="0" fontId="21" fillId="0" borderId="4" xfId="6" applyFont="1" applyBorder="1" applyAlignment="1">
      <alignment horizontal="center" vertical="center"/>
    </xf>
    <xf numFmtId="0" fontId="21" fillId="0" borderId="2" xfId="6" applyFont="1" applyBorder="1" applyAlignment="1">
      <alignment horizontal="center" vertical="center"/>
    </xf>
    <xf numFmtId="0" fontId="21" fillId="0" borderId="3" xfId="6" applyFont="1" applyBorder="1" applyAlignment="1">
      <alignment horizontal="center" vertical="center"/>
    </xf>
    <xf numFmtId="0" fontId="21" fillId="0" borderId="5" xfId="6" applyFont="1" applyBorder="1" applyAlignment="1">
      <alignment horizontal="center" vertical="center"/>
    </xf>
    <xf numFmtId="0" fontId="22" fillId="0" borderId="21" xfId="0" applyFont="1" applyBorder="1" applyAlignment="1">
      <alignment horizontal="left" vertical="center"/>
    </xf>
    <xf numFmtId="0" fontId="22" fillId="0" borderId="22" xfId="0" applyFont="1" applyBorder="1" applyAlignment="1">
      <alignment horizontal="left" vertical="center"/>
    </xf>
    <xf numFmtId="0" fontId="22" fillId="0" borderId="23" xfId="0" applyFont="1" applyBorder="1" applyAlignment="1">
      <alignment horizontal="left" vertical="center"/>
    </xf>
    <xf numFmtId="0" fontId="22" fillId="0" borderId="21" xfId="0" applyFont="1" applyBorder="1" applyAlignment="1">
      <alignment horizontal="left" vertical="center" wrapText="1"/>
    </xf>
    <xf numFmtId="0" fontId="22" fillId="0" borderId="22" xfId="0" applyFont="1" applyBorder="1" applyAlignment="1">
      <alignment horizontal="left" vertical="center" wrapText="1"/>
    </xf>
    <xf numFmtId="0" fontId="22" fillId="0" borderId="23" xfId="0" applyFont="1" applyBorder="1" applyAlignment="1">
      <alignment horizontal="left" vertical="center" wrapText="1"/>
    </xf>
    <xf numFmtId="0" fontId="15" fillId="0" borderId="21" xfId="0" applyFont="1" applyBorder="1" applyAlignment="1">
      <alignment horizontal="left" vertical="center"/>
    </xf>
    <xf numFmtId="0" fontId="15" fillId="0" borderId="22" xfId="0" applyFont="1" applyBorder="1" applyAlignment="1">
      <alignment horizontal="left" vertical="center"/>
    </xf>
    <xf numFmtId="0" fontId="15" fillId="0" borderId="23" xfId="0" applyFont="1" applyBorder="1" applyAlignment="1">
      <alignment horizontal="left" vertical="center"/>
    </xf>
    <xf numFmtId="0" fontId="22" fillId="0" borderId="17" xfId="0" quotePrefix="1" applyFont="1" applyBorder="1" applyAlignment="1">
      <alignment horizontal="left" vertical="top" wrapText="1"/>
    </xf>
    <xf numFmtId="0" fontId="22" fillId="0" borderId="18" xfId="0" quotePrefix="1" applyFont="1" applyBorder="1" applyAlignment="1">
      <alignment horizontal="left" vertical="top" wrapText="1"/>
    </xf>
    <xf numFmtId="0" fontId="16" fillId="0" borderId="21" xfId="0" applyFont="1" applyBorder="1" applyAlignment="1">
      <alignment horizontal="left" vertical="center" wrapText="1"/>
    </xf>
    <xf numFmtId="0" fontId="16" fillId="0" borderId="22" xfId="0" applyFont="1" applyBorder="1" applyAlignment="1">
      <alignment horizontal="left" vertical="center"/>
    </xf>
    <xf numFmtId="0" fontId="16" fillId="0" borderId="23" xfId="0" applyFont="1" applyBorder="1" applyAlignment="1">
      <alignment horizontal="left" vertical="center"/>
    </xf>
    <xf numFmtId="0" fontId="22" fillId="5" borderId="21" xfId="0" applyFont="1" applyFill="1" applyBorder="1" applyAlignment="1">
      <alignment horizontal="left" vertical="center"/>
    </xf>
    <xf numFmtId="0" fontId="22" fillId="5" borderId="22" xfId="0" applyFont="1" applyFill="1" applyBorder="1" applyAlignment="1">
      <alignment horizontal="left" vertical="center"/>
    </xf>
    <xf numFmtId="0" fontId="22" fillId="5" borderId="23" xfId="0" applyFont="1" applyFill="1" applyBorder="1" applyAlignment="1">
      <alignment horizontal="left" vertical="center"/>
    </xf>
    <xf numFmtId="0" fontId="22" fillId="0" borderId="16" xfId="0" quotePrefix="1" applyFont="1" applyBorder="1" applyAlignment="1">
      <alignment horizontal="left" vertical="center"/>
    </xf>
    <xf numFmtId="0" fontId="22" fillId="0" borderId="17" xfId="0" quotePrefix="1" applyFont="1" applyBorder="1" applyAlignment="1">
      <alignment horizontal="left" vertical="center"/>
    </xf>
    <xf numFmtId="0" fontId="22" fillId="0" borderId="18" xfId="0" quotePrefix="1" applyFont="1" applyBorder="1" applyAlignment="1">
      <alignment horizontal="left" vertical="center"/>
    </xf>
    <xf numFmtId="0" fontId="22" fillId="0" borderId="16" xfId="0" applyFont="1" applyBorder="1" applyAlignment="1">
      <alignment horizontal="left" vertical="top"/>
    </xf>
    <xf numFmtId="0" fontId="22" fillId="0" borderId="17" xfId="0" applyFont="1" applyBorder="1" applyAlignment="1">
      <alignment horizontal="left" vertical="top"/>
    </xf>
    <xf numFmtId="0" fontId="22" fillId="0" borderId="18" xfId="0" applyFont="1" applyBorder="1" applyAlignment="1">
      <alignment horizontal="left" vertical="top"/>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6" fillId="0" borderId="23" xfId="0" applyFont="1" applyBorder="1" applyAlignment="1">
      <alignment horizontal="left" vertical="center"/>
    </xf>
    <xf numFmtId="0" fontId="14" fillId="5" borderId="21" xfId="0" applyFont="1" applyFill="1" applyBorder="1" applyAlignment="1">
      <alignment horizontal="left" vertical="center"/>
    </xf>
    <xf numFmtId="0" fontId="14" fillId="5" borderId="22" xfId="0" applyFont="1" applyFill="1" applyBorder="1" applyAlignment="1">
      <alignment horizontal="left" vertical="center"/>
    </xf>
    <xf numFmtId="0" fontId="14" fillId="5" borderId="23" xfId="0" applyFont="1" applyFill="1" applyBorder="1" applyAlignment="1">
      <alignment horizontal="left" vertical="center"/>
    </xf>
    <xf numFmtId="0" fontId="22" fillId="0" borderId="16" xfId="0" applyFont="1" applyBorder="1" applyAlignment="1">
      <alignment horizontal="left" vertical="center"/>
    </xf>
    <xf numFmtId="0" fontId="22" fillId="0" borderId="18" xfId="0" applyFont="1" applyBorder="1" applyAlignment="1">
      <alignment horizontal="left" vertical="center"/>
    </xf>
    <xf numFmtId="0" fontId="22" fillId="0" borderId="17" xfId="0" applyFont="1" applyBorder="1" applyAlignment="1">
      <alignment horizontal="left" vertical="center"/>
    </xf>
    <xf numFmtId="0" fontId="22" fillId="0" borderId="16" xfId="0" quotePrefix="1" applyFont="1" applyBorder="1" applyAlignment="1">
      <alignment horizontal="center" vertical="center"/>
    </xf>
    <xf numFmtId="0" fontId="22" fillId="0" borderId="17" xfId="0" quotePrefix="1" applyFont="1" applyBorder="1" applyAlignment="1">
      <alignment horizontal="center" vertical="center"/>
    </xf>
    <xf numFmtId="0" fontId="22" fillId="0" borderId="18" xfId="0" quotePrefix="1" applyFont="1" applyBorder="1" applyAlignment="1">
      <alignment horizontal="center" vertical="center"/>
    </xf>
    <xf numFmtId="0" fontId="22" fillId="0" borderId="21" xfId="0" quotePrefix="1" applyFont="1" applyBorder="1" applyAlignment="1">
      <alignment horizontal="left" vertical="center"/>
    </xf>
    <xf numFmtId="0" fontId="22" fillId="0" borderId="22" xfId="0" quotePrefix="1" applyFont="1" applyBorder="1" applyAlignment="1">
      <alignment horizontal="left" vertical="center"/>
    </xf>
    <xf numFmtId="0" fontId="22" fillId="0" borderId="23" xfId="0" quotePrefix="1" applyFont="1" applyBorder="1" applyAlignment="1">
      <alignment horizontal="left" vertical="center"/>
    </xf>
    <xf numFmtId="0" fontId="22" fillId="0" borderId="21" xfId="0" quotePrefix="1" applyFont="1" applyBorder="1" applyAlignment="1">
      <alignment horizontal="left" vertical="center" wrapText="1"/>
    </xf>
    <xf numFmtId="0" fontId="2" fillId="4" borderId="21" xfId="0" applyFont="1" applyFill="1" applyBorder="1" applyAlignment="1">
      <alignment horizontal="center" vertical="center"/>
    </xf>
    <xf numFmtId="0" fontId="2" fillId="4" borderId="22" xfId="0" applyFont="1" applyFill="1" applyBorder="1" applyAlignment="1">
      <alignment horizontal="center" vertical="center"/>
    </xf>
    <xf numFmtId="0" fontId="2" fillId="4" borderId="23" xfId="0" applyFont="1" applyFill="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16" xfId="0" applyNumberForma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2" fillId="4" borderId="21" xfId="6" applyFont="1" applyFill="1" applyBorder="1" applyAlignment="1">
      <alignment horizontal="center" vertical="center"/>
    </xf>
    <xf numFmtId="0" fontId="2" fillId="4" borderId="22" xfId="6" applyFont="1" applyFill="1" applyBorder="1" applyAlignment="1">
      <alignment horizontal="center" vertical="center"/>
    </xf>
    <xf numFmtId="0" fontId="2" fillId="4" borderId="23" xfId="6" applyFont="1" applyFill="1" applyBorder="1" applyAlignment="1">
      <alignment horizontal="center" vertical="center"/>
    </xf>
    <xf numFmtId="0" fontId="3" fillId="0" borderId="16"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14" fontId="25" fillId="0" borderId="16" xfId="0" applyNumberFormat="1" applyFont="1" applyBorder="1" applyAlignment="1">
      <alignment horizontal="center" vertical="center"/>
    </xf>
    <xf numFmtId="0" fontId="25" fillId="0" borderId="17" xfId="0" applyFont="1" applyBorder="1" applyAlignment="1">
      <alignment horizontal="center" vertical="center"/>
    </xf>
    <xf numFmtId="0" fontId="25" fillId="0" borderId="18" xfId="0" applyFont="1" applyBorder="1" applyAlignment="1">
      <alignment horizontal="center" vertical="center"/>
    </xf>
    <xf numFmtId="0" fontId="25" fillId="0" borderId="16" xfId="0" applyFont="1" applyBorder="1" applyAlignment="1">
      <alignment horizontal="center" vertical="center"/>
    </xf>
    <xf numFmtId="0" fontId="25" fillId="0" borderId="24" xfId="0" applyFont="1" applyBorder="1"/>
    <xf numFmtId="0" fontId="25" fillId="0" borderId="25" xfId="0" applyFont="1" applyBorder="1"/>
    <xf numFmtId="0" fontId="25" fillId="0" borderId="26" xfId="0" applyFont="1" applyBorder="1"/>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5" xfId="0" applyFont="1" applyBorder="1" applyAlignment="1">
      <alignment horizontal="center" vertical="center"/>
    </xf>
    <xf numFmtId="0" fontId="25" fillId="0" borderId="27" xfId="0" applyFont="1" applyBorder="1"/>
    <xf numFmtId="0" fontId="25" fillId="0" borderId="28" xfId="0" applyFont="1" applyBorder="1"/>
    <xf numFmtId="0" fontId="25" fillId="0" borderId="29" xfId="0" applyFont="1" applyBorder="1"/>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17</xdr:row>
      <xdr:rowOff>179294</xdr:rowOff>
    </xdr:from>
    <xdr:to>
      <xdr:col>26</xdr:col>
      <xdr:colOff>0</xdr:colOff>
      <xdr:row>22</xdr:row>
      <xdr:rowOff>0</xdr:rowOff>
    </xdr:to>
    <xdr:sp macro="" textlink="" fLocksText="0">
      <xdr:nvSpPr>
        <xdr:cNvPr id="2" name="吹き出し: 線 10">
          <a:extLst>
            <a:ext uri="{FF2B5EF4-FFF2-40B4-BE49-F238E27FC236}">
              <a16:creationId xmlns:a16="http://schemas.microsoft.com/office/drawing/2014/main" id="{00000000-0008-0000-0200-000002000000}"/>
            </a:ext>
          </a:extLst>
        </xdr:cNvPr>
        <xdr:cNvSpPr/>
      </xdr:nvSpPr>
      <xdr:spPr>
        <a:xfrm>
          <a:off x="2400300" y="3533775"/>
          <a:ext cx="4533900" cy="771525"/>
        </a:xfrm>
        <a:prstGeom prst="borderCallout1">
          <a:avLst>
            <a:gd name="adj1" fmla="val 75416"/>
            <a:gd name="adj2" fmla="val -565"/>
            <a:gd name="adj3" fmla="val 57499"/>
            <a:gd name="adj4" fmla="val -16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処理方法・方式の説明</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xdr:colOff>
      <xdr:row>18</xdr:row>
      <xdr:rowOff>0</xdr:rowOff>
    </xdr:from>
    <xdr:to>
      <xdr:col>7</xdr:col>
      <xdr:colOff>2</xdr:colOff>
      <xdr:row>22</xdr:row>
      <xdr:rowOff>0</xdr:rowOff>
    </xdr:to>
    <xdr:sp macro="" textlink="" fLocksText="0">
      <xdr:nvSpPr>
        <xdr:cNvPr id="3" name="Rectangle 2">
          <a:extLst>
            <a:ext uri="{FF2B5EF4-FFF2-40B4-BE49-F238E27FC236}">
              <a16:creationId xmlns:a16="http://schemas.microsoft.com/office/drawing/2014/main" id="{00000000-0008-0000-0200-000003000000}"/>
            </a:ext>
          </a:extLst>
        </xdr:cNvPr>
        <xdr:cNvSpPr/>
      </xdr:nvSpPr>
      <xdr:spPr>
        <a:xfrm>
          <a:off x="266700" y="3543300"/>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000000"/>
              </a:solidFill>
              <a:latin typeface="Meiryo UI" panose="020B0604030504040204" pitchFamily="34" charset="-128"/>
              <a:ea typeface="Meiryo UI" panose="020B0604030504040204" pitchFamily="34" charset="-128"/>
            </a:rPr>
            <a:t>ステップ、処理内容</a:t>
          </a:r>
          <a:endParaRPr lang="en-US"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9</xdr:row>
      <xdr:rowOff>11206</xdr:rowOff>
    </xdr:from>
    <xdr:to>
      <xdr:col>5</xdr:col>
      <xdr:colOff>0</xdr:colOff>
      <xdr:row>11</xdr:row>
      <xdr:rowOff>0</xdr:rowOff>
    </xdr:to>
    <xdr:sp macro="" textlink="" fLocksText="0">
      <xdr:nvSpPr>
        <xdr:cNvPr id="4" name="Oval 3">
          <a:extLst>
            <a:ext uri="{FF2B5EF4-FFF2-40B4-BE49-F238E27FC236}">
              <a16:creationId xmlns:a16="http://schemas.microsoft.com/office/drawing/2014/main" id="{00000000-0008-0000-0200-000004000000}"/>
            </a:ext>
          </a:extLst>
        </xdr:cNvPr>
        <xdr:cNvSpPr/>
      </xdr:nvSpPr>
      <xdr:spPr>
        <a:xfrm>
          <a:off x="266700" y="1838325"/>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開始</a:t>
          </a:r>
        </a:p>
      </xdr:txBody>
    </xdr:sp>
    <xdr:clientData/>
  </xdr:twoCellAnchor>
  <xdr:twoCellAnchor>
    <xdr:from>
      <xdr:col>1</xdr:col>
      <xdr:colOff>0</xdr:colOff>
      <xdr:row>13</xdr:row>
      <xdr:rowOff>0</xdr:rowOff>
    </xdr:from>
    <xdr:to>
      <xdr:col>5</xdr:col>
      <xdr:colOff>0</xdr:colOff>
      <xdr:row>15</xdr:row>
      <xdr:rowOff>0</xdr:rowOff>
    </xdr:to>
    <xdr:sp macro="" textlink="" fLocksText="0">
      <xdr:nvSpPr>
        <xdr:cNvPr id="5" name="Oval 4">
          <a:extLst>
            <a:ext uri="{FF2B5EF4-FFF2-40B4-BE49-F238E27FC236}">
              <a16:creationId xmlns:a16="http://schemas.microsoft.com/office/drawing/2014/main" id="{00000000-0008-0000-0200-000005000000}"/>
            </a:ext>
          </a:extLst>
        </xdr:cNvPr>
        <xdr:cNvSpPr/>
      </xdr:nvSpPr>
      <xdr:spPr>
        <a:xfrm>
          <a:off x="266700" y="2590800"/>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終了</a:t>
          </a:r>
        </a:p>
      </xdr:txBody>
    </xdr:sp>
    <xdr:clientData/>
  </xdr:twoCellAnchor>
  <xdr:twoCellAnchor>
    <xdr:from>
      <xdr:col>9</xdr:col>
      <xdr:colOff>0</xdr:colOff>
      <xdr:row>9</xdr:row>
      <xdr:rowOff>0</xdr:rowOff>
    </xdr:from>
    <xdr:to>
      <xdr:col>26</xdr:col>
      <xdr:colOff>0</xdr:colOff>
      <xdr:row>11</xdr:row>
      <xdr:rowOff>0</xdr:rowOff>
    </xdr:to>
    <xdr:sp macro="" textlink="" fLocksText="0">
      <xdr:nvSpPr>
        <xdr:cNvPr id="6" name="吹き出し: 線 10">
          <a:extLst>
            <a:ext uri="{FF2B5EF4-FFF2-40B4-BE49-F238E27FC236}">
              <a16:creationId xmlns:a16="http://schemas.microsoft.com/office/drawing/2014/main" id="{00000000-0008-0000-0200-000006000000}"/>
            </a:ext>
          </a:extLst>
        </xdr:cNvPr>
        <xdr:cNvSpPr/>
      </xdr:nvSpPr>
      <xdr:spPr>
        <a:xfrm>
          <a:off x="2400300" y="1828800"/>
          <a:ext cx="4533900" cy="381000"/>
        </a:xfrm>
        <a:prstGeom prst="borderCallout1">
          <a:avLst>
            <a:gd name="adj1" fmla="val 75416"/>
            <a:gd name="adj2" fmla="val -565"/>
            <a:gd name="adj3" fmla="val 51617"/>
            <a:gd name="adj4" fmla="val -2408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API処理フロー開始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9</xdr:col>
      <xdr:colOff>0</xdr:colOff>
      <xdr:row>13</xdr:row>
      <xdr:rowOff>0</xdr:rowOff>
    </xdr:from>
    <xdr:to>
      <xdr:col>26</xdr:col>
      <xdr:colOff>0</xdr:colOff>
      <xdr:row>15</xdr:row>
      <xdr:rowOff>0</xdr:rowOff>
    </xdr:to>
    <xdr:sp macro="" textlink="" fLocksText="0">
      <xdr:nvSpPr>
        <xdr:cNvPr id="7" name="吹き出し: 線 10">
          <a:extLst>
            <a:ext uri="{FF2B5EF4-FFF2-40B4-BE49-F238E27FC236}">
              <a16:creationId xmlns:a16="http://schemas.microsoft.com/office/drawing/2014/main" id="{00000000-0008-0000-0200-000007000000}"/>
            </a:ext>
          </a:extLst>
        </xdr:cNvPr>
        <xdr:cNvSpPr/>
      </xdr:nvSpPr>
      <xdr:spPr>
        <a:xfrm>
          <a:off x="2400300" y="2590800"/>
          <a:ext cx="4533900" cy="381000"/>
        </a:xfrm>
        <a:prstGeom prst="borderCallout1">
          <a:avLst>
            <a:gd name="adj1" fmla="val 75416"/>
            <a:gd name="adj2" fmla="val -565"/>
            <a:gd name="adj3" fmla="val 45734"/>
            <a:gd name="adj4" fmla="val -2597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API処理フロー終了</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26</xdr:row>
      <xdr:rowOff>0</xdr:rowOff>
    </xdr:from>
    <xdr:to>
      <xdr:col>7</xdr:col>
      <xdr:colOff>0</xdr:colOff>
      <xdr:row>30</xdr:row>
      <xdr:rowOff>0</xdr:rowOff>
    </xdr:to>
    <xdr:sp macro="" textlink="" fLocksText="0">
      <xdr:nvSpPr>
        <xdr:cNvPr id="8" name="フローチャート: 書類 11">
          <a:extLst>
            <a:ext uri="{FF2B5EF4-FFF2-40B4-BE49-F238E27FC236}">
              <a16:creationId xmlns:a16="http://schemas.microsoft.com/office/drawing/2014/main" id="{00000000-0008-0000-0200-000008000000}"/>
            </a:ext>
          </a:extLst>
        </xdr:cNvPr>
        <xdr:cNvSpPr/>
      </xdr:nvSpPr>
      <xdr:spPr>
        <a:xfrm>
          <a:off x="266700" y="50673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9</xdr:col>
      <xdr:colOff>0</xdr:colOff>
      <xdr:row>26</xdr:row>
      <xdr:rowOff>0</xdr:rowOff>
    </xdr:from>
    <xdr:to>
      <xdr:col>26</xdr:col>
      <xdr:colOff>0</xdr:colOff>
      <xdr:row>30</xdr:row>
      <xdr:rowOff>0</xdr:rowOff>
    </xdr:to>
    <xdr:sp macro="" textlink="" fLocksText="0">
      <xdr:nvSpPr>
        <xdr:cNvPr id="9" name="吹き出し: 線 12">
          <a:extLst>
            <a:ext uri="{FF2B5EF4-FFF2-40B4-BE49-F238E27FC236}">
              <a16:creationId xmlns:a16="http://schemas.microsoft.com/office/drawing/2014/main" id="{00000000-0008-0000-0200-000009000000}"/>
            </a:ext>
          </a:extLst>
        </xdr:cNvPr>
        <xdr:cNvSpPr/>
      </xdr:nvSpPr>
      <xdr:spPr>
        <a:xfrm>
          <a:off x="2400300" y="50673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印刷帳票書類作成</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33</xdr:row>
      <xdr:rowOff>0</xdr:rowOff>
    </xdr:from>
    <xdr:to>
      <xdr:col>7</xdr:col>
      <xdr:colOff>0</xdr:colOff>
      <xdr:row>37</xdr:row>
      <xdr:rowOff>179294</xdr:rowOff>
    </xdr:to>
    <xdr:sp macro="" textlink="" fLocksText="0">
      <xdr:nvSpPr>
        <xdr:cNvPr id="10" name="Flowchart: Decision 9">
          <a:extLst>
            <a:ext uri="{FF2B5EF4-FFF2-40B4-BE49-F238E27FC236}">
              <a16:creationId xmlns:a16="http://schemas.microsoft.com/office/drawing/2014/main" id="{00000000-0008-0000-0200-00000A000000}"/>
            </a:ext>
          </a:extLst>
        </xdr:cNvPr>
        <xdr:cNvSpPr/>
      </xdr:nvSpPr>
      <xdr:spPr>
        <a:xfrm>
          <a:off x="266700" y="64008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panose="020B0604030504040204" pitchFamily="34" charset="-128"/>
              <a:ea typeface="Meiryo UI" panose="020B0604030504040204" pitchFamily="34" charset="-128"/>
            </a:rPr>
            <a:t>4.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9</xdr:col>
      <xdr:colOff>0</xdr:colOff>
      <xdr:row>33</xdr:row>
      <xdr:rowOff>0</xdr:rowOff>
    </xdr:from>
    <xdr:to>
      <xdr:col>26</xdr:col>
      <xdr:colOff>0</xdr:colOff>
      <xdr:row>37</xdr:row>
      <xdr:rowOff>0</xdr:rowOff>
    </xdr:to>
    <xdr:sp macro="" textlink="" fLocksText="0">
      <xdr:nvSpPr>
        <xdr:cNvPr id="11" name="吹き出し: 線 12">
          <a:extLst>
            <a:ext uri="{FF2B5EF4-FFF2-40B4-BE49-F238E27FC236}">
              <a16:creationId xmlns:a16="http://schemas.microsoft.com/office/drawing/2014/main" id="{00000000-0008-0000-0200-00000B000000}"/>
            </a:ext>
          </a:extLst>
        </xdr:cNvPr>
        <xdr:cNvSpPr/>
      </xdr:nvSpPr>
      <xdr:spPr>
        <a:xfrm>
          <a:off x="2400300" y="6400800"/>
          <a:ext cx="4533900" cy="762000"/>
        </a:xfrm>
        <a:prstGeom prst="borderCallout1">
          <a:avLst>
            <a:gd name="adj1" fmla="val 75416"/>
            <a:gd name="adj2" fmla="val -565"/>
            <a:gd name="adj3" fmla="val 42793"/>
            <a:gd name="adj4" fmla="val -1961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分岐ロジック</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0</xdr:colOff>
      <xdr:row>41</xdr:row>
      <xdr:rowOff>0</xdr:rowOff>
    </xdr:from>
    <xdr:to>
      <xdr:col>5</xdr:col>
      <xdr:colOff>0</xdr:colOff>
      <xdr:row>42</xdr:row>
      <xdr:rowOff>0</xdr:rowOff>
    </xdr:to>
    <xdr:sp macro="" textlink="" fLocksText="0">
      <xdr:nvSpPr>
        <xdr:cNvPr id="12" name="Rectangle 11">
          <a:extLst>
            <a:ext uri="{FF2B5EF4-FFF2-40B4-BE49-F238E27FC236}">
              <a16:creationId xmlns:a16="http://schemas.microsoft.com/office/drawing/2014/main" id="{00000000-0008-0000-0200-00000C000000}"/>
            </a:ext>
          </a:extLst>
        </xdr:cNvPr>
        <xdr:cNvSpPr/>
      </xdr:nvSpPr>
      <xdr:spPr>
        <a:xfrm>
          <a:off x="266700" y="7924800"/>
          <a:ext cx="1066800" cy="190500"/>
        </a:xfrm>
        <a:prstGeom prst="rect">
          <a:avLst/>
        </a:prstGeom>
        <a:solidFill>
          <a:schemeClr val="accent2">
            <a:lumMod val="75000"/>
          </a:schemeClr>
        </a:solidFill>
      </xdr:spPr>
      <xdr:style>
        <a:lnRef idx="2">
          <a:schemeClr val="accent3">
            <a:shade val="15000"/>
          </a:schemeClr>
        </a:lnRef>
        <a:fillRef idx="1">
          <a:schemeClr val="accent3"/>
        </a:fillRef>
        <a:effectRef idx="0">
          <a:schemeClr val="accent3"/>
        </a:effectRef>
        <a:fontRef idx="minor">
          <a:schemeClr val="bg1"/>
        </a:fontRef>
      </xdr:style>
      <xdr:txBody>
        <a:bodyPr vertOverflow="clip" horzOverflow="clip" anchor="ctr"/>
        <a:lstStyle/>
        <a:p>
          <a:pPr algn="ctr"/>
          <a:r>
            <a:rPr lang="en-US" sz="1100" b="0" i="0" u="none" baseline="0">
              <a:solidFill>
                <a:srgbClr val="FFFFFF"/>
              </a:solidFill>
              <a:latin typeface="Meiryo UI" panose="020B0604030504040204" pitchFamily="34" charset="-128"/>
              <a:ea typeface="Meiryo UI" panose="020B0604030504040204" pitchFamily="34" charset="-128"/>
            </a:rPr>
            <a:t>ログ記録</a:t>
          </a:r>
        </a:p>
      </xdr:txBody>
    </xdr:sp>
    <xdr:clientData/>
  </xdr:twoCellAnchor>
  <xdr:twoCellAnchor>
    <xdr:from>
      <xdr:col>9</xdr:col>
      <xdr:colOff>0</xdr:colOff>
      <xdr:row>41</xdr:row>
      <xdr:rowOff>0</xdr:rowOff>
    </xdr:from>
    <xdr:to>
      <xdr:col>26</xdr:col>
      <xdr:colOff>0</xdr:colOff>
      <xdr:row>43</xdr:row>
      <xdr:rowOff>0</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2400300" y="7924800"/>
          <a:ext cx="4533900" cy="381000"/>
        </a:xfrm>
        <a:prstGeom prst="borderCallout1">
          <a:avLst>
            <a:gd name="adj1" fmla="val 75416"/>
            <a:gd name="adj2" fmla="val -565"/>
            <a:gd name="adj3" fmla="val 6028"/>
            <a:gd name="adj4" fmla="val -2549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システム規定のフォーマットに従ってログを記録する。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0</xdr:rowOff>
    </xdr:from>
    <xdr:to>
      <xdr:col>8</xdr:col>
      <xdr:colOff>0</xdr:colOff>
      <xdr:row>9</xdr:row>
      <xdr:rowOff>179294</xdr:rowOff>
    </xdr:to>
    <xdr:sp macro="" textlink="" fLocksText="0">
      <xdr:nvSpPr>
        <xdr:cNvPr id="3" name="Oval 2">
          <a:extLst>
            <a:ext uri="{FF2B5EF4-FFF2-40B4-BE49-F238E27FC236}">
              <a16:creationId xmlns:a16="http://schemas.microsoft.com/office/drawing/2014/main" id="{00000000-0008-0000-0400-000003000000}"/>
            </a:ext>
          </a:extLst>
        </xdr:cNvPr>
        <xdr:cNvSpPr/>
      </xdr:nvSpPr>
      <xdr:spPr>
        <a:xfrm>
          <a:off x="1066800" y="1638300"/>
          <a:ext cx="1066800" cy="37147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開始</a:t>
          </a:r>
        </a:p>
      </xdr:txBody>
    </xdr:sp>
    <xdr:clientData/>
  </xdr:twoCellAnchor>
  <xdr:twoCellAnchor>
    <xdr:from>
      <xdr:col>3</xdr:col>
      <xdr:colOff>0</xdr:colOff>
      <xdr:row>12</xdr:row>
      <xdr:rowOff>11206</xdr:rowOff>
    </xdr:from>
    <xdr:to>
      <xdr:col>9</xdr:col>
      <xdr:colOff>0</xdr:colOff>
      <xdr:row>16</xdr:row>
      <xdr:rowOff>11206</xdr:rowOff>
    </xdr:to>
    <xdr:sp macro="" textlink="" fLocksText="0">
      <xdr:nvSpPr>
        <xdr:cNvPr id="4" name="Rectangle 3">
          <a:extLst>
            <a:ext uri="{FF2B5EF4-FFF2-40B4-BE49-F238E27FC236}">
              <a16:creationId xmlns:a16="http://schemas.microsoft.com/office/drawing/2014/main" id="{00000000-0008-0000-0400-000004000000}"/>
            </a:ext>
          </a:extLst>
        </xdr:cNvPr>
        <xdr:cNvSpPr/>
      </xdr:nvSpPr>
      <xdr:spPr>
        <a:xfrm>
          <a:off x="800100" y="2409825"/>
          <a:ext cx="1600200"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a:ea typeface="Meiryo UI"/>
            </a:rPr>
            <a:t>1. 対象レジ一覧を取得する。</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0</xdr:colOff>
      <xdr:row>9</xdr:row>
      <xdr:rowOff>179294</xdr:rowOff>
    </xdr:from>
    <xdr:to>
      <xdr:col>6</xdr:col>
      <xdr:colOff>1</xdr:colOff>
      <xdr:row>12</xdr:row>
      <xdr:rowOff>11206</xdr:rowOff>
    </xdr:to>
    <xdr:cxnSp macro="">
      <xdr:nvCxnSpPr>
        <xdr:cNvPr id="5" name="Straight Arrow Connector 4">
          <a:extLst>
            <a:ext uri="{FF2B5EF4-FFF2-40B4-BE49-F238E27FC236}">
              <a16:creationId xmlns:a16="http://schemas.microsoft.com/office/drawing/2014/main" id="{00000000-0008-0000-0400-000005000000}"/>
            </a:ext>
          </a:extLst>
        </xdr:cNvPr>
        <xdr:cNvCxnSpPr>
          <a:stCxn id="3" idx="4"/>
          <a:endCxn id="4" idx="0"/>
        </xdr:cNvCxnSpPr>
      </xdr:nvCxnSpPr>
      <xdr:spPr>
        <a:xfrm>
          <a:off x="1600200" y="2009775"/>
          <a:ext cx="0" cy="4000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35</xdr:col>
      <xdr:colOff>0</xdr:colOff>
      <xdr:row>5</xdr:row>
      <xdr:rowOff>179293</xdr:rowOff>
    </xdr:from>
    <xdr:to>
      <xdr:col>62</xdr:col>
      <xdr:colOff>0</xdr:colOff>
      <xdr:row>52</xdr:row>
      <xdr:rowOff>1</xdr:rowOff>
    </xdr:to>
    <xdr:sp macro="" textlink="" fLocksText="0">
      <xdr:nvSpPr>
        <xdr:cNvPr id="8" name="吹き出し: 線 2">
          <a:extLst>
            <a:ext uri="{FF2B5EF4-FFF2-40B4-BE49-F238E27FC236}">
              <a16:creationId xmlns:a16="http://schemas.microsoft.com/office/drawing/2014/main" id="{00000000-0008-0000-0400-000008000000}"/>
            </a:ext>
          </a:extLst>
        </xdr:cNvPr>
        <xdr:cNvSpPr/>
      </xdr:nvSpPr>
      <xdr:spPr>
        <a:xfrm>
          <a:off x="9334500" y="1247775"/>
          <a:ext cx="7200900" cy="8772525"/>
        </a:xfrm>
        <a:prstGeom prst="borderCallout1">
          <a:avLst>
            <a:gd name="adj1" fmla="val 51887"/>
            <a:gd name="adj2" fmla="val 470"/>
            <a:gd name="adj3" fmla="val 17041"/>
            <a:gd name="adj4" fmla="val -9760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SELECT c.store_code, s.name, c.instore_code, c.instore_type_code, c5.code_value, c.node_type_code, c1.property_name, c.button_layout_code, pm.button_layout_name_as, c.function_layout_code, c2.property_name, c.keyboard_layout_code, c3.property_name, c.receipt_message_code, c4.property_name, c.device_class_code, c.ip_address, c.mac_address, c.startup_time, c.morning_discount_excluded, c.mega_discount_excluded, c.customer_count_excluded,c.rate_customer_excluded,c.attendant_monitor_excluded, c.receipt_coupon_excluded, c.used_standard_price, c.pos_model, c.cash_machine_model, c.scanner_model, c.note1, c.note2, c.note3 FROM cash_register_master c </a:t>
          </a:r>
        </a:p>
        <a:p>
          <a:pPr algn="l"/>
          <a:r>
            <a:rPr lang="en-US" altLang="ja-JP" sz="1000" b="0" i="0" u="none" baseline="0">
              <a:solidFill>
                <a:srgbClr val="000000"/>
              </a:solidFill>
              <a:latin typeface="Meiryo UI"/>
              <a:ea typeface="Meiryo UI"/>
            </a:rPr>
            <a:t>LEFT JOIN stores s ON c.company_code = s.company_code AND c.store_code = s.store_code AND s.record_void_flag != 1</a:t>
          </a:r>
        </a:p>
        <a:p>
          <a:pPr algn="l"/>
          <a:r>
            <a:rPr lang="en-US" altLang="ja-JP" sz="1000" b="0" i="0" u="none" baseline="0">
              <a:solidFill>
                <a:srgbClr val="000000"/>
              </a:solidFill>
              <a:latin typeface="Meiryo UI"/>
              <a:ea typeface="Meiryo UI"/>
            </a:rPr>
            <a:t>LEFT JOIN </a:t>
          </a:r>
          <a:r>
            <a:rPr lang="en-US" altLang="ja-JP" sz="1000" b="0" i="0" u="none" baseline="0">
              <a:solidFill>
                <a:srgbClr val="0000FF"/>
              </a:solidFill>
              <a:latin typeface="Meiryo UI"/>
              <a:ea typeface="Meiryo UI"/>
            </a:rPr>
            <a:t>code_master</a:t>
          </a:r>
          <a:r>
            <a:rPr lang="en-US" altLang="ja-JP" sz="1000" b="0" i="0" u="none" baseline="0">
              <a:solidFill>
                <a:srgbClr val="000000"/>
              </a:solidFill>
              <a:latin typeface="Meiryo UI"/>
              <a:ea typeface="Meiryo UI"/>
            </a:rPr>
            <a:t> c1 </a:t>
          </a:r>
          <a:r>
            <a:rPr lang="en-US" altLang="ja-JP" sz="1000" b="0" i="0" u="none" baseline="0">
              <a:solidFill>
                <a:schemeClr val="tx1"/>
              </a:solidFill>
              <a:latin typeface="Meiryo UI"/>
              <a:ea typeface="Meiryo UI"/>
            </a:rPr>
            <a:t>ON</a:t>
          </a:r>
          <a:r>
            <a:rPr lang="en-US" altLang="ja-JP" sz="1000" b="0" i="0" u="none" baseline="0">
              <a:solidFill>
                <a:srgbClr val="00B050"/>
              </a:solidFill>
              <a:latin typeface="Meiryo UI"/>
              <a:ea typeface="Meiryo UI"/>
            </a:rPr>
            <a:t> c1.company_code = 99999 </a:t>
          </a:r>
          <a:r>
            <a:rPr lang="en-US" altLang="ja-JP" sz="1000" b="0" i="0" u="none" baseline="0">
              <a:solidFill>
                <a:srgbClr val="000000"/>
              </a:solidFill>
              <a:latin typeface="Meiryo UI"/>
              <a:ea typeface="Meiryo UI"/>
            </a:rPr>
            <a:t>AND c.type_node_code = c1.code_value and AND c1.master_code = </a:t>
          </a:r>
          <a:r>
            <a:rPr lang="en-US" altLang="ja-JP" sz="1000" b="0" i="0" u="none" baseline="0">
              <a:solidFill>
                <a:srgbClr val="0000FF"/>
              </a:solidFill>
              <a:latin typeface="Meiryo UI"/>
              <a:ea typeface="Meiryo UI"/>
            </a:rPr>
            <a:t>'</a:t>
          </a:r>
          <a:r>
            <a:rPr lang="en-US" altLang="ja-JP" sz="1000" b="0" i="0" u="none" baseline="0">
              <a:solidFill>
                <a:srgbClr val="00B050"/>
              </a:solidFill>
              <a:latin typeface="Meiryo UI"/>
              <a:ea typeface="Meiryo UI"/>
            </a:rPr>
            <a:t>MC0005</a:t>
          </a:r>
          <a:r>
            <a:rPr lang="en-US" altLang="ja-JP" sz="1000" b="0" i="0" u="none" baseline="0">
              <a:solidFill>
                <a:srgbClr val="000000"/>
              </a:solidFill>
              <a:latin typeface="Meiryo UI"/>
              <a:ea typeface="Meiryo UI"/>
            </a:rPr>
            <a:t>' AND c1.record_void_flag != 1</a:t>
          </a:r>
        </a:p>
        <a:p>
          <a:pPr algn="l"/>
          <a:r>
            <a:rPr lang="en-US" altLang="ja-JP" sz="1000" b="0" i="0" u="none" baseline="0">
              <a:solidFill>
                <a:srgbClr val="000000"/>
              </a:solidFill>
              <a:latin typeface="Meiryo UI"/>
              <a:ea typeface="Meiryo UI"/>
            </a:rPr>
            <a:t>LEFT JOIN </a:t>
          </a:r>
          <a:r>
            <a:rPr lang="en-US" altLang="ja-JP" sz="1000" b="0" i="0" u="none" baseline="0">
              <a:solidFill>
                <a:srgbClr val="0000FF"/>
              </a:solidFill>
              <a:latin typeface="Meiryo UI"/>
              <a:ea typeface="Meiryo UI"/>
            </a:rPr>
            <a:t>code_master</a:t>
          </a:r>
          <a:r>
            <a:rPr lang="en-US" altLang="ja-JP" sz="1000" b="0" i="0" u="none" baseline="0">
              <a:solidFill>
                <a:srgbClr val="000000"/>
              </a:solidFill>
              <a:latin typeface="Meiryo UI"/>
              <a:ea typeface="Meiryo UI"/>
            </a:rPr>
            <a:t> c2 ON c.company_code = c2.company_code AND c.function_layout_code = c2.code_value AND c2.master_code = </a:t>
          </a:r>
          <a:r>
            <a:rPr lang="en-US" altLang="ja-JP" sz="1000" b="0" i="0" u="none" baseline="0">
              <a:solidFill>
                <a:srgbClr val="0000FF"/>
              </a:solidFill>
              <a:latin typeface="Meiryo UI"/>
              <a:ea typeface="Meiryo UI"/>
            </a:rPr>
            <a:t>'MC7105</a:t>
          </a:r>
          <a:r>
            <a:rPr lang="en-US" altLang="ja-JP" sz="1000" b="0" i="0" u="none" baseline="0">
              <a:solidFill>
                <a:srgbClr val="000000"/>
              </a:solidFill>
              <a:latin typeface="Meiryo UI"/>
              <a:ea typeface="Meiryo UI"/>
            </a:rPr>
            <a:t>'  AND c2.record_void_flag != 1</a:t>
          </a:r>
        </a:p>
        <a:p>
          <a:pPr algn="l"/>
          <a:r>
            <a:rPr lang="en-US" altLang="ja-JP" sz="1000" b="0" i="0" u="none" baseline="0">
              <a:solidFill>
                <a:srgbClr val="000000"/>
              </a:solidFill>
              <a:latin typeface="Meiryo UI"/>
              <a:ea typeface="Meiryo UI"/>
            </a:rPr>
            <a:t>LEFT JOIN </a:t>
          </a:r>
          <a:r>
            <a:rPr lang="en-US" altLang="ja-JP" sz="1000" b="0" i="0" u="none" baseline="0">
              <a:solidFill>
                <a:srgbClr val="0000FF"/>
              </a:solidFill>
              <a:latin typeface="Meiryo UI"/>
              <a:ea typeface="Meiryo UI"/>
            </a:rPr>
            <a:t>code_master</a:t>
          </a:r>
          <a:r>
            <a:rPr lang="en-US" altLang="ja-JP" sz="1000" b="0" i="0" u="none" baseline="0">
              <a:solidFill>
                <a:srgbClr val="000000"/>
              </a:solidFill>
              <a:latin typeface="Meiryo UI"/>
              <a:ea typeface="Meiryo UI"/>
            </a:rPr>
            <a:t> c3 ON c.company_code = c3.company_code AND c.keyboard_layout_code = c3.code_value AND c3.master_code = </a:t>
          </a:r>
          <a:r>
            <a:rPr lang="en-US" altLang="ja-JP" sz="1000" b="0" i="0" u="none" baseline="0">
              <a:solidFill>
                <a:srgbClr val="0000FF"/>
              </a:solidFill>
              <a:latin typeface="Meiryo UI"/>
              <a:ea typeface="Meiryo UI"/>
            </a:rPr>
            <a:t>'MC7104</a:t>
          </a:r>
          <a:r>
            <a:rPr lang="en-US" altLang="ja-JP" sz="1000" b="0" i="0" u="none" baseline="0">
              <a:solidFill>
                <a:srgbClr val="000000"/>
              </a:solidFill>
              <a:latin typeface="Meiryo UI"/>
              <a:ea typeface="Meiryo UI"/>
            </a:rPr>
            <a:t>'  AND c3.record_void_flag != 1</a:t>
          </a:r>
        </a:p>
        <a:p>
          <a:pPr algn="l"/>
          <a:r>
            <a:rPr lang="en-US" altLang="ja-JP" sz="1000" b="0" i="0" u="none" baseline="0">
              <a:solidFill>
                <a:srgbClr val="000000"/>
              </a:solidFill>
              <a:latin typeface="Meiryo UI"/>
              <a:ea typeface="Meiryo UI"/>
            </a:rPr>
            <a:t>LEFT JOIN </a:t>
          </a:r>
          <a:r>
            <a:rPr lang="en-US" altLang="ja-JP" sz="1000" b="0" i="0" u="none" baseline="0">
              <a:solidFill>
                <a:srgbClr val="0000FF"/>
              </a:solidFill>
              <a:latin typeface="Meiryo UI"/>
              <a:ea typeface="Meiryo UI"/>
            </a:rPr>
            <a:t>code_master</a:t>
          </a:r>
          <a:r>
            <a:rPr lang="en-US" altLang="ja-JP" sz="1000" b="0" i="0" u="none" baseline="0">
              <a:solidFill>
                <a:srgbClr val="000000"/>
              </a:solidFill>
              <a:latin typeface="Meiryo UI"/>
              <a:ea typeface="Meiryo UI"/>
            </a:rPr>
            <a:t> c4 ON c.company_code = c4.company_code AND c.receipt_message_code = c4.code_value AND c4.master_code = 'MC8301' AND c4.record_void_flag != 1</a:t>
          </a:r>
        </a:p>
        <a:p>
          <a:pPr algn="l"/>
          <a:r>
            <a:rPr lang="en-US" altLang="ja-JP" sz="1000" b="0" i="0" u="none" baseline="0">
              <a:solidFill>
                <a:srgbClr val="0000FF"/>
              </a:solidFill>
              <a:latin typeface="Meiryo UI"/>
              <a:ea typeface="Meiryo UI"/>
            </a:rPr>
            <a:t>LEFT JOIN code_master c5 ON c.company_code = c5.company_code AND c.instore_type_code = c5.code_value AND c5.master_code = '</a:t>
          </a:r>
          <a:r>
            <a:rPr lang="en-US" altLang="ja-JP" sz="1000" b="0" i="0" u="none" baseline="0">
              <a:solidFill>
                <a:srgbClr val="00B050"/>
              </a:solidFill>
              <a:latin typeface="Meiryo UI"/>
              <a:ea typeface="Meiryo UI"/>
            </a:rPr>
            <a:t>MC0003</a:t>
          </a:r>
          <a:r>
            <a:rPr lang="en-US" altLang="ja-JP" sz="1000" b="0" i="0" u="none" baseline="0">
              <a:solidFill>
                <a:srgbClr val="0000FF"/>
              </a:solidFill>
              <a:latin typeface="Meiryo UI"/>
              <a:ea typeface="Meiryo UI"/>
            </a:rPr>
            <a:t>' AND c5.record_void_flag != 1</a:t>
          </a:r>
        </a:p>
        <a:p>
          <a:pPr algn="l"/>
          <a:r>
            <a:rPr lang="en-US" altLang="ja-JP" sz="1000" b="0" i="0" u="none" baseline="0">
              <a:solidFill>
                <a:srgbClr val="000000"/>
              </a:solidFill>
              <a:latin typeface="Meiryo UI"/>
              <a:ea typeface="Meiryo UI"/>
            </a:rPr>
            <a:t>LEFT JOIN (SELECT company_code as company_code_as, store_code AS store_code_as, button_layout_code AS button_layout_code_as, button_layout_name AS button_layout_name_as FROM master.preset_menus where company_code = {user.companyCode} and store_code = and {param.selected_stores} apply_date &lt;= now() and record_void_flag != 1</a:t>
          </a:r>
        </a:p>
        <a:p>
          <a:pPr algn="l"/>
          <a:r>
            <a:rPr lang="en-US" altLang="ja-JP" sz="1000" b="0" i="0" u="none" baseline="0">
              <a:solidFill>
                <a:srgbClr val="000000"/>
              </a:solidFill>
              <a:latin typeface="Meiryo UI"/>
              <a:ea typeface="Meiryo UI"/>
            </a:rPr>
            <a:t>and apply_date = ( SELECT max(sub.apply_date) FROM master.preset_menus AS sub WHERE sub.company_code = p.company_code and sub.storeCode = p.store_code AND</a:t>
          </a:r>
        </a:p>
        <a:p>
          <a:pPr algn="l"/>
          <a:r>
            <a:rPr lang="en-US" altLang="ja-JP" sz="1000" b="0" i="0" u="none" baseline="0">
              <a:solidFill>
                <a:srgbClr val="000000"/>
              </a:solidFill>
              <a:latin typeface="Meiryo UI"/>
              <a:ea typeface="Meiryo UI"/>
            </a:rPr>
            <a:t> sub.button_layout_code = p.button_layout_code AND sub.apply_date &lt; NOW() and sub.record_void_flag != 1) group by company_code, store_code, button_layout_code, button_layout_name) pm </a:t>
          </a:r>
        </a:p>
        <a:p>
          <a:pPr algn="l"/>
          <a:r>
            <a:rPr lang="en-US" altLang="ja-JP" sz="1000" b="0" i="0" u="none" baseline="0">
              <a:solidFill>
                <a:srgbClr val="000000"/>
              </a:solidFill>
              <a:latin typeface="Meiryo UI"/>
              <a:ea typeface="Meiryo UI"/>
            </a:rPr>
            <a:t>ON c.company_code = pm.company_code_as AND c.store_code = pm.store_code_as AND c.button_layout_code = pm.button_layout_code_as </a:t>
          </a:r>
        </a:p>
        <a:p>
          <a:pPr algn="l"/>
          <a:r>
            <a:rPr lang="en-US" altLang="ja-JP" sz="1000" b="0" i="0" u="none" baseline="0">
              <a:solidFill>
                <a:srgbClr val="000000"/>
              </a:solidFill>
              <a:latin typeface="Meiryo UI"/>
              <a:ea typeface="Meiryo UI"/>
            </a:rPr>
            <a:t>WHERE c.company_code = {user.companyCode} AND c.store_code IN {param.selected_stores} AND c.instore_code = param.cash_machine_no AND c.instore_type_code = {param.cash_machine_type}</a:t>
          </a:r>
        </a:p>
        <a:p>
          <a:pPr algn="l"/>
          <a:r>
            <a:rPr lang="en-US" altLang="ja-JP" sz="1000" b="0" i="0" u="none" baseline="0">
              <a:solidFill>
                <a:srgbClr val="000000"/>
              </a:solidFill>
              <a:latin typeface="Meiryo UI"/>
              <a:ea typeface="Meiryo UI"/>
            </a:rPr>
            <a:t>AND c.record_void_flag != 1
AND c.node_type_code = {param.typeNode}
AND c.button_layout_code = {param.buttonLayoutId}
AND c.function_layout_code = {param.functionLayoutId} </a:t>
          </a:r>
        </a:p>
        <a:p>
          <a:pPr algn="l"/>
          <a:r>
            <a:rPr lang="en-US" altLang="ja-JP" sz="1000" b="0" i="0" u="none" baseline="0">
              <a:solidFill>
                <a:srgbClr val="000000"/>
              </a:solidFill>
              <a:latin typeface="Meiryo UI"/>
              <a:ea typeface="Meiryo UI"/>
            </a:rPr>
            <a:t>AND c.keyboard_layout_code = {param.keyboardLayoutId} </a:t>
          </a:r>
        </a:p>
        <a:p>
          <a:pPr algn="l"/>
          <a:r>
            <a:rPr lang="en-US" altLang="ja-JP" sz="1000" b="0" i="0" u="none" baseline="0">
              <a:solidFill>
                <a:srgbClr val="000000"/>
              </a:solidFill>
              <a:latin typeface="Meiryo UI"/>
              <a:ea typeface="Meiryo UI"/>
            </a:rPr>
            <a:t>ORDER BY c.store_code ASC, CAST(c.instore_code as integer) ASC;</a:t>
          </a:r>
        </a:p>
      </xdr:txBody>
    </xdr:sp>
    <xdr:clientData/>
  </xdr:twoCellAnchor>
  <xdr:twoCellAnchor>
    <xdr:from>
      <xdr:col>4</xdr:col>
      <xdr:colOff>11206</xdr:colOff>
      <xdr:row>53</xdr:row>
      <xdr:rowOff>11206</xdr:rowOff>
    </xdr:from>
    <xdr:to>
      <xdr:col>8</xdr:col>
      <xdr:colOff>11206</xdr:colOff>
      <xdr:row>55</xdr:row>
      <xdr:rowOff>11205</xdr:rowOff>
    </xdr:to>
    <xdr:sp macro="" textlink="" fLocksText="0">
      <xdr:nvSpPr>
        <xdr:cNvPr id="9" name="Oval 8">
          <a:extLst>
            <a:ext uri="{FF2B5EF4-FFF2-40B4-BE49-F238E27FC236}">
              <a16:creationId xmlns:a16="http://schemas.microsoft.com/office/drawing/2014/main" id="{00000000-0008-0000-0400-000009000000}"/>
            </a:ext>
          </a:extLst>
        </xdr:cNvPr>
        <xdr:cNvSpPr/>
      </xdr:nvSpPr>
      <xdr:spPr>
        <a:xfrm>
          <a:off x="1076325" y="10220325"/>
          <a:ext cx="1066800" cy="38100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終了</a:t>
          </a:r>
        </a:p>
      </xdr:txBody>
    </xdr:sp>
    <xdr:clientData/>
  </xdr:twoCellAnchor>
  <xdr:twoCellAnchor>
    <xdr:from>
      <xdr:col>6</xdr:col>
      <xdr:colOff>1</xdr:colOff>
      <xdr:row>16</xdr:row>
      <xdr:rowOff>11206</xdr:rowOff>
    </xdr:from>
    <xdr:to>
      <xdr:col>6</xdr:col>
      <xdr:colOff>1</xdr:colOff>
      <xdr:row>30</xdr:row>
      <xdr:rowOff>0</xdr:rowOff>
    </xdr:to>
    <xdr:cxnSp macro="">
      <xdr:nvCxnSpPr>
        <xdr:cNvPr id="14" name="Straight Arrow Connector 13">
          <a:extLst>
            <a:ext uri="{FF2B5EF4-FFF2-40B4-BE49-F238E27FC236}">
              <a16:creationId xmlns:a16="http://schemas.microsoft.com/office/drawing/2014/main" id="{00000000-0008-0000-0400-00000E000000}"/>
            </a:ext>
          </a:extLst>
        </xdr:cNvPr>
        <xdr:cNvCxnSpPr>
          <a:stCxn id="4" idx="2"/>
          <a:endCxn id="7" idx="0"/>
        </xdr:cNvCxnSpPr>
      </xdr:nvCxnSpPr>
      <xdr:spPr>
        <a:xfrm>
          <a:off x="1600200" y="3171825"/>
          <a:ext cx="0" cy="2657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11206</xdr:colOff>
      <xdr:row>48</xdr:row>
      <xdr:rowOff>0</xdr:rowOff>
    </xdr:from>
    <xdr:to>
      <xdr:col>6</xdr:col>
      <xdr:colOff>11207</xdr:colOff>
      <xdr:row>53</xdr:row>
      <xdr:rowOff>11206</xdr:rowOff>
    </xdr:to>
    <xdr:cxnSp macro="">
      <xdr:nvCxnSpPr>
        <xdr:cNvPr id="15" name="Straight Arrow Connector 14">
          <a:extLst>
            <a:ext uri="{FF2B5EF4-FFF2-40B4-BE49-F238E27FC236}">
              <a16:creationId xmlns:a16="http://schemas.microsoft.com/office/drawing/2014/main" id="{00000000-0008-0000-0400-00000F000000}"/>
            </a:ext>
          </a:extLst>
        </xdr:cNvPr>
        <xdr:cNvCxnSpPr>
          <a:stCxn id="2" idx="2"/>
          <a:endCxn id="9" idx="0"/>
        </xdr:cNvCxnSpPr>
      </xdr:nvCxnSpPr>
      <xdr:spPr>
        <a:xfrm flipH="1">
          <a:off x="1609725" y="92583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34</xdr:col>
      <xdr:colOff>224116</xdr:colOff>
      <xdr:row>56</xdr:row>
      <xdr:rowOff>1</xdr:rowOff>
    </xdr:from>
    <xdr:to>
      <xdr:col>61</xdr:col>
      <xdr:colOff>224116</xdr:colOff>
      <xdr:row>62</xdr:row>
      <xdr:rowOff>1</xdr:rowOff>
    </xdr:to>
    <xdr:sp macro="" textlink="" fLocksText="0">
      <xdr:nvSpPr>
        <xdr:cNvPr id="16" name="吹き出し: 線 2">
          <a:extLst>
            <a:ext uri="{FF2B5EF4-FFF2-40B4-BE49-F238E27FC236}">
              <a16:creationId xmlns:a16="http://schemas.microsoft.com/office/drawing/2014/main" id="{00000000-0008-0000-0400-000010000000}"/>
            </a:ext>
          </a:extLst>
        </xdr:cNvPr>
        <xdr:cNvSpPr/>
      </xdr:nvSpPr>
      <xdr:spPr>
        <a:xfrm>
          <a:off x="8225116" y="10780060"/>
          <a:ext cx="6353735" cy="1143000"/>
        </a:xfrm>
        <a:prstGeom prst="borderCallout1">
          <a:avLst>
            <a:gd name="adj1" fmla="val 51887"/>
            <a:gd name="adj2" fmla="val 470"/>
            <a:gd name="adj3" fmla="val -375735"/>
            <a:gd name="adj4" fmla="val -1009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2. ステップ1の結果を確認する。</a:t>
          </a:r>
          <a:endParaRPr lang="vi-VN" altLang="ja-JP" sz="1000" b="0" i="0" u="none" baseline="0">
            <a:solidFill>
              <a:schemeClr val="tx1"/>
            </a:solidFill>
            <a:latin typeface="Meiryo UI"/>
            <a:ea typeface="Meiryo UI" panose="020B0604030504040204" pitchFamily="34" charset="-128"/>
          </a:endParaRP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データがない場合</a:t>
          </a:r>
          <a:r>
            <a:rPr lang="ja-JP" altLang="en-US" sz="1000" b="0" i="0" u="none" baseline="0">
              <a:solidFill>
                <a:srgbClr val="000000"/>
              </a:solidFill>
              <a:latin typeface="Meiryo UI"/>
              <a:ea typeface="Meiryo UI"/>
            </a:rPr>
            <a:t>、</a:t>
          </a:r>
          <a:r>
            <a:rPr lang="en-US" altLang="ja-JP" sz="1000" b="0" i="0" u="none" baseline="0">
              <a:solidFill>
                <a:srgbClr val="000000"/>
              </a:solidFill>
              <a:latin typeface="Meiryo UI"/>
              <a:ea typeface="Meiryo UI"/>
            </a:rPr>
            <a:t>以下のように返す。</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a:ea typeface="Meiryo UI"/>
            </a:rPr>
            <a:t>　</a:t>
          </a:r>
          <a:r>
            <a:rPr lang="en-US" altLang="ja-JP" sz="1000" b="0" i="0" u="none" baseline="0">
              <a:solidFill>
                <a:srgbClr val="000000"/>
              </a:solidFill>
              <a:latin typeface="Meiryo UI"/>
              <a:ea typeface="Meiryo UI"/>
            </a:rPr>
            <a:t>レスポンスコード = 404、エラーメッセージ = MSG_ERR_001</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データがある場合、ステップ3を実行する。</a:t>
          </a:r>
        </a:p>
      </xdr:txBody>
    </xdr:sp>
    <xdr:clientData/>
  </xdr:twoCellAnchor>
  <xdr:twoCellAnchor>
    <xdr:from>
      <xdr:col>3</xdr:col>
      <xdr:colOff>11206</xdr:colOff>
      <xdr:row>44</xdr:row>
      <xdr:rowOff>0</xdr:rowOff>
    </xdr:from>
    <xdr:to>
      <xdr:col>9</xdr:col>
      <xdr:colOff>11206</xdr:colOff>
      <xdr:row>48</xdr:row>
      <xdr:rowOff>0</xdr:rowOff>
    </xdr:to>
    <xdr:sp macro="" textlink="" fLocksText="0">
      <xdr:nvSpPr>
        <xdr:cNvPr id="2" name="Rectangle 1">
          <a:extLst>
            <a:ext uri="{FF2B5EF4-FFF2-40B4-BE49-F238E27FC236}">
              <a16:creationId xmlns:a16="http://schemas.microsoft.com/office/drawing/2014/main" id="{00000000-0008-0000-0400-000002000000}"/>
            </a:ext>
          </a:extLst>
        </xdr:cNvPr>
        <xdr:cNvSpPr/>
      </xdr:nvSpPr>
      <xdr:spPr>
        <a:xfrm>
          <a:off x="717177" y="8494059"/>
          <a:ext cx="1411941" cy="762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900" b="0" i="0" u="none" baseline="0">
              <a:solidFill>
                <a:srgbClr val="000000"/>
              </a:solidFill>
              <a:latin typeface="Meiryo UI"/>
              <a:ea typeface="Meiryo UI"/>
            </a:rPr>
            <a:t>3. CSVファイル作成</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30</xdr:row>
      <xdr:rowOff>0</xdr:rowOff>
    </xdr:from>
    <xdr:to>
      <xdr:col>9</xdr:col>
      <xdr:colOff>0</xdr:colOff>
      <xdr:row>34</xdr:row>
      <xdr:rowOff>179294</xdr:rowOff>
    </xdr:to>
    <xdr:sp macro="" textlink="" fLocksText="0">
      <xdr:nvSpPr>
        <xdr:cNvPr id="7" name="Flowchart: Decision 6">
          <a:extLst>
            <a:ext uri="{FF2B5EF4-FFF2-40B4-BE49-F238E27FC236}">
              <a16:creationId xmlns:a16="http://schemas.microsoft.com/office/drawing/2014/main" id="{00000000-0008-0000-0400-000007000000}"/>
            </a:ext>
          </a:extLst>
        </xdr:cNvPr>
        <xdr:cNvSpPr/>
      </xdr:nvSpPr>
      <xdr:spPr>
        <a:xfrm>
          <a:off x="800100" y="5829300"/>
          <a:ext cx="1600200" cy="942975"/>
        </a:xfrm>
        <a:prstGeom prst="flowChartDecision">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ctr"/>
          <a:r>
            <a:rPr lang="en-US" sz="800" b="0" i="0" u="none" baseline="0">
              <a:solidFill>
                <a:srgbClr val="FFFFFF"/>
              </a:solidFill>
              <a:latin typeface="Meiryo UI"/>
              <a:ea typeface="Meiryo UI"/>
            </a:rPr>
            <a:t>2. レコードが存在している</a:t>
          </a:r>
          <a:endParaRPr lang="en-US" sz="800">
            <a:latin typeface="Meiryo UI" panose="020B0604030504040204" pitchFamily="34" charset="-128"/>
            <a:ea typeface="Meiryo UI" panose="020B0604030504040204" pitchFamily="34" charset="-128"/>
          </a:endParaRPr>
        </a:p>
      </xdr:txBody>
    </xdr:sp>
    <xdr:clientData/>
  </xdr:twoCellAnchor>
  <xdr:twoCellAnchor>
    <xdr:from>
      <xdr:col>5</xdr:col>
      <xdr:colOff>0</xdr:colOff>
      <xdr:row>34</xdr:row>
      <xdr:rowOff>179294</xdr:rowOff>
    </xdr:from>
    <xdr:to>
      <xdr:col>7</xdr:col>
      <xdr:colOff>0</xdr:colOff>
      <xdr:row>35</xdr:row>
      <xdr:rowOff>179294</xdr:rowOff>
    </xdr:to>
    <xdr:sp macro="" textlink="" fLocksText="0">
      <xdr:nvSpPr>
        <xdr:cNvPr id="10" name="Flowchart: Process 9">
          <a:extLst>
            <a:ext uri="{FF2B5EF4-FFF2-40B4-BE49-F238E27FC236}">
              <a16:creationId xmlns:a16="http://schemas.microsoft.com/office/drawing/2014/main" id="{00000000-0008-0000-0400-00000A000000}"/>
            </a:ext>
          </a:extLst>
        </xdr:cNvPr>
        <xdr:cNvSpPr/>
      </xdr:nvSpPr>
      <xdr:spPr>
        <a:xfrm>
          <a:off x="1333500" y="67722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はい</a:t>
          </a:r>
        </a:p>
      </xdr:txBody>
    </xdr:sp>
    <xdr:clientData/>
  </xdr:twoCellAnchor>
  <xdr:twoCellAnchor>
    <xdr:from>
      <xdr:col>9</xdr:col>
      <xdr:colOff>0</xdr:colOff>
      <xdr:row>31</xdr:row>
      <xdr:rowOff>179294</xdr:rowOff>
    </xdr:from>
    <xdr:to>
      <xdr:col>11</xdr:col>
      <xdr:colOff>0</xdr:colOff>
      <xdr:row>32</xdr:row>
      <xdr:rowOff>179294</xdr:rowOff>
    </xdr:to>
    <xdr:sp macro="" textlink="" fLocksText="0">
      <xdr:nvSpPr>
        <xdr:cNvPr id="11" name="Flowchart: Process 10">
          <a:extLst>
            <a:ext uri="{FF2B5EF4-FFF2-40B4-BE49-F238E27FC236}">
              <a16:creationId xmlns:a16="http://schemas.microsoft.com/office/drawing/2014/main" id="{00000000-0008-0000-0400-00000B000000}"/>
            </a:ext>
          </a:extLst>
        </xdr:cNvPr>
        <xdr:cNvSpPr/>
      </xdr:nvSpPr>
      <xdr:spPr>
        <a:xfrm>
          <a:off x="2400300" y="6200775"/>
          <a:ext cx="533400" cy="190500"/>
        </a:xfrm>
        <a:prstGeom prst="flowChartProcess">
          <a:avLst/>
        </a:prstGeom>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ctr"/>
        <a:lstStyle/>
        <a:p>
          <a:pPr algn="ctr"/>
          <a:r>
            <a:rPr lang="en-US" sz="1100" b="0" i="0" u="none" baseline="0">
              <a:solidFill>
                <a:srgbClr val="FFFFFF"/>
              </a:solidFill>
              <a:latin typeface="Meiryo UI"/>
              <a:ea typeface="Meiryo UI"/>
            </a:rPr>
            <a:t>いいえ</a:t>
          </a:r>
        </a:p>
      </xdr:txBody>
    </xdr:sp>
    <xdr:clientData/>
  </xdr:twoCellAnchor>
  <xdr:twoCellAnchor>
    <xdr:from>
      <xdr:col>6</xdr:col>
      <xdr:colOff>11206</xdr:colOff>
      <xdr:row>32</xdr:row>
      <xdr:rowOff>84044</xdr:rowOff>
    </xdr:from>
    <xdr:to>
      <xdr:col>11</xdr:col>
      <xdr:colOff>0</xdr:colOff>
      <xdr:row>53</xdr:row>
      <xdr:rowOff>11206</xdr:rowOff>
    </xdr:to>
    <xdr:cxnSp macro="">
      <xdr:nvCxnSpPr>
        <xdr:cNvPr id="12" name="Connector: Elbow 11">
          <a:extLst>
            <a:ext uri="{FF2B5EF4-FFF2-40B4-BE49-F238E27FC236}">
              <a16:creationId xmlns:a16="http://schemas.microsoft.com/office/drawing/2014/main" id="{00000000-0008-0000-0400-00000C000000}"/>
            </a:ext>
          </a:extLst>
        </xdr:cNvPr>
        <xdr:cNvCxnSpPr>
          <a:stCxn id="11" idx="3"/>
          <a:endCxn id="9" idx="0"/>
        </xdr:cNvCxnSpPr>
      </xdr:nvCxnSpPr>
      <xdr:spPr>
        <a:xfrm flipH="1">
          <a:off x="1609725" y="6296025"/>
          <a:ext cx="1323975" cy="3924300"/>
        </a:xfrm>
        <a:prstGeom prst="bentConnector4">
          <a:avLst>
            <a:gd name="adj1" fmla="val -19615"/>
            <a:gd name="adj2" fmla="val 8862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35</xdr:row>
      <xdr:rowOff>179294</xdr:rowOff>
    </xdr:from>
    <xdr:to>
      <xdr:col>6</xdr:col>
      <xdr:colOff>11207</xdr:colOff>
      <xdr:row>44</xdr:row>
      <xdr:rowOff>0</xdr:rowOff>
    </xdr:to>
    <xdr:cxnSp macro="">
      <xdr:nvCxnSpPr>
        <xdr:cNvPr id="21" name="Straight Arrow Connector 20">
          <a:extLst>
            <a:ext uri="{FF2B5EF4-FFF2-40B4-BE49-F238E27FC236}">
              <a16:creationId xmlns:a16="http://schemas.microsoft.com/office/drawing/2014/main" id="{00000000-0008-0000-0400-000015000000}"/>
            </a:ext>
          </a:extLst>
        </xdr:cNvPr>
        <xdr:cNvCxnSpPr>
          <a:stCxn id="10" idx="2"/>
          <a:endCxn id="2" idx="0"/>
        </xdr:cNvCxnSpPr>
      </xdr:nvCxnSpPr>
      <xdr:spPr>
        <a:xfrm>
          <a:off x="1600200" y="6962775"/>
          <a:ext cx="9525" cy="1533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34</xdr:col>
      <xdr:colOff>224118</xdr:colOff>
      <xdr:row>63</xdr:row>
      <xdr:rowOff>100855</xdr:rowOff>
    </xdr:from>
    <xdr:to>
      <xdr:col>61</xdr:col>
      <xdr:colOff>224118</xdr:colOff>
      <xdr:row>67</xdr:row>
      <xdr:rowOff>105338</xdr:rowOff>
    </xdr:to>
    <xdr:sp macro="" textlink="" fLocksText="0">
      <xdr:nvSpPr>
        <xdr:cNvPr id="27" name="吹き出し: 線 2">
          <a:extLst>
            <a:ext uri="{FF2B5EF4-FFF2-40B4-BE49-F238E27FC236}">
              <a16:creationId xmlns:a16="http://schemas.microsoft.com/office/drawing/2014/main" id="{00000000-0008-0000-0400-00001B000000}"/>
            </a:ext>
          </a:extLst>
        </xdr:cNvPr>
        <xdr:cNvSpPr/>
      </xdr:nvSpPr>
      <xdr:spPr>
        <a:xfrm>
          <a:off x="8225118" y="12214414"/>
          <a:ext cx="6353735" cy="766483"/>
        </a:xfrm>
        <a:prstGeom prst="borderCallout1">
          <a:avLst>
            <a:gd name="adj1" fmla="val 51887"/>
            <a:gd name="adj2" fmla="val 470"/>
            <a:gd name="adj3" fmla="val -406920"/>
            <a:gd name="adj4" fmla="val -961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a:ea typeface="Meiryo UI"/>
            </a:rPr>
            <a:t>3. 30_機能設計_71_レジマスタ設定.xlsxのCSV形式シート、CSVサンプルシートに従ってCSVファイルを作成する。ヘッダーはーザーが表示している言語に従って設定される。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a:ea typeface="Meiryo UI"/>
            </a:rPr>
            <a:t>出力ファイル名：CashRegister_会社コード_yyyyMMddhhmm.csv</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39" customWidth="1"/>
    <col min="61" max="16384" width="2.77734375" style="39"/>
  </cols>
  <sheetData>
    <row r="1" spans="1:63" ht="24.95" customHeight="1" x14ac:dyDescent="0.25">
      <c r="A1" s="66" t="s">
        <v>79</v>
      </c>
      <c r="B1" s="67"/>
      <c r="C1" s="67"/>
      <c r="D1" s="67"/>
      <c r="E1" s="67"/>
      <c r="F1" s="67"/>
      <c r="G1" s="67"/>
      <c r="H1" s="67"/>
      <c r="I1" s="67"/>
      <c r="J1" s="68"/>
      <c r="K1" s="66" t="s">
        <v>80</v>
      </c>
      <c r="L1" s="67"/>
      <c r="M1" s="67"/>
      <c r="N1" s="67"/>
      <c r="O1" s="67"/>
      <c r="P1" s="67"/>
      <c r="Q1" s="67"/>
      <c r="R1" s="67"/>
      <c r="S1" s="67"/>
      <c r="T1" s="67"/>
      <c r="U1" s="67"/>
      <c r="V1" s="68"/>
      <c r="W1" s="76" t="s">
        <v>77</v>
      </c>
      <c r="X1" s="77"/>
      <c r="Y1" s="77"/>
      <c r="Z1" s="77"/>
      <c r="AA1" s="77"/>
      <c r="AB1" s="77"/>
      <c r="AC1" s="77"/>
      <c r="AD1" s="77"/>
      <c r="AE1" s="77"/>
      <c r="AF1" s="77"/>
      <c r="AG1" s="77"/>
      <c r="AH1" s="77"/>
      <c r="AI1" s="77"/>
      <c r="AJ1" s="77"/>
      <c r="AK1" s="77"/>
      <c r="AL1" s="77"/>
      <c r="AM1" s="77"/>
      <c r="AN1" s="77"/>
      <c r="AO1" s="78"/>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75" t="s">
        <v>76</v>
      </c>
      <c r="B2" s="70"/>
      <c r="C2" s="70"/>
      <c r="D2" s="70"/>
      <c r="E2" s="70"/>
      <c r="F2" s="70"/>
      <c r="G2" s="70"/>
      <c r="H2" s="70"/>
      <c r="I2" s="70"/>
      <c r="J2" s="71"/>
      <c r="K2" s="69" t="s">
        <v>1</v>
      </c>
      <c r="L2" s="70"/>
      <c r="M2" s="70"/>
      <c r="N2" s="70"/>
      <c r="O2" s="70"/>
      <c r="P2" s="70"/>
      <c r="Q2" s="70"/>
      <c r="R2" s="70"/>
      <c r="S2" s="70"/>
      <c r="T2" s="70"/>
      <c r="U2" s="70"/>
      <c r="V2" s="71"/>
      <c r="W2" s="79"/>
      <c r="X2" s="80"/>
      <c r="Y2" s="80"/>
      <c r="Z2" s="80"/>
      <c r="AA2" s="80"/>
      <c r="AB2" s="80"/>
      <c r="AC2" s="80"/>
      <c r="AD2" s="80"/>
      <c r="AE2" s="80"/>
      <c r="AF2" s="80"/>
      <c r="AG2" s="80"/>
      <c r="AH2" s="80"/>
      <c r="AI2" s="80"/>
      <c r="AJ2" s="80"/>
      <c r="AK2" s="80"/>
      <c r="AL2" s="80"/>
      <c r="AM2" s="80"/>
      <c r="AN2" s="80"/>
      <c r="AO2" s="81"/>
      <c r="AP2" s="69" t="str">
        <f>改訂履歴!$H$11</f>
        <v>DuNT</v>
      </c>
      <c r="AQ2" s="70"/>
      <c r="AR2" s="70"/>
      <c r="AS2" s="71"/>
      <c r="AT2" s="97">
        <f>改訂履歴!$B$11</f>
        <v>45499</v>
      </c>
      <c r="AU2" s="98"/>
      <c r="AV2" s="98"/>
      <c r="AW2" s="98"/>
      <c r="AX2" s="99"/>
      <c r="AY2" s="69" t="str">
        <f>LOOKUP(2,1/(改訂履歴!H11:H30000&lt;&gt;""),改訂履歴!H11:H30000)</f>
        <v>AnhTTP</v>
      </c>
      <c r="AZ2" s="70"/>
      <c r="BA2" s="70"/>
      <c r="BB2" s="71"/>
      <c r="BC2" s="97">
        <f>LOOKUP(2,1/(改訂履歴!B11:B30000&lt;&gt;""),改訂履歴!B11:B30000)</f>
        <v>45818</v>
      </c>
      <c r="BD2" s="98"/>
      <c r="BE2" s="98"/>
      <c r="BF2" s="98"/>
      <c r="BG2" s="99"/>
      <c r="BH2" s="91">
        <f>LOOKUP(2,1/(改訂履歴!O11:O30000&lt;&gt;""),改訂履歴!O11:O30000)</f>
        <v>0.44</v>
      </c>
      <c r="BI2" s="92"/>
      <c r="BJ2" s="92"/>
      <c r="BK2" s="93"/>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82"/>
      <c r="X3" s="83"/>
      <c r="Y3" s="83"/>
      <c r="Z3" s="83"/>
      <c r="AA3" s="83"/>
      <c r="AB3" s="83"/>
      <c r="AC3" s="83"/>
      <c r="AD3" s="83"/>
      <c r="AE3" s="83"/>
      <c r="AF3" s="83"/>
      <c r="AG3" s="83"/>
      <c r="AH3" s="83"/>
      <c r="AI3" s="83"/>
      <c r="AJ3" s="83"/>
      <c r="AK3" s="83"/>
      <c r="AL3" s="83"/>
      <c r="AM3" s="83"/>
      <c r="AN3" s="83"/>
      <c r="AO3" s="84"/>
      <c r="AP3" s="72"/>
      <c r="AQ3" s="73"/>
      <c r="AR3" s="73"/>
      <c r="AS3" s="74"/>
      <c r="AT3" s="100"/>
      <c r="AU3" s="101"/>
      <c r="AV3" s="101"/>
      <c r="AW3" s="101"/>
      <c r="AX3" s="102"/>
      <c r="AY3" s="72"/>
      <c r="AZ3" s="73"/>
      <c r="BA3" s="73"/>
      <c r="BB3" s="74"/>
      <c r="BC3" s="100"/>
      <c r="BD3" s="101"/>
      <c r="BE3" s="101"/>
      <c r="BF3" s="101"/>
      <c r="BG3" s="102"/>
      <c r="BH3" s="94"/>
      <c r="BI3" s="95"/>
      <c r="BJ3" s="95"/>
      <c r="BK3" s="96"/>
    </row>
    <row r="4" spans="1:63" ht="24.95" customHeight="1" x14ac:dyDescent="0.25">
      <c r="A4" s="66" t="s">
        <v>86</v>
      </c>
      <c r="B4" s="67"/>
      <c r="C4" s="67"/>
      <c r="D4" s="67"/>
      <c r="E4" s="67"/>
      <c r="F4" s="67"/>
      <c r="G4" s="68"/>
      <c r="H4" s="87" t="s">
        <v>37</v>
      </c>
      <c r="I4" s="88"/>
      <c r="J4" s="88"/>
      <c r="K4" s="88"/>
      <c r="L4" s="88"/>
      <c r="M4" s="88"/>
      <c r="N4" s="88"/>
      <c r="O4" s="88"/>
      <c r="P4" s="88"/>
      <c r="Q4" s="88"/>
      <c r="R4" s="88"/>
      <c r="S4" s="88"/>
      <c r="T4" s="89"/>
      <c r="U4" s="66" t="s">
        <v>87</v>
      </c>
      <c r="V4" s="67"/>
      <c r="W4" s="67"/>
      <c r="X4" s="67"/>
      <c r="Y4" s="68"/>
      <c r="Z4" s="90" t="s">
        <v>78</v>
      </c>
      <c r="AA4" s="88"/>
      <c r="AB4" s="88"/>
      <c r="AC4" s="88"/>
      <c r="AD4" s="88"/>
      <c r="AE4" s="88"/>
      <c r="AF4" s="88"/>
      <c r="AG4" s="88"/>
      <c r="AH4" s="88"/>
      <c r="AI4" s="88"/>
      <c r="AJ4" s="88"/>
      <c r="AK4" s="88"/>
      <c r="AL4" s="88"/>
      <c r="AM4" s="88"/>
      <c r="AN4" s="88"/>
      <c r="AO4" s="89"/>
      <c r="AP4" s="87" t="str">
        <f t="array" aca="1" ref="AP4" ca="1">RIGHT(CELL("filename",$A$1),LEN(CELL("filename",$A$1))-FIND("]",CELL("filename",$A$1)))</f>
        <v>‎表紙</v>
      </c>
      <c r="AQ4" s="88"/>
      <c r="AR4" s="88"/>
      <c r="AS4" s="88"/>
      <c r="AT4" s="88"/>
      <c r="AU4" s="88"/>
      <c r="AV4" s="88"/>
      <c r="AW4" s="88"/>
      <c r="AX4" s="88"/>
      <c r="AY4" s="88"/>
      <c r="AZ4" s="88"/>
      <c r="BA4" s="88"/>
      <c r="BB4" s="88"/>
      <c r="BC4" s="88"/>
      <c r="BD4" s="88"/>
      <c r="BE4" s="88"/>
      <c r="BF4" s="88"/>
      <c r="BG4" s="88"/>
      <c r="BH4" s="88"/>
      <c r="BI4" s="88"/>
      <c r="BJ4" s="88"/>
      <c r="BK4" s="89"/>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K7" s="44"/>
    </row>
    <row r="8" spans="1:63" ht="15" customHeight="1" x14ac:dyDescent="0.25">
      <c r="A8" s="43"/>
      <c r="BK8" s="44"/>
    </row>
    <row r="9" spans="1:63" ht="15" customHeight="1" x14ac:dyDescent="0.25">
      <c r="A9" s="43"/>
      <c r="BK9" s="44"/>
    </row>
    <row r="10" spans="1:63" ht="15" customHeight="1" x14ac:dyDescent="0.25">
      <c r="A10" s="43"/>
      <c r="BK10" s="44"/>
    </row>
    <row r="11" spans="1:63" ht="15" customHeight="1" x14ac:dyDescent="0.25">
      <c r="A11" s="43"/>
      <c r="BK11" s="44"/>
    </row>
    <row r="12" spans="1:63" ht="15" customHeight="1" x14ac:dyDescent="0.25">
      <c r="A12" s="43"/>
      <c r="BK12" s="44"/>
    </row>
    <row r="13" spans="1:63" ht="15" customHeight="1" x14ac:dyDescent="0.25">
      <c r="A13" s="43"/>
      <c r="BK13" s="44"/>
    </row>
    <row r="14" spans="1:63" ht="15" customHeight="1" thickBot="1" x14ac:dyDescent="0.3">
      <c r="A14" s="43"/>
      <c r="BK14" s="44"/>
    </row>
    <row r="15" spans="1:63" ht="15" customHeight="1" thickTop="1" x14ac:dyDescent="0.25">
      <c r="A15" s="43"/>
      <c r="K15" s="45"/>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7"/>
      <c r="BK15" s="44"/>
    </row>
    <row r="16" spans="1:63" ht="15" customHeight="1" x14ac:dyDescent="0.25">
      <c r="A16" s="43"/>
      <c r="K16" s="48"/>
      <c r="L16" s="85" t="s">
        <v>88</v>
      </c>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49"/>
      <c r="BK16" s="44"/>
    </row>
    <row r="17" spans="1:63" ht="15" customHeight="1" x14ac:dyDescent="0.25">
      <c r="A17" s="43"/>
      <c r="K17" s="48"/>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49"/>
      <c r="BK17" s="44"/>
    </row>
    <row r="18" spans="1:63" ht="15" customHeight="1" x14ac:dyDescent="0.25">
      <c r="A18" s="43"/>
      <c r="K18" s="48"/>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49"/>
      <c r="BK18" s="44"/>
    </row>
    <row r="19" spans="1:63" ht="15" customHeight="1" x14ac:dyDescent="0.25">
      <c r="A19" s="43"/>
      <c r="K19" s="48"/>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49"/>
      <c r="BK19" s="44"/>
    </row>
    <row r="20" spans="1:63" ht="15" customHeight="1" x14ac:dyDescent="0.25">
      <c r="A20" s="43"/>
      <c r="K20" s="48"/>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49"/>
      <c r="BK20" s="44"/>
    </row>
    <row r="21" spans="1:63" ht="15" customHeight="1" x14ac:dyDescent="0.25">
      <c r="A21" s="43"/>
      <c r="K21" s="48"/>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49"/>
      <c r="BK21" s="44"/>
    </row>
    <row r="22" spans="1:63" ht="15" customHeight="1" thickBot="1" x14ac:dyDescent="0.3">
      <c r="A22" s="43"/>
      <c r="K22" s="48"/>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49"/>
      <c r="BK22" s="44"/>
    </row>
    <row r="23" spans="1:63" ht="15" customHeight="1" x14ac:dyDescent="0.25">
      <c r="A23" s="43"/>
      <c r="K23" s="48"/>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49"/>
      <c r="BK23" s="44"/>
    </row>
    <row r="24" spans="1:63" ht="15" customHeight="1" x14ac:dyDescent="0.25">
      <c r="A24" s="43"/>
      <c r="K24" s="48"/>
      <c r="L24" s="86" t="str">
        <f>K2&amp;"/"&amp;H4&amp;"/"&amp;Z4</f>
        <v>POSサーバー/AP7107/API設計書</v>
      </c>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49"/>
      <c r="BK24" s="44"/>
    </row>
    <row r="25" spans="1:63" ht="15" customHeight="1" x14ac:dyDescent="0.25">
      <c r="A25" s="43"/>
      <c r="K25" s="48"/>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49"/>
      <c r="BK25" s="44"/>
    </row>
    <row r="26" spans="1:63" ht="15" customHeight="1" x14ac:dyDescent="0.25">
      <c r="A26" s="43"/>
      <c r="K26" s="48"/>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49"/>
      <c r="BK26" s="44"/>
    </row>
    <row r="27" spans="1:63" ht="15" customHeight="1" x14ac:dyDescent="0.25">
      <c r="A27" s="43"/>
      <c r="K27" s="48"/>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49"/>
      <c r="BK27" s="44"/>
    </row>
    <row r="28" spans="1:63" ht="15" customHeight="1" x14ac:dyDescent="0.25">
      <c r="A28" s="43"/>
      <c r="K28" s="48"/>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49"/>
      <c r="BK28" s="44"/>
    </row>
    <row r="29" spans="1:63" ht="15" customHeight="1" x14ac:dyDescent="0.25">
      <c r="A29" s="43"/>
      <c r="K29" s="48"/>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49"/>
      <c r="BK29" s="44"/>
    </row>
    <row r="30" spans="1:63" ht="15" customHeight="1" x14ac:dyDescent="0.25">
      <c r="A30" s="43"/>
      <c r="K30" s="48"/>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49"/>
      <c r="BK30" s="44"/>
    </row>
    <row r="31" spans="1:63" ht="15" customHeight="1" x14ac:dyDescent="0.25">
      <c r="A31" s="43"/>
      <c r="K31" s="48"/>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49"/>
      <c r="BK31" s="44"/>
    </row>
    <row r="32" spans="1:63" ht="15" customHeight="1" x14ac:dyDescent="0.25">
      <c r="A32" s="43"/>
      <c r="K32" s="48"/>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49"/>
      <c r="BK32" s="44"/>
    </row>
    <row r="33" spans="1:63" ht="15" customHeight="1" x14ac:dyDescent="0.25">
      <c r="A33" s="43"/>
      <c r="K33" s="48"/>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49"/>
      <c r="BK33" s="44"/>
    </row>
    <row r="34" spans="1:63" ht="15" customHeight="1" x14ac:dyDescent="0.25">
      <c r="A34" s="43"/>
      <c r="K34" s="48"/>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49"/>
      <c r="BK34" s="44"/>
    </row>
    <row r="35" spans="1:63" ht="15" customHeight="1" x14ac:dyDescent="0.25">
      <c r="A35" s="43"/>
      <c r="K35" s="48"/>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49"/>
      <c r="BK35" s="44"/>
    </row>
    <row r="36" spans="1:63" ht="15" customHeight="1" x14ac:dyDescent="0.25">
      <c r="A36" s="43"/>
      <c r="K36" s="48"/>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49"/>
      <c r="BK36" s="44"/>
    </row>
    <row r="37" spans="1:63" ht="15" customHeight="1" thickBot="1" x14ac:dyDescent="0.3">
      <c r="A37" s="43"/>
      <c r="K37" s="52"/>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4"/>
      <c r="BK37" s="44"/>
    </row>
    <row r="38" spans="1:63" ht="15" customHeight="1" thickTop="1" x14ac:dyDescent="0.25">
      <c r="A38" s="43"/>
      <c r="BK38" s="44"/>
    </row>
    <row r="39" spans="1:63" ht="15" customHeight="1" x14ac:dyDescent="0.25">
      <c r="A39" s="43"/>
      <c r="BK39" s="44"/>
    </row>
    <row r="40" spans="1:63" ht="15" customHeight="1" x14ac:dyDescent="0.25">
      <c r="A40" s="43"/>
      <c r="BK40" s="44"/>
    </row>
    <row r="41" spans="1:63" ht="15" customHeight="1" x14ac:dyDescent="0.25">
      <c r="A41" s="43"/>
      <c r="BK41" s="44"/>
    </row>
    <row r="42" spans="1:63" ht="15" customHeight="1" x14ac:dyDescent="0.25">
      <c r="A42" s="43"/>
      <c r="BK42" s="44"/>
    </row>
    <row r="43" spans="1:63" ht="15" customHeight="1" x14ac:dyDescent="0.25">
      <c r="A43" s="43"/>
      <c r="BK43" s="44"/>
    </row>
    <row r="44" spans="1:63" ht="15" customHeight="1" x14ac:dyDescent="0.25">
      <c r="A44" s="43"/>
      <c r="Q44" s="106" t="s">
        <v>89</v>
      </c>
      <c r="R44" s="107"/>
      <c r="S44" s="107"/>
      <c r="T44" s="107"/>
      <c r="U44" s="107"/>
      <c r="V44" s="107"/>
      <c r="W44" s="107"/>
      <c r="X44" s="107"/>
      <c r="Y44" s="107"/>
      <c r="Z44" s="108"/>
      <c r="AA44" s="106" t="s">
        <v>90</v>
      </c>
      <c r="AB44" s="107"/>
      <c r="AC44" s="107"/>
      <c r="AD44" s="107"/>
      <c r="AE44" s="107"/>
      <c r="AF44" s="107"/>
      <c r="AG44" s="107"/>
      <c r="AH44" s="107"/>
      <c r="AI44" s="107"/>
      <c r="AJ44" s="107"/>
      <c r="AK44" s="107"/>
      <c r="AL44" s="107"/>
      <c r="AM44" s="107"/>
      <c r="AN44" s="107"/>
      <c r="AO44" s="107"/>
      <c r="AP44" s="108"/>
      <c r="AQ44" s="106" t="s">
        <v>85</v>
      </c>
      <c r="AR44" s="107"/>
      <c r="AS44" s="107"/>
      <c r="AT44" s="107"/>
      <c r="AU44" s="108"/>
      <c r="BK44" s="44"/>
    </row>
    <row r="45" spans="1:63" ht="15" customHeight="1" x14ac:dyDescent="0.25">
      <c r="A45" s="43"/>
      <c r="Q45" s="109"/>
      <c r="R45" s="110"/>
      <c r="S45" s="110"/>
      <c r="T45" s="110"/>
      <c r="U45" s="110"/>
      <c r="V45" s="110"/>
      <c r="W45" s="110"/>
      <c r="X45" s="110"/>
      <c r="Y45" s="110"/>
      <c r="Z45" s="111"/>
      <c r="AA45" s="109"/>
      <c r="AB45" s="110"/>
      <c r="AC45" s="110"/>
      <c r="AD45" s="110"/>
      <c r="AE45" s="110"/>
      <c r="AF45" s="110"/>
      <c r="AG45" s="110"/>
      <c r="AH45" s="110"/>
      <c r="AI45" s="110"/>
      <c r="AJ45" s="110"/>
      <c r="AK45" s="110"/>
      <c r="AL45" s="110"/>
      <c r="AM45" s="110"/>
      <c r="AN45" s="110"/>
      <c r="AO45" s="110"/>
      <c r="AP45" s="111"/>
      <c r="AQ45" s="109"/>
      <c r="AR45" s="110"/>
      <c r="AS45" s="110"/>
      <c r="AT45" s="110"/>
      <c r="AU45" s="111"/>
      <c r="BK45" s="44"/>
    </row>
    <row r="46" spans="1:63" ht="15" customHeight="1" x14ac:dyDescent="0.25">
      <c r="A46" s="43"/>
      <c r="Q46" s="69"/>
      <c r="R46" s="70"/>
      <c r="S46" s="70"/>
      <c r="T46" s="70"/>
      <c r="U46" s="70"/>
      <c r="V46" s="70"/>
      <c r="W46" s="70"/>
      <c r="X46" s="70"/>
      <c r="Y46" s="70"/>
      <c r="Z46" s="71"/>
      <c r="AA46" s="69"/>
      <c r="AB46" s="70"/>
      <c r="AC46" s="70"/>
      <c r="AD46" s="70"/>
      <c r="AE46" s="70"/>
      <c r="AF46" s="70"/>
      <c r="AG46" s="70"/>
      <c r="AH46" s="70"/>
      <c r="AI46" s="70"/>
      <c r="AJ46" s="70"/>
      <c r="AK46" s="70"/>
      <c r="AL46" s="70"/>
      <c r="AM46" s="70"/>
      <c r="AN46" s="70"/>
      <c r="AO46" s="70"/>
      <c r="AP46" s="71"/>
      <c r="AQ46" s="69"/>
      <c r="AR46" s="70"/>
      <c r="AS46" s="70"/>
      <c r="AT46" s="70"/>
      <c r="AU46" s="71"/>
      <c r="BK46" s="44"/>
    </row>
    <row r="47" spans="1:63" ht="15" customHeight="1" x14ac:dyDescent="0.25">
      <c r="A47" s="43"/>
      <c r="Q47" s="103"/>
      <c r="R47" s="104"/>
      <c r="S47" s="104"/>
      <c r="T47" s="104"/>
      <c r="U47" s="104"/>
      <c r="V47" s="104"/>
      <c r="W47" s="104"/>
      <c r="X47" s="104"/>
      <c r="Y47" s="104"/>
      <c r="Z47" s="105"/>
      <c r="AA47" s="103"/>
      <c r="AB47" s="104"/>
      <c r="AC47" s="104"/>
      <c r="AD47" s="104"/>
      <c r="AE47" s="104"/>
      <c r="AF47" s="104"/>
      <c r="AG47" s="104"/>
      <c r="AH47" s="104"/>
      <c r="AI47" s="104"/>
      <c r="AJ47" s="104"/>
      <c r="AK47" s="104"/>
      <c r="AL47" s="104"/>
      <c r="AM47" s="104"/>
      <c r="AN47" s="104"/>
      <c r="AO47" s="104"/>
      <c r="AP47" s="105"/>
      <c r="AQ47" s="103"/>
      <c r="AR47" s="104"/>
      <c r="AS47" s="104"/>
      <c r="AT47" s="104"/>
      <c r="AU47" s="105"/>
      <c r="BK47" s="44"/>
    </row>
    <row r="48" spans="1:63" ht="15" customHeight="1" x14ac:dyDescent="0.25">
      <c r="A48" s="43"/>
      <c r="Q48" s="103"/>
      <c r="R48" s="104"/>
      <c r="S48" s="104"/>
      <c r="T48" s="104"/>
      <c r="U48" s="104"/>
      <c r="V48" s="104"/>
      <c r="W48" s="104"/>
      <c r="X48" s="104"/>
      <c r="Y48" s="104"/>
      <c r="Z48" s="105"/>
      <c r="AA48" s="103"/>
      <c r="AB48" s="104"/>
      <c r="AC48" s="104"/>
      <c r="AD48" s="104"/>
      <c r="AE48" s="104"/>
      <c r="AF48" s="104"/>
      <c r="AG48" s="104"/>
      <c r="AH48" s="104"/>
      <c r="AI48" s="104"/>
      <c r="AJ48" s="104"/>
      <c r="AK48" s="104"/>
      <c r="AL48" s="104"/>
      <c r="AM48" s="104"/>
      <c r="AN48" s="104"/>
      <c r="AO48" s="104"/>
      <c r="AP48" s="105"/>
      <c r="AQ48" s="103"/>
      <c r="AR48" s="104"/>
      <c r="AS48" s="104"/>
      <c r="AT48" s="104"/>
      <c r="AU48" s="105"/>
      <c r="BK48" s="44"/>
    </row>
    <row r="49" spans="1:63" ht="15" customHeight="1" x14ac:dyDescent="0.25">
      <c r="A49" s="43"/>
      <c r="Q49" s="72"/>
      <c r="R49" s="73"/>
      <c r="S49" s="73"/>
      <c r="T49" s="73"/>
      <c r="U49" s="73"/>
      <c r="V49" s="73"/>
      <c r="W49" s="73"/>
      <c r="X49" s="73"/>
      <c r="Y49" s="73"/>
      <c r="Z49" s="74"/>
      <c r="AA49" s="72"/>
      <c r="AB49" s="73"/>
      <c r="AC49" s="73"/>
      <c r="AD49" s="73"/>
      <c r="AE49" s="73"/>
      <c r="AF49" s="73"/>
      <c r="AG49" s="73"/>
      <c r="AH49" s="73"/>
      <c r="AI49" s="73"/>
      <c r="AJ49" s="73"/>
      <c r="AK49" s="73"/>
      <c r="AL49" s="73"/>
      <c r="AM49" s="73"/>
      <c r="AN49" s="73"/>
      <c r="AO49" s="73"/>
      <c r="AP49" s="74"/>
      <c r="AQ49" s="72"/>
      <c r="AR49" s="73"/>
      <c r="AS49" s="73"/>
      <c r="AT49" s="73"/>
      <c r="AU49" s="74"/>
      <c r="BK49" s="44"/>
    </row>
    <row r="50" spans="1:63" ht="15" customHeight="1" x14ac:dyDescent="0.25">
      <c r="A50" s="43"/>
      <c r="BK50" s="44"/>
    </row>
    <row r="51" spans="1:63" ht="15" customHeight="1" x14ac:dyDescent="0.25">
      <c r="A51" s="43"/>
      <c r="BK51" s="44"/>
    </row>
    <row r="52" spans="1:63" ht="15" customHeight="1" x14ac:dyDescent="0.25">
      <c r="A52" s="43"/>
      <c r="BK52" s="44"/>
    </row>
    <row r="53" spans="1:63" ht="15" customHeight="1" x14ac:dyDescent="0.25">
      <c r="A53" s="43"/>
      <c r="BK53" s="44"/>
    </row>
    <row r="54" spans="1:63" ht="15" customHeight="1" x14ac:dyDescent="0.25">
      <c r="A54" s="43"/>
      <c r="BK54" s="44"/>
    </row>
    <row r="55" spans="1:63" ht="15" customHeight="1" x14ac:dyDescent="0.25">
      <c r="A55" s="40"/>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2"/>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62"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B050"/>
    <pageSetUpPr fitToPage="1"/>
  </sheetPr>
  <dimension ref="A1:BK55"/>
  <sheetViews>
    <sheetView view="pageBreakPreview" zoomScale="85" zoomScaleNormal="75" zoomScaleSheetLayoutView="85" workbookViewId="0">
      <selection activeCell="S32" sqref="S32:AW33"/>
    </sheetView>
  </sheetViews>
  <sheetFormatPr defaultColWidth="2.77734375" defaultRowHeight="15.75" customHeight="1" x14ac:dyDescent="0.25"/>
  <cols>
    <col min="1" max="60" width="2.77734375" style="39" customWidth="1"/>
    <col min="61" max="16384" width="2.77734375" style="39"/>
  </cols>
  <sheetData>
    <row r="1" spans="1:63" ht="24.95" customHeight="1" x14ac:dyDescent="0.25">
      <c r="A1" s="66" t="s">
        <v>79</v>
      </c>
      <c r="B1" s="67"/>
      <c r="C1" s="67"/>
      <c r="D1" s="67"/>
      <c r="E1" s="67"/>
      <c r="F1" s="67"/>
      <c r="G1" s="67"/>
      <c r="H1" s="67"/>
      <c r="I1" s="67"/>
      <c r="J1" s="68"/>
      <c r="K1" s="66" t="s">
        <v>80</v>
      </c>
      <c r="L1" s="67"/>
      <c r="M1" s="67"/>
      <c r="N1" s="67"/>
      <c r="O1" s="67"/>
      <c r="P1" s="67"/>
      <c r="Q1" s="67"/>
      <c r="R1" s="67"/>
      <c r="S1" s="67"/>
      <c r="T1" s="67"/>
      <c r="U1" s="67"/>
      <c r="V1" s="68"/>
      <c r="W1" s="112" t="s">
        <v>77</v>
      </c>
      <c r="X1" s="77"/>
      <c r="Y1" s="77"/>
      <c r="Z1" s="77"/>
      <c r="AA1" s="77"/>
      <c r="AB1" s="77"/>
      <c r="AC1" s="77"/>
      <c r="AD1" s="77"/>
      <c r="AE1" s="77"/>
      <c r="AF1" s="77"/>
      <c r="AG1" s="77"/>
      <c r="AH1" s="77"/>
      <c r="AI1" s="77"/>
      <c r="AJ1" s="77"/>
      <c r="AK1" s="77"/>
      <c r="AL1" s="77"/>
      <c r="AM1" s="77"/>
      <c r="AN1" s="77"/>
      <c r="AO1" s="78"/>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69" t="s">
        <v>76</v>
      </c>
      <c r="B2" s="70"/>
      <c r="C2" s="70"/>
      <c r="D2" s="70"/>
      <c r="E2" s="70"/>
      <c r="F2" s="70"/>
      <c r="G2" s="70"/>
      <c r="H2" s="70"/>
      <c r="I2" s="70"/>
      <c r="J2" s="71"/>
      <c r="K2" s="69" t="s">
        <v>76</v>
      </c>
      <c r="L2" s="70"/>
      <c r="M2" s="70"/>
      <c r="N2" s="70"/>
      <c r="O2" s="70"/>
      <c r="P2" s="70"/>
      <c r="Q2" s="70"/>
      <c r="R2" s="70"/>
      <c r="S2" s="70"/>
      <c r="T2" s="70"/>
      <c r="U2" s="70"/>
      <c r="V2" s="71"/>
      <c r="W2" s="79"/>
      <c r="X2" s="80"/>
      <c r="Y2" s="80"/>
      <c r="Z2" s="80"/>
      <c r="AA2" s="80"/>
      <c r="AB2" s="80"/>
      <c r="AC2" s="80"/>
      <c r="AD2" s="80"/>
      <c r="AE2" s="80"/>
      <c r="AF2" s="80"/>
      <c r="AG2" s="80"/>
      <c r="AH2" s="80"/>
      <c r="AI2" s="80"/>
      <c r="AJ2" s="80"/>
      <c r="AK2" s="80"/>
      <c r="AL2" s="80"/>
      <c r="AM2" s="80"/>
      <c r="AN2" s="80"/>
      <c r="AO2" s="81"/>
      <c r="AP2" s="69" t="s">
        <v>74</v>
      </c>
      <c r="AQ2" s="70"/>
      <c r="AR2" s="70"/>
      <c r="AS2" s="71"/>
      <c r="AT2" s="97">
        <v>45499</v>
      </c>
      <c r="AU2" s="98"/>
      <c r="AV2" s="98"/>
      <c r="AW2" s="98"/>
      <c r="AX2" s="99"/>
      <c r="AY2" s="69" t="s">
        <v>74</v>
      </c>
      <c r="AZ2" s="70"/>
      <c r="BA2" s="70"/>
      <c r="BB2" s="71"/>
      <c r="BC2" s="97">
        <v>45812</v>
      </c>
      <c r="BD2" s="98"/>
      <c r="BE2" s="98"/>
      <c r="BF2" s="98"/>
      <c r="BG2" s="99"/>
      <c r="BH2" s="69">
        <v>0.43</v>
      </c>
      <c r="BI2" s="70"/>
      <c r="BJ2" s="70"/>
      <c r="BK2" s="71"/>
    </row>
    <row r="3" spans="1:63" ht="15" customHeight="1" x14ac:dyDescent="0.25">
      <c r="A3" s="72"/>
      <c r="B3" s="73"/>
      <c r="C3" s="73"/>
      <c r="D3" s="73"/>
      <c r="E3" s="73"/>
      <c r="F3" s="73"/>
      <c r="G3" s="73"/>
      <c r="H3" s="73"/>
      <c r="I3" s="73"/>
      <c r="J3" s="74"/>
      <c r="K3" s="72"/>
      <c r="L3" s="73"/>
      <c r="M3" s="73"/>
      <c r="N3" s="73"/>
      <c r="O3" s="73"/>
      <c r="P3" s="73"/>
      <c r="Q3" s="73"/>
      <c r="R3" s="73"/>
      <c r="S3" s="73"/>
      <c r="T3" s="73"/>
      <c r="U3" s="73"/>
      <c r="V3" s="74"/>
      <c r="W3" s="82"/>
      <c r="X3" s="83"/>
      <c r="Y3" s="83"/>
      <c r="Z3" s="83"/>
      <c r="AA3" s="83"/>
      <c r="AB3" s="83"/>
      <c r="AC3" s="83"/>
      <c r="AD3" s="83"/>
      <c r="AE3" s="83"/>
      <c r="AF3" s="83"/>
      <c r="AG3" s="83"/>
      <c r="AH3" s="83"/>
      <c r="AI3" s="83"/>
      <c r="AJ3" s="83"/>
      <c r="AK3" s="83"/>
      <c r="AL3" s="83"/>
      <c r="AM3" s="83"/>
      <c r="AN3" s="83"/>
      <c r="AO3" s="84"/>
      <c r="AP3" s="72"/>
      <c r="AQ3" s="73"/>
      <c r="AR3" s="73"/>
      <c r="AS3" s="74"/>
      <c r="AT3" s="100"/>
      <c r="AU3" s="101"/>
      <c r="AV3" s="101"/>
      <c r="AW3" s="101"/>
      <c r="AX3" s="102"/>
      <c r="AY3" s="72"/>
      <c r="AZ3" s="73"/>
      <c r="BA3" s="73"/>
      <c r="BB3" s="74"/>
      <c r="BC3" s="100"/>
      <c r="BD3" s="101"/>
      <c r="BE3" s="101"/>
      <c r="BF3" s="101"/>
      <c r="BG3" s="102"/>
      <c r="BH3" s="72"/>
      <c r="BI3" s="73"/>
      <c r="BJ3" s="73"/>
      <c r="BK3" s="74"/>
    </row>
    <row r="4" spans="1:63" ht="24.95" customHeight="1" x14ac:dyDescent="0.25">
      <c r="A4" s="66" t="s">
        <v>86</v>
      </c>
      <c r="B4" s="67"/>
      <c r="C4" s="67"/>
      <c r="D4" s="67"/>
      <c r="E4" s="67"/>
      <c r="F4" s="67"/>
      <c r="G4" s="68"/>
      <c r="H4" s="87" t="s">
        <v>75</v>
      </c>
      <c r="I4" s="88"/>
      <c r="J4" s="88"/>
      <c r="K4" s="88"/>
      <c r="L4" s="88"/>
      <c r="M4" s="88"/>
      <c r="N4" s="88"/>
      <c r="O4" s="88"/>
      <c r="P4" s="88"/>
      <c r="Q4" s="88"/>
      <c r="R4" s="88"/>
      <c r="S4" s="88"/>
      <c r="T4" s="89"/>
      <c r="U4" s="66" t="s">
        <v>87</v>
      </c>
      <c r="V4" s="67"/>
      <c r="W4" s="67"/>
      <c r="X4" s="67"/>
      <c r="Y4" s="68"/>
      <c r="Z4" s="87" t="s">
        <v>78</v>
      </c>
      <c r="AA4" s="88"/>
      <c r="AB4" s="88"/>
      <c r="AC4" s="88"/>
      <c r="AD4" s="88"/>
      <c r="AE4" s="88"/>
      <c r="AF4" s="88"/>
      <c r="AG4" s="88"/>
      <c r="AH4" s="88"/>
      <c r="AI4" s="88"/>
      <c r="AJ4" s="88"/>
      <c r="AK4" s="88"/>
      <c r="AL4" s="88"/>
      <c r="AM4" s="88"/>
      <c r="AN4" s="88"/>
      <c r="AO4" s="89"/>
      <c r="AP4" s="87" t="str">
        <f t="array" aca="1" ref="AP4" ca="1">RIGHT(CELL("filename",$A$1),LEN(CELL("filename",$A$1))-FIND("]",CELL("filename",$A$1)))</f>
        <v>改訂履歴</v>
      </c>
      <c r="AQ4" s="88"/>
      <c r="AR4" s="88"/>
      <c r="AS4" s="88"/>
      <c r="AT4" s="88"/>
      <c r="AU4" s="88"/>
      <c r="AV4" s="88"/>
      <c r="AW4" s="88"/>
      <c r="AX4" s="88"/>
      <c r="AY4" s="88"/>
      <c r="AZ4" s="88"/>
      <c r="BA4" s="88"/>
      <c r="BB4" s="88"/>
      <c r="BC4" s="88"/>
      <c r="BD4" s="88"/>
      <c r="BE4" s="88"/>
      <c r="BF4" s="88"/>
      <c r="BG4" s="88"/>
      <c r="BH4" s="88"/>
      <c r="BI4" s="88"/>
      <c r="BJ4" s="88"/>
      <c r="BK4" s="89"/>
    </row>
    <row r="5" spans="1:63" ht="5.0999999999999996" customHeight="1" x14ac:dyDescent="0.25">
      <c r="A5" s="40"/>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2"/>
    </row>
    <row r="6" spans="1:63" ht="15" customHeight="1" x14ac:dyDescent="0.25">
      <c r="A6" s="43"/>
      <c r="BK6" s="44"/>
    </row>
    <row r="7" spans="1:63" ht="15" customHeight="1" x14ac:dyDescent="0.25">
      <c r="A7" s="43"/>
      <c r="BK7" s="44"/>
    </row>
    <row r="8" spans="1:63" ht="15" customHeight="1" x14ac:dyDescent="0.25">
      <c r="A8" s="43"/>
      <c r="B8" s="39" t="s">
        <v>0</v>
      </c>
      <c r="BK8" s="44"/>
    </row>
    <row r="9" spans="1:63" ht="15" customHeight="1" x14ac:dyDescent="0.25">
      <c r="A9" s="43"/>
      <c r="BK9" s="44"/>
    </row>
    <row r="10" spans="1:63" ht="15" customHeight="1" x14ac:dyDescent="0.25">
      <c r="A10" s="43"/>
      <c r="B10" s="125" t="s">
        <v>84</v>
      </c>
      <c r="C10" s="125"/>
      <c r="D10" s="125"/>
      <c r="E10" s="125"/>
      <c r="F10" s="125"/>
      <c r="G10" s="125"/>
      <c r="H10" s="125" t="s">
        <v>83</v>
      </c>
      <c r="I10" s="125"/>
      <c r="J10" s="125"/>
      <c r="K10" s="125"/>
      <c r="L10" s="125"/>
      <c r="M10" s="125"/>
      <c r="N10" s="125"/>
      <c r="O10" s="125" t="s">
        <v>85</v>
      </c>
      <c r="P10" s="125"/>
      <c r="Q10" s="125"/>
      <c r="R10" s="125"/>
      <c r="S10" s="125" t="s">
        <v>91</v>
      </c>
      <c r="T10" s="125"/>
      <c r="U10" s="125"/>
      <c r="V10" s="125"/>
      <c r="W10" s="125"/>
      <c r="X10" s="125"/>
      <c r="Y10" s="125"/>
      <c r="Z10" s="125"/>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t="s">
        <v>89</v>
      </c>
      <c r="AY10" s="125"/>
      <c r="AZ10" s="125"/>
      <c r="BA10" s="125"/>
      <c r="BB10" s="125"/>
      <c r="BC10" s="125"/>
      <c r="BD10" s="125" t="s">
        <v>90</v>
      </c>
      <c r="BE10" s="125"/>
      <c r="BF10" s="125"/>
      <c r="BG10" s="125"/>
      <c r="BH10" s="125"/>
      <c r="BI10" s="125"/>
      <c r="BJ10" s="125"/>
      <c r="BK10" s="44"/>
    </row>
    <row r="11" spans="1:63" ht="15" customHeight="1" x14ac:dyDescent="0.25">
      <c r="A11" s="43"/>
      <c r="B11" s="97">
        <v>45499</v>
      </c>
      <c r="C11" s="70"/>
      <c r="D11" s="70"/>
      <c r="E11" s="70"/>
      <c r="F11" s="70"/>
      <c r="G11" s="71"/>
      <c r="H11" s="75" t="s">
        <v>74</v>
      </c>
      <c r="I11" s="70"/>
      <c r="J11" s="70"/>
      <c r="K11" s="70"/>
      <c r="L11" s="70"/>
      <c r="M11" s="70"/>
      <c r="N11" s="71"/>
      <c r="O11" s="69">
        <v>0.1</v>
      </c>
      <c r="P11" s="70"/>
      <c r="Q11" s="70"/>
      <c r="R11" s="70"/>
      <c r="S11" s="113" t="s">
        <v>2</v>
      </c>
      <c r="T11" s="114"/>
      <c r="U11" s="114"/>
      <c r="V11" s="114"/>
      <c r="W11" s="114"/>
      <c r="X11" s="114"/>
      <c r="Y11" s="114"/>
      <c r="Z11" s="114"/>
      <c r="AA11" s="114"/>
      <c r="AB11" s="114"/>
      <c r="AC11" s="114"/>
      <c r="AD11" s="114"/>
      <c r="AE11" s="114"/>
      <c r="AF11" s="114"/>
      <c r="AG11" s="114"/>
      <c r="AH11" s="114"/>
      <c r="AI11" s="114"/>
      <c r="AJ11" s="114"/>
      <c r="AK11" s="114"/>
      <c r="AL11" s="114"/>
      <c r="AM11" s="114"/>
      <c r="AN11" s="114"/>
      <c r="AO11" s="114"/>
      <c r="AP11" s="114"/>
      <c r="AQ11" s="114"/>
      <c r="AR11" s="114"/>
      <c r="AS11" s="114"/>
      <c r="AT11" s="114"/>
      <c r="AU11" s="114"/>
      <c r="AV11" s="114"/>
      <c r="AW11" s="115"/>
      <c r="AX11" s="116"/>
      <c r="AY11" s="116"/>
      <c r="AZ11" s="116"/>
      <c r="BA11" s="116"/>
      <c r="BB11" s="116"/>
      <c r="BC11" s="117"/>
      <c r="BD11" s="120"/>
      <c r="BE11" s="116"/>
      <c r="BF11" s="116"/>
      <c r="BG11" s="116"/>
      <c r="BH11" s="116"/>
      <c r="BI11" s="116"/>
      <c r="BJ11" s="117"/>
      <c r="BK11" s="44"/>
    </row>
    <row r="12" spans="1:63" ht="15" customHeight="1" x14ac:dyDescent="0.25">
      <c r="A12" s="43"/>
      <c r="B12" s="72"/>
      <c r="C12" s="73"/>
      <c r="D12" s="73"/>
      <c r="E12" s="73"/>
      <c r="F12" s="73"/>
      <c r="G12" s="74"/>
      <c r="H12" s="72"/>
      <c r="I12" s="73"/>
      <c r="J12" s="73"/>
      <c r="K12" s="73"/>
      <c r="L12" s="73"/>
      <c r="M12" s="73"/>
      <c r="N12" s="74"/>
      <c r="O12" s="72"/>
      <c r="P12" s="73"/>
      <c r="Q12" s="73"/>
      <c r="R12" s="73"/>
      <c r="S12" s="122"/>
      <c r="T12" s="123"/>
      <c r="U12" s="123"/>
      <c r="V12" s="123"/>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c r="AS12" s="123"/>
      <c r="AT12" s="123"/>
      <c r="AU12" s="123"/>
      <c r="AV12" s="123"/>
      <c r="AW12" s="124"/>
      <c r="AX12" s="118"/>
      <c r="AY12" s="118"/>
      <c r="AZ12" s="118"/>
      <c r="BA12" s="118"/>
      <c r="BB12" s="118"/>
      <c r="BC12" s="119"/>
      <c r="BD12" s="121"/>
      <c r="BE12" s="118"/>
      <c r="BF12" s="118"/>
      <c r="BG12" s="118"/>
      <c r="BH12" s="118"/>
      <c r="BI12" s="118"/>
      <c r="BJ12" s="119"/>
      <c r="BK12" s="44"/>
    </row>
    <row r="13" spans="1:63" ht="15" customHeight="1" x14ac:dyDescent="0.25">
      <c r="A13" s="43"/>
      <c r="B13" s="97">
        <v>45512</v>
      </c>
      <c r="C13" s="70"/>
      <c r="D13" s="70"/>
      <c r="E13" s="70"/>
      <c r="F13" s="70"/>
      <c r="G13" s="71"/>
      <c r="H13" s="69" t="s">
        <v>73</v>
      </c>
      <c r="I13" s="70"/>
      <c r="J13" s="70"/>
      <c r="K13" s="70"/>
      <c r="L13" s="70"/>
      <c r="M13" s="70"/>
      <c r="N13" s="71"/>
      <c r="O13" s="69">
        <v>0.2</v>
      </c>
      <c r="P13" s="70"/>
      <c r="Q13" s="70"/>
      <c r="R13" s="70"/>
      <c r="S13" s="113" t="s">
        <v>92</v>
      </c>
      <c r="T13" s="114"/>
      <c r="U13" s="114"/>
      <c r="V13" s="114"/>
      <c r="W13" s="114"/>
      <c r="X13" s="114"/>
      <c r="Y13" s="114"/>
      <c r="Z13" s="114"/>
      <c r="AA13" s="114"/>
      <c r="AB13" s="114"/>
      <c r="AC13" s="114"/>
      <c r="AD13" s="114"/>
      <c r="AE13" s="114"/>
      <c r="AF13" s="114"/>
      <c r="AG13" s="114"/>
      <c r="AH13" s="114"/>
      <c r="AI13" s="114"/>
      <c r="AJ13" s="114"/>
      <c r="AK13" s="114"/>
      <c r="AL13" s="114"/>
      <c r="AM13" s="114"/>
      <c r="AN13" s="114"/>
      <c r="AO13" s="114"/>
      <c r="AP13" s="114"/>
      <c r="AQ13" s="114"/>
      <c r="AR13" s="114"/>
      <c r="AS13" s="114"/>
      <c r="AT13" s="114"/>
      <c r="AU13" s="114"/>
      <c r="AV13" s="114"/>
      <c r="AW13" s="115"/>
      <c r="AX13" s="116"/>
      <c r="AY13" s="116"/>
      <c r="AZ13" s="116"/>
      <c r="BA13" s="116"/>
      <c r="BB13" s="116"/>
      <c r="BC13" s="117"/>
      <c r="BD13" s="120"/>
      <c r="BE13" s="116"/>
      <c r="BF13" s="116"/>
      <c r="BG13" s="116"/>
      <c r="BH13" s="116"/>
      <c r="BI13" s="116"/>
      <c r="BJ13" s="117"/>
      <c r="BK13" s="44"/>
    </row>
    <row r="14" spans="1:63" ht="15" customHeight="1" x14ac:dyDescent="0.25">
      <c r="A14" s="43"/>
      <c r="B14" s="72"/>
      <c r="C14" s="73"/>
      <c r="D14" s="73"/>
      <c r="E14" s="73"/>
      <c r="F14" s="73"/>
      <c r="G14" s="74"/>
      <c r="H14" s="72"/>
      <c r="I14" s="73"/>
      <c r="J14" s="73"/>
      <c r="K14" s="73"/>
      <c r="L14" s="73"/>
      <c r="M14" s="73"/>
      <c r="N14" s="74"/>
      <c r="O14" s="72"/>
      <c r="P14" s="73"/>
      <c r="Q14" s="73"/>
      <c r="R14" s="73"/>
      <c r="S14" s="122" t="s">
        <v>93</v>
      </c>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4"/>
      <c r="AX14" s="118"/>
      <c r="AY14" s="118"/>
      <c r="AZ14" s="118"/>
      <c r="BA14" s="118"/>
      <c r="BB14" s="118"/>
      <c r="BC14" s="119"/>
      <c r="BD14" s="121"/>
      <c r="BE14" s="118"/>
      <c r="BF14" s="118"/>
      <c r="BG14" s="118"/>
      <c r="BH14" s="118"/>
      <c r="BI14" s="118"/>
      <c r="BJ14" s="119"/>
      <c r="BK14" s="44"/>
    </row>
    <row r="15" spans="1:63" ht="15" customHeight="1" x14ac:dyDescent="0.25">
      <c r="A15" s="43"/>
      <c r="B15" s="97">
        <v>45528</v>
      </c>
      <c r="C15" s="70"/>
      <c r="D15" s="70"/>
      <c r="E15" s="70"/>
      <c r="F15" s="70"/>
      <c r="G15" s="71"/>
      <c r="H15" s="69" t="s">
        <v>73</v>
      </c>
      <c r="I15" s="70"/>
      <c r="J15" s="70"/>
      <c r="K15" s="70"/>
      <c r="L15" s="70"/>
      <c r="M15" s="70"/>
      <c r="N15" s="71"/>
      <c r="O15" s="69">
        <v>0.3</v>
      </c>
      <c r="P15" s="70"/>
      <c r="Q15" s="70"/>
      <c r="R15" s="70"/>
      <c r="S15" s="113" t="s">
        <v>53</v>
      </c>
      <c r="T15" s="114"/>
      <c r="U15" s="114"/>
      <c r="V15" s="114"/>
      <c r="W15" s="114"/>
      <c r="X15" s="114"/>
      <c r="Y15" s="114"/>
      <c r="Z15" s="114"/>
      <c r="AA15" s="114"/>
      <c r="AB15" s="114"/>
      <c r="AC15" s="114"/>
      <c r="AD15" s="114"/>
      <c r="AE15" s="114"/>
      <c r="AF15" s="114"/>
      <c r="AG15" s="114"/>
      <c r="AH15" s="114"/>
      <c r="AI15" s="114"/>
      <c r="AJ15" s="114"/>
      <c r="AK15" s="114"/>
      <c r="AL15" s="114"/>
      <c r="AM15" s="114"/>
      <c r="AN15" s="114"/>
      <c r="AO15" s="114"/>
      <c r="AP15" s="114"/>
      <c r="AQ15" s="114"/>
      <c r="AR15" s="114"/>
      <c r="AS15" s="114"/>
      <c r="AT15" s="114"/>
      <c r="AU15" s="114"/>
      <c r="AV15" s="114"/>
      <c r="AW15" s="115"/>
      <c r="AX15" s="116"/>
      <c r="AY15" s="116"/>
      <c r="AZ15" s="116"/>
      <c r="BA15" s="116"/>
      <c r="BB15" s="116"/>
      <c r="BC15" s="117"/>
      <c r="BD15" s="120"/>
      <c r="BE15" s="116"/>
      <c r="BF15" s="116"/>
      <c r="BG15" s="116"/>
      <c r="BH15" s="116"/>
      <c r="BI15" s="116"/>
      <c r="BJ15" s="117"/>
      <c r="BK15" s="44"/>
    </row>
    <row r="16" spans="1:63" ht="15" customHeight="1" x14ac:dyDescent="0.25">
      <c r="A16" s="43"/>
      <c r="B16" s="72"/>
      <c r="C16" s="73"/>
      <c r="D16" s="73"/>
      <c r="E16" s="73"/>
      <c r="F16" s="73"/>
      <c r="G16" s="74"/>
      <c r="H16" s="72"/>
      <c r="I16" s="73"/>
      <c r="J16" s="73"/>
      <c r="K16" s="73"/>
      <c r="L16" s="73"/>
      <c r="M16" s="73"/>
      <c r="N16" s="74"/>
      <c r="O16" s="72"/>
      <c r="P16" s="73"/>
      <c r="Q16" s="73"/>
      <c r="R16" s="73"/>
      <c r="S16" s="122"/>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4"/>
      <c r="AX16" s="118"/>
      <c r="AY16" s="118"/>
      <c r="AZ16" s="118"/>
      <c r="BA16" s="118"/>
      <c r="BB16" s="118"/>
      <c r="BC16" s="119"/>
      <c r="BD16" s="121"/>
      <c r="BE16" s="118"/>
      <c r="BF16" s="118"/>
      <c r="BG16" s="118"/>
      <c r="BH16" s="118"/>
      <c r="BI16" s="118"/>
      <c r="BJ16" s="119"/>
      <c r="BK16" s="44"/>
    </row>
    <row r="17" spans="1:63" ht="15" customHeight="1" x14ac:dyDescent="0.25">
      <c r="A17" s="43"/>
      <c r="B17" s="97">
        <v>45555</v>
      </c>
      <c r="C17" s="70"/>
      <c r="D17" s="70"/>
      <c r="E17" s="70"/>
      <c r="F17" s="70"/>
      <c r="G17" s="71"/>
      <c r="H17" s="69" t="s">
        <v>73</v>
      </c>
      <c r="I17" s="70"/>
      <c r="J17" s="70"/>
      <c r="K17" s="70"/>
      <c r="L17" s="70"/>
      <c r="M17" s="70"/>
      <c r="N17" s="71"/>
      <c r="O17" s="69">
        <v>0.31</v>
      </c>
      <c r="P17" s="70"/>
      <c r="Q17" s="70"/>
      <c r="R17" s="70"/>
      <c r="S17" s="113" t="s">
        <v>54</v>
      </c>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5"/>
      <c r="AX17" s="116"/>
      <c r="AY17" s="116"/>
      <c r="AZ17" s="116"/>
      <c r="BA17" s="116"/>
      <c r="BB17" s="116"/>
      <c r="BC17" s="117"/>
      <c r="BD17" s="120"/>
      <c r="BE17" s="116"/>
      <c r="BF17" s="116"/>
      <c r="BG17" s="116"/>
      <c r="BH17" s="116"/>
      <c r="BI17" s="116"/>
      <c r="BJ17" s="117"/>
      <c r="BK17" s="44"/>
    </row>
    <row r="18" spans="1:63" ht="15" customHeight="1" x14ac:dyDescent="0.25">
      <c r="A18" s="43"/>
      <c r="B18" s="72"/>
      <c r="C18" s="73"/>
      <c r="D18" s="73"/>
      <c r="E18" s="73"/>
      <c r="F18" s="73"/>
      <c r="G18" s="74"/>
      <c r="H18" s="72"/>
      <c r="I18" s="73"/>
      <c r="J18" s="73"/>
      <c r="K18" s="73"/>
      <c r="L18" s="73"/>
      <c r="M18" s="73"/>
      <c r="N18" s="74"/>
      <c r="O18" s="72"/>
      <c r="P18" s="73"/>
      <c r="Q18" s="73"/>
      <c r="R18" s="73"/>
      <c r="S18" s="122"/>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4"/>
      <c r="AX18" s="118"/>
      <c r="AY18" s="118"/>
      <c r="AZ18" s="118"/>
      <c r="BA18" s="118"/>
      <c r="BB18" s="118"/>
      <c r="BC18" s="119"/>
      <c r="BD18" s="121"/>
      <c r="BE18" s="118"/>
      <c r="BF18" s="118"/>
      <c r="BG18" s="118"/>
      <c r="BH18" s="118"/>
      <c r="BI18" s="118"/>
      <c r="BJ18" s="119"/>
      <c r="BK18" s="44"/>
    </row>
    <row r="19" spans="1:63" ht="15" customHeight="1" x14ac:dyDescent="0.25">
      <c r="A19" s="43"/>
      <c r="B19" s="126">
        <v>45567</v>
      </c>
      <c r="C19" s="127"/>
      <c r="D19" s="127"/>
      <c r="E19" s="127"/>
      <c r="F19" s="127"/>
      <c r="G19" s="128"/>
      <c r="H19" s="132" t="s">
        <v>55</v>
      </c>
      <c r="I19" s="127"/>
      <c r="J19" s="127"/>
      <c r="K19" s="127"/>
      <c r="L19" s="127"/>
      <c r="M19" s="127"/>
      <c r="N19" s="128"/>
      <c r="O19" s="132">
        <v>0.32</v>
      </c>
      <c r="P19" s="127"/>
      <c r="Q19" s="127"/>
      <c r="R19" s="127"/>
      <c r="S19" s="133" t="s">
        <v>94</v>
      </c>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5"/>
      <c r="AX19" s="116"/>
      <c r="AY19" s="116"/>
      <c r="AZ19" s="116"/>
      <c r="BA19" s="116"/>
      <c r="BB19" s="116"/>
      <c r="BC19" s="117"/>
      <c r="BD19" s="120"/>
      <c r="BE19" s="116"/>
      <c r="BF19" s="116"/>
      <c r="BG19" s="116"/>
      <c r="BH19" s="116"/>
      <c r="BI19" s="116"/>
      <c r="BJ19" s="117"/>
      <c r="BK19" s="44"/>
    </row>
    <row r="20" spans="1:63" ht="15" customHeight="1" x14ac:dyDescent="0.25">
      <c r="A20" s="43"/>
      <c r="B20" s="129"/>
      <c r="C20" s="130"/>
      <c r="D20" s="130"/>
      <c r="E20" s="130"/>
      <c r="F20" s="130"/>
      <c r="G20" s="131"/>
      <c r="H20" s="129"/>
      <c r="I20" s="130"/>
      <c r="J20" s="130"/>
      <c r="K20" s="130"/>
      <c r="L20" s="130"/>
      <c r="M20" s="130"/>
      <c r="N20" s="131"/>
      <c r="O20" s="129"/>
      <c r="P20" s="130"/>
      <c r="Q20" s="130"/>
      <c r="R20" s="130"/>
      <c r="S20" s="136"/>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7"/>
      <c r="AU20" s="137"/>
      <c r="AV20" s="137"/>
      <c r="AW20" s="138"/>
      <c r="AX20" s="118"/>
      <c r="AY20" s="118"/>
      <c r="AZ20" s="118"/>
      <c r="BA20" s="118"/>
      <c r="BB20" s="118"/>
      <c r="BC20" s="119"/>
      <c r="BD20" s="121"/>
      <c r="BE20" s="118"/>
      <c r="BF20" s="118"/>
      <c r="BG20" s="118"/>
      <c r="BH20" s="118"/>
      <c r="BI20" s="118"/>
      <c r="BJ20" s="119"/>
      <c r="BK20" s="44"/>
    </row>
    <row r="21" spans="1:63" ht="15" customHeight="1" x14ac:dyDescent="0.25">
      <c r="A21" s="43"/>
      <c r="B21" s="126">
        <v>45575</v>
      </c>
      <c r="C21" s="127"/>
      <c r="D21" s="127"/>
      <c r="E21" s="127"/>
      <c r="F21" s="127"/>
      <c r="G21" s="128"/>
      <c r="H21" s="132" t="s">
        <v>73</v>
      </c>
      <c r="I21" s="127"/>
      <c r="J21" s="127"/>
      <c r="K21" s="127"/>
      <c r="L21" s="127"/>
      <c r="M21" s="127"/>
      <c r="N21" s="128"/>
      <c r="O21" s="132">
        <v>0.33</v>
      </c>
      <c r="P21" s="127"/>
      <c r="Q21" s="127"/>
      <c r="R21" s="127"/>
      <c r="S21" s="133" t="s">
        <v>64</v>
      </c>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5"/>
      <c r="AX21" s="116"/>
      <c r="AY21" s="116"/>
      <c r="AZ21" s="116"/>
      <c r="BA21" s="116"/>
      <c r="BB21" s="116"/>
      <c r="BC21" s="117"/>
      <c r="BD21" s="120"/>
      <c r="BE21" s="116"/>
      <c r="BF21" s="116"/>
      <c r="BG21" s="116"/>
      <c r="BH21" s="116"/>
      <c r="BI21" s="116"/>
      <c r="BJ21" s="117"/>
      <c r="BK21" s="44"/>
    </row>
    <row r="22" spans="1:63" ht="15" customHeight="1" x14ac:dyDescent="0.25">
      <c r="A22" s="43"/>
      <c r="B22" s="129"/>
      <c r="C22" s="130"/>
      <c r="D22" s="130"/>
      <c r="E22" s="130"/>
      <c r="F22" s="130"/>
      <c r="G22" s="131"/>
      <c r="H22" s="129"/>
      <c r="I22" s="130"/>
      <c r="J22" s="130"/>
      <c r="K22" s="130"/>
      <c r="L22" s="130"/>
      <c r="M22" s="130"/>
      <c r="N22" s="131"/>
      <c r="O22" s="129"/>
      <c r="P22" s="130"/>
      <c r="Q22" s="130"/>
      <c r="R22" s="130"/>
      <c r="S22" s="136" t="s">
        <v>63</v>
      </c>
      <c r="T22" s="137"/>
      <c r="U22" s="137"/>
      <c r="V22" s="137"/>
      <c r="W22" s="137"/>
      <c r="X22" s="137"/>
      <c r="Y22" s="137"/>
      <c r="Z22" s="137"/>
      <c r="AA22" s="137"/>
      <c r="AB22" s="137"/>
      <c r="AC22" s="137"/>
      <c r="AD22" s="137"/>
      <c r="AE22" s="137"/>
      <c r="AF22" s="137"/>
      <c r="AG22" s="137"/>
      <c r="AH22" s="137"/>
      <c r="AI22" s="137"/>
      <c r="AJ22" s="137"/>
      <c r="AK22" s="137"/>
      <c r="AL22" s="137"/>
      <c r="AM22" s="137"/>
      <c r="AN22" s="137"/>
      <c r="AO22" s="137"/>
      <c r="AP22" s="137"/>
      <c r="AQ22" s="137"/>
      <c r="AR22" s="137"/>
      <c r="AS22" s="137"/>
      <c r="AT22" s="137"/>
      <c r="AU22" s="137"/>
      <c r="AV22" s="137"/>
      <c r="AW22" s="138"/>
      <c r="AX22" s="118"/>
      <c r="AY22" s="118"/>
      <c r="AZ22" s="118"/>
      <c r="BA22" s="118"/>
      <c r="BB22" s="118"/>
      <c r="BC22" s="119"/>
      <c r="BD22" s="121"/>
      <c r="BE22" s="118"/>
      <c r="BF22" s="118"/>
      <c r="BG22" s="118"/>
      <c r="BH22" s="118"/>
      <c r="BI22" s="118"/>
      <c r="BJ22" s="119"/>
      <c r="BK22" s="44"/>
    </row>
    <row r="23" spans="1:63" ht="15" customHeight="1" x14ac:dyDescent="0.25">
      <c r="A23" s="43"/>
      <c r="B23" s="126">
        <v>45596</v>
      </c>
      <c r="C23" s="127"/>
      <c r="D23" s="127"/>
      <c r="E23" s="127"/>
      <c r="F23" s="127"/>
      <c r="G23" s="128"/>
      <c r="H23" s="132" t="s">
        <v>65</v>
      </c>
      <c r="I23" s="127"/>
      <c r="J23" s="127"/>
      <c r="K23" s="127"/>
      <c r="L23" s="127"/>
      <c r="M23" s="127"/>
      <c r="N23" s="128"/>
      <c r="O23" s="132">
        <v>0.4</v>
      </c>
      <c r="P23" s="127"/>
      <c r="Q23" s="127"/>
      <c r="R23" s="127"/>
      <c r="S23" s="133" t="s">
        <v>66</v>
      </c>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5"/>
      <c r="AX23" s="116"/>
      <c r="AY23" s="116"/>
      <c r="AZ23" s="116"/>
      <c r="BA23" s="116"/>
      <c r="BB23" s="116"/>
      <c r="BC23" s="117"/>
      <c r="BD23" s="120"/>
      <c r="BE23" s="116"/>
      <c r="BF23" s="116"/>
      <c r="BG23" s="116"/>
      <c r="BH23" s="116"/>
      <c r="BI23" s="116"/>
      <c r="BJ23" s="117"/>
      <c r="BK23" s="44"/>
    </row>
    <row r="24" spans="1:63" ht="15" customHeight="1" x14ac:dyDescent="0.25">
      <c r="A24" s="43"/>
      <c r="B24" s="129"/>
      <c r="C24" s="130"/>
      <c r="D24" s="130"/>
      <c r="E24" s="130"/>
      <c r="F24" s="130"/>
      <c r="G24" s="131"/>
      <c r="H24" s="129"/>
      <c r="I24" s="130"/>
      <c r="J24" s="130"/>
      <c r="K24" s="130"/>
      <c r="L24" s="130"/>
      <c r="M24" s="130"/>
      <c r="N24" s="131"/>
      <c r="O24" s="129"/>
      <c r="P24" s="130"/>
      <c r="Q24" s="130"/>
      <c r="R24" s="130"/>
      <c r="S24" s="139" t="s">
        <v>67</v>
      </c>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1"/>
      <c r="AX24" s="118"/>
      <c r="AY24" s="118"/>
      <c r="AZ24" s="118"/>
      <c r="BA24" s="118"/>
      <c r="BB24" s="118"/>
      <c r="BC24" s="119"/>
      <c r="BD24" s="121"/>
      <c r="BE24" s="118"/>
      <c r="BF24" s="118"/>
      <c r="BG24" s="118"/>
      <c r="BH24" s="118"/>
      <c r="BI24" s="118"/>
      <c r="BJ24" s="119"/>
      <c r="BK24" s="44"/>
    </row>
    <row r="25" spans="1:63" ht="15" customHeight="1" x14ac:dyDescent="0.25">
      <c r="A25" s="43"/>
      <c r="B25" s="126">
        <v>45705</v>
      </c>
      <c r="C25" s="127"/>
      <c r="D25" s="127"/>
      <c r="E25" s="127"/>
      <c r="F25" s="127"/>
      <c r="G25" s="128"/>
      <c r="H25" s="132" t="s">
        <v>73</v>
      </c>
      <c r="I25" s="127"/>
      <c r="J25" s="127"/>
      <c r="K25" s="127"/>
      <c r="L25" s="127"/>
      <c r="M25" s="127"/>
      <c r="N25" s="128"/>
      <c r="O25" s="132">
        <v>0.41</v>
      </c>
      <c r="P25" s="127"/>
      <c r="Q25" s="127"/>
      <c r="R25" s="127"/>
      <c r="S25" s="133" t="s">
        <v>68</v>
      </c>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5"/>
      <c r="AX25" s="116"/>
      <c r="AY25" s="116"/>
      <c r="AZ25" s="116"/>
      <c r="BA25" s="116"/>
      <c r="BB25" s="116"/>
      <c r="BC25" s="117"/>
      <c r="BD25" s="120"/>
      <c r="BE25" s="116"/>
      <c r="BF25" s="116"/>
      <c r="BG25" s="116"/>
      <c r="BH25" s="116"/>
      <c r="BI25" s="116"/>
      <c r="BJ25" s="117"/>
      <c r="BK25" s="44"/>
    </row>
    <row r="26" spans="1:63" ht="15" customHeight="1" x14ac:dyDescent="0.25">
      <c r="A26" s="43"/>
      <c r="B26" s="129"/>
      <c r="C26" s="130"/>
      <c r="D26" s="130"/>
      <c r="E26" s="130"/>
      <c r="F26" s="130"/>
      <c r="G26" s="131"/>
      <c r="H26" s="129"/>
      <c r="I26" s="130"/>
      <c r="J26" s="130"/>
      <c r="K26" s="130"/>
      <c r="L26" s="130"/>
      <c r="M26" s="130"/>
      <c r="N26" s="131"/>
      <c r="O26" s="129"/>
      <c r="P26" s="130"/>
      <c r="Q26" s="130"/>
      <c r="R26" s="130"/>
      <c r="S26" s="136"/>
      <c r="T26" s="137"/>
      <c r="U26" s="137"/>
      <c r="V26" s="137"/>
      <c r="W26" s="137"/>
      <c r="X26" s="137"/>
      <c r="Y26" s="137"/>
      <c r="Z26" s="137"/>
      <c r="AA26" s="137"/>
      <c r="AB26" s="137"/>
      <c r="AC26" s="137"/>
      <c r="AD26" s="137"/>
      <c r="AE26" s="137"/>
      <c r="AF26" s="137"/>
      <c r="AG26" s="137"/>
      <c r="AH26" s="137"/>
      <c r="AI26" s="137"/>
      <c r="AJ26" s="137"/>
      <c r="AK26" s="137"/>
      <c r="AL26" s="137"/>
      <c r="AM26" s="137"/>
      <c r="AN26" s="137"/>
      <c r="AO26" s="137"/>
      <c r="AP26" s="137"/>
      <c r="AQ26" s="137"/>
      <c r="AR26" s="137"/>
      <c r="AS26" s="137"/>
      <c r="AT26" s="137"/>
      <c r="AU26" s="137"/>
      <c r="AV26" s="137"/>
      <c r="AW26" s="138"/>
      <c r="AX26" s="118"/>
      <c r="AY26" s="118"/>
      <c r="AZ26" s="118"/>
      <c r="BA26" s="118"/>
      <c r="BB26" s="118"/>
      <c r="BC26" s="119"/>
      <c r="BD26" s="121"/>
      <c r="BE26" s="118"/>
      <c r="BF26" s="118"/>
      <c r="BG26" s="118"/>
      <c r="BH26" s="118"/>
      <c r="BI26" s="118"/>
      <c r="BJ26" s="119"/>
      <c r="BK26" s="44"/>
    </row>
    <row r="27" spans="1:63" ht="15" customHeight="1" x14ac:dyDescent="0.25">
      <c r="A27" s="43"/>
      <c r="B27" s="126">
        <v>45790</v>
      </c>
      <c r="C27" s="127"/>
      <c r="D27" s="127"/>
      <c r="E27" s="127"/>
      <c r="F27" s="127"/>
      <c r="G27" s="128"/>
      <c r="H27" s="132" t="s">
        <v>70</v>
      </c>
      <c r="I27" s="127"/>
      <c r="J27" s="127"/>
      <c r="K27" s="127"/>
      <c r="L27" s="127"/>
      <c r="M27" s="127"/>
      <c r="N27" s="128"/>
      <c r="O27" s="132">
        <v>0.42</v>
      </c>
      <c r="P27" s="127"/>
      <c r="Q27" s="127"/>
      <c r="R27" s="127"/>
      <c r="S27" s="133" t="s">
        <v>69</v>
      </c>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5"/>
      <c r="AX27" s="116"/>
      <c r="AY27" s="116"/>
      <c r="AZ27" s="116"/>
      <c r="BA27" s="116"/>
      <c r="BB27" s="116"/>
      <c r="BC27" s="117"/>
      <c r="BD27" s="120"/>
      <c r="BE27" s="116"/>
      <c r="BF27" s="116"/>
      <c r="BG27" s="116"/>
      <c r="BH27" s="116"/>
      <c r="BI27" s="116"/>
      <c r="BJ27" s="117"/>
      <c r="BK27" s="44"/>
    </row>
    <row r="28" spans="1:63" ht="34.5" customHeight="1" x14ac:dyDescent="0.25">
      <c r="A28" s="43"/>
      <c r="B28" s="129"/>
      <c r="C28" s="130"/>
      <c r="D28" s="130"/>
      <c r="E28" s="130"/>
      <c r="F28" s="130"/>
      <c r="G28" s="131"/>
      <c r="H28" s="129"/>
      <c r="I28" s="130"/>
      <c r="J28" s="130"/>
      <c r="K28" s="130"/>
      <c r="L28" s="130"/>
      <c r="M28" s="130"/>
      <c r="N28" s="131"/>
      <c r="O28" s="129"/>
      <c r="P28" s="130"/>
      <c r="Q28" s="130"/>
      <c r="R28" s="130"/>
      <c r="S28" s="155" t="s">
        <v>95</v>
      </c>
      <c r="T28" s="134"/>
      <c r="U28" s="134"/>
      <c r="V28" s="134"/>
      <c r="W28" s="134"/>
      <c r="X28" s="134"/>
      <c r="Y28" s="134"/>
      <c r="Z28" s="134"/>
      <c r="AA28" s="134"/>
      <c r="AB28" s="134"/>
      <c r="AC28" s="134"/>
      <c r="AD28" s="134"/>
      <c r="AE28" s="134"/>
      <c r="AF28" s="134"/>
      <c r="AG28" s="134"/>
      <c r="AH28" s="134"/>
      <c r="AI28" s="134"/>
      <c r="AJ28" s="134"/>
      <c r="AK28" s="134"/>
      <c r="AL28" s="134"/>
      <c r="AM28" s="134"/>
      <c r="AN28" s="134"/>
      <c r="AO28" s="134"/>
      <c r="AP28" s="134"/>
      <c r="AQ28" s="134"/>
      <c r="AR28" s="134"/>
      <c r="AS28" s="134"/>
      <c r="AT28" s="134"/>
      <c r="AU28" s="134"/>
      <c r="AV28" s="134"/>
      <c r="AW28" s="135"/>
      <c r="AX28" s="118"/>
      <c r="AY28" s="118"/>
      <c r="AZ28" s="118"/>
      <c r="BA28" s="118"/>
      <c r="BB28" s="118"/>
      <c r="BC28" s="119"/>
      <c r="BD28" s="121"/>
      <c r="BE28" s="118"/>
      <c r="BF28" s="118"/>
      <c r="BG28" s="118"/>
      <c r="BH28" s="118"/>
      <c r="BI28" s="118"/>
      <c r="BJ28" s="119"/>
      <c r="BK28" s="44"/>
    </row>
    <row r="29" spans="1:63" ht="15" customHeight="1" x14ac:dyDescent="0.25">
      <c r="A29" s="43"/>
      <c r="B29" s="142">
        <v>45812</v>
      </c>
      <c r="C29" s="143"/>
      <c r="D29" s="143"/>
      <c r="E29" s="143"/>
      <c r="F29" s="143"/>
      <c r="G29" s="144"/>
      <c r="H29" s="148" t="s">
        <v>74</v>
      </c>
      <c r="I29" s="143"/>
      <c r="J29" s="143"/>
      <c r="K29" s="143"/>
      <c r="L29" s="143"/>
      <c r="M29" s="143"/>
      <c r="N29" s="144"/>
      <c r="O29" s="148">
        <v>0.43</v>
      </c>
      <c r="P29" s="143"/>
      <c r="Q29" s="143"/>
      <c r="R29" s="143"/>
      <c r="S29" s="149" t="s">
        <v>96</v>
      </c>
      <c r="T29" s="150"/>
      <c r="U29" s="150"/>
      <c r="V29" s="150"/>
      <c r="W29" s="150"/>
      <c r="X29" s="150"/>
      <c r="Y29" s="150"/>
      <c r="Z29" s="150"/>
      <c r="AA29" s="150"/>
      <c r="AB29" s="150"/>
      <c r="AC29" s="150"/>
      <c r="AD29" s="150"/>
      <c r="AE29" s="150"/>
      <c r="AF29" s="150"/>
      <c r="AG29" s="150"/>
      <c r="AH29" s="150"/>
      <c r="AI29" s="150"/>
      <c r="AJ29" s="150"/>
      <c r="AK29" s="150"/>
      <c r="AL29" s="150"/>
      <c r="AM29" s="150"/>
      <c r="AN29" s="150"/>
      <c r="AO29" s="150"/>
      <c r="AP29" s="150"/>
      <c r="AQ29" s="150"/>
      <c r="AR29" s="150"/>
      <c r="AS29" s="150"/>
      <c r="AT29" s="150"/>
      <c r="AU29" s="150"/>
      <c r="AV29" s="150"/>
      <c r="AW29" s="151"/>
      <c r="AX29" s="116"/>
      <c r="AY29" s="116"/>
      <c r="AZ29" s="116"/>
      <c r="BA29" s="116"/>
      <c r="BB29" s="116"/>
      <c r="BC29" s="117"/>
      <c r="BD29" s="120"/>
      <c r="BE29" s="116"/>
      <c r="BF29" s="116"/>
      <c r="BG29" s="116"/>
      <c r="BH29" s="116"/>
      <c r="BI29" s="116"/>
      <c r="BJ29" s="117"/>
      <c r="BK29" s="44"/>
    </row>
    <row r="30" spans="1:63" ht="15" customHeight="1" x14ac:dyDescent="0.25">
      <c r="A30" s="43"/>
      <c r="B30" s="145"/>
      <c r="C30" s="146"/>
      <c r="D30" s="146"/>
      <c r="E30" s="146"/>
      <c r="F30" s="146"/>
      <c r="G30" s="147"/>
      <c r="H30" s="145"/>
      <c r="I30" s="146"/>
      <c r="J30" s="146"/>
      <c r="K30" s="146"/>
      <c r="L30" s="146"/>
      <c r="M30" s="146"/>
      <c r="N30" s="147"/>
      <c r="O30" s="145"/>
      <c r="P30" s="146"/>
      <c r="Q30" s="146"/>
      <c r="R30" s="146"/>
      <c r="S30" s="152" t="s">
        <v>97</v>
      </c>
      <c r="T30" s="153"/>
      <c r="U30" s="153"/>
      <c r="V30" s="153"/>
      <c r="W30" s="153"/>
      <c r="X30" s="153"/>
      <c r="Y30" s="153"/>
      <c r="Z30" s="153"/>
      <c r="AA30" s="153"/>
      <c r="AB30" s="153"/>
      <c r="AC30" s="153"/>
      <c r="AD30" s="153"/>
      <c r="AE30" s="153"/>
      <c r="AF30" s="153"/>
      <c r="AG30" s="153"/>
      <c r="AH30" s="153"/>
      <c r="AI30" s="153"/>
      <c r="AJ30" s="153"/>
      <c r="AK30" s="153"/>
      <c r="AL30" s="153"/>
      <c r="AM30" s="153"/>
      <c r="AN30" s="153"/>
      <c r="AO30" s="153"/>
      <c r="AP30" s="153"/>
      <c r="AQ30" s="153"/>
      <c r="AR30" s="153"/>
      <c r="AS30" s="153"/>
      <c r="AT30" s="153"/>
      <c r="AU30" s="153"/>
      <c r="AV30" s="153"/>
      <c r="AW30" s="154"/>
      <c r="AX30" s="118"/>
      <c r="AY30" s="118"/>
      <c r="AZ30" s="118"/>
      <c r="BA30" s="118"/>
      <c r="BB30" s="118"/>
      <c r="BC30" s="119"/>
      <c r="BD30" s="121"/>
      <c r="BE30" s="118"/>
      <c r="BF30" s="118"/>
      <c r="BG30" s="118"/>
      <c r="BH30" s="118"/>
      <c r="BI30" s="118"/>
      <c r="BJ30" s="119"/>
      <c r="BK30" s="44"/>
    </row>
    <row r="31" spans="1:63" ht="15" customHeight="1" x14ac:dyDescent="0.25">
      <c r="A31" s="43"/>
      <c r="B31" s="244">
        <v>45818</v>
      </c>
      <c r="C31" s="245"/>
      <c r="D31" s="245"/>
      <c r="E31" s="245"/>
      <c r="F31" s="245"/>
      <c r="G31" s="246"/>
      <c r="H31" s="247" t="s">
        <v>111</v>
      </c>
      <c r="I31" s="245"/>
      <c r="J31" s="245"/>
      <c r="K31" s="245"/>
      <c r="L31" s="245"/>
      <c r="M31" s="245"/>
      <c r="N31" s="246"/>
      <c r="O31" s="247">
        <v>0.44</v>
      </c>
      <c r="P31" s="245"/>
      <c r="Q31" s="245"/>
      <c r="R31" s="245"/>
      <c r="S31" s="248" t="s">
        <v>112</v>
      </c>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50"/>
      <c r="AX31" s="116"/>
      <c r="AY31" s="116"/>
      <c r="AZ31" s="116"/>
      <c r="BA31" s="116"/>
      <c r="BB31" s="116"/>
      <c r="BC31" s="117"/>
      <c r="BD31" s="120"/>
      <c r="BE31" s="116"/>
      <c r="BF31" s="116"/>
      <c r="BG31" s="116"/>
      <c r="BH31" s="116"/>
      <c r="BI31" s="116"/>
      <c r="BJ31" s="117"/>
      <c r="BK31" s="44"/>
    </row>
    <row r="32" spans="1:63" ht="15" customHeight="1" x14ac:dyDescent="0.25">
      <c r="A32" s="43"/>
      <c r="B32" s="251"/>
      <c r="C32" s="252"/>
      <c r="D32" s="252"/>
      <c r="E32" s="252"/>
      <c r="F32" s="252"/>
      <c r="G32" s="253"/>
      <c r="H32" s="251"/>
      <c r="I32" s="252"/>
      <c r="J32" s="252"/>
      <c r="K32" s="252"/>
      <c r="L32" s="252"/>
      <c r="M32" s="252"/>
      <c r="N32" s="253"/>
      <c r="O32" s="251"/>
      <c r="P32" s="252"/>
      <c r="Q32" s="252"/>
      <c r="R32" s="252"/>
      <c r="S32" s="254"/>
      <c r="T32" s="255"/>
      <c r="U32" s="255"/>
      <c r="V32" s="255"/>
      <c r="W32" s="255"/>
      <c r="X32" s="255"/>
      <c r="Y32" s="255"/>
      <c r="Z32" s="255"/>
      <c r="AA32" s="255"/>
      <c r="AB32" s="255"/>
      <c r="AC32" s="255"/>
      <c r="AD32" s="255"/>
      <c r="AE32" s="255"/>
      <c r="AF32" s="255"/>
      <c r="AG32" s="255"/>
      <c r="AH32" s="255"/>
      <c r="AI32" s="255"/>
      <c r="AJ32" s="255"/>
      <c r="AK32" s="255"/>
      <c r="AL32" s="255"/>
      <c r="AM32" s="255"/>
      <c r="AN32" s="255"/>
      <c r="AO32" s="255"/>
      <c r="AP32" s="255"/>
      <c r="AQ32" s="255"/>
      <c r="AR32" s="255"/>
      <c r="AS32" s="255"/>
      <c r="AT32" s="255"/>
      <c r="AU32" s="255"/>
      <c r="AV32" s="255"/>
      <c r="AW32" s="256"/>
      <c r="AX32" s="118"/>
      <c r="AY32" s="118"/>
      <c r="AZ32" s="118"/>
      <c r="BA32" s="118"/>
      <c r="BB32" s="118"/>
      <c r="BC32" s="119"/>
      <c r="BD32" s="121"/>
      <c r="BE32" s="118"/>
      <c r="BF32" s="118"/>
      <c r="BG32" s="118"/>
      <c r="BH32" s="118"/>
      <c r="BI32" s="118"/>
      <c r="BJ32" s="119"/>
      <c r="BK32" s="44"/>
    </row>
    <row r="33" spans="1:63" ht="15" customHeight="1" x14ac:dyDescent="0.25">
      <c r="A33" s="43"/>
      <c r="B33" s="69"/>
      <c r="C33" s="70"/>
      <c r="D33" s="70"/>
      <c r="E33" s="70"/>
      <c r="F33" s="70"/>
      <c r="G33" s="71"/>
      <c r="H33" s="69"/>
      <c r="I33" s="70"/>
      <c r="J33" s="70"/>
      <c r="K33" s="70"/>
      <c r="L33" s="70"/>
      <c r="M33" s="70"/>
      <c r="N33" s="71"/>
      <c r="O33" s="69"/>
      <c r="P33" s="70"/>
      <c r="Q33" s="70"/>
      <c r="R33" s="70"/>
      <c r="S33" s="113"/>
      <c r="T33" s="114"/>
      <c r="U33" s="114"/>
      <c r="V33" s="114"/>
      <c r="W33" s="114"/>
      <c r="X33" s="114"/>
      <c r="Y33" s="114"/>
      <c r="Z33" s="114"/>
      <c r="AA33" s="114"/>
      <c r="AB33" s="114"/>
      <c r="AC33" s="114"/>
      <c r="AD33" s="114"/>
      <c r="AE33" s="114"/>
      <c r="AF33" s="114"/>
      <c r="AG33" s="114"/>
      <c r="AH33" s="114"/>
      <c r="AI33" s="114"/>
      <c r="AJ33" s="114"/>
      <c r="AK33" s="114"/>
      <c r="AL33" s="114"/>
      <c r="AM33" s="114"/>
      <c r="AN33" s="114"/>
      <c r="AO33" s="114"/>
      <c r="AP33" s="114"/>
      <c r="AQ33" s="114"/>
      <c r="AR33" s="114"/>
      <c r="AS33" s="114"/>
      <c r="AT33" s="114"/>
      <c r="AU33" s="114"/>
      <c r="AV33" s="114"/>
      <c r="AW33" s="115"/>
      <c r="AX33" s="116"/>
      <c r="AY33" s="116"/>
      <c r="AZ33" s="116"/>
      <c r="BA33" s="116"/>
      <c r="BB33" s="116"/>
      <c r="BC33" s="117"/>
      <c r="BD33" s="120"/>
      <c r="BE33" s="116"/>
      <c r="BF33" s="116"/>
      <c r="BG33" s="116"/>
      <c r="BH33" s="116"/>
      <c r="BI33" s="116"/>
      <c r="BJ33" s="117"/>
      <c r="BK33" s="44"/>
    </row>
    <row r="34" spans="1:63" ht="15" customHeight="1" x14ac:dyDescent="0.25">
      <c r="A34" s="43"/>
      <c r="B34" s="72"/>
      <c r="C34" s="73"/>
      <c r="D34" s="73"/>
      <c r="E34" s="73"/>
      <c r="F34" s="73"/>
      <c r="G34" s="74"/>
      <c r="H34" s="72"/>
      <c r="I34" s="73"/>
      <c r="J34" s="73"/>
      <c r="K34" s="73"/>
      <c r="L34" s="73"/>
      <c r="M34" s="73"/>
      <c r="N34" s="74"/>
      <c r="O34" s="72"/>
      <c r="P34" s="73"/>
      <c r="Q34" s="73"/>
      <c r="R34" s="73"/>
      <c r="S34" s="122"/>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4"/>
      <c r="AX34" s="118"/>
      <c r="AY34" s="118"/>
      <c r="AZ34" s="118"/>
      <c r="BA34" s="118"/>
      <c r="BB34" s="118"/>
      <c r="BC34" s="119"/>
      <c r="BD34" s="121"/>
      <c r="BE34" s="118"/>
      <c r="BF34" s="118"/>
      <c r="BG34" s="118"/>
      <c r="BH34" s="118"/>
      <c r="BI34" s="118"/>
      <c r="BJ34" s="119"/>
      <c r="BK34" s="44"/>
    </row>
    <row r="35" spans="1:63" ht="15" customHeight="1" x14ac:dyDescent="0.25">
      <c r="A35" s="43"/>
      <c r="B35" s="69"/>
      <c r="C35" s="70"/>
      <c r="D35" s="70"/>
      <c r="E35" s="70"/>
      <c r="F35" s="70"/>
      <c r="G35" s="71"/>
      <c r="H35" s="69"/>
      <c r="I35" s="70"/>
      <c r="J35" s="70"/>
      <c r="K35" s="70"/>
      <c r="L35" s="70"/>
      <c r="M35" s="70"/>
      <c r="N35" s="71"/>
      <c r="O35" s="69"/>
      <c r="P35" s="70"/>
      <c r="Q35" s="70"/>
      <c r="R35" s="70"/>
      <c r="S35" s="113"/>
      <c r="T35" s="114"/>
      <c r="U35" s="114"/>
      <c r="V35" s="114"/>
      <c r="W35" s="114"/>
      <c r="X35" s="114"/>
      <c r="Y35" s="114"/>
      <c r="Z35" s="114"/>
      <c r="AA35" s="114"/>
      <c r="AB35" s="114"/>
      <c r="AC35" s="114"/>
      <c r="AD35" s="114"/>
      <c r="AE35" s="114"/>
      <c r="AF35" s="114"/>
      <c r="AG35" s="114"/>
      <c r="AH35" s="114"/>
      <c r="AI35" s="114"/>
      <c r="AJ35" s="114"/>
      <c r="AK35" s="114"/>
      <c r="AL35" s="114"/>
      <c r="AM35" s="114"/>
      <c r="AN35" s="114"/>
      <c r="AO35" s="114"/>
      <c r="AP35" s="114"/>
      <c r="AQ35" s="114"/>
      <c r="AR35" s="114"/>
      <c r="AS35" s="114"/>
      <c r="AT35" s="114"/>
      <c r="AU35" s="114"/>
      <c r="AV35" s="114"/>
      <c r="AW35" s="115"/>
      <c r="AX35" s="116"/>
      <c r="AY35" s="116"/>
      <c r="AZ35" s="116"/>
      <c r="BA35" s="116"/>
      <c r="BB35" s="116"/>
      <c r="BC35" s="117"/>
      <c r="BD35" s="120"/>
      <c r="BE35" s="116"/>
      <c r="BF35" s="116"/>
      <c r="BG35" s="116"/>
      <c r="BH35" s="116"/>
      <c r="BI35" s="116"/>
      <c r="BJ35" s="117"/>
      <c r="BK35" s="44"/>
    </row>
    <row r="36" spans="1:63" ht="15" customHeight="1" x14ac:dyDescent="0.25">
      <c r="A36" s="43"/>
      <c r="B36" s="72"/>
      <c r="C36" s="73"/>
      <c r="D36" s="73"/>
      <c r="E36" s="73"/>
      <c r="F36" s="73"/>
      <c r="G36" s="74"/>
      <c r="H36" s="72"/>
      <c r="I36" s="73"/>
      <c r="J36" s="73"/>
      <c r="K36" s="73"/>
      <c r="L36" s="73"/>
      <c r="M36" s="73"/>
      <c r="N36" s="74"/>
      <c r="O36" s="72"/>
      <c r="P36" s="73"/>
      <c r="Q36" s="73"/>
      <c r="R36" s="73"/>
      <c r="S36" s="122"/>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4"/>
      <c r="AX36" s="118"/>
      <c r="AY36" s="118"/>
      <c r="AZ36" s="118"/>
      <c r="BA36" s="118"/>
      <c r="BB36" s="118"/>
      <c r="BC36" s="119"/>
      <c r="BD36" s="121"/>
      <c r="BE36" s="118"/>
      <c r="BF36" s="118"/>
      <c r="BG36" s="118"/>
      <c r="BH36" s="118"/>
      <c r="BI36" s="118"/>
      <c r="BJ36" s="119"/>
      <c r="BK36" s="44"/>
    </row>
    <row r="37" spans="1:63" ht="15" customHeight="1" x14ac:dyDescent="0.25">
      <c r="A37" s="43"/>
      <c r="B37" s="69"/>
      <c r="C37" s="70"/>
      <c r="D37" s="70"/>
      <c r="E37" s="70"/>
      <c r="F37" s="70"/>
      <c r="G37" s="71"/>
      <c r="H37" s="69"/>
      <c r="I37" s="70"/>
      <c r="J37" s="70"/>
      <c r="K37" s="70"/>
      <c r="L37" s="70"/>
      <c r="M37" s="70"/>
      <c r="N37" s="71"/>
      <c r="O37" s="69"/>
      <c r="P37" s="70"/>
      <c r="Q37" s="70"/>
      <c r="R37" s="70"/>
      <c r="S37" s="113"/>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5"/>
      <c r="AX37" s="116"/>
      <c r="AY37" s="116"/>
      <c r="AZ37" s="116"/>
      <c r="BA37" s="116"/>
      <c r="BB37" s="116"/>
      <c r="BC37" s="117"/>
      <c r="BD37" s="120"/>
      <c r="BE37" s="116"/>
      <c r="BF37" s="116"/>
      <c r="BG37" s="116"/>
      <c r="BH37" s="116"/>
      <c r="BI37" s="116"/>
      <c r="BJ37" s="117"/>
      <c r="BK37" s="44"/>
    </row>
    <row r="38" spans="1:63" ht="15" customHeight="1" x14ac:dyDescent="0.25">
      <c r="A38" s="43"/>
      <c r="B38" s="72"/>
      <c r="C38" s="73"/>
      <c r="D38" s="73"/>
      <c r="E38" s="73"/>
      <c r="F38" s="73"/>
      <c r="G38" s="74"/>
      <c r="H38" s="72"/>
      <c r="I38" s="73"/>
      <c r="J38" s="73"/>
      <c r="K38" s="73"/>
      <c r="L38" s="73"/>
      <c r="M38" s="73"/>
      <c r="N38" s="74"/>
      <c r="O38" s="72"/>
      <c r="P38" s="73"/>
      <c r="Q38" s="73"/>
      <c r="R38" s="73"/>
      <c r="S38" s="122"/>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4"/>
      <c r="AX38" s="118"/>
      <c r="AY38" s="118"/>
      <c r="AZ38" s="118"/>
      <c r="BA38" s="118"/>
      <c r="BB38" s="118"/>
      <c r="BC38" s="119"/>
      <c r="BD38" s="121"/>
      <c r="BE38" s="118"/>
      <c r="BF38" s="118"/>
      <c r="BG38" s="118"/>
      <c r="BH38" s="118"/>
      <c r="BI38" s="118"/>
      <c r="BJ38" s="119"/>
      <c r="BK38" s="44"/>
    </row>
    <row r="39" spans="1:63" ht="15" customHeight="1" x14ac:dyDescent="0.25">
      <c r="A39" s="43"/>
      <c r="B39" s="69"/>
      <c r="C39" s="70"/>
      <c r="D39" s="70"/>
      <c r="E39" s="70"/>
      <c r="F39" s="70"/>
      <c r="G39" s="71"/>
      <c r="H39" s="69"/>
      <c r="I39" s="70"/>
      <c r="J39" s="70"/>
      <c r="K39" s="70"/>
      <c r="L39" s="70"/>
      <c r="M39" s="70"/>
      <c r="N39" s="71"/>
      <c r="O39" s="69"/>
      <c r="P39" s="70"/>
      <c r="Q39" s="70"/>
      <c r="R39" s="70"/>
      <c r="S39" s="113"/>
      <c r="T39" s="114"/>
      <c r="U39" s="114"/>
      <c r="V39" s="114"/>
      <c r="W39" s="114"/>
      <c r="X39" s="114"/>
      <c r="Y39" s="114"/>
      <c r="Z39" s="114"/>
      <c r="AA39" s="114"/>
      <c r="AB39" s="114"/>
      <c r="AC39" s="114"/>
      <c r="AD39" s="114"/>
      <c r="AE39" s="114"/>
      <c r="AF39" s="114"/>
      <c r="AG39" s="114"/>
      <c r="AH39" s="114"/>
      <c r="AI39" s="114"/>
      <c r="AJ39" s="114"/>
      <c r="AK39" s="114"/>
      <c r="AL39" s="114"/>
      <c r="AM39" s="114"/>
      <c r="AN39" s="114"/>
      <c r="AO39" s="114"/>
      <c r="AP39" s="114"/>
      <c r="AQ39" s="114"/>
      <c r="AR39" s="114"/>
      <c r="AS39" s="114"/>
      <c r="AT39" s="114"/>
      <c r="AU39" s="114"/>
      <c r="AV39" s="114"/>
      <c r="AW39" s="115"/>
      <c r="AX39" s="116"/>
      <c r="AY39" s="116"/>
      <c r="AZ39" s="116"/>
      <c r="BA39" s="116"/>
      <c r="BB39" s="116"/>
      <c r="BC39" s="117"/>
      <c r="BD39" s="120"/>
      <c r="BE39" s="116"/>
      <c r="BF39" s="116"/>
      <c r="BG39" s="116"/>
      <c r="BH39" s="116"/>
      <c r="BI39" s="116"/>
      <c r="BJ39" s="117"/>
      <c r="BK39" s="44"/>
    </row>
    <row r="40" spans="1:63" ht="15" customHeight="1" x14ac:dyDescent="0.25">
      <c r="A40" s="43"/>
      <c r="B40" s="72"/>
      <c r="C40" s="73"/>
      <c r="D40" s="73"/>
      <c r="E40" s="73"/>
      <c r="F40" s="73"/>
      <c r="G40" s="74"/>
      <c r="H40" s="72"/>
      <c r="I40" s="73"/>
      <c r="J40" s="73"/>
      <c r="K40" s="73"/>
      <c r="L40" s="73"/>
      <c r="M40" s="73"/>
      <c r="N40" s="74"/>
      <c r="O40" s="72"/>
      <c r="P40" s="73"/>
      <c r="Q40" s="73"/>
      <c r="R40" s="73"/>
      <c r="S40" s="122"/>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4"/>
      <c r="AX40" s="118"/>
      <c r="AY40" s="118"/>
      <c r="AZ40" s="118"/>
      <c r="BA40" s="118"/>
      <c r="BB40" s="118"/>
      <c r="BC40" s="119"/>
      <c r="BD40" s="121"/>
      <c r="BE40" s="118"/>
      <c r="BF40" s="118"/>
      <c r="BG40" s="118"/>
      <c r="BH40" s="118"/>
      <c r="BI40" s="118"/>
      <c r="BJ40" s="119"/>
      <c r="BK40" s="44"/>
    </row>
    <row r="41" spans="1:63" ht="15" customHeight="1" x14ac:dyDescent="0.25">
      <c r="A41" s="43"/>
      <c r="B41" s="69"/>
      <c r="C41" s="70"/>
      <c r="D41" s="70"/>
      <c r="E41" s="70"/>
      <c r="F41" s="70"/>
      <c r="G41" s="71"/>
      <c r="H41" s="69"/>
      <c r="I41" s="70"/>
      <c r="J41" s="70"/>
      <c r="K41" s="70"/>
      <c r="L41" s="70"/>
      <c r="M41" s="70"/>
      <c r="N41" s="71"/>
      <c r="O41" s="69"/>
      <c r="P41" s="70"/>
      <c r="Q41" s="70"/>
      <c r="R41" s="70"/>
      <c r="S41" s="113"/>
      <c r="T41" s="114"/>
      <c r="U41" s="114"/>
      <c r="V41" s="114"/>
      <c r="W41" s="114"/>
      <c r="X41" s="114"/>
      <c r="Y41" s="114"/>
      <c r="Z41" s="114"/>
      <c r="AA41" s="114"/>
      <c r="AB41" s="114"/>
      <c r="AC41" s="114"/>
      <c r="AD41" s="114"/>
      <c r="AE41" s="114"/>
      <c r="AF41" s="114"/>
      <c r="AG41" s="114"/>
      <c r="AH41" s="114"/>
      <c r="AI41" s="114"/>
      <c r="AJ41" s="114"/>
      <c r="AK41" s="114"/>
      <c r="AL41" s="114"/>
      <c r="AM41" s="114"/>
      <c r="AN41" s="114"/>
      <c r="AO41" s="114"/>
      <c r="AP41" s="114"/>
      <c r="AQ41" s="114"/>
      <c r="AR41" s="114"/>
      <c r="AS41" s="114"/>
      <c r="AT41" s="114"/>
      <c r="AU41" s="114"/>
      <c r="AV41" s="114"/>
      <c r="AW41" s="115"/>
      <c r="AX41" s="116"/>
      <c r="AY41" s="116"/>
      <c r="AZ41" s="116"/>
      <c r="BA41" s="116"/>
      <c r="BB41" s="116"/>
      <c r="BC41" s="117"/>
      <c r="BD41" s="120"/>
      <c r="BE41" s="116"/>
      <c r="BF41" s="116"/>
      <c r="BG41" s="116"/>
      <c r="BH41" s="116"/>
      <c r="BI41" s="116"/>
      <c r="BJ41" s="117"/>
      <c r="BK41" s="44"/>
    </row>
    <row r="42" spans="1:63" ht="15" customHeight="1" x14ac:dyDescent="0.25">
      <c r="A42" s="43"/>
      <c r="B42" s="72"/>
      <c r="C42" s="73"/>
      <c r="D42" s="73"/>
      <c r="E42" s="73"/>
      <c r="F42" s="73"/>
      <c r="G42" s="74"/>
      <c r="H42" s="72"/>
      <c r="I42" s="73"/>
      <c r="J42" s="73"/>
      <c r="K42" s="73"/>
      <c r="L42" s="73"/>
      <c r="M42" s="73"/>
      <c r="N42" s="74"/>
      <c r="O42" s="72"/>
      <c r="P42" s="73"/>
      <c r="Q42" s="73"/>
      <c r="R42" s="73"/>
      <c r="S42" s="122"/>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4"/>
      <c r="AX42" s="118"/>
      <c r="AY42" s="118"/>
      <c r="AZ42" s="118"/>
      <c r="BA42" s="118"/>
      <c r="BB42" s="118"/>
      <c r="BC42" s="119"/>
      <c r="BD42" s="121"/>
      <c r="BE42" s="118"/>
      <c r="BF42" s="118"/>
      <c r="BG42" s="118"/>
      <c r="BH42" s="118"/>
      <c r="BI42" s="118"/>
      <c r="BJ42" s="119"/>
      <c r="BK42" s="44"/>
    </row>
    <row r="43" spans="1:63" ht="15" customHeight="1" x14ac:dyDescent="0.25">
      <c r="A43" s="43"/>
      <c r="B43" s="69"/>
      <c r="C43" s="70"/>
      <c r="D43" s="70"/>
      <c r="E43" s="70"/>
      <c r="F43" s="70"/>
      <c r="G43" s="71"/>
      <c r="H43" s="69"/>
      <c r="I43" s="70"/>
      <c r="J43" s="70"/>
      <c r="K43" s="70"/>
      <c r="L43" s="70"/>
      <c r="M43" s="70"/>
      <c r="N43" s="71"/>
      <c r="O43" s="69"/>
      <c r="P43" s="70"/>
      <c r="Q43" s="70"/>
      <c r="R43" s="70"/>
      <c r="S43" s="113"/>
      <c r="T43" s="114"/>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c r="AW43" s="115"/>
      <c r="AX43" s="116"/>
      <c r="AY43" s="116"/>
      <c r="AZ43" s="116"/>
      <c r="BA43" s="116"/>
      <c r="BB43" s="116"/>
      <c r="BC43" s="117"/>
      <c r="BD43" s="120"/>
      <c r="BE43" s="116"/>
      <c r="BF43" s="116"/>
      <c r="BG43" s="116"/>
      <c r="BH43" s="116"/>
      <c r="BI43" s="116"/>
      <c r="BJ43" s="117"/>
      <c r="BK43" s="44"/>
    </row>
    <row r="44" spans="1:63" ht="15" customHeight="1" x14ac:dyDescent="0.25">
      <c r="A44" s="43"/>
      <c r="B44" s="72"/>
      <c r="C44" s="73"/>
      <c r="D44" s="73"/>
      <c r="E44" s="73"/>
      <c r="F44" s="73"/>
      <c r="G44" s="74"/>
      <c r="H44" s="72"/>
      <c r="I44" s="73"/>
      <c r="J44" s="73"/>
      <c r="K44" s="73"/>
      <c r="L44" s="73"/>
      <c r="M44" s="73"/>
      <c r="N44" s="74"/>
      <c r="O44" s="72"/>
      <c r="P44" s="73"/>
      <c r="Q44" s="73"/>
      <c r="R44" s="73"/>
      <c r="S44" s="122"/>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4"/>
      <c r="AX44" s="118"/>
      <c r="AY44" s="118"/>
      <c r="AZ44" s="118"/>
      <c r="BA44" s="118"/>
      <c r="BB44" s="118"/>
      <c r="BC44" s="119"/>
      <c r="BD44" s="121"/>
      <c r="BE44" s="118"/>
      <c r="BF44" s="118"/>
      <c r="BG44" s="118"/>
      <c r="BH44" s="118"/>
      <c r="BI44" s="118"/>
      <c r="BJ44" s="119"/>
      <c r="BK44" s="44"/>
    </row>
    <row r="45" spans="1:63" ht="15" customHeight="1" x14ac:dyDescent="0.25">
      <c r="A45" s="43"/>
      <c r="B45" s="69"/>
      <c r="C45" s="70"/>
      <c r="D45" s="70"/>
      <c r="E45" s="70"/>
      <c r="F45" s="70"/>
      <c r="G45" s="71"/>
      <c r="H45" s="69"/>
      <c r="I45" s="70"/>
      <c r="J45" s="70"/>
      <c r="K45" s="70"/>
      <c r="L45" s="70"/>
      <c r="M45" s="70"/>
      <c r="N45" s="71"/>
      <c r="O45" s="69"/>
      <c r="P45" s="70"/>
      <c r="Q45" s="70"/>
      <c r="R45" s="70"/>
      <c r="S45" s="113"/>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5"/>
      <c r="AX45" s="116"/>
      <c r="AY45" s="116"/>
      <c r="AZ45" s="116"/>
      <c r="BA45" s="116"/>
      <c r="BB45" s="116"/>
      <c r="BC45" s="117"/>
      <c r="BD45" s="120"/>
      <c r="BE45" s="116"/>
      <c r="BF45" s="116"/>
      <c r="BG45" s="116"/>
      <c r="BH45" s="116"/>
      <c r="BI45" s="116"/>
      <c r="BJ45" s="117"/>
      <c r="BK45" s="44"/>
    </row>
    <row r="46" spans="1:63" ht="15" customHeight="1" x14ac:dyDescent="0.25">
      <c r="A46" s="43"/>
      <c r="B46" s="72"/>
      <c r="C46" s="73"/>
      <c r="D46" s="73"/>
      <c r="E46" s="73"/>
      <c r="F46" s="73"/>
      <c r="G46" s="74"/>
      <c r="H46" s="72"/>
      <c r="I46" s="73"/>
      <c r="J46" s="73"/>
      <c r="K46" s="73"/>
      <c r="L46" s="73"/>
      <c r="M46" s="73"/>
      <c r="N46" s="74"/>
      <c r="O46" s="72"/>
      <c r="P46" s="73"/>
      <c r="Q46" s="73"/>
      <c r="R46" s="73"/>
      <c r="S46" s="122"/>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4"/>
      <c r="AX46" s="118"/>
      <c r="AY46" s="118"/>
      <c r="AZ46" s="118"/>
      <c r="BA46" s="118"/>
      <c r="BB46" s="118"/>
      <c r="BC46" s="119"/>
      <c r="BD46" s="121"/>
      <c r="BE46" s="118"/>
      <c r="BF46" s="118"/>
      <c r="BG46" s="118"/>
      <c r="BH46" s="118"/>
      <c r="BI46" s="118"/>
      <c r="BJ46" s="119"/>
      <c r="BK46" s="44"/>
    </row>
    <row r="47" spans="1:63" ht="15" customHeight="1" x14ac:dyDescent="0.25">
      <c r="A47" s="43"/>
      <c r="B47" s="69"/>
      <c r="C47" s="70"/>
      <c r="D47" s="70"/>
      <c r="E47" s="70"/>
      <c r="F47" s="70"/>
      <c r="G47" s="71"/>
      <c r="H47" s="69"/>
      <c r="I47" s="70"/>
      <c r="J47" s="70"/>
      <c r="K47" s="70"/>
      <c r="L47" s="70"/>
      <c r="M47" s="70"/>
      <c r="N47" s="71"/>
      <c r="O47" s="69"/>
      <c r="P47" s="70"/>
      <c r="Q47" s="70"/>
      <c r="R47" s="70"/>
      <c r="S47" s="113"/>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5"/>
      <c r="AX47" s="116"/>
      <c r="AY47" s="116"/>
      <c r="AZ47" s="116"/>
      <c r="BA47" s="116"/>
      <c r="BB47" s="116"/>
      <c r="BC47" s="117"/>
      <c r="BD47" s="120"/>
      <c r="BE47" s="116"/>
      <c r="BF47" s="116"/>
      <c r="BG47" s="116"/>
      <c r="BH47" s="116"/>
      <c r="BI47" s="116"/>
      <c r="BJ47" s="117"/>
      <c r="BK47" s="44"/>
    </row>
    <row r="48" spans="1:63" ht="15" customHeight="1" x14ac:dyDescent="0.25">
      <c r="A48" s="43"/>
      <c r="B48" s="72"/>
      <c r="C48" s="73"/>
      <c r="D48" s="73"/>
      <c r="E48" s="73"/>
      <c r="F48" s="73"/>
      <c r="G48" s="74"/>
      <c r="H48" s="72"/>
      <c r="I48" s="73"/>
      <c r="J48" s="73"/>
      <c r="K48" s="73"/>
      <c r="L48" s="73"/>
      <c r="M48" s="73"/>
      <c r="N48" s="74"/>
      <c r="O48" s="72"/>
      <c r="P48" s="73"/>
      <c r="Q48" s="73"/>
      <c r="R48" s="73"/>
      <c r="S48" s="122"/>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4"/>
      <c r="AX48" s="118"/>
      <c r="AY48" s="118"/>
      <c r="AZ48" s="118"/>
      <c r="BA48" s="118"/>
      <c r="BB48" s="118"/>
      <c r="BC48" s="119"/>
      <c r="BD48" s="121"/>
      <c r="BE48" s="118"/>
      <c r="BF48" s="118"/>
      <c r="BG48" s="118"/>
      <c r="BH48" s="118"/>
      <c r="BI48" s="118"/>
      <c r="BJ48" s="119"/>
      <c r="BK48" s="44"/>
    </row>
    <row r="49" spans="1:63" ht="15" customHeight="1" x14ac:dyDescent="0.25">
      <c r="A49" s="43"/>
      <c r="B49" s="69"/>
      <c r="C49" s="70"/>
      <c r="D49" s="70"/>
      <c r="E49" s="70"/>
      <c r="F49" s="70"/>
      <c r="G49" s="71"/>
      <c r="H49" s="69"/>
      <c r="I49" s="70"/>
      <c r="J49" s="70"/>
      <c r="K49" s="70"/>
      <c r="L49" s="70"/>
      <c r="M49" s="70"/>
      <c r="N49" s="71"/>
      <c r="O49" s="69"/>
      <c r="P49" s="70"/>
      <c r="Q49" s="70"/>
      <c r="R49" s="70"/>
      <c r="S49" s="113"/>
      <c r="T49" s="114"/>
      <c r="U49" s="114"/>
      <c r="V49" s="114"/>
      <c r="W49" s="114"/>
      <c r="X49" s="114"/>
      <c r="Y49" s="114"/>
      <c r="Z49" s="114"/>
      <c r="AA49" s="114"/>
      <c r="AB49" s="114"/>
      <c r="AC49" s="114"/>
      <c r="AD49" s="114"/>
      <c r="AE49" s="114"/>
      <c r="AF49" s="114"/>
      <c r="AG49" s="114"/>
      <c r="AH49" s="114"/>
      <c r="AI49" s="114"/>
      <c r="AJ49" s="114"/>
      <c r="AK49" s="114"/>
      <c r="AL49" s="114"/>
      <c r="AM49" s="114"/>
      <c r="AN49" s="114"/>
      <c r="AO49" s="114"/>
      <c r="AP49" s="114"/>
      <c r="AQ49" s="114"/>
      <c r="AR49" s="114"/>
      <c r="AS49" s="114"/>
      <c r="AT49" s="114"/>
      <c r="AU49" s="114"/>
      <c r="AV49" s="114"/>
      <c r="AW49" s="115"/>
      <c r="AX49" s="116"/>
      <c r="AY49" s="116"/>
      <c r="AZ49" s="116"/>
      <c r="BA49" s="116"/>
      <c r="BB49" s="116"/>
      <c r="BC49" s="117"/>
      <c r="BD49" s="120"/>
      <c r="BE49" s="116"/>
      <c r="BF49" s="116"/>
      <c r="BG49" s="116"/>
      <c r="BH49" s="116"/>
      <c r="BI49" s="116"/>
      <c r="BJ49" s="117"/>
      <c r="BK49" s="44"/>
    </row>
    <row r="50" spans="1:63" ht="15" customHeight="1" x14ac:dyDescent="0.25">
      <c r="A50" s="43"/>
      <c r="B50" s="72"/>
      <c r="C50" s="73"/>
      <c r="D50" s="73"/>
      <c r="E50" s="73"/>
      <c r="F50" s="73"/>
      <c r="G50" s="74"/>
      <c r="H50" s="72"/>
      <c r="I50" s="73"/>
      <c r="J50" s="73"/>
      <c r="K50" s="73"/>
      <c r="L50" s="73"/>
      <c r="M50" s="73"/>
      <c r="N50" s="74"/>
      <c r="O50" s="72"/>
      <c r="P50" s="73"/>
      <c r="Q50" s="73"/>
      <c r="R50" s="73"/>
      <c r="S50" s="122"/>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4"/>
      <c r="AX50" s="118"/>
      <c r="AY50" s="118"/>
      <c r="AZ50" s="118"/>
      <c r="BA50" s="118"/>
      <c r="BB50" s="118"/>
      <c r="BC50" s="119"/>
      <c r="BD50" s="121"/>
      <c r="BE50" s="118"/>
      <c r="BF50" s="118"/>
      <c r="BG50" s="118"/>
      <c r="BH50" s="118"/>
      <c r="BI50" s="118"/>
      <c r="BJ50" s="119"/>
      <c r="BK50" s="44"/>
    </row>
    <row r="51" spans="1:63" ht="15" customHeight="1" x14ac:dyDescent="0.25">
      <c r="A51" s="43"/>
      <c r="B51" s="69"/>
      <c r="C51" s="70"/>
      <c r="D51" s="70"/>
      <c r="E51" s="70"/>
      <c r="F51" s="70"/>
      <c r="G51" s="71"/>
      <c r="H51" s="69"/>
      <c r="I51" s="70"/>
      <c r="J51" s="70"/>
      <c r="K51" s="70"/>
      <c r="L51" s="70"/>
      <c r="M51" s="70"/>
      <c r="N51" s="71"/>
      <c r="O51" s="69"/>
      <c r="P51" s="70"/>
      <c r="Q51" s="70"/>
      <c r="R51" s="70"/>
      <c r="S51" s="113"/>
      <c r="T51" s="114"/>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5"/>
      <c r="AX51" s="116"/>
      <c r="AY51" s="116"/>
      <c r="AZ51" s="116"/>
      <c r="BA51" s="116"/>
      <c r="BB51" s="116"/>
      <c r="BC51" s="117"/>
      <c r="BD51" s="120"/>
      <c r="BE51" s="116"/>
      <c r="BF51" s="116"/>
      <c r="BG51" s="116"/>
      <c r="BH51" s="116"/>
      <c r="BI51" s="116"/>
      <c r="BJ51" s="117"/>
      <c r="BK51" s="44"/>
    </row>
    <row r="52" spans="1:63" ht="15" customHeight="1" x14ac:dyDescent="0.25">
      <c r="A52" s="43"/>
      <c r="B52" s="72"/>
      <c r="C52" s="73"/>
      <c r="D52" s="73"/>
      <c r="E52" s="73"/>
      <c r="F52" s="73"/>
      <c r="G52" s="74"/>
      <c r="H52" s="72"/>
      <c r="I52" s="73"/>
      <c r="J52" s="73"/>
      <c r="K52" s="73"/>
      <c r="L52" s="73"/>
      <c r="M52" s="73"/>
      <c r="N52" s="74"/>
      <c r="O52" s="72"/>
      <c r="P52" s="73"/>
      <c r="Q52" s="73"/>
      <c r="R52" s="73"/>
      <c r="S52" s="122"/>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4"/>
      <c r="AX52" s="118"/>
      <c r="AY52" s="118"/>
      <c r="AZ52" s="118"/>
      <c r="BA52" s="118"/>
      <c r="BB52" s="118"/>
      <c r="BC52" s="119"/>
      <c r="BD52" s="121"/>
      <c r="BE52" s="118"/>
      <c r="BF52" s="118"/>
      <c r="BG52" s="118"/>
      <c r="BH52" s="118"/>
      <c r="BI52" s="118"/>
      <c r="BJ52" s="119"/>
      <c r="BK52" s="44"/>
    </row>
    <row r="53" spans="1:63" ht="15" customHeight="1" x14ac:dyDescent="0.25">
      <c r="A53" s="43"/>
      <c r="B53" s="69"/>
      <c r="C53" s="70"/>
      <c r="D53" s="70"/>
      <c r="E53" s="70"/>
      <c r="F53" s="70"/>
      <c r="G53" s="71"/>
      <c r="H53" s="69"/>
      <c r="I53" s="70"/>
      <c r="J53" s="70"/>
      <c r="K53" s="70"/>
      <c r="L53" s="70"/>
      <c r="M53" s="70"/>
      <c r="N53" s="71"/>
      <c r="O53" s="69"/>
      <c r="P53" s="70"/>
      <c r="Q53" s="70"/>
      <c r="R53" s="70"/>
      <c r="S53" s="113"/>
      <c r="T53" s="114"/>
      <c r="U53" s="114"/>
      <c r="V53" s="114"/>
      <c r="W53" s="114"/>
      <c r="X53" s="114"/>
      <c r="Y53" s="114"/>
      <c r="Z53" s="114"/>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5"/>
      <c r="AX53" s="116"/>
      <c r="AY53" s="116"/>
      <c r="AZ53" s="116"/>
      <c r="BA53" s="116"/>
      <c r="BB53" s="116"/>
      <c r="BC53" s="117"/>
      <c r="BD53" s="120"/>
      <c r="BE53" s="116"/>
      <c r="BF53" s="116"/>
      <c r="BG53" s="116"/>
      <c r="BH53" s="116"/>
      <c r="BI53" s="116"/>
      <c r="BJ53" s="117"/>
      <c r="BK53" s="44"/>
    </row>
    <row r="54" spans="1:63" ht="15" customHeight="1" x14ac:dyDescent="0.25">
      <c r="A54" s="43"/>
      <c r="B54" s="72"/>
      <c r="C54" s="73"/>
      <c r="D54" s="73"/>
      <c r="E54" s="73"/>
      <c r="F54" s="73"/>
      <c r="G54" s="74"/>
      <c r="H54" s="72"/>
      <c r="I54" s="73"/>
      <c r="J54" s="73"/>
      <c r="K54" s="73"/>
      <c r="L54" s="73"/>
      <c r="M54" s="73"/>
      <c r="N54" s="74"/>
      <c r="O54" s="72"/>
      <c r="P54" s="73"/>
      <c r="Q54" s="73"/>
      <c r="R54" s="73"/>
      <c r="S54" s="122"/>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4"/>
      <c r="AX54" s="118"/>
      <c r="AY54" s="118"/>
      <c r="AZ54" s="118"/>
      <c r="BA54" s="118"/>
      <c r="BB54" s="118"/>
      <c r="BC54" s="119"/>
      <c r="BD54" s="121"/>
      <c r="BE54" s="118"/>
      <c r="BF54" s="118"/>
      <c r="BG54" s="118"/>
      <c r="BH54" s="118"/>
      <c r="BI54" s="118"/>
      <c r="BJ54" s="119"/>
      <c r="BK54" s="44"/>
    </row>
    <row r="55" spans="1:63" ht="15" customHeight="1" x14ac:dyDescent="0.25">
      <c r="A55" s="40"/>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2"/>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802B-6936-45AA-9757-87208EB57C51}">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56" t="s">
        <v>79</v>
      </c>
      <c r="B1" s="157"/>
      <c r="C1" s="157"/>
      <c r="D1" s="157"/>
      <c r="E1" s="157"/>
      <c r="F1" s="157"/>
      <c r="G1" s="157"/>
      <c r="H1" s="157"/>
      <c r="I1" s="157"/>
      <c r="J1" s="158"/>
      <c r="K1" s="156" t="s">
        <v>80</v>
      </c>
      <c r="L1" s="157"/>
      <c r="M1" s="157"/>
      <c r="N1" s="157"/>
      <c r="O1" s="157"/>
      <c r="P1" s="157"/>
      <c r="Q1" s="157"/>
      <c r="R1" s="157"/>
      <c r="S1" s="157"/>
      <c r="T1" s="157"/>
      <c r="U1" s="157"/>
      <c r="V1" s="158"/>
      <c r="W1" s="169" t="s">
        <v>77</v>
      </c>
      <c r="X1" s="170"/>
      <c r="Y1" s="170"/>
      <c r="Z1" s="170"/>
      <c r="AA1" s="170"/>
      <c r="AB1" s="170"/>
      <c r="AC1" s="170"/>
      <c r="AD1" s="170"/>
      <c r="AE1" s="170"/>
      <c r="AF1" s="170"/>
      <c r="AG1" s="170"/>
      <c r="AH1" s="170"/>
      <c r="AI1" s="170"/>
      <c r="AJ1" s="170"/>
      <c r="AK1" s="170"/>
      <c r="AL1" s="170"/>
      <c r="AM1" s="170"/>
      <c r="AN1" s="170"/>
      <c r="AO1" s="171"/>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163" t="s">
        <v>76</v>
      </c>
      <c r="B2" s="164"/>
      <c r="C2" s="164"/>
      <c r="D2" s="164"/>
      <c r="E2" s="164"/>
      <c r="F2" s="164"/>
      <c r="G2" s="164"/>
      <c r="H2" s="164"/>
      <c r="I2" s="164"/>
      <c r="J2" s="165"/>
      <c r="K2" s="163" t="s">
        <v>76</v>
      </c>
      <c r="L2" s="164"/>
      <c r="M2" s="164"/>
      <c r="N2" s="164"/>
      <c r="O2" s="164"/>
      <c r="P2" s="164"/>
      <c r="Q2" s="164"/>
      <c r="R2" s="164"/>
      <c r="S2" s="164"/>
      <c r="T2" s="164"/>
      <c r="U2" s="164"/>
      <c r="V2" s="165"/>
      <c r="W2" s="172"/>
      <c r="X2" s="173"/>
      <c r="Y2" s="173"/>
      <c r="Z2" s="173"/>
      <c r="AA2" s="173"/>
      <c r="AB2" s="173"/>
      <c r="AC2" s="173"/>
      <c r="AD2" s="173"/>
      <c r="AE2" s="173"/>
      <c r="AF2" s="173"/>
      <c r="AG2" s="173"/>
      <c r="AH2" s="173"/>
      <c r="AI2" s="173"/>
      <c r="AJ2" s="173"/>
      <c r="AK2" s="173"/>
      <c r="AL2" s="173"/>
      <c r="AM2" s="173"/>
      <c r="AN2" s="173"/>
      <c r="AO2" s="174"/>
      <c r="AP2" s="69" t="s">
        <v>74</v>
      </c>
      <c r="AQ2" s="70"/>
      <c r="AR2" s="70"/>
      <c r="AS2" s="71"/>
      <c r="AT2" s="97">
        <v>45499</v>
      </c>
      <c r="AU2" s="98"/>
      <c r="AV2" s="98"/>
      <c r="AW2" s="98"/>
      <c r="AX2" s="99"/>
      <c r="AY2" s="69" t="s">
        <v>74</v>
      </c>
      <c r="AZ2" s="70"/>
      <c r="BA2" s="70"/>
      <c r="BB2" s="71"/>
      <c r="BC2" s="97">
        <v>45812</v>
      </c>
      <c r="BD2" s="98"/>
      <c r="BE2" s="98"/>
      <c r="BF2" s="98"/>
      <c r="BG2" s="99"/>
      <c r="BH2" s="69">
        <v>0.43</v>
      </c>
      <c r="BI2" s="70"/>
      <c r="BJ2" s="70"/>
      <c r="BK2" s="71"/>
    </row>
    <row r="3" spans="1:63" ht="15" customHeight="1" x14ac:dyDescent="0.25">
      <c r="A3" s="166"/>
      <c r="B3" s="167"/>
      <c r="C3" s="167"/>
      <c r="D3" s="167"/>
      <c r="E3" s="167"/>
      <c r="F3" s="167"/>
      <c r="G3" s="167"/>
      <c r="H3" s="167"/>
      <c r="I3" s="167"/>
      <c r="J3" s="168"/>
      <c r="K3" s="166"/>
      <c r="L3" s="167"/>
      <c r="M3" s="167"/>
      <c r="N3" s="167"/>
      <c r="O3" s="167"/>
      <c r="P3" s="167"/>
      <c r="Q3" s="167"/>
      <c r="R3" s="167"/>
      <c r="S3" s="167"/>
      <c r="T3" s="167"/>
      <c r="U3" s="167"/>
      <c r="V3" s="168"/>
      <c r="W3" s="175"/>
      <c r="X3" s="176"/>
      <c r="Y3" s="176"/>
      <c r="Z3" s="176"/>
      <c r="AA3" s="176"/>
      <c r="AB3" s="176"/>
      <c r="AC3" s="176"/>
      <c r="AD3" s="176"/>
      <c r="AE3" s="176"/>
      <c r="AF3" s="176"/>
      <c r="AG3" s="176"/>
      <c r="AH3" s="176"/>
      <c r="AI3" s="176"/>
      <c r="AJ3" s="176"/>
      <c r="AK3" s="176"/>
      <c r="AL3" s="176"/>
      <c r="AM3" s="176"/>
      <c r="AN3" s="176"/>
      <c r="AO3" s="177"/>
      <c r="AP3" s="72"/>
      <c r="AQ3" s="73"/>
      <c r="AR3" s="73"/>
      <c r="AS3" s="74"/>
      <c r="AT3" s="100"/>
      <c r="AU3" s="101"/>
      <c r="AV3" s="101"/>
      <c r="AW3" s="101"/>
      <c r="AX3" s="102"/>
      <c r="AY3" s="72"/>
      <c r="AZ3" s="73"/>
      <c r="BA3" s="73"/>
      <c r="BB3" s="74"/>
      <c r="BC3" s="100"/>
      <c r="BD3" s="101"/>
      <c r="BE3" s="101"/>
      <c r="BF3" s="101"/>
      <c r="BG3" s="102"/>
      <c r="BH3" s="72"/>
      <c r="BI3" s="73"/>
      <c r="BJ3" s="73"/>
      <c r="BK3" s="74"/>
    </row>
    <row r="4" spans="1:63" ht="24.95" customHeight="1" x14ac:dyDescent="0.25">
      <c r="A4" s="156" t="s">
        <v>86</v>
      </c>
      <c r="B4" s="157"/>
      <c r="C4" s="157"/>
      <c r="D4" s="157"/>
      <c r="E4" s="157"/>
      <c r="F4" s="157"/>
      <c r="G4" s="158"/>
      <c r="H4" s="159" t="s">
        <v>75</v>
      </c>
      <c r="I4" s="160"/>
      <c r="J4" s="160"/>
      <c r="K4" s="160"/>
      <c r="L4" s="160"/>
      <c r="M4" s="160"/>
      <c r="N4" s="160"/>
      <c r="O4" s="160"/>
      <c r="P4" s="160"/>
      <c r="Q4" s="160"/>
      <c r="R4" s="160"/>
      <c r="S4" s="160"/>
      <c r="T4" s="161"/>
      <c r="U4" s="156" t="s">
        <v>87</v>
      </c>
      <c r="V4" s="157"/>
      <c r="W4" s="157"/>
      <c r="X4" s="157"/>
      <c r="Y4" s="158"/>
      <c r="Z4" s="159" t="s">
        <v>78</v>
      </c>
      <c r="AA4" s="160"/>
      <c r="AB4" s="160"/>
      <c r="AC4" s="160"/>
      <c r="AD4" s="160"/>
      <c r="AE4" s="160"/>
      <c r="AF4" s="160"/>
      <c r="AG4" s="160"/>
      <c r="AH4" s="160"/>
      <c r="AI4" s="160"/>
      <c r="AJ4" s="160"/>
      <c r="AK4" s="160"/>
      <c r="AL4" s="160"/>
      <c r="AM4" s="160"/>
      <c r="AN4" s="160"/>
      <c r="AO4" s="161"/>
      <c r="AP4" s="162" t="str">
        <f ca="1">MID(CELL("filename",A1),FIND("]",CELL("filename",A1))+1,255)</f>
        <v>処理フロー凡例</v>
      </c>
      <c r="AQ4" s="160"/>
      <c r="AR4" s="160"/>
      <c r="AS4" s="160"/>
      <c r="AT4" s="160"/>
      <c r="AU4" s="160"/>
      <c r="AV4" s="160"/>
      <c r="AW4" s="160"/>
      <c r="AX4" s="160"/>
      <c r="AY4" s="160"/>
      <c r="AZ4" s="160"/>
      <c r="BA4" s="160"/>
      <c r="BB4" s="160"/>
      <c r="BC4" s="160"/>
      <c r="BD4" s="160"/>
      <c r="BE4" s="160"/>
      <c r="BF4" s="160"/>
      <c r="BG4" s="160"/>
      <c r="BH4" s="160"/>
      <c r="BI4" s="160"/>
      <c r="BJ4" s="160"/>
      <c r="BK4" s="16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39" customFormat="1" ht="15" customHeight="1" x14ac:dyDescent="0.25">
      <c r="A7" s="55"/>
      <c r="B7" s="56" t="s">
        <v>98</v>
      </c>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8"/>
      <c r="AF7" s="59"/>
      <c r="AG7" s="57"/>
      <c r="AH7" s="57"/>
      <c r="AI7" s="57"/>
      <c r="AJ7" s="57"/>
      <c r="AK7" s="57"/>
      <c r="AL7" s="57"/>
      <c r="AM7" s="57"/>
      <c r="AN7" s="57"/>
      <c r="AO7" s="57"/>
      <c r="AP7" s="57"/>
      <c r="AQ7" s="57"/>
      <c r="AR7" s="57"/>
      <c r="AS7" s="57"/>
      <c r="AT7" s="57"/>
      <c r="AU7" s="57"/>
      <c r="AV7" s="57"/>
      <c r="AW7" s="57"/>
      <c r="AX7" s="57"/>
      <c r="AY7" s="57"/>
      <c r="AZ7" s="57"/>
      <c r="BA7" s="57"/>
      <c r="BB7" s="57"/>
      <c r="BC7" s="57"/>
      <c r="BD7" s="57"/>
      <c r="BE7" s="57"/>
      <c r="BF7" s="57"/>
      <c r="BG7" s="57"/>
      <c r="BH7" s="57"/>
      <c r="BI7" s="58"/>
      <c r="BJ7" s="57"/>
      <c r="BK7" s="60"/>
    </row>
    <row r="8" spans="1:63" s="61" customFormat="1" ht="15" customHeight="1" x14ac:dyDescent="0.25">
      <c r="BK8" s="60"/>
    </row>
    <row r="9" spans="1:63" s="61" customFormat="1" ht="15" customHeight="1" x14ac:dyDescent="0.25">
      <c r="BK9" s="60"/>
    </row>
    <row r="10" spans="1:63" s="61" customFormat="1" ht="15" customHeight="1" x14ac:dyDescent="0.25">
      <c r="BK10" s="60"/>
    </row>
    <row r="11" spans="1:63" s="61" customFormat="1" ht="15" customHeight="1" x14ac:dyDescent="0.25">
      <c r="BK11" s="60"/>
    </row>
    <row r="12" spans="1:63" s="61" customFormat="1" ht="15" customHeight="1" x14ac:dyDescent="0.25">
      <c r="BK12" s="60"/>
    </row>
    <row r="13" spans="1:63" s="61" customFormat="1" ht="15" customHeight="1" x14ac:dyDescent="0.25">
      <c r="BK13" s="60"/>
    </row>
    <row r="14" spans="1:63" s="61" customFormat="1" ht="15" customHeight="1" x14ac:dyDescent="0.25">
      <c r="BK14" s="60"/>
    </row>
    <row r="15" spans="1:63" s="61" customFormat="1" ht="15" customHeight="1" x14ac:dyDescent="0.25">
      <c r="BK15" s="60"/>
    </row>
    <row r="16" spans="1:63" s="61" customFormat="1" ht="15" customHeight="1" x14ac:dyDescent="0.25">
      <c r="BK16" s="60"/>
    </row>
    <row r="17" spans="63:63" s="61" customFormat="1" ht="15" customHeight="1" x14ac:dyDescent="0.25">
      <c r="BK17" s="60"/>
    </row>
    <row r="18" spans="63:63" s="61" customFormat="1" ht="15" customHeight="1" x14ac:dyDescent="0.25">
      <c r="BK18" s="60"/>
    </row>
    <row r="19" spans="63:63" s="61" customFormat="1" ht="15" customHeight="1" x14ac:dyDescent="0.25">
      <c r="BK19" s="60"/>
    </row>
    <row r="20" spans="63:63" s="61" customFormat="1" ht="15" customHeight="1" x14ac:dyDescent="0.25">
      <c r="BK20" s="60"/>
    </row>
    <row r="21" spans="63:63" s="61" customFormat="1" ht="15" customHeight="1" x14ac:dyDescent="0.25">
      <c r="BK21" s="60"/>
    </row>
    <row r="22" spans="63:63" s="61" customFormat="1" ht="15" customHeight="1" x14ac:dyDescent="0.25">
      <c r="BK22" s="60"/>
    </row>
    <row r="23" spans="63:63" s="61" customFormat="1" ht="15" customHeight="1" x14ac:dyDescent="0.25">
      <c r="BK23" s="60"/>
    </row>
    <row r="24" spans="63:63" s="61" customFormat="1" ht="15" customHeight="1" x14ac:dyDescent="0.25">
      <c r="BK24" s="60"/>
    </row>
    <row r="25" spans="63:63" s="61" customFormat="1" ht="15" customHeight="1" x14ac:dyDescent="0.25">
      <c r="BK25" s="60"/>
    </row>
    <row r="26" spans="63:63" s="61" customFormat="1" ht="15" customHeight="1" x14ac:dyDescent="0.25">
      <c r="BK26" s="60"/>
    </row>
    <row r="27" spans="63:63" s="61" customFormat="1" ht="15" customHeight="1" x14ac:dyDescent="0.25">
      <c r="BK27" s="60"/>
    </row>
    <row r="28" spans="63:63" s="61" customFormat="1" ht="15" customHeight="1" x14ac:dyDescent="0.25">
      <c r="BK28" s="60"/>
    </row>
    <row r="29" spans="63:63" s="61" customFormat="1" ht="15" customHeight="1" x14ac:dyDescent="0.25">
      <c r="BK29" s="60"/>
    </row>
    <row r="30" spans="63:63" s="61" customFormat="1" ht="15" customHeight="1" x14ac:dyDescent="0.25">
      <c r="BK30" s="60"/>
    </row>
    <row r="31" spans="63:63" s="61" customFormat="1" ht="15" customHeight="1" x14ac:dyDescent="0.25">
      <c r="BK31" s="60"/>
    </row>
    <row r="32" spans="63:63" s="61" customFormat="1" ht="15" customHeight="1" x14ac:dyDescent="0.25">
      <c r="BK32" s="60"/>
    </row>
    <row r="33" spans="63:63" s="61" customFormat="1" ht="15" customHeight="1" x14ac:dyDescent="0.25">
      <c r="BK33" s="60"/>
    </row>
    <row r="34" spans="63:63" s="61" customFormat="1" ht="15" customHeight="1" x14ac:dyDescent="0.25">
      <c r="BK34" s="60"/>
    </row>
    <row r="35" spans="63:63" s="61" customFormat="1" ht="15" customHeight="1" x14ac:dyDescent="0.25">
      <c r="BK35" s="60"/>
    </row>
    <row r="36" spans="63:63" s="61" customFormat="1" ht="15" customHeight="1" x14ac:dyDescent="0.25">
      <c r="BK36" s="60"/>
    </row>
    <row r="37" spans="63:63" s="61" customFormat="1" ht="15" customHeight="1" x14ac:dyDescent="0.25">
      <c r="BK37" s="60"/>
    </row>
    <row r="38" spans="63:63" s="61" customFormat="1" ht="15" customHeight="1" x14ac:dyDescent="0.25">
      <c r="BK38" s="60"/>
    </row>
    <row r="39" spans="63:63" s="61" customFormat="1" ht="15" customHeight="1" x14ac:dyDescent="0.25">
      <c r="BK39" s="60"/>
    </row>
    <row r="40" spans="63:63" s="61" customFormat="1" ht="15" customHeight="1" x14ac:dyDescent="0.25">
      <c r="BK40" s="60"/>
    </row>
    <row r="41" spans="63:63" s="61" customFormat="1" ht="15" customHeight="1" x14ac:dyDescent="0.25">
      <c r="BK41" s="60"/>
    </row>
    <row r="42" spans="63:63" s="61" customFormat="1" ht="15" customHeight="1" x14ac:dyDescent="0.25">
      <c r="BK42" s="60"/>
    </row>
    <row r="43" spans="63:63" s="61" customFormat="1" ht="15" customHeight="1" x14ac:dyDescent="0.25">
      <c r="BK43" s="60"/>
    </row>
    <row r="44" spans="63:63" s="61" customFormat="1" ht="15" customHeight="1" x14ac:dyDescent="0.25">
      <c r="BK44" s="60"/>
    </row>
    <row r="45" spans="63:63" s="61" customFormat="1" ht="15" customHeight="1" x14ac:dyDescent="0.25">
      <c r="BK45" s="60"/>
    </row>
    <row r="46" spans="63:63" s="61" customFormat="1" ht="15" customHeight="1" x14ac:dyDescent="0.25">
      <c r="BK46" s="60"/>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A079-460B-422D-A1ED-1E0DF9A4D6BF}">
  <sheetPr>
    <tabColor rgb="FF0000FF"/>
    <pageSetUpPr fitToPage="1"/>
  </sheetPr>
  <dimension ref="A1:BK55"/>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56" t="s">
        <v>79</v>
      </c>
      <c r="B1" s="157"/>
      <c r="C1" s="157"/>
      <c r="D1" s="157"/>
      <c r="E1" s="157"/>
      <c r="F1" s="157"/>
      <c r="G1" s="157"/>
      <c r="H1" s="157"/>
      <c r="I1" s="157"/>
      <c r="J1" s="158"/>
      <c r="K1" s="156" t="s">
        <v>80</v>
      </c>
      <c r="L1" s="157"/>
      <c r="M1" s="157"/>
      <c r="N1" s="157"/>
      <c r="O1" s="157"/>
      <c r="P1" s="157"/>
      <c r="Q1" s="157"/>
      <c r="R1" s="157"/>
      <c r="S1" s="157"/>
      <c r="T1" s="157"/>
      <c r="U1" s="157"/>
      <c r="V1" s="158"/>
      <c r="W1" s="169" t="s">
        <v>77</v>
      </c>
      <c r="X1" s="170"/>
      <c r="Y1" s="170"/>
      <c r="Z1" s="170"/>
      <c r="AA1" s="170"/>
      <c r="AB1" s="170"/>
      <c r="AC1" s="170"/>
      <c r="AD1" s="170"/>
      <c r="AE1" s="170"/>
      <c r="AF1" s="170"/>
      <c r="AG1" s="170"/>
      <c r="AH1" s="170"/>
      <c r="AI1" s="170"/>
      <c r="AJ1" s="170"/>
      <c r="AK1" s="170"/>
      <c r="AL1" s="170"/>
      <c r="AM1" s="170"/>
      <c r="AN1" s="170"/>
      <c r="AO1" s="171"/>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163" t="s">
        <v>76</v>
      </c>
      <c r="B2" s="164"/>
      <c r="C2" s="164"/>
      <c r="D2" s="164"/>
      <c r="E2" s="164"/>
      <c r="F2" s="164"/>
      <c r="G2" s="164"/>
      <c r="H2" s="164"/>
      <c r="I2" s="164"/>
      <c r="J2" s="165"/>
      <c r="K2" s="163" t="s">
        <v>76</v>
      </c>
      <c r="L2" s="164"/>
      <c r="M2" s="164"/>
      <c r="N2" s="164"/>
      <c r="O2" s="164"/>
      <c r="P2" s="164"/>
      <c r="Q2" s="164"/>
      <c r="R2" s="164"/>
      <c r="S2" s="164"/>
      <c r="T2" s="164"/>
      <c r="U2" s="164"/>
      <c r="V2" s="165"/>
      <c r="W2" s="172"/>
      <c r="X2" s="173"/>
      <c r="Y2" s="173"/>
      <c r="Z2" s="173"/>
      <c r="AA2" s="173"/>
      <c r="AB2" s="173"/>
      <c r="AC2" s="173"/>
      <c r="AD2" s="173"/>
      <c r="AE2" s="173"/>
      <c r="AF2" s="173"/>
      <c r="AG2" s="173"/>
      <c r="AH2" s="173"/>
      <c r="AI2" s="173"/>
      <c r="AJ2" s="173"/>
      <c r="AK2" s="173"/>
      <c r="AL2" s="173"/>
      <c r="AM2" s="173"/>
      <c r="AN2" s="173"/>
      <c r="AO2" s="174"/>
      <c r="AP2" s="69" t="s">
        <v>74</v>
      </c>
      <c r="AQ2" s="70"/>
      <c r="AR2" s="70"/>
      <c r="AS2" s="71"/>
      <c r="AT2" s="97">
        <v>45499</v>
      </c>
      <c r="AU2" s="98"/>
      <c r="AV2" s="98"/>
      <c r="AW2" s="98"/>
      <c r="AX2" s="99"/>
      <c r="AY2" s="69" t="s">
        <v>74</v>
      </c>
      <c r="AZ2" s="70"/>
      <c r="BA2" s="70"/>
      <c r="BB2" s="71"/>
      <c r="BC2" s="97">
        <v>45812</v>
      </c>
      <c r="BD2" s="98"/>
      <c r="BE2" s="98"/>
      <c r="BF2" s="98"/>
      <c r="BG2" s="99"/>
      <c r="BH2" s="69">
        <v>0.43</v>
      </c>
      <c r="BI2" s="70"/>
      <c r="BJ2" s="70"/>
      <c r="BK2" s="71"/>
    </row>
    <row r="3" spans="1:63" ht="15" customHeight="1" x14ac:dyDescent="0.25">
      <c r="A3" s="166"/>
      <c r="B3" s="167"/>
      <c r="C3" s="167"/>
      <c r="D3" s="167"/>
      <c r="E3" s="167"/>
      <c r="F3" s="167"/>
      <c r="G3" s="167"/>
      <c r="H3" s="167"/>
      <c r="I3" s="167"/>
      <c r="J3" s="168"/>
      <c r="K3" s="166"/>
      <c r="L3" s="167"/>
      <c r="M3" s="167"/>
      <c r="N3" s="167"/>
      <c r="O3" s="167"/>
      <c r="P3" s="167"/>
      <c r="Q3" s="167"/>
      <c r="R3" s="167"/>
      <c r="S3" s="167"/>
      <c r="T3" s="167"/>
      <c r="U3" s="167"/>
      <c r="V3" s="168"/>
      <c r="W3" s="175"/>
      <c r="X3" s="176"/>
      <c r="Y3" s="176"/>
      <c r="Z3" s="176"/>
      <c r="AA3" s="176"/>
      <c r="AB3" s="176"/>
      <c r="AC3" s="176"/>
      <c r="AD3" s="176"/>
      <c r="AE3" s="176"/>
      <c r="AF3" s="176"/>
      <c r="AG3" s="176"/>
      <c r="AH3" s="176"/>
      <c r="AI3" s="176"/>
      <c r="AJ3" s="176"/>
      <c r="AK3" s="176"/>
      <c r="AL3" s="176"/>
      <c r="AM3" s="176"/>
      <c r="AN3" s="176"/>
      <c r="AO3" s="177"/>
      <c r="AP3" s="72"/>
      <c r="AQ3" s="73"/>
      <c r="AR3" s="73"/>
      <c r="AS3" s="74"/>
      <c r="AT3" s="100"/>
      <c r="AU3" s="101"/>
      <c r="AV3" s="101"/>
      <c r="AW3" s="101"/>
      <c r="AX3" s="102"/>
      <c r="AY3" s="72"/>
      <c r="AZ3" s="73"/>
      <c r="BA3" s="73"/>
      <c r="BB3" s="74"/>
      <c r="BC3" s="100"/>
      <c r="BD3" s="101"/>
      <c r="BE3" s="101"/>
      <c r="BF3" s="101"/>
      <c r="BG3" s="102"/>
      <c r="BH3" s="72"/>
      <c r="BI3" s="73"/>
      <c r="BJ3" s="73"/>
      <c r="BK3" s="74"/>
    </row>
    <row r="4" spans="1:63" ht="24.95" customHeight="1" x14ac:dyDescent="0.25">
      <c r="A4" s="156" t="s">
        <v>86</v>
      </c>
      <c r="B4" s="157"/>
      <c r="C4" s="157"/>
      <c r="D4" s="157"/>
      <c r="E4" s="157"/>
      <c r="F4" s="157"/>
      <c r="G4" s="158"/>
      <c r="H4" s="159" t="s">
        <v>75</v>
      </c>
      <c r="I4" s="160"/>
      <c r="J4" s="160"/>
      <c r="K4" s="160"/>
      <c r="L4" s="160"/>
      <c r="M4" s="160"/>
      <c r="N4" s="160"/>
      <c r="O4" s="160"/>
      <c r="P4" s="160"/>
      <c r="Q4" s="160"/>
      <c r="R4" s="160"/>
      <c r="S4" s="160"/>
      <c r="T4" s="161"/>
      <c r="U4" s="156" t="s">
        <v>87</v>
      </c>
      <c r="V4" s="157"/>
      <c r="W4" s="157"/>
      <c r="X4" s="157"/>
      <c r="Y4" s="158"/>
      <c r="Z4" s="159" t="s">
        <v>78</v>
      </c>
      <c r="AA4" s="160"/>
      <c r="AB4" s="160"/>
      <c r="AC4" s="160"/>
      <c r="AD4" s="160"/>
      <c r="AE4" s="160"/>
      <c r="AF4" s="160"/>
      <c r="AG4" s="160"/>
      <c r="AH4" s="160"/>
      <c r="AI4" s="160"/>
      <c r="AJ4" s="160"/>
      <c r="AK4" s="160"/>
      <c r="AL4" s="160"/>
      <c r="AM4" s="160"/>
      <c r="AN4" s="160"/>
      <c r="AO4" s="161"/>
      <c r="AP4" s="162" t="str">
        <f ca="1">MID(CELL("filename",A1),FIND("]",CELL("filename",A1))+1,255)</f>
        <v>AP7107</v>
      </c>
      <c r="AQ4" s="160"/>
      <c r="AR4" s="160"/>
      <c r="AS4" s="160"/>
      <c r="AT4" s="160"/>
      <c r="AU4" s="160"/>
      <c r="AV4" s="160"/>
      <c r="AW4" s="160"/>
      <c r="AX4" s="160"/>
      <c r="AY4" s="160"/>
      <c r="AZ4" s="160"/>
      <c r="BA4" s="160"/>
      <c r="BB4" s="160"/>
      <c r="BC4" s="160"/>
      <c r="BD4" s="160"/>
      <c r="BE4" s="160"/>
      <c r="BF4" s="160"/>
      <c r="BG4" s="160"/>
      <c r="BH4" s="160"/>
      <c r="BI4" s="160"/>
      <c r="BJ4" s="160"/>
      <c r="BK4" s="16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20" customFormat="1" ht="15" customHeight="1" x14ac:dyDescent="0.25">
      <c r="A7" s="15"/>
      <c r="B7" s="16" t="s">
        <v>99</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62"/>
      <c r="AQ7" s="62"/>
      <c r="AR7" s="62"/>
      <c r="AS7" s="62"/>
      <c r="AT7" s="17"/>
      <c r="AU7" s="17"/>
      <c r="AV7" s="17"/>
      <c r="AW7" s="17"/>
      <c r="AX7" s="17"/>
      <c r="AY7" s="17"/>
      <c r="AZ7" s="17"/>
      <c r="BA7" s="17"/>
      <c r="BB7" s="17"/>
      <c r="BC7" s="17"/>
      <c r="BD7" s="17"/>
      <c r="BE7" s="17"/>
      <c r="BF7" s="17"/>
      <c r="BG7" s="17"/>
      <c r="BH7" s="18"/>
      <c r="BI7" s="18"/>
      <c r="BJ7" s="18"/>
      <c r="BK7" s="19"/>
    </row>
    <row r="8" spans="1:63" s="20" customFormat="1" ht="15" customHeight="1" x14ac:dyDescent="0.25">
      <c r="A8" s="15"/>
      <c r="B8" s="21"/>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63"/>
      <c r="AQ8" s="63"/>
      <c r="AR8" s="63"/>
      <c r="AS8" s="63"/>
      <c r="AT8" s="22"/>
      <c r="AU8" s="22"/>
      <c r="AV8" s="22"/>
      <c r="AW8" s="22"/>
      <c r="AX8" s="22"/>
      <c r="AY8" s="22"/>
      <c r="AZ8" s="22"/>
      <c r="BA8" s="22"/>
      <c r="BB8" s="22"/>
      <c r="BC8" s="22"/>
      <c r="BD8" s="22"/>
      <c r="BE8" s="22"/>
      <c r="BF8" s="22"/>
      <c r="BG8" s="22"/>
      <c r="BH8" s="23"/>
      <c r="BI8" s="23"/>
      <c r="BJ8" s="23"/>
      <c r="BK8" s="19"/>
    </row>
    <row r="9" spans="1:63" s="20" customFormat="1" ht="15" customHeight="1" x14ac:dyDescent="0.25">
      <c r="A9" s="15"/>
      <c r="B9" s="21"/>
      <c r="C9" s="22" t="s">
        <v>27</v>
      </c>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63"/>
      <c r="AQ9" s="63"/>
      <c r="AR9" s="63"/>
      <c r="AS9" s="63"/>
      <c r="AT9" s="22"/>
      <c r="AU9" s="22"/>
      <c r="AV9" s="22"/>
      <c r="AW9" s="22"/>
      <c r="AX9" s="22"/>
      <c r="AY9" s="22"/>
      <c r="AZ9" s="22"/>
      <c r="BA9" s="22"/>
      <c r="BB9" s="22"/>
      <c r="BC9" s="22"/>
      <c r="BD9" s="22"/>
      <c r="BE9" s="22"/>
      <c r="BF9" s="22"/>
      <c r="BG9" s="22"/>
      <c r="BH9" s="23"/>
      <c r="BI9" s="23"/>
      <c r="BJ9" s="23"/>
      <c r="BK9" s="19"/>
    </row>
    <row r="10" spans="1:63" s="20" customFormat="1" ht="15" customHeight="1" x14ac:dyDescent="0.25">
      <c r="A10" s="15"/>
      <c r="B10" s="22"/>
      <c r="C10" s="22" t="s">
        <v>38</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63"/>
      <c r="AQ10" s="63"/>
      <c r="AR10" s="63"/>
      <c r="AS10" s="63"/>
      <c r="AT10" s="22"/>
      <c r="AU10" s="22"/>
      <c r="AV10" s="22"/>
      <c r="AW10" s="22"/>
      <c r="AX10" s="22"/>
      <c r="AY10" s="22"/>
      <c r="AZ10" s="22"/>
      <c r="BA10" s="22"/>
      <c r="BB10" s="22"/>
      <c r="BC10" s="22"/>
      <c r="BD10" s="22"/>
      <c r="BE10" s="22"/>
      <c r="BF10" s="22"/>
      <c r="BG10" s="22"/>
      <c r="BH10" s="23"/>
      <c r="BI10" s="23"/>
      <c r="BJ10" s="23"/>
      <c r="BK10" s="19"/>
    </row>
    <row r="11" spans="1:63" s="20" customFormat="1" ht="15" customHeight="1" x14ac:dyDescent="0.25">
      <c r="A11" s="15"/>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3"/>
      <c r="BI11" s="23"/>
      <c r="BJ11" s="23"/>
      <c r="BK11" s="19"/>
    </row>
    <row r="12" spans="1:63" s="20" customFormat="1" ht="15" customHeight="1" x14ac:dyDescent="0.25">
      <c r="A12" s="15"/>
      <c r="B12" s="24" t="s">
        <v>100</v>
      </c>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8"/>
      <c r="BI12" s="18"/>
      <c r="BJ12" s="18"/>
      <c r="BK12" s="19"/>
    </row>
    <row r="13" spans="1:63" s="20" customFormat="1" ht="15" customHeight="1" x14ac:dyDescent="0.25">
      <c r="A13" s="15"/>
      <c r="B13" s="22"/>
      <c r="C13" s="25"/>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3"/>
      <c r="BI13" s="23"/>
      <c r="BJ13" s="23"/>
      <c r="BK13" s="19"/>
    </row>
    <row r="14" spans="1:63" s="20" customFormat="1" ht="15" customHeight="1" x14ac:dyDescent="0.25">
      <c r="A14" s="15"/>
      <c r="B14" s="22"/>
      <c r="C14" s="25" t="s">
        <v>101</v>
      </c>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3"/>
      <c r="BI14" s="23"/>
      <c r="BJ14" s="23"/>
      <c r="BK14" s="19"/>
    </row>
    <row r="15" spans="1:63" s="20" customFormat="1" ht="15" customHeight="1" x14ac:dyDescent="0.25">
      <c r="A15" s="15"/>
      <c r="B15" s="22"/>
      <c r="C15" s="21"/>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3"/>
      <c r="BI15" s="23"/>
      <c r="BJ15" s="23"/>
      <c r="BK15" s="19"/>
    </row>
    <row r="16" spans="1:63" s="20" customFormat="1" ht="15" customHeight="1" x14ac:dyDescent="0.25">
      <c r="A16" s="15"/>
      <c r="B16" s="22"/>
      <c r="C16" s="204" t="s">
        <v>13</v>
      </c>
      <c r="D16" s="206"/>
      <c r="E16" s="204" t="s">
        <v>56</v>
      </c>
      <c r="F16" s="205"/>
      <c r="G16" s="205"/>
      <c r="H16" s="205"/>
      <c r="I16" s="205"/>
      <c r="J16" s="205"/>
      <c r="K16" s="205"/>
      <c r="L16" s="205"/>
      <c r="M16" s="205"/>
      <c r="N16" s="205"/>
      <c r="O16" s="205"/>
      <c r="P16" s="205"/>
      <c r="Q16" s="205"/>
      <c r="R16" s="205"/>
      <c r="S16" s="205"/>
      <c r="T16" s="205"/>
      <c r="U16" s="205"/>
      <c r="V16" s="205"/>
      <c r="W16" s="205"/>
      <c r="X16" s="205"/>
      <c r="Y16" s="205"/>
      <c r="Z16" s="205"/>
      <c r="AA16" s="205"/>
      <c r="AB16" s="205"/>
      <c r="AC16" s="205"/>
      <c r="AD16" s="205"/>
      <c r="AE16" s="205"/>
      <c r="AF16" s="206"/>
      <c r="AG16" s="204" t="s">
        <v>57</v>
      </c>
      <c r="AH16" s="205"/>
      <c r="AI16" s="205"/>
      <c r="AJ16" s="205"/>
      <c r="AK16" s="205"/>
      <c r="AL16" s="205"/>
      <c r="AM16" s="205"/>
      <c r="AN16" s="205"/>
      <c r="AO16" s="205"/>
      <c r="AP16" s="206"/>
      <c r="AQ16" s="204" t="s">
        <v>58</v>
      </c>
      <c r="AR16" s="205"/>
      <c r="AS16" s="205"/>
      <c r="AT16" s="205"/>
      <c r="AU16" s="205"/>
      <c r="AV16" s="205"/>
      <c r="AW16" s="205"/>
      <c r="AX16" s="205"/>
      <c r="AY16" s="205"/>
      <c r="AZ16" s="205"/>
      <c r="BA16" s="205"/>
      <c r="BB16" s="205"/>
      <c r="BC16" s="205"/>
      <c r="BD16" s="205"/>
      <c r="BE16" s="205"/>
      <c r="BF16" s="205"/>
      <c r="BG16" s="205"/>
      <c r="BH16" s="205"/>
      <c r="BI16" s="205"/>
      <c r="BJ16" s="206"/>
      <c r="BK16" s="19"/>
    </row>
    <row r="17" spans="1:63" s="20" customFormat="1" ht="15" customHeight="1" x14ac:dyDescent="0.25">
      <c r="A17" s="15"/>
      <c r="B17" s="22"/>
      <c r="C17" s="178">
        <v>1</v>
      </c>
      <c r="D17" s="180"/>
      <c r="E17" s="213" t="s">
        <v>52</v>
      </c>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5"/>
      <c r="AG17" s="178" t="s">
        <v>44</v>
      </c>
      <c r="AH17" s="179"/>
      <c r="AI17" s="179"/>
      <c r="AJ17" s="179"/>
      <c r="AK17" s="179"/>
      <c r="AL17" s="179"/>
      <c r="AM17" s="179"/>
      <c r="AN17" s="179"/>
      <c r="AO17" s="179"/>
      <c r="AP17" s="180"/>
      <c r="AQ17" s="216"/>
      <c r="AR17" s="214"/>
      <c r="AS17" s="214"/>
      <c r="AT17" s="214"/>
      <c r="AU17" s="214"/>
      <c r="AV17" s="214"/>
      <c r="AW17" s="214"/>
      <c r="AX17" s="214"/>
      <c r="AY17" s="214"/>
      <c r="AZ17" s="214"/>
      <c r="BA17" s="214"/>
      <c r="BB17" s="214"/>
      <c r="BC17" s="214"/>
      <c r="BD17" s="214"/>
      <c r="BE17" s="214"/>
      <c r="BF17" s="214"/>
      <c r="BG17" s="214"/>
      <c r="BH17" s="214"/>
      <c r="BI17" s="214"/>
      <c r="BJ17" s="215"/>
      <c r="BK17" s="19"/>
    </row>
    <row r="18" spans="1:63" s="20" customFormat="1" ht="15" customHeight="1" x14ac:dyDescent="0.25">
      <c r="A18" s="15"/>
      <c r="B18" s="22"/>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1"/>
      <c r="BI18" s="61"/>
      <c r="BJ18" s="61"/>
      <c r="BK18" s="19"/>
    </row>
    <row r="19" spans="1:63" s="20" customFormat="1" ht="15" customHeight="1" x14ac:dyDescent="0.25">
      <c r="A19" s="15"/>
      <c r="B19" s="22"/>
      <c r="C19" s="38" t="s">
        <v>102</v>
      </c>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1"/>
      <c r="BI19" s="61"/>
      <c r="BJ19" s="61"/>
      <c r="BK19" s="19"/>
    </row>
    <row r="20" spans="1:63" s="20" customFormat="1" ht="15" customHeight="1" x14ac:dyDescent="0.25">
      <c r="A20" s="15"/>
      <c r="B20" s="22"/>
      <c r="C20" s="38"/>
      <c r="D20" s="63"/>
      <c r="E20" s="63"/>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1"/>
      <c r="BI20" s="61"/>
      <c r="BJ20" s="61"/>
      <c r="BK20" s="19"/>
    </row>
    <row r="21" spans="1:63" s="20" customFormat="1" ht="15" customHeight="1" x14ac:dyDescent="0.25">
      <c r="A21" s="15"/>
      <c r="B21" s="22"/>
      <c r="C21" s="204" t="s">
        <v>13</v>
      </c>
      <c r="D21" s="206"/>
      <c r="E21" s="204" t="s">
        <v>3</v>
      </c>
      <c r="F21" s="205"/>
      <c r="G21" s="205"/>
      <c r="H21" s="205"/>
      <c r="I21" s="205"/>
      <c r="J21" s="205"/>
      <c r="K21" s="206"/>
      <c r="L21" s="204" t="s">
        <v>59</v>
      </c>
      <c r="M21" s="205"/>
      <c r="N21" s="206"/>
      <c r="O21" s="204" t="s">
        <v>60</v>
      </c>
      <c r="P21" s="205"/>
      <c r="Q21" s="205"/>
      <c r="R21" s="206"/>
      <c r="S21" s="204" t="s">
        <v>61</v>
      </c>
      <c r="T21" s="205"/>
      <c r="U21" s="205"/>
      <c r="V21" s="205"/>
      <c r="W21" s="205"/>
      <c r="X21" s="205"/>
      <c r="Y21" s="206"/>
      <c r="Z21" s="204" t="s">
        <v>15</v>
      </c>
      <c r="AA21" s="205"/>
      <c r="AB21" s="205"/>
      <c r="AC21" s="205"/>
      <c r="AD21" s="205"/>
      <c r="AE21" s="205"/>
      <c r="AF21" s="205"/>
      <c r="AG21" s="205"/>
      <c r="AH21" s="205"/>
      <c r="AI21" s="205"/>
      <c r="AJ21" s="205"/>
      <c r="AK21" s="205"/>
      <c r="AL21" s="205"/>
      <c r="AM21" s="205"/>
      <c r="AN21" s="205"/>
      <c r="AO21" s="205"/>
      <c r="AP21" s="206"/>
      <c r="AQ21" s="204" t="s">
        <v>58</v>
      </c>
      <c r="AR21" s="205"/>
      <c r="AS21" s="205"/>
      <c r="AT21" s="205"/>
      <c r="AU21" s="205"/>
      <c r="AV21" s="205"/>
      <c r="AW21" s="205"/>
      <c r="AX21" s="205"/>
      <c r="AY21" s="205"/>
      <c r="AZ21" s="205"/>
      <c r="BA21" s="205"/>
      <c r="BB21" s="205"/>
      <c r="BC21" s="205"/>
      <c r="BD21" s="205"/>
      <c r="BE21" s="205"/>
      <c r="BF21" s="205"/>
      <c r="BG21" s="205"/>
      <c r="BH21" s="205"/>
      <c r="BI21" s="205"/>
      <c r="BJ21" s="206"/>
      <c r="BK21" s="19"/>
    </row>
    <row r="22" spans="1:63" s="20" customFormat="1" ht="15" customHeight="1" x14ac:dyDescent="0.25">
      <c r="A22" s="15"/>
      <c r="B22" s="22"/>
      <c r="C22" s="178">
        <v>1</v>
      </c>
      <c r="D22" s="180"/>
      <c r="E22" s="178" t="s">
        <v>4</v>
      </c>
      <c r="F22" s="179"/>
      <c r="G22" s="179"/>
      <c r="H22" s="179"/>
      <c r="I22" s="179"/>
      <c r="J22" s="179"/>
      <c r="K22" s="180"/>
      <c r="L22" s="87" t="s">
        <v>5</v>
      </c>
      <c r="M22" s="88"/>
      <c r="N22" s="89"/>
      <c r="O22" s="178" t="s">
        <v>6</v>
      </c>
      <c r="P22" s="179"/>
      <c r="Q22" s="179"/>
      <c r="R22" s="180"/>
      <c r="S22" s="178" t="s">
        <v>7</v>
      </c>
      <c r="T22" s="179"/>
      <c r="U22" s="179"/>
      <c r="V22" s="179"/>
      <c r="W22" s="179"/>
      <c r="X22" s="179"/>
      <c r="Y22" s="180"/>
      <c r="Z22" s="178" t="s">
        <v>8</v>
      </c>
      <c r="AA22" s="179"/>
      <c r="AB22" s="179"/>
      <c r="AC22" s="179"/>
      <c r="AD22" s="179"/>
      <c r="AE22" s="179"/>
      <c r="AF22" s="179"/>
      <c r="AG22" s="179"/>
      <c r="AH22" s="179"/>
      <c r="AI22" s="179"/>
      <c r="AJ22" s="179"/>
      <c r="AK22" s="179"/>
      <c r="AL22" s="179"/>
      <c r="AM22" s="179"/>
      <c r="AN22" s="179"/>
      <c r="AO22" s="179"/>
      <c r="AP22" s="180"/>
      <c r="AQ22" s="216" t="s">
        <v>103</v>
      </c>
      <c r="AR22" s="214"/>
      <c r="AS22" s="214"/>
      <c r="AT22" s="214"/>
      <c r="AU22" s="214"/>
      <c r="AV22" s="214"/>
      <c r="AW22" s="214"/>
      <c r="AX22" s="214"/>
      <c r="AY22" s="214"/>
      <c r="AZ22" s="214"/>
      <c r="BA22" s="214"/>
      <c r="BB22" s="214"/>
      <c r="BC22" s="214"/>
      <c r="BD22" s="214"/>
      <c r="BE22" s="214"/>
      <c r="BF22" s="214"/>
      <c r="BG22" s="214"/>
      <c r="BH22" s="214"/>
      <c r="BI22" s="214"/>
      <c r="BJ22" s="215"/>
      <c r="BK22" s="19"/>
    </row>
    <row r="23" spans="1:63" s="20" customFormat="1" ht="15" customHeight="1" x14ac:dyDescent="0.25">
      <c r="A23" s="15"/>
      <c r="B23" s="22"/>
      <c r="C23" s="178">
        <v>2</v>
      </c>
      <c r="D23" s="180"/>
      <c r="E23" s="178" t="s">
        <v>9</v>
      </c>
      <c r="F23" s="179"/>
      <c r="G23" s="179"/>
      <c r="H23" s="179"/>
      <c r="I23" s="179"/>
      <c r="J23" s="179"/>
      <c r="K23" s="180"/>
      <c r="L23" s="87" t="s">
        <v>7</v>
      </c>
      <c r="M23" s="88"/>
      <c r="N23" s="89"/>
      <c r="O23" s="178" t="s">
        <v>6</v>
      </c>
      <c r="P23" s="179"/>
      <c r="Q23" s="179"/>
      <c r="R23" s="180"/>
      <c r="S23" s="178" t="s">
        <v>39</v>
      </c>
      <c r="T23" s="179"/>
      <c r="U23" s="179"/>
      <c r="V23" s="179"/>
      <c r="W23" s="179"/>
      <c r="X23" s="179"/>
      <c r="Y23" s="180"/>
      <c r="Z23" s="178" t="s">
        <v>39</v>
      </c>
      <c r="AA23" s="179"/>
      <c r="AB23" s="179"/>
      <c r="AC23" s="179"/>
      <c r="AD23" s="179"/>
      <c r="AE23" s="179"/>
      <c r="AF23" s="179"/>
      <c r="AG23" s="179"/>
      <c r="AH23" s="179"/>
      <c r="AI23" s="179"/>
      <c r="AJ23" s="179"/>
      <c r="AK23" s="179"/>
      <c r="AL23" s="179"/>
      <c r="AM23" s="179"/>
      <c r="AN23" s="179"/>
      <c r="AO23" s="179"/>
      <c r="AP23" s="180"/>
      <c r="AQ23" s="213"/>
      <c r="AR23" s="214"/>
      <c r="AS23" s="214"/>
      <c r="AT23" s="214"/>
      <c r="AU23" s="214"/>
      <c r="AV23" s="214"/>
      <c r="AW23" s="214"/>
      <c r="AX23" s="214"/>
      <c r="AY23" s="214"/>
      <c r="AZ23" s="214"/>
      <c r="BA23" s="214"/>
      <c r="BB23" s="214"/>
      <c r="BC23" s="214"/>
      <c r="BD23" s="214"/>
      <c r="BE23" s="214"/>
      <c r="BF23" s="214"/>
      <c r="BG23" s="214"/>
      <c r="BH23" s="214"/>
      <c r="BI23" s="214"/>
      <c r="BJ23" s="215"/>
      <c r="BK23" s="19"/>
    </row>
    <row r="24" spans="1:63" s="20" customFormat="1" ht="15" customHeight="1" x14ac:dyDescent="0.25">
      <c r="A24" s="15"/>
      <c r="B24" s="22"/>
      <c r="C24" s="207">
        <v>3</v>
      </c>
      <c r="D24" s="208"/>
      <c r="E24" s="207" t="s">
        <v>10</v>
      </c>
      <c r="F24" s="209"/>
      <c r="G24" s="209"/>
      <c r="H24" s="209"/>
      <c r="I24" s="209"/>
      <c r="J24" s="209"/>
      <c r="K24" s="208"/>
      <c r="L24" s="210" t="s">
        <v>5</v>
      </c>
      <c r="M24" s="211"/>
      <c r="N24" s="212"/>
      <c r="O24" s="195" t="s">
        <v>6</v>
      </c>
      <c r="P24" s="196"/>
      <c r="Q24" s="196"/>
      <c r="R24" s="197"/>
      <c r="S24" s="195" t="s">
        <v>26</v>
      </c>
      <c r="T24" s="196"/>
      <c r="U24" s="196"/>
      <c r="V24" s="196"/>
      <c r="W24" s="196"/>
      <c r="X24" s="196"/>
      <c r="Y24" s="197"/>
      <c r="Z24" s="198" t="s">
        <v>26</v>
      </c>
      <c r="AA24" s="199"/>
      <c r="AB24" s="199"/>
      <c r="AC24" s="199"/>
      <c r="AD24" s="199"/>
      <c r="AE24" s="199"/>
      <c r="AF24" s="199"/>
      <c r="AG24" s="199"/>
      <c r="AH24" s="199"/>
      <c r="AI24" s="199"/>
      <c r="AJ24" s="199"/>
      <c r="AK24" s="199"/>
      <c r="AL24" s="199"/>
      <c r="AM24" s="199"/>
      <c r="AN24" s="199"/>
      <c r="AO24" s="199"/>
      <c r="AP24" s="200"/>
      <c r="AQ24" s="187"/>
      <c r="AR24" s="187"/>
      <c r="AS24" s="187"/>
      <c r="AT24" s="187"/>
      <c r="AU24" s="187"/>
      <c r="AV24" s="187"/>
      <c r="AW24" s="187"/>
      <c r="AX24" s="187"/>
      <c r="AY24" s="187"/>
      <c r="AZ24" s="187"/>
      <c r="BA24" s="187"/>
      <c r="BB24" s="187"/>
      <c r="BC24" s="187"/>
      <c r="BD24" s="187"/>
      <c r="BE24" s="187"/>
      <c r="BF24" s="187"/>
      <c r="BG24" s="187"/>
      <c r="BH24" s="187"/>
      <c r="BI24" s="187"/>
      <c r="BJ24" s="188"/>
      <c r="BK24" s="19"/>
    </row>
    <row r="25" spans="1:63" s="20" customFormat="1" ht="15" customHeight="1" x14ac:dyDescent="0.25">
      <c r="A25" s="15"/>
      <c r="B25" s="22"/>
      <c r="C25" s="178">
        <v>4</v>
      </c>
      <c r="D25" s="180"/>
      <c r="E25" s="178" t="s">
        <v>11</v>
      </c>
      <c r="F25" s="179"/>
      <c r="G25" s="179"/>
      <c r="H25" s="179"/>
      <c r="I25" s="179"/>
      <c r="J25" s="179"/>
      <c r="K25" s="180"/>
      <c r="L25" s="87" t="s">
        <v>7</v>
      </c>
      <c r="M25" s="88"/>
      <c r="N25" s="89"/>
      <c r="O25" s="178" t="s">
        <v>6</v>
      </c>
      <c r="P25" s="179"/>
      <c r="Q25" s="179"/>
      <c r="R25" s="180"/>
      <c r="S25" s="178" t="s">
        <v>7</v>
      </c>
      <c r="T25" s="179"/>
      <c r="U25" s="179"/>
      <c r="V25" s="179"/>
      <c r="W25" s="179"/>
      <c r="X25" s="179"/>
      <c r="Y25" s="180"/>
      <c r="Z25" s="178" t="s">
        <v>11</v>
      </c>
      <c r="AA25" s="179"/>
      <c r="AB25" s="179"/>
      <c r="AC25" s="179"/>
      <c r="AD25" s="179"/>
      <c r="AE25" s="179"/>
      <c r="AF25" s="179"/>
      <c r="AG25" s="179"/>
      <c r="AH25" s="179"/>
      <c r="AI25" s="179"/>
      <c r="AJ25" s="179"/>
      <c r="AK25" s="179"/>
      <c r="AL25" s="179"/>
      <c r="AM25" s="179"/>
      <c r="AN25" s="179"/>
      <c r="AO25" s="179"/>
      <c r="AP25" s="180"/>
      <c r="AQ25" s="213"/>
      <c r="AR25" s="214"/>
      <c r="AS25" s="214"/>
      <c r="AT25" s="214"/>
      <c r="AU25" s="214"/>
      <c r="AV25" s="214"/>
      <c r="AW25" s="214"/>
      <c r="AX25" s="214"/>
      <c r="AY25" s="214"/>
      <c r="AZ25" s="214"/>
      <c r="BA25" s="214"/>
      <c r="BB25" s="214"/>
      <c r="BC25" s="214"/>
      <c r="BD25" s="214"/>
      <c r="BE25" s="214"/>
      <c r="BF25" s="214"/>
      <c r="BG25" s="214"/>
      <c r="BH25" s="214"/>
      <c r="BI25" s="214"/>
      <c r="BJ25" s="215"/>
      <c r="BK25" s="19"/>
    </row>
    <row r="26" spans="1:63" s="20" customFormat="1" ht="15" customHeight="1" x14ac:dyDescent="0.25">
      <c r="A26" s="15"/>
      <c r="B26" s="22"/>
      <c r="C26" s="178">
        <v>5</v>
      </c>
      <c r="D26" s="180"/>
      <c r="E26" s="178" t="s">
        <v>12</v>
      </c>
      <c r="F26" s="179"/>
      <c r="G26" s="179"/>
      <c r="H26" s="179"/>
      <c r="I26" s="179"/>
      <c r="J26" s="179"/>
      <c r="K26" s="180"/>
      <c r="L26" s="87" t="s">
        <v>7</v>
      </c>
      <c r="M26" s="88"/>
      <c r="N26" s="89"/>
      <c r="O26" s="178" t="s">
        <v>6</v>
      </c>
      <c r="P26" s="179"/>
      <c r="Q26" s="179"/>
      <c r="R26" s="180"/>
      <c r="S26" s="178" t="s">
        <v>7</v>
      </c>
      <c r="T26" s="179"/>
      <c r="U26" s="179"/>
      <c r="V26" s="179"/>
      <c r="W26" s="179"/>
      <c r="X26" s="179"/>
      <c r="Y26" s="180"/>
      <c r="Z26" s="178" t="s">
        <v>12</v>
      </c>
      <c r="AA26" s="179"/>
      <c r="AB26" s="179"/>
      <c r="AC26" s="179"/>
      <c r="AD26" s="179"/>
      <c r="AE26" s="179"/>
      <c r="AF26" s="179"/>
      <c r="AG26" s="179"/>
      <c r="AH26" s="179"/>
      <c r="AI26" s="179"/>
      <c r="AJ26" s="179"/>
      <c r="AK26" s="179"/>
      <c r="AL26" s="179"/>
      <c r="AM26" s="179"/>
      <c r="AN26" s="179"/>
      <c r="AO26" s="179"/>
      <c r="AP26" s="180"/>
      <c r="AQ26" s="213"/>
      <c r="AR26" s="214"/>
      <c r="AS26" s="214"/>
      <c r="AT26" s="214"/>
      <c r="AU26" s="214"/>
      <c r="AV26" s="214"/>
      <c r="AW26" s="214"/>
      <c r="AX26" s="214"/>
      <c r="AY26" s="214"/>
      <c r="AZ26" s="214"/>
      <c r="BA26" s="214"/>
      <c r="BB26" s="214"/>
      <c r="BC26" s="214"/>
      <c r="BD26" s="214"/>
      <c r="BE26" s="214"/>
      <c r="BF26" s="214"/>
      <c r="BG26" s="214"/>
      <c r="BH26" s="214"/>
      <c r="BI26" s="214"/>
      <c r="BJ26" s="215"/>
      <c r="BK26" s="19"/>
    </row>
    <row r="27" spans="1:63" s="20" customFormat="1" ht="15" customHeight="1" x14ac:dyDescent="0.25">
      <c r="A27" s="15"/>
      <c r="B27" s="22"/>
      <c r="C27" s="63"/>
      <c r="D27" s="63"/>
      <c r="E27" s="63"/>
      <c r="F27" s="63"/>
      <c r="G27" s="63"/>
      <c r="H27" s="63"/>
      <c r="I27" s="63"/>
      <c r="J27" s="63"/>
      <c r="K27" s="63"/>
      <c r="L27" s="64"/>
      <c r="M27" s="63"/>
      <c r="N27" s="63"/>
      <c r="O27" s="63"/>
      <c r="P27" s="63"/>
      <c r="Q27" s="63"/>
      <c r="R27" s="63"/>
      <c r="S27" s="63"/>
      <c r="T27" s="63"/>
      <c r="U27" s="63"/>
      <c r="V27" s="63"/>
      <c r="W27" s="63"/>
      <c r="X27" s="63"/>
      <c r="Y27" s="63"/>
      <c r="Z27" s="64"/>
      <c r="AA27" s="63"/>
      <c r="AB27" s="63"/>
      <c r="AC27" s="63"/>
      <c r="AD27" s="63"/>
      <c r="AE27" s="63"/>
      <c r="AF27" s="63"/>
      <c r="AG27" s="63"/>
      <c r="AH27" s="63"/>
      <c r="AI27" s="63"/>
      <c r="AJ27" s="63"/>
      <c r="AK27" s="63"/>
      <c r="AL27" s="63"/>
      <c r="AM27" s="63"/>
      <c r="AN27" s="63"/>
      <c r="AO27" s="63"/>
      <c r="AP27" s="63"/>
      <c r="AQ27" s="65"/>
      <c r="AR27" s="65"/>
      <c r="AS27" s="65"/>
      <c r="AT27" s="65"/>
      <c r="AU27" s="65"/>
      <c r="AV27" s="65"/>
      <c r="AW27" s="65"/>
      <c r="AX27" s="65"/>
      <c r="AY27" s="65"/>
      <c r="AZ27" s="65"/>
      <c r="BA27" s="65"/>
      <c r="BB27" s="65"/>
      <c r="BC27" s="65"/>
      <c r="BD27" s="65"/>
      <c r="BE27" s="65"/>
      <c r="BF27" s="65"/>
      <c r="BG27" s="65"/>
      <c r="BH27" s="61"/>
      <c r="BI27" s="61"/>
      <c r="BJ27" s="61"/>
      <c r="BK27" s="19"/>
    </row>
    <row r="28" spans="1:63" s="20" customFormat="1" ht="15" customHeight="1" x14ac:dyDescent="0.25">
      <c r="A28" s="15"/>
      <c r="B28" s="22"/>
      <c r="C28" s="63"/>
      <c r="D28" s="63"/>
      <c r="E28" s="63"/>
      <c r="F28" s="63"/>
      <c r="G28" s="63"/>
      <c r="H28" s="63"/>
      <c r="I28" s="63"/>
      <c r="J28" s="63"/>
      <c r="K28" s="63"/>
      <c r="L28" s="64"/>
      <c r="M28" s="63"/>
      <c r="N28" s="63"/>
      <c r="O28" s="63"/>
      <c r="P28" s="63"/>
      <c r="Q28" s="63"/>
      <c r="R28" s="63"/>
      <c r="S28" s="63"/>
      <c r="T28" s="63"/>
      <c r="U28" s="63"/>
      <c r="V28" s="63"/>
      <c r="W28" s="63"/>
      <c r="X28" s="63"/>
      <c r="Y28" s="63"/>
      <c r="Z28" s="64"/>
      <c r="AA28" s="63"/>
      <c r="AB28" s="63"/>
      <c r="AC28" s="63"/>
      <c r="AD28" s="63"/>
      <c r="AE28" s="63"/>
      <c r="AF28" s="63"/>
      <c r="AG28" s="63"/>
      <c r="AH28" s="63"/>
      <c r="AI28" s="63"/>
      <c r="AJ28" s="63"/>
      <c r="AK28" s="63"/>
      <c r="AL28" s="63"/>
      <c r="AM28" s="63"/>
      <c r="AN28" s="63"/>
      <c r="AO28" s="63"/>
      <c r="AP28" s="63"/>
      <c r="AQ28" s="65"/>
      <c r="AR28" s="65"/>
      <c r="AS28" s="65"/>
      <c r="AT28" s="65"/>
      <c r="AU28" s="65"/>
      <c r="AV28" s="65"/>
      <c r="AW28" s="65"/>
      <c r="AX28" s="65"/>
      <c r="AY28" s="65"/>
      <c r="AZ28" s="65"/>
      <c r="BA28" s="65"/>
      <c r="BB28" s="65"/>
      <c r="BC28" s="65"/>
      <c r="BD28" s="65"/>
      <c r="BE28" s="65"/>
      <c r="BF28" s="65"/>
      <c r="BG28" s="65"/>
      <c r="BH28" s="61"/>
      <c r="BI28" s="61"/>
      <c r="BJ28" s="61"/>
      <c r="BK28" s="19"/>
    </row>
    <row r="29" spans="1:63" s="20" customFormat="1" ht="15" customHeight="1" x14ac:dyDescent="0.25">
      <c r="A29" s="15"/>
      <c r="B29" s="22"/>
      <c r="C29" s="38" t="s">
        <v>16</v>
      </c>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1"/>
      <c r="BI29" s="61"/>
      <c r="BJ29" s="61"/>
      <c r="BK29" s="19"/>
    </row>
    <row r="30" spans="1:63" s="20" customFormat="1" ht="15" customHeight="1" x14ac:dyDescent="0.25">
      <c r="A30" s="15"/>
      <c r="B30" s="22"/>
      <c r="C30" s="38"/>
      <c r="D30" s="63" t="s">
        <v>35</v>
      </c>
      <c r="E30" s="63"/>
      <c r="F30" s="63"/>
      <c r="G30" s="63"/>
      <c r="H30" s="63"/>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1"/>
      <c r="BI30" s="61"/>
      <c r="BJ30" s="61"/>
      <c r="BK30" s="19"/>
    </row>
    <row r="31" spans="1:63" s="20" customFormat="1" ht="15" customHeight="1" x14ac:dyDescent="0.25">
      <c r="A31" s="15"/>
      <c r="B31" s="22"/>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1"/>
      <c r="BI31" s="61"/>
      <c r="BJ31" s="61"/>
      <c r="BK31" s="19"/>
    </row>
    <row r="32" spans="1:63" s="20" customFormat="1" ht="15" customHeight="1" x14ac:dyDescent="0.25">
      <c r="A32" s="15"/>
      <c r="B32" s="22"/>
      <c r="C32" s="38" t="s">
        <v>14</v>
      </c>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1"/>
      <c r="BI32" s="61"/>
      <c r="BJ32" s="61"/>
      <c r="BK32" s="19"/>
    </row>
    <row r="33" spans="1:63" s="20" customFormat="1" ht="15" customHeight="1" x14ac:dyDescent="0.25">
      <c r="A33" s="15"/>
      <c r="B33" s="22"/>
      <c r="C33" s="38"/>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1"/>
      <c r="BI33" s="61"/>
      <c r="BJ33" s="61"/>
      <c r="BK33" s="19"/>
    </row>
    <row r="34" spans="1:63" s="20" customFormat="1" ht="15" customHeight="1" x14ac:dyDescent="0.25">
      <c r="A34" s="15"/>
      <c r="B34" s="22"/>
      <c r="C34" s="192" t="s">
        <v>13</v>
      </c>
      <c r="D34" s="194"/>
      <c r="E34" s="192" t="s">
        <v>62</v>
      </c>
      <c r="F34" s="193"/>
      <c r="G34" s="193"/>
      <c r="H34" s="193"/>
      <c r="I34" s="193"/>
      <c r="J34" s="193"/>
      <c r="K34" s="194"/>
      <c r="L34" s="204" t="s">
        <v>59</v>
      </c>
      <c r="M34" s="205"/>
      <c r="N34" s="206"/>
      <c r="O34" s="204" t="s">
        <v>60</v>
      </c>
      <c r="P34" s="205"/>
      <c r="Q34" s="205"/>
      <c r="R34" s="206"/>
      <c r="S34" s="204" t="s">
        <v>61</v>
      </c>
      <c r="T34" s="205"/>
      <c r="U34" s="205"/>
      <c r="V34" s="205"/>
      <c r="W34" s="205"/>
      <c r="X34" s="205"/>
      <c r="Y34" s="206"/>
      <c r="Z34" s="204" t="s">
        <v>15</v>
      </c>
      <c r="AA34" s="205"/>
      <c r="AB34" s="205"/>
      <c r="AC34" s="205"/>
      <c r="AD34" s="205"/>
      <c r="AE34" s="205"/>
      <c r="AF34" s="205"/>
      <c r="AG34" s="205"/>
      <c r="AH34" s="205"/>
      <c r="AI34" s="205"/>
      <c r="AJ34" s="205"/>
      <c r="AK34" s="205"/>
      <c r="AL34" s="205"/>
      <c r="AM34" s="205"/>
      <c r="AN34" s="205"/>
      <c r="AO34" s="205"/>
      <c r="AP34" s="206"/>
      <c r="AQ34" s="192" t="s">
        <v>58</v>
      </c>
      <c r="AR34" s="193"/>
      <c r="AS34" s="193"/>
      <c r="AT34" s="193"/>
      <c r="AU34" s="193"/>
      <c r="AV34" s="193"/>
      <c r="AW34" s="193"/>
      <c r="AX34" s="193"/>
      <c r="AY34" s="193"/>
      <c r="AZ34" s="193"/>
      <c r="BA34" s="193"/>
      <c r="BB34" s="193"/>
      <c r="BC34" s="193"/>
      <c r="BD34" s="193"/>
      <c r="BE34" s="193"/>
      <c r="BF34" s="193"/>
      <c r="BG34" s="193"/>
      <c r="BH34" s="193"/>
      <c r="BI34" s="193"/>
      <c r="BJ34" s="194"/>
      <c r="BK34" s="19"/>
    </row>
    <row r="35" spans="1:63" s="37" customFormat="1" ht="29.25" customHeight="1" x14ac:dyDescent="0.25">
      <c r="A35" s="34"/>
      <c r="B35" s="35"/>
      <c r="C35" s="178">
        <v>1</v>
      </c>
      <c r="D35" s="180"/>
      <c r="E35" s="178" t="s">
        <v>41</v>
      </c>
      <c r="F35" s="179"/>
      <c r="G35" s="179"/>
      <c r="H35" s="179"/>
      <c r="I35" s="179"/>
      <c r="J35" s="179"/>
      <c r="K35" s="180"/>
      <c r="L35" s="87" t="s">
        <v>7</v>
      </c>
      <c r="M35" s="88"/>
      <c r="N35" s="89"/>
      <c r="O35" s="178" t="s">
        <v>6</v>
      </c>
      <c r="P35" s="179"/>
      <c r="Q35" s="179"/>
      <c r="R35" s="180"/>
      <c r="S35" s="178" t="s">
        <v>42</v>
      </c>
      <c r="T35" s="179"/>
      <c r="U35" s="179"/>
      <c r="V35" s="179"/>
      <c r="W35" s="179"/>
      <c r="X35" s="179"/>
      <c r="Y35" s="180"/>
      <c r="Z35" s="178" t="s">
        <v>43</v>
      </c>
      <c r="AA35" s="179"/>
      <c r="AB35" s="179"/>
      <c r="AC35" s="179"/>
      <c r="AD35" s="179"/>
      <c r="AE35" s="179"/>
      <c r="AF35" s="179"/>
      <c r="AG35" s="179"/>
      <c r="AH35" s="179"/>
      <c r="AI35" s="179"/>
      <c r="AJ35" s="179"/>
      <c r="AK35" s="179"/>
      <c r="AL35" s="179"/>
      <c r="AM35" s="179"/>
      <c r="AN35" s="179"/>
      <c r="AO35" s="179"/>
      <c r="AP35" s="180"/>
      <c r="AQ35" s="181" t="s">
        <v>104</v>
      </c>
      <c r="AR35" s="182"/>
      <c r="AS35" s="182"/>
      <c r="AT35" s="182"/>
      <c r="AU35" s="182"/>
      <c r="AV35" s="182"/>
      <c r="AW35" s="182"/>
      <c r="AX35" s="182"/>
      <c r="AY35" s="182"/>
      <c r="AZ35" s="182"/>
      <c r="BA35" s="182"/>
      <c r="BB35" s="182"/>
      <c r="BC35" s="182"/>
      <c r="BD35" s="182"/>
      <c r="BE35" s="182"/>
      <c r="BF35" s="182"/>
      <c r="BG35" s="182"/>
      <c r="BH35" s="182"/>
      <c r="BI35" s="182"/>
      <c r="BJ35" s="183"/>
      <c r="BK35" s="36"/>
    </row>
    <row r="36" spans="1:63" s="20" customFormat="1" ht="57" customHeight="1" x14ac:dyDescent="0.25">
      <c r="A36" s="15"/>
      <c r="B36" s="22"/>
      <c r="C36" s="178">
        <v>2</v>
      </c>
      <c r="D36" s="180"/>
      <c r="E36" s="178" t="s">
        <v>28</v>
      </c>
      <c r="F36" s="179"/>
      <c r="G36" s="179"/>
      <c r="H36" s="179"/>
      <c r="I36" s="179"/>
      <c r="J36" s="179"/>
      <c r="K36" s="180"/>
      <c r="L36" s="87" t="s">
        <v>5</v>
      </c>
      <c r="M36" s="88"/>
      <c r="N36" s="89"/>
      <c r="O36" s="201" t="s">
        <v>71</v>
      </c>
      <c r="P36" s="202"/>
      <c r="Q36" s="202"/>
      <c r="R36" s="203"/>
      <c r="S36" s="201" t="s">
        <v>7</v>
      </c>
      <c r="T36" s="202"/>
      <c r="U36" s="202"/>
      <c r="V36" s="202"/>
      <c r="W36" s="202"/>
      <c r="X36" s="202"/>
      <c r="Y36" s="203"/>
      <c r="Z36" s="201" t="s">
        <v>45</v>
      </c>
      <c r="AA36" s="202"/>
      <c r="AB36" s="202"/>
      <c r="AC36" s="202"/>
      <c r="AD36" s="202"/>
      <c r="AE36" s="202"/>
      <c r="AF36" s="202"/>
      <c r="AG36" s="202"/>
      <c r="AH36" s="202"/>
      <c r="AI36" s="202"/>
      <c r="AJ36" s="202"/>
      <c r="AK36" s="202"/>
      <c r="AL36" s="202"/>
      <c r="AM36" s="202"/>
      <c r="AN36" s="202"/>
      <c r="AO36" s="202"/>
      <c r="AP36" s="203"/>
      <c r="AQ36" s="189" t="s">
        <v>72</v>
      </c>
      <c r="AR36" s="190"/>
      <c r="AS36" s="190"/>
      <c r="AT36" s="190"/>
      <c r="AU36" s="190"/>
      <c r="AV36" s="190"/>
      <c r="AW36" s="190"/>
      <c r="AX36" s="190"/>
      <c r="AY36" s="190"/>
      <c r="AZ36" s="190"/>
      <c r="BA36" s="190"/>
      <c r="BB36" s="190"/>
      <c r="BC36" s="190"/>
      <c r="BD36" s="190"/>
      <c r="BE36" s="190"/>
      <c r="BF36" s="190"/>
      <c r="BG36" s="190"/>
      <c r="BH36" s="190"/>
      <c r="BI36" s="190"/>
      <c r="BJ36" s="191"/>
      <c r="BK36" s="19"/>
    </row>
    <row r="37" spans="1:63" s="20" customFormat="1" ht="15" customHeight="1" x14ac:dyDescent="0.25">
      <c r="A37" s="15"/>
      <c r="B37" s="22"/>
      <c r="C37" s="178">
        <v>3</v>
      </c>
      <c r="D37" s="180"/>
      <c r="E37" s="178" t="s">
        <v>29</v>
      </c>
      <c r="F37" s="179"/>
      <c r="G37" s="179"/>
      <c r="H37" s="179"/>
      <c r="I37" s="179"/>
      <c r="J37" s="179"/>
      <c r="K37" s="180"/>
      <c r="L37" s="87" t="s">
        <v>7</v>
      </c>
      <c r="M37" s="88"/>
      <c r="N37" s="89"/>
      <c r="O37" s="201" t="s">
        <v>6</v>
      </c>
      <c r="P37" s="202"/>
      <c r="Q37" s="202"/>
      <c r="R37" s="203"/>
      <c r="S37" s="201" t="s">
        <v>7</v>
      </c>
      <c r="T37" s="202"/>
      <c r="U37" s="202"/>
      <c r="V37" s="202"/>
      <c r="W37" s="202"/>
      <c r="X37" s="202"/>
      <c r="Y37" s="203"/>
      <c r="Z37" s="201" t="s">
        <v>46</v>
      </c>
      <c r="AA37" s="202"/>
      <c r="AB37" s="202"/>
      <c r="AC37" s="202"/>
      <c r="AD37" s="202"/>
      <c r="AE37" s="202"/>
      <c r="AF37" s="202"/>
      <c r="AG37" s="202"/>
      <c r="AH37" s="202"/>
      <c r="AI37" s="202"/>
      <c r="AJ37" s="202"/>
      <c r="AK37" s="202"/>
      <c r="AL37" s="202"/>
      <c r="AM37" s="202"/>
      <c r="AN37" s="202"/>
      <c r="AO37" s="202"/>
      <c r="AP37" s="203"/>
      <c r="AQ37" s="201" t="s">
        <v>105</v>
      </c>
      <c r="AR37" s="202"/>
      <c r="AS37" s="202"/>
      <c r="AT37" s="202"/>
      <c r="AU37" s="202"/>
      <c r="AV37" s="202"/>
      <c r="AW37" s="202"/>
      <c r="AX37" s="202"/>
      <c r="AY37" s="202"/>
      <c r="AZ37" s="202"/>
      <c r="BA37" s="202"/>
      <c r="BB37" s="202"/>
      <c r="BC37" s="202"/>
      <c r="BD37" s="202"/>
      <c r="BE37" s="202"/>
      <c r="BF37" s="202"/>
      <c r="BG37" s="202"/>
      <c r="BH37" s="202"/>
      <c r="BI37" s="202"/>
      <c r="BJ37" s="203"/>
      <c r="BK37" s="19"/>
    </row>
    <row r="38" spans="1:63" s="20" customFormat="1" ht="15" customHeight="1" x14ac:dyDescent="0.25">
      <c r="A38" s="15"/>
      <c r="B38" s="22"/>
      <c r="C38" s="178">
        <v>4</v>
      </c>
      <c r="D38" s="180"/>
      <c r="E38" s="178" t="s">
        <v>30</v>
      </c>
      <c r="F38" s="179"/>
      <c r="G38" s="179"/>
      <c r="H38" s="179"/>
      <c r="I38" s="179"/>
      <c r="J38" s="179"/>
      <c r="K38" s="180"/>
      <c r="L38" s="87" t="s">
        <v>7</v>
      </c>
      <c r="M38" s="88"/>
      <c r="N38" s="89"/>
      <c r="O38" s="184" t="s">
        <v>106</v>
      </c>
      <c r="P38" s="185"/>
      <c r="Q38" s="185"/>
      <c r="R38" s="186"/>
      <c r="S38" s="178" t="s">
        <v>7</v>
      </c>
      <c r="T38" s="179"/>
      <c r="U38" s="179"/>
      <c r="V38" s="179"/>
      <c r="W38" s="179"/>
      <c r="X38" s="179"/>
      <c r="Y38" s="180"/>
      <c r="Z38" s="178" t="s">
        <v>48</v>
      </c>
      <c r="AA38" s="179"/>
      <c r="AB38" s="179"/>
      <c r="AC38" s="179"/>
      <c r="AD38" s="179"/>
      <c r="AE38" s="179"/>
      <c r="AF38" s="179"/>
      <c r="AG38" s="179"/>
      <c r="AH38" s="179"/>
      <c r="AI38" s="179"/>
      <c r="AJ38" s="179"/>
      <c r="AK38" s="179"/>
      <c r="AL38" s="179"/>
      <c r="AM38" s="179"/>
      <c r="AN38" s="179"/>
      <c r="AO38" s="179"/>
      <c r="AP38" s="180"/>
      <c r="AQ38" s="178" t="s">
        <v>40</v>
      </c>
      <c r="AR38" s="179"/>
      <c r="AS38" s="179"/>
      <c r="AT38" s="179"/>
      <c r="AU38" s="179"/>
      <c r="AV38" s="179"/>
      <c r="AW38" s="179"/>
      <c r="AX38" s="179"/>
      <c r="AY38" s="179"/>
      <c r="AZ38" s="179"/>
      <c r="BA38" s="179"/>
      <c r="BB38" s="179"/>
      <c r="BC38" s="179"/>
      <c r="BD38" s="179"/>
      <c r="BE38" s="179"/>
      <c r="BF38" s="179"/>
      <c r="BG38" s="179"/>
      <c r="BH38" s="179"/>
      <c r="BI38" s="179"/>
      <c r="BJ38" s="180"/>
      <c r="BK38" s="19"/>
    </row>
    <row r="39" spans="1:63" s="20" customFormat="1" ht="15" customHeight="1" x14ac:dyDescent="0.25">
      <c r="A39" s="15"/>
      <c r="B39" s="22"/>
      <c r="C39" s="178">
        <v>5</v>
      </c>
      <c r="D39" s="180"/>
      <c r="E39" s="178" t="s">
        <v>31</v>
      </c>
      <c r="F39" s="179"/>
      <c r="G39" s="179"/>
      <c r="H39" s="179"/>
      <c r="I39" s="179"/>
      <c r="J39" s="179"/>
      <c r="K39" s="180"/>
      <c r="L39" s="87" t="s">
        <v>7</v>
      </c>
      <c r="M39" s="88"/>
      <c r="N39" s="89"/>
      <c r="O39" s="178" t="s">
        <v>6</v>
      </c>
      <c r="P39" s="179"/>
      <c r="Q39" s="179"/>
      <c r="R39" s="180"/>
      <c r="S39" s="178" t="s">
        <v>7</v>
      </c>
      <c r="T39" s="179"/>
      <c r="U39" s="179"/>
      <c r="V39" s="179"/>
      <c r="W39" s="179"/>
      <c r="X39" s="179"/>
      <c r="Y39" s="180"/>
      <c r="Z39" s="178" t="s">
        <v>47</v>
      </c>
      <c r="AA39" s="179"/>
      <c r="AB39" s="179"/>
      <c r="AC39" s="179"/>
      <c r="AD39" s="179"/>
      <c r="AE39" s="179"/>
      <c r="AF39" s="179"/>
      <c r="AG39" s="179"/>
      <c r="AH39" s="179"/>
      <c r="AI39" s="179"/>
      <c r="AJ39" s="179"/>
      <c r="AK39" s="179"/>
      <c r="AL39" s="179"/>
      <c r="AM39" s="179"/>
      <c r="AN39" s="179"/>
      <c r="AO39" s="179"/>
      <c r="AP39" s="180"/>
      <c r="AQ39" s="178" t="s">
        <v>40</v>
      </c>
      <c r="AR39" s="179"/>
      <c r="AS39" s="179"/>
      <c r="AT39" s="179"/>
      <c r="AU39" s="179"/>
      <c r="AV39" s="179"/>
      <c r="AW39" s="179"/>
      <c r="AX39" s="179"/>
      <c r="AY39" s="179"/>
      <c r="AZ39" s="179"/>
      <c r="BA39" s="179"/>
      <c r="BB39" s="179"/>
      <c r="BC39" s="179"/>
      <c r="BD39" s="179"/>
      <c r="BE39" s="179"/>
      <c r="BF39" s="179"/>
      <c r="BG39" s="179"/>
      <c r="BH39" s="179"/>
      <c r="BI39" s="179"/>
      <c r="BJ39" s="180"/>
      <c r="BK39" s="19"/>
    </row>
    <row r="40" spans="1:63" s="20" customFormat="1" ht="15" customHeight="1" x14ac:dyDescent="0.25">
      <c r="A40" s="15"/>
      <c r="B40" s="22"/>
      <c r="C40" s="178">
        <v>6</v>
      </c>
      <c r="D40" s="180"/>
      <c r="E40" s="178" t="s">
        <v>32</v>
      </c>
      <c r="F40" s="179"/>
      <c r="G40" s="179"/>
      <c r="H40" s="179"/>
      <c r="I40" s="179"/>
      <c r="J40" s="179"/>
      <c r="K40" s="180"/>
      <c r="L40" s="87" t="s">
        <v>7</v>
      </c>
      <c r="M40" s="88"/>
      <c r="N40" s="89"/>
      <c r="O40" s="178" t="s">
        <v>6</v>
      </c>
      <c r="P40" s="179"/>
      <c r="Q40" s="179"/>
      <c r="R40" s="180"/>
      <c r="S40" s="178" t="s">
        <v>7</v>
      </c>
      <c r="T40" s="179"/>
      <c r="U40" s="179"/>
      <c r="V40" s="179"/>
      <c r="W40" s="179"/>
      <c r="X40" s="179"/>
      <c r="Y40" s="180"/>
      <c r="Z40" s="178" t="s">
        <v>49</v>
      </c>
      <c r="AA40" s="179"/>
      <c r="AB40" s="179"/>
      <c r="AC40" s="179"/>
      <c r="AD40" s="179"/>
      <c r="AE40" s="179"/>
      <c r="AF40" s="179"/>
      <c r="AG40" s="179"/>
      <c r="AH40" s="179"/>
      <c r="AI40" s="179"/>
      <c r="AJ40" s="179"/>
      <c r="AK40" s="179"/>
      <c r="AL40" s="179"/>
      <c r="AM40" s="179"/>
      <c r="AN40" s="179"/>
      <c r="AO40" s="179"/>
      <c r="AP40" s="180"/>
      <c r="AQ40" s="178" t="s">
        <v>40</v>
      </c>
      <c r="AR40" s="179"/>
      <c r="AS40" s="179"/>
      <c r="AT40" s="179"/>
      <c r="AU40" s="179"/>
      <c r="AV40" s="179"/>
      <c r="AW40" s="179"/>
      <c r="AX40" s="179"/>
      <c r="AY40" s="179"/>
      <c r="AZ40" s="179"/>
      <c r="BA40" s="179"/>
      <c r="BB40" s="179"/>
      <c r="BC40" s="179"/>
      <c r="BD40" s="179"/>
      <c r="BE40" s="179"/>
      <c r="BF40" s="179"/>
      <c r="BG40" s="179"/>
      <c r="BH40" s="179"/>
      <c r="BI40" s="179"/>
      <c r="BJ40" s="180"/>
      <c r="BK40" s="19"/>
    </row>
    <row r="41" spans="1:63" s="20" customFormat="1" ht="15" customHeight="1" x14ac:dyDescent="0.25">
      <c r="A41" s="15"/>
      <c r="B41" s="22"/>
      <c r="C41" s="178">
        <v>7</v>
      </c>
      <c r="D41" s="180"/>
      <c r="E41" s="178" t="s">
        <v>33</v>
      </c>
      <c r="F41" s="179"/>
      <c r="G41" s="179"/>
      <c r="H41" s="179"/>
      <c r="I41" s="179"/>
      <c r="J41" s="179"/>
      <c r="K41" s="180"/>
      <c r="L41" s="87" t="s">
        <v>7</v>
      </c>
      <c r="M41" s="88"/>
      <c r="N41" s="89"/>
      <c r="O41" s="178" t="s">
        <v>6</v>
      </c>
      <c r="P41" s="179"/>
      <c r="Q41" s="179"/>
      <c r="R41" s="180"/>
      <c r="S41" s="178" t="s">
        <v>7</v>
      </c>
      <c r="T41" s="179"/>
      <c r="U41" s="179"/>
      <c r="V41" s="179"/>
      <c r="W41" s="179"/>
      <c r="X41" s="179"/>
      <c r="Y41" s="180"/>
      <c r="Z41" s="178" t="s">
        <v>50</v>
      </c>
      <c r="AA41" s="179"/>
      <c r="AB41" s="179"/>
      <c r="AC41" s="179"/>
      <c r="AD41" s="179"/>
      <c r="AE41" s="179"/>
      <c r="AF41" s="179"/>
      <c r="AG41" s="179"/>
      <c r="AH41" s="179"/>
      <c r="AI41" s="179"/>
      <c r="AJ41" s="179"/>
      <c r="AK41" s="179"/>
      <c r="AL41" s="179"/>
      <c r="AM41" s="179"/>
      <c r="AN41" s="179"/>
      <c r="AO41" s="179"/>
      <c r="AP41" s="180"/>
      <c r="AQ41" s="178" t="s">
        <v>40</v>
      </c>
      <c r="AR41" s="179"/>
      <c r="AS41" s="179"/>
      <c r="AT41" s="179"/>
      <c r="AU41" s="179"/>
      <c r="AV41" s="179"/>
      <c r="AW41" s="179"/>
      <c r="AX41" s="179"/>
      <c r="AY41" s="179"/>
      <c r="AZ41" s="179"/>
      <c r="BA41" s="179"/>
      <c r="BB41" s="179"/>
      <c r="BC41" s="179"/>
      <c r="BD41" s="179"/>
      <c r="BE41" s="179"/>
      <c r="BF41" s="179"/>
      <c r="BG41" s="179"/>
      <c r="BH41" s="179"/>
      <c r="BI41" s="179"/>
      <c r="BJ41" s="180"/>
      <c r="BK41" s="19"/>
    </row>
    <row r="42" spans="1:63" s="20" customFormat="1" ht="15" customHeight="1" x14ac:dyDescent="0.25">
      <c r="A42" s="15"/>
      <c r="B42" s="22"/>
      <c r="C42" s="178">
        <v>8</v>
      </c>
      <c r="D42" s="180"/>
      <c r="E42" s="178" t="s">
        <v>34</v>
      </c>
      <c r="F42" s="179"/>
      <c r="G42" s="179"/>
      <c r="H42" s="179"/>
      <c r="I42" s="179"/>
      <c r="J42" s="179"/>
      <c r="K42" s="180"/>
      <c r="L42" s="87" t="s">
        <v>7</v>
      </c>
      <c r="M42" s="88"/>
      <c r="N42" s="89"/>
      <c r="O42" s="178" t="s">
        <v>6</v>
      </c>
      <c r="P42" s="179"/>
      <c r="Q42" s="179"/>
      <c r="R42" s="180"/>
      <c r="S42" s="178" t="s">
        <v>7</v>
      </c>
      <c r="T42" s="179"/>
      <c r="U42" s="179"/>
      <c r="V42" s="179"/>
      <c r="W42" s="179"/>
      <c r="X42" s="179"/>
      <c r="Y42" s="180"/>
      <c r="Z42" s="178" t="s">
        <v>51</v>
      </c>
      <c r="AA42" s="179"/>
      <c r="AB42" s="179"/>
      <c r="AC42" s="179"/>
      <c r="AD42" s="179"/>
      <c r="AE42" s="179"/>
      <c r="AF42" s="179"/>
      <c r="AG42" s="179"/>
      <c r="AH42" s="179"/>
      <c r="AI42" s="179"/>
      <c r="AJ42" s="179"/>
      <c r="AK42" s="179"/>
      <c r="AL42" s="179"/>
      <c r="AM42" s="179"/>
      <c r="AN42" s="179"/>
      <c r="AO42" s="179"/>
      <c r="AP42" s="180"/>
      <c r="AQ42" s="178" t="s">
        <v>40</v>
      </c>
      <c r="AR42" s="179"/>
      <c r="AS42" s="179"/>
      <c r="AT42" s="179"/>
      <c r="AU42" s="179"/>
      <c r="AV42" s="179"/>
      <c r="AW42" s="179"/>
      <c r="AX42" s="179"/>
      <c r="AY42" s="179"/>
      <c r="AZ42" s="179"/>
      <c r="BA42" s="179"/>
      <c r="BB42" s="179"/>
      <c r="BC42" s="179"/>
      <c r="BD42" s="179"/>
      <c r="BE42" s="179"/>
      <c r="BF42" s="179"/>
      <c r="BG42" s="179"/>
      <c r="BH42" s="179"/>
      <c r="BI42" s="179"/>
      <c r="BJ42" s="180"/>
      <c r="BK42" s="19"/>
    </row>
    <row r="43" spans="1:63" s="20" customFormat="1" ht="15" customHeight="1" x14ac:dyDescent="0.25">
      <c r="A43" s="15"/>
      <c r="B43" s="22"/>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1"/>
      <c r="BI43" s="61"/>
      <c r="BJ43" s="61"/>
      <c r="BK43" s="19"/>
    </row>
    <row r="44" spans="1:63" s="20" customFormat="1" ht="15" customHeight="1" x14ac:dyDescent="0.25">
      <c r="A44" s="15"/>
      <c r="B44" s="16" t="s">
        <v>107</v>
      </c>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8"/>
      <c r="BI44" s="18"/>
      <c r="BJ44" s="18"/>
      <c r="BK44" s="19"/>
    </row>
    <row r="45" spans="1:63" s="20" customFormat="1" ht="15" customHeight="1" x14ac:dyDescent="0.25">
      <c r="A45" s="15"/>
      <c r="B45" s="21"/>
      <c r="C45" s="25"/>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3"/>
      <c r="BI45" s="23"/>
      <c r="BJ45" s="23"/>
      <c r="BK45" s="19"/>
    </row>
    <row r="46" spans="1:63" s="20" customFormat="1" ht="15" customHeight="1" x14ac:dyDescent="0.25">
      <c r="A46" s="15"/>
      <c r="B46" s="21"/>
      <c r="C46" s="25" t="s">
        <v>108</v>
      </c>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3"/>
      <c r="BI46" s="23"/>
      <c r="BJ46" s="23"/>
      <c r="BK46" s="19"/>
    </row>
    <row r="47" spans="1:63" s="20" customFormat="1" ht="15" customHeight="1" x14ac:dyDescent="0.25">
      <c r="A47" s="15"/>
      <c r="B47" s="21"/>
      <c r="C47" s="25"/>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3"/>
      <c r="BI47" s="23"/>
      <c r="BJ47" s="23"/>
      <c r="BK47" s="19"/>
    </row>
    <row r="48" spans="1:63" s="20" customFormat="1" ht="15" customHeight="1" x14ac:dyDescent="0.25">
      <c r="A48" s="15"/>
      <c r="B48" s="22"/>
      <c r="C48" s="22"/>
      <c r="D48" s="22" t="s">
        <v>109</v>
      </c>
      <c r="E48" s="63"/>
      <c r="F48" s="63"/>
      <c r="G48" s="63"/>
      <c r="H48" s="63"/>
      <c r="I48" s="22"/>
      <c r="J48" s="22"/>
      <c r="K48" s="22"/>
      <c r="L48" s="22"/>
      <c r="M48" s="22"/>
      <c r="N48" s="22"/>
      <c r="O48" s="22"/>
      <c r="P48" s="22"/>
      <c r="Q48" s="22"/>
      <c r="R48" s="22"/>
      <c r="S48" s="63"/>
      <c r="T48" s="63"/>
      <c r="U48" s="63"/>
      <c r="V48" s="63"/>
      <c r="W48" s="63"/>
      <c r="X48" s="63"/>
      <c r="Y48" s="63"/>
      <c r="Z48" s="63"/>
      <c r="AA48" s="63"/>
      <c r="AB48" s="22"/>
      <c r="AC48" s="63"/>
      <c r="AD48" s="63"/>
      <c r="AE48" s="63"/>
      <c r="AF48" s="63"/>
      <c r="AG48" s="63"/>
      <c r="AH48" s="63"/>
      <c r="AI48" s="63"/>
      <c r="AJ48" s="63"/>
      <c r="AK48" s="63"/>
      <c r="AL48" s="63"/>
      <c r="AM48" s="22"/>
      <c r="AN48" s="22"/>
      <c r="AO48" s="22"/>
      <c r="AP48" s="22"/>
      <c r="AQ48" s="22"/>
      <c r="AR48" s="22"/>
      <c r="AS48" s="22"/>
      <c r="AT48" s="22"/>
      <c r="AU48" s="22"/>
      <c r="AV48" s="22"/>
      <c r="AW48" s="22"/>
      <c r="AX48" s="22"/>
      <c r="AY48" s="22"/>
      <c r="AZ48" s="22"/>
      <c r="BA48" s="22"/>
      <c r="BB48" s="22"/>
      <c r="BC48" s="22"/>
      <c r="BD48" s="22"/>
      <c r="BE48" s="22"/>
      <c r="BF48" s="22"/>
      <c r="BG48" s="22"/>
      <c r="BH48" s="23"/>
      <c r="BI48" s="23"/>
      <c r="BJ48" s="23"/>
      <c r="BK48" s="19"/>
    </row>
    <row r="49" spans="1:63" s="20" customFormat="1" ht="15" customHeight="1" x14ac:dyDescent="0.25">
      <c r="A49" s="15"/>
      <c r="B49" s="22"/>
      <c r="C49" s="22"/>
      <c r="D49" s="22"/>
      <c r="E49" s="22"/>
      <c r="F49" s="22"/>
      <c r="G49" s="63"/>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3"/>
      <c r="BI49" s="23"/>
      <c r="BJ49" s="23"/>
      <c r="BK49" s="19"/>
    </row>
    <row r="50" spans="1:63" s="20" customFormat="1" ht="15" customHeight="1" x14ac:dyDescent="0.25">
      <c r="A50" s="15"/>
      <c r="B50" s="22"/>
      <c r="C50" s="22"/>
      <c r="D50" s="22"/>
      <c r="E50" s="22"/>
      <c r="F50" s="22"/>
      <c r="G50" s="63"/>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3"/>
      <c r="BI50" s="23"/>
      <c r="BJ50" s="23"/>
      <c r="BK50" s="19"/>
    </row>
    <row r="51" spans="1:63" s="20" customFormat="1" ht="15" customHeight="1" x14ac:dyDescent="0.25">
      <c r="A51" s="15"/>
      <c r="B51" s="26"/>
      <c r="C51" s="26"/>
      <c r="D51" s="26"/>
      <c r="E51" s="26"/>
      <c r="F51" s="26"/>
      <c r="G51" s="26"/>
      <c r="H51" s="26"/>
      <c r="I51" s="26"/>
      <c r="J51" s="26"/>
      <c r="K51" s="26"/>
      <c r="L51" s="26"/>
      <c r="M51" s="26"/>
      <c r="N51" s="26"/>
      <c r="O51" s="26"/>
      <c r="P51" s="26"/>
      <c r="Q51" s="26"/>
      <c r="R51" s="26"/>
      <c r="S51" s="26"/>
      <c r="T51" s="26"/>
      <c r="U51" s="26"/>
      <c r="V51" s="26"/>
      <c r="W51" s="26"/>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3"/>
      <c r="BI51" s="23"/>
      <c r="BJ51" s="23"/>
      <c r="BK51" s="19"/>
    </row>
    <row r="52" spans="1:63" s="20" customFormat="1" ht="15" customHeight="1" x14ac:dyDescent="0.25">
      <c r="A52" s="15"/>
      <c r="B52" s="22"/>
      <c r="C52" s="21" t="s">
        <v>110</v>
      </c>
      <c r="D52" s="26"/>
      <c r="E52" s="26"/>
      <c r="F52" s="26"/>
      <c r="G52" s="26"/>
      <c r="H52" s="26"/>
      <c r="I52" s="26"/>
      <c r="J52" s="26"/>
      <c r="K52" s="26"/>
      <c r="L52" s="26"/>
      <c r="M52" s="26"/>
      <c r="N52" s="26"/>
      <c r="O52" s="26"/>
      <c r="P52" s="26"/>
      <c r="Q52" s="26"/>
      <c r="R52" s="26"/>
      <c r="S52" s="26"/>
      <c r="T52" s="26"/>
      <c r="U52" s="26"/>
      <c r="V52" s="26"/>
      <c r="W52" s="26"/>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3"/>
      <c r="BI52" s="23"/>
      <c r="BJ52" s="23"/>
      <c r="BK52" s="19"/>
    </row>
    <row r="53" spans="1:63" s="20" customFormat="1" ht="15" customHeight="1" x14ac:dyDescent="0.25">
      <c r="A53" s="15"/>
      <c r="B53" s="22"/>
      <c r="C53" s="21"/>
      <c r="D53" s="26"/>
      <c r="E53" s="26"/>
      <c r="F53" s="26"/>
      <c r="G53" s="26"/>
      <c r="H53" s="26"/>
      <c r="I53" s="26"/>
      <c r="J53" s="26"/>
      <c r="K53" s="26"/>
      <c r="L53" s="26"/>
      <c r="M53" s="26"/>
      <c r="N53" s="26"/>
      <c r="O53" s="26"/>
      <c r="P53" s="26"/>
      <c r="Q53" s="26"/>
      <c r="R53" s="26"/>
      <c r="S53" s="26"/>
      <c r="T53" s="26"/>
      <c r="U53" s="26"/>
      <c r="V53" s="26"/>
      <c r="W53" s="26"/>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3"/>
      <c r="BI53" s="23"/>
      <c r="BJ53" s="23"/>
      <c r="BK53" s="19"/>
    </row>
    <row r="54" spans="1:63" s="20" customFormat="1" ht="15" customHeight="1" x14ac:dyDescent="0.25">
      <c r="A54" s="15"/>
      <c r="B54" s="22"/>
      <c r="C54" s="21" t="s">
        <v>36</v>
      </c>
      <c r="D54" s="22"/>
      <c r="E54" s="63"/>
      <c r="F54" s="26"/>
      <c r="G54" s="26"/>
      <c r="H54" s="26"/>
      <c r="I54" s="26"/>
      <c r="J54" s="26"/>
      <c r="K54" s="26"/>
      <c r="L54" s="26"/>
      <c r="M54" s="26"/>
      <c r="N54" s="26"/>
      <c r="O54" s="26"/>
      <c r="P54" s="26"/>
      <c r="Q54" s="26"/>
      <c r="R54" s="26"/>
      <c r="S54" s="26"/>
      <c r="T54" s="26"/>
      <c r="U54" s="26"/>
      <c r="V54" s="26"/>
      <c r="W54" s="26"/>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3"/>
      <c r="BI54" s="23"/>
      <c r="BJ54" s="23"/>
      <c r="BK54" s="19"/>
    </row>
    <row r="55" spans="1:63" s="32" customFormat="1" ht="15" customHeight="1" x14ac:dyDescent="0.25">
      <c r="A55" s="27"/>
      <c r="B55" s="28"/>
      <c r="C55" s="28"/>
      <c r="D55" s="28"/>
      <c r="E55" s="29"/>
      <c r="F55" s="29"/>
      <c r="G55" s="29"/>
      <c r="H55" s="29"/>
      <c r="I55" s="29"/>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30"/>
      <c r="BI55" s="30"/>
      <c r="BJ55" s="30"/>
      <c r="BK55" s="31"/>
    </row>
  </sheetData>
  <mergeCells count="133">
    <mergeCell ref="L42:N42"/>
    <mergeCell ref="O42:R42"/>
    <mergeCell ref="Z42:AP42"/>
    <mergeCell ref="AQ42:BJ42"/>
    <mergeCell ref="E39:K39"/>
    <mergeCell ref="E40:K40"/>
    <mergeCell ref="E41:K41"/>
    <mergeCell ref="S39:Y39"/>
    <mergeCell ref="S40:Y40"/>
    <mergeCell ref="AQ40:BJ40"/>
    <mergeCell ref="O40:R40"/>
    <mergeCell ref="L41:N41"/>
    <mergeCell ref="O41:R41"/>
    <mergeCell ref="Z41:AP41"/>
    <mergeCell ref="E42:K42"/>
    <mergeCell ref="S42:Y42"/>
    <mergeCell ref="AQ41:BJ41"/>
    <mergeCell ref="C16:D16"/>
    <mergeCell ref="C17:D17"/>
    <mergeCell ref="E16:AF16"/>
    <mergeCell ref="AG16:AP16"/>
    <mergeCell ref="AQ16:BJ16"/>
    <mergeCell ref="E17:AF17"/>
    <mergeCell ref="AQ17:BJ17"/>
    <mergeCell ref="Z37:AP37"/>
    <mergeCell ref="Z40:AP40"/>
    <mergeCell ref="AQ38:BJ38"/>
    <mergeCell ref="C23:D23"/>
    <mergeCell ref="AQ21:BJ21"/>
    <mergeCell ref="L34:N34"/>
    <mergeCell ref="O34:R34"/>
    <mergeCell ref="Z34:AP34"/>
    <mergeCell ref="AQ23:BJ23"/>
    <mergeCell ref="AQ22:BJ22"/>
    <mergeCell ref="E21:K21"/>
    <mergeCell ref="C21:D21"/>
    <mergeCell ref="S21:Y21"/>
    <mergeCell ref="Z21:AP21"/>
    <mergeCell ref="O22:R22"/>
    <mergeCell ref="O21:R21"/>
    <mergeCell ref="L21:N21"/>
    <mergeCell ref="C42:D42"/>
    <mergeCell ref="AQ25:BJ25"/>
    <mergeCell ref="AQ26:BJ26"/>
    <mergeCell ref="C36:D3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AG17:AP17"/>
    <mergeCell ref="S37:Y37"/>
    <mergeCell ref="E22:K22"/>
    <mergeCell ref="E23:K23"/>
    <mergeCell ref="C22:D22"/>
    <mergeCell ref="E25:K25"/>
    <mergeCell ref="E26:K26"/>
    <mergeCell ref="O23:R23"/>
    <mergeCell ref="O25:R25"/>
    <mergeCell ref="O26:R26"/>
    <mergeCell ref="L22:N22"/>
    <mergeCell ref="L23:N23"/>
    <mergeCell ref="S23:Y23"/>
    <mergeCell ref="O24:R24"/>
    <mergeCell ref="S22:Y22"/>
    <mergeCell ref="Z26:AP26"/>
    <mergeCell ref="S34:Y34"/>
    <mergeCell ref="Z22:AP22"/>
    <mergeCell ref="Z23:AP23"/>
    <mergeCell ref="L25:N25"/>
    <mergeCell ref="L26:N26"/>
    <mergeCell ref="C24:D24"/>
    <mergeCell ref="E24:K24"/>
    <mergeCell ref="L24:N24"/>
    <mergeCell ref="AQ24:BJ24"/>
    <mergeCell ref="C37:D37"/>
    <mergeCell ref="C38:D38"/>
    <mergeCell ref="AQ36:BJ36"/>
    <mergeCell ref="AQ34:BJ34"/>
    <mergeCell ref="S25:Y25"/>
    <mergeCell ref="S26:Y26"/>
    <mergeCell ref="C26:D26"/>
    <mergeCell ref="S24:Y24"/>
    <mergeCell ref="Z24:AP24"/>
    <mergeCell ref="C34:D34"/>
    <mergeCell ref="E34:K34"/>
    <mergeCell ref="L36:N36"/>
    <mergeCell ref="O36:R36"/>
    <mergeCell ref="Z36:AP36"/>
    <mergeCell ref="S36:Y36"/>
    <mergeCell ref="AQ37:BJ37"/>
    <mergeCell ref="S38:Y38"/>
    <mergeCell ref="E38:K38"/>
    <mergeCell ref="O37:R37"/>
    <mergeCell ref="S35:Y35"/>
    <mergeCell ref="C25:D25"/>
    <mergeCell ref="Z25:AP25"/>
    <mergeCell ref="E36:K36"/>
    <mergeCell ref="E37:K37"/>
    <mergeCell ref="AQ39:BJ39"/>
    <mergeCell ref="L37:N37"/>
    <mergeCell ref="C39:D39"/>
    <mergeCell ref="C40:D40"/>
    <mergeCell ref="C41:D41"/>
    <mergeCell ref="C35:D35"/>
    <mergeCell ref="E35:K35"/>
    <mergeCell ref="L35:N35"/>
    <mergeCell ref="O35:R35"/>
    <mergeCell ref="Z35:AP35"/>
    <mergeCell ref="AQ35:BJ35"/>
    <mergeCell ref="L38:N38"/>
    <mergeCell ref="O38:R38"/>
    <mergeCell ref="Z38:AP38"/>
    <mergeCell ref="L39:N39"/>
    <mergeCell ref="O39:R39"/>
    <mergeCell ref="Z39:AP39"/>
    <mergeCell ref="L40:N40"/>
    <mergeCell ref="S41:Y41"/>
  </mergeCells>
  <pageMargins left="0.7" right="0.7" top="0.75" bottom="0.75" header="0.3" footer="0.3"/>
  <pageSetup scale="4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74C8-5047-4CD6-876A-722AD9CB91A7}">
  <sheetPr>
    <tabColor rgb="FF00B050"/>
    <pageSetUpPr fitToPage="1"/>
  </sheetPr>
  <dimension ref="A1:BK68"/>
  <sheetViews>
    <sheetView view="pageBreakPreview" zoomScale="85" zoomScaleNormal="100" zoomScaleSheetLayoutView="85" zoomScalePageLayoutView="70"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232" t="s">
        <v>17</v>
      </c>
      <c r="B1" s="233"/>
      <c r="C1" s="233"/>
      <c r="D1" s="233"/>
      <c r="E1" s="233"/>
      <c r="F1" s="233"/>
      <c r="G1" s="233"/>
      <c r="H1" s="233"/>
      <c r="I1" s="233"/>
      <c r="J1" s="234"/>
      <c r="K1" s="232" t="s">
        <v>18</v>
      </c>
      <c r="L1" s="233"/>
      <c r="M1" s="233"/>
      <c r="N1" s="233"/>
      <c r="O1" s="233"/>
      <c r="P1" s="233"/>
      <c r="Q1" s="233"/>
      <c r="R1" s="233"/>
      <c r="S1" s="233"/>
      <c r="T1" s="233"/>
      <c r="U1" s="233"/>
      <c r="V1" s="234"/>
      <c r="W1" s="235" t="s">
        <v>77</v>
      </c>
      <c r="X1" s="236"/>
      <c r="Y1" s="236"/>
      <c r="Z1" s="236"/>
      <c r="AA1" s="236"/>
      <c r="AB1" s="236"/>
      <c r="AC1" s="236"/>
      <c r="AD1" s="236"/>
      <c r="AE1" s="236"/>
      <c r="AF1" s="236"/>
      <c r="AG1" s="236"/>
      <c r="AH1" s="236"/>
      <c r="AI1" s="236"/>
      <c r="AJ1" s="236"/>
      <c r="AK1" s="236"/>
      <c r="AL1" s="236"/>
      <c r="AM1" s="236"/>
      <c r="AN1" s="236"/>
      <c r="AO1" s="237"/>
      <c r="AP1" s="217" t="s">
        <v>19</v>
      </c>
      <c r="AQ1" s="218"/>
      <c r="AR1" s="218"/>
      <c r="AS1" s="219"/>
      <c r="AT1" s="217" t="s">
        <v>20</v>
      </c>
      <c r="AU1" s="218"/>
      <c r="AV1" s="218"/>
      <c r="AW1" s="218"/>
      <c r="AX1" s="219"/>
      <c r="AY1" s="217" t="s">
        <v>21</v>
      </c>
      <c r="AZ1" s="218"/>
      <c r="BA1" s="218"/>
      <c r="BB1" s="219"/>
      <c r="BC1" s="217" t="s">
        <v>22</v>
      </c>
      <c r="BD1" s="218"/>
      <c r="BE1" s="218"/>
      <c r="BF1" s="218"/>
      <c r="BG1" s="219"/>
      <c r="BH1" s="217" t="s">
        <v>23</v>
      </c>
      <c r="BI1" s="218"/>
      <c r="BJ1" s="218"/>
      <c r="BK1" s="219"/>
    </row>
    <row r="2" spans="1:63" ht="15" customHeight="1" x14ac:dyDescent="0.25">
      <c r="A2" s="163" t="s">
        <v>76</v>
      </c>
      <c r="B2" s="164"/>
      <c r="C2" s="164"/>
      <c r="D2" s="164"/>
      <c r="E2" s="164"/>
      <c r="F2" s="164"/>
      <c r="G2" s="164"/>
      <c r="H2" s="164"/>
      <c r="I2" s="164"/>
      <c r="J2" s="165"/>
      <c r="K2" s="163" t="s">
        <v>76</v>
      </c>
      <c r="L2" s="164"/>
      <c r="M2" s="164"/>
      <c r="N2" s="164"/>
      <c r="O2" s="164"/>
      <c r="P2" s="164"/>
      <c r="Q2" s="164"/>
      <c r="R2" s="164"/>
      <c r="S2" s="164"/>
      <c r="T2" s="164"/>
      <c r="U2" s="164"/>
      <c r="V2" s="165"/>
      <c r="W2" s="238"/>
      <c r="X2" s="239"/>
      <c r="Y2" s="239"/>
      <c r="Z2" s="239"/>
      <c r="AA2" s="239"/>
      <c r="AB2" s="239"/>
      <c r="AC2" s="239"/>
      <c r="AD2" s="239"/>
      <c r="AE2" s="239"/>
      <c r="AF2" s="239"/>
      <c r="AG2" s="239"/>
      <c r="AH2" s="239"/>
      <c r="AI2" s="239"/>
      <c r="AJ2" s="239"/>
      <c r="AK2" s="239"/>
      <c r="AL2" s="239"/>
      <c r="AM2" s="239"/>
      <c r="AN2" s="239"/>
      <c r="AO2" s="240"/>
      <c r="AP2" s="220" t="s">
        <v>74</v>
      </c>
      <c r="AQ2" s="221"/>
      <c r="AR2" s="221"/>
      <c r="AS2" s="222"/>
      <c r="AT2" s="226">
        <v>45499</v>
      </c>
      <c r="AU2" s="227"/>
      <c r="AV2" s="227"/>
      <c r="AW2" s="227"/>
      <c r="AX2" s="228"/>
      <c r="AY2" s="220" t="s">
        <v>74</v>
      </c>
      <c r="AZ2" s="221"/>
      <c r="BA2" s="221"/>
      <c r="BB2" s="222"/>
      <c r="BC2" s="226">
        <v>45812</v>
      </c>
      <c r="BD2" s="227"/>
      <c r="BE2" s="227"/>
      <c r="BF2" s="227"/>
      <c r="BG2" s="228"/>
      <c r="BH2" s="220">
        <v>0.43</v>
      </c>
      <c r="BI2" s="221"/>
      <c r="BJ2" s="221"/>
      <c r="BK2" s="222"/>
    </row>
    <row r="3" spans="1:63" ht="15" customHeight="1" x14ac:dyDescent="0.25">
      <c r="A3" s="166"/>
      <c r="B3" s="167"/>
      <c r="C3" s="167"/>
      <c r="D3" s="167"/>
      <c r="E3" s="167"/>
      <c r="F3" s="167"/>
      <c r="G3" s="167"/>
      <c r="H3" s="167"/>
      <c r="I3" s="167"/>
      <c r="J3" s="168"/>
      <c r="K3" s="166"/>
      <c r="L3" s="167"/>
      <c r="M3" s="167"/>
      <c r="N3" s="167"/>
      <c r="O3" s="167"/>
      <c r="P3" s="167"/>
      <c r="Q3" s="167"/>
      <c r="R3" s="167"/>
      <c r="S3" s="167"/>
      <c r="T3" s="167"/>
      <c r="U3" s="167"/>
      <c r="V3" s="168"/>
      <c r="W3" s="241"/>
      <c r="X3" s="242"/>
      <c r="Y3" s="242"/>
      <c r="Z3" s="242"/>
      <c r="AA3" s="242"/>
      <c r="AB3" s="242"/>
      <c r="AC3" s="242"/>
      <c r="AD3" s="242"/>
      <c r="AE3" s="242"/>
      <c r="AF3" s="242"/>
      <c r="AG3" s="242"/>
      <c r="AH3" s="242"/>
      <c r="AI3" s="242"/>
      <c r="AJ3" s="242"/>
      <c r="AK3" s="242"/>
      <c r="AL3" s="242"/>
      <c r="AM3" s="242"/>
      <c r="AN3" s="242"/>
      <c r="AO3" s="243"/>
      <c r="AP3" s="223"/>
      <c r="AQ3" s="224"/>
      <c r="AR3" s="224"/>
      <c r="AS3" s="225"/>
      <c r="AT3" s="229"/>
      <c r="AU3" s="230"/>
      <c r="AV3" s="230"/>
      <c r="AW3" s="230"/>
      <c r="AX3" s="231"/>
      <c r="AY3" s="223"/>
      <c r="AZ3" s="224"/>
      <c r="BA3" s="224"/>
      <c r="BB3" s="225"/>
      <c r="BC3" s="229"/>
      <c r="BD3" s="230"/>
      <c r="BE3" s="230"/>
      <c r="BF3" s="230"/>
      <c r="BG3" s="231"/>
      <c r="BH3" s="223"/>
      <c r="BI3" s="224"/>
      <c r="BJ3" s="224"/>
      <c r="BK3" s="225"/>
    </row>
    <row r="4" spans="1:63" ht="24.95" customHeight="1" x14ac:dyDescent="0.25">
      <c r="A4" s="232" t="s">
        <v>24</v>
      </c>
      <c r="B4" s="233"/>
      <c r="C4" s="233"/>
      <c r="D4" s="233"/>
      <c r="E4" s="233"/>
      <c r="F4" s="233"/>
      <c r="G4" s="234"/>
      <c r="H4" s="159" t="s">
        <v>75</v>
      </c>
      <c r="I4" s="160"/>
      <c r="J4" s="160"/>
      <c r="K4" s="160"/>
      <c r="L4" s="160"/>
      <c r="M4" s="160"/>
      <c r="N4" s="160"/>
      <c r="O4" s="160"/>
      <c r="P4" s="160"/>
      <c r="Q4" s="160"/>
      <c r="R4" s="160"/>
      <c r="S4" s="160"/>
      <c r="T4" s="161"/>
      <c r="U4" s="232" t="s">
        <v>25</v>
      </c>
      <c r="V4" s="233"/>
      <c r="W4" s="233"/>
      <c r="X4" s="233"/>
      <c r="Y4" s="234"/>
      <c r="Z4" s="159" t="s">
        <v>78</v>
      </c>
      <c r="AA4" s="160"/>
      <c r="AB4" s="160"/>
      <c r="AC4" s="160"/>
      <c r="AD4" s="160"/>
      <c r="AE4" s="160"/>
      <c r="AF4" s="160"/>
      <c r="AG4" s="160"/>
      <c r="AH4" s="160"/>
      <c r="AI4" s="160"/>
      <c r="AJ4" s="160"/>
      <c r="AK4" s="160"/>
      <c r="AL4" s="160"/>
      <c r="AM4" s="160"/>
      <c r="AN4" s="160"/>
      <c r="AO4" s="161"/>
      <c r="AP4" s="162" t="str">
        <f ca="1">MID(CELL("filename",A1),FIND("]",CELL("filename",A1))+1,255)</f>
        <v>処理フロー</v>
      </c>
      <c r="AQ4" s="160"/>
      <c r="AR4" s="160"/>
      <c r="AS4" s="160"/>
      <c r="AT4" s="160"/>
      <c r="AU4" s="160"/>
      <c r="AV4" s="160"/>
      <c r="AW4" s="160"/>
      <c r="AX4" s="160"/>
      <c r="AY4" s="160"/>
      <c r="AZ4" s="160"/>
      <c r="BA4" s="160"/>
      <c r="BB4" s="160"/>
      <c r="BC4" s="160"/>
      <c r="BD4" s="160"/>
      <c r="BE4" s="160"/>
      <c r="BF4" s="160"/>
      <c r="BG4" s="160"/>
      <c r="BH4" s="160"/>
      <c r="BI4" s="160"/>
      <c r="BJ4" s="160"/>
      <c r="BK4" s="16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6" customFormat="1" ht="15" customHeight="1" x14ac:dyDescent="0.25">
      <c r="B7" s="33"/>
      <c r="C7" s="23"/>
      <c r="D7" s="23"/>
      <c r="E7" s="23"/>
      <c r="F7" s="23"/>
      <c r="G7" s="23"/>
      <c r="AI7" s="13"/>
      <c r="BJ7" s="13"/>
      <c r="BK7" s="10"/>
    </row>
    <row r="8" spans="1:63" s="6" customFormat="1" ht="15" customHeight="1" x14ac:dyDescent="0.25">
      <c r="B8" s="33"/>
      <c r="C8" s="23"/>
      <c r="D8" s="23"/>
      <c r="E8" s="23"/>
      <c r="F8" s="23"/>
      <c r="G8" s="23"/>
      <c r="AI8" s="13"/>
      <c r="BJ8" s="13"/>
      <c r="BK8" s="10"/>
    </row>
    <row r="9" spans="1:63" s="6" customFormat="1" ht="15" customHeight="1" x14ac:dyDescent="0.25">
      <c r="B9" s="33"/>
      <c r="C9" s="23"/>
      <c r="D9" s="23"/>
      <c r="E9" s="23"/>
      <c r="F9" s="23"/>
      <c r="G9" s="23"/>
      <c r="AI9" s="13"/>
      <c r="BJ9" s="13"/>
      <c r="BK9" s="10"/>
    </row>
    <row r="10" spans="1:63" s="6" customFormat="1" ht="15" customHeight="1" x14ac:dyDescent="0.25">
      <c r="B10" s="33"/>
      <c r="C10" s="23"/>
      <c r="D10" s="23"/>
      <c r="E10" s="23"/>
      <c r="F10" s="23"/>
      <c r="G10" s="23"/>
      <c r="AI10" s="13"/>
      <c r="BJ10" s="13"/>
      <c r="BK10" s="10"/>
    </row>
    <row r="11" spans="1:63" s="6" customFormat="1" ht="15" customHeight="1" x14ac:dyDescent="0.25">
      <c r="B11" s="11"/>
      <c r="AI11" s="13"/>
      <c r="BJ11" s="13"/>
      <c r="BK11" s="10"/>
    </row>
    <row r="12" spans="1:63" s="6" customFormat="1" ht="15" customHeight="1" x14ac:dyDescent="0.25">
      <c r="B12" s="11"/>
      <c r="AI12" s="13"/>
      <c r="BJ12" s="13"/>
      <c r="BK12" s="10"/>
    </row>
    <row r="13" spans="1:63" s="6" customFormat="1" ht="15" customHeight="1" x14ac:dyDescent="0.25">
      <c r="B13" s="11"/>
      <c r="AI13" s="13"/>
      <c r="BJ13" s="13"/>
      <c r="BK13" s="10"/>
    </row>
    <row r="14" spans="1:63" s="6" customFormat="1" ht="15" customHeight="1" x14ac:dyDescent="0.25">
      <c r="B14" s="11"/>
      <c r="AI14" s="13"/>
      <c r="BJ14" s="13"/>
      <c r="BK14" s="10"/>
    </row>
    <row r="15" spans="1:63" s="6" customFormat="1" ht="15" customHeight="1" x14ac:dyDescent="0.25">
      <c r="B15" s="11"/>
      <c r="AI15" s="13"/>
      <c r="BJ15" s="13"/>
      <c r="BK15" s="10"/>
    </row>
    <row r="16" spans="1:63" s="6" customFormat="1" ht="15" customHeight="1" x14ac:dyDescent="0.25">
      <c r="B16" s="11"/>
      <c r="AI16" s="13"/>
      <c r="BJ16" s="13"/>
      <c r="BK16" s="10"/>
    </row>
    <row r="17" spans="2:63" s="6" customFormat="1" ht="15" customHeight="1" x14ac:dyDescent="0.25">
      <c r="B17" s="11"/>
      <c r="AI17" s="13"/>
      <c r="BJ17" s="13"/>
      <c r="BK17" s="10"/>
    </row>
    <row r="18" spans="2:63" s="6" customFormat="1" ht="15" customHeight="1" x14ac:dyDescent="0.25">
      <c r="B18" s="11"/>
      <c r="AI18" s="13"/>
      <c r="BJ18" s="13"/>
      <c r="BK18" s="10"/>
    </row>
    <row r="19" spans="2:63" s="6" customFormat="1" ht="15" customHeight="1" x14ac:dyDescent="0.25">
      <c r="B19" s="11"/>
      <c r="AI19" s="13"/>
      <c r="BJ19" s="13"/>
      <c r="BK19" s="10"/>
    </row>
    <row r="20" spans="2:63" s="6" customFormat="1" ht="15" customHeight="1" x14ac:dyDescent="0.25">
      <c r="B20" s="11"/>
      <c r="AI20" s="13"/>
      <c r="BJ20" s="13"/>
      <c r="BK20" s="10"/>
    </row>
    <row r="21" spans="2:63" s="6" customFormat="1" ht="15" customHeight="1" x14ac:dyDescent="0.25">
      <c r="B21" s="11"/>
      <c r="AI21" s="13"/>
      <c r="BJ21" s="13"/>
      <c r="BK21" s="10"/>
    </row>
    <row r="22" spans="2:63" s="6" customFormat="1" ht="15" customHeight="1" x14ac:dyDescent="0.25">
      <c r="B22" s="11"/>
      <c r="AI22" s="13"/>
      <c r="BJ22" s="13"/>
      <c r="BK22" s="10"/>
    </row>
    <row r="23" spans="2:63" s="6" customFormat="1" ht="15" customHeight="1" x14ac:dyDescent="0.25">
      <c r="B23" s="11"/>
      <c r="AI23" s="13"/>
      <c r="BJ23" s="13"/>
      <c r="BK23" s="10"/>
    </row>
    <row r="24" spans="2:63" s="6" customFormat="1" ht="15" customHeight="1" x14ac:dyDescent="0.25">
      <c r="B24" s="11"/>
      <c r="AI24" s="13"/>
      <c r="BJ24" s="13"/>
      <c r="BK24" s="10"/>
    </row>
    <row r="25" spans="2:63" s="6" customFormat="1" ht="15" customHeight="1" x14ac:dyDescent="0.25">
      <c r="B25" s="11"/>
      <c r="AI25" s="13"/>
      <c r="BJ25" s="13"/>
      <c r="BK25" s="10"/>
    </row>
    <row r="26" spans="2:63" s="6" customFormat="1" ht="15" customHeight="1" x14ac:dyDescent="0.25">
      <c r="B26" s="11"/>
      <c r="AI26" s="13"/>
      <c r="BJ26" s="13"/>
      <c r="BK26" s="10"/>
    </row>
    <row r="27" spans="2:63" s="6" customFormat="1" ht="15" customHeight="1" x14ac:dyDescent="0.25">
      <c r="B27" s="11"/>
      <c r="AI27" s="13"/>
      <c r="BJ27" s="13"/>
      <c r="BK27" s="10"/>
    </row>
    <row r="28" spans="2:63" s="6" customFormat="1" ht="15" customHeight="1" x14ac:dyDescent="0.25">
      <c r="B28" s="11"/>
      <c r="AI28" s="13"/>
      <c r="BJ28" s="13"/>
      <c r="BK28" s="10"/>
    </row>
    <row r="29" spans="2:63" s="6" customFormat="1" ht="15" customHeight="1" x14ac:dyDescent="0.25">
      <c r="B29" s="11"/>
      <c r="AI29" s="13"/>
      <c r="BJ29" s="13"/>
      <c r="BK29" s="10"/>
    </row>
    <row r="30" spans="2:63" s="6" customFormat="1" ht="15" customHeight="1" x14ac:dyDescent="0.25">
      <c r="B30" s="11"/>
      <c r="AI30" s="13"/>
      <c r="BJ30" s="13"/>
      <c r="BK30" s="10"/>
    </row>
    <row r="31" spans="2:63" s="6" customFormat="1" ht="15" customHeight="1" x14ac:dyDescent="0.25">
      <c r="B31" s="11"/>
      <c r="AI31" s="13"/>
      <c r="BJ31" s="13"/>
      <c r="BK31" s="10"/>
    </row>
    <row r="32" spans="2:63" s="6" customFormat="1" ht="15" customHeight="1" x14ac:dyDescent="0.25">
      <c r="B32" s="11"/>
      <c r="AI32" s="13"/>
      <c r="BJ32" s="13"/>
      <c r="BK32" s="10"/>
    </row>
    <row r="33" spans="2:63" s="6" customFormat="1" ht="15" customHeight="1" x14ac:dyDescent="0.25">
      <c r="B33" s="11"/>
      <c r="AI33" s="13"/>
      <c r="BJ33" s="13"/>
      <c r="BK33" s="10"/>
    </row>
    <row r="34" spans="2:63" s="6" customFormat="1" ht="15" customHeight="1" x14ac:dyDescent="0.25">
      <c r="B34" s="11"/>
      <c r="AI34" s="13"/>
      <c r="BJ34" s="13"/>
      <c r="BK34" s="10"/>
    </row>
    <row r="35" spans="2:63" s="6" customFormat="1" ht="15" customHeight="1" x14ac:dyDescent="0.25">
      <c r="B35" s="11"/>
      <c r="AI35" s="13"/>
      <c r="BJ35" s="13"/>
      <c r="BK35" s="10"/>
    </row>
    <row r="36" spans="2:63" s="6" customFormat="1" ht="15" customHeight="1" x14ac:dyDescent="0.25">
      <c r="B36" s="11"/>
      <c r="AI36" s="13"/>
      <c r="BJ36" s="13"/>
      <c r="BK36" s="10"/>
    </row>
    <row r="37" spans="2:63" s="6" customFormat="1" ht="15" customHeight="1" x14ac:dyDescent="0.25">
      <c r="B37" s="11"/>
      <c r="AI37" s="13"/>
      <c r="BJ37" s="13"/>
      <c r="BK37" s="10"/>
    </row>
    <row r="38" spans="2:63" s="6" customFormat="1" ht="15" customHeight="1" x14ac:dyDescent="0.25">
      <c r="B38" s="11"/>
      <c r="AI38" s="13"/>
      <c r="BJ38" s="13"/>
      <c r="BK38" s="10"/>
    </row>
    <row r="39" spans="2:63" s="6" customFormat="1" ht="15" customHeight="1" x14ac:dyDescent="0.25">
      <c r="B39" s="11"/>
      <c r="AI39" s="13"/>
      <c r="BJ39" s="13"/>
      <c r="BK39" s="10"/>
    </row>
    <row r="40" spans="2:63" s="6" customFormat="1" ht="15" customHeight="1" x14ac:dyDescent="0.25">
      <c r="B40" s="11"/>
      <c r="AI40" s="13"/>
      <c r="BJ40" s="13"/>
      <c r="BK40" s="10"/>
    </row>
    <row r="41" spans="2:63" s="6" customFormat="1" ht="15" customHeight="1" x14ac:dyDescent="0.25">
      <c r="B41" s="11"/>
      <c r="AI41" s="13"/>
      <c r="BJ41" s="13"/>
      <c r="BK41" s="10"/>
    </row>
    <row r="42" spans="2:63" s="6" customFormat="1" ht="15" customHeight="1" x14ac:dyDescent="0.25">
      <c r="B42" s="11"/>
      <c r="AI42" s="13"/>
      <c r="BJ42" s="13"/>
      <c r="BK42" s="10"/>
    </row>
    <row r="43" spans="2:63" s="6" customFormat="1" ht="15" customHeight="1" x14ac:dyDescent="0.25">
      <c r="B43" s="11"/>
      <c r="AI43" s="13"/>
      <c r="BJ43" s="13"/>
      <c r="BK43" s="10"/>
    </row>
    <row r="44" spans="2:63" s="6" customFormat="1" ht="15" customHeight="1" x14ac:dyDescent="0.25">
      <c r="B44" s="11"/>
      <c r="AI44" s="13"/>
      <c r="BJ44" s="13"/>
      <c r="BK44" s="10"/>
    </row>
    <row r="45" spans="2:63" s="6" customFormat="1" ht="15" customHeight="1" x14ac:dyDescent="0.25">
      <c r="B45" s="11"/>
      <c r="AI45" s="13"/>
      <c r="BJ45" s="13"/>
      <c r="BK45" s="10"/>
    </row>
    <row r="46" spans="2:63" s="6" customFormat="1" ht="15" customHeight="1" x14ac:dyDescent="0.25">
      <c r="B46" s="11"/>
      <c r="AI46" s="13"/>
      <c r="BJ46" s="13"/>
      <c r="BK46" s="10"/>
    </row>
    <row r="47" spans="2:63" s="6" customFormat="1" ht="15" customHeight="1" x14ac:dyDescent="0.25">
      <c r="B47" s="11"/>
      <c r="AI47" s="13"/>
      <c r="BJ47" s="13"/>
      <c r="BK47" s="10"/>
    </row>
    <row r="48" spans="2:63" ht="15" customHeight="1" x14ac:dyDescent="0.25">
      <c r="B48" s="12"/>
      <c r="AI48" s="14"/>
      <c r="BJ48" s="14"/>
      <c r="BK48" s="5"/>
    </row>
    <row r="49" spans="2:63" ht="15" customHeight="1" x14ac:dyDescent="0.25">
      <c r="B49" s="12"/>
      <c r="AI49" s="14"/>
      <c r="BJ49" s="14"/>
      <c r="BK49" s="5"/>
    </row>
    <row r="50" spans="2:63" ht="15" customHeight="1" x14ac:dyDescent="0.25">
      <c r="B50" s="12"/>
      <c r="AI50" s="14"/>
      <c r="BJ50" s="14"/>
      <c r="BK50" s="5"/>
    </row>
    <row r="51" spans="2:63" ht="15" customHeight="1" x14ac:dyDescent="0.25">
      <c r="B51" s="12"/>
      <c r="AI51" s="14"/>
      <c r="BJ51" s="14"/>
      <c r="BK51" s="5"/>
    </row>
    <row r="52" spans="2:63" ht="15" customHeight="1" x14ac:dyDescent="0.25">
      <c r="B52" s="12"/>
      <c r="AI52" s="14"/>
      <c r="BJ52" s="14"/>
      <c r="BK52" s="5"/>
    </row>
    <row r="53" spans="2:63" ht="15" customHeight="1" x14ac:dyDescent="0.25">
      <c r="B53" s="12"/>
      <c r="AI53" s="14"/>
      <c r="BJ53" s="14"/>
      <c r="BK53" s="5"/>
    </row>
    <row r="54" spans="2:63" ht="15" customHeight="1" x14ac:dyDescent="0.25">
      <c r="B54" s="12"/>
      <c r="AI54" s="14"/>
      <c r="BJ54" s="14"/>
      <c r="BK54" s="5"/>
    </row>
    <row r="55" spans="2:63" ht="15" customHeight="1" x14ac:dyDescent="0.25">
      <c r="B55" s="12"/>
      <c r="AI55" s="14"/>
      <c r="BJ55" s="14"/>
      <c r="BK55" s="5"/>
    </row>
    <row r="56" spans="2:63" ht="15" customHeight="1" x14ac:dyDescent="0.25">
      <c r="B56" s="12"/>
      <c r="AI56" s="14"/>
      <c r="BJ56" s="14"/>
      <c r="BK56" s="5"/>
    </row>
    <row r="57" spans="2:63" ht="15" customHeight="1" x14ac:dyDescent="0.25">
      <c r="B57" s="12"/>
      <c r="AI57" s="14"/>
      <c r="BJ57" s="14"/>
      <c r="BK57" s="5"/>
    </row>
    <row r="58" spans="2:63" ht="15" customHeight="1" x14ac:dyDescent="0.25">
      <c r="B58" s="12"/>
      <c r="AI58" s="14"/>
      <c r="BJ58" s="14"/>
      <c r="BK58" s="5"/>
    </row>
    <row r="59" spans="2:63" ht="15" customHeight="1" x14ac:dyDescent="0.25">
      <c r="B59" s="12"/>
      <c r="AI59" s="14"/>
      <c r="BJ59" s="14"/>
      <c r="BK59" s="5"/>
    </row>
    <row r="60" spans="2:63" ht="15" customHeight="1" x14ac:dyDescent="0.25">
      <c r="B60" s="12"/>
      <c r="AI60" s="14"/>
      <c r="BJ60" s="14"/>
      <c r="BK60" s="5"/>
    </row>
    <row r="61" spans="2:63" ht="15" customHeight="1" x14ac:dyDescent="0.25">
      <c r="B61" s="12"/>
      <c r="AI61" s="14"/>
      <c r="BJ61" s="14"/>
      <c r="BK61" s="5"/>
    </row>
    <row r="62" spans="2:63" ht="15" customHeight="1" x14ac:dyDescent="0.25">
      <c r="B62" s="12"/>
      <c r="AI62" s="14"/>
      <c r="BJ62" s="14"/>
      <c r="BK62" s="5"/>
    </row>
    <row r="63" spans="2:63" ht="15" customHeight="1" x14ac:dyDescent="0.25">
      <c r="B63" s="12"/>
      <c r="AI63" s="14"/>
      <c r="BJ63" s="14"/>
      <c r="BK63" s="5"/>
    </row>
    <row r="64" spans="2:63" ht="15" customHeight="1" x14ac:dyDescent="0.25">
      <c r="B64" s="12"/>
      <c r="AI64" s="14"/>
      <c r="BJ64" s="14"/>
      <c r="BK64" s="5"/>
    </row>
    <row r="65" spans="2:63" ht="15" customHeight="1" x14ac:dyDescent="0.25">
      <c r="B65" s="12"/>
      <c r="AI65" s="14"/>
      <c r="BJ65" s="14"/>
      <c r="BK65" s="5"/>
    </row>
    <row r="66" spans="2:63" ht="15" customHeight="1" x14ac:dyDescent="0.25">
      <c r="B66" s="12"/>
      <c r="AI66" s="14"/>
      <c r="BJ66" s="14"/>
      <c r="BK66" s="5"/>
    </row>
    <row r="67" spans="2:63" ht="15" customHeight="1" x14ac:dyDescent="0.25">
      <c r="B67" s="12"/>
      <c r="AI67" s="14"/>
      <c r="BJ67" s="14"/>
      <c r="BK67" s="5"/>
    </row>
    <row r="68" spans="2:63" ht="15" customHeight="1" x14ac:dyDescent="0.25">
      <c r="B68" s="12"/>
      <c r="AI68" s="14"/>
      <c r="BJ68" s="14"/>
      <c r="BK68" s="5"/>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4"/>
  <sheetViews>
    <sheetView view="pageBreakPreview" zoomScale="85" zoomScaleNormal="100" zoomScaleSheetLayoutView="85" workbookViewId="0">
      <selection sqref="A1:J1"/>
    </sheetView>
  </sheetViews>
  <sheetFormatPr defaultColWidth="10.109375" defaultRowHeight="15.75" x14ac:dyDescent="0.25"/>
  <cols>
    <col min="1" max="63" width="2.77734375" style="1" customWidth="1"/>
    <col min="64" max="16384" width="10.109375" style="1"/>
  </cols>
  <sheetData>
    <row r="1" spans="1:63" ht="24.95" customHeight="1" x14ac:dyDescent="0.25">
      <c r="A1" s="156" t="s">
        <v>79</v>
      </c>
      <c r="B1" s="157"/>
      <c r="C1" s="157"/>
      <c r="D1" s="157"/>
      <c r="E1" s="157"/>
      <c r="F1" s="157"/>
      <c r="G1" s="157"/>
      <c r="H1" s="157"/>
      <c r="I1" s="157"/>
      <c r="J1" s="158"/>
      <c r="K1" s="156" t="s">
        <v>80</v>
      </c>
      <c r="L1" s="157"/>
      <c r="M1" s="157"/>
      <c r="N1" s="157"/>
      <c r="O1" s="157"/>
      <c r="P1" s="157"/>
      <c r="Q1" s="157"/>
      <c r="R1" s="157"/>
      <c r="S1" s="157"/>
      <c r="T1" s="157"/>
      <c r="U1" s="157"/>
      <c r="V1" s="158"/>
      <c r="W1" s="169" t="s">
        <v>77</v>
      </c>
      <c r="X1" s="170"/>
      <c r="Y1" s="170"/>
      <c r="Z1" s="170"/>
      <c r="AA1" s="170"/>
      <c r="AB1" s="170"/>
      <c r="AC1" s="170"/>
      <c r="AD1" s="170"/>
      <c r="AE1" s="170"/>
      <c r="AF1" s="170"/>
      <c r="AG1" s="170"/>
      <c r="AH1" s="170"/>
      <c r="AI1" s="170"/>
      <c r="AJ1" s="170"/>
      <c r="AK1" s="170"/>
      <c r="AL1" s="170"/>
      <c r="AM1" s="170"/>
      <c r="AN1" s="170"/>
      <c r="AO1" s="171"/>
      <c r="AP1" s="66" t="s">
        <v>81</v>
      </c>
      <c r="AQ1" s="67"/>
      <c r="AR1" s="67"/>
      <c r="AS1" s="68"/>
      <c r="AT1" s="66" t="s">
        <v>82</v>
      </c>
      <c r="AU1" s="67"/>
      <c r="AV1" s="67"/>
      <c r="AW1" s="67"/>
      <c r="AX1" s="68"/>
      <c r="AY1" s="66" t="s">
        <v>83</v>
      </c>
      <c r="AZ1" s="67"/>
      <c r="BA1" s="67"/>
      <c r="BB1" s="68"/>
      <c r="BC1" s="66" t="s">
        <v>84</v>
      </c>
      <c r="BD1" s="67"/>
      <c r="BE1" s="67"/>
      <c r="BF1" s="67"/>
      <c r="BG1" s="68"/>
      <c r="BH1" s="66" t="s">
        <v>85</v>
      </c>
      <c r="BI1" s="67"/>
      <c r="BJ1" s="67"/>
      <c r="BK1" s="68"/>
    </row>
    <row r="2" spans="1:63" ht="15" customHeight="1" x14ac:dyDescent="0.25">
      <c r="A2" s="163" t="s">
        <v>76</v>
      </c>
      <c r="B2" s="164"/>
      <c r="C2" s="164"/>
      <c r="D2" s="164"/>
      <c r="E2" s="164"/>
      <c r="F2" s="164"/>
      <c r="G2" s="164"/>
      <c r="H2" s="164"/>
      <c r="I2" s="164"/>
      <c r="J2" s="165"/>
      <c r="K2" s="163" t="s">
        <v>76</v>
      </c>
      <c r="L2" s="164"/>
      <c r="M2" s="164"/>
      <c r="N2" s="164"/>
      <c r="O2" s="164"/>
      <c r="P2" s="164"/>
      <c r="Q2" s="164"/>
      <c r="R2" s="164"/>
      <c r="S2" s="164"/>
      <c r="T2" s="164"/>
      <c r="U2" s="164"/>
      <c r="V2" s="165"/>
      <c r="W2" s="172"/>
      <c r="X2" s="173"/>
      <c r="Y2" s="173"/>
      <c r="Z2" s="173"/>
      <c r="AA2" s="173"/>
      <c r="AB2" s="173"/>
      <c r="AC2" s="173"/>
      <c r="AD2" s="173"/>
      <c r="AE2" s="173"/>
      <c r="AF2" s="173"/>
      <c r="AG2" s="173"/>
      <c r="AH2" s="173"/>
      <c r="AI2" s="173"/>
      <c r="AJ2" s="173"/>
      <c r="AK2" s="173"/>
      <c r="AL2" s="173"/>
      <c r="AM2" s="173"/>
      <c r="AN2" s="173"/>
      <c r="AO2" s="174"/>
      <c r="AP2" s="69" t="s">
        <v>74</v>
      </c>
      <c r="AQ2" s="70"/>
      <c r="AR2" s="70"/>
      <c r="AS2" s="71"/>
      <c r="AT2" s="97">
        <v>45499</v>
      </c>
      <c r="AU2" s="98"/>
      <c r="AV2" s="98"/>
      <c r="AW2" s="98"/>
      <c r="AX2" s="99"/>
      <c r="AY2" s="69" t="s">
        <v>74</v>
      </c>
      <c r="AZ2" s="70"/>
      <c r="BA2" s="70"/>
      <c r="BB2" s="71"/>
      <c r="BC2" s="97">
        <v>45812</v>
      </c>
      <c r="BD2" s="98"/>
      <c r="BE2" s="98"/>
      <c r="BF2" s="98"/>
      <c r="BG2" s="99"/>
      <c r="BH2" s="69">
        <v>0.43</v>
      </c>
      <c r="BI2" s="70"/>
      <c r="BJ2" s="70"/>
      <c r="BK2" s="71"/>
    </row>
    <row r="3" spans="1:63" ht="15" customHeight="1" x14ac:dyDescent="0.25">
      <c r="A3" s="166"/>
      <c r="B3" s="167"/>
      <c r="C3" s="167"/>
      <c r="D3" s="167"/>
      <c r="E3" s="167"/>
      <c r="F3" s="167"/>
      <c r="G3" s="167"/>
      <c r="H3" s="167"/>
      <c r="I3" s="167"/>
      <c r="J3" s="168"/>
      <c r="K3" s="166"/>
      <c r="L3" s="167"/>
      <c r="M3" s="167"/>
      <c r="N3" s="167"/>
      <c r="O3" s="167"/>
      <c r="P3" s="167"/>
      <c r="Q3" s="167"/>
      <c r="R3" s="167"/>
      <c r="S3" s="167"/>
      <c r="T3" s="167"/>
      <c r="U3" s="167"/>
      <c r="V3" s="168"/>
      <c r="W3" s="175"/>
      <c r="X3" s="176"/>
      <c r="Y3" s="176"/>
      <c r="Z3" s="176"/>
      <c r="AA3" s="176"/>
      <c r="AB3" s="176"/>
      <c r="AC3" s="176"/>
      <c r="AD3" s="176"/>
      <c r="AE3" s="176"/>
      <c r="AF3" s="176"/>
      <c r="AG3" s="176"/>
      <c r="AH3" s="176"/>
      <c r="AI3" s="176"/>
      <c r="AJ3" s="176"/>
      <c r="AK3" s="176"/>
      <c r="AL3" s="176"/>
      <c r="AM3" s="176"/>
      <c r="AN3" s="176"/>
      <c r="AO3" s="177"/>
      <c r="AP3" s="72"/>
      <c r="AQ3" s="73"/>
      <c r="AR3" s="73"/>
      <c r="AS3" s="74"/>
      <c r="AT3" s="100"/>
      <c r="AU3" s="101"/>
      <c r="AV3" s="101"/>
      <c r="AW3" s="101"/>
      <c r="AX3" s="102"/>
      <c r="AY3" s="72"/>
      <c r="AZ3" s="73"/>
      <c r="BA3" s="73"/>
      <c r="BB3" s="74"/>
      <c r="BC3" s="100"/>
      <c r="BD3" s="101"/>
      <c r="BE3" s="101"/>
      <c r="BF3" s="101"/>
      <c r="BG3" s="102"/>
      <c r="BH3" s="72"/>
      <c r="BI3" s="73"/>
      <c r="BJ3" s="73"/>
      <c r="BK3" s="74"/>
    </row>
    <row r="4" spans="1:63" ht="24.95" customHeight="1" x14ac:dyDescent="0.25">
      <c r="A4" s="156" t="s">
        <v>86</v>
      </c>
      <c r="B4" s="157"/>
      <c r="C4" s="157"/>
      <c r="D4" s="157"/>
      <c r="E4" s="157"/>
      <c r="F4" s="157"/>
      <c r="G4" s="158"/>
      <c r="H4" s="159" t="s">
        <v>75</v>
      </c>
      <c r="I4" s="160"/>
      <c r="J4" s="160"/>
      <c r="K4" s="160"/>
      <c r="L4" s="160"/>
      <c r="M4" s="160"/>
      <c r="N4" s="160"/>
      <c r="O4" s="160"/>
      <c r="P4" s="160"/>
      <c r="Q4" s="160"/>
      <c r="R4" s="160"/>
      <c r="S4" s="160"/>
      <c r="T4" s="161"/>
      <c r="U4" s="156" t="s">
        <v>87</v>
      </c>
      <c r="V4" s="157"/>
      <c r="W4" s="157"/>
      <c r="X4" s="157"/>
      <c r="Y4" s="158"/>
      <c r="Z4" s="159" t="s">
        <v>78</v>
      </c>
      <c r="AA4" s="160"/>
      <c r="AB4" s="160"/>
      <c r="AC4" s="160"/>
      <c r="AD4" s="160"/>
      <c r="AE4" s="160"/>
      <c r="AF4" s="160"/>
      <c r="AG4" s="160"/>
      <c r="AH4" s="160"/>
      <c r="AI4" s="160"/>
      <c r="AJ4" s="160"/>
      <c r="AK4" s="160"/>
      <c r="AL4" s="160"/>
      <c r="AM4" s="160"/>
      <c r="AN4" s="160"/>
      <c r="AO4" s="161"/>
      <c r="AP4" s="162" t="str">
        <f ca="1">MID(CELL("filename",A1),FIND("]",CELL("filename",A1))+1,255)</f>
        <v>テンプレート</v>
      </c>
      <c r="AQ4" s="160"/>
      <c r="AR4" s="160"/>
      <c r="AS4" s="160"/>
      <c r="AT4" s="160"/>
      <c r="AU4" s="160"/>
      <c r="AV4" s="160"/>
      <c r="AW4" s="160"/>
      <c r="AX4" s="160"/>
      <c r="AY4" s="160"/>
      <c r="AZ4" s="160"/>
      <c r="BA4" s="160"/>
      <c r="BB4" s="160"/>
      <c r="BC4" s="160"/>
      <c r="BD4" s="160"/>
      <c r="BE4" s="160"/>
      <c r="BF4" s="160"/>
      <c r="BG4" s="160"/>
      <c r="BH4" s="160"/>
      <c r="BI4" s="160"/>
      <c r="BJ4" s="160"/>
      <c r="BK4" s="16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4"/>
    </row>
    <row r="6" spans="1:63" ht="15" customHeight="1" x14ac:dyDescent="0.25">
      <c r="A6" s="7"/>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9"/>
    </row>
    <row r="7" spans="1:63" s="61" customFormat="1" ht="15" customHeight="1" x14ac:dyDescent="0.25">
      <c r="BK7" s="60"/>
    </row>
    <row r="8" spans="1:63" s="61" customFormat="1" ht="15" customHeight="1" x14ac:dyDescent="0.25">
      <c r="BK8" s="60"/>
    </row>
    <row r="9" spans="1:63" s="61" customFormat="1" ht="15" customHeight="1" x14ac:dyDescent="0.25">
      <c r="BK9" s="60"/>
    </row>
    <row r="10" spans="1:63" s="61" customFormat="1" ht="15" customHeight="1" x14ac:dyDescent="0.25">
      <c r="BK10" s="60"/>
    </row>
    <row r="11" spans="1:63" s="61" customFormat="1" ht="15" customHeight="1" x14ac:dyDescent="0.25">
      <c r="BK11" s="60"/>
    </row>
    <row r="12" spans="1:63" s="61" customFormat="1" ht="15" customHeight="1" x14ac:dyDescent="0.25">
      <c r="BK12" s="60"/>
    </row>
    <row r="13" spans="1:63" s="61" customFormat="1" ht="15" customHeight="1" x14ac:dyDescent="0.25">
      <c r="BK13" s="60"/>
    </row>
    <row r="14" spans="1:63" s="61" customFormat="1" ht="15" customHeight="1" x14ac:dyDescent="0.25">
      <c r="BK14" s="60"/>
    </row>
    <row r="15" spans="1:63" s="61" customFormat="1" ht="15" customHeight="1" x14ac:dyDescent="0.25">
      <c r="BK15" s="60"/>
    </row>
    <row r="16" spans="1:63" s="61" customFormat="1" ht="15" customHeight="1" x14ac:dyDescent="0.25">
      <c r="BK16" s="60"/>
    </row>
    <row r="17" spans="63:63" s="61" customFormat="1" ht="15" customHeight="1" x14ac:dyDescent="0.25">
      <c r="BK17" s="60"/>
    </row>
    <row r="18" spans="63:63" s="61" customFormat="1" ht="15" customHeight="1" x14ac:dyDescent="0.25">
      <c r="BK18" s="60"/>
    </row>
    <row r="19" spans="63:63" s="61" customFormat="1" ht="15" customHeight="1" x14ac:dyDescent="0.25">
      <c r="BK19" s="60"/>
    </row>
    <row r="20" spans="63:63" s="61" customFormat="1" ht="15" customHeight="1" x14ac:dyDescent="0.25">
      <c r="BK20" s="60"/>
    </row>
    <row r="21" spans="63:63" s="61" customFormat="1" ht="15" customHeight="1" x14ac:dyDescent="0.25">
      <c r="BK21" s="60"/>
    </row>
    <row r="22" spans="63:63" s="61" customFormat="1" ht="15" customHeight="1" x14ac:dyDescent="0.25">
      <c r="BK22" s="60"/>
    </row>
    <row r="23" spans="63:63" s="61" customFormat="1" ht="15" customHeight="1" x14ac:dyDescent="0.25">
      <c r="BK23" s="60"/>
    </row>
    <row r="24" spans="63:63" s="61" customFormat="1" ht="15" customHeight="1" x14ac:dyDescent="0.25">
      <c r="BK24" s="60"/>
    </row>
    <row r="25" spans="63:63" s="61" customFormat="1" ht="15" customHeight="1" x14ac:dyDescent="0.25">
      <c r="BK25" s="60"/>
    </row>
    <row r="26" spans="63:63" s="61" customFormat="1" ht="15" customHeight="1" x14ac:dyDescent="0.25">
      <c r="BK26" s="60"/>
    </row>
    <row r="27" spans="63:63" s="61" customFormat="1" ht="15" customHeight="1" x14ac:dyDescent="0.25">
      <c r="BK27" s="60"/>
    </row>
    <row r="28" spans="63:63" s="61" customFormat="1" ht="15" customHeight="1" x14ac:dyDescent="0.25">
      <c r="BK28" s="60"/>
    </row>
    <row r="29" spans="63:63" s="61" customFormat="1" ht="15" customHeight="1" x14ac:dyDescent="0.25">
      <c r="BK29" s="60"/>
    </row>
    <row r="30" spans="63:63" s="61" customFormat="1" ht="15" customHeight="1" x14ac:dyDescent="0.25">
      <c r="BK30" s="60"/>
    </row>
    <row r="31" spans="63:63" s="61" customFormat="1" ht="15" customHeight="1" x14ac:dyDescent="0.25">
      <c r="BK31" s="60"/>
    </row>
    <row r="32" spans="63:63" s="61" customFormat="1" ht="15" customHeight="1" x14ac:dyDescent="0.25">
      <c r="BK32" s="60"/>
    </row>
    <row r="33" spans="63:63" s="61" customFormat="1" ht="15" customHeight="1" x14ac:dyDescent="0.25">
      <c r="BK33" s="60"/>
    </row>
    <row r="34" spans="63:63" s="61" customFormat="1" ht="15" customHeight="1" x14ac:dyDescent="0.25">
      <c r="BK34" s="60"/>
    </row>
    <row r="35" spans="63:63" s="61" customFormat="1" ht="15" customHeight="1" x14ac:dyDescent="0.25">
      <c r="BK35" s="60"/>
    </row>
    <row r="36" spans="63:63" s="61" customFormat="1" ht="15" customHeight="1" x14ac:dyDescent="0.25">
      <c r="BK36" s="60"/>
    </row>
    <row r="37" spans="63:63" s="61" customFormat="1" ht="15" customHeight="1" x14ac:dyDescent="0.25">
      <c r="BK37" s="60"/>
    </row>
    <row r="38" spans="63:63" s="61" customFormat="1" ht="15" customHeight="1" x14ac:dyDescent="0.25">
      <c r="BK38" s="60"/>
    </row>
    <row r="39" spans="63:63" s="61" customFormat="1" ht="15" customHeight="1" x14ac:dyDescent="0.25">
      <c r="BK39" s="60"/>
    </row>
    <row r="40" spans="63:63" s="61" customFormat="1" ht="15" customHeight="1" x14ac:dyDescent="0.25">
      <c r="BK40" s="60"/>
    </row>
    <row r="41" spans="63:63" s="61" customFormat="1" ht="15" customHeight="1" x14ac:dyDescent="0.25">
      <c r="BK41" s="60"/>
    </row>
    <row r="42" spans="63:63" s="61" customFormat="1" ht="15" customHeight="1" x14ac:dyDescent="0.25">
      <c r="BK42" s="60"/>
    </row>
    <row r="43" spans="63:63" s="61" customFormat="1" ht="15" customHeight="1" x14ac:dyDescent="0.25">
      <c r="BK43" s="60"/>
    </row>
    <row r="44" spans="63:63" s="61" customFormat="1" ht="15" customHeight="1" x14ac:dyDescent="0.25">
      <c r="BK44" s="60"/>
    </row>
    <row r="45" spans="63:63" s="61" customFormat="1" ht="15" customHeight="1" x14ac:dyDescent="0.25">
      <c r="BK45" s="60"/>
    </row>
    <row r="46" spans="63:63" s="61" customFormat="1" ht="15" customHeight="1" x14ac:dyDescent="0.25">
      <c r="BK46" s="60"/>
    </row>
    <row r="47" spans="63:63" ht="15" customHeight="1" x14ac:dyDescent="0.25">
      <c r="BK47" s="5"/>
    </row>
    <row r="48" spans="63:63" ht="15" customHeight="1" x14ac:dyDescent="0.25">
      <c r="BK48" s="5"/>
    </row>
    <row r="49" spans="1:63" ht="15" customHeight="1" x14ac:dyDescent="0.25">
      <c r="BK49" s="5"/>
    </row>
    <row r="50" spans="1:63" ht="15" customHeight="1" x14ac:dyDescent="0.25">
      <c r="BK50" s="5"/>
    </row>
    <row r="51" spans="1:63" ht="15" customHeight="1" x14ac:dyDescent="0.25">
      <c r="BK51" s="5"/>
    </row>
    <row r="52" spans="1:63" ht="15" customHeight="1" x14ac:dyDescent="0.25">
      <c r="BK52" s="5"/>
    </row>
    <row r="53" spans="1:63" ht="15" customHeight="1" x14ac:dyDescent="0.25">
      <c r="BK53" s="5"/>
    </row>
    <row r="54" spans="1:63" ht="1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ageMargins left="0.7" right="0.7" top="0.75" bottom="0.75" header="0.3" footer="0.3"/>
  <pageSetup scale="42"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‎表紙</vt:lpstr>
      <vt:lpstr>改訂履歴</vt:lpstr>
      <vt:lpstr>処理フロー凡例</vt:lpstr>
      <vt:lpstr>AP7107</vt:lpstr>
      <vt:lpstr>処理フロー</vt:lpstr>
      <vt:lpstr>テンプレート</vt:lpstr>
      <vt:lpstr>'AP7107'!Print_Area</vt:lpstr>
      <vt:lpstr>テンプレート!Print_Area</vt:lpstr>
      <vt:lpstr>処理フロー!Print_Area</vt:lpstr>
      <vt:lpstr>処理フロー凡例!Print_Area</vt:lpstr>
      <vt:lpstr>改訂履歴!Print_Area</vt:lpstr>
      <vt:lpstr>改訂履歴!Print_Titles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2025-06-16T07:14:28Z</dcterms:modified>
  <cp:category/>
  <cp:contentStatus/>
</cp:coreProperties>
</file>