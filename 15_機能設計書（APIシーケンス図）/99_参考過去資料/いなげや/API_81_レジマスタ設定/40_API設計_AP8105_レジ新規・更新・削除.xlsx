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20001_{6FE914FE-D2CD-45AE-9EB8-BFDD922D27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105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処理フロー!$A$1:$BK$119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<sst xmlns="http://schemas.openxmlformats.org/spreadsheetml/2006/main" count="610" uniqueCount="216">
  <si>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</si>
  <si>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</si>
  <si>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</si>
  <si>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</si>
  <si>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</si>
  <si>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</si>
  <si>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</si>
  <si>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</si>
  <si>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</si>
  <si>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</si>
  <si>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</si>
  <si>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</si>
  <si>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</si>
  <si>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</si>
  <si>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</si>
  <si>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B05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</si>
  <si>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</si>
  <si>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</si>
  <si>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</si>
  <si>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</si>
  <si>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</si>
  <si>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</si>
  <si>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</si>
  <si>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</si>
  <si>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</si>
  <si>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</si>
  <si>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</si>
  <si>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</si>
  <si>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</si>
  <si>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</si>
  <si>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</si>
  <si>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</si>
  <si>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</si>
  <si>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</si>
  <si>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</si>
  <si>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</si>
  <si>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</si>
  <si>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</si>
  <si>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</si>
  <si>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</si>
  <si>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</si>
  <si>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</si>
  <si>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</si>
  <si>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</si>
  <si>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</si>
  <si>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</si>
  <si>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レジを新規作成・更新・削除する。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</si>
  <si>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</si>
  <si>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</si>
  <si>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</si>
  <si>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List&lt;CashRegister&gt;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</si>
  <si>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</si>
  <si>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</si>
  <si>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type_code</t>
    </r>
  </si>
  <si>
    <r>
      <rPr>
        <sz val="11"/>
        <color rgb="FF000000"/>
        <rFont val="Meiryo UI"/>
        <family val="2"/>
      </rPr>
      <t>button_layout_code</t>
    </r>
  </si>
  <si>
    <r>
      <rPr>
        <sz val="11"/>
        <color rgb="FF000000"/>
        <rFont val="Meiryo UI"/>
        <family val="2"/>
      </rPr>
      <t>ip_address</t>
    </r>
  </si>
  <si>
    <r>
      <rPr>
        <sz val="11"/>
        <color rgb="FF000000"/>
        <rFont val="Meiryo UI"/>
        <family val="2"/>
      </rPr>
      <t>mac_address</t>
    </r>
  </si>
  <si>
    <r>
      <rPr>
        <sz val="11"/>
        <color rgb="FF000000"/>
        <rFont val="Meiryo UI"/>
        <family val="2"/>
      </rPr>
      <t>start_up_time</t>
    </r>
  </si>
  <si>
    <r>
      <rPr>
        <sz val="11"/>
        <color rgb="FF000000"/>
        <rFont val="Meiryo UI"/>
        <family val="2"/>
      </rPr>
      <t>morning_discount_excluded</t>
    </r>
  </si>
  <si>
    <r>
      <rPr>
        <sz val="11"/>
        <color rgb="FF000000"/>
        <rFont val="Meiryo UI"/>
        <family val="2"/>
      </rPr>
      <t>mega_discount_excluded</t>
    </r>
  </si>
  <si>
    <r>
      <rPr>
        <sz val="11"/>
        <color rgb="FF000000"/>
        <rFont val="Meiryo UI"/>
        <family val="2"/>
      </rPr>
      <t>customer_count_excluded</t>
    </r>
  </si>
  <si>
    <r>
      <rPr>
        <sz val="11"/>
        <color rgb="FF000000"/>
        <rFont val="Meiryo UI"/>
        <family val="2"/>
      </rPr>
      <t>pos_model</t>
    </r>
  </si>
  <si>
    <r>
      <rPr>
        <sz val="11"/>
        <color rgb="FF000000"/>
        <rFont val="Meiryo UI"/>
        <family val="2"/>
      </rPr>
      <t>cash_machine_model</t>
    </r>
  </si>
  <si>
    <r>
      <rPr>
        <sz val="11"/>
        <color rgb="FF000000"/>
        <rFont val="Meiryo UI"/>
        <family val="2"/>
      </rPr>
      <t>scanner_model</t>
    </r>
  </si>
  <si>
    <r>
      <rPr>
        <sz val="11"/>
        <color rgb="FF000000"/>
        <rFont val="Meiryo UI"/>
        <family val="2"/>
      </rPr>
      <t>note_1</t>
    </r>
  </si>
  <si>
    <r>
      <rPr>
        <sz val="11"/>
        <color rgb="FF000000"/>
        <rFont val="Meiryo UI"/>
        <family val="2"/>
      </rPr>
      <t>note_2</t>
    </r>
  </si>
  <si>
    <r>
      <rPr>
        <sz val="11"/>
        <color rgb="FF000000"/>
        <rFont val="Meiryo UI"/>
        <family val="2"/>
      </rPr>
      <t>note_3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</si>
  <si>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</si>
  <si>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</si>
  <si>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Time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</si>
  <si>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</si>
  <si>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`</t>
  </si>
  <si>
    <r>
      <rPr>
        <sz val="11"/>
        <color rgb="FF000000"/>
        <rFont val="Meiryo UI"/>
        <family val="2"/>
      </rPr>
      <t>cash_registers</t>
    </r>
  </si>
  <si>
    <r>
      <rPr>
        <sz val="11"/>
        <color rgb="FF000000"/>
        <rFont val="Meiryo UI"/>
        <family val="2"/>
      </rPr>
      <t>AP7105: name、payment_type_codeを削除する。</t>
    </r>
  </si>
  <si>
    <r>
      <rPr>
        <sz val="11"/>
        <color rgb="FF000000"/>
        <rFont val="Meiryo UI"/>
        <family val="2"/>
      </rPr>
      <t>AP7105: tenant_hierarchy_codeを追加する。</t>
    </r>
  </si>
  <si>
    <r>
      <rPr>
        <sz val="11"/>
        <color rgb="FF000000"/>
        <rFont val="Meiryo UI"/>
        <family val="2"/>
      </rPr>
      <t>処理フロー：リスト内の存在チェックを最適化</t>
    </r>
  </si>
  <si>
    <r>
      <rPr>
        <sz val="11"/>
        <color rgb="FF000000"/>
        <rFont val="Meiryo UI"/>
        <family val="2"/>
      </rPr>
      <t>AP7105：コードは最大4桁の数字</t>
    </r>
  </si>
  <si>
    <r>
      <rPr>
        <sz val="11"/>
        <color rgb="FFFF0000"/>
        <rFont val="Meiryo UI"/>
        <family val="2"/>
      </rPr>
      <t>AnhDD</t>
    </r>
  </si>
  <si>
    <r>
      <rPr>
        <sz val="11"/>
        <color rgb="FF000000"/>
        <rFont val="Meiryo UI"/>
        <family val="2"/>
      </rPr>
      <t>API 7105: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パラメータのバリデーションチェック条件の説明を追加：type_code、type_node、button_layout_code、keyboard_layout_code、function_layout_code、receipt_message_code</t>
    </r>
  </si>
  <si>
    <r>
      <rPr>
        <sz val="11"/>
        <color rgb="FF000000"/>
        <rFont val="Meiryo UI"/>
        <family val="2"/>
      </rPr>
      <t>rate_customer_excluded</t>
    </r>
  </si>
  <si>
    <r>
      <rPr>
        <sz val="11"/>
        <color rgb="FF000000"/>
        <rFont val="Meiryo UI"/>
        <family val="2"/>
      </rPr>
      <t>attendant_monitor_excluded</t>
    </r>
  </si>
  <si>
    <r>
      <rPr>
        <sz val="11"/>
        <color rgb="FF000000"/>
        <rFont val="Meiryo UI"/>
        <family val="2"/>
      </rPr>
      <t>TinNH</t>
    </r>
  </si>
  <si>
    <r>
      <rPr>
        <sz val="11"/>
        <color rgb="FF000000"/>
        <rFont val="Meiryo UI"/>
        <family val="2"/>
      </rPr>
      <t>機能概要</t>
    </r>
  </si>
  <si>
    <r>
      <rPr>
        <sz val="11"/>
        <color rgb="FF000000"/>
        <rFont val="Meiryo UI"/>
        <family val="2"/>
      </rPr>
      <t>・380アテンダントモニタ、構成比を追加する。</t>
    </r>
  </si>
  <si>
    <r>
      <rPr>
        <sz val="11"/>
        <color rgb="FF000000"/>
        <rFont val="Meiryo UI"/>
        <family val="2"/>
      </rPr>
      <t>25739: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messageMasterテーブルの存在チェック条件を修正する</t>
    </r>
  </si>
  <si>
    <r>
      <rPr>
        <sz val="11"/>
        <color rgb="FF00B050"/>
        <rFont val="Meiryo UI"/>
        <family val="2"/>
      </rPr>
      <t>以下の項目を追加。レシートクーポン発行除外、定番売価使用</t>
    </r>
  </si>
  <si>
    <r>
      <rPr>
        <sz val="11"/>
        <color rgb="FF00B050"/>
        <rFont val="Meiryo UI"/>
        <family val="2"/>
      </rPr>
      <t>レジコードのデータ型を変更：BigInt -&gt; String</t>
    </r>
  </si>
  <si>
    <r>
      <rPr>
        <sz val="11"/>
        <color rgb="FF000000"/>
        <rFont val="Meiryo UI"/>
        <family val="2"/>
      </rPr>
      <t>CashRegisterTypeテーブルで、CashRegisterType.code = type_codeかつCashRegisterType.CompanyCode = User.CompanyCode（ログインしているユーザー）の存在をチェックする。</t>
    </r>
  </si>
  <si>
    <r>
      <rPr>
        <sz val="11"/>
        <color rgb="FF2E75B6"/>
        <rFont val="Meiryo UI"/>
        <family val="2"/>
      </rPr>
      <t>cash_changer_settings.status</t>
    </r>
  </si>
  <si>
    <r>
      <rPr>
        <sz val="11"/>
        <color rgb="FF2E75B6"/>
        <rFont val="Meiryo UI"/>
        <family val="2"/>
      </rPr>
      <t>cash_changer_settings.count_10000</t>
    </r>
  </si>
  <si>
    <r>
      <rPr>
        <sz val="11"/>
        <color rgb="FF2E75B6"/>
        <rFont val="Meiryo UI"/>
        <family val="2"/>
      </rPr>
      <t>cash_changer_settings.count_5000</t>
    </r>
  </si>
  <si>
    <r>
      <rPr>
        <sz val="11"/>
        <color rgb="FF2E75B6"/>
        <rFont val="Meiryo UI"/>
        <family val="2"/>
      </rPr>
      <t>cash_changer_settings.count_2000</t>
    </r>
  </si>
  <si>
    <r>
      <rPr>
        <sz val="11"/>
        <color rgb="FF2E75B6"/>
        <rFont val="Meiryo UI"/>
        <family val="2"/>
      </rPr>
      <t>cash_changer_settings.count_1000</t>
    </r>
  </si>
  <si>
    <r>
      <rPr>
        <sz val="11"/>
        <color rgb="FF2E75B6"/>
        <rFont val="Meiryo UI"/>
        <family val="2"/>
      </rPr>
      <t>cash_changer_settings.count_500</t>
    </r>
  </si>
  <si>
    <r>
      <rPr>
        <sz val="11"/>
        <color rgb="FF2E75B6"/>
        <rFont val="Meiryo UI"/>
        <family val="2"/>
      </rPr>
      <t>cash_changer_settings.count_100</t>
    </r>
  </si>
  <si>
    <r>
      <rPr>
        <sz val="11"/>
        <color rgb="FF2E75B6"/>
        <rFont val="Meiryo UI"/>
        <family val="2"/>
      </rPr>
      <t>cash_changer_settings.count_50</t>
    </r>
  </si>
  <si>
    <r>
      <rPr>
        <sz val="11"/>
        <color rgb="FF2E75B6"/>
        <rFont val="Meiryo UI"/>
        <family val="2"/>
      </rPr>
      <t>cash_changer_settings.count_10</t>
    </r>
  </si>
  <si>
    <r>
      <rPr>
        <sz val="11"/>
        <color rgb="FF2E75B6"/>
        <rFont val="Meiryo UI"/>
        <family val="2"/>
      </rPr>
      <t>cash_changer_settings.count_5</t>
    </r>
  </si>
  <si>
    <r>
      <rPr>
        <sz val="11"/>
        <color rgb="FF2E75B6"/>
        <rFont val="Meiryo UI"/>
        <family val="2"/>
      </rPr>
      <t>cash_changer_settings.count_1</t>
    </r>
  </si>
  <si>
    <r>
      <rPr>
        <sz val="11"/>
        <color rgb="FF2E75B6"/>
        <rFont val="Meiryo UI"/>
        <family val="2"/>
      </rPr>
      <t>cash_changer_settings.cassette</t>
    </r>
  </si>
  <si>
    <r>
      <rPr>
        <sz val="11"/>
        <color rgb="FFFF0000"/>
        <rFont val="Meiryo UI"/>
        <family val="2"/>
      </rPr>
      <t>レジ情報設定処理を追加</t>
    </r>
  </si>
  <si>
    <r>
      <rPr>
        <sz val="11"/>
        <color rgb="FF000000"/>
        <rFont val="Meiryo UI"/>
        <family val="2"/>
      </rPr>
      <t>api/v1/cash-registers/maintenance</t>
    </r>
  </si>
  <si>
    <r>
      <rPr>
        <sz val="11"/>
        <color rgb="FF000000"/>
        <rFont val="Meiryo UI"/>
        <family val="2"/>
      </rPr>
      <t>AP8105</t>
    </r>
  </si>
  <si>
    <r>
      <rPr>
        <sz val="11"/>
        <color rgb="FF000000"/>
        <rFont val="Meiryo UI"/>
        <family val="2"/>
      </rPr>
      <t>cash_registers.store_code</t>
    </r>
  </si>
  <si>
    <r>
      <rPr>
        <sz val="11"/>
        <color rgb="FF000000"/>
        <rFont val="Meiryo UI"/>
        <family val="2"/>
      </rPr>
      <t>cash_registers.code</t>
    </r>
  </si>
  <si>
    <r>
      <rPr>
        <sz val="11"/>
        <color rgb="FF000000"/>
        <rFont val="Meiryo UI"/>
        <family val="2"/>
      </rPr>
      <t>cash_registers.type_code</t>
    </r>
  </si>
  <si>
    <r>
      <rPr>
        <sz val="11"/>
        <color rgb="FF000000"/>
        <rFont val="Meiryo UI"/>
        <family val="2"/>
      </rPr>
      <t>cash_registers.button_layout_code</t>
    </r>
  </si>
  <si>
    <r>
      <rPr>
        <sz val="11"/>
        <color rgb="FF000000"/>
        <rFont val="Meiryo UI"/>
        <family val="2"/>
      </rPr>
      <t>cash_registers.ip_address</t>
    </r>
  </si>
  <si>
    <r>
      <rPr>
        <sz val="11"/>
        <color rgb="FF000000"/>
        <rFont val="Meiryo UI"/>
        <family val="2"/>
      </rPr>
      <t>cash_registers.mac_address</t>
    </r>
  </si>
  <si>
    <r>
      <rPr>
        <sz val="11"/>
        <color rgb="FF000000"/>
        <rFont val="Meiryo UI"/>
        <family val="2"/>
      </rPr>
      <t>cash_registers.start_up_time</t>
    </r>
  </si>
  <si>
    <r>
      <rPr>
        <sz val="11"/>
        <color rgb="FF000000"/>
        <rFont val="Meiryo UI"/>
        <family val="2"/>
      </rPr>
      <t>cash_registers.morning_discount_excluded</t>
    </r>
  </si>
  <si>
    <r>
      <rPr>
        <sz val="11"/>
        <color rgb="FF000000"/>
        <rFont val="Meiryo UI"/>
        <family val="2"/>
      </rPr>
      <t>cash_registers.customer_count_excluded</t>
    </r>
  </si>
  <si>
    <r>
      <rPr>
        <sz val="11"/>
        <color rgb="FF000000"/>
        <rFont val="Meiryo UI"/>
        <family val="2"/>
      </rPr>
      <t>cash_registers.rate_customer_excluded</t>
    </r>
  </si>
  <si>
    <r>
      <rPr>
        <sz val="11"/>
        <color rgb="FF000000"/>
        <rFont val="Meiryo UI"/>
        <family val="2"/>
      </rPr>
      <t>cash_registers.attendant_monitor_excluded</t>
    </r>
  </si>
  <si>
    <r>
      <rPr>
        <sz val="11"/>
        <color rgb="FF000000"/>
        <rFont val="Meiryo UI"/>
        <family val="2"/>
      </rPr>
      <t>cash_registers.pos_model</t>
    </r>
  </si>
  <si>
    <r>
      <rPr>
        <sz val="11"/>
        <color rgb="FF000000"/>
        <rFont val="Meiryo UI"/>
        <family val="2"/>
      </rPr>
      <t>cash_registers.cash_machine_model</t>
    </r>
  </si>
  <si>
    <r>
      <rPr>
        <sz val="11"/>
        <color rgb="FF000000"/>
        <rFont val="Meiryo UI"/>
        <family val="2"/>
      </rPr>
      <t>cash_registers.scanner_model</t>
    </r>
  </si>
  <si>
    <r>
      <rPr>
        <sz val="11"/>
        <color rgb="FF000000"/>
        <rFont val="Meiryo UI"/>
        <family val="2"/>
      </rPr>
      <t>cash_registers.note_1</t>
    </r>
  </si>
  <si>
    <r>
      <rPr>
        <sz val="11"/>
        <color rgb="FF000000"/>
        <rFont val="Meiryo UI"/>
        <family val="2"/>
      </rPr>
      <t>cash_registers.note_2</t>
    </r>
  </si>
  <si>
    <r>
      <rPr>
        <sz val="11"/>
        <color rgb="FF000000"/>
        <rFont val="Meiryo UI"/>
        <family val="2"/>
      </rPr>
      <t>cash_registers.note_3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</si>
  <si>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</si>
  <si>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</si>
  <si>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70C0"/>
        <rFont val="Meiryo UI"/>
        <family val="2"/>
      </rPr>
      <t>AnhDD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</si>
  <si>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</si>
  <si>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Boolean</t>
    </r>
  </si>
  <si>
    <t>DuNT</t>
  </si>
  <si>
    <t>AnhDD</t>
  </si>
  <si>
    <t>AP8105</t>
  </si>
  <si>
    <t>POSサーバー</t>
  </si>
  <si>
    <t>詳細設計書</t>
  </si>
  <si>
    <t>API設計書</t>
  </si>
  <si>
    <t>AP7105、処理フロー：device setting、cash_changer_settingsの情報保存処理を追加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</si>
  <si>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</si>
  <si>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</si>
  <si>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</si>
  <si>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</si>
  <si>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</si>
  <si>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</si>
  <si>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</si>
  <si>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</si>
  <si>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</si>
  <si>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</si>
  <si>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</si>
  <si>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</si>
  <si>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</si>
  <si>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</si>
  <si>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</si>
  <si>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</si>
  <si>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</si>
  <si>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</si>
  <si>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</si>
  <si>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</si>
  <si>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・新規作成の場合、operation_typeを「1」として渡す。
・編集の場合、operation_type を「2」として渡す。
・削除の場合、operation_typeを「3」として渡す。
上記以外の場合、エラーメッセージ = MSG_VAL_019</t>
  </si>
  <si>
    <t>数字の4桁。満たさない場合、エラーメッセージ = MSG_VAL_019</t>
  </si>
  <si>
    <t>String</t>
  </si>
  <si>
    <r>
      <rPr>
        <sz val="11"/>
        <color rgb="FF000000"/>
        <rFont val="Meiryo UI"/>
        <family val="2"/>
      </rPr>
      <t>最大数字の4桁。満たさない場合、エラーメッセージ = MSG_VAL_019</t>
    </r>
  </si>
  <si>
    <t>type_node</t>
  </si>
  <si>
    <t>ー</t>
  </si>
  <si>
    <t>cash_registers.TypeNode</t>
  </si>
  <si>
    <t>存在チェック：CodeMaster.CodeValue = type_node（CodeMaster.CodeValueはCodeMasterテーブルから取得され、CodeMaster.MasterCode = "MC7101"）かつCodeMaster.CompanyCode = User.CompanyCode（ログインしているユーザー）</t>
  </si>
  <si>
    <t>keyboard_layout_code</t>
  </si>
  <si>
    <t>cash_registers.KeyboardLayoutCode</t>
  </si>
  <si>
    <t>存在チェック：CodeMaster.CodeValue = keyboard_layout_code（CodeMaster.CodeValueはCodeMasterテーブルから取得され、CodeMaster.MasterCode = "MC7103"）かつCodeMaster.CompanyCode = User.CompanyCode (ログインしているユーザー）</t>
  </si>
  <si>
    <t>function_layout_code</t>
  </si>
  <si>
    <t>cash_registers.FunctionLayoutCode</t>
  </si>
  <si>
    <t>存在チェック：CodeMaster.CodeValue = function_layout_code（CodeMaster.CodeValueはCodeMasterテーブルから取得され、CodeMaster.MasterCode = "MC7102"） かつ CodeMaster.CompanyCode = User.CompanyCode (ログインしているユーザー）</t>
  </si>
  <si>
    <t>receipt_message_code</t>
  </si>
  <si>
    <t>cash_registers.ReceiptMessageCode</t>
  </si>
  <si>
    <t>MessageMasterテーブルで、MessageMaster.SubType = receipt_message_code かつ、MessageMaster.CompanyCode = User.CompanyCode (ログインしているユーザー) かつMessageMaster.StoreCode = store_code の存在をチェックする。</t>
  </si>
  <si>
    <t>device_class</t>
  </si>
  <si>
    <t>Int</t>
  </si>
  <si>
    <t>cash_registers.device_class</t>
  </si>
  <si>
    <t>レジ種別
以下の値を受け取る。
1: 本番機
9: 検証機
エラーメッセージ = MSG_VAL_019</t>
  </si>
  <si>
    <t>IPアドレスの形式:ドットデシマル。例：10.2.12.124</t>
  </si>
  <si>
    <t>MACアドレスの形式:ドットデシマル。例：XX:XX:XX:XX:XX:XX</t>
  </si>
  <si>
    <t>形式: hh:mm。エラーの場合、エラーメッセージ = MSG_VAL_019</t>
  </si>
  <si>
    <r>
      <rPr>
        <sz val="11"/>
        <color rgb="FF000000"/>
        <rFont val="Meiryo UI"/>
        <family val="2"/>
      </rPr>
      <t xml:space="preserve">cash_registers.mega_discount_excluded </t>
    </r>
  </si>
  <si>
    <t>receipt_coupon_excluded</t>
  </si>
  <si>
    <t>Boolean</t>
  </si>
  <si>
    <t>cash_registers.receipt_coupon_excluded</t>
  </si>
  <si>
    <t>used_standard_price</t>
  </si>
  <si>
    <t>cash_registers.used_standard_price</t>
  </si>
  <si>
    <t>ignicaMoney_charge</t>
  </si>
  <si>
    <t>cash_registers.ignicaMoney_charge</t>
  </si>
  <si>
    <t>受信可能な値：
0: 非専用
1: 専用
エラーメッセージ = MSG_VAL_019</t>
  </si>
  <si>
    <t>max_deposit_per_trans_myqr</t>
  </si>
  <si>
    <t>cash_registers.max_deposit_per_trans_myqr</t>
  </si>
  <si>
    <t>最大値：9999、エラーの場合、メッセージMSG_VAL_002を返す。</t>
  </si>
  <si>
    <t>max_deposit_per_trans_sgc</t>
  </si>
  <si>
    <t>cash_registers.max_deposit_per_trans_sgc</t>
  </si>
  <si>
    <t>account_balance_limit</t>
  </si>
  <si>
    <t>cash_registers.account_balance_limit</t>
  </si>
  <si>
    <t>最大50桁。桁数 &gt; 50の場合、 エラーメッセージ = MSG_VAL_002</t>
  </si>
  <si>
    <t>tenant_hierarchy_code</t>
  </si>
  <si>
    <t>cash_registers.tenant_hierarchy_code</t>
  </si>
  <si>
    <r>
      <t xml:space="preserve"> type_note =05の場合、以下のように確認する。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・必須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・2桁。2桁以外の場合、エラーメッセージ = MSG_VAL_002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・以下の条件を満たすMDHierarchyMasterテーブルの存在を確認する。MDHierarchyMaster.Level = 1、MDHierarchyMaster.Code = tenant_hierarchy_code. 存在しない場合、エラーメッセージ =  MSG_VAL_039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type_noteが「5」以外の場合、tenant_hierarchy_code = nullである。null以外の場合、エラーメッセージ =  MSG_VAL_019</t>
    </r>
  </si>
  <si>
    <t>最大2000桁。桁数 &gt; 200の場合、 エラーメッセージ = MSG_VAL_002</t>
  </si>
  <si>
    <t>cash_changer_settings</t>
  </si>
  <si>
    <t>List&lt;ChangeMachineSetting&gt;</t>
  </si>
  <si>
    <t>status</t>
  </si>
  <si>
    <t>1〜8の値のみ入力可能。エラーの場合、メッセージ = MSG_VAL_019</t>
  </si>
  <si>
    <t>count_10000</t>
  </si>
  <si>
    <t>count_5000</t>
  </si>
  <si>
    <t>count_2000</t>
  </si>
  <si>
    <t>count_1000</t>
  </si>
  <si>
    <t>count_500</t>
  </si>
  <si>
    <t>count_100</t>
  </si>
  <si>
    <t>count_50</t>
  </si>
  <si>
    <t>count_10</t>
  </si>
  <si>
    <t>count_5</t>
  </si>
  <si>
    <t>count_1</t>
  </si>
  <si>
    <t>cassette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</si>
  <si>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</si>
  <si>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</si>
  <si>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</si>
  <si>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PresetMenuMasterテーブルで、PresetMenuMaster.ButtonLayoutCode = button_layout_code かつPresetMenuMaster.CompanyCode = User.CompanyCode (ログインしているユーザー) かつPresetMenuMaster.StoreCode = store_code の存在をチェックする。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</si>
</sst>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name val="Meiryo UI"/>
      <family val="2"/>
    </font>
    <font>
      <sz val="11"/>
      <color theme="5"/>
      <name val="Meiryo UI"/>
      <family val="2"/>
    </font>
    <font>
      <sz val="11"/>
      <color rgb="FF0070C0"/>
      <name val="Meiryo UI"/>
      <family val="2"/>
    </font>
    <font>
      <sz val="11"/>
      <color theme="4" tint="-0.24994659260841701"/>
      <name val="Meiryo UI"/>
      <family val="2"/>
    </font>
    <font>
      <strike/>
      <sz val="11"/>
      <color rgb="FFFF0000"/>
      <name val="Meiryo UI"/>
      <family val="2"/>
    </font>
    <font>
      <sz val="11"/>
      <color rgb="FF2E75B6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24" fillId="0" borderId="0">
      <alignment vertical="center"/>
    </xf>
    <xf numFmtId="0" fontId="6" fillId="0" borderId="0">
      <alignment vertical="center"/>
    </xf>
  </cellStyleXfs>
  <cellXfs count="337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3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4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4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4" fillId="0" borderId="16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8" xfId="0" quotePrefix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7" fillId="0" borderId="21" xfId="0" quotePrefix="1" applyFont="1" applyBorder="1" applyAlignment="1">
      <alignment horizontal="left" vertical="center"/>
    </xf>
    <xf numFmtId="0" fontId="7" fillId="0" borderId="22" xfId="0" quotePrefix="1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0" borderId="21" xfId="0" quotePrefix="1" applyFont="1" applyBorder="1" applyAlignment="1">
      <alignment horizontal="left" vertical="center" wrapText="1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indent="1"/>
    </xf>
    <xf numFmtId="0" fontId="20" fillId="0" borderId="22" xfId="0" applyFont="1" applyBorder="1" applyAlignment="1">
      <alignment horizontal="left" vertical="center" indent="1"/>
    </xf>
    <xf numFmtId="0" fontId="20" fillId="0" borderId="23" xfId="0" applyFont="1" applyBorder="1" applyAlignment="1">
      <alignment horizontal="left" vertical="center" indent="1"/>
    </xf>
    <xf numFmtId="0" fontId="21" fillId="0" borderId="21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 wrapText="1" indent="1"/>
    </xf>
    <xf numFmtId="0" fontId="20" fillId="0" borderId="22" xfId="0" applyFont="1" applyBorder="1" applyAlignment="1">
      <alignment horizontal="left" vertical="center" wrapText="1" indent="1"/>
    </xf>
    <xf numFmtId="0" fontId="20" fillId="0" borderId="23" xfId="0" applyFont="1" applyBorder="1" applyAlignment="1">
      <alignment horizontal="left" vertical="center" wrapText="1" indent="1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4" borderId="21" xfId="6" applyFont="1" applyFill="1" applyBorder="1" applyAlignment="1">
      <alignment horizontal="center" vertical="center"/>
    </xf>
    <xf numFmtId="0" fontId="25" fillId="4" borderId="22" xfId="6" applyFont="1" applyFill="1" applyBorder="1" applyAlignment="1">
      <alignment horizontal="center" vertical="center"/>
    </xf>
    <xf numFmtId="0" fontId="25" fillId="4" borderId="23" xfId="6" applyFont="1" applyFill="1" applyBorder="1" applyAlignment="1">
      <alignment horizontal="center" vertical="center"/>
    </xf>
    <xf numFmtId="0" fontId="27" fillId="0" borderId="16" xfId="6" applyFont="1" applyBorder="1" applyAlignment="1">
      <alignment horizontal="center" vertical="center"/>
    </xf>
    <xf numFmtId="0" fontId="27" fillId="0" borderId="17" xfId="6" applyFont="1" applyBorder="1" applyAlignment="1">
      <alignment horizontal="center" vertical="center"/>
    </xf>
    <xf numFmtId="0" fontId="27" fillId="0" borderId="18" xfId="6" applyFont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4" xfId="6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4" fontId="28" fillId="0" borderId="16" xfId="0" applyNumberFormat="1" applyFont="1" applyBorder="1" applyAlignment="1">
      <alignment horizontal="center" vertical="center"/>
    </xf>
    <xf numFmtId="14" fontId="28" fillId="0" borderId="17" xfId="0" applyNumberFormat="1" applyFont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0" fontId="27" fillId="0" borderId="2" xfId="6" applyFont="1" applyBorder="1" applyAlignment="1">
      <alignment horizontal="center" vertical="center"/>
    </xf>
    <xf numFmtId="0" fontId="27" fillId="0" borderId="3" xfId="6" applyFont="1" applyBorder="1" applyAlignment="1">
      <alignment horizontal="center" vertical="center"/>
    </xf>
    <xf numFmtId="0" fontId="27" fillId="0" borderId="5" xfId="6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6" fillId="4" borderId="19" xfId="0" applyFont="1" applyFill="1" applyBorder="1" applyAlignment="1">
      <alignment vertical="center"/>
    </xf>
    <xf numFmtId="0" fontId="25" fillId="4" borderId="0" xfId="0" applyFont="1" applyFill="1" applyAlignment="1">
      <alignment vertical="center"/>
    </xf>
    <xf numFmtId="0" fontId="25" fillId="4" borderId="20" xfId="0" applyFont="1" applyFill="1" applyBorder="1" applyAlignment="1">
      <alignment vertical="center"/>
    </xf>
    <xf numFmtId="0" fontId="25" fillId="4" borderId="19" xfId="0" applyFont="1" applyFill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28" fillId="0" borderId="0" xfId="0" applyFont="1"/>
    <xf numFmtId="0" fontId="28" fillId="0" borderId="0" xfId="0" applyFont="1" applyAlignment="1">
      <alignment vertical="center"/>
    </xf>
    <xf numFmtId="0" fontId="28" fillId="2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/>
    </xf>
    <xf numFmtId="0" fontId="28" fillId="0" borderId="23" xfId="0" applyFont="1" applyBorder="1" applyAlignment="1">
      <alignment horizontal="left" vertical="center"/>
    </xf>
    <xf numFmtId="0" fontId="28" fillId="0" borderId="21" xfId="0" quotePrefix="1" applyFont="1" applyBorder="1" applyAlignment="1">
      <alignment horizontal="left" vertical="center"/>
    </xf>
    <xf numFmtId="0" fontId="28" fillId="0" borderId="22" xfId="0" quotePrefix="1" applyFont="1" applyBorder="1" applyAlignment="1">
      <alignment horizontal="left" vertical="center"/>
    </xf>
    <xf numFmtId="0" fontId="28" fillId="0" borderId="23" xfId="0" quotePrefix="1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8" fillId="0" borderId="16" xfId="0" quotePrefix="1" applyFont="1" applyBorder="1" applyAlignment="1">
      <alignment horizontal="center" vertical="center"/>
    </xf>
    <xf numFmtId="0" fontId="28" fillId="0" borderId="17" xfId="0" quotePrefix="1" applyFont="1" applyBorder="1" applyAlignment="1">
      <alignment horizontal="center" vertical="center"/>
    </xf>
    <xf numFmtId="0" fontId="28" fillId="0" borderId="18" xfId="0" quotePrefix="1" applyFont="1" applyBorder="1" applyAlignment="1">
      <alignment horizontal="center" vertical="center"/>
    </xf>
    <xf numFmtId="0" fontId="28" fillId="0" borderId="16" xfId="0" quotePrefix="1" applyFont="1" applyBorder="1" applyAlignment="1">
      <alignment horizontal="left" vertical="center"/>
    </xf>
    <xf numFmtId="0" fontId="28" fillId="0" borderId="17" xfId="0" quotePrefix="1" applyFont="1" applyBorder="1" applyAlignment="1">
      <alignment horizontal="left" vertical="center"/>
    </xf>
    <xf numFmtId="0" fontId="28" fillId="0" borderId="18" xfId="0" quotePrefix="1" applyFont="1" applyBorder="1" applyAlignment="1">
      <alignment horizontal="left" vertical="center"/>
    </xf>
    <xf numFmtId="0" fontId="28" fillId="0" borderId="16" xfId="0" applyFont="1" applyBorder="1" applyAlignment="1">
      <alignment horizontal="left" vertical="top"/>
    </xf>
    <xf numFmtId="0" fontId="28" fillId="0" borderId="17" xfId="0" applyFont="1" applyBorder="1" applyAlignment="1">
      <alignment horizontal="left" vertical="top"/>
    </xf>
    <xf numFmtId="0" fontId="28" fillId="0" borderId="18" xfId="0" applyFont="1" applyBorder="1" applyAlignment="1">
      <alignment horizontal="left" vertical="top"/>
    </xf>
    <xf numFmtId="0" fontId="28" fillId="0" borderId="17" xfId="0" quotePrefix="1" applyFont="1" applyBorder="1" applyAlignment="1">
      <alignment horizontal="left" vertical="top" wrapText="1"/>
    </xf>
    <xf numFmtId="0" fontId="28" fillId="0" borderId="18" xfId="0" quotePrefix="1" applyFont="1" applyBorder="1" applyAlignment="1">
      <alignment horizontal="left" vertical="top" wrapText="1"/>
    </xf>
    <xf numFmtId="0" fontId="28" fillId="0" borderId="0" xfId="0" quotePrefix="1" applyFont="1" applyAlignment="1">
      <alignment horizontal="left" vertical="center"/>
    </xf>
    <xf numFmtId="0" fontId="28" fillId="5" borderId="21" xfId="0" applyFont="1" applyFill="1" applyBorder="1" applyAlignment="1">
      <alignment horizontal="left" vertical="center"/>
    </xf>
    <xf numFmtId="0" fontId="28" fillId="5" borderId="22" xfId="0" applyFont="1" applyFill="1" applyBorder="1" applyAlignment="1">
      <alignment horizontal="left" vertical="center"/>
    </xf>
    <xf numFmtId="0" fontId="28" fillId="5" borderId="23" xfId="0" applyFont="1" applyFill="1" applyBorder="1" applyAlignment="1">
      <alignment horizontal="left" vertical="center"/>
    </xf>
    <xf numFmtId="0" fontId="28" fillId="0" borderId="21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20" xfId="0" applyFont="1" applyBorder="1" applyAlignment="1">
      <alignment vertical="center"/>
    </xf>
    <xf numFmtId="0" fontId="28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11206</xdr:colOff>
      <xdr:row>26</xdr:row>
      <xdr:rowOff>0</xdr:rowOff>
    </xdr:from>
    <xdr:to>
      <xdr:col>62</xdr:col>
      <xdr:colOff>11206</xdr:colOff>
      <xdr:row>37</xdr:row>
      <xdr:rowOff>0</xdr:rowOff>
    </xdr:to>
    <xdr:sp macro="" textlink="" fLocksText="0">
      <xdr:nvSpPr>
        <xdr:cNvPr id="109" name="吹き出し: 線 2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9344025" y="5067300"/>
          <a:ext cx="7200900" cy="2095500"/>
        </a:xfrm>
        <a:prstGeom prst="borderCallout1">
          <a:avLst>
            <a:gd name="adj1" fmla="val 53848"/>
            <a:gd name="adj2" fmla="val -59"/>
            <a:gd name="adj3" fmla="val 54252"/>
            <a:gd name="adj4" fmla="val -958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ステップ1の結果リストにループ中のレコードが存在しているかを確認する。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1の場合、「ステップ4.レジ更新」を実行する。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 「ステップ4.レジ更新」を実行する。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3の場合、「ステップ6. レジ削除」を実行し、同時にそのレコードをステップ1の結果リストから削除する。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1の場合、「5. レジ新規作成」ステップを実行する。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2の場合、「5. レジ新規作成」ステップを実行する。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3の場合、「8. 配列の最後の要素であるかを確認する。」ステップを実行する。</a:t>
          </a:r>
        </a:p>
      </xdr:txBody>
    </xdr:sp>
    <xdr:clientData/>
  </xdr:twoCellAnchor>
  <xdr:twoCellAnchor>
    <xdr:from>
      <xdr:col>35</xdr:col>
      <xdr:colOff>22412</xdr:colOff>
      <xdr:row>37</xdr:row>
      <xdr:rowOff>179294</xdr:rowOff>
    </xdr:from>
    <xdr:to>
      <xdr:col>62</xdr:col>
      <xdr:colOff>22412</xdr:colOff>
      <xdr:row>44</xdr:row>
      <xdr:rowOff>56029</xdr:rowOff>
    </xdr:to>
    <xdr:sp macro="" textlink="" fLocksText="0">
      <xdr:nvSpPr>
        <xdr:cNvPr id="48" name="吹き出し: 線 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9353550" y="7343775"/>
          <a:ext cx="7200900" cy="1209675"/>
        </a:xfrm>
        <a:prstGeom prst="borderCallout1">
          <a:avLst>
            <a:gd name="adj1" fmla="val 50907"/>
            <a:gd name="adj2" fmla="val 647"/>
            <a:gd name="adj3" fmla="val -35540"/>
            <a:gd name="adj4" fmla="val -996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ステップ2のレジを更新する。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ステップ2のレジを新規作成し、挿入したレコードをステップ1の既存リストに追加する。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ステップ2のレジを削除する。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以下のように自動的に更新する。CashRegisterMaster.RECORD_UPDATE_DATE = 当日・CashRegisterMaster.UserUpdate ＝ログインしているユーザー</a:t>
          </a: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9</xdr:col>
      <xdr:colOff>0</xdr:colOff>
      <xdr:row>8</xdr:row>
      <xdr:rowOff>179294</xdr:rowOff>
    </xdr:to>
    <xdr:sp macro="" textlink="" fLocksText="0">
      <xdr:nvSpPr>
        <xdr:cNvPr id="2" name="Oval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3335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8</xdr:row>
      <xdr:rowOff>179294</xdr:rowOff>
    </xdr:from>
    <xdr:to>
      <xdr:col>7</xdr:col>
      <xdr:colOff>0</xdr:colOff>
      <xdr:row>11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4"/>
          <a:endCxn id="13" idx="0"/>
        </xdr:cNvCxnSpPr>
      </xdr:nvCxnSpPr>
      <xdr:spPr>
        <a:xfrm>
          <a:off x="18669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10</xdr:col>
      <xdr:colOff>0</xdr:colOff>
      <xdr:row>24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392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レジデータ配列をループする。</a:t>
          </a: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0</xdr:colOff>
      <xdr:row>20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13" idx="2"/>
          <a:endCxn id="4" idx="0"/>
        </xdr:cNvCxnSpPr>
      </xdr:nvCxnSpPr>
      <xdr:spPr>
        <a:xfrm>
          <a:off x="1866900" y="2971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15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668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存在しているレジのレコード一覧を取得する。</a:t>
          </a: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10</xdr:col>
      <xdr:colOff>0</xdr:colOff>
      <xdr:row>35</xdr:row>
      <xdr:rowOff>0</xdr:rowOff>
    </xdr:to>
    <xdr:sp macro="" textlink="" fLocksText="0">
      <xdr:nvSpPr>
        <xdr:cNvPr id="22" name="Flowchart: Decision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066800" y="5829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</a:t>
          </a:r>
        </a:p>
      </xdr:txBody>
    </xdr:sp>
    <xdr:clientData/>
  </xdr:twoCellAnchor>
  <xdr:twoCellAnchor>
    <xdr:from>
      <xdr:col>10</xdr:col>
      <xdr:colOff>0</xdr:colOff>
      <xdr:row>32</xdr:row>
      <xdr:rowOff>0</xdr:rowOff>
    </xdr:from>
    <xdr:to>
      <xdr:col>12</xdr:col>
      <xdr:colOff>0</xdr:colOff>
      <xdr:row>33</xdr:row>
      <xdr:rowOff>0</xdr:rowOff>
    </xdr:to>
    <xdr:sp macro="" textlink="" fLocksText="0">
      <xdr:nvSpPr>
        <xdr:cNvPr id="23" name="Flowchart: Process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667000" y="621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35</xdr:row>
      <xdr:rowOff>0</xdr:rowOff>
    </xdr:from>
    <xdr:to>
      <xdr:col>8</xdr:col>
      <xdr:colOff>0</xdr:colOff>
      <xdr:row>36</xdr:row>
      <xdr:rowOff>0</xdr:rowOff>
    </xdr:to>
    <xdr:sp macro="" textlink="" fLocksText="0">
      <xdr:nvSpPr>
        <xdr:cNvPr id="24" name="Flowchart: Proces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600200" y="678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12</xdr:col>
      <xdr:colOff>0</xdr:colOff>
      <xdr:row>32</xdr:row>
      <xdr:rowOff>95250</xdr:rowOff>
    </xdr:from>
    <xdr:to>
      <xdr:col>17</xdr:col>
      <xdr:colOff>1</xdr:colOff>
      <xdr:row>40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3" idx="3"/>
          <a:endCxn id="29" idx="0"/>
        </xdr:cNvCxnSpPr>
      </xdr:nvCxnSpPr>
      <xdr:spPr>
        <a:xfrm>
          <a:off x="3200400" y="6305550"/>
          <a:ext cx="1333500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0</xdr:colOff>
      <xdr:row>30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4" idx="2"/>
          <a:endCxn id="22" idx="0"/>
        </xdr:cNvCxnSpPr>
      </xdr:nvCxnSpPr>
      <xdr:spPr>
        <a:xfrm>
          <a:off x="1866900" y="468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40</xdr:row>
      <xdr:rowOff>0</xdr:rowOff>
    </xdr:from>
    <xdr:to>
      <xdr:col>20</xdr:col>
      <xdr:colOff>0</xdr:colOff>
      <xdr:row>44</xdr:row>
      <xdr:rowOff>0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37338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レジ新規作成</a:t>
          </a:r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10</xdr:col>
      <xdr:colOff>0</xdr:colOff>
      <xdr:row>44</xdr:row>
      <xdr:rowOff>0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668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4.レジ更新</a:t>
          </a: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0</xdr:colOff>
      <xdr:row>40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24" idx="2"/>
          <a:endCxn id="30" idx="0"/>
        </xdr:cNvCxnSpPr>
      </xdr:nvCxnSpPr>
      <xdr:spPr>
        <a:xfrm>
          <a:off x="1866900" y="697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44</xdr:row>
      <xdr:rowOff>0</xdr:rowOff>
    </xdr:from>
    <xdr:to>
      <xdr:col>7</xdr:col>
      <xdr:colOff>1</xdr:colOff>
      <xdr:row>48</xdr:row>
      <xdr:rowOff>0</xdr:rowOff>
    </xdr:to>
    <xdr:cxnSp macro="">
      <xdr:nvCxnSpPr>
        <xdr:cNvPr id="39" name="Connector: Elbow 8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0" idx="2"/>
          <a:endCxn id="121" idx="0"/>
        </xdr:cNvCxnSpPr>
      </xdr:nvCxnSpPr>
      <xdr:spPr>
        <a:xfrm>
          <a:off x="1866900" y="8496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104</xdr:row>
      <xdr:rowOff>0</xdr:rowOff>
    </xdr:from>
    <xdr:to>
      <xdr:col>9</xdr:col>
      <xdr:colOff>235322</xdr:colOff>
      <xdr:row>109</xdr:row>
      <xdr:rowOff>0</xdr:rowOff>
    </xdr:to>
    <xdr:sp macro="" textlink="" fLocksText="0">
      <xdr:nvSpPr>
        <xdr:cNvPr id="40" name="Flowchart: Decision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038225" y="20259675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</a:t>
          </a:r>
          <a:r>
            <a:rPr lang="en-US" sz="8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 register</a:t>
          </a:r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配列の最後の要素</a:t>
          </a:r>
        </a:p>
      </xdr:txBody>
    </xdr:sp>
    <xdr:clientData/>
  </xdr:twoCellAnchor>
  <xdr:twoCellAnchor>
    <xdr:from>
      <xdr:col>1</xdr:col>
      <xdr:colOff>235322</xdr:colOff>
      <xdr:row>106</xdr:row>
      <xdr:rowOff>0</xdr:rowOff>
    </xdr:from>
    <xdr:to>
      <xdr:col>3</xdr:col>
      <xdr:colOff>235322</xdr:colOff>
      <xdr:row>107</xdr:row>
      <xdr:rowOff>0</xdr:rowOff>
    </xdr:to>
    <xdr:sp macro="" textlink="" fLocksText="0">
      <xdr:nvSpPr>
        <xdr:cNvPr id="41" name="Flowchart: Process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504825" y="206406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109</xdr:row>
      <xdr:rowOff>0</xdr:rowOff>
    </xdr:from>
    <xdr:to>
      <xdr:col>7</xdr:col>
      <xdr:colOff>235322</xdr:colOff>
      <xdr:row>110</xdr:row>
      <xdr:rowOff>0</xdr:rowOff>
    </xdr:to>
    <xdr:sp macro="" textlink="" fLocksText="0">
      <xdr:nvSpPr>
        <xdr:cNvPr id="42" name="Flowchart: Proces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571625" y="212121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1</xdr:colOff>
      <xdr:row>44</xdr:row>
      <xdr:rowOff>1</xdr:rowOff>
    </xdr:from>
    <xdr:to>
      <xdr:col>17</xdr:col>
      <xdr:colOff>1</xdr:colOff>
      <xdr:row>48</xdr:row>
      <xdr:rowOff>1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29" idx="2"/>
          <a:endCxn id="121" idx="0"/>
        </xdr:cNvCxnSpPr>
      </xdr:nvCxnSpPr>
      <xdr:spPr>
        <a:xfrm rot="5400000">
          <a:off x="1866900" y="8496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115</xdr:row>
      <xdr:rowOff>0</xdr:rowOff>
    </xdr:from>
    <xdr:to>
      <xdr:col>8</xdr:col>
      <xdr:colOff>235323</xdr:colOff>
      <xdr:row>116</xdr:row>
      <xdr:rowOff>168088</xdr:rowOff>
    </xdr:to>
    <xdr:sp macro="" textlink="" fLocksText="0">
      <xdr:nvSpPr>
        <xdr:cNvPr id="45" name="Oval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304925" y="2235517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235323</xdr:colOff>
      <xdr:row>110</xdr:row>
      <xdr:rowOff>0</xdr:rowOff>
    </xdr:from>
    <xdr:to>
      <xdr:col>6</xdr:col>
      <xdr:colOff>235323</xdr:colOff>
      <xdr:row>115</xdr:row>
      <xdr:rowOff>0</xdr:rowOff>
    </xdr:to>
    <xdr:cxnSp macro="">
      <xdr:nvCxnSpPr>
        <xdr:cNvPr id="46" name="Connector: Elbow 8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42" idx="2"/>
          <a:endCxn id="45" idx="0"/>
        </xdr:cNvCxnSpPr>
      </xdr:nvCxnSpPr>
      <xdr:spPr>
        <a:xfrm>
          <a:off x="1838325" y="21402675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105</xdr:row>
      <xdr:rowOff>0</xdr:rowOff>
    </xdr:from>
    <xdr:to>
      <xdr:col>62</xdr:col>
      <xdr:colOff>0</xdr:colOff>
      <xdr:row>109</xdr:row>
      <xdr:rowOff>0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334500" y="20450175"/>
          <a:ext cx="7200900" cy="762000"/>
        </a:xfrm>
        <a:prstGeom prst="borderCallout1">
          <a:avLst>
            <a:gd name="adj1" fmla="val 51201"/>
            <a:gd name="adj2" fmla="val -58"/>
            <a:gd name="adj3" fmla="val 42733"/>
            <a:gd name="adj4" fmla="val -95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リクエストのレジデータ配列の最後の要素であるかを確認する。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最後の要素の場合、プログラムを終了する。</a:t>
          </a:r>
        </a:p>
      </xdr:txBody>
    </xdr:sp>
    <xdr:clientData/>
  </xdr:twoCellAnchor>
  <xdr:twoCellAnchor>
    <xdr:from>
      <xdr:col>1</xdr:col>
      <xdr:colOff>235322</xdr:colOff>
      <xdr:row>22</xdr:row>
      <xdr:rowOff>0</xdr:rowOff>
    </xdr:from>
    <xdr:to>
      <xdr:col>4</xdr:col>
      <xdr:colOff>0</xdr:colOff>
      <xdr:row>106</xdr:row>
      <xdr:rowOff>95250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41" idx="1"/>
          <a:endCxn id="4" idx="1"/>
        </xdr:cNvCxnSpPr>
      </xdr:nvCxnSpPr>
      <xdr:spPr>
        <a:xfrm rot="10800000" flipH="1">
          <a:off x="504825" y="4305300"/>
          <a:ext cx="561975" cy="16430625"/>
        </a:xfrm>
        <a:prstGeom prst="bentConnector3">
          <a:avLst>
            <a:gd name="adj1" fmla="val -485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44</xdr:row>
      <xdr:rowOff>1</xdr:rowOff>
    </xdr:from>
    <xdr:to>
      <xdr:col>29</xdr:col>
      <xdr:colOff>1</xdr:colOff>
      <xdr:row>48</xdr:row>
      <xdr:rowOff>1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>
          <a:stCxn id="120" idx="2"/>
          <a:endCxn id="121" idx="0"/>
        </xdr:cNvCxnSpPr>
      </xdr:nvCxnSpPr>
      <xdr:spPr>
        <a:xfrm rot="5400000">
          <a:off x="1866900" y="8496300"/>
          <a:ext cx="5867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40</xdr:row>
      <xdr:rowOff>0</xdr:rowOff>
    </xdr:from>
    <xdr:to>
      <xdr:col>32</xdr:col>
      <xdr:colOff>0</xdr:colOff>
      <xdr:row>44</xdr:row>
      <xdr:rowOff>0</xdr:rowOff>
    </xdr:to>
    <xdr:sp macro="" textlink="" fLocksText="0">
      <xdr:nvSpPr>
        <xdr:cNvPr id="120" name="Rectangle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69342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レジ削除</a:t>
          </a: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145" name="吹き出し: 線 2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9334500" y="4114800"/>
          <a:ext cx="7200900" cy="381000"/>
        </a:xfrm>
        <a:prstGeom prst="borderCallout1">
          <a:avLst>
            <a:gd name="adj1" fmla="val 48945"/>
            <a:gd name="adj2" fmla="val 117"/>
            <a:gd name="adj3" fmla="val 57717"/>
            <a:gd name="adj4" fmla="val -938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画面から渡されたレジ情報データ配列の各レコードをループする。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8</xdr:row>
      <xdr:rowOff>179294</xdr:rowOff>
    </xdr:from>
    <xdr:to>
      <xdr:col>62</xdr:col>
      <xdr:colOff>0</xdr:colOff>
      <xdr:row>16</xdr:row>
      <xdr:rowOff>0</xdr:rowOff>
    </xdr:to>
    <xdr:sp macro="" textlink="" fLocksText="0">
      <xdr:nvSpPr>
        <xdr:cNvPr id="155" name="吹き出し: 線 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9334500" y="1819275"/>
          <a:ext cx="7200900" cy="1343025"/>
        </a:xfrm>
        <a:prstGeom prst="borderCallout1">
          <a:avLst>
            <a:gd name="adj1" fmla="val 49926"/>
            <a:gd name="adj2" fmla="val -59"/>
            <a:gd name="adj3" fmla="val 43017"/>
            <a:gd name="adj4" fmla="val -933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CashRegisterMasterテーブルで、以下の条件を満たす既存のレジレコード一覧を取得する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CashRegisterMaster.company_code = User.CompanyCode (ログインしているアカウントが所属する会社)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CashRegisterMaster.StoreCode = request.CashRegister.store_code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CashRegisterMaster.Code = request.CashRegister.code</a:t>
          </a: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29</xdr:col>
      <xdr:colOff>1</xdr:colOff>
      <xdr:row>40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24" idx="2"/>
          <a:endCxn id="120" idx="0"/>
        </xdr:cNvCxnSpPr>
      </xdr:nvCxnSpPr>
      <xdr:spPr>
        <a:xfrm rot="16200000" flipH="1">
          <a:off x="1866900" y="6972300"/>
          <a:ext cx="5867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32</xdr:row>
      <xdr:rowOff>95250</xdr:rowOff>
    </xdr:from>
    <xdr:to>
      <xdr:col>12</xdr:col>
      <xdr:colOff>0</xdr:colOff>
      <xdr:row>104</xdr:row>
      <xdr:rowOff>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23" idx="3"/>
          <a:endCxn id="40" idx="0"/>
        </xdr:cNvCxnSpPr>
      </xdr:nvCxnSpPr>
      <xdr:spPr>
        <a:xfrm flipH="1">
          <a:off x="1838325" y="6305550"/>
          <a:ext cx="1362075" cy="13954125"/>
        </a:xfrm>
        <a:prstGeom prst="bentConnector4">
          <a:avLst>
            <a:gd name="adj1" fmla="val -424191"/>
            <a:gd name="adj2" fmla="val 9718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89647</xdr:colOff>
      <xdr:row>57</xdr:row>
      <xdr:rowOff>145677</xdr:rowOff>
    </xdr:from>
    <xdr:to>
      <xdr:col>10</xdr:col>
      <xdr:colOff>134471</xdr:colOff>
      <xdr:row>61</xdr:row>
      <xdr:rowOff>145677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85825" y="11115675"/>
          <a:ext cx="19145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7.1. 存在している</a:t>
          </a:r>
          <a:r>
            <a:rPr lang="en-US" sz="11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change_machine_setting </a:t>
          </a:r>
          <a:r>
            <a:rPr lang="en-US" sz="9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レコード一覧を取得する。</a:t>
          </a:r>
        </a:p>
      </xdr:txBody>
    </xdr:sp>
    <xdr:clientData/>
  </xdr:twoCellAnchor>
  <xdr:twoCellAnchor>
    <xdr:from>
      <xdr:col>35</xdr:col>
      <xdr:colOff>1</xdr:colOff>
      <xdr:row>66</xdr:row>
      <xdr:rowOff>134469</xdr:rowOff>
    </xdr:from>
    <xdr:to>
      <xdr:col>62</xdr:col>
      <xdr:colOff>1</xdr:colOff>
      <xdr:row>69</xdr:row>
      <xdr:rowOff>33617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12820650"/>
          <a:ext cx="7200900" cy="504825"/>
        </a:xfrm>
        <a:prstGeom prst="borderCallout1">
          <a:avLst>
            <a:gd name="adj1" fmla="val 48945"/>
            <a:gd name="adj2" fmla="val 117"/>
            <a:gd name="adj3" fmla="val -52021"/>
            <a:gd name="adj4" fmla="val -9107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7.2. 画面から渡されたlist_change_machine_settingデータ配列の各レコードをループする。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53</xdr:row>
      <xdr:rowOff>22412</xdr:rowOff>
    </xdr:from>
    <xdr:to>
      <xdr:col>61</xdr:col>
      <xdr:colOff>235323</xdr:colOff>
      <xdr:row>63</xdr:row>
      <xdr:rowOff>0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10229850"/>
          <a:ext cx="7172325" cy="1885950"/>
        </a:xfrm>
        <a:prstGeom prst="borderCallout1">
          <a:avLst>
            <a:gd name="adj1" fmla="val 49926"/>
            <a:gd name="adj2" fmla="val -59"/>
            <a:gd name="adj3" fmla="val 59382"/>
            <a:gd name="adj4" fmla="val -907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7.1. 以下の条件を満たす、cash_changer_settings ccsテーブルに存在しているmachine-settingレコード一覧を取得する。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▪ccs.company_code = User.company_code (ログイン中のアカウントユーザーが所属する会社コード)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ccs.store_code = request.CashRegister.store_code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ccs.instore_code = request.CashRegister.code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ccs.status in request.cash_changer_settings.status(cash_changer_settingsに存在するステータス一覧)</a:t>
          </a:r>
        </a:p>
      </xdr:txBody>
    </xdr:sp>
    <xdr:clientData/>
  </xdr:twoCellAnchor>
  <xdr:twoCellAnchor>
    <xdr:from>
      <xdr:col>3</xdr:col>
      <xdr:colOff>224117</xdr:colOff>
      <xdr:row>70</xdr:row>
      <xdr:rowOff>100854</xdr:rowOff>
    </xdr:from>
    <xdr:to>
      <xdr:col>9</xdr:col>
      <xdr:colOff>224117</xdr:colOff>
      <xdr:row>75</xdr:row>
      <xdr:rowOff>44823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028700" y="1359217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7.3. レコードが存在している</a:t>
          </a:r>
        </a:p>
      </xdr:txBody>
    </xdr:sp>
    <xdr:clientData/>
  </xdr:twoCellAnchor>
  <xdr:twoCellAnchor>
    <xdr:from>
      <xdr:col>9</xdr:col>
      <xdr:colOff>224117</xdr:colOff>
      <xdr:row>72</xdr:row>
      <xdr:rowOff>78441</xdr:rowOff>
    </xdr:from>
    <xdr:to>
      <xdr:col>11</xdr:col>
      <xdr:colOff>224117</xdr:colOff>
      <xdr:row>73</xdr:row>
      <xdr:rowOff>67235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628900" y="139636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224117</xdr:colOff>
      <xdr:row>75</xdr:row>
      <xdr:rowOff>44823</xdr:rowOff>
    </xdr:from>
    <xdr:to>
      <xdr:col>7</xdr:col>
      <xdr:colOff>224117</xdr:colOff>
      <xdr:row>76</xdr:row>
      <xdr:rowOff>33617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562100" y="145351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224119</xdr:colOff>
      <xdr:row>61</xdr:row>
      <xdr:rowOff>145677</xdr:rowOff>
    </xdr:from>
    <xdr:to>
      <xdr:col>6</xdr:col>
      <xdr:colOff>229722</xdr:colOff>
      <xdr:row>64</xdr:row>
      <xdr:rowOff>89646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9" idx="2"/>
          <a:endCxn id="33" idx="0"/>
        </xdr:cNvCxnSpPr>
      </xdr:nvCxnSpPr>
      <xdr:spPr>
        <a:xfrm rot="5400000">
          <a:off x="1828800" y="11877675"/>
          <a:ext cx="0" cy="5143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11206</xdr:colOff>
      <xdr:row>64</xdr:row>
      <xdr:rowOff>89646</xdr:rowOff>
    </xdr:from>
    <xdr:to>
      <xdr:col>10</xdr:col>
      <xdr:colOff>201706</xdr:colOff>
      <xdr:row>68</xdr:row>
      <xdr:rowOff>67234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09625" y="12392025"/>
          <a:ext cx="20574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7.2. list_change_machine_settingのリクエスト配列をループする。</a:t>
          </a:r>
        </a:p>
      </xdr:txBody>
    </xdr:sp>
    <xdr:clientData/>
  </xdr:twoCellAnchor>
  <xdr:twoCellAnchor>
    <xdr:from>
      <xdr:col>6</xdr:col>
      <xdr:colOff>224118</xdr:colOff>
      <xdr:row>68</xdr:row>
      <xdr:rowOff>67234</xdr:rowOff>
    </xdr:from>
    <xdr:to>
      <xdr:col>6</xdr:col>
      <xdr:colOff>224118</xdr:colOff>
      <xdr:row>70</xdr:row>
      <xdr:rowOff>100854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33" idx="2"/>
          <a:endCxn id="17" idx="0"/>
        </xdr:cNvCxnSpPr>
      </xdr:nvCxnSpPr>
      <xdr:spPr>
        <a:xfrm>
          <a:off x="1828800" y="13154025"/>
          <a:ext cx="0" cy="4381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69</xdr:row>
      <xdr:rowOff>123264</xdr:rowOff>
    </xdr:from>
    <xdr:to>
      <xdr:col>62</xdr:col>
      <xdr:colOff>0</xdr:colOff>
      <xdr:row>80</xdr:row>
      <xdr:rowOff>89646</xdr:rowOff>
    </xdr:to>
    <xdr:sp macro="" textlink="" fLocksText="0">
      <xdr:nvSpPr>
        <xdr:cNvPr id="61" name="吹き出し: 線 2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334500" y="13411200"/>
          <a:ext cx="7200900" cy="2162175"/>
        </a:xfrm>
        <a:prstGeom prst="borderCallout1">
          <a:avLst>
            <a:gd name="adj1" fmla="val 53848"/>
            <a:gd name="adj2" fmla="val -59"/>
            <a:gd name="adj3" fmla="val 21431"/>
            <a:gd name="adj4" fmla="val -983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7.3. ステップ7.1の結果リストにループ中のレコードが存在しているかを確認する。</a:t>
          </a:r>
          <a:endParaRPr lang="vi-VN" altLang="ja-JP" sz="1000" b="0" i="0" u="none" baseline="0">
            <a:solidFill>
              <a:srgbClr val="0070C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1の場合、「7.4.cash_changer_settings更新」ステップを実行する。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2の場合、「7.4.cash_changer_settings更新」ステップを実行する。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3の場合、「7.6. cash_changer_settingsテーブルのレコードを削除」ステップを実行し、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同時にステップ7.1の結果一覧のレコードを削除する。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1の場合、「7.5. cash_changer_settingsを新規作成」ステップを実行する。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2の場合、「7.5. cash_changer_settingsを新規作成」ステップを実行する。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3の場合、「7.8. 配列の最後の要素であるかを確認する。」ステップを実行する。</a:t>
          </a:r>
        </a:p>
      </xdr:txBody>
    </xdr:sp>
    <xdr:clientData/>
  </xdr:twoCellAnchor>
  <xdr:twoCellAnchor>
    <xdr:from>
      <xdr:col>14</xdr:col>
      <xdr:colOff>1</xdr:colOff>
      <xdr:row>79</xdr:row>
      <xdr:rowOff>0</xdr:rowOff>
    </xdr:from>
    <xdr:to>
      <xdr:col>20</xdr:col>
      <xdr:colOff>0</xdr:colOff>
      <xdr:row>82</xdr:row>
      <xdr:rowOff>156882</xdr:rowOff>
    </xdr:to>
    <xdr:sp macro="" textlink="" fLocksText="0">
      <xdr:nvSpPr>
        <xdr:cNvPr id="64" name="Rectangle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3733800" y="15287625"/>
          <a:ext cx="1600200" cy="7524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7.5. 釣銭機設定を新規作成</a:t>
          </a:r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10</xdr:col>
      <xdr:colOff>0</xdr:colOff>
      <xdr:row>82</xdr:row>
      <xdr:rowOff>156882</xdr:rowOff>
    </xdr:to>
    <xdr:sp macro="" textlink="" fLocksText="0">
      <xdr:nvSpPr>
        <xdr:cNvPr id="65" name="Rectangle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066800" y="15287625"/>
          <a:ext cx="1600200" cy="7524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7.4.釣銭機設定更新</a:t>
          </a:r>
        </a:p>
      </xdr:txBody>
    </xdr:sp>
    <xdr:clientData/>
  </xdr:twoCellAnchor>
  <xdr:twoCellAnchor>
    <xdr:from>
      <xdr:col>26</xdr:col>
      <xdr:colOff>0</xdr:colOff>
      <xdr:row>79</xdr:row>
      <xdr:rowOff>0</xdr:rowOff>
    </xdr:from>
    <xdr:to>
      <xdr:col>32</xdr:col>
      <xdr:colOff>0</xdr:colOff>
      <xdr:row>82</xdr:row>
      <xdr:rowOff>156882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6934200" y="15287625"/>
          <a:ext cx="1600200" cy="7524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7.6. 釣銭機設定削除</a:t>
          </a:r>
        </a:p>
      </xdr:txBody>
    </xdr:sp>
    <xdr:clientData/>
  </xdr:twoCellAnchor>
  <xdr:twoCellAnchor>
    <xdr:from>
      <xdr:col>6</xdr:col>
      <xdr:colOff>224118</xdr:colOff>
      <xdr:row>76</xdr:row>
      <xdr:rowOff>33617</xdr:rowOff>
    </xdr:from>
    <xdr:to>
      <xdr:col>7</xdr:col>
      <xdr:colOff>0</xdr:colOff>
      <xdr:row>79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19" idx="2"/>
          <a:endCxn id="65" idx="0"/>
        </xdr:cNvCxnSpPr>
      </xdr:nvCxnSpPr>
      <xdr:spPr>
        <a:xfrm>
          <a:off x="1828800" y="14725650"/>
          <a:ext cx="3810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224117</xdr:colOff>
      <xdr:row>72</xdr:row>
      <xdr:rowOff>173691</xdr:rowOff>
    </xdr:from>
    <xdr:to>
      <xdr:col>17</xdr:col>
      <xdr:colOff>1</xdr:colOff>
      <xdr:row>79</xdr:row>
      <xdr:rowOff>0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>
          <a:stCxn id="18" idx="3"/>
          <a:endCxn id="64" idx="0"/>
        </xdr:cNvCxnSpPr>
      </xdr:nvCxnSpPr>
      <xdr:spPr>
        <a:xfrm>
          <a:off x="3162300" y="14058900"/>
          <a:ext cx="1371600" cy="12287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224118</xdr:colOff>
      <xdr:row>76</xdr:row>
      <xdr:rowOff>33617</xdr:rowOff>
    </xdr:from>
    <xdr:to>
      <xdr:col>29</xdr:col>
      <xdr:colOff>1</xdr:colOff>
      <xdr:row>79</xdr:row>
      <xdr:rowOff>0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19" idx="2"/>
          <a:endCxn id="66" idx="0"/>
        </xdr:cNvCxnSpPr>
      </xdr:nvCxnSpPr>
      <xdr:spPr>
        <a:xfrm rot="16200000" flipH="1">
          <a:off x="1828800" y="14725650"/>
          <a:ext cx="59055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82</xdr:row>
      <xdr:rowOff>0</xdr:rowOff>
    </xdr:from>
    <xdr:to>
      <xdr:col>62</xdr:col>
      <xdr:colOff>0</xdr:colOff>
      <xdr:row>86</xdr:row>
      <xdr:rowOff>134471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15887700"/>
          <a:ext cx="7200900" cy="933450"/>
        </a:xfrm>
        <a:prstGeom prst="borderCallout1">
          <a:avLst>
            <a:gd name="adj1" fmla="val 50907"/>
            <a:gd name="adj2" fmla="val 647"/>
            <a:gd name="adj3" fmla="val -128397"/>
            <a:gd name="adj4" fmla="val -996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7.4. ステップ7.2の釣銭機設定を更新する。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7.5. ステップ7.2の釣銭機設定を新規作成：挿入されたレコードをステップ7.1の既存一覧を追加する。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7.6. ステップ7.2の釣銭機設定を削除する。</a:t>
          </a:r>
        </a:p>
      </xdr:txBody>
    </xdr:sp>
    <xdr:clientData/>
  </xdr:twoCellAnchor>
  <xdr:twoCellAnchor>
    <xdr:from>
      <xdr:col>7</xdr:col>
      <xdr:colOff>0</xdr:colOff>
      <xdr:row>82</xdr:row>
      <xdr:rowOff>156882</xdr:rowOff>
    </xdr:from>
    <xdr:to>
      <xdr:col>7</xdr:col>
      <xdr:colOff>0</xdr:colOff>
      <xdr:row>86</xdr:row>
      <xdr:rowOff>11206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65" idx="2"/>
          <a:endCxn id="88" idx="0"/>
        </xdr:cNvCxnSpPr>
      </xdr:nvCxnSpPr>
      <xdr:spPr>
        <a:xfrm>
          <a:off x="1866900" y="16040100"/>
          <a:ext cx="0" cy="6572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72</xdr:row>
      <xdr:rowOff>173691</xdr:rowOff>
    </xdr:from>
    <xdr:to>
      <xdr:col>11</xdr:col>
      <xdr:colOff>224117</xdr:colOff>
      <xdr:row>104</xdr:row>
      <xdr:rowOff>0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18" idx="3"/>
          <a:endCxn id="40" idx="0"/>
        </xdr:cNvCxnSpPr>
      </xdr:nvCxnSpPr>
      <xdr:spPr>
        <a:xfrm flipH="1">
          <a:off x="1838325" y="14058900"/>
          <a:ext cx="1323975" cy="6200775"/>
        </a:xfrm>
        <a:prstGeom prst="bentConnector4">
          <a:avLst>
            <a:gd name="adj1" fmla="val -411923"/>
            <a:gd name="adj2" fmla="val 9570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86</xdr:row>
      <xdr:rowOff>11206</xdr:rowOff>
    </xdr:from>
    <xdr:to>
      <xdr:col>10</xdr:col>
      <xdr:colOff>0</xdr:colOff>
      <xdr:row>90</xdr:row>
      <xdr:rowOff>156882</xdr:rowOff>
    </xdr:to>
    <xdr:sp macro="" textlink="" fLocksText="0">
      <xdr:nvSpPr>
        <xdr:cNvPr id="88" name="Flowchart: Decision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1066800" y="16697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7.7. 成功：</a:t>
          </a:r>
        </a:p>
      </xdr:txBody>
    </xdr:sp>
    <xdr:clientData/>
  </xdr:twoCellAnchor>
  <xdr:twoCellAnchor>
    <xdr:from>
      <xdr:col>10</xdr:col>
      <xdr:colOff>0</xdr:colOff>
      <xdr:row>87</xdr:row>
      <xdr:rowOff>190500</xdr:rowOff>
    </xdr:from>
    <xdr:to>
      <xdr:col>12</xdr:col>
      <xdr:colOff>0</xdr:colOff>
      <xdr:row>88</xdr:row>
      <xdr:rowOff>179294</xdr:rowOff>
    </xdr:to>
    <xdr:sp macro="" textlink="" fLocksText="0">
      <xdr:nvSpPr>
        <xdr:cNvPr id="89" name="Flowchart: Process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2667000" y="17078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90</xdr:row>
      <xdr:rowOff>156882</xdr:rowOff>
    </xdr:from>
    <xdr:to>
      <xdr:col>8</xdr:col>
      <xdr:colOff>0</xdr:colOff>
      <xdr:row>91</xdr:row>
      <xdr:rowOff>145676</xdr:rowOff>
    </xdr:to>
    <xdr:sp macro="" textlink="" fLocksText="0">
      <xdr:nvSpPr>
        <xdr:cNvPr id="90" name="Flowchart: Process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1600200" y="1764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</xdr:col>
      <xdr:colOff>33619</xdr:colOff>
      <xdr:row>94</xdr:row>
      <xdr:rowOff>22410</xdr:rowOff>
    </xdr:from>
    <xdr:to>
      <xdr:col>11</xdr:col>
      <xdr:colOff>224118</xdr:colOff>
      <xdr:row>99</xdr:row>
      <xdr:rowOff>190500</xdr:rowOff>
    </xdr:to>
    <xdr:sp macro="" textlink="" fLocksText="0">
      <xdr:nvSpPr>
        <xdr:cNvPr id="91" name="Flowchart: Decision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71500" y="18307050"/>
          <a:ext cx="2590800" cy="11715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7.8. cash_changer_settings配列の最後の要素であるかを確認する。</a:t>
          </a:r>
          <a:endParaRPr lang="en-US" sz="9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91</xdr:row>
      <xdr:rowOff>145676</xdr:rowOff>
    </xdr:from>
    <xdr:to>
      <xdr:col>7</xdr:col>
      <xdr:colOff>11207</xdr:colOff>
      <xdr:row>94</xdr:row>
      <xdr:rowOff>22410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CxnSpPr>
          <a:stCxn id="90" idx="2"/>
          <a:endCxn id="91" idx="0"/>
        </xdr:cNvCxnSpPr>
      </xdr:nvCxnSpPr>
      <xdr:spPr>
        <a:xfrm>
          <a:off x="1866900" y="17830800"/>
          <a:ext cx="9525" cy="4762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11204</xdr:colOff>
      <xdr:row>100</xdr:row>
      <xdr:rowOff>11205</xdr:rowOff>
    </xdr:from>
    <xdr:to>
      <xdr:col>8</xdr:col>
      <xdr:colOff>11204</xdr:colOff>
      <xdr:row>100</xdr:row>
      <xdr:rowOff>201705</xdr:rowOff>
    </xdr:to>
    <xdr:sp macro="" textlink="" fLocksText="0">
      <xdr:nvSpPr>
        <xdr:cNvPr id="99" name="Flowchart: Process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1609725" y="194976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100</xdr:row>
      <xdr:rowOff>201705</xdr:rowOff>
    </xdr:from>
    <xdr:to>
      <xdr:col>7</xdr:col>
      <xdr:colOff>11204</xdr:colOff>
      <xdr:row>104</xdr:row>
      <xdr:rowOff>0</xdr:rowOff>
    </xdr:to>
    <xdr:cxnSp macro="">
      <xdr:nvCxnSpPr>
        <xdr:cNvPr id="100" name="Connector: Elbow 8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>
          <a:stCxn id="99" idx="2"/>
          <a:endCxn id="40" idx="0"/>
        </xdr:cNvCxnSpPr>
      </xdr:nvCxnSpPr>
      <xdr:spPr>
        <a:xfrm flipH="1">
          <a:off x="1838325" y="19688175"/>
          <a:ext cx="3810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82</xdr:row>
      <xdr:rowOff>156881</xdr:rowOff>
    </xdr:from>
    <xdr:to>
      <xdr:col>17</xdr:col>
      <xdr:colOff>2</xdr:colOff>
      <xdr:row>86</xdr:row>
      <xdr:rowOff>11205</xdr:rowOff>
    </xdr:to>
    <xdr:cxnSp macro="">
      <xdr:nvCxnSpPr>
        <xdr:cNvPr id="108" name="Connector: Elbow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CxnSpPr>
          <a:stCxn id="64" idx="2"/>
          <a:endCxn id="88" idx="0"/>
        </xdr:cNvCxnSpPr>
      </xdr:nvCxnSpPr>
      <xdr:spPr>
        <a:xfrm rot="5400000">
          <a:off x="1866900" y="16040100"/>
          <a:ext cx="2667000" cy="6572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82</xdr:row>
      <xdr:rowOff>156881</xdr:rowOff>
    </xdr:from>
    <xdr:to>
      <xdr:col>29</xdr:col>
      <xdr:colOff>2</xdr:colOff>
      <xdr:row>86</xdr:row>
      <xdr:rowOff>11205</xdr:rowOff>
    </xdr:to>
    <xdr:cxnSp macro="">
      <xdr:nvCxnSpPr>
        <xdr:cNvPr id="112" name="Connector: Elbow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CxnSpPr>
          <a:stCxn id="66" idx="2"/>
          <a:endCxn id="88" idx="0"/>
        </xdr:cNvCxnSpPr>
      </xdr:nvCxnSpPr>
      <xdr:spPr>
        <a:xfrm rot="5400000">
          <a:off x="1866900" y="16040100"/>
          <a:ext cx="5867400" cy="6572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33617</xdr:colOff>
      <xdr:row>96</xdr:row>
      <xdr:rowOff>89647</xdr:rowOff>
    </xdr:from>
    <xdr:to>
      <xdr:col>2</xdr:col>
      <xdr:colOff>33617</xdr:colOff>
      <xdr:row>97</xdr:row>
      <xdr:rowOff>78441</xdr:rowOff>
    </xdr:to>
    <xdr:sp macro="" textlink="" fLocksText="0">
      <xdr:nvSpPr>
        <xdr:cNvPr id="115" name="Flowchart: Process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38100" y="18773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</xdr:col>
      <xdr:colOff>33618</xdr:colOff>
      <xdr:row>66</xdr:row>
      <xdr:rowOff>89646</xdr:rowOff>
    </xdr:from>
    <xdr:to>
      <xdr:col>3</xdr:col>
      <xdr:colOff>11207</xdr:colOff>
      <xdr:row>96</xdr:row>
      <xdr:rowOff>89647</xdr:rowOff>
    </xdr:to>
    <xdr:cxnSp macro="">
      <xdr:nvCxnSpPr>
        <xdr:cNvPr id="116" name="Connector: Elbow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CxnSpPr>
          <a:stCxn id="115" idx="0"/>
          <a:endCxn id="33" idx="1"/>
        </xdr:cNvCxnSpPr>
      </xdr:nvCxnSpPr>
      <xdr:spPr>
        <a:xfrm rot="5400000" flipH="1" flipV="1">
          <a:off x="304800" y="12773025"/>
          <a:ext cx="504825" cy="6000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48</xdr:row>
      <xdr:rowOff>0</xdr:rowOff>
    </xdr:from>
    <xdr:to>
      <xdr:col>10</xdr:col>
      <xdr:colOff>1</xdr:colOff>
      <xdr:row>53</xdr:row>
      <xdr:rowOff>0</xdr:rowOff>
    </xdr:to>
    <xdr:sp macro="" textlink="" fLocksText="0">
      <xdr:nvSpPr>
        <xdr:cNvPr id="121" name="Flowchart: Decision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1066800" y="925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成功：</a:t>
          </a:r>
        </a:p>
      </xdr:txBody>
    </xdr:sp>
    <xdr:clientData/>
  </xdr:twoCellAnchor>
  <xdr:twoCellAnchor>
    <xdr:from>
      <xdr:col>10</xdr:col>
      <xdr:colOff>1</xdr:colOff>
      <xdr:row>50</xdr:row>
      <xdr:rowOff>0</xdr:rowOff>
    </xdr:from>
    <xdr:to>
      <xdr:col>12</xdr:col>
      <xdr:colOff>1</xdr:colOff>
      <xdr:row>51</xdr:row>
      <xdr:rowOff>0</xdr:rowOff>
    </xdr:to>
    <xdr:sp macro="" textlink="" fLocksText="0">
      <xdr:nvSpPr>
        <xdr:cNvPr id="122" name="Flowchart: Process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2667000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53</xdr:row>
      <xdr:rowOff>0</xdr:rowOff>
    </xdr:from>
    <xdr:to>
      <xdr:col>8</xdr:col>
      <xdr:colOff>1</xdr:colOff>
      <xdr:row>54</xdr:row>
      <xdr:rowOff>0</xdr:rowOff>
    </xdr:to>
    <xdr:sp macro="" textlink="" fLocksText="0">
      <xdr:nvSpPr>
        <xdr:cNvPr id="123" name="Flowchart: Process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1600200" y="1021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229721</xdr:colOff>
      <xdr:row>54</xdr:row>
      <xdr:rowOff>0</xdr:rowOff>
    </xdr:from>
    <xdr:to>
      <xdr:col>7</xdr:col>
      <xdr:colOff>1</xdr:colOff>
      <xdr:row>57</xdr:row>
      <xdr:rowOff>145677</xdr:rowOff>
    </xdr:to>
    <xdr:cxnSp macro="">
      <xdr:nvCxnSpPr>
        <xdr:cNvPr id="130" name="Connector: Elbow 81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>
          <a:stCxn id="123" idx="2"/>
          <a:endCxn id="9" idx="0"/>
        </xdr:cNvCxnSpPr>
      </xdr:nvCxnSpPr>
      <xdr:spPr>
        <a:xfrm flipH="1">
          <a:off x="1828800" y="10401300"/>
          <a:ext cx="38100" cy="714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50</xdr:row>
      <xdr:rowOff>95250</xdr:rowOff>
    </xdr:from>
    <xdr:to>
      <xdr:col>12</xdr:col>
      <xdr:colOff>1</xdr:colOff>
      <xdr:row>115</xdr:row>
      <xdr:rowOff>0</xdr:rowOff>
    </xdr:to>
    <xdr:cxnSp macro="">
      <xdr:nvCxnSpPr>
        <xdr:cNvPr id="133" name="Connector: Elbow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CxnSpPr>
          <a:stCxn id="122" idx="3"/>
          <a:endCxn id="45" idx="0"/>
        </xdr:cNvCxnSpPr>
      </xdr:nvCxnSpPr>
      <xdr:spPr>
        <a:xfrm flipH="1">
          <a:off x="1838325" y="9734550"/>
          <a:ext cx="1362075" cy="12620625"/>
        </a:xfrm>
        <a:prstGeom prst="bentConnector4">
          <a:avLst>
            <a:gd name="adj1" fmla="val -19429"/>
            <a:gd name="adj2" fmla="val 9760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46</xdr:row>
      <xdr:rowOff>0</xdr:rowOff>
    </xdr:from>
    <xdr:to>
      <xdr:col>62</xdr:col>
      <xdr:colOff>0</xdr:colOff>
      <xdr:row>51</xdr:row>
      <xdr:rowOff>0</xdr:rowOff>
    </xdr:to>
    <xdr:sp macro="" textlink="" fLocksText="0">
      <xdr:nvSpPr>
        <xdr:cNvPr id="138" name="吹き出し: 線 2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9334500" y="8877300"/>
          <a:ext cx="7200900" cy="952500"/>
        </a:xfrm>
        <a:prstGeom prst="borderCallout1">
          <a:avLst>
            <a:gd name="adj1" fmla="val 55319"/>
            <a:gd name="adj2" fmla="val 498"/>
            <a:gd name="adj3" fmla="val 70084"/>
            <a:gd name="adj4" fmla="val -1021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レジ新規作成・編集・</a:t>
          </a: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の状態を確認する。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▪成功した場合、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[7.1</a:t>
          </a:r>
          <a:r>
            <a:rPr lang="en-US" altLang="ja-JP" sz="1000" b="0" i="0" u="none" baseline="0">
              <a:solidFill>
                <a:srgbClr val="00B0F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 </a:t>
          </a:r>
          <a:r>
            <a:rPr lang="en-US" altLang="ja-JP" sz="1000" b="0" i="0" u="none" strike="sngStrik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配列の最後の要素であるかを確認する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88</xdr:row>
      <xdr:rowOff>0</xdr:rowOff>
    </xdr:from>
    <xdr:to>
      <xdr:col>62</xdr:col>
      <xdr:colOff>0</xdr:colOff>
      <xdr:row>92</xdr:row>
      <xdr:rowOff>145676</xdr:rowOff>
    </xdr:to>
    <xdr:sp macro="" textlink="" fLocksText="0">
      <xdr:nvSpPr>
        <xdr:cNvPr id="152" name="吹き出し: 線 2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9334500" y="17087850"/>
          <a:ext cx="7200900" cy="942975"/>
        </a:xfrm>
        <a:prstGeom prst="borderCallout1">
          <a:avLst>
            <a:gd name="adj1" fmla="val 55319"/>
            <a:gd name="adj2" fmla="val 498"/>
            <a:gd name="adj3" fmla="val -16975"/>
            <a:gd name="adj4" fmla="val -10147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7.7. 釣銭機設定の新規作成・編集・削除の状態確認</a:t>
          </a:r>
          <a:endParaRPr lang="vi-VN" altLang="ja-JP" sz="1000" b="0" i="0" u="none" baseline="0">
            <a:solidFill>
              <a:srgbClr val="0070C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▪成功の場合、[7.8. 配列の最後の要素であるかを確認する]ステップを実行する。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6</xdr:col>
      <xdr:colOff>235323</xdr:colOff>
      <xdr:row>88</xdr:row>
      <xdr:rowOff>84044</xdr:rowOff>
    </xdr:from>
    <xdr:to>
      <xdr:col>12</xdr:col>
      <xdr:colOff>0</xdr:colOff>
      <xdr:row>115</xdr:row>
      <xdr:rowOff>0</xdr:rowOff>
    </xdr:to>
    <xdr:cxnSp macro="">
      <xdr:nvCxnSpPr>
        <xdr:cNvPr id="153" name="Connector: Elbow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CxnSpPr>
          <a:stCxn id="89" idx="3"/>
          <a:endCxn id="45" idx="0"/>
        </xdr:cNvCxnSpPr>
      </xdr:nvCxnSpPr>
      <xdr:spPr>
        <a:xfrm flipH="1">
          <a:off x="1838325" y="17173575"/>
          <a:ext cx="1362075" cy="5181600"/>
        </a:xfrm>
        <a:prstGeom prst="bentConnector4">
          <a:avLst>
            <a:gd name="adj1" fmla="val -88953"/>
            <a:gd name="adj2" fmla="val 8826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4"/>
      <c r="K1" s="72" t="s">
        <v>2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4"/>
      <c r="W1" s="94" t="s">
        <v>18</v>
      </c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  <c r="AP1" s="72" t="s">
        <v>3</v>
      </c>
      <c r="AQ1" s="73"/>
      <c r="AR1" s="73"/>
      <c r="AS1" s="74"/>
      <c r="AT1" s="72" t="s">
        <v>4</v>
      </c>
      <c r="AU1" s="73"/>
      <c r="AV1" s="73"/>
      <c r="AW1" s="73"/>
      <c r="AX1" s="74"/>
      <c r="AY1" s="72" t="s">
        <v>5</v>
      </c>
      <c r="AZ1" s="73"/>
      <c r="BA1" s="73"/>
      <c r="BB1" s="74"/>
      <c r="BC1" s="72" t="s">
        <v>6</v>
      </c>
      <c r="BD1" s="73"/>
      <c r="BE1" s="73"/>
      <c r="BF1" s="73"/>
      <c r="BG1" s="74"/>
      <c r="BH1" s="72" t="s">
        <v>7</v>
      </c>
      <c r="BI1" s="73"/>
      <c r="BJ1" s="73"/>
      <c r="BK1" s="74"/>
    </row>
    <row r="2" spans="1:63" ht="15" customHeight="1" x14ac:dyDescent="0.25">
      <c r="A2" s="93" t="s">
        <v>16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97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9"/>
      <c r="AP2" s="14" t="str">
        <f>改訂履歴!$H$11</f>
        <v>DuNT</v>
      </c>
      <c r="AQ2" s="13"/>
      <c r="AR2" s="13"/>
      <c r="AS2" s="12"/>
      <c r="AT2" s="87">
        <f>改訂履歴!$B$11</f>
        <v>45492</v>
      </c>
      <c r="AU2" s="88"/>
      <c r="AV2" s="88"/>
      <c r="AW2" s="88"/>
      <c r="AX2" s="89"/>
      <c r="AY2" s="14" t="str">
        <f>LOOKUP(2,1/(改訂履歴!H11:H30000&lt;&gt;""),改訂履歴!H11:H30000)</f>
        <v>AnhDD</v>
      </c>
      <c r="AZ2" s="13"/>
      <c r="BA2" s="13"/>
      <c r="BB2" s="12"/>
      <c r="BC2" s="87">
        <f>LOOKUP(2,1/(改訂履歴!B11:B30000&lt;&gt;""),改訂履歴!B11:B30000)</f>
        <v>45787</v>
      </c>
      <c r="BD2" s="88"/>
      <c r="BE2" s="88"/>
      <c r="BF2" s="88"/>
      <c r="BG2" s="89"/>
      <c r="BH2" s="81">
        <f>LOOKUP(2,1/(改訂履歴!O11:O30000&lt;&gt;""),改訂履歴!O11:O30000)</f>
        <v>0.53</v>
      </c>
      <c r="BI2" s="82"/>
      <c r="BJ2" s="82"/>
      <c r="BK2" s="83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0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2"/>
      <c r="AP3" s="8"/>
      <c r="AQ3" s="7"/>
      <c r="AR3" s="7"/>
      <c r="AS3" s="6"/>
      <c r="AT3" s="90"/>
      <c r="AU3" s="91"/>
      <c r="AV3" s="91"/>
      <c r="AW3" s="91"/>
      <c r="AX3" s="92"/>
      <c r="AY3" s="8"/>
      <c r="AZ3" s="7"/>
      <c r="BA3" s="7"/>
      <c r="BB3" s="6"/>
      <c r="BC3" s="90"/>
      <c r="BD3" s="91"/>
      <c r="BE3" s="91"/>
      <c r="BF3" s="91"/>
      <c r="BG3" s="92"/>
      <c r="BH3" s="84"/>
      <c r="BI3" s="85"/>
      <c r="BJ3" s="85"/>
      <c r="BK3" s="86"/>
    </row>
    <row r="4" spans="1:63" ht="24.95" customHeight="1" x14ac:dyDescent="0.25">
      <c r="A4" s="72" t="s">
        <v>1</v>
      </c>
      <c r="B4" s="73"/>
      <c r="C4" s="73"/>
      <c r="D4" s="73"/>
      <c r="E4" s="73"/>
      <c r="F4" s="73"/>
      <c r="G4" s="74"/>
      <c r="H4" s="77" t="s">
        <v>102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9"/>
      <c r="U4" s="72" t="s">
        <v>8</v>
      </c>
      <c r="V4" s="73"/>
      <c r="W4" s="73"/>
      <c r="X4" s="73"/>
      <c r="Y4" s="74"/>
      <c r="Z4" s="80" t="s">
        <v>17</v>
      </c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9"/>
      <c r="AP4" s="77" t="str">
        <f t="array" aca="1" ref="AP4" ca="1">RIGHT(CELL("filename",$A$1),LEN(CELL("filename",$A$1))-FIND("]",CELL("filename",$A$1)))</f>
        <v>‎表紙</v>
      </c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9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75" t="s">
        <v>45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26"/>
      <c r="BK16" s="18"/>
    </row>
    <row r="17" spans="1:63" ht="15" customHeight="1" x14ac:dyDescent="0.25">
      <c r="A17" s="15"/>
      <c r="K17" s="20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26"/>
      <c r="BK17" s="18"/>
    </row>
    <row r="18" spans="1:63" ht="15" customHeight="1" x14ac:dyDescent="0.25">
      <c r="A18" s="15"/>
      <c r="K18" s="20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26"/>
      <c r="BK18" s="18"/>
    </row>
    <row r="19" spans="1:63" ht="15" customHeight="1" x14ac:dyDescent="0.25">
      <c r="A19" s="15"/>
      <c r="K19" s="20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26"/>
      <c r="BK19" s="18"/>
    </row>
    <row r="20" spans="1:63" ht="15" customHeight="1" x14ac:dyDescent="0.25">
      <c r="A20" s="15"/>
      <c r="K20" s="20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26"/>
      <c r="BK20" s="18"/>
    </row>
    <row r="21" spans="1:63" ht="15" customHeight="1" x14ac:dyDescent="0.25">
      <c r="A21" s="15"/>
      <c r="K21" s="20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6" t="str">
        <f>K2&amp;"/"&amp;H4&amp;"/"&amp;Z4</f>
        <v>POSサーバー/AP8105/API設計書</v>
      </c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26"/>
      <c r="BK24" s="18"/>
    </row>
    <row r="25" spans="1:63" ht="15" customHeight="1" x14ac:dyDescent="0.25">
      <c r="A25" s="15"/>
      <c r="K25" s="20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26"/>
      <c r="BK25" s="18"/>
    </row>
    <row r="26" spans="1:63" ht="15" customHeight="1" x14ac:dyDescent="0.25">
      <c r="A26" s="15"/>
      <c r="K26" s="20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26"/>
      <c r="BK26" s="18"/>
    </row>
    <row r="27" spans="1:63" ht="15" customHeight="1" x14ac:dyDescent="0.25">
      <c r="A27" s="15"/>
      <c r="K27" s="20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26"/>
      <c r="BK27" s="18"/>
    </row>
    <row r="28" spans="1:63" ht="15" customHeight="1" x14ac:dyDescent="0.25">
      <c r="A28" s="15"/>
      <c r="K28" s="20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26"/>
      <c r="BK28" s="18"/>
    </row>
    <row r="29" spans="1:63" ht="15" customHeight="1" x14ac:dyDescent="0.25">
      <c r="A29" s="15"/>
      <c r="K29" s="20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26"/>
      <c r="BK29" s="18"/>
    </row>
    <row r="30" spans="1:63" ht="15" customHeight="1" x14ac:dyDescent="0.25">
      <c r="A30" s="15"/>
      <c r="K30" s="20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26"/>
      <c r="BK30" s="18"/>
    </row>
    <row r="31" spans="1:63" ht="15" customHeight="1" x14ac:dyDescent="0.25">
      <c r="A31" s="15"/>
      <c r="K31" s="20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26"/>
      <c r="BK31" s="18"/>
    </row>
    <row r="32" spans="1:63" ht="15" customHeight="1" x14ac:dyDescent="0.25">
      <c r="A32" s="15"/>
      <c r="K32" s="20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26"/>
      <c r="BK32" s="18"/>
    </row>
    <row r="33" spans="1:63" ht="15" customHeight="1" x14ac:dyDescent="0.25">
      <c r="A33" s="15"/>
      <c r="K33" s="20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26"/>
      <c r="BK33" s="18"/>
    </row>
    <row r="34" spans="1:63" ht="15" customHeight="1" x14ac:dyDescent="0.25">
      <c r="A34" s="15"/>
      <c r="K34" s="20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26"/>
      <c r="BK34" s="18"/>
    </row>
    <row r="35" spans="1:63" ht="15" customHeight="1" x14ac:dyDescent="0.25">
      <c r="A35" s="15"/>
      <c r="K35" s="20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26"/>
      <c r="BK35" s="18"/>
    </row>
    <row r="36" spans="1:63" ht="15" customHeight="1" x14ac:dyDescent="0.25">
      <c r="A36" s="15"/>
      <c r="K36" s="20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71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71"/>
      <c r="AQ45" s="2"/>
      <c r="AR45" s="1"/>
      <c r="AS45" s="1"/>
      <c r="AT45" s="1"/>
      <c r="AU45" s="71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CA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4"/>
      <c r="K1" s="72" t="s">
        <v>2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4"/>
      <c r="W1" s="162" t="s">
        <v>129</v>
      </c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  <c r="AP1" s="72" t="s">
        <v>3</v>
      </c>
      <c r="AQ1" s="73"/>
      <c r="AR1" s="73"/>
      <c r="AS1" s="74"/>
      <c r="AT1" s="72" t="s">
        <v>4</v>
      </c>
      <c r="AU1" s="73"/>
      <c r="AV1" s="73"/>
      <c r="AW1" s="73"/>
      <c r="AX1" s="74"/>
      <c r="AY1" s="72" t="s">
        <v>5</v>
      </c>
      <c r="AZ1" s="73"/>
      <c r="BA1" s="73"/>
      <c r="BB1" s="74"/>
      <c r="BC1" s="72" t="s">
        <v>6</v>
      </c>
      <c r="BD1" s="73"/>
      <c r="BE1" s="73"/>
      <c r="BF1" s="73"/>
      <c r="BG1" s="74"/>
      <c r="BH1" s="72" t="s">
        <v>7</v>
      </c>
      <c r="BI1" s="73"/>
      <c r="BJ1" s="73"/>
      <c r="BK1" s="74"/>
    </row>
    <row r="2" spans="1:63" ht="15" customHeight="1" x14ac:dyDescent="0.25">
      <c r="A2" s="14" t="s">
        <v>128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128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97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9"/>
      <c r="AP2" s="14" t="s">
        <v>125</v>
      </c>
      <c r="AQ2" s="13"/>
      <c r="AR2" s="13"/>
      <c r="AS2" s="12"/>
      <c r="AT2" s="87">
        <v>45492</v>
      </c>
      <c r="AU2" s="88"/>
      <c r="AV2" s="88"/>
      <c r="AW2" s="88"/>
      <c r="AX2" s="89"/>
      <c r="AY2" s="14" t="s">
        <v>126</v>
      </c>
      <c r="AZ2" s="13"/>
      <c r="BA2" s="13"/>
      <c r="BB2" s="12"/>
      <c r="BC2" s="87">
        <v>45787</v>
      </c>
      <c r="BD2" s="88"/>
      <c r="BE2" s="88"/>
      <c r="BF2" s="88"/>
      <c r="BG2" s="89"/>
      <c r="BH2" s="14">
        <v>0.53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0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2"/>
      <c r="AP3" s="8"/>
      <c r="AQ3" s="7"/>
      <c r="AR3" s="7"/>
      <c r="AS3" s="6"/>
      <c r="AT3" s="90"/>
      <c r="AU3" s="91"/>
      <c r="AV3" s="91"/>
      <c r="AW3" s="91"/>
      <c r="AX3" s="92"/>
      <c r="AY3" s="8"/>
      <c r="AZ3" s="7"/>
      <c r="BA3" s="7"/>
      <c r="BB3" s="6"/>
      <c r="BC3" s="90"/>
      <c r="BD3" s="91"/>
      <c r="BE3" s="91"/>
      <c r="BF3" s="91"/>
      <c r="BG3" s="92"/>
      <c r="BH3" s="8"/>
      <c r="BI3" s="7"/>
      <c r="BJ3" s="7"/>
      <c r="BK3" s="6"/>
    </row>
    <row r="4" spans="1:63" ht="24.95" customHeight="1" x14ac:dyDescent="0.25">
      <c r="A4" s="72" t="s">
        <v>1</v>
      </c>
      <c r="B4" s="73"/>
      <c r="C4" s="73"/>
      <c r="D4" s="73"/>
      <c r="E4" s="73"/>
      <c r="F4" s="73"/>
      <c r="G4" s="74"/>
      <c r="H4" s="77" t="s">
        <v>127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9"/>
      <c r="U4" s="72" t="s">
        <v>8</v>
      </c>
      <c r="V4" s="73"/>
      <c r="W4" s="73"/>
      <c r="X4" s="73"/>
      <c r="Y4" s="74"/>
      <c r="Z4" s="77" t="s">
        <v>130</v>
      </c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9"/>
      <c r="AP4" s="77" t="str">
        <f t="array" aca="1" ref="AP4" ca="1">RIGHT(CELL("filename",$A$1),LEN(CELL("filename",$A$1))-FIND("]",CELL("filename",$A$1)))</f>
        <v>改訂履歴</v>
      </c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9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61" t="s">
        <v>6</v>
      </c>
      <c r="C10" s="161"/>
      <c r="D10" s="161"/>
      <c r="E10" s="161"/>
      <c r="F10" s="161"/>
      <c r="G10" s="161"/>
      <c r="H10" s="161" t="s">
        <v>5</v>
      </c>
      <c r="I10" s="161"/>
      <c r="J10" s="161"/>
      <c r="K10" s="161"/>
      <c r="L10" s="161"/>
      <c r="M10" s="161"/>
      <c r="N10" s="161"/>
      <c r="O10" s="161" t="s">
        <v>7</v>
      </c>
      <c r="P10" s="161"/>
      <c r="Q10" s="161"/>
      <c r="R10" s="161"/>
      <c r="S10" s="161" t="s">
        <v>10</v>
      </c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 t="s">
        <v>11</v>
      </c>
      <c r="AY10" s="161"/>
      <c r="AZ10" s="161"/>
      <c r="BA10" s="161"/>
      <c r="BB10" s="161"/>
      <c r="BC10" s="161"/>
      <c r="BD10" s="161" t="s">
        <v>12</v>
      </c>
      <c r="BE10" s="161"/>
      <c r="BF10" s="161"/>
      <c r="BG10" s="161"/>
      <c r="BH10" s="161"/>
      <c r="BI10" s="161"/>
      <c r="BJ10" s="161"/>
      <c r="BK10" s="18"/>
    </row>
    <row r="11" spans="1:63" ht="15" customHeight="1" x14ac:dyDescent="0.25">
      <c r="A11" s="15"/>
      <c r="B11" s="87">
        <v>45492</v>
      </c>
      <c r="C11" s="13"/>
      <c r="D11" s="13"/>
      <c r="E11" s="13"/>
      <c r="F11" s="13"/>
      <c r="G11" s="12"/>
      <c r="H11" s="93" t="s">
        <v>120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104" t="s">
        <v>14</v>
      </c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6"/>
      <c r="AX11" s="107"/>
      <c r="AY11" s="107"/>
      <c r="AZ11" s="107"/>
      <c r="BA11" s="107"/>
      <c r="BB11" s="107"/>
      <c r="BC11" s="108"/>
      <c r="BD11" s="111"/>
      <c r="BE11" s="107"/>
      <c r="BF11" s="107"/>
      <c r="BG11" s="107"/>
      <c r="BH11" s="107"/>
      <c r="BI11" s="107"/>
      <c r="BJ11" s="108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13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5"/>
      <c r="AX12" s="109"/>
      <c r="AY12" s="109"/>
      <c r="AZ12" s="109"/>
      <c r="BA12" s="109"/>
      <c r="BB12" s="109"/>
      <c r="BC12" s="110"/>
      <c r="BD12" s="112"/>
      <c r="BE12" s="109"/>
      <c r="BF12" s="109"/>
      <c r="BG12" s="109"/>
      <c r="BH12" s="109"/>
      <c r="BI12" s="109"/>
      <c r="BJ12" s="110"/>
      <c r="BK12" s="18"/>
    </row>
    <row r="13" spans="1:63" ht="15" customHeight="1" x14ac:dyDescent="0.25">
      <c r="A13" s="15"/>
      <c r="B13" s="87">
        <v>45525</v>
      </c>
      <c r="C13" s="13"/>
      <c r="D13" s="13"/>
      <c r="E13" s="13"/>
      <c r="F13" s="13"/>
      <c r="G13" s="12"/>
      <c r="H13" s="14" t="s">
        <v>120</v>
      </c>
      <c r="I13" s="13"/>
      <c r="J13" s="13"/>
      <c r="K13" s="13"/>
      <c r="L13" s="13"/>
      <c r="M13" s="13"/>
      <c r="N13" s="12"/>
      <c r="O13" s="14">
        <v>0.2</v>
      </c>
      <c r="P13" s="13"/>
      <c r="Q13" s="13"/>
      <c r="R13" s="13"/>
      <c r="S13" s="104" t="s">
        <v>74</v>
      </c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6"/>
      <c r="AX13" s="107"/>
      <c r="AY13" s="107"/>
      <c r="AZ13" s="107"/>
      <c r="BA13" s="107"/>
      <c r="BB13" s="107"/>
      <c r="BC13" s="108"/>
      <c r="BD13" s="111"/>
      <c r="BE13" s="107"/>
      <c r="BF13" s="107"/>
      <c r="BG13" s="107"/>
      <c r="BH13" s="107"/>
      <c r="BI13" s="107"/>
      <c r="BJ13" s="108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113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5"/>
      <c r="AX14" s="109"/>
      <c r="AY14" s="109"/>
      <c r="AZ14" s="109"/>
      <c r="BA14" s="109"/>
      <c r="BB14" s="109"/>
      <c r="BC14" s="110"/>
      <c r="BD14" s="112"/>
      <c r="BE14" s="109"/>
      <c r="BF14" s="109"/>
      <c r="BG14" s="109"/>
      <c r="BH14" s="109"/>
      <c r="BI14" s="109"/>
      <c r="BJ14" s="110"/>
      <c r="BK14" s="18"/>
    </row>
    <row r="15" spans="1:63" ht="15" customHeight="1" x14ac:dyDescent="0.25">
      <c r="A15" s="15"/>
      <c r="B15" s="87">
        <v>45547</v>
      </c>
      <c r="C15" s="13"/>
      <c r="D15" s="13"/>
      <c r="E15" s="13"/>
      <c r="F15" s="13"/>
      <c r="G15" s="12"/>
      <c r="H15" s="14" t="s">
        <v>120</v>
      </c>
      <c r="I15" s="13"/>
      <c r="J15" s="13"/>
      <c r="K15" s="13"/>
      <c r="L15" s="13"/>
      <c r="M15" s="13"/>
      <c r="N15" s="12"/>
      <c r="O15" s="14">
        <v>0.3</v>
      </c>
      <c r="P15" s="13"/>
      <c r="Q15" s="13"/>
      <c r="R15" s="13"/>
      <c r="S15" s="104" t="s">
        <v>73</v>
      </c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6"/>
      <c r="AX15" s="107"/>
      <c r="AY15" s="107"/>
      <c r="AZ15" s="107"/>
      <c r="BA15" s="107"/>
      <c r="BB15" s="107"/>
      <c r="BC15" s="108"/>
      <c r="BD15" s="111"/>
      <c r="BE15" s="107"/>
      <c r="BF15" s="107"/>
      <c r="BG15" s="107"/>
      <c r="BH15" s="107"/>
      <c r="BI15" s="107"/>
      <c r="BJ15" s="108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113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5"/>
      <c r="AX16" s="109"/>
      <c r="AY16" s="109"/>
      <c r="AZ16" s="109"/>
      <c r="BA16" s="109"/>
      <c r="BB16" s="109"/>
      <c r="BC16" s="110"/>
      <c r="BD16" s="112"/>
      <c r="BE16" s="109"/>
      <c r="BF16" s="109"/>
      <c r="BG16" s="109"/>
      <c r="BH16" s="109"/>
      <c r="BI16" s="109"/>
      <c r="BJ16" s="110"/>
      <c r="BK16" s="18"/>
    </row>
    <row r="17" spans="1:79" ht="15" customHeight="1" x14ac:dyDescent="0.25">
      <c r="A17" s="15"/>
      <c r="B17" s="87">
        <v>45559</v>
      </c>
      <c r="C17" s="13"/>
      <c r="D17" s="13"/>
      <c r="E17" s="13"/>
      <c r="F17" s="13"/>
      <c r="G17" s="12"/>
      <c r="H17" s="14" t="s">
        <v>120</v>
      </c>
      <c r="I17" s="13"/>
      <c r="J17" s="13"/>
      <c r="K17" s="13"/>
      <c r="L17" s="13"/>
      <c r="M17" s="13"/>
      <c r="N17" s="12"/>
      <c r="O17" s="14">
        <v>0.31</v>
      </c>
      <c r="P17" s="13"/>
      <c r="Q17" s="13"/>
      <c r="R17" s="13"/>
      <c r="S17" s="104" t="s">
        <v>76</v>
      </c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6"/>
      <c r="AX17" s="107"/>
      <c r="AY17" s="107"/>
      <c r="AZ17" s="107"/>
      <c r="BA17" s="107"/>
      <c r="BB17" s="107"/>
      <c r="BC17" s="108"/>
      <c r="BD17" s="111"/>
      <c r="BE17" s="107"/>
      <c r="BF17" s="107"/>
      <c r="BG17" s="107"/>
      <c r="BH17" s="107"/>
      <c r="BI17" s="107"/>
      <c r="BJ17" s="108"/>
      <c r="BK17" s="18"/>
    </row>
    <row r="18" spans="1:79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113" t="s">
        <v>75</v>
      </c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5"/>
      <c r="AX18" s="109"/>
      <c r="AY18" s="109"/>
      <c r="AZ18" s="109"/>
      <c r="BA18" s="109"/>
      <c r="BB18" s="109"/>
      <c r="BC18" s="110"/>
      <c r="BD18" s="112"/>
      <c r="BE18" s="109"/>
      <c r="BF18" s="109"/>
      <c r="BG18" s="109"/>
      <c r="BH18" s="109"/>
      <c r="BI18" s="109"/>
      <c r="BJ18" s="110"/>
      <c r="BK18" s="18"/>
    </row>
    <row r="19" spans="1:79" ht="48" customHeight="1" x14ac:dyDescent="0.25">
      <c r="A19" s="15"/>
      <c r="B19" s="87">
        <v>45567</v>
      </c>
      <c r="C19" s="13"/>
      <c r="D19" s="13"/>
      <c r="E19" s="13"/>
      <c r="F19" s="13"/>
      <c r="G19" s="12"/>
      <c r="H19" s="14" t="s">
        <v>121</v>
      </c>
      <c r="I19" s="13"/>
      <c r="J19" s="13"/>
      <c r="K19" s="13"/>
      <c r="L19" s="13"/>
      <c r="M19" s="13"/>
      <c r="N19" s="12"/>
      <c r="O19" s="14">
        <v>0.4</v>
      </c>
      <c r="P19" s="13"/>
      <c r="Q19" s="13"/>
      <c r="R19" s="13"/>
      <c r="S19" s="158" t="s">
        <v>78</v>
      </c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60"/>
      <c r="AX19" s="107"/>
      <c r="AY19" s="107"/>
      <c r="AZ19" s="107"/>
      <c r="BA19" s="107"/>
      <c r="BB19" s="107"/>
      <c r="BC19" s="108"/>
      <c r="BD19" s="111"/>
      <c r="BE19" s="107"/>
      <c r="BF19" s="107"/>
      <c r="BG19" s="107"/>
      <c r="BH19" s="107"/>
      <c r="BI19" s="107"/>
      <c r="BJ19" s="108"/>
      <c r="BK19" s="18"/>
    </row>
    <row r="20" spans="1:79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13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5"/>
      <c r="AX20" s="109"/>
      <c r="AY20" s="109"/>
      <c r="AZ20" s="109"/>
      <c r="BA20" s="109"/>
      <c r="BB20" s="109"/>
      <c r="BC20" s="110"/>
      <c r="BD20" s="112"/>
      <c r="BE20" s="109"/>
      <c r="BF20" s="109"/>
      <c r="BG20" s="109"/>
      <c r="BH20" s="109"/>
      <c r="BI20" s="109"/>
      <c r="BJ20" s="110"/>
      <c r="BK20" s="18"/>
      <c r="BU20" s="103"/>
      <c r="BV20" s="103"/>
      <c r="BW20" s="103"/>
      <c r="BX20" s="103"/>
      <c r="BY20" s="103"/>
      <c r="BZ20" s="103"/>
      <c r="CA20" s="103"/>
    </row>
    <row r="21" spans="1:79" ht="15" customHeight="1" x14ac:dyDescent="0.25">
      <c r="A21" s="15"/>
      <c r="B21" s="87">
        <v>45596</v>
      </c>
      <c r="C21" s="13"/>
      <c r="D21" s="13"/>
      <c r="E21" s="13"/>
      <c r="F21" s="13"/>
      <c r="G21" s="12"/>
      <c r="H21" s="14" t="s">
        <v>81</v>
      </c>
      <c r="I21" s="13"/>
      <c r="J21" s="13"/>
      <c r="K21" s="13"/>
      <c r="L21" s="13"/>
      <c r="M21" s="13"/>
      <c r="N21" s="12"/>
      <c r="O21" s="14">
        <v>0.5</v>
      </c>
      <c r="P21" s="13"/>
      <c r="Q21" s="13"/>
      <c r="R21" s="13"/>
      <c r="S21" s="104" t="s">
        <v>82</v>
      </c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6"/>
      <c r="AX21" s="107"/>
      <c r="AY21" s="107"/>
      <c r="AZ21" s="107"/>
      <c r="BA21" s="107"/>
      <c r="BB21" s="107"/>
      <c r="BC21" s="108"/>
      <c r="BD21" s="111"/>
      <c r="BE21" s="107"/>
      <c r="BF21" s="107"/>
      <c r="BG21" s="107"/>
      <c r="BH21" s="107"/>
      <c r="BI21" s="107"/>
      <c r="BJ21" s="108"/>
      <c r="BK21" s="18"/>
      <c r="BU21" s="103"/>
      <c r="BV21" s="103"/>
      <c r="BW21" s="103"/>
      <c r="BX21" s="103"/>
      <c r="BY21" s="103"/>
      <c r="BZ21" s="103"/>
      <c r="CA21" s="103"/>
    </row>
    <row r="22" spans="1:79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55" t="s">
        <v>83</v>
      </c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7"/>
      <c r="AX22" s="109"/>
      <c r="AY22" s="109"/>
      <c r="AZ22" s="109"/>
      <c r="BA22" s="109"/>
      <c r="BB22" s="109"/>
      <c r="BC22" s="110"/>
      <c r="BD22" s="112"/>
      <c r="BE22" s="109"/>
      <c r="BF22" s="109"/>
      <c r="BG22" s="109"/>
      <c r="BH22" s="109"/>
      <c r="BI22" s="109"/>
      <c r="BJ22" s="110"/>
      <c r="BK22" s="18"/>
      <c r="BU22" s="103"/>
      <c r="BV22" s="103"/>
      <c r="BW22" s="103"/>
      <c r="BX22" s="103"/>
      <c r="BY22" s="103"/>
      <c r="BZ22" s="103"/>
      <c r="CA22" s="103"/>
    </row>
    <row r="23" spans="1:79" ht="15" customHeight="1" x14ac:dyDescent="0.25">
      <c r="A23" s="15"/>
      <c r="B23" s="87">
        <v>45614</v>
      </c>
      <c r="C23" s="13"/>
      <c r="D23" s="13"/>
      <c r="E23" s="13"/>
      <c r="F23" s="13"/>
      <c r="G23" s="12"/>
      <c r="H23" s="14" t="s">
        <v>121</v>
      </c>
      <c r="I23" s="13"/>
      <c r="J23" s="13"/>
      <c r="K23" s="13"/>
      <c r="L23" s="13"/>
      <c r="M23" s="13"/>
      <c r="N23" s="12"/>
      <c r="O23" s="14">
        <v>0.6</v>
      </c>
      <c r="P23" s="13"/>
      <c r="Q23" s="13"/>
      <c r="R23" s="13"/>
      <c r="S23" s="104" t="s">
        <v>84</v>
      </c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6"/>
      <c r="AX23" s="107"/>
      <c r="AY23" s="107"/>
      <c r="AZ23" s="107"/>
      <c r="BA23" s="107"/>
      <c r="BB23" s="107"/>
      <c r="BC23" s="108"/>
      <c r="BD23" s="111"/>
      <c r="BE23" s="107"/>
      <c r="BF23" s="107"/>
      <c r="BG23" s="107"/>
      <c r="BH23" s="107"/>
      <c r="BI23" s="107"/>
      <c r="BJ23" s="108"/>
      <c r="BK23" s="18"/>
      <c r="BU23" s="103"/>
      <c r="BV23" s="103"/>
      <c r="BW23" s="103"/>
      <c r="BX23" s="103"/>
      <c r="BY23" s="103"/>
      <c r="BZ23" s="103"/>
      <c r="CA23" s="103"/>
    </row>
    <row r="24" spans="1:79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13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5"/>
      <c r="AX24" s="109"/>
      <c r="AY24" s="109"/>
      <c r="AZ24" s="109"/>
      <c r="BA24" s="109"/>
      <c r="BB24" s="109"/>
      <c r="BC24" s="110"/>
      <c r="BD24" s="112"/>
      <c r="BE24" s="109"/>
      <c r="BF24" s="109"/>
      <c r="BG24" s="109"/>
      <c r="BH24" s="109"/>
      <c r="BI24" s="109"/>
      <c r="BJ24" s="110"/>
      <c r="BK24" s="18"/>
      <c r="BU24" s="103"/>
      <c r="BV24" s="103"/>
      <c r="BW24" s="103"/>
      <c r="BX24" s="103"/>
      <c r="BY24" s="103"/>
      <c r="BZ24" s="103"/>
      <c r="CA24" s="103"/>
    </row>
    <row r="25" spans="1:79" ht="15" customHeight="1" x14ac:dyDescent="0.25">
      <c r="A25" s="15"/>
      <c r="B25" s="142">
        <v>45705</v>
      </c>
      <c r="C25" s="143"/>
      <c r="D25" s="143"/>
      <c r="E25" s="143"/>
      <c r="F25" s="143"/>
      <c r="G25" s="144"/>
      <c r="H25" s="148" t="s">
        <v>15</v>
      </c>
      <c r="I25" s="143"/>
      <c r="J25" s="143"/>
      <c r="K25" s="143"/>
      <c r="L25" s="143"/>
      <c r="M25" s="143"/>
      <c r="N25" s="144"/>
      <c r="O25" s="148">
        <v>0.51</v>
      </c>
      <c r="P25" s="143"/>
      <c r="Q25" s="143"/>
      <c r="R25" s="143"/>
      <c r="S25" s="149" t="s">
        <v>85</v>
      </c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1"/>
      <c r="AX25" s="107"/>
      <c r="AY25" s="107"/>
      <c r="AZ25" s="107"/>
      <c r="BA25" s="107"/>
      <c r="BB25" s="107"/>
      <c r="BC25" s="108"/>
      <c r="BD25" s="111"/>
      <c r="BE25" s="107"/>
      <c r="BF25" s="107"/>
      <c r="BG25" s="107"/>
      <c r="BH25" s="107"/>
      <c r="BI25" s="107"/>
      <c r="BJ25" s="108"/>
      <c r="BK25" s="18"/>
      <c r="BU25" s="103"/>
      <c r="BV25" s="103"/>
      <c r="BW25" s="103"/>
      <c r="BX25" s="103"/>
      <c r="BY25" s="103"/>
      <c r="BZ25" s="103"/>
      <c r="CA25" s="103"/>
    </row>
    <row r="26" spans="1:79" ht="15" customHeight="1" x14ac:dyDescent="0.25">
      <c r="A26" s="15"/>
      <c r="B26" s="145"/>
      <c r="C26" s="146"/>
      <c r="D26" s="146"/>
      <c r="E26" s="146"/>
      <c r="F26" s="146"/>
      <c r="G26" s="147"/>
      <c r="H26" s="145"/>
      <c r="I26" s="146"/>
      <c r="J26" s="146"/>
      <c r="K26" s="146"/>
      <c r="L26" s="146"/>
      <c r="M26" s="146"/>
      <c r="N26" s="147"/>
      <c r="O26" s="145"/>
      <c r="P26" s="146"/>
      <c r="Q26" s="146"/>
      <c r="R26" s="146"/>
      <c r="S26" s="152" t="s">
        <v>86</v>
      </c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4"/>
      <c r="AX26" s="109"/>
      <c r="AY26" s="109"/>
      <c r="AZ26" s="109"/>
      <c r="BA26" s="109"/>
      <c r="BB26" s="109"/>
      <c r="BC26" s="110"/>
      <c r="BD26" s="112"/>
      <c r="BE26" s="109"/>
      <c r="BF26" s="109"/>
      <c r="BG26" s="109"/>
      <c r="BH26" s="109"/>
      <c r="BI26" s="109"/>
      <c r="BJ26" s="110"/>
      <c r="BK26" s="18"/>
    </row>
    <row r="27" spans="1:79" ht="15" customHeight="1" x14ac:dyDescent="0.25">
      <c r="A27" s="15"/>
      <c r="B27" s="129">
        <v>45785</v>
      </c>
      <c r="C27" s="130"/>
      <c r="D27" s="130"/>
      <c r="E27" s="130"/>
      <c r="F27" s="130"/>
      <c r="G27" s="131"/>
      <c r="H27" s="135" t="s">
        <v>122</v>
      </c>
      <c r="I27" s="130"/>
      <c r="J27" s="130"/>
      <c r="K27" s="130"/>
      <c r="L27" s="130"/>
      <c r="M27" s="130"/>
      <c r="N27" s="131"/>
      <c r="O27" s="135">
        <v>0.52</v>
      </c>
      <c r="P27" s="130"/>
      <c r="Q27" s="130"/>
      <c r="R27" s="130"/>
      <c r="S27" s="136" t="s">
        <v>131</v>
      </c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8"/>
      <c r="AX27" s="107"/>
      <c r="AY27" s="107"/>
      <c r="AZ27" s="107"/>
      <c r="BA27" s="107"/>
      <c r="BB27" s="107"/>
      <c r="BC27" s="108"/>
      <c r="BD27" s="111"/>
      <c r="BE27" s="107"/>
      <c r="BF27" s="107"/>
      <c r="BG27" s="107"/>
      <c r="BH27" s="107"/>
      <c r="BI27" s="107"/>
      <c r="BJ27" s="108"/>
      <c r="BK27" s="18"/>
    </row>
    <row r="28" spans="1:79" ht="15" customHeight="1" x14ac:dyDescent="0.25">
      <c r="A28" s="15"/>
      <c r="B28" s="132"/>
      <c r="C28" s="133"/>
      <c r="D28" s="133"/>
      <c r="E28" s="133"/>
      <c r="F28" s="133"/>
      <c r="G28" s="134"/>
      <c r="H28" s="132"/>
      <c r="I28" s="133"/>
      <c r="J28" s="133"/>
      <c r="K28" s="133"/>
      <c r="L28" s="133"/>
      <c r="M28" s="133"/>
      <c r="N28" s="134"/>
      <c r="O28" s="132"/>
      <c r="P28" s="133"/>
      <c r="Q28" s="133"/>
      <c r="R28" s="133"/>
      <c r="S28" s="139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1"/>
      <c r="AX28" s="109"/>
      <c r="AY28" s="109"/>
      <c r="AZ28" s="109"/>
      <c r="BA28" s="109"/>
      <c r="BB28" s="109"/>
      <c r="BC28" s="110"/>
      <c r="BD28" s="112"/>
      <c r="BE28" s="109"/>
      <c r="BF28" s="109"/>
      <c r="BG28" s="109"/>
      <c r="BH28" s="109"/>
      <c r="BI28" s="109"/>
      <c r="BJ28" s="110"/>
      <c r="BK28" s="18"/>
    </row>
    <row r="29" spans="1:79" ht="15" customHeight="1" x14ac:dyDescent="0.25">
      <c r="A29" s="15"/>
      <c r="B29" s="116">
        <v>45787</v>
      </c>
      <c r="C29" s="117"/>
      <c r="D29" s="117"/>
      <c r="E29" s="117"/>
      <c r="F29" s="117"/>
      <c r="G29" s="118"/>
      <c r="H29" s="122" t="s">
        <v>77</v>
      </c>
      <c r="I29" s="117"/>
      <c r="J29" s="117"/>
      <c r="K29" s="117"/>
      <c r="L29" s="117"/>
      <c r="M29" s="117"/>
      <c r="N29" s="118"/>
      <c r="O29" s="122">
        <v>0.53</v>
      </c>
      <c r="P29" s="117"/>
      <c r="Q29" s="117"/>
      <c r="R29" s="117"/>
      <c r="S29" s="123" t="s">
        <v>100</v>
      </c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5"/>
      <c r="AX29" s="107"/>
      <c r="AY29" s="107"/>
      <c r="AZ29" s="107"/>
      <c r="BA29" s="107"/>
      <c r="BB29" s="107"/>
      <c r="BC29" s="108"/>
      <c r="BD29" s="111"/>
      <c r="BE29" s="107"/>
      <c r="BF29" s="107"/>
      <c r="BG29" s="107"/>
      <c r="BH29" s="107"/>
      <c r="BI29" s="107"/>
      <c r="BJ29" s="108"/>
      <c r="BK29" s="18"/>
    </row>
    <row r="30" spans="1:79" ht="15" customHeight="1" x14ac:dyDescent="0.25">
      <c r="A30" s="15"/>
      <c r="B30" s="119"/>
      <c r="C30" s="120"/>
      <c r="D30" s="120"/>
      <c r="E30" s="120"/>
      <c r="F30" s="120"/>
      <c r="G30" s="121"/>
      <c r="H30" s="119"/>
      <c r="I30" s="120"/>
      <c r="J30" s="120"/>
      <c r="K30" s="120"/>
      <c r="L30" s="120"/>
      <c r="M30" s="120"/>
      <c r="N30" s="121"/>
      <c r="O30" s="119"/>
      <c r="P30" s="120"/>
      <c r="Q30" s="120"/>
      <c r="R30" s="120"/>
      <c r="S30" s="126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8"/>
      <c r="AX30" s="109"/>
      <c r="AY30" s="109"/>
      <c r="AZ30" s="109"/>
      <c r="BA30" s="109"/>
      <c r="BB30" s="109"/>
      <c r="BC30" s="110"/>
      <c r="BD30" s="112"/>
      <c r="BE30" s="109"/>
      <c r="BF30" s="109"/>
      <c r="BG30" s="109"/>
      <c r="BH30" s="109"/>
      <c r="BI30" s="109"/>
      <c r="BJ30" s="110"/>
      <c r="BK30" s="18"/>
    </row>
    <row r="31" spans="1:79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104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6"/>
      <c r="AX31" s="107"/>
      <c r="AY31" s="107"/>
      <c r="AZ31" s="107"/>
      <c r="BA31" s="107"/>
      <c r="BB31" s="107"/>
      <c r="BC31" s="108"/>
      <c r="BD31" s="111"/>
      <c r="BE31" s="107"/>
      <c r="BF31" s="107"/>
      <c r="BG31" s="107"/>
      <c r="BH31" s="107"/>
      <c r="BI31" s="107"/>
      <c r="BJ31" s="108"/>
      <c r="BK31" s="18"/>
    </row>
    <row r="32" spans="1:79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13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5"/>
      <c r="AX32" s="109"/>
      <c r="AY32" s="109"/>
      <c r="AZ32" s="109"/>
      <c r="BA32" s="109"/>
      <c r="BB32" s="109"/>
      <c r="BC32" s="110"/>
      <c r="BD32" s="112"/>
      <c r="BE32" s="109"/>
      <c r="BF32" s="109"/>
      <c r="BG32" s="109"/>
      <c r="BH32" s="109"/>
      <c r="BI32" s="109"/>
      <c r="BJ32" s="110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104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6"/>
      <c r="AX33" s="107"/>
      <c r="AY33" s="107"/>
      <c r="AZ33" s="107"/>
      <c r="BA33" s="107"/>
      <c r="BB33" s="107"/>
      <c r="BC33" s="108"/>
      <c r="BD33" s="111"/>
      <c r="BE33" s="107"/>
      <c r="BF33" s="107"/>
      <c r="BG33" s="107"/>
      <c r="BH33" s="107"/>
      <c r="BI33" s="107"/>
      <c r="BJ33" s="108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13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5"/>
      <c r="AX34" s="109"/>
      <c r="AY34" s="109"/>
      <c r="AZ34" s="109"/>
      <c r="BA34" s="109"/>
      <c r="BB34" s="109"/>
      <c r="BC34" s="110"/>
      <c r="BD34" s="112"/>
      <c r="BE34" s="109"/>
      <c r="BF34" s="109"/>
      <c r="BG34" s="109"/>
      <c r="BH34" s="109"/>
      <c r="BI34" s="109"/>
      <c r="BJ34" s="110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104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6"/>
      <c r="AX35" s="107"/>
      <c r="AY35" s="107"/>
      <c r="AZ35" s="107"/>
      <c r="BA35" s="107"/>
      <c r="BB35" s="107"/>
      <c r="BC35" s="108"/>
      <c r="BD35" s="111"/>
      <c r="BE35" s="107"/>
      <c r="BF35" s="107"/>
      <c r="BG35" s="107"/>
      <c r="BH35" s="107"/>
      <c r="BI35" s="107"/>
      <c r="BJ35" s="108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13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5"/>
      <c r="AX36" s="109"/>
      <c r="AY36" s="109"/>
      <c r="AZ36" s="109"/>
      <c r="BA36" s="109"/>
      <c r="BB36" s="109"/>
      <c r="BC36" s="110"/>
      <c r="BD36" s="112"/>
      <c r="BE36" s="109"/>
      <c r="BF36" s="109"/>
      <c r="BG36" s="109"/>
      <c r="BH36" s="109"/>
      <c r="BI36" s="109"/>
      <c r="BJ36" s="110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104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6"/>
      <c r="AX37" s="107"/>
      <c r="AY37" s="107"/>
      <c r="AZ37" s="107"/>
      <c r="BA37" s="107"/>
      <c r="BB37" s="107"/>
      <c r="BC37" s="108"/>
      <c r="BD37" s="111"/>
      <c r="BE37" s="107"/>
      <c r="BF37" s="107"/>
      <c r="BG37" s="107"/>
      <c r="BH37" s="107"/>
      <c r="BI37" s="107"/>
      <c r="BJ37" s="108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13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5"/>
      <c r="AX38" s="109"/>
      <c r="AY38" s="109"/>
      <c r="AZ38" s="109"/>
      <c r="BA38" s="109"/>
      <c r="BB38" s="109"/>
      <c r="BC38" s="110"/>
      <c r="BD38" s="112"/>
      <c r="BE38" s="109"/>
      <c r="BF38" s="109"/>
      <c r="BG38" s="109"/>
      <c r="BH38" s="109"/>
      <c r="BI38" s="109"/>
      <c r="BJ38" s="110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104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6"/>
      <c r="AX39" s="107"/>
      <c r="AY39" s="107"/>
      <c r="AZ39" s="107"/>
      <c r="BA39" s="107"/>
      <c r="BB39" s="107"/>
      <c r="BC39" s="108"/>
      <c r="BD39" s="111"/>
      <c r="BE39" s="107"/>
      <c r="BF39" s="107"/>
      <c r="BG39" s="107"/>
      <c r="BH39" s="107"/>
      <c r="BI39" s="107"/>
      <c r="BJ39" s="108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13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5"/>
      <c r="AX40" s="109"/>
      <c r="AY40" s="109"/>
      <c r="AZ40" s="109"/>
      <c r="BA40" s="109"/>
      <c r="BB40" s="109"/>
      <c r="BC40" s="110"/>
      <c r="BD40" s="112"/>
      <c r="BE40" s="109"/>
      <c r="BF40" s="109"/>
      <c r="BG40" s="109"/>
      <c r="BH40" s="109"/>
      <c r="BI40" s="109"/>
      <c r="BJ40" s="110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104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6"/>
      <c r="AX41" s="107"/>
      <c r="AY41" s="107"/>
      <c r="AZ41" s="107"/>
      <c r="BA41" s="107"/>
      <c r="BB41" s="107"/>
      <c r="BC41" s="108"/>
      <c r="BD41" s="111"/>
      <c r="BE41" s="107"/>
      <c r="BF41" s="107"/>
      <c r="BG41" s="107"/>
      <c r="BH41" s="107"/>
      <c r="BI41" s="107"/>
      <c r="BJ41" s="108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13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5"/>
      <c r="AX42" s="109"/>
      <c r="AY42" s="109"/>
      <c r="AZ42" s="109"/>
      <c r="BA42" s="109"/>
      <c r="BB42" s="109"/>
      <c r="BC42" s="110"/>
      <c r="BD42" s="112"/>
      <c r="BE42" s="109"/>
      <c r="BF42" s="109"/>
      <c r="BG42" s="109"/>
      <c r="BH42" s="109"/>
      <c r="BI42" s="109"/>
      <c r="BJ42" s="110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104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6"/>
      <c r="AX43" s="107"/>
      <c r="AY43" s="107"/>
      <c r="AZ43" s="107"/>
      <c r="BA43" s="107"/>
      <c r="BB43" s="107"/>
      <c r="BC43" s="108"/>
      <c r="BD43" s="111"/>
      <c r="BE43" s="107"/>
      <c r="BF43" s="107"/>
      <c r="BG43" s="107"/>
      <c r="BH43" s="107"/>
      <c r="BI43" s="107"/>
      <c r="BJ43" s="108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13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5"/>
      <c r="AX44" s="109"/>
      <c r="AY44" s="109"/>
      <c r="AZ44" s="109"/>
      <c r="BA44" s="109"/>
      <c r="BB44" s="109"/>
      <c r="BC44" s="110"/>
      <c r="BD44" s="112"/>
      <c r="BE44" s="109"/>
      <c r="BF44" s="109"/>
      <c r="BG44" s="109"/>
      <c r="BH44" s="109"/>
      <c r="BI44" s="109"/>
      <c r="BJ44" s="110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104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6"/>
      <c r="AX45" s="107"/>
      <c r="AY45" s="107"/>
      <c r="AZ45" s="107"/>
      <c r="BA45" s="107"/>
      <c r="BB45" s="107"/>
      <c r="BC45" s="108"/>
      <c r="BD45" s="111"/>
      <c r="BE45" s="107"/>
      <c r="BF45" s="107"/>
      <c r="BG45" s="107"/>
      <c r="BH45" s="107"/>
      <c r="BI45" s="107"/>
      <c r="BJ45" s="108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13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5"/>
      <c r="AX46" s="109"/>
      <c r="AY46" s="109"/>
      <c r="AZ46" s="109"/>
      <c r="BA46" s="109"/>
      <c r="BB46" s="109"/>
      <c r="BC46" s="110"/>
      <c r="BD46" s="112"/>
      <c r="BE46" s="109"/>
      <c r="BF46" s="109"/>
      <c r="BG46" s="109"/>
      <c r="BH46" s="109"/>
      <c r="BI46" s="109"/>
      <c r="BJ46" s="110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104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6"/>
      <c r="AX47" s="107"/>
      <c r="AY47" s="107"/>
      <c r="AZ47" s="107"/>
      <c r="BA47" s="107"/>
      <c r="BB47" s="107"/>
      <c r="BC47" s="108"/>
      <c r="BD47" s="111"/>
      <c r="BE47" s="107"/>
      <c r="BF47" s="107"/>
      <c r="BG47" s="107"/>
      <c r="BH47" s="107"/>
      <c r="BI47" s="107"/>
      <c r="BJ47" s="108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13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5"/>
      <c r="AX48" s="109"/>
      <c r="AY48" s="109"/>
      <c r="AZ48" s="109"/>
      <c r="BA48" s="109"/>
      <c r="BB48" s="109"/>
      <c r="BC48" s="110"/>
      <c r="BD48" s="112"/>
      <c r="BE48" s="109"/>
      <c r="BF48" s="109"/>
      <c r="BG48" s="109"/>
      <c r="BH48" s="109"/>
      <c r="BI48" s="109"/>
      <c r="BJ48" s="110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104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6"/>
      <c r="AX49" s="107"/>
      <c r="AY49" s="107"/>
      <c r="AZ49" s="107"/>
      <c r="BA49" s="107"/>
      <c r="BB49" s="107"/>
      <c r="BC49" s="108"/>
      <c r="BD49" s="111"/>
      <c r="BE49" s="107"/>
      <c r="BF49" s="107"/>
      <c r="BG49" s="107"/>
      <c r="BH49" s="107"/>
      <c r="BI49" s="107"/>
      <c r="BJ49" s="108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13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5"/>
      <c r="AX50" s="109"/>
      <c r="AY50" s="109"/>
      <c r="AZ50" s="109"/>
      <c r="BA50" s="109"/>
      <c r="BB50" s="109"/>
      <c r="BC50" s="110"/>
      <c r="BD50" s="112"/>
      <c r="BE50" s="109"/>
      <c r="BF50" s="109"/>
      <c r="BG50" s="109"/>
      <c r="BH50" s="109"/>
      <c r="BI50" s="109"/>
      <c r="BJ50" s="110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104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6"/>
      <c r="AX51" s="107"/>
      <c r="AY51" s="107"/>
      <c r="AZ51" s="107"/>
      <c r="BA51" s="107"/>
      <c r="BB51" s="107"/>
      <c r="BC51" s="108"/>
      <c r="BD51" s="111"/>
      <c r="BE51" s="107"/>
      <c r="BF51" s="107"/>
      <c r="BG51" s="107"/>
      <c r="BH51" s="107"/>
      <c r="BI51" s="107"/>
      <c r="BJ51" s="108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13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5"/>
      <c r="AX52" s="109"/>
      <c r="AY52" s="109"/>
      <c r="AZ52" s="109"/>
      <c r="BA52" s="109"/>
      <c r="BB52" s="109"/>
      <c r="BC52" s="110"/>
      <c r="BD52" s="112"/>
      <c r="BE52" s="109"/>
      <c r="BF52" s="109"/>
      <c r="BG52" s="109"/>
      <c r="BH52" s="109"/>
      <c r="BI52" s="109"/>
      <c r="BJ52" s="110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104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6"/>
      <c r="AX53" s="107"/>
      <c r="AY53" s="107"/>
      <c r="AZ53" s="107"/>
      <c r="BA53" s="107"/>
      <c r="BB53" s="107"/>
      <c r="BC53" s="108"/>
      <c r="BD53" s="111"/>
      <c r="BE53" s="107"/>
      <c r="BF53" s="107"/>
      <c r="BG53" s="107"/>
      <c r="BH53" s="107"/>
      <c r="BI53" s="107"/>
      <c r="BJ53" s="108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13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5"/>
      <c r="AX54" s="109"/>
      <c r="AY54" s="109"/>
      <c r="AZ54" s="109"/>
      <c r="BA54" s="109"/>
      <c r="BB54" s="109"/>
      <c r="BC54" s="110"/>
      <c r="BD54" s="112"/>
      <c r="BE54" s="109"/>
      <c r="BF54" s="109"/>
      <c r="BG54" s="109"/>
      <c r="BH54" s="109"/>
      <c r="BI54" s="109"/>
      <c r="BJ54" s="110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6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U20:CA20"/>
    <mergeCell ref="BU21:CA21"/>
    <mergeCell ref="BU22:CA22"/>
    <mergeCell ref="BU23:CA23"/>
    <mergeCell ref="BU24:CA24"/>
    <mergeCell ref="BU25:CA25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68" t="s">
        <v>132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133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71" t="s">
        <v>129</v>
      </c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3"/>
      <c r="AP1" s="274" t="s">
        <v>134</v>
      </c>
      <c r="AQ1" s="275"/>
      <c r="AR1" s="275"/>
      <c r="AS1" s="276"/>
      <c r="AT1" s="274" t="s">
        <v>135</v>
      </c>
      <c r="AU1" s="275"/>
      <c r="AV1" s="275"/>
      <c r="AW1" s="275"/>
      <c r="AX1" s="276"/>
      <c r="AY1" s="274" t="s">
        <v>136</v>
      </c>
      <c r="AZ1" s="275"/>
      <c r="BA1" s="275"/>
      <c r="BB1" s="276"/>
      <c r="BC1" s="274" t="s">
        <v>137</v>
      </c>
      <c r="BD1" s="275"/>
      <c r="BE1" s="275"/>
      <c r="BF1" s="275"/>
      <c r="BG1" s="276"/>
      <c r="BH1" s="274" t="s">
        <v>138</v>
      </c>
      <c r="BI1" s="275"/>
      <c r="BJ1" s="275"/>
      <c r="BK1" s="276"/>
    </row>
    <row r="2" spans="1:63" ht="15" customHeight="1" x14ac:dyDescent="0.25">
      <c r="A2" s="163" t="s">
        <v>128</v>
      </c>
      <c r="B2" s="164"/>
      <c r="C2" s="164"/>
      <c r="D2" s="164"/>
      <c r="E2" s="164"/>
      <c r="F2" s="164"/>
      <c r="G2" s="164"/>
      <c r="H2" s="164"/>
      <c r="I2" s="164"/>
      <c r="J2" s="165"/>
      <c r="K2" s="163" t="s">
        <v>128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277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9"/>
      <c r="AP2" s="280" t="s">
        <v>125</v>
      </c>
      <c r="AQ2" s="281"/>
      <c r="AR2" s="281"/>
      <c r="AS2" s="282"/>
      <c r="AT2" s="283">
        <v>45492</v>
      </c>
      <c r="AU2" s="284"/>
      <c r="AV2" s="284"/>
      <c r="AW2" s="284"/>
      <c r="AX2" s="285"/>
      <c r="AY2" s="280" t="s">
        <v>126</v>
      </c>
      <c r="AZ2" s="281"/>
      <c r="BA2" s="281"/>
      <c r="BB2" s="282"/>
      <c r="BC2" s="283">
        <v>45787</v>
      </c>
      <c r="BD2" s="284"/>
      <c r="BE2" s="284"/>
      <c r="BF2" s="284"/>
      <c r="BG2" s="285"/>
      <c r="BH2" s="280">
        <v>0.53</v>
      </c>
      <c r="BI2" s="281"/>
      <c r="BJ2" s="281"/>
      <c r="BK2" s="282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286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8"/>
      <c r="AP3" s="289"/>
      <c r="AQ3" s="290"/>
      <c r="AR3" s="290"/>
      <c r="AS3" s="291"/>
      <c r="AT3" s="292"/>
      <c r="AU3" s="293"/>
      <c r="AV3" s="293"/>
      <c r="AW3" s="293"/>
      <c r="AX3" s="294"/>
      <c r="AY3" s="289"/>
      <c r="AZ3" s="290"/>
      <c r="BA3" s="290"/>
      <c r="BB3" s="291"/>
      <c r="BC3" s="292"/>
      <c r="BD3" s="293"/>
      <c r="BE3" s="293"/>
      <c r="BF3" s="293"/>
      <c r="BG3" s="294"/>
      <c r="BH3" s="289"/>
      <c r="BI3" s="290"/>
      <c r="BJ3" s="290"/>
      <c r="BK3" s="291"/>
    </row>
    <row r="4" spans="1:63" ht="24.95" customHeight="1" x14ac:dyDescent="0.25">
      <c r="A4" s="268" t="s">
        <v>139</v>
      </c>
      <c r="B4" s="269"/>
      <c r="C4" s="269"/>
      <c r="D4" s="269"/>
      <c r="E4" s="269"/>
      <c r="F4" s="269"/>
      <c r="G4" s="270"/>
      <c r="H4" s="181" t="s">
        <v>127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268" t="s">
        <v>140</v>
      </c>
      <c r="V4" s="269"/>
      <c r="W4" s="269"/>
      <c r="X4" s="269"/>
      <c r="Y4" s="270"/>
      <c r="Z4" s="181" t="s">
        <v>130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処理フロー凡例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01" customFormat="1" ht="15" customHeight="1" x14ac:dyDescent="0.25">
      <c r="A7" s="295"/>
      <c r="B7" s="296" t="s">
        <v>141</v>
      </c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8"/>
      <c r="AF7" s="299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297"/>
      <c r="AR7" s="297"/>
      <c r="AS7" s="297"/>
      <c r="AT7" s="297"/>
      <c r="AU7" s="297"/>
      <c r="AV7" s="297"/>
      <c r="AW7" s="297"/>
      <c r="AX7" s="297"/>
      <c r="AY7" s="297"/>
      <c r="AZ7" s="297"/>
      <c r="BA7" s="297"/>
      <c r="BB7" s="297"/>
      <c r="BC7" s="297"/>
      <c r="BD7" s="297"/>
      <c r="BE7" s="297"/>
      <c r="BF7" s="297"/>
      <c r="BG7" s="297"/>
      <c r="BH7" s="297"/>
      <c r="BI7" s="298"/>
      <c r="BJ7" s="297"/>
      <c r="BK7" s="300"/>
    </row>
    <row r="8" spans="1:63" s="302" customFormat="1" ht="15" customHeight="1" x14ac:dyDescent="0.25">
      <c r="BK8" s="300"/>
    </row>
    <row r="9" spans="1:63" s="302" customFormat="1" ht="15" customHeight="1" x14ac:dyDescent="0.25">
      <c r="BK9" s="300"/>
    </row>
    <row r="10" spans="1:63" s="302" customFormat="1" ht="15" customHeight="1" x14ac:dyDescent="0.25">
      <c r="BK10" s="300"/>
    </row>
    <row r="11" spans="1:63" s="302" customFormat="1" ht="15" customHeight="1" x14ac:dyDescent="0.25">
      <c r="BK11" s="300"/>
    </row>
    <row r="12" spans="1:63" s="302" customFormat="1" ht="15" customHeight="1" x14ac:dyDescent="0.25">
      <c r="BK12" s="300"/>
    </row>
    <row r="13" spans="1:63" s="302" customFormat="1" ht="15" customHeight="1" x14ac:dyDescent="0.25">
      <c r="BK13" s="300"/>
    </row>
    <row r="14" spans="1:63" s="302" customFormat="1" ht="15" customHeight="1" x14ac:dyDescent="0.25">
      <c r="BK14" s="300"/>
    </row>
    <row r="15" spans="1:63" s="302" customFormat="1" ht="15" customHeight="1" x14ac:dyDescent="0.25">
      <c r="BK15" s="300"/>
    </row>
    <row r="16" spans="1:63" s="302" customFormat="1" ht="15" customHeight="1" x14ac:dyDescent="0.25">
      <c r="BK16" s="300"/>
    </row>
    <row r="17" spans="63:63" s="302" customFormat="1" ht="15" customHeight="1" x14ac:dyDescent="0.25">
      <c r="BK17" s="300"/>
    </row>
    <row r="18" spans="63:63" s="302" customFormat="1" ht="15" customHeight="1" x14ac:dyDescent="0.25">
      <c r="BK18" s="300"/>
    </row>
    <row r="19" spans="63:63" s="302" customFormat="1" ht="15" customHeight="1" x14ac:dyDescent="0.25">
      <c r="BK19" s="300"/>
    </row>
    <row r="20" spans="63:63" s="302" customFormat="1" ht="15" customHeight="1" x14ac:dyDescent="0.25">
      <c r="BK20" s="300"/>
    </row>
    <row r="21" spans="63:63" s="302" customFormat="1" ht="15" customHeight="1" x14ac:dyDescent="0.25">
      <c r="BK21" s="300"/>
    </row>
    <row r="22" spans="63:63" s="302" customFormat="1" ht="15" customHeight="1" x14ac:dyDescent="0.25">
      <c r="BK22" s="300"/>
    </row>
    <row r="23" spans="63:63" s="302" customFormat="1" ht="15" customHeight="1" x14ac:dyDescent="0.25">
      <c r="BK23" s="300"/>
    </row>
    <row r="24" spans="63:63" s="302" customFormat="1" ht="15" customHeight="1" x14ac:dyDescent="0.25">
      <c r="BK24" s="300"/>
    </row>
    <row r="25" spans="63:63" s="302" customFormat="1" ht="15" customHeight="1" x14ac:dyDescent="0.25">
      <c r="BK25" s="300"/>
    </row>
    <row r="26" spans="63:63" s="302" customFormat="1" ht="15" customHeight="1" x14ac:dyDescent="0.25">
      <c r="BK26" s="300"/>
    </row>
    <row r="27" spans="63:63" s="302" customFormat="1" ht="15" customHeight="1" x14ac:dyDescent="0.25">
      <c r="BK27" s="300"/>
    </row>
    <row r="28" spans="63:63" s="302" customFormat="1" ht="15" customHeight="1" x14ac:dyDescent="0.25">
      <c r="BK28" s="300"/>
    </row>
    <row r="29" spans="63:63" s="302" customFormat="1" ht="15" customHeight="1" x14ac:dyDescent="0.25">
      <c r="BK29" s="300"/>
    </row>
    <row r="30" spans="63:63" s="302" customFormat="1" ht="15" customHeight="1" x14ac:dyDescent="0.25">
      <c r="BK30" s="300"/>
    </row>
    <row r="31" spans="63:63" s="302" customFormat="1" ht="15" customHeight="1" x14ac:dyDescent="0.25">
      <c r="BK31" s="300"/>
    </row>
    <row r="32" spans="63:63" s="302" customFormat="1" ht="15" customHeight="1" x14ac:dyDescent="0.25">
      <c r="BK32" s="300"/>
    </row>
    <row r="33" spans="63:63" s="302" customFormat="1" ht="15" customHeight="1" x14ac:dyDescent="0.25">
      <c r="BK33" s="300"/>
    </row>
    <row r="34" spans="63:63" s="302" customFormat="1" ht="15" customHeight="1" x14ac:dyDescent="0.25">
      <c r="BK34" s="300"/>
    </row>
    <row r="35" spans="63:63" s="302" customFormat="1" ht="15" customHeight="1" x14ac:dyDescent="0.25">
      <c r="BK35" s="300"/>
    </row>
    <row r="36" spans="63:63" s="302" customFormat="1" ht="15" customHeight="1" x14ac:dyDescent="0.25">
      <c r="BK36" s="300"/>
    </row>
    <row r="37" spans="63:63" s="302" customFormat="1" ht="15" customHeight="1" x14ac:dyDescent="0.25">
      <c r="BK37" s="300"/>
    </row>
    <row r="38" spans="63:63" s="302" customFormat="1" ht="15" customHeight="1" x14ac:dyDescent="0.25">
      <c r="BK38" s="300"/>
    </row>
    <row r="39" spans="63:63" s="302" customFormat="1" ht="15" customHeight="1" x14ac:dyDescent="0.25">
      <c r="BK39" s="300"/>
    </row>
    <row r="40" spans="63:63" s="302" customFormat="1" ht="15" customHeight="1" x14ac:dyDescent="0.25">
      <c r="BK40" s="300"/>
    </row>
    <row r="41" spans="63:63" s="302" customFormat="1" ht="15" customHeight="1" x14ac:dyDescent="0.25">
      <c r="BK41" s="300"/>
    </row>
    <row r="42" spans="63:63" s="302" customFormat="1" ht="15" customHeight="1" x14ac:dyDescent="0.25">
      <c r="BK42" s="300"/>
    </row>
    <row r="43" spans="63:63" s="302" customFormat="1" ht="15" customHeight="1" x14ac:dyDescent="0.25">
      <c r="BK43" s="300"/>
    </row>
    <row r="44" spans="63:63" s="302" customFormat="1" ht="15" customHeight="1" x14ac:dyDescent="0.25">
      <c r="BK44" s="300"/>
    </row>
    <row r="45" spans="63:63" s="302" customFormat="1" ht="15" customHeight="1" x14ac:dyDescent="0.25">
      <c r="BK45" s="300"/>
    </row>
    <row r="46" spans="63:63" s="302" customFormat="1" ht="15" customHeight="1" x14ac:dyDescent="0.25">
      <c r="BK46" s="300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70C0"/>
    <pageSetUpPr fitToPage="1"/>
  </sheetPr>
  <dimension ref="A1:BK8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68" t="s">
        <v>132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133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71" t="s">
        <v>129</v>
      </c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3"/>
      <c r="AP1" s="274" t="s">
        <v>134</v>
      </c>
      <c r="AQ1" s="275"/>
      <c r="AR1" s="275"/>
      <c r="AS1" s="276"/>
      <c r="AT1" s="274" t="s">
        <v>135</v>
      </c>
      <c r="AU1" s="275"/>
      <c r="AV1" s="275"/>
      <c r="AW1" s="275"/>
      <c r="AX1" s="276"/>
      <c r="AY1" s="274" t="s">
        <v>136</v>
      </c>
      <c r="AZ1" s="275"/>
      <c r="BA1" s="275"/>
      <c r="BB1" s="276"/>
      <c r="BC1" s="274" t="s">
        <v>137</v>
      </c>
      <c r="BD1" s="275"/>
      <c r="BE1" s="275"/>
      <c r="BF1" s="275"/>
      <c r="BG1" s="276"/>
      <c r="BH1" s="274" t="s">
        <v>138</v>
      </c>
      <c r="BI1" s="275"/>
      <c r="BJ1" s="275"/>
      <c r="BK1" s="276"/>
    </row>
    <row r="2" spans="1:63" ht="15" customHeight="1" x14ac:dyDescent="0.25">
      <c r="A2" s="163" t="s">
        <v>128</v>
      </c>
      <c r="B2" s="164"/>
      <c r="C2" s="164"/>
      <c r="D2" s="164"/>
      <c r="E2" s="164"/>
      <c r="F2" s="164"/>
      <c r="G2" s="164"/>
      <c r="H2" s="164"/>
      <c r="I2" s="164"/>
      <c r="J2" s="165"/>
      <c r="K2" s="163" t="s">
        <v>128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277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9"/>
      <c r="AP2" s="280" t="s">
        <v>125</v>
      </c>
      <c r="AQ2" s="281"/>
      <c r="AR2" s="281"/>
      <c r="AS2" s="282"/>
      <c r="AT2" s="283">
        <v>45492</v>
      </c>
      <c r="AU2" s="284"/>
      <c r="AV2" s="284"/>
      <c r="AW2" s="284"/>
      <c r="AX2" s="285"/>
      <c r="AY2" s="280" t="s">
        <v>126</v>
      </c>
      <c r="AZ2" s="281"/>
      <c r="BA2" s="281"/>
      <c r="BB2" s="282"/>
      <c r="BC2" s="283">
        <v>45787</v>
      </c>
      <c r="BD2" s="284"/>
      <c r="BE2" s="284"/>
      <c r="BF2" s="284"/>
      <c r="BG2" s="285"/>
      <c r="BH2" s="280">
        <v>0.53</v>
      </c>
      <c r="BI2" s="281"/>
      <c r="BJ2" s="281"/>
      <c r="BK2" s="282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286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8"/>
      <c r="AP3" s="289"/>
      <c r="AQ3" s="290"/>
      <c r="AR3" s="290"/>
      <c r="AS3" s="291"/>
      <c r="AT3" s="292"/>
      <c r="AU3" s="293"/>
      <c r="AV3" s="293"/>
      <c r="AW3" s="293"/>
      <c r="AX3" s="294"/>
      <c r="AY3" s="289"/>
      <c r="AZ3" s="290"/>
      <c r="BA3" s="290"/>
      <c r="BB3" s="291"/>
      <c r="BC3" s="292"/>
      <c r="BD3" s="293"/>
      <c r="BE3" s="293"/>
      <c r="BF3" s="293"/>
      <c r="BG3" s="294"/>
      <c r="BH3" s="289"/>
      <c r="BI3" s="290"/>
      <c r="BJ3" s="290"/>
      <c r="BK3" s="291"/>
    </row>
    <row r="4" spans="1:63" ht="24.95" customHeight="1" x14ac:dyDescent="0.25">
      <c r="A4" s="268" t="s">
        <v>139</v>
      </c>
      <c r="B4" s="269"/>
      <c r="C4" s="269"/>
      <c r="D4" s="269"/>
      <c r="E4" s="269"/>
      <c r="F4" s="269"/>
      <c r="G4" s="270"/>
      <c r="H4" s="181" t="s">
        <v>127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268" t="s">
        <v>140</v>
      </c>
      <c r="V4" s="269"/>
      <c r="W4" s="269"/>
      <c r="X4" s="269"/>
      <c r="Y4" s="270"/>
      <c r="Z4" s="181" t="s">
        <v>130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AP8105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7" customFormat="1" ht="15" customHeight="1" x14ac:dyDescent="0.25">
      <c r="A7" s="42"/>
      <c r="B7" s="43" t="s">
        <v>142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303"/>
      <c r="AQ7" s="303"/>
      <c r="AR7" s="303"/>
      <c r="AS7" s="303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5"/>
      <c r="BI7" s="45"/>
      <c r="BJ7" s="45"/>
      <c r="BK7" s="46"/>
    </row>
    <row r="8" spans="1:63" s="47" customFormat="1" ht="15" customHeight="1" x14ac:dyDescent="0.25">
      <c r="A8" s="42"/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304"/>
      <c r="AQ8" s="304"/>
      <c r="AR8" s="304"/>
      <c r="AS8" s="304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50"/>
      <c r="BI8" s="50"/>
      <c r="BJ8" s="50"/>
      <c r="BK8" s="46"/>
    </row>
    <row r="9" spans="1:63" s="47" customFormat="1" ht="15" customHeight="1" x14ac:dyDescent="0.25">
      <c r="A9" s="42"/>
      <c r="B9" s="48"/>
      <c r="C9" s="49" t="s">
        <v>46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304"/>
      <c r="AQ9" s="304"/>
      <c r="AR9" s="304"/>
      <c r="AS9" s="304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50"/>
      <c r="BI9" s="50"/>
      <c r="BJ9" s="50"/>
      <c r="BK9" s="46"/>
    </row>
    <row r="10" spans="1:63" s="47" customFormat="1" ht="15" customHeight="1" x14ac:dyDescent="0.25">
      <c r="A10" s="42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304"/>
      <c r="AQ10" s="304"/>
      <c r="AR10" s="304"/>
      <c r="AS10" s="304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50"/>
      <c r="BI10" s="50"/>
      <c r="BJ10" s="50"/>
      <c r="BK10" s="46"/>
    </row>
    <row r="11" spans="1:63" s="47" customFormat="1" ht="15" customHeight="1" x14ac:dyDescent="0.25">
      <c r="A11" s="42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50"/>
      <c r="BI11" s="50"/>
      <c r="BJ11" s="50"/>
      <c r="BK11" s="46"/>
    </row>
    <row r="12" spans="1:63" s="47" customFormat="1" ht="15" customHeight="1" x14ac:dyDescent="0.25">
      <c r="A12" s="42"/>
      <c r="B12" s="51" t="s">
        <v>143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5"/>
      <c r="BI12" s="45"/>
      <c r="BJ12" s="45"/>
      <c r="BK12" s="46"/>
    </row>
    <row r="13" spans="1:63" s="47" customFormat="1" ht="15" customHeight="1" x14ac:dyDescent="0.25">
      <c r="A13" s="42"/>
      <c r="B13" s="49"/>
      <c r="C13" s="52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50"/>
      <c r="BI13" s="50"/>
      <c r="BJ13" s="50"/>
      <c r="BK13" s="46"/>
    </row>
    <row r="14" spans="1:63" s="47" customFormat="1" ht="15" customHeight="1" x14ac:dyDescent="0.25">
      <c r="A14" s="42"/>
      <c r="B14" s="49"/>
      <c r="C14" s="52" t="s">
        <v>144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46"/>
    </row>
    <row r="15" spans="1:63" s="47" customFormat="1" ht="15" customHeight="1" x14ac:dyDescent="0.25">
      <c r="A15" s="42"/>
      <c r="B15" s="49"/>
      <c r="C15" s="48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50"/>
      <c r="BI15" s="50"/>
      <c r="BJ15" s="50"/>
      <c r="BK15" s="46"/>
    </row>
    <row r="16" spans="1:63" s="47" customFormat="1" ht="15" customHeight="1" x14ac:dyDescent="0.25">
      <c r="A16" s="42"/>
      <c r="B16" s="49"/>
      <c r="C16" s="225" t="s">
        <v>28</v>
      </c>
      <c r="D16" s="227"/>
      <c r="E16" s="225" t="s">
        <v>38</v>
      </c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7"/>
      <c r="AG16" s="225" t="s">
        <v>39</v>
      </c>
      <c r="AH16" s="226"/>
      <c r="AI16" s="226"/>
      <c r="AJ16" s="226"/>
      <c r="AK16" s="226"/>
      <c r="AL16" s="226"/>
      <c r="AM16" s="226"/>
      <c r="AN16" s="226"/>
      <c r="AO16" s="226"/>
      <c r="AP16" s="227"/>
      <c r="AQ16" s="225" t="s">
        <v>40</v>
      </c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7"/>
      <c r="BK16" s="46"/>
    </row>
    <row r="17" spans="1:63" s="47" customFormat="1" ht="15" customHeight="1" x14ac:dyDescent="0.25">
      <c r="A17" s="42"/>
      <c r="B17" s="49"/>
      <c r="C17" s="194">
        <v>1</v>
      </c>
      <c r="D17" s="196"/>
      <c r="E17" s="228" t="s">
        <v>101</v>
      </c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30"/>
      <c r="AG17" s="194" t="s">
        <v>47</v>
      </c>
      <c r="AH17" s="195"/>
      <c r="AI17" s="195"/>
      <c r="AJ17" s="195"/>
      <c r="AK17" s="195"/>
      <c r="AL17" s="195"/>
      <c r="AM17" s="195"/>
      <c r="AN17" s="195"/>
      <c r="AO17" s="195"/>
      <c r="AP17" s="196"/>
      <c r="AQ17" s="231"/>
      <c r="AR17" s="232"/>
      <c r="AS17" s="232"/>
      <c r="AT17" s="232"/>
      <c r="AU17" s="232"/>
      <c r="AV17" s="232"/>
      <c r="AW17" s="232"/>
      <c r="AX17" s="232"/>
      <c r="AY17" s="232"/>
      <c r="AZ17" s="232"/>
      <c r="BA17" s="232"/>
      <c r="BB17" s="232"/>
      <c r="BC17" s="232"/>
      <c r="BD17" s="232"/>
      <c r="BE17" s="232"/>
      <c r="BF17" s="232"/>
      <c r="BG17" s="232"/>
      <c r="BH17" s="232"/>
      <c r="BI17" s="232"/>
      <c r="BJ17" s="233"/>
      <c r="BK17" s="46"/>
    </row>
    <row r="18" spans="1:63" s="47" customFormat="1" ht="15" customHeight="1" x14ac:dyDescent="0.25">
      <c r="A18" s="42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50"/>
      <c r="BI18" s="50"/>
      <c r="BJ18" s="50"/>
      <c r="BK18" s="46"/>
    </row>
    <row r="19" spans="1:63" s="47" customFormat="1" ht="15" customHeight="1" x14ac:dyDescent="0.25">
      <c r="A19" s="42"/>
      <c r="B19" s="49"/>
      <c r="C19" s="52" t="s">
        <v>145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50"/>
      <c r="BI19" s="50"/>
      <c r="BJ19" s="50"/>
      <c r="BK19" s="46"/>
    </row>
    <row r="20" spans="1:63" s="47" customFormat="1" ht="15" customHeight="1" x14ac:dyDescent="0.25">
      <c r="A20" s="42"/>
      <c r="B20" s="49"/>
      <c r="C20" s="52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50"/>
      <c r="BI20" s="50"/>
      <c r="BJ20" s="50"/>
      <c r="BK20" s="46"/>
    </row>
    <row r="21" spans="1:63" s="47" customFormat="1" ht="15" customHeight="1" x14ac:dyDescent="0.25">
      <c r="A21" s="42"/>
      <c r="B21" s="49"/>
      <c r="C21" s="220" t="s">
        <v>146</v>
      </c>
      <c r="D21" s="222"/>
      <c r="E21" s="220" t="s">
        <v>147</v>
      </c>
      <c r="F21" s="221"/>
      <c r="G21" s="221"/>
      <c r="H21" s="221"/>
      <c r="I21" s="221"/>
      <c r="J21" s="221"/>
      <c r="K21" s="222"/>
      <c r="L21" s="225" t="s">
        <v>41</v>
      </c>
      <c r="M21" s="226"/>
      <c r="N21" s="227"/>
      <c r="O21" s="225" t="s">
        <v>42</v>
      </c>
      <c r="P21" s="226"/>
      <c r="Q21" s="226"/>
      <c r="R21" s="227"/>
      <c r="S21" s="225" t="s">
        <v>43</v>
      </c>
      <c r="T21" s="226"/>
      <c r="U21" s="226"/>
      <c r="V21" s="226"/>
      <c r="W21" s="226"/>
      <c r="X21" s="226"/>
      <c r="Y21" s="227"/>
      <c r="Z21" s="220" t="s">
        <v>148</v>
      </c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2"/>
      <c r="AQ21" s="225" t="s">
        <v>40</v>
      </c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7"/>
      <c r="BK21" s="46"/>
    </row>
    <row r="22" spans="1:63" s="47" customFormat="1" ht="15" customHeight="1" x14ac:dyDescent="0.25">
      <c r="A22" s="42"/>
      <c r="B22" s="49"/>
      <c r="C22" s="194">
        <v>1</v>
      </c>
      <c r="D22" s="196"/>
      <c r="E22" s="305" t="s">
        <v>19</v>
      </c>
      <c r="F22" s="306"/>
      <c r="G22" s="306"/>
      <c r="H22" s="306"/>
      <c r="I22" s="306"/>
      <c r="J22" s="306"/>
      <c r="K22" s="307"/>
      <c r="L22" s="197" t="s">
        <v>20</v>
      </c>
      <c r="M22" s="198"/>
      <c r="N22" s="199"/>
      <c r="O22" s="194" t="s">
        <v>21</v>
      </c>
      <c r="P22" s="195"/>
      <c r="Q22" s="195"/>
      <c r="R22" s="196"/>
      <c r="S22" s="194" t="s">
        <v>22</v>
      </c>
      <c r="T22" s="195"/>
      <c r="U22" s="195"/>
      <c r="V22" s="195"/>
      <c r="W22" s="195"/>
      <c r="X22" s="195"/>
      <c r="Y22" s="196"/>
      <c r="Z22" s="305" t="s">
        <v>23</v>
      </c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7"/>
      <c r="AQ22" s="308" t="s">
        <v>149</v>
      </c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  <c r="BK22" s="46"/>
    </row>
    <row r="23" spans="1:63" s="47" customFormat="1" ht="15" customHeight="1" x14ac:dyDescent="0.25">
      <c r="A23" s="42"/>
      <c r="B23" s="49"/>
      <c r="C23" s="194">
        <v>2</v>
      </c>
      <c r="D23" s="196"/>
      <c r="E23" s="305" t="s">
        <v>24</v>
      </c>
      <c r="F23" s="306"/>
      <c r="G23" s="306"/>
      <c r="H23" s="306"/>
      <c r="I23" s="306"/>
      <c r="J23" s="306"/>
      <c r="K23" s="307"/>
      <c r="L23" s="197" t="s">
        <v>22</v>
      </c>
      <c r="M23" s="198"/>
      <c r="N23" s="199"/>
      <c r="O23" s="194" t="s">
        <v>21</v>
      </c>
      <c r="P23" s="195"/>
      <c r="Q23" s="195"/>
      <c r="R23" s="196"/>
      <c r="S23" s="194" t="s">
        <v>22</v>
      </c>
      <c r="T23" s="195"/>
      <c r="U23" s="195"/>
      <c r="V23" s="195"/>
      <c r="W23" s="195"/>
      <c r="X23" s="195"/>
      <c r="Y23" s="196"/>
      <c r="Z23" s="305" t="s">
        <v>24</v>
      </c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7"/>
      <c r="AQ23" s="308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  <c r="BK23" s="46"/>
    </row>
    <row r="24" spans="1:63" s="47" customFormat="1" ht="15" customHeight="1" x14ac:dyDescent="0.25">
      <c r="A24" s="42"/>
      <c r="B24" s="49"/>
      <c r="C24" s="218">
        <v>3</v>
      </c>
      <c r="D24" s="219"/>
      <c r="E24" s="311" t="s">
        <v>25</v>
      </c>
      <c r="F24" s="312"/>
      <c r="G24" s="312"/>
      <c r="H24" s="312"/>
      <c r="I24" s="312"/>
      <c r="J24" s="312"/>
      <c r="K24" s="313"/>
      <c r="L24" s="314" t="s">
        <v>20</v>
      </c>
      <c r="M24" s="315"/>
      <c r="N24" s="316"/>
      <c r="O24" s="317" t="s">
        <v>21</v>
      </c>
      <c r="P24" s="318"/>
      <c r="Q24" s="318"/>
      <c r="R24" s="319"/>
      <c r="S24" s="317" t="s">
        <v>48</v>
      </c>
      <c r="T24" s="318"/>
      <c r="U24" s="318"/>
      <c r="V24" s="318"/>
      <c r="W24" s="318"/>
      <c r="X24" s="318"/>
      <c r="Y24" s="319"/>
      <c r="Z24" s="320" t="s">
        <v>48</v>
      </c>
      <c r="AA24" s="321"/>
      <c r="AB24" s="321"/>
      <c r="AC24" s="321"/>
      <c r="AD24" s="321"/>
      <c r="AE24" s="321"/>
      <c r="AF24" s="321"/>
      <c r="AG24" s="321"/>
      <c r="AH24" s="321"/>
      <c r="AI24" s="321"/>
      <c r="AJ24" s="321"/>
      <c r="AK24" s="321"/>
      <c r="AL24" s="321"/>
      <c r="AM24" s="321"/>
      <c r="AN24" s="321"/>
      <c r="AO24" s="321"/>
      <c r="AP24" s="322"/>
      <c r="AQ24" s="323"/>
      <c r="AR24" s="323"/>
      <c r="AS24" s="323"/>
      <c r="AT24" s="323"/>
      <c r="AU24" s="323"/>
      <c r="AV24" s="323"/>
      <c r="AW24" s="323"/>
      <c r="AX24" s="323"/>
      <c r="AY24" s="323"/>
      <c r="AZ24" s="323"/>
      <c r="BA24" s="323"/>
      <c r="BB24" s="323"/>
      <c r="BC24" s="323"/>
      <c r="BD24" s="323"/>
      <c r="BE24" s="323"/>
      <c r="BF24" s="323"/>
      <c r="BG24" s="323"/>
      <c r="BH24" s="323"/>
      <c r="BI24" s="323"/>
      <c r="BJ24" s="324"/>
      <c r="BK24" s="46"/>
    </row>
    <row r="25" spans="1:63" s="47" customFormat="1" ht="15" customHeight="1" x14ac:dyDescent="0.25">
      <c r="A25" s="42"/>
      <c r="B25" s="49"/>
      <c r="C25" s="194">
        <v>4</v>
      </c>
      <c r="D25" s="196"/>
      <c r="E25" s="305" t="s">
        <v>26</v>
      </c>
      <c r="F25" s="306"/>
      <c r="G25" s="306"/>
      <c r="H25" s="306"/>
      <c r="I25" s="306"/>
      <c r="J25" s="306"/>
      <c r="K25" s="307"/>
      <c r="L25" s="197" t="s">
        <v>22</v>
      </c>
      <c r="M25" s="198"/>
      <c r="N25" s="199"/>
      <c r="O25" s="194" t="s">
        <v>21</v>
      </c>
      <c r="P25" s="195"/>
      <c r="Q25" s="195"/>
      <c r="R25" s="196"/>
      <c r="S25" s="194" t="s">
        <v>22</v>
      </c>
      <c r="T25" s="195"/>
      <c r="U25" s="195"/>
      <c r="V25" s="195"/>
      <c r="W25" s="195"/>
      <c r="X25" s="195"/>
      <c r="Y25" s="196"/>
      <c r="Z25" s="305" t="s">
        <v>26</v>
      </c>
      <c r="AA25" s="306"/>
      <c r="AB25" s="306"/>
      <c r="AC25" s="306"/>
      <c r="AD25" s="306"/>
      <c r="AE25" s="306"/>
      <c r="AF25" s="306"/>
      <c r="AG25" s="306"/>
      <c r="AH25" s="306"/>
      <c r="AI25" s="306"/>
      <c r="AJ25" s="306"/>
      <c r="AK25" s="306"/>
      <c r="AL25" s="306"/>
      <c r="AM25" s="306"/>
      <c r="AN25" s="306"/>
      <c r="AO25" s="306"/>
      <c r="AP25" s="307"/>
      <c r="AQ25" s="308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10"/>
      <c r="BK25" s="46"/>
    </row>
    <row r="26" spans="1:63" s="47" customFormat="1" ht="15" customHeight="1" x14ac:dyDescent="0.25">
      <c r="A26" s="42"/>
      <c r="B26" s="49"/>
      <c r="C26" s="194">
        <v>5</v>
      </c>
      <c r="D26" s="196"/>
      <c r="E26" s="305" t="s">
        <v>27</v>
      </c>
      <c r="F26" s="306"/>
      <c r="G26" s="306"/>
      <c r="H26" s="306"/>
      <c r="I26" s="306"/>
      <c r="J26" s="306"/>
      <c r="K26" s="307"/>
      <c r="L26" s="197" t="s">
        <v>22</v>
      </c>
      <c r="M26" s="198"/>
      <c r="N26" s="199"/>
      <c r="O26" s="194" t="s">
        <v>21</v>
      </c>
      <c r="P26" s="195"/>
      <c r="Q26" s="195"/>
      <c r="R26" s="196"/>
      <c r="S26" s="194" t="s">
        <v>22</v>
      </c>
      <c r="T26" s="195"/>
      <c r="U26" s="195"/>
      <c r="V26" s="195"/>
      <c r="W26" s="195"/>
      <c r="X26" s="195"/>
      <c r="Y26" s="196"/>
      <c r="Z26" s="305" t="s">
        <v>27</v>
      </c>
      <c r="AA26" s="306"/>
      <c r="AB26" s="306"/>
      <c r="AC26" s="306"/>
      <c r="AD26" s="306"/>
      <c r="AE26" s="306"/>
      <c r="AF26" s="306"/>
      <c r="AG26" s="306"/>
      <c r="AH26" s="306"/>
      <c r="AI26" s="306"/>
      <c r="AJ26" s="306"/>
      <c r="AK26" s="306"/>
      <c r="AL26" s="306"/>
      <c r="AM26" s="306"/>
      <c r="AN26" s="306"/>
      <c r="AO26" s="306"/>
      <c r="AP26" s="307"/>
      <c r="AQ26" s="308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10"/>
      <c r="BK26" s="46"/>
    </row>
    <row r="27" spans="1:63" s="47" customFormat="1" ht="15" customHeight="1" x14ac:dyDescent="0.25">
      <c r="A27" s="42"/>
      <c r="B27" s="49"/>
      <c r="C27" s="49"/>
      <c r="D27" s="49"/>
      <c r="E27" s="304"/>
      <c r="F27" s="304"/>
      <c r="G27" s="304"/>
      <c r="H27" s="304"/>
      <c r="I27" s="49"/>
      <c r="J27" s="49"/>
      <c r="K27" s="49"/>
      <c r="L27" s="325"/>
      <c r="M27" s="304"/>
      <c r="N27" s="304"/>
      <c r="O27" s="304"/>
      <c r="P27" s="304"/>
      <c r="Q27" s="49"/>
      <c r="R27" s="49"/>
      <c r="S27" s="49"/>
      <c r="T27" s="49"/>
      <c r="U27" s="49"/>
      <c r="V27" s="49"/>
      <c r="W27" s="49"/>
      <c r="X27" s="49"/>
      <c r="Y27" s="49"/>
      <c r="Z27" s="53"/>
      <c r="AA27" s="49"/>
      <c r="AB27" s="49"/>
      <c r="AC27" s="49"/>
      <c r="AD27" s="49"/>
      <c r="AE27" s="49"/>
      <c r="AF27" s="49"/>
      <c r="AG27" s="304"/>
      <c r="AH27" s="304"/>
      <c r="AI27" s="304"/>
      <c r="AJ27" s="304"/>
      <c r="AK27" s="304"/>
      <c r="AL27" s="304"/>
      <c r="AM27" s="304"/>
      <c r="AN27" s="304"/>
      <c r="AO27" s="304"/>
      <c r="AP27" s="49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0"/>
      <c r="BI27" s="50"/>
      <c r="BJ27" s="50"/>
      <c r="BK27" s="46"/>
    </row>
    <row r="28" spans="1:63" s="47" customFormat="1" ht="15" customHeight="1" x14ac:dyDescent="0.25">
      <c r="A28" s="42"/>
      <c r="B28" s="49"/>
      <c r="C28" s="49"/>
      <c r="D28" s="49"/>
      <c r="E28" s="304"/>
      <c r="F28" s="304"/>
      <c r="G28" s="304"/>
      <c r="H28" s="304"/>
      <c r="I28" s="49"/>
      <c r="J28" s="49"/>
      <c r="K28" s="49"/>
      <c r="L28" s="55"/>
      <c r="M28" s="304"/>
      <c r="N28" s="304"/>
      <c r="O28" s="304"/>
      <c r="P28" s="304"/>
      <c r="Q28" s="49"/>
      <c r="R28" s="49"/>
      <c r="S28" s="49"/>
      <c r="T28" s="49"/>
      <c r="U28" s="49"/>
      <c r="V28" s="49"/>
      <c r="W28" s="49"/>
      <c r="X28" s="49"/>
      <c r="Y28" s="49"/>
      <c r="Z28" s="53"/>
      <c r="AA28" s="49"/>
      <c r="AB28" s="49"/>
      <c r="AC28" s="49"/>
      <c r="AD28" s="49"/>
      <c r="AE28" s="49"/>
      <c r="AF28" s="49"/>
      <c r="AG28" s="304"/>
      <c r="AH28" s="304"/>
      <c r="AI28" s="304"/>
      <c r="AJ28" s="304"/>
      <c r="AK28" s="304"/>
      <c r="AL28" s="304"/>
      <c r="AM28" s="304"/>
      <c r="AN28" s="304"/>
      <c r="AO28" s="304"/>
      <c r="AP28" s="49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0"/>
      <c r="BI28" s="50"/>
      <c r="BJ28" s="50"/>
      <c r="BK28" s="46"/>
    </row>
    <row r="29" spans="1:63" s="47" customFormat="1" ht="15" customHeight="1" x14ac:dyDescent="0.25">
      <c r="A29" s="42"/>
      <c r="B29" s="49"/>
      <c r="C29" s="52" t="s">
        <v>150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50"/>
      <c r="BI29" s="50"/>
      <c r="BJ29" s="50"/>
      <c r="BK29" s="46"/>
    </row>
    <row r="30" spans="1:63" s="47" customFormat="1" ht="15" customHeight="1" x14ac:dyDescent="0.25">
      <c r="A30" s="42"/>
      <c r="B30" s="49"/>
      <c r="C30" s="48"/>
      <c r="D30" s="49" t="s">
        <v>49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50"/>
      <c r="BI30" s="50"/>
      <c r="BJ30" s="50"/>
      <c r="BK30" s="46"/>
    </row>
    <row r="31" spans="1:63" s="47" customFormat="1" ht="15" customHeight="1" x14ac:dyDescent="0.25">
      <c r="A31" s="42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50"/>
      <c r="BI31" s="50"/>
      <c r="BJ31" s="50"/>
      <c r="BK31" s="46"/>
    </row>
    <row r="32" spans="1:63" s="47" customFormat="1" ht="15" customHeight="1" x14ac:dyDescent="0.25">
      <c r="A32" s="42"/>
      <c r="B32" s="49"/>
      <c r="C32" s="52" t="s">
        <v>151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50"/>
      <c r="BI32" s="50"/>
      <c r="BJ32" s="50"/>
      <c r="BK32" s="46"/>
    </row>
    <row r="33" spans="1:63" s="47" customFormat="1" ht="15" customHeight="1" x14ac:dyDescent="0.25">
      <c r="A33" s="42"/>
      <c r="B33" s="49"/>
      <c r="C33" s="48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50"/>
      <c r="BI33" s="50"/>
      <c r="BJ33" s="50"/>
      <c r="BK33" s="46"/>
    </row>
    <row r="34" spans="1:63" s="47" customFormat="1" ht="15" customHeight="1" x14ac:dyDescent="0.25">
      <c r="A34" s="42"/>
      <c r="B34" s="49"/>
      <c r="C34" s="223" t="s">
        <v>28</v>
      </c>
      <c r="D34" s="224"/>
      <c r="E34" s="326" t="s">
        <v>44</v>
      </c>
      <c r="F34" s="327"/>
      <c r="G34" s="327"/>
      <c r="H34" s="327"/>
      <c r="I34" s="327"/>
      <c r="J34" s="327"/>
      <c r="K34" s="328"/>
      <c r="L34" s="225" t="s">
        <v>41</v>
      </c>
      <c r="M34" s="226"/>
      <c r="N34" s="227"/>
      <c r="O34" s="225" t="s">
        <v>42</v>
      </c>
      <c r="P34" s="226"/>
      <c r="Q34" s="226"/>
      <c r="R34" s="227"/>
      <c r="S34" s="225" t="s">
        <v>43</v>
      </c>
      <c r="T34" s="226"/>
      <c r="U34" s="226"/>
      <c r="V34" s="226"/>
      <c r="W34" s="226"/>
      <c r="X34" s="226"/>
      <c r="Y34" s="227"/>
      <c r="Z34" s="220" t="s">
        <v>148</v>
      </c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2"/>
      <c r="AQ34" s="234" t="s">
        <v>40</v>
      </c>
      <c r="AR34" s="235"/>
      <c r="AS34" s="235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5"/>
      <c r="BH34" s="235"/>
      <c r="BI34" s="235"/>
      <c r="BJ34" s="236"/>
      <c r="BK34" s="46"/>
    </row>
    <row r="35" spans="1:63" s="47" customFormat="1" ht="15" customHeight="1" x14ac:dyDescent="0.25">
      <c r="A35" s="42"/>
      <c r="B35" s="49"/>
      <c r="C35" s="194">
        <v>1</v>
      </c>
      <c r="D35" s="196"/>
      <c r="E35" s="305" t="s">
        <v>72</v>
      </c>
      <c r="F35" s="306"/>
      <c r="G35" s="306"/>
      <c r="H35" s="306"/>
      <c r="I35" s="306"/>
      <c r="J35" s="306"/>
      <c r="K35" s="307"/>
      <c r="L35" s="197" t="s">
        <v>123</v>
      </c>
      <c r="M35" s="198"/>
      <c r="N35" s="199"/>
      <c r="O35" s="194" t="s">
        <v>50</v>
      </c>
      <c r="P35" s="195"/>
      <c r="Q35" s="195"/>
      <c r="R35" s="196"/>
      <c r="S35" s="194"/>
      <c r="T35" s="195"/>
      <c r="U35" s="195"/>
      <c r="V35" s="195"/>
      <c r="W35" s="195"/>
      <c r="X35" s="195"/>
      <c r="Y35" s="196"/>
      <c r="Z35" s="305"/>
      <c r="AA35" s="306"/>
      <c r="AB35" s="306"/>
      <c r="AC35" s="306"/>
      <c r="AD35" s="306"/>
      <c r="AE35" s="306"/>
      <c r="AF35" s="306"/>
      <c r="AG35" s="306"/>
      <c r="AH35" s="306"/>
      <c r="AI35" s="306"/>
      <c r="AJ35" s="306"/>
      <c r="AK35" s="306"/>
      <c r="AL35" s="306"/>
      <c r="AM35" s="306"/>
      <c r="AN35" s="306"/>
      <c r="AO35" s="306"/>
      <c r="AP35" s="307"/>
      <c r="AQ35" s="185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7"/>
      <c r="BK35" s="46"/>
    </row>
    <row r="36" spans="1:63" s="47" customFormat="1" ht="66.75" customHeight="1" x14ac:dyDescent="0.25">
      <c r="A36" s="42"/>
      <c r="B36" s="49"/>
      <c r="C36" s="194">
        <v>2</v>
      </c>
      <c r="D36" s="196"/>
      <c r="E36" s="305" t="s">
        <v>67</v>
      </c>
      <c r="F36" s="306"/>
      <c r="G36" s="306"/>
      <c r="H36" s="306"/>
      <c r="I36" s="306"/>
      <c r="J36" s="306"/>
      <c r="K36" s="307"/>
      <c r="L36" s="314" t="s">
        <v>20</v>
      </c>
      <c r="M36" s="315"/>
      <c r="N36" s="316"/>
      <c r="O36" s="194" t="s">
        <v>68</v>
      </c>
      <c r="P36" s="195"/>
      <c r="Q36" s="195"/>
      <c r="R36" s="196"/>
      <c r="S36" s="194" t="s">
        <v>123</v>
      </c>
      <c r="T36" s="195"/>
      <c r="U36" s="195"/>
      <c r="V36" s="195"/>
      <c r="W36" s="195"/>
      <c r="X36" s="195"/>
      <c r="Y36" s="196"/>
      <c r="Z36" s="305"/>
      <c r="AA36" s="306"/>
      <c r="AB36" s="306"/>
      <c r="AC36" s="306"/>
      <c r="AD36" s="306"/>
      <c r="AE36" s="306"/>
      <c r="AF36" s="306"/>
      <c r="AG36" s="306"/>
      <c r="AH36" s="306"/>
      <c r="AI36" s="306"/>
      <c r="AJ36" s="306"/>
      <c r="AK36" s="306"/>
      <c r="AL36" s="306"/>
      <c r="AM36" s="306"/>
      <c r="AN36" s="306"/>
      <c r="AO36" s="306"/>
      <c r="AP36" s="307"/>
      <c r="AQ36" s="237" t="s">
        <v>152</v>
      </c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7"/>
      <c r="BK36" s="46"/>
    </row>
    <row r="37" spans="1:63" s="47" customFormat="1" ht="15" customHeight="1" x14ac:dyDescent="0.25">
      <c r="A37" s="42"/>
      <c r="B37" s="49"/>
      <c r="C37" s="194">
        <v>3</v>
      </c>
      <c r="D37" s="196"/>
      <c r="E37" s="194" t="s">
        <v>51</v>
      </c>
      <c r="F37" s="195"/>
      <c r="G37" s="195"/>
      <c r="H37" s="195"/>
      <c r="I37" s="195"/>
      <c r="J37" s="195"/>
      <c r="K37" s="196"/>
      <c r="L37" s="314" t="s">
        <v>20</v>
      </c>
      <c r="M37" s="315"/>
      <c r="N37" s="316"/>
      <c r="O37" s="194" t="s">
        <v>21</v>
      </c>
      <c r="P37" s="195"/>
      <c r="Q37" s="195"/>
      <c r="R37" s="196"/>
      <c r="S37" s="194" t="s">
        <v>123</v>
      </c>
      <c r="T37" s="195"/>
      <c r="U37" s="195"/>
      <c r="V37" s="195"/>
      <c r="W37" s="195"/>
      <c r="X37" s="195"/>
      <c r="Y37" s="196"/>
      <c r="Z37" s="305" t="s">
        <v>103</v>
      </c>
      <c r="AA37" s="306"/>
      <c r="AB37" s="306"/>
      <c r="AC37" s="306"/>
      <c r="AD37" s="306"/>
      <c r="AE37" s="306"/>
      <c r="AF37" s="306"/>
      <c r="AG37" s="306"/>
      <c r="AH37" s="306"/>
      <c r="AI37" s="306"/>
      <c r="AJ37" s="306"/>
      <c r="AK37" s="306"/>
      <c r="AL37" s="306"/>
      <c r="AM37" s="306"/>
      <c r="AN37" s="306"/>
      <c r="AO37" s="306"/>
      <c r="AP37" s="307"/>
      <c r="AQ37" s="185" t="s">
        <v>153</v>
      </c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7"/>
      <c r="BK37" s="46"/>
    </row>
    <row r="38" spans="1:63" s="47" customFormat="1" ht="15" customHeight="1" x14ac:dyDescent="0.25">
      <c r="A38" s="42"/>
      <c r="B38" s="49"/>
      <c r="C38" s="194">
        <v>4</v>
      </c>
      <c r="D38" s="196"/>
      <c r="E38" s="194" t="s">
        <v>52</v>
      </c>
      <c r="F38" s="195"/>
      <c r="G38" s="195"/>
      <c r="H38" s="195"/>
      <c r="I38" s="195"/>
      <c r="J38" s="195"/>
      <c r="K38" s="196"/>
      <c r="L38" s="314" t="s">
        <v>20</v>
      </c>
      <c r="M38" s="315"/>
      <c r="N38" s="316"/>
      <c r="O38" s="241" t="s">
        <v>154</v>
      </c>
      <c r="P38" s="242"/>
      <c r="Q38" s="242"/>
      <c r="R38" s="243"/>
      <c r="S38" s="194" t="s">
        <v>123</v>
      </c>
      <c r="T38" s="195"/>
      <c r="U38" s="195"/>
      <c r="V38" s="195"/>
      <c r="W38" s="195"/>
      <c r="X38" s="195"/>
      <c r="Y38" s="196"/>
      <c r="Z38" s="305" t="s">
        <v>104</v>
      </c>
      <c r="AA38" s="306"/>
      <c r="AB38" s="306"/>
      <c r="AC38" s="306"/>
      <c r="AD38" s="306"/>
      <c r="AE38" s="306"/>
      <c r="AF38" s="306"/>
      <c r="AG38" s="306"/>
      <c r="AH38" s="306"/>
      <c r="AI38" s="306"/>
      <c r="AJ38" s="306"/>
      <c r="AK38" s="306"/>
      <c r="AL38" s="306"/>
      <c r="AM38" s="306"/>
      <c r="AN38" s="306"/>
      <c r="AO38" s="306"/>
      <c r="AP38" s="307"/>
      <c r="AQ38" s="329" t="s">
        <v>155</v>
      </c>
      <c r="AR38" s="330"/>
      <c r="AS38" s="330"/>
      <c r="AT38" s="330"/>
      <c r="AU38" s="330"/>
      <c r="AV38" s="330"/>
      <c r="AW38" s="330"/>
      <c r="AX38" s="330"/>
      <c r="AY38" s="330"/>
      <c r="AZ38" s="330"/>
      <c r="BA38" s="330"/>
      <c r="BB38" s="330"/>
      <c r="BC38" s="330"/>
      <c r="BD38" s="330"/>
      <c r="BE38" s="330"/>
      <c r="BF38" s="330"/>
      <c r="BG38" s="330"/>
      <c r="BH38" s="330"/>
      <c r="BI38" s="330"/>
      <c r="BJ38" s="331"/>
      <c r="BK38" s="46"/>
    </row>
    <row r="39" spans="1:63" s="47" customFormat="1" ht="50.25" customHeight="1" x14ac:dyDescent="0.25">
      <c r="A39" s="42"/>
      <c r="B39" s="49"/>
      <c r="C39" s="305">
        <v>5</v>
      </c>
      <c r="D39" s="307"/>
      <c r="E39" s="305" t="s">
        <v>53</v>
      </c>
      <c r="F39" s="306"/>
      <c r="G39" s="306"/>
      <c r="H39" s="306"/>
      <c r="I39" s="306"/>
      <c r="J39" s="306"/>
      <c r="K39" s="307"/>
      <c r="L39" s="314" t="s">
        <v>20</v>
      </c>
      <c r="M39" s="315"/>
      <c r="N39" s="316"/>
      <c r="O39" s="305" t="s">
        <v>21</v>
      </c>
      <c r="P39" s="306"/>
      <c r="Q39" s="306"/>
      <c r="R39" s="307"/>
      <c r="S39" s="305" t="s">
        <v>123</v>
      </c>
      <c r="T39" s="306"/>
      <c r="U39" s="306"/>
      <c r="V39" s="306"/>
      <c r="W39" s="306"/>
      <c r="X39" s="306"/>
      <c r="Y39" s="307"/>
      <c r="Z39" s="305" t="s">
        <v>105</v>
      </c>
      <c r="AA39" s="306"/>
      <c r="AB39" s="306"/>
      <c r="AC39" s="306"/>
      <c r="AD39" s="306"/>
      <c r="AE39" s="306"/>
      <c r="AF39" s="306"/>
      <c r="AG39" s="306"/>
      <c r="AH39" s="306"/>
      <c r="AI39" s="306"/>
      <c r="AJ39" s="306"/>
      <c r="AK39" s="306"/>
      <c r="AL39" s="306"/>
      <c r="AM39" s="306"/>
      <c r="AN39" s="306"/>
      <c r="AO39" s="306"/>
      <c r="AP39" s="307"/>
      <c r="AQ39" s="329" t="s">
        <v>87</v>
      </c>
      <c r="AR39" s="330"/>
      <c r="AS39" s="330"/>
      <c r="AT39" s="330"/>
      <c r="AU39" s="330"/>
      <c r="AV39" s="330"/>
      <c r="AW39" s="330"/>
      <c r="AX39" s="330"/>
      <c r="AY39" s="330"/>
      <c r="AZ39" s="330"/>
      <c r="BA39" s="330"/>
      <c r="BB39" s="330"/>
      <c r="BC39" s="330"/>
      <c r="BD39" s="330"/>
      <c r="BE39" s="330"/>
      <c r="BF39" s="330"/>
      <c r="BG39" s="330"/>
      <c r="BH39" s="330"/>
      <c r="BI39" s="330"/>
      <c r="BJ39" s="331"/>
      <c r="BK39" s="46"/>
    </row>
    <row r="40" spans="1:63" s="47" customFormat="1" ht="82.5" customHeight="1" x14ac:dyDescent="0.25">
      <c r="A40" s="42"/>
      <c r="B40" s="49"/>
      <c r="C40" s="209">
        <v>6</v>
      </c>
      <c r="D40" s="210"/>
      <c r="E40" s="209" t="s">
        <v>156</v>
      </c>
      <c r="F40" s="211"/>
      <c r="G40" s="211"/>
      <c r="H40" s="211"/>
      <c r="I40" s="211"/>
      <c r="J40" s="211"/>
      <c r="K40" s="210"/>
      <c r="L40" s="238" t="s">
        <v>20</v>
      </c>
      <c r="M40" s="239"/>
      <c r="N40" s="240"/>
      <c r="O40" s="209" t="s">
        <v>154</v>
      </c>
      <c r="P40" s="211"/>
      <c r="Q40" s="211"/>
      <c r="R40" s="210"/>
      <c r="S40" s="209" t="s">
        <v>157</v>
      </c>
      <c r="T40" s="211"/>
      <c r="U40" s="211"/>
      <c r="V40" s="211"/>
      <c r="W40" s="211"/>
      <c r="X40" s="211"/>
      <c r="Y40" s="210"/>
      <c r="Z40" s="209" t="s">
        <v>158</v>
      </c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0"/>
      <c r="AQ40" s="215" t="s">
        <v>159</v>
      </c>
      <c r="AR40" s="216"/>
      <c r="AS40" s="216"/>
      <c r="AT40" s="216"/>
      <c r="AU40" s="216"/>
      <c r="AV40" s="216"/>
      <c r="AW40" s="216"/>
      <c r="AX40" s="216"/>
      <c r="AY40" s="216"/>
      <c r="AZ40" s="216"/>
      <c r="BA40" s="216"/>
      <c r="BB40" s="216"/>
      <c r="BC40" s="216"/>
      <c r="BD40" s="216"/>
      <c r="BE40" s="216"/>
      <c r="BF40" s="216"/>
      <c r="BG40" s="216"/>
      <c r="BH40" s="216"/>
      <c r="BI40" s="216"/>
      <c r="BJ40" s="217"/>
      <c r="BK40" s="46"/>
    </row>
    <row r="41" spans="1:63" s="47" customFormat="1" ht="85.5" customHeight="1" x14ac:dyDescent="0.25">
      <c r="A41" s="42"/>
      <c r="B41" s="49"/>
      <c r="C41" s="305">
        <v>7</v>
      </c>
      <c r="D41" s="307"/>
      <c r="E41" s="305" t="s">
        <v>54</v>
      </c>
      <c r="F41" s="306"/>
      <c r="G41" s="306"/>
      <c r="H41" s="306"/>
      <c r="I41" s="306"/>
      <c r="J41" s="306"/>
      <c r="K41" s="307"/>
      <c r="L41" s="314" t="s">
        <v>20</v>
      </c>
      <c r="M41" s="315"/>
      <c r="N41" s="316"/>
      <c r="O41" s="305" t="s">
        <v>21</v>
      </c>
      <c r="P41" s="306"/>
      <c r="Q41" s="306"/>
      <c r="R41" s="307"/>
      <c r="S41" s="305" t="s">
        <v>123</v>
      </c>
      <c r="T41" s="306"/>
      <c r="U41" s="306"/>
      <c r="V41" s="306"/>
      <c r="W41" s="306"/>
      <c r="X41" s="306"/>
      <c r="Y41" s="307"/>
      <c r="Z41" s="305" t="s">
        <v>106</v>
      </c>
      <c r="AA41" s="306"/>
      <c r="AB41" s="306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7"/>
      <c r="AQ41" s="185" t="s">
        <v>215</v>
      </c>
      <c r="AR41" s="330"/>
      <c r="AS41" s="330"/>
      <c r="AT41" s="330"/>
      <c r="AU41" s="330"/>
      <c r="AV41" s="330"/>
      <c r="AW41" s="330"/>
      <c r="AX41" s="330"/>
      <c r="AY41" s="330"/>
      <c r="AZ41" s="330"/>
      <c r="BA41" s="330"/>
      <c r="BB41" s="330"/>
      <c r="BC41" s="330"/>
      <c r="BD41" s="330"/>
      <c r="BE41" s="330"/>
      <c r="BF41" s="330"/>
      <c r="BG41" s="330"/>
      <c r="BH41" s="330"/>
      <c r="BI41" s="330"/>
      <c r="BJ41" s="331"/>
      <c r="BK41" s="46"/>
    </row>
    <row r="42" spans="1:63" s="47" customFormat="1" ht="74.25" customHeight="1" x14ac:dyDescent="0.25">
      <c r="A42" s="42"/>
      <c r="B42" s="49"/>
      <c r="C42" s="209">
        <v>8</v>
      </c>
      <c r="D42" s="210"/>
      <c r="E42" s="209" t="s">
        <v>160</v>
      </c>
      <c r="F42" s="211"/>
      <c r="G42" s="211"/>
      <c r="H42" s="211"/>
      <c r="I42" s="211"/>
      <c r="J42" s="211"/>
      <c r="K42" s="210"/>
      <c r="L42" s="238" t="s">
        <v>20</v>
      </c>
      <c r="M42" s="239"/>
      <c r="N42" s="240"/>
      <c r="O42" s="209" t="s">
        <v>154</v>
      </c>
      <c r="P42" s="211"/>
      <c r="Q42" s="211"/>
      <c r="R42" s="210"/>
      <c r="S42" s="209" t="s">
        <v>157</v>
      </c>
      <c r="T42" s="211"/>
      <c r="U42" s="211"/>
      <c r="V42" s="211"/>
      <c r="W42" s="211"/>
      <c r="X42" s="211"/>
      <c r="Y42" s="210"/>
      <c r="Z42" s="209" t="s">
        <v>161</v>
      </c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0"/>
      <c r="AQ42" s="215" t="s">
        <v>162</v>
      </c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216"/>
      <c r="BD42" s="216"/>
      <c r="BE42" s="216"/>
      <c r="BF42" s="216"/>
      <c r="BG42" s="216"/>
      <c r="BH42" s="216"/>
      <c r="BI42" s="216"/>
      <c r="BJ42" s="217"/>
      <c r="BK42" s="46"/>
    </row>
    <row r="43" spans="1:63" s="47" customFormat="1" ht="80.25" customHeight="1" x14ac:dyDescent="0.25">
      <c r="A43" s="42"/>
      <c r="B43" s="49"/>
      <c r="C43" s="209">
        <v>9</v>
      </c>
      <c r="D43" s="210"/>
      <c r="E43" s="209" t="s">
        <v>163</v>
      </c>
      <c r="F43" s="211"/>
      <c r="G43" s="211"/>
      <c r="H43" s="211"/>
      <c r="I43" s="211"/>
      <c r="J43" s="211"/>
      <c r="K43" s="210"/>
      <c r="L43" s="238" t="s">
        <v>20</v>
      </c>
      <c r="M43" s="239"/>
      <c r="N43" s="240"/>
      <c r="O43" s="209" t="s">
        <v>154</v>
      </c>
      <c r="P43" s="211"/>
      <c r="Q43" s="211"/>
      <c r="R43" s="210"/>
      <c r="S43" s="209" t="s">
        <v>157</v>
      </c>
      <c r="T43" s="211"/>
      <c r="U43" s="211"/>
      <c r="V43" s="211"/>
      <c r="W43" s="211"/>
      <c r="X43" s="211"/>
      <c r="Y43" s="210"/>
      <c r="Z43" s="209" t="s">
        <v>164</v>
      </c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0"/>
      <c r="AQ43" s="215" t="s">
        <v>165</v>
      </c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7"/>
      <c r="BK43" s="46"/>
    </row>
    <row r="44" spans="1:63" s="47" customFormat="1" ht="75" customHeight="1" x14ac:dyDescent="0.25">
      <c r="A44" s="42"/>
      <c r="B44" s="49"/>
      <c r="C44" s="209">
        <v>10</v>
      </c>
      <c r="D44" s="210"/>
      <c r="E44" s="209" t="s">
        <v>166</v>
      </c>
      <c r="F44" s="211"/>
      <c r="G44" s="211"/>
      <c r="H44" s="211"/>
      <c r="I44" s="211"/>
      <c r="J44" s="211"/>
      <c r="K44" s="210"/>
      <c r="L44" s="238" t="s">
        <v>20</v>
      </c>
      <c r="M44" s="239"/>
      <c r="N44" s="240"/>
      <c r="O44" s="209" t="s">
        <v>154</v>
      </c>
      <c r="P44" s="211"/>
      <c r="Q44" s="211"/>
      <c r="R44" s="210"/>
      <c r="S44" s="209" t="s">
        <v>157</v>
      </c>
      <c r="T44" s="211"/>
      <c r="U44" s="211"/>
      <c r="V44" s="211"/>
      <c r="W44" s="211"/>
      <c r="X44" s="211"/>
      <c r="Y44" s="210"/>
      <c r="Z44" s="209" t="s">
        <v>167</v>
      </c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0"/>
      <c r="AQ44" s="215" t="s">
        <v>168</v>
      </c>
      <c r="AR44" s="216"/>
      <c r="AS44" s="216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6"/>
      <c r="BH44" s="216"/>
      <c r="BI44" s="216"/>
      <c r="BJ44" s="217"/>
      <c r="BK44" s="46"/>
    </row>
    <row r="45" spans="1:63" s="47" customFormat="1" ht="79.5" customHeight="1" x14ac:dyDescent="0.25">
      <c r="A45" s="42"/>
      <c r="B45" s="49"/>
      <c r="C45" s="191">
        <v>8</v>
      </c>
      <c r="D45" s="193"/>
      <c r="E45" s="191" t="s">
        <v>169</v>
      </c>
      <c r="F45" s="192"/>
      <c r="G45" s="192"/>
      <c r="H45" s="192"/>
      <c r="I45" s="192"/>
      <c r="J45" s="192"/>
      <c r="K45" s="193"/>
      <c r="L45" s="203" t="s">
        <v>20</v>
      </c>
      <c r="M45" s="204"/>
      <c r="N45" s="205"/>
      <c r="O45" s="191" t="s">
        <v>170</v>
      </c>
      <c r="P45" s="192"/>
      <c r="Q45" s="192"/>
      <c r="R45" s="193"/>
      <c r="S45" s="191" t="s">
        <v>157</v>
      </c>
      <c r="T45" s="192"/>
      <c r="U45" s="192"/>
      <c r="V45" s="192"/>
      <c r="W45" s="192"/>
      <c r="X45" s="192"/>
      <c r="Y45" s="193"/>
      <c r="Z45" s="191" t="s">
        <v>171</v>
      </c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3"/>
      <c r="AQ45" s="188" t="s">
        <v>172</v>
      </c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90"/>
      <c r="BK45" s="46"/>
    </row>
    <row r="46" spans="1:63" s="47" customFormat="1" ht="15" customHeight="1" x14ac:dyDescent="0.25">
      <c r="A46" s="42"/>
      <c r="B46" s="49"/>
      <c r="C46" s="194">
        <v>9</v>
      </c>
      <c r="D46" s="196"/>
      <c r="E46" s="194" t="s">
        <v>55</v>
      </c>
      <c r="F46" s="195"/>
      <c r="G46" s="195"/>
      <c r="H46" s="195"/>
      <c r="I46" s="195"/>
      <c r="J46" s="195"/>
      <c r="K46" s="196"/>
      <c r="L46" s="197" t="s">
        <v>123</v>
      </c>
      <c r="M46" s="198"/>
      <c r="N46" s="199"/>
      <c r="O46" s="194" t="s">
        <v>21</v>
      </c>
      <c r="P46" s="195"/>
      <c r="Q46" s="195"/>
      <c r="R46" s="196"/>
      <c r="S46" s="194" t="s">
        <v>123</v>
      </c>
      <c r="T46" s="195"/>
      <c r="U46" s="195"/>
      <c r="V46" s="195"/>
      <c r="W46" s="195"/>
      <c r="X46" s="195"/>
      <c r="Y46" s="196"/>
      <c r="Z46" s="305" t="s">
        <v>107</v>
      </c>
      <c r="AA46" s="306"/>
      <c r="AB46" s="306"/>
      <c r="AC46" s="306"/>
      <c r="AD46" s="306"/>
      <c r="AE46" s="306"/>
      <c r="AF46" s="306"/>
      <c r="AG46" s="306"/>
      <c r="AH46" s="306"/>
      <c r="AI46" s="306"/>
      <c r="AJ46" s="306"/>
      <c r="AK46" s="306"/>
      <c r="AL46" s="306"/>
      <c r="AM46" s="306"/>
      <c r="AN46" s="306"/>
      <c r="AO46" s="306"/>
      <c r="AP46" s="307"/>
      <c r="AQ46" s="185" t="s">
        <v>173</v>
      </c>
      <c r="AR46" s="186"/>
      <c r="AS46" s="186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7"/>
      <c r="BK46" s="46"/>
    </row>
    <row r="47" spans="1:63" s="47" customFormat="1" ht="15" customHeight="1" x14ac:dyDescent="0.25">
      <c r="A47" s="42"/>
      <c r="B47" s="49"/>
      <c r="C47" s="194">
        <v>10</v>
      </c>
      <c r="D47" s="196"/>
      <c r="E47" s="194" t="s">
        <v>56</v>
      </c>
      <c r="F47" s="195"/>
      <c r="G47" s="195"/>
      <c r="H47" s="195"/>
      <c r="I47" s="195"/>
      <c r="J47" s="195"/>
      <c r="K47" s="196"/>
      <c r="L47" s="197" t="s">
        <v>123</v>
      </c>
      <c r="M47" s="198"/>
      <c r="N47" s="199"/>
      <c r="O47" s="194" t="s">
        <v>21</v>
      </c>
      <c r="P47" s="195"/>
      <c r="Q47" s="195"/>
      <c r="R47" s="196"/>
      <c r="S47" s="194" t="s">
        <v>123</v>
      </c>
      <c r="T47" s="195"/>
      <c r="U47" s="195"/>
      <c r="V47" s="195"/>
      <c r="W47" s="195"/>
      <c r="X47" s="195"/>
      <c r="Y47" s="196"/>
      <c r="Z47" s="305" t="s">
        <v>108</v>
      </c>
      <c r="AA47" s="306"/>
      <c r="AB47" s="306"/>
      <c r="AC47" s="306"/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7"/>
      <c r="AQ47" s="185" t="s">
        <v>174</v>
      </c>
      <c r="AR47" s="186"/>
      <c r="AS47" s="186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7"/>
      <c r="BK47" s="46"/>
    </row>
    <row r="48" spans="1:63" s="47" customFormat="1" ht="15" customHeight="1" x14ac:dyDescent="0.25">
      <c r="A48" s="42"/>
      <c r="B48" s="49"/>
      <c r="C48" s="194">
        <v>11</v>
      </c>
      <c r="D48" s="196"/>
      <c r="E48" s="194" t="s">
        <v>57</v>
      </c>
      <c r="F48" s="195"/>
      <c r="G48" s="195"/>
      <c r="H48" s="195"/>
      <c r="I48" s="195"/>
      <c r="J48" s="195"/>
      <c r="K48" s="196"/>
      <c r="L48" s="197" t="s">
        <v>123</v>
      </c>
      <c r="M48" s="198"/>
      <c r="N48" s="199"/>
      <c r="O48" s="194" t="s">
        <v>69</v>
      </c>
      <c r="P48" s="195"/>
      <c r="Q48" s="195"/>
      <c r="R48" s="196"/>
      <c r="S48" s="194" t="s">
        <v>123</v>
      </c>
      <c r="T48" s="195"/>
      <c r="U48" s="195"/>
      <c r="V48" s="195"/>
      <c r="W48" s="195"/>
      <c r="X48" s="195"/>
      <c r="Y48" s="196"/>
      <c r="Z48" s="305" t="s">
        <v>109</v>
      </c>
      <c r="AA48" s="306"/>
      <c r="AB48" s="306"/>
      <c r="AC48" s="306"/>
      <c r="AD48" s="306"/>
      <c r="AE48" s="306"/>
      <c r="AF48" s="306"/>
      <c r="AG48" s="306"/>
      <c r="AH48" s="306"/>
      <c r="AI48" s="306"/>
      <c r="AJ48" s="306"/>
      <c r="AK48" s="306"/>
      <c r="AL48" s="306"/>
      <c r="AM48" s="306"/>
      <c r="AN48" s="306"/>
      <c r="AO48" s="306"/>
      <c r="AP48" s="307"/>
      <c r="AQ48" s="185" t="s">
        <v>175</v>
      </c>
      <c r="AR48" s="186"/>
      <c r="AS48" s="186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7"/>
      <c r="BK48" s="46"/>
    </row>
    <row r="49" spans="1:63" s="47" customFormat="1" ht="15" customHeight="1" x14ac:dyDescent="0.25">
      <c r="A49" s="42"/>
      <c r="B49" s="49"/>
      <c r="C49" s="194">
        <v>12</v>
      </c>
      <c r="D49" s="196"/>
      <c r="E49" s="194" t="s">
        <v>58</v>
      </c>
      <c r="F49" s="195"/>
      <c r="G49" s="195"/>
      <c r="H49" s="195"/>
      <c r="I49" s="195"/>
      <c r="J49" s="195"/>
      <c r="K49" s="196"/>
      <c r="L49" s="197" t="s">
        <v>123</v>
      </c>
      <c r="M49" s="198"/>
      <c r="N49" s="199"/>
      <c r="O49" s="194" t="s">
        <v>124</v>
      </c>
      <c r="P49" s="195"/>
      <c r="Q49" s="195"/>
      <c r="R49" s="196"/>
      <c r="S49" s="194" t="b">
        <v>0</v>
      </c>
      <c r="T49" s="195"/>
      <c r="U49" s="195"/>
      <c r="V49" s="195"/>
      <c r="W49" s="195"/>
      <c r="X49" s="195"/>
      <c r="Y49" s="196"/>
      <c r="Z49" s="305" t="s">
        <v>110</v>
      </c>
      <c r="AA49" s="306"/>
      <c r="AB49" s="306"/>
      <c r="AC49" s="306"/>
      <c r="AD49" s="306"/>
      <c r="AE49" s="306"/>
      <c r="AF49" s="306"/>
      <c r="AG49" s="306"/>
      <c r="AH49" s="306"/>
      <c r="AI49" s="306"/>
      <c r="AJ49" s="306"/>
      <c r="AK49" s="306"/>
      <c r="AL49" s="306"/>
      <c r="AM49" s="306"/>
      <c r="AN49" s="306"/>
      <c r="AO49" s="306"/>
      <c r="AP49" s="307"/>
      <c r="AQ49" s="185"/>
      <c r="AR49" s="186"/>
      <c r="AS49" s="186"/>
      <c r="AT49" s="186"/>
      <c r="AU49" s="186"/>
      <c r="AV49" s="186"/>
      <c r="AW49" s="186"/>
      <c r="AX49" s="186"/>
      <c r="AY49" s="186"/>
      <c r="AZ49" s="186"/>
      <c r="BA49" s="186"/>
      <c r="BB49" s="186"/>
      <c r="BC49" s="186"/>
      <c r="BD49" s="186"/>
      <c r="BE49" s="186"/>
      <c r="BF49" s="186"/>
      <c r="BG49" s="186"/>
      <c r="BH49" s="186"/>
      <c r="BI49" s="186"/>
      <c r="BJ49" s="187"/>
      <c r="BK49" s="46"/>
    </row>
    <row r="50" spans="1:63" s="47" customFormat="1" ht="15" customHeight="1" x14ac:dyDescent="0.25">
      <c r="A50" s="42"/>
      <c r="B50" s="49"/>
      <c r="C50" s="194">
        <v>13</v>
      </c>
      <c r="D50" s="196"/>
      <c r="E50" s="194" t="s">
        <v>59</v>
      </c>
      <c r="F50" s="195"/>
      <c r="G50" s="195"/>
      <c r="H50" s="195"/>
      <c r="I50" s="195"/>
      <c r="J50" s="195"/>
      <c r="K50" s="196"/>
      <c r="L50" s="197" t="s">
        <v>123</v>
      </c>
      <c r="M50" s="198"/>
      <c r="N50" s="199"/>
      <c r="O50" s="194" t="s">
        <v>124</v>
      </c>
      <c r="P50" s="195"/>
      <c r="Q50" s="195"/>
      <c r="R50" s="196"/>
      <c r="S50" s="194" t="b">
        <v>0</v>
      </c>
      <c r="T50" s="195"/>
      <c r="U50" s="195"/>
      <c r="V50" s="195"/>
      <c r="W50" s="195"/>
      <c r="X50" s="195"/>
      <c r="Y50" s="196"/>
      <c r="Z50" s="305" t="s">
        <v>176</v>
      </c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7"/>
      <c r="AQ50" s="185"/>
      <c r="AR50" s="186"/>
      <c r="AS50" s="186"/>
      <c r="AT50" s="186"/>
      <c r="AU50" s="186"/>
      <c r="AV50" s="186"/>
      <c r="AW50" s="186"/>
      <c r="AX50" s="186"/>
      <c r="AY50" s="186"/>
      <c r="AZ50" s="186"/>
      <c r="BA50" s="186"/>
      <c r="BB50" s="186"/>
      <c r="BC50" s="186"/>
      <c r="BD50" s="186"/>
      <c r="BE50" s="186"/>
      <c r="BF50" s="186"/>
      <c r="BG50" s="186"/>
      <c r="BH50" s="186"/>
      <c r="BI50" s="186"/>
      <c r="BJ50" s="187"/>
      <c r="BK50" s="46"/>
    </row>
    <row r="51" spans="1:63" s="47" customFormat="1" ht="15" customHeight="1" x14ac:dyDescent="0.25">
      <c r="A51" s="42"/>
      <c r="B51" s="49"/>
      <c r="C51" s="194">
        <v>14</v>
      </c>
      <c r="D51" s="196"/>
      <c r="E51" s="194" t="s">
        <v>60</v>
      </c>
      <c r="F51" s="195"/>
      <c r="G51" s="195"/>
      <c r="H51" s="195"/>
      <c r="I51" s="195"/>
      <c r="J51" s="195"/>
      <c r="K51" s="196"/>
      <c r="L51" s="197" t="s">
        <v>123</v>
      </c>
      <c r="M51" s="198"/>
      <c r="N51" s="199"/>
      <c r="O51" s="194" t="s">
        <v>124</v>
      </c>
      <c r="P51" s="195"/>
      <c r="Q51" s="195"/>
      <c r="R51" s="196"/>
      <c r="S51" s="194" t="b">
        <v>0</v>
      </c>
      <c r="T51" s="195"/>
      <c r="U51" s="195"/>
      <c r="V51" s="195"/>
      <c r="W51" s="195"/>
      <c r="X51" s="195"/>
      <c r="Y51" s="196"/>
      <c r="Z51" s="305" t="s">
        <v>111</v>
      </c>
      <c r="AA51" s="306"/>
      <c r="AB51" s="306"/>
      <c r="AC51" s="306"/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7"/>
      <c r="AQ51" s="185"/>
      <c r="AR51" s="186"/>
      <c r="AS51" s="186"/>
      <c r="AT51" s="186"/>
      <c r="AU51" s="186"/>
      <c r="AV51" s="186"/>
      <c r="AW51" s="186"/>
      <c r="AX51" s="186"/>
      <c r="AY51" s="186"/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7"/>
      <c r="BK51" s="46"/>
    </row>
    <row r="52" spans="1:63" s="47" customFormat="1" ht="15" customHeight="1" x14ac:dyDescent="0.25">
      <c r="A52" s="42"/>
      <c r="B52" s="49"/>
      <c r="C52" s="194">
        <v>15</v>
      </c>
      <c r="D52" s="196"/>
      <c r="E52" s="305" t="s">
        <v>79</v>
      </c>
      <c r="F52" s="306"/>
      <c r="G52" s="306"/>
      <c r="H52" s="306"/>
      <c r="I52" s="306"/>
      <c r="J52" s="306"/>
      <c r="K52" s="307"/>
      <c r="L52" s="332" t="s">
        <v>123</v>
      </c>
      <c r="M52" s="333"/>
      <c r="N52" s="334"/>
      <c r="O52" s="305" t="s">
        <v>124</v>
      </c>
      <c r="P52" s="306"/>
      <c r="Q52" s="306"/>
      <c r="R52" s="307"/>
      <c r="S52" s="305" t="b">
        <v>0</v>
      </c>
      <c r="T52" s="306"/>
      <c r="U52" s="306"/>
      <c r="V52" s="306"/>
      <c r="W52" s="306"/>
      <c r="X52" s="306"/>
      <c r="Y52" s="307"/>
      <c r="Z52" s="305" t="s">
        <v>112</v>
      </c>
      <c r="AA52" s="306"/>
      <c r="AB52" s="306"/>
      <c r="AC52" s="306"/>
      <c r="AD52" s="306"/>
      <c r="AE52" s="306"/>
      <c r="AF52" s="306"/>
      <c r="AG52" s="306"/>
      <c r="AH52" s="306"/>
      <c r="AI52" s="306"/>
      <c r="AJ52" s="306"/>
      <c r="AK52" s="306"/>
      <c r="AL52" s="306"/>
      <c r="AM52" s="306"/>
      <c r="AN52" s="306"/>
      <c r="AO52" s="306"/>
      <c r="AP52" s="307"/>
      <c r="AQ52" s="329"/>
      <c r="AR52" s="330"/>
      <c r="AS52" s="330"/>
      <c r="AT52" s="330"/>
      <c r="AU52" s="330"/>
      <c r="AV52" s="330"/>
      <c r="AW52" s="330"/>
      <c r="AX52" s="330"/>
      <c r="AY52" s="330"/>
      <c r="AZ52" s="330"/>
      <c r="BA52" s="330"/>
      <c r="BB52" s="330"/>
      <c r="BC52" s="330"/>
      <c r="BD52" s="330"/>
      <c r="BE52" s="330"/>
      <c r="BF52" s="330"/>
      <c r="BG52" s="330"/>
      <c r="BH52" s="330"/>
      <c r="BI52" s="330"/>
      <c r="BJ52" s="331"/>
      <c r="BK52" s="46"/>
    </row>
    <row r="53" spans="1:63" s="47" customFormat="1" ht="15" customHeight="1" x14ac:dyDescent="0.25">
      <c r="A53" s="42"/>
      <c r="B53" s="49"/>
      <c r="C53" s="194">
        <v>16</v>
      </c>
      <c r="D53" s="196"/>
      <c r="E53" s="305" t="s">
        <v>80</v>
      </c>
      <c r="F53" s="306"/>
      <c r="G53" s="306"/>
      <c r="H53" s="306"/>
      <c r="I53" s="306"/>
      <c r="J53" s="306"/>
      <c r="K53" s="307"/>
      <c r="L53" s="332" t="s">
        <v>123</v>
      </c>
      <c r="M53" s="333"/>
      <c r="N53" s="334"/>
      <c r="O53" s="305" t="s">
        <v>124</v>
      </c>
      <c r="P53" s="306"/>
      <c r="Q53" s="306"/>
      <c r="R53" s="307"/>
      <c r="S53" s="305" t="b">
        <v>0</v>
      </c>
      <c r="T53" s="306"/>
      <c r="U53" s="306"/>
      <c r="V53" s="306"/>
      <c r="W53" s="306"/>
      <c r="X53" s="306"/>
      <c r="Y53" s="307"/>
      <c r="Z53" s="305" t="s">
        <v>113</v>
      </c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7"/>
      <c r="AQ53" s="329"/>
      <c r="AR53" s="330"/>
      <c r="AS53" s="330"/>
      <c r="AT53" s="330"/>
      <c r="AU53" s="330"/>
      <c r="AV53" s="330"/>
      <c r="AW53" s="330"/>
      <c r="AX53" s="330"/>
      <c r="AY53" s="330"/>
      <c r="AZ53" s="330"/>
      <c r="BA53" s="330"/>
      <c r="BB53" s="330"/>
      <c r="BC53" s="330"/>
      <c r="BD53" s="330"/>
      <c r="BE53" s="330"/>
      <c r="BF53" s="330"/>
      <c r="BG53" s="330"/>
      <c r="BH53" s="330"/>
      <c r="BI53" s="330"/>
      <c r="BJ53" s="331"/>
      <c r="BK53" s="46"/>
    </row>
    <row r="54" spans="1:63" s="47" customFormat="1" ht="15" customHeight="1" x14ac:dyDescent="0.25">
      <c r="A54" s="42"/>
      <c r="B54" s="49"/>
      <c r="C54" s="194">
        <v>17</v>
      </c>
      <c r="D54" s="196"/>
      <c r="E54" s="241" t="s">
        <v>177</v>
      </c>
      <c r="F54" s="242"/>
      <c r="G54" s="242"/>
      <c r="H54" s="242"/>
      <c r="I54" s="242"/>
      <c r="J54" s="242"/>
      <c r="K54" s="243"/>
      <c r="L54" s="244" t="s">
        <v>157</v>
      </c>
      <c r="M54" s="245"/>
      <c r="N54" s="246"/>
      <c r="O54" s="241" t="s">
        <v>178</v>
      </c>
      <c r="P54" s="242"/>
      <c r="Q54" s="242"/>
      <c r="R54" s="243"/>
      <c r="S54" s="241" t="b">
        <v>0</v>
      </c>
      <c r="T54" s="242"/>
      <c r="U54" s="242"/>
      <c r="V54" s="242"/>
      <c r="W54" s="242"/>
      <c r="X54" s="242"/>
      <c r="Y54" s="243"/>
      <c r="Z54" s="241" t="s">
        <v>179</v>
      </c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3"/>
      <c r="AQ54" s="247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  <c r="BC54" s="248"/>
      <c r="BD54" s="248"/>
      <c r="BE54" s="248"/>
      <c r="BF54" s="248"/>
      <c r="BG54" s="248"/>
      <c r="BH54" s="248"/>
      <c r="BI54" s="248"/>
      <c r="BJ54" s="249"/>
      <c r="BK54" s="46"/>
    </row>
    <row r="55" spans="1:63" s="47" customFormat="1" ht="15" customHeight="1" x14ac:dyDescent="0.25">
      <c r="A55" s="42"/>
      <c r="B55" s="49"/>
      <c r="C55" s="194">
        <v>18</v>
      </c>
      <c r="D55" s="196"/>
      <c r="E55" s="241" t="s">
        <v>180</v>
      </c>
      <c r="F55" s="242"/>
      <c r="G55" s="242"/>
      <c r="H55" s="242"/>
      <c r="I55" s="242"/>
      <c r="J55" s="242"/>
      <c r="K55" s="243"/>
      <c r="L55" s="244" t="s">
        <v>157</v>
      </c>
      <c r="M55" s="245"/>
      <c r="N55" s="246"/>
      <c r="O55" s="241" t="s">
        <v>178</v>
      </c>
      <c r="P55" s="242"/>
      <c r="Q55" s="242"/>
      <c r="R55" s="243"/>
      <c r="S55" s="241" t="b">
        <v>0</v>
      </c>
      <c r="T55" s="242"/>
      <c r="U55" s="242"/>
      <c r="V55" s="242"/>
      <c r="W55" s="242"/>
      <c r="X55" s="242"/>
      <c r="Y55" s="243"/>
      <c r="Z55" s="241" t="s">
        <v>181</v>
      </c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3"/>
      <c r="AQ55" s="247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248"/>
      <c r="BG55" s="248"/>
      <c r="BH55" s="248"/>
      <c r="BI55" s="248"/>
      <c r="BJ55" s="249"/>
      <c r="BK55" s="46"/>
    </row>
    <row r="56" spans="1:63" s="47" customFormat="1" ht="63" customHeight="1" x14ac:dyDescent="0.25">
      <c r="A56" s="42"/>
      <c r="B56" s="49"/>
      <c r="C56" s="194">
        <v>19</v>
      </c>
      <c r="D56" s="196"/>
      <c r="E56" s="191" t="s">
        <v>182</v>
      </c>
      <c r="F56" s="192"/>
      <c r="G56" s="192"/>
      <c r="H56" s="192"/>
      <c r="I56" s="192"/>
      <c r="J56" s="192"/>
      <c r="K56" s="193"/>
      <c r="L56" s="203" t="s">
        <v>20</v>
      </c>
      <c r="M56" s="204"/>
      <c r="N56" s="205"/>
      <c r="O56" s="200" t="s">
        <v>170</v>
      </c>
      <c r="P56" s="201"/>
      <c r="Q56" s="201"/>
      <c r="R56" s="202"/>
      <c r="S56" s="191">
        <v>0</v>
      </c>
      <c r="T56" s="192"/>
      <c r="U56" s="192"/>
      <c r="V56" s="192"/>
      <c r="W56" s="192"/>
      <c r="X56" s="192"/>
      <c r="Y56" s="193"/>
      <c r="Z56" s="191" t="s">
        <v>183</v>
      </c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3"/>
      <c r="AQ56" s="188" t="s">
        <v>184</v>
      </c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90"/>
      <c r="BK56" s="46"/>
    </row>
    <row r="57" spans="1:63" s="47" customFormat="1" ht="15" customHeight="1" x14ac:dyDescent="0.25">
      <c r="A57" s="42"/>
      <c r="B57" s="49"/>
      <c r="C57" s="194">
        <v>20</v>
      </c>
      <c r="D57" s="196"/>
      <c r="E57" s="191" t="s">
        <v>185</v>
      </c>
      <c r="F57" s="192"/>
      <c r="G57" s="192"/>
      <c r="H57" s="192"/>
      <c r="I57" s="192"/>
      <c r="J57" s="192"/>
      <c r="K57" s="193"/>
      <c r="L57" s="206" t="s">
        <v>157</v>
      </c>
      <c r="M57" s="207"/>
      <c r="N57" s="208"/>
      <c r="O57" s="200" t="s">
        <v>170</v>
      </c>
      <c r="P57" s="201"/>
      <c r="Q57" s="201"/>
      <c r="R57" s="202"/>
      <c r="S57" s="191"/>
      <c r="T57" s="192"/>
      <c r="U57" s="192"/>
      <c r="V57" s="192"/>
      <c r="W57" s="192"/>
      <c r="X57" s="192"/>
      <c r="Y57" s="193"/>
      <c r="Z57" s="191" t="s">
        <v>186</v>
      </c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3"/>
      <c r="AQ57" s="188" t="s">
        <v>187</v>
      </c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90"/>
      <c r="BK57" s="46"/>
    </row>
    <row r="58" spans="1:63" s="47" customFormat="1" ht="15" customHeight="1" x14ac:dyDescent="0.25">
      <c r="A58" s="42"/>
      <c r="B58" s="49"/>
      <c r="C58" s="194">
        <v>21</v>
      </c>
      <c r="D58" s="196"/>
      <c r="E58" s="191" t="s">
        <v>188</v>
      </c>
      <c r="F58" s="192"/>
      <c r="G58" s="192"/>
      <c r="H58" s="192"/>
      <c r="I58" s="192"/>
      <c r="J58" s="192"/>
      <c r="K58" s="193"/>
      <c r="L58" s="206" t="s">
        <v>157</v>
      </c>
      <c r="M58" s="207"/>
      <c r="N58" s="208"/>
      <c r="O58" s="200" t="s">
        <v>170</v>
      </c>
      <c r="P58" s="201"/>
      <c r="Q58" s="201"/>
      <c r="R58" s="202"/>
      <c r="S58" s="191"/>
      <c r="T58" s="192"/>
      <c r="U58" s="192"/>
      <c r="V58" s="192"/>
      <c r="W58" s="192"/>
      <c r="X58" s="192"/>
      <c r="Y58" s="193"/>
      <c r="Z58" s="191" t="s">
        <v>189</v>
      </c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3"/>
      <c r="AQ58" s="188" t="s">
        <v>187</v>
      </c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90"/>
      <c r="BK58" s="46"/>
    </row>
    <row r="59" spans="1:63" s="47" customFormat="1" x14ac:dyDescent="0.25">
      <c r="A59" s="42"/>
      <c r="B59" s="49"/>
      <c r="C59" s="194">
        <v>22</v>
      </c>
      <c r="D59" s="196"/>
      <c r="E59" s="191" t="s">
        <v>190</v>
      </c>
      <c r="F59" s="192"/>
      <c r="G59" s="192"/>
      <c r="H59" s="192"/>
      <c r="I59" s="192"/>
      <c r="J59" s="192"/>
      <c r="K59" s="193"/>
      <c r="L59" s="206" t="s">
        <v>157</v>
      </c>
      <c r="M59" s="207"/>
      <c r="N59" s="208"/>
      <c r="O59" s="200" t="s">
        <v>170</v>
      </c>
      <c r="P59" s="201"/>
      <c r="Q59" s="201"/>
      <c r="R59" s="202"/>
      <c r="S59" s="191"/>
      <c r="T59" s="192"/>
      <c r="U59" s="192"/>
      <c r="V59" s="192"/>
      <c r="W59" s="192"/>
      <c r="X59" s="192"/>
      <c r="Y59" s="193"/>
      <c r="Z59" s="191" t="s">
        <v>191</v>
      </c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3"/>
      <c r="AQ59" s="188" t="s">
        <v>187</v>
      </c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90"/>
      <c r="BK59" s="46"/>
    </row>
    <row r="60" spans="1:63" s="47" customFormat="1" ht="15" customHeight="1" x14ac:dyDescent="0.25">
      <c r="A60" s="42"/>
      <c r="B60" s="49"/>
      <c r="C60" s="194">
        <v>23</v>
      </c>
      <c r="D60" s="196"/>
      <c r="E60" s="194" t="s">
        <v>61</v>
      </c>
      <c r="F60" s="195"/>
      <c r="G60" s="195"/>
      <c r="H60" s="195"/>
      <c r="I60" s="195"/>
      <c r="J60" s="195"/>
      <c r="K60" s="196"/>
      <c r="L60" s="197" t="s">
        <v>123</v>
      </c>
      <c r="M60" s="198"/>
      <c r="N60" s="199"/>
      <c r="O60" s="194" t="s">
        <v>21</v>
      </c>
      <c r="P60" s="195"/>
      <c r="Q60" s="195"/>
      <c r="R60" s="196"/>
      <c r="S60" s="194" t="s">
        <v>123</v>
      </c>
      <c r="T60" s="195"/>
      <c r="U60" s="195"/>
      <c r="V60" s="195"/>
      <c r="W60" s="195"/>
      <c r="X60" s="195"/>
      <c r="Y60" s="196"/>
      <c r="Z60" s="305" t="s">
        <v>114</v>
      </c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7"/>
      <c r="AQ60" s="185" t="s">
        <v>192</v>
      </c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7"/>
      <c r="BK60" s="46"/>
    </row>
    <row r="61" spans="1:63" s="47" customFormat="1" ht="15" customHeight="1" x14ac:dyDescent="0.25">
      <c r="A61" s="42"/>
      <c r="B61" s="49"/>
      <c r="C61" s="194">
        <v>24</v>
      </c>
      <c r="D61" s="196"/>
      <c r="E61" s="194" t="s">
        <v>62</v>
      </c>
      <c r="F61" s="195"/>
      <c r="G61" s="195"/>
      <c r="H61" s="195"/>
      <c r="I61" s="195"/>
      <c r="J61" s="195"/>
      <c r="K61" s="196"/>
      <c r="L61" s="197" t="s">
        <v>123</v>
      </c>
      <c r="M61" s="198"/>
      <c r="N61" s="199"/>
      <c r="O61" s="194" t="s">
        <v>21</v>
      </c>
      <c r="P61" s="195"/>
      <c r="Q61" s="195"/>
      <c r="R61" s="196"/>
      <c r="S61" s="194" t="s">
        <v>123</v>
      </c>
      <c r="T61" s="195"/>
      <c r="U61" s="195"/>
      <c r="V61" s="195"/>
      <c r="W61" s="195"/>
      <c r="X61" s="195"/>
      <c r="Y61" s="196"/>
      <c r="Z61" s="305" t="s">
        <v>115</v>
      </c>
      <c r="AA61" s="306"/>
      <c r="AB61" s="306"/>
      <c r="AC61" s="306"/>
      <c r="AD61" s="306"/>
      <c r="AE61" s="306"/>
      <c r="AF61" s="306"/>
      <c r="AG61" s="306"/>
      <c r="AH61" s="306"/>
      <c r="AI61" s="306"/>
      <c r="AJ61" s="306"/>
      <c r="AK61" s="306"/>
      <c r="AL61" s="306"/>
      <c r="AM61" s="306"/>
      <c r="AN61" s="306"/>
      <c r="AO61" s="306"/>
      <c r="AP61" s="307"/>
      <c r="AQ61" s="185" t="s">
        <v>192</v>
      </c>
      <c r="AR61" s="186"/>
      <c r="AS61" s="186"/>
      <c r="AT61" s="186"/>
      <c r="AU61" s="186"/>
      <c r="AV61" s="186"/>
      <c r="AW61" s="186"/>
      <c r="AX61" s="186"/>
      <c r="AY61" s="186"/>
      <c r="AZ61" s="186"/>
      <c r="BA61" s="186"/>
      <c r="BB61" s="186"/>
      <c r="BC61" s="186"/>
      <c r="BD61" s="186"/>
      <c r="BE61" s="186"/>
      <c r="BF61" s="186"/>
      <c r="BG61" s="186"/>
      <c r="BH61" s="186"/>
      <c r="BI61" s="186"/>
      <c r="BJ61" s="187"/>
      <c r="BK61" s="46"/>
    </row>
    <row r="62" spans="1:63" s="47" customFormat="1" ht="15" customHeight="1" x14ac:dyDescent="0.25">
      <c r="A62" s="42"/>
      <c r="B62" s="49"/>
      <c r="C62" s="194">
        <v>25</v>
      </c>
      <c r="D62" s="196"/>
      <c r="E62" s="194" t="s">
        <v>63</v>
      </c>
      <c r="F62" s="195"/>
      <c r="G62" s="195"/>
      <c r="H62" s="195"/>
      <c r="I62" s="195"/>
      <c r="J62" s="195"/>
      <c r="K62" s="196"/>
      <c r="L62" s="197" t="s">
        <v>123</v>
      </c>
      <c r="M62" s="198"/>
      <c r="N62" s="199"/>
      <c r="O62" s="194" t="s">
        <v>21</v>
      </c>
      <c r="P62" s="195"/>
      <c r="Q62" s="195"/>
      <c r="R62" s="196"/>
      <c r="S62" s="194" t="s">
        <v>123</v>
      </c>
      <c r="T62" s="195"/>
      <c r="U62" s="195"/>
      <c r="V62" s="195"/>
      <c r="W62" s="195"/>
      <c r="X62" s="195"/>
      <c r="Y62" s="196"/>
      <c r="Z62" s="305" t="s">
        <v>116</v>
      </c>
      <c r="AA62" s="306"/>
      <c r="AB62" s="306"/>
      <c r="AC62" s="306"/>
      <c r="AD62" s="306"/>
      <c r="AE62" s="306"/>
      <c r="AF62" s="306"/>
      <c r="AG62" s="306"/>
      <c r="AH62" s="306"/>
      <c r="AI62" s="306"/>
      <c r="AJ62" s="306"/>
      <c r="AK62" s="306"/>
      <c r="AL62" s="306"/>
      <c r="AM62" s="306"/>
      <c r="AN62" s="306"/>
      <c r="AO62" s="306"/>
      <c r="AP62" s="307"/>
      <c r="AQ62" s="185" t="s">
        <v>192</v>
      </c>
      <c r="AR62" s="186"/>
      <c r="AS62" s="186"/>
      <c r="AT62" s="186"/>
      <c r="AU62" s="186"/>
      <c r="AV62" s="186"/>
      <c r="AW62" s="186"/>
      <c r="AX62" s="186"/>
      <c r="AY62" s="186"/>
      <c r="AZ62" s="186"/>
      <c r="BA62" s="186"/>
      <c r="BB62" s="186"/>
      <c r="BC62" s="186"/>
      <c r="BD62" s="186"/>
      <c r="BE62" s="186"/>
      <c r="BF62" s="186"/>
      <c r="BG62" s="186"/>
      <c r="BH62" s="186"/>
      <c r="BI62" s="186"/>
      <c r="BJ62" s="187"/>
      <c r="BK62" s="46"/>
    </row>
    <row r="63" spans="1:63" s="68" customFormat="1" ht="150.75" customHeight="1" x14ac:dyDescent="0.25">
      <c r="A63" s="65"/>
      <c r="B63" s="66"/>
      <c r="C63" s="209">
        <v>26</v>
      </c>
      <c r="D63" s="210"/>
      <c r="E63" s="209" t="s">
        <v>193</v>
      </c>
      <c r="F63" s="211"/>
      <c r="G63" s="211"/>
      <c r="H63" s="211"/>
      <c r="I63" s="211"/>
      <c r="J63" s="211"/>
      <c r="K63" s="210"/>
      <c r="L63" s="212" t="s">
        <v>157</v>
      </c>
      <c r="M63" s="213"/>
      <c r="N63" s="214"/>
      <c r="O63" s="209" t="s">
        <v>154</v>
      </c>
      <c r="P63" s="211"/>
      <c r="Q63" s="211"/>
      <c r="R63" s="210"/>
      <c r="S63" s="209" t="s">
        <v>157</v>
      </c>
      <c r="T63" s="211"/>
      <c r="U63" s="211"/>
      <c r="V63" s="211"/>
      <c r="W63" s="211"/>
      <c r="X63" s="211"/>
      <c r="Y63" s="210"/>
      <c r="Z63" s="209" t="s">
        <v>194</v>
      </c>
      <c r="AA63" s="211"/>
      <c r="AB63" s="211"/>
      <c r="AC63" s="211"/>
      <c r="AD63" s="211"/>
      <c r="AE63" s="211"/>
      <c r="AF63" s="211"/>
      <c r="AG63" s="211"/>
      <c r="AH63" s="211"/>
      <c r="AI63" s="211"/>
      <c r="AJ63" s="211"/>
      <c r="AK63" s="211"/>
      <c r="AL63" s="211"/>
      <c r="AM63" s="211"/>
      <c r="AN63" s="211"/>
      <c r="AO63" s="211"/>
      <c r="AP63" s="210"/>
      <c r="AQ63" s="215" t="s">
        <v>195</v>
      </c>
      <c r="AR63" s="216"/>
      <c r="AS63" s="216"/>
      <c r="AT63" s="216"/>
      <c r="AU63" s="216"/>
      <c r="AV63" s="216"/>
      <c r="AW63" s="216"/>
      <c r="AX63" s="216"/>
      <c r="AY63" s="216"/>
      <c r="AZ63" s="216"/>
      <c r="BA63" s="216"/>
      <c r="BB63" s="216"/>
      <c r="BC63" s="216"/>
      <c r="BD63" s="216"/>
      <c r="BE63" s="216"/>
      <c r="BF63" s="216"/>
      <c r="BG63" s="216"/>
      <c r="BH63" s="216"/>
      <c r="BI63" s="216"/>
      <c r="BJ63" s="217"/>
      <c r="BK63" s="67"/>
    </row>
    <row r="64" spans="1:63" s="47" customFormat="1" ht="15" customHeight="1" x14ac:dyDescent="0.25">
      <c r="A64" s="42"/>
      <c r="B64" s="49"/>
      <c r="C64" s="194">
        <v>27</v>
      </c>
      <c r="D64" s="196"/>
      <c r="E64" s="194" t="s">
        <v>64</v>
      </c>
      <c r="F64" s="195"/>
      <c r="G64" s="195"/>
      <c r="H64" s="195"/>
      <c r="I64" s="195"/>
      <c r="J64" s="195"/>
      <c r="K64" s="196"/>
      <c r="L64" s="197" t="s">
        <v>123</v>
      </c>
      <c r="M64" s="198"/>
      <c r="N64" s="199"/>
      <c r="O64" s="194" t="s">
        <v>21</v>
      </c>
      <c r="P64" s="195"/>
      <c r="Q64" s="195"/>
      <c r="R64" s="196"/>
      <c r="S64" s="194" t="s">
        <v>123</v>
      </c>
      <c r="T64" s="195"/>
      <c r="U64" s="195"/>
      <c r="V64" s="195"/>
      <c r="W64" s="195"/>
      <c r="X64" s="195"/>
      <c r="Y64" s="196"/>
      <c r="Z64" s="305" t="s">
        <v>117</v>
      </c>
      <c r="AA64" s="306"/>
      <c r="AB64" s="306"/>
      <c r="AC64" s="306"/>
      <c r="AD64" s="306"/>
      <c r="AE64" s="306"/>
      <c r="AF64" s="306"/>
      <c r="AG64" s="306"/>
      <c r="AH64" s="306"/>
      <c r="AI64" s="306"/>
      <c r="AJ64" s="306"/>
      <c r="AK64" s="306"/>
      <c r="AL64" s="306"/>
      <c r="AM64" s="306"/>
      <c r="AN64" s="306"/>
      <c r="AO64" s="306"/>
      <c r="AP64" s="307"/>
      <c r="AQ64" s="185" t="s">
        <v>196</v>
      </c>
      <c r="AR64" s="186"/>
      <c r="AS64" s="186"/>
      <c r="AT64" s="186"/>
      <c r="AU64" s="186"/>
      <c r="AV64" s="186"/>
      <c r="AW64" s="186"/>
      <c r="AX64" s="186"/>
      <c r="AY64" s="186"/>
      <c r="AZ64" s="186"/>
      <c r="BA64" s="186"/>
      <c r="BB64" s="186"/>
      <c r="BC64" s="186"/>
      <c r="BD64" s="186"/>
      <c r="BE64" s="186"/>
      <c r="BF64" s="186"/>
      <c r="BG64" s="186"/>
      <c r="BH64" s="186"/>
      <c r="BI64" s="186"/>
      <c r="BJ64" s="187"/>
      <c r="BK64" s="46"/>
    </row>
    <row r="65" spans="1:63" s="47" customFormat="1" ht="15" customHeight="1" x14ac:dyDescent="0.25">
      <c r="A65" s="42"/>
      <c r="B65" s="49"/>
      <c r="C65" s="194">
        <v>28</v>
      </c>
      <c r="D65" s="196"/>
      <c r="E65" s="194" t="s">
        <v>65</v>
      </c>
      <c r="F65" s="195"/>
      <c r="G65" s="195"/>
      <c r="H65" s="195"/>
      <c r="I65" s="195"/>
      <c r="J65" s="195"/>
      <c r="K65" s="196"/>
      <c r="L65" s="197" t="s">
        <v>123</v>
      </c>
      <c r="M65" s="198"/>
      <c r="N65" s="199"/>
      <c r="O65" s="194" t="s">
        <v>21</v>
      </c>
      <c r="P65" s="195"/>
      <c r="Q65" s="195"/>
      <c r="R65" s="196"/>
      <c r="S65" s="194" t="s">
        <v>123</v>
      </c>
      <c r="T65" s="195"/>
      <c r="U65" s="195"/>
      <c r="V65" s="195"/>
      <c r="W65" s="195"/>
      <c r="X65" s="195"/>
      <c r="Y65" s="196"/>
      <c r="Z65" s="305" t="s">
        <v>118</v>
      </c>
      <c r="AA65" s="306"/>
      <c r="AB65" s="306"/>
      <c r="AC65" s="306"/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7"/>
      <c r="AQ65" s="185" t="s">
        <v>196</v>
      </c>
      <c r="AR65" s="186"/>
      <c r="AS65" s="186"/>
      <c r="AT65" s="186"/>
      <c r="AU65" s="186"/>
      <c r="AV65" s="186"/>
      <c r="AW65" s="186"/>
      <c r="AX65" s="186"/>
      <c r="AY65" s="186"/>
      <c r="AZ65" s="186"/>
      <c r="BA65" s="186"/>
      <c r="BB65" s="186"/>
      <c r="BC65" s="186"/>
      <c r="BD65" s="186"/>
      <c r="BE65" s="186"/>
      <c r="BF65" s="186"/>
      <c r="BG65" s="186"/>
      <c r="BH65" s="186"/>
      <c r="BI65" s="186"/>
      <c r="BJ65" s="187"/>
      <c r="BK65" s="46"/>
    </row>
    <row r="66" spans="1:63" s="47" customFormat="1" ht="15" customHeight="1" x14ac:dyDescent="0.25">
      <c r="A66" s="42"/>
      <c r="B66" s="49"/>
      <c r="C66" s="194">
        <v>29</v>
      </c>
      <c r="D66" s="196"/>
      <c r="E66" s="194" t="s">
        <v>66</v>
      </c>
      <c r="F66" s="195"/>
      <c r="G66" s="195"/>
      <c r="H66" s="195"/>
      <c r="I66" s="195"/>
      <c r="J66" s="195"/>
      <c r="K66" s="196"/>
      <c r="L66" s="197" t="s">
        <v>123</v>
      </c>
      <c r="M66" s="198"/>
      <c r="N66" s="199"/>
      <c r="O66" s="194" t="s">
        <v>21</v>
      </c>
      <c r="P66" s="195"/>
      <c r="Q66" s="195"/>
      <c r="R66" s="196"/>
      <c r="S66" s="194" t="s">
        <v>123</v>
      </c>
      <c r="T66" s="195"/>
      <c r="U66" s="195"/>
      <c r="V66" s="195"/>
      <c r="W66" s="195"/>
      <c r="X66" s="195"/>
      <c r="Y66" s="196"/>
      <c r="Z66" s="305" t="s">
        <v>119</v>
      </c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7"/>
      <c r="AQ66" s="185" t="s">
        <v>196</v>
      </c>
      <c r="AR66" s="186"/>
      <c r="AS66" s="186"/>
      <c r="AT66" s="186"/>
      <c r="AU66" s="186"/>
      <c r="AV66" s="186"/>
      <c r="AW66" s="186"/>
      <c r="AX66" s="186"/>
      <c r="AY66" s="186"/>
      <c r="AZ66" s="186"/>
      <c r="BA66" s="186"/>
      <c r="BB66" s="186"/>
      <c r="BC66" s="186"/>
      <c r="BD66" s="186"/>
      <c r="BE66" s="186"/>
      <c r="BF66" s="186"/>
      <c r="BG66" s="186"/>
      <c r="BH66" s="186"/>
      <c r="BI66" s="186"/>
      <c r="BJ66" s="187"/>
      <c r="BK66" s="46"/>
    </row>
    <row r="67" spans="1:63" s="47" customFormat="1" ht="15" customHeight="1" x14ac:dyDescent="0.25">
      <c r="A67" s="42"/>
      <c r="B67" s="49"/>
      <c r="C67" s="194">
        <v>30</v>
      </c>
      <c r="D67" s="196"/>
      <c r="E67" s="250" t="s">
        <v>197</v>
      </c>
      <c r="F67" s="251"/>
      <c r="G67" s="251"/>
      <c r="H67" s="251"/>
      <c r="I67" s="251"/>
      <c r="J67" s="251"/>
      <c r="K67" s="252"/>
      <c r="L67" s="265" t="s">
        <v>157</v>
      </c>
      <c r="M67" s="266"/>
      <c r="N67" s="267"/>
      <c r="O67" s="259" t="s">
        <v>198</v>
      </c>
      <c r="P67" s="260"/>
      <c r="Q67" s="260"/>
      <c r="R67" s="261"/>
      <c r="S67" s="259"/>
      <c r="T67" s="260"/>
      <c r="U67" s="260"/>
      <c r="V67" s="260"/>
      <c r="W67" s="260"/>
      <c r="X67" s="260"/>
      <c r="Y67" s="261"/>
      <c r="Z67" s="259"/>
      <c r="AA67" s="260"/>
      <c r="AB67" s="260"/>
      <c r="AC67" s="260"/>
      <c r="AD67" s="260"/>
      <c r="AE67" s="260"/>
      <c r="AF67" s="260"/>
      <c r="AG67" s="260"/>
      <c r="AH67" s="260"/>
      <c r="AI67" s="260"/>
      <c r="AJ67" s="260"/>
      <c r="AK67" s="260"/>
      <c r="AL67" s="260"/>
      <c r="AM67" s="260"/>
      <c r="AN67" s="260"/>
      <c r="AO67" s="260"/>
      <c r="AP67" s="261"/>
      <c r="AQ67" s="250"/>
      <c r="AR67" s="251"/>
      <c r="AS67" s="251"/>
      <c r="AT67" s="251"/>
      <c r="AU67" s="251"/>
      <c r="AV67" s="251"/>
      <c r="AW67" s="251"/>
      <c r="AX67" s="251"/>
      <c r="AY67" s="251"/>
      <c r="AZ67" s="251"/>
      <c r="BA67" s="251"/>
      <c r="BB67" s="251"/>
      <c r="BC67" s="251"/>
      <c r="BD67" s="251"/>
      <c r="BE67" s="251"/>
      <c r="BF67" s="251"/>
      <c r="BG67" s="251"/>
      <c r="BH67" s="251"/>
      <c r="BI67" s="251"/>
      <c r="BJ67" s="252"/>
      <c r="BK67" s="46"/>
    </row>
    <row r="68" spans="1:63" s="47" customFormat="1" ht="31.5" customHeight="1" x14ac:dyDescent="0.25">
      <c r="A68" s="42"/>
      <c r="B68" s="49"/>
      <c r="C68" s="194">
        <v>31</v>
      </c>
      <c r="D68" s="196"/>
      <c r="E68" s="253" t="s">
        <v>199</v>
      </c>
      <c r="F68" s="254"/>
      <c r="G68" s="254"/>
      <c r="H68" s="254"/>
      <c r="I68" s="254"/>
      <c r="J68" s="254"/>
      <c r="K68" s="255"/>
      <c r="L68" s="265" t="s">
        <v>157</v>
      </c>
      <c r="M68" s="266"/>
      <c r="N68" s="267"/>
      <c r="O68" s="253" t="s">
        <v>170</v>
      </c>
      <c r="P68" s="254"/>
      <c r="Q68" s="254"/>
      <c r="R68" s="255"/>
      <c r="S68" s="259" t="s">
        <v>157</v>
      </c>
      <c r="T68" s="260"/>
      <c r="U68" s="260"/>
      <c r="V68" s="260"/>
      <c r="W68" s="260"/>
      <c r="X68" s="260"/>
      <c r="Y68" s="261"/>
      <c r="Z68" s="256" t="s">
        <v>88</v>
      </c>
      <c r="AA68" s="257"/>
      <c r="AB68" s="257"/>
      <c r="AC68" s="257"/>
      <c r="AD68" s="257"/>
      <c r="AE68" s="257"/>
      <c r="AF68" s="257"/>
      <c r="AG68" s="257"/>
      <c r="AH68" s="257"/>
      <c r="AI68" s="257"/>
      <c r="AJ68" s="257"/>
      <c r="AK68" s="257"/>
      <c r="AL68" s="257"/>
      <c r="AM68" s="257"/>
      <c r="AN68" s="257"/>
      <c r="AO68" s="257"/>
      <c r="AP68" s="258"/>
      <c r="AQ68" s="250" t="s">
        <v>200</v>
      </c>
      <c r="AR68" s="251"/>
      <c r="AS68" s="251"/>
      <c r="AT68" s="251"/>
      <c r="AU68" s="251"/>
      <c r="AV68" s="251"/>
      <c r="AW68" s="251"/>
      <c r="AX68" s="251"/>
      <c r="AY68" s="251"/>
      <c r="AZ68" s="251"/>
      <c r="BA68" s="251"/>
      <c r="BB68" s="251"/>
      <c r="BC68" s="251"/>
      <c r="BD68" s="251"/>
      <c r="BE68" s="251"/>
      <c r="BF68" s="251"/>
      <c r="BG68" s="251"/>
      <c r="BH68" s="251"/>
      <c r="BI68" s="251"/>
      <c r="BJ68" s="252"/>
      <c r="BK68" s="46"/>
    </row>
    <row r="69" spans="1:63" s="47" customFormat="1" ht="31.5" customHeight="1" x14ac:dyDescent="0.25">
      <c r="A69" s="42"/>
      <c r="B69" s="49"/>
      <c r="C69" s="194">
        <v>32</v>
      </c>
      <c r="D69" s="196"/>
      <c r="E69" s="253" t="s">
        <v>201</v>
      </c>
      <c r="F69" s="254"/>
      <c r="G69" s="254"/>
      <c r="H69" s="254"/>
      <c r="I69" s="254"/>
      <c r="J69" s="254"/>
      <c r="K69" s="255"/>
      <c r="L69" s="265" t="s">
        <v>157</v>
      </c>
      <c r="M69" s="266"/>
      <c r="N69" s="267"/>
      <c r="O69" s="253" t="s">
        <v>170</v>
      </c>
      <c r="P69" s="254"/>
      <c r="Q69" s="254"/>
      <c r="R69" s="255"/>
      <c r="S69" s="259" t="s">
        <v>157</v>
      </c>
      <c r="T69" s="260"/>
      <c r="U69" s="260"/>
      <c r="V69" s="260"/>
      <c r="W69" s="260"/>
      <c r="X69" s="260"/>
      <c r="Y69" s="261"/>
      <c r="Z69" s="256" t="s">
        <v>89</v>
      </c>
      <c r="AA69" s="257" t="s">
        <v>89</v>
      </c>
      <c r="AB69" s="257" t="s">
        <v>89</v>
      </c>
      <c r="AC69" s="257" t="s">
        <v>89</v>
      </c>
      <c r="AD69" s="257" t="s">
        <v>89</v>
      </c>
      <c r="AE69" s="257" t="s">
        <v>89</v>
      </c>
      <c r="AF69" s="257" t="s">
        <v>89</v>
      </c>
      <c r="AG69" s="257" t="s">
        <v>89</v>
      </c>
      <c r="AH69" s="257" t="s">
        <v>89</v>
      </c>
      <c r="AI69" s="257" t="s">
        <v>89</v>
      </c>
      <c r="AJ69" s="257" t="s">
        <v>89</v>
      </c>
      <c r="AK69" s="257" t="s">
        <v>89</v>
      </c>
      <c r="AL69" s="257" t="s">
        <v>89</v>
      </c>
      <c r="AM69" s="257" t="s">
        <v>89</v>
      </c>
      <c r="AN69" s="257" t="s">
        <v>89</v>
      </c>
      <c r="AO69" s="257" t="s">
        <v>89</v>
      </c>
      <c r="AP69" s="258" t="s">
        <v>89</v>
      </c>
      <c r="AQ69" s="250" t="s">
        <v>187</v>
      </c>
      <c r="AR69" s="251"/>
      <c r="AS69" s="251"/>
      <c r="AT69" s="251"/>
      <c r="AU69" s="251"/>
      <c r="AV69" s="251"/>
      <c r="AW69" s="251"/>
      <c r="AX69" s="251"/>
      <c r="AY69" s="251"/>
      <c r="AZ69" s="251"/>
      <c r="BA69" s="251"/>
      <c r="BB69" s="251"/>
      <c r="BC69" s="251"/>
      <c r="BD69" s="251"/>
      <c r="BE69" s="251"/>
      <c r="BF69" s="251"/>
      <c r="BG69" s="251"/>
      <c r="BH69" s="251"/>
      <c r="BI69" s="251"/>
      <c r="BJ69" s="252"/>
      <c r="BK69" s="46"/>
    </row>
    <row r="70" spans="1:63" s="47" customFormat="1" ht="31.5" customHeight="1" x14ac:dyDescent="0.25">
      <c r="A70" s="42"/>
      <c r="B70" s="49"/>
      <c r="C70" s="194">
        <v>33</v>
      </c>
      <c r="D70" s="196"/>
      <c r="E70" s="253" t="s">
        <v>202</v>
      </c>
      <c r="F70" s="254"/>
      <c r="G70" s="254"/>
      <c r="H70" s="254"/>
      <c r="I70" s="254"/>
      <c r="J70" s="254"/>
      <c r="K70" s="255"/>
      <c r="L70" s="265" t="s">
        <v>157</v>
      </c>
      <c r="M70" s="266"/>
      <c r="N70" s="267"/>
      <c r="O70" s="253" t="s">
        <v>170</v>
      </c>
      <c r="P70" s="254"/>
      <c r="Q70" s="254"/>
      <c r="R70" s="255"/>
      <c r="S70" s="259" t="s">
        <v>157</v>
      </c>
      <c r="T70" s="260"/>
      <c r="U70" s="260"/>
      <c r="V70" s="260"/>
      <c r="W70" s="260"/>
      <c r="X70" s="260"/>
      <c r="Y70" s="261"/>
      <c r="Z70" s="256" t="s">
        <v>90</v>
      </c>
      <c r="AA70" s="257" t="s">
        <v>90</v>
      </c>
      <c r="AB70" s="257" t="s">
        <v>90</v>
      </c>
      <c r="AC70" s="257" t="s">
        <v>90</v>
      </c>
      <c r="AD70" s="257" t="s">
        <v>90</v>
      </c>
      <c r="AE70" s="257" t="s">
        <v>90</v>
      </c>
      <c r="AF70" s="257" t="s">
        <v>90</v>
      </c>
      <c r="AG70" s="257" t="s">
        <v>90</v>
      </c>
      <c r="AH70" s="257" t="s">
        <v>90</v>
      </c>
      <c r="AI70" s="257" t="s">
        <v>90</v>
      </c>
      <c r="AJ70" s="257" t="s">
        <v>90</v>
      </c>
      <c r="AK70" s="257" t="s">
        <v>90</v>
      </c>
      <c r="AL70" s="257" t="s">
        <v>90</v>
      </c>
      <c r="AM70" s="257" t="s">
        <v>90</v>
      </c>
      <c r="AN70" s="257" t="s">
        <v>90</v>
      </c>
      <c r="AO70" s="257" t="s">
        <v>90</v>
      </c>
      <c r="AP70" s="258" t="s">
        <v>90</v>
      </c>
      <c r="AQ70" s="250" t="s">
        <v>187</v>
      </c>
      <c r="AR70" s="251"/>
      <c r="AS70" s="251"/>
      <c r="AT70" s="251"/>
      <c r="AU70" s="251"/>
      <c r="AV70" s="251"/>
      <c r="AW70" s="251"/>
      <c r="AX70" s="251"/>
      <c r="AY70" s="251"/>
      <c r="AZ70" s="251"/>
      <c r="BA70" s="251"/>
      <c r="BB70" s="251"/>
      <c r="BC70" s="251"/>
      <c r="BD70" s="251"/>
      <c r="BE70" s="251"/>
      <c r="BF70" s="251"/>
      <c r="BG70" s="251"/>
      <c r="BH70" s="251"/>
      <c r="BI70" s="251"/>
      <c r="BJ70" s="252"/>
      <c r="BK70" s="46"/>
    </row>
    <row r="71" spans="1:63" s="47" customFormat="1" ht="31.5" customHeight="1" x14ac:dyDescent="0.25">
      <c r="A71" s="42"/>
      <c r="B71" s="49"/>
      <c r="C71" s="194">
        <v>34</v>
      </c>
      <c r="D71" s="196"/>
      <c r="E71" s="253" t="s">
        <v>203</v>
      </c>
      <c r="F71" s="254"/>
      <c r="G71" s="254"/>
      <c r="H71" s="254"/>
      <c r="I71" s="254"/>
      <c r="J71" s="254"/>
      <c r="K71" s="255"/>
      <c r="L71" s="265" t="s">
        <v>157</v>
      </c>
      <c r="M71" s="266"/>
      <c r="N71" s="267"/>
      <c r="O71" s="253" t="s">
        <v>170</v>
      </c>
      <c r="P71" s="254"/>
      <c r="Q71" s="254"/>
      <c r="R71" s="255"/>
      <c r="S71" s="259" t="s">
        <v>157</v>
      </c>
      <c r="T71" s="260"/>
      <c r="U71" s="260"/>
      <c r="V71" s="260"/>
      <c r="W71" s="260"/>
      <c r="X71" s="260"/>
      <c r="Y71" s="261"/>
      <c r="Z71" s="256" t="s">
        <v>91</v>
      </c>
      <c r="AA71" s="257" t="s">
        <v>91</v>
      </c>
      <c r="AB71" s="257" t="s">
        <v>91</v>
      </c>
      <c r="AC71" s="257" t="s">
        <v>91</v>
      </c>
      <c r="AD71" s="257" t="s">
        <v>91</v>
      </c>
      <c r="AE71" s="257" t="s">
        <v>91</v>
      </c>
      <c r="AF71" s="257" t="s">
        <v>91</v>
      </c>
      <c r="AG71" s="257" t="s">
        <v>91</v>
      </c>
      <c r="AH71" s="257" t="s">
        <v>91</v>
      </c>
      <c r="AI71" s="257" t="s">
        <v>91</v>
      </c>
      <c r="AJ71" s="257" t="s">
        <v>91</v>
      </c>
      <c r="AK71" s="257" t="s">
        <v>91</v>
      </c>
      <c r="AL71" s="257" t="s">
        <v>91</v>
      </c>
      <c r="AM71" s="257" t="s">
        <v>91</v>
      </c>
      <c r="AN71" s="257" t="s">
        <v>91</v>
      </c>
      <c r="AO71" s="257" t="s">
        <v>91</v>
      </c>
      <c r="AP71" s="258" t="s">
        <v>91</v>
      </c>
      <c r="AQ71" s="250" t="s">
        <v>187</v>
      </c>
      <c r="AR71" s="251"/>
      <c r="AS71" s="251"/>
      <c r="AT71" s="251"/>
      <c r="AU71" s="251"/>
      <c r="AV71" s="251"/>
      <c r="AW71" s="251"/>
      <c r="AX71" s="251"/>
      <c r="AY71" s="251"/>
      <c r="AZ71" s="251"/>
      <c r="BA71" s="251"/>
      <c r="BB71" s="251"/>
      <c r="BC71" s="251"/>
      <c r="BD71" s="251"/>
      <c r="BE71" s="251"/>
      <c r="BF71" s="251"/>
      <c r="BG71" s="251"/>
      <c r="BH71" s="251"/>
      <c r="BI71" s="251"/>
      <c r="BJ71" s="252"/>
      <c r="BK71" s="46"/>
    </row>
    <row r="72" spans="1:63" s="47" customFormat="1" ht="31.5" customHeight="1" x14ac:dyDescent="0.25">
      <c r="A72" s="42"/>
      <c r="B72" s="49"/>
      <c r="C72" s="194">
        <v>35</v>
      </c>
      <c r="D72" s="196"/>
      <c r="E72" s="253" t="s">
        <v>204</v>
      </c>
      <c r="F72" s="254"/>
      <c r="G72" s="254"/>
      <c r="H72" s="254"/>
      <c r="I72" s="254"/>
      <c r="J72" s="254"/>
      <c r="K72" s="255"/>
      <c r="L72" s="265" t="s">
        <v>157</v>
      </c>
      <c r="M72" s="266"/>
      <c r="N72" s="267"/>
      <c r="O72" s="253" t="s">
        <v>170</v>
      </c>
      <c r="P72" s="254"/>
      <c r="Q72" s="254"/>
      <c r="R72" s="255"/>
      <c r="S72" s="259" t="s">
        <v>157</v>
      </c>
      <c r="T72" s="260"/>
      <c r="U72" s="260"/>
      <c r="V72" s="260"/>
      <c r="W72" s="260"/>
      <c r="X72" s="260"/>
      <c r="Y72" s="261"/>
      <c r="Z72" s="256" t="s">
        <v>92</v>
      </c>
      <c r="AA72" s="257" t="s">
        <v>92</v>
      </c>
      <c r="AB72" s="257" t="s">
        <v>92</v>
      </c>
      <c r="AC72" s="257" t="s">
        <v>92</v>
      </c>
      <c r="AD72" s="257" t="s">
        <v>92</v>
      </c>
      <c r="AE72" s="257" t="s">
        <v>92</v>
      </c>
      <c r="AF72" s="257" t="s">
        <v>92</v>
      </c>
      <c r="AG72" s="257" t="s">
        <v>92</v>
      </c>
      <c r="AH72" s="257" t="s">
        <v>92</v>
      </c>
      <c r="AI72" s="257" t="s">
        <v>92</v>
      </c>
      <c r="AJ72" s="257" t="s">
        <v>92</v>
      </c>
      <c r="AK72" s="257" t="s">
        <v>92</v>
      </c>
      <c r="AL72" s="257" t="s">
        <v>92</v>
      </c>
      <c r="AM72" s="257" t="s">
        <v>92</v>
      </c>
      <c r="AN72" s="257" t="s">
        <v>92</v>
      </c>
      <c r="AO72" s="257" t="s">
        <v>92</v>
      </c>
      <c r="AP72" s="258" t="s">
        <v>92</v>
      </c>
      <c r="AQ72" s="250" t="s">
        <v>187</v>
      </c>
      <c r="AR72" s="251"/>
      <c r="AS72" s="251"/>
      <c r="AT72" s="251"/>
      <c r="AU72" s="251"/>
      <c r="AV72" s="251"/>
      <c r="AW72" s="251"/>
      <c r="AX72" s="251"/>
      <c r="AY72" s="251"/>
      <c r="AZ72" s="251"/>
      <c r="BA72" s="251"/>
      <c r="BB72" s="251"/>
      <c r="BC72" s="251"/>
      <c r="BD72" s="251"/>
      <c r="BE72" s="251"/>
      <c r="BF72" s="251"/>
      <c r="BG72" s="251"/>
      <c r="BH72" s="251"/>
      <c r="BI72" s="251"/>
      <c r="BJ72" s="252"/>
      <c r="BK72" s="46"/>
    </row>
    <row r="73" spans="1:63" s="47" customFormat="1" ht="31.5" customHeight="1" x14ac:dyDescent="0.25">
      <c r="A73" s="42"/>
      <c r="B73" s="49"/>
      <c r="C73" s="194">
        <v>36</v>
      </c>
      <c r="D73" s="196"/>
      <c r="E73" s="253" t="s">
        <v>205</v>
      </c>
      <c r="F73" s="254"/>
      <c r="G73" s="254"/>
      <c r="H73" s="254"/>
      <c r="I73" s="254"/>
      <c r="J73" s="254"/>
      <c r="K73" s="255"/>
      <c r="L73" s="265" t="s">
        <v>157</v>
      </c>
      <c r="M73" s="266"/>
      <c r="N73" s="267"/>
      <c r="O73" s="253" t="s">
        <v>170</v>
      </c>
      <c r="P73" s="254"/>
      <c r="Q73" s="254"/>
      <c r="R73" s="255"/>
      <c r="S73" s="259" t="s">
        <v>157</v>
      </c>
      <c r="T73" s="260"/>
      <c r="U73" s="260"/>
      <c r="V73" s="260"/>
      <c r="W73" s="260"/>
      <c r="X73" s="260"/>
      <c r="Y73" s="261"/>
      <c r="Z73" s="256" t="s">
        <v>93</v>
      </c>
      <c r="AA73" s="257" t="s">
        <v>93</v>
      </c>
      <c r="AB73" s="257" t="s">
        <v>93</v>
      </c>
      <c r="AC73" s="257" t="s">
        <v>93</v>
      </c>
      <c r="AD73" s="257" t="s">
        <v>93</v>
      </c>
      <c r="AE73" s="257" t="s">
        <v>93</v>
      </c>
      <c r="AF73" s="257" t="s">
        <v>93</v>
      </c>
      <c r="AG73" s="257" t="s">
        <v>93</v>
      </c>
      <c r="AH73" s="257" t="s">
        <v>93</v>
      </c>
      <c r="AI73" s="257" t="s">
        <v>93</v>
      </c>
      <c r="AJ73" s="257" t="s">
        <v>93</v>
      </c>
      <c r="AK73" s="257" t="s">
        <v>93</v>
      </c>
      <c r="AL73" s="257" t="s">
        <v>93</v>
      </c>
      <c r="AM73" s="257" t="s">
        <v>93</v>
      </c>
      <c r="AN73" s="257" t="s">
        <v>93</v>
      </c>
      <c r="AO73" s="257" t="s">
        <v>93</v>
      </c>
      <c r="AP73" s="258" t="s">
        <v>93</v>
      </c>
      <c r="AQ73" s="250" t="s">
        <v>187</v>
      </c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  <c r="BH73" s="251"/>
      <c r="BI73" s="251"/>
      <c r="BJ73" s="252"/>
      <c r="BK73" s="46"/>
    </row>
    <row r="74" spans="1:63" s="47" customFormat="1" ht="31.5" customHeight="1" x14ac:dyDescent="0.25">
      <c r="A74" s="42"/>
      <c r="B74" s="49"/>
      <c r="C74" s="194">
        <v>37</v>
      </c>
      <c r="D74" s="196"/>
      <c r="E74" s="253" t="s">
        <v>206</v>
      </c>
      <c r="F74" s="254"/>
      <c r="G74" s="254"/>
      <c r="H74" s="254"/>
      <c r="I74" s="254"/>
      <c r="J74" s="254"/>
      <c r="K74" s="255"/>
      <c r="L74" s="265" t="s">
        <v>157</v>
      </c>
      <c r="M74" s="266"/>
      <c r="N74" s="267"/>
      <c r="O74" s="253" t="s">
        <v>170</v>
      </c>
      <c r="P74" s="254"/>
      <c r="Q74" s="254"/>
      <c r="R74" s="255"/>
      <c r="S74" s="259" t="s">
        <v>157</v>
      </c>
      <c r="T74" s="260"/>
      <c r="U74" s="260"/>
      <c r="V74" s="260"/>
      <c r="W74" s="260"/>
      <c r="X74" s="260"/>
      <c r="Y74" s="261"/>
      <c r="Z74" s="256" t="s">
        <v>94</v>
      </c>
      <c r="AA74" s="257" t="s">
        <v>94</v>
      </c>
      <c r="AB74" s="257" t="s">
        <v>94</v>
      </c>
      <c r="AC74" s="257" t="s">
        <v>94</v>
      </c>
      <c r="AD74" s="257" t="s">
        <v>94</v>
      </c>
      <c r="AE74" s="257" t="s">
        <v>94</v>
      </c>
      <c r="AF74" s="257" t="s">
        <v>94</v>
      </c>
      <c r="AG74" s="257" t="s">
        <v>94</v>
      </c>
      <c r="AH74" s="257" t="s">
        <v>94</v>
      </c>
      <c r="AI74" s="257" t="s">
        <v>94</v>
      </c>
      <c r="AJ74" s="257" t="s">
        <v>94</v>
      </c>
      <c r="AK74" s="257" t="s">
        <v>94</v>
      </c>
      <c r="AL74" s="257" t="s">
        <v>94</v>
      </c>
      <c r="AM74" s="257" t="s">
        <v>94</v>
      </c>
      <c r="AN74" s="257" t="s">
        <v>94</v>
      </c>
      <c r="AO74" s="257" t="s">
        <v>94</v>
      </c>
      <c r="AP74" s="258" t="s">
        <v>94</v>
      </c>
      <c r="AQ74" s="250" t="s">
        <v>187</v>
      </c>
      <c r="AR74" s="251"/>
      <c r="AS74" s="251"/>
      <c r="AT74" s="251"/>
      <c r="AU74" s="251"/>
      <c r="AV74" s="251"/>
      <c r="AW74" s="251"/>
      <c r="AX74" s="251"/>
      <c r="AY74" s="251"/>
      <c r="AZ74" s="251"/>
      <c r="BA74" s="251"/>
      <c r="BB74" s="251"/>
      <c r="BC74" s="251"/>
      <c r="BD74" s="251"/>
      <c r="BE74" s="251"/>
      <c r="BF74" s="251"/>
      <c r="BG74" s="251"/>
      <c r="BH74" s="251"/>
      <c r="BI74" s="251"/>
      <c r="BJ74" s="252"/>
      <c r="BK74" s="46"/>
    </row>
    <row r="75" spans="1:63" s="47" customFormat="1" ht="31.5" customHeight="1" x14ac:dyDescent="0.25">
      <c r="A75" s="42"/>
      <c r="B75" s="49"/>
      <c r="C75" s="194">
        <v>38</v>
      </c>
      <c r="D75" s="196"/>
      <c r="E75" s="253" t="s">
        <v>207</v>
      </c>
      <c r="F75" s="254"/>
      <c r="G75" s="254"/>
      <c r="H75" s="254"/>
      <c r="I75" s="254"/>
      <c r="J75" s="254"/>
      <c r="K75" s="255"/>
      <c r="L75" s="265" t="s">
        <v>157</v>
      </c>
      <c r="M75" s="266"/>
      <c r="N75" s="267"/>
      <c r="O75" s="253" t="s">
        <v>170</v>
      </c>
      <c r="P75" s="254"/>
      <c r="Q75" s="254"/>
      <c r="R75" s="255"/>
      <c r="S75" s="259" t="s">
        <v>157</v>
      </c>
      <c r="T75" s="260"/>
      <c r="U75" s="260"/>
      <c r="V75" s="260"/>
      <c r="W75" s="260"/>
      <c r="X75" s="260"/>
      <c r="Y75" s="261"/>
      <c r="Z75" s="256" t="s">
        <v>95</v>
      </c>
      <c r="AA75" s="257" t="s">
        <v>95</v>
      </c>
      <c r="AB75" s="257" t="s">
        <v>95</v>
      </c>
      <c r="AC75" s="257" t="s">
        <v>95</v>
      </c>
      <c r="AD75" s="257" t="s">
        <v>95</v>
      </c>
      <c r="AE75" s="257" t="s">
        <v>95</v>
      </c>
      <c r="AF75" s="257" t="s">
        <v>95</v>
      </c>
      <c r="AG75" s="257" t="s">
        <v>95</v>
      </c>
      <c r="AH75" s="257" t="s">
        <v>95</v>
      </c>
      <c r="AI75" s="257" t="s">
        <v>95</v>
      </c>
      <c r="AJ75" s="257" t="s">
        <v>95</v>
      </c>
      <c r="AK75" s="257" t="s">
        <v>95</v>
      </c>
      <c r="AL75" s="257" t="s">
        <v>95</v>
      </c>
      <c r="AM75" s="257" t="s">
        <v>95</v>
      </c>
      <c r="AN75" s="257" t="s">
        <v>95</v>
      </c>
      <c r="AO75" s="257" t="s">
        <v>95</v>
      </c>
      <c r="AP75" s="258" t="s">
        <v>95</v>
      </c>
      <c r="AQ75" s="250" t="s">
        <v>187</v>
      </c>
      <c r="AR75" s="251"/>
      <c r="AS75" s="251"/>
      <c r="AT75" s="251"/>
      <c r="AU75" s="251"/>
      <c r="AV75" s="251"/>
      <c r="AW75" s="251"/>
      <c r="AX75" s="251"/>
      <c r="AY75" s="251"/>
      <c r="AZ75" s="251"/>
      <c r="BA75" s="251"/>
      <c r="BB75" s="251"/>
      <c r="BC75" s="251"/>
      <c r="BD75" s="251"/>
      <c r="BE75" s="251"/>
      <c r="BF75" s="251"/>
      <c r="BG75" s="251"/>
      <c r="BH75" s="251"/>
      <c r="BI75" s="251"/>
      <c r="BJ75" s="252"/>
      <c r="BK75" s="46"/>
    </row>
    <row r="76" spans="1:63" s="47" customFormat="1" ht="31.5" customHeight="1" x14ac:dyDescent="0.25">
      <c r="A76" s="42"/>
      <c r="B76" s="49"/>
      <c r="C76" s="194">
        <v>39</v>
      </c>
      <c r="D76" s="196"/>
      <c r="E76" s="253" t="s">
        <v>208</v>
      </c>
      <c r="F76" s="254"/>
      <c r="G76" s="254"/>
      <c r="H76" s="254"/>
      <c r="I76" s="254"/>
      <c r="J76" s="254"/>
      <c r="K76" s="255"/>
      <c r="L76" s="265" t="s">
        <v>157</v>
      </c>
      <c r="M76" s="266"/>
      <c r="N76" s="267"/>
      <c r="O76" s="253" t="s">
        <v>170</v>
      </c>
      <c r="P76" s="254"/>
      <c r="Q76" s="254"/>
      <c r="R76" s="255"/>
      <c r="S76" s="259" t="s">
        <v>157</v>
      </c>
      <c r="T76" s="260"/>
      <c r="U76" s="260"/>
      <c r="V76" s="260"/>
      <c r="W76" s="260"/>
      <c r="X76" s="260"/>
      <c r="Y76" s="261"/>
      <c r="Z76" s="256" t="s">
        <v>96</v>
      </c>
      <c r="AA76" s="257" t="s">
        <v>96</v>
      </c>
      <c r="AB76" s="257" t="s">
        <v>96</v>
      </c>
      <c r="AC76" s="257" t="s">
        <v>96</v>
      </c>
      <c r="AD76" s="257" t="s">
        <v>96</v>
      </c>
      <c r="AE76" s="257" t="s">
        <v>96</v>
      </c>
      <c r="AF76" s="257" t="s">
        <v>96</v>
      </c>
      <c r="AG76" s="257" t="s">
        <v>96</v>
      </c>
      <c r="AH76" s="257" t="s">
        <v>96</v>
      </c>
      <c r="AI76" s="257" t="s">
        <v>96</v>
      </c>
      <c r="AJ76" s="257" t="s">
        <v>96</v>
      </c>
      <c r="AK76" s="257" t="s">
        <v>96</v>
      </c>
      <c r="AL76" s="257" t="s">
        <v>96</v>
      </c>
      <c r="AM76" s="257" t="s">
        <v>96</v>
      </c>
      <c r="AN76" s="257" t="s">
        <v>96</v>
      </c>
      <c r="AO76" s="257" t="s">
        <v>96</v>
      </c>
      <c r="AP76" s="258" t="s">
        <v>96</v>
      </c>
      <c r="AQ76" s="250" t="s">
        <v>187</v>
      </c>
      <c r="AR76" s="251"/>
      <c r="AS76" s="251"/>
      <c r="AT76" s="251"/>
      <c r="AU76" s="251"/>
      <c r="AV76" s="251"/>
      <c r="AW76" s="251"/>
      <c r="AX76" s="251"/>
      <c r="AY76" s="251"/>
      <c r="AZ76" s="251"/>
      <c r="BA76" s="251"/>
      <c r="BB76" s="251"/>
      <c r="BC76" s="251"/>
      <c r="BD76" s="251"/>
      <c r="BE76" s="251"/>
      <c r="BF76" s="251"/>
      <c r="BG76" s="251"/>
      <c r="BH76" s="251"/>
      <c r="BI76" s="251"/>
      <c r="BJ76" s="252"/>
      <c r="BK76" s="46"/>
    </row>
    <row r="77" spans="1:63" s="47" customFormat="1" ht="31.5" customHeight="1" x14ac:dyDescent="0.25">
      <c r="A77" s="42"/>
      <c r="B77" s="49"/>
      <c r="C77" s="194">
        <v>40</v>
      </c>
      <c r="D77" s="196"/>
      <c r="E77" s="253" t="s">
        <v>209</v>
      </c>
      <c r="F77" s="254"/>
      <c r="G77" s="254"/>
      <c r="H77" s="254"/>
      <c r="I77" s="254"/>
      <c r="J77" s="254"/>
      <c r="K77" s="255"/>
      <c r="L77" s="265" t="s">
        <v>157</v>
      </c>
      <c r="M77" s="266"/>
      <c r="N77" s="267"/>
      <c r="O77" s="253" t="s">
        <v>170</v>
      </c>
      <c r="P77" s="254"/>
      <c r="Q77" s="254"/>
      <c r="R77" s="255"/>
      <c r="S77" s="259" t="s">
        <v>157</v>
      </c>
      <c r="T77" s="260"/>
      <c r="U77" s="260"/>
      <c r="V77" s="260"/>
      <c r="W77" s="260"/>
      <c r="X77" s="260"/>
      <c r="Y77" s="261"/>
      <c r="Z77" s="256" t="s">
        <v>97</v>
      </c>
      <c r="AA77" s="257" t="s">
        <v>97</v>
      </c>
      <c r="AB77" s="257" t="s">
        <v>97</v>
      </c>
      <c r="AC77" s="257" t="s">
        <v>97</v>
      </c>
      <c r="AD77" s="257" t="s">
        <v>97</v>
      </c>
      <c r="AE77" s="257" t="s">
        <v>97</v>
      </c>
      <c r="AF77" s="257" t="s">
        <v>97</v>
      </c>
      <c r="AG77" s="257" t="s">
        <v>97</v>
      </c>
      <c r="AH77" s="257" t="s">
        <v>97</v>
      </c>
      <c r="AI77" s="257" t="s">
        <v>97</v>
      </c>
      <c r="AJ77" s="257" t="s">
        <v>97</v>
      </c>
      <c r="AK77" s="257" t="s">
        <v>97</v>
      </c>
      <c r="AL77" s="257" t="s">
        <v>97</v>
      </c>
      <c r="AM77" s="257" t="s">
        <v>97</v>
      </c>
      <c r="AN77" s="257" t="s">
        <v>97</v>
      </c>
      <c r="AO77" s="257" t="s">
        <v>97</v>
      </c>
      <c r="AP77" s="258" t="s">
        <v>97</v>
      </c>
      <c r="AQ77" s="250" t="s">
        <v>187</v>
      </c>
      <c r="AR77" s="251"/>
      <c r="AS77" s="251"/>
      <c r="AT77" s="251"/>
      <c r="AU77" s="251"/>
      <c r="AV77" s="251"/>
      <c r="AW77" s="251"/>
      <c r="AX77" s="251"/>
      <c r="AY77" s="251"/>
      <c r="AZ77" s="251"/>
      <c r="BA77" s="251"/>
      <c r="BB77" s="251"/>
      <c r="BC77" s="251"/>
      <c r="BD77" s="251"/>
      <c r="BE77" s="251"/>
      <c r="BF77" s="251"/>
      <c r="BG77" s="251"/>
      <c r="BH77" s="251"/>
      <c r="BI77" s="251"/>
      <c r="BJ77" s="252"/>
      <c r="BK77" s="46"/>
    </row>
    <row r="78" spans="1:63" s="47" customFormat="1" ht="31.5" customHeight="1" x14ac:dyDescent="0.25">
      <c r="A78" s="42"/>
      <c r="B78" s="49"/>
      <c r="C78" s="194">
        <v>41</v>
      </c>
      <c r="D78" s="196"/>
      <c r="E78" s="262" t="s">
        <v>210</v>
      </c>
      <c r="F78" s="263"/>
      <c r="G78" s="263"/>
      <c r="H78" s="263"/>
      <c r="I78" s="263"/>
      <c r="J78" s="263"/>
      <c r="K78" s="264"/>
      <c r="L78" s="265" t="s">
        <v>157</v>
      </c>
      <c r="M78" s="266"/>
      <c r="N78" s="267"/>
      <c r="O78" s="253" t="s">
        <v>170</v>
      </c>
      <c r="P78" s="254"/>
      <c r="Q78" s="254"/>
      <c r="R78" s="255"/>
      <c r="S78" s="259" t="s">
        <v>157</v>
      </c>
      <c r="T78" s="260"/>
      <c r="U78" s="260"/>
      <c r="V78" s="260"/>
      <c r="W78" s="260"/>
      <c r="X78" s="260"/>
      <c r="Y78" s="261"/>
      <c r="Z78" s="256" t="s">
        <v>98</v>
      </c>
      <c r="AA78" s="257" t="s">
        <v>98</v>
      </c>
      <c r="AB78" s="257" t="s">
        <v>98</v>
      </c>
      <c r="AC78" s="257" t="s">
        <v>98</v>
      </c>
      <c r="AD78" s="257" t="s">
        <v>98</v>
      </c>
      <c r="AE78" s="257" t="s">
        <v>98</v>
      </c>
      <c r="AF78" s="257" t="s">
        <v>98</v>
      </c>
      <c r="AG78" s="257" t="s">
        <v>98</v>
      </c>
      <c r="AH78" s="257" t="s">
        <v>98</v>
      </c>
      <c r="AI78" s="257" t="s">
        <v>98</v>
      </c>
      <c r="AJ78" s="257" t="s">
        <v>98</v>
      </c>
      <c r="AK78" s="257" t="s">
        <v>98</v>
      </c>
      <c r="AL78" s="257" t="s">
        <v>98</v>
      </c>
      <c r="AM78" s="257" t="s">
        <v>98</v>
      </c>
      <c r="AN78" s="257" t="s">
        <v>98</v>
      </c>
      <c r="AO78" s="257" t="s">
        <v>98</v>
      </c>
      <c r="AP78" s="258" t="s">
        <v>98</v>
      </c>
      <c r="AQ78" s="250" t="s">
        <v>187</v>
      </c>
      <c r="AR78" s="251"/>
      <c r="AS78" s="251"/>
      <c r="AT78" s="251"/>
      <c r="AU78" s="251"/>
      <c r="AV78" s="251"/>
      <c r="AW78" s="251"/>
      <c r="AX78" s="251"/>
      <c r="AY78" s="251"/>
      <c r="AZ78" s="251"/>
      <c r="BA78" s="251"/>
      <c r="BB78" s="251"/>
      <c r="BC78" s="251"/>
      <c r="BD78" s="251"/>
      <c r="BE78" s="251"/>
      <c r="BF78" s="251"/>
      <c r="BG78" s="251"/>
      <c r="BH78" s="251"/>
      <c r="BI78" s="251"/>
      <c r="BJ78" s="252"/>
      <c r="BK78" s="46"/>
    </row>
    <row r="79" spans="1:63" s="47" customFormat="1" ht="31.5" customHeight="1" x14ac:dyDescent="0.25">
      <c r="A79" s="42"/>
      <c r="B79" s="49"/>
      <c r="C79" s="194">
        <v>42</v>
      </c>
      <c r="D79" s="196"/>
      <c r="E79" s="253" t="s">
        <v>211</v>
      </c>
      <c r="F79" s="254"/>
      <c r="G79" s="254"/>
      <c r="H79" s="254"/>
      <c r="I79" s="254"/>
      <c r="J79" s="254"/>
      <c r="K79" s="255"/>
      <c r="L79" s="265" t="s">
        <v>157</v>
      </c>
      <c r="M79" s="266"/>
      <c r="N79" s="267"/>
      <c r="O79" s="253" t="s">
        <v>170</v>
      </c>
      <c r="P79" s="254"/>
      <c r="Q79" s="254"/>
      <c r="R79" s="255"/>
      <c r="S79" s="259" t="s">
        <v>157</v>
      </c>
      <c r="T79" s="260"/>
      <c r="U79" s="260"/>
      <c r="V79" s="260"/>
      <c r="W79" s="260"/>
      <c r="X79" s="260"/>
      <c r="Y79" s="261"/>
      <c r="Z79" s="256" t="s">
        <v>99</v>
      </c>
      <c r="AA79" s="257" t="s">
        <v>99</v>
      </c>
      <c r="AB79" s="257" t="s">
        <v>99</v>
      </c>
      <c r="AC79" s="257" t="s">
        <v>99</v>
      </c>
      <c r="AD79" s="257" t="s">
        <v>99</v>
      </c>
      <c r="AE79" s="257" t="s">
        <v>99</v>
      </c>
      <c r="AF79" s="257" t="s">
        <v>99</v>
      </c>
      <c r="AG79" s="257" t="s">
        <v>99</v>
      </c>
      <c r="AH79" s="257" t="s">
        <v>99</v>
      </c>
      <c r="AI79" s="257" t="s">
        <v>99</v>
      </c>
      <c r="AJ79" s="257" t="s">
        <v>99</v>
      </c>
      <c r="AK79" s="257" t="s">
        <v>99</v>
      </c>
      <c r="AL79" s="257" t="s">
        <v>99</v>
      </c>
      <c r="AM79" s="257" t="s">
        <v>99</v>
      </c>
      <c r="AN79" s="257" t="s">
        <v>99</v>
      </c>
      <c r="AO79" s="257" t="s">
        <v>99</v>
      </c>
      <c r="AP79" s="258" t="s">
        <v>99</v>
      </c>
      <c r="AQ79" s="250" t="s">
        <v>187</v>
      </c>
      <c r="AR79" s="251"/>
      <c r="AS79" s="251"/>
      <c r="AT79" s="251"/>
      <c r="AU79" s="251"/>
      <c r="AV79" s="251"/>
      <c r="AW79" s="251"/>
      <c r="AX79" s="251"/>
      <c r="AY79" s="251"/>
      <c r="AZ79" s="251"/>
      <c r="BA79" s="251"/>
      <c r="BB79" s="251"/>
      <c r="BC79" s="251"/>
      <c r="BD79" s="251"/>
      <c r="BE79" s="251"/>
      <c r="BF79" s="251"/>
      <c r="BG79" s="251"/>
      <c r="BH79" s="251"/>
      <c r="BI79" s="251"/>
      <c r="BJ79" s="252"/>
      <c r="BK79" s="46"/>
    </row>
    <row r="80" spans="1:63" s="47" customFormat="1" ht="15" customHeight="1" x14ac:dyDescent="0.25">
      <c r="A80" s="42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69"/>
      <c r="M80" s="69"/>
      <c r="N80" s="6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304"/>
      <c r="AA80" s="304"/>
      <c r="AB80" s="304"/>
      <c r="AC80" s="304"/>
      <c r="AD80" s="304"/>
      <c r="AE80" s="304"/>
      <c r="AF80" s="304"/>
      <c r="AG80" s="304"/>
      <c r="AH80" s="304"/>
      <c r="AI80" s="304"/>
      <c r="AJ80" s="304"/>
      <c r="AK80" s="304"/>
      <c r="AL80" s="304"/>
      <c r="AM80" s="304"/>
      <c r="AN80" s="304"/>
      <c r="AO80" s="304"/>
      <c r="AP80" s="304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46"/>
    </row>
    <row r="81" spans="1:63" s="47" customFormat="1" ht="15" customHeight="1" x14ac:dyDescent="0.25">
      <c r="A81" s="42"/>
      <c r="B81" s="43" t="s">
        <v>212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5"/>
      <c r="BI81" s="45"/>
      <c r="BJ81" s="45"/>
      <c r="BK81" s="46"/>
    </row>
    <row r="82" spans="1:63" s="47" customFormat="1" ht="15" customHeight="1" x14ac:dyDescent="0.25">
      <c r="A82" s="42"/>
      <c r="B82" s="48"/>
      <c r="C82" s="52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50"/>
      <c r="BI82" s="50"/>
      <c r="BJ82" s="50"/>
      <c r="BK82" s="46"/>
    </row>
    <row r="83" spans="1:63" s="47" customFormat="1" ht="15" customHeight="1" x14ac:dyDescent="0.25">
      <c r="A83" s="42"/>
      <c r="B83" s="48"/>
      <c r="C83" s="52" t="s">
        <v>213</v>
      </c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50"/>
      <c r="BI83" s="50"/>
      <c r="BJ83" s="50"/>
      <c r="BK83" s="46"/>
    </row>
    <row r="84" spans="1:63" s="47" customFormat="1" ht="15" customHeight="1" x14ac:dyDescent="0.25">
      <c r="A84" s="42"/>
      <c r="B84" s="48"/>
      <c r="C84" s="52"/>
      <c r="D84" s="49" t="s">
        <v>49</v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50"/>
      <c r="BI84" s="50"/>
      <c r="BJ84" s="50"/>
      <c r="BK84" s="46"/>
    </row>
    <row r="85" spans="1:63" s="47" customFormat="1" ht="15" customHeight="1" x14ac:dyDescent="0.25">
      <c r="A85" s="42"/>
      <c r="B85" s="49"/>
      <c r="C85" s="49"/>
      <c r="D85" s="304"/>
      <c r="E85" s="304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50"/>
      <c r="BI85" s="50"/>
      <c r="BJ85" s="50"/>
      <c r="BK85" s="46"/>
    </row>
    <row r="86" spans="1:63" s="47" customFormat="1" ht="15" customHeight="1" x14ac:dyDescent="0.25">
      <c r="A86" s="42"/>
      <c r="B86" s="49"/>
      <c r="C86" s="48" t="s">
        <v>214</v>
      </c>
      <c r="D86" s="49"/>
      <c r="E86" s="304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50"/>
      <c r="BI86" s="50"/>
      <c r="BJ86" s="50"/>
      <c r="BK86" s="46"/>
    </row>
    <row r="87" spans="1:63" s="47" customFormat="1" ht="15" customHeight="1" x14ac:dyDescent="0.25">
      <c r="A87" s="42"/>
      <c r="B87" s="49"/>
      <c r="C87" s="48"/>
      <c r="D87" s="49"/>
      <c r="E87" s="304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50"/>
      <c r="BI87" s="50"/>
      <c r="BJ87" s="50"/>
      <c r="BK87" s="46"/>
    </row>
    <row r="88" spans="1:63" s="47" customFormat="1" ht="15" customHeight="1" x14ac:dyDescent="0.25">
      <c r="A88" s="42"/>
      <c r="B88" s="49"/>
      <c r="C88" s="48" t="s">
        <v>70</v>
      </c>
      <c r="D88" s="49"/>
      <c r="E88" s="304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50"/>
      <c r="BI88" s="50"/>
      <c r="BJ88" s="50"/>
      <c r="BK88" s="46"/>
    </row>
    <row r="89" spans="1:63" s="62" customFormat="1" ht="15" customHeight="1" x14ac:dyDescent="0.25">
      <c r="A89" s="57"/>
      <c r="B89" s="58"/>
      <c r="C89" s="58"/>
      <c r="D89" s="58"/>
      <c r="E89" s="59"/>
      <c r="F89" s="59"/>
      <c r="G89" s="59"/>
      <c r="H89" s="59"/>
      <c r="I89" s="59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60"/>
      <c r="BI89" s="60"/>
      <c r="BJ89" s="60"/>
      <c r="BK89" s="61"/>
    </row>
  </sheetData>
  <mergeCells count="392">
    <mergeCell ref="O79:R79"/>
    <mergeCell ref="S79:Y79"/>
    <mergeCell ref="Z79:AP79"/>
    <mergeCell ref="AQ79:BJ79"/>
    <mergeCell ref="C79:D79"/>
    <mergeCell ref="E79:K79"/>
    <mergeCell ref="L67:N67"/>
    <mergeCell ref="L68:N68"/>
    <mergeCell ref="L69:N69"/>
    <mergeCell ref="L70:N70"/>
    <mergeCell ref="L71:N71"/>
    <mergeCell ref="L72:N72"/>
    <mergeCell ref="L73:N73"/>
    <mergeCell ref="L74:N74"/>
    <mergeCell ref="L75:N75"/>
    <mergeCell ref="L76:N76"/>
    <mergeCell ref="L77:N77"/>
    <mergeCell ref="L78:N78"/>
    <mergeCell ref="L79:N79"/>
    <mergeCell ref="O67:R67"/>
    <mergeCell ref="S67:Y67"/>
    <mergeCell ref="Z67:AP67"/>
    <mergeCell ref="AQ67:BJ67"/>
    <mergeCell ref="O68:R68"/>
    <mergeCell ref="C77:D77"/>
    <mergeCell ref="E77:K77"/>
    <mergeCell ref="C78:D78"/>
    <mergeCell ref="E78:K78"/>
    <mergeCell ref="O77:R77"/>
    <mergeCell ref="S77:Y77"/>
    <mergeCell ref="Z77:AP77"/>
    <mergeCell ref="AQ77:BJ77"/>
    <mergeCell ref="O78:R78"/>
    <mergeCell ref="S78:Y78"/>
    <mergeCell ref="Z78:AP78"/>
    <mergeCell ref="AQ78:BJ78"/>
    <mergeCell ref="AQ76:BJ76"/>
    <mergeCell ref="C73:D73"/>
    <mergeCell ref="E73:K73"/>
    <mergeCell ref="C74:D74"/>
    <mergeCell ref="E74:K74"/>
    <mergeCell ref="O73:R73"/>
    <mergeCell ref="S73:Y73"/>
    <mergeCell ref="Z73:AP73"/>
    <mergeCell ref="AQ73:BJ73"/>
    <mergeCell ref="O74:R74"/>
    <mergeCell ref="S74:Y74"/>
    <mergeCell ref="Z74:AP74"/>
    <mergeCell ref="AQ74:BJ74"/>
    <mergeCell ref="C75:D75"/>
    <mergeCell ref="E75:K75"/>
    <mergeCell ref="C76:D76"/>
    <mergeCell ref="E76:K76"/>
    <mergeCell ref="O75:R75"/>
    <mergeCell ref="S75:Y75"/>
    <mergeCell ref="Z75:AP75"/>
    <mergeCell ref="AQ75:BJ75"/>
    <mergeCell ref="O76:R76"/>
    <mergeCell ref="S76:Y76"/>
    <mergeCell ref="Z76:AP76"/>
    <mergeCell ref="C71:D71"/>
    <mergeCell ref="E71:K71"/>
    <mergeCell ref="C72:D72"/>
    <mergeCell ref="E72:K72"/>
    <mergeCell ref="O71:R71"/>
    <mergeCell ref="S71:Y71"/>
    <mergeCell ref="Z71:AP71"/>
    <mergeCell ref="AQ71:BJ71"/>
    <mergeCell ref="O72:R72"/>
    <mergeCell ref="S72:Y72"/>
    <mergeCell ref="Z72:AP72"/>
    <mergeCell ref="AQ72:BJ72"/>
    <mergeCell ref="C69:D69"/>
    <mergeCell ref="E69:K69"/>
    <mergeCell ref="C70:D70"/>
    <mergeCell ref="E70:K70"/>
    <mergeCell ref="O69:R69"/>
    <mergeCell ref="S69:Y69"/>
    <mergeCell ref="Z69:AP69"/>
    <mergeCell ref="AQ69:BJ69"/>
    <mergeCell ref="O70:R70"/>
    <mergeCell ref="S70:Y70"/>
    <mergeCell ref="Z70:AP70"/>
    <mergeCell ref="AQ70:BJ70"/>
    <mergeCell ref="C68:D68"/>
    <mergeCell ref="E68:K68"/>
    <mergeCell ref="Z68:AP68"/>
    <mergeCell ref="AQ68:BJ68"/>
    <mergeCell ref="C52:D52"/>
    <mergeCell ref="E52:K52"/>
    <mergeCell ref="C53:D53"/>
    <mergeCell ref="E53:K53"/>
    <mergeCell ref="O52:R52"/>
    <mergeCell ref="O53:R53"/>
    <mergeCell ref="S52:Y52"/>
    <mergeCell ref="S53:Y53"/>
    <mergeCell ref="Z52:AP52"/>
    <mergeCell ref="Z53:AP53"/>
    <mergeCell ref="L52:N52"/>
    <mergeCell ref="L53:N53"/>
    <mergeCell ref="Z66:AP66"/>
    <mergeCell ref="AQ66:BJ66"/>
    <mergeCell ref="AQ64:BJ64"/>
    <mergeCell ref="E65:K65"/>
    <mergeCell ref="S65:Y65"/>
    <mergeCell ref="L65:N65"/>
    <mergeCell ref="S68:Y68"/>
    <mergeCell ref="AQ61:BJ61"/>
    <mergeCell ref="C47:D47"/>
    <mergeCell ref="E47:K47"/>
    <mergeCell ref="L47:N47"/>
    <mergeCell ref="O47:R47"/>
    <mergeCell ref="S47:Y47"/>
    <mergeCell ref="Z47:AP47"/>
    <mergeCell ref="C45:D45"/>
    <mergeCell ref="E45:K45"/>
    <mergeCell ref="C67:D67"/>
    <mergeCell ref="E67:K67"/>
    <mergeCell ref="C61:D61"/>
    <mergeCell ref="E61:K61"/>
    <mergeCell ref="L61:N61"/>
    <mergeCell ref="O61:R61"/>
    <mergeCell ref="S61:Y61"/>
    <mergeCell ref="Z61:AP61"/>
    <mergeCell ref="C50:D50"/>
    <mergeCell ref="E50:K50"/>
    <mergeCell ref="L50:N50"/>
    <mergeCell ref="O50:R50"/>
    <mergeCell ref="S50:Y50"/>
    <mergeCell ref="Z50:AP50"/>
    <mergeCell ref="C49:D49"/>
    <mergeCell ref="E49:K49"/>
    <mergeCell ref="S44:Y44"/>
    <mergeCell ref="Z44:AP44"/>
    <mergeCell ref="AQ44:BJ44"/>
    <mergeCell ref="C46:D46"/>
    <mergeCell ref="E46:K46"/>
    <mergeCell ref="L46:N46"/>
    <mergeCell ref="O46:R46"/>
    <mergeCell ref="S46:Y46"/>
    <mergeCell ref="Z46:AP46"/>
    <mergeCell ref="AQ46:BJ46"/>
    <mergeCell ref="S45:Y45"/>
    <mergeCell ref="Z45:AP45"/>
    <mergeCell ref="AQ45:BJ45"/>
    <mergeCell ref="C51:D51"/>
    <mergeCell ref="E51:K51"/>
    <mergeCell ref="C60:D60"/>
    <mergeCell ref="E60:K60"/>
    <mergeCell ref="L60:N60"/>
    <mergeCell ref="L51:N51"/>
    <mergeCell ref="O51:R51"/>
    <mergeCell ref="AQ52:BJ52"/>
    <mergeCell ref="AQ53:BJ53"/>
    <mergeCell ref="C54:D54"/>
    <mergeCell ref="E54:K54"/>
    <mergeCell ref="L54:N54"/>
    <mergeCell ref="O54:R54"/>
    <mergeCell ref="S54:Y54"/>
    <mergeCell ref="Z54:AP54"/>
    <mergeCell ref="AQ54:BJ54"/>
    <mergeCell ref="C55:D55"/>
    <mergeCell ref="E55:K55"/>
    <mergeCell ref="L55:N55"/>
    <mergeCell ref="O55:R55"/>
    <mergeCell ref="S55:Y55"/>
    <mergeCell ref="Z55:AP55"/>
    <mergeCell ref="AQ55:BJ55"/>
    <mergeCell ref="S58:Y58"/>
    <mergeCell ref="C48:D48"/>
    <mergeCell ref="E48:K48"/>
    <mergeCell ref="AQ49:BJ49"/>
    <mergeCell ref="AQ48:BJ48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L45:N45"/>
    <mergeCell ref="O45:R45"/>
    <mergeCell ref="C44:D44"/>
    <mergeCell ref="E44:K44"/>
    <mergeCell ref="L44:N44"/>
    <mergeCell ref="O44:R44"/>
    <mergeCell ref="AQ35:BJ35"/>
    <mergeCell ref="S36:Y36"/>
    <mergeCell ref="AQ36:BJ36"/>
    <mergeCell ref="O36:R36"/>
    <mergeCell ref="AQ39:BJ39"/>
    <mergeCell ref="L40:N40"/>
    <mergeCell ref="O40:R40"/>
    <mergeCell ref="L36:N36"/>
    <mergeCell ref="L38:N38"/>
    <mergeCell ref="O38:R38"/>
    <mergeCell ref="AQ40:BJ40"/>
    <mergeCell ref="Z39:AP39"/>
    <mergeCell ref="Z37:AP37"/>
    <mergeCell ref="S35:Y35"/>
    <mergeCell ref="A4:G4"/>
    <mergeCell ref="H4:T4"/>
    <mergeCell ref="U4:Y4"/>
    <mergeCell ref="Z4:AO4"/>
    <mergeCell ref="AP4:BK4"/>
    <mergeCell ref="C16:D16"/>
    <mergeCell ref="C17:D17"/>
    <mergeCell ref="E16:AF16"/>
    <mergeCell ref="C26:D26"/>
    <mergeCell ref="E26:K26"/>
    <mergeCell ref="L26:N26"/>
    <mergeCell ref="O26:R26"/>
    <mergeCell ref="S26:Y26"/>
    <mergeCell ref="Z26:AP26"/>
    <mergeCell ref="AQ26:BJ26"/>
    <mergeCell ref="C22:D22"/>
    <mergeCell ref="O23:R23"/>
    <mergeCell ref="L22:N22"/>
    <mergeCell ref="L23:N23"/>
    <mergeCell ref="C23:D23"/>
    <mergeCell ref="AQ21:BJ21"/>
    <mergeCell ref="AQ23:BJ23"/>
    <mergeCell ref="AQ22:BJ22"/>
    <mergeCell ref="E21:K2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1:D21"/>
    <mergeCell ref="S21:Y21"/>
    <mergeCell ref="Z21:AP21"/>
    <mergeCell ref="O22:R22"/>
    <mergeCell ref="O21:R21"/>
    <mergeCell ref="L21:N21"/>
    <mergeCell ref="S23:Y23"/>
    <mergeCell ref="S22:Y22"/>
    <mergeCell ref="Z22:AP22"/>
    <mergeCell ref="AG16:AP16"/>
    <mergeCell ref="AQ16:BJ16"/>
    <mergeCell ref="E17:AF17"/>
    <mergeCell ref="AQ17:BJ17"/>
    <mergeCell ref="E22:K22"/>
    <mergeCell ref="E23:K23"/>
    <mergeCell ref="AG17:AP17"/>
    <mergeCell ref="AQ34:BJ34"/>
    <mergeCell ref="Z23:AP23"/>
    <mergeCell ref="AQ24:BJ24"/>
    <mergeCell ref="L34:N34"/>
    <mergeCell ref="O34:R34"/>
    <mergeCell ref="AQ25:BJ25"/>
    <mergeCell ref="L25:N25"/>
    <mergeCell ref="O25:R25"/>
    <mergeCell ref="S25:Y25"/>
    <mergeCell ref="Z25:AP25"/>
    <mergeCell ref="O65:R65"/>
    <mergeCell ref="C64:D64"/>
    <mergeCell ref="O64:R64"/>
    <mergeCell ref="Z64:AP64"/>
    <mergeCell ref="AQ65:BJ65"/>
    <mergeCell ref="L66:N66"/>
    <mergeCell ref="O66:R66"/>
    <mergeCell ref="C66:D66"/>
    <mergeCell ref="E66:K66"/>
    <mergeCell ref="S66:Y66"/>
    <mergeCell ref="E64:K64"/>
    <mergeCell ref="S64:Y64"/>
    <mergeCell ref="L64:N64"/>
    <mergeCell ref="C65:D65"/>
    <mergeCell ref="AQ62:BJ62"/>
    <mergeCell ref="Z38:AP38"/>
    <mergeCell ref="Z65:AP65"/>
    <mergeCell ref="S62:Y62"/>
    <mergeCell ref="L62:N62"/>
    <mergeCell ref="O62:R62"/>
    <mergeCell ref="O37:R37"/>
    <mergeCell ref="L41:N41"/>
    <mergeCell ref="O41:R41"/>
    <mergeCell ref="S41:Y41"/>
    <mergeCell ref="Z41:AP41"/>
    <mergeCell ref="AQ41:BJ41"/>
    <mergeCell ref="O60:R60"/>
    <mergeCell ref="S60:Y60"/>
    <mergeCell ref="Z60:AP60"/>
    <mergeCell ref="AQ60:BJ60"/>
    <mergeCell ref="S38:Y38"/>
    <mergeCell ref="AQ38:BJ38"/>
    <mergeCell ref="S37:Y37"/>
    <mergeCell ref="Z40:AP40"/>
    <mergeCell ref="S39:Y39"/>
    <mergeCell ref="AQ37:BJ37"/>
    <mergeCell ref="S40:Y40"/>
    <mergeCell ref="AQ51:BJ51"/>
    <mergeCell ref="E38:K38"/>
    <mergeCell ref="E39:K39"/>
    <mergeCell ref="L35:N35"/>
    <mergeCell ref="O35:R35"/>
    <mergeCell ref="C41:D41"/>
    <mergeCell ref="E41:K41"/>
    <mergeCell ref="C35:D35"/>
    <mergeCell ref="C36:D36"/>
    <mergeCell ref="C37:D37"/>
    <mergeCell ref="C38:D38"/>
    <mergeCell ref="E40:K40"/>
    <mergeCell ref="C39:D39"/>
    <mergeCell ref="C40:D40"/>
    <mergeCell ref="E35:K35"/>
    <mergeCell ref="E36:K36"/>
    <mergeCell ref="E37:K37"/>
    <mergeCell ref="L39:N39"/>
    <mergeCell ref="O39:R39"/>
    <mergeCell ref="L37:N37"/>
    <mergeCell ref="C63:D63"/>
    <mergeCell ref="E63:K63"/>
    <mergeCell ref="L63:N63"/>
    <mergeCell ref="O63:R63"/>
    <mergeCell ref="S63:Y63"/>
    <mergeCell ref="Z63:AP63"/>
    <mergeCell ref="AQ63:BJ63"/>
    <mergeCell ref="C24:D24"/>
    <mergeCell ref="E24:K24"/>
    <mergeCell ref="L24:N24"/>
    <mergeCell ref="O24:R24"/>
    <mergeCell ref="S24:Y24"/>
    <mergeCell ref="Z24:AP24"/>
    <mergeCell ref="Z34:AP34"/>
    <mergeCell ref="C25:D25"/>
    <mergeCell ref="E25:K25"/>
    <mergeCell ref="C34:D34"/>
    <mergeCell ref="E34:K34"/>
    <mergeCell ref="S34:Y34"/>
    <mergeCell ref="Z35:AP35"/>
    <mergeCell ref="Z36:AP36"/>
    <mergeCell ref="Z62:AP62"/>
    <mergeCell ref="C62:D62"/>
    <mergeCell ref="E62:K62"/>
    <mergeCell ref="Z58:AP58"/>
    <mergeCell ref="AQ58:BJ58"/>
    <mergeCell ref="S59:Y59"/>
    <mergeCell ref="Z59:AP59"/>
    <mergeCell ref="AQ59:BJ59"/>
    <mergeCell ref="S56:Y56"/>
    <mergeCell ref="C56:D56"/>
    <mergeCell ref="C57:D57"/>
    <mergeCell ref="C58:D58"/>
    <mergeCell ref="C59:D59"/>
    <mergeCell ref="E56:K56"/>
    <mergeCell ref="E57:K57"/>
    <mergeCell ref="E58:K58"/>
    <mergeCell ref="E59:K59"/>
    <mergeCell ref="O56:R56"/>
    <mergeCell ref="O57:R57"/>
    <mergeCell ref="O58:R58"/>
    <mergeCell ref="O59:R59"/>
    <mergeCell ref="L56:N56"/>
    <mergeCell ref="L57:N57"/>
    <mergeCell ref="L58:N58"/>
    <mergeCell ref="L59:N59"/>
    <mergeCell ref="Z56:AP56"/>
    <mergeCell ref="AQ47:BJ47"/>
    <mergeCell ref="AQ56:BJ56"/>
    <mergeCell ref="S57:Y57"/>
    <mergeCell ref="Z57:AP57"/>
    <mergeCell ref="AQ57:BJ57"/>
    <mergeCell ref="S51:Y51"/>
    <mergeCell ref="Z51:AP51"/>
    <mergeCell ref="L48:N48"/>
    <mergeCell ref="O48:R48"/>
    <mergeCell ref="S48:Y48"/>
    <mergeCell ref="Z48:AP48"/>
    <mergeCell ref="L49:N49"/>
    <mergeCell ref="O49:R49"/>
    <mergeCell ref="S49:Y49"/>
    <mergeCell ref="Z49:AP49"/>
    <mergeCell ref="AQ50:BJ50"/>
  </mergeCells>
  <pageMargins left="0.7" right="0.7" top="0.75" bottom="0.75" header="0.3" footer="0.3"/>
  <pageSetup scale="3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70C0"/>
    <pageSetUpPr fitToPage="1"/>
  </sheetPr>
  <dimension ref="A1:BK25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68" t="s">
        <v>132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133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71" t="s">
        <v>129</v>
      </c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3"/>
      <c r="AP1" s="274" t="s">
        <v>134</v>
      </c>
      <c r="AQ1" s="275"/>
      <c r="AR1" s="275"/>
      <c r="AS1" s="276"/>
      <c r="AT1" s="274" t="s">
        <v>135</v>
      </c>
      <c r="AU1" s="275"/>
      <c r="AV1" s="275"/>
      <c r="AW1" s="275"/>
      <c r="AX1" s="276"/>
      <c r="AY1" s="274" t="s">
        <v>136</v>
      </c>
      <c r="AZ1" s="275"/>
      <c r="BA1" s="275"/>
      <c r="BB1" s="276"/>
      <c r="BC1" s="274" t="s">
        <v>137</v>
      </c>
      <c r="BD1" s="275"/>
      <c r="BE1" s="275"/>
      <c r="BF1" s="275"/>
      <c r="BG1" s="276"/>
      <c r="BH1" s="274" t="s">
        <v>138</v>
      </c>
      <c r="BI1" s="275"/>
      <c r="BJ1" s="275"/>
      <c r="BK1" s="276"/>
    </row>
    <row r="2" spans="1:63" ht="15" customHeight="1" x14ac:dyDescent="0.25">
      <c r="A2" s="163" t="s">
        <v>128</v>
      </c>
      <c r="B2" s="164"/>
      <c r="C2" s="164"/>
      <c r="D2" s="164"/>
      <c r="E2" s="164"/>
      <c r="F2" s="164"/>
      <c r="G2" s="164"/>
      <c r="H2" s="164"/>
      <c r="I2" s="164"/>
      <c r="J2" s="165"/>
      <c r="K2" s="163" t="s">
        <v>128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277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9"/>
      <c r="AP2" s="280" t="s">
        <v>125</v>
      </c>
      <c r="AQ2" s="281"/>
      <c r="AR2" s="281"/>
      <c r="AS2" s="282"/>
      <c r="AT2" s="283">
        <v>45492</v>
      </c>
      <c r="AU2" s="284"/>
      <c r="AV2" s="284"/>
      <c r="AW2" s="284"/>
      <c r="AX2" s="285"/>
      <c r="AY2" s="280" t="s">
        <v>126</v>
      </c>
      <c r="AZ2" s="281"/>
      <c r="BA2" s="281"/>
      <c r="BB2" s="282"/>
      <c r="BC2" s="283">
        <v>45787</v>
      </c>
      <c r="BD2" s="284"/>
      <c r="BE2" s="284"/>
      <c r="BF2" s="284"/>
      <c r="BG2" s="285"/>
      <c r="BH2" s="280">
        <v>0.53</v>
      </c>
      <c r="BI2" s="281"/>
      <c r="BJ2" s="281"/>
      <c r="BK2" s="282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286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8"/>
      <c r="AP3" s="289"/>
      <c r="AQ3" s="290"/>
      <c r="AR3" s="290"/>
      <c r="AS3" s="291"/>
      <c r="AT3" s="292"/>
      <c r="AU3" s="293"/>
      <c r="AV3" s="293"/>
      <c r="AW3" s="293"/>
      <c r="AX3" s="294"/>
      <c r="AY3" s="289"/>
      <c r="AZ3" s="290"/>
      <c r="BA3" s="290"/>
      <c r="BB3" s="291"/>
      <c r="BC3" s="292"/>
      <c r="BD3" s="293"/>
      <c r="BE3" s="293"/>
      <c r="BF3" s="293"/>
      <c r="BG3" s="294"/>
      <c r="BH3" s="289"/>
      <c r="BI3" s="290"/>
      <c r="BJ3" s="290"/>
      <c r="BK3" s="291"/>
    </row>
    <row r="4" spans="1:63" ht="24.95" customHeight="1" x14ac:dyDescent="0.25">
      <c r="A4" s="268" t="s">
        <v>139</v>
      </c>
      <c r="B4" s="269"/>
      <c r="C4" s="269"/>
      <c r="D4" s="269"/>
      <c r="E4" s="269"/>
      <c r="F4" s="269"/>
      <c r="G4" s="270"/>
      <c r="H4" s="181" t="s">
        <v>127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268" t="s">
        <v>140</v>
      </c>
      <c r="V4" s="269"/>
      <c r="W4" s="269"/>
      <c r="X4" s="269"/>
      <c r="Y4" s="270"/>
      <c r="Z4" s="181" t="s">
        <v>130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02" customFormat="1" ht="15" customHeight="1" x14ac:dyDescent="0.25">
      <c r="B7" s="63"/>
      <c r="C7" s="50"/>
      <c r="D7" s="50"/>
      <c r="E7" s="50"/>
      <c r="F7" s="50"/>
      <c r="G7" s="50"/>
      <c r="AI7" s="335"/>
      <c r="BJ7" s="335"/>
      <c r="BK7" s="300"/>
    </row>
    <row r="8" spans="1:63" s="302" customFormat="1" ht="15" customHeight="1" x14ac:dyDescent="0.25">
      <c r="B8" s="63"/>
      <c r="C8" s="50"/>
      <c r="D8" s="50"/>
      <c r="E8" s="50"/>
      <c r="F8" s="50"/>
      <c r="G8" s="50"/>
      <c r="AI8" s="335"/>
      <c r="BJ8" s="335"/>
      <c r="BK8" s="300"/>
    </row>
    <row r="9" spans="1:63" s="302" customFormat="1" ht="15" customHeight="1" x14ac:dyDescent="0.25">
      <c r="B9" s="63"/>
      <c r="C9" s="50"/>
      <c r="D9" s="50"/>
      <c r="E9" s="50"/>
      <c r="F9" s="50"/>
      <c r="G9" s="50"/>
      <c r="AI9" s="335"/>
      <c r="BJ9" s="335"/>
      <c r="BK9" s="300"/>
    </row>
    <row r="10" spans="1:63" s="302" customFormat="1" ht="15" customHeight="1" x14ac:dyDescent="0.25">
      <c r="B10" s="63"/>
      <c r="C10" s="50"/>
      <c r="D10" s="50"/>
      <c r="E10" s="50"/>
      <c r="F10" s="50"/>
      <c r="G10" s="50"/>
      <c r="AI10" s="335"/>
      <c r="BJ10" s="335"/>
      <c r="BK10" s="300"/>
    </row>
    <row r="11" spans="1:63" s="302" customFormat="1" ht="15" customHeight="1" x14ac:dyDescent="0.25">
      <c r="B11" s="336"/>
      <c r="AI11" s="335"/>
      <c r="BJ11" s="335"/>
      <c r="BK11" s="300"/>
    </row>
    <row r="12" spans="1:63" s="302" customFormat="1" ht="15" customHeight="1" x14ac:dyDescent="0.25">
      <c r="B12" s="336"/>
      <c r="AI12" s="335"/>
      <c r="BJ12" s="335"/>
      <c r="BK12" s="300"/>
    </row>
    <row r="13" spans="1:63" s="302" customFormat="1" ht="15" customHeight="1" x14ac:dyDescent="0.25">
      <c r="B13" s="336"/>
      <c r="AI13" s="335"/>
      <c r="BJ13" s="335"/>
      <c r="BK13" s="300"/>
    </row>
    <row r="14" spans="1:63" s="302" customFormat="1" ht="15" customHeight="1" x14ac:dyDescent="0.25">
      <c r="B14" s="336"/>
      <c r="AI14" s="335"/>
      <c r="BJ14" s="335"/>
      <c r="BK14" s="300"/>
    </row>
    <row r="15" spans="1:63" s="302" customFormat="1" ht="15" customHeight="1" x14ac:dyDescent="0.25">
      <c r="B15" s="336"/>
      <c r="AI15" s="335"/>
      <c r="BJ15" s="335"/>
      <c r="BK15" s="300"/>
    </row>
    <row r="16" spans="1:63" s="302" customFormat="1" ht="15" customHeight="1" x14ac:dyDescent="0.25">
      <c r="B16" s="336"/>
      <c r="AI16" s="335"/>
      <c r="BJ16" s="335"/>
      <c r="BK16" s="300"/>
    </row>
    <row r="17" spans="2:63" s="302" customFormat="1" ht="15" customHeight="1" x14ac:dyDescent="0.25">
      <c r="B17" s="336"/>
      <c r="AI17" s="335"/>
      <c r="BJ17" s="335"/>
      <c r="BK17" s="300"/>
    </row>
    <row r="18" spans="2:63" s="302" customFormat="1" ht="15" customHeight="1" x14ac:dyDescent="0.25">
      <c r="B18" s="336"/>
      <c r="AI18" s="335"/>
      <c r="BJ18" s="335"/>
      <c r="BK18" s="300"/>
    </row>
    <row r="19" spans="2:63" s="302" customFormat="1" ht="15" customHeight="1" x14ac:dyDescent="0.25">
      <c r="B19" s="336"/>
      <c r="AI19" s="335"/>
      <c r="BJ19" s="335"/>
      <c r="BK19" s="300"/>
    </row>
    <row r="20" spans="2:63" s="302" customFormat="1" ht="15" customHeight="1" x14ac:dyDescent="0.25">
      <c r="B20" s="336"/>
      <c r="AI20" s="335"/>
      <c r="BJ20" s="335"/>
      <c r="BK20" s="300"/>
    </row>
    <row r="21" spans="2:63" s="302" customFormat="1" ht="15" customHeight="1" x14ac:dyDescent="0.25">
      <c r="B21" s="336"/>
      <c r="AI21" s="335"/>
      <c r="AJ21" s="64"/>
      <c r="BJ21" s="335"/>
      <c r="BK21" s="300"/>
    </row>
    <row r="22" spans="2:63" s="302" customFormat="1" ht="15" customHeight="1" x14ac:dyDescent="0.25">
      <c r="B22" s="336"/>
      <c r="AI22" s="335"/>
      <c r="BJ22" s="335"/>
      <c r="BK22" s="300"/>
    </row>
    <row r="23" spans="2:63" s="302" customFormat="1" ht="15" customHeight="1" x14ac:dyDescent="0.25">
      <c r="B23" s="336"/>
      <c r="AI23" s="335"/>
      <c r="BJ23" s="335"/>
      <c r="BK23" s="300"/>
    </row>
    <row r="24" spans="2:63" s="302" customFormat="1" ht="15" customHeight="1" x14ac:dyDescent="0.25">
      <c r="B24" s="336"/>
      <c r="AI24" s="335"/>
      <c r="BJ24" s="335"/>
      <c r="BK24" s="300"/>
    </row>
    <row r="25" spans="2:63" s="302" customFormat="1" ht="15" customHeight="1" x14ac:dyDescent="0.25">
      <c r="B25" s="336"/>
      <c r="AI25" s="335"/>
      <c r="BJ25" s="335"/>
      <c r="BK25" s="300"/>
    </row>
    <row r="26" spans="2:63" s="302" customFormat="1" ht="15" customHeight="1" x14ac:dyDescent="0.25">
      <c r="B26" s="336"/>
      <c r="AI26" s="335"/>
      <c r="BJ26" s="335"/>
      <c r="BK26" s="300"/>
    </row>
    <row r="27" spans="2:63" s="302" customFormat="1" ht="15" customHeight="1" x14ac:dyDescent="0.25">
      <c r="B27" s="336"/>
      <c r="AI27" s="335"/>
      <c r="BJ27" s="335"/>
      <c r="BK27" s="300"/>
    </row>
    <row r="28" spans="2:63" s="302" customFormat="1" ht="15" customHeight="1" x14ac:dyDescent="0.25">
      <c r="B28" s="336"/>
      <c r="AI28" s="335"/>
      <c r="BJ28" s="335"/>
      <c r="BK28" s="300"/>
    </row>
    <row r="29" spans="2:63" s="302" customFormat="1" ht="15" customHeight="1" x14ac:dyDescent="0.25">
      <c r="B29" s="336"/>
      <c r="AI29" s="335"/>
      <c r="BJ29" s="335"/>
      <c r="BK29" s="300"/>
    </row>
    <row r="30" spans="2:63" s="302" customFormat="1" ht="15" customHeight="1" x14ac:dyDescent="0.25">
      <c r="B30" s="336"/>
      <c r="AI30" s="335"/>
      <c r="BJ30" s="335"/>
      <c r="BK30" s="300"/>
    </row>
    <row r="31" spans="2:63" s="302" customFormat="1" ht="15" customHeight="1" x14ac:dyDescent="0.25">
      <c r="B31" s="336"/>
      <c r="AI31" s="335"/>
      <c r="BJ31" s="335"/>
      <c r="BK31" s="300"/>
    </row>
    <row r="32" spans="2:63" s="302" customFormat="1" ht="15" customHeight="1" x14ac:dyDescent="0.25">
      <c r="B32" s="336"/>
      <c r="AI32" s="335"/>
      <c r="BJ32" s="335"/>
      <c r="BK32" s="300"/>
    </row>
    <row r="33" spans="2:63" s="302" customFormat="1" ht="15" customHeight="1" x14ac:dyDescent="0.25">
      <c r="B33" s="336"/>
      <c r="AI33" s="335"/>
      <c r="BJ33" s="335"/>
      <c r="BK33" s="300"/>
    </row>
    <row r="34" spans="2:63" s="302" customFormat="1" ht="15" customHeight="1" x14ac:dyDescent="0.25">
      <c r="B34" s="336"/>
      <c r="AI34" s="335"/>
      <c r="BJ34" s="335"/>
      <c r="BK34" s="300"/>
    </row>
    <row r="35" spans="2:63" s="302" customFormat="1" ht="15" customHeight="1" x14ac:dyDescent="0.25">
      <c r="B35" s="336"/>
      <c r="AI35" s="335"/>
      <c r="BJ35" s="335"/>
      <c r="BK35" s="300"/>
    </row>
    <row r="36" spans="2:63" s="302" customFormat="1" ht="15" customHeight="1" x14ac:dyDescent="0.25">
      <c r="B36" s="336"/>
      <c r="AI36" s="335"/>
      <c r="BJ36" s="335"/>
      <c r="BK36" s="300"/>
    </row>
    <row r="37" spans="2:63" s="302" customFormat="1" ht="15" customHeight="1" x14ac:dyDescent="0.25">
      <c r="B37" s="336"/>
      <c r="AI37" s="335"/>
      <c r="BJ37" s="335"/>
      <c r="BK37" s="300"/>
    </row>
    <row r="38" spans="2:63" s="302" customFormat="1" ht="15" customHeight="1" x14ac:dyDescent="0.25">
      <c r="B38" s="336"/>
      <c r="AI38" s="335"/>
      <c r="BJ38" s="335"/>
      <c r="BK38" s="300"/>
    </row>
    <row r="39" spans="2:63" ht="15" customHeight="1" x14ac:dyDescent="0.25">
      <c r="B39" s="40"/>
      <c r="AI39" s="41"/>
      <c r="BJ39" s="41"/>
      <c r="BK39" s="34"/>
    </row>
    <row r="40" spans="2:63" ht="15" customHeight="1" x14ac:dyDescent="0.25">
      <c r="B40" s="40"/>
      <c r="AI40" s="41"/>
      <c r="BJ40" s="41"/>
      <c r="BK40" s="34"/>
    </row>
    <row r="41" spans="2:63" ht="15" customHeight="1" x14ac:dyDescent="0.25">
      <c r="B41" s="40"/>
      <c r="AI41" s="41"/>
      <c r="BJ41" s="41"/>
      <c r="BK41" s="34"/>
    </row>
    <row r="42" spans="2:63" ht="15" customHeight="1" x14ac:dyDescent="0.25">
      <c r="B42" s="40"/>
      <c r="AI42" s="41"/>
      <c r="BJ42" s="41"/>
      <c r="BK42" s="34"/>
    </row>
    <row r="43" spans="2:63" ht="15" customHeight="1" x14ac:dyDescent="0.25">
      <c r="B43" s="40"/>
      <c r="AI43" s="41"/>
      <c r="BJ43" s="41"/>
      <c r="BK43" s="34"/>
    </row>
    <row r="44" spans="2:63" ht="15" customHeight="1" x14ac:dyDescent="0.25">
      <c r="B44" s="40"/>
      <c r="AI44" s="41"/>
      <c r="BJ44" s="41"/>
      <c r="BK44" s="34"/>
    </row>
    <row r="45" spans="2:63" s="302" customFormat="1" ht="15" customHeight="1" x14ac:dyDescent="0.25">
      <c r="B45" s="336"/>
      <c r="AI45" s="335"/>
      <c r="BJ45" s="335"/>
      <c r="BK45" s="300"/>
    </row>
    <row r="46" spans="2:63" s="302" customFormat="1" ht="15" customHeight="1" x14ac:dyDescent="0.25">
      <c r="B46" s="336"/>
      <c r="AI46" s="335"/>
      <c r="BJ46" s="335"/>
      <c r="BK46" s="300"/>
    </row>
    <row r="47" spans="2:63" s="302" customFormat="1" ht="15" customHeight="1" x14ac:dyDescent="0.25">
      <c r="B47" s="336"/>
      <c r="AI47" s="335"/>
      <c r="BJ47" s="335"/>
      <c r="BK47" s="300"/>
    </row>
    <row r="48" spans="2:63" s="302" customFormat="1" ht="15" customHeight="1" x14ac:dyDescent="0.25">
      <c r="B48" s="336"/>
      <c r="AI48" s="335"/>
      <c r="BJ48" s="335"/>
      <c r="BK48" s="300"/>
    </row>
    <row r="49" spans="2:63" s="302" customFormat="1" ht="15" customHeight="1" x14ac:dyDescent="0.25">
      <c r="B49" s="336"/>
      <c r="AI49" s="335"/>
      <c r="BJ49" s="335"/>
      <c r="BK49" s="300"/>
    </row>
    <row r="50" spans="2:63" s="302" customFormat="1" ht="15" customHeight="1" x14ac:dyDescent="0.25">
      <c r="B50" s="336"/>
      <c r="AI50" s="335"/>
      <c r="BJ50" s="335"/>
      <c r="BK50" s="300"/>
    </row>
    <row r="51" spans="2:63" s="302" customFormat="1" ht="15" customHeight="1" x14ac:dyDescent="0.25">
      <c r="B51" s="336"/>
      <c r="AI51" s="335"/>
      <c r="BJ51" s="335"/>
      <c r="BK51" s="300"/>
    </row>
    <row r="52" spans="2:63" s="302" customFormat="1" ht="15" customHeight="1" x14ac:dyDescent="0.25">
      <c r="B52" s="336"/>
      <c r="AI52" s="335"/>
      <c r="BJ52" s="335"/>
      <c r="BK52" s="300"/>
    </row>
    <row r="53" spans="2:63" s="302" customFormat="1" ht="15" customHeight="1" x14ac:dyDescent="0.25">
      <c r="B53" s="336"/>
      <c r="J53" s="64"/>
      <c r="AI53" s="335"/>
      <c r="BJ53" s="335"/>
      <c r="BK53" s="300"/>
    </row>
    <row r="54" spans="2:63" s="302" customFormat="1" ht="15" customHeight="1" x14ac:dyDescent="0.25">
      <c r="B54" s="336"/>
      <c r="AI54" s="335"/>
      <c r="BJ54" s="335"/>
      <c r="BK54" s="300"/>
    </row>
    <row r="55" spans="2:63" s="302" customFormat="1" ht="15" customHeight="1" x14ac:dyDescent="0.25">
      <c r="B55" s="336"/>
      <c r="AI55" s="335"/>
      <c r="BJ55" s="335"/>
      <c r="BK55" s="300"/>
    </row>
    <row r="56" spans="2:63" s="302" customFormat="1" ht="15" customHeight="1" x14ac:dyDescent="0.25">
      <c r="B56" s="336"/>
      <c r="AI56" s="335"/>
      <c r="BJ56" s="335"/>
      <c r="BK56" s="300"/>
    </row>
    <row r="57" spans="2:63" s="302" customFormat="1" ht="15" customHeight="1" x14ac:dyDescent="0.25">
      <c r="B57" s="336"/>
      <c r="AI57" s="335"/>
      <c r="BJ57" s="335"/>
      <c r="BK57" s="300"/>
    </row>
    <row r="58" spans="2:63" s="302" customFormat="1" ht="15" customHeight="1" x14ac:dyDescent="0.25">
      <c r="B58" s="336"/>
      <c r="AI58" s="335"/>
      <c r="BJ58" s="335"/>
      <c r="BK58" s="300"/>
    </row>
    <row r="59" spans="2:63" s="302" customFormat="1" ht="15" customHeight="1" x14ac:dyDescent="0.25">
      <c r="B59" s="336"/>
      <c r="AI59" s="335"/>
      <c r="BJ59" s="335"/>
      <c r="BK59" s="300"/>
    </row>
    <row r="60" spans="2:63" s="302" customFormat="1" ht="15" customHeight="1" x14ac:dyDescent="0.25">
      <c r="B60" s="336"/>
      <c r="AI60" s="335"/>
      <c r="BJ60" s="335"/>
      <c r="BK60" s="300"/>
    </row>
    <row r="61" spans="2:63" s="302" customFormat="1" ht="15" customHeight="1" x14ac:dyDescent="0.25">
      <c r="B61" s="336"/>
      <c r="AI61" s="335"/>
      <c r="BJ61" s="335"/>
      <c r="BK61" s="300"/>
    </row>
    <row r="62" spans="2:63" s="302" customFormat="1" ht="15" customHeight="1" x14ac:dyDescent="0.25">
      <c r="B62" s="336"/>
      <c r="AI62" s="335"/>
      <c r="BJ62" s="335"/>
      <c r="BK62" s="300"/>
    </row>
    <row r="63" spans="2:63" s="302" customFormat="1" ht="15" customHeight="1" x14ac:dyDescent="0.25">
      <c r="B63" s="336"/>
      <c r="AI63" s="335"/>
      <c r="BJ63" s="335"/>
      <c r="BK63" s="300"/>
    </row>
    <row r="64" spans="2:63" s="302" customFormat="1" ht="15" customHeight="1" x14ac:dyDescent="0.25">
      <c r="B64" s="336"/>
      <c r="AI64" s="335"/>
      <c r="BJ64" s="335"/>
      <c r="BK64" s="300"/>
    </row>
    <row r="65" spans="2:63" s="302" customFormat="1" ht="15" customHeight="1" x14ac:dyDescent="0.25">
      <c r="B65" s="336"/>
      <c r="AI65" s="335"/>
      <c r="BJ65" s="335"/>
      <c r="BK65" s="300"/>
    </row>
    <row r="66" spans="2:63" s="302" customFormat="1" ht="15" customHeight="1" x14ac:dyDescent="0.25">
      <c r="B66" s="336"/>
      <c r="AI66" s="335"/>
      <c r="BJ66" s="335"/>
      <c r="BK66" s="300"/>
    </row>
    <row r="67" spans="2:63" s="302" customFormat="1" ht="15.75" customHeight="1" x14ac:dyDescent="0.25">
      <c r="B67" s="336"/>
      <c r="AI67" s="335"/>
      <c r="BJ67" s="335"/>
      <c r="BK67" s="300"/>
    </row>
    <row r="68" spans="2:63" s="302" customFormat="1" ht="15.75" customHeight="1" x14ac:dyDescent="0.25">
      <c r="B68" s="336"/>
      <c r="AI68" s="335"/>
      <c r="BJ68" s="335"/>
      <c r="BK68" s="300"/>
    </row>
    <row r="69" spans="2:63" s="302" customFormat="1" ht="15.75" customHeight="1" x14ac:dyDescent="0.25">
      <c r="B69" s="336"/>
      <c r="AI69" s="335"/>
      <c r="BJ69" s="335"/>
      <c r="BK69" s="300"/>
    </row>
    <row r="70" spans="2:63" s="302" customFormat="1" ht="15.75" customHeight="1" x14ac:dyDescent="0.25">
      <c r="B70" s="336"/>
      <c r="AI70" s="335"/>
      <c r="BJ70" s="335"/>
      <c r="BK70" s="300"/>
    </row>
    <row r="71" spans="2:63" s="302" customFormat="1" ht="15.75" customHeight="1" x14ac:dyDescent="0.25">
      <c r="B71" s="336"/>
      <c r="AI71" s="335"/>
      <c r="BJ71" s="335"/>
      <c r="BK71" s="300"/>
    </row>
    <row r="72" spans="2:63" s="302" customFormat="1" ht="15.75" customHeight="1" x14ac:dyDescent="0.25">
      <c r="B72" s="336"/>
      <c r="AI72" s="335"/>
      <c r="BJ72" s="335"/>
      <c r="BK72" s="300"/>
    </row>
    <row r="73" spans="2:63" s="302" customFormat="1" ht="15.75" customHeight="1" x14ac:dyDescent="0.25">
      <c r="B73" s="336"/>
      <c r="AI73" s="335"/>
      <c r="BJ73" s="335"/>
      <c r="BK73" s="300"/>
    </row>
    <row r="74" spans="2:63" s="302" customFormat="1" ht="15.75" customHeight="1" x14ac:dyDescent="0.25">
      <c r="B74" s="336"/>
      <c r="AI74" s="335"/>
      <c r="BJ74" s="335"/>
      <c r="BK74" s="300"/>
    </row>
    <row r="75" spans="2:63" s="302" customFormat="1" ht="15.75" customHeight="1" x14ac:dyDescent="0.25">
      <c r="B75" s="336"/>
      <c r="AI75" s="335"/>
      <c r="BJ75" s="335"/>
      <c r="BK75" s="300"/>
    </row>
    <row r="76" spans="2:63" s="302" customFormat="1" ht="15.75" customHeight="1" x14ac:dyDescent="0.25">
      <c r="B76" s="336"/>
      <c r="AI76" s="335"/>
      <c r="BJ76" s="335"/>
      <c r="BK76" s="300"/>
    </row>
    <row r="77" spans="2:63" s="302" customFormat="1" ht="15.75" customHeight="1" x14ac:dyDescent="0.25">
      <c r="B77" s="336"/>
      <c r="AI77" s="335"/>
      <c r="BJ77" s="335"/>
      <c r="BK77" s="300"/>
    </row>
    <row r="78" spans="2:63" s="302" customFormat="1" ht="15.75" customHeight="1" x14ac:dyDescent="0.25">
      <c r="B78" s="336"/>
      <c r="AI78" s="335"/>
      <c r="BJ78" s="335"/>
      <c r="BK78" s="300"/>
    </row>
    <row r="79" spans="2:63" s="302" customFormat="1" ht="15.75" customHeight="1" x14ac:dyDescent="0.25">
      <c r="B79" s="336"/>
      <c r="AI79" s="335"/>
      <c r="BJ79" s="335"/>
      <c r="BK79" s="300"/>
    </row>
    <row r="80" spans="2:63" s="302" customFormat="1" ht="15.75" customHeight="1" x14ac:dyDescent="0.25">
      <c r="B80" s="336"/>
      <c r="AI80" s="335"/>
      <c r="BJ80" s="335"/>
      <c r="BK80" s="300"/>
    </row>
    <row r="81" spans="2:63" s="302" customFormat="1" ht="15.75" customHeight="1" x14ac:dyDescent="0.25">
      <c r="B81" s="336"/>
      <c r="AI81" s="335"/>
      <c r="BJ81" s="335"/>
      <c r="BK81" s="300"/>
    </row>
    <row r="82" spans="2:63" s="302" customFormat="1" ht="15.75" customHeight="1" x14ac:dyDescent="0.25">
      <c r="B82" s="336"/>
      <c r="AI82" s="335"/>
      <c r="BJ82" s="335"/>
      <c r="BK82" s="300"/>
    </row>
    <row r="83" spans="2:63" s="302" customFormat="1" ht="15.75" customHeight="1" x14ac:dyDescent="0.25">
      <c r="B83" s="336"/>
      <c r="AI83" s="335"/>
      <c r="BJ83" s="335"/>
      <c r="BK83" s="300"/>
    </row>
    <row r="84" spans="2:63" s="302" customFormat="1" ht="15.75" customHeight="1" x14ac:dyDescent="0.25">
      <c r="B84" s="336"/>
      <c r="AI84" s="335"/>
      <c r="BJ84" s="335"/>
      <c r="BK84" s="300"/>
    </row>
    <row r="85" spans="2:63" s="302" customFormat="1" ht="15.75" customHeight="1" x14ac:dyDescent="0.25">
      <c r="B85" s="336"/>
      <c r="AI85" s="335"/>
      <c r="BJ85" s="335"/>
      <c r="BK85" s="300"/>
    </row>
    <row r="86" spans="2:63" s="302" customFormat="1" ht="15.75" customHeight="1" x14ac:dyDescent="0.25">
      <c r="B86" s="336"/>
      <c r="AI86" s="335"/>
      <c r="BJ86" s="335"/>
      <c r="BK86" s="300"/>
    </row>
    <row r="87" spans="2:63" s="302" customFormat="1" ht="15.75" customHeight="1" x14ac:dyDescent="0.25">
      <c r="B87" s="336"/>
      <c r="AI87" s="335"/>
      <c r="BJ87" s="335"/>
      <c r="BK87" s="300"/>
    </row>
    <row r="88" spans="2:63" s="302" customFormat="1" ht="15.75" customHeight="1" x14ac:dyDescent="0.25">
      <c r="B88" s="336"/>
      <c r="AI88" s="335"/>
      <c r="BJ88" s="335"/>
      <c r="BK88" s="300"/>
    </row>
    <row r="89" spans="2:63" s="302" customFormat="1" ht="15.75" customHeight="1" x14ac:dyDescent="0.25">
      <c r="B89" s="336"/>
      <c r="AI89" s="335"/>
      <c r="BJ89" s="335"/>
      <c r="BK89" s="300"/>
    </row>
    <row r="90" spans="2:63" s="302" customFormat="1" ht="15.75" customHeight="1" x14ac:dyDescent="0.25">
      <c r="B90" s="336"/>
      <c r="AI90" s="335"/>
      <c r="BJ90" s="335"/>
      <c r="BK90" s="300"/>
    </row>
    <row r="91" spans="2:63" s="302" customFormat="1" ht="15.75" customHeight="1" x14ac:dyDescent="0.25">
      <c r="B91" s="336"/>
      <c r="AI91" s="335"/>
      <c r="BJ91" s="335"/>
      <c r="BK91" s="300"/>
    </row>
    <row r="92" spans="2:63" s="302" customFormat="1" ht="15.75" customHeight="1" x14ac:dyDescent="0.25">
      <c r="B92" s="336"/>
      <c r="AI92" s="335"/>
      <c r="BJ92" s="335"/>
      <c r="BK92" s="300"/>
    </row>
    <row r="93" spans="2:63" s="302" customFormat="1" ht="15.75" customHeight="1" x14ac:dyDescent="0.25">
      <c r="B93" s="336"/>
      <c r="AI93" s="335"/>
      <c r="BJ93" s="335"/>
      <c r="BK93" s="300"/>
    </row>
    <row r="94" spans="2:63" s="302" customFormat="1" ht="15.75" customHeight="1" x14ac:dyDescent="0.25">
      <c r="B94" s="336"/>
      <c r="AI94" s="335"/>
      <c r="BJ94" s="335"/>
      <c r="BK94" s="300"/>
    </row>
    <row r="95" spans="2:63" s="302" customFormat="1" ht="15.75" customHeight="1" x14ac:dyDescent="0.25">
      <c r="B95" s="336"/>
      <c r="AI95" s="335"/>
      <c r="BJ95" s="335"/>
      <c r="BK95" s="300"/>
    </row>
    <row r="96" spans="2:63" s="302" customFormat="1" ht="15.75" customHeight="1" x14ac:dyDescent="0.25">
      <c r="B96" s="336"/>
      <c r="AI96" s="335"/>
      <c r="BJ96" s="335"/>
      <c r="BK96" s="300"/>
    </row>
    <row r="97" spans="2:63" s="302" customFormat="1" ht="15.75" customHeight="1" x14ac:dyDescent="0.25">
      <c r="B97" s="336"/>
      <c r="AI97" s="335"/>
      <c r="BJ97" s="335"/>
      <c r="BK97" s="300"/>
    </row>
    <row r="98" spans="2:63" s="302" customFormat="1" ht="15.75" customHeight="1" x14ac:dyDescent="0.25">
      <c r="B98" s="336"/>
      <c r="AI98" s="335"/>
      <c r="BJ98" s="335"/>
      <c r="BK98" s="300"/>
    </row>
    <row r="99" spans="2:63" s="302" customFormat="1" ht="15.75" customHeight="1" x14ac:dyDescent="0.25">
      <c r="B99" s="336"/>
      <c r="AI99" s="335"/>
      <c r="BJ99" s="335"/>
      <c r="BK99" s="300"/>
    </row>
    <row r="100" spans="2:63" s="302" customFormat="1" ht="15.75" customHeight="1" x14ac:dyDescent="0.25">
      <c r="B100" s="336"/>
      <c r="AI100" s="335"/>
      <c r="BJ100" s="335"/>
      <c r="BK100" s="300"/>
    </row>
    <row r="101" spans="2:63" s="302" customFormat="1" ht="15.75" customHeight="1" x14ac:dyDescent="0.25">
      <c r="B101" s="336"/>
      <c r="AI101" s="335"/>
      <c r="BJ101" s="335"/>
      <c r="BK101" s="300"/>
    </row>
    <row r="102" spans="2:63" s="302" customFormat="1" ht="15" customHeight="1" x14ac:dyDescent="0.25">
      <c r="B102" s="336"/>
      <c r="AI102" s="335"/>
      <c r="BJ102" s="335"/>
      <c r="BK102" s="300"/>
    </row>
    <row r="103" spans="2:63" s="302" customFormat="1" ht="15" customHeight="1" x14ac:dyDescent="0.25">
      <c r="B103" s="336"/>
      <c r="AI103" s="335"/>
      <c r="BJ103" s="335"/>
      <c r="BK103" s="300"/>
    </row>
    <row r="104" spans="2:63" s="302" customFormat="1" ht="15" customHeight="1" x14ac:dyDescent="0.25">
      <c r="B104" s="336"/>
      <c r="AB104" s="302" t="s">
        <v>71</v>
      </c>
      <c r="AI104" s="335"/>
      <c r="BJ104" s="335"/>
      <c r="BK104" s="300"/>
    </row>
    <row r="105" spans="2:63" s="302" customFormat="1" ht="15" customHeight="1" x14ac:dyDescent="0.25">
      <c r="B105" s="336"/>
      <c r="AI105" s="335"/>
      <c r="BJ105" s="335"/>
      <c r="BK105" s="300"/>
    </row>
    <row r="106" spans="2:63" s="302" customFormat="1" ht="15" customHeight="1" x14ac:dyDescent="0.25">
      <c r="B106" s="336"/>
      <c r="AI106" s="335"/>
      <c r="BJ106" s="335"/>
      <c r="BK106" s="300"/>
    </row>
    <row r="107" spans="2:63" s="302" customFormat="1" ht="15" customHeight="1" x14ac:dyDescent="0.25">
      <c r="B107" s="336"/>
      <c r="AI107" s="335"/>
      <c r="BJ107" s="335"/>
      <c r="BK107" s="300"/>
    </row>
    <row r="108" spans="2:63" s="302" customFormat="1" ht="15" customHeight="1" x14ac:dyDescent="0.25">
      <c r="B108" s="336"/>
      <c r="AI108" s="335"/>
      <c r="BJ108" s="335"/>
      <c r="BK108" s="300"/>
    </row>
    <row r="109" spans="2:63" s="302" customFormat="1" ht="15" customHeight="1" x14ac:dyDescent="0.25">
      <c r="B109" s="336"/>
      <c r="AI109" s="335"/>
      <c r="BJ109" s="335"/>
      <c r="BK109" s="300"/>
    </row>
    <row r="110" spans="2:63" s="302" customFormat="1" ht="15" customHeight="1" x14ac:dyDescent="0.25">
      <c r="B110" s="336"/>
      <c r="AI110" s="335"/>
      <c r="BJ110" s="335"/>
      <c r="BK110" s="300"/>
    </row>
    <row r="111" spans="2:63" ht="15" customHeight="1" x14ac:dyDescent="0.25">
      <c r="B111" s="40"/>
      <c r="AI111" s="41"/>
      <c r="BJ111" s="41"/>
      <c r="BK111" s="34"/>
    </row>
    <row r="112" spans="2:63" ht="15" customHeight="1" x14ac:dyDescent="0.25">
      <c r="B112" s="40"/>
      <c r="AI112" s="41"/>
      <c r="BJ112" s="41"/>
      <c r="BK112" s="34"/>
    </row>
    <row r="113" spans="2:63" ht="15" customHeight="1" x14ac:dyDescent="0.25">
      <c r="B113" s="40"/>
      <c r="AI113" s="41"/>
      <c r="BJ113" s="41"/>
      <c r="BK113" s="34"/>
    </row>
    <row r="114" spans="2:63" ht="15" customHeight="1" x14ac:dyDescent="0.25">
      <c r="B114" s="40"/>
      <c r="AI114" s="41"/>
      <c r="BJ114" s="41"/>
      <c r="BK114" s="34"/>
    </row>
    <row r="115" spans="2:63" ht="15" customHeight="1" x14ac:dyDescent="0.25">
      <c r="B115" s="40"/>
      <c r="AI115" s="41"/>
      <c r="BJ115" s="41"/>
      <c r="BK115" s="34"/>
    </row>
    <row r="116" spans="2:63" ht="15" customHeight="1" x14ac:dyDescent="0.25">
      <c r="B116" s="40"/>
      <c r="AI116" s="41"/>
      <c r="BJ116" s="41"/>
      <c r="BK116" s="34"/>
    </row>
    <row r="117" spans="2:63" ht="15" customHeight="1" x14ac:dyDescent="0.25">
      <c r="B117" s="40"/>
      <c r="AI117" s="41"/>
      <c r="BJ117" s="41"/>
      <c r="BK117" s="34"/>
    </row>
    <row r="118" spans="2:63" ht="15" customHeight="1" x14ac:dyDescent="0.25">
      <c r="B118" s="40"/>
      <c r="AI118" s="41"/>
      <c r="BJ118" s="41"/>
      <c r="BK118" s="34"/>
    </row>
    <row r="119" spans="2:63" ht="15" customHeight="1" x14ac:dyDescent="0.25">
      <c r="B119" s="40"/>
      <c r="AI119" s="41"/>
      <c r="BJ119" s="41"/>
      <c r="BK119" s="34"/>
    </row>
    <row r="120" spans="2:63" ht="15" customHeight="1" x14ac:dyDescent="0.25">
      <c r="B120" s="40"/>
      <c r="AI120" s="41"/>
      <c r="BJ120" s="41"/>
      <c r="BK120" s="34"/>
    </row>
    <row r="121" spans="2:63" ht="15" customHeight="1" x14ac:dyDescent="0.25">
      <c r="B121" s="40"/>
      <c r="AI121" s="41"/>
      <c r="BJ121" s="41"/>
      <c r="BK121" s="34"/>
    </row>
    <row r="122" spans="2:63" ht="15" customHeight="1" x14ac:dyDescent="0.25">
      <c r="B122" s="40"/>
      <c r="AI122" s="41"/>
      <c r="BJ122" s="41"/>
      <c r="BK122" s="34"/>
    </row>
    <row r="123" spans="2:63" ht="15" customHeight="1" x14ac:dyDescent="0.25">
      <c r="B123" s="40"/>
      <c r="AI123" s="41"/>
      <c r="BJ123" s="41"/>
      <c r="BK123" s="34"/>
    </row>
    <row r="124" spans="2:63" ht="15" customHeight="1" x14ac:dyDescent="0.25">
      <c r="B124" s="40"/>
      <c r="AI124" s="41"/>
      <c r="BJ124" s="41"/>
      <c r="BK124" s="34"/>
    </row>
    <row r="125" spans="2:63" ht="15" customHeight="1" x14ac:dyDescent="0.25">
      <c r="B125" s="40"/>
      <c r="AI125" s="41"/>
      <c r="BJ125" s="41"/>
      <c r="BK125" s="34"/>
    </row>
    <row r="126" spans="2:63" ht="15" customHeight="1" x14ac:dyDescent="0.25">
      <c r="B126" s="40"/>
      <c r="AI126" s="41"/>
      <c r="BJ126" s="41"/>
      <c r="BK126" s="34"/>
    </row>
    <row r="127" spans="2:63" ht="15" customHeight="1" x14ac:dyDescent="0.25">
      <c r="B127" s="40"/>
      <c r="AI127" s="41"/>
      <c r="BJ127" s="41"/>
      <c r="BK127" s="34"/>
    </row>
    <row r="128" spans="2:63" ht="15" customHeight="1" x14ac:dyDescent="0.25">
      <c r="B128" s="40"/>
      <c r="AI128" s="41"/>
      <c r="BJ128" s="41"/>
      <c r="BK128" s="34"/>
    </row>
    <row r="129" spans="2:63" ht="15" customHeight="1" x14ac:dyDescent="0.25">
      <c r="B129" s="40"/>
      <c r="AI129" s="41"/>
      <c r="BJ129" s="41"/>
      <c r="BK129" s="34"/>
    </row>
    <row r="130" spans="2:63" ht="15" customHeight="1" x14ac:dyDescent="0.25">
      <c r="B130" s="40"/>
      <c r="AI130" s="41"/>
      <c r="BJ130" s="41"/>
      <c r="BK130" s="34"/>
    </row>
    <row r="131" spans="2:63" ht="15" customHeight="1" x14ac:dyDescent="0.25">
      <c r="B131" s="40"/>
      <c r="AI131" s="41"/>
      <c r="BJ131" s="41"/>
      <c r="BK131" s="34"/>
    </row>
    <row r="132" spans="2:63" ht="15" customHeight="1" x14ac:dyDescent="0.25">
      <c r="B132" s="40"/>
      <c r="AI132" s="41"/>
      <c r="BJ132" s="41"/>
      <c r="BK132" s="34"/>
    </row>
    <row r="133" spans="2:63" ht="15" customHeight="1" x14ac:dyDescent="0.25">
      <c r="B133" s="40"/>
      <c r="AI133" s="41"/>
      <c r="BJ133" s="41"/>
      <c r="BK133" s="34"/>
    </row>
    <row r="134" spans="2:63" ht="15" customHeight="1" x14ac:dyDescent="0.25">
      <c r="B134" s="40"/>
      <c r="AI134" s="41"/>
      <c r="BJ134" s="41"/>
      <c r="BK134" s="34"/>
    </row>
    <row r="135" spans="2:63" ht="15" customHeight="1" x14ac:dyDescent="0.25">
      <c r="B135" s="40"/>
      <c r="AI135" s="41"/>
      <c r="BJ135" s="41"/>
      <c r="BK135" s="34"/>
    </row>
    <row r="136" spans="2:63" ht="15" customHeight="1" x14ac:dyDescent="0.25">
      <c r="B136" s="40"/>
      <c r="AI136" s="41"/>
      <c r="BJ136" s="41"/>
      <c r="BK136" s="34"/>
    </row>
    <row r="137" spans="2:63" ht="15" customHeight="1" x14ac:dyDescent="0.25">
      <c r="B137" s="40"/>
      <c r="AI137" s="41"/>
      <c r="BJ137" s="41"/>
      <c r="BK137" s="34"/>
    </row>
    <row r="138" spans="2:63" ht="15" customHeight="1" x14ac:dyDescent="0.25">
      <c r="B138" s="40"/>
      <c r="AI138" s="41"/>
      <c r="BJ138" s="41"/>
      <c r="BK138" s="34"/>
    </row>
    <row r="139" spans="2:63" ht="15" customHeight="1" x14ac:dyDescent="0.25">
      <c r="B139" s="40"/>
      <c r="AI139" s="41"/>
      <c r="BJ139" s="41"/>
      <c r="BK139" s="34"/>
    </row>
    <row r="140" spans="2:63" ht="15" customHeight="1" x14ac:dyDescent="0.25">
      <c r="B140" s="40"/>
      <c r="AI140" s="41"/>
      <c r="BJ140" s="41"/>
      <c r="BK140" s="34"/>
    </row>
    <row r="141" spans="2:63" ht="15" customHeight="1" x14ac:dyDescent="0.25">
      <c r="B141" s="40"/>
      <c r="AI141" s="41"/>
      <c r="BJ141" s="41"/>
      <c r="BK141" s="34"/>
    </row>
    <row r="142" spans="2:63" ht="15" customHeight="1" x14ac:dyDescent="0.25">
      <c r="B142" s="40"/>
      <c r="AI142" s="41"/>
      <c r="BJ142" s="41"/>
      <c r="BK142" s="34"/>
    </row>
    <row r="143" spans="2:63" ht="15" customHeight="1" x14ac:dyDescent="0.25">
      <c r="B143" s="40"/>
      <c r="AI143" s="41"/>
      <c r="BJ143" s="41"/>
      <c r="BK143" s="34"/>
    </row>
    <row r="144" spans="2:63" ht="15" customHeight="1" x14ac:dyDescent="0.25">
      <c r="B144" s="40"/>
      <c r="AI144" s="41"/>
      <c r="BJ144" s="41"/>
      <c r="BK144" s="34"/>
    </row>
    <row r="145" spans="2:63" ht="15" customHeight="1" x14ac:dyDescent="0.25">
      <c r="B145" s="40"/>
      <c r="AI145" s="41"/>
      <c r="BJ145" s="41"/>
      <c r="BK145" s="34"/>
    </row>
    <row r="146" spans="2:63" ht="15" customHeight="1" x14ac:dyDescent="0.25">
      <c r="B146" s="40"/>
      <c r="AI146" s="41"/>
      <c r="BJ146" s="41"/>
      <c r="BK146" s="34"/>
    </row>
    <row r="147" spans="2:63" ht="15" customHeight="1" x14ac:dyDescent="0.25">
      <c r="B147" s="40"/>
      <c r="AI147" s="41"/>
      <c r="BJ147" s="41"/>
      <c r="BK147" s="34"/>
    </row>
    <row r="148" spans="2:63" ht="15" customHeight="1" x14ac:dyDescent="0.25">
      <c r="B148" s="40"/>
      <c r="AI148" s="41"/>
      <c r="BJ148" s="41"/>
      <c r="BK148" s="34"/>
    </row>
    <row r="149" spans="2:63" ht="15" customHeight="1" x14ac:dyDescent="0.25">
      <c r="B149" s="40"/>
      <c r="AI149" s="41"/>
      <c r="BJ149" s="41"/>
      <c r="BK149" s="34"/>
    </row>
    <row r="150" spans="2:63" ht="15" customHeight="1" x14ac:dyDescent="0.25">
      <c r="B150" s="40"/>
      <c r="AI150" s="41"/>
      <c r="BJ150" s="41"/>
      <c r="BK150" s="34"/>
    </row>
    <row r="151" spans="2:63" ht="15" customHeight="1" x14ac:dyDescent="0.25">
      <c r="B151" s="40"/>
      <c r="AI151" s="41"/>
      <c r="BJ151" s="41"/>
      <c r="BK151" s="34"/>
    </row>
    <row r="152" spans="2:63" ht="15" customHeight="1" x14ac:dyDescent="0.25">
      <c r="B152" s="40"/>
      <c r="AI152" s="41"/>
      <c r="BJ152" s="41"/>
      <c r="BK152" s="34"/>
    </row>
    <row r="153" spans="2:63" ht="15" customHeight="1" x14ac:dyDescent="0.25">
      <c r="B153" s="40"/>
      <c r="AI153" s="41"/>
      <c r="BJ153" s="41"/>
      <c r="BK153" s="34"/>
    </row>
    <row r="154" spans="2:63" ht="15" customHeight="1" x14ac:dyDescent="0.25">
      <c r="B154" s="40"/>
      <c r="AI154" s="41"/>
      <c r="BJ154" s="41"/>
      <c r="BK154" s="34"/>
    </row>
    <row r="155" spans="2:63" ht="15" customHeight="1" x14ac:dyDescent="0.25">
      <c r="B155" s="40"/>
      <c r="AI155" s="41"/>
      <c r="BJ155" s="41"/>
      <c r="BK155" s="34"/>
    </row>
    <row r="156" spans="2:63" ht="15" customHeight="1" x14ac:dyDescent="0.25">
      <c r="B156" s="40"/>
      <c r="AI156" s="41"/>
      <c r="BJ156" s="41"/>
      <c r="BK156" s="34"/>
    </row>
    <row r="157" spans="2:63" ht="15" customHeight="1" x14ac:dyDescent="0.25">
      <c r="B157" s="40"/>
      <c r="AI157" s="41"/>
      <c r="BJ157" s="41"/>
      <c r="BK157" s="34"/>
    </row>
    <row r="158" spans="2:63" ht="15" customHeight="1" x14ac:dyDescent="0.25">
      <c r="B158" s="40"/>
      <c r="AI158" s="41"/>
      <c r="BJ158" s="41"/>
      <c r="BK158" s="34"/>
    </row>
    <row r="159" spans="2:63" ht="15" customHeight="1" x14ac:dyDescent="0.25">
      <c r="B159" s="40"/>
      <c r="AI159" s="41"/>
      <c r="BJ159" s="41"/>
      <c r="BK159" s="34"/>
    </row>
    <row r="160" spans="2:63" ht="15" customHeight="1" x14ac:dyDescent="0.25">
      <c r="B160" s="40"/>
      <c r="AI160" s="41"/>
      <c r="BJ160" s="41"/>
      <c r="BK160" s="34"/>
    </row>
    <row r="161" spans="2:63" ht="15" customHeight="1" x14ac:dyDescent="0.25">
      <c r="B161" s="40"/>
      <c r="AI161" s="41"/>
      <c r="BJ161" s="41"/>
      <c r="BK161" s="34"/>
    </row>
    <row r="162" spans="2:63" ht="15" customHeight="1" x14ac:dyDescent="0.25">
      <c r="B162" s="40"/>
      <c r="AI162" s="41"/>
      <c r="BJ162" s="41"/>
      <c r="BK162" s="34"/>
    </row>
    <row r="163" spans="2:63" ht="15" customHeight="1" x14ac:dyDescent="0.25">
      <c r="B163" s="40"/>
      <c r="AI163" s="41"/>
      <c r="BJ163" s="41"/>
      <c r="BK163" s="34"/>
    </row>
    <row r="164" spans="2:63" ht="15" customHeight="1" x14ac:dyDescent="0.25">
      <c r="B164" s="40"/>
      <c r="AI164" s="41"/>
      <c r="BJ164" s="41"/>
      <c r="BK164" s="34"/>
    </row>
    <row r="165" spans="2:63" ht="15" customHeight="1" x14ac:dyDescent="0.25">
      <c r="B165" s="40"/>
      <c r="AI165" s="41"/>
      <c r="BJ165" s="41"/>
      <c r="BK165" s="34"/>
    </row>
    <row r="166" spans="2:63" ht="15" customHeight="1" x14ac:dyDescent="0.25">
      <c r="B166" s="40"/>
      <c r="AI166" s="41"/>
      <c r="BJ166" s="41"/>
      <c r="BK166" s="34"/>
    </row>
    <row r="167" spans="2:63" ht="15" customHeight="1" x14ac:dyDescent="0.25">
      <c r="B167" s="40"/>
      <c r="AI167" s="41"/>
      <c r="BJ167" s="41"/>
      <c r="BK167" s="34"/>
    </row>
    <row r="168" spans="2:63" ht="15" customHeight="1" x14ac:dyDescent="0.25">
      <c r="B168" s="40"/>
      <c r="AI168" s="41"/>
      <c r="BJ168" s="41"/>
      <c r="BK168" s="34"/>
    </row>
    <row r="169" spans="2:63" ht="15" customHeight="1" x14ac:dyDescent="0.25">
      <c r="B169" s="40"/>
      <c r="AI169" s="41"/>
      <c r="BJ169" s="41"/>
      <c r="BK169" s="34"/>
    </row>
    <row r="170" spans="2:63" ht="15" customHeight="1" x14ac:dyDescent="0.25">
      <c r="B170" s="40"/>
      <c r="AI170" s="41"/>
      <c r="BJ170" s="41"/>
      <c r="BK170" s="34"/>
    </row>
    <row r="171" spans="2:63" ht="15" customHeight="1" x14ac:dyDescent="0.25">
      <c r="B171" s="40"/>
      <c r="AI171" s="41"/>
      <c r="BJ171" s="41"/>
      <c r="BK171" s="34"/>
    </row>
    <row r="172" spans="2:63" ht="15" customHeight="1" x14ac:dyDescent="0.25">
      <c r="B172" s="40"/>
      <c r="AI172" s="41"/>
      <c r="BJ172" s="41"/>
      <c r="BK172" s="34"/>
    </row>
    <row r="173" spans="2:63" ht="15" customHeight="1" x14ac:dyDescent="0.25">
      <c r="B173" s="40"/>
      <c r="AI173" s="41"/>
      <c r="BJ173" s="41"/>
      <c r="BK173" s="34"/>
    </row>
    <row r="174" spans="2:63" ht="15" customHeight="1" x14ac:dyDescent="0.25">
      <c r="B174" s="40"/>
      <c r="AI174" s="41"/>
      <c r="BJ174" s="41"/>
      <c r="BK174" s="34"/>
    </row>
    <row r="175" spans="2:63" ht="15" customHeight="1" x14ac:dyDescent="0.25">
      <c r="B175" s="40"/>
      <c r="AI175" s="41"/>
      <c r="BJ175" s="41"/>
      <c r="BK175" s="34"/>
    </row>
    <row r="176" spans="2:63" ht="15" customHeight="1" x14ac:dyDescent="0.25">
      <c r="B176" s="40"/>
      <c r="AI176" s="41"/>
      <c r="BJ176" s="41"/>
      <c r="BK176" s="34"/>
    </row>
    <row r="177" spans="2:63" ht="15" customHeight="1" x14ac:dyDescent="0.25">
      <c r="B177" s="40"/>
      <c r="AI177" s="41"/>
      <c r="BJ177" s="41"/>
      <c r="BK177" s="34"/>
    </row>
    <row r="178" spans="2:63" ht="15" customHeight="1" x14ac:dyDescent="0.25">
      <c r="B178" s="40"/>
      <c r="AI178" s="41"/>
      <c r="BJ178" s="41"/>
      <c r="BK178" s="34"/>
    </row>
    <row r="179" spans="2:63" ht="15" customHeight="1" x14ac:dyDescent="0.25">
      <c r="B179" s="40"/>
      <c r="AI179" s="41"/>
      <c r="BJ179" s="41"/>
      <c r="BK179" s="34"/>
    </row>
    <row r="180" spans="2:63" ht="15" customHeight="1" x14ac:dyDescent="0.25">
      <c r="B180" s="40"/>
      <c r="AI180" s="41"/>
      <c r="BJ180" s="41"/>
      <c r="BK180" s="34"/>
    </row>
    <row r="181" spans="2:63" ht="15" customHeight="1" x14ac:dyDescent="0.25">
      <c r="B181" s="40"/>
      <c r="AI181" s="41"/>
      <c r="BJ181" s="41"/>
      <c r="BK181" s="34"/>
    </row>
    <row r="182" spans="2:63" ht="15" customHeight="1" x14ac:dyDescent="0.25">
      <c r="B182" s="40"/>
      <c r="AI182" s="41"/>
      <c r="BJ182" s="41"/>
      <c r="BK182" s="34"/>
    </row>
    <row r="183" spans="2:63" ht="15" customHeight="1" x14ac:dyDescent="0.25">
      <c r="B183" s="40"/>
      <c r="AI183" s="41"/>
      <c r="BJ183" s="41"/>
      <c r="BK183" s="34"/>
    </row>
    <row r="184" spans="2:63" ht="15" customHeight="1" x14ac:dyDescent="0.25">
      <c r="B184" s="40"/>
      <c r="AI184" s="41"/>
      <c r="BJ184" s="41"/>
      <c r="BK184" s="34"/>
    </row>
    <row r="185" spans="2:63" ht="15" customHeight="1" x14ac:dyDescent="0.25">
      <c r="B185" s="40"/>
      <c r="AI185" s="41"/>
      <c r="BJ185" s="41"/>
      <c r="BK185" s="34"/>
    </row>
    <row r="186" spans="2:63" ht="15" customHeight="1" x14ac:dyDescent="0.25">
      <c r="B186" s="40"/>
      <c r="AI186" s="41"/>
      <c r="BJ186" s="41"/>
      <c r="BK186" s="34"/>
    </row>
    <row r="187" spans="2:63" ht="15" customHeight="1" x14ac:dyDescent="0.25">
      <c r="B187" s="40"/>
      <c r="AI187" s="41"/>
      <c r="BJ187" s="41"/>
      <c r="BK187" s="34"/>
    </row>
    <row r="188" spans="2:63" ht="15" customHeight="1" x14ac:dyDescent="0.25">
      <c r="B188" s="40"/>
      <c r="AI188" s="41"/>
      <c r="BJ188" s="41"/>
      <c r="BK188" s="34"/>
    </row>
    <row r="189" spans="2:63" ht="15" customHeight="1" x14ac:dyDescent="0.25">
      <c r="B189" s="40"/>
      <c r="AI189" s="41"/>
      <c r="BJ189" s="41"/>
      <c r="BK189" s="34"/>
    </row>
    <row r="190" spans="2:63" ht="15" customHeight="1" x14ac:dyDescent="0.25">
      <c r="B190" s="40"/>
      <c r="AI190" s="41"/>
      <c r="BJ190" s="41"/>
      <c r="BK190" s="34"/>
    </row>
    <row r="191" spans="2:63" ht="15" customHeight="1" x14ac:dyDescent="0.25">
      <c r="B191" s="40"/>
      <c r="AI191" s="41"/>
      <c r="BJ191" s="41"/>
      <c r="BK191" s="34"/>
    </row>
    <row r="192" spans="2:63" ht="15" customHeight="1" x14ac:dyDescent="0.25">
      <c r="B192" s="40"/>
      <c r="AI192" s="41"/>
      <c r="BJ192" s="41"/>
      <c r="BK192" s="34"/>
    </row>
    <row r="193" spans="2:63" ht="15" customHeight="1" x14ac:dyDescent="0.25">
      <c r="B193" s="40"/>
      <c r="AI193" s="41"/>
      <c r="BJ193" s="41"/>
      <c r="BK193" s="34"/>
    </row>
    <row r="194" spans="2:63" ht="15" customHeight="1" x14ac:dyDescent="0.25">
      <c r="B194" s="40"/>
      <c r="AI194" s="41"/>
      <c r="BJ194" s="41"/>
      <c r="BK194" s="34"/>
    </row>
    <row r="195" spans="2:63" ht="15" customHeight="1" x14ac:dyDescent="0.25">
      <c r="B195" s="40"/>
      <c r="AI195" s="41"/>
      <c r="BJ195" s="41"/>
      <c r="BK195" s="34"/>
    </row>
    <row r="196" spans="2:63" ht="15" customHeight="1" x14ac:dyDescent="0.25">
      <c r="B196" s="40"/>
      <c r="AI196" s="41"/>
      <c r="BJ196" s="41"/>
      <c r="BK196" s="34"/>
    </row>
    <row r="197" spans="2:63" ht="15" customHeight="1" x14ac:dyDescent="0.25">
      <c r="B197" s="40"/>
      <c r="AI197" s="41"/>
      <c r="BJ197" s="41"/>
      <c r="BK197" s="34"/>
    </row>
    <row r="198" spans="2:63" ht="15" customHeight="1" x14ac:dyDescent="0.25">
      <c r="B198" s="40"/>
      <c r="AI198" s="41"/>
      <c r="BJ198" s="41"/>
      <c r="BK198" s="34"/>
    </row>
    <row r="199" spans="2:63" ht="15" customHeight="1" x14ac:dyDescent="0.25">
      <c r="B199" s="40"/>
      <c r="AI199" s="41"/>
      <c r="BJ199" s="41"/>
      <c r="BK199" s="34"/>
    </row>
    <row r="200" spans="2:63" ht="15" customHeight="1" x14ac:dyDescent="0.25">
      <c r="B200" s="40"/>
      <c r="AI200" s="41"/>
      <c r="BJ200" s="41"/>
      <c r="BK200" s="34"/>
    </row>
    <row r="201" spans="2:63" ht="15" customHeight="1" x14ac:dyDescent="0.25">
      <c r="B201" s="40"/>
      <c r="AI201" s="41"/>
      <c r="BJ201" s="41"/>
      <c r="BK201" s="34"/>
    </row>
    <row r="202" spans="2:63" ht="15" customHeight="1" x14ac:dyDescent="0.25">
      <c r="B202" s="40"/>
      <c r="AI202" s="41"/>
      <c r="BJ202" s="41"/>
      <c r="BK202" s="34"/>
    </row>
    <row r="203" spans="2:63" ht="15" customHeight="1" x14ac:dyDescent="0.25">
      <c r="B203" s="40"/>
      <c r="AI203" s="41"/>
      <c r="BJ203" s="41"/>
      <c r="BK203" s="34"/>
    </row>
    <row r="204" spans="2:63" ht="15" customHeight="1" x14ac:dyDescent="0.25">
      <c r="B204" s="40"/>
      <c r="AI204" s="41"/>
      <c r="BJ204" s="41"/>
      <c r="BK204" s="34"/>
    </row>
    <row r="205" spans="2:63" ht="15" customHeight="1" x14ac:dyDescent="0.25">
      <c r="B205" s="40"/>
      <c r="AI205" s="41"/>
      <c r="BJ205" s="41"/>
      <c r="BK205" s="34"/>
    </row>
    <row r="206" spans="2:63" ht="15" customHeight="1" x14ac:dyDescent="0.25">
      <c r="B206" s="40"/>
      <c r="AI206" s="41"/>
      <c r="BJ206" s="41"/>
      <c r="BK206" s="34"/>
    </row>
    <row r="207" spans="2:63" ht="15" customHeight="1" x14ac:dyDescent="0.25">
      <c r="B207" s="40"/>
      <c r="AI207" s="41"/>
      <c r="BJ207" s="41"/>
      <c r="BK207" s="34"/>
    </row>
    <row r="208" spans="2:63" ht="15" customHeight="1" x14ac:dyDescent="0.25">
      <c r="B208" s="40"/>
      <c r="AI208" s="41"/>
      <c r="BJ208" s="41"/>
      <c r="BK208" s="34"/>
    </row>
    <row r="209" spans="2:63" ht="15" customHeight="1" x14ac:dyDescent="0.25">
      <c r="B209" s="40"/>
      <c r="AI209" s="41"/>
      <c r="BJ209" s="41"/>
      <c r="BK209" s="34"/>
    </row>
    <row r="210" spans="2:63" ht="15" customHeight="1" x14ac:dyDescent="0.25">
      <c r="B210" s="40"/>
      <c r="AI210" s="41"/>
      <c r="BJ210" s="41"/>
      <c r="BK210" s="34"/>
    </row>
    <row r="211" spans="2:63" ht="15" customHeight="1" x14ac:dyDescent="0.25">
      <c r="B211" s="40"/>
      <c r="AI211" s="41"/>
      <c r="BJ211" s="41"/>
      <c r="BK211" s="34"/>
    </row>
    <row r="212" spans="2:63" ht="15" customHeight="1" x14ac:dyDescent="0.25">
      <c r="B212" s="40"/>
      <c r="AI212" s="41"/>
      <c r="BJ212" s="41"/>
      <c r="BK212" s="34"/>
    </row>
    <row r="213" spans="2:63" ht="15" customHeight="1" x14ac:dyDescent="0.25">
      <c r="B213" s="40"/>
      <c r="AI213" s="41"/>
      <c r="BJ213" s="41"/>
      <c r="BK213" s="34"/>
    </row>
    <row r="214" spans="2:63" ht="15" customHeight="1" x14ac:dyDescent="0.25">
      <c r="B214" s="40"/>
      <c r="AI214" s="41"/>
      <c r="BJ214" s="41"/>
      <c r="BK214" s="34"/>
    </row>
    <row r="215" spans="2:63" ht="15" customHeight="1" x14ac:dyDescent="0.25">
      <c r="B215" s="40"/>
      <c r="AI215" s="41"/>
      <c r="BJ215" s="41"/>
      <c r="BK215" s="34"/>
    </row>
    <row r="216" spans="2:63" ht="15" customHeight="1" x14ac:dyDescent="0.25">
      <c r="B216" s="40"/>
      <c r="AI216" s="41"/>
      <c r="BJ216" s="41"/>
      <c r="BK216" s="34"/>
    </row>
    <row r="217" spans="2:63" ht="15" customHeight="1" x14ac:dyDescent="0.25">
      <c r="B217" s="40"/>
      <c r="AI217" s="41"/>
      <c r="BJ217" s="41"/>
      <c r="BK217" s="34"/>
    </row>
    <row r="218" spans="2:63" ht="15" customHeight="1" x14ac:dyDescent="0.25">
      <c r="B218" s="40"/>
      <c r="AI218" s="41"/>
      <c r="BJ218" s="41"/>
      <c r="BK218" s="34"/>
    </row>
    <row r="219" spans="2:63" ht="15" customHeight="1" x14ac:dyDescent="0.25">
      <c r="B219" s="40"/>
      <c r="AI219" s="41"/>
      <c r="BJ219" s="41"/>
      <c r="BK219" s="34"/>
    </row>
    <row r="220" spans="2:63" ht="15" customHeight="1" x14ac:dyDescent="0.25">
      <c r="B220" s="40"/>
      <c r="AI220" s="41"/>
      <c r="BJ220" s="41"/>
      <c r="BK220" s="34"/>
    </row>
    <row r="221" spans="2:63" ht="15" customHeight="1" x14ac:dyDescent="0.25">
      <c r="B221" s="40"/>
      <c r="AI221" s="41"/>
      <c r="BJ221" s="41"/>
      <c r="BK221" s="34"/>
    </row>
    <row r="222" spans="2:63" ht="15" customHeight="1" x14ac:dyDescent="0.25">
      <c r="B222" s="40"/>
      <c r="AI222" s="41"/>
      <c r="BJ222" s="41"/>
      <c r="BK222" s="34"/>
    </row>
    <row r="223" spans="2:63" ht="15" customHeight="1" x14ac:dyDescent="0.25">
      <c r="B223" s="40"/>
      <c r="AI223" s="41"/>
      <c r="BJ223" s="41"/>
      <c r="BK223" s="34"/>
    </row>
    <row r="224" spans="2:63" ht="15" customHeight="1" x14ac:dyDescent="0.25">
      <c r="B224" s="40"/>
      <c r="AI224" s="41"/>
      <c r="BJ224" s="41"/>
      <c r="BK224" s="34"/>
    </row>
    <row r="225" spans="2:63" ht="15" customHeight="1" x14ac:dyDescent="0.25">
      <c r="B225" s="40"/>
      <c r="AI225" s="41"/>
      <c r="BJ225" s="41"/>
      <c r="BK225" s="34"/>
    </row>
    <row r="226" spans="2:63" ht="15" customHeight="1" x14ac:dyDescent="0.25">
      <c r="B226" s="40"/>
      <c r="AI226" s="41"/>
      <c r="BJ226" s="41"/>
      <c r="BK226" s="34"/>
    </row>
    <row r="227" spans="2:63" ht="15" customHeight="1" x14ac:dyDescent="0.25">
      <c r="B227" s="40"/>
      <c r="AI227" s="41"/>
      <c r="BJ227" s="41"/>
      <c r="BK227" s="34"/>
    </row>
    <row r="228" spans="2:63" ht="15" customHeight="1" x14ac:dyDescent="0.25">
      <c r="B228" s="40"/>
      <c r="AI228" s="41"/>
      <c r="BJ228" s="41"/>
      <c r="BK228" s="34"/>
    </row>
    <row r="229" spans="2:63" ht="15" customHeight="1" x14ac:dyDescent="0.25">
      <c r="B229" s="40"/>
      <c r="AI229" s="41"/>
      <c r="BJ229" s="41"/>
      <c r="BK229" s="34"/>
    </row>
    <row r="230" spans="2:63" ht="15" customHeight="1" x14ac:dyDescent="0.25">
      <c r="B230" s="40"/>
      <c r="AI230" s="41"/>
      <c r="BJ230" s="41"/>
      <c r="BK230" s="34"/>
    </row>
    <row r="231" spans="2:63" ht="15" customHeight="1" x14ac:dyDescent="0.25">
      <c r="B231" s="40"/>
      <c r="AI231" s="41"/>
      <c r="BJ231" s="41"/>
      <c r="BK231" s="34"/>
    </row>
    <row r="232" spans="2:63" ht="15" customHeight="1" x14ac:dyDescent="0.25">
      <c r="B232" s="40"/>
      <c r="AI232" s="41"/>
      <c r="BJ232" s="41"/>
      <c r="BK232" s="34"/>
    </row>
    <row r="233" spans="2:63" ht="15" customHeight="1" x14ac:dyDescent="0.25">
      <c r="B233" s="40"/>
      <c r="AI233" s="41"/>
      <c r="BJ233" s="41"/>
      <c r="BK233" s="34"/>
    </row>
    <row r="234" spans="2:63" ht="15" customHeight="1" x14ac:dyDescent="0.25">
      <c r="B234" s="40"/>
      <c r="AI234" s="41"/>
      <c r="BJ234" s="41"/>
      <c r="BK234" s="34"/>
    </row>
    <row r="235" spans="2:63" ht="15" customHeight="1" x14ac:dyDescent="0.25">
      <c r="B235" s="40"/>
      <c r="AI235" s="41"/>
      <c r="BJ235" s="41"/>
      <c r="BK235" s="34"/>
    </row>
    <row r="236" spans="2:63" ht="15" customHeight="1" x14ac:dyDescent="0.25">
      <c r="B236" s="40"/>
      <c r="AI236" s="41"/>
      <c r="BJ236" s="41"/>
      <c r="BK236" s="34"/>
    </row>
    <row r="237" spans="2:63" ht="15" customHeight="1" x14ac:dyDescent="0.25">
      <c r="B237" s="40"/>
      <c r="AI237" s="41"/>
      <c r="BJ237" s="41"/>
      <c r="BK237" s="34"/>
    </row>
    <row r="238" spans="2:63" ht="15" customHeight="1" x14ac:dyDescent="0.25">
      <c r="B238" s="40"/>
      <c r="AI238" s="41"/>
      <c r="BJ238" s="41"/>
      <c r="BK238" s="34"/>
    </row>
    <row r="239" spans="2:63" ht="15" customHeight="1" x14ac:dyDescent="0.25">
      <c r="B239" s="40"/>
      <c r="AI239" s="41"/>
      <c r="BJ239" s="41"/>
      <c r="BK239" s="34"/>
    </row>
    <row r="240" spans="2:63" ht="15" customHeight="1" x14ac:dyDescent="0.25">
      <c r="B240" s="40"/>
      <c r="AI240" s="41"/>
      <c r="BJ240" s="41"/>
      <c r="BK240" s="34"/>
    </row>
    <row r="241" spans="2:63" ht="15" customHeight="1" x14ac:dyDescent="0.25">
      <c r="B241" s="40"/>
      <c r="AI241" s="41"/>
      <c r="BJ241" s="41"/>
      <c r="BK241" s="34"/>
    </row>
    <row r="242" spans="2:63" ht="15" customHeight="1" x14ac:dyDescent="0.25">
      <c r="B242" s="40"/>
      <c r="AI242" s="41"/>
      <c r="BJ242" s="41"/>
      <c r="BK242" s="34"/>
    </row>
    <row r="243" spans="2:63" ht="15" customHeight="1" x14ac:dyDescent="0.25">
      <c r="B243" s="40"/>
      <c r="AI243" s="41"/>
      <c r="BJ243" s="41"/>
      <c r="BK243" s="34"/>
    </row>
    <row r="244" spans="2:63" ht="15" customHeight="1" x14ac:dyDescent="0.25">
      <c r="B244" s="40"/>
      <c r="AI244" s="41"/>
      <c r="BJ244" s="41"/>
      <c r="BK244" s="34"/>
    </row>
    <row r="245" spans="2:63" ht="15" customHeight="1" x14ac:dyDescent="0.25">
      <c r="B245" s="40"/>
      <c r="AI245" s="41"/>
      <c r="BJ245" s="41"/>
      <c r="BK245" s="34"/>
    </row>
    <row r="246" spans="2:63" ht="15" customHeight="1" x14ac:dyDescent="0.25">
      <c r="B246" s="40"/>
      <c r="AI246" s="41"/>
      <c r="BJ246" s="41"/>
      <c r="BK246" s="34"/>
    </row>
    <row r="247" spans="2:63" ht="15" customHeight="1" x14ac:dyDescent="0.25">
      <c r="B247" s="40"/>
      <c r="AI247" s="41"/>
      <c r="BJ247" s="41"/>
      <c r="BK247" s="34"/>
    </row>
    <row r="248" spans="2:63" ht="15" customHeight="1" x14ac:dyDescent="0.25">
      <c r="B248" s="40"/>
      <c r="AI248" s="41"/>
      <c r="BJ248" s="41"/>
      <c r="BK248" s="34"/>
    </row>
    <row r="249" spans="2:63" ht="15" customHeight="1" x14ac:dyDescent="0.25">
      <c r="B249" s="40"/>
      <c r="AI249" s="41"/>
      <c r="BJ249" s="41"/>
      <c r="BK249" s="34"/>
    </row>
    <row r="250" spans="2:63" ht="15" customHeight="1" x14ac:dyDescent="0.25">
      <c r="B250" s="40"/>
      <c r="AI250" s="41"/>
      <c r="BJ250" s="41"/>
      <c r="BK250" s="34"/>
    </row>
    <row r="251" spans="2:63" ht="15" customHeight="1" x14ac:dyDescent="0.25">
      <c r="B251" s="40"/>
      <c r="AI251" s="41"/>
      <c r="BJ251" s="41"/>
      <c r="BK251" s="34"/>
    </row>
    <row r="252" spans="2:63" ht="15" customHeight="1" x14ac:dyDescent="0.25">
      <c r="B252" s="40"/>
      <c r="AI252" s="41"/>
      <c r="BJ252" s="41"/>
      <c r="BK252" s="34"/>
    </row>
    <row r="253" spans="2:63" ht="15" customHeight="1" x14ac:dyDescent="0.25">
      <c r="B253" s="40"/>
      <c r="AI253" s="41"/>
      <c r="BJ253" s="41"/>
      <c r="BK253" s="3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3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9" t="s">
        <v>29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30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">
        <v>129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72" t="s">
        <v>31</v>
      </c>
      <c r="AQ1" s="73"/>
      <c r="AR1" s="73"/>
      <c r="AS1" s="74"/>
      <c r="AT1" s="72" t="s">
        <v>32</v>
      </c>
      <c r="AU1" s="73"/>
      <c r="AV1" s="73"/>
      <c r="AW1" s="73"/>
      <c r="AX1" s="74"/>
      <c r="AY1" s="72" t="s">
        <v>33</v>
      </c>
      <c r="AZ1" s="73"/>
      <c r="BA1" s="73"/>
      <c r="BB1" s="74"/>
      <c r="BC1" s="72" t="s">
        <v>34</v>
      </c>
      <c r="BD1" s="73"/>
      <c r="BE1" s="73"/>
      <c r="BF1" s="73"/>
      <c r="BG1" s="74"/>
      <c r="BH1" s="72" t="s">
        <v>35</v>
      </c>
      <c r="BI1" s="73"/>
      <c r="BJ1" s="73"/>
      <c r="BK1" s="74"/>
    </row>
    <row r="2" spans="1:63" ht="15" customHeight="1" x14ac:dyDescent="0.25">
      <c r="A2" s="163" t="s">
        <v>128</v>
      </c>
      <c r="B2" s="164"/>
      <c r="C2" s="164"/>
      <c r="D2" s="164"/>
      <c r="E2" s="164"/>
      <c r="F2" s="164"/>
      <c r="G2" s="164"/>
      <c r="H2" s="164"/>
      <c r="I2" s="164"/>
      <c r="J2" s="165"/>
      <c r="K2" s="163" t="s">
        <v>128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4" t="s">
        <v>125</v>
      </c>
      <c r="AQ2" s="13"/>
      <c r="AR2" s="13"/>
      <c r="AS2" s="12"/>
      <c r="AT2" s="87">
        <v>45492</v>
      </c>
      <c r="AU2" s="88"/>
      <c r="AV2" s="88"/>
      <c r="AW2" s="88"/>
      <c r="AX2" s="89"/>
      <c r="AY2" s="14" t="s">
        <v>126</v>
      </c>
      <c r="AZ2" s="13"/>
      <c r="BA2" s="13"/>
      <c r="BB2" s="12"/>
      <c r="BC2" s="87">
        <v>45787</v>
      </c>
      <c r="BD2" s="88"/>
      <c r="BE2" s="88"/>
      <c r="BF2" s="88"/>
      <c r="BG2" s="89"/>
      <c r="BH2" s="14">
        <v>0.53</v>
      </c>
      <c r="BI2" s="13"/>
      <c r="BJ2" s="13"/>
      <c r="BK2" s="12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8"/>
      <c r="AQ3" s="7"/>
      <c r="AR3" s="7"/>
      <c r="AS3" s="6"/>
      <c r="AT3" s="90"/>
      <c r="AU3" s="91"/>
      <c r="AV3" s="91"/>
      <c r="AW3" s="91"/>
      <c r="AX3" s="92"/>
      <c r="AY3" s="8"/>
      <c r="AZ3" s="7"/>
      <c r="BA3" s="7"/>
      <c r="BB3" s="6"/>
      <c r="BC3" s="90"/>
      <c r="BD3" s="91"/>
      <c r="BE3" s="91"/>
      <c r="BF3" s="91"/>
      <c r="BG3" s="92"/>
      <c r="BH3" s="8"/>
      <c r="BI3" s="7"/>
      <c r="BJ3" s="7"/>
      <c r="BK3" s="6"/>
    </row>
    <row r="4" spans="1:63" ht="24.95" customHeight="1" x14ac:dyDescent="0.25">
      <c r="A4" s="169" t="s">
        <v>36</v>
      </c>
      <c r="B4" s="170"/>
      <c r="C4" s="170"/>
      <c r="D4" s="170"/>
      <c r="E4" s="170"/>
      <c r="F4" s="170"/>
      <c r="G4" s="171"/>
      <c r="H4" s="181" t="s">
        <v>127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37</v>
      </c>
      <c r="V4" s="170"/>
      <c r="W4" s="170"/>
      <c r="X4" s="170"/>
      <c r="Y4" s="171"/>
      <c r="Z4" s="181" t="s">
        <v>130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テンプレート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‎表紙</vt:lpstr>
      <vt:lpstr>改訂履歴</vt:lpstr>
      <vt:lpstr>処理フロー凡例</vt:lpstr>
      <vt:lpstr>AP8105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2025-05-15T03:22:31Z</dcterms:modified>
  <cp:category/>
  <cp:contentStatus/>
</cp:coreProperties>
</file>