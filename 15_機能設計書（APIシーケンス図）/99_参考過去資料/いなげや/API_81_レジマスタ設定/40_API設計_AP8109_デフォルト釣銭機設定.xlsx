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1_レジマスタ設定\"/>
    </mc:Choice>
  </mc:AlternateContent>
  <xr:revisionPtr revIDLastSave="0" documentId="13_ncr:20001_{D0DA1896-0CC2-4BDF-AB87-00BEA371FAD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109" sheetId="8" r:id="rId4"/>
    <sheet name="処理フロー" sheetId="9" r:id="rId5"/>
    <sheet name="テンプレート" sheetId="7" r:id="rId6"/>
  </sheets>
  <definedNames>
    <definedName name="_xlnm.Print_Area" localSheetId="3">'AP8109'!$A$1:$BK$82</definedName>
    <definedName name="_xlnm.Print_Area" localSheetId="5">テンプレート!$A$1:$BK$54</definedName>
    <definedName name="_xlnm.Print_Area" localSheetId="4">処理フロー!$A$1:$BK$33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<sst xmlns="http://schemas.openxmlformats.org/spreadsheetml/2006/main" count="332" uniqueCount="136">
  <si>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</si>
  <si>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</si>
  <si>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</si>
  <si>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</si>
  <si>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</si>
  <si>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</si>
  <si>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</si>
  <si>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</si>
  <si>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</si>
  <si>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</si>
  <si>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</si>
  <si>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</si>
  <si>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</si>
  <si>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</si>
  <si>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</si>
  <si>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</si>
  <si>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</si>
  <si>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</si>
  <si>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</si>
  <si>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</si>
  <si>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</si>
  <si>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</si>
  <si>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</si>
  <si>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</si>
  <si>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</si>
  <si>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</si>
  <si>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</si>
  <si>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※サンプル</t>
    </r>
  </si>
  <si>
    <r>
      <rPr>
        <sz val="11"/>
        <color rgb="FF000000"/>
        <rFont val="Meiryo UI"/>
        <family val="2"/>
      </rPr>
      <t>AP7101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</si>
  <si>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</si>
  <si>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</si>
  <si>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</si>
  <si>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store_code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</si>
  <si>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</si>
  <si>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t>{</t>
  </si>
  <si>
    <t>}</t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</si>
  <si>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</si>
  <si>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List&lt;ChangeMachineSetting&gt;</t>
    </r>
  </si>
  <si>
    <r>
      <rPr>
        <sz val="11"/>
        <color rgb="FF000000"/>
        <rFont val="Meiryo UI"/>
        <family val="2"/>
      </rPr>
      <t>cassette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</si>
  <si>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</si>
  <si>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釣銭機設定の詳細情報を取得する。</t>
    </r>
  </si>
  <si>
    <t xml:space="preserve">  {</t>
  </si>
  <si>
    <t xml:space="preserve">   }</t>
  </si>
  <si>
    <t>]</t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</si>
  <si>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</si>
  <si>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</si>
  <si>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</si>
  <si>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</si>
  <si>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</si>
  <si>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</si>
  <si>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</si>
  <si>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</si>
  <si>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count_10000</t>
    </r>
  </si>
  <si>
    <r>
      <rPr>
        <sz val="11"/>
        <color rgb="FF000000"/>
        <rFont val="Meiryo UI"/>
        <family val="2"/>
      </rPr>
      <t>count_5000</t>
    </r>
  </si>
  <si>
    <r>
      <rPr>
        <sz val="11"/>
        <color rgb="FF000000"/>
        <rFont val="Meiryo UI"/>
        <family val="2"/>
      </rPr>
      <t>count_2000</t>
    </r>
  </si>
  <si>
    <r>
      <rPr>
        <sz val="11"/>
        <color rgb="FF000000"/>
        <rFont val="Meiryo UI"/>
        <family val="2"/>
      </rPr>
      <t>count_500</t>
    </r>
  </si>
  <si>
    <r>
      <rPr>
        <sz val="11"/>
        <color rgb="FF000000"/>
        <rFont val="Meiryo UI"/>
        <family val="2"/>
      </rPr>
      <t>count_50</t>
    </r>
  </si>
  <si>
    <r>
      <rPr>
        <sz val="11"/>
        <color rgb="FF000000"/>
        <rFont val="Meiryo UI"/>
        <family val="2"/>
      </rPr>
      <t>count_10</t>
    </r>
  </si>
  <si>
    <r>
      <rPr>
        <sz val="11"/>
        <color rgb="FF000000"/>
        <rFont val="Meiryo UI"/>
        <family val="2"/>
      </rPr>
      <t>count_5</t>
    </r>
  </si>
  <si>
    <r>
      <rPr>
        <sz val="11"/>
        <color rgb="FF000000"/>
        <rFont val="Meiryo UI"/>
        <family val="2"/>
      </rPr>
      <t>count_1</t>
    </r>
  </si>
  <si>
    <r>
      <rPr>
        <sz val="11"/>
        <color rgb="FF000000"/>
        <rFont val="Meiryo UI"/>
        <family val="2"/>
      </rPr>
      <t>count_1000</t>
    </r>
  </si>
  <si>
    <r>
      <rPr>
        <sz val="11"/>
        <color rgb="FF000000"/>
        <rFont val="Meiryo UI"/>
        <family val="2"/>
      </rPr>
      <t>count_100</t>
    </r>
  </si>
  <si>
    <r>
      <rPr>
        <sz val="11"/>
        <color rgb="FF000000"/>
        <rFont val="Meiryo UI"/>
        <family val="2"/>
      </rPr>
      <t>cash_changer_setting.count_10000</t>
    </r>
  </si>
  <si>
    <r>
      <rPr>
        <sz val="11"/>
        <color rgb="FF000000"/>
        <rFont val="Meiryo UI"/>
        <family val="2"/>
      </rPr>
      <t>cash_changer_setting.count_5000</t>
    </r>
  </si>
  <si>
    <r>
      <rPr>
        <sz val="11"/>
        <color rgb="FF000000"/>
        <rFont val="Meiryo UI"/>
        <family val="2"/>
      </rPr>
      <t>cash_changer_setting.count_2000</t>
    </r>
  </si>
  <si>
    <r>
      <rPr>
        <sz val="11"/>
        <color rgb="FF000000"/>
        <rFont val="Meiryo UI"/>
        <family val="2"/>
      </rPr>
      <t>cash_changer_setting.count_1000</t>
    </r>
  </si>
  <si>
    <r>
      <rPr>
        <sz val="11"/>
        <color rgb="FF000000"/>
        <rFont val="Meiryo UI"/>
        <family val="2"/>
      </rPr>
      <t>cash_changer_setting.count_500</t>
    </r>
  </si>
  <si>
    <r>
      <rPr>
        <sz val="11"/>
        <color rgb="FF000000"/>
        <rFont val="Meiryo UI"/>
        <family val="2"/>
      </rPr>
      <t>cash_changer_setting.count_100</t>
    </r>
  </si>
  <si>
    <r>
      <rPr>
        <sz val="11"/>
        <color rgb="FF000000"/>
        <rFont val="Meiryo UI"/>
        <family val="2"/>
      </rPr>
      <t>cash_changer_setting.count_50</t>
    </r>
  </si>
  <si>
    <r>
      <rPr>
        <sz val="11"/>
        <color rgb="FF000000"/>
        <rFont val="Meiryo UI"/>
        <family val="2"/>
      </rPr>
      <t>cash_changer_setting.count_10</t>
    </r>
  </si>
  <si>
    <r>
      <rPr>
        <sz val="11"/>
        <color rgb="FF000000"/>
        <rFont val="Meiryo UI"/>
        <family val="2"/>
      </rPr>
      <t>cash_changer_setting.count_5</t>
    </r>
  </si>
  <si>
    <r>
      <rPr>
        <sz val="11"/>
        <color rgb="FF000000"/>
        <rFont val="Meiryo UI"/>
        <family val="2"/>
      </rPr>
      <t>cash_changer_setting.count_1</t>
    </r>
  </si>
  <si>
    <r>
      <rPr>
        <sz val="11"/>
        <color rgb="FF000000"/>
        <rFont val="Meiryo UI"/>
        <family val="2"/>
      </rPr>
      <t>cash_changer_setting.cassette</t>
    </r>
  </si>
  <si>
    <r>
      <rPr>
        <sz val="11"/>
        <color rgb="FF000000"/>
        <rFont val="Meiryo UI"/>
        <family val="2"/>
      </rPr>
      <t>cash_changer_settings.status</t>
    </r>
  </si>
  <si>
    <r>
      <rPr>
        <sz val="11"/>
        <color rgb="FF000000"/>
        <rFont val="Meiryo UI"/>
        <family val="2"/>
      </rPr>
      <t>cash_changer_settings.count_10000</t>
    </r>
  </si>
  <si>
    <r>
      <rPr>
        <sz val="11"/>
        <color rgb="FF000000"/>
        <rFont val="Meiryo UI"/>
        <family val="2"/>
      </rPr>
      <t>cash_changer_settings.count_5000</t>
    </r>
  </si>
  <si>
    <r>
      <rPr>
        <sz val="11"/>
        <color rgb="FF000000"/>
        <rFont val="Meiryo UI"/>
        <family val="2"/>
      </rPr>
      <t>cash_changer_settings.count_2000</t>
    </r>
  </si>
  <si>
    <r>
      <rPr>
        <sz val="11"/>
        <color rgb="FF000000"/>
        <rFont val="Meiryo UI"/>
        <family val="2"/>
      </rPr>
      <t>cash_changer_settings.count_1000</t>
    </r>
  </si>
  <si>
    <r>
      <rPr>
        <sz val="11"/>
        <color rgb="FF000000"/>
        <rFont val="Meiryo UI"/>
        <family val="2"/>
      </rPr>
      <t>cash_changer_settings.count_500</t>
    </r>
  </si>
  <si>
    <r>
      <rPr>
        <sz val="11"/>
        <color rgb="FF000000"/>
        <rFont val="Meiryo UI"/>
        <family val="2"/>
      </rPr>
      <t>cash_changer_settings.count_100</t>
    </r>
  </si>
  <si>
    <r>
      <rPr>
        <sz val="11"/>
        <color rgb="FF000000"/>
        <rFont val="Meiryo UI"/>
        <family val="2"/>
      </rPr>
      <t>cash_changer_settings.count_50</t>
    </r>
  </si>
  <si>
    <r>
      <rPr>
        <sz val="11"/>
        <color rgb="FF000000"/>
        <rFont val="Meiryo UI"/>
        <family val="2"/>
      </rPr>
      <t>cash_changer_settings.count_10</t>
    </r>
  </si>
  <si>
    <r>
      <rPr>
        <sz val="11"/>
        <color rgb="FF000000"/>
        <rFont val="Meiryo UI"/>
        <family val="2"/>
      </rPr>
      <t>cash_changer_settings.count_5</t>
    </r>
  </si>
  <si>
    <r>
      <rPr>
        <sz val="11"/>
        <color rgb="FF000000"/>
        <rFont val="Meiryo UI"/>
        <family val="2"/>
      </rPr>
      <t>cash_changer_settings.count_1</t>
    </r>
  </si>
  <si>
    <r>
      <rPr>
        <sz val="11"/>
        <color rgb="FF000000"/>
        <rFont val="Meiryo UI"/>
        <family val="2"/>
      </rPr>
      <t>cash_changer_settings.cassette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</si>
  <si>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</si>
  <si>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"items": [</t>
    </r>
  </si>
  <si>
    <r>
      <rPr>
        <sz val="11"/>
        <color rgb="FF000000"/>
        <rFont val="Meiryo UI"/>
        <family val="2"/>
      </rPr>
      <t>api/v1/cash_changer_settings/default</t>
    </r>
  </si>
  <si>
    <t>HueDT</t>
  </si>
  <si>
    <t>AP7101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</si>
  <si>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</si>
  <si>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</si>
  <si>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</si>
  <si>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</si>
  <si>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</si>
  <si>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</si>
  <si>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</si>
  <si>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</si>
  <si>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</si>
  <si>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</si>
  <si>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</si>
  <si>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</si>
  <si>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</si>
  <si>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</si>
  <si>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</si>
  <si>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</si>
  <si>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●API処理フロー</t>
  </si>
  <si>
    <t>システム名</t>
  </si>
  <si>
    <t>システム種別</t>
  </si>
  <si>
    <t>作成者</t>
  </si>
  <si>
    <t>作成日</t>
  </si>
  <si>
    <t>更新者</t>
  </si>
  <si>
    <t>更新日</t>
  </si>
  <si>
    <t>版数</t>
  </si>
  <si>
    <t>機能カテゴリ</t>
  </si>
  <si>
    <t>項目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</si>
  <si>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</si>
  <si>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</si>
  <si>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</si>
  <si>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</si>
  <si>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</si>
  <si>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</si>
  <si>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</si>
  <si>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sz val="11"/>
        <color rgb="FF000000"/>
        <rFont val="Meiryo UI"/>
        <family val="2"/>
      </rPr>
      <t xml:space="preserve">   "status": 1,</t>
    </r>
  </si>
  <si>
    <r>
      <rPr>
        <sz val="11"/>
        <color rgb="FF000000"/>
        <rFont val="Meiryo UI"/>
        <family val="2"/>
      </rPr>
      <t xml:space="preserve">   "count_10000": 1,</t>
    </r>
  </si>
  <si>
    <r>
      <rPr>
        <sz val="11"/>
        <color rgb="FF000000"/>
        <rFont val="Meiryo UI"/>
        <family val="2"/>
      </rPr>
      <t xml:space="preserve">   "count_5000": 1,</t>
    </r>
  </si>
  <si>
    <r>
      <rPr>
        <sz val="11"/>
        <color rgb="FF000000"/>
        <rFont val="Meiryo UI"/>
        <family val="2"/>
      </rPr>
      <t xml:space="preserve">   "count_2000": 1,</t>
    </r>
  </si>
  <si>
    <r>
      <rPr>
        <sz val="11"/>
        <color rgb="FF000000"/>
        <rFont val="Meiryo UI"/>
        <family val="2"/>
      </rPr>
      <t xml:space="preserve">   "count_1000": 1,</t>
    </r>
  </si>
  <si>
    <r>
      <rPr>
        <sz val="11"/>
        <color rgb="FF000000"/>
        <rFont val="Meiryo UI"/>
        <family val="2"/>
      </rPr>
      <t xml:space="preserve">   "count_500": 2,</t>
    </r>
  </si>
  <si>
    <r>
      <rPr>
        <sz val="11"/>
        <color rgb="FF000000"/>
        <rFont val="Meiryo UI"/>
        <family val="2"/>
      </rPr>
      <t xml:space="preserve">   "count_100": 3,</t>
    </r>
  </si>
  <si>
    <r>
      <rPr>
        <sz val="11"/>
        <color rgb="FF000000"/>
        <rFont val="Meiryo UI"/>
        <family val="2"/>
      </rPr>
      <t xml:space="preserve">   "count_50": 4,</t>
    </r>
  </si>
  <si>
    <r>
      <rPr>
        <sz val="11"/>
        <color rgb="FF000000"/>
        <rFont val="Meiryo UI"/>
        <family val="2"/>
      </rPr>
      <t xml:space="preserve">   "count_10": 5,</t>
    </r>
  </si>
  <si>
    <r>
      <rPr>
        <sz val="11"/>
        <color rgb="FF000000"/>
        <rFont val="Meiryo UI"/>
        <family val="2"/>
      </rPr>
      <t xml:space="preserve">   "count_5": 6,</t>
    </r>
  </si>
  <si>
    <r>
      <rPr>
        <sz val="11"/>
        <color rgb="FF000000"/>
        <rFont val="Meiryo UI"/>
        <family val="2"/>
      </rPr>
      <t xml:space="preserve">   "count_1": 7,</t>
    </r>
  </si>
  <si>
    <r>
      <rPr>
        <sz val="11"/>
        <color rgb="FF000000"/>
        <rFont val="Meiryo UI"/>
        <family val="2"/>
      </rPr>
      <t xml:space="preserve">   "cassette": 8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</si>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</sst>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sz val="10"/>
      <color theme="1"/>
      <name val="Meiryo UI"/>
      <family val="2"/>
    </font>
    <font>
      <sz val="18"/>
      <color theme="1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B050"/>
      <name val="Meiryo UI"/>
      <family val="2"/>
    </font>
    <font>
      <sz val="11"/>
      <color rgb="FF0070C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1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</cellStyleXfs>
  <cellXfs count="273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0" fillId="0" borderId="21" xfId="0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6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 wrapText="1"/>
    </xf>
    <xf numFmtId="0" fontId="6" fillId="0" borderId="0" xfId="0" quotePrefix="1" applyFont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 wrapText="1" indent="1"/>
    </xf>
    <xf numFmtId="0" fontId="6" fillId="0" borderId="24" xfId="0" applyFont="1" applyBorder="1" applyAlignment="1">
      <alignment horizontal="left" vertical="center" wrapText="1" indent="1"/>
    </xf>
    <xf numFmtId="0" fontId="6" fillId="0" borderId="25" xfId="0" applyFont="1" applyBorder="1" applyAlignment="1">
      <alignment horizontal="left" vertical="center" wrapText="1" indent="1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left" vertical="center"/>
    </xf>
    <xf numFmtId="0" fontId="6" fillId="0" borderId="24" xfId="0" quotePrefix="1" applyFont="1" applyBorder="1" applyAlignment="1">
      <alignment horizontal="left" vertical="center"/>
    </xf>
    <xf numFmtId="0" fontId="6" fillId="0" borderId="25" xfId="0" quotePrefix="1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/>
    </xf>
    <xf numFmtId="14" fontId="6" fillId="0" borderId="17" xfId="0" applyNumberFormat="1" applyFont="1" applyBorder="1" applyAlignment="1">
      <alignment horizontal="center" vertical="center"/>
    </xf>
    <xf numFmtId="14" fontId="6" fillId="0" borderId="18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10" fillId="0" borderId="16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0" fillId="0" borderId="18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6" xfId="0" quotePrefix="1" applyFont="1" applyBorder="1" applyAlignment="1">
      <alignment horizontal="center" vertical="center"/>
    </xf>
    <xf numFmtId="0" fontId="6" fillId="0" borderId="17" xfId="0" quotePrefix="1" applyFont="1" applyBorder="1" applyAlignment="1">
      <alignment horizontal="center" vertical="center"/>
    </xf>
    <xf numFmtId="0" fontId="6" fillId="0" borderId="18" xfId="0" quotePrefix="1" applyFont="1" applyBorder="1" applyAlignment="1">
      <alignment horizontal="center" vertical="center"/>
    </xf>
    <xf numFmtId="0" fontId="6" fillId="0" borderId="16" xfId="0" quotePrefix="1" applyFont="1" applyBorder="1" applyAlignment="1">
      <alignment horizontal="left" vertical="center"/>
    </xf>
    <xf numFmtId="0" fontId="6" fillId="0" borderId="17" xfId="0" quotePrefix="1" applyFont="1" applyBorder="1" applyAlignment="1">
      <alignment horizontal="left" vertical="center"/>
    </xf>
    <xf numFmtId="0" fontId="6" fillId="0" borderId="18" xfId="0" quotePrefix="1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8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6" fillId="0" borderId="23" xfId="0" quotePrefix="1" applyFont="1" applyBorder="1" applyAlignment="1">
      <alignment horizontal="center" vertical="center"/>
    </xf>
    <xf numFmtId="0" fontId="6" fillId="0" borderId="24" xfId="0" quotePrefix="1" applyFont="1" applyBorder="1" applyAlignment="1">
      <alignment horizontal="center" vertical="center"/>
    </xf>
    <xf numFmtId="0" fontId="6" fillId="0" borderId="25" xfId="0" quotePrefix="1" applyFont="1" applyBorder="1" applyAlignment="1">
      <alignment horizontal="center" vertical="center"/>
    </xf>
    <xf numFmtId="0" fontId="6" fillId="0" borderId="17" xfId="0" quotePrefix="1" applyFont="1" applyBorder="1" applyAlignment="1">
      <alignment horizontal="left" vertical="top" wrapText="1"/>
    </xf>
    <xf numFmtId="0" fontId="6" fillId="0" borderId="18" xfId="0" quotePrefix="1" applyFont="1" applyBorder="1" applyAlignment="1">
      <alignment horizontal="left" vertical="top" wrapText="1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0" xfId="0" applyFont="1"/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3" fillId="4" borderId="0" xfId="0" applyFont="1" applyFill="1"/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16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2" xfId="0" applyFont="1" applyBorder="1"/>
    <xf numFmtId="0" fontId="17" fillId="0" borderId="29" xfId="0" applyFont="1" applyBorder="1" applyAlignment="1">
      <alignment wrapText="1"/>
    </xf>
    <xf numFmtId="0" fontId="17" fillId="0" borderId="30" xfId="0" applyFont="1" applyBorder="1" applyAlignment="1">
      <alignment wrapText="1"/>
    </xf>
    <xf numFmtId="0" fontId="17" fillId="0" borderId="31" xfId="0" applyFont="1" applyBorder="1" applyAlignment="1">
      <alignment wrapText="1"/>
    </xf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14" fontId="21" fillId="0" borderId="16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Normal 6" xfId="9" xr:uid="{00000000-0005-0000-0000-000009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8</xdr:col>
      <xdr:colOff>0</xdr:colOff>
      <xdr:row>9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638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12</xdr:row>
      <xdr:rowOff>11206</xdr:rowOff>
    </xdr:from>
    <xdr:to>
      <xdr:col>9</xdr:col>
      <xdr:colOff>0</xdr:colOff>
      <xdr:row>16</xdr:row>
      <xdr:rowOff>11206</xdr:rowOff>
    </xdr:to>
    <xdr:sp macro="" textlink="" fLocksText="0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00100" y="2409825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対象釣銭機設定の詳細情報を取得する。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9</xdr:row>
      <xdr:rowOff>179294</xdr:rowOff>
    </xdr:from>
    <xdr:to>
      <xdr:col>6</xdr:col>
      <xdr:colOff>1</xdr:colOff>
      <xdr:row>12</xdr:row>
      <xdr:rowOff>11206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4"/>
          <a:endCxn id="4" idx="0"/>
        </xdr:cNvCxnSpPr>
      </xdr:nvCxnSpPr>
      <xdr:spPr>
        <a:xfrm>
          <a:off x="1600200" y="2009775"/>
          <a:ext cx="0" cy="400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1</xdr:rowOff>
    </xdr:from>
    <xdr:to>
      <xdr:col>62</xdr:col>
      <xdr:colOff>0</xdr:colOff>
      <xdr:row>17</xdr:row>
      <xdr:rowOff>123265</xdr:rowOff>
    </xdr:to>
    <xdr:sp macro="" textlink="" fLocksText="0">
      <xdr:nvSpPr>
        <xdr:cNvPr id="6" name="吹き出し: 線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334500" y="1828800"/>
          <a:ext cx="7200900" cy="1647825"/>
        </a:xfrm>
        <a:prstGeom prst="borderCallout1">
          <a:avLst>
            <a:gd name="adj1" fmla="val 51887"/>
            <a:gd name="adj2" fmla="val 470"/>
            <a:gd name="adj3" fmla="val 51857"/>
            <a:gd name="adj4" fmla="val -963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3.以下の条件を満たす、cash_changer_settings ccsテーブルから情報を取得する。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ccs.company_code = User.company_code AND (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 (ccs.instore_code = '000' and css.store_code = request.store_code) OR ccs.store_code = 0 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)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複数のレコードが存在している場合、以下の優先順位は以下の通り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ccs.store_code = request.store_code</a:t>
          </a: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ccs.store_code = 0 </a:t>
          </a:r>
        </a:p>
      </xdr:txBody>
    </xdr:sp>
    <xdr:clientData/>
  </xdr:twoCellAnchor>
  <xdr:twoCellAnchor>
    <xdr:from>
      <xdr:col>3</xdr:col>
      <xdr:colOff>224117</xdr:colOff>
      <xdr:row>28</xdr:row>
      <xdr:rowOff>168088</xdr:rowOff>
    </xdr:from>
    <xdr:to>
      <xdr:col>7</xdr:col>
      <xdr:colOff>224117</xdr:colOff>
      <xdr:row>30</xdr:row>
      <xdr:rowOff>168087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028700" y="561975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9</xdr:col>
      <xdr:colOff>0</xdr:colOff>
      <xdr:row>24</xdr:row>
      <xdr:rowOff>179294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9243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179294</xdr:rowOff>
    </xdr:from>
    <xdr:to>
      <xdr:col>7</xdr:col>
      <xdr:colOff>0</xdr:colOff>
      <xdr:row>25</xdr:row>
      <xdr:rowOff>179294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179294</xdr:rowOff>
    </xdr:from>
    <xdr:to>
      <xdr:col>11</xdr:col>
      <xdr:colOff>0</xdr:colOff>
      <xdr:row>22</xdr:row>
      <xdr:rowOff>179294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7</xdr:col>
      <xdr:colOff>224117</xdr:colOff>
      <xdr:row>22</xdr:row>
      <xdr:rowOff>84044</xdr:rowOff>
    </xdr:from>
    <xdr:to>
      <xdr:col>11</xdr:col>
      <xdr:colOff>0</xdr:colOff>
      <xdr:row>29</xdr:row>
      <xdr:rowOff>168088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10" idx="3"/>
          <a:endCxn id="7" idx="6"/>
        </xdr:cNvCxnSpPr>
      </xdr:nvCxnSpPr>
      <xdr:spPr>
        <a:xfrm flipH="1">
          <a:off x="2095500" y="4391025"/>
          <a:ext cx="838200" cy="1419225"/>
        </a:xfrm>
        <a:prstGeom prst="bentConnector3">
          <a:avLst>
            <a:gd name="adj1" fmla="val -3187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16</xdr:row>
      <xdr:rowOff>0</xdr:rowOff>
    </xdr:from>
    <xdr:to>
      <xdr:col>6</xdr:col>
      <xdr:colOff>1</xdr:colOff>
      <xdr:row>20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endCxn id="8" idx="0"/>
        </xdr:cNvCxnSpPr>
      </xdr:nvCxnSpPr>
      <xdr:spPr>
        <a:xfrm>
          <a:off x="1600200" y="3162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224117</xdr:colOff>
      <xdr:row>25</xdr:row>
      <xdr:rowOff>179294</xdr:rowOff>
    </xdr:from>
    <xdr:to>
      <xdr:col>6</xdr:col>
      <xdr:colOff>1</xdr:colOff>
      <xdr:row>28</xdr:row>
      <xdr:rowOff>168088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stCxn id="9" idx="2"/>
          <a:endCxn id="7" idx="0"/>
        </xdr:cNvCxnSpPr>
      </xdr:nvCxnSpPr>
      <xdr:spPr>
        <a:xfrm flipH="1">
          <a:off x="1562100" y="5057775"/>
          <a:ext cx="3810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1</xdr:rowOff>
    </xdr:from>
    <xdr:to>
      <xdr:col>62</xdr:col>
      <xdr:colOff>0</xdr:colOff>
      <xdr:row>25</xdr:row>
      <xdr:rowOff>1</xdr:rowOff>
    </xdr:to>
    <xdr:sp macro="" textlink="" fLocksText="0">
      <xdr:nvSpPr>
        <xdr:cNvPr id="41" name="吹き出し: 線 2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9334500" y="3733800"/>
          <a:ext cx="7200900" cy="1143000"/>
        </a:xfrm>
        <a:prstGeom prst="borderCallout1">
          <a:avLst>
            <a:gd name="adj1" fmla="val 51887"/>
            <a:gd name="adj2" fmla="val 470"/>
            <a:gd name="adj3" fmla="val 51104"/>
            <a:gd name="adj4" fmla="val -9971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4. ステップ3から返されたデータを確認する。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レコードが存在している場合、以下のレスポンスを正常に返す。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response code = 200、ボディが「</a:t>
          </a: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正常の場合のレスポンスフォーマット」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で記載される。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 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status_code = 200 、items = []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7" customWidth="1"/>
    <col min="61" max="16384" width="2.77734375" style="157"/>
  </cols>
  <sheetData>
    <row r="1" spans="1:63" ht="24.95" customHeight="1" x14ac:dyDescent="0.25">
      <c r="A1" s="151" t="s">
        <v>93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94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154" t="s">
        <v>91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151" t="s">
        <v>95</v>
      </c>
      <c r="AQ1" s="152"/>
      <c r="AR1" s="152"/>
      <c r="AS1" s="153"/>
      <c r="AT1" s="151" t="s">
        <v>96</v>
      </c>
      <c r="AU1" s="152"/>
      <c r="AV1" s="152"/>
      <c r="AW1" s="152"/>
      <c r="AX1" s="153"/>
      <c r="AY1" s="151" t="s">
        <v>97</v>
      </c>
      <c r="AZ1" s="152"/>
      <c r="BA1" s="152"/>
      <c r="BB1" s="153"/>
      <c r="BC1" s="151" t="s">
        <v>98</v>
      </c>
      <c r="BD1" s="152"/>
      <c r="BE1" s="152"/>
      <c r="BF1" s="152"/>
      <c r="BG1" s="153"/>
      <c r="BH1" s="151" t="s">
        <v>99</v>
      </c>
      <c r="BI1" s="152"/>
      <c r="BJ1" s="152"/>
      <c r="BK1" s="153"/>
    </row>
    <row r="2" spans="1:63" ht="15" customHeight="1" x14ac:dyDescent="0.25">
      <c r="A2" s="1" t="s">
        <v>90</v>
      </c>
      <c r="B2" s="158"/>
      <c r="C2" s="158"/>
      <c r="D2" s="158"/>
      <c r="E2" s="158"/>
      <c r="F2" s="158"/>
      <c r="G2" s="158"/>
      <c r="H2" s="158"/>
      <c r="I2" s="158"/>
      <c r="J2" s="159"/>
      <c r="K2" s="160" t="s">
        <v>1</v>
      </c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160" t="str">
        <f>改訂履歴!$H$11</f>
        <v>HueDT</v>
      </c>
      <c r="AQ2" s="158"/>
      <c r="AR2" s="158"/>
      <c r="AS2" s="159"/>
      <c r="AT2" s="164">
        <f>改訂履歴!$B$11</f>
        <v>45750</v>
      </c>
      <c r="AU2" s="165"/>
      <c r="AV2" s="165"/>
      <c r="AW2" s="165"/>
      <c r="AX2" s="166"/>
      <c r="AY2" s="160" t="str">
        <f>LOOKUP(2,1/(改訂履歴!H11:H30000&lt;&gt;""),改訂履歴!H11:H30000)</f>
        <v>HueDT</v>
      </c>
      <c r="AZ2" s="158"/>
      <c r="BA2" s="158"/>
      <c r="BB2" s="159"/>
      <c r="BC2" s="164">
        <f>LOOKUP(2,1/(改訂履歴!B11:B30000&lt;&gt;""),改訂履歴!B11:B30000)</f>
        <v>45750</v>
      </c>
      <c r="BD2" s="165"/>
      <c r="BE2" s="165"/>
      <c r="BF2" s="165"/>
      <c r="BG2" s="166"/>
      <c r="BH2" s="167">
        <f>LOOKUP(2,1/(改訂履歴!O11:O30000&lt;&gt;""),改訂履歴!O11:O30000)</f>
        <v>0.1</v>
      </c>
      <c r="BI2" s="168"/>
      <c r="BJ2" s="168"/>
      <c r="BK2" s="169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173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5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9"/>
      <c r="BI3" s="180"/>
      <c r="BJ3" s="180"/>
      <c r="BK3" s="181"/>
    </row>
    <row r="4" spans="1:63" ht="24.95" customHeight="1" x14ac:dyDescent="0.25">
      <c r="A4" s="151" t="s">
        <v>100</v>
      </c>
      <c r="B4" s="152"/>
      <c r="C4" s="152"/>
      <c r="D4" s="152"/>
      <c r="E4" s="152"/>
      <c r="F4" s="152"/>
      <c r="G4" s="153"/>
      <c r="H4" s="182" t="s">
        <v>28</v>
      </c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4"/>
      <c r="U4" s="151" t="s">
        <v>101</v>
      </c>
      <c r="V4" s="152"/>
      <c r="W4" s="152"/>
      <c r="X4" s="152"/>
      <c r="Y4" s="153"/>
      <c r="Z4" s="54" t="s">
        <v>92</v>
      </c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4"/>
      <c r="AP4" s="182" t="str">
        <f t="array" aca="1" ref="AP4" ca="1">RIGHT(CELL("filename",$A$1),LEN(CELL("filename",$A$1))-FIND("]",CELL("filename",$A$1)))</f>
        <v>‎表紙</v>
      </c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4"/>
    </row>
    <row r="5" spans="1:63" ht="5.0999999999999996" customHeight="1" x14ac:dyDescent="0.25">
      <c r="A5" s="185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7"/>
    </row>
    <row r="6" spans="1:63" ht="15" customHeight="1" x14ac:dyDescent="0.25">
      <c r="A6" s="188"/>
      <c r="BK6" s="189"/>
    </row>
    <row r="7" spans="1:63" ht="15" customHeight="1" x14ac:dyDescent="0.25">
      <c r="A7" s="188"/>
      <c r="BK7" s="189"/>
    </row>
    <row r="8" spans="1:63" ht="15" customHeight="1" x14ac:dyDescent="0.25">
      <c r="A8" s="188"/>
      <c r="BK8" s="189"/>
    </row>
    <row r="9" spans="1:63" ht="15" customHeight="1" x14ac:dyDescent="0.25">
      <c r="A9" s="188"/>
      <c r="BK9" s="189"/>
    </row>
    <row r="10" spans="1:63" ht="15" customHeight="1" x14ac:dyDescent="0.25">
      <c r="A10" s="188"/>
      <c r="BK10" s="189"/>
    </row>
    <row r="11" spans="1:63" ht="15" customHeight="1" x14ac:dyDescent="0.25">
      <c r="A11" s="188"/>
      <c r="BK11" s="189"/>
    </row>
    <row r="12" spans="1:63" ht="15" customHeight="1" x14ac:dyDescent="0.25">
      <c r="A12" s="188"/>
      <c r="BK12" s="189"/>
    </row>
    <row r="13" spans="1:63" ht="15" customHeight="1" x14ac:dyDescent="0.25">
      <c r="A13" s="188"/>
      <c r="BK13" s="189"/>
    </row>
    <row r="14" spans="1:63" ht="15" customHeight="1" thickBot="1" x14ac:dyDescent="0.3">
      <c r="A14" s="188"/>
      <c r="BK14" s="189"/>
    </row>
    <row r="15" spans="1:63" ht="15" customHeight="1" thickTop="1" x14ac:dyDescent="0.25">
      <c r="A15" s="188"/>
      <c r="K15" s="190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Z15" s="191"/>
      <c r="AA15" s="191"/>
      <c r="AB15" s="191"/>
      <c r="AC15" s="191"/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191"/>
      <c r="AW15" s="191"/>
      <c r="AX15" s="191"/>
      <c r="AY15" s="191"/>
      <c r="AZ15" s="191"/>
      <c r="BA15" s="192"/>
      <c r="BK15" s="189"/>
    </row>
    <row r="16" spans="1:63" ht="15" customHeight="1" x14ac:dyDescent="0.25">
      <c r="A16" s="188"/>
      <c r="K16" s="193"/>
      <c r="L16" s="194" t="s">
        <v>102</v>
      </c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  <c r="AX16" s="195"/>
      <c r="AY16" s="195"/>
      <c r="AZ16" s="195"/>
      <c r="BA16" s="196"/>
      <c r="BK16" s="189"/>
    </row>
    <row r="17" spans="1:63" ht="15" customHeight="1" x14ac:dyDescent="0.25">
      <c r="A17" s="188"/>
      <c r="K17" s="193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5"/>
      <c r="AS17" s="195"/>
      <c r="AT17" s="195"/>
      <c r="AU17" s="195"/>
      <c r="AV17" s="195"/>
      <c r="AW17" s="195"/>
      <c r="AX17" s="195"/>
      <c r="AY17" s="195"/>
      <c r="AZ17" s="195"/>
      <c r="BA17" s="196"/>
      <c r="BK17" s="189"/>
    </row>
    <row r="18" spans="1:63" ht="15" customHeight="1" x14ac:dyDescent="0.25">
      <c r="A18" s="188"/>
      <c r="K18" s="193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5"/>
      <c r="AS18" s="195"/>
      <c r="AT18" s="195"/>
      <c r="AU18" s="195"/>
      <c r="AV18" s="195"/>
      <c r="AW18" s="195"/>
      <c r="AX18" s="195"/>
      <c r="AY18" s="195"/>
      <c r="AZ18" s="195"/>
      <c r="BA18" s="196"/>
      <c r="BK18" s="189"/>
    </row>
    <row r="19" spans="1:63" ht="15" customHeight="1" x14ac:dyDescent="0.25">
      <c r="A19" s="188"/>
      <c r="K19" s="193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5"/>
      <c r="AS19" s="195"/>
      <c r="AT19" s="195"/>
      <c r="AU19" s="195"/>
      <c r="AV19" s="195"/>
      <c r="AW19" s="195"/>
      <c r="AX19" s="195"/>
      <c r="AY19" s="195"/>
      <c r="AZ19" s="195"/>
      <c r="BA19" s="196"/>
      <c r="BK19" s="189"/>
    </row>
    <row r="20" spans="1:63" ht="15" customHeight="1" x14ac:dyDescent="0.25">
      <c r="A20" s="188"/>
      <c r="K20" s="193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6"/>
      <c r="BK20" s="189"/>
    </row>
    <row r="21" spans="1:63" ht="15" customHeight="1" x14ac:dyDescent="0.25">
      <c r="A21" s="188"/>
      <c r="K21" s="193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5"/>
      <c r="AS21" s="195"/>
      <c r="AT21" s="195"/>
      <c r="AU21" s="195"/>
      <c r="AV21" s="195"/>
      <c r="AW21" s="195"/>
      <c r="AX21" s="195"/>
      <c r="AY21" s="195"/>
      <c r="AZ21" s="195"/>
      <c r="BA21" s="196"/>
      <c r="BK21" s="189"/>
    </row>
    <row r="22" spans="1:63" ht="15" customHeight="1" thickBot="1" x14ac:dyDescent="0.3">
      <c r="A22" s="188"/>
      <c r="K22" s="193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6"/>
      <c r="BK22" s="189"/>
    </row>
    <row r="23" spans="1:63" ht="15" customHeight="1" x14ac:dyDescent="0.25">
      <c r="A23" s="188"/>
      <c r="K23" s="193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6"/>
      <c r="BK23" s="189"/>
    </row>
    <row r="24" spans="1:63" ht="15" customHeight="1" x14ac:dyDescent="0.25">
      <c r="A24" s="188"/>
      <c r="K24" s="193"/>
      <c r="L24" s="195" t="str">
        <f>K2&amp;"/"&amp;H4&amp;"/"&amp;Z4</f>
        <v>POSサーバー/AP7101/API設計書</v>
      </c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  <c r="BA24" s="196"/>
      <c r="BK24" s="189"/>
    </row>
    <row r="25" spans="1:63" ht="15" customHeight="1" x14ac:dyDescent="0.25">
      <c r="A25" s="188"/>
      <c r="K25" s="193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  <c r="BA25" s="196"/>
      <c r="BK25" s="189"/>
    </row>
    <row r="26" spans="1:63" ht="15" customHeight="1" x14ac:dyDescent="0.25">
      <c r="A26" s="188"/>
      <c r="K26" s="193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6"/>
      <c r="BK26" s="189"/>
    </row>
    <row r="27" spans="1:63" ht="15" customHeight="1" x14ac:dyDescent="0.25">
      <c r="A27" s="188"/>
      <c r="K27" s="193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6"/>
      <c r="BK27" s="189"/>
    </row>
    <row r="28" spans="1:63" ht="15" customHeight="1" x14ac:dyDescent="0.25">
      <c r="A28" s="188"/>
      <c r="K28" s="193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  <c r="AU28" s="195"/>
      <c r="AV28" s="195"/>
      <c r="AW28" s="195"/>
      <c r="AX28" s="195"/>
      <c r="AY28" s="195"/>
      <c r="AZ28" s="195"/>
      <c r="BA28" s="196"/>
      <c r="BK28" s="189"/>
    </row>
    <row r="29" spans="1:63" ht="15" customHeight="1" x14ac:dyDescent="0.25">
      <c r="A29" s="188"/>
      <c r="K29" s="193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  <c r="AW29" s="195"/>
      <c r="AX29" s="195"/>
      <c r="AY29" s="195"/>
      <c r="AZ29" s="195"/>
      <c r="BA29" s="196"/>
      <c r="BK29" s="189"/>
    </row>
    <row r="30" spans="1:63" ht="15" customHeight="1" x14ac:dyDescent="0.25">
      <c r="A30" s="188"/>
      <c r="K30" s="193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  <c r="AX30" s="195"/>
      <c r="AY30" s="195"/>
      <c r="AZ30" s="195"/>
      <c r="BA30" s="196"/>
      <c r="BK30" s="189"/>
    </row>
    <row r="31" spans="1:63" ht="15" customHeight="1" x14ac:dyDescent="0.25">
      <c r="A31" s="188"/>
      <c r="K31" s="193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  <c r="AU31" s="195"/>
      <c r="AV31" s="195"/>
      <c r="AW31" s="195"/>
      <c r="AX31" s="195"/>
      <c r="AY31" s="195"/>
      <c r="AZ31" s="195"/>
      <c r="BA31" s="196"/>
      <c r="BK31" s="189"/>
    </row>
    <row r="32" spans="1:63" ht="15" customHeight="1" x14ac:dyDescent="0.25">
      <c r="A32" s="188"/>
      <c r="K32" s="193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6"/>
      <c r="BK32" s="189"/>
    </row>
    <row r="33" spans="1:63" ht="15" customHeight="1" x14ac:dyDescent="0.25">
      <c r="A33" s="188"/>
      <c r="K33" s="193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  <c r="AU33" s="195"/>
      <c r="AV33" s="195"/>
      <c r="AW33" s="195"/>
      <c r="AX33" s="195"/>
      <c r="AY33" s="195"/>
      <c r="AZ33" s="195"/>
      <c r="BA33" s="196"/>
      <c r="BK33" s="189"/>
    </row>
    <row r="34" spans="1:63" ht="15" customHeight="1" x14ac:dyDescent="0.25">
      <c r="A34" s="188"/>
      <c r="K34" s="193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6"/>
      <c r="BK34" s="189"/>
    </row>
    <row r="35" spans="1:63" ht="15" customHeight="1" x14ac:dyDescent="0.25">
      <c r="A35" s="188"/>
      <c r="K35" s="193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  <c r="AU35" s="195"/>
      <c r="AV35" s="195"/>
      <c r="AW35" s="195"/>
      <c r="AX35" s="195"/>
      <c r="AY35" s="195"/>
      <c r="AZ35" s="195"/>
      <c r="BA35" s="196"/>
      <c r="BK35" s="189"/>
    </row>
    <row r="36" spans="1:63" ht="15" customHeight="1" x14ac:dyDescent="0.25">
      <c r="A36" s="188"/>
      <c r="K36" s="193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5"/>
      <c r="BA36" s="196"/>
      <c r="BK36" s="189"/>
    </row>
    <row r="37" spans="1:63" ht="15" customHeight="1" thickBot="1" x14ac:dyDescent="0.3">
      <c r="A37" s="188"/>
      <c r="K37" s="199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200"/>
      <c r="AC37" s="200"/>
      <c r="AD37" s="200"/>
      <c r="AE37" s="200"/>
      <c r="AF37" s="200"/>
      <c r="AG37" s="200"/>
      <c r="AH37" s="200"/>
      <c r="AI37" s="200"/>
      <c r="AJ37" s="200"/>
      <c r="AK37" s="200"/>
      <c r="AL37" s="200"/>
      <c r="AM37" s="200"/>
      <c r="AN37" s="200"/>
      <c r="AO37" s="200"/>
      <c r="AP37" s="200"/>
      <c r="AQ37" s="200"/>
      <c r="AR37" s="200"/>
      <c r="AS37" s="200"/>
      <c r="AT37" s="200"/>
      <c r="AU37" s="200"/>
      <c r="AV37" s="200"/>
      <c r="AW37" s="200"/>
      <c r="AX37" s="200"/>
      <c r="AY37" s="200"/>
      <c r="AZ37" s="200"/>
      <c r="BA37" s="201"/>
      <c r="BK37" s="189"/>
    </row>
    <row r="38" spans="1:63" ht="15" customHeight="1" thickTop="1" x14ac:dyDescent="0.25">
      <c r="A38" s="188"/>
      <c r="BK38" s="189"/>
    </row>
    <row r="39" spans="1:63" ht="15" customHeight="1" x14ac:dyDescent="0.25">
      <c r="A39" s="188"/>
      <c r="BK39" s="189"/>
    </row>
    <row r="40" spans="1:63" ht="15" customHeight="1" x14ac:dyDescent="0.25">
      <c r="A40" s="188"/>
      <c r="BK40" s="189"/>
    </row>
    <row r="41" spans="1:63" ht="15" customHeight="1" x14ac:dyDescent="0.25">
      <c r="A41" s="188"/>
      <c r="BK41" s="189"/>
    </row>
    <row r="42" spans="1:63" ht="15" customHeight="1" x14ac:dyDescent="0.25">
      <c r="A42" s="188"/>
      <c r="BK42" s="189"/>
    </row>
    <row r="43" spans="1:63" ht="15" customHeight="1" x14ac:dyDescent="0.25">
      <c r="A43" s="188"/>
      <c r="BK43" s="189"/>
    </row>
    <row r="44" spans="1:63" ht="15" customHeight="1" x14ac:dyDescent="0.25">
      <c r="A44" s="188"/>
      <c r="Q44" s="202" t="s">
        <v>103</v>
      </c>
      <c r="R44" s="203"/>
      <c r="S44" s="203"/>
      <c r="T44" s="203"/>
      <c r="U44" s="203"/>
      <c r="V44" s="203"/>
      <c r="W44" s="203"/>
      <c r="X44" s="203"/>
      <c r="Y44" s="203"/>
      <c r="Z44" s="204"/>
      <c r="AA44" s="202" t="s">
        <v>104</v>
      </c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  <c r="AM44" s="203"/>
      <c r="AN44" s="203"/>
      <c r="AO44" s="203"/>
      <c r="AP44" s="204"/>
      <c r="AQ44" s="202" t="s">
        <v>99</v>
      </c>
      <c r="AR44" s="203"/>
      <c r="AS44" s="203"/>
      <c r="AT44" s="203"/>
      <c r="AU44" s="204"/>
      <c r="BK44" s="189"/>
    </row>
    <row r="45" spans="1:63" ht="15" customHeight="1" x14ac:dyDescent="0.25">
      <c r="A45" s="188"/>
      <c r="Q45" s="205"/>
      <c r="R45" s="206"/>
      <c r="S45" s="206"/>
      <c r="T45" s="206"/>
      <c r="U45" s="206"/>
      <c r="V45" s="206"/>
      <c r="W45" s="206"/>
      <c r="X45" s="206"/>
      <c r="Y45" s="206"/>
      <c r="Z45" s="207"/>
      <c r="AA45" s="205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7"/>
      <c r="AQ45" s="205"/>
      <c r="AR45" s="206"/>
      <c r="AS45" s="206"/>
      <c r="AT45" s="206"/>
      <c r="AU45" s="207"/>
      <c r="BK45" s="189"/>
    </row>
    <row r="46" spans="1:63" ht="15" customHeight="1" x14ac:dyDescent="0.25">
      <c r="A46" s="188"/>
      <c r="Q46" s="160"/>
      <c r="R46" s="158"/>
      <c r="S46" s="158"/>
      <c r="T46" s="158"/>
      <c r="U46" s="158"/>
      <c r="V46" s="158"/>
      <c r="W46" s="158"/>
      <c r="X46" s="158"/>
      <c r="Y46" s="158"/>
      <c r="Z46" s="159"/>
      <c r="AA46" s="160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9"/>
      <c r="AQ46" s="160"/>
      <c r="AR46" s="158"/>
      <c r="AS46" s="158"/>
      <c r="AT46" s="158"/>
      <c r="AU46" s="159"/>
      <c r="BK46" s="189"/>
    </row>
    <row r="47" spans="1:63" ht="15" customHeight="1" x14ac:dyDescent="0.25">
      <c r="A47" s="188"/>
      <c r="Q47" s="208"/>
      <c r="R47" s="209"/>
      <c r="S47" s="209"/>
      <c r="T47" s="209"/>
      <c r="U47" s="209"/>
      <c r="V47" s="209"/>
      <c r="W47" s="209"/>
      <c r="X47" s="209"/>
      <c r="Y47" s="209"/>
      <c r="Z47" s="210"/>
      <c r="AA47" s="208"/>
      <c r="AB47" s="209"/>
      <c r="AC47" s="209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10"/>
      <c r="AQ47" s="208"/>
      <c r="AR47" s="209"/>
      <c r="AS47" s="209"/>
      <c r="AT47" s="209"/>
      <c r="AU47" s="210"/>
      <c r="BK47" s="189"/>
    </row>
    <row r="48" spans="1:63" ht="15" customHeight="1" x14ac:dyDescent="0.25">
      <c r="A48" s="188"/>
      <c r="Q48" s="208"/>
      <c r="R48" s="209"/>
      <c r="S48" s="209"/>
      <c r="T48" s="209"/>
      <c r="U48" s="209"/>
      <c r="V48" s="209"/>
      <c r="W48" s="209"/>
      <c r="X48" s="209"/>
      <c r="Y48" s="209"/>
      <c r="Z48" s="210"/>
      <c r="AA48" s="208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10"/>
      <c r="AQ48" s="208"/>
      <c r="AR48" s="209"/>
      <c r="AS48" s="209"/>
      <c r="AT48" s="209"/>
      <c r="AU48" s="210"/>
      <c r="BK48" s="189"/>
    </row>
    <row r="49" spans="1:63" ht="15" customHeight="1" x14ac:dyDescent="0.25">
      <c r="A49" s="188"/>
      <c r="Q49" s="170"/>
      <c r="R49" s="171"/>
      <c r="S49" s="171"/>
      <c r="T49" s="171"/>
      <c r="U49" s="171"/>
      <c r="V49" s="171"/>
      <c r="W49" s="171"/>
      <c r="X49" s="171"/>
      <c r="Y49" s="171"/>
      <c r="Z49" s="172"/>
      <c r="AA49" s="170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  <c r="AN49" s="171"/>
      <c r="AO49" s="171"/>
      <c r="AP49" s="172"/>
      <c r="AQ49" s="170"/>
      <c r="AR49" s="171"/>
      <c r="AS49" s="171"/>
      <c r="AT49" s="171"/>
      <c r="AU49" s="172"/>
      <c r="BK49" s="189"/>
    </row>
    <row r="50" spans="1:63" ht="15" customHeight="1" x14ac:dyDescent="0.25">
      <c r="A50" s="188"/>
      <c r="BK50" s="189"/>
    </row>
    <row r="51" spans="1:63" ht="15" customHeight="1" x14ac:dyDescent="0.25">
      <c r="A51" s="188"/>
      <c r="BK51" s="189"/>
    </row>
    <row r="52" spans="1:63" ht="15" customHeight="1" x14ac:dyDescent="0.25">
      <c r="A52" s="188"/>
      <c r="BK52" s="189"/>
    </row>
    <row r="53" spans="1:63" ht="15" customHeight="1" x14ac:dyDescent="0.25">
      <c r="A53" s="188"/>
      <c r="BK53" s="189"/>
    </row>
    <row r="54" spans="1:63" ht="15" customHeight="1" x14ac:dyDescent="0.25">
      <c r="A54" s="188"/>
      <c r="BK54" s="189"/>
    </row>
    <row r="55" spans="1:63" ht="15" customHeight="1" x14ac:dyDescent="0.25">
      <c r="A55" s="185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7" customWidth="1"/>
    <col min="61" max="16384" width="2.77734375" style="157"/>
  </cols>
  <sheetData>
    <row r="1" spans="1:63" ht="24.95" customHeight="1" x14ac:dyDescent="0.25">
      <c r="A1" s="151" t="s">
        <v>93</v>
      </c>
      <c r="B1" s="152"/>
      <c r="C1" s="152"/>
      <c r="D1" s="152"/>
      <c r="E1" s="152"/>
      <c r="F1" s="152"/>
      <c r="G1" s="152"/>
      <c r="H1" s="152"/>
      <c r="I1" s="152"/>
      <c r="J1" s="153"/>
      <c r="K1" s="151" t="s">
        <v>94</v>
      </c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3"/>
      <c r="W1" s="211" t="s">
        <v>91</v>
      </c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6"/>
      <c r="AP1" s="151" t="s">
        <v>95</v>
      </c>
      <c r="AQ1" s="152"/>
      <c r="AR1" s="152"/>
      <c r="AS1" s="153"/>
      <c r="AT1" s="151" t="s">
        <v>96</v>
      </c>
      <c r="AU1" s="152"/>
      <c r="AV1" s="152"/>
      <c r="AW1" s="152"/>
      <c r="AX1" s="153"/>
      <c r="AY1" s="151" t="s">
        <v>97</v>
      </c>
      <c r="AZ1" s="152"/>
      <c r="BA1" s="152"/>
      <c r="BB1" s="153"/>
      <c r="BC1" s="151" t="s">
        <v>98</v>
      </c>
      <c r="BD1" s="152"/>
      <c r="BE1" s="152"/>
      <c r="BF1" s="152"/>
      <c r="BG1" s="153"/>
      <c r="BH1" s="151" t="s">
        <v>99</v>
      </c>
      <c r="BI1" s="152"/>
      <c r="BJ1" s="152"/>
      <c r="BK1" s="153"/>
    </row>
    <row r="2" spans="1:63" ht="15" customHeight="1" x14ac:dyDescent="0.25">
      <c r="A2" s="160" t="s">
        <v>90</v>
      </c>
      <c r="B2" s="158"/>
      <c r="C2" s="158"/>
      <c r="D2" s="158"/>
      <c r="E2" s="158"/>
      <c r="F2" s="158"/>
      <c r="G2" s="158"/>
      <c r="H2" s="158"/>
      <c r="I2" s="158"/>
      <c r="J2" s="159"/>
      <c r="K2" s="160" t="s">
        <v>90</v>
      </c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9"/>
      <c r="W2" s="161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3"/>
      <c r="AP2" s="160" t="s">
        <v>88</v>
      </c>
      <c r="AQ2" s="158"/>
      <c r="AR2" s="158"/>
      <c r="AS2" s="159"/>
      <c r="AT2" s="164">
        <v>45750</v>
      </c>
      <c r="AU2" s="165"/>
      <c r="AV2" s="165"/>
      <c r="AW2" s="165"/>
      <c r="AX2" s="166"/>
      <c r="AY2" s="160" t="s">
        <v>88</v>
      </c>
      <c r="AZ2" s="158"/>
      <c r="BA2" s="158"/>
      <c r="BB2" s="159"/>
      <c r="BC2" s="164">
        <v>45750</v>
      </c>
      <c r="BD2" s="165"/>
      <c r="BE2" s="165"/>
      <c r="BF2" s="165"/>
      <c r="BG2" s="166"/>
      <c r="BH2" s="160">
        <v>0.1</v>
      </c>
      <c r="BI2" s="158"/>
      <c r="BJ2" s="158"/>
      <c r="BK2" s="159"/>
    </row>
    <row r="3" spans="1:63" ht="15" customHeight="1" x14ac:dyDescent="0.25">
      <c r="A3" s="170"/>
      <c r="B3" s="171"/>
      <c r="C3" s="171"/>
      <c r="D3" s="171"/>
      <c r="E3" s="171"/>
      <c r="F3" s="171"/>
      <c r="G3" s="171"/>
      <c r="H3" s="171"/>
      <c r="I3" s="171"/>
      <c r="J3" s="172"/>
      <c r="K3" s="170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2"/>
      <c r="W3" s="173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5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0"/>
      <c r="BI3" s="171"/>
      <c r="BJ3" s="171"/>
      <c r="BK3" s="172"/>
    </row>
    <row r="4" spans="1:63" ht="24.95" customHeight="1" x14ac:dyDescent="0.25">
      <c r="A4" s="151" t="s">
        <v>100</v>
      </c>
      <c r="B4" s="152"/>
      <c r="C4" s="152"/>
      <c r="D4" s="152"/>
      <c r="E4" s="152"/>
      <c r="F4" s="152"/>
      <c r="G4" s="153"/>
      <c r="H4" s="182" t="s">
        <v>89</v>
      </c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4"/>
      <c r="U4" s="151" t="s">
        <v>101</v>
      </c>
      <c r="V4" s="152"/>
      <c r="W4" s="152"/>
      <c r="X4" s="152"/>
      <c r="Y4" s="153"/>
      <c r="Z4" s="182" t="s">
        <v>92</v>
      </c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4"/>
      <c r="AP4" s="182" t="str">
        <f t="array" aca="1" ref="AP4" ca="1">RIGHT(CELL("filename",$A$1),LEN(CELL("filename",$A$1))-FIND("]",CELL("filename",$A$1)))</f>
        <v>改訂履歴</v>
      </c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  <c r="BC4" s="183"/>
      <c r="BD4" s="183"/>
      <c r="BE4" s="183"/>
      <c r="BF4" s="183"/>
      <c r="BG4" s="183"/>
      <c r="BH4" s="183"/>
      <c r="BI4" s="183"/>
      <c r="BJ4" s="183"/>
      <c r="BK4" s="184"/>
    </row>
    <row r="5" spans="1:63" ht="5.0999999999999996" customHeight="1" x14ac:dyDescent="0.25">
      <c r="A5" s="185"/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7"/>
    </row>
    <row r="6" spans="1:63" ht="15" customHeight="1" x14ac:dyDescent="0.25">
      <c r="A6" s="188"/>
      <c r="BK6" s="189"/>
    </row>
    <row r="7" spans="1:63" ht="15" customHeight="1" x14ac:dyDescent="0.25">
      <c r="A7" s="188"/>
      <c r="BK7" s="189"/>
    </row>
    <row r="8" spans="1:63" ht="15" customHeight="1" x14ac:dyDescent="0.25">
      <c r="A8" s="188"/>
      <c r="B8" s="157" t="s">
        <v>0</v>
      </c>
      <c r="BK8" s="189"/>
    </row>
    <row r="9" spans="1:63" ht="15" customHeight="1" x14ac:dyDescent="0.25">
      <c r="A9" s="188"/>
      <c r="BK9" s="189"/>
    </row>
    <row r="10" spans="1:63" ht="15" customHeight="1" x14ac:dyDescent="0.25">
      <c r="A10" s="188"/>
      <c r="B10" s="212" t="s">
        <v>98</v>
      </c>
      <c r="C10" s="212"/>
      <c r="D10" s="212"/>
      <c r="E10" s="212"/>
      <c r="F10" s="212"/>
      <c r="G10" s="212"/>
      <c r="H10" s="212" t="s">
        <v>97</v>
      </c>
      <c r="I10" s="212"/>
      <c r="J10" s="212"/>
      <c r="K10" s="212"/>
      <c r="L10" s="212"/>
      <c r="M10" s="212"/>
      <c r="N10" s="212"/>
      <c r="O10" s="212" t="s">
        <v>99</v>
      </c>
      <c r="P10" s="212"/>
      <c r="Q10" s="212"/>
      <c r="R10" s="212"/>
      <c r="S10" s="212" t="s">
        <v>105</v>
      </c>
      <c r="T10" s="212"/>
      <c r="U10" s="212"/>
      <c r="V10" s="212"/>
      <c r="W10" s="212"/>
      <c r="X10" s="212"/>
      <c r="Y10" s="212"/>
      <c r="Z10" s="212"/>
      <c r="AA10" s="212"/>
      <c r="AB10" s="212"/>
      <c r="AC10" s="212"/>
      <c r="AD10" s="212"/>
      <c r="AE10" s="212"/>
      <c r="AF10" s="212"/>
      <c r="AG10" s="212"/>
      <c r="AH10" s="212"/>
      <c r="AI10" s="212"/>
      <c r="AJ10" s="212"/>
      <c r="AK10" s="212"/>
      <c r="AL10" s="212"/>
      <c r="AM10" s="212"/>
      <c r="AN10" s="212"/>
      <c r="AO10" s="212"/>
      <c r="AP10" s="212"/>
      <c r="AQ10" s="212"/>
      <c r="AR10" s="212"/>
      <c r="AS10" s="212"/>
      <c r="AT10" s="212"/>
      <c r="AU10" s="212"/>
      <c r="AV10" s="212"/>
      <c r="AW10" s="212"/>
      <c r="AX10" s="212" t="s">
        <v>103</v>
      </c>
      <c r="AY10" s="212"/>
      <c r="AZ10" s="212"/>
      <c r="BA10" s="212"/>
      <c r="BB10" s="212"/>
      <c r="BC10" s="212"/>
      <c r="BD10" s="212" t="s">
        <v>104</v>
      </c>
      <c r="BE10" s="212"/>
      <c r="BF10" s="212"/>
      <c r="BG10" s="212"/>
      <c r="BH10" s="212"/>
      <c r="BI10" s="212"/>
      <c r="BJ10" s="212"/>
      <c r="BK10" s="189"/>
    </row>
    <row r="11" spans="1:63" ht="15" customHeight="1" x14ac:dyDescent="0.25">
      <c r="A11" s="188"/>
      <c r="B11" s="164">
        <v>45750</v>
      </c>
      <c r="C11" s="158"/>
      <c r="D11" s="158"/>
      <c r="E11" s="158"/>
      <c r="F11" s="158"/>
      <c r="G11" s="159"/>
      <c r="H11" s="1" t="s">
        <v>88</v>
      </c>
      <c r="I11" s="158"/>
      <c r="J11" s="158"/>
      <c r="K11" s="158"/>
      <c r="L11" s="158"/>
      <c r="M11" s="158"/>
      <c r="N11" s="159"/>
      <c r="O11" s="160">
        <v>0.1</v>
      </c>
      <c r="P11" s="158"/>
      <c r="Q11" s="158"/>
      <c r="R11" s="158"/>
      <c r="S11" s="213" t="s">
        <v>2</v>
      </c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5"/>
      <c r="AX11" s="216"/>
      <c r="AY11" s="216"/>
      <c r="AZ11" s="216"/>
      <c r="BA11" s="216"/>
      <c r="BB11" s="216"/>
      <c r="BC11" s="217"/>
      <c r="BD11" s="218"/>
      <c r="BE11" s="216"/>
      <c r="BF11" s="216"/>
      <c r="BG11" s="216"/>
      <c r="BH11" s="216"/>
      <c r="BI11" s="216"/>
      <c r="BJ11" s="217"/>
      <c r="BK11" s="189"/>
    </row>
    <row r="12" spans="1:63" ht="15" customHeight="1" x14ac:dyDescent="0.25">
      <c r="A12" s="188"/>
      <c r="B12" s="170"/>
      <c r="C12" s="171"/>
      <c r="D12" s="171"/>
      <c r="E12" s="171"/>
      <c r="F12" s="171"/>
      <c r="G12" s="172"/>
      <c r="H12" s="170"/>
      <c r="I12" s="171"/>
      <c r="J12" s="171"/>
      <c r="K12" s="171"/>
      <c r="L12" s="171"/>
      <c r="M12" s="171"/>
      <c r="N12" s="172"/>
      <c r="O12" s="170"/>
      <c r="P12" s="171"/>
      <c r="Q12" s="171"/>
      <c r="R12" s="171"/>
      <c r="S12" s="219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1"/>
      <c r="AX12" s="222"/>
      <c r="AY12" s="222"/>
      <c r="AZ12" s="222"/>
      <c r="BA12" s="222"/>
      <c r="BB12" s="222"/>
      <c r="BC12" s="223"/>
      <c r="BD12" s="224"/>
      <c r="BE12" s="222"/>
      <c r="BF12" s="222"/>
      <c r="BG12" s="222"/>
      <c r="BH12" s="222"/>
      <c r="BI12" s="222"/>
      <c r="BJ12" s="223"/>
      <c r="BK12" s="189"/>
    </row>
    <row r="13" spans="1:63" ht="15" customHeight="1" x14ac:dyDescent="0.25">
      <c r="A13" s="188"/>
      <c r="B13" s="164"/>
      <c r="C13" s="158"/>
      <c r="D13" s="158"/>
      <c r="E13" s="158"/>
      <c r="F13" s="158"/>
      <c r="G13" s="159"/>
      <c r="H13" s="160"/>
      <c r="I13" s="158"/>
      <c r="J13" s="158"/>
      <c r="K13" s="158"/>
      <c r="L13" s="158"/>
      <c r="M13" s="158"/>
      <c r="N13" s="159"/>
      <c r="O13" s="160"/>
      <c r="P13" s="158"/>
      <c r="Q13" s="158"/>
      <c r="R13" s="158"/>
      <c r="S13" s="213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5"/>
      <c r="AX13" s="216"/>
      <c r="AY13" s="216"/>
      <c r="AZ13" s="216"/>
      <c r="BA13" s="216"/>
      <c r="BB13" s="216"/>
      <c r="BC13" s="217"/>
      <c r="BD13" s="218"/>
      <c r="BE13" s="216"/>
      <c r="BF13" s="216"/>
      <c r="BG13" s="216"/>
      <c r="BH13" s="216"/>
      <c r="BI13" s="216"/>
      <c r="BJ13" s="217"/>
      <c r="BK13" s="189"/>
    </row>
    <row r="14" spans="1:63" ht="15" customHeight="1" x14ac:dyDescent="0.25">
      <c r="A14" s="188"/>
      <c r="B14" s="170"/>
      <c r="C14" s="171"/>
      <c r="D14" s="171"/>
      <c r="E14" s="171"/>
      <c r="F14" s="171"/>
      <c r="G14" s="172"/>
      <c r="H14" s="170"/>
      <c r="I14" s="171"/>
      <c r="J14" s="171"/>
      <c r="K14" s="171"/>
      <c r="L14" s="171"/>
      <c r="M14" s="171"/>
      <c r="N14" s="172"/>
      <c r="O14" s="170"/>
      <c r="P14" s="171"/>
      <c r="Q14" s="171"/>
      <c r="R14" s="171"/>
      <c r="S14" s="219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1"/>
      <c r="AX14" s="222"/>
      <c r="AY14" s="222"/>
      <c r="AZ14" s="222"/>
      <c r="BA14" s="222"/>
      <c r="BB14" s="222"/>
      <c r="BC14" s="223"/>
      <c r="BD14" s="224"/>
      <c r="BE14" s="222"/>
      <c r="BF14" s="222"/>
      <c r="BG14" s="222"/>
      <c r="BH14" s="222"/>
      <c r="BI14" s="222"/>
      <c r="BJ14" s="223"/>
      <c r="BK14" s="189"/>
    </row>
    <row r="15" spans="1:63" ht="15" customHeight="1" x14ac:dyDescent="0.25">
      <c r="A15" s="188"/>
      <c r="B15" s="164"/>
      <c r="C15" s="158"/>
      <c r="D15" s="158"/>
      <c r="E15" s="158"/>
      <c r="F15" s="158"/>
      <c r="G15" s="159"/>
      <c r="H15" s="160"/>
      <c r="I15" s="158"/>
      <c r="J15" s="158"/>
      <c r="K15" s="158"/>
      <c r="L15" s="158"/>
      <c r="M15" s="158"/>
      <c r="N15" s="159"/>
      <c r="O15" s="160"/>
      <c r="P15" s="158"/>
      <c r="Q15" s="158"/>
      <c r="R15" s="158"/>
      <c r="S15" s="213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5"/>
      <c r="AX15" s="216"/>
      <c r="AY15" s="216"/>
      <c r="AZ15" s="216"/>
      <c r="BA15" s="216"/>
      <c r="BB15" s="216"/>
      <c r="BC15" s="217"/>
      <c r="BD15" s="218"/>
      <c r="BE15" s="216"/>
      <c r="BF15" s="216"/>
      <c r="BG15" s="216"/>
      <c r="BH15" s="216"/>
      <c r="BI15" s="216"/>
      <c r="BJ15" s="217"/>
      <c r="BK15" s="189"/>
    </row>
    <row r="16" spans="1:63" ht="15" customHeight="1" x14ac:dyDescent="0.25">
      <c r="A16" s="188"/>
      <c r="B16" s="170"/>
      <c r="C16" s="171"/>
      <c r="D16" s="171"/>
      <c r="E16" s="171"/>
      <c r="F16" s="171"/>
      <c r="G16" s="172"/>
      <c r="H16" s="170"/>
      <c r="I16" s="171"/>
      <c r="J16" s="171"/>
      <c r="K16" s="171"/>
      <c r="L16" s="171"/>
      <c r="M16" s="171"/>
      <c r="N16" s="172"/>
      <c r="O16" s="170"/>
      <c r="P16" s="171"/>
      <c r="Q16" s="171"/>
      <c r="R16" s="171"/>
      <c r="S16" s="219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1"/>
      <c r="AX16" s="222"/>
      <c r="AY16" s="222"/>
      <c r="AZ16" s="222"/>
      <c r="BA16" s="222"/>
      <c r="BB16" s="222"/>
      <c r="BC16" s="223"/>
      <c r="BD16" s="224"/>
      <c r="BE16" s="222"/>
      <c r="BF16" s="222"/>
      <c r="BG16" s="222"/>
      <c r="BH16" s="222"/>
      <c r="BI16" s="222"/>
      <c r="BJ16" s="223"/>
      <c r="BK16" s="189"/>
    </row>
    <row r="17" spans="1:63" ht="15" customHeight="1" x14ac:dyDescent="0.25">
      <c r="A17" s="188"/>
      <c r="B17" s="164"/>
      <c r="C17" s="158"/>
      <c r="D17" s="158"/>
      <c r="E17" s="158"/>
      <c r="F17" s="158"/>
      <c r="G17" s="159"/>
      <c r="H17" s="160"/>
      <c r="I17" s="158"/>
      <c r="J17" s="158"/>
      <c r="K17" s="158"/>
      <c r="L17" s="158"/>
      <c r="M17" s="158"/>
      <c r="N17" s="159"/>
      <c r="O17" s="160"/>
      <c r="P17" s="158"/>
      <c r="Q17" s="158"/>
      <c r="R17" s="158"/>
      <c r="S17" s="213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5"/>
      <c r="AX17" s="216"/>
      <c r="AY17" s="216"/>
      <c r="AZ17" s="216"/>
      <c r="BA17" s="216"/>
      <c r="BB17" s="216"/>
      <c r="BC17" s="217"/>
      <c r="BD17" s="218"/>
      <c r="BE17" s="216"/>
      <c r="BF17" s="216"/>
      <c r="BG17" s="216"/>
      <c r="BH17" s="216"/>
      <c r="BI17" s="216"/>
      <c r="BJ17" s="217"/>
      <c r="BK17" s="189"/>
    </row>
    <row r="18" spans="1:63" ht="15" customHeight="1" x14ac:dyDescent="0.25">
      <c r="A18" s="188"/>
      <c r="B18" s="170"/>
      <c r="C18" s="171"/>
      <c r="D18" s="171"/>
      <c r="E18" s="171"/>
      <c r="F18" s="171"/>
      <c r="G18" s="172"/>
      <c r="H18" s="170"/>
      <c r="I18" s="171"/>
      <c r="J18" s="171"/>
      <c r="K18" s="171"/>
      <c r="L18" s="171"/>
      <c r="M18" s="171"/>
      <c r="N18" s="172"/>
      <c r="O18" s="170"/>
      <c r="P18" s="171"/>
      <c r="Q18" s="171"/>
      <c r="R18" s="171"/>
      <c r="S18" s="219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1"/>
      <c r="AX18" s="222"/>
      <c r="AY18" s="222"/>
      <c r="AZ18" s="222"/>
      <c r="BA18" s="222"/>
      <c r="BB18" s="222"/>
      <c r="BC18" s="223"/>
      <c r="BD18" s="224"/>
      <c r="BE18" s="222"/>
      <c r="BF18" s="222"/>
      <c r="BG18" s="222"/>
      <c r="BH18" s="222"/>
      <c r="BI18" s="222"/>
      <c r="BJ18" s="223"/>
      <c r="BK18" s="189"/>
    </row>
    <row r="19" spans="1:63" ht="15" customHeight="1" x14ac:dyDescent="0.25">
      <c r="A19" s="188"/>
      <c r="B19" s="164"/>
      <c r="C19" s="158"/>
      <c r="D19" s="158"/>
      <c r="E19" s="158"/>
      <c r="F19" s="158"/>
      <c r="G19" s="159"/>
      <c r="H19" s="160"/>
      <c r="I19" s="158"/>
      <c r="J19" s="158"/>
      <c r="K19" s="158"/>
      <c r="L19" s="158"/>
      <c r="M19" s="158"/>
      <c r="N19" s="159"/>
      <c r="O19" s="160"/>
      <c r="P19" s="158"/>
      <c r="Q19" s="158"/>
      <c r="R19" s="158"/>
      <c r="S19" s="213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5"/>
      <c r="AX19" s="216"/>
      <c r="AY19" s="216"/>
      <c r="AZ19" s="216"/>
      <c r="BA19" s="216"/>
      <c r="BB19" s="216"/>
      <c r="BC19" s="217"/>
      <c r="BD19" s="218"/>
      <c r="BE19" s="216"/>
      <c r="BF19" s="216"/>
      <c r="BG19" s="216"/>
      <c r="BH19" s="216"/>
      <c r="BI19" s="216"/>
      <c r="BJ19" s="217"/>
      <c r="BK19" s="189"/>
    </row>
    <row r="20" spans="1:63" ht="15" customHeight="1" x14ac:dyDescent="0.25">
      <c r="A20" s="188"/>
      <c r="B20" s="170"/>
      <c r="C20" s="171"/>
      <c r="D20" s="171"/>
      <c r="E20" s="171"/>
      <c r="F20" s="171"/>
      <c r="G20" s="172"/>
      <c r="H20" s="170"/>
      <c r="I20" s="171"/>
      <c r="J20" s="171"/>
      <c r="K20" s="171"/>
      <c r="L20" s="171"/>
      <c r="M20" s="171"/>
      <c r="N20" s="172"/>
      <c r="O20" s="170"/>
      <c r="P20" s="171"/>
      <c r="Q20" s="171"/>
      <c r="R20" s="171"/>
      <c r="S20" s="225"/>
      <c r="T20" s="226"/>
      <c r="U20" s="226"/>
      <c r="V20" s="226"/>
      <c r="W20" s="226"/>
      <c r="X20" s="226"/>
      <c r="Y20" s="226"/>
      <c r="Z20" s="226"/>
      <c r="AA20" s="226"/>
      <c r="AB20" s="226"/>
      <c r="AC20" s="226"/>
      <c r="AD20" s="226"/>
      <c r="AE20" s="226"/>
      <c r="AF20" s="226"/>
      <c r="AG20" s="226"/>
      <c r="AH20" s="226"/>
      <c r="AI20" s="226"/>
      <c r="AJ20" s="226"/>
      <c r="AK20" s="226"/>
      <c r="AL20" s="226"/>
      <c r="AM20" s="226"/>
      <c r="AN20" s="226"/>
      <c r="AO20" s="226"/>
      <c r="AP20" s="226"/>
      <c r="AQ20" s="226"/>
      <c r="AR20" s="226"/>
      <c r="AS20" s="226"/>
      <c r="AT20" s="226"/>
      <c r="AU20" s="226"/>
      <c r="AV20" s="226"/>
      <c r="AW20" s="227"/>
      <c r="AX20" s="222"/>
      <c r="AY20" s="222"/>
      <c r="AZ20" s="222"/>
      <c r="BA20" s="222"/>
      <c r="BB20" s="222"/>
      <c r="BC20" s="223"/>
      <c r="BD20" s="224"/>
      <c r="BE20" s="222"/>
      <c r="BF20" s="222"/>
      <c r="BG20" s="222"/>
      <c r="BH20" s="222"/>
      <c r="BI20" s="222"/>
      <c r="BJ20" s="223"/>
      <c r="BK20" s="189"/>
    </row>
    <row r="21" spans="1:63" ht="15" customHeight="1" x14ac:dyDescent="0.25">
      <c r="A21" s="188"/>
      <c r="B21" s="228"/>
      <c r="C21" s="229"/>
      <c r="D21" s="229"/>
      <c r="E21" s="229"/>
      <c r="F21" s="229"/>
      <c r="G21" s="230"/>
      <c r="H21" s="231"/>
      <c r="I21" s="229"/>
      <c r="J21" s="229"/>
      <c r="K21" s="229"/>
      <c r="L21" s="229"/>
      <c r="M21" s="229"/>
      <c r="N21" s="230"/>
      <c r="O21" s="231"/>
      <c r="P21" s="229"/>
      <c r="Q21" s="229"/>
      <c r="R21" s="229"/>
      <c r="S21" s="232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4"/>
      <c r="AX21" s="216"/>
      <c r="AY21" s="216"/>
      <c r="AZ21" s="216"/>
      <c r="BA21" s="216"/>
      <c r="BB21" s="216"/>
      <c r="BC21" s="217"/>
      <c r="BD21" s="218"/>
      <c r="BE21" s="216"/>
      <c r="BF21" s="216"/>
      <c r="BG21" s="216"/>
      <c r="BH21" s="216"/>
      <c r="BI21" s="216"/>
      <c r="BJ21" s="217"/>
      <c r="BK21" s="189"/>
    </row>
    <row r="22" spans="1:63" ht="15" customHeight="1" x14ac:dyDescent="0.25">
      <c r="A22" s="188"/>
      <c r="B22" s="235"/>
      <c r="C22" s="236"/>
      <c r="D22" s="236"/>
      <c r="E22" s="236"/>
      <c r="F22" s="236"/>
      <c r="G22" s="237"/>
      <c r="H22" s="235"/>
      <c r="I22" s="236"/>
      <c r="J22" s="236"/>
      <c r="K22" s="236"/>
      <c r="L22" s="236"/>
      <c r="M22" s="236"/>
      <c r="N22" s="237"/>
      <c r="O22" s="235"/>
      <c r="P22" s="236"/>
      <c r="Q22" s="236"/>
      <c r="R22" s="236"/>
      <c r="S22" s="238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39"/>
      <c r="AQ22" s="239"/>
      <c r="AR22" s="239"/>
      <c r="AS22" s="239"/>
      <c r="AT22" s="239"/>
      <c r="AU22" s="239"/>
      <c r="AV22" s="239"/>
      <c r="AW22" s="240"/>
      <c r="AX22" s="222"/>
      <c r="AY22" s="222"/>
      <c r="AZ22" s="222"/>
      <c r="BA22" s="222"/>
      <c r="BB22" s="222"/>
      <c r="BC22" s="223"/>
      <c r="BD22" s="224"/>
      <c r="BE22" s="222"/>
      <c r="BF22" s="222"/>
      <c r="BG22" s="222"/>
      <c r="BH22" s="222"/>
      <c r="BI22" s="222"/>
      <c r="BJ22" s="223"/>
      <c r="BK22" s="189"/>
    </row>
    <row r="23" spans="1:63" ht="15" customHeight="1" x14ac:dyDescent="0.25">
      <c r="A23" s="188"/>
      <c r="B23" s="241"/>
      <c r="C23" s="242"/>
      <c r="D23" s="242"/>
      <c r="E23" s="242"/>
      <c r="F23" s="242"/>
      <c r="G23" s="243"/>
      <c r="H23" s="244"/>
      <c r="I23" s="242"/>
      <c r="J23" s="242"/>
      <c r="K23" s="242"/>
      <c r="L23" s="242"/>
      <c r="M23" s="242"/>
      <c r="N23" s="243"/>
      <c r="O23" s="244"/>
      <c r="P23" s="242"/>
      <c r="Q23" s="242"/>
      <c r="R23" s="242"/>
      <c r="S23" s="245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6"/>
      <c r="AT23" s="246"/>
      <c r="AU23" s="246"/>
      <c r="AV23" s="246"/>
      <c r="AW23" s="247"/>
      <c r="AX23" s="216"/>
      <c r="AY23" s="216"/>
      <c r="AZ23" s="216"/>
      <c r="BA23" s="216"/>
      <c r="BB23" s="216"/>
      <c r="BC23" s="217"/>
      <c r="BD23" s="218"/>
      <c r="BE23" s="216"/>
      <c r="BF23" s="216"/>
      <c r="BG23" s="216"/>
      <c r="BH23" s="216"/>
      <c r="BI23" s="216"/>
      <c r="BJ23" s="217"/>
      <c r="BK23" s="189"/>
    </row>
    <row r="24" spans="1:63" ht="15" customHeight="1" x14ac:dyDescent="0.25">
      <c r="A24" s="188"/>
      <c r="B24" s="248"/>
      <c r="C24" s="249"/>
      <c r="D24" s="249"/>
      <c r="E24" s="249"/>
      <c r="F24" s="249"/>
      <c r="G24" s="250"/>
      <c r="H24" s="248"/>
      <c r="I24" s="249"/>
      <c r="J24" s="249"/>
      <c r="K24" s="249"/>
      <c r="L24" s="249"/>
      <c r="M24" s="249"/>
      <c r="N24" s="250"/>
      <c r="O24" s="248"/>
      <c r="P24" s="249"/>
      <c r="Q24" s="249"/>
      <c r="R24" s="249"/>
      <c r="S24" s="251"/>
      <c r="T24" s="252"/>
      <c r="U24" s="252"/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2"/>
      <c r="AM24" s="252"/>
      <c r="AN24" s="252"/>
      <c r="AO24" s="252"/>
      <c r="AP24" s="252"/>
      <c r="AQ24" s="252"/>
      <c r="AR24" s="252"/>
      <c r="AS24" s="252"/>
      <c r="AT24" s="252"/>
      <c r="AU24" s="252"/>
      <c r="AV24" s="252"/>
      <c r="AW24" s="253"/>
      <c r="AX24" s="222"/>
      <c r="AY24" s="222"/>
      <c r="AZ24" s="222"/>
      <c r="BA24" s="222"/>
      <c r="BB24" s="222"/>
      <c r="BC24" s="223"/>
      <c r="BD24" s="224"/>
      <c r="BE24" s="222"/>
      <c r="BF24" s="222"/>
      <c r="BG24" s="222"/>
      <c r="BH24" s="222"/>
      <c r="BI24" s="222"/>
      <c r="BJ24" s="223"/>
      <c r="BK24" s="189"/>
    </row>
    <row r="25" spans="1:63" ht="15" customHeight="1" x14ac:dyDescent="0.25">
      <c r="A25" s="188"/>
      <c r="B25" s="160"/>
      <c r="C25" s="158"/>
      <c r="D25" s="158"/>
      <c r="E25" s="158"/>
      <c r="F25" s="158"/>
      <c r="G25" s="159"/>
      <c r="H25" s="160"/>
      <c r="I25" s="158"/>
      <c r="J25" s="158"/>
      <c r="K25" s="158"/>
      <c r="L25" s="158"/>
      <c r="M25" s="158"/>
      <c r="N25" s="159"/>
      <c r="O25" s="160"/>
      <c r="P25" s="158"/>
      <c r="Q25" s="158"/>
      <c r="R25" s="158"/>
      <c r="S25" s="213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5"/>
      <c r="AX25" s="216"/>
      <c r="AY25" s="216"/>
      <c r="AZ25" s="216"/>
      <c r="BA25" s="216"/>
      <c r="BB25" s="216"/>
      <c r="BC25" s="217"/>
      <c r="BD25" s="218"/>
      <c r="BE25" s="216"/>
      <c r="BF25" s="216"/>
      <c r="BG25" s="216"/>
      <c r="BH25" s="216"/>
      <c r="BI25" s="216"/>
      <c r="BJ25" s="217"/>
      <c r="BK25" s="189"/>
    </row>
    <row r="26" spans="1:63" ht="15" customHeight="1" x14ac:dyDescent="0.25">
      <c r="A26" s="188"/>
      <c r="B26" s="170"/>
      <c r="C26" s="171"/>
      <c r="D26" s="171"/>
      <c r="E26" s="171"/>
      <c r="F26" s="171"/>
      <c r="G26" s="172"/>
      <c r="H26" s="170"/>
      <c r="I26" s="171"/>
      <c r="J26" s="171"/>
      <c r="K26" s="171"/>
      <c r="L26" s="171"/>
      <c r="M26" s="171"/>
      <c r="N26" s="172"/>
      <c r="O26" s="170"/>
      <c r="P26" s="171"/>
      <c r="Q26" s="171"/>
      <c r="R26" s="171"/>
      <c r="S26" s="219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1"/>
      <c r="AX26" s="222"/>
      <c r="AY26" s="222"/>
      <c r="AZ26" s="222"/>
      <c r="BA26" s="222"/>
      <c r="BB26" s="222"/>
      <c r="BC26" s="223"/>
      <c r="BD26" s="224"/>
      <c r="BE26" s="222"/>
      <c r="BF26" s="222"/>
      <c r="BG26" s="222"/>
      <c r="BH26" s="222"/>
      <c r="BI26" s="222"/>
      <c r="BJ26" s="223"/>
      <c r="BK26" s="189"/>
    </row>
    <row r="27" spans="1:63" ht="15" customHeight="1" x14ac:dyDescent="0.25">
      <c r="A27" s="188"/>
      <c r="B27" s="160"/>
      <c r="C27" s="158"/>
      <c r="D27" s="158"/>
      <c r="E27" s="158"/>
      <c r="F27" s="158"/>
      <c r="G27" s="159"/>
      <c r="H27" s="160"/>
      <c r="I27" s="158"/>
      <c r="J27" s="158"/>
      <c r="K27" s="158"/>
      <c r="L27" s="158"/>
      <c r="M27" s="158"/>
      <c r="N27" s="159"/>
      <c r="O27" s="160"/>
      <c r="P27" s="158"/>
      <c r="Q27" s="158"/>
      <c r="R27" s="158"/>
      <c r="S27" s="213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5"/>
      <c r="AX27" s="216"/>
      <c r="AY27" s="216"/>
      <c r="AZ27" s="216"/>
      <c r="BA27" s="216"/>
      <c r="BB27" s="216"/>
      <c r="BC27" s="217"/>
      <c r="BD27" s="218"/>
      <c r="BE27" s="216"/>
      <c r="BF27" s="216"/>
      <c r="BG27" s="216"/>
      <c r="BH27" s="216"/>
      <c r="BI27" s="216"/>
      <c r="BJ27" s="217"/>
      <c r="BK27" s="189"/>
    </row>
    <row r="28" spans="1:63" ht="15" customHeight="1" x14ac:dyDescent="0.25">
      <c r="A28" s="188"/>
      <c r="B28" s="170"/>
      <c r="C28" s="171"/>
      <c r="D28" s="171"/>
      <c r="E28" s="171"/>
      <c r="F28" s="171"/>
      <c r="G28" s="172"/>
      <c r="H28" s="170"/>
      <c r="I28" s="171"/>
      <c r="J28" s="171"/>
      <c r="K28" s="171"/>
      <c r="L28" s="171"/>
      <c r="M28" s="171"/>
      <c r="N28" s="172"/>
      <c r="O28" s="170"/>
      <c r="P28" s="171"/>
      <c r="Q28" s="171"/>
      <c r="R28" s="171"/>
      <c r="S28" s="219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1"/>
      <c r="AX28" s="222"/>
      <c r="AY28" s="222"/>
      <c r="AZ28" s="222"/>
      <c r="BA28" s="222"/>
      <c r="BB28" s="222"/>
      <c r="BC28" s="223"/>
      <c r="BD28" s="224"/>
      <c r="BE28" s="222"/>
      <c r="BF28" s="222"/>
      <c r="BG28" s="222"/>
      <c r="BH28" s="222"/>
      <c r="BI28" s="222"/>
      <c r="BJ28" s="223"/>
      <c r="BK28" s="189"/>
    </row>
    <row r="29" spans="1:63" ht="15" customHeight="1" x14ac:dyDescent="0.25">
      <c r="A29" s="188"/>
      <c r="B29" s="160"/>
      <c r="C29" s="158"/>
      <c r="D29" s="158"/>
      <c r="E29" s="158"/>
      <c r="F29" s="158"/>
      <c r="G29" s="159"/>
      <c r="H29" s="160"/>
      <c r="I29" s="158"/>
      <c r="J29" s="158"/>
      <c r="K29" s="158"/>
      <c r="L29" s="158"/>
      <c r="M29" s="158"/>
      <c r="N29" s="159"/>
      <c r="O29" s="160"/>
      <c r="P29" s="158"/>
      <c r="Q29" s="158"/>
      <c r="R29" s="158"/>
      <c r="S29" s="213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5"/>
      <c r="AX29" s="216"/>
      <c r="AY29" s="216"/>
      <c r="AZ29" s="216"/>
      <c r="BA29" s="216"/>
      <c r="BB29" s="216"/>
      <c r="BC29" s="217"/>
      <c r="BD29" s="218"/>
      <c r="BE29" s="216"/>
      <c r="BF29" s="216"/>
      <c r="BG29" s="216"/>
      <c r="BH29" s="216"/>
      <c r="BI29" s="216"/>
      <c r="BJ29" s="217"/>
      <c r="BK29" s="189"/>
    </row>
    <row r="30" spans="1:63" ht="15" customHeight="1" x14ac:dyDescent="0.25">
      <c r="A30" s="188"/>
      <c r="B30" s="170"/>
      <c r="C30" s="171"/>
      <c r="D30" s="171"/>
      <c r="E30" s="171"/>
      <c r="F30" s="171"/>
      <c r="G30" s="172"/>
      <c r="H30" s="170"/>
      <c r="I30" s="171"/>
      <c r="J30" s="171"/>
      <c r="K30" s="171"/>
      <c r="L30" s="171"/>
      <c r="M30" s="171"/>
      <c r="N30" s="172"/>
      <c r="O30" s="170"/>
      <c r="P30" s="171"/>
      <c r="Q30" s="171"/>
      <c r="R30" s="171"/>
      <c r="S30" s="219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1"/>
      <c r="AX30" s="222"/>
      <c r="AY30" s="222"/>
      <c r="AZ30" s="222"/>
      <c r="BA30" s="222"/>
      <c r="BB30" s="222"/>
      <c r="BC30" s="223"/>
      <c r="BD30" s="224"/>
      <c r="BE30" s="222"/>
      <c r="BF30" s="222"/>
      <c r="BG30" s="222"/>
      <c r="BH30" s="222"/>
      <c r="BI30" s="222"/>
      <c r="BJ30" s="223"/>
      <c r="BK30" s="189"/>
    </row>
    <row r="31" spans="1:63" ht="15" customHeight="1" x14ac:dyDescent="0.25">
      <c r="A31" s="188"/>
      <c r="B31" s="160"/>
      <c r="C31" s="158"/>
      <c r="D31" s="158"/>
      <c r="E31" s="158"/>
      <c r="F31" s="158"/>
      <c r="G31" s="159"/>
      <c r="H31" s="160"/>
      <c r="I31" s="158"/>
      <c r="J31" s="158"/>
      <c r="K31" s="158"/>
      <c r="L31" s="158"/>
      <c r="M31" s="158"/>
      <c r="N31" s="159"/>
      <c r="O31" s="160"/>
      <c r="P31" s="158"/>
      <c r="Q31" s="158"/>
      <c r="R31" s="158"/>
      <c r="S31" s="213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  <c r="AK31" s="214"/>
      <c r="AL31" s="214"/>
      <c r="AM31" s="214"/>
      <c r="AN31" s="214"/>
      <c r="AO31" s="214"/>
      <c r="AP31" s="214"/>
      <c r="AQ31" s="214"/>
      <c r="AR31" s="214"/>
      <c r="AS31" s="214"/>
      <c r="AT31" s="214"/>
      <c r="AU31" s="214"/>
      <c r="AV31" s="214"/>
      <c r="AW31" s="215"/>
      <c r="AX31" s="216"/>
      <c r="AY31" s="216"/>
      <c r="AZ31" s="216"/>
      <c r="BA31" s="216"/>
      <c r="BB31" s="216"/>
      <c r="BC31" s="217"/>
      <c r="BD31" s="218"/>
      <c r="BE31" s="216"/>
      <c r="BF31" s="216"/>
      <c r="BG31" s="216"/>
      <c r="BH31" s="216"/>
      <c r="BI31" s="216"/>
      <c r="BJ31" s="217"/>
      <c r="BK31" s="189"/>
    </row>
    <row r="32" spans="1:63" ht="15" customHeight="1" x14ac:dyDescent="0.25">
      <c r="A32" s="188"/>
      <c r="B32" s="170"/>
      <c r="C32" s="171"/>
      <c r="D32" s="171"/>
      <c r="E32" s="171"/>
      <c r="F32" s="171"/>
      <c r="G32" s="172"/>
      <c r="H32" s="170"/>
      <c r="I32" s="171"/>
      <c r="J32" s="171"/>
      <c r="K32" s="171"/>
      <c r="L32" s="171"/>
      <c r="M32" s="171"/>
      <c r="N32" s="172"/>
      <c r="O32" s="170"/>
      <c r="P32" s="171"/>
      <c r="Q32" s="171"/>
      <c r="R32" s="171"/>
      <c r="S32" s="219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1"/>
      <c r="AX32" s="222"/>
      <c r="AY32" s="222"/>
      <c r="AZ32" s="222"/>
      <c r="BA32" s="222"/>
      <c r="BB32" s="222"/>
      <c r="BC32" s="223"/>
      <c r="BD32" s="224"/>
      <c r="BE32" s="222"/>
      <c r="BF32" s="222"/>
      <c r="BG32" s="222"/>
      <c r="BH32" s="222"/>
      <c r="BI32" s="222"/>
      <c r="BJ32" s="223"/>
      <c r="BK32" s="189"/>
    </row>
    <row r="33" spans="1:63" ht="15" customHeight="1" x14ac:dyDescent="0.25">
      <c r="A33" s="188"/>
      <c r="B33" s="160"/>
      <c r="C33" s="158"/>
      <c r="D33" s="158"/>
      <c r="E33" s="158"/>
      <c r="F33" s="158"/>
      <c r="G33" s="159"/>
      <c r="H33" s="160"/>
      <c r="I33" s="158"/>
      <c r="J33" s="158"/>
      <c r="K33" s="158"/>
      <c r="L33" s="158"/>
      <c r="M33" s="158"/>
      <c r="N33" s="159"/>
      <c r="O33" s="160"/>
      <c r="P33" s="158"/>
      <c r="Q33" s="158"/>
      <c r="R33" s="158"/>
      <c r="S33" s="213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  <c r="AS33" s="214"/>
      <c r="AT33" s="214"/>
      <c r="AU33" s="214"/>
      <c r="AV33" s="214"/>
      <c r="AW33" s="215"/>
      <c r="AX33" s="216"/>
      <c r="AY33" s="216"/>
      <c r="AZ33" s="216"/>
      <c r="BA33" s="216"/>
      <c r="BB33" s="216"/>
      <c r="BC33" s="217"/>
      <c r="BD33" s="218"/>
      <c r="BE33" s="216"/>
      <c r="BF33" s="216"/>
      <c r="BG33" s="216"/>
      <c r="BH33" s="216"/>
      <c r="BI33" s="216"/>
      <c r="BJ33" s="217"/>
      <c r="BK33" s="189"/>
    </row>
    <row r="34" spans="1:63" ht="15" customHeight="1" x14ac:dyDescent="0.25">
      <c r="A34" s="188"/>
      <c r="B34" s="170"/>
      <c r="C34" s="171"/>
      <c r="D34" s="171"/>
      <c r="E34" s="171"/>
      <c r="F34" s="171"/>
      <c r="G34" s="172"/>
      <c r="H34" s="170"/>
      <c r="I34" s="171"/>
      <c r="J34" s="171"/>
      <c r="K34" s="171"/>
      <c r="L34" s="171"/>
      <c r="M34" s="171"/>
      <c r="N34" s="172"/>
      <c r="O34" s="170"/>
      <c r="P34" s="171"/>
      <c r="Q34" s="171"/>
      <c r="R34" s="171"/>
      <c r="S34" s="219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1"/>
      <c r="AX34" s="222"/>
      <c r="AY34" s="222"/>
      <c r="AZ34" s="222"/>
      <c r="BA34" s="222"/>
      <c r="BB34" s="222"/>
      <c r="BC34" s="223"/>
      <c r="BD34" s="224"/>
      <c r="BE34" s="222"/>
      <c r="BF34" s="222"/>
      <c r="BG34" s="222"/>
      <c r="BH34" s="222"/>
      <c r="BI34" s="222"/>
      <c r="BJ34" s="223"/>
      <c r="BK34" s="189"/>
    </row>
    <row r="35" spans="1:63" ht="15" customHeight="1" x14ac:dyDescent="0.25">
      <c r="A35" s="188"/>
      <c r="B35" s="160"/>
      <c r="C35" s="158"/>
      <c r="D35" s="158"/>
      <c r="E35" s="158"/>
      <c r="F35" s="158"/>
      <c r="G35" s="159"/>
      <c r="H35" s="160"/>
      <c r="I35" s="158"/>
      <c r="J35" s="158"/>
      <c r="K35" s="158"/>
      <c r="L35" s="158"/>
      <c r="M35" s="158"/>
      <c r="N35" s="159"/>
      <c r="O35" s="160"/>
      <c r="P35" s="158"/>
      <c r="Q35" s="158"/>
      <c r="R35" s="158"/>
      <c r="S35" s="213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  <c r="AS35" s="214"/>
      <c r="AT35" s="214"/>
      <c r="AU35" s="214"/>
      <c r="AV35" s="214"/>
      <c r="AW35" s="215"/>
      <c r="AX35" s="216"/>
      <c r="AY35" s="216"/>
      <c r="AZ35" s="216"/>
      <c r="BA35" s="216"/>
      <c r="BB35" s="216"/>
      <c r="BC35" s="217"/>
      <c r="BD35" s="218"/>
      <c r="BE35" s="216"/>
      <c r="BF35" s="216"/>
      <c r="BG35" s="216"/>
      <c r="BH35" s="216"/>
      <c r="BI35" s="216"/>
      <c r="BJ35" s="217"/>
      <c r="BK35" s="189"/>
    </row>
    <row r="36" spans="1:63" ht="15" customHeight="1" x14ac:dyDescent="0.25">
      <c r="A36" s="188"/>
      <c r="B36" s="170"/>
      <c r="C36" s="171"/>
      <c r="D36" s="171"/>
      <c r="E36" s="171"/>
      <c r="F36" s="171"/>
      <c r="G36" s="172"/>
      <c r="H36" s="170"/>
      <c r="I36" s="171"/>
      <c r="J36" s="171"/>
      <c r="K36" s="171"/>
      <c r="L36" s="171"/>
      <c r="M36" s="171"/>
      <c r="N36" s="172"/>
      <c r="O36" s="170"/>
      <c r="P36" s="171"/>
      <c r="Q36" s="171"/>
      <c r="R36" s="171"/>
      <c r="S36" s="219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1"/>
      <c r="AX36" s="222"/>
      <c r="AY36" s="222"/>
      <c r="AZ36" s="222"/>
      <c r="BA36" s="222"/>
      <c r="BB36" s="222"/>
      <c r="BC36" s="223"/>
      <c r="BD36" s="224"/>
      <c r="BE36" s="222"/>
      <c r="BF36" s="222"/>
      <c r="BG36" s="222"/>
      <c r="BH36" s="222"/>
      <c r="BI36" s="222"/>
      <c r="BJ36" s="223"/>
      <c r="BK36" s="189"/>
    </row>
    <row r="37" spans="1:63" ht="15" customHeight="1" x14ac:dyDescent="0.25">
      <c r="A37" s="188"/>
      <c r="B37" s="160"/>
      <c r="C37" s="158"/>
      <c r="D37" s="158"/>
      <c r="E37" s="158"/>
      <c r="F37" s="158"/>
      <c r="G37" s="159"/>
      <c r="H37" s="160"/>
      <c r="I37" s="158"/>
      <c r="J37" s="158"/>
      <c r="K37" s="158"/>
      <c r="L37" s="158"/>
      <c r="M37" s="158"/>
      <c r="N37" s="159"/>
      <c r="O37" s="160"/>
      <c r="P37" s="158"/>
      <c r="Q37" s="158"/>
      <c r="R37" s="158"/>
      <c r="S37" s="213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4"/>
      <c r="AU37" s="214"/>
      <c r="AV37" s="214"/>
      <c r="AW37" s="215"/>
      <c r="AX37" s="216"/>
      <c r="AY37" s="216"/>
      <c r="AZ37" s="216"/>
      <c r="BA37" s="216"/>
      <c r="BB37" s="216"/>
      <c r="BC37" s="217"/>
      <c r="BD37" s="218"/>
      <c r="BE37" s="216"/>
      <c r="BF37" s="216"/>
      <c r="BG37" s="216"/>
      <c r="BH37" s="216"/>
      <c r="BI37" s="216"/>
      <c r="BJ37" s="217"/>
      <c r="BK37" s="189"/>
    </row>
    <row r="38" spans="1:63" ht="15" customHeight="1" x14ac:dyDescent="0.25">
      <c r="A38" s="188"/>
      <c r="B38" s="170"/>
      <c r="C38" s="171"/>
      <c r="D38" s="171"/>
      <c r="E38" s="171"/>
      <c r="F38" s="171"/>
      <c r="G38" s="172"/>
      <c r="H38" s="170"/>
      <c r="I38" s="171"/>
      <c r="J38" s="171"/>
      <c r="K38" s="171"/>
      <c r="L38" s="171"/>
      <c r="M38" s="171"/>
      <c r="N38" s="172"/>
      <c r="O38" s="170"/>
      <c r="P38" s="171"/>
      <c r="Q38" s="171"/>
      <c r="R38" s="171"/>
      <c r="S38" s="219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1"/>
      <c r="AX38" s="222"/>
      <c r="AY38" s="222"/>
      <c r="AZ38" s="222"/>
      <c r="BA38" s="222"/>
      <c r="BB38" s="222"/>
      <c r="BC38" s="223"/>
      <c r="BD38" s="224"/>
      <c r="BE38" s="222"/>
      <c r="BF38" s="222"/>
      <c r="BG38" s="222"/>
      <c r="BH38" s="222"/>
      <c r="BI38" s="222"/>
      <c r="BJ38" s="223"/>
      <c r="BK38" s="189"/>
    </row>
    <row r="39" spans="1:63" ht="15" customHeight="1" x14ac:dyDescent="0.25">
      <c r="A39" s="188"/>
      <c r="B39" s="160"/>
      <c r="C39" s="158"/>
      <c r="D39" s="158"/>
      <c r="E39" s="158"/>
      <c r="F39" s="158"/>
      <c r="G39" s="159"/>
      <c r="H39" s="160"/>
      <c r="I39" s="158"/>
      <c r="J39" s="158"/>
      <c r="K39" s="158"/>
      <c r="L39" s="158"/>
      <c r="M39" s="158"/>
      <c r="N39" s="159"/>
      <c r="O39" s="160"/>
      <c r="P39" s="158"/>
      <c r="Q39" s="158"/>
      <c r="R39" s="158"/>
      <c r="S39" s="213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4"/>
      <c r="AO39" s="214"/>
      <c r="AP39" s="214"/>
      <c r="AQ39" s="214"/>
      <c r="AR39" s="214"/>
      <c r="AS39" s="214"/>
      <c r="AT39" s="214"/>
      <c r="AU39" s="214"/>
      <c r="AV39" s="214"/>
      <c r="AW39" s="215"/>
      <c r="AX39" s="216"/>
      <c r="AY39" s="216"/>
      <c r="AZ39" s="216"/>
      <c r="BA39" s="216"/>
      <c r="BB39" s="216"/>
      <c r="BC39" s="217"/>
      <c r="BD39" s="218"/>
      <c r="BE39" s="216"/>
      <c r="BF39" s="216"/>
      <c r="BG39" s="216"/>
      <c r="BH39" s="216"/>
      <c r="BI39" s="216"/>
      <c r="BJ39" s="217"/>
      <c r="BK39" s="189"/>
    </row>
    <row r="40" spans="1:63" ht="15" customHeight="1" x14ac:dyDescent="0.25">
      <c r="A40" s="188"/>
      <c r="B40" s="170"/>
      <c r="C40" s="171"/>
      <c r="D40" s="171"/>
      <c r="E40" s="171"/>
      <c r="F40" s="171"/>
      <c r="G40" s="172"/>
      <c r="H40" s="170"/>
      <c r="I40" s="171"/>
      <c r="J40" s="171"/>
      <c r="K40" s="171"/>
      <c r="L40" s="171"/>
      <c r="M40" s="171"/>
      <c r="N40" s="172"/>
      <c r="O40" s="170"/>
      <c r="P40" s="171"/>
      <c r="Q40" s="171"/>
      <c r="R40" s="171"/>
      <c r="S40" s="219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1"/>
      <c r="AX40" s="222"/>
      <c r="AY40" s="222"/>
      <c r="AZ40" s="222"/>
      <c r="BA40" s="222"/>
      <c r="BB40" s="222"/>
      <c r="BC40" s="223"/>
      <c r="BD40" s="224"/>
      <c r="BE40" s="222"/>
      <c r="BF40" s="222"/>
      <c r="BG40" s="222"/>
      <c r="BH40" s="222"/>
      <c r="BI40" s="222"/>
      <c r="BJ40" s="223"/>
      <c r="BK40" s="189"/>
    </row>
    <row r="41" spans="1:63" ht="15" customHeight="1" x14ac:dyDescent="0.25">
      <c r="A41" s="188"/>
      <c r="B41" s="160"/>
      <c r="C41" s="158"/>
      <c r="D41" s="158"/>
      <c r="E41" s="158"/>
      <c r="F41" s="158"/>
      <c r="G41" s="159"/>
      <c r="H41" s="160"/>
      <c r="I41" s="158"/>
      <c r="J41" s="158"/>
      <c r="K41" s="158"/>
      <c r="L41" s="158"/>
      <c r="M41" s="158"/>
      <c r="N41" s="159"/>
      <c r="O41" s="160"/>
      <c r="P41" s="158"/>
      <c r="Q41" s="158"/>
      <c r="R41" s="158"/>
      <c r="S41" s="213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5"/>
      <c r="AX41" s="216"/>
      <c r="AY41" s="216"/>
      <c r="AZ41" s="216"/>
      <c r="BA41" s="216"/>
      <c r="BB41" s="216"/>
      <c r="BC41" s="217"/>
      <c r="BD41" s="218"/>
      <c r="BE41" s="216"/>
      <c r="BF41" s="216"/>
      <c r="BG41" s="216"/>
      <c r="BH41" s="216"/>
      <c r="BI41" s="216"/>
      <c r="BJ41" s="217"/>
      <c r="BK41" s="189"/>
    </row>
    <row r="42" spans="1:63" ht="15" customHeight="1" x14ac:dyDescent="0.25">
      <c r="A42" s="188"/>
      <c r="B42" s="170"/>
      <c r="C42" s="171"/>
      <c r="D42" s="171"/>
      <c r="E42" s="171"/>
      <c r="F42" s="171"/>
      <c r="G42" s="172"/>
      <c r="H42" s="170"/>
      <c r="I42" s="171"/>
      <c r="J42" s="171"/>
      <c r="K42" s="171"/>
      <c r="L42" s="171"/>
      <c r="M42" s="171"/>
      <c r="N42" s="172"/>
      <c r="O42" s="170"/>
      <c r="P42" s="171"/>
      <c r="Q42" s="171"/>
      <c r="R42" s="171"/>
      <c r="S42" s="219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1"/>
      <c r="AX42" s="222"/>
      <c r="AY42" s="222"/>
      <c r="AZ42" s="222"/>
      <c r="BA42" s="222"/>
      <c r="BB42" s="222"/>
      <c r="BC42" s="223"/>
      <c r="BD42" s="224"/>
      <c r="BE42" s="222"/>
      <c r="BF42" s="222"/>
      <c r="BG42" s="222"/>
      <c r="BH42" s="222"/>
      <c r="BI42" s="222"/>
      <c r="BJ42" s="223"/>
      <c r="BK42" s="189"/>
    </row>
    <row r="43" spans="1:63" ht="15" customHeight="1" x14ac:dyDescent="0.25">
      <c r="A43" s="188"/>
      <c r="B43" s="160"/>
      <c r="C43" s="158"/>
      <c r="D43" s="158"/>
      <c r="E43" s="158"/>
      <c r="F43" s="158"/>
      <c r="G43" s="159"/>
      <c r="H43" s="160"/>
      <c r="I43" s="158"/>
      <c r="J43" s="158"/>
      <c r="K43" s="158"/>
      <c r="L43" s="158"/>
      <c r="M43" s="158"/>
      <c r="N43" s="159"/>
      <c r="O43" s="160"/>
      <c r="P43" s="158"/>
      <c r="Q43" s="158"/>
      <c r="R43" s="158"/>
      <c r="S43" s="213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214"/>
      <c r="AW43" s="215"/>
      <c r="AX43" s="216"/>
      <c r="AY43" s="216"/>
      <c r="AZ43" s="216"/>
      <c r="BA43" s="216"/>
      <c r="BB43" s="216"/>
      <c r="BC43" s="217"/>
      <c r="BD43" s="218"/>
      <c r="BE43" s="216"/>
      <c r="BF43" s="216"/>
      <c r="BG43" s="216"/>
      <c r="BH43" s="216"/>
      <c r="BI43" s="216"/>
      <c r="BJ43" s="217"/>
      <c r="BK43" s="189"/>
    </row>
    <row r="44" spans="1:63" ht="15" customHeight="1" x14ac:dyDescent="0.25">
      <c r="A44" s="188"/>
      <c r="B44" s="170"/>
      <c r="C44" s="171"/>
      <c r="D44" s="171"/>
      <c r="E44" s="171"/>
      <c r="F44" s="171"/>
      <c r="G44" s="172"/>
      <c r="H44" s="170"/>
      <c r="I44" s="171"/>
      <c r="J44" s="171"/>
      <c r="K44" s="171"/>
      <c r="L44" s="171"/>
      <c r="M44" s="171"/>
      <c r="N44" s="172"/>
      <c r="O44" s="170"/>
      <c r="P44" s="171"/>
      <c r="Q44" s="171"/>
      <c r="R44" s="171"/>
      <c r="S44" s="219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1"/>
      <c r="AX44" s="222"/>
      <c r="AY44" s="222"/>
      <c r="AZ44" s="222"/>
      <c r="BA44" s="222"/>
      <c r="BB44" s="222"/>
      <c r="BC44" s="223"/>
      <c r="BD44" s="224"/>
      <c r="BE44" s="222"/>
      <c r="BF44" s="222"/>
      <c r="BG44" s="222"/>
      <c r="BH44" s="222"/>
      <c r="BI44" s="222"/>
      <c r="BJ44" s="223"/>
      <c r="BK44" s="189"/>
    </row>
    <row r="45" spans="1:63" ht="15" customHeight="1" x14ac:dyDescent="0.25">
      <c r="A45" s="188"/>
      <c r="B45" s="160"/>
      <c r="C45" s="158"/>
      <c r="D45" s="158"/>
      <c r="E45" s="158"/>
      <c r="F45" s="158"/>
      <c r="G45" s="159"/>
      <c r="H45" s="160"/>
      <c r="I45" s="158"/>
      <c r="J45" s="158"/>
      <c r="K45" s="158"/>
      <c r="L45" s="158"/>
      <c r="M45" s="158"/>
      <c r="N45" s="159"/>
      <c r="O45" s="160"/>
      <c r="P45" s="158"/>
      <c r="Q45" s="158"/>
      <c r="R45" s="158"/>
      <c r="S45" s="213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214"/>
      <c r="AR45" s="214"/>
      <c r="AS45" s="214"/>
      <c r="AT45" s="214"/>
      <c r="AU45" s="214"/>
      <c r="AV45" s="214"/>
      <c r="AW45" s="215"/>
      <c r="AX45" s="216"/>
      <c r="AY45" s="216"/>
      <c r="AZ45" s="216"/>
      <c r="BA45" s="216"/>
      <c r="BB45" s="216"/>
      <c r="BC45" s="217"/>
      <c r="BD45" s="218"/>
      <c r="BE45" s="216"/>
      <c r="BF45" s="216"/>
      <c r="BG45" s="216"/>
      <c r="BH45" s="216"/>
      <c r="BI45" s="216"/>
      <c r="BJ45" s="217"/>
      <c r="BK45" s="189"/>
    </row>
    <row r="46" spans="1:63" ht="15" customHeight="1" x14ac:dyDescent="0.25">
      <c r="A46" s="188"/>
      <c r="B46" s="170"/>
      <c r="C46" s="171"/>
      <c r="D46" s="171"/>
      <c r="E46" s="171"/>
      <c r="F46" s="171"/>
      <c r="G46" s="172"/>
      <c r="H46" s="170"/>
      <c r="I46" s="171"/>
      <c r="J46" s="171"/>
      <c r="K46" s="171"/>
      <c r="L46" s="171"/>
      <c r="M46" s="171"/>
      <c r="N46" s="172"/>
      <c r="O46" s="170"/>
      <c r="P46" s="171"/>
      <c r="Q46" s="171"/>
      <c r="R46" s="171"/>
      <c r="S46" s="219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1"/>
      <c r="AX46" s="222"/>
      <c r="AY46" s="222"/>
      <c r="AZ46" s="222"/>
      <c r="BA46" s="222"/>
      <c r="BB46" s="222"/>
      <c r="BC46" s="223"/>
      <c r="BD46" s="224"/>
      <c r="BE46" s="222"/>
      <c r="BF46" s="222"/>
      <c r="BG46" s="222"/>
      <c r="BH46" s="222"/>
      <c r="BI46" s="222"/>
      <c r="BJ46" s="223"/>
      <c r="BK46" s="189"/>
    </row>
    <row r="47" spans="1:63" ht="15" customHeight="1" x14ac:dyDescent="0.25">
      <c r="A47" s="188"/>
      <c r="B47" s="160"/>
      <c r="C47" s="158"/>
      <c r="D47" s="158"/>
      <c r="E47" s="158"/>
      <c r="F47" s="158"/>
      <c r="G47" s="159"/>
      <c r="H47" s="160"/>
      <c r="I47" s="158"/>
      <c r="J47" s="158"/>
      <c r="K47" s="158"/>
      <c r="L47" s="158"/>
      <c r="M47" s="158"/>
      <c r="N47" s="159"/>
      <c r="O47" s="160"/>
      <c r="P47" s="158"/>
      <c r="Q47" s="158"/>
      <c r="R47" s="158"/>
      <c r="S47" s="213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  <c r="AH47" s="214"/>
      <c r="AI47" s="214"/>
      <c r="AJ47" s="214"/>
      <c r="AK47" s="214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214"/>
      <c r="AW47" s="215"/>
      <c r="AX47" s="216"/>
      <c r="AY47" s="216"/>
      <c r="AZ47" s="216"/>
      <c r="BA47" s="216"/>
      <c r="BB47" s="216"/>
      <c r="BC47" s="217"/>
      <c r="BD47" s="218"/>
      <c r="BE47" s="216"/>
      <c r="BF47" s="216"/>
      <c r="BG47" s="216"/>
      <c r="BH47" s="216"/>
      <c r="BI47" s="216"/>
      <c r="BJ47" s="217"/>
      <c r="BK47" s="189"/>
    </row>
    <row r="48" spans="1:63" ht="15" customHeight="1" x14ac:dyDescent="0.25">
      <c r="A48" s="188"/>
      <c r="B48" s="170"/>
      <c r="C48" s="171"/>
      <c r="D48" s="171"/>
      <c r="E48" s="171"/>
      <c r="F48" s="171"/>
      <c r="G48" s="172"/>
      <c r="H48" s="170"/>
      <c r="I48" s="171"/>
      <c r="J48" s="171"/>
      <c r="K48" s="171"/>
      <c r="L48" s="171"/>
      <c r="M48" s="171"/>
      <c r="N48" s="172"/>
      <c r="O48" s="170"/>
      <c r="P48" s="171"/>
      <c r="Q48" s="171"/>
      <c r="R48" s="171"/>
      <c r="S48" s="219"/>
      <c r="T48" s="220"/>
      <c r="U48" s="220"/>
      <c r="V48" s="220"/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0"/>
      <c r="AJ48" s="220"/>
      <c r="AK48" s="220"/>
      <c r="AL48" s="220"/>
      <c r="AM48" s="220"/>
      <c r="AN48" s="220"/>
      <c r="AO48" s="220"/>
      <c r="AP48" s="220"/>
      <c r="AQ48" s="220"/>
      <c r="AR48" s="220"/>
      <c r="AS48" s="220"/>
      <c r="AT48" s="220"/>
      <c r="AU48" s="220"/>
      <c r="AV48" s="220"/>
      <c r="AW48" s="221"/>
      <c r="AX48" s="222"/>
      <c r="AY48" s="222"/>
      <c r="AZ48" s="222"/>
      <c r="BA48" s="222"/>
      <c r="BB48" s="222"/>
      <c r="BC48" s="223"/>
      <c r="BD48" s="224"/>
      <c r="BE48" s="222"/>
      <c r="BF48" s="222"/>
      <c r="BG48" s="222"/>
      <c r="BH48" s="222"/>
      <c r="BI48" s="222"/>
      <c r="BJ48" s="223"/>
      <c r="BK48" s="189"/>
    </row>
    <row r="49" spans="1:63" ht="15" customHeight="1" x14ac:dyDescent="0.25">
      <c r="A49" s="188"/>
      <c r="B49" s="160"/>
      <c r="C49" s="158"/>
      <c r="D49" s="158"/>
      <c r="E49" s="158"/>
      <c r="F49" s="158"/>
      <c r="G49" s="159"/>
      <c r="H49" s="160"/>
      <c r="I49" s="158"/>
      <c r="J49" s="158"/>
      <c r="K49" s="158"/>
      <c r="L49" s="158"/>
      <c r="M49" s="158"/>
      <c r="N49" s="159"/>
      <c r="O49" s="160"/>
      <c r="P49" s="158"/>
      <c r="Q49" s="158"/>
      <c r="R49" s="158"/>
      <c r="S49" s="213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4"/>
      <c r="AU49" s="214"/>
      <c r="AV49" s="214"/>
      <c r="AW49" s="215"/>
      <c r="AX49" s="216"/>
      <c r="AY49" s="216"/>
      <c r="AZ49" s="216"/>
      <c r="BA49" s="216"/>
      <c r="BB49" s="216"/>
      <c r="BC49" s="217"/>
      <c r="BD49" s="218"/>
      <c r="BE49" s="216"/>
      <c r="BF49" s="216"/>
      <c r="BG49" s="216"/>
      <c r="BH49" s="216"/>
      <c r="BI49" s="216"/>
      <c r="BJ49" s="217"/>
      <c r="BK49" s="189"/>
    </row>
    <row r="50" spans="1:63" ht="15" customHeight="1" x14ac:dyDescent="0.25">
      <c r="A50" s="188"/>
      <c r="B50" s="170"/>
      <c r="C50" s="171"/>
      <c r="D50" s="171"/>
      <c r="E50" s="171"/>
      <c r="F50" s="171"/>
      <c r="G50" s="172"/>
      <c r="H50" s="170"/>
      <c r="I50" s="171"/>
      <c r="J50" s="171"/>
      <c r="K50" s="171"/>
      <c r="L50" s="171"/>
      <c r="M50" s="171"/>
      <c r="N50" s="172"/>
      <c r="O50" s="170"/>
      <c r="P50" s="171"/>
      <c r="Q50" s="171"/>
      <c r="R50" s="171"/>
      <c r="S50" s="219"/>
      <c r="T50" s="220"/>
      <c r="U50" s="220"/>
      <c r="V50" s="220"/>
      <c r="W50" s="220"/>
      <c r="X50" s="220"/>
      <c r="Y50" s="220"/>
      <c r="Z50" s="220"/>
      <c r="AA50" s="220"/>
      <c r="AB50" s="220"/>
      <c r="AC50" s="220"/>
      <c r="AD50" s="220"/>
      <c r="AE50" s="220"/>
      <c r="AF50" s="220"/>
      <c r="AG50" s="220"/>
      <c r="AH50" s="220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  <c r="AS50" s="220"/>
      <c r="AT50" s="220"/>
      <c r="AU50" s="220"/>
      <c r="AV50" s="220"/>
      <c r="AW50" s="221"/>
      <c r="AX50" s="222"/>
      <c r="AY50" s="222"/>
      <c r="AZ50" s="222"/>
      <c r="BA50" s="222"/>
      <c r="BB50" s="222"/>
      <c r="BC50" s="223"/>
      <c r="BD50" s="224"/>
      <c r="BE50" s="222"/>
      <c r="BF50" s="222"/>
      <c r="BG50" s="222"/>
      <c r="BH50" s="222"/>
      <c r="BI50" s="222"/>
      <c r="BJ50" s="223"/>
      <c r="BK50" s="189"/>
    </row>
    <row r="51" spans="1:63" ht="15" customHeight="1" x14ac:dyDescent="0.25">
      <c r="A51" s="188"/>
      <c r="B51" s="160"/>
      <c r="C51" s="158"/>
      <c r="D51" s="158"/>
      <c r="E51" s="158"/>
      <c r="F51" s="158"/>
      <c r="G51" s="159"/>
      <c r="H51" s="160"/>
      <c r="I51" s="158"/>
      <c r="J51" s="158"/>
      <c r="K51" s="158"/>
      <c r="L51" s="158"/>
      <c r="M51" s="158"/>
      <c r="N51" s="159"/>
      <c r="O51" s="160"/>
      <c r="P51" s="158"/>
      <c r="Q51" s="158"/>
      <c r="R51" s="158"/>
      <c r="S51" s="213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5"/>
      <c r="AX51" s="216"/>
      <c r="AY51" s="216"/>
      <c r="AZ51" s="216"/>
      <c r="BA51" s="216"/>
      <c r="BB51" s="216"/>
      <c r="BC51" s="217"/>
      <c r="BD51" s="218"/>
      <c r="BE51" s="216"/>
      <c r="BF51" s="216"/>
      <c r="BG51" s="216"/>
      <c r="BH51" s="216"/>
      <c r="BI51" s="216"/>
      <c r="BJ51" s="217"/>
      <c r="BK51" s="189"/>
    </row>
    <row r="52" spans="1:63" ht="15" customHeight="1" x14ac:dyDescent="0.25">
      <c r="A52" s="188"/>
      <c r="B52" s="170"/>
      <c r="C52" s="171"/>
      <c r="D52" s="171"/>
      <c r="E52" s="171"/>
      <c r="F52" s="171"/>
      <c r="G52" s="172"/>
      <c r="H52" s="170"/>
      <c r="I52" s="171"/>
      <c r="J52" s="171"/>
      <c r="K52" s="171"/>
      <c r="L52" s="171"/>
      <c r="M52" s="171"/>
      <c r="N52" s="172"/>
      <c r="O52" s="170"/>
      <c r="P52" s="171"/>
      <c r="Q52" s="171"/>
      <c r="R52" s="171"/>
      <c r="S52" s="219"/>
      <c r="T52" s="220"/>
      <c r="U52" s="220"/>
      <c r="V52" s="220"/>
      <c r="W52" s="220"/>
      <c r="X52" s="220"/>
      <c r="Y52" s="220"/>
      <c r="Z52" s="220"/>
      <c r="AA52" s="220"/>
      <c r="AB52" s="220"/>
      <c r="AC52" s="220"/>
      <c r="AD52" s="220"/>
      <c r="AE52" s="220"/>
      <c r="AF52" s="220"/>
      <c r="AG52" s="220"/>
      <c r="AH52" s="220"/>
      <c r="AI52" s="220"/>
      <c r="AJ52" s="220"/>
      <c r="AK52" s="220"/>
      <c r="AL52" s="220"/>
      <c r="AM52" s="220"/>
      <c r="AN52" s="220"/>
      <c r="AO52" s="220"/>
      <c r="AP52" s="220"/>
      <c r="AQ52" s="220"/>
      <c r="AR52" s="220"/>
      <c r="AS52" s="220"/>
      <c r="AT52" s="220"/>
      <c r="AU52" s="220"/>
      <c r="AV52" s="220"/>
      <c r="AW52" s="221"/>
      <c r="AX52" s="222"/>
      <c r="AY52" s="222"/>
      <c r="AZ52" s="222"/>
      <c r="BA52" s="222"/>
      <c r="BB52" s="222"/>
      <c r="BC52" s="223"/>
      <c r="BD52" s="224"/>
      <c r="BE52" s="222"/>
      <c r="BF52" s="222"/>
      <c r="BG52" s="222"/>
      <c r="BH52" s="222"/>
      <c r="BI52" s="222"/>
      <c r="BJ52" s="223"/>
      <c r="BK52" s="189"/>
    </row>
    <row r="53" spans="1:63" ht="15" customHeight="1" x14ac:dyDescent="0.25">
      <c r="A53" s="188"/>
      <c r="B53" s="160"/>
      <c r="C53" s="158"/>
      <c r="D53" s="158"/>
      <c r="E53" s="158"/>
      <c r="F53" s="158"/>
      <c r="G53" s="159"/>
      <c r="H53" s="160"/>
      <c r="I53" s="158"/>
      <c r="J53" s="158"/>
      <c r="K53" s="158"/>
      <c r="L53" s="158"/>
      <c r="M53" s="158"/>
      <c r="N53" s="159"/>
      <c r="O53" s="160"/>
      <c r="P53" s="158"/>
      <c r="Q53" s="158"/>
      <c r="R53" s="158"/>
      <c r="S53" s="213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5"/>
      <c r="AX53" s="216"/>
      <c r="AY53" s="216"/>
      <c r="AZ53" s="216"/>
      <c r="BA53" s="216"/>
      <c r="BB53" s="216"/>
      <c r="BC53" s="217"/>
      <c r="BD53" s="218"/>
      <c r="BE53" s="216"/>
      <c r="BF53" s="216"/>
      <c r="BG53" s="216"/>
      <c r="BH53" s="216"/>
      <c r="BI53" s="216"/>
      <c r="BJ53" s="217"/>
      <c r="BK53" s="189"/>
    </row>
    <row r="54" spans="1:63" ht="15" customHeight="1" x14ac:dyDescent="0.25">
      <c r="A54" s="188"/>
      <c r="B54" s="170"/>
      <c r="C54" s="171"/>
      <c r="D54" s="171"/>
      <c r="E54" s="171"/>
      <c r="F54" s="171"/>
      <c r="G54" s="172"/>
      <c r="H54" s="170"/>
      <c r="I54" s="171"/>
      <c r="J54" s="171"/>
      <c r="K54" s="171"/>
      <c r="L54" s="171"/>
      <c r="M54" s="171"/>
      <c r="N54" s="172"/>
      <c r="O54" s="170"/>
      <c r="P54" s="171"/>
      <c r="Q54" s="171"/>
      <c r="R54" s="171"/>
      <c r="S54" s="219"/>
      <c r="T54" s="220"/>
      <c r="U54" s="220"/>
      <c r="V54" s="220"/>
      <c r="W54" s="220"/>
      <c r="X54" s="220"/>
      <c r="Y54" s="220"/>
      <c r="Z54" s="220"/>
      <c r="AA54" s="220"/>
      <c r="AB54" s="220"/>
      <c r="AC54" s="220"/>
      <c r="AD54" s="220"/>
      <c r="AE54" s="220"/>
      <c r="AF54" s="220"/>
      <c r="AG54" s="220"/>
      <c r="AH54" s="220"/>
      <c r="AI54" s="220"/>
      <c r="AJ54" s="220"/>
      <c r="AK54" s="220"/>
      <c r="AL54" s="220"/>
      <c r="AM54" s="220"/>
      <c r="AN54" s="220"/>
      <c r="AO54" s="220"/>
      <c r="AP54" s="220"/>
      <c r="AQ54" s="220"/>
      <c r="AR54" s="220"/>
      <c r="AS54" s="220"/>
      <c r="AT54" s="220"/>
      <c r="AU54" s="220"/>
      <c r="AV54" s="220"/>
      <c r="AW54" s="221"/>
      <c r="AX54" s="222"/>
      <c r="AY54" s="222"/>
      <c r="AZ54" s="222"/>
      <c r="BA54" s="222"/>
      <c r="BB54" s="222"/>
      <c r="BC54" s="223"/>
      <c r="BD54" s="224"/>
      <c r="BE54" s="222"/>
      <c r="BF54" s="222"/>
      <c r="BG54" s="222"/>
      <c r="BH54" s="222"/>
      <c r="BI54" s="222"/>
      <c r="BJ54" s="223"/>
      <c r="BK54" s="189"/>
    </row>
    <row r="55" spans="1:63" ht="15" customHeight="1" x14ac:dyDescent="0.25">
      <c r="A55" s="185"/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86"/>
      <c r="AC55" s="186"/>
      <c r="AD55" s="186"/>
      <c r="AE55" s="186"/>
      <c r="AF55" s="186"/>
      <c r="AG55" s="186"/>
      <c r="AH55" s="186"/>
      <c r="AI55" s="186"/>
      <c r="AJ55" s="186"/>
      <c r="AK55" s="186"/>
      <c r="AL55" s="186"/>
      <c r="AM55" s="186"/>
      <c r="AN55" s="186"/>
      <c r="AO55" s="186"/>
      <c r="AP55" s="186"/>
      <c r="AQ55" s="186"/>
      <c r="AR55" s="186"/>
      <c r="AS55" s="186"/>
      <c r="AT55" s="186"/>
      <c r="AU55" s="186"/>
      <c r="AV55" s="186"/>
      <c r="AW55" s="186"/>
      <c r="AX55" s="186"/>
      <c r="AY55" s="186"/>
      <c r="AZ55" s="186"/>
      <c r="BA55" s="186"/>
      <c r="BB55" s="186"/>
      <c r="BC55" s="186"/>
      <c r="BD55" s="186"/>
      <c r="BE55" s="186"/>
      <c r="BF55" s="186"/>
      <c r="BG55" s="186"/>
      <c r="BH55" s="186"/>
      <c r="BI55" s="186"/>
      <c r="BJ55" s="186"/>
      <c r="BK55" s="18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4" t="s">
        <v>93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94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257" t="s">
        <v>91</v>
      </c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9"/>
      <c r="AP1" s="151" t="s">
        <v>95</v>
      </c>
      <c r="AQ1" s="152"/>
      <c r="AR1" s="152"/>
      <c r="AS1" s="153"/>
      <c r="AT1" s="151" t="s">
        <v>96</v>
      </c>
      <c r="AU1" s="152"/>
      <c r="AV1" s="152"/>
      <c r="AW1" s="152"/>
      <c r="AX1" s="153"/>
      <c r="AY1" s="151" t="s">
        <v>97</v>
      </c>
      <c r="AZ1" s="152"/>
      <c r="BA1" s="152"/>
      <c r="BB1" s="153"/>
      <c r="BC1" s="151" t="s">
        <v>98</v>
      </c>
      <c r="BD1" s="152"/>
      <c r="BE1" s="152"/>
      <c r="BF1" s="152"/>
      <c r="BG1" s="153"/>
      <c r="BH1" s="151" t="s">
        <v>99</v>
      </c>
      <c r="BI1" s="152"/>
      <c r="BJ1" s="152"/>
      <c r="BK1" s="153"/>
    </row>
    <row r="2" spans="1:63" ht="15" customHeight="1" x14ac:dyDescent="0.25">
      <c r="A2" s="68" t="s">
        <v>90</v>
      </c>
      <c r="B2" s="69"/>
      <c r="C2" s="69"/>
      <c r="D2" s="69"/>
      <c r="E2" s="69"/>
      <c r="F2" s="69"/>
      <c r="G2" s="69"/>
      <c r="H2" s="69"/>
      <c r="I2" s="69"/>
      <c r="J2" s="70"/>
      <c r="K2" s="68" t="s">
        <v>90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260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2"/>
      <c r="AP2" s="160" t="s">
        <v>88</v>
      </c>
      <c r="AQ2" s="158"/>
      <c r="AR2" s="158"/>
      <c r="AS2" s="159"/>
      <c r="AT2" s="164">
        <v>45750</v>
      </c>
      <c r="AU2" s="165"/>
      <c r="AV2" s="165"/>
      <c r="AW2" s="165"/>
      <c r="AX2" s="166"/>
      <c r="AY2" s="160" t="s">
        <v>88</v>
      </c>
      <c r="AZ2" s="158"/>
      <c r="BA2" s="158"/>
      <c r="BB2" s="159"/>
      <c r="BC2" s="164">
        <v>45750</v>
      </c>
      <c r="BD2" s="165"/>
      <c r="BE2" s="165"/>
      <c r="BF2" s="165"/>
      <c r="BG2" s="166"/>
      <c r="BH2" s="160">
        <v>0.1</v>
      </c>
      <c r="BI2" s="158"/>
      <c r="BJ2" s="158"/>
      <c r="BK2" s="159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263"/>
      <c r="X3" s="264"/>
      <c r="Y3" s="264"/>
      <c r="Z3" s="264"/>
      <c r="AA3" s="264"/>
      <c r="AB3" s="264"/>
      <c r="AC3" s="264"/>
      <c r="AD3" s="264"/>
      <c r="AE3" s="264"/>
      <c r="AF3" s="264"/>
      <c r="AG3" s="264"/>
      <c r="AH3" s="264"/>
      <c r="AI3" s="264"/>
      <c r="AJ3" s="264"/>
      <c r="AK3" s="264"/>
      <c r="AL3" s="264"/>
      <c r="AM3" s="264"/>
      <c r="AN3" s="264"/>
      <c r="AO3" s="265"/>
      <c r="AP3" s="170"/>
      <c r="AQ3" s="171"/>
      <c r="AR3" s="171"/>
      <c r="AS3" s="172"/>
      <c r="AT3" s="176"/>
      <c r="AU3" s="177"/>
      <c r="AV3" s="177"/>
      <c r="AW3" s="177"/>
      <c r="AX3" s="178"/>
      <c r="AY3" s="170"/>
      <c r="AZ3" s="171"/>
      <c r="BA3" s="171"/>
      <c r="BB3" s="172"/>
      <c r="BC3" s="176"/>
      <c r="BD3" s="177"/>
      <c r="BE3" s="177"/>
      <c r="BF3" s="177"/>
      <c r="BG3" s="178"/>
      <c r="BH3" s="170"/>
      <c r="BI3" s="171"/>
      <c r="BJ3" s="171"/>
      <c r="BK3" s="172"/>
    </row>
    <row r="4" spans="1:63" ht="24.95" customHeight="1" x14ac:dyDescent="0.25">
      <c r="A4" s="254" t="s">
        <v>100</v>
      </c>
      <c r="B4" s="255"/>
      <c r="C4" s="255"/>
      <c r="D4" s="255"/>
      <c r="E4" s="255"/>
      <c r="F4" s="255"/>
      <c r="G4" s="256"/>
      <c r="H4" s="64" t="s">
        <v>89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254" t="s">
        <v>101</v>
      </c>
      <c r="V4" s="255"/>
      <c r="W4" s="255"/>
      <c r="X4" s="255"/>
      <c r="Y4" s="256"/>
      <c r="Z4" s="64" t="s">
        <v>92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処理フロー凡例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57" customFormat="1" ht="15" customHeight="1" x14ac:dyDescent="0.25">
      <c r="A7" s="266"/>
      <c r="B7" s="267" t="s">
        <v>106</v>
      </c>
      <c r="C7" s="268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  <c r="X7" s="268"/>
      <c r="Y7" s="268"/>
      <c r="Z7" s="268"/>
      <c r="AA7" s="268"/>
      <c r="AB7" s="268"/>
      <c r="AC7" s="268"/>
      <c r="AD7" s="268"/>
      <c r="AE7" s="269"/>
      <c r="AF7" s="270"/>
      <c r="AG7" s="268"/>
      <c r="AH7" s="268"/>
      <c r="AI7" s="268"/>
      <c r="AJ7" s="268"/>
      <c r="AK7" s="268"/>
      <c r="AL7" s="268"/>
      <c r="AM7" s="268"/>
      <c r="AN7" s="268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68"/>
      <c r="BE7" s="268"/>
      <c r="BF7" s="268"/>
      <c r="BG7" s="268"/>
      <c r="BH7" s="268"/>
      <c r="BI7" s="269"/>
      <c r="BJ7" s="268"/>
      <c r="BK7" s="271"/>
    </row>
    <row r="8" spans="1:63" s="272" customFormat="1" ht="15" customHeight="1" x14ac:dyDescent="0.25">
      <c r="BK8" s="271"/>
    </row>
    <row r="9" spans="1:63" s="272" customFormat="1" ht="15" customHeight="1" x14ac:dyDescent="0.25">
      <c r="BK9" s="271"/>
    </row>
    <row r="10" spans="1:63" s="272" customFormat="1" ht="15" customHeight="1" x14ac:dyDescent="0.25">
      <c r="BK10" s="271"/>
    </row>
    <row r="11" spans="1:63" s="272" customFormat="1" ht="15" customHeight="1" x14ac:dyDescent="0.25">
      <c r="BK11" s="271"/>
    </row>
    <row r="12" spans="1:63" s="272" customFormat="1" ht="15" customHeight="1" x14ac:dyDescent="0.25">
      <c r="BK12" s="271"/>
    </row>
    <row r="13" spans="1:63" s="272" customFormat="1" ht="15" customHeight="1" x14ac:dyDescent="0.25">
      <c r="BK13" s="271"/>
    </row>
    <row r="14" spans="1:63" s="272" customFormat="1" ht="15" customHeight="1" x14ac:dyDescent="0.25">
      <c r="BK14" s="271"/>
    </row>
    <row r="15" spans="1:63" s="272" customFormat="1" ht="15" customHeight="1" x14ac:dyDescent="0.25">
      <c r="BK15" s="271"/>
    </row>
    <row r="16" spans="1:63" s="272" customFormat="1" ht="15" customHeight="1" x14ac:dyDescent="0.25">
      <c r="BK16" s="271"/>
    </row>
    <row r="17" spans="63:63" s="272" customFormat="1" ht="15" customHeight="1" x14ac:dyDescent="0.25">
      <c r="BK17" s="271"/>
    </row>
    <row r="18" spans="63:63" s="272" customFormat="1" ht="15" customHeight="1" x14ac:dyDescent="0.25">
      <c r="BK18" s="271"/>
    </row>
    <row r="19" spans="63:63" s="272" customFormat="1" ht="15" customHeight="1" x14ac:dyDescent="0.25">
      <c r="BK19" s="271"/>
    </row>
    <row r="20" spans="63:63" s="272" customFormat="1" ht="15" customHeight="1" x14ac:dyDescent="0.25">
      <c r="BK20" s="271"/>
    </row>
    <row r="21" spans="63:63" s="272" customFormat="1" ht="15" customHeight="1" x14ac:dyDescent="0.25">
      <c r="BK21" s="271"/>
    </row>
    <row r="22" spans="63:63" s="272" customFormat="1" ht="15" customHeight="1" x14ac:dyDescent="0.25">
      <c r="BK22" s="271"/>
    </row>
    <row r="23" spans="63:63" s="272" customFormat="1" ht="15" customHeight="1" x14ac:dyDescent="0.25">
      <c r="BK23" s="271"/>
    </row>
    <row r="24" spans="63:63" s="272" customFormat="1" ht="15" customHeight="1" x14ac:dyDescent="0.25">
      <c r="BK24" s="271"/>
    </row>
    <row r="25" spans="63:63" s="272" customFormat="1" ht="15" customHeight="1" x14ac:dyDescent="0.25">
      <c r="BK25" s="271"/>
    </row>
    <row r="26" spans="63:63" s="272" customFormat="1" ht="15" customHeight="1" x14ac:dyDescent="0.25">
      <c r="BK26" s="271"/>
    </row>
    <row r="27" spans="63:63" s="272" customFormat="1" ht="15" customHeight="1" x14ac:dyDescent="0.25">
      <c r="BK27" s="271"/>
    </row>
    <row r="28" spans="63:63" s="272" customFormat="1" ht="15" customHeight="1" x14ac:dyDescent="0.25">
      <c r="BK28" s="271"/>
    </row>
    <row r="29" spans="63:63" s="272" customFormat="1" ht="15" customHeight="1" x14ac:dyDescent="0.25">
      <c r="BK29" s="271"/>
    </row>
    <row r="30" spans="63:63" s="272" customFormat="1" ht="15" customHeight="1" x14ac:dyDescent="0.25">
      <c r="BK30" s="271"/>
    </row>
    <row r="31" spans="63:63" s="272" customFormat="1" ht="15" customHeight="1" x14ac:dyDescent="0.25">
      <c r="BK31" s="271"/>
    </row>
    <row r="32" spans="63:63" s="272" customFormat="1" ht="15" customHeight="1" x14ac:dyDescent="0.25">
      <c r="BK32" s="271"/>
    </row>
    <row r="33" spans="63:63" s="272" customFormat="1" ht="15" customHeight="1" x14ac:dyDescent="0.25">
      <c r="BK33" s="271"/>
    </row>
    <row r="34" spans="63:63" s="272" customFormat="1" ht="15" customHeight="1" x14ac:dyDescent="0.25">
      <c r="BK34" s="271"/>
    </row>
    <row r="35" spans="63:63" s="272" customFormat="1" ht="15" customHeight="1" x14ac:dyDescent="0.25">
      <c r="BK35" s="271"/>
    </row>
    <row r="36" spans="63:63" s="272" customFormat="1" ht="15" customHeight="1" x14ac:dyDescent="0.25">
      <c r="BK36" s="271"/>
    </row>
    <row r="37" spans="63:63" s="272" customFormat="1" ht="15" customHeight="1" x14ac:dyDescent="0.25">
      <c r="BK37" s="271"/>
    </row>
    <row r="38" spans="63:63" s="272" customFormat="1" ht="15" customHeight="1" x14ac:dyDescent="0.25">
      <c r="BK38" s="271"/>
    </row>
    <row r="39" spans="63:63" s="272" customFormat="1" ht="15" customHeight="1" x14ac:dyDescent="0.25">
      <c r="BK39" s="271"/>
    </row>
    <row r="40" spans="63:63" s="272" customFormat="1" ht="15" customHeight="1" x14ac:dyDescent="0.25">
      <c r="BK40" s="271"/>
    </row>
    <row r="41" spans="63:63" s="272" customFormat="1" ht="15" customHeight="1" x14ac:dyDescent="0.25">
      <c r="BK41" s="271"/>
    </row>
    <row r="42" spans="63:63" s="272" customFormat="1" ht="15" customHeight="1" x14ac:dyDescent="0.25">
      <c r="BK42" s="271"/>
    </row>
    <row r="43" spans="63:63" s="272" customFormat="1" ht="15" customHeight="1" x14ac:dyDescent="0.25">
      <c r="BK43" s="271"/>
    </row>
    <row r="44" spans="63:63" s="272" customFormat="1" ht="15" customHeight="1" x14ac:dyDescent="0.25">
      <c r="BK44" s="271"/>
    </row>
    <row r="45" spans="63:63" s="272" customFormat="1" ht="15" customHeight="1" x14ac:dyDescent="0.25">
      <c r="BK45" s="271"/>
    </row>
    <row r="46" spans="63:63" s="272" customFormat="1" ht="15" customHeight="1" x14ac:dyDescent="0.25">
      <c r="BK46" s="271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8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4" t="s">
        <v>107</v>
      </c>
      <c r="B1" s="255"/>
      <c r="C1" s="255"/>
      <c r="D1" s="255"/>
      <c r="E1" s="255"/>
      <c r="F1" s="255"/>
      <c r="G1" s="255"/>
      <c r="H1" s="255"/>
      <c r="I1" s="255"/>
      <c r="J1" s="256"/>
      <c r="K1" s="254" t="s">
        <v>108</v>
      </c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6"/>
      <c r="W1" s="113" t="s">
        <v>91</v>
      </c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5"/>
      <c r="AP1" s="151" t="s">
        <v>109</v>
      </c>
      <c r="AQ1" s="152"/>
      <c r="AR1" s="152"/>
      <c r="AS1" s="153"/>
      <c r="AT1" s="151" t="s">
        <v>110</v>
      </c>
      <c r="AU1" s="152"/>
      <c r="AV1" s="152"/>
      <c r="AW1" s="152"/>
      <c r="AX1" s="153"/>
      <c r="AY1" s="151" t="s">
        <v>111</v>
      </c>
      <c r="AZ1" s="152"/>
      <c r="BA1" s="152"/>
      <c r="BB1" s="153"/>
      <c r="BC1" s="151" t="s">
        <v>112</v>
      </c>
      <c r="BD1" s="152"/>
      <c r="BE1" s="152"/>
      <c r="BF1" s="152"/>
      <c r="BG1" s="153"/>
      <c r="BH1" s="151" t="s">
        <v>113</v>
      </c>
      <c r="BI1" s="152"/>
      <c r="BJ1" s="152"/>
      <c r="BK1" s="153"/>
    </row>
    <row r="2" spans="1:63" ht="15" customHeight="1" x14ac:dyDescent="0.25">
      <c r="A2" s="68" t="s">
        <v>90</v>
      </c>
      <c r="B2" s="69"/>
      <c r="C2" s="69"/>
      <c r="D2" s="69"/>
      <c r="E2" s="69"/>
      <c r="F2" s="69"/>
      <c r="G2" s="69"/>
      <c r="H2" s="69"/>
      <c r="I2" s="69"/>
      <c r="J2" s="70"/>
      <c r="K2" s="68" t="s">
        <v>90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116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8"/>
      <c r="AP2" s="101" t="s">
        <v>88</v>
      </c>
      <c r="AQ2" s="102"/>
      <c r="AR2" s="102"/>
      <c r="AS2" s="103"/>
      <c r="AT2" s="107">
        <v>45750</v>
      </c>
      <c r="AU2" s="108"/>
      <c r="AV2" s="108"/>
      <c r="AW2" s="108"/>
      <c r="AX2" s="109"/>
      <c r="AY2" s="101" t="s">
        <v>88</v>
      </c>
      <c r="AZ2" s="102"/>
      <c r="BA2" s="102"/>
      <c r="BB2" s="103"/>
      <c r="BC2" s="107">
        <v>45750</v>
      </c>
      <c r="BD2" s="108"/>
      <c r="BE2" s="108"/>
      <c r="BF2" s="108"/>
      <c r="BG2" s="109"/>
      <c r="BH2" s="101">
        <v>0.1</v>
      </c>
      <c r="BI2" s="102"/>
      <c r="BJ2" s="102"/>
      <c r="BK2" s="103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119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1"/>
      <c r="AP3" s="104"/>
      <c r="AQ3" s="105"/>
      <c r="AR3" s="105"/>
      <c r="AS3" s="106"/>
      <c r="AT3" s="110"/>
      <c r="AU3" s="111"/>
      <c r="AV3" s="111"/>
      <c r="AW3" s="111"/>
      <c r="AX3" s="112"/>
      <c r="AY3" s="104"/>
      <c r="AZ3" s="105"/>
      <c r="BA3" s="105"/>
      <c r="BB3" s="106"/>
      <c r="BC3" s="110"/>
      <c r="BD3" s="111"/>
      <c r="BE3" s="111"/>
      <c r="BF3" s="111"/>
      <c r="BG3" s="112"/>
      <c r="BH3" s="104"/>
      <c r="BI3" s="105"/>
      <c r="BJ3" s="105"/>
      <c r="BK3" s="106"/>
    </row>
    <row r="4" spans="1:63" ht="24.95" customHeight="1" x14ac:dyDescent="0.25">
      <c r="A4" s="254" t="s">
        <v>114</v>
      </c>
      <c r="B4" s="255"/>
      <c r="C4" s="255"/>
      <c r="D4" s="255"/>
      <c r="E4" s="255"/>
      <c r="F4" s="255"/>
      <c r="G4" s="256"/>
      <c r="H4" s="64" t="s">
        <v>89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254" t="s">
        <v>115</v>
      </c>
      <c r="V4" s="255"/>
      <c r="W4" s="255"/>
      <c r="X4" s="255"/>
      <c r="Y4" s="256"/>
      <c r="Z4" s="64" t="s">
        <v>92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4" t="str">
        <f ca="1">MID(CELL("filename",A1),FIND("]",CELL("filename",A1))+1,255)</f>
        <v>AP8109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32" customFormat="1" ht="15" customHeight="1" x14ac:dyDescent="0.25">
      <c r="A7" s="27"/>
      <c r="B7" s="28" t="s">
        <v>116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30"/>
      <c r="BI7" s="30"/>
      <c r="BJ7" s="30"/>
      <c r="BK7" s="31"/>
    </row>
    <row r="8" spans="1:63" s="32" customFormat="1" ht="15" customHeight="1" x14ac:dyDescent="0.25">
      <c r="A8" s="27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5"/>
      <c r="BI8" s="35"/>
      <c r="BJ8" s="35"/>
      <c r="BK8" s="31"/>
    </row>
    <row r="9" spans="1:63" s="32" customFormat="1" ht="15" customHeight="1" x14ac:dyDescent="0.25">
      <c r="A9" s="27"/>
      <c r="B9" s="33"/>
      <c r="C9" s="34" t="s">
        <v>40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5"/>
      <c r="BI9" s="35"/>
      <c r="BJ9" s="35"/>
      <c r="BK9" s="31"/>
    </row>
    <row r="10" spans="1:63" s="32" customFormat="1" ht="15" customHeight="1" x14ac:dyDescent="0.25">
      <c r="A10" s="27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5"/>
      <c r="BI10" s="35"/>
      <c r="BJ10" s="35"/>
      <c r="BK10" s="31"/>
    </row>
    <row r="11" spans="1:63" s="32" customFormat="1" ht="15" customHeight="1" x14ac:dyDescent="0.25">
      <c r="A11" s="27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5"/>
      <c r="BI11" s="35"/>
      <c r="BJ11" s="35"/>
      <c r="BK11" s="31"/>
    </row>
    <row r="12" spans="1:63" s="32" customFormat="1" ht="15" customHeight="1" x14ac:dyDescent="0.25">
      <c r="A12" s="27"/>
      <c r="B12" s="28" t="s">
        <v>117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30"/>
      <c r="BI12" s="30"/>
      <c r="BJ12" s="30"/>
      <c r="BK12" s="31"/>
    </row>
    <row r="13" spans="1:63" s="32" customFormat="1" ht="15" customHeight="1" x14ac:dyDescent="0.25">
      <c r="A13" s="27"/>
      <c r="B13" s="34"/>
      <c r="C13" s="33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5"/>
      <c r="BI13" s="35"/>
      <c r="BJ13" s="35"/>
      <c r="BK13" s="31"/>
    </row>
    <row r="14" spans="1:63" s="32" customFormat="1" ht="15" customHeight="1" x14ac:dyDescent="0.25">
      <c r="A14" s="27"/>
      <c r="B14" s="34"/>
      <c r="C14" s="33" t="s">
        <v>118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5"/>
      <c r="BI14" s="35"/>
      <c r="BJ14" s="35"/>
      <c r="BK14" s="31"/>
    </row>
    <row r="15" spans="1:63" s="32" customFormat="1" ht="15" customHeight="1" x14ac:dyDescent="0.25">
      <c r="A15" s="27"/>
      <c r="B15" s="34"/>
      <c r="C15" s="33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5"/>
      <c r="BI15" s="35"/>
      <c r="BJ15" s="35"/>
      <c r="BK15" s="31"/>
    </row>
    <row r="16" spans="1:63" s="32" customFormat="1" ht="15" customHeight="1" x14ac:dyDescent="0.25">
      <c r="A16" s="27"/>
      <c r="B16" s="34"/>
      <c r="C16" s="95" t="s">
        <v>13</v>
      </c>
      <c r="D16" s="96"/>
      <c r="E16" s="95" t="s">
        <v>44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6"/>
      <c r="AG16" s="95" t="s">
        <v>45</v>
      </c>
      <c r="AH16" s="97"/>
      <c r="AI16" s="97"/>
      <c r="AJ16" s="97"/>
      <c r="AK16" s="97"/>
      <c r="AL16" s="97"/>
      <c r="AM16" s="97"/>
      <c r="AN16" s="97"/>
      <c r="AO16" s="97"/>
      <c r="AP16" s="96"/>
      <c r="AQ16" s="95" t="s">
        <v>46</v>
      </c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6"/>
      <c r="BK16" s="31"/>
    </row>
    <row r="17" spans="1:63" s="32" customFormat="1" ht="15" customHeight="1" x14ac:dyDescent="0.25">
      <c r="A17" s="27"/>
      <c r="B17" s="34"/>
      <c r="C17" s="89">
        <v>1</v>
      </c>
      <c r="D17" s="91"/>
      <c r="E17" s="98" t="s">
        <v>87</v>
      </c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100"/>
      <c r="AG17" s="89" t="s">
        <v>30</v>
      </c>
      <c r="AH17" s="90"/>
      <c r="AI17" s="90"/>
      <c r="AJ17" s="90"/>
      <c r="AK17" s="90"/>
      <c r="AL17" s="90"/>
      <c r="AM17" s="90"/>
      <c r="AN17" s="90"/>
      <c r="AO17" s="90"/>
      <c r="AP17" s="91"/>
      <c r="AQ17" s="89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1"/>
      <c r="BK17" s="31"/>
    </row>
    <row r="18" spans="1:63" s="32" customFormat="1" ht="15" customHeight="1" x14ac:dyDescent="0.25">
      <c r="A18" s="27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5"/>
      <c r="BI18" s="35"/>
      <c r="BJ18" s="35"/>
      <c r="BK18" s="31"/>
    </row>
    <row r="19" spans="1:63" s="32" customFormat="1" ht="15" customHeight="1" x14ac:dyDescent="0.25">
      <c r="A19" s="27"/>
      <c r="B19" s="34"/>
      <c r="C19" s="33" t="s">
        <v>119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5"/>
      <c r="BI19" s="35"/>
      <c r="BJ19" s="35"/>
      <c r="BK19" s="31"/>
    </row>
    <row r="20" spans="1:63" s="32" customFormat="1" ht="15" customHeight="1" x14ac:dyDescent="0.25">
      <c r="A20" s="27"/>
      <c r="B20" s="34"/>
      <c r="C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5"/>
      <c r="BI20" s="35"/>
      <c r="BJ20" s="35"/>
      <c r="BK20" s="31"/>
    </row>
    <row r="21" spans="1:63" s="32" customFormat="1" ht="15" customHeight="1" x14ac:dyDescent="0.25">
      <c r="A21" s="27"/>
      <c r="B21" s="34"/>
      <c r="C21" s="95" t="s">
        <v>13</v>
      </c>
      <c r="D21" s="96"/>
      <c r="E21" s="95" t="s">
        <v>3</v>
      </c>
      <c r="F21" s="97"/>
      <c r="G21" s="97"/>
      <c r="H21" s="97"/>
      <c r="I21" s="97"/>
      <c r="J21" s="97"/>
      <c r="K21" s="96"/>
      <c r="L21" s="95" t="s">
        <v>47</v>
      </c>
      <c r="M21" s="97"/>
      <c r="N21" s="96"/>
      <c r="O21" s="95" t="s">
        <v>48</v>
      </c>
      <c r="P21" s="97"/>
      <c r="Q21" s="97"/>
      <c r="R21" s="96"/>
      <c r="S21" s="95" t="s">
        <v>49</v>
      </c>
      <c r="T21" s="97"/>
      <c r="U21" s="97"/>
      <c r="V21" s="97"/>
      <c r="W21" s="97"/>
      <c r="X21" s="97"/>
      <c r="Y21" s="96"/>
      <c r="Z21" s="95" t="s">
        <v>15</v>
      </c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6"/>
      <c r="AQ21" s="95" t="s">
        <v>46</v>
      </c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97"/>
      <c r="BF21" s="97"/>
      <c r="BG21" s="97"/>
      <c r="BH21" s="97"/>
      <c r="BI21" s="97"/>
      <c r="BJ21" s="96"/>
      <c r="BK21" s="31"/>
    </row>
    <row r="22" spans="1:63" s="32" customFormat="1" ht="15" customHeight="1" x14ac:dyDescent="0.25">
      <c r="A22" s="27"/>
      <c r="B22" s="34"/>
      <c r="C22" s="89">
        <v>1</v>
      </c>
      <c r="D22" s="91"/>
      <c r="E22" s="89" t="s">
        <v>4</v>
      </c>
      <c r="F22" s="90"/>
      <c r="G22" s="90"/>
      <c r="H22" s="90"/>
      <c r="I22" s="90"/>
      <c r="J22" s="90"/>
      <c r="K22" s="91"/>
      <c r="L22" s="122" t="s">
        <v>5</v>
      </c>
      <c r="M22" s="123"/>
      <c r="N22" s="124"/>
      <c r="O22" s="89" t="s">
        <v>6</v>
      </c>
      <c r="P22" s="90"/>
      <c r="Q22" s="90"/>
      <c r="R22" s="91"/>
      <c r="S22" s="89" t="s">
        <v>7</v>
      </c>
      <c r="T22" s="90"/>
      <c r="U22" s="90"/>
      <c r="V22" s="90"/>
      <c r="W22" s="90"/>
      <c r="X22" s="90"/>
      <c r="Y22" s="91"/>
      <c r="Z22" s="89" t="s">
        <v>8</v>
      </c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8" t="s">
        <v>120</v>
      </c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100"/>
      <c r="BK22" s="31"/>
    </row>
    <row r="23" spans="1:63" s="32" customFormat="1" ht="15" customHeight="1" x14ac:dyDescent="0.25">
      <c r="A23" s="27"/>
      <c r="B23" s="34"/>
      <c r="C23" s="89">
        <v>2</v>
      </c>
      <c r="D23" s="91"/>
      <c r="E23" s="89" t="s">
        <v>9</v>
      </c>
      <c r="F23" s="90"/>
      <c r="G23" s="90"/>
      <c r="H23" s="90"/>
      <c r="I23" s="90"/>
      <c r="J23" s="90"/>
      <c r="K23" s="91"/>
      <c r="L23" s="122" t="s">
        <v>7</v>
      </c>
      <c r="M23" s="123"/>
      <c r="N23" s="124"/>
      <c r="O23" s="89" t="s">
        <v>6</v>
      </c>
      <c r="P23" s="90"/>
      <c r="Q23" s="90"/>
      <c r="R23" s="91"/>
      <c r="S23" s="89" t="s">
        <v>7</v>
      </c>
      <c r="T23" s="90"/>
      <c r="U23" s="90"/>
      <c r="V23" s="90"/>
      <c r="W23" s="90"/>
      <c r="X23" s="90"/>
      <c r="Y23" s="91"/>
      <c r="Z23" s="89" t="s">
        <v>9</v>
      </c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100"/>
      <c r="BK23" s="31"/>
    </row>
    <row r="24" spans="1:63" s="32" customFormat="1" ht="15" customHeight="1" x14ac:dyDescent="0.25">
      <c r="A24" s="27"/>
      <c r="B24" s="34"/>
      <c r="C24" s="131">
        <v>3</v>
      </c>
      <c r="D24" s="132"/>
      <c r="E24" s="131" t="s">
        <v>10</v>
      </c>
      <c r="F24" s="133"/>
      <c r="G24" s="133"/>
      <c r="H24" s="133"/>
      <c r="I24" s="133"/>
      <c r="J24" s="133"/>
      <c r="K24" s="132"/>
      <c r="L24" s="134" t="s">
        <v>5</v>
      </c>
      <c r="M24" s="135"/>
      <c r="N24" s="136"/>
      <c r="O24" s="137" t="s">
        <v>6</v>
      </c>
      <c r="P24" s="138"/>
      <c r="Q24" s="138"/>
      <c r="R24" s="139"/>
      <c r="S24" s="137" t="s">
        <v>29</v>
      </c>
      <c r="T24" s="138"/>
      <c r="U24" s="138"/>
      <c r="V24" s="138"/>
      <c r="W24" s="138"/>
      <c r="X24" s="138"/>
      <c r="Y24" s="139"/>
      <c r="Z24" s="140" t="s">
        <v>29</v>
      </c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2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50"/>
      <c r="BK24" s="31"/>
    </row>
    <row r="25" spans="1:63" s="32" customFormat="1" ht="15" customHeight="1" x14ac:dyDescent="0.25">
      <c r="A25" s="27"/>
      <c r="B25" s="34"/>
      <c r="C25" s="89">
        <v>4</v>
      </c>
      <c r="D25" s="91"/>
      <c r="E25" s="89" t="s">
        <v>11</v>
      </c>
      <c r="F25" s="90"/>
      <c r="G25" s="90"/>
      <c r="H25" s="90"/>
      <c r="I25" s="90"/>
      <c r="J25" s="90"/>
      <c r="K25" s="91"/>
      <c r="L25" s="122" t="s">
        <v>7</v>
      </c>
      <c r="M25" s="123"/>
      <c r="N25" s="124"/>
      <c r="O25" s="89" t="s">
        <v>6</v>
      </c>
      <c r="P25" s="90"/>
      <c r="Q25" s="90"/>
      <c r="R25" s="91"/>
      <c r="S25" s="89" t="s">
        <v>7</v>
      </c>
      <c r="T25" s="90"/>
      <c r="U25" s="90"/>
      <c r="V25" s="90"/>
      <c r="W25" s="90"/>
      <c r="X25" s="90"/>
      <c r="Y25" s="91"/>
      <c r="Z25" s="89" t="s">
        <v>11</v>
      </c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100"/>
      <c r="BK25" s="31"/>
    </row>
    <row r="26" spans="1:63" s="32" customFormat="1" ht="15" customHeight="1" x14ac:dyDescent="0.25">
      <c r="A26" s="27"/>
      <c r="B26" s="34"/>
      <c r="C26" s="89">
        <v>5</v>
      </c>
      <c r="D26" s="91"/>
      <c r="E26" s="89" t="s">
        <v>12</v>
      </c>
      <c r="F26" s="90"/>
      <c r="G26" s="90"/>
      <c r="H26" s="90"/>
      <c r="I26" s="90"/>
      <c r="J26" s="90"/>
      <c r="K26" s="91"/>
      <c r="L26" s="122" t="s">
        <v>7</v>
      </c>
      <c r="M26" s="123"/>
      <c r="N26" s="124"/>
      <c r="O26" s="89" t="s">
        <v>6</v>
      </c>
      <c r="P26" s="90"/>
      <c r="Q26" s="90"/>
      <c r="R26" s="91"/>
      <c r="S26" s="89" t="s">
        <v>7</v>
      </c>
      <c r="T26" s="90"/>
      <c r="U26" s="90"/>
      <c r="V26" s="90"/>
      <c r="W26" s="90"/>
      <c r="X26" s="90"/>
      <c r="Y26" s="91"/>
      <c r="Z26" s="89" t="s">
        <v>12</v>
      </c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100"/>
      <c r="BK26" s="31"/>
    </row>
    <row r="27" spans="1:63" s="32" customFormat="1" ht="15" customHeight="1" x14ac:dyDescent="0.25">
      <c r="A27" s="27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9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9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35"/>
      <c r="BI27" s="35"/>
      <c r="BJ27" s="35"/>
      <c r="BK27" s="31"/>
    </row>
    <row r="28" spans="1:63" s="32" customFormat="1" ht="15" customHeight="1" x14ac:dyDescent="0.25">
      <c r="A28" s="27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9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9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35"/>
      <c r="BI28" s="35"/>
      <c r="BJ28" s="35"/>
      <c r="BK28" s="31"/>
    </row>
    <row r="29" spans="1:63" s="32" customFormat="1" ht="15" customHeight="1" x14ac:dyDescent="0.25">
      <c r="A29" s="27"/>
      <c r="B29" s="34"/>
      <c r="C29" s="33" t="s">
        <v>16</v>
      </c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5"/>
      <c r="BI29" s="35"/>
      <c r="BJ29" s="35"/>
      <c r="BK29" s="31"/>
    </row>
    <row r="30" spans="1:63" s="32" customFormat="1" ht="15" customHeight="1" x14ac:dyDescent="0.25">
      <c r="A30" s="27"/>
      <c r="B30" s="34"/>
      <c r="C30" s="33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5"/>
      <c r="BI30" s="35"/>
      <c r="BJ30" s="35"/>
      <c r="BK30" s="31"/>
    </row>
    <row r="31" spans="1:63" s="32" customFormat="1" ht="15" customHeight="1" x14ac:dyDescent="0.25">
      <c r="A31" s="27"/>
      <c r="B31" s="34"/>
      <c r="C31" s="125" t="s">
        <v>13</v>
      </c>
      <c r="D31" s="126"/>
      <c r="E31" s="125" t="s">
        <v>50</v>
      </c>
      <c r="F31" s="127"/>
      <c r="G31" s="127"/>
      <c r="H31" s="127"/>
      <c r="I31" s="127"/>
      <c r="J31" s="127"/>
      <c r="K31" s="126"/>
      <c r="L31" s="95" t="s">
        <v>47</v>
      </c>
      <c r="M31" s="97"/>
      <c r="N31" s="96"/>
      <c r="O31" s="95" t="s">
        <v>48</v>
      </c>
      <c r="P31" s="97"/>
      <c r="Q31" s="97"/>
      <c r="R31" s="96"/>
      <c r="S31" s="95" t="s">
        <v>49</v>
      </c>
      <c r="T31" s="97"/>
      <c r="U31" s="97"/>
      <c r="V31" s="97"/>
      <c r="W31" s="97"/>
      <c r="X31" s="97"/>
      <c r="Y31" s="96"/>
      <c r="Z31" s="95" t="s">
        <v>15</v>
      </c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6"/>
      <c r="AQ31" s="125" t="s">
        <v>46</v>
      </c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6"/>
      <c r="BK31" s="31"/>
    </row>
    <row r="32" spans="1:63" s="32" customFormat="1" ht="14.25" customHeight="1" x14ac:dyDescent="0.25">
      <c r="A32" s="27"/>
      <c r="B32" s="34"/>
      <c r="C32" s="89">
        <v>1</v>
      </c>
      <c r="D32" s="91"/>
      <c r="E32" s="89" t="s">
        <v>32</v>
      </c>
      <c r="F32" s="90"/>
      <c r="G32" s="90"/>
      <c r="H32" s="90"/>
      <c r="I32" s="90"/>
      <c r="J32" s="90"/>
      <c r="K32" s="91"/>
      <c r="L32" s="146" t="s">
        <v>5</v>
      </c>
      <c r="M32" s="147"/>
      <c r="N32" s="148"/>
      <c r="O32" s="89" t="s">
        <v>6</v>
      </c>
      <c r="P32" s="90"/>
      <c r="Q32" s="90"/>
      <c r="R32" s="91"/>
      <c r="S32" s="98" t="s">
        <v>7</v>
      </c>
      <c r="T32" s="90"/>
      <c r="U32" s="90"/>
      <c r="V32" s="90"/>
      <c r="W32" s="90"/>
      <c r="X32" s="90"/>
      <c r="Y32" s="91"/>
      <c r="Z32" s="89" t="s">
        <v>36</v>
      </c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89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1"/>
      <c r="BK32" s="31"/>
    </row>
    <row r="33" spans="1:63" s="32" customFormat="1" ht="15" customHeight="1" x14ac:dyDescent="0.25">
      <c r="A33" s="27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50"/>
      <c r="M33" s="50"/>
      <c r="N33" s="50"/>
      <c r="O33" s="34"/>
      <c r="P33" s="34"/>
      <c r="Q33" s="34"/>
      <c r="R33" s="34"/>
      <c r="S33" s="39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1"/>
    </row>
    <row r="34" spans="1:63" s="32" customFormat="1" ht="15" customHeight="1" x14ac:dyDescent="0.25">
      <c r="A34" s="27"/>
      <c r="B34" s="34"/>
      <c r="C34" s="33" t="s">
        <v>14</v>
      </c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5"/>
      <c r="BI34" s="35"/>
      <c r="BJ34" s="35"/>
      <c r="BK34" s="31"/>
    </row>
    <row r="35" spans="1:63" s="32" customFormat="1" ht="15" customHeight="1" x14ac:dyDescent="0.25">
      <c r="A35" s="27"/>
      <c r="B35" s="34"/>
      <c r="C35" s="33"/>
      <c r="D35" s="34" t="s">
        <v>31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5"/>
      <c r="BI35" s="35"/>
      <c r="BJ35" s="35"/>
      <c r="BK35" s="31"/>
    </row>
    <row r="36" spans="1:63" s="32" customFormat="1" ht="15" customHeight="1" x14ac:dyDescent="0.25">
      <c r="A36" s="27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5"/>
      <c r="BI36" s="35"/>
      <c r="BJ36" s="35"/>
      <c r="BK36" s="31"/>
    </row>
    <row r="37" spans="1:63" s="32" customFormat="1" ht="15" customHeight="1" x14ac:dyDescent="0.25">
      <c r="A37" s="27"/>
      <c r="B37" s="28" t="s">
        <v>121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30"/>
      <c r="BI37" s="30"/>
      <c r="BJ37" s="30"/>
      <c r="BK37" s="31"/>
    </row>
    <row r="38" spans="1:63" s="32" customFormat="1" ht="15" customHeight="1" x14ac:dyDescent="0.25">
      <c r="A38" s="27"/>
      <c r="B38" s="33"/>
      <c r="C38" s="33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5"/>
      <c r="BI38" s="35"/>
      <c r="BJ38" s="35"/>
      <c r="BK38" s="31"/>
    </row>
    <row r="39" spans="1:63" s="32" customFormat="1" ht="15" customHeight="1" x14ac:dyDescent="0.25">
      <c r="A39" s="27"/>
      <c r="B39" s="33"/>
      <c r="C39" s="33" t="s">
        <v>122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5"/>
      <c r="BI39" s="35"/>
      <c r="BJ39" s="35"/>
      <c r="BK39" s="31"/>
    </row>
    <row r="40" spans="1:63" s="32" customFormat="1" ht="15" customHeight="1" x14ac:dyDescent="0.25">
      <c r="A40" s="27"/>
      <c r="B40" s="33"/>
      <c r="C40" s="33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5"/>
      <c r="BI40" s="35"/>
      <c r="BJ40" s="35"/>
      <c r="BK40" s="31"/>
    </row>
    <row r="41" spans="1:63" s="32" customFormat="1" ht="15" customHeight="1" x14ac:dyDescent="0.25">
      <c r="A41" s="27"/>
      <c r="B41" s="34"/>
      <c r="C41" s="95" t="s">
        <v>13</v>
      </c>
      <c r="D41" s="96"/>
      <c r="E41" s="95" t="s">
        <v>17</v>
      </c>
      <c r="F41" s="97"/>
      <c r="G41" s="97"/>
      <c r="H41" s="97"/>
      <c r="I41" s="97"/>
      <c r="J41" s="97"/>
      <c r="K41" s="96"/>
      <c r="L41" s="95" t="s">
        <v>48</v>
      </c>
      <c r="M41" s="97"/>
      <c r="N41" s="97"/>
      <c r="O41" s="97"/>
      <c r="P41" s="97"/>
      <c r="Q41" s="97"/>
      <c r="R41" s="96"/>
      <c r="S41" s="143" t="s">
        <v>15</v>
      </c>
      <c r="T41" s="144"/>
      <c r="U41" s="144"/>
      <c r="V41" s="144"/>
      <c r="W41" s="144"/>
      <c r="X41" s="144"/>
      <c r="Y41" s="144"/>
      <c r="Z41" s="144"/>
      <c r="AA41" s="144"/>
      <c r="AB41" s="145"/>
      <c r="AC41" s="95" t="s">
        <v>46</v>
      </c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6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5"/>
      <c r="BI41" s="35"/>
      <c r="BJ41" s="35"/>
      <c r="BK41" s="31"/>
    </row>
    <row r="42" spans="1:63" s="32" customFormat="1" ht="39" customHeight="1" x14ac:dyDescent="0.25">
      <c r="A42" s="27"/>
      <c r="B42" s="34"/>
      <c r="C42" s="89">
        <v>1</v>
      </c>
      <c r="D42" s="91"/>
      <c r="E42" s="128" t="s">
        <v>85</v>
      </c>
      <c r="F42" s="129"/>
      <c r="G42" s="129"/>
      <c r="H42" s="129"/>
      <c r="I42" s="129"/>
      <c r="J42" s="129"/>
      <c r="K42" s="130"/>
      <c r="L42" s="128" t="s">
        <v>37</v>
      </c>
      <c r="M42" s="129"/>
      <c r="N42" s="129"/>
      <c r="O42" s="129"/>
      <c r="P42" s="129"/>
      <c r="Q42" s="129"/>
      <c r="R42" s="130"/>
      <c r="S42" s="86"/>
      <c r="T42" s="87"/>
      <c r="U42" s="87"/>
      <c r="V42" s="87"/>
      <c r="W42" s="87"/>
      <c r="X42" s="87"/>
      <c r="Y42" s="87"/>
      <c r="Z42" s="87"/>
      <c r="AA42" s="87"/>
      <c r="AB42" s="88"/>
      <c r="AC42" s="89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1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5"/>
      <c r="BI42" s="35"/>
      <c r="BJ42" s="35"/>
      <c r="BK42" s="31"/>
    </row>
    <row r="43" spans="1:63" s="32" customFormat="1" ht="15" customHeight="1" x14ac:dyDescent="0.25">
      <c r="A43" s="27"/>
      <c r="B43" s="34"/>
      <c r="C43" s="89">
        <v>2</v>
      </c>
      <c r="D43" s="91"/>
      <c r="E43" s="83" t="s">
        <v>51</v>
      </c>
      <c r="F43" s="84"/>
      <c r="G43" s="84"/>
      <c r="H43" s="84"/>
      <c r="I43" s="84"/>
      <c r="J43" s="84"/>
      <c r="K43" s="85"/>
      <c r="L43" s="83" t="s">
        <v>39</v>
      </c>
      <c r="M43" s="84"/>
      <c r="N43" s="84"/>
      <c r="O43" s="84"/>
      <c r="P43" s="84"/>
      <c r="Q43" s="84"/>
      <c r="R43" s="85"/>
      <c r="S43" s="86" t="s">
        <v>73</v>
      </c>
      <c r="T43" s="87"/>
      <c r="U43" s="87"/>
      <c r="V43" s="87"/>
      <c r="W43" s="87"/>
      <c r="X43" s="87"/>
      <c r="Y43" s="87"/>
      <c r="Z43" s="87"/>
      <c r="AA43" s="87"/>
      <c r="AB43" s="88"/>
      <c r="AC43" s="89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1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5"/>
      <c r="BI43" s="35"/>
      <c r="BJ43" s="35"/>
      <c r="BK43" s="31"/>
    </row>
    <row r="44" spans="1:63" s="32" customFormat="1" ht="15" customHeight="1" x14ac:dyDescent="0.25">
      <c r="A44" s="27"/>
      <c r="B44" s="34"/>
      <c r="C44" s="89">
        <v>3</v>
      </c>
      <c r="D44" s="91"/>
      <c r="E44" s="83" t="s">
        <v>52</v>
      </c>
      <c r="F44" s="84"/>
      <c r="G44" s="84"/>
      <c r="H44" s="84"/>
      <c r="I44" s="84"/>
      <c r="J44" s="84"/>
      <c r="K44" s="85"/>
      <c r="L44" s="83" t="s">
        <v>39</v>
      </c>
      <c r="M44" s="84"/>
      <c r="N44" s="84"/>
      <c r="O44" s="84"/>
      <c r="P44" s="84"/>
      <c r="Q44" s="84"/>
      <c r="R44" s="85"/>
      <c r="S44" s="86" t="s">
        <v>74</v>
      </c>
      <c r="T44" s="87" t="s">
        <v>62</v>
      </c>
      <c r="U44" s="87" t="s">
        <v>62</v>
      </c>
      <c r="V44" s="87" t="s">
        <v>62</v>
      </c>
      <c r="W44" s="87" t="s">
        <v>62</v>
      </c>
      <c r="X44" s="87" t="s">
        <v>62</v>
      </c>
      <c r="Y44" s="87" t="s">
        <v>62</v>
      </c>
      <c r="Z44" s="87" t="s">
        <v>62</v>
      </c>
      <c r="AA44" s="87" t="s">
        <v>62</v>
      </c>
      <c r="AB44" s="88" t="s">
        <v>62</v>
      </c>
      <c r="AC44" s="89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1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5"/>
      <c r="BI44" s="35"/>
      <c r="BJ44" s="35"/>
      <c r="BK44" s="31"/>
    </row>
    <row r="45" spans="1:63" s="32" customFormat="1" ht="15" customHeight="1" x14ac:dyDescent="0.25">
      <c r="A45" s="27"/>
      <c r="B45" s="34"/>
      <c r="C45" s="89">
        <v>4</v>
      </c>
      <c r="D45" s="91"/>
      <c r="E45" s="83" t="s">
        <v>53</v>
      </c>
      <c r="F45" s="84"/>
      <c r="G45" s="84"/>
      <c r="H45" s="84"/>
      <c r="I45" s="84"/>
      <c r="J45" s="84"/>
      <c r="K45" s="85"/>
      <c r="L45" s="83" t="s">
        <v>39</v>
      </c>
      <c r="M45" s="84"/>
      <c r="N45" s="84"/>
      <c r="O45" s="84"/>
      <c r="P45" s="84"/>
      <c r="Q45" s="84"/>
      <c r="R45" s="85"/>
      <c r="S45" s="86" t="s">
        <v>75</v>
      </c>
      <c r="T45" s="87" t="s">
        <v>63</v>
      </c>
      <c r="U45" s="87" t="s">
        <v>63</v>
      </c>
      <c r="V45" s="87" t="s">
        <v>63</v>
      </c>
      <c r="W45" s="87" t="s">
        <v>63</v>
      </c>
      <c r="X45" s="87" t="s">
        <v>63</v>
      </c>
      <c r="Y45" s="87" t="s">
        <v>63</v>
      </c>
      <c r="Z45" s="87" t="s">
        <v>63</v>
      </c>
      <c r="AA45" s="87" t="s">
        <v>63</v>
      </c>
      <c r="AB45" s="88" t="s">
        <v>63</v>
      </c>
      <c r="AC45" s="89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1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5"/>
      <c r="BI45" s="35"/>
      <c r="BJ45" s="35"/>
      <c r="BK45" s="31"/>
    </row>
    <row r="46" spans="1:63" s="32" customFormat="1" ht="15" customHeight="1" x14ac:dyDescent="0.25">
      <c r="A46" s="27"/>
      <c r="B46" s="34"/>
      <c r="C46" s="89">
        <v>5</v>
      </c>
      <c r="D46" s="91"/>
      <c r="E46" s="83" t="s">
        <v>54</v>
      </c>
      <c r="F46" s="84"/>
      <c r="G46" s="84"/>
      <c r="H46" s="84"/>
      <c r="I46" s="84"/>
      <c r="J46" s="84"/>
      <c r="K46" s="85"/>
      <c r="L46" s="83" t="s">
        <v>39</v>
      </c>
      <c r="M46" s="84"/>
      <c r="N46" s="84"/>
      <c r="O46" s="84"/>
      <c r="P46" s="84"/>
      <c r="Q46" s="84"/>
      <c r="R46" s="85"/>
      <c r="S46" s="86" t="s">
        <v>76</v>
      </c>
      <c r="T46" s="87" t="s">
        <v>64</v>
      </c>
      <c r="U46" s="87" t="s">
        <v>64</v>
      </c>
      <c r="V46" s="87" t="s">
        <v>64</v>
      </c>
      <c r="W46" s="87" t="s">
        <v>64</v>
      </c>
      <c r="X46" s="87" t="s">
        <v>64</v>
      </c>
      <c r="Y46" s="87" t="s">
        <v>64</v>
      </c>
      <c r="Z46" s="87" t="s">
        <v>64</v>
      </c>
      <c r="AA46" s="87" t="s">
        <v>64</v>
      </c>
      <c r="AB46" s="88" t="s">
        <v>64</v>
      </c>
      <c r="AC46" s="89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1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5"/>
      <c r="BI46" s="35"/>
      <c r="BJ46" s="35"/>
      <c r="BK46" s="31"/>
    </row>
    <row r="47" spans="1:63" s="32" customFormat="1" ht="15" customHeight="1" x14ac:dyDescent="0.25">
      <c r="A47" s="27"/>
      <c r="B47" s="34"/>
      <c r="C47" s="89">
        <v>6</v>
      </c>
      <c r="D47" s="91"/>
      <c r="E47" s="83" t="s">
        <v>60</v>
      </c>
      <c r="F47" s="84"/>
      <c r="G47" s="84"/>
      <c r="H47" s="84"/>
      <c r="I47" s="84"/>
      <c r="J47" s="84"/>
      <c r="K47" s="85"/>
      <c r="L47" s="83" t="s">
        <v>39</v>
      </c>
      <c r="M47" s="84"/>
      <c r="N47" s="84"/>
      <c r="O47" s="84"/>
      <c r="P47" s="84"/>
      <c r="Q47" s="84"/>
      <c r="R47" s="85"/>
      <c r="S47" s="86" t="s">
        <v>77</v>
      </c>
      <c r="T47" s="87" t="s">
        <v>65</v>
      </c>
      <c r="U47" s="87" t="s">
        <v>65</v>
      </c>
      <c r="V47" s="87" t="s">
        <v>65</v>
      </c>
      <c r="W47" s="87" t="s">
        <v>65</v>
      </c>
      <c r="X47" s="87" t="s">
        <v>65</v>
      </c>
      <c r="Y47" s="87" t="s">
        <v>65</v>
      </c>
      <c r="Z47" s="87" t="s">
        <v>65</v>
      </c>
      <c r="AA47" s="87" t="s">
        <v>65</v>
      </c>
      <c r="AB47" s="88" t="s">
        <v>65</v>
      </c>
      <c r="AC47" s="89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0"/>
      <c r="AU47" s="91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5"/>
      <c r="BI47" s="35"/>
      <c r="BJ47" s="35"/>
      <c r="BK47" s="31"/>
    </row>
    <row r="48" spans="1:63" s="32" customFormat="1" ht="15" customHeight="1" x14ac:dyDescent="0.25">
      <c r="A48" s="27"/>
      <c r="B48" s="34"/>
      <c r="C48" s="89">
        <v>7</v>
      </c>
      <c r="D48" s="91"/>
      <c r="E48" s="83" t="s">
        <v>55</v>
      </c>
      <c r="F48" s="84"/>
      <c r="G48" s="84"/>
      <c r="H48" s="84"/>
      <c r="I48" s="84"/>
      <c r="J48" s="84"/>
      <c r="K48" s="85"/>
      <c r="L48" s="83" t="s">
        <v>39</v>
      </c>
      <c r="M48" s="84"/>
      <c r="N48" s="84"/>
      <c r="O48" s="84"/>
      <c r="P48" s="84"/>
      <c r="Q48" s="84"/>
      <c r="R48" s="85"/>
      <c r="S48" s="86" t="s">
        <v>78</v>
      </c>
      <c r="T48" s="87" t="s">
        <v>66</v>
      </c>
      <c r="U48" s="87" t="s">
        <v>66</v>
      </c>
      <c r="V48" s="87" t="s">
        <v>66</v>
      </c>
      <c r="W48" s="87" t="s">
        <v>66</v>
      </c>
      <c r="X48" s="87" t="s">
        <v>66</v>
      </c>
      <c r="Y48" s="87" t="s">
        <v>66</v>
      </c>
      <c r="Z48" s="87" t="s">
        <v>66</v>
      </c>
      <c r="AA48" s="87" t="s">
        <v>66</v>
      </c>
      <c r="AB48" s="88" t="s">
        <v>66</v>
      </c>
      <c r="AC48" s="89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  <c r="AS48" s="90"/>
      <c r="AT48" s="90"/>
      <c r="AU48" s="91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5"/>
      <c r="BI48" s="35"/>
      <c r="BJ48" s="35"/>
      <c r="BK48" s="31"/>
    </row>
    <row r="49" spans="1:63" s="32" customFormat="1" ht="15" customHeight="1" x14ac:dyDescent="0.25">
      <c r="A49" s="27"/>
      <c r="B49" s="34"/>
      <c r="C49" s="89">
        <v>8</v>
      </c>
      <c r="D49" s="91"/>
      <c r="E49" s="83" t="s">
        <v>61</v>
      </c>
      <c r="F49" s="84"/>
      <c r="G49" s="84"/>
      <c r="H49" s="84"/>
      <c r="I49" s="84"/>
      <c r="J49" s="84"/>
      <c r="K49" s="85"/>
      <c r="L49" s="83" t="s">
        <v>39</v>
      </c>
      <c r="M49" s="84"/>
      <c r="N49" s="84"/>
      <c r="O49" s="84"/>
      <c r="P49" s="84"/>
      <c r="Q49" s="84"/>
      <c r="R49" s="85"/>
      <c r="S49" s="86" t="s">
        <v>79</v>
      </c>
      <c r="T49" s="87" t="s">
        <v>67</v>
      </c>
      <c r="U49" s="87" t="s">
        <v>67</v>
      </c>
      <c r="V49" s="87" t="s">
        <v>67</v>
      </c>
      <c r="W49" s="87" t="s">
        <v>67</v>
      </c>
      <c r="X49" s="87" t="s">
        <v>67</v>
      </c>
      <c r="Y49" s="87" t="s">
        <v>67</v>
      </c>
      <c r="Z49" s="87" t="s">
        <v>67</v>
      </c>
      <c r="AA49" s="87" t="s">
        <v>67</v>
      </c>
      <c r="AB49" s="88" t="s">
        <v>67</v>
      </c>
      <c r="AC49" s="89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  <c r="AS49" s="90"/>
      <c r="AT49" s="90"/>
      <c r="AU49" s="91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5"/>
      <c r="BI49" s="35"/>
      <c r="BJ49" s="35"/>
      <c r="BK49" s="31"/>
    </row>
    <row r="50" spans="1:63" s="32" customFormat="1" ht="15" customHeight="1" x14ac:dyDescent="0.25">
      <c r="A50" s="27"/>
      <c r="B50" s="34"/>
      <c r="C50" s="89">
        <v>9</v>
      </c>
      <c r="D50" s="91"/>
      <c r="E50" s="83" t="s">
        <v>56</v>
      </c>
      <c r="F50" s="84"/>
      <c r="G50" s="84"/>
      <c r="H50" s="84"/>
      <c r="I50" s="84"/>
      <c r="J50" s="84"/>
      <c r="K50" s="85"/>
      <c r="L50" s="83" t="s">
        <v>39</v>
      </c>
      <c r="M50" s="84"/>
      <c r="N50" s="84"/>
      <c r="O50" s="84"/>
      <c r="P50" s="84"/>
      <c r="Q50" s="84"/>
      <c r="R50" s="85"/>
      <c r="S50" s="86" t="s">
        <v>80</v>
      </c>
      <c r="T50" s="87" t="s">
        <v>68</v>
      </c>
      <c r="U50" s="87" t="s">
        <v>68</v>
      </c>
      <c r="V50" s="87" t="s">
        <v>68</v>
      </c>
      <c r="W50" s="87" t="s">
        <v>68</v>
      </c>
      <c r="X50" s="87" t="s">
        <v>68</v>
      </c>
      <c r="Y50" s="87" t="s">
        <v>68</v>
      </c>
      <c r="Z50" s="87" t="s">
        <v>68</v>
      </c>
      <c r="AA50" s="87" t="s">
        <v>68</v>
      </c>
      <c r="AB50" s="88" t="s">
        <v>68</v>
      </c>
      <c r="AC50" s="89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1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5"/>
      <c r="BI50" s="35"/>
      <c r="BJ50" s="35"/>
      <c r="BK50" s="31"/>
    </row>
    <row r="51" spans="1:63" s="32" customFormat="1" ht="15" customHeight="1" x14ac:dyDescent="0.25">
      <c r="A51" s="27"/>
      <c r="B51" s="34"/>
      <c r="C51" s="89">
        <v>10</v>
      </c>
      <c r="D51" s="91"/>
      <c r="E51" s="83" t="s">
        <v>57</v>
      </c>
      <c r="F51" s="84"/>
      <c r="G51" s="84"/>
      <c r="H51" s="84"/>
      <c r="I51" s="84"/>
      <c r="J51" s="84"/>
      <c r="K51" s="85"/>
      <c r="L51" s="83" t="s">
        <v>39</v>
      </c>
      <c r="M51" s="84"/>
      <c r="N51" s="84"/>
      <c r="O51" s="84"/>
      <c r="P51" s="84"/>
      <c r="Q51" s="84"/>
      <c r="R51" s="85"/>
      <c r="S51" s="86" t="s">
        <v>81</v>
      </c>
      <c r="T51" s="87" t="s">
        <v>69</v>
      </c>
      <c r="U51" s="87" t="s">
        <v>69</v>
      </c>
      <c r="V51" s="87" t="s">
        <v>69</v>
      </c>
      <c r="W51" s="87" t="s">
        <v>69</v>
      </c>
      <c r="X51" s="87" t="s">
        <v>69</v>
      </c>
      <c r="Y51" s="87" t="s">
        <v>69</v>
      </c>
      <c r="Z51" s="87" t="s">
        <v>69</v>
      </c>
      <c r="AA51" s="87" t="s">
        <v>69</v>
      </c>
      <c r="AB51" s="88" t="s">
        <v>69</v>
      </c>
      <c r="AC51" s="89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1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5"/>
      <c r="BI51" s="35"/>
      <c r="BJ51" s="35"/>
      <c r="BK51" s="31"/>
    </row>
    <row r="52" spans="1:63" s="32" customFormat="1" ht="15" customHeight="1" x14ac:dyDescent="0.25">
      <c r="A52" s="27"/>
      <c r="B52" s="34"/>
      <c r="C52" s="89">
        <v>11</v>
      </c>
      <c r="D52" s="91"/>
      <c r="E52" s="83" t="s">
        <v>58</v>
      </c>
      <c r="F52" s="84"/>
      <c r="G52" s="84"/>
      <c r="H52" s="84"/>
      <c r="I52" s="84"/>
      <c r="J52" s="84"/>
      <c r="K52" s="85"/>
      <c r="L52" s="83" t="s">
        <v>39</v>
      </c>
      <c r="M52" s="84"/>
      <c r="N52" s="84"/>
      <c r="O52" s="84"/>
      <c r="P52" s="84"/>
      <c r="Q52" s="84"/>
      <c r="R52" s="85"/>
      <c r="S52" s="86" t="s">
        <v>82</v>
      </c>
      <c r="T52" s="87" t="s">
        <v>70</v>
      </c>
      <c r="U52" s="87" t="s">
        <v>70</v>
      </c>
      <c r="V52" s="87" t="s">
        <v>70</v>
      </c>
      <c r="W52" s="87" t="s">
        <v>70</v>
      </c>
      <c r="X52" s="87" t="s">
        <v>70</v>
      </c>
      <c r="Y52" s="87" t="s">
        <v>70</v>
      </c>
      <c r="Z52" s="87" t="s">
        <v>70</v>
      </c>
      <c r="AA52" s="87" t="s">
        <v>70</v>
      </c>
      <c r="AB52" s="88" t="s">
        <v>70</v>
      </c>
      <c r="AC52" s="89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1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5"/>
      <c r="BI52" s="35"/>
      <c r="BJ52" s="35"/>
      <c r="BK52" s="31"/>
    </row>
    <row r="53" spans="1:63" s="32" customFormat="1" ht="15" customHeight="1" x14ac:dyDescent="0.25">
      <c r="A53" s="27"/>
      <c r="B53" s="34"/>
      <c r="C53" s="89">
        <v>12</v>
      </c>
      <c r="D53" s="91"/>
      <c r="E53" s="92" t="s">
        <v>59</v>
      </c>
      <c r="F53" s="93"/>
      <c r="G53" s="93"/>
      <c r="H53" s="93"/>
      <c r="I53" s="93"/>
      <c r="J53" s="93"/>
      <c r="K53" s="94"/>
      <c r="L53" s="83" t="s">
        <v>39</v>
      </c>
      <c r="M53" s="84"/>
      <c r="N53" s="84"/>
      <c r="O53" s="84"/>
      <c r="P53" s="84"/>
      <c r="Q53" s="84"/>
      <c r="R53" s="85"/>
      <c r="S53" s="86" t="s">
        <v>83</v>
      </c>
      <c r="T53" s="87" t="s">
        <v>71</v>
      </c>
      <c r="U53" s="87" t="s">
        <v>71</v>
      </c>
      <c r="V53" s="87" t="s">
        <v>71</v>
      </c>
      <c r="W53" s="87" t="s">
        <v>71</v>
      </c>
      <c r="X53" s="87" t="s">
        <v>71</v>
      </c>
      <c r="Y53" s="87" t="s">
        <v>71</v>
      </c>
      <c r="Z53" s="87" t="s">
        <v>71</v>
      </c>
      <c r="AA53" s="87" t="s">
        <v>71</v>
      </c>
      <c r="AB53" s="88" t="s">
        <v>71</v>
      </c>
      <c r="AC53" s="89"/>
      <c r="AD53" s="90"/>
      <c r="AE53" s="90"/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1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5"/>
      <c r="BI53" s="35"/>
      <c r="BJ53" s="35"/>
      <c r="BK53" s="31"/>
    </row>
    <row r="54" spans="1:63" s="32" customFormat="1" ht="15" customHeight="1" x14ac:dyDescent="0.25">
      <c r="A54" s="27"/>
      <c r="B54" s="34"/>
      <c r="C54" s="89">
        <v>13</v>
      </c>
      <c r="D54" s="91"/>
      <c r="E54" s="83" t="s">
        <v>38</v>
      </c>
      <c r="F54" s="84"/>
      <c r="G54" s="84"/>
      <c r="H54" s="84"/>
      <c r="I54" s="84"/>
      <c r="J54" s="84"/>
      <c r="K54" s="85"/>
      <c r="L54" s="83" t="s">
        <v>39</v>
      </c>
      <c r="M54" s="84"/>
      <c r="N54" s="84"/>
      <c r="O54" s="84"/>
      <c r="P54" s="84"/>
      <c r="Q54" s="84"/>
      <c r="R54" s="85"/>
      <c r="S54" s="86" t="s">
        <v>84</v>
      </c>
      <c r="T54" s="87" t="s">
        <v>72</v>
      </c>
      <c r="U54" s="87" t="s">
        <v>72</v>
      </c>
      <c r="V54" s="87" t="s">
        <v>72</v>
      </c>
      <c r="W54" s="87" t="s">
        <v>72</v>
      </c>
      <c r="X54" s="87" t="s">
        <v>72</v>
      </c>
      <c r="Y54" s="87" t="s">
        <v>72</v>
      </c>
      <c r="Z54" s="87" t="s">
        <v>72</v>
      </c>
      <c r="AA54" s="87" t="s">
        <v>72</v>
      </c>
      <c r="AB54" s="88" t="s">
        <v>72</v>
      </c>
      <c r="AC54" s="89"/>
      <c r="AD54" s="90"/>
      <c r="AE54" s="90"/>
      <c r="AF54" s="90"/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1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5"/>
      <c r="BI54" s="35"/>
      <c r="BJ54" s="35"/>
      <c r="BK54" s="31"/>
    </row>
    <row r="55" spans="1:63" s="32" customFormat="1" ht="15" customHeight="1" x14ac:dyDescent="0.25">
      <c r="A55" s="27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5"/>
      <c r="BI55" s="35"/>
      <c r="BJ55" s="35"/>
      <c r="BK55" s="31"/>
    </row>
    <row r="56" spans="1:63" s="32" customFormat="1" ht="15" customHeight="1" x14ac:dyDescent="0.25">
      <c r="A56" s="27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5"/>
      <c r="BI56" s="35"/>
      <c r="BJ56" s="35"/>
      <c r="BK56" s="31"/>
    </row>
    <row r="57" spans="1:63" s="32" customFormat="1" ht="15" customHeight="1" x14ac:dyDescent="0.25">
      <c r="A57" s="27"/>
      <c r="B57" s="34"/>
      <c r="C57" s="33" t="s">
        <v>27</v>
      </c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5"/>
      <c r="BI57" s="35"/>
      <c r="BJ57" s="35"/>
      <c r="BK57" s="31"/>
    </row>
    <row r="58" spans="1:63" s="32" customFormat="1" ht="15" customHeight="1" x14ac:dyDescent="0.25">
      <c r="A58" s="27"/>
      <c r="B58" s="34"/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5"/>
      <c r="BI58" s="35"/>
      <c r="BJ58" s="35"/>
      <c r="BK58" s="31"/>
    </row>
    <row r="59" spans="1:63" s="32" customFormat="1" ht="15" customHeight="1" x14ac:dyDescent="0.25">
      <c r="A59" s="27"/>
      <c r="B59" s="34"/>
      <c r="C59" s="48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36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5"/>
      <c r="BI59" s="35"/>
      <c r="BJ59" s="35"/>
      <c r="BK59" s="31"/>
    </row>
    <row r="60" spans="1:63" s="32" customFormat="1" ht="15" customHeight="1" x14ac:dyDescent="0.25">
      <c r="A60" s="27"/>
      <c r="B60" s="34"/>
      <c r="C60" s="51" t="s">
        <v>34</v>
      </c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7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5"/>
      <c r="BI60" s="35"/>
      <c r="BJ60" s="35"/>
      <c r="BK60" s="31"/>
    </row>
    <row r="61" spans="1:63" s="32" customFormat="1" ht="15" customHeight="1" x14ac:dyDescent="0.25">
      <c r="A61" s="27"/>
      <c r="B61" s="34"/>
      <c r="C61" s="52" t="s">
        <v>86</v>
      </c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7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5"/>
      <c r="BI61" s="35"/>
      <c r="BJ61" s="35"/>
      <c r="BK61" s="31"/>
    </row>
    <row r="62" spans="1:63" s="32" customFormat="1" ht="15" customHeight="1" x14ac:dyDescent="0.25">
      <c r="A62" s="27"/>
      <c r="B62" s="34"/>
      <c r="C62" s="52" t="s">
        <v>41</v>
      </c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7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5"/>
      <c r="BI62" s="35"/>
      <c r="BJ62" s="35"/>
      <c r="BK62" s="31"/>
    </row>
    <row r="63" spans="1:63" s="32" customFormat="1" ht="15" customHeight="1" x14ac:dyDescent="0.25">
      <c r="A63" s="27"/>
      <c r="B63" s="34"/>
      <c r="C63" s="52" t="s">
        <v>123</v>
      </c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7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5"/>
      <c r="BI63" s="35"/>
      <c r="BJ63" s="35"/>
      <c r="BK63" s="31"/>
    </row>
    <row r="64" spans="1:63" s="32" customFormat="1" ht="15" customHeight="1" x14ac:dyDescent="0.25">
      <c r="A64" s="27"/>
      <c r="B64" s="34"/>
      <c r="C64" s="52" t="s">
        <v>124</v>
      </c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7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5"/>
      <c r="BI64" s="35"/>
      <c r="BJ64" s="35"/>
      <c r="BK64" s="31"/>
    </row>
    <row r="65" spans="1:63" s="32" customFormat="1" ht="15" customHeight="1" x14ac:dyDescent="0.25">
      <c r="A65" s="27"/>
      <c r="B65" s="34"/>
      <c r="C65" s="52" t="s">
        <v>125</v>
      </c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7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5"/>
      <c r="BI65" s="35"/>
      <c r="BJ65" s="35"/>
      <c r="BK65" s="31"/>
    </row>
    <row r="66" spans="1:63" s="32" customFormat="1" ht="15" customHeight="1" x14ac:dyDescent="0.25">
      <c r="A66" s="27"/>
      <c r="B66" s="34"/>
      <c r="C66" s="52" t="s">
        <v>126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7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5"/>
      <c r="BI66" s="35"/>
      <c r="BJ66" s="35"/>
      <c r="BK66" s="31"/>
    </row>
    <row r="67" spans="1:63" s="32" customFormat="1" ht="15" customHeight="1" x14ac:dyDescent="0.25">
      <c r="A67" s="27"/>
      <c r="B67" s="34"/>
      <c r="C67" s="52" t="s">
        <v>127</v>
      </c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7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5"/>
      <c r="BI67" s="35"/>
      <c r="BJ67" s="35"/>
      <c r="BK67" s="31"/>
    </row>
    <row r="68" spans="1:63" s="32" customFormat="1" ht="15" customHeight="1" x14ac:dyDescent="0.25">
      <c r="A68" s="27"/>
      <c r="B68" s="34"/>
      <c r="C68" s="52" t="s">
        <v>128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7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5"/>
      <c r="BI68" s="35"/>
      <c r="BJ68" s="35"/>
      <c r="BK68" s="31"/>
    </row>
    <row r="69" spans="1:63" s="32" customFormat="1" ht="15" customHeight="1" x14ac:dyDescent="0.25">
      <c r="A69" s="27"/>
      <c r="B69" s="34"/>
      <c r="C69" s="52" t="s">
        <v>129</v>
      </c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7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5"/>
      <c r="BI69" s="35"/>
      <c r="BJ69" s="35"/>
      <c r="BK69" s="31"/>
    </row>
    <row r="70" spans="1:63" s="32" customFormat="1" ht="15" customHeight="1" x14ac:dyDescent="0.25">
      <c r="A70" s="27"/>
      <c r="B70" s="34"/>
      <c r="C70" s="52" t="s">
        <v>130</v>
      </c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7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5"/>
      <c r="BI70" s="35"/>
      <c r="BJ70" s="35"/>
      <c r="BK70" s="31"/>
    </row>
    <row r="71" spans="1:63" s="32" customFormat="1" ht="15" customHeight="1" x14ac:dyDescent="0.25">
      <c r="A71" s="27"/>
      <c r="B71" s="34"/>
      <c r="C71" s="52" t="s">
        <v>131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7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5"/>
      <c r="BI71" s="35"/>
      <c r="BJ71" s="35"/>
      <c r="BK71" s="31"/>
    </row>
    <row r="72" spans="1:63" s="32" customFormat="1" ht="15" customHeight="1" x14ac:dyDescent="0.25">
      <c r="A72" s="27"/>
      <c r="B72" s="34"/>
      <c r="C72" s="52" t="s">
        <v>132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7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5"/>
      <c r="BI72" s="35"/>
      <c r="BJ72" s="35"/>
      <c r="BK72" s="31"/>
    </row>
    <row r="73" spans="1:63" s="32" customFormat="1" ht="15" customHeight="1" x14ac:dyDescent="0.25">
      <c r="A73" s="27"/>
      <c r="B73" s="34"/>
      <c r="C73" s="52" t="s">
        <v>133</v>
      </c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7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5"/>
      <c r="BI73" s="35"/>
      <c r="BJ73" s="35"/>
      <c r="BK73" s="31"/>
    </row>
    <row r="74" spans="1:63" s="32" customFormat="1" ht="15" customHeight="1" x14ac:dyDescent="0.25">
      <c r="A74" s="27"/>
      <c r="B74" s="34"/>
      <c r="C74" s="52" t="s">
        <v>134</v>
      </c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7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5"/>
      <c r="BI74" s="35"/>
      <c r="BJ74" s="35"/>
      <c r="BK74" s="31"/>
    </row>
    <row r="75" spans="1:63" s="32" customFormat="1" ht="15" customHeight="1" x14ac:dyDescent="0.25">
      <c r="A75" s="27"/>
      <c r="B75" s="34"/>
      <c r="C75" s="52" t="s">
        <v>42</v>
      </c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7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5"/>
      <c r="BI75" s="35"/>
      <c r="BJ75" s="35"/>
      <c r="BK75" s="31"/>
    </row>
    <row r="76" spans="1:63" s="32" customFormat="1" ht="15" customHeight="1" x14ac:dyDescent="0.25">
      <c r="A76" s="27"/>
      <c r="B76" s="34"/>
      <c r="C76" s="52" t="s">
        <v>43</v>
      </c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7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5"/>
      <c r="BI76" s="35"/>
      <c r="BJ76" s="35"/>
      <c r="BK76" s="31"/>
    </row>
    <row r="77" spans="1:63" s="32" customFormat="1" ht="15" customHeight="1" x14ac:dyDescent="0.25">
      <c r="A77" s="27"/>
      <c r="B77" s="34"/>
      <c r="C77" s="53" t="s">
        <v>35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38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5"/>
      <c r="BI77" s="35"/>
      <c r="BJ77" s="35"/>
      <c r="BK77" s="31"/>
    </row>
    <row r="78" spans="1:63" s="32" customFormat="1" ht="15" customHeight="1" x14ac:dyDescent="0.25">
      <c r="A78" s="27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5"/>
      <c r="BI78" s="35"/>
      <c r="BJ78" s="35"/>
      <c r="BK78" s="31"/>
    </row>
    <row r="79" spans="1:63" s="32" customFormat="1" ht="15" customHeight="1" x14ac:dyDescent="0.25">
      <c r="A79" s="27"/>
      <c r="B79" s="34"/>
      <c r="C79" s="33" t="s">
        <v>135</v>
      </c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5"/>
      <c r="BI79" s="35"/>
      <c r="BJ79" s="35"/>
      <c r="BK79" s="31"/>
    </row>
    <row r="80" spans="1:63" s="32" customFormat="1" ht="15" customHeight="1" x14ac:dyDescent="0.25">
      <c r="A80" s="27"/>
      <c r="B80" s="34"/>
      <c r="C80" s="33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5"/>
      <c r="BI80" s="35"/>
      <c r="BJ80" s="35"/>
      <c r="BK80" s="31"/>
    </row>
    <row r="81" spans="1:63" s="32" customFormat="1" ht="15" customHeight="1" x14ac:dyDescent="0.25">
      <c r="A81" s="27"/>
      <c r="B81" s="34"/>
      <c r="C81" s="33" t="s">
        <v>33</v>
      </c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5"/>
      <c r="BI81" s="35"/>
      <c r="BJ81" s="35"/>
      <c r="BK81" s="31"/>
    </row>
    <row r="82" spans="1:63" s="46" customFormat="1" ht="15" customHeight="1" x14ac:dyDescent="0.25">
      <c r="A82" s="42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4"/>
      <c r="BI82" s="44"/>
      <c r="BJ82" s="44"/>
      <c r="BK82" s="45"/>
    </row>
  </sheetData>
  <mergeCells count="154">
    <mergeCell ref="C54:D54"/>
    <mergeCell ref="C53:D53"/>
    <mergeCell ref="C46:D46"/>
    <mergeCell ref="C47:D47"/>
    <mergeCell ref="C48:D48"/>
    <mergeCell ref="C49:D49"/>
    <mergeCell ref="C50:D50"/>
    <mergeCell ref="C51:D51"/>
    <mergeCell ref="C52:D52"/>
    <mergeCell ref="S41:AB41"/>
    <mergeCell ref="AQ21:BJ21"/>
    <mergeCell ref="L31:N31"/>
    <mergeCell ref="O31:R31"/>
    <mergeCell ref="Z31:AP31"/>
    <mergeCell ref="AQ23:BJ23"/>
    <mergeCell ref="AQ22:BJ22"/>
    <mergeCell ref="AQ25:BJ25"/>
    <mergeCell ref="L32:N32"/>
    <mergeCell ref="AC41:AU41"/>
    <mergeCell ref="AQ32:BJ32"/>
    <mergeCell ref="AQ31:BJ31"/>
    <mergeCell ref="S25:Y25"/>
    <mergeCell ref="S26:Y26"/>
    <mergeCell ref="AQ24:BJ24"/>
    <mergeCell ref="AQ26:BJ26"/>
    <mergeCell ref="S31:Y31"/>
    <mergeCell ref="Z26:AP26"/>
    <mergeCell ref="S32:Y32"/>
    <mergeCell ref="Z25:AP25"/>
    <mergeCell ref="Z32:AP32"/>
    <mergeCell ref="E21:K21"/>
    <mergeCell ref="C21:D21"/>
    <mergeCell ref="S21:Y21"/>
    <mergeCell ref="Z21:AP21"/>
    <mergeCell ref="O22:R22"/>
    <mergeCell ref="C24:D24"/>
    <mergeCell ref="E24:K24"/>
    <mergeCell ref="L24:N24"/>
    <mergeCell ref="O24:R24"/>
    <mergeCell ref="S24:Y24"/>
    <mergeCell ref="C23:D23"/>
    <mergeCell ref="O23:R23"/>
    <mergeCell ref="L22:N22"/>
    <mergeCell ref="L23:N23"/>
    <mergeCell ref="O21:R21"/>
    <mergeCell ref="L21:N21"/>
    <mergeCell ref="E22:K22"/>
    <mergeCell ref="E23:K23"/>
    <mergeCell ref="C22:D22"/>
    <mergeCell ref="Z22:AP22"/>
    <mergeCell ref="Z23:AP23"/>
    <mergeCell ref="Z24:AP24"/>
    <mergeCell ref="S23:Y23"/>
    <mergeCell ref="S22:Y22"/>
    <mergeCell ref="C45:D45"/>
    <mergeCell ref="C43:D43"/>
    <mergeCell ref="E41:K41"/>
    <mergeCell ref="C41:D41"/>
    <mergeCell ref="C44:D44"/>
    <mergeCell ref="L25:N25"/>
    <mergeCell ref="L26:N26"/>
    <mergeCell ref="C31:D31"/>
    <mergeCell ref="E31:K31"/>
    <mergeCell ref="C32:D32"/>
    <mergeCell ref="L41:R41"/>
    <mergeCell ref="C26:D26"/>
    <mergeCell ref="C25:D25"/>
    <mergeCell ref="E32:K32"/>
    <mergeCell ref="O32:R32"/>
    <mergeCell ref="O25:R25"/>
    <mergeCell ref="O26:R26"/>
    <mergeCell ref="E25:K25"/>
    <mergeCell ref="E26:K26"/>
    <mergeCell ref="C42:D42"/>
    <mergeCell ref="E42:K42"/>
    <mergeCell ref="L42:R42"/>
    <mergeCell ref="E45:K45"/>
    <mergeCell ref="L45:R45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AG17:AP17"/>
    <mergeCell ref="S42:AB42"/>
    <mergeCell ref="AC42:AU42"/>
    <mergeCell ref="E43:K43"/>
    <mergeCell ref="L43:R43"/>
    <mergeCell ref="S43:AB43"/>
    <mergeCell ref="AC43:AU43"/>
    <mergeCell ref="E44:K44"/>
    <mergeCell ref="L44:R44"/>
    <mergeCell ref="S44:AB44"/>
    <mergeCell ref="AC44:AU44"/>
    <mergeCell ref="S45:AB45"/>
    <mergeCell ref="AC45:AU45"/>
    <mergeCell ref="E46:K46"/>
    <mergeCell ref="L46:R46"/>
    <mergeCell ref="S46:AB46"/>
    <mergeCell ref="AC46:AU46"/>
    <mergeCell ref="E47:K47"/>
    <mergeCell ref="L47:R47"/>
    <mergeCell ref="S47:AB47"/>
    <mergeCell ref="AC47:AU47"/>
    <mergeCell ref="E48:K48"/>
    <mergeCell ref="L48:R48"/>
    <mergeCell ref="S48:AB48"/>
    <mergeCell ref="AC48:AU48"/>
    <mergeCell ref="E49:K49"/>
    <mergeCell ref="L49:R49"/>
    <mergeCell ref="S49:AB49"/>
    <mergeCell ref="AC49:AU49"/>
    <mergeCell ref="E50:K50"/>
    <mergeCell ref="L50:R50"/>
    <mergeCell ref="S50:AB50"/>
    <mergeCell ref="AC50:AU50"/>
    <mergeCell ref="E51:K51"/>
    <mergeCell ref="L51:R51"/>
    <mergeCell ref="S51:AB51"/>
    <mergeCell ref="AC51:AU51"/>
    <mergeCell ref="E54:K54"/>
    <mergeCell ref="L54:R54"/>
    <mergeCell ref="S54:AB54"/>
    <mergeCell ref="AC54:AU54"/>
    <mergeCell ref="E52:K52"/>
    <mergeCell ref="L52:R52"/>
    <mergeCell ref="S52:AB52"/>
    <mergeCell ref="AC52:AU52"/>
    <mergeCell ref="E53:K53"/>
    <mergeCell ref="L53:R53"/>
    <mergeCell ref="S53:AB53"/>
    <mergeCell ref="AC53:AU5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3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61" t="s">
        <v>18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19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4" t="s">
        <v>91</v>
      </c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6"/>
      <c r="AP1" s="10" t="s">
        <v>20</v>
      </c>
      <c r="AQ1" s="9"/>
      <c r="AR1" s="9"/>
      <c r="AS1" s="8"/>
      <c r="AT1" s="10" t="s">
        <v>21</v>
      </c>
      <c r="AU1" s="9"/>
      <c r="AV1" s="9"/>
      <c r="AW1" s="9"/>
      <c r="AX1" s="8"/>
      <c r="AY1" s="10" t="s">
        <v>22</v>
      </c>
      <c r="AZ1" s="9"/>
      <c r="BA1" s="9"/>
      <c r="BB1" s="8"/>
      <c r="BC1" s="10" t="s">
        <v>23</v>
      </c>
      <c r="BD1" s="9"/>
      <c r="BE1" s="9"/>
      <c r="BF1" s="9"/>
      <c r="BG1" s="8"/>
      <c r="BH1" s="10" t="s">
        <v>24</v>
      </c>
      <c r="BI1" s="9"/>
      <c r="BJ1" s="9"/>
      <c r="BK1" s="8"/>
    </row>
    <row r="2" spans="1:63" ht="15" customHeight="1" x14ac:dyDescent="0.25">
      <c r="A2" s="68" t="s">
        <v>90</v>
      </c>
      <c r="B2" s="69"/>
      <c r="C2" s="69"/>
      <c r="D2" s="69"/>
      <c r="E2" s="69"/>
      <c r="F2" s="69"/>
      <c r="G2" s="69"/>
      <c r="H2" s="69"/>
      <c r="I2" s="69"/>
      <c r="J2" s="70"/>
      <c r="K2" s="68" t="s">
        <v>90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77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9"/>
      <c r="AP2" s="7" t="s">
        <v>88</v>
      </c>
      <c r="AQ2" s="6"/>
      <c r="AR2" s="6"/>
      <c r="AS2" s="5"/>
      <c r="AT2" s="55">
        <v>45750</v>
      </c>
      <c r="AU2" s="56"/>
      <c r="AV2" s="56"/>
      <c r="AW2" s="56"/>
      <c r="AX2" s="57"/>
      <c r="AY2" s="7" t="s">
        <v>88</v>
      </c>
      <c r="AZ2" s="6"/>
      <c r="BA2" s="6"/>
      <c r="BB2" s="5"/>
      <c r="BC2" s="55">
        <v>45750</v>
      </c>
      <c r="BD2" s="56"/>
      <c r="BE2" s="56"/>
      <c r="BF2" s="56"/>
      <c r="BG2" s="57"/>
      <c r="BH2" s="7">
        <v>0.1</v>
      </c>
      <c r="BI2" s="6"/>
      <c r="BJ2" s="6"/>
      <c r="BK2" s="5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80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2"/>
      <c r="AP3" s="4"/>
      <c r="AQ3" s="3"/>
      <c r="AR3" s="3"/>
      <c r="AS3" s="2"/>
      <c r="AT3" s="58"/>
      <c r="AU3" s="59"/>
      <c r="AV3" s="59"/>
      <c r="AW3" s="59"/>
      <c r="AX3" s="60"/>
      <c r="AY3" s="4"/>
      <c r="AZ3" s="3"/>
      <c r="BA3" s="3"/>
      <c r="BB3" s="2"/>
      <c r="BC3" s="58"/>
      <c r="BD3" s="59"/>
      <c r="BE3" s="59"/>
      <c r="BF3" s="59"/>
      <c r="BG3" s="60"/>
      <c r="BH3" s="4"/>
      <c r="BI3" s="3"/>
      <c r="BJ3" s="3"/>
      <c r="BK3" s="2"/>
    </row>
    <row r="4" spans="1:63" ht="24.95" customHeight="1" x14ac:dyDescent="0.25">
      <c r="A4" s="61" t="s">
        <v>25</v>
      </c>
      <c r="B4" s="62"/>
      <c r="C4" s="62"/>
      <c r="D4" s="62"/>
      <c r="E4" s="62"/>
      <c r="F4" s="62"/>
      <c r="G4" s="63"/>
      <c r="H4" s="64" t="s">
        <v>89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61" t="s">
        <v>26</v>
      </c>
      <c r="V4" s="62"/>
      <c r="W4" s="62"/>
      <c r="X4" s="62"/>
      <c r="Y4" s="63"/>
      <c r="Z4" s="64" t="s">
        <v>92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処理フロー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7" s="47"/>
      <c r="C7" s="35"/>
      <c r="D7" s="35"/>
      <c r="E7" s="35"/>
      <c r="F7" s="35"/>
      <c r="G7" s="35"/>
      <c r="AI7" s="24"/>
      <c r="BJ7" s="24"/>
      <c r="BK7" s="20"/>
    </row>
    <row r="8" spans="1:63" s="16" customFormat="1" ht="15" customHeight="1" x14ac:dyDescent="0.25">
      <c r="B8" s="47"/>
      <c r="C8" s="35"/>
      <c r="D8" s="35"/>
      <c r="E8" s="35"/>
      <c r="F8" s="35"/>
      <c r="G8" s="35"/>
      <c r="AI8" s="24"/>
      <c r="BJ8" s="24"/>
      <c r="BK8" s="20"/>
    </row>
    <row r="9" spans="1:63" s="16" customFormat="1" ht="15" customHeight="1" x14ac:dyDescent="0.25">
      <c r="B9" s="47"/>
      <c r="C9" s="35"/>
      <c r="D9" s="35"/>
      <c r="E9" s="35"/>
      <c r="F9" s="35"/>
      <c r="G9" s="35"/>
      <c r="AI9" s="24"/>
      <c r="BJ9" s="24"/>
      <c r="BK9" s="20"/>
    </row>
    <row r="10" spans="1:63" s="16" customFormat="1" ht="15" customHeight="1" x14ac:dyDescent="0.25">
      <c r="B10" s="47"/>
      <c r="C10" s="35"/>
      <c r="D10" s="35"/>
      <c r="E10" s="35"/>
      <c r="F10" s="35"/>
      <c r="G10" s="35"/>
      <c r="AI10" s="24"/>
      <c r="BJ10" s="24"/>
      <c r="BK10" s="20"/>
    </row>
    <row r="11" spans="1:63" s="16" customFormat="1" ht="15" customHeight="1" x14ac:dyDescent="0.25">
      <c r="B11" s="21"/>
      <c r="AI11" s="24"/>
      <c r="BJ11" s="24"/>
      <c r="BK11" s="20"/>
    </row>
    <row r="12" spans="1:63" s="16" customFormat="1" ht="15" customHeight="1" x14ac:dyDescent="0.25">
      <c r="B12" s="21"/>
      <c r="AI12" s="24"/>
      <c r="BJ12" s="24"/>
      <c r="BK12" s="20"/>
    </row>
    <row r="13" spans="1:63" s="16" customFormat="1" ht="15" customHeight="1" x14ac:dyDescent="0.25">
      <c r="B13" s="21"/>
      <c r="AI13" s="24"/>
      <c r="BJ13" s="24"/>
      <c r="BK13" s="20"/>
    </row>
    <row r="14" spans="1:63" s="16" customFormat="1" ht="15" customHeight="1" x14ac:dyDescent="0.25">
      <c r="B14" s="21"/>
      <c r="AI14" s="24"/>
      <c r="BJ14" s="24"/>
      <c r="BK14" s="20"/>
    </row>
    <row r="15" spans="1:63" s="16" customFormat="1" ht="15" customHeight="1" x14ac:dyDescent="0.25">
      <c r="B15" s="21"/>
      <c r="AI15" s="24"/>
      <c r="BJ15" s="24"/>
      <c r="BK15" s="20"/>
    </row>
    <row r="16" spans="1:63" s="16" customFormat="1" ht="15" customHeight="1" x14ac:dyDescent="0.25">
      <c r="B16" s="21"/>
      <c r="AI16" s="24"/>
      <c r="BJ16" s="24"/>
      <c r="BK16" s="20"/>
    </row>
    <row r="17" spans="2:63" s="16" customFormat="1" ht="15" customHeight="1" x14ac:dyDescent="0.25">
      <c r="B17" s="21"/>
      <c r="AI17" s="24"/>
      <c r="BJ17" s="24"/>
      <c r="BK17" s="20"/>
    </row>
    <row r="18" spans="2:63" s="16" customFormat="1" ht="15" customHeight="1" x14ac:dyDescent="0.25">
      <c r="B18" s="21"/>
      <c r="AI18" s="24"/>
      <c r="BJ18" s="24"/>
      <c r="BK18" s="20"/>
    </row>
    <row r="19" spans="2:63" s="16" customFormat="1" ht="15" customHeight="1" x14ac:dyDescent="0.25">
      <c r="B19" s="21"/>
      <c r="AI19" s="24"/>
      <c r="BJ19" s="24"/>
      <c r="BK19" s="20"/>
    </row>
    <row r="20" spans="2:63" s="16" customFormat="1" ht="15" customHeight="1" x14ac:dyDescent="0.25">
      <c r="B20" s="21"/>
      <c r="AI20" s="24"/>
      <c r="BJ20" s="24"/>
      <c r="BK20" s="20"/>
    </row>
    <row r="21" spans="2:63" s="16" customFormat="1" ht="15" customHeight="1" x14ac:dyDescent="0.25">
      <c r="B21" s="21"/>
      <c r="AI21" s="24"/>
      <c r="BJ21" s="24"/>
      <c r="BK21" s="20"/>
    </row>
    <row r="22" spans="2:63" s="16" customFormat="1" ht="15" customHeight="1" x14ac:dyDescent="0.25">
      <c r="B22" s="21"/>
      <c r="AI22" s="24"/>
      <c r="BJ22" s="24"/>
      <c r="BK22" s="20"/>
    </row>
    <row r="23" spans="2:63" s="16" customFormat="1" ht="15" customHeight="1" x14ac:dyDescent="0.25">
      <c r="B23" s="21"/>
      <c r="AI23" s="24"/>
      <c r="BJ23" s="24"/>
      <c r="BK23" s="20"/>
    </row>
    <row r="24" spans="2:63" s="16" customFormat="1" ht="15" customHeight="1" x14ac:dyDescent="0.25">
      <c r="B24" s="21"/>
      <c r="AI24" s="24"/>
      <c r="BJ24" s="24"/>
      <c r="BK24" s="20"/>
    </row>
    <row r="25" spans="2:63" s="16" customFormat="1" ht="15" customHeight="1" x14ac:dyDescent="0.25">
      <c r="B25" s="21"/>
      <c r="AI25" s="24"/>
      <c r="BJ25" s="24"/>
      <c r="BK25" s="20"/>
    </row>
    <row r="26" spans="2:63" s="16" customFormat="1" ht="15" customHeight="1" x14ac:dyDescent="0.25">
      <c r="B26" s="21"/>
      <c r="AI26" s="24"/>
      <c r="BJ26" s="24"/>
      <c r="BK26" s="20"/>
    </row>
    <row r="27" spans="2:63" s="16" customFormat="1" ht="15" customHeight="1" x14ac:dyDescent="0.25">
      <c r="B27" s="21"/>
      <c r="AI27" s="24"/>
      <c r="BJ27" s="24"/>
      <c r="BK27" s="20"/>
    </row>
    <row r="28" spans="2:63" s="16" customFormat="1" ht="15" customHeight="1" x14ac:dyDescent="0.25">
      <c r="B28" s="21"/>
      <c r="AI28" s="24"/>
      <c r="BJ28" s="24"/>
      <c r="BK28" s="20"/>
    </row>
    <row r="29" spans="2:63" ht="15" customHeight="1" x14ac:dyDescent="0.25">
      <c r="B29" s="22"/>
      <c r="AI29" s="25"/>
      <c r="BJ29" s="25"/>
      <c r="BK29" s="15"/>
    </row>
    <row r="30" spans="2:63" ht="15" customHeight="1" x14ac:dyDescent="0.25">
      <c r="B30" s="22"/>
      <c r="AI30" s="25"/>
      <c r="BJ30" s="25"/>
      <c r="BK30" s="15"/>
    </row>
    <row r="31" spans="2:63" ht="15" customHeight="1" x14ac:dyDescent="0.25">
      <c r="B31" s="22"/>
      <c r="AI31" s="25"/>
      <c r="BJ31" s="25"/>
      <c r="BK31" s="15"/>
    </row>
    <row r="32" spans="2:63" ht="15" customHeight="1" x14ac:dyDescent="0.25">
      <c r="B32" s="22"/>
      <c r="AI32" s="25"/>
      <c r="BJ32" s="25"/>
      <c r="BK32" s="15"/>
    </row>
    <row r="33" spans="1:63" ht="15" customHeight="1" x14ac:dyDescent="0.25">
      <c r="A33" s="13"/>
      <c r="B33" s="2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26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26"/>
      <c r="BK33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61" t="s">
        <v>18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19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74" t="s">
        <v>91</v>
      </c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6"/>
      <c r="AP1" s="10" t="s">
        <v>20</v>
      </c>
      <c r="AQ1" s="9"/>
      <c r="AR1" s="9"/>
      <c r="AS1" s="8"/>
      <c r="AT1" s="10" t="s">
        <v>21</v>
      </c>
      <c r="AU1" s="9"/>
      <c r="AV1" s="9"/>
      <c r="AW1" s="9"/>
      <c r="AX1" s="8"/>
      <c r="AY1" s="10" t="s">
        <v>22</v>
      </c>
      <c r="AZ1" s="9"/>
      <c r="BA1" s="9"/>
      <c r="BB1" s="8"/>
      <c r="BC1" s="10" t="s">
        <v>23</v>
      </c>
      <c r="BD1" s="9"/>
      <c r="BE1" s="9"/>
      <c r="BF1" s="9"/>
      <c r="BG1" s="8"/>
      <c r="BH1" s="10" t="s">
        <v>24</v>
      </c>
      <c r="BI1" s="9"/>
      <c r="BJ1" s="9"/>
      <c r="BK1" s="8"/>
    </row>
    <row r="2" spans="1:63" ht="15" customHeight="1" x14ac:dyDescent="0.25">
      <c r="A2" s="68" t="s">
        <v>90</v>
      </c>
      <c r="B2" s="69"/>
      <c r="C2" s="69"/>
      <c r="D2" s="69"/>
      <c r="E2" s="69"/>
      <c r="F2" s="69"/>
      <c r="G2" s="69"/>
      <c r="H2" s="69"/>
      <c r="I2" s="69"/>
      <c r="J2" s="70"/>
      <c r="K2" s="68" t="s">
        <v>90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77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9"/>
      <c r="AP2" s="7" t="s">
        <v>88</v>
      </c>
      <c r="AQ2" s="6"/>
      <c r="AR2" s="6"/>
      <c r="AS2" s="5"/>
      <c r="AT2" s="55">
        <v>45750</v>
      </c>
      <c r="AU2" s="56"/>
      <c r="AV2" s="56"/>
      <c r="AW2" s="56"/>
      <c r="AX2" s="57"/>
      <c r="AY2" s="7" t="s">
        <v>88</v>
      </c>
      <c r="AZ2" s="6"/>
      <c r="BA2" s="6"/>
      <c r="BB2" s="5"/>
      <c r="BC2" s="55">
        <v>45750</v>
      </c>
      <c r="BD2" s="56"/>
      <c r="BE2" s="56"/>
      <c r="BF2" s="56"/>
      <c r="BG2" s="57"/>
      <c r="BH2" s="7">
        <v>0.1</v>
      </c>
      <c r="BI2" s="6"/>
      <c r="BJ2" s="6"/>
      <c r="BK2" s="5"/>
    </row>
    <row r="3" spans="1:63" ht="15" customHeight="1" x14ac:dyDescent="0.25">
      <c r="A3" s="71"/>
      <c r="B3" s="72"/>
      <c r="C3" s="72"/>
      <c r="D3" s="72"/>
      <c r="E3" s="72"/>
      <c r="F3" s="72"/>
      <c r="G3" s="72"/>
      <c r="H3" s="72"/>
      <c r="I3" s="72"/>
      <c r="J3" s="73"/>
      <c r="K3" s="71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80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2"/>
      <c r="AP3" s="4"/>
      <c r="AQ3" s="3"/>
      <c r="AR3" s="3"/>
      <c r="AS3" s="2"/>
      <c r="AT3" s="58"/>
      <c r="AU3" s="59"/>
      <c r="AV3" s="59"/>
      <c r="AW3" s="59"/>
      <c r="AX3" s="60"/>
      <c r="AY3" s="4"/>
      <c r="AZ3" s="3"/>
      <c r="BA3" s="3"/>
      <c r="BB3" s="2"/>
      <c r="BC3" s="58"/>
      <c r="BD3" s="59"/>
      <c r="BE3" s="59"/>
      <c r="BF3" s="59"/>
      <c r="BG3" s="60"/>
      <c r="BH3" s="4"/>
      <c r="BI3" s="3"/>
      <c r="BJ3" s="3"/>
      <c r="BK3" s="2"/>
    </row>
    <row r="4" spans="1:63" ht="24.95" customHeight="1" x14ac:dyDescent="0.25">
      <c r="A4" s="61" t="s">
        <v>25</v>
      </c>
      <c r="B4" s="62"/>
      <c r="C4" s="62"/>
      <c r="D4" s="62"/>
      <c r="E4" s="62"/>
      <c r="F4" s="62"/>
      <c r="G4" s="63"/>
      <c r="H4" s="64" t="s">
        <v>89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61" t="s">
        <v>26</v>
      </c>
      <c r="V4" s="62"/>
      <c r="W4" s="62"/>
      <c r="X4" s="62"/>
      <c r="Y4" s="63"/>
      <c r="Z4" s="64" t="s">
        <v>92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7" t="str">
        <f ca="1">MID(CELL("filename",A1),FIND("]",CELL("filename",A1))+1,255)</f>
        <v>テンプレート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AP8109</vt:lpstr>
      <vt:lpstr>処理フロー</vt:lpstr>
      <vt:lpstr>テンプレート</vt:lpstr>
      <vt:lpstr>'AP8109'!Print_Area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2025-05-15T06:55:28Z</dcterms:modified>
  <cp:category/>
  <cp:contentStatus/>
</cp:coreProperties>
</file>