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2_店舗マスタ設定\"/>
    </mc:Choice>
  </mc:AlternateContent>
  <xr:revisionPtr revIDLastSave="0" documentId="13_ncr:1_{BEFB1C57-EF0C-461E-A53C-4DF03CD9E11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205" sheetId="8" r:id="rId4"/>
    <sheet name="処理フロー" sheetId="9" r:id="rId5"/>
    <sheet name="テンプレート" sheetId="7" r:id="rId6"/>
  </sheets>
  <definedNames>
    <definedName name="_xlnm.Print_Area" localSheetId="3">'AP8205'!$A$1:$BK$89</definedName>
    <definedName name="_xlnm.Print_Area" localSheetId="5">テンプレート!$A$1:$BK$54</definedName>
    <definedName name="_xlnm.Print_Area" localSheetId="4">処理フロー!$A$1:$BK$87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<sst xmlns="http://schemas.openxmlformats.org/spreadsheetml/2006/main" count="429" uniqueCount="179">
  <si>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</si>
  <si>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</si>
  <si>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</si>
  <si>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</si>
  <si>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</si>
  <si>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</si>
  <si>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</si>
  <si>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</si>
  <si>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</si>
  <si>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</si>
  <si>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</si>
  <si>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</si>
  <si>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</si>
  <si>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</si>
  <si>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</si>
  <si>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</si>
  <si>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</si>
  <si>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</si>
  <si>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</si>
  <si>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</si>
  <si>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</si>
  <si>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</si>
  <si>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</si>
  <si>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</si>
  <si>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</si>
  <si>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</si>
  <si>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</si>
  <si>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</si>
  <si>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</si>
  <si>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</si>
  <si>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</si>
  <si>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</si>
  <si>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</si>
  <si>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</si>
  <si>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</si>
  <si>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</si>
  <si>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</si>
  <si>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</si>
  <si>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</si>
  <si>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</si>
  <si>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</si>
  <si>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</si>
  <si>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</si>
  <si>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short_name</t>
    </r>
  </si>
  <si>
    <r>
      <rPr>
        <sz val="11"/>
        <color rgb="FF000000"/>
        <rFont val="Meiryo UI"/>
        <family val="2"/>
      </rPr>
      <t>post_code</t>
    </r>
  </si>
  <si>
    <r>
      <rPr>
        <sz val="11"/>
        <color rgb="FF000000"/>
        <rFont val="Meiryo UI"/>
        <family val="2"/>
      </rPr>
      <t>phone_number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</si>
  <si>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</si>
  <si>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</si>
  <si>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</si>
  <si>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</si>
  <si>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</si>
  <si>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</si>
  <si>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</si>
  <si>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business_type_code</t>
    </r>
  </si>
  <si>
    <r>
      <rPr>
        <sz val="11"/>
        <color rgb="FF000000"/>
        <rFont val="Meiryo UI"/>
        <family val="2"/>
      </rPr>
      <t>AP8205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</si>
  <si>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</si>
  <si>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</si>
  <si>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</si>
  <si>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店舗の変更情報を保存する（店舗新規作成、店舗編集、店舗削除を含む）</t>
    </r>
  </si>
  <si>
    <r>
      <rPr>
        <sz val="11"/>
        <color rgb="FF000000"/>
        <rFont val="Meiryo UI"/>
        <family val="2"/>
      </rPr>
      <t>会社800の場合、店舗を作成する時にマスターメッセージのデフォルトレコードを作成する。</t>
    </r>
  </si>
  <si>
    <r>
      <rPr>
        <sz val="11"/>
        <color rgb="FF0070C0"/>
        <rFont val="Meiryo UI"/>
        <family val="3"/>
        <charset val="128"/>
      </rPr>
      <t>TuyenNH</t>
    </r>
  </si>
  <si>
    <r>
      <rPr>
        <sz val="11"/>
        <color rgb="FF000000"/>
        <rFont val="Meiryo UI"/>
        <family val="2"/>
      </rPr>
      <t>住所2、住所3を追加</t>
    </r>
  </si>
  <si>
    <r>
      <rPr>
        <sz val="11"/>
        <color rgb="FF000000"/>
        <rFont val="Meiryo UI"/>
        <family val="2"/>
      </rPr>
      <t>address_2</t>
    </r>
  </si>
  <si>
    <r>
      <rPr>
        <sz val="11"/>
        <color rgb="FF000000"/>
        <rFont val="Meiryo UI"/>
        <family val="2"/>
      </rPr>
      <t>address_3</t>
    </r>
  </si>
  <si>
    <r>
      <rPr>
        <sz val="11"/>
        <color rgb="FF000000"/>
        <rFont val="Meiryo UI"/>
        <family val="2"/>
      </rPr>
      <t>address_1</t>
    </r>
  </si>
  <si>
    <r>
      <rPr>
        <sz val="11"/>
        <color rgb="FF000000"/>
        <rFont val="Meiryo UI"/>
        <family val="2"/>
      </rPr>
      <t>新しいチェックリストに基づいてDB設計を修正した後、マッピングDBを更新する。</t>
    </r>
  </si>
  <si>
    <r>
      <rPr>
        <sz val="11"/>
        <color rgb="FF000000"/>
        <rFont val="Meiryo UI"/>
        <family val="2"/>
      </rPr>
      <t>record_void_flag != 1のjoinロジックを追加</t>
    </r>
  </si>
  <si>
    <r>
      <rPr>
        <sz val="11"/>
        <color rgb="FF000000"/>
        <rFont val="Meiryo UI"/>
        <family val="2"/>
      </rPr>
      <t>stores.store_code</t>
    </r>
  </si>
  <si>
    <r>
      <rPr>
        <sz val="11"/>
        <color rgb="FF000000"/>
        <rFont val="Meiryo UI"/>
        <family val="2"/>
      </rPr>
      <t>stores.ten_name</t>
    </r>
  </si>
  <si>
    <r>
      <rPr>
        <sz val="11"/>
        <color rgb="FF000000"/>
        <rFont val="Meiryo UI"/>
        <family val="2"/>
      </rPr>
      <t>stores.ten_short_nm</t>
    </r>
  </si>
  <si>
    <r>
      <rPr>
        <sz val="11"/>
        <color rgb="FF000000"/>
        <rFont val="Meiryo UI"/>
        <family val="2"/>
      </rPr>
      <t>stores.post_cd</t>
    </r>
  </si>
  <si>
    <r>
      <rPr>
        <sz val="11"/>
        <color rgb="FF000000"/>
        <rFont val="Meiryo UI"/>
        <family val="2"/>
      </rPr>
      <t>stores.address1</t>
    </r>
  </si>
  <si>
    <r>
      <rPr>
        <sz val="11"/>
        <color rgb="FF000000"/>
        <rFont val="Meiryo UI"/>
        <family val="2"/>
      </rPr>
      <t>stores.address2</t>
    </r>
  </si>
  <si>
    <r>
      <rPr>
        <sz val="11"/>
        <color rgb="FF000000"/>
        <rFont val="Meiryo UI"/>
        <family val="2"/>
      </rPr>
      <t>stores.address3</t>
    </r>
  </si>
  <si>
    <r>
      <rPr>
        <sz val="11"/>
        <color rgb="FF000000"/>
        <rFont val="Meiryo UI"/>
        <family val="2"/>
      </rPr>
      <t>stores.phone_number</t>
    </r>
  </si>
  <si>
    <r>
      <rPr>
        <sz val="11"/>
        <color rgb="FF000000"/>
        <rFont val="Meiryo UI"/>
        <family val="2"/>
      </rPr>
      <t>stores.business_type_code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</si>
  <si>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</si>
  <si>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70C0"/>
        <rFont val="Meiryo UI"/>
        <family val="3"/>
        <charset val="128"/>
      </rPr>
      <t>シート：[AP8201]、[処理フロー]</t>
    </r>
  </si>
  <si>
    <r>
      <rPr>
        <sz val="11"/>
        <color rgb="FF000000"/>
        <rFont val="Meiryo UI"/>
        <family val="2"/>
      </rPr>
      <t>店舗の支払方法設定ロジックを追加</t>
    </r>
  </si>
  <si>
    <r>
      <rPr>
        <sz val="11"/>
        <color rgb="FF000000"/>
        <rFont val="Meiryo UI"/>
        <family val="2"/>
      </rPr>
      <t>payment_methods</t>
    </r>
  </si>
  <si>
    <r>
      <rPr>
        <sz val="11"/>
        <color rgb="FF000000"/>
        <rFont val="Meiryo UI"/>
        <family val="2"/>
      </rPr>
      <t>リスト</t>
    </r>
  </si>
  <si>
    <r>
      <rPr>
        <sz val="11"/>
        <color rgb="FF000000"/>
        <rFont val="Meiryo UI"/>
        <family val="2"/>
      </rPr>
      <t>支払方法一覧：store_payments.payment_id</t>
    </r>
  </si>
  <si>
    <r>
      <rPr>
        <sz val="11"/>
        <color rgb="FF0070C0"/>
        <rFont val="Meiryo UI"/>
        <family val="3"/>
        <charset val="128"/>
      </rPr>
      <t>曜日別の開始・終了時間設定ロジックを追加。</t>
    </r>
    <r>
      <rPr>
        <sz val="11"/>
        <color rgb="FF0070C0"/>
        <rFont val="Meiryo UI"/>
        <family val="3"/>
        <charset val="128"/>
      </rPr>
      <t xml:space="preserve">
</t>
    </r>
    <r>
      <rPr>
        <sz val="11"/>
        <color rgb="FF0070C0"/>
        <rFont val="Meiryo UI"/>
        <family val="3"/>
        <charset val="128"/>
      </rPr>
      <t>「取引データ連携有無」項目を追加</t>
    </r>
    <r>
      <rPr>
        <sz val="11"/>
        <color rgb="FF0070C0"/>
        <rFont val="Meiryo UI"/>
        <family val="3"/>
        <charset val="128"/>
      </rPr>
      <t xml:space="preserve">
</t>
    </r>
    <r>
      <rPr>
        <sz val="11"/>
        <color rgb="FF0070C0"/>
        <rFont val="Meiryo UI"/>
        <family val="3"/>
        <charset val="128"/>
      </rPr>
      <t>「AFS コード決済加盟店番号(AEON PAY)」、「AFS コード決済加盟店番号(他社ペイ)」を追加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</si>
  <si>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</si>
  <si>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</si>
  <si>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シート：[AP8201]、[処理フロー]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</si>
  <si>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</si>
  <si>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Int</t>
    </r>
  </si>
  <si>
    <t>DuNT</t>
  </si>
  <si>
    <t>TuyenNH</t>
  </si>
  <si>
    <t>AP8205</t>
  </si>
  <si>
    <t>詳細設計書</t>
  </si>
  <si>
    <t>POSサーバー</t>
  </si>
  <si>
    <t>API設計書</t>
  </si>
  <si>
    <t>POSサーバーの詳細設計書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</si>
  <si>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</si>
  <si>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</si>
  <si>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</si>
  <si>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</si>
  <si>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</si>
  <si>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</si>
  <si>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</si>
  <si>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</si>
  <si>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</si>
  <si>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</si>
  <si>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</si>
  <si>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</si>
  <si>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</si>
  <si>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</si>
  <si>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</si>
  <si>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sz val="11"/>
        <color rgb="FF000000"/>
        <rFont val="Meiryo UI"/>
        <family val="2"/>
      </rPr>
      <t xml:space="preserve">api/v1/stores/maintenance 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</si>
  <si>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</si>
  <si>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</si>
  <si>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>対象店舗への操作権限のバリデーションチェックを行う。
・新規作成の場合、店舗コード重複のバリデーションチェックを行う。重複している場合、エラーメッセージ = MSG_VAL_032</t>
    </r>
  </si>
  <si>
    <r>
      <rPr>
        <sz val="11"/>
        <color rgb="FF000000"/>
        <rFont val="Meiryo UI"/>
        <family val="2"/>
      </rPr>
      <t>・バリデーションチェック：桁数 &lt;= 8。桁数 &gt; 8の場合、 エラーメッセージ = MSG_VAL_028</t>
    </r>
  </si>
  <si>
    <r>
      <rPr>
        <sz val="11"/>
        <color rgb="FF000000"/>
        <rFont val="Meiryo UI"/>
        <family val="2"/>
      </rPr>
      <t>・バリデーションチェック：桁数 &lt;= 13。桁数 &gt; 13の場合、 エラーメッセージ = MSG_VAL_002</t>
    </r>
  </si>
  <si>
    <t>tran_relay_flag</t>
  </si>
  <si>
    <t>Int</t>
  </si>
  <si>
    <t>stores.tran_relay_flag</t>
  </si>
  <si>
    <t>business_day_sun</t>
  </si>
  <si>
    <t>Object</t>
  </si>
  <si>
    <t>日曜開始・終了時間設定</t>
  </si>
  <si>
    <t>business_day</t>
  </si>
  <si>
    <t>stores.business_day_sun</t>
  </si>
  <si>
    <t>business_open</t>
  </si>
  <si>
    <t>String</t>
  </si>
  <si>
    <t>stores.business_open_sun</t>
  </si>
  <si>
    <t>形式: hh:mm
形式が不正な場合、エラーメッセージ = MSG_VAL_019</t>
  </si>
  <si>
    <t>business_close</t>
  </si>
  <si>
    <t>23:59</t>
  </si>
  <si>
    <t>stores.business_close_sun</t>
  </si>
  <si>
    <t>business_day_mon</t>
  </si>
  <si>
    <t>月曜開始・終了時間設定</t>
  </si>
  <si>
    <t>stores.business_day_mon</t>
  </si>
  <si>
    <t>stores.business_open_mon</t>
  </si>
  <si>
    <t>stores.business_close_mon</t>
  </si>
  <si>
    <t>business_day_tue</t>
  </si>
  <si>
    <t>火曜開始・終了時間設定</t>
  </si>
  <si>
    <t>stores.business_day_tue</t>
  </si>
  <si>
    <t>stores.business_open_tue</t>
  </si>
  <si>
    <t>stores.business_close_tue</t>
  </si>
  <si>
    <t>business_day_wed</t>
  </si>
  <si>
    <t>水曜開始・終了時間設定</t>
  </si>
  <si>
    <t>stores.business_day_wed</t>
  </si>
  <si>
    <t>stores.business_open_wed</t>
  </si>
  <si>
    <t>stores.business_close_wed</t>
  </si>
  <si>
    <t>business_day_thu</t>
  </si>
  <si>
    <t>木曜開始・終了時間設定</t>
  </si>
  <si>
    <t>stores.business_day_thu</t>
  </si>
  <si>
    <t>stores.business_open_thu</t>
  </si>
  <si>
    <t>stores.business_close_thu</t>
  </si>
  <si>
    <t>business_day_fri</t>
  </si>
  <si>
    <t>金曜開始・終了時間設定</t>
  </si>
  <si>
    <t>stores.business_day_fri</t>
  </si>
  <si>
    <t>stores.business_open_fri</t>
  </si>
  <si>
    <t>stores.business_close_fri</t>
  </si>
  <si>
    <t>business_day_sat</t>
  </si>
  <si>
    <t>土曜開始・終了時間設定</t>
  </si>
  <si>
    <t>stores.business_day_sat</t>
  </si>
  <si>
    <t>stores.business_open_sat</t>
  </si>
  <si>
    <t>stores.business_close_sat</t>
  </si>
  <si>
    <t>code_pay_no_aeonpay</t>
  </si>
  <si>
    <t>stores.code_pay_no_aeonpay</t>
  </si>
  <si>
    <t>・バリデーションチェック：桁数 &gt; 11の場合、エラーメッセージ = MSG_VAL_002</t>
  </si>
  <si>
    <t>code_pay_no_etc</t>
  </si>
  <si>
    <t>stores.code_pay_no_etc</t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</si>
  <si>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</si>
  <si>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</si>
  <si>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</si>
  <si>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1（新規）、2（更新）、3（削除）の値のみ許可する。上記以外値の場合、エラーメッセージ= MSG_VAL_019。</t>
  </si>
  <si>
    <t>以下の値のみ許可。
「0: 連携なし」、「1: 連携あり」。上記以外値の場合、エラーメッセージ= MSG_VAL_019。</t>
  </si>
  <si>
    <t>以下の値のみ許可。
「0: 店休日」、「1：営業日」。上記以外値の場合、エラーメッセージ= MSG_VAL_019。</t>
  </si>
  <si>
    <r>
      <rPr>
        <sz val="11"/>
        <color rgb="FF000000"/>
        <rFont val="Meiryo UI"/>
        <family val="2"/>
      </rPr>
      <t>l店舗変更保存処理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</si>
  <si>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・バリデーションチェック：文字数 &lt;= 30。文字数 &gt; 30の場合、 エラーメッセージ = MSG_VAL_002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</si>
  <si>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・バリデーションチェック：文字数 &lt;= 50。文字数 &gt; 50の場合、 エラーメッセージ = MSG_VAL_002</t>
    </r>
  </si>
  <si>
    <r>
      <rPr>
        <sz val="11"/>
        <color rgb="FF000000"/>
        <rFont val="Meiryo UI"/>
        <family val="2"/>
      </rPr>
      <t>・バリデーションチェック：文字数 &lt;= 100 。文字数 &gt; 100の場合、 エラーメッセージ = MSG_VAL_002</t>
    </r>
  </si>
  <si>
    <t>シート：AP8205</t>
  </si>
  <si>
    <t>店舗区分：code_masterテーブルから取得する</t>
  </si>
  <si>
    <t>master_code = 'MC8201'、company_code = user.company_code、code_no = business_type_codeの条件で code_masterテーブルに存在するかを確認する。存在しない場合、エラーメッセージ= MSG_VAL_019。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</si>
</sst>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name val="Meiryo UI"/>
      <family val="2"/>
    </font>
    <font>
      <sz val="10"/>
      <name val="Meiryo UI"/>
      <family val="2"/>
    </font>
    <font>
      <strike/>
      <sz val="11"/>
      <name val="Meiryo UI"/>
      <family val="2"/>
    </font>
    <font>
      <sz val="11"/>
      <color rgb="FF0070C0"/>
      <name val="Meiryo UI"/>
      <family val="3"/>
      <charset val="128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70C0"/>
      <name val="Meiryo UI"/>
      <family val="2"/>
    </font>
    <font>
      <sz val="11"/>
      <color rgb="FFFF0000"/>
      <name val="Meiryo UI"/>
      <family val="3"/>
      <charset val="128"/>
    </font>
    <font>
      <sz val="11"/>
      <color rgb="FFFF0000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3" fillId="0" borderId="0">
      <alignment vertical="center"/>
    </xf>
    <xf numFmtId="0" fontId="5" fillId="0" borderId="0">
      <alignment vertical="center"/>
    </xf>
  </cellStyleXfs>
  <cellXfs count="2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19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4" borderId="0" xfId="0" applyFont="1" applyFill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5" fillId="3" borderId="19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3" borderId="20" xfId="0" applyFont="1" applyFill="1" applyBorder="1" applyAlignment="1">
      <alignment vertical="center"/>
    </xf>
    <xf numFmtId="0" fontId="14" fillId="3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6" applyFont="1" applyAlignment="1">
      <alignment vertical="center"/>
    </xf>
    <xf numFmtId="0" fontId="18" fillId="0" borderId="2" xfId="6" applyFont="1" applyBorder="1" applyAlignment="1">
      <alignment vertical="center"/>
    </xf>
    <xf numFmtId="0" fontId="18" fillId="0" borderId="3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16" xfId="6" applyFont="1" applyBorder="1" applyAlignment="1">
      <alignment vertical="center"/>
    </xf>
    <xf numFmtId="0" fontId="18" fillId="0" borderId="17" xfId="6" applyFont="1" applyBorder="1" applyAlignment="1">
      <alignment vertical="center"/>
    </xf>
    <xf numFmtId="0" fontId="18" fillId="0" borderId="18" xfId="6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0" xfId="0" quotePrefix="1" applyFont="1" applyAlignment="1">
      <alignment horizontal="left" vertical="center" wrapText="1"/>
    </xf>
    <xf numFmtId="0" fontId="18" fillId="5" borderId="0" xfId="0" applyFont="1" applyFill="1" applyAlignment="1">
      <alignment vertical="center"/>
    </xf>
    <xf numFmtId="0" fontId="18" fillId="5" borderId="20" xfId="0" applyFont="1" applyFill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4" fontId="22" fillId="0" borderId="16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4" xfId="0" applyFont="1" applyBorder="1"/>
    <xf numFmtId="0" fontId="22" fillId="0" borderId="25" xfId="0" applyFont="1" applyBorder="1"/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29" xfId="0" applyFont="1" applyBorder="1"/>
    <xf numFmtId="14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4" xfId="0" applyFont="1" applyBorder="1" applyAlignment="1">
      <alignment vertical="top" wrapText="1"/>
    </xf>
    <xf numFmtId="0" fontId="11" fillId="0" borderId="25" xfId="0" applyFont="1" applyBorder="1" applyAlignment="1">
      <alignment vertical="top"/>
    </xf>
    <xf numFmtId="0" fontId="11" fillId="0" borderId="26" xfId="0" applyFont="1" applyBorder="1" applyAlignment="1">
      <alignment vertical="top"/>
    </xf>
    <xf numFmtId="0" fontId="11" fillId="0" borderId="17" xfId="0" applyFont="1" applyBorder="1"/>
    <xf numFmtId="0" fontId="11" fillId="0" borderId="18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16" xfId="0" applyFont="1" applyBorder="1"/>
    <xf numFmtId="0" fontId="11" fillId="0" borderId="2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14" fontId="0" fillId="0" borderId="16" xfId="0" applyNumberFormat="1" applyBorder="1" applyAlignment="1">
      <alignment horizontal="center" vertical="center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/>
    </xf>
    <xf numFmtId="0" fontId="0" fillId="0" borderId="26" xfId="0" applyBorder="1" applyAlignment="1">
      <alignment vertical="top"/>
    </xf>
    <xf numFmtId="0" fontId="2" fillId="3" borderId="0" xfId="0" applyFont="1" applyFill="1"/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4" fillId="3" borderId="21" xfId="6" applyFont="1" applyFill="1" applyBorder="1" applyAlignment="1">
      <alignment horizontal="center" vertical="center"/>
    </xf>
    <xf numFmtId="0" fontId="14" fillId="3" borderId="22" xfId="6" applyFont="1" applyFill="1" applyBorder="1" applyAlignment="1">
      <alignment horizontal="center" vertical="center"/>
    </xf>
    <xf numFmtId="0" fontId="14" fillId="3" borderId="23" xfId="6" applyFont="1" applyFill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18" fillId="0" borderId="21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21" fillId="0" borderId="21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21" xfId="0" applyFont="1" applyBorder="1" applyAlignment="1">
      <alignment horizontal="left" vertical="center" indent="1"/>
    </xf>
    <xf numFmtId="0" fontId="21" fillId="0" borderId="22" xfId="0" applyFont="1" applyBorder="1" applyAlignment="1">
      <alignment horizontal="left" vertical="center" indent="1"/>
    </xf>
    <xf numFmtId="0" fontId="21" fillId="0" borderId="23" xfId="0" applyFont="1" applyBorder="1" applyAlignment="1">
      <alignment horizontal="left" vertical="center" indent="1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2" xfId="0" applyFont="1" applyBorder="1" applyAlignment="1">
      <alignment horizontal="left" vertical="center"/>
    </xf>
    <xf numFmtId="0" fontId="21" fillId="0" borderId="21" xfId="0" quotePrefix="1" applyFont="1" applyBorder="1" applyAlignment="1">
      <alignment horizontal="left" vertical="center"/>
    </xf>
    <xf numFmtId="20" fontId="21" fillId="0" borderId="21" xfId="0" quotePrefix="1" applyNumberFormat="1" applyFont="1" applyBorder="1" applyAlignment="1">
      <alignment horizontal="left" vertical="center"/>
    </xf>
    <xf numFmtId="0" fontId="18" fillId="0" borderId="21" xfId="0" quotePrefix="1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18" fillId="0" borderId="21" xfId="0" quotePrefix="1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20" fontId="18" fillId="0" borderId="21" xfId="0" quotePrefix="1" applyNumberFormat="1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 wrapText="1"/>
    </xf>
    <xf numFmtId="0" fontId="18" fillId="0" borderId="21" xfId="0" quotePrefix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18" fillId="4" borderId="21" xfId="0" quotePrefix="1" applyFont="1" applyFill="1" applyBorder="1" applyAlignment="1">
      <alignment horizontal="left" vertical="center" wrapText="1"/>
    </xf>
    <xf numFmtId="0" fontId="18" fillId="4" borderId="22" xfId="0" quotePrefix="1" applyFont="1" applyFill="1" applyBorder="1" applyAlignment="1">
      <alignment horizontal="left" vertical="center" wrapText="1"/>
    </xf>
    <xf numFmtId="0" fontId="18" fillId="4" borderId="23" xfId="0" quotePrefix="1" applyFont="1" applyFill="1" applyBorder="1" applyAlignment="1">
      <alignment horizontal="left" vertical="center" wrapText="1"/>
    </xf>
    <xf numFmtId="0" fontId="8" fillId="6" borderId="21" xfId="0" applyFont="1" applyFill="1" applyBorder="1" applyAlignment="1">
      <alignment horizontal="left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0" fontId="18" fillId="0" borderId="22" xfId="0" quotePrefix="1" applyFont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/>
    </xf>
    <xf numFmtId="0" fontId="18" fillId="6" borderId="21" xfId="0" applyFont="1" applyFill="1" applyBorder="1" applyAlignment="1">
      <alignment horizontal="left" vertical="center"/>
    </xf>
    <xf numFmtId="0" fontId="18" fillId="6" borderId="22" xfId="0" applyFont="1" applyFill="1" applyBorder="1" applyAlignment="1">
      <alignment horizontal="left" vertical="center"/>
    </xf>
    <xf numFmtId="0" fontId="18" fillId="6" borderId="23" xfId="0" applyFont="1" applyFill="1" applyBorder="1" applyAlignment="1">
      <alignment horizontal="left" vertical="center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18" fillId="0" borderId="16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21" xfId="6" applyFont="1" applyBorder="1" applyAlignment="1">
      <alignment horizontal="center" vertical="center"/>
    </xf>
    <xf numFmtId="0" fontId="18" fillId="0" borderId="22" xfId="6" applyFont="1" applyBorder="1" applyAlignment="1">
      <alignment horizontal="center" vertical="center"/>
    </xf>
    <xf numFmtId="0" fontId="18" fillId="0" borderId="23" xfId="6" applyFont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21" fillId="0" borderId="21" xfId="0" quotePrefix="1" applyFont="1" applyBorder="1" applyAlignment="1">
      <alignment horizontal="left" vertical="center" wrapText="1"/>
    </xf>
    <xf numFmtId="0" fontId="2" fillId="3" borderId="21" xfId="6" applyFont="1" applyFill="1" applyBorder="1" applyAlignment="1">
      <alignment horizontal="center" vertical="center"/>
    </xf>
    <xf numFmtId="0" fontId="2" fillId="3" borderId="22" xfId="6" applyFont="1" applyFill="1" applyBorder="1" applyAlignment="1">
      <alignment horizontal="center" vertical="center"/>
    </xf>
    <xf numFmtId="0" fontId="2" fillId="3" borderId="23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224120</xdr:colOff>
      <xdr:row>10</xdr:row>
      <xdr:rowOff>0</xdr:rowOff>
    </xdr:from>
    <xdr:to>
      <xdr:col>10</xdr:col>
      <xdr:colOff>224120</xdr:colOff>
      <xdr:row>11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28800" y="2019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7</xdr:col>
      <xdr:colOff>0</xdr:colOff>
      <xdr:row>83</xdr:row>
      <xdr:rowOff>1</xdr:rowOff>
    </xdr:from>
    <xdr:to>
      <xdr:col>11</xdr:col>
      <xdr:colOff>2923</xdr:colOff>
      <xdr:row>85</xdr:row>
      <xdr:rowOff>0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866900" y="15925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235322</xdr:colOff>
      <xdr:row>31</xdr:row>
      <xdr:rowOff>11206</xdr:rowOff>
    </xdr:from>
    <xdr:to>
      <xdr:col>11</xdr:col>
      <xdr:colOff>235322</xdr:colOff>
      <xdr:row>36</xdr:row>
      <xdr:rowOff>0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571625" y="6029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2.2 レコードが存在している</a:t>
          </a:r>
        </a:p>
      </xdr:txBody>
    </xdr:sp>
    <xdr:clientData/>
  </xdr:twoCellAnchor>
  <xdr:twoCellAnchor>
    <xdr:from>
      <xdr:col>7</xdr:col>
      <xdr:colOff>235322</xdr:colOff>
      <xdr:row>36</xdr:row>
      <xdr:rowOff>0</xdr:rowOff>
    </xdr:from>
    <xdr:to>
      <xdr:col>9</xdr:col>
      <xdr:colOff>235322</xdr:colOff>
      <xdr:row>37</xdr:row>
      <xdr:rowOff>0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105025" y="697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209503</xdr:colOff>
      <xdr:row>33</xdr:row>
      <xdr:rowOff>0</xdr:rowOff>
    </xdr:from>
    <xdr:to>
      <xdr:col>13</xdr:col>
      <xdr:colOff>189038</xdr:colOff>
      <xdr:row>34</xdr:row>
      <xdr:rowOff>19488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143250" y="6400800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189038</xdr:colOff>
      <xdr:row>33</xdr:row>
      <xdr:rowOff>104994</xdr:rowOff>
    </xdr:from>
    <xdr:to>
      <xdr:col>25</xdr:col>
      <xdr:colOff>1</xdr:colOff>
      <xdr:row>40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28" idx="0"/>
        </xdr:cNvCxnSpPr>
      </xdr:nvCxnSpPr>
      <xdr:spPr>
        <a:xfrm>
          <a:off x="3657600" y="6505575"/>
          <a:ext cx="3009900" cy="12287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235323</xdr:colOff>
      <xdr:row>37</xdr:row>
      <xdr:rowOff>0</xdr:rowOff>
    </xdr:from>
    <xdr:to>
      <xdr:col>9</xdr:col>
      <xdr:colOff>0</xdr:colOff>
      <xdr:row>40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24" idx="0"/>
        </xdr:cNvCxnSpPr>
      </xdr:nvCxnSpPr>
      <xdr:spPr>
        <a:xfrm>
          <a:off x="2371725" y="71628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224120</xdr:colOff>
      <xdr:row>11</xdr:row>
      <xdr:rowOff>179294</xdr:rowOff>
    </xdr:from>
    <xdr:to>
      <xdr:col>9</xdr:col>
      <xdr:colOff>0</xdr:colOff>
      <xdr:row>15</xdr:row>
      <xdr:rowOff>11206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143" idx="0"/>
        </xdr:cNvCxnSpPr>
      </xdr:nvCxnSpPr>
      <xdr:spPr>
        <a:xfrm>
          <a:off x="2362200" y="2390775"/>
          <a:ext cx="3810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235321</xdr:colOff>
      <xdr:row>24</xdr:row>
      <xdr:rowOff>0</xdr:rowOff>
    </xdr:from>
    <xdr:to>
      <xdr:col>11</xdr:col>
      <xdr:colOff>235321</xdr:colOff>
      <xdr:row>28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571625" y="468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data store配列ループ</a:t>
          </a:r>
        </a:p>
      </xdr:txBody>
    </xdr:sp>
    <xdr:clientData/>
  </xdr:twoCellAnchor>
  <xdr:twoCellAnchor>
    <xdr:from>
      <xdr:col>8</xdr:col>
      <xdr:colOff>235322</xdr:colOff>
      <xdr:row>28</xdr:row>
      <xdr:rowOff>0</xdr:rowOff>
    </xdr:from>
    <xdr:to>
      <xdr:col>8</xdr:col>
      <xdr:colOff>235323</xdr:colOff>
      <xdr:row>31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2" idx="2"/>
          <a:endCxn id="7" idx="0"/>
        </xdr:cNvCxnSpPr>
      </xdr:nvCxnSpPr>
      <xdr:spPr>
        <a:xfrm>
          <a:off x="2371725" y="5448300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0</xdr:rowOff>
    </xdr:from>
    <xdr:to>
      <xdr:col>12</xdr:col>
      <xdr:colOff>0</xdr:colOff>
      <xdr:row>45</xdr:row>
      <xdr:rowOff>0</xdr:rowOff>
    </xdr:to>
    <xdr:sp macro="" textlink="" fLocksText="0">
      <xdr:nvSpPr>
        <xdr:cNvPr id="24" name="Flowchart: Decisio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600200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 anchorCtr="0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 .1 operation_type</a:t>
          </a:r>
        </a:p>
      </xdr:txBody>
    </xdr:sp>
    <xdr:clientData/>
  </xdr:twoCellAnchor>
  <xdr:twoCellAnchor>
    <xdr:from>
      <xdr:col>6</xdr:col>
      <xdr:colOff>235323</xdr:colOff>
      <xdr:row>45</xdr:row>
      <xdr:rowOff>0</xdr:rowOff>
    </xdr:from>
    <xdr:to>
      <xdr:col>11</xdr:col>
      <xdr:colOff>0</xdr:colOff>
      <xdr:row>46</xdr:row>
      <xdr:rowOff>0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838325" y="8686800"/>
          <a:ext cx="10953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224116</xdr:colOff>
      <xdr:row>42</xdr:row>
      <xdr:rowOff>0</xdr:rowOff>
    </xdr:from>
    <xdr:to>
      <xdr:col>14</xdr:col>
      <xdr:colOff>0</xdr:colOff>
      <xdr:row>43</xdr:row>
      <xdr:rowOff>0</xdr:rowOff>
    </xdr:to>
    <xdr:sp macro="" textlink="" fLocksText="0">
      <xdr:nvSpPr>
        <xdr:cNvPr id="27" name="Flowchart: Process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3162300" y="8115300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22</xdr:col>
      <xdr:colOff>0</xdr:colOff>
      <xdr:row>40</xdr:row>
      <xdr:rowOff>0</xdr:rowOff>
    </xdr:from>
    <xdr:to>
      <xdr:col>28</xdr:col>
      <xdr:colOff>0</xdr:colOff>
      <xdr:row>45</xdr:row>
      <xdr:rowOff>0</xdr:rowOff>
    </xdr:to>
    <xdr:sp macro="" textlink="" fLocksText="0">
      <xdr:nvSpPr>
        <xdr:cNvPr id="28" name="Flowchart: Decision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867400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 .2 operation_type</a:t>
          </a:r>
          <a:endParaRPr lang="en-US" sz="9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0</xdr:colOff>
      <xdr:row>45</xdr:row>
      <xdr:rowOff>0</xdr:rowOff>
    </xdr:from>
    <xdr:to>
      <xdr:col>27</xdr:col>
      <xdr:colOff>0</xdr:colOff>
      <xdr:row>46</xdr:row>
      <xdr:rowOff>0</xdr:rowOff>
    </xdr:to>
    <xdr:sp macro="" textlink="" fLocksText="0">
      <xdr:nvSpPr>
        <xdr:cNvPr id="29" name="Flowchart: Process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6134100" y="8686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224117</xdr:colOff>
      <xdr:row>42</xdr:row>
      <xdr:rowOff>0</xdr:rowOff>
    </xdr:from>
    <xdr:to>
      <xdr:col>30</xdr:col>
      <xdr:colOff>0</xdr:colOff>
      <xdr:row>43</xdr:row>
      <xdr:rowOff>0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7429500" y="8115300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6</xdr:col>
      <xdr:colOff>0</xdr:colOff>
      <xdr:row>50</xdr:row>
      <xdr:rowOff>0</xdr:rowOff>
    </xdr:from>
    <xdr:to>
      <xdr:col>12</xdr:col>
      <xdr:colOff>0</xdr:colOff>
      <xdr:row>54</xdr:row>
      <xdr:rowOff>0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6002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4.1 店舗編集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21</xdr:col>
      <xdr:colOff>0</xdr:colOff>
      <xdr:row>54</xdr:row>
      <xdr:rowOff>0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40005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4.2 店舗削除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42</xdr:row>
      <xdr:rowOff>95250</xdr:rowOff>
    </xdr:from>
    <xdr:to>
      <xdr:col>18</xdr:col>
      <xdr:colOff>0</xdr:colOff>
      <xdr:row>50</xdr:row>
      <xdr:rowOff>0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27" idx="3"/>
          <a:endCxn id="49" idx="0"/>
        </xdr:cNvCxnSpPr>
      </xdr:nvCxnSpPr>
      <xdr:spPr>
        <a:xfrm>
          <a:off x="3733800" y="8210550"/>
          <a:ext cx="1066800" cy="1428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50</xdr:row>
      <xdr:rowOff>0</xdr:rowOff>
    </xdr:from>
    <xdr:to>
      <xdr:col>28</xdr:col>
      <xdr:colOff>0</xdr:colOff>
      <xdr:row>54</xdr:row>
      <xdr:rowOff>0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58674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4.3 店舗新規作成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25</xdr:col>
      <xdr:colOff>0</xdr:colOff>
      <xdr:row>46</xdr:row>
      <xdr:rowOff>0</xdr:rowOff>
    </xdr:from>
    <xdr:to>
      <xdr:col>25</xdr:col>
      <xdr:colOff>1</xdr:colOff>
      <xdr:row>50</xdr:row>
      <xdr:rowOff>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29" idx="2"/>
          <a:endCxn id="56" idx="0"/>
        </xdr:cNvCxnSpPr>
      </xdr:nvCxnSpPr>
      <xdr:spPr>
        <a:xfrm>
          <a:off x="6667500" y="8877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66</xdr:row>
      <xdr:rowOff>11207</xdr:rowOff>
    </xdr:from>
    <xdr:to>
      <xdr:col>32</xdr:col>
      <xdr:colOff>0</xdr:colOff>
      <xdr:row>67</xdr:row>
      <xdr:rowOff>0</xdr:rowOff>
    </xdr:to>
    <xdr:sp macro="" textlink="" fLocksText="0">
      <xdr:nvSpPr>
        <xdr:cNvPr id="66" name="Flowchart: Process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8001000" y="12696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0</xdr:colOff>
      <xdr:row>42</xdr:row>
      <xdr:rowOff>95250</xdr:rowOff>
    </xdr:from>
    <xdr:to>
      <xdr:col>31</xdr:col>
      <xdr:colOff>1</xdr:colOff>
      <xdr:row>66</xdr:row>
      <xdr:rowOff>11207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30" idx="3"/>
          <a:endCxn id="66" idx="0"/>
        </xdr:cNvCxnSpPr>
      </xdr:nvCxnSpPr>
      <xdr:spPr>
        <a:xfrm>
          <a:off x="8001000" y="8210550"/>
          <a:ext cx="266700" cy="4486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60</xdr:row>
      <xdr:rowOff>0</xdr:rowOff>
    </xdr:from>
    <xdr:to>
      <xdr:col>12</xdr:col>
      <xdr:colOff>1</xdr:colOff>
      <xdr:row>65</xdr:row>
      <xdr:rowOff>0</xdr:rowOff>
    </xdr:to>
    <xdr:sp macro="" textlink="" fLocksText="0">
      <xdr:nvSpPr>
        <xdr:cNvPr id="70" name="Flowchart: Decision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1600200" y="1154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成功：</a:t>
          </a:r>
        </a:p>
      </xdr:txBody>
    </xdr:sp>
    <xdr:clientData/>
  </xdr:twoCellAnchor>
  <xdr:twoCellAnchor>
    <xdr:from>
      <xdr:col>8</xdr:col>
      <xdr:colOff>1</xdr:colOff>
      <xdr:row>65</xdr:row>
      <xdr:rowOff>0</xdr:rowOff>
    </xdr:from>
    <xdr:to>
      <xdr:col>10</xdr:col>
      <xdr:colOff>1</xdr:colOff>
      <xdr:row>66</xdr:row>
      <xdr:rowOff>0</xdr:rowOff>
    </xdr:to>
    <xdr:sp macro="" textlink="" fLocksText="0">
      <xdr:nvSpPr>
        <xdr:cNvPr id="71" name="Flowchart: Process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2133600" y="1249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12</xdr:col>
      <xdr:colOff>1</xdr:colOff>
      <xdr:row>62</xdr:row>
      <xdr:rowOff>0</xdr:rowOff>
    </xdr:from>
    <xdr:to>
      <xdr:col>14</xdr:col>
      <xdr:colOff>1</xdr:colOff>
      <xdr:row>63</xdr:row>
      <xdr:rowOff>0</xdr:rowOff>
    </xdr:to>
    <xdr:sp macro="" textlink="" fLocksText="0">
      <xdr:nvSpPr>
        <xdr:cNvPr id="72" name="Flowchart: Process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3200400" y="1192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0</xdr:colOff>
      <xdr:row>60</xdr:row>
      <xdr:rowOff>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>
          <a:stCxn id="45" idx="2"/>
          <a:endCxn id="70" idx="0"/>
        </xdr:cNvCxnSpPr>
      </xdr:nvCxnSpPr>
      <xdr:spPr>
        <a:xfrm>
          <a:off x="2400300" y="10401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1</xdr:colOff>
      <xdr:row>71</xdr:row>
      <xdr:rowOff>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71" idx="2"/>
          <a:endCxn id="82" idx="0"/>
        </xdr:cNvCxnSpPr>
      </xdr:nvCxnSpPr>
      <xdr:spPr>
        <a:xfrm flipH="1">
          <a:off x="2400300" y="12687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71</xdr:row>
      <xdr:rowOff>0</xdr:rowOff>
    </xdr:from>
    <xdr:to>
      <xdr:col>12</xdr:col>
      <xdr:colOff>0</xdr:colOff>
      <xdr:row>76</xdr:row>
      <xdr:rowOff>0</xdr:rowOff>
    </xdr:to>
    <xdr:sp macro="" textlink="" fLocksText="0">
      <xdr:nvSpPr>
        <xdr:cNvPr id="82" name="Flowchart: Decision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1600200" y="13639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store配列の最後要素であるかを確認する。</a:t>
          </a:r>
        </a:p>
      </xdr:txBody>
    </xdr:sp>
    <xdr:clientData/>
  </xdr:twoCellAnchor>
  <xdr:twoCellAnchor>
    <xdr:from>
      <xdr:col>8</xdr:col>
      <xdr:colOff>0</xdr:colOff>
      <xdr:row>75</xdr:row>
      <xdr:rowOff>180975</xdr:rowOff>
    </xdr:from>
    <xdr:to>
      <xdr:col>10</xdr:col>
      <xdr:colOff>0</xdr:colOff>
      <xdr:row>77</xdr:row>
      <xdr:rowOff>0</xdr:rowOff>
    </xdr:to>
    <xdr:sp macro="" textlink="" fLocksText="0">
      <xdr:nvSpPr>
        <xdr:cNvPr id="83" name="Flowchart: Process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2133600" y="145827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212912</xdr:colOff>
      <xdr:row>73</xdr:row>
      <xdr:rowOff>0</xdr:rowOff>
    </xdr:from>
    <xdr:to>
      <xdr:col>5</xdr:col>
      <xdr:colOff>212912</xdr:colOff>
      <xdr:row>74</xdr:row>
      <xdr:rowOff>0</xdr:rowOff>
    </xdr:to>
    <xdr:sp macro="" textlink="" fLocksText="0">
      <xdr:nvSpPr>
        <xdr:cNvPr id="84" name="Flowchart: Process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1009650" y="1402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18</xdr:col>
      <xdr:colOff>0</xdr:colOff>
      <xdr:row>60</xdr:row>
      <xdr:rowOff>0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49" idx="2"/>
          <a:endCxn id="70" idx="0"/>
        </xdr:cNvCxnSpPr>
      </xdr:nvCxnSpPr>
      <xdr:spPr>
        <a:xfrm rot="5400000">
          <a:off x="2400300" y="10401300"/>
          <a:ext cx="24003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54</xdr:row>
      <xdr:rowOff>1</xdr:rowOff>
    </xdr:from>
    <xdr:to>
      <xdr:col>25</xdr:col>
      <xdr:colOff>1</xdr:colOff>
      <xdr:row>60</xdr:row>
      <xdr:rowOff>1</xdr:rowOff>
    </xdr:to>
    <xdr:cxnSp macro="">
      <xdr:nvCxnSpPr>
        <xdr:cNvPr id="89" name="Connector: Elbow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56" idx="2"/>
          <a:endCxn id="70" idx="0"/>
        </xdr:cNvCxnSpPr>
      </xdr:nvCxnSpPr>
      <xdr:spPr>
        <a:xfrm rot="5400000">
          <a:off x="2400300" y="10401300"/>
          <a:ext cx="42672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62</xdr:row>
      <xdr:rowOff>95250</xdr:rowOff>
    </xdr:from>
    <xdr:to>
      <xdr:col>33</xdr:col>
      <xdr:colOff>1</xdr:colOff>
      <xdr:row>76</xdr:row>
      <xdr:rowOff>11207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72" idx="3"/>
          <a:endCxn id="102" idx="0"/>
        </xdr:cNvCxnSpPr>
      </xdr:nvCxnSpPr>
      <xdr:spPr>
        <a:xfrm>
          <a:off x="3733800" y="12020550"/>
          <a:ext cx="5067300" cy="2581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67</xdr:row>
      <xdr:rowOff>0</xdr:rowOff>
    </xdr:from>
    <xdr:to>
      <xdr:col>31</xdr:col>
      <xdr:colOff>1</xdr:colOff>
      <xdr:row>71</xdr:row>
      <xdr:rowOff>0</xdr:rowOff>
    </xdr:to>
    <xdr:cxnSp macro="">
      <xdr:nvCxnSpPr>
        <xdr:cNvPr id="97" name="Connector: Elbow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CxnSpPr>
          <a:stCxn id="66" idx="2"/>
          <a:endCxn id="82" idx="0"/>
        </xdr:cNvCxnSpPr>
      </xdr:nvCxnSpPr>
      <xdr:spPr>
        <a:xfrm rot="5400000">
          <a:off x="2400300" y="12877800"/>
          <a:ext cx="58674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76</xdr:row>
      <xdr:rowOff>11207</xdr:rowOff>
    </xdr:from>
    <xdr:to>
      <xdr:col>34</xdr:col>
      <xdr:colOff>0</xdr:colOff>
      <xdr:row>77</xdr:row>
      <xdr:rowOff>0</xdr:rowOff>
    </xdr:to>
    <xdr:sp macro="" textlink="" fLocksText="0">
      <xdr:nvSpPr>
        <xdr:cNvPr id="102" name="Flowchart: Process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8534400" y="14601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1463</xdr:colOff>
      <xdr:row>77</xdr:row>
      <xdr:rowOff>0</xdr:rowOff>
    </xdr:from>
    <xdr:to>
      <xdr:col>33</xdr:col>
      <xdr:colOff>2</xdr:colOff>
      <xdr:row>83</xdr:row>
      <xdr:rowOff>1</xdr:rowOff>
    </xdr:to>
    <xdr:cxnSp macro="">
      <xdr:nvCxnSpPr>
        <xdr:cNvPr id="105" name="Connector: Elbow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CxnSpPr>
          <a:stCxn id="102" idx="2"/>
          <a:endCxn id="6" idx="0"/>
        </xdr:cNvCxnSpPr>
      </xdr:nvCxnSpPr>
      <xdr:spPr>
        <a:xfrm rot="5400000">
          <a:off x="2400300" y="14782800"/>
          <a:ext cx="64008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77</xdr:row>
      <xdr:rowOff>0</xdr:rowOff>
    </xdr:from>
    <xdr:to>
      <xdr:col>9</xdr:col>
      <xdr:colOff>1462</xdr:colOff>
      <xdr:row>83</xdr:row>
      <xdr:rowOff>1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CxnSpPr>
          <a:stCxn id="83" idx="2"/>
          <a:endCxn id="6" idx="0"/>
        </xdr:cNvCxnSpPr>
      </xdr:nvCxnSpPr>
      <xdr:spPr>
        <a:xfrm>
          <a:off x="2400300" y="14782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26</xdr:row>
      <xdr:rowOff>0</xdr:rowOff>
    </xdr:from>
    <xdr:to>
      <xdr:col>5</xdr:col>
      <xdr:colOff>235321</xdr:colOff>
      <xdr:row>73</xdr:row>
      <xdr:rowOff>95250</xdr:rowOff>
    </xdr:to>
    <xdr:cxnSp macro="">
      <xdr:nvCxnSpPr>
        <xdr:cNvPr id="118" name="Connector: Elbow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>
          <a:stCxn id="84" idx="1"/>
          <a:endCxn id="2" idx="1"/>
        </xdr:cNvCxnSpPr>
      </xdr:nvCxnSpPr>
      <xdr:spPr>
        <a:xfrm rot="10800000" flipH="1">
          <a:off x="1009650" y="5067300"/>
          <a:ext cx="561975" cy="9048750"/>
        </a:xfrm>
        <a:prstGeom prst="bentConnector3">
          <a:avLst>
            <a:gd name="adj1" fmla="val -4636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0</xdr:rowOff>
    </xdr:from>
    <xdr:to>
      <xdr:col>62</xdr:col>
      <xdr:colOff>0</xdr:colOff>
      <xdr:row>28</xdr:row>
      <xdr:rowOff>0</xdr:rowOff>
    </xdr:to>
    <xdr:sp macro="" textlink="" fLocksText="0">
      <xdr:nvSpPr>
        <xdr:cNvPr id="123" name="吹き出し: 線 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9334500" y="50673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6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data store配列の各レコードをループする。</a:t>
          </a:r>
        </a:p>
      </xdr:txBody>
    </xdr:sp>
    <xdr:clientData/>
  </xdr:twoCellAnchor>
  <xdr:twoCellAnchor>
    <xdr:from>
      <xdr:col>35</xdr:col>
      <xdr:colOff>0</xdr:colOff>
      <xdr:row>30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125" name="吹き出し: 線 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9334500" y="5829300"/>
          <a:ext cx="7200900" cy="762000"/>
        </a:xfrm>
        <a:prstGeom prst="borderCallout1">
          <a:avLst>
            <a:gd name="adj1" fmla="val 49926"/>
            <a:gd name="adj2" fmla="val -59"/>
            <a:gd name="adj3" fmla="val 119399"/>
            <a:gd name="adj4" fmla="val -9195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2.2.対象レコードが存在しているかを確認する。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▪存在している場合、「3.1 operation_type」のバリデーションチェックを行う。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▪存在していない場合、「3.2 operation_type」のバリデーションチェックを行う。</a:t>
          </a:r>
        </a:p>
      </xdr:txBody>
    </xdr:sp>
    <xdr:clientData/>
  </xdr:twoCellAnchor>
  <xdr:twoCellAnchor>
    <xdr:from>
      <xdr:col>35</xdr:col>
      <xdr:colOff>0</xdr:colOff>
      <xdr:row>35</xdr:row>
      <xdr:rowOff>0</xdr:rowOff>
    </xdr:from>
    <xdr:to>
      <xdr:col>62</xdr:col>
      <xdr:colOff>0</xdr:colOff>
      <xdr:row>40</xdr:row>
      <xdr:rowOff>11206</xdr:rowOff>
    </xdr:to>
    <xdr:sp macro="" textlink="" fLocksText="0">
      <xdr:nvSpPr>
        <xdr:cNvPr id="126" name="吹き出し: 線 2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9334500" y="6781800"/>
          <a:ext cx="7200900" cy="962025"/>
        </a:xfrm>
        <a:prstGeom prst="borderCallout1">
          <a:avLst>
            <a:gd name="adj1" fmla="val 49926"/>
            <a:gd name="adj2" fmla="val -59"/>
            <a:gd name="adj3" fmla="val 132628"/>
            <a:gd name="adj4" fmla="val -9223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3.1. 対象レコードが編集・新規作成か削除かを確認する。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(編集) 又はoperation_type = 1 (新規)の場合、[4.1 店舗編集]ステップを実行する。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(レコード削除)の場合、[4.2 店舗削除]ステップを実行する。</a:t>
          </a:r>
        </a:p>
      </xdr:txBody>
    </xdr:sp>
    <xdr:clientData/>
  </xdr:twoCellAnchor>
  <xdr:twoCellAnchor>
    <xdr:from>
      <xdr:col>35</xdr:col>
      <xdr:colOff>0</xdr:colOff>
      <xdr:row>41</xdr:row>
      <xdr:rowOff>0</xdr:rowOff>
    </xdr:from>
    <xdr:to>
      <xdr:col>62</xdr:col>
      <xdr:colOff>0</xdr:colOff>
      <xdr:row>47</xdr:row>
      <xdr:rowOff>0</xdr:rowOff>
    </xdr:to>
    <xdr:sp macro="" textlink="" fLocksText="0">
      <xdr:nvSpPr>
        <xdr:cNvPr id="127" name="吹き出し: 線 2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/>
      </xdr:nvSpPr>
      <xdr:spPr>
        <a:xfrm>
          <a:off x="9334500" y="7924800"/>
          <a:ext cx="7200900" cy="1143000"/>
        </a:xfrm>
        <a:prstGeom prst="borderCallout1">
          <a:avLst>
            <a:gd name="adj1" fmla="val 49926"/>
            <a:gd name="adj2" fmla="val -59"/>
            <a:gd name="adj3" fmla="val 19837"/>
            <a:gd name="adj4" fmla="val -308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3.2. 対象レコードが編集・新規作成か削除かを確認する。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(編集) 又はoperation_type = 1 (新規)の場合、[4.3 店舗新規作成]ステップを実行する。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(レコード削除)の場合、[6.store配列の最後要素であるかを確認する]ステップを実行する。</a:t>
          </a:r>
        </a:p>
      </xdr:txBody>
    </xdr:sp>
    <xdr:clientData/>
  </xdr:twoCellAnchor>
  <xdr:twoCellAnchor>
    <xdr:from>
      <xdr:col>35</xdr:col>
      <xdr:colOff>0</xdr:colOff>
      <xdr:row>48</xdr:row>
      <xdr:rowOff>179293</xdr:rowOff>
    </xdr:from>
    <xdr:to>
      <xdr:col>62</xdr:col>
      <xdr:colOff>0</xdr:colOff>
      <xdr:row>57</xdr:row>
      <xdr:rowOff>11206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9439275"/>
          <a:ext cx="7200900" cy="1543050"/>
        </a:xfrm>
        <a:prstGeom prst="borderCallout1">
          <a:avLst>
            <a:gd name="adj1" fmla="val 51887"/>
            <a:gd name="adj2" fmla="val 470"/>
            <a:gd name="adj3" fmla="val 52264"/>
            <a:gd name="adj4" fmla="val -912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4.1 AP8205シートに記載されたマッピング情報に基づいて店舗を編集する。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4.3 AP8205シートに記載されたマッピング情報に基づいて店舗を新規作成する。</a:t>
          </a:r>
          <a:r>
            <a:rPr lang="en-US" altLang="ja-JP" sz="1000" b="0" i="0" u="none" strike="sngStrik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新規作成された店舗コードと管理者権限を持つユーザーで、UserStoreテーブルにレコードを追加する。会社800の場合、以下のマスターメッセージレコードを1件作成する。comany_code = 800、store_code = 作成されたstore_code、code = 99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4.2: 店舗削除：</a:t>
          </a:r>
          <a:r>
            <a:rPr lang="en-US" altLang="ja-JP" sz="1000" b="0" i="0" u="none" baseline="0">
              <a:solidFill>
                <a:srgbClr val="00B0F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stores、store_paymentテーブル</a:t>
          </a:r>
          <a:r>
            <a: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のrecord_void_flagを1に更新する。</a:t>
          </a:r>
        </a:p>
      </xdr:txBody>
    </xdr:sp>
    <xdr:clientData/>
  </xdr:twoCellAnchor>
  <xdr:twoCellAnchor>
    <xdr:from>
      <xdr:col>35</xdr:col>
      <xdr:colOff>0</xdr:colOff>
      <xdr:row>60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128" name="吹き出し: 線 2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9334500" y="11544300"/>
          <a:ext cx="7200900" cy="952500"/>
        </a:xfrm>
        <a:prstGeom prst="borderCallout1">
          <a:avLst>
            <a:gd name="adj1" fmla="val 52084"/>
            <a:gd name="adj2" fmla="val 118"/>
            <a:gd name="adj3" fmla="val 54523"/>
            <a:gd name="adj4" fmla="val -8983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店舗新規作成・編集・削除の状態確認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▪成功の場合、[6.store配列の最後要素であるかを確認する]ステップを実行する。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71</xdr:row>
      <xdr:rowOff>0</xdr:rowOff>
    </xdr:from>
    <xdr:to>
      <xdr:col>62</xdr:col>
      <xdr:colOff>0</xdr:colOff>
      <xdr:row>74</xdr:row>
      <xdr:rowOff>188819</xdr:rowOff>
    </xdr:to>
    <xdr:sp macro="" textlink="" fLocksText="0">
      <xdr:nvSpPr>
        <xdr:cNvPr id="129" name="吹き出し: 線 2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9334500" y="13639800"/>
          <a:ext cx="7200900" cy="762000"/>
        </a:xfrm>
        <a:prstGeom prst="borderCallout1">
          <a:avLst>
            <a:gd name="adj1" fmla="val 51201"/>
            <a:gd name="adj2" fmla="val -58"/>
            <a:gd name="adj3" fmla="val 49569"/>
            <a:gd name="adj4" fmla="val -9014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最後の要素の場合、respose code = 200を返す。API処理を終了する。</a:t>
          </a:r>
        </a:p>
      </xdr:txBody>
    </xdr:sp>
    <xdr:clientData/>
  </xdr:twoCellAnchor>
  <xdr:twoCellAnchor>
    <xdr:from>
      <xdr:col>8</xdr:col>
      <xdr:colOff>235322</xdr:colOff>
      <xdr:row>21</xdr:row>
      <xdr:rowOff>0</xdr:rowOff>
    </xdr:from>
    <xdr:to>
      <xdr:col>9</xdr:col>
      <xdr:colOff>0</xdr:colOff>
      <xdr:row>24</xdr:row>
      <xdr:rowOff>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CxnSpPr>
          <a:stCxn id="144" idx="2"/>
          <a:endCxn id="2" idx="0"/>
        </xdr:cNvCxnSpPr>
      </xdr:nvCxnSpPr>
      <xdr:spPr>
        <a:xfrm flipH="1">
          <a:off x="2371725" y="4114800"/>
          <a:ext cx="28575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</xdr:row>
      <xdr:rowOff>0</xdr:rowOff>
    </xdr:from>
    <xdr:to>
      <xdr:col>62</xdr:col>
      <xdr:colOff>0</xdr:colOff>
      <xdr:row>24</xdr:row>
      <xdr:rowOff>11206</xdr:rowOff>
    </xdr:to>
    <xdr:sp macro="" textlink="" fLocksText="0">
      <xdr:nvSpPr>
        <xdr:cNvPr id="142" name="吹き出し: 線 2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9334500" y="2019300"/>
          <a:ext cx="7200900" cy="2676525"/>
        </a:xfrm>
        <a:prstGeom prst="borderCallout1">
          <a:avLst>
            <a:gd name="adj1" fmla="val 49926"/>
            <a:gd name="adj2" fmla="val -59"/>
            <a:gd name="adj3" fmla="val 49561"/>
            <a:gd name="adj4" fmla="val -9089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1。ユーザーが操作権限を持っているかを確認する。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ユーザーが店舗権限</a:t>
          </a: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（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02</a:t>
          </a: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）または本部権限（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01</a:t>
          </a:r>
          <a:r>
            <a:rPr lang="ja-JP" altLang="en-US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）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を持つ場合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、data store配列内の各項目のoperation_typeを確認する。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1 (新規作成)又はoperation_type = 3（削除）の場合：レスポンスコード = 403を返し、処理を終了する。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 (編集)かつstore code != User.store_codeの場合、レスポンスコード = 403を返し、処理を終了する。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・上記以外の場合、ステップ2（data store配列のループ）を実行する。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▪ユーザーがシステム権限を持つ場合</a:t>
          </a:r>
          <a:r>
            <a: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(role_code = '00'</a:t>
          </a: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又は'01</a:t>
          </a:r>
          <a:r>
            <a: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'): </a:t>
          </a:r>
          <a:r>
            <a:rPr lang="en-US" altLang="ja-JP" sz="1000" b="0" i="0" u="none" strike="sngStrik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data store配列内で以下の条件を確認する。operation_type = 2 (編集)又はoperation_type = 3 (削除) かつ店舗コードが操作権限のあるユーザーの店舗コード(UserStoreテーブル) に属している場合、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ステップ「2.data store配列ループ」を実行する。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・上記以外の場合、レスポンスコード = 403を返し、処理を終了する。</a:t>
          </a:r>
        </a:p>
      </xdr:txBody>
    </xdr:sp>
    <xdr:clientData/>
  </xdr:twoCellAnchor>
  <xdr:twoCellAnchor>
    <xdr:from>
      <xdr:col>6</xdr:col>
      <xdr:colOff>0</xdr:colOff>
      <xdr:row>15</xdr:row>
      <xdr:rowOff>11206</xdr:rowOff>
    </xdr:from>
    <xdr:to>
      <xdr:col>12</xdr:col>
      <xdr:colOff>0</xdr:colOff>
      <xdr:row>20</xdr:row>
      <xdr:rowOff>0</xdr:rowOff>
    </xdr:to>
    <xdr:sp macro="" textlink="" fLocksText="0">
      <xdr:nvSpPr>
        <xdr:cNvPr id="143" name="Flowchart: Decision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/>
      </xdr:nvSpPr>
      <xdr:spPr>
        <a:xfrm>
          <a:off x="1600200" y="298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 anchorCtr="0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操作権限が持つ</a:t>
          </a:r>
        </a:p>
      </xdr:txBody>
    </xdr:sp>
    <xdr:clientData/>
  </xdr:twoCellAnchor>
  <xdr:twoCellAnchor>
    <xdr:from>
      <xdr:col>8</xdr:col>
      <xdr:colOff>0</xdr:colOff>
      <xdr:row>20</xdr:row>
      <xdr:rowOff>0</xdr:rowOff>
    </xdr:from>
    <xdr:to>
      <xdr:col>10</xdr:col>
      <xdr:colOff>0</xdr:colOff>
      <xdr:row>21</xdr:row>
      <xdr:rowOff>0</xdr:rowOff>
    </xdr:to>
    <xdr:sp macro="" textlink="" fLocksText="0">
      <xdr:nvSpPr>
        <xdr:cNvPr id="144" name="Flowchart: Process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2133600" y="392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209504</xdr:colOff>
      <xdr:row>17</xdr:row>
      <xdr:rowOff>0</xdr:rowOff>
    </xdr:from>
    <xdr:to>
      <xdr:col>13</xdr:col>
      <xdr:colOff>189039</xdr:colOff>
      <xdr:row>18</xdr:row>
      <xdr:rowOff>19488</xdr:rowOff>
    </xdr:to>
    <xdr:sp macro="" textlink="" fLocksText="0">
      <xdr:nvSpPr>
        <xdr:cNvPr id="145" name="Flowchart: Process 14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3143250" y="3352800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189039</xdr:colOff>
      <xdr:row>17</xdr:row>
      <xdr:rowOff>104994</xdr:rowOff>
    </xdr:from>
    <xdr:to>
      <xdr:col>33</xdr:col>
      <xdr:colOff>1</xdr:colOff>
      <xdr:row>76</xdr:row>
      <xdr:rowOff>11207</xdr:rowOff>
    </xdr:to>
    <xdr:cxnSp macro="">
      <xdr:nvCxnSpPr>
        <xdr:cNvPr id="146" name="Connector: Elbow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>
          <a:stCxn id="145" idx="3"/>
          <a:endCxn id="102" idx="0"/>
        </xdr:cNvCxnSpPr>
      </xdr:nvCxnSpPr>
      <xdr:spPr>
        <a:xfrm>
          <a:off x="3657600" y="3457575"/>
          <a:ext cx="5143500" cy="11144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46</xdr:row>
      <xdr:rowOff>0</xdr:rowOff>
    </xdr:from>
    <xdr:to>
      <xdr:col>9</xdr:col>
      <xdr:colOff>0</xdr:colOff>
      <xdr:row>50</xdr:row>
      <xdr:rowOff>0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CxnSpPr>
          <a:stCxn id="26" idx="2"/>
          <a:endCxn id="45" idx="0"/>
        </xdr:cNvCxnSpPr>
      </xdr:nvCxnSpPr>
      <xdr:spPr>
        <a:xfrm>
          <a:off x="2400300" y="8877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37" customWidth="1"/>
    <col min="61" max="16384" width="2.77734375" style="37"/>
  </cols>
  <sheetData>
    <row r="1" spans="1:63" ht="24.95" customHeight="1" x14ac:dyDescent="0.25">
      <c r="A1" s="93" t="s">
        <v>95</v>
      </c>
      <c r="B1" s="94"/>
      <c r="C1" s="94"/>
      <c r="D1" s="94"/>
      <c r="E1" s="94"/>
      <c r="F1" s="94"/>
      <c r="G1" s="94"/>
      <c r="H1" s="94"/>
      <c r="I1" s="94"/>
      <c r="J1" s="95"/>
      <c r="K1" s="93" t="s">
        <v>96</v>
      </c>
      <c r="L1" s="94"/>
      <c r="M1" s="94"/>
      <c r="N1" s="94"/>
      <c r="O1" s="94"/>
      <c r="P1" s="94"/>
      <c r="Q1" s="94"/>
      <c r="R1" s="94"/>
      <c r="S1" s="94"/>
      <c r="T1" s="94"/>
      <c r="U1" s="94"/>
      <c r="V1" s="95"/>
      <c r="W1" s="115" t="s">
        <v>91</v>
      </c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7"/>
      <c r="AP1" s="93" t="s">
        <v>97</v>
      </c>
      <c r="AQ1" s="94"/>
      <c r="AR1" s="94"/>
      <c r="AS1" s="95"/>
      <c r="AT1" s="93" t="s">
        <v>98</v>
      </c>
      <c r="AU1" s="94"/>
      <c r="AV1" s="94"/>
      <c r="AW1" s="94"/>
      <c r="AX1" s="95"/>
      <c r="AY1" s="93" t="s">
        <v>99</v>
      </c>
      <c r="AZ1" s="94"/>
      <c r="BA1" s="94"/>
      <c r="BB1" s="95"/>
      <c r="BC1" s="93" t="s">
        <v>100</v>
      </c>
      <c r="BD1" s="94"/>
      <c r="BE1" s="94"/>
      <c r="BF1" s="94"/>
      <c r="BG1" s="95"/>
      <c r="BH1" s="93" t="s">
        <v>101</v>
      </c>
      <c r="BI1" s="94"/>
      <c r="BJ1" s="94"/>
      <c r="BK1" s="95"/>
    </row>
    <row r="2" spans="1:63" ht="15" customHeight="1" x14ac:dyDescent="0.25">
      <c r="A2" s="114" t="s">
        <v>92</v>
      </c>
      <c r="B2" s="79"/>
      <c r="C2" s="79"/>
      <c r="D2" s="79"/>
      <c r="E2" s="79"/>
      <c r="F2" s="79"/>
      <c r="G2" s="79"/>
      <c r="H2" s="79"/>
      <c r="I2" s="79"/>
      <c r="J2" s="80"/>
      <c r="K2" s="78" t="s">
        <v>13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118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20"/>
      <c r="AP2" s="78" t="str">
        <f>改訂履歴!$H$11</f>
        <v>DuNT</v>
      </c>
      <c r="AQ2" s="79"/>
      <c r="AR2" s="79"/>
      <c r="AS2" s="80"/>
      <c r="AT2" s="108">
        <f>改訂履歴!$B$11</f>
        <v>45616</v>
      </c>
      <c r="AU2" s="109"/>
      <c r="AV2" s="109"/>
      <c r="AW2" s="109"/>
      <c r="AX2" s="110"/>
      <c r="AY2" s="78" t="str">
        <f>LOOKUP(2,1/(改訂履歴!H11:H30000&lt;&gt;""),改訂履歴!H11:H30000)</f>
        <v>DuNT</v>
      </c>
      <c r="AZ2" s="79"/>
      <c r="BA2" s="79"/>
      <c r="BB2" s="80"/>
      <c r="BC2" s="108">
        <f>LOOKUP(2,1/(改訂履歴!B11:B30000&lt;&gt;""),改訂履歴!B11:B30000)</f>
        <v>45813</v>
      </c>
      <c r="BD2" s="109"/>
      <c r="BE2" s="109"/>
      <c r="BF2" s="109"/>
      <c r="BG2" s="110"/>
      <c r="BH2" s="102">
        <f>LOOKUP(2,1/(改訂履歴!O11:O30000&lt;&gt;""),改訂履歴!O11:O30000)</f>
        <v>0.81</v>
      </c>
      <c r="BI2" s="103"/>
      <c r="BJ2" s="103"/>
      <c r="BK2" s="104"/>
    </row>
    <row r="3" spans="1:63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121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3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105"/>
      <c r="BI3" s="106"/>
      <c r="BJ3" s="106"/>
      <c r="BK3" s="107"/>
    </row>
    <row r="4" spans="1:63" ht="24.95" customHeight="1" x14ac:dyDescent="0.25">
      <c r="A4" s="93" t="s">
        <v>102</v>
      </c>
      <c r="B4" s="94"/>
      <c r="C4" s="94"/>
      <c r="D4" s="94"/>
      <c r="E4" s="94"/>
      <c r="F4" s="94"/>
      <c r="G4" s="95"/>
      <c r="H4" s="98" t="s">
        <v>54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93" t="s">
        <v>103</v>
      </c>
      <c r="V4" s="94"/>
      <c r="W4" s="94"/>
      <c r="X4" s="94"/>
      <c r="Y4" s="95"/>
      <c r="Z4" s="101" t="s">
        <v>93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‎表紙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 x14ac:dyDescent="0.25">
      <c r="A5" s="38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40"/>
    </row>
    <row r="6" spans="1:63" ht="15" customHeight="1" x14ac:dyDescent="0.25">
      <c r="A6" s="41"/>
      <c r="BK6" s="42"/>
    </row>
    <row r="7" spans="1:63" ht="15" customHeight="1" x14ac:dyDescent="0.25">
      <c r="A7" s="41"/>
      <c r="BK7" s="42"/>
    </row>
    <row r="8" spans="1:63" ht="15" customHeight="1" x14ac:dyDescent="0.25">
      <c r="A8" s="41"/>
      <c r="BK8" s="42"/>
    </row>
    <row r="9" spans="1:63" ht="15" customHeight="1" x14ac:dyDescent="0.25">
      <c r="A9" s="41"/>
      <c r="BK9" s="42"/>
    </row>
    <row r="10" spans="1:63" ht="15" customHeight="1" x14ac:dyDescent="0.25">
      <c r="A10" s="41"/>
      <c r="BK10" s="42"/>
    </row>
    <row r="11" spans="1:63" ht="15" customHeight="1" x14ac:dyDescent="0.25">
      <c r="A11" s="41"/>
      <c r="BK11" s="42"/>
    </row>
    <row r="12" spans="1:63" ht="15" customHeight="1" x14ac:dyDescent="0.25">
      <c r="A12" s="41"/>
      <c r="BK12" s="42"/>
    </row>
    <row r="13" spans="1:63" ht="15" customHeight="1" x14ac:dyDescent="0.25">
      <c r="A13" s="41"/>
      <c r="BK13" s="42"/>
    </row>
    <row r="14" spans="1:63" ht="15" customHeight="1" thickBot="1" x14ac:dyDescent="0.3">
      <c r="A14" s="41"/>
      <c r="BK14" s="42"/>
    </row>
    <row r="15" spans="1:63" ht="15" customHeight="1" thickTop="1" x14ac:dyDescent="0.25">
      <c r="A15" s="41"/>
      <c r="K15" s="43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5"/>
      <c r="BK15" s="42"/>
    </row>
    <row r="16" spans="1:63" ht="15" customHeight="1" x14ac:dyDescent="0.25">
      <c r="A16" s="41"/>
      <c r="K16" s="46"/>
      <c r="L16" s="96" t="s">
        <v>94</v>
      </c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47"/>
      <c r="BK16" s="42"/>
    </row>
    <row r="17" spans="1:63" ht="15" customHeight="1" x14ac:dyDescent="0.25">
      <c r="A17" s="41"/>
      <c r="K17" s="46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47"/>
      <c r="BK17" s="42"/>
    </row>
    <row r="18" spans="1:63" ht="15" customHeight="1" x14ac:dyDescent="0.25">
      <c r="A18" s="41"/>
      <c r="K18" s="46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47"/>
      <c r="BK18" s="42"/>
    </row>
    <row r="19" spans="1:63" ht="15" customHeight="1" x14ac:dyDescent="0.25">
      <c r="A19" s="41"/>
      <c r="K19" s="46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47"/>
      <c r="BK19" s="42"/>
    </row>
    <row r="20" spans="1:63" ht="15" customHeight="1" x14ac:dyDescent="0.25">
      <c r="A20" s="41"/>
      <c r="K20" s="46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47"/>
      <c r="BK20" s="42"/>
    </row>
    <row r="21" spans="1:63" ht="15" customHeight="1" x14ac:dyDescent="0.25">
      <c r="A21" s="41"/>
      <c r="K21" s="46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47"/>
      <c r="BK21" s="42"/>
    </row>
    <row r="22" spans="1:63" ht="15" customHeight="1" thickBot="1" x14ac:dyDescent="0.3">
      <c r="A22" s="41"/>
      <c r="K22" s="46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7"/>
      <c r="BK22" s="42"/>
    </row>
    <row r="23" spans="1:63" ht="15" customHeight="1" x14ac:dyDescent="0.25">
      <c r="A23" s="41"/>
      <c r="K23" s="46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7"/>
      <c r="BK23" s="42"/>
    </row>
    <row r="24" spans="1:63" ht="15" customHeight="1" x14ac:dyDescent="0.25">
      <c r="A24" s="41"/>
      <c r="K24" s="46"/>
      <c r="L24" s="97" t="str">
        <f>K2&amp;"/"&amp;H4&amp;"/"&amp;Z4</f>
        <v>POSサーバー/AP8205/API設計書</v>
      </c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47"/>
      <c r="BK24" s="42"/>
    </row>
    <row r="25" spans="1:63" ht="15" customHeight="1" x14ac:dyDescent="0.25">
      <c r="A25" s="41"/>
      <c r="K25" s="46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47"/>
      <c r="BK25" s="42"/>
    </row>
    <row r="26" spans="1:63" ht="15" customHeight="1" x14ac:dyDescent="0.25">
      <c r="A26" s="41"/>
      <c r="K26" s="46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47"/>
      <c r="BK26" s="42"/>
    </row>
    <row r="27" spans="1:63" ht="15" customHeight="1" x14ac:dyDescent="0.25">
      <c r="A27" s="41"/>
      <c r="K27" s="46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47"/>
      <c r="BK27" s="42"/>
    </row>
    <row r="28" spans="1:63" ht="15" customHeight="1" x14ac:dyDescent="0.25">
      <c r="A28" s="41"/>
      <c r="K28" s="46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47"/>
      <c r="BK28" s="42"/>
    </row>
    <row r="29" spans="1:63" ht="15" customHeight="1" x14ac:dyDescent="0.25">
      <c r="A29" s="41"/>
      <c r="K29" s="46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47"/>
      <c r="BK29" s="42"/>
    </row>
    <row r="30" spans="1:63" ht="15" customHeight="1" x14ac:dyDescent="0.25">
      <c r="A30" s="41"/>
      <c r="K30" s="46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47"/>
      <c r="BK30" s="42"/>
    </row>
    <row r="31" spans="1:63" ht="15" customHeight="1" x14ac:dyDescent="0.25">
      <c r="A31" s="41"/>
      <c r="K31" s="46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47"/>
      <c r="BK31" s="42"/>
    </row>
    <row r="32" spans="1:63" ht="15" customHeight="1" x14ac:dyDescent="0.25">
      <c r="A32" s="41"/>
      <c r="K32" s="46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47"/>
      <c r="BK32" s="42"/>
    </row>
    <row r="33" spans="1:63" ht="15" customHeight="1" x14ac:dyDescent="0.25">
      <c r="A33" s="41"/>
      <c r="K33" s="46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47"/>
      <c r="BK33" s="42"/>
    </row>
    <row r="34" spans="1:63" ht="15" customHeight="1" x14ac:dyDescent="0.25">
      <c r="A34" s="41"/>
      <c r="K34" s="46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47"/>
      <c r="BK34" s="42"/>
    </row>
    <row r="35" spans="1:63" ht="15" customHeight="1" x14ac:dyDescent="0.25">
      <c r="A35" s="41"/>
      <c r="K35" s="46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47"/>
      <c r="BK35" s="42"/>
    </row>
    <row r="36" spans="1:63" ht="15" customHeight="1" x14ac:dyDescent="0.25">
      <c r="A36" s="41"/>
      <c r="K36" s="46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47"/>
      <c r="BK36" s="42"/>
    </row>
    <row r="37" spans="1:63" ht="15" customHeight="1" thickBot="1" x14ac:dyDescent="0.3">
      <c r="A37" s="41"/>
      <c r="K37" s="50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2"/>
      <c r="BK37" s="42"/>
    </row>
    <row r="38" spans="1:63" ht="15" customHeight="1" thickTop="1" x14ac:dyDescent="0.25">
      <c r="A38" s="41"/>
      <c r="BK38" s="42"/>
    </row>
    <row r="39" spans="1:63" ht="15" customHeight="1" x14ac:dyDescent="0.25">
      <c r="A39" s="41"/>
      <c r="BK39" s="42"/>
    </row>
    <row r="40" spans="1:63" ht="15" customHeight="1" x14ac:dyDescent="0.25">
      <c r="A40" s="41"/>
      <c r="BK40" s="42"/>
    </row>
    <row r="41" spans="1:63" ht="15" customHeight="1" x14ac:dyDescent="0.25">
      <c r="A41" s="41"/>
      <c r="BK41" s="42"/>
    </row>
    <row r="42" spans="1:63" ht="15" customHeight="1" x14ac:dyDescent="0.25">
      <c r="A42" s="41"/>
      <c r="BK42" s="42"/>
    </row>
    <row r="43" spans="1:63" ht="15" customHeight="1" x14ac:dyDescent="0.25">
      <c r="A43" s="41"/>
      <c r="BK43" s="42"/>
    </row>
    <row r="44" spans="1:63" ht="15" customHeight="1" x14ac:dyDescent="0.25">
      <c r="A44" s="41"/>
      <c r="Q44" s="87" t="s">
        <v>104</v>
      </c>
      <c r="R44" s="88"/>
      <c r="S44" s="88"/>
      <c r="T44" s="88"/>
      <c r="U44" s="88"/>
      <c r="V44" s="88"/>
      <c r="W44" s="88"/>
      <c r="X44" s="88"/>
      <c r="Y44" s="88"/>
      <c r="Z44" s="89"/>
      <c r="AA44" s="87" t="s">
        <v>105</v>
      </c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9"/>
      <c r="AQ44" s="87" t="s">
        <v>101</v>
      </c>
      <c r="AR44" s="88"/>
      <c r="AS44" s="88"/>
      <c r="AT44" s="88"/>
      <c r="AU44" s="89"/>
      <c r="BK44" s="42"/>
    </row>
    <row r="45" spans="1:63" ht="15" customHeight="1" x14ac:dyDescent="0.25">
      <c r="A45" s="41"/>
      <c r="Q45" s="90"/>
      <c r="R45" s="91"/>
      <c r="S45" s="91"/>
      <c r="T45" s="91"/>
      <c r="U45" s="91"/>
      <c r="V45" s="91"/>
      <c r="W45" s="91"/>
      <c r="X45" s="91"/>
      <c r="Y45" s="91"/>
      <c r="Z45" s="92"/>
      <c r="AA45" s="90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2"/>
      <c r="AQ45" s="90"/>
      <c r="AR45" s="91"/>
      <c r="AS45" s="91"/>
      <c r="AT45" s="91"/>
      <c r="AU45" s="92"/>
      <c r="BK45" s="42"/>
    </row>
    <row r="46" spans="1:63" ht="15" customHeight="1" x14ac:dyDescent="0.25">
      <c r="A46" s="41"/>
      <c r="Q46" s="78"/>
      <c r="R46" s="79"/>
      <c r="S46" s="79"/>
      <c r="T46" s="79"/>
      <c r="U46" s="79"/>
      <c r="V46" s="79"/>
      <c r="W46" s="79"/>
      <c r="X46" s="79"/>
      <c r="Y46" s="79"/>
      <c r="Z46" s="80"/>
      <c r="AA46" s="78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80"/>
      <c r="AQ46" s="78"/>
      <c r="AR46" s="79"/>
      <c r="AS46" s="79"/>
      <c r="AT46" s="79"/>
      <c r="AU46" s="80"/>
      <c r="BK46" s="42"/>
    </row>
    <row r="47" spans="1:63" ht="15" customHeight="1" x14ac:dyDescent="0.25">
      <c r="A47" s="41"/>
      <c r="Q47" s="81"/>
      <c r="R47" s="82"/>
      <c r="S47" s="82"/>
      <c r="T47" s="82"/>
      <c r="U47" s="82"/>
      <c r="V47" s="82"/>
      <c r="W47" s="82"/>
      <c r="X47" s="82"/>
      <c r="Y47" s="82"/>
      <c r="Z47" s="83"/>
      <c r="AA47" s="81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3"/>
      <c r="AQ47" s="81"/>
      <c r="AR47" s="82"/>
      <c r="AS47" s="82"/>
      <c r="AT47" s="82"/>
      <c r="AU47" s="83"/>
      <c r="BK47" s="42"/>
    </row>
    <row r="48" spans="1:63" ht="15" customHeight="1" x14ac:dyDescent="0.25">
      <c r="A48" s="41"/>
      <c r="Q48" s="81"/>
      <c r="R48" s="82"/>
      <c r="S48" s="82"/>
      <c r="T48" s="82"/>
      <c r="U48" s="82"/>
      <c r="V48" s="82"/>
      <c r="W48" s="82"/>
      <c r="X48" s="82"/>
      <c r="Y48" s="82"/>
      <c r="Z48" s="83"/>
      <c r="AA48" s="81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3"/>
      <c r="AQ48" s="81"/>
      <c r="AR48" s="82"/>
      <c r="AS48" s="82"/>
      <c r="AT48" s="82"/>
      <c r="AU48" s="83"/>
      <c r="BK48" s="42"/>
    </row>
    <row r="49" spans="1:63" ht="15" customHeight="1" x14ac:dyDescent="0.25">
      <c r="A49" s="41"/>
      <c r="Q49" s="84"/>
      <c r="R49" s="85"/>
      <c r="S49" s="85"/>
      <c r="T49" s="85"/>
      <c r="U49" s="85"/>
      <c r="V49" s="85"/>
      <c r="W49" s="85"/>
      <c r="X49" s="85"/>
      <c r="Y49" s="85"/>
      <c r="Z49" s="86"/>
      <c r="AA49" s="84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6"/>
      <c r="AQ49" s="84"/>
      <c r="AR49" s="85"/>
      <c r="AS49" s="85"/>
      <c r="AT49" s="85"/>
      <c r="AU49" s="86"/>
      <c r="BK49" s="42"/>
    </row>
    <row r="50" spans="1:63" ht="15" customHeight="1" x14ac:dyDescent="0.25">
      <c r="A50" s="41"/>
      <c r="BK50" s="42"/>
    </row>
    <row r="51" spans="1:63" ht="15" customHeight="1" x14ac:dyDescent="0.25">
      <c r="A51" s="41"/>
      <c r="BK51" s="42"/>
    </row>
    <row r="52" spans="1:63" ht="15" customHeight="1" x14ac:dyDescent="0.25">
      <c r="A52" s="41"/>
      <c r="BK52" s="42"/>
    </row>
    <row r="53" spans="1:63" ht="15" customHeight="1" x14ac:dyDescent="0.25">
      <c r="A53" s="41"/>
      <c r="BK53" s="42"/>
    </row>
    <row r="54" spans="1:63" ht="15" customHeight="1" x14ac:dyDescent="0.25">
      <c r="A54" s="41"/>
      <c r="BK54" s="42"/>
    </row>
    <row r="55" spans="1:63" ht="15" customHeight="1" x14ac:dyDescent="0.25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40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EE0000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79" t="s">
        <v>0</v>
      </c>
      <c r="B1" s="180"/>
      <c r="C1" s="180"/>
      <c r="D1" s="180"/>
      <c r="E1" s="180"/>
      <c r="F1" s="180"/>
      <c r="G1" s="180"/>
      <c r="H1" s="180"/>
      <c r="I1" s="180"/>
      <c r="J1" s="181"/>
      <c r="K1" s="179" t="s">
        <v>2</v>
      </c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1"/>
      <c r="W1" s="182" t="s">
        <v>91</v>
      </c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4"/>
      <c r="AP1" s="179" t="s">
        <v>3</v>
      </c>
      <c r="AQ1" s="180"/>
      <c r="AR1" s="180"/>
      <c r="AS1" s="181"/>
      <c r="AT1" s="179" t="s">
        <v>4</v>
      </c>
      <c r="AU1" s="180"/>
      <c r="AV1" s="180"/>
      <c r="AW1" s="180"/>
      <c r="AX1" s="181"/>
      <c r="AY1" s="179" t="s">
        <v>5</v>
      </c>
      <c r="AZ1" s="180"/>
      <c r="BA1" s="180"/>
      <c r="BB1" s="181"/>
      <c r="BC1" s="179" t="s">
        <v>6</v>
      </c>
      <c r="BD1" s="180"/>
      <c r="BE1" s="180"/>
      <c r="BF1" s="180"/>
      <c r="BG1" s="181"/>
      <c r="BH1" s="179" t="s">
        <v>7</v>
      </c>
      <c r="BI1" s="180"/>
      <c r="BJ1" s="180"/>
      <c r="BK1" s="181"/>
    </row>
    <row r="2" spans="1:63" ht="15" customHeight="1" x14ac:dyDescent="0.25">
      <c r="A2" s="124" t="s">
        <v>92</v>
      </c>
      <c r="B2" s="125"/>
      <c r="C2" s="125"/>
      <c r="D2" s="125"/>
      <c r="E2" s="125"/>
      <c r="F2" s="125"/>
      <c r="G2" s="125"/>
      <c r="H2" s="125"/>
      <c r="I2" s="125"/>
      <c r="J2" s="126"/>
      <c r="K2" s="124" t="s">
        <v>92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185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7"/>
      <c r="AP2" s="124" t="s">
        <v>88</v>
      </c>
      <c r="AQ2" s="125"/>
      <c r="AR2" s="125"/>
      <c r="AS2" s="126"/>
      <c r="AT2" s="174">
        <v>45616</v>
      </c>
      <c r="AU2" s="194"/>
      <c r="AV2" s="194"/>
      <c r="AW2" s="194"/>
      <c r="AX2" s="195"/>
      <c r="AY2" s="124" t="s">
        <v>89</v>
      </c>
      <c r="AZ2" s="125"/>
      <c r="BA2" s="125"/>
      <c r="BB2" s="126"/>
      <c r="BC2" s="174">
        <v>45804</v>
      </c>
      <c r="BD2" s="194"/>
      <c r="BE2" s="194"/>
      <c r="BF2" s="194"/>
      <c r="BG2" s="195"/>
      <c r="BH2" s="124">
        <v>0.15</v>
      </c>
      <c r="BI2" s="125"/>
      <c r="BJ2" s="125"/>
      <c r="BK2" s="126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188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90"/>
      <c r="AP3" s="127"/>
      <c r="AQ3" s="128"/>
      <c r="AR3" s="128"/>
      <c r="AS3" s="129"/>
      <c r="AT3" s="196"/>
      <c r="AU3" s="197"/>
      <c r="AV3" s="197"/>
      <c r="AW3" s="197"/>
      <c r="AX3" s="198"/>
      <c r="AY3" s="127"/>
      <c r="AZ3" s="128"/>
      <c r="BA3" s="128"/>
      <c r="BB3" s="129"/>
      <c r="BC3" s="196"/>
      <c r="BD3" s="197"/>
      <c r="BE3" s="197"/>
      <c r="BF3" s="197"/>
      <c r="BG3" s="198"/>
      <c r="BH3" s="127"/>
      <c r="BI3" s="128"/>
      <c r="BJ3" s="128"/>
      <c r="BK3" s="129"/>
    </row>
    <row r="4" spans="1:63" ht="24.95" customHeight="1" x14ac:dyDescent="0.25">
      <c r="A4" s="179" t="s">
        <v>1</v>
      </c>
      <c r="B4" s="180"/>
      <c r="C4" s="180"/>
      <c r="D4" s="180"/>
      <c r="E4" s="180"/>
      <c r="F4" s="180"/>
      <c r="G4" s="181"/>
      <c r="H4" s="191" t="s">
        <v>90</v>
      </c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3"/>
      <c r="U4" s="179" t="s">
        <v>8</v>
      </c>
      <c r="V4" s="180"/>
      <c r="W4" s="180"/>
      <c r="X4" s="180"/>
      <c r="Y4" s="181"/>
      <c r="Z4" s="191" t="s">
        <v>93</v>
      </c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3"/>
      <c r="AP4" s="191" t="str">
        <f t="array" aca="1" ref="AP4" ca="1">RIGHT(CELL("filename",$A$1),LEN(CELL("filename",$A$1))-FIND("]",CELL("filename",$A$1)))</f>
        <v>改訂履歴</v>
      </c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192"/>
      <c r="BI4" s="192"/>
      <c r="BJ4" s="192"/>
      <c r="BK4" s="19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78" t="s">
        <v>6</v>
      </c>
      <c r="C10" s="178"/>
      <c r="D10" s="178"/>
      <c r="E10" s="178"/>
      <c r="F10" s="178"/>
      <c r="G10" s="178"/>
      <c r="H10" s="178" t="s">
        <v>5</v>
      </c>
      <c r="I10" s="178"/>
      <c r="J10" s="178"/>
      <c r="K10" s="178"/>
      <c r="L10" s="178"/>
      <c r="M10" s="178"/>
      <c r="N10" s="178"/>
      <c r="O10" s="178" t="s">
        <v>7</v>
      </c>
      <c r="P10" s="178"/>
      <c r="Q10" s="178"/>
      <c r="R10" s="178"/>
      <c r="S10" s="178" t="s">
        <v>10</v>
      </c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 t="s">
        <v>11</v>
      </c>
      <c r="AY10" s="178"/>
      <c r="AZ10" s="178"/>
      <c r="BA10" s="178"/>
      <c r="BB10" s="178"/>
      <c r="BC10" s="178"/>
      <c r="BD10" s="178" t="s">
        <v>12</v>
      </c>
      <c r="BE10" s="178"/>
      <c r="BF10" s="178"/>
      <c r="BG10" s="178"/>
      <c r="BH10" s="178"/>
      <c r="BI10" s="178"/>
      <c r="BJ10" s="178"/>
      <c r="BK10" s="4"/>
    </row>
    <row r="11" spans="1:63" ht="15" customHeight="1" x14ac:dyDescent="0.25">
      <c r="A11" s="1"/>
      <c r="B11" s="174">
        <v>45616</v>
      </c>
      <c r="C11" s="125"/>
      <c r="D11" s="125"/>
      <c r="E11" s="125"/>
      <c r="F11" s="125"/>
      <c r="G11" s="126"/>
      <c r="H11" s="114" t="s">
        <v>83</v>
      </c>
      <c r="I11" s="125"/>
      <c r="J11" s="125"/>
      <c r="K11" s="125"/>
      <c r="L11" s="125"/>
      <c r="M11" s="125"/>
      <c r="N11" s="126"/>
      <c r="O11" s="124">
        <v>0.1</v>
      </c>
      <c r="P11" s="125"/>
      <c r="Q11" s="125"/>
      <c r="R11" s="125"/>
      <c r="S11" s="130" t="s">
        <v>14</v>
      </c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2"/>
      <c r="AX11" s="133"/>
      <c r="AY11" s="133"/>
      <c r="AZ11" s="133"/>
      <c r="BA11" s="133"/>
      <c r="BB11" s="133"/>
      <c r="BC11" s="134"/>
      <c r="BD11" s="137"/>
      <c r="BE11" s="133"/>
      <c r="BF11" s="133"/>
      <c r="BG11" s="133"/>
      <c r="BH11" s="133"/>
      <c r="BI11" s="133"/>
      <c r="BJ11" s="134"/>
      <c r="BK11" s="4"/>
    </row>
    <row r="12" spans="1:63" ht="15" customHeight="1" x14ac:dyDescent="0.25">
      <c r="A12" s="1"/>
      <c r="B12" s="127"/>
      <c r="C12" s="128"/>
      <c r="D12" s="128"/>
      <c r="E12" s="128"/>
      <c r="F12" s="128"/>
      <c r="G12" s="129"/>
      <c r="H12" s="127"/>
      <c r="I12" s="128"/>
      <c r="J12" s="128"/>
      <c r="K12" s="128"/>
      <c r="L12" s="128"/>
      <c r="M12" s="128"/>
      <c r="N12" s="129"/>
      <c r="O12" s="127"/>
      <c r="P12" s="128"/>
      <c r="Q12" s="128"/>
      <c r="R12" s="128"/>
      <c r="S12" s="139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1"/>
      <c r="AX12" s="135"/>
      <c r="AY12" s="135"/>
      <c r="AZ12" s="135"/>
      <c r="BA12" s="135"/>
      <c r="BB12" s="135"/>
      <c r="BC12" s="136"/>
      <c r="BD12" s="138"/>
      <c r="BE12" s="135"/>
      <c r="BF12" s="135"/>
      <c r="BG12" s="135"/>
      <c r="BH12" s="135"/>
      <c r="BI12" s="135"/>
      <c r="BJ12" s="136"/>
      <c r="BK12" s="4"/>
    </row>
    <row r="13" spans="1:63" ht="15" customHeight="1" x14ac:dyDescent="0.25">
      <c r="A13" s="1"/>
      <c r="B13" s="174">
        <v>45623</v>
      </c>
      <c r="C13" s="125"/>
      <c r="D13" s="125"/>
      <c r="E13" s="125"/>
      <c r="F13" s="125"/>
      <c r="G13" s="126"/>
      <c r="H13" s="124" t="s">
        <v>83</v>
      </c>
      <c r="I13" s="125"/>
      <c r="J13" s="125"/>
      <c r="K13" s="125"/>
      <c r="L13" s="125"/>
      <c r="M13" s="125"/>
      <c r="N13" s="126"/>
      <c r="O13" s="124">
        <v>0.11</v>
      </c>
      <c r="P13" s="125"/>
      <c r="Q13" s="125"/>
      <c r="R13" s="125"/>
      <c r="S13" s="130" t="s">
        <v>59</v>
      </c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2"/>
      <c r="AX13" s="133"/>
      <c r="AY13" s="133"/>
      <c r="AZ13" s="133"/>
      <c r="BA13" s="133"/>
      <c r="BB13" s="133"/>
      <c r="BC13" s="134"/>
      <c r="BD13" s="137"/>
      <c r="BE13" s="133"/>
      <c r="BF13" s="133"/>
      <c r="BG13" s="133"/>
      <c r="BH13" s="133"/>
      <c r="BI13" s="133"/>
      <c r="BJ13" s="134"/>
      <c r="BK13" s="4"/>
    </row>
    <row r="14" spans="1:63" ht="15" customHeight="1" x14ac:dyDescent="0.25">
      <c r="A14" s="1"/>
      <c r="B14" s="127"/>
      <c r="C14" s="128"/>
      <c r="D14" s="128"/>
      <c r="E14" s="128"/>
      <c r="F14" s="128"/>
      <c r="G14" s="129"/>
      <c r="H14" s="127"/>
      <c r="I14" s="128"/>
      <c r="J14" s="128"/>
      <c r="K14" s="128"/>
      <c r="L14" s="128"/>
      <c r="M14" s="128"/>
      <c r="N14" s="129"/>
      <c r="O14" s="127"/>
      <c r="P14" s="128"/>
      <c r="Q14" s="128"/>
      <c r="R14" s="128"/>
      <c r="S14" s="139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1"/>
      <c r="AX14" s="135"/>
      <c r="AY14" s="135"/>
      <c r="AZ14" s="135"/>
      <c r="BA14" s="135"/>
      <c r="BB14" s="135"/>
      <c r="BC14" s="136"/>
      <c r="BD14" s="138"/>
      <c r="BE14" s="135"/>
      <c r="BF14" s="135"/>
      <c r="BG14" s="135"/>
      <c r="BH14" s="135"/>
      <c r="BI14" s="135"/>
      <c r="BJ14" s="136"/>
      <c r="BK14" s="4"/>
    </row>
    <row r="15" spans="1:63" ht="15" customHeight="1" x14ac:dyDescent="0.25">
      <c r="A15" s="1"/>
      <c r="B15" s="174">
        <v>45705</v>
      </c>
      <c r="C15" s="125"/>
      <c r="D15" s="125"/>
      <c r="E15" s="125"/>
      <c r="F15" s="125"/>
      <c r="G15" s="126"/>
      <c r="H15" s="124" t="s">
        <v>84</v>
      </c>
      <c r="I15" s="125"/>
      <c r="J15" s="125"/>
      <c r="K15" s="125"/>
      <c r="L15" s="125"/>
      <c r="M15" s="125"/>
      <c r="N15" s="126"/>
      <c r="O15" s="124">
        <v>0.12</v>
      </c>
      <c r="P15" s="125"/>
      <c r="Q15" s="125"/>
      <c r="R15" s="125"/>
      <c r="S15" s="130" t="s">
        <v>61</v>
      </c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2"/>
      <c r="AX15" s="133"/>
      <c r="AY15" s="133"/>
      <c r="AZ15" s="133"/>
      <c r="BA15" s="133"/>
      <c r="BB15" s="133"/>
      <c r="BC15" s="134"/>
      <c r="BD15" s="137"/>
      <c r="BE15" s="133"/>
      <c r="BF15" s="133"/>
      <c r="BG15" s="133"/>
      <c r="BH15" s="133"/>
      <c r="BI15" s="133"/>
      <c r="BJ15" s="134"/>
      <c r="BK15" s="4"/>
    </row>
    <row r="16" spans="1:63" ht="15" customHeight="1" x14ac:dyDescent="0.25">
      <c r="A16" s="1"/>
      <c r="B16" s="127"/>
      <c r="C16" s="128"/>
      <c r="D16" s="128"/>
      <c r="E16" s="128"/>
      <c r="F16" s="128"/>
      <c r="G16" s="129"/>
      <c r="H16" s="127"/>
      <c r="I16" s="128"/>
      <c r="J16" s="128"/>
      <c r="K16" s="128"/>
      <c r="L16" s="128"/>
      <c r="M16" s="128"/>
      <c r="N16" s="129"/>
      <c r="O16" s="127"/>
      <c r="P16" s="128"/>
      <c r="Q16" s="128"/>
      <c r="R16" s="128"/>
      <c r="S16" s="139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1"/>
      <c r="AX16" s="135"/>
      <c r="AY16" s="135"/>
      <c r="AZ16" s="135"/>
      <c r="BA16" s="135"/>
      <c r="BB16" s="135"/>
      <c r="BC16" s="136"/>
      <c r="BD16" s="138"/>
      <c r="BE16" s="135"/>
      <c r="BF16" s="135"/>
      <c r="BG16" s="135"/>
      <c r="BH16" s="135"/>
      <c r="BI16" s="135"/>
      <c r="BJ16" s="136"/>
      <c r="BK16" s="4"/>
    </row>
    <row r="17" spans="1:63" ht="15" customHeight="1" x14ac:dyDescent="0.25">
      <c r="A17" s="1"/>
      <c r="B17" s="174">
        <v>45789</v>
      </c>
      <c r="C17" s="125"/>
      <c r="D17" s="125"/>
      <c r="E17" s="125"/>
      <c r="F17" s="125"/>
      <c r="G17" s="126"/>
      <c r="H17" s="124" t="s">
        <v>15</v>
      </c>
      <c r="I17" s="125"/>
      <c r="J17" s="125"/>
      <c r="K17" s="125"/>
      <c r="L17" s="125"/>
      <c r="M17" s="125"/>
      <c r="N17" s="126"/>
      <c r="O17" s="124">
        <v>0.13</v>
      </c>
      <c r="P17" s="125"/>
      <c r="Q17" s="125"/>
      <c r="R17" s="125"/>
      <c r="S17" s="130" t="s">
        <v>65</v>
      </c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2"/>
      <c r="AX17" s="133"/>
      <c r="AY17" s="133"/>
      <c r="AZ17" s="133"/>
      <c r="BA17" s="133"/>
      <c r="BB17" s="133"/>
      <c r="BC17" s="134"/>
      <c r="BD17" s="137"/>
      <c r="BE17" s="133"/>
      <c r="BF17" s="133"/>
      <c r="BG17" s="133"/>
      <c r="BH17" s="133"/>
      <c r="BI17" s="133"/>
      <c r="BJ17" s="134"/>
      <c r="BK17" s="4"/>
    </row>
    <row r="18" spans="1:63" ht="15" customHeight="1" x14ac:dyDescent="0.25">
      <c r="A18" s="1"/>
      <c r="B18" s="127"/>
      <c r="C18" s="128"/>
      <c r="D18" s="128"/>
      <c r="E18" s="128"/>
      <c r="F18" s="128"/>
      <c r="G18" s="129"/>
      <c r="H18" s="127"/>
      <c r="I18" s="128"/>
      <c r="J18" s="128"/>
      <c r="K18" s="128"/>
      <c r="L18" s="128"/>
      <c r="M18" s="128"/>
      <c r="N18" s="129"/>
      <c r="O18" s="127"/>
      <c r="P18" s="128"/>
      <c r="Q18" s="128"/>
      <c r="R18" s="128"/>
      <c r="S18" s="139" t="s">
        <v>66</v>
      </c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1"/>
      <c r="AX18" s="135"/>
      <c r="AY18" s="135"/>
      <c r="AZ18" s="135"/>
      <c r="BA18" s="135"/>
      <c r="BB18" s="135"/>
      <c r="BC18" s="136"/>
      <c r="BD18" s="138"/>
      <c r="BE18" s="135"/>
      <c r="BF18" s="135"/>
      <c r="BG18" s="135"/>
      <c r="BH18" s="135"/>
      <c r="BI18" s="135"/>
      <c r="BJ18" s="136"/>
      <c r="BK18" s="4"/>
    </row>
    <row r="19" spans="1:63" ht="15" customHeight="1" x14ac:dyDescent="0.25">
      <c r="A19" s="1"/>
      <c r="B19" s="174">
        <v>45797</v>
      </c>
      <c r="C19" s="125"/>
      <c r="D19" s="125"/>
      <c r="E19" s="125"/>
      <c r="F19" s="125"/>
      <c r="G19" s="126"/>
      <c r="H19" s="124" t="s">
        <v>84</v>
      </c>
      <c r="I19" s="125"/>
      <c r="J19" s="125"/>
      <c r="K19" s="125"/>
      <c r="L19" s="125"/>
      <c r="M19" s="125"/>
      <c r="N19" s="126"/>
      <c r="O19" s="124">
        <v>0.14000000000000001</v>
      </c>
      <c r="P19" s="125"/>
      <c r="Q19" s="125"/>
      <c r="R19" s="125"/>
      <c r="S19" s="175" t="s">
        <v>78</v>
      </c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  <c r="AU19" s="176"/>
      <c r="AV19" s="176"/>
      <c r="AW19" s="177"/>
      <c r="AX19" s="133"/>
      <c r="AY19" s="133"/>
      <c r="AZ19" s="133"/>
      <c r="BA19" s="133"/>
      <c r="BB19" s="133"/>
      <c r="BC19" s="134"/>
      <c r="BD19" s="137"/>
      <c r="BE19" s="133"/>
      <c r="BF19" s="133"/>
      <c r="BG19" s="133"/>
      <c r="BH19" s="133"/>
      <c r="BI19" s="133"/>
      <c r="BJ19" s="134"/>
      <c r="BK19" s="4"/>
    </row>
    <row r="20" spans="1:63" ht="15" customHeight="1" x14ac:dyDescent="0.25">
      <c r="A20" s="1"/>
      <c r="B20" s="127"/>
      <c r="C20" s="128"/>
      <c r="D20" s="128"/>
      <c r="E20" s="128"/>
      <c r="F20" s="128"/>
      <c r="G20" s="129"/>
      <c r="H20" s="127"/>
      <c r="I20" s="128"/>
      <c r="J20" s="128"/>
      <c r="K20" s="128"/>
      <c r="L20" s="128"/>
      <c r="M20" s="128"/>
      <c r="N20" s="129"/>
      <c r="O20" s="127"/>
      <c r="P20" s="128"/>
      <c r="Q20" s="128"/>
      <c r="R20" s="128"/>
      <c r="S20" s="139" t="s">
        <v>85</v>
      </c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1"/>
      <c r="AX20" s="135"/>
      <c r="AY20" s="135"/>
      <c r="AZ20" s="135"/>
      <c r="BA20" s="135"/>
      <c r="BB20" s="135"/>
      <c r="BC20" s="136"/>
      <c r="BD20" s="138"/>
      <c r="BE20" s="135"/>
      <c r="BF20" s="135"/>
      <c r="BG20" s="135"/>
      <c r="BH20" s="135"/>
      <c r="BI20" s="135"/>
      <c r="BJ20" s="136"/>
      <c r="BK20" s="4"/>
    </row>
    <row r="21" spans="1:63" ht="52.5" customHeight="1" x14ac:dyDescent="0.25">
      <c r="A21" s="1"/>
      <c r="B21" s="155">
        <v>45804</v>
      </c>
      <c r="C21" s="156"/>
      <c r="D21" s="156"/>
      <c r="E21" s="156"/>
      <c r="F21" s="156"/>
      <c r="G21" s="157"/>
      <c r="H21" s="161" t="s">
        <v>60</v>
      </c>
      <c r="I21" s="156"/>
      <c r="J21" s="156"/>
      <c r="K21" s="156"/>
      <c r="L21" s="156"/>
      <c r="M21" s="156"/>
      <c r="N21" s="157"/>
      <c r="O21" s="161">
        <v>0.15</v>
      </c>
      <c r="P21" s="156"/>
      <c r="Q21" s="156"/>
      <c r="R21" s="156"/>
      <c r="S21" s="162" t="s">
        <v>82</v>
      </c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4"/>
      <c r="AX21" s="165"/>
      <c r="AY21" s="165"/>
      <c r="AZ21" s="165"/>
      <c r="BA21" s="165"/>
      <c r="BB21" s="165"/>
      <c r="BC21" s="166"/>
      <c r="BD21" s="169"/>
      <c r="BE21" s="165"/>
      <c r="BF21" s="165"/>
      <c r="BG21" s="165"/>
      <c r="BH21" s="165"/>
      <c r="BI21" s="165"/>
      <c r="BJ21" s="166"/>
      <c r="BK21" s="4"/>
    </row>
    <row r="22" spans="1:63" ht="15" customHeight="1" x14ac:dyDescent="0.25">
      <c r="A22" s="1"/>
      <c r="B22" s="158"/>
      <c r="C22" s="159"/>
      <c r="D22" s="159"/>
      <c r="E22" s="159"/>
      <c r="F22" s="159"/>
      <c r="G22" s="160"/>
      <c r="H22" s="158"/>
      <c r="I22" s="159"/>
      <c r="J22" s="159"/>
      <c r="K22" s="159"/>
      <c r="L22" s="159"/>
      <c r="M22" s="159"/>
      <c r="N22" s="160"/>
      <c r="O22" s="158"/>
      <c r="P22" s="159"/>
      <c r="Q22" s="159"/>
      <c r="R22" s="159"/>
      <c r="S22" s="171" t="s">
        <v>77</v>
      </c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3"/>
      <c r="AX22" s="167"/>
      <c r="AY22" s="167"/>
      <c r="AZ22" s="167"/>
      <c r="BA22" s="167"/>
      <c r="BB22" s="167"/>
      <c r="BC22" s="168"/>
      <c r="BD22" s="170"/>
      <c r="BE22" s="167"/>
      <c r="BF22" s="167"/>
      <c r="BG22" s="167"/>
      <c r="BH22" s="167"/>
      <c r="BI22" s="167"/>
      <c r="BJ22" s="168"/>
      <c r="BK22" s="4"/>
    </row>
    <row r="23" spans="1:63" ht="15" customHeight="1" x14ac:dyDescent="0.25">
      <c r="A23" s="1"/>
      <c r="B23" s="142">
        <v>45813</v>
      </c>
      <c r="C23" s="143"/>
      <c r="D23" s="143"/>
      <c r="E23" s="143"/>
      <c r="F23" s="143"/>
      <c r="G23" s="144"/>
      <c r="H23" s="148" t="s">
        <v>88</v>
      </c>
      <c r="I23" s="143"/>
      <c r="J23" s="143"/>
      <c r="K23" s="143"/>
      <c r="L23" s="143"/>
      <c r="M23" s="143"/>
      <c r="N23" s="144"/>
      <c r="O23" s="148">
        <v>0.81</v>
      </c>
      <c r="P23" s="143"/>
      <c r="Q23" s="143"/>
      <c r="R23" s="143"/>
      <c r="S23" s="149" t="s">
        <v>177</v>
      </c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1"/>
      <c r="AX23" s="133"/>
      <c r="AY23" s="133"/>
      <c r="AZ23" s="133"/>
      <c r="BA23" s="133"/>
      <c r="BB23" s="133"/>
      <c r="BC23" s="134"/>
      <c r="BD23" s="137"/>
      <c r="BE23" s="133"/>
      <c r="BF23" s="133"/>
      <c r="BG23" s="133"/>
      <c r="BH23" s="133"/>
      <c r="BI23" s="133"/>
      <c r="BJ23" s="134"/>
      <c r="BK23" s="4"/>
    </row>
    <row r="24" spans="1:63" ht="15" customHeight="1" x14ac:dyDescent="0.25">
      <c r="A24" s="1"/>
      <c r="B24" s="145"/>
      <c r="C24" s="146"/>
      <c r="D24" s="146"/>
      <c r="E24" s="146"/>
      <c r="F24" s="146"/>
      <c r="G24" s="147"/>
      <c r="H24" s="145"/>
      <c r="I24" s="146"/>
      <c r="J24" s="146"/>
      <c r="K24" s="146"/>
      <c r="L24" s="146"/>
      <c r="M24" s="146"/>
      <c r="N24" s="147"/>
      <c r="O24" s="145"/>
      <c r="P24" s="146"/>
      <c r="Q24" s="146"/>
      <c r="R24" s="146"/>
      <c r="S24" s="152" t="s">
        <v>176</v>
      </c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4"/>
      <c r="AX24" s="135"/>
      <c r="AY24" s="135"/>
      <c r="AZ24" s="135"/>
      <c r="BA24" s="135"/>
      <c r="BB24" s="135"/>
      <c r="BC24" s="136"/>
      <c r="BD24" s="138"/>
      <c r="BE24" s="135"/>
      <c r="BF24" s="135"/>
      <c r="BG24" s="135"/>
      <c r="BH24" s="135"/>
      <c r="BI24" s="135"/>
      <c r="BJ24" s="136"/>
      <c r="BK24" s="4"/>
    </row>
    <row r="25" spans="1:63" ht="15" customHeight="1" x14ac:dyDescent="0.25">
      <c r="A25" s="1"/>
      <c r="B25" s="124"/>
      <c r="C25" s="125"/>
      <c r="D25" s="125"/>
      <c r="E25" s="125"/>
      <c r="F25" s="125"/>
      <c r="G25" s="126"/>
      <c r="H25" s="124"/>
      <c r="I25" s="125"/>
      <c r="J25" s="125"/>
      <c r="K25" s="125"/>
      <c r="L25" s="125"/>
      <c r="M25" s="125"/>
      <c r="N25" s="126"/>
      <c r="O25" s="124"/>
      <c r="P25" s="125"/>
      <c r="Q25" s="125"/>
      <c r="R25" s="125"/>
      <c r="S25" s="130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2"/>
      <c r="AX25" s="133"/>
      <c r="AY25" s="133"/>
      <c r="AZ25" s="133"/>
      <c r="BA25" s="133"/>
      <c r="BB25" s="133"/>
      <c r="BC25" s="134"/>
      <c r="BD25" s="137"/>
      <c r="BE25" s="133"/>
      <c r="BF25" s="133"/>
      <c r="BG25" s="133"/>
      <c r="BH25" s="133"/>
      <c r="BI25" s="133"/>
      <c r="BJ25" s="134"/>
      <c r="BK25" s="4"/>
    </row>
    <row r="26" spans="1:63" ht="15" customHeight="1" x14ac:dyDescent="0.25">
      <c r="A26" s="1"/>
      <c r="B26" s="127"/>
      <c r="C26" s="128"/>
      <c r="D26" s="128"/>
      <c r="E26" s="128"/>
      <c r="F26" s="128"/>
      <c r="G26" s="129"/>
      <c r="H26" s="127"/>
      <c r="I26" s="128"/>
      <c r="J26" s="128"/>
      <c r="K26" s="128"/>
      <c r="L26" s="128"/>
      <c r="M26" s="128"/>
      <c r="N26" s="129"/>
      <c r="O26" s="127"/>
      <c r="P26" s="128"/>
      <c r="Q26" s="128"/>
      <c r="R26" s="128"/>
      <c r="S26" s="139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1"/>
      <c r="AX26" s="135"/>
      <c r="AY26" s="135"/>
      <c r="AZ26" s="135"/>
      <c r="BA26" s="135"/>
      <c r="BB26" s="135"/>
      <c r="BC26" s="136"/>
      <c r="BD26" s="138"/>
      <c r="BE26" s="135"/>
      <c r="BF26" s="135"/>
      <c r="BG26" s="135"/>
      <c r="BH26" s="135"/>
      <c r="BI26" s="135"/>
      <c r="BJ26" s="136"/>
      <c r="BK26" s="4"/>
    </row>
    <row r="27" spans="1:63" ht="15" customHeight="1" x14ac:dyDescent="0.25">
      <c r="A27" s="1"/>
      <c r="B27" s="124"/>
      <c r="C27" s="125"/>
      <c r="D27" s="125"/>
      <c r="E27" s="125"/>
      <c r="F27" s="125"/>
      <c r="G27" s="126"/>
      <c r="H27" s="124"/>
      <c r="I27" s="125"/>
      <c r="J27" s="125"/>
      <c r="K27" s="125"/>
      <c r="L27" s="125"/>
      <c r="M27" s="125"/>
      <c r="N27" s="126"/>
      <c r="O27" s="124"/>
      <c r="P27" s="125"/>
      <c r="Q27" s="125"/>
      <c r="R27" s="125"/>
      <c r="S27" s="130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2"/>
      <c r="AX27" s="133"/>
      <c r="AY27" s="133"/>
      <c r="AZ27" s="133"/>
      <c r="BA27" s="133"/>
      <c r="BB27" s="133"/>
      <c r="BC27" s="134"/>
      <c r="BD27" s="137"/>
      <c r="BE27" s="133"/>
      <c r="BF27" s="133"/>
      <c r="BG27" s="133"/>
      <c r="BH27" s="133"/>
      <c r="BI27" s="133"/>
      <c r="BJ27" s="134"/>
      <c r="BK27" s="4"/>
    </row>
    <row r="28" spans="1:63" ht="15" customHeight="1" x14ac:dyDescent="0.25">
      <c r="A28" s="1"/>
      <c r="B28" s="127"/>
      <c r="C28" s="128"/>
      <c r="D28" s="128"/>
      <c r="E28" s="128"/>
      <c r="F28" s="128"/>
      <c r="G28" s="129"/>
      <c r="H28" s="127"/>
      <c r="I28" s="128"/>
      <c r="J28" s="128"/>
      <c r="K28" s="128"/>
      <c r="L28" s="128"/>
      <c r="M28" s="128"/>
      <c r="N28" s="129"/>
      <c r="O28" s="127"/>
      <c r="P28" s="128"/>
      <c r="Q28" s="128"/>
      <c r="R28" s="128"/>
      <c r="S28" s="139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AV28" s="140"/>
      <c r="AW28" s="141"/>
      <c r="AX28" s="135"/>
      <c r="AY28" s="135"/>
      <c r="AZ28" s="135"/>
      <c r="BA28" s="135"/>
      <c r="BB28" s="135"/>
      <c r="BC28" s="136"/>
      <c r="BD28" s="138"/>
      <c r="BE28" s="135"/>
      <c r="BF28" s="135"/>
      <c r="BG28" s="135"/>
      <c r="BH28" s="135"/>
      <c r="BI28" s="135"/>
      <c r="BJ28" s="136"/>
      <c r="BK28" s="4"/>
    </row>
    <row r="29" spans="1:63" ht="15" customHeight="1" x14ac:dyDescent="0.25">
      <c r="A29" s="1"/>
      <c r="B29" s="124"/>
      <c r="C29" s="125"/>
      <c r="D29" s="125"/>
      <c r="E29" s="125"/>
      <c r="F29" s="125"/>
      <c r="G29" s="126"/>
      <c r="H29" s="124"/>
      <c r="I29" s="125"/>
      <c r="J29" s="125"/>
      <c r="K29" s="125"/>
      <c r="L29" s="125"/>
      <c r="M29" s="125"/>
      <c r="N29" s="126"/>
      <c r="O29" s="124"/>
      <c r="P29" s="125"/>
      <c r="Q29" s="125"/>
      <c r="R29" s="125"/>
      <c r="S29" s="130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2"/>
      <c r="AX29" s="133"/>
      <c r="AY29" s="133"/>
      <c r="AZ29" s="133"/>
      <c r="BA29" s="133"/>
      <c r="BB29" s="133"/>
      <c r="BC29" s="134"/>
      <c r="BD29" s="137"/>
      <c r="BE29" s="133"/>
      <c r="BF29" s="133"/>
      <c r="BG29" s="133"/>
      <c r="BH29" s="133"/>
      <c r="BI29" s="133"/>
      <c r="BJ29" s="134"/>
      <c r="BK29" s="4"/>
    </row>
    <row r="30" spans="1:63" ht="15" customHeight="1" x14ac:dyDescent="0.25">
      <c r="A30" s="1"/>
      <c r="B30" s="127"/>
      <c r="C30" s="128"/>
      <c r="D30" s="128"/>
      <c r="E30" s="128"/>
      <c r="F30" s="128"/>
      <c r="G30" s="129"/>
      <c r="H30" s="127"/>
      <c r="I30" s="128"/>
      <c r="J30" s="128"/>
      <c r="K30" s="128"/>
      <c r="L30" s="128"/>
      <c r="M30" s="128"/>
      <c r="N30" s="129"/>
      <c r="O30" s="127"/>
      <c r="P30" s="128"/>
      <c r="Q30" s="128"/>
      <c r="R30" s="128"/>
      <c r="S30" s="139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1"/>
      <c r="AX30" s="135"/>
      <c r="AY30" s="135"/>
      <c r="AZ30" s="135"/>
      <c r="BA30" s="135"/>
      <c r="BB30" s="135"/>
      <c r="BC30" s="136"/>
      <c r="BD30" s="138"/>
      <c r="BE30" s="135"/>
      <c r="BF30" s="135"/>
      <c r="BG30" s="135"/>
      <c r="BH30" s="135"/>
      <c r="BI30" s="135"/>
      <c r="BJ30" s="136"/>
      <c r="BK30" s="4"/>
    </row>
    <row r="31" spans="1:63" ht="15" customHeight="1" x14ac:dyDescent="0.25">
      <c r="A31" s="1"/>
      <c r="B31" s="124"/>
      <c r="C31" s="125"/>
      <c r="D31" s="125"/>
      <c r="E31" s="125"/>
      <c r="F31" s="125"/>
      <c r="G31" s="126"/>
      <c r="H31" s="124"/>
      <c r="I31" s="125"/>
      <c r="J31" s="125"/>
      <c r="K31" s="125"/>
      <c r="L31" s="125"/>
      <c r="M31" s="125"/>
      <c r="N31" s="126"/>
      <c r="O31" s="124"/>
      <c r="P31" s="125"/>
      <c r="Q31" s="125"/>
      <c r="R31" s="125"/>
      <c r="S31" s="130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2"/>
      <c r="AX31" s="133"/>
      <c r="AY31" s="133"/>
      <c r="AZ31" s="133"/>
      <c r="BA31" s="133"/>
      <c r="BB31" s="133"/>
      <c r="BC31" s="134"/>
      <c r="BD31" s="137"/>
      <c r="BE31" s="133"/>
      <c r="BF31" s="133"/>
      <c r="BG31" s="133"/>
      <c r="BH31" s="133"/>
      <c r="BI31" s="133"/>
      <c r="BJ31" s="134"/>
      <c r="BK31" s="4"/>
    </row>
    <row r="32" spans="1:63" ht="15" customHeight="1" x14ac:dyDescent="0.25">
      <c r="A32" s="1"/>
      <c r="B32" s="127"/>
      <c r="C32" s="128"/>
      <c r="D32" s="128"/>
      <c r="E32" s="128"/>
      <c r="F32" s="128"/>
      <c r="G32" s="129"/>
      <c r="H32" s="127"/>
      <c r="I32" s="128"/>
      <c r="J32" s="128"/>
      <c r="K32" s="128"/>
      <c r="L32" s="128"/>
      <c r="M32" s="128"/>
      <c r="N32" s="129"/>
      <c r="O32" s="127"/>
      <c r="P32" s="128"/>
      <c r="Q32" s="128"/>
      <c r="R32" s="128"/>
      <c r="S32" s="139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1"/>
      <c r="AX32" s="135"/>
      <c r="AY32" s="135"/>
      <c r="AZ32" s="135"/>
      <c r="BA32" s="135"/>
      <c r="BB32" s="135"/>
      <c r="BC32" s="136"/>
      <c r="BD32" s="138"/>
      <c r="BE32" s="135"/>
      <c r="BF32" s="135"/>
      <c r="BG32" s="135"/>
      <c r="BH32" s="135"/>
      <c r="BI32" s="135"/>
      <c r="BJ32" s="136"/>
      <c r="BK32" s="4"/>
    </row>
    <row r="33" spans="1:63" ht="15" customHeight="1" x14ac:dyDescent="0.25">
      <c r="A33" s="1"/>
      <c r="B33" s="124"/>
      <c r="C33" s="125"/>
      <c r="D33" s="125"/>
      <c r="E33" s="125"/>
      <c r="F33" s="125"/>
      <c r="G33" s="126"/>
      <c r="H33" s="124"/>
      <c r="I33" s="125"/>
      <c r="J33" s="125"/>
      <c r="K33" s="125"/>
      <c r="L33" s="125"/>
      <c r="M33" s="125"/>
      <c r="N33" s="126"/>
      <c r="O33" s="124"/>
      <c r="P33" s="125"/>
      <c r="Q33" s="125"/>
      <c r="R33" s="125"/>
      <c r="S33" s="130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2"/>
      <c r="AX33" s="133"/>
      <c r="AY33" s="133"/>
      <c r="AZ33" s="133"/>
      <c r="BA33" s="133"/>
      <c r="BB33" s="133"/>
      <c r="BC33" s="134"/>
      <c r="BD33" s="137"/>
      <c r="BE33" s="133"/>
      <c r="BF33" s="133"/>
      <c r="BG33" s="133"/>
      <c r="BH33" s="133"/>
      <c r="BI33" s="133"/>
      <c r="BJ33" s="134"/>
      <c r="BK33" s="4"/>
    </row>
    <row r="34" spans="1:63" ht="15" customHeight="1" x14ac:dyDescent="0.25">
      <c r="A34" s="1"/>
      <c r="B34" s="127"/>
      <c r="C34" s="128"/>
      <c r="D34" s="128"/>
      <c r="E34" s="128"/>
      <c r="F34" s="128"/>
      <c r="G34" s="129"/>
      <c r="H34" s="127"/>
      <c r="I34" s="128"/>
      <c r="J34" s="128"/>
      <c r="K34" s="128"/>
      <c r="L34" s="128"/>
      <c r="M34" s="128"/>
      <c r="N34" s="129"/>
      <c r="O34" s="127"/>
      <c r="P34" s="128"/>
      <c r="Q34" s="128"/>
      <c r="R34" s="128"/>
      <c r="S34" s="139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  <c r="AS34" s="140"/>
      <c r="AT34" s="140"/>
      <c r="AU34" s="140"/>
      <c r="AV34" s="140"/>
      <c r="AW34" s="141"/>
      <c r="AX34" s="135"/>
      <c r="AY34" s="135"/>
      <c r="AZ34" s="135"/>
      <c r="BA34" s="135"/>
      <c r="BB34" s="135"/>
      <c r="BC34" s="136"/>
      <c r="BD34" s="138"/>
      <c r="BE34" s="135"/>
      <c r="BF34" s="135"/>
      <c r="BG34" s="135"/>
      <c r="BH34" s="135"/>
      <c r="BI34" s="135"/>
      <c r="BJ34" s="136"/>
      <c r="BK34" s="4"/>
    </row>
    <row r="35" spans="1:63" ht="15" customHeight="1" x14ac:dyDescent="0.25">
      <c r="A35" s="1"/>
      <c r="B35" s="124"/>
      <c r="C35" s="125"/>
      <c r="D35" s="125"/>
      <c r="E35" s="125"/>
      <c r="F35" s="125"/>
      <c r="G35" s="126"/>
      <c r="H35" s="124"/>
      <c r="I35" s="125"/>
      <c r="J35" s="125"/>
      <c r="K35" s="125"/>
      <c r="L35" s="125"/>
      <c r="M35" s="125"/>
      <c r="N35" s="126"/>
      <c r="O35" s="124"/>
      <c r="P35" s="125"/>
      <c r="Q35" s="125"/>
      <c r="R35" s="125"/>
      <c r="S35" s="130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2"/>
      <c r="AX35" s="133"/>
      <c r="AY35" s="133"/>
      <c r="AZ35" s="133"/>
      <c r="BA35" s="133"/>
      <c r="BB35" s="133"/>
      <c r="BC35" s="134"/>
      <c r="BD35" s="137"/>
      <c r="BE35" s="133"/>
      <c r="BF35" s="133"/>
      <c r="BG35" s="133"/>
      <c r="BH35" s="133"/>
      <c r="BI35" s="133"/>
      <c r="BJ35" s="134"/>
      <c r="BK35" s="4"/>
    </row>
    <row r="36" spans="1:63" ht="15" customHeight="1" x14ac:dyDescent="0.25">
      <c r="A36" s="1"/>
      <c r="B36" s="127"/>
      <c r="C36" s="128"/>
      <c r="D36" s="128"/>
      <c r="E36" s="128"/>
      <c r="F36" s="128"/>
      <c r="G36" s="129"/>
      <c r="H36" s="127"/>
      <c r="I36" s="128"/>
      <c r="J36" s="128"/>
      <c r="K36" s="128"/>
      <c r="L36" s="128"/>
      <c r="M36" s="128"/>
      <c r="N36" s="129"/>
      <c r="O36" s="127"/>
      <c r="P36" s="128"/>
      <c r="Q36" s="128"/>
      <c r="R36" s="128"/>
      <c r="S36" s="139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1"/>
      <c r="AX36" s="135"/>
      <c r="AY36" s="135"/>
      <c r="AZ36" s="135"/>
      <c r="BA36" s="135"/>
      <c r="BB36" s="135"/>
      <c r="BC36" s="136"/>
      <c r="BD36" s="138"/>
      <c r="BE36" s="135"/>
      <c r="BF36" s="135"/>
      <c r="BG36" s="135"/>
      <c r="BH36" s="135"/>
      <c r="BI36" s="135"/>
      <c r="BJ36" s="136"/>
      <c r="BK36" s="4"/>
    </row>
    <row r="37" spans="1:63" ht="15" customHeight="1" x14ac:dyDescent="0.25">
      <c r="A37" s="1"/>
      <c r="B37" s="124"/>
      <c r="C37" s="125"/>
      <c r="D37" s="125"/>
      <c r="E37" s="125"/>
      <c r="F37" s="125"/>
      <c r="G37" s="126"/>
      <c r="H37" s="124"/>
      <c r="I37" s="125"/>
      <c r="J37" s="125"/>
      <c r="K37" s="125"/>
      <c r="L37" s="125"/>
      <c r="M37" s="125"/>
      <c r="N37" s="126"/>
      <c r="O37" s="124"/>
      <c r="P37" s="125"/>
      <c r="Q37" s="125"/>
      <c r="R37" s="125"/>
      <c r="S37" s="130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2"/>
      <c r="AX37" s="133"/>
      <c r="AY37" s="133"/>
      <c r="AZ37" s="133"/>
      <c r="BA37" s="133"/>
      <c r="BB37" s="133"/>
      <c r="BC37" s="134"/>
      <c r="BD37" s="137"/>
      <c r="BE37" s="133"/>
      <c r="BF37" s="133"/>
      <c r="BG37" s="133"/>
      <c r="BH37" s="133"/>
      <c r="BI37" s="133"/>
      <c r="BJ37" s="134"/>
      <c r="BK37" s="4"/>
    </row>
    <row r="38" spans="1:63" ht="15" customHeight="1" x14ac:dyDescent="0.25">
      <c r="A38" s="1"/>
      <c r="B38" s="127"/>
      <c r="C38" s="128"/>
      <c r="D38" s="128"/>
      <c r="E38" s="128"/>
      <c r="F38" s="128"/>
      <c r="G38" s="129"/>
      <c r="H38" s="127"/>
      <c r="I38" s="128"/>
      <c r="J38" s="128"/>
      <c r="K38" s="128"/>
      <c r="L38" s="128"/>
      <c r="M38" s="128"/>
      <c r="N38" s="129"/>
      <c r="O38" s="127"/>
      <c r="P38" s="128"/>
      <c r="Q38" s="128"/>
      <c r="R38" s="128"/>
      <c r="S38" s="139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1"/>
      <c r="AX38" s="135"/>
      <c r="AY38" s="135"/>
      <c r="AZ38" s="135"/>
      <c r="BA38" s="135"/>
      <c r="BB38" s="135"/>
      <c r="BC38" s="136"/>
      <c r="BD38" s="138"/>
      <c r="BE38" s="135"/>
      <c r="BF38" s="135"/>
      <c r="BG38" s="135"/>
      <c r="BH38" s="135"/>
      <c r="BI38" s="135"/>
      <c r="BJ38" s="136"/>
      <c r="BK38" s="4"/>
    </row>
    <row r="39" spans="1:63" ht="15" customHeight="1" x14ac:dyDescent="0.25">
      <c r="A39" s="1"/>
      <c r="B39" s="124"/>
      <c r="C39" s="125"/>
      <c r="D39" s="125"/>
      <c r="E39" s="125"/>
      <c r="F39" s="125"/>
      <c r="G39" s="126"/>
      <c r="H39" s="124"/>
      <c r="I39" s="125"/>
      <c r="J39" s="125"/>
      <c r="K39" s="125"/>
      <c r="L39" s="125"/>
      <c r="M39" s="125"/>
      <c r="N39" s="126"/>
      <c r="O39" s="124"/>
      <c r="P39" s="125"/>
      <c r="Q39" s="125"/>
      <c r="R39" s="125"/>
      <c r="S39" s="130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2"/>
      <c r="AX39" s="133"/>
      <c r="AY39" s="133"/>
      <c r="AZ39" s="133"/>
      <c r="BA39" s="133"/>
      <c r="BB39" s="133"/>
      <c r="BC39" s="134"/>
      <c r="BD39" s="137"/>
      <c r="BE39" s="133"/>
      <c r="BF39" s="133"/>
      <c r="BG39" s="133"/>
      <c r="BH39" s="133"/>
      <c r="BI39" s="133"/>
      <c r="BJ39" s="134"/>
      <c r="BK39" s="4"/>
    </row>
    <row r="40" spans="1:63" ht="15" customHeight="1" x14ac:dyDescent="0.25">
      <c r="A40" s="1"/>
      <c r="B40" s="127"/>
      <c r="C40" s="128"/>
      <c r="D40" s="128"/>
      <c r="E40" s="128"/>
      <c r="F40" s="128"/>
      <c r="G40" s="129"/>
      <c r="H40" s="127"/>
      <c r="I40" s="128"/>
      <c r="J40" s="128"/>
      <c r="K40" s="128"/>
      <c r="L40" s="128"/>
      <c r="M40" s="128"/>
      <c r="N40" s="129"/>
      <c r="O40" s="127"/>
      <c r="P40" s="128"/>
      <c r="Q40" s="128"/>
      <c r="R40" s="128"/>
      <c r="S40" s="139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1"/>
      <c r="AX40" s="135"/>
      <c r="AY40" s="135"/>
      <c r="AZ40" s="135"/>
      <c r="BA40" s="135"/>
      <c r="BB40" s="135"/>
      <c r="BC40" s="136"/>
      <c r="BD40" s="138"/>
      <c r="BE40" s="135"/>
      <c r="BF40" s="135"/>
      <c r="BG40" s="135"/>
      <c r="BH40" s="135"/>
      <c r="BI40" s="135"/>
      <c r="BJ40" s="136"/>
      <c r="BK40" s="4"/>
    </row>
    <row r="41" spans="1:63" ht="15" customHeight="1" x14ac:dyDescent="0.25">
      <c r="A41" s="1"/>
      <c r="B41" s="124"/>
      <c r="C41" s="125"/>
      <c r="D41" s="125"/>
      <c r="E41" s="125"/>
      <c r="F41" s="125"/>
      <c r="G41" s="126"/>
      <c r="H41" s="124"/>
      <c r="I41" s="125"/>
      <c r="J41" s="125"/>
      <c r="K41" s="125"/>
      <c r="L41" s="125"/>
      <c r="M41" s="125"/>
      <c r="N41" s="126"/>
      <c r="O41" s="124"/>
      <c r="P41" s="125"/>
      <c r="Q41" s="125"/>
      <c r="R41" s="125"/>
      <c r="S41" s="130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2"/>
      <c r="AX41" s="133"/>
      <c r="AY41" s="133"/>
      <c r="AZ41" s="133"/>
      <c r="BA41" s="133"/>
      <c r="BB41" s="133"/>
      <c r="BC41" s="134"/>
      <c r="BD41" s="137"/>
      <c r="BE41" s="133"/>
      <c r="BF41" s="133"/>
      <c r="BG41" s="133"/>
      <c r="BH41" s="133"/>
      <c r="BI41" s="133"/>
      <c r="BJ41" s="134"/>
      <c r="BK41" s="4"/>
    </row>
    <row r="42" spans="1:63" ht="15" customHeight="1" x14ac:dyDescent="0.25">
      <c r="A42" s="1"/>
      <c r="B42" s="127"/>
      <c r="C42" s="128"/>
      <c r="D42" s="128"/>
      <c r="E42" s="128"/>
      <c r="F42" s="128"/>
      <c r="G42" s="129"/>
      <c r="H42" s="127"/>
      <c r="I42" s="128"/>
      <c r="J42" s="128"/>
      <c r="K42" s="128"/>
      <c r="L42" s="128"/>
      <c r="M42" s="128"/>
      <c r="N42" s="129"/>
      <c r="O42" s="127"/>
      <c r="P42" s="128"/>
      <c r="Q42" s="128"/>
      <c r="R42" s="128"/>
      <c r="S42" s="139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1"/>
      <c r="AX42" s="135"/>
      <c r="AY42" s="135"/>
      <c r="AZ42" s="135"/>
      <c r="BA42" s="135"/>
      <c r="BB42" s="135"/>
      <c r="BC42" s="136"/>
      <c r="BD42" s="138"/>
      <c r="BE42" s="135"/>
      <c r="BF42" s="135"/>
      <c r="BG42" s="135"/>
      <c r="BH42" s="135"/>
      <c r="BI42" s="135"/>
      <c r="BJ42" s="136"/>
      <c r="BK42" s="4"/>
    </row>
    <row r="43" spans="1:63" ht="15" customHeight="1" x14ac:dyDescent="0.25">
      <c r="A43" s="1"/>
      <c r="B43" s="124"/>
      <c r="C43" s="125"/>
      <c r="D43" s="125"/>
      <c r="E43" s="125"/>
      <c r="F43" s="125"/>
      <c r="G43" s="126"/>
      <c r="H43" s="124"/>
      <c r="I43" s="125"/>
      <c r="J43" s="125"/>
      <c r="K43" s="125"/>
      <c r="L43" s="125"/>
      <c r="M43" s="125"/>
      <c r="N43" s="126"/>
      <c r="O43" s="124"/>
      <c r="P43" s="125"/>
      <c r="Q43" s="125"/>
      <c r="R43" s="125"/>
      <c r="S43" s="130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2"/>
      <c r="AX43" s="133"/>
      <c r="AY43" s="133"/>
      <c r="AZ43" s="133"/>
      <c r="BA43" s="133"/>
      <c r="BB43" s="133"/>
      <c r="BC43" s="134"/>
      <c r="BD43" s="137"/>
      <c r="BE43" s="133"/>
      <c r="BF43" s="133"/>
      <c r="BG43" s="133"/>
      <c r="BH43" s="133"/>
      <c r="BI43" s="133"/>
      <c r="BJ43" s="134"/>
      <c r="BK43" s="4"/>
    </row>
    <row r="44" spans="1:63" ht="15" customHeight="1" x14ac:dyDescent="0.25">
      <c r="A44" s="1"/>
      <c r="B44" s="127"/>
      <c r="C44" s="128"/>
      <c r="D44" s="128"/>
      <c r="E44" s="128"/>
      <c r="F44" s="128"/>
      <c r="G44" s="129"/>
      <c r="H44" s="127"/>
      <c r="I44" s="128"/>
      <c r="J44" s="128"/>
      <c r="K44" s="128"/>
      <c r="L44" s="128"/>
      <c r="M44" s="128"/>
      <c r="N44" s="129"/>
      <c r="O44" s="127"/>
      <c r="P44" s="128"/>
      <c r="Q44" s="128"/>
      <c r="R44" s="128"/>
      <c r="S44" s="139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1"/>
      <c r="AX44" s="135"/>
      <c r="AY44" s="135"/>
      <c r="AZ44" s="135"/>
      <c r="BA44" s="135"/>
      <c r="BB44" s="135"/>
      <c r="BC44" s="136"/>
      <c r="BD44" s="138"/>
      <c r="BE44" s="135"/>
      <c r="BF44" s="135"/>
      <c r="BG44" s="135"/>
      <c r="BH44" s="135"/>
      <c r="BI44" s="135"/>
      <c r="BJ44" s="136"/>
      <c r="BK44" s="4"/>
    </row>
    <row r="45" spans="1:63" ht="15" customHeight="1" x14ac:dyDescent="0.25">
      <c r="A45" s="1"/>
      <c r="B45" s="124"/>
      <c r="C45" s="125"/>
      <c r="D45" s="125"/>
      <c r="E45" s="125"/>
      <c r="F45" s="125"/>
      <c r="G45" s="126"/>
      <c r="H45" s="124"/>
      <c r="I45" s="125"/>
      <c r="J45" s="125"/>
      <c r="K45" s="125"/>
      <c r="L45" s="125"/>
      <c r="M45" s="125"/>
      <c r="N45" s="126"/>
      <c r="O45" s="124"/>
      <c r="P45" s="125"/>
      <c r="Q45" s="125"/>
      <c r="R45" s="125"/>
      <c r="S45" s="130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2"/>
      <c r="AX45" s="133"/>
      <c r="AY45" s="133"/>
      <c r="AZ45" s="133"/>
      <c r="BA45" s="133"/>
      <c r="BB45" s="133"/>
      <c r="BC45" s="134"/>
      <c r="BD45" s="137"/>
      <c r="BE45" s="133"/>
      <c r="BF45" s="133"/>
      <c r="BG45" s="133"/>
      <c r="BH45" s="133"/>
      <c r="BI45" s="133"/>
      <c r="BJ45" s="134"/>
      <c r="BK45" s="4"/>
    </row>
    <row r="46" spans="1:63" ht="15" customHeight="1" x14ac:dyDescent="0.25">
      <c r="A46" s="1"/>
      <c r="B46" s="127"/>
      <c r="C46" s="128"/>
      <c r="D46" s="128"/>
      <c r="E46" s="128"/>
      <c r="F46" s="128"/>
      <c r="G46" s="129"/>
      <c r="H46" s="127"/>
      <c r="I46" s="128"/>
      <c r="J46" s="128"/>
      <c r="K46" s="128"/>
      <c r="L46" s="128"/>
      <c r="M46" s="128"/>
      <c r="N46" s="129"/>
      <c r="O46" s="127"/>
      <c r="P46" s="128"/>
      <c r="Q46" s="128"/>
      <c r="R46" s="128"/>
      <c r="S46" s="139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1"/>
      <c r="AX46" s="135"/>
      <c r="AY46" s="135"/>
      <c r="AZ46" s="135"/>
      <c r="BA46" s="135"/>
      <c r="BB46" s="135"/>
      <c r="BC46" s="136"/>
      <c r="BD46" s="138"/>
      <c r="BE46" s="135"/>
      <c r="BF46" s="135"/>
      <c r="BG46" s="135"/>
      <c r="BH46" s="135"/>
      <c r="BI46" s="135"/>
      <c r="BJ46" s="136"/>
      <c r="BK46" s="4"/>
    </row>
    <row r="47" spans="1:63" ht="15" customHeight="1" x14ac:dyDescent="0.25">
      <c r="A47" s="1"/>
      <c r="B47" s="124"/>
      <c r="C47" s="125"/>
      <c r="D47" s="125"/>
      <c r="E47" s="125"/>
      <c r="F47" s="125"/>
      <c r="G47" s="126"/>
      <c r="H47" s="124"/>
      <c r="I47" s="125"/>
      <c r="J47" s="125"/>
      <c r="K47" s="125"/>
      <c r="L47" s="125"/>
      <c r="M47" s="125"/>
      <c r="N47" s="126"/>
      <c r="O47" s="124"/>
      <c r="P47" s="125"/>
      <c r="Q47" s="125"/>
      <c r="R47" s="125"/>
      <c r="S47" s="130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2"/>
      <c r="AX47" s="133"/>
      <c r="AY47" s="133"/>
      <c r="AZ47" s="133"/>
      <c r="BA47" s="133"/>
      <c r="BB47" s="133"/>
      <c r="BC47" s="134"/>
      <c r="BD47" s="137"/>
      <c r="BE47" s="133"/>
      <c r="BF47" s="133"/>
      <c r="BG47" s="133"/>
      <c r="BH47" s="133"/>
      <c r="BI47" s="133"/>
      <c r="BJ47" s="134"/>
      <c r="BK47" s="4"/>
    </row>
    <row r="48" spans="1:63" ht="15" customHeight="1" x14ac:dyDescent="0.25">
      <c r="A48" s="1"/>
      <c r="B48" s="127"/>
      <c r="C48" s="128"/>
      <c r="D48" s="128"/>
      <c r="E48" s="128"/>
      <c r="F48" s="128"/>
      <c r="G48" s="129"/>
      <c r="H48" s="127"/>
      <c r="I48" s="128"/>
      <c r="J48" s="128"/>
      <c r="K48" s="128"/>
      <c r="L48" s="128"/>
      <c r="M48" s="128"/>
      <c r="N48" s="129"/>
      <c r="O48" s="127"/>
      <c r="P48" s="128"/>
      <c r="Q48" s="128"/>
      <c r="R48" s="128"/>
      <c r="S48" s="13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1"/>
      <c r="AX48" s="135"/>
      <c r="AY48" s="135"/>
      <c r="AZ48" s="135"/>
      <c r="BA48" s="135"/>
      <c r="BB48" s="135"/>
      <c r="BC48" s="136"/>
      <c r="BD48" s="138"/>
      <c r="BE48" s="135"/>
      <c r="BF48" s="135"/>
      <c r="BG48" s="135"/>
      <c r="BH48" s="135"/>
      <c r="BI48" s="135"/>
      <c r="BJ48" s="136"/>
      <c r="BK48" s="4"/>
    </row>
    <row r="49" spans="1:63" ht="15" customHeight="1" x14ac:dyDescent="0.25">
      <c r="A49" s="1"/>
      <c r="B49" s="124"/>
      <c r="C49" s="125"/>
      <c r="D49" s="125"/>
      <c r="E49" s="125"/>
      <c r="F49" s="125"/>
      <c r="G49" s="126"/>
      <c r="H49" s="124"/>
      <c r="I49" s="125"/>
      <c r="J49" s="125"/>
      <c r="K49" s="125"/>
      <c r="L49" s="125"/>
      <c r="M49" s="125"/>
      <c r="N49" s="126"/>
      <c r="O49" s="124"/>
      <c r="P49" s="125"/>
      <c r="Q49" s="125"/>
      <c r="R49" s="125"/>
      <c r="S49" s="130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2"/>
      <c r="AX49" s="133"/>
      <c r="AY49" s="133"/>
      <c r="AZ49" s="133"/>
      <c r="BA49" s="133"/>
      <c r="BB49" s="133"/>
      <c r="BC49" s="134"/>
      <c r="BD49" s="137"/>
      <c r="BE49" s="133"/>
      <c r="BF49" s="133"/>
      <c r="BG49" s="133"/>
      <c r="BH49" s="133"/>
      <c r="BI49" s="133"/>
      <c r="BJ49" s="134"/>
      <c r="BK49" s="4"/>
    </row>
    <row r="50" spans="1:63" ht="15" customHeight="1" x14ac:dyDescent="0.25">
      <c r="A50" s="1"/>
      <c r="B50" s="127"/>
      <c r="C50" s="128"/>
      <c r="D50" s="128"/>
      <c r="E50" s="128"/>
      <c r="F50" s="128"/>
      <c r="G50" s="129"/>
      <c r="H50" s="127"/>
      <c r="I50" s="128"/>
      <c r="J50" s="128"/>
      <c r="K50" s="128"/>
      <c r="L50" s="128"/>
      <c r="M50" s="128"/>
      <c r="N50" s="129"/>
      <c r="O50" s="127"/>
      <c r="P50" s="128"/>
      <c r="Q50" s="128"/>
      <c r="R50" s="128"/>
      <c r="S50" s="139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1"/>
      <c r="AX50" s="135"/>
      <c r="AY50" s="135"/>
      <c r="AZ50" s="135"/>
      <c r="BA50" s="135"/>
      <c r="BB50" s="135"/>
      <c r="BC50" s="136"/>
      <c r="BD50" s="138"/>
      <c r="BE50" s="135"/>
      <c r="BF50" s="135"/>
      <c r="BG50" s="135"/>
      <c r="BH50" s="135"/>
      <c r="BI50" s="135"/>
      <c r="BJ50" s="136"/>
      <c r="BK50" s="4"/>
    </row>
    <row r="51" spans="1:63" ht="15" customHeight="1" x14ac:dyDescent="0.25">
      <c r="A51" s="1"/>
      <c r="B51" s="124"/>
      <c r="C51" s="125"/>
      <c r="D51" s="125"/>
      <c r="E51" s="125"/>
      <c r="F51" s="125"/>
      <c r="G51" s="126"/>
      <c r="H51" s="124"/>
      <c r="I51" s="125"/>
      <c r="J51" s="125"/>
      <c r="K51" s="125"/>
      <c r="L51" s="125"/>
      <c r="M51" s="125"/>
      <c r="N51" s="126"/>
      <c r="O51" s="124"/>
      <c r="P51" s="125"/>
      <c r="Q51" s="125"/>
      <c r="R51" s="125"/>
      <c r="S51" s="130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2"/>
      <c r="AX51" s="133"/>
      <c r="AY51" s="133"/>
      <c r="AZ51" s="133"/>
      <c r="BA51" s="133"/>
      <c r="BB51" s="133"/>
      <c r="BC51" s="134"/>
      <c r="BD51" s="137"/>
      <c r="BE51" s="133"/>
      <c r="BF51" s="133"/>
      <c r="BG51" s="133"/>
      <c r="BH51" s="133"/>
      <c r="BI51" s="133"/>
      <c r="BJ51" s="134"/>
      <c r="BK51" s="4"/>
    </row>
    <row r="52" spans="1:63" ht="15" customHeight="1" x14ac:dyDescent="0.25">
      <c r="A52" s="1"/>
      <c r="B52" s="127"/>
      <c r="C52" s="128"/>
      <c r="D52" s="128"/>
      <c r="E52" s="128"/>
      <c r="F52" s="128"/>
      <c r="G52" s="129"/>
      <c r="H52" s="127"/>
      <c r="I52" s="128"/>
      <c r="J52" s="128"/>
      <c r="K52" s="128"/>
      <c r="L52" s="128"/>
      <c r="M52" s="128"/>
      <c r="N52" s="129"/>
      <c r="O52" s="127"/>
      <c r="P52" s="128"/>
      <c r="Q52" s="128"/>
      <c r="R52" s="128"/>
      <c r="S52" s="139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1"/>
      <c r="AX52" s="135"/>
      <c r="AY52" s="135"/>
      <c r="AZ52" s="135"/>
      <c r="BA52" s="135"/>
      <c r="BB52" s="135"/>
      <c r="BC52" s="136"/>
      <c r="BD52" s="138"/>
      <c r="BE52" s="135"/>
      <c r="BF52" s="135"/>
      <c r="BG52" s="135"/>
      <c r="BH52" s="135"/>
      <c r="BI52" s="135"/>
      <c r="BJ52" s="136"/>
      <c r="BK52" s="4"/>
    </row>
    <row r="53" spans="1:63" ht="15" customHeight="1" x14ac:dyDescent="0.25">
      <c r="A53" s="1"/>
      <c r="B53" s="124"/>
      <c r="C53" s="125"/>
      <c r="D53" s="125"/>
      <c r="E53" s="125"/>
      <c r="F53" s="125"/>
      <c r="G53" s="126"/>
      <c r="H53" s="124"/>
      <c r="I53" s="125"/>
      <c r="J53" s="125"/>
      <c r="K53" s="125"/>
      <c r="L53" s="125"/>
      <c r="M53" s="125"/>
      <c r="N53" s="126"/>
      <c r="O53" s="124"/>
      <c r="P53" s="125"/>
      <c r="Q53" s="125"/>
      <c r="R53" s="125"/>
      <c r="S53" s="130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2"/>
      <c r="AX53" s="133"/>
      <c r="AY53" s="133"/>
      <c r="AZ53" s="133"/>
      <c r="BA53" s="133"/>
      <c r="BB53" s="133"/>
      <c r="BC53" s="134"/>
      <c r="BD53" s="137"/>
      <c r="BE53" s="133"/>
      <c r="BF53" s="133"/>
      <c r="BG53" s="133"/>
      <c r="BH53" s="133"/>
      <c r="BI53" s="133"/>
      <c r="BJ53" s="134"/>
      <c r="BK53" s="4"/>
    </row>
    <row r="54" spans="1:63" ht="15" customHeight="1" x14ac:dyDescent="0.25">
      <c r="A54" s="1"/>
      <c r="B54" s="127"/>
      <c r="C54" s="128"/>
      <c r="D54" s="128"/>
      <c r="E54" s="128"/>
      <c r="F54" s="128"/>
      <c r="G54" s="129"/>
      <c r="H54" s="127"/>
      <c r="I54" s="128"/>
      <c r="J54" s="128"/>
      <c r="K54" s="128"/>
      <c r="L54" s="128"/>
      <c r="M54" s="128"/>
      <c r="N54" s="129"/>
      <c r="O54" s="127"/>
      <c r="P54" s="128"/>
      <c r="Q54" s="128"/>
      <c r="R54" s="128"/>
      <c r="S54" s="139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1"/>
      <c r="AX54" s="135"/>
      <c r="AY54" s="135"/>
      <c r="AZ54" s="135"/>
      <c r="BA54" s="135"/>
      <c r="BB54" s="135"/>
      <c r="BC54" s="136"/>
      <c r="BD54" s="138"/>
      <c r="BE54" s="135"/>
      <c r="BF54" s="135"/>
      <c r="BG54" s="135"/>
      <c r="BH54" s="135"/>
      <c r="BI54" s="135"/>
      <c r="BJ54" s="136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205" t="s">
        <v>95</v>
      </c>
      <c r="B1" s="206"/>
      <c r="C1" s="206"/>
      <c r="D1" s="206"/>
      <c r="E1" s="206"/>
      <c r="F1" s="206"/>
      <c r="G1" s="206"/>
      <c r="H1" s="206"/>
      <c r="I1" s="206"/>
      <c r="J1" s="207"/>
      <c r="K1" s="205" t="s">
        <v>96</v>
      </c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7"/>
      <c r="W1" s="208" t="s">
        <v>91</v>
      </c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10"/>
      <c r="AP1" s="93" t="s">
        <v>97</v>
      </c>
      <c r="AQ1" s="94"/>
      <c r="AR1" s="94"/>
      <c r="AS1" s="95"/>
      <c r="AT1" s="93" t="s">
        <v>98</v>
      </c>
      <c r="AU1" s="94"/>
      <c r="AV1" s="94"/>
      <c r="AW1" s="94"/>
      <c r="AX1" s="95"/>
      <c r="AY1" s="93" t="s">
        <v>99</v>
      </c>
      <c r="AZ1" s="94"/>
      <c r="BA1" s="94"/>
      <c r="BB1" s="95"/>
      <c r="BC1" s="93" t="s">
        <v>100</v>
      </c>
      <c r="BD1" s="94"/>
      <c r="BE1" s="94"/>
      <c r="BF1" s="94"/>
      <c r="BG1" s="95"/>
      <c r="BH1" s="93" t="s">
        <v>101</v>
      </c>
      <c r="BI1" s="94"/>
      <c r="BJ1" s="94"/>
      <c r="BK1" s="95"/>
    </row>
    <row r="2" spans="1:63" ht="15" customHeight="1" x14ac:dyDescent="0.25">
      <c r="A2" s="199" t="s">
        <v>92</v>
      </c>
      <c r="B2" s="200"/>
      <c r="C2" s="200"/>
      <c r="D2" s="200"/>
      <c r="E2" s="200"/>
      <c r="F2" s="200"/>
      <c r="G2" s="200"/>
      <c r="H2" s="200"/>
      <c r="I2" s="200"/>
      <c r="J2" s="201"/>
      <c r="K2" s="199" t="s">
        <v>92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11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3"/>
      <c r="AP2" s="78" t="s">
        <v>88</v>
      </c>
      <c r="AQ2" s="79"/>
      <c r="AR2" s="79"/>
      <c r="AS2" s="80"/>
      <c r="AT2" s="108">
        <v>45616</v>
      </c>
      <c r="AU2" s="109"/>
      <c r="AV2" s="109"/>
      <c r="AW2" s="109"/>
      <c r="AX2" s="110"/>
      <c r="AY2" s="78" t="s">
        <v>89</v>
      </c>
      <c r="AZ2" s="79"/>
      <c r="BA2" s="79"/>
      <c r="BB2" s="80"/>
      <c r="BC2" s="108">
        <v>45804</v>
      </c>
      <c r="BD2" s="109"/>
      <c r="BE2" s="109"/>
      <c r="BF2" s="109"/>
      <c r="BG2" s="110"/>
      <c r="BH2" s="78">
        <v>0.15</v>
      </c>
      <c r="BI2" s="79"/>
      <c r="BJ2" s="79"/>
      <c r="BK2" s="80"/>
    </row>
    <row r="3" spans="1:63" ht="15" customHeight="1" x14ac:dyDescent="0.25">
      <c r="A3" s="202"/>
      <c r="B3" s="203"/>
      <c r="C3" s="203"/>
      <c r="D3" s="203"/>
      <c r="E3" s="203"/>
      <c r="F3" s="203"/>
      <c r="G3" s="203"/>
      <c r="H3" s="203"/>
      <c r="I3" s="203"/>
      <c r="J3" s="204"/>
      <c r="K3" s="202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4"/>
      <c r="W3" s="214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6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84"/>
      <c r="BI3" s="85"/>
      <c r="BJ3" s="85"/>
      <c r="BK3" s="86"/>
    </row>
    <row r="4" spans="1:63" ht="24.95" customHeight="1" x14ac:dyDescent="0.25">
      <c r="A4" s="205" t="s">
        <v>102</v>
      </c>
      <c r="B4" s="206"/>
      <c r="C4" s="206"/>
      <c r="D4" s="206"/>
      <c r="E4" s="206"/>
      <c r="F4" s="206"/>
      <c r="G4" s="207"/>
      <c r="H4" s="217" t="s">
        <v>90</v>
      </c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9"/>
      <c r="U4" s="205" t="s">
        <v>103</v>
      </c>
      <c r="V4" s="206"/>
      <c r="W4" s="206"/>
      <c r="X4" s="206"/>
      <c r="Y4" s="207"/>
      <c r="Z4" s="217" t="s">
        <v>93</v>
      </c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9"/>
      <c r="AP4" s="220" t="str">
        <f ca="1">MID(CELL("filename",A1),FIND("]",CELL("filename",A1))+1,255)</f>
        <v>処理フロー凡例</v>
      </c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9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37" customFormat="1" ht="15" customHeight="1" x14ac:dyDescent="0.25">
      <c r="A7" s="53"/>
      <c r="B7" s="54" t="s">
        <v>106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6"/>
      <c r="AF7" s="57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6"/>
      <c r="BJ7" s="55"/>
      <c r="BK7" s="58"/>
    </row>
    <row r="8" spans="1:63" s="59" customFormat="1" ht="15" customHeight="1" x14ac:dyDescent="0.25">
      <c r="BK8" s="58"/>
    </row>
    <row r="9" spans="1:63" s="59" customFormat="1" ht="15" customHeight="1" x14ac:dyDescent="0.25">
      <c r="BK9" s="58"/>
    </row>
    <row r="10" spans="1:63" s="59" customFormat="1" ht="15" customHeight="1" x14ac:dyDescent="0.25">
      <c r="BK10" s="58"/>
    </row>
    <row r="11" spans="1:63" s="59" customFormat="1" ht="15" customHeight="1" x14ac:dyDescent="0.25">
      <c r="BK11" s="58"/>
    </row>
    <row r="12" spans="1:63" s="59" customFormat="1" ht="15" customHeight="1" x14ac:dyDescent="0.25">
      <c r="BK12" s="58"/>
    </row>
    <row r="13" spans="1:63" s="59" customFormat="1" ht="15" customHeight="1" x14ac:dyDescent="0.25">
      <c r="BK13" s="58"/>
    </row>
    <row r="14" spans="1:63" s="59" customFormat="1" ht="15" customHeight="1" x14ac:dyDescent="0.25">
      <c r="BK14" s="58"/>
    </row>
    <row r="15" spans="1:63" s="59" customFormat="1" ht="15" customHeight="1" x14ac:dyDescent="0.25">
      <c r="BK15" s="58"/>
    </row>
    <row r="16" spans="1:63" s="59" customFormat="1" ht="15" customHeight="1" x14ac:dyDescent="0.25">
      <c r="BK16" s="58"/>
    </row>
    <row r="17" spans="63:63" s="59" customFormat="1" ht="15" customHeight="1" x14ac:dyDescent="0.25">
      <c r="BK17" s="58"/>
    </row>
    <row r="18" spans="63:63" s="59" customFormat="1" ht="15" customHeight="1" x14ac:dyDescent="0.25">
      <c r="BK18" s="58"/>
    </row>
    <row r="19" spans="63:63" s="59" customFormat="1" ht="15" customHeight="1" x14ac:dyDescent="0.25">
      <c r="BK19" s="58"/>
    </row>
    <row r="20" spans="63:63" s="59" customFormat="1" ht="15" customHeight="1" x14ac:dyDescent="0.25">
      <c r="BK20" s="58"/>
    </row>
    <row r="21" spans="63:63" s="59" customFormat="1" ht="15" customHeight="1" x14ac:dyDescent="0.25">
      <c r="BK21" s="58"/>
    </row>
    <row r="22" spans="63:63" s="59" customFormat="1" ht="15" customHeight="1" x14ac:dyDescent="0.25">
      <c r="BK22" s="58"/>
    </row>
    <row r="23" spans="63:63" s="59" customFormat="1" ht="15" customHeight="1" x14ac:dyDescent="0.25">
      <c r="BK23" s="58"/>
    </row>
    <row r="24" spans="63:63" s="59" customFormat="1" ht="15" customHeight="1" x14ac:dyDescent="0.25">
      <c r="BK24" s="58"/>
    </row>
    <row r="25" spans="63:63" s="59" customFormat="1" ht="15" customHeight="1" x14ac:dyDescent="0.25">
      <c r="BK25" s="58"/>
    </row>
    <row r="26" spans="63:63" s="59" customFormat="1" ht="15" customHeight="1" x14ac:dyDescent="0.25">
      <c r="BK26" s="58"/>
    </row>
    <row r="27" spans="63:63" s="59" customFormat="1" ht="15" customHeight="1" x14ac:dyDescent="0.25">
      <c r="BK27" s="58"/>
    </row>
    <row r="28" spans="63:63" s="59" customFormat="1" ht="15" customHeight="1" x14ac:dyDescent="0.25">
      <c r="BK28" s="58"/>
    </row>
    <row r="29" spans="63:63" s="59" customFormat="1" ht="15" customHeight="1" x14ac:dyDescent="0.25">
      <c r="BK29" s="58"/>
    </row>
    <row r="30" spans="63:63" s="59" customFormat="1" ht="15" customHeight="1" x14ac:dyDescent="0.25">
      <c r="BK30" s="58"/>
    </row>
    <row r="31" spans="63:63" s="59" customFormat="1" ht="15" customHeight="1" x14ac:dyDescent="0.25">
      <c r="BK31" s="58"/>
    </row>
    <row r="32" spans="63:63" s="59" customFormat="1" ht="15" customHeight="1" x14ac:dyDescent="0.25">
      <c r="BK32" s="58"/>
    </row>
    <row r="33" spans="63:63" s="59" customFormat="1" ht="15" customHeight="1" x14ac:dyDescent="0.25">
      <c r="BK33" s="58"/>
    </row>
    <row r="34" spans="63:63" s="59" customFormat="1" ht="15" customHeight="1" x14ac:dyDescent="0.25">
      <c r="BK34" s="58"/>
    </row>
    <row r="35" spans="63:63" s="59" customFormat="1" ht="15" customHeight="1" x14ac:dyDescent="0.25">
      <c r="BK35" s="58"/>
    </row>
    <row r="36" spans="63:63" s="59" customFormat="1" ht="15" customHeight="1" x14ac:dyDescent="0.25">
      <c r="BK36" s="58"/>
    </row>
    <row r="37" spans="63:63" s="59" customFormat="1" ht="15" customHeight="1" x14ac:dyDescent="0.25">
      <c r="BK37" s="58"/>
    </row>
    <row r="38" spans="63:63" s="59" customFormat="1" ht="15" customHeight="1" x14ac:dyDescent="0.25">
      <c r="BK38" s="58"/>
    </row>
    <row r="39" spans="63:63" s="59" customFormat="1" ht="15" customHeight="1" x14ac:dyDescent="0.25">
      <c r="BK39" s="58"/>
    </row>
    <row r="40" spans="63:63" s="59" customFormat="1" ht="15" customHeight="1" x14ac:dyDescent="0.25">
      <c r="BK40" s="58"/>
    </row>
    <row r="41" spans="63:63" s="59" customFormat="1" ht="15" customHeight="1" x14ac:dyDescent="0.25">
      <c r="BK41" s="58"/>
    </row>
    <row r="42" spans="63:63" s="59" customFormat="1" ht="15" customHeight="1" x14ac:dyDescent="0.25">
      <c r="BK42" s="58"/>
    </row>
    <row r="43" spans="63:63" s="59" customFormat="1" ht="15" customHeight="1" x14ac:dyDescent="0.25">
      <c r="BK43" s="58"/>
    </row>
    <row r="44" spans="63:63" s="59" customFormat="1" ht="15" customHeight="1" x14ac:dyDescent="0.25">
      <c r="BK44" s="58"/>
    </row>
    <row r="45" spans="63:63" s="59" customFormat="1" ht="15" customHeight="1" x14ac:dyDescent="0.25">
      <c r="BK45" s="58"/>
    </row>
    <row r="46" spans="63:63" s="59" customFormat="1" ht="15" customHeight="1" x14ac:dyDescent="0.25">
      <c r="BK46" s="58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EE0000"/>
    <pageSetUpPr fitToPage="1"/>
  </sheetPr>
  <dimension ref="A1:BK8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0" customWidth="1"/>
    <col min="64" max="16384" width="10.109375" style="60"/>
  </cols>
  <sheetData>
    <row r="1" spans="1:63" ht="24.95" customHeight="1" x14ac:dyDescent="0.25">
      <c r="A1" s="205" t="s">
        <v>95</v>
      </c>
      <c r="B1" s="206"/>
      <c r="C1" s="206"/>
      <c r="D1" s="206"/>
      <c r="E1" s="206"/>
      <c r="F1" s="206"/>
      <c r="G1" s="206"/>
      <c r="H1" s="206"/>
      <c r="I1" s="206"/>
      <c r="J1" s="207"/>
      <c r="K1" s="205" t="s">
        <v>96</v>
      </c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7"/>
      <c r="W1" s="208" t="s">
        <v>91</v>
      </c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10"/>
      <c r="AP1" s="93" t="s">
        <v>97</v>
      </c>
      <c r="AQ1" s="94"/>
      <c r="AR1" s="94"/>
      <c r="AS1" s="95"/>
      <c r="AT1" s="93" t="s">
        <v>98</v>
      </c>
      <c r="AU1" s="94"/>
      <c r="AV1" s="94"/>
      <c r="AW1" s="94"/>
      <c r="AX1" s="95"/>
      <c r="AY1" s="93" t="s">
        <v>99</v>
      </c>
      <c r="AZ1" s="94"/>
      <c r="BA1" s="94"/>
      <c r="BB1" s="95"/>
      <c r="BC1" s="93" t="s">
        <v>100</v>
      </c>
      <c r="BD1" s="94"/>
      <c r="BE1" s="94"/>
      <c r="BF1" s="94"/>
      <c r="BG1" s="95"/>
      <c r="BH1" s="93" t="s">
        <v>101</v>
      </c>
      <c r="BI1" s="94"/>
      <c r="BJ1" s="94"/>
      <c r="BK1" s="95"/>
    </row>
    <row r="2" spans="1:63" ht="15" customHeight="1" x14ac:dyDescent="0.25">
      <c r="A2" s="277" t="s">
        <v>92</v>
      </c>
      <c r="B2" s="278"/>
      <c r="C2" s="278"/>
      <c r="D2" s="278"/>
      <c r="E2" s="278"/>
      <c r="F2" s="278"/>
      <c r="G2" s="278"/>
      <c r="H2" s="278"/>
      <c r="I2" s="278"/>
      <c r="J2" s="279"/>
      <c r="K2" s="277" t="s">
        <v>92</v>
      </c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9"/>
      <c r="W2" s="211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3"/>
      <c r="AP2" s="78" t="s">
        <v>88</v>
      </c>
      <c r="AQ2" s="79"/>
      <c r="AR2" s="79"/>
      <c r="AS2" s="80"/>
      <c r="AT2" s="108">
        <v>45616</v>
      </c>
      <c r="AU2" s="109"/>
      <c r="AV2" s="109"/>
      <c r="AW2" s="109"/>
      <c r="AX2" s="110"/>
      <c r="AY2" s="78" t="s">
        <v>89</v>
      </c>
      <c r="AZ2" s="79"/>
      <c r="BA2" s="79"/>
      <c r="BB2" s="80"/>
      <c r="BC2" s="108">
        <v>45804</v>
      </c>
      <c r="BD2" s="109"/>
      <c r="BE2" s="109"/>
      <c r="BF2" s="109"/>
      <c r="BG2" s="110"/>
      <c r="BH2" s="78">
        <v>0.15</v>
      </c>
      <c r="BI2" s="79"/>
      <c r="BJ2" s="79"/>
      <c r="BK2" s="80"/>
    </row>
    <row r="3" spans="1:63" ht="15" customHeight="1" x14ac:dyDescent="0.25">
      <c r="A3" s="280"/>
      <c r="B3" s="281"/>
      <c r="C3" s="281"/>
      <c r="D3" s="281"/>
      <c r="E3" s="281"/>
      <c r="F3" s="281"/>
      <c r="G3" s="281"/>
      <c r="H3" s="281"/>
      <c r="I3" s="281"/>
      <c r="J3" s="282"/>
      <c r="K3" s="280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2"/>
      <c r="W3" s="214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6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84"/>
      <c r="BI3" s="85"/>
      <c r="BJ3" s="85"/>
      <c r="BK3" s="86"/>
    </row>
    <row r="4" spans="1:63" ht="24.95" customHeight="1" x14ac:dyDescent="0.25">
      <c r="A4" s="205" t="s">
        <v>102</v>
      </c>
      <c r="B4" s="206"/>
      <c r="C4" s="206"/>
      <c r="D4" s="206"/>
      <c r="E4" s="206"/>
      <c r="F4" s="206"/>
      <c r="G4" s="207"/>
      <c r="H4" s="274" t="s">
        <v>90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05" t="s">
        <v>103</v>
      </c>
      <c r="V4" s="206"/>
      <c r="W4" s="206"/>
      <c r="X4" s="206"/>
      <c r="Y4" s="207"/>
      <c r="Z4" s="274" t="s">
        <v>93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4" t="str">
        <f ca="1">MID(CELL("filename",A1),FIND("]",CELL("filename",A1))+1,255)</f>
        <v>AP8205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 x14ac:dyDescent="0.25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3"/>
    </row>
    <row r="6" spans="1:63" ht="15" customHeight="1" x14ac:dyDescent="0.25">
      <c r="A6" s="64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6"/>
    </row>
    <row r="7" spans="1:63" s="70" customFormat="1" ht="15" customHeight="1" x14ac:dyDescent="0.25">
      <c r="A7" s="67"/>
      <c r="B7" s="20" t="s">
        <v>107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9"/>
      <c r="BI7" s="69"/>
      <c r="BJ7" s="69"/>
      <c r="BK7" s="58"/>
    </row>
    <row r="8" spans="1:63" s="70" customFormat="1" ht="15" customHeight="1" x14ac:dyDescent="0.25">
      <c r="A8" s="67"/>
      <c r="B8" s="2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59"/>
      <c r="BI8" s="59"/>
      <c r="BJ8" s="59"/>
      <c r="BK8" s="58"/>
    </row>
    <row r="9" spans="1:63" s="70" customFormat="1" ht="15" customHeight="1" x14ac:dyDescent="0.25">
      <c r="A9" s="67"/>
      <c r="B9" s="21"/>
      <c r="C9" s="71" t="s">
        <v>58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59"/>
      <c r="BI9" s="59"/>
      <c r="BJ9" s="59"/>
      <c r="BK9" s="58"/>
    </row>
    <row r="10" spans="1:63" s="70" customFormat="1" ht="15" customHeight="1" x14ac:dyDescent="0.25">
      <c r="A10" s="67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59"/>
      <c r="BI10" s="59"/>
      <c r="BJ10" s="59"/>
      <c r="BK10" s="58"/>
    </row>
    <row r="11" spans="1:63" s="70" customFormat="1" ht="15" customHeight="1" x14ac:dyDescent="0.25">
      <c r="A11" s="67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59"/>
      <c r="BI11" s="59"/>
      <c r="BJ11" s="59"/>
      <c r="BK11" s="58"/>
    </row>
    <row r="12" spans="1:63" s="70" customFormat="1" ht="15" customHeight="1" x14ac:dyDescent="0.25">
      <c r="A12" s="67"/>
      <c r="B12" s="20" t="s">
        <v>108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9"/>
      <c r="BI12" s="69"/>
      <c r="BJ12" s="69"/>
      <c r="BK12" s="58"/>
    </row>
    <row r="13" spans="1:63" s="70" customFormat="1" ht="15" customHeight="1" x14ac:dyDescent="0.25">
      <c r="A13" s="67"/>
      <c r="B13" s="71"/>
      <c r="C13" s="2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59"/>
      <c r="BI13" s="59"/>
      <c r="BJ13" s="59"/>
      <c r="BK13" s="58"/>
    </row>
    <row r="14" spans="1:63" s="70" customFormat="1" ht="15" customHeight="1" x14ac:dyDescent="0.25">
      <c r="A14" s="67"/>
      <c r="B14" s="71"/>
      <c r="C14" s="21" t="s">
        <v>109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59"/>
      <c r="BI14" s="59"/>
      <c r="BJ14" s="59"/>
      <c r="BK14" s="58"/>
    </row>
    <row r="15" spans="1:63" s="70" customFormat="1" ht="15" customHeight="1" x14ac:dyDescent="0.25">
      <c r="A15" s="67"/>
      <c r="B15" s="71"/>
      <c r="C15" s="2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59"/>
      <c r="BI15" s="59"/>
      <c r="BJ15" s="59"/>
      <c r="BK15" s="58"/>
    </row>
    <row r="16" spans="1:63" s="70" customFormat="1" ht="15" customHeight="1" x14ac:dyDescent="0.25">
      <c r="A16" s="67"/>
      <c r="B16" s="71"/>
      <c r="C16" s="252" t="s">
        <v>25</v>
      </c>
      <c r="D16" s="254"/>
      <c r="E16" s="252" t="s">
        <v>46</v>
      </c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4"/>
      <c r="AG16" s="252" t="s">
        <v>47</v>
      </c>
      <c r="AH16" s="253"/>
      <c r="AI16" s="253"/>
      <c r="AJ16" s="253"/>
      <c r="AK16" s="253"/>
      <c r="AL16" s="253"/>
      <c r="AM16" s="253"/>
      <c r="AN16" s="253"/>
      <c r="AO16" s="253"/>
      <c r="AP16" s="254"/>
      <c r="AQ16" s="252" t="s">
        <v>48</v>
      </c>
      <c r="AR16" s="253"/>
      <c r="AS16" s="253"/>
      <c r="AT16" s="253"/>
      <c r="AU16" s="253"/>
      <c r="AV16" s="253"/>
      <c r="AW16" s="253"/>
      <c r="AX16" s="253"/>
      <c r="AY16" s="253"/>
      <c r="AZ16" s="253"/>
      <c r="BA16" s="253"/>
      <c r="BB16" s="253"/>
      <c r="BC16" s="253"/>
      <c r="BD16" s="253"/>
      <c r="BE16" s="253"/>
      <c r="BF16" s="253"/>
      <c r="BG16" s="253"/>
      <c r="BH16" s="253"/>
      <c r="BI16" s="253"/>
      <c r="BJ16" s="254"/>
      <c r="BK16" s="58"/>
    </row>
    <row r="17" spans="1:63" s="70" customFormat="1" ht="15" customHeight="1" x14ac:dyDescent="0.25">
      <c r="A17" s="67"/>
      <c r="B17" s="71"/>
      <c r="C17" s="221">
        <v>1</v>
      </c>
      <c r="D17" s="222"/>
      <c r="E17" s="241" t="s">
        <v>110</v>
      </c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6"/>
      <c r="AG17" s="221" t="s">
        <v>55</v>
      </c>
      <c r="AH17" s="223"/>
      <c r="AI17" s="223"/>
      <c r="AJ17" s="223"/>
      <c r="AK17" s="223"/>
      <c r="AL17" s="223"/>
      <c r="AM17" s="223"/>
      <c r="AN17" s="223"/>
      <c r="AO17" s="223"/>
      <c r="AP17" s="222"/>
      <c r="AQ17" s="221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2"/>
      <c r="BK17" s="58"/>
    </row>
    <row r="18" spans="1:63" s="70" customFormat="1" ht="15" customHeight="1" x14ac:dyDescent="0.25">
      <c r="A18" s="67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59"/>
      <c r="BI18" s="59"/>
      <c r="BJ18" s="59"/>
      <c r="BK18" s="58"/>
    </row>
    <row r="19" spans="1:63" s="70" customFormat="1" ht="15" customHeight="1" x14ac:dyDescent="0.25">
      <c r="A19" s="67"/>
      <c r="B19" s="71"/>
      <c r="C19" s="21" t="s">
        <v>111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59"/>
      <c r="BI19" s="59"/>
      <c r="BJ19" s="59"/>
      <c r="BK19" s="58"/>
    </row>
    <row r="20" spans="1:63" s="70" customFormat="1" ht="15" customHeight="1" x14ac:dyDescent="0.25">
      <c r="A20" s="67"/>
      <c r="B20" s="71"/>
      <c r="C20" s="2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59"/>
      <c r="BI20" s="59"/>
      <c r="BJ20" s="59"/>
      <c r="BK20" s="58"/>
    </row>
    <row r="21" spans="1:63" s="70" customFormat="1" ht="15" customHeight="1" x14ac:dyDescent="0.25">
      <c r="A21" s="67"/>
      <c r="B21" s="71"/>
      <c r="C21" s="252" t="s">
        <v>25</v>
      </c>
      <c r="D21" s="254"/>
      <c r="E21" s="252" t="s">
        <v>16</v>
      </c>
      <c r="F21" s="253"/>
      <c r="G21" s="253"/>
      <c r="H21" s="253"/>
      <c r="I21" s="253"/>
      <c r="J21" s="253"/>
      <c r="K21" s="254"/>
      <c r="L21" s="252" t="s">
        <v>49</v>
      </c>
      <c r="M21" s="253"/>
      <c r="N21" s="254"/>
      <c r="O21" s="252" t="s">
        <v>50</v>
      </c>
      <c r="P21" s="253"/>
      <c r="Q21" s="253"/>
      <c r="R21" s="254"/>
      <c r="S21" s="252" t="s">
        <v>51</v>
      </c>
      <c r="T21" s="253"/>
      <c r="U21" s="253"/>
      <c r="V21" s="253"/>
      <c r="W21" s="253"/>
      <c r="X21" s="253"/>
      <c r="Y21" s="254"/>
      <c r="Z21" s="252" t="s">
        <v>27</v>
      </c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  <c r="AO21" s="253"/>
      <c r="AP21" s="254"/>
      <c r="AQ21" s="252" t="s">
        <v>48</v>
      </c>
      <c r="AR21" s="253"/>
      <c r="AS21" s="253"/>
      <c r="AT21" s="253"/>
      <c r="AU21" s="253"/>
      <c r="AV21" s="253"/>
      <c r="AW21" s="253"/>
      <c r="AX21" s="253"/>
      <c r="AY21" s="253"/>
      <c r="AZ21" s="253"/>
      <c r="BA21" s="253"/>
      <c r="BB21" s="253"/>
      <c r="BC21" s="253"/>
      <c r="BD21" s="253"/>
      <c r="BE21" s="253"/>
      <c r="BF21" s="253"/>
      <c r="BG21" s="253"/>
      <c r="BH21" s="253"/>
      <c r="BI21" s="253"/>
      <c r="BJ21" s="254"/>
      <c r="BK21" s="58"/>
    </row>
    <row r="22" spans="1:63" s="70" customFormat="1" ht="15" customHeight="1" x14ac:dyDescent="0.25">
      <c r="A22" s="67"/>
      <c r="B22" s="71"/>
      <c r="C22" s="221">
        <v>1</v>
      </c>
      <c r="D22" s="222"/>
      <c r="E22" s="221" t="s">
        <v>17</v>
      </c>
      <c r="F22" s="223"/>
      <c r="G22" s="223"/>
      <c r="H22" s="223"/>
      <c r="I22" s="223"/>
      <c r="J22" s="223"/>
      <c r="K22" s="222"/>
      <c r="L22" s="98" t="s">
        <v>18</v>
      </c>
      <c r="M22" s="99"/>
      <c r="N22" s="100"/>
      <c r="O22" s="221" t="s">
        <v>86</v>
      </c>
      <c r="P22" s="223"/>
      <c r="Q22" s="223"/>
      <c r="R22" s="222"/>
      <c r="S22" s="221" t="s">
        <v>19</v>
      </c>
      <c r="T22" s="223"/>
      <c r="U22" s="223"/>
      <c r="V22" s="223"/>
      <c r="W22" s="223"/>
      <c r="X22" s="223"/>
      <c r="Y22" s="222"/>
      <c r="Z22" s="221" t="s">
        <v>20</v>
      </c>
      <c r="AA22" s="223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  <c r="AP22" s="222"/>
      <c r="AQ22" s="241" t="s">
        <v>112</v>
      </c>
      <c r="AR22" s="255"/>
      <c r="AS22" s="255"/>
      <c r="AT22" s="255"/>
      <c r="AU22" s="255"/>
      <c r="AV22" s="255"/>
      <c r="AW22" s="255"/>
      <c r="AX22" s="255"/>
      <c r="AY22" s="255"/>
      <c r="AZ22" s="255"/>
      <c r="BA22" s="255"/>
      <c r="BB22" s="255"/>
      <c r="BC22" s="255"/>
      <c r="BD22" s="255"/>
      <c r="BE22" s="255"/>
      <c r="BF22" s="255"/>
      <c r="BG22" s="255"/>
      <c r="BH22" s="255"/>
      <c r="BI22" s="255"/>
      <c r="BJ22" s="256"/>
      <c r="BK22" s="58"/>
    </row>
    <row r="23" spans="1:63" s="70" customFormat="1" ht="15" customHeight="1" x14ac:dyDescent="0.25">
      <c r="A23" s="67"/>
      <c r="B23" s="71"/>
      <c r="C23" s="221">
        <v>2</v>
      </c>
      <c r="D23" s="222"/>
      <c r="E23" s="221" t="s">
        <v>21</v>
      </c>
      <c r="F23" s="223"/>
      <c r="G23" s="223"/>
      <c r="H23" s="223"/>
      <c r="I23" s="223"/>
      <c r="J23" s="223"/>
      <c r="K23" s="222"/>
      <c r="L23" s="98" t="s">
        <v>19</v>
      </c>
      <c r="M23" s="99"/>
      <c r="N23" s="100"/>
      <c r="O23" s="221" t="s">
        <v>86</v>
      </c>
      <c r="P23" s="223"/>
      <c r="Q23" s="223"/>
      <c r="R23" s="222"/>
      <c r="S23" s="221" t="s">
        <v>19</v>
      </c>
      <c r="T23" s="223"/>
      <c r="U23" s="223"/>
      <c r="V23" s="223"/>
      <c r="W23" s="223"/>
      <c r="X23" s="223"/>
      <c r="Y23" s="222"/>
      <c r="Z23" s="221" t="s">
        <v>21</v>
      </c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2"/>
      <c r="AQ23" s="241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5"/>
      <c r="BD23" s="255"/>
      <c r="BE23" s="255"/>
      <c r="BF23" s="255"/>
      <c r="BG23" s="255"/>
      <c r="BH23" s="255"/>
      <c r="BI23" s="255"/>
      <c r="BJ23" s="256"/>
      <c r="BK23" s="58"/>
    </row>
    <row r="24" spans="1:63" s="70" customFormat="1" ht="15" customHeight="1" x14ac:dyDescent="0.25">
      <c r="A24" s="67"/>
      <c r="B24" s="71"/>
      <c r="C24" s="271">
        <v>3</v>
      </c>
      <c r="D24" s="272"/>
      <c r="E24" s="271" t="s">
        <v>22</v>
      </c>
      <c r="F24" s="273"/>
      <c r="G24" s="273"/>
      <c r="H24" s="273"/>
      <c r="I24" s="273"/>
      <c r="J24" s="273"/>
      <c r="K24" s="272"/>
      <c r="L24" s="260" t="s">
        <v>18</v>
      </c>
      <c r="M24" s="261"/>
      <c r="N24" s="262"/>
      <c r="O24" s="263" t="s">
        <v>86</v>
      </c>
      <c r="P24" s="264"/>
      <c r="Q24" s="264"/>
      <c r="R24" s="265"/>
      <c r="S24" s="263" t="s">
        <v>38</v>
      </c>
      <c r="T24" s="264"/>
      <c r="U24" s="264"/>
      <c r="V24" s="264"/>
      <c r="W24" s="264"/>
      <c r="X24" s="264"/>
      <c r="Y24" s="265"/>
      <c r="Z24" s="266" t="s">
        <v>38</v>
      </c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  <c r="AM24" s="267"/>
      <c r="AN24" s="267"/>
      <c r="AO24" s="267"/>
      <c r="AP24" s="268"/>
      <c r="AQ24" s="269"/>
      <c r="AR24" s="269"/>
      <c r="AS24" s="269"/>
      <c r="AT24" s="269"/>
      <c r="AU24" s="269"/>
      <c r="AV24" s="269"/>
      <c r="AW24" s="269"/>
      <c r="AX24" s="269"/>
      <c r="AY24" s="269"/>
      <c r="AZ24" s="269"/>
      <c r="BA24" s="269"/>
      <c r="BB24" s="269"/>
      <c r="BC24" s="269"/>
      <c r="BD24" s="269"/>
      <c r="BE24" s="269"/>
      <c r="BF24" s="269"/>
      <c r="BG24" s="269"/>
      <c r="BH24" s="269"/>
      <c r="BI24" s="269"/>
      <c r="BJ24" s="270"/>
      <c r="BK24" s="58"/>
    </row>
    <row r="25" spans="1:63" s="70" customFormat="1" ht="15" customHeight="1" x14ac:dyDescent="0.25">
      <c r="A25" s="67"/>
      <c r="B25" s="71"/>
      <c r="C25" s="221">
        <v>4</v>
      </c>
      <c r="D25" s="222"/>
      <c r="E25" s="221" t="s">
        <v>23</v>
      </c>
      <c r="F25" s="223"/>
      <c r="G25" s="223"/>
      <c r="H25" s="223"/>
      <c r="I25" s="223"/>
      <c r="J25" s="223"/>
      <c r="K25" s="222"/>
      <c r="L25" s="98" t="s">
        <v>19</v>
      </c>
      <c r="M25" s="99"/>
      <c r="N25" s="100"/>
      <c r="O25" s="221" t="s">
        <v>86</v>
      </c>
      <c r="P25" s="223"/>
      <c r="Q25" s="223"/>
      <c r="R25" s="222"/>
      <c r="S25" s="221" t="s">
        <v>19</v>
      </c>
      <c r="T25" s="223"/>
      <c r="U25" s="223"/>
      <c r="V25" s="223"/>
      <c r="W25" s="223"/>
      <c r="X25" s="223"/>
      <c r="Y25" s="222"/>
      <c r="Z25" s="221" t="s">
        <v>23</v>
      </c>
      <c r="AA25" s="223"/>
      <c r="AB25" s="223"/>
      <c r="AC25" s="223"/>
      <c r="AD25" s="223"/>
      <c r="AE25" s="223"/>
      <c r="AF25" s="223"/>
      <c r="AG25" s="223"/>
      <c r="AH25" s="223"/>
      <c r="AI25" s="223"/>
      <c r="AJ25" s="223"/>
      <c r="AK25" s="223"/>
      <c r="AL25" s="223"/>
      <c r="AM25" s="223"/>
      <c r="AN25" s="223"/>
      <c r="AO25" s="223"/>
      <c r="AP25" s="222"/>
      <c r="AQ25" s="241"/>
      <c r="AR25" s="255"/>
      <c r="AS25" s="255"/>
      <c r="AT25" s="255"/>
      <c r="AU25" s="255"/>
      <c r="AV25" s="255"/>
      <c r="AW25" s="255"/>
      <c r="AX25" s="255"/>
      <c r="AY25" s="255"/>
      <c r="AZ25" s="255"/>
      <c r="BA25" s="255"/>
      <c r="BB25" s="255"/>
      <c r="BC25" s="255"/>
      <c r="BD25" s="255"/>
      <c r="BE25" s="255"/>
      <c r="BF25" s="255"/>
      <c r="BG25" s="255"/>
      <c r="BH25" s="255"/>
      <c r="BI25" s="255"/>
      <c r="BJ25" s="256"/>
      <c r="BK25" s="58"/>
    </row>
    <row r="26" spans="1:63" s="70" customFormat="1" ht="15" customHeight="1" x14ac:dyDescent="0.25">
      <c r="A26" s="67"/>
      <c r="B26" s="71"/>
      <c r="C26" s="221">
        <v>5</v>
      </c>
      <c r="D26" s="222"/>
      <c r="E26" s="221" t="s">
        <v>24</v>
      </c>
      <c r="F26" s="223"/>
      <c r="G26" s="223"/>
      <c r="H26" s="223"/>
      <c r="I26" s="223"/>
      <c r="J26" s="223"/>
      <c r="K26" s="222"/>
      <c r="L26" s="98" t="s">
        <v>19</v>
      </c>
      <c r="M26" s="99"/>
      <c r="N26" s="100"/>
      <c r="O26" s="221" t="s">
        <v>86</v>
      </c>
      <c r="P26" s="223"/>
      <c r="Q26" s="223"/>
      <c r="R26" s="222"/>
      <c r="S26" s="221" t="s">
        <v>19</v>
      </c>
      <c r="T26" s="223"/>
      <c r="U26" s="223"/>
      <c r="V26" s="223"/>
      <c r="W26" s="223"/>
      <c r="X26" s="223"/>
      <c r="Y26" s="222"/>
      <c r="Z26" s="221" t="s">
        <v>24</v>
      </c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2"/>
      <c r="AQ26" s="241"/>
      <c r="AR26" s="255"/>
      <c r="AS26" s="255"/>
      <c r="AT26" s="255"/>
      <c r="AU26" s="255"/>
      <c r="AV26" s="255"/>
      <c r="AW26" s="255"/>
      <c r="AX26" s="255"/>
      <c r="AY26" s="255"/>
      <c r="AZ26" s="255"/>
      <c r="BA26" s="255"/>
      <c r="BB26" s="255"/>
      <c r="BC26" s="255"/>
      <c r="BD26" s="255"/>
      <c r="BE26" s="255"/>
      <c r="BF26" s="255"/>
      <c r="BG26" s="255"/>
      <c r="BH26" s="255"/>
      <c r="BI26" s="255"/>
      <c r="BJ26" s="256"/>
      <c r="BK26" s="58"/>
    </row>
    <row r="27" spans="1:63" s="70" customFormat="1" ht="15" customHeight="1" x14ac:dyDescent="0.25">
      <c r="A27" s="6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2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2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59"/>
      <c r="BI27" s="59"/>
      <c r="BJ27" s="59"/>
      <c r="BK27" s="58"/>
    </row>
    <row r="28" spans="1:63" s="70" customFormat="1" ht="15" customHeight="1" x14ac:dyDescent="0.25">
      <c r="A28" s="6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2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2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59"/>
      <c r="BI28" s="59"/>
      <c r="BJ28" s="59"/>
      <c r="BK28" s="58"/>
    </row>
    <row r="29" spans="1:63" s="70" customFormat="1" ht="15" customHeight="1" x14ac:dyDescent="0.25">
      <c r="A29" s="67"/>
      <c r="B29" s="71"/>
      <c r="C29" s="21" t="s">
        <v>28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59"/>
      <c r="BI29" s="59"/>
      <c r="BJ29" s="59"/>
      <c r="BK29" s="58"/>
    </row>
    <row r="30" spans="1:63" s="70" customFormat="1" ht="15" customHeight="1" x14ac:dyDescent="0.25">
      <c r="A30" s="67"/>
      <c r="B30" s="71"/>
      <c r="C30" s="21"/>
      <c r="D30" s="71" t="s">
        <v>39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59"/>
      <c r="BI30" s="59"/>
      <c r="BJ30" s="59"/>
      <c r="BK30" s="58"/>
    </row>
    <row r="31" spans="1:63" s="70" customFormat="1" ht="15" customHeight="1" x14ac:dyDescent="0.25">
      <c r="A31" s="6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59"/>
      <c r="BI31" s="59"/>
      <c r="BJ31" s="59"/>
      <c r="BK31" s="58"/>
    </row>
    <row r="32" spans="1:63" s="70" customFormat="1" ht="15" customHeight="1" x14ac:dyDescent="0.25">
      <c r="A32" s="67"/>
      <c r="B32" s="71"/>
      <c r="C32" s="21" t="s">
        <v>26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59"/>
      <c r="BI32" s="59"/>
      <c r="BJ32" s="59"/>
      <c r="BK32" s="58"/>
    </row>
    <row r="33" spans="1:63" s="70" customFormat="1" ht="15" customHeight="1" x14ac:dyDescent="0.25">
      <c r="A33" s="67"/>
      <c r="B33" s="71"/>
      <c r="C33" s="2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59"/>
      <c r="BI33" s="59"/>
      <c r="BJ33" s="59"/>
      <c r="BK33" s="58"/>
    </row>
    <row r="34" spans="1:63" s="70" customFormat="1" ht="15" customHeight="1" x14ac:dyDescent="0.25">
      <c r="A34" s="67"/>
      <c r="B34" s="71"/>
      <c r="C34" s="257" t="s">
        <v>25</v>
      </c>
      <c r="D34" s="259"/>
      <c r="E34" s="257" t="s">
        <v>52</v>
      </c>
      <c r="F34" s="258"/>
      <c r="G34" s="258"/>
      <c r="H34" s="258"/>
      <c r="I34" s="258"/>
      <c r="J34" s="258"/>
      <c r="K34" s="259"/>
      <c r="L34" s="252" t="s">
        <v>49</v>
      </c>
      <c r="M34" s="253"/>
      <c r="N34" s="254"/>
      <c r="O34" s="252" t="s">
        <v>50</v>
      </c>
      <c r="P34" s="253"/>
      <c r="Q34" s="253"/>
      <c r="R34" s="254"/>
      <c r="S34" s="252" t="s">
        <v>51</v>
      </c>
      <c r="T34" s="253"/>
      <c r="U34" s="253"/>
      <c r="V34" s="253"/>
      <c r="W34" s="253"/>
      <c r="X34" s="253"/>
      <c r="Y34" s="254"/>
      <c r="Z34" s="252" t="s">
        <v>27</v>
      </c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4"/>
      <c r="AQ34" s="257" t="s">
        <v>48</v>
      </c>
      <c r="AR34" s="258"/>
      <c r="AS34" s="258"/>
      <c r="AT34" s="258"/>
      <c r="AU34" s="258"/>
      <c r="AV34" s="258"/>
      <c r="AW34" s="258"/>
      <c r="AX34" s="258"/>
      <c r="AY34" s="258"/>
      <c r="AZ34" s="258"/>
      <c r="BA34" s="258"/>
      <c r="BB34" s="258"/>
      <c r="BC34" s="258"/>
      <c r="BD34" s="258"/>
      <c r="BE34" s="258"/>
      <c r="BF34" s="258"/>
      <c r="BG34" s="258"/>
      <c r="BH34" s="258"/>
      <c r="BI34" s="258"/>
      <c r="BJ34" s="259"/>
      <c r="BK34" s="58"/>
    </row>
    <row r="35" spans="1:63" s="70" customFormat="1" x14ac:dyDescent="0.25">
      <c r="A35" s="67"/>
      <c r="B35" s="71"/>
      <c r="C35" s="221">
        <v>1</v>
      </c>
      <c r="D35" s="222"/>
      <c r="E35" s="221"/>
      <c r="F35" s="223"/>
      <c r="G35" s="223"/>
      <c r="H35" s="223"/>
      <c r="I35" s="223"/>
      <c r="J35" s="223"/>
      <c r="K35" s="222"/>
      <c r="L35" s="98" t="s">
        <v>19</v>
      </c>
      <c r="M35" s="99"/>
      <c r="N35" s="100"/>
      <c r="O35" s="221" t="s">
        <v>56</v>
      </c>
      <c r="P35" s="223"/>
      <c r="Q35" s="223"/>
      <c r="R35" s="222"/>
      <c r="S35" s="245"/>
      <c r="T35" s="223"/>
      <c r="U35" s="223"/>
      <c r="V35" s="223"/>
      <c r="W35" s="223"/>
      <c r="X35" s="223"/>
      <c r="Y35" s="222"/>
      <c r="Z35" s="221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  <c r="AN35" s="223"/>
      <c r="AO35" s="223"/>
      <c r="AP35" s="222"/>
      <c r="AQ35" s="246"/>
      <c r="AR35" s="242"/>
      <c r="AS35" s="242"/>
      <c r="AT35" s="242"/>
      <c r="AU35" s="242"/>
      <c r="AV35" s="242"/>
      <c r="AW35" s="242"/>
      <c r="AX35" s="242"/>
      <c r="AY35" s="242"/>
      <c r="AZ35" s="242"/>
      <c r="BA35" s="242"/>
      <c r="BB35" s="242"/>
      <c r="BC35" s="242"/>
      <c r="BD35" s="242"/>
      <c r="BE35" s="242"/>
      <c r="BF35" s="242"/>
      <c r="BG35" s="242"/>
      <c r="BH35" s="242"/>
      <c r="BI35" s="242"/>
      <c r="BJ35" s="243"/>
      <c r="BK35" s="58"/>
    </row>
    <row r="36" spans="1:63" s="70" customFormat="1" ht="33.75" customHeight="1" x14ac:dyDescent="0.25">
      <c r="A36" s="67"/>
      <c r="B36" s="71"/>
      <c r="C36" s="221">
        <v>2</v>
      </c>
      <c r="D36" s="222"/>
      <c r="E36" s="221" t="s">
        <v>57</v>
      </c>
      <c r="F36" s="223"/>
      <c r="G36" s="223"/>
      <c r="H36" s="223"/>
      <c r="I36" s="223"/>
      <c r="J36" s="223"/>
      <c r="K36" s="222"/>
      <c r="L36" s="247" t="s">
        <v>18</v>
      </c>
      <c r="M36" s="99"/>
      <c r="N36" s="100"/>
      <c r="O36" s="221" t="s">
        <v>40</v>
      </c>
      <c r="P36" s="223"/>
      <c r="Q36" s="223"/>
      <c r="R36" s="222"/>
      <c r="S36" s="241" t="s">
        <v>19</v>
      </c>
      <c r="T36" s="223"/>
      <c r="U36" s="223"/>
      <c r="V36" s="223"/>
      <c r="W36" s="223"/>
      <c r="X36" s="223"/>
      <c r="Y36" s="222"/>
      <c r="Z36" s="221"/>
      <c r="AA36" s="223"/>
      <c r="AB36" s="223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  <c r="AM36" s="223"/>
      <c r="AN36" s="223"/>
      <c r="AO36" s="223"/>
      <c r="AP36" s="222"/>
      <c r="AQ36" s="248" t="s">
        <v>169</v>
      </c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242"/>
      <c r="BD36" s="242"/>
      <c r="BE36" s="242"/>
      <c r="BF36" s="242"/>
      <c r="BG36" s="242"/>
      <c r="BH36" s="242"/>
      <c r="BI36" s="242"/>
      <c r="BJ36" s="243"/>
      <c r="BK36" s="58"/>
    </row>
    <row r="37" spans="1:63" s="70" customFormat="1" ht="75" customHeight="1" x14ac:dyDescent="0.25">
      <c r="A37" s="67"/>
      <c r="B37" s="71"/>
      <c r="C37" s="221">
        <v>3</v>
      </c>
      <c r="D37" s="222"/>
      <c r="E37" s="221" t="s">
        <v>76</v>
      </c>
      <c r="F37" s="223"/>
      <c r="G37" s="223"/>
      <c r="H37" s="223"/>
      <c r="I37" s="223"/>
      <c r="J37" s="223"/>
      <c r="K37" s="222"/>
      <c r="L37" s="247" t="s">
        <v>18</v>
      </c>
      <c r="M37" s="99"/>
      <c r="N37" s="100"/>
      <c r="O37" s="221" t="s">
        <v>87</v>
      </c>
      <c r="P37" s="223"/>
      <c r="Q37" s="223"/>
      <c r="R37" s="222"/>
      <c r="S37" s="241" t="s">
        <v>19</v>
      </c>
      <c r="T37" s="223"/>
      <c r="U37" s="223"/>
      <c r="V37" s="223"/>
      <c r="W37" s="223"/>
      <c r="X37" s="223"/>
      <c r="Y37" s="222"/>
      <c r="Z37" s="221" t="s">
        <v>67</v>
      </c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/>
      <c r="AP37" s="222"/>
      <c r="AQ37" s="249" t="s">
        <v>113</v>
      </c>
      <c r="AR37" s="250"/>
      <c r="AS37" s="250"/>
      <c r="AT37" s="250"/>
      <c r="AU37" s="250"/>
      <c r="AV37" s="250"/>
      <c r="AW37" s="250"/>
      <c r="AX37" s="250"/>
      <c r="AY37" s="250"/>
      <c r="AZ37" s="250"/>
      <c r="BA37" s="250"/>
      <c r="BB37" s="250"/>
      <c r="BC37" s="250"/>
      <c r="BD37" s="250"/>
      <c r="BE37" s="250"/>
      <c r="BF37" s="250"/>
      <c r="BG37" s="250"/>
      <c r="BH37" s="250"/>
      <c r="BI37" s="250"/>
      <c r="BJ37" s="251"/>
      <c r="BK37" s="58"/>
    </row>
    <row r="38" spans="1:63" s="70" customFormat="1" ht="48" customHeight="1" x14ac:dyDescent="0.25">
      <c r="A38" s="67"/>
      <c r="B38" s="71"/>
      <c r="C38" s="221">
        <v>4</v>
      </c>
      <c r="D38" s="222"/>
      <c r="E38" s="221" t="s">
        <v>42</v>
      </c>
      <c r="F38" s="223"/>
      <c r="G38" s="223"/>
      <c r="H38" s="223"/>
      <c r="I38" s="223"/>
      <c r="J38" s="223"/>
      <c r="K38" s="222"/>
      <c r="L38" s="247" t="s">
        <v>18</v>
      </c>
      <c r="M38" s="99"/>
      <c r="N38" s="100"/>
      <c r="O38" s="221" t="s">
        <v>86</v>
      </c>
      <c r="P38" s="223"/>
      <c r="Q38" s="223"/>
      <c r="R38" s="222"/>
      <c r="S38" s="241" t="s">
        <v>19</v>
      </c>
      <c r="T38" s="223"/>
      <c r="U38" s="223"/>
      <c r="V38" s="223"/>
      <c r="W38" s="223"/>
      <c r="X38" s="223"/>
      <c r="Y38" s="222"/>
      <c r="Z38" s="221" t="s">
        <v>68</v>
      </c>
      <c r="AA38" s="223"/>
      <c r="AB38" s="223"/>
      <c r="AC38" s="223"/>
      <c r="AD38" s="223"/>
      <c r="AE38" s="223"/>
      <c r="AF38" s="223"/>
      <c r="AG38" s="223"/>
      <c r="AH38" s="223"/>
      <c r="AI38" s="223"/>
      <c r="AJ38" s="223"/>
      <c r="AK38" s="223"/>
      <c r="AL38" s="223"/>
      <c r="AM38" s="223"/>
      <c r="AN38" s="223"/>
      <c r="AO38" s="223"/>
      <c r="AP38" s="222"/>
      <c r="AQ38" s="235" t="s">
        <v>174</v>
      </c>
      <c r="AR38" s="223"/>
      <c r="AS38" s="223"/>
      <c r="AT38" s="223"/>
      <c r="AU38" s="223"/>
      <c r="AV38" s="223"/>
      <c r="AW38" s="223"/>
      <c r="AX38" s="223"/>
      <c r="AY38" s="223"/>
      <c r="AZ38" s="223"/>
      <c r="BA38" s="223"/>
      <c r="BB38" s="223"/>
      <c r="BC38" s="223"/>
      <c r="BD38" s="223"/>
      <c r="BE38" s="223"/>
      <c r="BF38" s="223"/>
      <c r="BG38" s="223"/>
      <c r="BH38" s="223"/>
      <c r="BI38" s="223"/>
      <c r="BJ38" s="222"/>
      <c r="BK38" s="58"/>
    </row>
    <row r="39" spans="1:63" s="70" customFormat="1" ht="47.25" customHeight="1" x14ac:dyDescent="0.25">
      <c r="A39" s="67"/>
      <c r="B39" s="71"/>
      <c r="C39" s="221">
        <v>5</v>
      </c>
      <c r="D39" s="222"/>
      <c r="E39" s="221" t="s">
        <v>43</v>
      </c>
      <c r="F39" s="223"/>
      <c r="G39" s="223"/>
      <c r="H39" s="223"/>
      <c r="I39" s="223"/>
      <c r="J39" s="223"/>
      <c r="K39" s="222"/>
      <c r="L39" s="247" t="s">
        <v>18</v>
      </c>
      <c r="M39" s="99"/>
      <c r="N39" s="100"/>
      <c r="O39" s="221" t="s">
        <v>86</v>
      </c>
      <c r="P39" s="223"/>
      <c r="Q39" s="223"/>
      <c r="R39" s="222"/>
      <c r="S39" s="241" t="s">
        <v>19</v>
      </c>
      <c r="T39" s="223"/>
      <c r="U39" s="223"/>
      <c r="V39" s="223"/>
      <c r="W39" s="223"/>
      <c r="X39" s="223"/>
      <c r="Y39" s="222"/>
      <c r="Z39" s="221" t="s">
        <v>69</v>
      </c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23"/>
      <c r="AO39" s="223"/>
      <c r="AP39" s="222"/>
      <c r="AQ39" s="235" t="s">
        <v>173</v>
      </c>
      <c r="AR39" s="223"/>
      <c r="AS39" s="223"/>
      <c r="AT39" s="223"/>
      <c r="AU39" s="223"/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3"/>
      <c r="BG39" s="223"/>
      <c r="BH39" s="223"/>
      <c r="BI39" s="223"/>
      <c r="BJ39" s="222"/>
      <c r="BK39" s="58"/>
    </row>
    <row r="40" spans="1:63" s="70" customFormat="1" ht="34.5" customHeight="1" x14ac:dyDescent="0.25">
      <c r="A40" s="67"/>
      <c r="B40" s="71"/>
      <c r="C40" s="221">
        <v>6</v>
      </c>
      <c r="D40" s="222"/>
      <c r="E40" s="221" t="s">
        <v>44</v>
      </c>
      <c r="F40" s="223"/>
      <c r="G40" s="223"/>
      <c r="H40" s="223"/>
      <c r="I40" s="223"/>
      <c r="J40" s="223"/>
      <c r="K40" s="222"/>
      <c r="L40" s="98" t="s">
        <v>19</v>
      </c>
      <c r="M40" s="99"/>
      <c r="N40" s="100"/>
      <c r="O40" s="221" t="s">
        <v>86</v>
      </c>
      <c r="P40" s="223"/>
      <c r="Q40" s="223"/>
      <c r="R40" s="222"/>
      <c r="S40" s="241" t="s">
        <v>19</v>
      </c>
      <c r="T40" s="223"/>
      <c r="U40" s="223"/>
      <c r="V40" s="223"/>
      <c r="W40" s="223"/>
      <c r="X40" s="223"/>
      <c r="Y40" s="222"/>
      <c r="Z40" s="221" t="s">
        <v>70</v>
      </c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2"/>
      <c r="AQ40" s="235" t="s">
        <v>114</v>
      </c>
      <c r="AR40" s="223"/>
      <c r="AS40" s="223"/>
      <c r="AT40" s="223"/>
      <c r="AU40" s="223"/>
      <c r="AV40" s="223"/>
      <c r="AW40" s="223"/>
      <c r="AX40" s="223"/>
      <c r="AY40" s="223"/>
      <c r="AZ40" s="223"/>
      <c r="BA40" s="223"/>
      <c r="BB40" s="223"/>
      <c r="BC40" s="223"/>
      <c r="BD40" s="223"/>
      <c r="BE40" s="223"/>
      <c r="BF40" s="223"/>
      <c r="BG40" s="223"/>
      <c r="BH40" s="223"/>
      <c r="BI40" s="223"/>
      <c r="BJ40" s="222"/>
      <c r="BK40" s="58"/>
    </row>
    <row r="41" spans="1:63" s="70" customFormat="1" ht="31.5" customHeight="1" x14ac:dyDescent="0.25">
      <c r="A41" s="67"/>
      <c r="B41" s="71"/>
      <c r="C41" s="239">
        <v>7</v>
      </c>
      <c r="D41" s="240"/>
      <c r="E41" s="221" t="s">
        <v>64</v>
      </c>
      <c r="F41" s="223"/>
      <c r="G41" s="223"/>
      <c r="H41" s="223"/>
      <c r="I41" s="223"/>
      <c r="J41" s="223"/>
      <c r="K41" s="222"/>
      <c r="L41" s="98" t="s">
        <v>19</v>
      </c>
      <c r="M41" s="99"/>
      <c r="N41" s="100"/>
      <c r="O41" s="221" t="s">
        <v>86</v>
      </c>
      <c r="P41" s="223"/>
      <c r="Q41" s="223"/>
      <c r="R41" s="222"/>
      <c r="S41" s="241" t="s">
        <v>19</v>
      </c>
      <c r="T41" s="223"/>
      <c r="U41" s="223"/>
      <c r="V41" s="223"/>
      <c r="W41" s="223"/>
      <c r="X41" s="223"/>
      <c r="Y41" s="222"/>
      <c r="Z41" s="221" t="s">
        <v>71</v>
      </c>
      <c r="AA41" s="223"/>
      <c r="AB41" s="223"/>
      <c r="AC41" s="223"/>
      <c r="AD41" s="223"/>
      <c r="AE41" s="223"/>
      <c r="AF41" s="223"/>
      <c r="AG41" s="223"/>
      <c r="AH41" s="223"/>
      <c r="AI41" s="223"/>
      <c r="AJ41" s="223"/>
      <c r="AK41" s="223"/>
      <c r="AL41" s="223"/>
      <c r="AM41" s="223"/>
      <c r="AN41" s="223"/>
      <c r="AO41" s="223"/>
      <c r="AP41" s="222"/>
      <c r="AQ41" s="235" t="s">
        <v>175</v>
      </c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3"/>
      <c r="BK41" s="58"/>
    </row>
    <row r="42" spans="1:63" s="70" customFormat="1" ht="31.5" customHeight="1" x14ac:dyDescent="0.25">
      <c r="A42" s="67"/>
      <c r="B42" s="71"/>
      <c r="C42" s="239">
        <v>8</v>
      </c>
      <c r="D42" s="240"/>
      <c r="E42" s="221" t="s">
        <v>62</v>
      </c>
      <c r="F42" s="223"/>
      <c r="G42" s="223"/>
      <c r="H42" s="223"/>
      <c r="I42" s="223"/>
      <c r="J42" s="223"/>
      <c r="K42" s="222"/>
      <c r="L42" s="98" t="s">
        <v>19</v>
      </c>
      <c r="M42" s="99"/>
      <c r="N42" s="100"/>
      <c r="O42" s="221" t="s">
        <v>86</v>
      </c>
      <c r="P42" s="223"/>
      <c r="Q42" s="223"/>
      <c r="R42" s="222"/>
      <c r="S42" s="241" t="s">
        <v>19</v>
      </c>
      <c r="T42" s="223"/>
      <c r="U42" s="223"/>
      <c r="V42" s="223"/>
      <c r="W42" s="223"/>
      <c r="X42" s="223"/>
      <c r="Y42" s="222"/>
      <c r="Z42" s="221" t="s">
        <v>72</v>
      </c>
      <c r="AA42" s="223"/>
      <c r="AB42" s="223"/>
      <c r="AC42" s="223"/>
      <c r="AD42" s="223"/>
      <c r="AE42" s="223"/>
      <c r="AF42" s="223"/>
      <c r="AG42" s="223"/>
      <c r="AH42" s="223"/>
      <c r="AI42" s="223"/>
      <c r="AJ42" s="223"/>
      <c r="AK42" s="223"/>
      <c r="AL42" s="223"/>
      <c r="AM42" s="223"/>
      <c r="AN42" s="223"/>
      <c r="AO42" s="223"/>
      <c r="AP42" s="222"/>
      <c r="AQ42" s="235" t="s">
        <v>175</v>
      </c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242"/>
      <c r="BD42" s="242"/>
      <c r="BE42" s="242"/>
      <c r="BF42" s="242"/>
      <c r="BG42" s="242"/>
      <c r="BH42" s="242"/>
      <c r="BI42" s="242"/>
      <c r="BJ42" s="243"/>
      <c r="BK42" s="58"/>
    </row>
    <row r="43" spans="1:63" s="70" customFormat="1" ht="31.5" customHeight="1" x14ac:dyDescent="0.25">
      <c r="A43" s="67"/>
      <c r="B43" s="71"/>
      <c r="C43" s="239">
        <v>9</v>
      </c>
      <c r="D43" s="240"/>
      <c r="E43" s="221" t="s">
        <v>63</v>
      </c>
      <c r="F43" s="223"/>
      <c r="G43" s="223"/>
      <c r="H43" s="223"/>
      <c r="I43" s="223"/>
      <c r="J43" s="223"/>
      <c r="K43" s="222"/>
      <c r="L43" s="98" t="s">
        <v>19</v>
      </c>
      <c r="M43" s="99"/>
      <c r="N43" s="100"/>
      <c r="O43" s="221" t="s">
        <v>86</v>
      </c>
      <c r="P43" s="223"/>
      <c r="Q43" s="223"/>
      <c r="R43" s="222"/>
      <c r="S43" s="241" t="s">
        <v>19</v>
      </c>
      <c r="T43" s="223"/>
      <c r="U43" s="223"/>
      <c r="V43" s="223"/>
      <c r="W43" s="223"/>
      <c r="X43" s="223"/>
      <c r="Y43" s="222"/>
      <c r="Z43" s="221" t="s">
        <v>73</v>
      </c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23"/>
      <c r="AO43" s="223"/>
      <c r="AP43" s="222"/>
      <c r="AQ43" s="235" t="s">
        <v>175</v>
      </c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42"/>
      <c r="BH43" s="242"/>
      <c r="BI43" s="242"/>
      <c r="BJ43" s="243"/>
      <c r="BK43" s="58"/>
    </row>
    <row r="44" spans="1:63" s="70" customFormat="1" ht="31.5" customHeight="1" x14ac:dyDescent="0.25">
      <c r="A44" s="67"/>
      <c r="B44" s="71"/>
      <c r="C44" s="221">
        <v>10</v>
      </c>
      <c r="D44" s="222"/>
      <c r="E44" s="221" t="s">
        <v>45</v>
      </c>
      <c r="F44" s="223"/>
      <c r="G44" s="223"/>
      <c r="H44" s="223"/>
      <c r="I44" s="223"/>
      <c r="J44" s="223"/>
      <c r="K44" s="222"/>
      <c r="L44" s="98" t="s">
        <v>19</v>
      </c>
      <c r="M44" s="99"/>
      <c r="N44" s="100"/>
      <c r="O44" s="221" t="s">
        <v>86</v>
      </c>
      <c r="P44" s="223"/>
      <c r="Q44" s="223"/>
      <c r="R44" s="222"/>
      <c r="S44" s="241" t="s">
        <v>19</v>
      </c>
      <c r="T44" s="223"/>
      <c r="U44" s="223"/>
      <c r="V44" s="223"/>
      <c r="W44" s="223"/>
      <c r="X44" s="223"/>
      <c r="Y44" s="222"/>
      <c r="Z44" s="221" t="s">
        <v>74</v>
      </c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2"/>
      <c r="AQ44" s="235" t="s">
        <v>115</v>
      </c>
      <c r="AR44" s="223"/>
      <c r="AS44" s="223"/>
      <c r="AT44" s="223"/>
      <c r="AU44" s="223"/>
      <c r="AV44" s="223"/>
      <c r="AW44" s="223"/>
      <c r="AX44" s="223"/>
      <c r="AY44" s="223"/>
      <c r="AZ44" s="223"/>
      <c r="BA44" s="223"/>
      <c r="BB44" s="223"/>
      <c r="BC44" s="223"/>
      <c r="BD44" s="223"/>
      <c r="BE44" s="223"/>
      <c r="BF44" s="223"/>
      <c r="BG44" s="223"/>
      <c r="BH44" s="223"/>
      <c r="BI44" s="223"/>
      <c r="BJ44" s="222"/>
      <c r="BK44" s="58"/>
    </row>
    <row r="45" spans="1:63" s="32" customFormat="1" ht="71.25" customHeight="1" x14ac:dyDescent="0.25">
      <c r="A45" s="29"/>
      <c r="B45" s="30"/>
      <c r="C45" s="221">
        <v>11</v>
      </c>
      <c r="D45" s="222"/>
      <c r="E45" s="221" t="s">
        <v>53</v>
      </c>
      <c r="F45" s="223"/>
      <c r="G45" s="223"/>
      <c r="H45" s="223"/>
      <c r="I45" s="223"/>
      <c r="J45" s="223"/>
      <c r="K45" s="222"/>
      <c r="L45" s="98" t="s">
        <v>19</v>
      </c>
      <c r="M45" s="99"/>
      <c r="N45" s="100"/>
      <c r="O45" s="221" t="s">
        <v>86</v>
      </c>
      <c r="P45" s="223"/>
      <c r="Q45" s="223"/>
      <c r="R45" s="222"/>
      <c r="S45" s="241" t="s">
        <v>19</v>
      </c>
      <c r="T45" s="223"/>
      <c r="U45" s="223"/>
      <c r="V45" s="223"/>
      <c r="W45" s="223"/>
      <c r="X45" s="223"/>
      <c r="Y45" s="222"/>
      <c r="Z45" s="221" t="s">
        <v>75</v>
      </c>
      <c r="AA45" s="223"/>
      <c r="AB45" s="223"/>
      <c r="AC45" s="223"/>
      <c r="AD45" s="223"/>
      <c r="AE45" s="223"/>
      <c r="AF45" s="223"/>
      <c r="AG45" s="223"/>
      <c r="AH45" s="223"/>
      <c r="AI45" s="223"/>
      <c r="AJ45" s="223"/>
      <c r="AK45" s="223"/>
      <c r="AL45" s="223"/>
      <c r="AM45" s="223"/>
      <c r="AN45" s="223"/>
      <c r="AO45" s="223"/>
      <c r="AP45" s="222"/>
      <c r="AQ45" s="244" t="s">
        <v>178</v>
      </c>
      <c r="AR45" s="242"/>
      <c r="AS45" s="242"/>
      <c r="AT45" s="242"/>
      <c r="AU45" s="242"/>
      <c r="AV45" s="242"/>
      <c r="AW45" s="242"/>
      <c r="AX45" s="242"/>
      <c r="AY45" s="242"/>
      <c r="AZ45" s="242"/>
      <c r="BA45" s="242"/>
      <c r="BB45" s="242"/>
      <c r="BC45" s="242"/>
      <c r="BD45" s="242"/>
      <c r="BE45" s="242"/>
      <c r="BF45" s="242"/>
      <c r="BG45" s="242"/>
      <c r="BH45" s="242"/>
      <c r="BI45" s="242"/>
      <c r="BJ45" s="243"/>
      <c r="BK45" s="31"/>
    </row>
    <row r="46" spans="1:63" s="32" customFormat="1" ht="49.5" customHeight="1" x14ac:dyDescent="0.25">
      <c r="A46" s="29"/>
      <c r="B46" s="30"/>
      <c r="C46" s="224">
        <v>12</v>
      </c>
      <c r="D46" s="225"/>
      <c r="E46" s="224" t="s">
        <v>116</v>
      </c>
      <c r="F46" s="232"/>
      <c r="G46" s="232"/>
      <c r="H46" s="232"/>
      <c r="I46" s="232"/>
      <c r="J46" s="232"/>
      <c r="K46" s="225"/>
      <c r="L46" s="229" t="s">
        <v>19</v>
      </c>
      <c r="M46" s="230"/>
      <c r="N46" s="231"/>
      <c r="O46" s="224" t="s">
        <v>117</v>
      </c>
      <c r="P46" s="232"/>
      <c r="Q46" s="232"/>
      <c r="R46" s="225"/>
      <c r="S46" s="233" t="s">
        <v>19</v>
      </c>
      <c r="T46" s="232"/>
      <c r="U46" s="232"/>
      <c r="V46" s="232"/>
      <c r="W46" s="232"/>
      <c r="X46" s="232"/>
      <c r="Y46" s="225"/>
      <c r="Z46" s="224" t="s">
        <v>118</v>
      </c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25"/>
      <c r="AQ46" s="236" t="s">
        <v>170</v>
      </c>
      <c r="AR46" s="237"/>
      <c r="AS46" s="237"/>
      <c r="AT46" s="237"/>
      <c r="AU46" s="237"/>
      <c r="AV46" s="237"/>
      <c r="AW46" s="237"/>
      <c r="AX46" s="237"/>
      <c r="AY46" s="237"/>
      <c r="AZ46" s="237"/>
      <c r="BA46" s="237"/>
      <c r="BB46" s="237"/>
      <c r="BC46" s="237"/>
      <c r="BD46" s="237"/>
      <c r="BE46" s="237"/>
      <c r="BF46" s="237"/>
      <c r="BG46" s="237"/>
      <c r="BH46" s="237"/>
      <c r="BI46" s="237"/>
      <c r="BJ46" s="238"/>
      <c r="BK46" s="31"/>
    </row>
    <row r="47" spans="1:63" s="32" customFormat="1" ht="45" customHeight="1" x14ac:dyDescent="0.25">
      <c r="A47" s="29"/>
      <c r="B47" s="30"/>
      <c r="C47" s="224">
        <v>13</v>
      </c>
      <c r="D47" s="225"/>
      <c r="E47" s="224" t="s">
        <v>119</v>
      </c>
      <c r="F47" s="232"/>
      <c r="G47" s="232"/>
      <c r="H47" s="232"/>
      <c r="I47" s="232"/>
      <c r="J47" s="232"/>
      <c r="K47" s="225"/>
      <c r="L47" s="229" t="s">
        <v>19</v>
      </c>
      <c r="M47" s="230"/>
      <c r="N47" s="231"/>
      <c r="O47" s="224" t="s">
        <v>120</v>
      </c>
      <c r="P47" s="232"/>
      <c r="Q47" s="232"/>
      <c r="R47" s="225"/>
      <c r="S47" s="233" t="s">
        <v>19</v>
      </c>
      <c r="T47" s="232"/>
      <c r="U47" s="232"/>
      <c r="V47" s="232"/>
      <c r="W47" s="232"/>
      <c r="X47" s="232"/>
      <c r="Y47" s="225"/>
      <c r="Z47" s="224" t="s">
        <v>19</v>
      </c>
      <c r="AA47" s="232"/>
      <c r="AB47" s="232"/>
      <c r="AC47" s="232"/>
      <c r="AD47" s="23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  <c r="AP47" s="225"/>
      <c r="AQ47" s="236" t="s">
        <v>121</v>
      </c>
      <c r="AR47" s="237"/>
      <c r="AS47" s="237"/>
      <c r="AT47" s="237"/>
      <c r="AU47" s="237"/>
      <c r="AV47" s="237"/>
      <c r="AW47" s="237"/>
      <c r="AX47" s="237"/>
      <c r="AY47" s="237"/>
      <c r="AZ47" s="237"/>
      <c r="BA47" s="237"/>
      <c r="BB47" s="237"/>
      <c r="BC47" s="237"/>
      <c r="BD47" s="237"/>
      <c r="BE47" s="237"/>
      <c r="BF47" s="237"/>
      <c r="BG47" s="237"/>
      <c r="BH47" s="237"/>
      <c r="BI47" s="237"/>
      <c r="BJ47" s="238"/>
      <c r="BK47" s="31"/>
    </row>
    <row r="48" spans="1:63" s="32" customFormat="1" ht="45" customHeight="1" x14ac:dyDescent="0.25">
      <c r="A48" s="29"/>
      <c r="B48" s="30"/>
      <c r="C48" s="224">
        <v>14</v>
      </c>
      <c r="D48" s="225"/>
      <c r="E48" s="226" t="s">
        <v>122</v>
      </c>
      <c r="F48" s="227"/>
      <c r="G48" s="227"/>
      <c r="H48" s="227"/>
      <c r="I48" s="227"/>
      <c r="J48" s="227"/>
      <c r="K48" s="228"/>
      <c r="L48" s="229" t="s">
        <v>19</v>
      </c>
      <c r="M48" s="230"/>
      <c r="N48" s="231"/>
      <c r="O48" s="224" t="s">
        <v>117</v>
      </c>
      <c r="P48" s="232"/>
      <c r="Q48" s="232"/>
      <c r="R48" s="225"/>
      <c r="S48" s="233" t="s">
        <v>19</v>
      </c>
      <c r="T48" s="232"/>
      <c r="U48" s="232"/>
      <c r="V48" s="232"/>
      <c r="W48" s="232"/>
      <c r="X48" s="232"/>
      <c r="Y48" s="225"/>
      <c r="Z48" s="224" t="s">
        <v>123</v>
      </c>
      <c r="AA48" s="232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25"/>
      <c r="AQ48" s="236" t="s">
        <v>171</v>
      </c>
      <c r="AR48" s="237"/>
      <c r="AS48" s="237"/>
      <c r="AT48" s="237"/>
      <c r="AU48" s="237"/>
      <c r="AV48" s="237"/>
      <c r="AW48" s="237"/>
      <c r="AX48" s="237"/>
      <c r="AY48" s="237"/>
      <c r="AZ48" s="237"/>
      <c r="BA48" s="237"/>
      <c r="BB48" s="237"/>
      <c r="BC48" s="237"/>
      <c r="BD48" s="237"/>
      <c r="BE48" s="237"/>
      <c r="BF48" s="237"/>
      <c r="BG48" s="237"/>
      <c r="BH48" s="237"/>
      <c r="BI48" s="237"/>
      <c r="BJ48" s="238"/>
      <c r="BK48" s="31"/>
    </row>
    <row r="49" spans="1:63" s="32" customFormat="1" ht="45" customHeight="1" x14ac:dyDescent="0.25">
      <c r="A49" s="29"/>
      <c r="B49" s="30"/>
      <c r="C49" s="224">
        <v>15</v>
      </c>
      <c r="D49" s="225"/>
      <c r="E49" s="226" t="s">
        <v>124</v>
      </c>
      <c r="F49" s="227"/>
      <c r="G49" s="227"/>
      <c r="H49" s="227"/>
      <c r="I49" s="227"/>
      <c r="J49" s="227"/>
      <c r="K49" s="228"/>
      <c r="L49" s="229" t="s">
        <v>19</v>
      </c>
      <c r="M49" s="230"/>
      <c r="N49" s="231"/>
      <c r="O49" s="224" t="s">
        <v>125</v>
      </c>
      <c r="P49" s="232"/>
      <c r="Q49" s="232"/>
      <c r="R49" s="225"/>
      <c r="S49" s="234">
        <v>0.375</v>
      </c>
      <c r="T49" s="232"/>
      <c r="U49" s="232"/>
      <c r="V49" s="232"/>
      <c r="W49" s="232"/>
      <c r="X49" s="232"/>
      <c r="Y49" s="225"/>
      <c r="Z49" s="224" t="s">
        <v>126</v>
      </c>
      <c r="AA49" s="232"/>
      <c r="AB49" s="232"/>
      <c r="AC49" s="232"/>
      <c r="AD49" s="232"/>
      <c r="AE49" s="232"/>
      <c r="AF49" s="232"/>
      <c r="AG49" s="232"/>
      <c r="AH49" s="232"/>
      <c r="AI49" s="232"/>
      <c r="AJ49" s="232"/>
      <c r="AK49" s="232"/>
      <c r="AL49" s="232"/>
      <c r="AM49" s="232"/>
      <c r="AN49" s="232"/>
      <c r="AO49" s="232"/>
      <c r="AP49" s="225"/>
      <c r="AQ49" s="236" t="s">
        <v>127</v>
      </c>
      <c r="AR49" s="237"/>
      <c r="AS49" s="237"/>
      <c r="AT49" s="237"/>
      <c r="AU49" s="237"/>
      <c r="AV49" s="237"/>
      <c r="AW49" s="237"/>
      <c r="AX49" s="237"/>
      <c r="AY49" s="237"/>
      <c r="AZ49" s="237"/>
      <c r="BA49" s="237"/>
      <c r="BB49" s="237"/>
      <c r="BC49" s="237"/>
      <c r="BD49" s="237"/>
      <c r="BE49" s="237"/>
      <c r="BF49" s="237"/>
      <c r="BG49" s="237"/>
      <c r="BH49" s="237"/>
      <c r="BI49" s="237"/>
      <c r="BJ49" s="238"/>
      <c r="BK49" s="31"/>
    </row>
    <row r="50" spans="1:63" s="32" customFormat="1" ht="45" customHeight="1" x14ac:dyDescent="0.25">
      <c r="A50" s="29"/>
      <c r="B50" s="30"/>
      <c r="C50" s="224">
        <v>16</v>
      </c>
      <c r="D50" s="225"/>
      <c r="E50" s="226" t="s">
        <v>128</v>
      </c>
      <c r="F50" s="227"/>
      <c r="G50" s="227"/>
      <c r="H50" s="227"/>
      <c r="I50" s="227"/>
      <c r="J50" s="227"/>
      <c r="K50" s="228"/>
      <c r="L50" s="229" t="s">
        <v>19</v>
      </c>
      <c r="M50" s="230"/>
      <c r="N50" s="231"/>
      <c r="O50" s="224" t="s">
        <v>125</v>
      </c>
      <c r="P50" s="232"/>
      <c r="Q50" s="232"/>
      <c r="R50" s="225"/>
      <c r="S50" s="234" t="s">
        <v>129</v>
      </c>
      <c r="T50" s="232"/>
      <c r="U50" s="232"/>
      <c r="V50" s="232"/>
      <c r="W50" s="232"/>
      <c r="X50" s="232"/>
      <c r="Y50" s="225"/>
      <c r="Z50" s="224" t="s">
        <v>130</v>
      </c>
      <c r="AA50" s="232"/>
      <c r="AB50" s="232"/>
      <c r="AC50" s="232"/>
      <c r="AD50" s="232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  <c r="AP50" s="225"/>
      <c r="AQ50" s="236" t="s">
        <v>127</v>
      </c>
      <c r="AR50" s="237"/>
      <c r="AS50" s="237"/>
      <c r="AT50" s="237"/>
      <c r="AU50" s="237"/>
      <c r="AV50" s="237"/>
      <c r="AW50" s="237"/>
      <c r="AX50" s="237"/>
      <c r="AY50" s="237"/>
      <c r="AZ50" s="237"/>
      <c r="BA50" s="237"/>
      <c r="BB50" s="237"/>
      <c r="BC50" s="237"/>
      <c r="BD50" s="237"/>
      <c r="BE50" s="237"/>
      <c r="BF50" s="237"/>
      <c r="BG50" s="237"/>
      <c r="BH50" s="237"/>
      <c r="BI50" s="237"/>
      <c r="BJ50" s="238"/>
      <c r="BK50" s="31"/>
    </row>
    <row r="51" spans="1:63" s="32" customFormat="1" ht="45" customHeight="1" x14ac:dyDescent="0.25">
      <c r="A51" s="29"/>
      <c r="B51" s="30"/>
      <c r="C51" s="224">
        <v>17</v>
      </c>
      <c r="D51" s="225"/>
      <c r="E51" s="224" t="s">
        <v>131</v>
      </c>
      <c r="F51" s="232"/>
      <c r="G51" s="232"/>
      <c r="H51" s="232"/>
      <c r="I51" s="232"/>
      <c r="J51" s="232"/>
      <c r="K51" s="225"/>
      <c r="L51" s="229" t="s">
        <v>19</v>
      </c>
      <c r="M51" s="230"/>
      <c r="N51" s="231"/>
      <c r="O51" s="224" t="s">
        <v>120</v>
      </c>
      <c r="P51" s="232"/>
      <c r="Q51" s="232"/>
      <c r="R51" s="225"/>
      <c r="S51" s="233" t="s">
        <v>19</v>
      </c>
      <c r="T51" s="232"/>
      <c r="U51" s="232"/>
      <c r="V51" s="232"/>
      <c r="W51" s="232"/>
      <c r="X51" s="232"/>
      <c r="Y51" s="225"/>
      <c r="Z51" s="224" t="s">
        <v>19</v>
      </c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/>
      <c r="AO51" s="232"/>
      <c r="AP51" s="225"/>
      <c r="AQ51" s="236" t="s">
        <v>132</v>
      </c>
      <c r="AR51" s="237"/>
      <c r="AS51" s="237"/>
      <c r="AT51" s="237"/>
      <c r="AU51" s="237"/>
      <c r="AV51" s="237"/>
      <c r="AW51" s="237"/>
      <c r="AX51" s="237"/>
      <c r="AY51" s="237"/>
      <c r="AZ51" s="237"/>
      <c r="BA51" s="237"/>
      <c r="BB51" s="237"/>
      <c r="BC51" s="237"/>
      <c r="BD51" s="237"/>
      <c r="BE51" s="237"/>
      <c r="BF51" s="237"/>
      <c r="BG51" s="237"/>
      <c r="BH51" s="237"/>
      <c r="BI51" s="237"/>
      <c r="BJ51" s="238"/>
      <c r="BK51" s="31"/>
    </row>
    <row r="52" spans="1:63" s="32" customFormat="1" ht="45" customHeight="1" x14ac:dyDescent="0.25">
      <c r="A52" s="29"/>
      <c r="B52" s="30"/>
      <c r="C52" s="224">
        <v>18</v>
      </c>
      <c r="D52" s="225"/>
      <c r="E52" s="226" t="s">
        <v>122</v>
      </c>
      <c r="F52" s="227"/>
      <c r="G52" s="227"/>
      <c r="H52" s="227"/>
      <c r="I52" s="227"/>
      <c r="J52" s="227"/>
      <c r="K52" s="228"/>
      <c r="L52" s="229" t="s">
        <v>19</v>
      </c>
      <c r="M52" s="230"/>
      <c r="N52" s="231"/>
      <c r="O52" s="224" t="s">
        <v>117</v>
      </c>
      <c r="P52" s="232"/>
      <c r="Q52" s="232"/>
      <c r="R52" s="225"/>
      <c r="S52" s="233" t="s">
        <v>19</v>
      </c>
      <c r="T52" s="232"/>
      <c r="U52" s="232"/>
      <c r="V52" s="232"/>
      <c r="W52" s="232"/>
      <c r="X52" s="232"/>
      <c r="Y52" s="225"/>
      <c r="Z52" s="224" t="s">
        <v>133</v>
      </c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  <c r="AP52" s="225"/>
      <c r="AQ52" s="236" t="s">
        <v>171</v>
      </c>
      <c r="AR52" s="237"/>
      <c r="AS52" s="237"/>
      <c r="AT52" s="237"/>
      <c r="AU52" s="237"/>
      <c r="AV52" s="237"/>
      <c r="AW52" s="237"/>
      <c r="AX52" s="237"/>
      <c r="AY52" s="237"/>
      <c r="AZ52" s="237"/>
      <c r="BA52" s="237"/>
      <c r="BB52" s="237"/>
      <c r="BC52" s="237"/>
      <c r="BD52" s="237"/>
      <c r="BE52" s="237"/>
      <c r="BF52" s="237"/>
      <c r="BG52" s="237"/>
      <c r="BH52" s="237"/>
      <c r="BI52" s="237"/>
      <c r="BJ52" s="238"/>
      <c r="BK52" s="31"/>
    </row>
    <row r="53" spans="1:63" s="32" customFormat="1" ht="45" customHeight="1" x14ac:dyDescent="0.25">
      <c r="A53" s="29"/>
      <c r="B53" s="30"/>
      <c r="C53" s="224">
        <v>19</v>
      </c>
      <c r="D53" s="225"/>
      <c r="E53" s="226" t="s">
        <v>124</v>
      </c>
      <c r="F53" s="227"/>
      <c r="G53" s="227"/>
      <c r="H53" s="227"/>
      <c r="I53" s="227"/>
      <c r="J53" s="227"/>
      <c r="K53" s="228"/>
      <c r="L53" s="229" t="s">
        <v>19</v>
      </c>
      <c r="M53" s="230"/>
      <c r="N53" s="231"/>
      <c r="O53" s="224" t="s">
        <v>125</v>
      </c>
      <c r="P53" s="232"/>
      <c r="Q53" s="232"/>
      <c r="R53" s="225"/>
      <c r="S53" s="234">
        <v>0.375</v>
      </c>
      <c r="T53" s="232"/>
      <c r="U53" s="232"/>
      <c r="V53" s="232"/>
      <c r="W53" s="232"/>
      <c r="X53" s="232"/>
      <c r="Y53" s="225"/>
      <c r="Z53" s="224" t="s">
        <v>134</v>
      </c>
      <c r="AA53" s="232"/>
      <c r="AB53" s="232"/>
      <c r="AC53" s="232"/>
      <c r="AD53" s="232"/>
      <c r="AE53" s="232"/>
      <c r="AF53" s="232"/>
      <c r="AG53" s="232"/>
      <c r="AH53" s="232"/>
      <c r="AI53" s="232"/>
      <c r="AJ53" s="232"/>
      <c r="AK53" s="232"/>
      <c r="AL53" s="232"/>
      <c r="AM53" s="232"/>
      <c r="AN53" s="232"/>
      <c r="AO53" s="232"/>
      <c r="AP53" s="225"/>
      <c r="AQ53" s="236" t="s">
        <v>127</v>
      </c>
      <c r="AR53" s="237"/>
      <c r="AS53" s="237"/>
      <c r="AT53" s="237"/>
      <c r="AU53" s="237"/>
      <c r="AV53" s="237"/>
      <c r="AW53" s="237"/>
      <c r="AX53" s="237"/>
      <c r="AY53" s="237"/>
      <c r="AZ53" s="237"/>
      <c r="BA53" s="237"/>
      <c r="BB53" s="237"/>
      <c r="BC53" s="237"/>
      <c r="BD53" s="237"/>
      <c r="BE53" s="237"/>
      <c r="BF53" s="237"/>
      <c r="BG53" s="237"/>
      <c r="BH53" s="237"/>
      <c r="BI53" s="237"/>
      <c r="BJ53" s="238"/>
      <c r="BK53" s="31"/>
    </row>
    <row r="54" spans="1:63" s="32" customFormat="1" ht="45" customHeight="1" x14ac:dyDescent="0.25">
      <c r="A54" s="29"/>
      <c r="B54" s="30"/>
      <c r="C54" s="224">
        <v>20</v>
      </c>
      <c r="D54" s="225"/>
      <c r="E54" s="226" t="s">
        <v>128</v>
      </c>
      <c r="F54" s="227"/>
      <c r="G54" s="227"/>
      <c r="H54" s="227"/>
      <c r="I54" s="227"/>
      <c r="J54" s="227"/>
      <c r="K54" s="228"/>
      <c r="L54" s="229" t="s">
        <v>19</v>
      </c>
      <c r="M54" s="230"/>
      <c r="N54" s="231"/>
      <c r="O54" s="224" t="s">
        <v>125</v>
      </c>
      <c r="P54" s="232"/>
      <c r="Q54" s="232"/>
      <c r="R54" s="225"/>
      <c r="S54" s="234" t="s">
        <v>129</v>
      </c>
      <c r="T54" s="232"/>
      <c r="U54" s="232"/>
      <c r="V54" s="232"/>
      <c r="W54" s="232"/>
      <c r="X54" s="232"/>
      <c r="Y54" s="225"/>
      <c r="Z54" s="224" t="s">
        <v>135</v>
      </c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  <c r="AP54" s="225"/>
      <c r="AQ54" s="236" t="s">
        <v>127</v>
      </c>
      <c r="AR54" s="237"/>
      <c r="AS54" s="237"/>
      <c r="AT54" s="237"/>
      <c r="AU54" s="237"/>
      <c r="AV54" s="237"/>
      <c r="AW54" s="237"/>
      <c r="AX54" s="237"/>
      <c r="AY54" s="237"/>
      <c r="AZ54" s="237"/>
      <c r="BA54" s="237"/>
      <c r="BB54" s="237"/>
      <c r="BC54" s="237"/>
      <c r="BD54" s="237"/>
      <c r="BE54" s="237"/>
      <c r="BF54" s="237"/>
      <c r="BG54" s="237"/>
      <c r="BH54" s="237"/>
      <c r="BI54" s="237"/>
      <c r="BJ54" s="238"/>
      <c r="BK54" s="31"/>
    </row>
    <row r="55" spans="1:63" s="32" customFormat="1" ht="45" customHeight="1" x14ac:dyDescent="0.25">
      <c r="A55" s="29"/>
      <c r="B55" s="30"/>
      <c r="C55" s="224">
        <v>21</v>
      </c>
      <c r="D55" s="225"/>
      <c r="E55" s="224" t="s">
        <v>136</v>
      </c>
      <c r="F55" s="232"/>
      <c r="G55" s="232"/>
      <c r="H55" s="232"/>
      <c r="I55" s="232"/>
      <c r="J55" s="232"/>
      <c r="K55" s="225"/>
      <c r="L55" s="229" t="s">
        <v>19</v>
      </c>
      <c r="M55" s="230"/>
      <c r="N55" s="231"/>
      <c r="O55" s="224" t="s">
        <v>120</v>
      </c>
      <c r="P55" s="232"/>
      <c r="Q55" s="232"/>
      <c r="R55" s="225"/>
      <c r="S55" s="233" t="s">
        <v>19</v>
      </c>
      <c r="T55" s="232"/>
      <c r="U55" s="232"/>
      <c r="V55" s="232"/>
      <c r="W55" s="232"/>
      <c r="X55" s="232"/>
      <c r="Y55" s="225"/>
      <c r="Z55" s="224" t="s">
        <v>19</v>
      </c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  <c r="AP55" s="225"/>
      <c r="AQ55" s="236" t="s">
        <v>137</v>
      </c>
      <c r="AR55" s="237"/>
      <c r="AS55" s="237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8"/>
      <c r="BK55" s="31"/>
    </row>
    <row r="56" spans="1:63" s="32" customFormat="1" ht="45" customHeight="1" x14ac:dyDescent="0.25">
      <c r="A56" s="29"/>
      <c r="B56" s="30"/>
      <c r="C56" s="224">
        <v>22</v>
      </c>
      <c r="D56" s="225"/>
      <c r="E56" s="226" t="s">
        <v>122</v>
      </c>
      <c r="F56" s="227"/>
      <c r="G56" s="227"/>
      <c r="H56" s="227"/>
      <c r="I56" s="227"/>
      <c r="J56" s="227"/>
      <c r="K56" s="228"/>
      <c r="L56" s="229" t="s">
        <v>19</v>
      </c>
      <c r="M56" s="230"/>
      <c r="N56" s="231"/>
      <c r="O56" s="224" t="s">
        <v>117</v>
      </c>
      <c r="P56" s="232"/>
      <c r="Q56" s="232"/>
      <c r="R56" s="225"/>
      <c r="S56" s="233" t="s">
        <v>19</v>
      </c>
      <c r="T56" s="232"/>
      <c r="U56" s="232"/>
      <c r="V56" s="232"/>
      <c r="W56" s="232"/>
      <c r="X56" s="232"/>
      <c r="Y56" s="225"/>
      <c r="Z56" s="224" t="s">
        <v>138</v>
      </c>
      <c r="AA56" s="232"/>
      <c r="AB56" s="232"/>
      <c r="AC56" s="232"/>
      <c r="AD56" s="232"/>
      <c r="AE56" s="232"/>
      <c r="AF56" s="232"/>
      <c r="AG56" s="232"/>
      <c r="AH56" s="232"/>
      <c r="AI56" s="232"/>
      <c r="AJ56" s="232"/>
      <c r="AK56" s="232"/>
      <c r="AL56" s="232"/>
      <c r="AM56" s="232"/>
      <c r="AN56" s="232"/>
      <c r="AO56" s="232"/>
      <c r="AP56" s="225"/>
      <c r="AQ56" s="236" t="s">
        <v>171</v>
      </c>
      <c r="AR56" s="237"/>
      <c r="AS56" s="237"/>
      <c r="AT56" s="237"/>
      <c r="AU56" s="237"/>
      <c r="AV56" s="237"/>
      <c r="AW56" s="237"/>
      <c r="AX56" s="237"/>
      <c r="AY56" s="237"/>
      <c r="AZ56" s="237"/>
      <c r="BA56" s="237"/>
      <c r="BB56" s="237"/>
      <c r="BC56" s="237"/>
      <c r="BD56" s="237"/>
      <c r="BE56" s="237"/>
      <c r="BF56" s="237"/>
      <c r="BG56" s="237"/>
      <c r="BH56" s="237"/>
      <c r="BI56" s="237"/>
      <c r="BJ56" s="238"/>
      <c r="BK56" s="31"/>
    </row>
    <row r="57" spans="1:63" s="32" customFormat="1" ht="45" customHeight="1" x14ac:dyDescent="0.25">
      <c r="A57" s="29"/>
      <c r="B57" s="30"/>
      <c r="C57" s="224">
        <v>23</v>
      </c>
      <c r="D57" s="225"/>
      <c r="E57" s="226" t="s">
        <v>124</v>
      </c>
      <c r="F57" s="227"/>
      <c r="G57" s="227"/>
      <c r="H57" s="227"/>
      <c r="I57" s="227"/>
      <c r="J57" s="227"/>
      <c r="K57" s="228"/>
      <c r="L57" s="229" t="s">
        <v>19</v>
      </c>
      <c r="M57" s="230"/>
      <c r="N57" s="231"/>
      <c r="O57" s="224" t="s">
        <v>125</v>
      </c>
      <c r="P57" s="232"/>
      <c r="Q57" s="232"/>
      <c r="R57" s="225"/>
      <c r="S57" s="234">
        <v>0.375</v>
      </c>
      <c r="T57" s="232"/>
      <c r="U57" s="232"/>
      <c r="V57" s="232"/>
      <c r="W57" s="232"/>
      <c r="X57" s="232"/>
      <c r="Y57" s="225"/>
      <c r="Z57" s="224" t="s">
        <v>139</v>
      </c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2"/>
      <c r="AM57" s="232"/>
      <c r="AN57" s="232"/>
      <c r="AO57" s="232"/>
      <c r="AP57" s="225"/>
      <c r="AQ57" s="236" t="s">
        <v>127</v>
      </c>
      <c r="AR57" s="237"/>
      <c r="AS57" s="237"/>
      <c r="AT57" s="237"/>
      <c r="AU57" s="237"/>
      <c r="AV57" s="237"/>
      <c r="AW57" s="237"/>
      <c r="AX57" s="237"/>
      <c r="AY57" s="237"/>
      <c r="AZ57" s="237"/>
      <c r="BA57" s="237"/>
      <c r="BB57" s="237"/>
      <c r="BC57" s="237"/>
      <c r="BD57" s="237"/>
      <c r="BE57" s="237"/>
      <c r="BF57" s="237"/>
      <c r="BG57" s="237"/>
      <c r="BH57" s="237"/>
      <c r="BI57" s="237"/>
      <c r="BJ57" s="238"/>
      <c r="BK57" s="31"/>
    </row>
    <row r="58" spans="1:63" s="32" customFormat="1" ht="45" customHeight="1" x14ac:dyDescent="0.25">
      <c r="A58" s="29"/>
      <c r="B58" s="30"/>
      <c r="C58" s="224">
        <v>24</v>
      </c>
      <c r="D58" s="225"/>
      <c r="E58" s="226" t="s">
        <v>128</v>
      </c>
      <c r="F58" s="227"/>
      <c r="G58" s="227"/>
      <c r="H58" s="227"/>
      <c r="I58" s="227"/>
      <c r="J58" s="227"/>
      <c r="K58" s="228"/>
      <c r="L58" s="229" t="s">
        <v>19</v>
      </c>
      <c r="M58" s="230"/>
      <c r="N58" s="231"/>
      <c r="O58" s="224" t="s">
        <v>125</v>
      </c>
      <c r="P58" s="232"/>
      <c r="Q58" s="232"/>
      <c r="R58" s="225"/>
      <c r="S58" s="234" t="s">
        <v>129</v>
      </c>
      <c r="T58" s="232"/>
      <c r="U58" s="232"/>
      <c r="V58" s="232"/>
      <c r="W58" s="232"/>
      <c r="X58" s="232"/>
      <c r="Y58" s="225"/>
      <c r="Z58" s="224" t="s">
        <v>140</v>
      </c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2"/>
      <c r="AM58" s="232"/>
      <c r="AN58" s="232"/>
      <c r="AO58" s="232"/>
      <c r="AP58" s="225"/>
      <c r="AQ58" s="236" t="s">
        <v>127</v>
      </c>
      <c r="AR58" s="237"/>
      <c r="AS58" s="237"/>
      <c r="AT58" s="237"/>
      <c r="AU58" s="237"/>
      <c r="AV58" s="237"/>
      <c r="AW58" s="237"/>
      <c r="AX58" s="237"/>
      <c r="AY58" s="237"/>
      <c r="AZ58" s="237"/>
      <c r="BA58" s="237"/>
      <c r="BB58" s="237"/>
      <c r="BC58" s="237"/>
      <c r="BD58" s="237"/>
      <c r="BE58" s="237"/>
      <c r="BF58" s="237"/>
      <c r="BG58" s="237"/>
      <c r="BH58" s="237"/>
      <c r="BI58" s="237"/>
      <c r="BJ58" s="238"/>
      <c r="BK58" s="31"/>
    </row>
    <row r="59" spans="1:63" s="32" customFormat="1" ht="45" customHeight="1" x14ac:dyDescent="0.25">
      <c r="A59" s="29"/>
      <c r="B59" s="30"/>
      <c r="C59" s="224">
        <v>25</v>
      </c>
      <c r="D59" s="225"/>
      <c r="E59" s="224" t="s">
        <v>141</v>
      </c>
      <c r="F59" s="232"/>
      <c r="G59" s="232"/>
      <c r="H59" s="232"/>
      <c r="I59" s="232"/>
      <c r="J59" s="232"/>
      <c r="K59" s="225"/>
      <c r="L59" s="229" t="s">
        <v>19</v>
      </c>
      <c r="M59" s="230"/>
      <c r="N59" s="231"/>
      <c r="O59" s="224" t="s">
        <v>120</v>
      </c>
      <c r="P59" s="232"/>
      <c r="Q59" s="232"/>
      <c r="R59" s="225"/>
      <c r="S59" s="233" t="s">
        <v>19</v>
      </c>
      <c r="T59" s="232"/>
      <c r="U59" s="232"/>
      <c r="V59" s="232"/>
      <c r="W59" s="232"/>
      <c r="X59" s="232"/>
      <c r="Y59" s="225"/>
      <c r="Z59" s="224" t="s">
        <v>19</v>
      </c>
      <c r="AA59" s="232"/>
      <c r="AB59" s="232"/>
      <c r="AC59" s="232"/>
      <c r="AD59" s="232"/>
      <c r="AE59" s="232"/>
      <c r="AF59" s="232"/>
      <c r="AG59" s="232"/>
      <c r="AH59" s="232"/>
      <c r="AI59" s="232"/>
      <c r="AJ59" s="232"/>
      <c r="AK59" s="232"/>
      <c r="AL59" s="232"/>
      <c r="AM59" s="232"/>
      <c r="AN59" s="232"/>
      <c r="AO59" s="232"/>
      <c r="AP59" s="225"/>
      <c r="AQ59" s="236" t="s">
        <v>142</v>
      </c>
      <c r="AR59" s="237"/>
      <c r="AS59" s="237"/>
      <c r="AT59" s="237"/>
      <c r="AU59" s="237"/>
      <c r="AV59" s="237"/>
      <c r="AW59" s="237"/>
      <c r="AX59" s="237"/>
      <c r="AY59" s="237"/>
      <c r="AZ59" s="237"/>
      <c r="BA59" s="237"/>
      <c r="BB59" s="237"/>
      <c r="BC59" s="237"/>
      <c r="BD59" s="237"/>
      <c r="BE59" s="237"/>
      <c r="BF59" s="237"/>
      <c r="BG59" s="237"/>
      <c r="BH59" s="237"/>
      <c r="BI59" s="237"/>
      <c r="BJ59" s="238"/>
      <c r="BK59" s="31"/>
    </row>
    <row r="60" spans="1:63" s="32" customFormat="1" ht="45" customHeight="1" x14ac:dyDescent="0.25">
      <c r="A60" s="29"/>
      <c r="B60" s="30"/>
      <c r="C60" s="224">
        <v>26</v>
      </c>
      <c r="D60" s="225"/>
      <c r="E60" s="226" t="s">
        <v>122</v>
      </c>
      <c r="F60" s="227"/>
      <c r="G60" s="227"/>
      <c r="H60" s="227"/>
      <c r="I60" s="227"/>
      <c r="J60" s="227"/>
      <c r="K60" s="228"/>
      <c r="L60" s="229" t="s">
        <v>19</v>
      </c>
      <c r="M60" s="230"/>
      <c r="N60" s="231"/>
      <c r="O60" s="224" t="s">
        <v>117</v>
      </c>
      <c r="P60" s="232"/>
      <c r="Q60" s="232"/>
      <c r="R60" s="225"/>
      <c r="S60" s="233" t="s">
        <v>19</v>
      </c>
      <c r="T60" s="232"/>
      <c r="U60" s="232"/>
      <c r="V60" s="232"/>
      <c r="W60" s="232"/>
      <c r="X60" s="232"/>
      <c r="Y60" s="225"/>
      <c r="Z60" s="224" t="s">
        <v>143</v>
      </c>
      <c r="AA60" s="232"/>
      <c r="AB60" s="232"/>
      <c r="AC60" s="232"/>
      <c r="AD60" s="232"/>
      <c r="AE60" s="232"/>
      <c r="AF60" s="232"/>
      <c r="AG60" s="232"/>
      <c r="AH60" s="232"/>
      <c r="AI60" s="232"/>
      <c r="AJ60" s="232"/>
      <c r="AK60" s="232"/>
      <c r="AL60" s="232"/>
      <c r="AM60" s="232"/>
      <c r="AN60" s="232"/>
      <c r="AO60" s="232"/>
      <c r="AP60" s="225"/>
      <c r="AQ60" s="236" t="s">
        <v>171</v>
      </c>
      <c r="AR60" s="237"/>
      <c r="AS60" s="237"/>
      <c r="AT60" s="237"/>
      <c r="AU60" s="237"/>
      <c r="AV60" s="237"/>
      <c r="AW60" s="237"/>
      <c r="AX60" s="237"/>
      <c r="AY60" s="237"/>
      <c r="AZ60" s="237"/>
      <c r="BA60" s="237"/>
      <c r="BB60" s="237"/>
      <c r="BC60" s="237"/>
      <c r="BD60" s="237"/>
      <c r="BE60" s="237"/>
      <c r="BF60" s="237"/>
      <c r="BG60" s="237"/>
      <c r="BH60" s="237"/>
      <c r="BI60" s="237"/>
      <c r="BJ60" s="238"/>
      <c r="BK60" s="31"/>
    </row>
    <row r="61" spans="1:63" s="32" customFormat="1" ht="45" customHeight="1" x14ac:dyDescent="0.25">
      <c r="A61" s="29"/>
      <c r="B61" s="30"/>
      <c r="C61" s="224">
        <v>27</v>
      </c>
      <c r="D61" s="225"/>
      <c r="E61" s="226" t="s">
        <v>124</v>
      </c>
      <c r="F61" s="227"/>
      <c r="G61" s="227"/>
      <c r="H61" s="227"/>
      <c r="I61" s="227"/>
      <c r="J61" s="227"/>
      <c r="K61" s="228"/>
      <c r="L61" s="229" t="s">
        <v>19</v>
      </c>
      <c r="M61" s="230"/>
      <c r="N61" s="231"/>
      <c r="O61" s="224" t="s">
        <v>125</v>
      </c>
      <c r="P61" s="232"/>
      <c r="Q61" s="232"/>
      <c r="R61" s="225"/>
      <c r="S61" s="234">
        <v>0.375</v>
      </c>
      <c r="T61" s="232"/>
      <c r="U61" s="232"/>
      <c r="V61" s="232"/>
      <c r="W61" s="232"/>
      <c r="X61" s="232"/>
      <c r="Y61" s="225"/>
      <c r="Z61" s="224" t="s">
        <v>144</v>
      </c>
      <c r="AA61" s="232"/>
      <c r="AB61" s="232"/>
      <c r="AC61" s="232"/>
      <c r="AD61" s="232"/>
      <c r="AE61" s="232"/>
      <c r="AF61" s="232"/>
      <c r="AG61" s="232"/>
      <c r="AH61" s="232"/>
      <c r="AI61" s="232"/>
      <c r="AJ61" s="232"/>
      <c r="AK61" s="232"/>
      <c r="AL61" s="232"/>
      <c r="AM61" s="232"/>
      <c r="AN61" s="232"/>
      <c r="AO61" s="232"/>
      <c r="AP61" s="225"/>
      <c r="AQ61" s="236" t="s">
        <v>127</v>
      </c>
      <c r="AR61" s="237"/>
      <c r="AS61" s="237"/>
      <c r="AT61" s="237"/>
      <c r="AU61" s="237"/>
      <c r="AV61" s="237"/>
      <c r="AW61" s="237"/>
      <c r="AX61" s="237"/>
      <c r="AY61" s="237"/>
      <c r="AZ61" s="237"/>
      <c r="BA61" s="237"/>
      <c r="BB61" s="237"/>
      <c r="BC61" s="237"/>
      <c r="BD61" s="237"/>
      <c r="BE61" s="237"/>
      <c r="BF61" s="237"/>
      <c r="BG61" s="237"/>
      <c r="BH61" s="237"/>
      <c r="BI61" s="237"/>
      <c r="BJ61" s="238"/>
      <c r="BK61" s="31"/>
    </row>
    <row r="62" spans="1:63" s="32" customFormat="1" ht="45" customHeight="1" x14ac:dyDescent="0.25">
      <c r="A62" s="29"/>
      <c r="B62" s="30"/>
      <c r="C62" s="224">
        <v>28</v>
      </c>
      <c r="D62" s="225"/>
      <c r="E62" s="226" t="s">
        <v>128</v>
      </c>
      <c r="F62" s="227"/>
      <c r="G62" s="227"/>
      <c r="H62" s="227"/>
      <c r="I62" s="227"/>
      <c r="J62" s="227"/>
      <c r="K62" s="228"/>
      <c r="L62" s="229" t="s">
        <v>19</v>
      </c>
      <c r="M62" s="230"/>
      <c r="N62" s="231"/>
      <c r="O62" s="224" t="s">
        <v>125</v>
      </c>
      <c r="P62" s="232"/>
      <c r="Q62" s="232"/>
      <c r="R62" s="225"/>
      <c r="S62" s="234" t="s">
        <v>129</v>
      </c>
      <c r="T62" s="232"/>
      <c r="U62" s="232"/>
      <c r="V62" s="232"/>
      <c r="W62" s="232"/>
      <c r="X62" s="232"/>
      <c r="Y62" s="225"/>
      <c r="Z62" s="224" t="s">
        <v>145</v>
      </c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2"/>
      <c r="AM62" s="232"/>
      <c r="AN62" s="232"/>
      <c r="AO62" s="232"/>
      <c r="AP62" s="225"/>
      <c r="AQ62" s="236" t="s">
        <v>127</v>
      </c>
      <c r="AR62" s="237"/>
      <c r="AS62" s="237"/>
      <c r="AT62" s="237"/>
      <c r="AU62" s="237"/>
      <c r="AV62" s="237"/>
      <c r="AW62" s="237"/>
      <c r="AX62" s="237"/>
      <c r="AY62" s="237"/>
      <c r="AZ62" s="237"/>
      <c r="BA62" s="237"/>
      <c r="BB62" s="237"/>
      <c r="BC62" s="237"/>
      <c r="BD62" s="237"/>
      <c r="BE62" s="237"/>
      <c r="BF62" s="237"/>
      <c r="BG62" s="237"/>
      <c r="BH62" s="237"/>
      <c r="BI62" s="237"/>
      <c r="BJ62" s="238"/>
      <c r="BK62" s="31"/>
    </row>
    <row r="63" spans="1:63" s="32" customFormat="1" ht="45" customHeight="1" x14ac:dyDescent="0.25">
      <c r="A63" s="29"/>
      <c r="B63" s="30"/>
      <c r="C63" s="224">
        <v>29</v>
      </c>
      <c r="D63" s="225"/>
      <c r="E63" s="224" t="s">
        <v>146</v>
      </c>
      <c r="F63" s="232"/>
      <c r="G63" s="232"/>
      <c r="H63" s="232"/>
      <c r="I63" s="232"/>
      <c r="J63" s="232"/>
      <c r="K63" s="225"/>
      <c r="L63" s="229" t="s">
        <v>19</v>
      </c>
      <c r="M63" s="230"/>
      <c r="N63" s="231"/>
      <c r="O63" s="224" t="s">
        <v>120</v>
      </c>
      <c r="P63" s="232"/>
      <c r="Q63" s="232"/>
      <c r="R63" s="225"/>
      <c r="S63" s="233" t="s">
        <v>19</v>
      </c>
      <c r="T63" s="232"/>
      <c r="U63" s="232"/>
      <c r="V63" s="232"/>
      <c r="W63" s="232"/>
      <c r="X63" s="232"/>
      <c r="Y63" s="225"/>
      <c r="Z63" s="224" t="s">
        <v>19</v>
      </c>
      <c r="AA63" s="232"/>
      <c r="AB63" s="232"/>
      <c r="AC63" s="232"/>
      <c r="AD63" s="232"/>
      <c r="AE63" s="232"/>
      <c r="AF63" s="232"/>
      <c r="AG63" s="232"/>
      <c r="AH63" s="232"/>
      <c r="AI63" s="232"/>
      <c r="AJ63" s="232"/>
      <c r="AK63" s="232"/>
      <c r="AL63" s="232"/>
      <c r="AM63" s="232"/>
      <c r="AN63" s="232"/>
      <c r="AO63" s="232"/>
      <c r="AP63" s="225"/>
      <c r="AQ63" s="236" t="s">
        <v>147</v>
      </c>
      <c r="AR63" s="237"/>
      <c r="AS63" s="237"/>
      <c r="AT63" s="237"/>
      <c r="AU63" s="237"/>
      <c r="AV63" s="237"/>
      <c r="AW63" s="237"/>
      <c r="AX63" s="237"/>
      <c r="AY63" s="237"/>
      <c r="AZ63" s="237"/>
      <c r="BA63" s="237"/>
      <c r="BB63" s="237"/>
      <c r="BC63" s="237"/>
      <c r="BD63" s="237"/>
      <c r="BE63" s="237"/>
      <c r="BF63" s="237"/>
      <c r="BG63" s="237"/>
      <c r="BH63" s="237"/>
      <c r="BI63" s="237"/>
      <c r="BJ63" s="238"/>
      <c r="BK63" s="31"/>
    </row>
    <row r="64" spans="1:63" s="32" customFormat="1" ht="45" customHeight="1" x14ac:dyDescent="0.25">
      <c r="A64" s="29"/>
      <c r="B64" s="30"/>
      <c r="C64" s="224">
        <v>30</v>
      </c>
      <c r="D64" s="225"/>
      <c r="E64" s="226" t="s">
        <v>122</v>
      </c>
      <c r="F64" s="227"/>
      <c r="G64" s="227"/>
      <c r="H64" s="227"/>
      <c r="I64" s="227"/>
      <c r="J64" s="227"/>
      <c r="K64" s="228"/>
      <c r="L64" s="229" t="s">
        <v>19</v>
      </c>
      <c r="M64" s="230"/>
      <c r="N64" s="231"/>
      <c r="O64" s="224" t="s">
        <v>117</v>
      </c>
      <c r="P64" s="232"/>
      <c r="Q64" s="232"/>
      <c r="R64" s="225"/>
      <c r="S64" s="233" t="s">
        <v>19</v>
      </c>
      <c r="T64" s="232"/>
      <c r="U64" s="232"/>
      <c r="V64" s="232"/>
      <c r="W64" s="232"/>
      <c r="X64" s="232"/>
      <c r="Y64" s="225"/>
      <c r="Z64" s="224" t="s">
        <v>148</v>
      </c>
      <c r="AA64" s="232"/>
      <c r="AB64" s="232"/>
      <c r="AC64" s="232"/>
      <c r="AD64" s="232"/>
      <c r="AE64" s="232"/>
      <c r="AF64" s="232"/>
      <c r="AG64" s="232"/>
      <c r="AH64" s="232"/>
      <c r="AI64" s="232"/>
      <c r="AJ64" s="232"/>
      <c r="AK64" s="232"/>
      <c r="AL64" s="232"/>
      <c r="AM64" s="232"/>
      <c r="AN64" s="232"/>
      <c r="AO64" s="232"/>
      <c r="AP64" s="225"/>
      <c r="AQ64" s="236" t="s">
        <v>171</v>
      </c>
      <c r="AR64" s="237"/>
      <c r="AS64" s="237"/>
      <c r="AT64" s="237"/>
      <c r="AU64" s="237"/>
      <c r="AV64" s="237"/>
      <c r="AW64" s="237"/>
      <c r="AX64" s="237"/>
      <c r="AY64" s="237"/>
      <c r="AZ64" s="237"/>
      <c r="BA64" s="237"/>
      <c r="BB64" s="237"/>
      <c r="BC64" s="237"/>
      <c r="BD64" s="237"/>
      <c r="BE64" s="237"/>
      <c r="BF64" s="237"/>
      <c r="BG64" s="237"/>
      <c r="BH64" s="237"/>
      <c r="BI64" s="237"/>
      <c r="BJ64" s="238"/>
      <c r="BK64" s="31"/>
    </row>
    <row r="65" spans="1:63" s="32" customFormat="1" ht="45" customHeight="1" x14ac:dyDescent="0.25">
      <c r="A65" s="29"/>
      <c r="B65" s="30"/>
      <c r="C65" s="224">
        <v>31</v>
      </c>
      <c r="D65" s="225"/>
      <c r="E65" s="226" t="s">
        <v>124</v>
      </c>
      <c r="F65" s="227"/>
      <c r="G65" s="227"/>
      <c r="H65" s="227"/>
      <c r="I65" s="227"/>
      <c r="J65" s="227"/>
      <c r="K65" s="228"/>
      <c r="L65" s="229" t="s">
        <v>19</v>
      </c>
      <c r="M65" s="230"/>
      <c r="N65" s="231"/>
      <c r="O65" s="224" t="s">
        <v>125</v>
      </c>
      <c r="P65" s="232"/>
      <c r="Q65" s="232"/>
      <c r="R65" s="225"/>
      <c r="S65" s="234">
        <v>0.375</v>
      </c>
      <c r="T65" s="232"/>
      <c r="U65" s="232"/>
      <c r="V65" s="232"/>
      <c r="W65" s="232"/>
      <c r="X65" s="232"/>
      <c r="Y65" s="225"/>
      <c r="Z65" s="224" t="s">
        <v>149</v>
      </c>
      <c r="AA65" s="232"/>
      <c r="AB65" s="232"/>
      <c r="AC65" s="232"/>
      <c r="AD65" s="232"/>
      <c r="AE65" s="232"/>
      <c r="AF65" s="232"/>
      <c r="AG65" s="232"/>
      <c r="AH65" s="232"/>
      <c r="AI65" s="232"/>
      <c r="AJ65" s="232"/>
      <c r="AK65" s="232"/>
      <c r="AL65" s="232"/>
      <c r="AM65" s="232"/>
      <c r="AN65" s="232"/>
      <c r="AO65" s="232"/>
      <c r="AP65" s="225"/>
      <c r="AQ65" s="236" t="s">
        <v>127</v>
      </c>
      <c r="AR65" s="237"/>
      <c r="AS65" s="237"/>
      <c r="AT65" s="237"/>
      <c r="AU65" s="237"/>
      <c r="AV65" s="237"/>
      <c r="AW65" s="237"/>
      <c r="AX65" s="237"/>
      <c r="AY65" s="237"/>
      <c r="AZ65" s="237"/>
      <c r="BA65" s="237"/>
      <c r="BB65" s="237"/>
      <c r="BC65" s="237"/>
      <c r="BD65" s="237"/>
      <c r="BE65" s="237"/>
      <c r="BF65" s="237"/>
      <c r="BG65" s="237"/>
      <c r="BH65" s="237"/>
      <c r="BI65" s="237"/>
      <c r="BJ65" s="238"/>
      <c r="BK65" s="31"/>
    </row>
    <row r="66" spans="1:63" s="32" customFormat="1" ht="45" customHeight="1" x14ac:dyDescent="0.25">
      <c r="A66" s="29"/>
      <c r="B66" s="30"/>
      <c r="C66" s="224">
        <v>32</v>
      </c>
      <c r="D66" s="225"/>
      <c r="E66" s="226" t="s">
        <v>128</v>
      </c>
      <c r="F66" s="227"/>
      <c r="G66" s="227"/>
      <c r="H66" s="227"/>
      <c r="I66" s="227"/>
      <c r="J66" s="227"/>
      <c r="K66" s="228"/>
      <c r="L66" s="229" t="s">
        <v>19</v>
      </c>
      <c r="M66" s="230"/>
      <c r="N66" s="231"/>
      <c r="O66" s="224" t="s">
        <v>125</v>
      </c>
      <c r="P66" s="232"/>
      <c r="Q66" s="232"/>
      <c r="R66" s="225"/>
      <c r="S66" s="234" t="s">
        <v>129</v>
      </c>
      <c r="T66" s="232"/>
      <c r="U66" s="232"/>
      <c r="V66" s="232"/>
      <c r="W66" s="232"/>
      <c r="X66" s="232"/>
      <c r="Y66" s="225"/>
      <c r="Z66" s="224" t="s">
        <v>150</v>
      </c>
      <c r="AA66" s="232"/>
      <c r="AB66" s="232"/>
      <c r="AC66" s="232"/>
      <c r="AD66" s="232"/>
      <c r="AE66" s="232"/>
      <c r="AF66" s="232"/>
      <c r="AG66" s="232"/>
      <c r="AH66" s="232"/>
      <c r="AI66" s="232"/>
      <c r="AJ66" s="232"/>
      <c r="AK66" s="232"/>
      <c r="AL66" s="232"/>
      <c r="AM66" s="232"/>
      <c r="AN66" s="232"/>
      <c r="AO66" s="232"/>
      <c r="AP66" s="225"/>
      <c r="AQ66" s="236" t="s">
        <v>127</v>
      </c>
      <c r="AR66" s="237"/>
      <c r="AS66" s="237"/>
      <c r="AT66" s="237"/>
      <c r="AU66" s="237"/>
      <c r="AV66" s="237"/>
      <c r="AW66" s="237"/>
      <c r="AX66" s="237"/>
      <c r="AY66" s="237"/>
      <c r="AZ66" s="237"/>
      <c r="BA66" s="237"/>
      <c r="BB66" s="237"/>
      <c r="BC66" s="237"/>
      <c r="BD66" s="237"/>
      <c r="BE66" s="237"/>
      <c r="BF66" s="237"/>
      <c r="BG66" s="237"/>
      <c r="BH66" s="237"/>
      <c r="BI66" s="237"/>
      <c r="BJ66" s="238"/>
      <c r="BK66" s="31"/>
    </row>
    <row r="67" spans="1:63" s="32" customFormat="1" ht="45" customHeight="1" x14ac:dyDescent="0.25">
      <c r="A67" s="29"/>
      <c r="B67" s="30"/>
      <c r="C67" s="224">
        <v>33</v>
      </c>
      <c r="D67" s="225"/>
      <c r="E67" s="224" t="s">
        <v>151</v>
      </c>
      <c r="F67" s="232"/>
      <c r="G67" s="232"/>
      <c r="H67" s="232"/>
      <c r="I67" s="232"/>
      <c r="J67" s="232"/>
      <c r="K67" s="225"/>
      <c r="L67" s="229" t="s">
        <v>19</v>
      </c>
      <c r="M67" s="230"/>
      <c r="N67" s="231"/>
      <c r="O67" s="224" t="s">
        <v>120</v>
      </c>
      <c r="P67" s="232"/>
      <c r="Q67" s="232"/>
      <c r="R67" s="225"/>
      <c r="S67" s="233" t="s">
        <v>19</v>
      </c>
      <c r="T67" s="232"/>
      <c r="U67" s="232"/>
      <c r="V67" s="232"/>
      <c r="W67" s="232"/>
      <c r="X67" s="232"/>
      <c r="Y67" s="225"/>
      <c r="Z67" s="224" t="s">
        <v>19</v>
      </c>
      <c r="AA67" s="232"/>
      <c r="AB67" s="232"/>
      <c r="AC67" s="232"/>
      <c r="AD67" s="232"/>
      <c r="AE67" s="232"/>
      <c r="AF67" s="232"/>
      <c r="AG67" s="232"/>
      <c r="AH67" s="232"/>
      <c r="AI67" s="232"/>
      <c r="AJ67" s="232"/>
      <c r="AK67" s="232"/>
      <c r="AL67" s="232"/>
      <c r="AM67" s="232"/>
      <c r="AN67" s="232"/>
      <c r="AO67" s="232"/>
      <c r="AP67" s="225"/>
      <c r="AQ67" s="236" t="s">
        <v>152</v>
      </c>
      <c r="AR67" s="237"/>
      <c r="AS67" s="237"/>
      <c r="AT67" s="237"/>
      <c r="AU67" s="237"/>
      <c r="AV67" s="237"/>
      <c r="AW67" s="237"/>
      <c r="AX67" s="237"/>
      <c r="AY67" s="237"/>
      <c r="AZ67" s="237"/>
      <c r="BA67" s="237"/>
      <c r="BB67" s="237"/>
      <c r="BC67" s="237"/>
      <c r="BD67" s="237"/>
      <c r="BE67" s="237"/>
      <c r="BF67" s="237"/>
      <c r="BG67" s="237"/>
      <c r="BH67" s="237"/>
      <c r="BI67" s="237"/>
      <c r="BJ67" s="238"/>
      <c r="BK67" s="31"/>
    </row>
    <row r="68" spans="1:63" s="32" customFormat="1" ht="45" customHeight="1" x14ac:dyDescent="0.25">
      <c r="A68" s="29"/>
      <c r="B68" s="30"/>
      <c r="C68" s="224">
        <v>34</v>
      </c>
      <c r="D68" s="225"/>
      <c r="E68" s="226" t="s">
        <v>122</v>
      </c>
      <c r="F68" s="227"/>
      <c r="G68" s="227"/>
      <c r="H68" s="227"/>
      <c r="I68" s="227"/>
      <c r="J68" s="227"/>
      <c r="K68" s="228"/>
      <c r="L68" s="229" t="s">
        <v>19</v>
      </c>
      <c r="M68" s="230"/>
      <c r="N68" s="231"/>
      <c r="O68" s="224" t="s">
        <v>117</v>
      </c>
      <c r="P68" s="232"/>
      <c r="Q68" s="232"/>
      <c r="R68" s="225"/>
      <c r="S68" s="233" t="s">
        <v>19</v>
      </c>
      <c r="T68" s="232"/>
      <c r="U68" s="232"/>
      <c r="V68" s="232"/>
      <c r="W68" s="232"/>
      <c r="X68" s="232"/>
      <c r="Y68" s="225"/>
      <c r="Z68" s="224" t="s">
        <v>153</v>
      </c>
      <c r="AA68" s="232"/>
      <c r="AB68" s="232"/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  <c r="AM68" s="232"/>
      <c r="AN68" s="232"/>
      <c r="AO68" s="232"/>
      <c r="AP68" s="225"/>
      <c r="AQ68" s="236" t="s">
        <v>171</v>
      </c>
      <c r="AR68" s="237"/>
      <c r="AS68" s="237"/>
      <c r="AT68" s="237"/>
      <c r="AU68" s="237"/>
      <c r="AV68" s="237"/>
      <c r="AW68" s="237"/>
      <c r="AX68" s="237"/>
      <c r="AY68" s="237"/>
      <c r="AZ68" s="237"/>
      <c r="BA68" s="237"/>
      <c r="BB68" s="237"/>
      <c r="BC68" s="237"/>
      <c r="BD68" s="237"/>
      <c r="BE68" s="237"/>
      <c r="BF68" s="237"/>
      <c r="BG68" s="237"/>
      <c r="BH68" s="237"/>
      <c r="BI68" s="237"/>
      <c r="BJ68" s="238"/>
      <c r="BK68" s="31"/>
    </row>
    <row r="69" spans="1:63" s="32" customFormat="1" ht="45" customHeight="1" x14ac:dyDescent="0.25">
      <c r="A69" s="29"/>
      <c r="B69" s="30"/>
      <c r="C69" s="224">
        <v>35</v>
      </c>
      <c r="D69" s="225"/>
      <c r="E69" s="226" t="s">
        <v>124</v>
      </c>
      <c r="F69" s="227"/>
      <c r="G69" s="227"/>
      <c r="H69" s="227"/>
      <c r="I69" s="227"/>
      <c r="J69" s="227"/>
      <c r="K69" s="228"/>
      <c r="L69" s="229" t="s">
        <v>19</v>
      </c>
      <c r="M69" s="230"/>
      <c r="N69" s="231"/>
      <c r="O69" s="224" t="s">
        <v>125</v>
      </c>
      <c r="P69" s="232"/>
      <c r="Q69" s="232"/>
      <c r="R69" s="225"/>
      <c r="S69" s="234">
        <v>0.375</v>
      </c>
      <c r="T69" s="232"/>
      <c r="U69" s="232"/>
      <c r="V69" s="232"/>
      <c r="W69" s="232"/>
      <c r="X69" s="232"/>
      <c r="Y69" s="225"/>
      <c r="Z69" s="224" t="s">
        <v>154</v>
      </c>
      <c r="AA69" s="232"/>
      <c r="AB69" s="232"/>
      <c r="AC69" s="232"/>
      <c r="AD69" s="232"/>
      <c r="AE69" s="232"/>
      <c r="AF69" s="232"/>
      <c r="AG69" s="232"/>
      <c r="AH69" s="232"/>
      <c r="AI69" s="232"/>
      <c r="AJ69" s="232"/>
      <c r="AK69" s="232"/>
      <c r="AL69" s="232"/>
      <c r="AM69" s="232"/>
      <c r="AN69" s="232"/>
      <c r="AO69" s="232"/>
      <c r="AP69" s="225"/>
      <c r="AQ69" s="236" t="s">
        <v>127</v>
      </c>
      <c r="AR69" s="237"/>
      <c r="AS69" s="237"/>
      <c r="AT69" s="237"/>
      <c r="AU69" s="237"/>
      <c r="AV69" s="237"/>
      <c r="AW69" s="237"/>
      <c r="AX69" s="237"/>
      <c r="AY69" s="237"/>
      <c r="AZ69" s="237"/>
      <c r="BA69" s="237"/>
      <c r="BB69" s="237"/>
      <c r="BC69" s="237"/>
      <c r="BD69" s="237"/>
      <c r="BE69" s="237"/>
      <c r="BF69" s="237"/>
      <c r="BG69" s="237"/>
      <c r="BH69" s="237"/>
      <c r="BI69" s="237"/>
      <c r="BJ69" s="238"/>
      <c r="BK69" s="31"/>
    </row>
    <row r="70" spans="1:63" s="32" customFormat="1" ht="45" customHeight="1" x14ac:dyDescent="0.25">
      <c r="A70" s="29"/>
      <c r="B70" s="30"/>
      <c r="C70" s="224">
        <v>36</v>
      </c>
      <c r="D70" s="225"/>
      <c r="E70" s="226" t="s">
        <v>128</v>
      </c>
      <c r="F70" s="227"/>
      <c r="G70" s="227"/>
      <c r="H70" s="227"/>
      <c r="I70" s="227"/>
      <c r="J70" s="227"/>
      <c r="K70" s="228"/>
      <c r="L70" s="229" t="s">
        <v>19</v>
      </c>
      <c r="M70" s="230"/>
      <c r="N70" s="231"/>
      <c r="O70" s="224" t="s">
        <v>125</v>
      </c>
      <c r="P70" s="232"/>
      <c r="Q70" s="232"/>
      <c r="R70" s="225"/>
      <c r="S70" s="234" t="s">
        <v>129</v>
      </c>
      <c r="T70" s="232"/>
      <c r="U70" s="232"/>
      <c r="V70" s="232"/>
      <c r="W70" s="232"/>
      <c r="X70" s="232"/>
      <c r="Y70" s="225"/>
      <c r="Z70" s="224" t="s">
        <v>155</v>
      </c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232"/>
      <c r="AN70" s="232"/>
      <c r="AO70" s="232"/>
      <c r="AP70" s="225"/>
      <c r="AQ70" s="236" t="s">
        <v>127</v>
      </c>
      <c r="AR70" s="237"/>
      <c r="AS70" s="237"/>
      <c r="AT70" s="237"/>
      <c r="AU70" s="237"/>
      <c r="AV70" s="237"/>
      <c r="AW70" s="237"/>
      <c r="AX70" s="237"/>
      <c r="AY70" s="237"/>
      <c r="AZ70" s="237"/>
      <c r="BA70" s="237"/>
      <c r="BB70" s="237"/>
      <c r="BC70" s="237"/>
      <c r="BD70" s="237"/>
      <c r="BE70" s="237"/>
      <c r="BF70" s="237"/>
      <c r="BG70" s="237"/>
      <c r="BH70" s="237"/>
      <c r="BI70" s="237"/>
      <c r="BJ70" s="238"/>
      <c r="BK70" s="31"/>
    </row>
    <row r="71" spans="1:63" s="32" customFormat="1" ht="45" customHeight="1" x14ac:dyDescent="0.25">
      <c r="A71" s="29"/>
      <c r="B71" s="30"/>
      <c r="C71" s="224">
        <v>37</v>
      </c>
      <c r="D71" s="225"/>
      <c r="E71" s="224" t="s">
        <v>156</v>
      </c>
      <c r="F71" s="232"/>
      <c r="G71" s="232"/>
      <c r="H71" s="232"/>
      <c r="I71" s="232"/>
      <c r="J71" s="232"/>
      <c r="K71" s="225"/>
      <c r="L71" s="229" t="s">
        <v>19</v>
      </c>
      <c r="M71" s="230"/>
      <c r="N71" s="231"/>
      <c r="O71" s="224" t="s">
        <v>120</v>
      </c>
      <c r="P71" s="232"/>
      <c r="Q71" s="232"/>
      <c r="R71" s="225"/>
      <c r="S71" s="233" t="s">
        <v>19</v>
      </c>
      <c r="T71" s="232"/>
      <c r="U71" s="232"/>
      <c r="V71" s="232"/>
      <c r="W71" s="232"/>
      <c r="X71" s="232"/>
      <c r="Y71" s="225"/>
      <c r="Z71" s="224" t="s">
        <v>19</v>
      </c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  <c r="AM71" s="232"/>
      <c r="AN71" s="232"/>
      <c r="AO71" s="232"/>
      <c r="AP71" s="225"/>
      <c r="AQ71" s="236" t="s">
        <v>157</v>
      </c>
      <c r="AR71" s="237"/>
      <c r="AS71" s="237"/>
      <c r="AT71" s="237"/>
      <c r="AU71" s="237"/>
      <c r="AV71" s="237"/>
      <c r="AW71" s="237"/>
      <c r="AX71" s="237"/>
      <c r="AY71" s="237"/>
      <c r="AZ71" s="237"/>
      <c r="BA71" s="237"/>
      <c r="BB71" s="237"/>
      <c r="BC71" s="237"/>
      <c r="BD71" s="237"/>
      <c r="BE71" s="237"/>
      <c r="BF71" s="237"/>
      <c r="BG71" s="237"/>
      <c r="BH71" s="237"/>
      <c r="BI71" s="237"/>
      <c r="BJ71" s="238"/>
      <c r="BK71" s="31"/>
    </row>
    <row r="72" spans="1:63" s="32" customFormat="1" ht="45" customHeight="1" x14ac:dyDescent="0.25">
      <c r="A72" s="29"/>
      <c r="B72" s="30"/>
      <c r="C72" s="224">
        <v>38</v>
      </c>
      <c r="D72" s="225"/>
      <c r="E72" s="226" t="s">
        <v>122</v>
      </c>
      <c r="F72" s="227"/>
      <c r="G72" s="227"/>
      <c r="H72" s="227"/>
      <c r="I72" s="227"/>
      <c r="J72" s="227"/>
      <c r="K72" s="228"/>
      <c r="L72" s="229" t="s">
        <v>19</v>
      </c>
      <c r="M72" s="230"/>
      <c r="N72" s="231"/>
      <c r="O72" s="224" t="s">
        <v>117</v>
      </c>
      <c r="P72" s="232"/>
      <c r="Q72" s="232"/>
      <c r="R72" s="225"/>
      <c r="S72" s="233" t="s">
        <v>19</v>
      </c>
      <c r="T72" s="232"/>
      <c r="U72" s="232"/>
      <c r="V72" s="232"/>
      <c r="W72" s="232"/>
      <c r="X72" s="232"/>
      <c r="Y72" s="225"/>
      <c r="Z72" s="224" t="s">
        <v>158</v>
      </c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  <c r="AM72" s="232"/>
      <c r="AN72" s="232"/>
      <c r="AO72" s="232"/>
      <c r="AP72" s="225"/>
      <c r="AQ72" s="236" t="s">
        <v>171</v>
      </c>
      <c r="AR72" s="237"/>
      <c r="AS72" s="237"/>
      <c r="AT72" s="237"/>
      <c r="AU72" s="237"/>
      <c r="AV72" s="237"/>
      <c r="AW72" s="237"/>
      <c r="AX72" s="237"/>
      <c r="AY72" s="237"/>
      <c r="AZ72" s="237"/>
      <c r="BA72" s="237"/>
      <c r="BB72" s="237"/>
      <c r="BC72" s="237"/>
      <c r="BD72" s="237"/>
      <c r="BE72" s="237"/>
      <c r="BF72" s="237"/>
      <c r="BG72" s="237"/>
      <c r="BH72" s="237"/>
      <c r="BI72" s="237"/>
      <c r="BJ72" s="238"/>
      <c r="BK72" s="31"/>
    </row>
    <row r="73" spans="1:63" s="32" customFormat="1" ht="45" customHeight="1" x14ac:dyDescent="0.25">
      <c r="A73" s="29"/>
      <c r="B73" s="30"/>
      <c r="C73" s="224">
        <v>39</v>
      </c>
      <c r="D73" s="225"/>
      <c r="E73" s="226" t="s">
        <v>124</v>
      </c>
      <c r="F73" s="227"/>
      <c r="G73" s="227"/>
      <c r="H73" s="227"/>
      <c r="I73" s="227"/>
      <c r="J73" s="227"/>
      <c r="K73" s="228"/>
      <c r="L73" s="229" t="s">
        <v>19</v>
      </c>
      <c r="M73" s="230"/>
      <c r="N73" s="231"/>
      <c r="O73" s="224" t="s">
        <v>125</v>
      </c>
      <c r="P73" s="232"/>
      <c r="Q73" s="232"/>
      <c r="R73" s="225"/>
      <c r="S73" s="234">
        <v>0.375</v>
      </c>
      <c r="T73" s="232"/>
      <c r="U73" s="232"/>
      <c r="V73" s="232"/>
      <c r="W73" s="232"/>
      <c r="X73" s="232"/>
      <c r="Y73" s="225"/>
      <c r="Z73" s="224" t="s">
        <v>159</v>
      </c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232"/>
      <c r="AN73" s="232"/>
      <c r="AO73" s="232"/>
      <c r="AP73" s="225"/>
      <c r="AQ73" s="236" t="s">
        <v>127</v>
      </c>
      <c r="AR73" s="237"/>
      <c r="AS73" s="237"/>
      <c r="AT73" s="237"/>
      <c r="AU73" s="237"/>
      <c r="AV73" s="237"/>
      <c r="AW73" s="237"/>
      <c r="AX73" s="237"/>
      <c r="AY73" s="237"/>
      <c r="AZ73" s="237"/>
      <c r="BA73" s="237"/>
      <c r="BB73" s="237"/>
      <c r="BC73" s="237"/>
      <c r="BD73" s="237"/>
      <c r="BE73" s="237"/>
      <c r="BF73" s="237"/>
      <c r="BG73" s="237"/>
      <c r="BH73" s="237"/>
      <c r="BI73" s="237"/>
      <c r="BJ73" s="238"/>
      <c r="BK73" s="31"/>
    </row>
    <row r="74" spans="1:63" s="32" customFormat="1" ht="45" customHeight="1" x14ac:dyDescent="0.25">
      <c r="A74" s="29"/>
      <c r="B74" s="30"/>
      <c r="C74" s="224">
        <v>40</v>
      </c>
      <c r="D74" s="225"/>
      <c r="E74" s="226" t="s">
        <v>128</v>
      </c>
      <c r="F74" s="227"/>
      <c r="G74" s="227"/>
      <c r="H74" s="227"/>
      <c r="I74" s="227"/>
      <c r="J74" s="227"/>
      <c r="K74" s="228"/>
      <c r="L74" s="229" t="s">
        <v>19</v>
      </c>
      <c r="M74" s="230"/>
      <c r="N74" s="231"/>
      <c r="O74" s="224" t="s">
        <v>125</v>
      </c>
      <c r="P74" s="232"/>
      <c r="Q74" s="232"/>
      <c r="R74" s="225"/>
      <c r="S74" s="234" t="s">
        <v>129</v>
      </c>
      <c r="T74" s="232"/>
      <c r="U74" s="232"/>
      <c r="V74" s="232"/>
      <c r="W74" s="232"/>
      <c r="X74" s="232"/>
      <c r="Y74" s="225"/>
      <c r="Z74" s="224" t="s">
        <v>160</v>
      </c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  <c r="AK74" s="232"/>
      <c r="AL74" s="232"/>
      <c r="AM74" s="232"/>
      <c r="AN74" s="232"/>
      <c r="AO74" s="232"/>
      <c r="AP74" s="225"/>
      <c r="AQ74" s="236" t="s">
        <v>127</v>
      </c>
      <c r="AR74" s="237"/>
      <c r="AS74" s="237"/>
      <c r="AT74" s="237"/>
      <c r="AU74" s="237"/>
      <c r="AV74" s="237"/>
      <c r="AW74" s="237"/>
      <c r="AX74" s="237"/>
      <c r="AY74" s="237"/>
      <c r="AZ74" s="237"/>
      <c r="BA74" s="237"/>
      <c r="BB74" s="237"/>
      <c r="BC74" s="237"/>
      <c r="BD74" s="237"/>
      <c r="BE74" s="237"/>
      <c r="BF74" s="237"/>
      <c r="BG74" s="237"/>
      <c r="BH74" s="237"/>
      <c r="BI74" s="237"/>
      <c r="BJ74" s="238"/>
      <c r="BK74" s="31"/>
    </row>
    <row r="75" spans="1:63" s="36" customFormat="1" ht="30" customHeight="1" x14ac:dyDescent="0.25">
      <c r="A75" s="33"/>
      <c r="B75" s="34"/>
      <c r="C75" s="221">
        <v>41</v>
      </c>
      <c r="D75" s="222"/>
      <c r="E75" s="221" t="s">
        <v>79</v>
      </c>
      <c r="F75" s="223"/>
      <c r="G75" s="223"/>
      <c r="H75" s="223"/>
      <c r="I75" s="223"/>
      <c r="J75" s="223"/>
      <c r="K75" s="222"/>
      <c r="L75" s="98"/>
      <c r="M75" s="99"/>
      <c r="N75" s="100"/>
      <c r="O75" s="221" t="s">
        <v>80</v>
      </c>
      <c r="P75" s="223"/>
      <c r="Q75" s="223"/>
      <c r="R75" s="222"/>
      <c r="S75" s="221" t="s">
        <v>19</v>
      </c>
      <c r="T75" s="223"/>
      <c r="U75" s="223"/>
      <c r="V75" s="223"/>
      <c r="W75" s="223"/>
      <c r="X75" s="223"/>
      <c r="Y75" s="222"/>
      <c r="Z75" s="235" t="s">
        <v>81</v>
      </c>
      <c r="AA75" s="223"/>
      <c r="AB75" s="223"/>
      <c r="AC75" s="223"/>
      <c r="AD75" s="223"/>
      <c r="AE75" s="223"/>
      <c r="AF75" s="223"/>
      <c r="AG75" s="223"/>
      <c r="AH75" s="223"/>
      <c r="AI75" s="223"/>
      <c r="AJ75" s="223"/>
      <c r="AK75" s="223"/>
      <c r="AL75" s="223"/>
      <c r="AM75" s="223"/>
      <c r="AN75" s="223"/>
      <c r="AO75" s="223"/>
      <c r="AP75" s="222"/>
      <c r="AQ75" s="235" t="s">
        <v>19</v>
      </c>
      <c r="AR75" s="223"/>
      <c r="AS75" s="223"/>
      <c r="AT75" s="223"/>
      <c r="AU75" s="223"/>
      <c r="AV75" s="223"/>
      <c r="AW75" s="223"/>
      <c r="AX75" s="223"/>
      <c r="AY75" s="223"/>
      <c r="AZ75" s="223"/>
      <c r="BA75" s="223"/>
      <c r="BB75" s="223"/>
      <c r="BC75" s="223"/>
      <c r="BD75" s="223"/>
      <c r="BE75" s="223"/>
      <c r="BF75" s="223"/>
      <c r="BG75" s="223"/>
      <c r="BH75" s="223"/>
      <c r="BI75" s="223"/>
      <c r="BJ75" s="222"/>
      <c r="BK75" s="35"/>
    </row>
    <row r="76" spans="1:63" s="32" customFormat="1" ht="45" customHeight="1" x14ac:dyDescent="0.25">
      <c r="A76" s="29"/>
      <c r="B76" s="30"/>
      <c r="C76" s="224">
        <v>42</v>
      </c>
      <c r="D76" s="225"/>
      <c r="E76" s="224" t="s">
        <v>161</v>
      </c>
      <c r="F76" s="232"/>
      <c r="G76" s="232"/>
      <c r="H76" s="232"/>
      <c r="I76" s="232"/>
      <c r="J76" s="232"/>
      <c r="K76" s="225"/>
      <c r="L76" s="229" t="s">
        <v>19</v>
      </c>
      <c r="M76" s="230"/>
      <c r="N76" s="231"/>
      <c r="O76" s="224" t="s">
        <v>125</v>
      </c>
      <c r="P76" s="232"/>
      <c r="Q76" s="232"/>
      <c r="R76" s="225"/>
      <c r="S76" s="233" t="s">
        <v>19</v>
      </c>
      <c r="T76" s="232"/>
      <c r="U76" s="232"/>
      <c r="V76" s="232"/>
      <c r="W76" s="232"/>
      <c r="X76" s="232"/>
      <c r="Y76" s="225"/>
      <c r="Z76" s="224" t="s">
        <v>162</v>
      </c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232"/>
      <c r="AN76" s="232"/>
      <c r="AO76" s="232"/>
      <c r="AP76" s="225"/>
      <c r="AQ76" s="283" t="s">
        <v>163</v>
      </c>
      <c r="AR76" s="237"/>
      <c r="AS76" s="237"/>
      <c r="AT76" s="237"/>
      <c r="AU76" s="237"/>
      <c r="AV76" s="237"/>
      <c r="AW76" s="237"/>
      <c r="AX76" s="237"/>
      <c r="AY76" s="237"/>
      <c r="AZ76" s="237"/>
      <c r="BA76" s="237"/>
      <c r="BB76" s="237"/>
      <c r="BC76" s="237"/>
      <c r="BD76" s="237"/>
      <c r="BE76" s="237"/>
      <c r="BF76" s="237"/>
      <c r="BG76" s="237"/>
      <c r="BH76" s="237"/>
      <c r="BI76" s="237"/>
      <c r="BJ76" s="238"/>
      <c r="BK76" s="31"/>
    </row>
    <row r="77" spans="1:63" s="32" customFormat="1" ht="45" customHeight="1" x14ac:dyDescent="0.25">
      <c r="A77" s="29"/>
      <c r="B77" s="30"/>
      <c r="C77" s="224">
        <v>43</v>
      </c>
      <c r="D77" s="225"/>
      <c r="E77" s="224" t="s">
        <v>164</v>
      </c>
      <c r="F77" s="232"/>
      <c r="G77" s="232"/>
      <c r="H77" s="232"/>
      <c r="I77" s="232"/>
      <c r="J77" s="232"/>
      <c r="K77" s="225"/>
      <c r="L77" s="229" t="s">
        <v>19</v>
      </c>
      <c r="M77" s="230"/>
      <c r="N77" s="231"/>
      <c r="O77" s="224" t="s">
        <v>125</v>
      </c>
      <c r="P77" s="232"/>
      <c r="Q77" s="232"/>
      <c r="R77" s="225"/>
      <c r="S77" s="233" t="s">
        <v>19</v>
      </c>
      <c r="T77" s="232"/>
      <c r="U77" s="232"/>
      <c r="V77" s="232"/>
      <c r="W77" s="232"/>
      <c r="X77" s="232"/>
      <c r="Y77" s="225"/>
      <c r="Z77" s="224" t="s">
        <v>165</v>
      </c>
      <c r="AA77" s="232"/>
      <c r="AB77" s="232"/>
      <c r="AC77" s="232"/>
      <c r="AD77" s="232"/>
      <c r="AE77" s="232"/>
      <c r="AF77" s="232"/>
      <c r="AG77" s="232"/>
      <c r="AH77" s="232"/>
      <c r="AI77" s="232"/>
      <c r="AJ77" s="232"/>
      <c r="AK77" s="232"/>
      <c r="AL77" s="232"/>
      <c r="AM77" s="232"/>
      <c r="AN77" s="232"/>
      <c r="AO77" s="232"/>
      <c r="AP77" s="225"/>
      <c r="AQ77" s="283" t="s">
        <v>163</v>
      </c>
      <c r="AR77" s="237"/>
      <c r="AS77" s="237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237"/>
      <c r="BF77" s="237"/>
      <c r="BG77" s="237"/>
      <c r="BH77" s="237"/>
      <c r="BI77" s="237"/>
      <c r="BJ77" s="238"/>
      <c r="BK77" s="31"/>
    </row>
    <row r="78" spans="1:63" s="70" customFormat="1" ht="15" customHeight="1" x14ac:dyDescent="0.25">
      <c r="A78" s="67"/>
      <c r="B78" s="71"/>
      <c r="C78" s="2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59"/>
      <c r="BI78" s="59"/>
      <c r="BJ78" s="59"/>
      <c r="BK78" s="58"/>
    </row>
    <row r="79" spans="1:63" s="70" customFormat="1" ht="15" customHeight="1" x14ac:dyDescent="0.25">
      <c r="A79" s="67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59"/>
      <c r="BI79" s="59"/>
      <c r="BJ79" s="59"/>
      <c r="BK79" s="58"/>
    </row>
    <row r="80" spans="1:63" s="70" customFormat="1" ht="15" customHeight="1" x14ac:dyDescent="0.25">
      <c r="A80" s="67"/>
      <c r="B80" s="20" t="s">
        <v>166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9"/>
      <c r="BI80" s="69"/>
      <c r="BJ80" s="69"/>
      <c r="BK80" s="58"/>
    </row>
    <row r="81" spans="1:63" s="70" customFormat="1" ht="15" customHeight="1" x14ac:dyDescent="0.25">
      <c r="A81" s="67"/>
      <c r="B81" s="21"/>
      <c r="C81" s="2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59"/>
      <c r="BI81" s="59"/>
      <c r="BJ81" s="59"/>
      <c r="BK81" s="58"/>
    </row>
    <row r="82" spans="1:63" s="70" customFormat="1" ht="15" customHeight="1" x14ac:dyDescent="0.25">
      <c r="A82" s="67"/>
      <c r="B82" s="21"/>
      <c r="C82" s="21" t="s">
        <v>167</v>
      </c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59"/>
      <c r="BI82" s="59"/>
      <c r="BJ82" s="59"/>
      <c r="BK82" s="58"/>
    </row>
    <row r="83" spans="1:63" s="70" customFormat="1" ht="15" customHeight="1" x14ac:dyDescent="0.25">
      <c r="A83" s="67"/>
      <c r="B83" s="21"/>
      <c r="C83" s="21" t="s">
        <v>41</v>
      </c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59"/>
      <c r="BI83" s="59"/>
      <c r="BJ83" s="59"/>
      <c r="BK83" s="58"/>
    </row>
    <row r="84" spans="1:63" s="70" customFormat="1" ht="15" customHeight="1" x14ac:dyDescent="0.25">
      <c r="A84" s="67"/>
      <c r="B84" s="21"/>
      <c r="C84" s="2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59"/>
      <c r="BI84" s="59"/>
      <c r="BJ84" s="59"/>
      <c r="BK84" s="58"/>
    </row>
    <row r="85" spans="1:63" s="70" customFormat="1" ht="15" customHeight="1" x14ac:dyDescent="0.25">
      <c r="A85" s="67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59"/>
      <c r="BI85" s="59"/>
      <c r="BJ85" s="59"/>
      <c r="BK85" s="58"/>
    </row>
    <row r="86" spans="1:63" s="70" customFormat="1" ht="15" customHeight="1" x14ac:dyDescent="0.25">
      <c r="A86" s="67"/>
      <c r="B86" s="71"/>
      <c r="C86" s="21" t="s">
        <v>168</v>
      </c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59"/>
      <c r="BI86" s="59"/>
      <c r="BJ86" s="59"/>
      <c r="BK86" s="58"/>
    </row>
    <row r="87" spans="1:63" s="70" customFormat="1" ht="15" customHeight="1" x14ac:dyDescent="0.25">
      <c r="A87" s="67"/>
      <c r="B87" s="71"/>
      <c r="C87" s="2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59"/>
      <c r="BI87" s="59"/>
      <c r="BJ87" s="59"/>
      <c r="BK87" s="58"/>
    </row>
    <row r="88" spans="1:63" s="70" customFormat="1" ht="15" customHeight="1" x14ac:dyDescent="0.25">
      <c r="A88" s="67"/>
      <c r="B88" s="71"/>
      <c r="C88" s="21" t="s">
        <v>41</v>
      </c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59"/>
      <c r="BI88" s="59"/>
      <c r="BJ88" s="59"/>
      <c r="BK88" s="58"/>
    </row>
    <row r="89" spans="1:63" s="26" customFormat="1" ht="15" customHeight="1" x14ac:dyDescent="0.25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4"/>
      <c r="BI89" s="24"/>
      <c r="BJ89" s="24"/>
      <c r="BK89" s="25"/>
    </row>
  </sheetData>
  <mergeCells count="378">
    <mergeCell ref="C76:D76"/>
    <mergeCell ref="E76:K76"/>
    <mergeCell ref="L76:N76"/>
    <mergeCell ref="O76:R76"/>
    <mergeCell ref="S76:Y76"/>
    <mergeCell ref="Z76:AP76"/>
    <mergeCell ref="AQ76:BJ76"/>
    <mergeCell ref="C77:D77"/>
    <mergeCell ref="E77:K77"/>
    <mergeCell ref="L77:N77"/>
    <mergeCell ref="O77:R77"/>
    <mergeCell ref="S77:Y77"/>
    <mergeCell ref="Z77:AP77"/>
    <mergeCell ref="AQ77:BJ77"/>
    <mergeCell ref="C73:D73"/>
    <mergeCell ref="E73:K73"/>
    <mergeCell ref="L73:N73"/>
    <mergeCell ref="O73:R73"/>
    <mergeCell ref="S73:Y73"/>
    <mergeCell ref="Z73:AP73"/>
    <mergeCell ref="AQ73:BJ73"/>
    <mergeCell ref="C74:D74"/>
    <mergeCell ref="E74:K74"/>
    <mergeCell ref="L74:N74"/>
    <mergeCell ref="O74:R74"/>
    <mergeCell ref="S74:Y74"/>
    <mergeCell ref="Z74:AP74"/>
    <mergeCell ref="AQ74:BJ74"/>
    <mergeCell ref="C71:D71"/>
    <mergeCell ref="E71:K71"/>
    <mergeCell ref="L71:N71"/>
    <mergeCell ref="O71:R71"/>
    <mergeCell ref="S71:Y71"/>
    <mergeCell ref="Z71:AP71"/>
    <mergeCell ref="AQ71:BJ71"/>
    <mergeCell ref="C72:D72"/>
    <mergeCell ref="E72:K72"/>
    <mergeCell ref="L72:N72"/>
    <mergeCell ref="O72:R72"/>
    <mergeCell ref="S72:Y72"/>
    <mergeCell ref="Z72:AP72"/>
    <mergeCell ref="AQ72:BJ72"/>
    <mergeCell ref="C69:D69"/>
    <mergeCell ref="E69:K69"/>
    <mergeCell ref="L69:N69"/>
    <mergeCell ref="O69:R69"/>
    <mergeCell ref="S69:Y69"/>
    <mergeCell ref="Z69:AP69"/>
    <mergeCell ref="AQ69:BJ69"/>
    <mergeCell ref="C70:D70"/>
    <mergeCell ref="E70:K70"/>
    <mergeCell ref="L70:N70"/>
    <mergeCell ref="O70:R70"/>
    <mergeCell ref="S70:Y70"/>
    <mergeCell ref="Z70:AP70"/>
    <mergeCell ref="AQ70:BJ70"/>
    <mergeCell ref="C67:D67"/>
    <mergeCell ref="E67:K67"/>
    <mergeCell ref="L67:N67"/>
    <mergeCell ref="O67:R67"/>
    <mergeCell ref="S67:Y67"/>
    <mergeCell ref="Z67:AP67"/>
    <mergeCell ref="AQ67:BJ67"/>
    <mergeCell ref="C68:D68"/>
    <mergeCell ref="E68:K68"/>
    <mergeCell ref="L68:N68"/>
    <mergeCell ref="O68:R68"/>
    <mergeCell ref="S68:Y68"/>
    <mergeCell ref="Z68:AP68"/>
    <mergeCell ref="AQ68:BJ68"/>
    <mergeCell ref="C65:D65"/>
    <mergeCell ref="E65:K65"/>
    <mergeCell ref="L65:N65"/>
    <mergeCell ref="O65:R65"/>
    <mergeCell ref="S65:Y65"/>
    <mergeCell ref="Z65:AP65"/>
    <mergeCell ref="AQ65:BJ65"/>
    <mergeCell ref="C66:D66"/>
    <mergeCell ref="E66:K66"/>
    <mergeCell ref="L66:N66"/>
    <mergeCell ref="O66:R66"/>
    <mergeCell ref="S66:Y66"/>
    <mergeCell ref="Z66:AP66"/>
    <mergeCell ref="AQ66:BJ66"/>
    <mergeCell ref="C63:D63"/>
    <mergeCell ref="E63:K63"/>
    <mergeCell ref="L63:N63"/>
    <mergeCell ref="O63:R63"/>
    <mergeCell ref="S63:Y63"/>
    <mergeCell ref="Z63:AP63"/>
    <mergeCell ref="AQ63:BJ63"/>
    <mergeCell ref="C64:D64"/>
    <mergeCell ref="E64:K64"/>
    <mergeCell ref="L64:N64"/>
    <mergeCell ref="O64:R64"/>
    <mergeCell ref="S64:Y64"/>
    <mergeCell ref="Z64:AP64"/>
    <mergeCell ref="AQ64:BJ64"/>
    <mergeCell ref="C61:D61"/>
    <mergeCell ref="E61:K61"/>
    <mergeCell ref="L61:N61"/>
    <mergeCell ref="O61:R61"/>
    <mergeCell ref="S61:Y61"/>
    <mergeCell ref="Z61:AP61"/>
    <mergeCell ref="AQ61:BJ61"/>
    <mergeCell ref="C62:D62"/>
    <mergeCell ref="E62:K62"/>
    <mergeCell ref="L62:N62"/>
    <mergeCell ref="O62:R62"/>
    <mergeCell ref="S62:Y62"/>
    <mergeCell ref="Z62:AP62"/>
    <mergeCell ref="AQ62:BJ62"/>
    <mergeCell ref="C59:D59"/>
    <mergeCell ref="E59:K59"/>
    <mergeCell ref="L59:N59"/>
    <mergeCell ref="O59:R59"/>
    <mergeCell ref="S59:Y59"/>
    <mergeCell ref="Z59:AP59"/>
    <mergeCell ref="AQ59:BJ59"/>
    <mergeCell ref="C60:D60"/>
    <mergeCell ref="E60:K60"/>
    <mergeCell ref="L60:N60"/>
    <mergeCell ref="O60:R60"/>
    <mergeCell ref="S60:Y60"/>
    <mergeCell ref="Z60:AP60"/>
    <mergeCell ref="AQ60:BJ60"/>
    <mergeCell ref="C57:D57"/>
    <mergeCell ref="E57:K57"/>
    <mergeCell ref="L57:N57"/>
    <mergeCell ref="O57:R57"/>
    <mergeCell ref="S57:Y57"/>
    <mergeCell ref="Z57:AP57"/>
    <mergeCell ref="AQ57:BJ57"/>
    <mergeCell ref="C58:D58"/>
    <mergeCell ref="E58:K58"/>
    <mergeCell ref="L58:N58"/>
    <mergeCell ref="O58:R58"/>
    <mergeCell ref="S58:Y58"/>
    <mergeCell ref="Z58:AP58"/>
    <mergeCell ref="AQ58:BJ58"/>
    <mergeCell ref="C55:D55"/>
    <mergeCell ref="E55:K55"/>
    <mergeCell ref="L55:N55"/>
    <mergeCell ref="O55:R55"/>
    <mergeCell ref="S55:Y55"/>
    <mergeCell ref="Z55:AP55"/>
    <mergeCell ref="AQ55:BJ55"/>
    <mergeCell ref="C56:D56"/>
    <mergeCell ref="E56:K56"/>
    <mergeCell ref="L56:N56"/>
    <mergeCell ref="O56:R56"/>
    <mergeCell ref="S56:Y56"/>
    <mergeCell ref="Z56:AP56"/>
    <mergeCell ref="AQ56:BJ56"/>
    <mergeCell ref="C53:D53"/>
    <mergeCell ref="E53:K53"/>
    <mergeCell ref="L53:N53"/>
    <mergeCell ref="O53:R53"/>
    <mergeCell ref="S53:Y53"/>
    <mergeCell ref="Z53:AP53"/>
    <mergeCell ref="AQ53:BJ53"/>
    <mergeCell ref="C54:D54"/>
    <mergeCell ref="E54:K54"/>
    <mergeCell ref="L54:N54"/>
    <mergeCell ref="O54:R54"/>
    <mergeCell ref="S54:Y54"/>
    <mergeCell ref="Z54:AP54"/>
    <mergeCell ref="AQ54:BJ54"/>
    <mergeCell ref="C51:D51"/>
    <mergeCell ref="E51:K51"/>
    <mergeCell ref="L51:N51"/>
    <mergeCell ref="O51:R51"/>
    <mergeCell ref="S51:Y51"/>
    <mergeCell ref="Z51:AP51"/>
    <mergeCell ref="AQ51:BJ51"/>
    <mergeCell ref="C52:D52"/>
    <mergeCell ref="E52:K52"/>
    <mergeCell ref="L52:N52"/>
    <mergeCell ref="O52:R52"/>
    <mergeCell ref="S52:Y52"/>
    <mergeCell ref="Z52:AP52"/>
    <mergeCell ref="AQ52:BJ5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E22:K22"/>
    <mergeCell ref="E23:K23"/>
    <mergeCell ref="C22:D22"/>
    <mergeCell ref="O23:R23"/>
    <mergeCell ref="L22:N22"/>
    <mergeCell ref="L23:N23"/>
    <mergeCell ref="E25:K25"/>
    <mergeCell ref="O21:R21"/>
    <mergeCell ref="L21:N21"/>
    <mergeCell ref="C24:D24"/>
    <mergeCell ref="E24:K24"/>
    <mergeCell ref="C25:D25"/>
    <mergeCell ref="C23:D23"/>
    <mergeCell ref="L34:N34"/>
    <mergeCell ref="O34:R34"/>
    <mergeCell ref="Z34:AP34"/>
    <mergeCell ref="S23:Y23"/>
    <mergeCell ref="S22:Y22"/>
    <mergeCell ref="Z22:AP2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L39:N39"/>
    <mergeCell ref="O39:R39"/>
    <mergeCell ref="S39:Y39"/>
    <mergeCell ref="AQ21:BJ21"/>
    <mergeCell ref="AQ23:BJ23"/>
    <mergeCell ref="AQ22:BJ22"/>
    <mergeCell ref="E21:K21"/>
    <mergeCell ref="C21:D21"/>
    <mergeCell ref="S21:Y21"/>
    <mergeCell ref="Z21:AP21"/>
    <mergeCell ref="O22:R22"/>
    <mergeCell ref="C26:D26"/>
    <mergeCell ref="E26:K26"/>
    <mergeCell ref="L26:N26"/>
    <mergeCell ref="O26:R26"/>
    <mergeCell ref="S26:Y26"/>
    <mergeCell ref="Z26:AP26"/>
    <mergeCell ref="AQ26:BJ26"/>
    <mergeCell ref="Z39:AP39"/>
    <mergeCell ref="AQ39:BJ39"/>
    <mergeCell ref="AQ34:BJ34"/>
    <mergeCell ref="C34:D34"/>
    <mergeCell ref="E34:K34"/>
    <mergeCell ref="S34:Y34"/>
    <mergeCell ref="C41:D41"/>
    <mergeCell ref="E41:K41"/>
    <mergeCell ref="L41:N41"/>
    <mergeCell ref="O41:R41"/>
    <mergeCell ref="S41:Y41"/>
    <mergeCell ref="Z41:AP41"/>
    <mergeCell ref="AQ41:BJ41"/>
    <mergeCell ref="C40:D40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C39:D39"/>
    <mergeCell ref="E39:K39"/>
    <mergeCell ref="L44:N44"/>
    <mergeCell ref="O44:R44"/>
    <mergeCell ref="S44:Y44"/>
    <mergeCell ref="Z44:AP44"/>
    <mergeCell ref="AQ44:BJ44"/>
    <mergeCell ref="E40:K40"/>
    <mergeCell ref="L40:N40"/>
    <mergeCell ref="O40:R40"/>
    <mergeCell ref="S40:Y40"/>
    <mergeCell ref="Z40:AP40"/>
    <mergeCell ref="AQ40:BJ40"/>
    <mergeCell ref="C35:D35"/>
    <mergeCell ref="E35:K35"/>
    <mergeCell ref="L35:N35"/>
    <mergeCell ref="O35:R35"/>
    <mergeCell ref="S35:Y35"/>
    <mergeCell ref="Z35:AP35"/>
    <mergeCell ref="AQ35:BJ35"/>
    <mergeCell ref="C36:D36"/>
    <mergeCell ref="E36:K36"/>
    <mergeCell ref="L36:N36"/>
    <mergeCell ref="O36:R36"/>
    <mergeCell ref="S36:Y36"/>
    <mergeCell ref="Z36:AP36"/>
    <mergeCell ref="AQ36:BJ36"/>
    <mergeCell ref="AQ75:BJ75"/>
    <mergeCell ref="C42:D42"/>
    <mergeCell ref="E42:K42"/>
    <mergeCell ref="L42:N42"/>
    <mergeCell ref="O42:R42"/>
    <mergeCell ref="S42:Y42"/>
    <mergeCell ref="Z42:AP42"/>
    <mergeCell ref="AQ42:BJ42"/>
    <mergeCell ref="C43:D43"/>
    <mergeCell ref="E43:K43"/>
    <mergeCell ref="L43:N43"/>
    <mergeCell ref="O43:R43"/>
    <mergeCell ref="S43:Y43"/>
    <mergeCell ref="Z43:AP43"/>
    <mergeCell ref="AQ43:BJ43"/>
    <mergeCell ref="C45:D45"/>
    <mergeCell ref="E45:K45"/>
    <mergeCell ref="L45:N45"/>
    <mergeCell ref="O45:R45"/>
    <mergeCell ref="S45:Y45"/>
    <mergeCell ref="Z45:AP45"/>
    <mergeCell ref="AQ45:BJ45"/>
    <mergeCell ref="C44:D44"/>
    <mergeCell ref="E44:K44"/>
    <mergeCell ref="AQ50:BJ50"/>
    <mergeCell ref="C46:D46"/>
    <mergeCell ref="E46:K46"/>
    <mergeCell ref="L46:N46"/>
    <mergeCell ref="O46:R46"/>
    <mergeCell ref="S46:Y46"/>
    <mergeCell ref="Z46:AP46"/>
    <mergeCell ref="AQ46:BJ46"/>
    <mergeCell ref="C47:D47"/>
    <mergeCell ref="E47:K47"/>
    <mergeCell ref="L47:N47"/>
    <mergeCell ref="O47:R47"/>
    <mergeCell ref="S47:Y47"/>
    <mergeCell ref="Z47:AP47"/>
    <mergeCell ref="AQ47:BJ47"/>
    <mergeCell ref="AQ48:BJ48"/>
    <mergeCell ref="AQ49:BJ49"/>
    <mergeCell ref="C75:D75"/>
    <mergeCell ref="E75:K75"/>
    <mergeCell ref="L75:N75"/>
    <mergeCell ref="C48:D48"/>
    <mergeCell ref="E48:K48"/>
    <mergeCell ref="L48:N48"/>
    <mergeCell ref="O48:R48"/>
    <mergeCell ref="S48:Y48"/>
    <mergeCell ref="Z48:AP48"/>
    <mergeCell ref="C49:D49"/>
    <mergeCell ref="E49:K49"/>
    <mergeCell ref="L49:N49"/>
    <mergeCell ref="O49:R49"/>
    <mergeCell ref="S49:Y49"/>
    <mergeCell ref="Z49:AP49"/>
    <mergeCell ref="C50:D50"/>
    <mergeCell ref="E50:K50"/>
    <mergeCell ref="L50:N50"/>
    <mergeCell ref="O50:R50"/>
    <mergeCell ref="S50:Y50"/>
    <mergeCell ref="Z50:AP50"/>
    <mergeCell ref="O75:R75"/>
    <mergeCell ref="S75:Y75"/>
    <mergeCell ref="Z75:AP75"/>
  </mergeCells>
  <pageMargins left="0.7" right="0.7" top="0.75" bottom="0.75" header="0.3" footer="0.3"/>
  <pageSetup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8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205" t="s">
        <v>95</v>
      </c>
      <c r="B1" s="206"/>
      <c r="C1" s="206"/>
      <c r="D1" s="206"/>
      <c r="E1" s="206"/>
      <c r="F1" s="206"/>
      <c r="G1" s="206"/>
      <c r="H1" s="206"/>
      <c r="I1" s="206"/>
      <c r="J1" s="207"/>
      <c r="K1" s="205" t="s">
        <v>96</v>
      </c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7"/>
      <c r="W1" s="208" t="s">
        <v>91</v>
      </c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10"/>
      <c r="AP1" s="93" t="s">
        <v>97</v>
      </c>
      <c r="AQ1" s="94"/>
      <c r="AR1" s="94"/>
      <c r="AS1" s="95"/>
      <c r="AT1" s="93" t="s">
        <v>98</v>
      </c>
      <c r="AU1" s="94"/>
      <c r="AV1" s="94"/>
      <c r="AW1" s="94"/>
      <c r="AX1" s="95"/>
      <c r="AY1" s="93" t="s">
        <v>99</v>
      </c>
      <c r="AZ1" s="94"/>
      <c r="BA1" s="94"/>
      <c r="BB1" s="95"/>
      <c r="BC1" s="93" t="s">
        <v>100</v>
      </c>
      <c r="BD1" s="94"/>
      <c r="BE1" s="94"/>
      <c r="BF1" s="94"/>
      <c r="BG1" s="95"/>
      <c r="BH1" s="93" t="s">
        <v>101</v>
      </c>
      <c r="BI1" s="94"/>
      <c r="BJ1" s="94"/>
      <c r="BK1" s="95"/>
    </row>
    <row r="2" spans="1:63" ht="15" customHeight="1" x14ac:dyDescent="0.25">
      <c r="A2" s="199" t="s">
        <v>92</v>
      </c>
      <c r="B2" s="200"/>
      <c r="C2" s="200"/>
      <c r="D2" s="200"/>
      <c r="E2" s="200"/>
      <c r="F2" s="200"/>
      <c r="G2" s="200"/>
      <c r="H2" s="200"/>
      <c r="I2" s="200"/>
      <c r="J2" s="201"/>
      <c r="K2" s="199" t="s">
        <v>92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11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3"/>
      <c r="AP2" s="78" t="s">
        <v>88</v>
      </c>
      <c r="AQ2" s="79"/>
      <c r="AR2" s="79"/>
      <c r="AS2" s="80"/>
      <c r="AT2" s="108">
        <v>45616</v>
      </c>
      <c r="AU2" s="109"/>
      <c r="AV2" s="109"/>
      <c r="AW2" s="109"/>
      <c r="AX2" s="110"/>
      <c r="AY2" s="78" t="s">
        <v>89</v>
      </c>
      <c r="AZ2" s="79"/>
      <c r="BA2" s="79"/>
      <c r="BB2" s="80"/>
      <c r="BC2" s="108">
        <v>45804</v>
      </c>
      <c r="BD2" s="109"/>
      <c r="BE2" s="109"/>
      <c r="BF2" s="109"/>
      <c r="BG2" s="110"/>
      <c r="BH2" s="78">
        <v>0.15</v>
      </c>
      <c r="BI2" s="79"/>
      <c r="BJ2" s="79"/>
      <c r="BK2" s="80"/>
    </row>
    <row r="3" spans="1:63" ht="15" customHeight="1" x14ac:dyDescent="0.25">
      <c r="A3" s="202"/>
      <c r="B3" s="203"/>
      <c r="C3" s="203"/>
      <c r="D3" s="203"/>
      <c r="E3" s="203"/>
      <c r="F3" s="203"/>
      <c r="G3" s="203"/>
      <c r="H3" s="203"/>
      <c r="I3" s="203"/>
      <c r="J3" s="204"/>
      <c r="K3" s="202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4"/>
      <c r="W3" s="214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6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84"/>
      <c r="BI3" s="85"/>
      <c r="BJ3" s="85"/>
      <c r="BK3" s="86"/>
    </row>
    <row r="4" spans="1:63" ht="24.95" customHeight="1" x14ac:dyDescent="0.25">
      <c r="A4" s="205" t="s">
        <v>102</v>
      </c>
      <c r="B4" s="206"/>
      <c r="C4" s="206"/>
      <c r="D4" s="206"/>
      <c r="E4" s="206"/>
      <c r="F4" s="206"/>
      <c r="G4" s="207"/>
      <c r="H4" s="217" t="s">
        <v>90</v>
      </c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9"/>
      <c r="U4" s="205" t="s">
        <v>103</v>
      </c>
      <c r="V4" s="206"/>
      <c r="W4" s="206"/>
      <c r="X4" s="206"/>
      <c r="Y4" s="207"/>
      <c r="Z4" s="217" t="s">
        <v>93</v>
      </c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9"/>
      <c r="AP4" s="220" t="str">
        <f ca="1">MID(CELL("filename",A1),FIND("]",CELL("filename",A1))+1,255)</f>
        <v>処理フロー</v>
      </c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9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59" customFormat="1" ht="15" customHeight="1" x14ac:dyDescent="0.25">
      <c r="B7" s="28" t="s">
        <v>172</v>
      </c>
      <c r="C7" s="27"/>
      <c r="D7" s="27"/>
      <c r="E7" s="27"/>
      <c r="F7" s="27"/>
      <c r="G7" s="27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5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5"/>
      <c r="BK7" s="58"/>
    </row>
    <row r="8" spans="1:63" s="59" customFormat="1" ht="15" customHeight="1" x14ac:dyDescent="0.25">
      <c r="B8" s="19"/>
      <c r="C8" s="18"/>
      <c r="D8" s="18"/>
      <c r="E8" s="18"/>
      <c r="F8" s="18"/>
      <c r="G8" s="18"/>
      <c r="AI8" s="76"/>
      <c r="BJ8" s="76"/>
      <c r="BK8" s="58"/>
    </row>
    <row r="9" spans="1:63" s="59" customFormat="1" ht="15" customHeight="1" x14ac:dyDescent="0.25">
      <c r="B9" s="19"/>
      <c r="C9" s="18"/>
      <c r="D9" s="18"/>
      <c r="E9" s="18"/>
      <c r="F9" s="18"/>
      <c r="G9" s="18"/>
      <c r="AI9" s="76"/>
      <c r="BJ9" s="76"/>
      <c r="BK9" s="58"/>
    </row>
    <row r="10" spans="1:63" s="59" customFormat="1" ht="15" customHeight="1" x14ac:dyDescent="0.25">
      <c r="B10" s="19"/>
      <c r="C10" s="18"/>
      <c r="D10" s="18"/>
      <c r="E10" s="18"/>
      <c r="F10" s="18"/>
      <c r="G10" s="18"/>
      <c r="AI10" s="76"/>
      <c r="BJ10" s="76"/>
      <c r="BK10" s="58"/>
    </row>
    <row r="11" spans="1:63" s="59" customFormat="1" ht="15" customHeight="1" x14ac:dyDescent="0.25">
      <c r="B11" s="19"/>
      <c r="C11" s="18"/>
      <c r="D11" s="18"/>
      <c r="E11" s="18"/>
      <c r="F11" s="18"/>
      <c r="G11" s="18"/>
      <c r="AI11" s="76"/>
      <c r="BJ11" s="76"/>
      <c r="BK11" s="58"/>
    </row>
    <row r="12" spans="1:63" s="59" customFormat="1" ht="15" customHeight="1" x14ac:dyDescent="0.25">
      <c r="B12" s="19"/>
      <c r="C12" s="18"/>
      <c r="D12" s="18"/>
      <c r="E12" s="18"/>
      <c r="F12" s="18"/>
      <c r="G12" s="18"/>
      <c r="AI12" s="76"/>
      <c r="BJ12" s="76"/>
      <c r="BK12" s="58"/>
    </row>
    <row r="13" spans="1:63" s="59" customFormat="1" ht="15" customHeight="1" x14ac:dyDescent="0.25">
      <c r="B13" s="19"/>
      <c r="C13" s="18"/>
      <c r="D13" s="18"/>
      <c r="E13" s="18"/>
      <c r="F13" s="18"/>
      <c r="G13" s="18"/>
      <c r="AI13" s="76"/>
      <c r="BJ13" s="76"/>
      <c r="BK13" s="58"/>
    </row>
    <row r="14" spans="1:63" s="59" customFormat="1" ht="15" customHeight="1" x14ac:dyDescent="0.25">
      <c r="B14" s="77"/>
      <c r="AI14" s="76"/>
      <c r="BJ14" s="76"/>
      <c r="BK14" s="58"/>
    </row>
    <row r="15" spans="1:63" s="59" customFormat="1" ht="15" customHeight="1" x14ac:dyDescent="0.25">
      <c r="B15" s="77"/>
      <c r="AI15" s="76"/>
      <c r="BJ15" s="76"/>
      <c r="BK15" s="58"/>
    </row>
    <row r="16" spans="1:63" s="59" customFormat="1" ht="15" customHeight="1" x14ac:dyDescent="0.25">
      <c r="B16" s="77"/>
      <c r="AI16" s="76"/>
      <c r="BJ16" s="76"/>
      <c r="BK16" s="58"/>
    </row>
    <row r="17" spans="2:63" s="59" customFormat="1" ht="15" customHeight="1" x14ac:dyDescent="0.25">
      <c r="B17" s="77"/>
      <c r="AI17" s="76"/>
      <c r="BJ17" s="76"/>
      <c r="BK17" s="58"/>
    </row>
    <row r="18" spans="2:63" s="59" customFormat="1" ht="15" customHeight="1" x14ac:dyDescent="0.25">
      <c r="B18" s="77"/>
      <c r="AI18" s="76"/>
      <c r="BJ18" s="76"/>
      <c r="BK18" s="58"/>
    </row>
    <row r="19" spans="2:63" s="59" customFormat="1" ht="15" customHeight="1" x14ac:dyDescent="0.25">
      <c r="B19" s="77"/>
      <c r="AI19" s="76"/>
      <c r="BJ19" s="76"/>
      <c r="BK19" s="58"/>
    </row>
    <row r="20" spans="2:63" s="59" customFormat="1" ht="15" customHeight="1" x14ac:dyDescent="0.25">
      <c r="B20" s="77"/>
      <c r="AI20" s="76"/>
      <c r="BJ20" s="76"/>
      <c r="BK20" s="58"/>
    </row>
    <row r="21" spans="2:63" s="59" customFormat="1" ht="15" customHeight="1" x14ac:dyDescent="0.25">
      <c r="B21" s="77"/>
      <c r="AI21" s="76"/>
      <c r="BJ21" s="76"/>
      <c r="BK21" s="58"/>
    </row>
    <row r="22" spans="2:63" s="59" customFormat="1" ht="15" customHeight="1" x14ac:dyDescent="0.25">
      <c r="B22" s="77"/>
      <c r="AI22" s="76"/>
      <c r="BJ22" s="76"/>
      <c r="BK22" s="58"/>
    </row>
    <row r="23" spans="2:63" s="59" customFormat="1" ht="15" customHeight="1" x14ac:dyDescent="0.25">
      <c r="B23" s="77"/>
      <c r="AI23" s="76"/>
      <c r="BJ23" s="76"/>
      <c r="BK23" s="58"/>
    </row>
    <row r="24" spans="2:63" s="59" customFormat="1" ht="15" customHeight="1" x14ac:dyDescent="0.25">
      <c r="B24" s="77"/>
      <c r="AI24" s="76"/>
      <c r="BJ24" s="76"/>
      <c r="BK24" s="58"/>
    </row>
    <row r="25" spans="2:63" s="59" customFormat="1" ht="15" customHeight="1" x14ac:dyDescent="0.25">
      <c r="B25" s="77"/>
      <c r="AI25" s="76"/>
      <c r="BJ25" s="76"/>
      <c r="BK25" s="58"/>
    </row>
    <row r="26" spans="2:63" s="59" customFormat="1" ht="15" customHeight="1" x14ac:dyDescent="0.25">
      <c r="B26" s="77"/>
      <c r="AI26" s="76"/>
      <c r="BJ26" s="76"/>
      <c r="BK26" s="58"/>
    </row>
    <row r="27" spans="2:63" s="59" customFormat="1" ht="15" customHeight="1" x14ac:dyDescent="0.25">
      <c r="B27" s="77"/>
      <c r="AI27" s="76"/>
      <c r="BJ27" s="76"/>
      <c r="BK27" s="58"/>
    </row>
    <row r="28" spans="2:63" s="59" customFormat="1" ht="15" customHeight="1" x14ac:dyDescent="0.25">
      <c r="B28" s="77"/>
      <c r="AI28" s="76"/>
      <c r="BJ28" s="76"/>
      <c r="BK28" s="58"/>
    </row>
    <row r="29" spans="2:63" s="59" customFormat="1" ht="15" customHeight="1" x14ac:dyDescent="0.25">
      <c r="B29" s="77"/>
      <c r="AI29" s="76"/>
      <c r="BJ29" s="76"/>
      <c r="BK29" s="58"/>
    </row>
    <row r="30" spans="2:63" s="59" customFormat="1" ht="15" customHeight="1" x14ac:dyDescent="0.25">
      <c r="B30" s="77"/>
      <c r="AI30" s="76"/>
      <c r="BJ30" s="76"/>
      <c r="BK30" s="58"/>
    </row>
    <row r="31" spans="2:63" s="59" customFormat="1" ht="15" customHeight="1" x14ac:dyDescent="0.25">
      <c r="B31" s="77"/>
      <c r="AI31" s="76"/>
      <c r="BJ31" s="76"/>
      <c r="BK31" s="58"/>
    </row>
    <row r="32" spans="2:63" s="59" customFormat="1" ht="15" customHeight="1" x14ac:dyDescent="0.25">
      <c r="B32" s="77"/>
      <c r="AI32" s="76"/>
      <c r="BJ32" s="76"/>
      <c r="BK32" s="58"/>
    </row>
    <row r="33" spans="2:63" s="59" customFormat="1" ht="15" customHeight="1" x14ac:dyDescent="0.25">
      <c r="B33" s="77"/>
      <c r="AI33" s="76"/>
      <c r="BJ33" s="76"/>
      <c r="BK33" s="58"/>
    </row>
    <row r="34" spans="2:63" s="59" customFormat="1" ht="15" customHeight="1" x14ac:dyDescent="0.25">
      <c r="B34" s="77"/>
      <c r="AI34" s="76"/>
      <c r="BJ34" s="76"/>
      <c r="BK34" s="58"/>
    </row>
    <row r="35" spans="2:63" s="59" customFormat="1" ht="15" customHeight="1" x14ac:dyDescent="0.25">
      <c r="B35" s="77"/>
      <c r="AI35" s="76"/>
      <c r="BJ35" s="76"/>
      <c r="BK35" s="58"/>
    </row>
    <row r="36" spans="2:63" s="59" customFormat="1" ht="15" customHeight="1" x14ac:dyDescent="0.25">
      <c r="B36" s="77"/>
      <c r="AI36" s="76"/>
      <c r="BJ36" s="76"/>
      <c r="BK36" s="58"/>
    </row>
    <row r="37" spans="2:63" s="59" customFormat="1" ht="15" customHeight="1" x14ac:dyDescent="0.25">
      <c r="B37" s="77"/>
      <c r="AI37" s="76"/>
      <c r="BJ37" s="76"/>
      <c r="BK37" s="58"/>
    </row>
    <row r="38" spans="2:63" s="59" customFormat="1" ht="15" customHeight="1" x14ac:dyDescent="0.25">
      <c r="B38" s="77"/>
      <c r="AI38" s="76"/>
      <c r="BJ38" s="76"/>
      <c r="BK38" s="58"/>
    </row>
    <row r="39" spans="2:63" s="59" customFormat="1" ht="15" customHeight="1" x14ac:dyDescent="0.25">
      <c r="B39" s="77"/>
      <c r="AI39" s="76"/>
      <c r="BJ39" s="76"/>
      <c r="BK39" s="58"/>
    </row>
    <row r="40" spans="2:63" s="59" customFormat="1" ht="15" customHeight="1" x14ac:dyDescent="0.25">
      <c r="B40" s="77"/>
      <c r="AI40" s="76"/>
      <c r="BJ40" s="76"/>
      <c r="BK40" s="58"/>
    </row>
    <row r="41" spans="2:63" s="59" customFormat="1" ht="15" customHeight="1" x14ac:dyDescent="0.25">
      <c r="B41" s="77"/>
      <c r="AI41" s="76"/>
      <c r="BJ41" s="76"/>
      <c r="BK41" s="58"/>
    </row>
    <row r="42" spans="2:63" s="59" customFormat="1" ht="15" customHeight="1" x14ac:dyDescent="0.25">
      <c r="B42" s="77"/>
      <c r="AI42" s="76"/>
      <c r="BJ42" s="76"/>
      <c r="BK42" s="58"/>
    </row>
    <row r="43" spans="2:63" s="59" customFormat="1" ht="15" customHeight="1" x14ac:dyDescent="0.25">
      <c r="B43" s="77"/>
      <c r="AI43" s="76"/>
      <c r="BJ43" s="76"/>
      <c r="BK43" s="58"/>
    </row>
    <row r="44" spans="2:63" s="59" customFormat="1" ht="15" customHeight="1" x14ac:dyDescent="0.25">
      <c r="B44" s="77"/>
      <c r="AI44" s="76"/>
      <c r="BJ44" s="76"/>
      <c r="BK44" s="58"/>
    </row>
    <row r="45" spans="2:63" s="59" customFormat="1" ht="15" customHeight="1" x14ac:dyDescent="0.25">
      <c r="B45" s="77"/>
      <c r="AI45" s="76"/>
      <c r="BJ45" s="76"/>
      <c r="BK45" s="58"/>
    </row>
    <row r="46" spans="2:63" s="59" customFormat="1" ht="15" customHeight="1" x14ac:dyDescent="0.25">
      <c r="B46" s="77"/>
      <c r="AI46" s="76"/>
      <c r="BJ46" s="76"/>
      <c r="BK46" s="58"/>
    </row>
    <row r="47" spans="2:63" s="59" customFormat="1" ht="15" customHeight="1" x14ac:dyDescent="0.25">
      <c r="B47" s="77"/>
      <c r="AI47" s="76"/>
      <c r="BJ47" s="76"/>
      <c r="BK47" s="58"/>
    </row>
    <row r="48" spans="2:63" s="59" customFormat="1" ht="15" customHeight="1" x14ac:dyDescent="0.25">
      <c r="B48" s="77"/>
      <c r="AI48" s="76"/>
      <c r="BJ48" s="76"/>
      <c r="BK48" s="58"/>
    </row>
    <row r="49" spans="2:63" s="59" customFormat="1" ht="15" customHeight="1" x14ac:dyDescent="0.25">
      <c r="B49" s="77"/>
      <c r="AI49" s="76"/>
      <c r="BJ49" s="76"/>
      <c r="BK49" s="58"/>
    </row>
    <row r="50" spans="2:63" s="59" customFormat="1" ht="15" customHeight="1" x14ac:dyDescent="0.25">
      <c r="B50" s="77"/>
      <c r="AI50" s="76"/>
      <c r="BJ50" s="76"/>
      <c r="BK50" s="58"/>
    </row>
    <row r="51" spans="2:63" s="59" customFormat="1" ht="15" customHeight="1" x14ac:dyDescent="0.25">
      <c r="B51" s="77"/>
      <c r="AI51" s="76"/>
      <c r="BJ51" s="76"/>
      <c r="BK51" s="58"/>
    </row>
    <row r="52" spans="2:63" s="59" customFormat="1" ht="15" customHeight="1" x14ac:dyDescent="0.25">
      <c r="B52" s="77"/>
      <c r="AI52" s="76"/>
      <c r="BJ52" s="76"/>
      <c r="BK52" s="58"/>
    </row>
    <row r="53" spans="2:63" s="59" customFormat="1" ht="15" customHeight="1" x14ac:dyDescent="0.25">
      <c r="B53" s="77"/>
      <c r="AI53" s="76"/>
      <c r="BJ53" s="76"/>
      <c r="BK53" s="58"/>
    </row>
    <row r="54" spans="2:63" s="59" customFormat="1" ht="15" customHeight="1" x14ac:dyDescent="0.25">
      <c r="B54" s="77"/>
      <c r="AI54" s="76"/>
      <c r="BJ54" s="76"/>
      <c r="BK54" s="58"/>
    </row>
    <row r="55" spans="2:63" s="59" customFormat="1" ht="15" customHeight="1" x14ac:dyDescent="0.25">
      <c r="B55" s="77"/>
      <c r="AI55" s="76"/>
      <c r="BJ55" s="76"/>
      <c r="BK55" s="58"/>
    </row>
    <row r="56" spans="2:63" s="59" customFormat="1" ht="15" customHeight="1" x14ac:dyDescent="0.25">
      <c r="B56" s="77"/>
      <c r="AI56" s="76"/>
      <c r="BJ56" s="76"/>
      <c r="BK56" s="58"/>
    </row>
    <row r="57" spans="2:63" s="59" customFormat="1" ht="15" customHeight="1" x14ac:dyDescent="0.25">
      <c r="B57" s="77"/>
      <c r="AI57" s="76"/>
      <c r="BJ57" s="76"/>
      <c r="BK57" s="58"/>
    </row>
    <row r="58" spans="2:63" s="59" customFormat="1" ht="15" customHeight="1" x14ac:dyDescent="0.25">
      <c r="B58" s="77"/>
      <c r="AI58" s="76"/>
      <c r="BJ58" s="76"/>
      <c r="BK58" s="58"/>
    </row>
    <row r="59" spans="2:63" s="59" customFormat="1" ht="15" customHeight="1" x14ac:dyDescent="0.25">
      <c r="B59" s="77"/>
      <c r="AI59" s="76"/>
      <c r="BJ59" s="76"/>
      <c r="BK59" s="58"/>
    </row>
    <row r="60" spans="2:63" s="59" customFormat="1" ht="15" customHeight="1" x14ac:dyDescent="0.25">
      <c r="B60" s="77"/>
      <c r="AI60" s="76"/>
      <c r="BJ60" s="76"/>
      <c r="BK60" s="58"/>
    </row>
    <row r="61" spans="2:63" s="59" customFormat="1" ht="15" customHeight="1" x14ac:dyDescent="0.25">
      <c r="B61" s="77"/>
      <c r="AI61" s="76"/>
      <c r="BJ61" s="76"/>
      <c r="BK61" s="58"/>
    </row>
    <row r="62" spans="2:63" s="59" customFormat="1" ht="15" customHeight="1" x14ac:dyDescent="0.25">
      <c r="B62" s="77"/>
      <c r="AI62" s="76"/>
      <c r="BJ62" s="76"/>
      <c r="BK62" s="58"/>
    </row>
    <row r="63" spans="2:63" s="59" customFormat="1" ht="15" customHeight="1" x14ac:dyDescent="0.25">
      <c r="B63" s="77"/>
      <c r="AI63" s="76"/>
      <c r="BJ63" s="76"/>
      <c r="BK63" s="58"/>
    </row>
    <row r="64" spans="2:63" s="59" customFormat="1" ht="15" customHeight="1" x14ac:dyDescent="0.25">
      <c r="B64" s="77"/>
      <c r="AI64" s="76"/>
      <c r="BJ64" s="76"/>
      <c r="BK64" s="58"/>
    </row>
    <row r="65" spans="2:63" s="59" customFormat="1" ht="15" customHeight="1" x14ac:dyDescent="0.25">
      <c r="B65" s="77"/>
      <c r="AI65" s="76"/>
      <c r="BJ65" s="76"/>
      <c r="BK65" s="58"/>
    </row>
    <row r="66" spans="2:63" s="59" customFormat="1" ht="15" customHeight="1" x14ac:dyDescent="0.25">
      <c r="B66" s="77"/>
      <c r="AI66" s="76"/>
      <c r="BJ66" s="76"/>
      <c r="BK66" s="58"/>
    </row>
    <row r="67" spans="2:63" s="59" customFormat="1" ht="15" customHeight="1" x14ac:dyDescent="0.25">
      <c r="B67" s="77"/>
      <c r="AI67" s="76"/>
      <c r="BJ67" s="76"/>
      <c r="BK67" s="58"/>
    </row>
    <row r="68" spans="2:63" ht="15" customHeight="1" x14ac:dyDescent="0.25">
      <c r="B68" s="16"/>
      <c r="AI68" s="17"/>
      <c r="BJ68" s="17"/>
      <c r="BK68" s="10"/>
    </row>
    <row r="69" spans="2:63" ht="15" customHeight="1" x14ac:dyDescent="0.25">
      <c r="B69" s="16"/>
      <c r="AI69" s="17"/>
      <c r="BJ69" s="17"/>
      <c r="BK69" s="10"/>
    </row>
    <row r="70" spans="2:63" ht="15" customHeight="1" x14ac:dyDescent="0.25">
      <c r="B70" s="16"/>
      <c r="AI70" s="17"/>
      <c r="BJ70" s="17"/>
      <c r="BK70" s="10"/>
    </row>
    <row r="71" spans="2:63" ht="15" customHeight="1" x14ac:dyDescent="0.25">
      <c r="B71" s="16"/>
      <c r="AI71" s="17"/>
      <c r="BJ71" s="17"/>
      <c r="BK71" s="10"/>
    </row>
    <row r="72" spans="2:63" ht="15" customHeight="1" x14ac:dyDescent="0.25">
      <c r="B72" s="16"/>
      <c r="AI72" s="17"/>
      <c r="BJ72" s="17"/>
      <c r="BK72" s="10"/>
    </row>
    <row r="73" spans="2:63" ht="15" customHeight="1" x14ac:dyDescent="0.25">
      <c r="B73" s="16"/>
      <c r="AI73" s="17"/>
      <c r="BJ73" s="17"/>
      <c r="BK73" s="10"/>
    </row>
    <row r="74" spans="2:63" ht="15" customHeight="1" x14ac:dyDescent="0.25">
      <c r="B74" s="16"/>
      <c r="AI74" s="17"/>
      <c r="BJ74" s="17"/>
      <c r="BK74" s="10"/>
    </row>
    <row r="75" spans="2:63" ht="15" customHeight="1" x14ac:dyDescent="0.25">
      <c r="B75" s="16"/>
      <c r="AI75" s="17"/>
      <c r="BJ75" s="17"/>
      <c r="BK75" s="10"/>
    </row>
    <row r="76" spans="2:63" ht="15" customHeight="1" x14ac:dyDescent="0.25">
      <c r="B76" s="16"/>
      <c r="AI76" s="17"/>
      <c r="BJ76" s="17"/>
      <c r="BK76" s="10"/>
    </row>
    <row r="77" spans="2:63" ht="15" customHeight="1" x14ac:dyDescent="0.25">
      <c r="B77" s="16"/>
      <c r="AI77" s="17"/>
      <c r="BJ77" s="17"/>
      <c r="BK77" s="10"/>
    </row>
    <row r="78" spans="2:63" ht="15" customHeight="1" x14ac:dyDescent="0.25">
      <c r="B78" s="16"/>
      <c r="AI78" s="17"/>
      <c r="BJ78" s="17"/>
      <c r="BK78" s="10"/>
    </row>
    <row r="79" spans="2:63" ht="15" customHeight="1" x14ac:dyDescent="0.25">
      <c r="B79" s="16"/>
      <c r="AI79" s="17"/>
      <c r="BJ79" s="17"/>
      <c r="BK79" s="10"/>
    </row>
    <row r="80" spans="2:63" ht="15" customHeight="1" x14ac:dyDescent="0.25">
      <c r="B80" s="16"/>
      <c r="AI80" s="17"/>
      <c r="BJ80" s="17"/>
      <c r="BK80" s="10"/>
    </row>
    <row r="81" spans="2:63" ht="15" customHeight="1" x14ac:dyDescent="0.25">
      <c r="B81" s="16"/>
      <c r="AI81" s="17"/>
      <c r="BJ81" s="17"/>
      <c r="BK81" s="10"/>
    </row>
    <row r="82" spans="2:63" ht="15" customHeight="1" x14ac:dyDescent="0.25">
      <c r="B82" s="16"/>
      <c r="AI82" s="17"/>
      <c r="BJ82" s="17"/>
      <c r="BK82" s="10"/>
    </row>
    <row r="83" spans="2:63" ht="15" customHeight="1" x14ac:dyDescent="0.25">
      <c r="B83" s="16"/>
      <c r="AI83" s="17"/>
      <c r="BJ83" s="17"/>
      <c r="BK83" s="10"/>
    </row>
    <row r="84" spans="2:63" ht="15" customHeight="1" x14ac:dyDescent="0.25">
      <c r="B84" s="16"/>
      <c r="AI84" s="17"/>
      <c r="BJ84" s="17"/>
      <c r="BK84" s="10"/>
    </row>
    <row r="85" spans="2:63" ht="15" customHeight="1" x14ac:dyDescent="0.25">
      <c r="B85" s="16"/>
      <c r="AI85" s="17"/>
      <c r="BJ85" s="17"/>
      <c r="BK85" s="10"/>
    </row>
    <row r="86" spans="2:63" ht="15" customHeight="1" x14ac:dyDescent="0.25">
      <c r="B86" s="16"/>
      <c r="AI86" s="17"/>
      <c r="BJ86" s="17"/>
      <c r="BK86" s="10"/>
    </row>
    <row r="87" spans="2:63" ht="15" customHeight="1" x14ac:dyDescent="0.25">
      <c r="B87" s="16"/>
      <c r="AI87" s="17"/>
      <c r="BJ87" s="17"/>
      <c r="BK87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284" t="s">
        <v>29</v>
      </c>
      <c r="B1" s="285"/>
      <c r="C1" s="285"/>
      <c r="D1" s="285"/>
      <c r="E1" s="285"/>
      <c r="F1" s="285"/>
      <c r="G1" s="285"/>
      <c r="H1" s="285"/>
      <c r="I1" s="285"/>
      <c r="J1" s="286"/>
      <c r="K1" s="284" t="s">
        <v>30</v>
      </c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6"/>
      <c r="W1" s="287" t="s">
        <v>91</v>
      </c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9"/>
      <c r="AP1" s="179" t="s">
        <v>31</v>
      </c>
      <c r="AQ1" s="180"/>
      <c r="AR1" s="180"/>
      <c r="AS1" s="181"/>
      <c r="AT1" s="179" t="s">
        <v>32</v>
      </c>
      <c r="AU1" s="180"/>
      <c r="AV1" s="180"/>
      <c r="AW1" s="180"/>
      <c r="AX1" s="181"/>
      <c r="AY1" s="179" t="s">
        <v>33</v>
      </c>
      <c r="AZ1" s="180"/>
      <c r="BA1" s="180"/>
      <c r="BB1" s="181"/>
      <c r="BC1" s="179" t="s">
        <v>34</v>
      </c>
      <c r="BD1" s="180"/>
      <c r="BE1" s="180"/>
      <c r="BF1" s="180"/>
      <c r="BG1" s="181"/>
      <c r="BH1" s="179" t="s">
        <v>35</v>
      </c>
      <c r="BI1" s="180"/>
      <c r="BJ1" s="180"/>
      <c r="BK1" s="181"/>
    </row>
    <row r="2" spans="1:63" ht="15" customHeight="1" x14ac:dyDescent="0.25">
      <c r="A2" s="199" t="s">
        <v>92</v>
      </c>
      <c r="B2" s="200"/>
      <c r="C2" s="200"/>
      <c r="D2" s="200"/>
      <c r="E2" s="200"/>
      <c r="F2" s="200"/>
      <c r="G2" s="200"/>
      <c r="H2" s="200"/>
      <c r="I2" s="200"/>
      <c r="J2" s="201"/>
      <c r="K2" s="199" t="s">
        <v>92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90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1"/>
      <c r="AN2" s="291"/>
      <c r="AO2" s="292"/>
      <c r="AP2" s="124" t="s">
        <v>88</v>
      </c>
      <c r="AQ2" s="125"/>
      <c r="AR2" s="125"/>
      <c r="AS2" s="126"/>
      <c r="AT2" s="174">
        <v>45616</v>
      </c>
      <c r="AU2" s="194"/>
      <c r="AV2" s="194"/>
      <c r="AW2" s="194"/>
      <c r="AX2" s="195"/>
      <c r="AY2" s="124" t="s">
        <v>89</v>
      </c>
      <c r="AZ2" s="125"/>
      <c r="BA2" s="125"/>
      <c r="BB2" s="126"/>
      <c r="BC2" s="174">
        <v>45804</v>
      </c>
      <c r="BD2" s="194"/>
      <c r="BE2" s="194"/>
      <c r="BF2" s="194"/>
      <c r="BG2" s="195"/>
      <c r="BH2" s="124">
        <v>0.15</v>
      </c>
      <c r="BI2" s="125"/>
      <c r="BJ2" s="125"/>
      <c r="BK2" s="126"/>
    </row>
    <row r="3" spans="1:63" ht="15" customHeight="1" x14ac:dyDescent="0.25">
      <c r="A3" s="202"/>
      <c r="B3" s="203"/>
      <c r="C3" s="203"/>
      <c r="D3" s="203"/>
      <c r="E3" s="203"/>
      <c r="F3" s="203"/>
      <c r="G3" s="203"/>
      <c r="H3" s="203"/>
      <c r="I3" s="203"/>
      <c r="J3" s="204"/>
      <c r="K3" s="202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4"/>
      <c r="W3" s="293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5"/>
      <c r="AP3" s="127"/>
      <c r="AQ3" s="128"/>
      <c r="AR3" s="128"/>
      <c r="AS3" s="129"/>
      <c r="AT3" s="196"/>
      <c r="AU3" s="197"/>
      <c r="AV3" s="197"/>
      <c r="AW3" s="197"/>
      <c r="AX3" s="198"/>
      <c r="AY3" s="127"/>
      <c r="AZ3" s="128"/>
      <c r="BA3" s="128"/>
      <c r="BB3" s="129"/>
      <c r="BC3" s="196"/>
      <c r="BD3" s="197"/>
      <c r="BE3" s="197"/>
      <c r="BF3" s="197"/>
      <c r="BG3" s="198"/>
      <c r="BH3" s="127"/>
      <c r="BI3" s="128"/>
      <c r="BJ3" s="128"/>
      <c r="BK3" s="129"/>
    </row>
    <row r="4" spans="1:63" ht="24.95" customHeight="1" x14ac:dyDescent="0.25">
      <c r="A4" s="284" t="s">
        <v>36</v>
      </c>
      <c r="B4" s="285"/>
      <c r="C4" s="285"/>
      <c r="D4" s="285"/>
      <c r="E4" s="285"/>
      <c r="F4" s="285"/>
      <c r="G4" s="286"/>
      <c r="H4" s="217" t="s">
        <v>90</v>
      </c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9"/>
      <c r="U4" s="284" t="s">
        <v>37</v>
      </c>
      <c r="V4" s="285"/>
      <c r="W4" s="285"/>
      <c r="X4" s="285"/>
      <c r="Y4" s="286"/>
      <c r="Z4" s="217" t="s">
        <v>93</v>
      </c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9"/>
      <c r="AP4" s="220" t="str">
        <f ca="1">MID(CELL("filename",A1),FIND("]",CELL("filename",A1))+1,255)</f>
        <v>テンプレート</v>
      </c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9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11" customFormat="1" ht="15" customHeight="1" x14ac:dyDescent="0.25">
      <c r="BK7" s="15"/>
    </row>
    <row r="8" spans="1:63" s="11" customFormat="1" ht="15" customHeight="1" x14ac:dyDescent="0.25">
      <c r="BK8" s="15"/>
    </row>
    <row r="9" spans="1:63" s="11" customFormat="1" ht="15" customHeight="1" x14ac:dyDescent="0.25">
      <c r="BK9" s="15"/>
    </row>
    <row r="10" spans="1:63" s="11" customFormat="1" ht="15" customHeight="1" x14ac:dyDescent="0.25">
      <c r="BK10" s="15"/>
    </row>
    <row r="11" spans="1:63" s="11" customFormat="1" ht="15" customHeight="1" x14ac:dyDescent="0.25">
      <c r="BK11" s="15"/>
    </row>
    <row r="12" spans="1:63" s="11" customFormat="1" ht="15" customHeight="1" x14ac:dyDescent="0.25">
      <c r="BK12" s="15"/>
    </row>
    <row r="13" spans="1:63" s="11" customFormat="1" ht="15" customHeight="1" x14ac:dyDescent="0.25">
      <c r="BK13" s="15"/>
    </row>
    <row r="14" spans="1:63" s="11" customFormat="1" ht="15" customHeight="1" x14ac:dyDescent="0.25">
      <c r="BK14" s="15"/>
    </row>
    <row r="15" spans="1:63" s="11" customFormat="1" ht="15" customHeight="1" x14ac:dyDescent="0.25">
      <c r="BK15" s="15"/>
    </row>
    <row r="16" spans="1:63" s="11" customFormat="1" ht="15" customHeight="1" x14ac:dyDescent="0.25">
      <c r="BK16" s="15"/>
    </row>
    <row r="17" spans="63:63" s="11" customFormat="1" ht="15" customHeight="1" x14ac:dyDescent="0.25">
      <c r="BK17" s="15"/>
    </row>
    <row r="18" spans="63:63" s="11" customFormat="1" ht="15" customHeight="1" x14ac:dyDescent="0.25">
      <c r="BK18" s="15"/>
    </row>
    <row r="19" spans="63:63" s="11" customFormat="1" ht="15" customHeight="1" x14ac:dyDescent="0.25">
      <c r="BK19" s="15"/>
    </row>
    <row r="20" spans="63:63" s="11" customFormat="1" ht="15" customHeight="1" x14ac:dyDescent="0.25">
      <c r="BK20" s="15"/>
    </row>
    <row r="21" spans="63:63" s="11" customFormat="1" ht="15" customHeight="1" x14ac:dyDescent="0.25">
      <c r="BK21" s="15"/>
    </row>
    <row r="22" spans="63:63" s="11" customFormat="1" ht="15" customHeight="1" x14ac:dyDescent="0.25">
      <c r="BK22" s="15"/>
    </row>
    <row r="23" spans="63:63" s="11" customFormat="1" ht="15" customHeight="1" x14ac:dyDescent="0.25">
      <c r="BK23" s="15"/>
    </row>
    <row r="24" spans="63:63" s="11" customFormat="1" ht="15" customHeight="1" x14ac:dyDescent="0.25">
      <c r="BK24" s="15"/>
    </row>
    <row r="25" spans="63:63" s="11" customFormat="1" ht="15" customHeight="1" x14ac:dyDescent="0.25">
      <c r="BK25" s="15"/>
    </row>
    <row r="26" spans="63:63" s="11" customFormat="1" ht="15" customHeight="1" x14ac:dyDescent="0.25">
      <c r="BK26" s="15"/>
    </row>
    <row r="27" spans="63:63" s="11" customFormat="1" ht="15" customHeight="1" x14ac:dyDescent="0.25">
      <c r="BK27" s="15"/>
    </row>
    <row r="28" spans="63:63" s="11" customFormat="1" ht="15" customHeight="1" x14ac:dyDescent="0.25">
      <c r="BK28" s="15"/>
    </row>
    <row r="29" spans="63:63" s="11" customFormat="1" ht="15" customHeight="1" x14ac:dyDescent="0.25">
      <c r="BK29" s="15"/>
    </row>
    <row r="30" spans="63:63" s="11" customFormat="1" ht="15" customHeight="1" x14ac:dyDescent="0.25">
      <c r="BK30" s="15"/>
    </row>
    <row r="31" spans="63:63" s="11" customFormat="1" ht="15" customHeight="1" x14ac:dyDescent="0.25">
      <c r="BK31" s="15"/>
    </row>
    <row r="32" spans="63:63" s="11" customFormat="1" ht="15" customHeight="1" x14ac:dyDescent="0.25">
      <c r="BK32" s="15"/>
    </row>
    <row r="33" spans="63:63" s="11" customFormat="1" ht="15" customHeight="1" x14ac:dyDescent="0.25">
      <c r="BK33" s="15"/>
    </row>
    <row r="34" spans="63:63" s="11" customFormat="1" ht="15" customHeight="1" x14ac:dyDescent="0.25">
      <c r="BK34" s="15"/>
    </row>
    <row r="35" spans="63:63" s="11" customFormat="1" ht="15" customHeight="1" x14ac:dyDescent="0.25">
      <c r="BK35" s="15"/>
    </row>
    <row r="36" spans="63:63" s="11" customFormat="1" ht="15" customHeight="1" x14ac:dyDescent="0.25">
      <c r="BK36" s="15"/>
    </row>
    <row r="37" spans="63:63" s="11" customFormat="1" ht="15" customHeight="1" x14ac:dyDescent="0.25">
      <c r="BK37" s="15"/>
    </row>
    <row r="38" spans="63:63" s="11" customFormat="1" ht="15" customHeight="1" x14ac:dyDescent="0.25">
      <c r="BK38" s="15"/>
    </row>
    <row r="39" spans="63:63" s="11" customFormat="1" ht="15" customHeight="1" x14ac:dyDescent="0.25">
      <c r="BK39" s="15"/>
    </row>
    <row r="40" spans="63:63" s="11" customFormat="1" ht="15" customHeight="1" x14ac:dyDescent="0.25">
      <c r="BK40" s="15"/>
    </row>
    <row r="41" spans="63:63" s="11" customFormat="1" ht="15" customHeight="1" x14ac:dyDescent="0.25">
      <c r="BK41" s="15"/>
    </row>
    <row r="42" spans="63:63" s="11" customFormat="1" ht="15" customHeight="1" x14ac:dyDescent="0.25">
      <c r="BK42" s="15"/>
    </row>
    <row r="43" spans="63:63" s="11" customFormat="1" ht="15" customHeight="1" x14ac:dyDescent="0.25">
      <c r="BK43" s="15"/>
    </row>
    <row r="44" spans="63:63" s="11" customFormat="1" ht="15" customHeight="1" x14ac:dyDescent="0.25">
      <c r="BK44" s="15"/>
    </row>
    <row r="45" spans="63:63" s="11" customFormat="1" ht="15" customHeight="1" x14ac:dyDescent="0.25">
      <c r="BK45" s="15"/>
    </row>
    <row r="46" spans="63:63" s="11" customFormat="1" ht="15" customHeight="1" x14ac:dyDescent="0.25">
      <c r="BK46" s="15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AP8205</vt:lpstr>
      <vt:lpstr>処理フロー</vt:lpstr>
      <vt:lpstr>テンプレート</vt:lpstr>
      <vt:lpstr>'AP8205'!Print_Area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2025-06-25T03:12:25Z</dcterms:modified>
  <cp:category/>
  <cp:contentStatus/>
</cp:coreProperties>
</file>