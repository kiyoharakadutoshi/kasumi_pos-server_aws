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99_企業マスタ設定\"/>
    </mc:Choice>
  </mc:AlternateContent>
  <xr:revisionPtr revIDLastSave="0" documentId="13_ncr:20001_{6AA64877-A612-4892-8237-B40FC6AA8C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9902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処理フロー!$A$1:$BK$56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<sst xmlns="http://schemas.openxmlformats.org/spreadsheetml/2006/main" count="216" uniqueCount="102">
  <si>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</si>
  <si>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</si>
  <si>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</si>
  <si>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</si>
  <si>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</si>
  <si>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</si>
  <si>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</si>
  <si>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</si>
  <si>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</si>
  <si>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</si>
  <si>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</si>
  <si>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</si>
  <si>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</si>
  <si>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</si>
  <si>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</si>
  <si>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</si>
  <si>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</si>
  <si>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</si>
  <si>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</si>
  <si>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</si>
  <si>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</si>
  <si>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</si>
  <si>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</si>
  <si>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</si>
  <si>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</si>
  <si>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</si>
  <si>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</si>
  <si>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</si>
  <si>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</si>
  <si>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</si>
  <si>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</si>
  <si>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</si>
  <si>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</si>
  <si>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</si>
  <si>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t>{</t>
  </si>
  <si>
    <t>}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</si>
  <si>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</si>
  <si>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</si>
  <si>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company_name</t>
    </r>
  </si>
  <si>
    <r>
      <rPr>
        <sz val="11"/>
        <color rgb="FF000000"/>
        <rFont val="Meiryo UI"/>
        <family val="2"/>
      </rPr>
      <t>company_name_official</t>
    </r>
  </si>
  <si>
    <r>
      <rPr>
        <sz val="11"/>
        <color rgb="FF000000"/>
        <rFont val="Meiryo UI"/>
        <family val="2"/>
      </rPr>
      <t>company_name_official_short</t>
    </r>
  </si>
  <si>
    <r>
      <rPr>
        <sz val="11"/>
        <color rgb="FF000000"/>
        <rFont val="Meiryo UI"/>
        <family val="2"/>
      </rPr>
      <t>age_verification_ptn</t>
    </r>
  </si>
  <si>
    <r>
      <rPr>
        <sz val="11"/>
        <color rgb="FF000000"/>
        <rFont val="Meiryo UI"/>
        <family val="2"/>
      </rPr>
      <t>registration_number</t>
    </r>
  </si>
  <si>
    <r>
      <rPr>
        <sz val="11"/>
        <color rgb="FF000000"/>
        <rFont val="Meiryo UI"/>
        <family val="2"/>
      </rPr>
      <t>HoanPV</t>
    </r>
  </si>
  <si>
    <r>
      <rPr>
        <sz val="11"/>
        <color rgb="FF000000"/>
        <rFont val="Meiryo UI"/>
        <family val="2"/>
      </rPr>
      <t>ログイン中の従業員に基づいて会社情報を編集する。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</si>
  <si>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</si>
  <si>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B050"/>
        <rFont val="Meiryo UI"/>
        <family val="2"/>
      </rPr>
      <t>DuNT</t>
    </r>
  </si>
  <si>
    <r>
      <rPr>
        <sz val="11"/>
        <color rgb="FF00B050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</si>
  <si>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00B050"/>
        <rFont val="Meiryo UI"/>
        <family val="2"/>
      </rPr>
      <t>record_void_flag != 1のjoinロジックを追加</t>
    </r>
  </si>
  <si>
    <r>
      <rPr>
        <sz val="11"/>
        <color rgb="FF00B0F0"/>
        <rFont val="Meiryo UI"/>
        <family val="2"/>
      </rPr>
      <t>TuyenNH</t>
    </r>
  </si>
  <si>
    <r>
      <rPr>
        <sz val="11"/>
        <color rgb="FF00B0F0"/>
        <rFont val="Meiryo UI"/>
        <family val="2"/>
      </rPr>
      <t>会社向けの支払方法設定ロジックを追加</t>
    </r>
  </si>
  <si>
    <r>
      <rPr>
        <sz val="11"/>
        <color rgb="FF000000"/>
        <rFont val="Meiryo UI"/>
        <family val="2"/>
      </rPr>
      <t>AP9902</t>
    </r>
  </si>
  <si>
    <t>HoanPV</t>
  </si>
  <si>
    <t>TuyenNH</t>
  </si>
  <si>
    <t>AP9902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</si>
  <si>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</si>
  <si>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</si>
  <si>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</si>
  <si>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</si>
  <si>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</si>
  <si>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</si>
  <si>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</si>
  <si>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</si>
  <si>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</si>
  <si>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</si>
  <si>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</si>
  <si>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</si>
  <si>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</si>
  <si>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</si>
  <si>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</si>
  <si>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シート：AP9902、処理フロー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</si>
  <si>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</si>
  <si>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</si>
  <si>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</si>
  <si>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</si>
  <si>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api/v1/company/update</t>
  </si>
  <si>
    <t>POST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</si>
  <si>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</si>
  <si>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</si>
  <si>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</si>
  <si>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</si>
  <si>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</si>
  <si>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</si>
  <si>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</si>
  <si>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</t>
  </si>
  <si>
    <r>
      <rPr>
        <sz val="11"/>
        <color rgb="FF000000"/>
        <rFont val="Meiryo UI"/>
        <family val="2"/>
      </rPr>
      <t>企業名：半角50文字
companies.company_name</t>
    </r>
  </si>
  <si>
    <t>・最大長のバリデーションチェック：エラーメッセージ = MSG_VAL_002</t>
  </si>
  <si>
    <r>
      <rPr>
        <sz val="11"/>
        <color rgb="FF000000"/>
        <rFont val="Meiryo UI"/>
        <family val="2"/>
      </rPr>
      <t>企業名(正式名称)：半角50文字
companies.company_name_official</t>
    </r>
  </si>
  <si>
    <r>
      <rPr>
        <sz val="11"/>
        <color rgb="FF000000"/>
        <rFont val="Meiryo UI"/>
        <family val="2"/>
      </rPr>
      <t>企業名(正式略称)：半角50文字
companies.company_name_official_short</t>
    </r>
  </si>
  <si>
    <r>
      <rPr>
        <sz val="11"/>
        <color rgb="FF000000"/>
        <rFont val="Meiryo UI"/>
        <family val="2"/>
      </rPr>
      <t>年齢確認パターン（2 : 2段階, 3: 3段階）
companies.age_verification_ptn</t>
    </r>
  </si>
  <si>
    <t>バリデーションチェック：値= 2 又は 3。上記の値以外の場合はエラーメッセージ =  MSG_VAL_019を返す。</t>
  </si>
  <si>
    <r>
      <rPr>
        <sz val="11"/>
        <color rgb="FF000000"/>
        <rFont val="Meiryo UI"/>
        <family val="2"/>
      </rPr>
      <t>登録番号：半角14文字
companies.registration_number</t>
    </r>
  </si>
  <si>
    <t>payment_methods</t>
  </si>
  <si>
    <t>リスト</t>
  </si>
  <si>
    <t>支払方法一覧：company_payments.payment_id</t>
  </si>
  <si>
    <t>2.4 Request Body</t>
  </si>
  <si>
    <t>3. レスポンス</t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</si>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</sst>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rgb="FF00B050"/>
      <name val="Meiryo UI"/>
      <family val="2"/>
    </font>
    <font>
      <sz val="10"/>
      <color rgb="FF000000"/>
      <name val="Meiryo UI"/>
      <family val="2"/>
    </font>
    <font>
      <sz val="11"/>
      <color rgb="FF00B0F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0" fontId="5" fillId="0" borderId="0">
      <alignment vertical="center"/>
    </xf>
  </cellStyleXfs>
  <cellXfs count="34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4" borderId="0" xfId="0" applyFont="1" applyFill="1"/>
    <xf numFmtId="0" fontId="0" fillId="0" borderId="24" xfId="0" applyBorder="1" applyAlignment="1">
      <alignment wrapText="1"/>
    </xf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14" fontId="17" fillId="0" borderId="16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4" xfId="0" applyFont="1" applyBorder="1"/>
    <xf numFmtId="0" fontId="17" fillId="0" borderId="25" xfId="0" applyFont="1" applyBorder="1"/>
    <xf numFmtId="0" fontId="17" fillId="0" borderId="26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29" xfId="0" applyFont="1" applyBorder="1"/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10" fillId="0" borderId="21" xfId="0" quotePrefix="1" applyFont="1" applyBorder="1" applyAlignment="1">
      <alignment horizontal="left" vertical="center"/>
    </xf>
    <xf numFmtId="0" fontId="10" fillId="0" borderId="22" xfId="0" quotePrefix="1" applyFont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21" xfId="0" quotePrefix="1" applyFont="1" applyBorder="1" applyAlignment="1">
      <alignment horizontal="left" vertical="center" wrapText="1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1" xfId="0" quotePrefix="1" applyFont="1" applyBorder="1" applyAlignment="1">
      <alignment horizontal="left" vertical="center" wrapText="1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19" fillId="4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7" xfId="0" quotePrefix="1" applyFont="1" applyBorder="1" applyAlignment="1">
      <alignment horizontal="left" vertical="center" wrapText="1"/>
    </xf>
    <xf numFmtId="0" fontId="23" fillId="0" borderId="18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 wrapText="1"/>
    </xf>
    <xf numFmtId="0" fontId="23" fillId="0" borderId="3" xfId="0" quotePrefix="1" applyFont="1" applyBorder="1" applyAlignment="1">
      <alignment horizontal="left" vertical="center" wrapText="1"/>
    </xf>
    <xf numFmtId="0" fontId="23" fillId="0" borderId="5" xfId="0" quotePrefix="1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 wrapText="1"/>
    </xf>
    <xf numFmtId="0" fontId="23" fillId="0" borderId="22" xfId="0" quotePrefix="1" applyFont="1" applyBorder="1" applyAlignment="1">
      <alignment horizontal="left" vertical="center" wrapText="1"/>
    </xf>
    <xf numFmtId="0" fontId="23" fillId="0" borderId="23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1" xfId="0" applyFont="1" applyBorder="1" applyAlignment="1">
      <alignment horizontal="left" vertical="center" wrapText="1"/>
    </xf>
    <xf numFmtId="0" fontId="23" fillId="0" borderId="0" xfId="0" quotePrefix="1" applyFont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10</xdr:row>
      <xdr:rowOff>1</xdr:rowOff>
    </xdr:from>
    <xdr:to>
      <xdr:col>62</xdr:col>
      <xdr:colOff>0</xdr:colOff>
      <xdr:row>15</xdr:row>
      <xdr:rowOff>1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952500"/>
        </a:xfrm>
        <a:prstGeom prst="borderCallout1">
          <a:avLst>
            <a:gd name="adj1" fmla="val 51887"/>
            <a:gd name="adj2" fmla="val 470"/>
            <a:gd name="adj3" fmla="val 51919"/>
            <a:gd name="adj4" fmla="val -963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company_codeの存在を確認する。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companies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WHERE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companies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.company_code = {company_code}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・存在している場合、ステップ2を実行する。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・存在していない場合、レスポンスコード = 422、エラーメッセージ = MSG_VAL_019（{0} = company_code）を返す。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52</xdr:row>
      <xdr:rowOff>22411</xdr:rowOff>
    </xdr:from>
    <xdr:to>
      <xdr:col>8</xdr:col>
      <xdr:colOff>0</xdr:colOff>
      <xdr:row>53</xdr:row>
      <xdr:rowOff>179293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00584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1</xdr:colOff>
      <xdr:row>10</xdr:row>
      <xdr:rowOff>33617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7" idx="0"/>
        </xdr:cNvCxnSpPr>
      </xdr:nvCxnSpPr>
      <xdr:spPr>
        <a:xfrm>
          <a:off x="1571625" y="1628775"/>
          <a:ext cx="28575" cy="4286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48</xdr:row>
      <xdr:rowOff>51548</xdr:rowOff>
    </xdr:from>
    <xdr:to>
      <xdr:col>6</xdr:col>
      <xdr:colOff>1</xdr:colOff>
      <xdr:row>52</xdr:row>
      <xdr:rowOff>22411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89" idx="2"/>
          <a:endCxn id="4" idx="0"/>
        </xdr:cNvCxnSpPr>
      </xdr:nvCxnSpPr>
      <xdr:spPr>
        <a:xfrm flipH="1">
          <a:off x="1600200" y="9305925"/>
          <a:ext cx="0" cy="752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112057</xdr:colOff>
      <xdr:row>18</xdr:row>
      <xdr:rowOff>168089</xdr:rowOff>
    </xdr:from>
    <xdr:to>
      <xdr:col>9</xdr:col>
      <xdr:colOff>112057</xdr:colOff>
      <xdr:row>24</xdr:row>
      <xdr:rowOff>156883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647700" y="3714750"/>
          <a:ext cx="1866900" cy="11239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権限の確認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224117</xdr:colOff>
      <xdr:row>15</xdr:row>
      <xdr:rowOff>33616</xdr:rowOff>
    </xdr:from>
    <xdr:to>
      <xdr:col>6</xdr:col>
      <xdr:colOff>224117</xdr:colOff>
      <xdr:row>16</xdr:row>
      <xdr:rowOff>33616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295400" y="30099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156881</xdr:colOff>
      <xdr:row>21</xdr:row>
      <xdr:rowOff>56029</xdr:rowOff>
    </xdr:from>
    <xdr:to>
      <xdr:col>11</xdr:col>
      <xdr:colOff>156881</xdr:colOff>
      <xdr:row>22</xdr:row>
      <xdr:rowOff>56029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552700" y="41719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9</xdr:col>
      <xdr:colOff>0</xdr:colOff>
      <xdr:row>36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621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企業情報更新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151279</xdr:rowOff>
    </xdr:from>
    <xdr:to>
      <xdr:col>11</xdr:col>
      <xdr:colOff>156881</xdr:colOff>
      <xdr:row>52</xdr:row>
      <xdr:rowOff>22411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267200"/>
          <a:ext cx="1485900" cy="5791200"/>
        </a:xfrm>
        <a:prstGeom prst="bentConnector4">
          <a:avLst>
            <a:gd name="adj1" fmla="val -41513"/>
            <a:gd name="adj2" fmla="val 9299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48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8115300"/>
          <a:ext cx="7200900" cy="1143000"/>
        </a:xfrm>
        <a:prstGeom prst="borderCallout1">
          <a:avLst>
            <a:gd name="adj1" fmla="val 51887"/>
            <a:gd name="adj2" fmla="val 470"/>
            <a:gd name="adj3" fmla="val 51772"/>
            <a:gd name="adj4" fmla="val -983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返却データをチェックする。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・正常の場合、status_code = 200のレスポンスを返し、処理を終了する。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・異常の場合、status_code = 500、message = MSG_ERR_SERVERのレスポンスを返す。</a:t>
          </a:r>
        </a:p>
      </xdr:txBody>
    </xdr: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51788"/>
            <a:gd name="adj4" fmla="val -977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ユーザーの権限を確認する。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・ユーザが本部又は管理者の権限を持っている場合、更新可能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・本部又は管理者の権限の以外の場合、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エラーメッセージ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MSG_ERR_013、status_code = 403を表示する。</a:t>
          </a:r>
        </a:p>
      </xdr:txBody>
    </xdr:sp>
    <xdr:clientData/>
  </xdr:twoCellAnchor>
  <xdr:twoCellAnchor>
    <xdr:from>
      <xdr:col>2</xdr:col>
      <xdr:colOff>123265</xdr:colOff>
      <xdr:row>10</xdr:row>
      <xdr:rowOff>33617</xdr:rowOff>
    </xdr:from>
    <xdr:to>
      <xdr:col>9</xdr:col>
      <xdr:colOff>112059</xdr:colOff>
      <xdr:row>15</xdr:row>
      <xdr:rowOff>22411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57225" y="2057400"/>
          <a:ext cx="1857375" cy="9334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存在チェック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100853</xdr:colOff>
      <xdr:row>12</xdr:row>
      <xdr:rowOff>0</xdr:rowOff>
    </xdr:from>
    <xdr:to>
      <xdr:col>11</xdr:col>
      <xdr:colOff>100853</xdr:colOff>
      <xdr:row>13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505075" y="240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12</xdr:row>
      <xdr:rowOff>95250</xdr:rowOff>
    </xdr:from>
    <xdr:to>
      <xdr:col>11</xdr:col>
      <xdr:colOff>100853</xdr:colOff>
      <xdr:row>52</xdr:row>
      <xdr:rowOff>22411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4" idx="3"/>
          <a:endCxn id="4" idx="0"/>
        </xdr:cNvCxnSpPr>
      </xdr:nvCxnSpPr>
      <xdr:spPr>
        <a:xfrm flipH="1">
          <a:off x="1600200" y="2495550"/>
          <a:ext cx="1438275" cy="7562850"/>
        </a:xfrm>
        <a:prstGeom prst="bentConnector4">
          <a:avLst>
            <a:gd name="adj1" fmla="val -83684"/>
            <a:gd name="adj2" fmla="val 9445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224117</xdr:colOff>
      <xdr:row>16</xdr:row>
      <xdr:rowOff>33616</xdr:rowOff>
    </xdr:from>
    <xdr:to>
      <xdr:col>5</xdr:col>
      <xdr:colOff>229719</xdr:colOff>
      <xdr:row>18</xdr:row>
      <xdr:rowOff>168089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18" idx="2"/>
          <a:endCxn id="17" idx="0"/>
        </xdr:cNvCxnSpPr>
      </xdr:nvCxnSpPr>
      <xdr:spPr>
        <a:xfrm>
          <a:off x="1562100" y="3200400"/>
          <a:ext cx="0" cy="5143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24</xdr:row>
      <xdr:rowOff>168089</xdr:rowOff>
    </xdr:from>
    <xdr:to>
      <xdr:col>6</xdr:col>
      <xdr:colOff>235323</xdr:colOff>
      <xdr:row>25</xdr:row>
      <xdr:rowOff>168089</xdr:rowOff>
    </xdr:to>
    <xdr:sp macro="" textlink="" fLocksText="0">
      <xdr:nvSpPr>
        <xdr:cNvPr id="40" name="Flowchart: Process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304925" y="48577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0</xdr:colOff>
      <xdr:row>25</xdr:row>
      <xdr:rowOff>168089</xdr:rowOff>
    </xdr:from>
    <xdr:to>
      <xdr:col>6</xdr:col>
      <xdr:colOff>1</xdr:colOff>
      <xdr:row>32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40" idx="2"/>
          <a:endCxn id="21" idx="0"/>
        </xdr:cNvCxnSpPr>
      </xdr:nvCxnSpPr>
      <xdr:spPr>
        <a:xfrm>
          <a:off x="1600200" y="5048250"/>
          <a:ext cx="0" cy="1162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118780</xdr:colOff>
      <xdr:row>41</xdr:row>
      <xdr:rowOff>51548</xdr:rowOff>
    </xdr:from>
    <xdr:to>
      <xdr:col>9</xdr:col>
      <xdr:colOff>118780</xdr:colOff>
      <xdr:row>47</xdr:row>
      <xdr:rowOff>40342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647700" y="7972425"/>
          <a:ext cx="1866900" cy="11334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36</xdr:row>
      <xdr:rowOff>0</xdr:rowOff>
    </xdr:from>
    <xdr:to>
      <xdr:col>6</xdr:col>
      <xdr:colOff>1119</xdr:colOff>
      <xdr:row>41</xdr:row>
      <xdr:rowOff>51548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21" idx="2"/>
          <a:endCxn id="70" idx="0"/>
        </xdr:cNvCxnSpPr>
      </xdr:nvCxnSpPr>
      <xdr:spPr>
        <a:xfrm>
          <a:off x="1600200" y="6972300"/>
          <a:ext cx="0" cy="10001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51548</xdr:rowOff>
    </xdr:from>
    <xdr:to>
      <xdr:col>7</xdr:col>
      <xdr:colOff>0</xdr:colOff>
      <xdr:row>48</xdr:row>
      <xdr:rowOff>51548</xdr:rowOff>
    </xdr:to>
    <xdr:sp macro="" textlink="" fLocksText="0">
      <xdr:nvSpPr>
        <xdr:cNvPr id="89" name="Flowchart: Process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333500" y="91154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129987</xdr:colOff>
      <xdr:row>43</xdr:row>
      <xdr:rowOff>141193</xdr:rowOff>
    </xdr:from>
    <xdr:to>
      <xdr:col>11</xdr:col>
      <xdr:colOff>129987</xdr:colOff>
      <xdr:row>44</xdr:row>
      <xdr:rowOff>141193</xdr:rowOff>
    </xdr:to>
    <xdr:sp macro="" textlink="" fLocksText="0">
      <xdr:nvSpPr>
        <xdr:cNvPr id="93" name="Flowchart: Process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2533650" y="84486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44</xdr:row>
      <xdr:rowOff>45943</xdr:rowOff>
    </xdr:from>
    <xdr:to>
      <xdr:col>11</xdr:col>
      <xdr:colOff>129987</xdr:colOff>
      <xdr:row>52</xdr:row>
      <xdr:rowOff>22411</xdr:rowOff>
    </xdr:to>
    <xdr:cxnSp macro="">
      <xdr:nvCxnSpPr>
        <xdr:cNvPr id="94" name="Connector: Elbow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93" idx="3"/>
          <a:endCxn id="4" idx="0"/>
        </xdr:cNvCxnSpPr>
      </xdr:nvCxnSpPr>
      <xdr:spPr>
        <a:xfrm flipH="1">
          <a:off x="1600200" y="8543925"/>
          <a:ext cx="1466850" cy="1514475"/>
        </a:xfrm>
        <a:prstGeom prst="bentConnector4">
          <a:avLst>
            <a:gd name="adj1" fmla="val -17496"/>
            <a:gd name="adj2" fmla="val 7225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190499</xdr:rowOff>
    </xdr:from>
    <xdr:to>
      <xdr:col>62</xdr:col>
      <xdr:colOff>0</xdr:colOff>
      <xdr:row>40</xdr:row>
      <xdr:rowOff>11206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5257800"/>
          <a:ext cx="7200900" cy="2486025"/>
        </a:xfrm>
        <a:prstGeom prst="borderCallout1">
          <a:avLst>
            <a:gd name="adj1" fmla="val 51887"/>
            <a:gd name="adj2" fmla="val 470"/>
            <a:gd name="adj3" fmla="val 52628"/>
            <a:gd name="adj4" fmla="val -963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企業情報を更新する。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・マッピング情報はシート「AP9902」に記載される。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・以下の条件で companiesテーブルのレコード（更新日時）を更新する。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companies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.company_code = {company_code} (ログインしたユーザ情報からcompany_codeを取得する）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・以下の条件でcompany_paymentsテーブルのレコードを挿入・更新・削除する。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company_payments.company_code = {company_code} (ログインしたユーザ情報からcompany_codeを取得する)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AND company_payments.payment_id = param {payment_id}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・支払方法を削除する場合は、company_paymentテーブルの企業とstore_paymentテーブルの店舗の支払方法を論理削除する。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2" t="s">
        <v>58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59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">
        <v>56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60</v>
      </c>
      <c r="AQ1" s="203"/>
      <c r="AR1" s="203"/>
      <c r="AS1" s="204"/>
      <c r="AT1" s="202" t="s">
        <v>61</v>
      </c>
      <c r="AU1" s="203"/>
      <c r="AV1" s="203"/>
      <c r="AW1" s="203"/>
      <c r="AX1" s="204"/>
      <c r="AY1" s="202" t="s">
        <v>62</v>
      </c>
      <c r="AZ1" s="203"/>
      <c r="BA1" s="203"/>
      <c r="BB1" s="204"/>
      <c r="BC1" s="202" t="s">
        <v>63</v>
      </c>
      <c r="BD1" s="203"/>
      <c r="BE1" s="203"/>
      <c r="BF1" s="203"/>
      <c r="BG1" s="204"/>
      <c r="BH1" s="202" t="s">
        <v>64</v>
      </c>
      <c r="BI1" s="203"/>
      <c r="BJ1" s="203"/>
      <c r="BK1" s="204"/>
    </row>
    <row r="2" spans="1:63" ht="15" customHeight="1" x14ac:dyDescent="0.25">
      <c r="A2" s="4" t="s">
        <v>55</v>
      </c>
      <c r="B2" s="209"/>
      <c r="C2" s="209"/>
      <c r="D2" s="209"/>
      <c r="E2" s="209"/>
      <c r="F2" s="209"/>
      <c r="G2" s="209"/>
      <c r="H2" s="209"/>
      <c r="I2" s="209"/>
      <c r="J2" s="210"/>
      <c r="K2" s="211" t="s">
        <v>13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改訂履歴!$H$11</f>
        <v>HoanPV</v>
      </c>
      <c r="AQ2" s="209"/>
      <c r="AR2" s="209"/>
      <c r="AS2" s="210"/>
      <c r="AT2" s="215">
        <f>改訂履歴!$B$11</f>
        <v>45782</v>
      </c>
      <c r="AU2" s="216"/>
      <c r="AV2" s="216"/>
      <c r="AW2" s="216"/>
      <c r="AX2" s="217"/>
      <c r="AY2" s="211" t="str">
        <f>LOOKUP(2,1/(改訂履歴!H11:H30000&lt;&gt;""),改訂履歴!H11:H30000)</f>
        <v>TuyenNH</v>
      </c>
      <c r="AZ2" s="209"/>
      <c r="BA2" s="209"/>
      <c r="BB2" s="210"/>
      <c r="BC2" s="215">
        <f>LOOKUP(2,1/(改訂履歴!B11:B30000&lt;&gt;""),改訂履歴!B11:B30000)</f>
        <v>45796</v>
      </c>
      <c r="BD2" s="216"/>
      <c r="BE2" s="216"/>
      <c r="BF2" s="216"/>
      <c r="BG2" s="217"/>
      <c r="BH2" s="218">
        <f>LOOKUP(2,1/(改訂履歴!O11:O30000&lt;&gt;""),改訂履歴!O11:O30000)</f>
        <v>0.12</v>
      </c>
      <c r="BI2" s="219"/>
      <c r="BJ2" s="219"/>
      <c r="BK2" s="22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30"/>
      <c r="BI3" s="231"/>
      <c r="BJ3" s="231"/>
      <c r="BK3" s="232"/>
    </row>
    <row r="4" spans="1:63" ht="24.95" customHeight="1" x14ac:dyDescent="0.25">
      <c r="A4" s="202" t="s">
        <v>65</v>
      </c>
      <c r="B4" s="203"/>
      <c r="C4" s="203"/>
      <c r="D4" s="203"/>
      <c r="E4" s="203"/>
      <c r="F4" s="203"/>
      <c r="G4" s="204"/>
      <c r="H4" s="233" t="s">
        <v>51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2" t="s">
        <v>66</v>
      </c>
      <c r="V4" s="203"/>
      <c r="W4" s="203"/>
      <c r="X4" s="203"/>
      <c r="Y4" s="204"/>
      <c r="Z4" s="75" t="s">
        <v>57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‎表紙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K10" s="240"/>
    </row>
    <row r="11" spans="1:63" ht="15" customHeight="1" x14ac:dyDescent="0.25">
      <c r="A11" s="239"/>
      <c r="BK11" s="240"/>
    </row>
    <row r="12" spans="1:63" ht="15" customHeight="1" x14ac:dyDescent="0.25">
      <c r="A12" s="239"/>
      <c r="BK12" s="240"/>
    </row>
    <row r="13" spans="1:63" ht="15" customHeight="1" x14ac:dyDescent="0.25">
      <c r="A13" s="239"/>
      <c r="BK13" s="240"/>
    </row>
    <row r="14" spans="1:63" ht="15" customHeight="1" thickBot="1" x14ac:dyDescent="0.3">
      <c r="A14" s="239"/>
      <c r="BK14" s="240"/>
    </row>
    <row r="15" spans="1:63" ht="15" customHeight="1" thickTop="1" x14ac:dyDescent="0.25">
      <c r="A15" s="239"/>
      <c r="K15" s="241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3"/>
      <c r="BK15" s="240"/>
    </row>
    <row r="16" spans="1:63" ht="15" customHeight="1" x14ac:dyDescent="0.25">
      <c r="A16" s="239"/>
      <c r="K16" s="244"/>
      <c r="L16" s="245" t="s">
        <v>67</v>
      </c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7"/>
      <c r="BK16" s="240"/>
    </row>
    <row r="17" spans="1:63" ht="15" customHeight="1" x14ac:dyDescent="0.25">
      <c r="A17" s="239"/>
      <c r="K17" s="244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7"/>
      <c r="BK17" s="240"/>
    </row>
    <row r="18" spans="1:63" ht="15" customHeight="1" x14ac:dyDescent="0.25">
      <c r="A18" s="239"/>
      <c r="K18" s="244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7"/>
      <c r="BK18" s="240"/>
    </row>
    <row r="19" spans="1:63" ht="15" customHeight="1" x14ac:dyDescent="0.25">
      <c r="A19" s="239"/>
      <c r="K19" s="244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7"/>
      <c r="BK19" s="240"/>
    </row>
    <row r="20" spans="1:63" ht="15" customHeight="1" x14ac:dyDescent="0.25">
      <c r="A20" s="239"/>
      <c r="K20" s="244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7"/>
      <c r="BK20" s="240"/>
    </row>
    <row r="21" spans="1:63" ht="15" customHeight="1" x14ac:dyDescent="0.25">
      <c r="A21" s="239"/>
      <c r="K21" s="244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7"/>
      <c r="BK21" s="240"/>
    </row>
    <row r="22" spans="1:63" ht="15" customHeight="1" thickBot="1" x14ac:dyDescent="0.3">
      <c r="A22" s="239"/>
      <c r="K22" s="244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7"/>
      <c r="BK22" s="240"/>
    </row>
    <row r="23" spans="1:63" ht="15" customHeight="1" x14ac:dyDescent="0.25">
      <c r="A23" s="239"/>
      <c r="K23" s="244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7"/>
      <c r="BK23" s="240"/>
    </row>
    <row r="24" spans="1:63" ht="15" customHeight="1" x14ac:dyDescent="0.25">
      <c r="A24" s="239"/>
      <c r="K24" s="244"/>
      <c r="L24" s="246" t="str">
        <f>K2&amp;"/"&amp;H4&amp;"/"&amp;Z4</f>
        <v>POSサーバー/AP9902/API設計書</v>
      </c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7"/>
      <c r="BK24" s="240"/>
    </row>
    <row r="25" spans="1:63" ht="15" customHeight="1" x14ac:dyDescent="0.25">
      <c r="A25" s="239"/>
      <c r="K25" s="244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7"/>
      <c r="BK25" s="240"/>
    </row>
    <row r="26" spans="1:63" ht="15" customHeight="1" x14ac:dyDescent="0.25">
      <c r="A26" s="239"/>
      <c r="K26" s="244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7"/>
      <c r="BK26" s="240"/>
    </row>
    <row r="27" spans="1:63" ht="15" customHeight="1" x14ac:dyDescent="0.25">
      <c r="A27" s="239"/>
      <c r="K27" s="244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7"/>
      <c r="BK27" s="240"/>
    </row>
    <row r="28" spans="1:63" ht="15" customHeight="1" x14ac:dyDescent="0.25">
      <c r="A28" s="239"/>
      <c r="K28" s="244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7"/>
      <c r="BK28" s="240"/>
    </row>
    <row r="29" spans="1:63" ht="15" customHeight="1" x14ac:dyDescent="0.25">
      <c r="A29" s="239"/>
      <c r="K29" s="244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7"/>
      <c r="BK29" s="240"/>
    </row>
    <row r="30" spans="1:63" ht="15" customHeight="1" x14ac:dyDescent="0.25">
      <c r="A30" s="239"/>
      <c r="K30" s="244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7"/>
      <c r="BK30" s="240"/>
    </row>
    <row r="31" spans="1:63" ht="15" customHeight="1" x14ac:dyDescent="0.25">
      <c r="A31" s="239"/>
      <c r="K31" s="244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7"/>
      <c r="BK31" s="240"/>
    </row>
    <row r="32" spans="1:63" ht="15" customHeight="1" x14ac:dyDescent="0.25">
      <c r="A32" s="239"/>
      <c r="K32" s="244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7"/>
      <c r="BK32" s="240"/>
    </row>
    <row r="33" spans="1:63" ht="15" customHeight="1" x14ac:dyDescent="0.25">
      <c r="A33" s="239"/>
      <c r="K33" s="244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7"/>
      <c r="BK33" s="240"/>
    </row>
    <row r="34" spans="1:63" ht="15" customHeight="1" x14ac:dyDescent="0.25">
      <c r="A34" s="239"/>
      <c r="K34" s="244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7"/>
      <c r="BK34" s="240"/>
    </row>
    <row r="35" spans="1:63" ht="15" customHeight="1" x14ac:dyDescent="0.25">
      <c r="A35" s="239"/>
      <c r="K35" s="244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7"/>
      <c r="BK35" s="240"/>
    </row>
    <row r="36" spans="1:63" ht="15" customHeight="1" x14ac:dyDescent="0.25">
      <c r="A36" s="239"/>
      <c r="K36" s="244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7"/>
      <c r="BK36" s="240"/>
    </row>
    <row r="37" spans="1:63" ht="15" customHeight="1" thickBot="1" x14ac:dyDescent="0.3">
      <c r="A37" s="239"/>
      <c r="K37" s="250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2"/>
      <c r="BK37" s="240"/>
    </row>
    <row r="38" spans="1:63" ht="15" customHeight="1" thickTop="1" x14ac:dyDescent="0.25">
      <c r="A38" s="239"/>
      <c r="BK38" s="240"/>
    </row>
    <row r="39" spans="1:63" ht="15" customHeight="1" x14ac:dyDescent="0.25">
      <c r="A39" s="239"/>
      <c r="BK39" s="240"/>
    </row>
    <row r="40" spans="1:63" ht="15" customHeight="1" x14ac:dyDescent="0.25">
      <c r="A40" s="239"/>
      <c r="BK40" s="240"/>
    </row>
    <row r="41" spans="1:63" ht="15" customHeight="1" x14ac:dyDescent="0.25">
      <c r="A41" s="239"/>
      <c r="BK41" s="240"/>
    </row>
    <row r="42" spans="1:63" ht="15" customHeight="1" x14ac:dyDescent="0.25">
      <c r="A42" s="239"/>
      <c r="BK42" s="240"/>
    </row>
    <row r="43" spans="1:63" ht="15" customHeight="1" x14ac:dyDescent="0.25">
      <c r="A43" s="239"/>
      <c r="BK43" s="240"/>
    </row>
    <row r="44" spans="1:63" ht="15" customHeight="1" x14ac:dyDescent="0.25">
      <c r="A44" s="239"/>
      <c r="Q44" s="253" t="s">
        <v>68</v>
      </c>
      <c r="R44" s="254"/>
      <c r="S44" s="254"/>
      <c r="T44" s="254"/>
      <c r="U44" s="254"/>
      <c r="V44" s="254"/>
      <c r="W44" s="254"/>
      <c r="X44" s="254"/>
      <c r="Y44" s="254"/>
      <c r="Z44" s="255"/>
      <c r="AA44" s="253" t="s">
        <v>69</v>
      </c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5"/>
      <c r="AQ44" s="253" t="s">
        <v>64</v>
      </c>
      <c r="AR44" s="254"/>
      <c r="AS44" s="254"/>
      <c r="AT44" s="254"/>
      <c r="AU44" s="255"/>
      <c r="BK44" s="240"/>
    </row>
    <row r="45" spans="1:63" ht="15" customHeight="1" x14ac:dyDescent="0.25">
      <c r="A45" s="239"/>
      <c r="Q45" s="256"/>
      <c r="R45" s="257"/>
      <c r="S45" s="257"/>
      <c r="T45" s="257"/>
      <c r="U45" s="257"/>
      <c r="V45" s="257"/>
      <c r="W45" s="257"/>
      <c r="X45" s="257"/>
      <c r="Y45" s="257"/>
      <c r="Z45" s="258"/>
      <c r="AA45" s="256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8"/>
      <c r="AQ45" s="256"/>
      <c r="AR45" s="257"/>
      <c r="AS45" s="257"/>
      <c r="AT45" s="257"/>
      <c r="AU45" s="258"/>
      <c r="BK45" s="240"/>
    </row>
    <row r="46" spans="1:63" ht="15" customHeight="1" x14ac:dyDescent="0.25">
      <c r="A46" s="239"/>
      <c r="Q46" s="211"/>
      <c r="R46" s="209"/>
      <c r="S46" s="209"/>
      <c r="T46" s="209"/>
      <c r="U46" s="209"/>
      <c r="V46" s="209"/>
      <c r="W46" s="209"/>
      <c r="X46" s="209"/>
      <c r="Y46" s="209"/>
      <c r="Z46" s="210"/>
      <c r="AA46" s="211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10"/>
      <c r="AQ46" s="211"/>
      <c r="AR46" s="209"/>
      <c r="AS46" s="209"/>
      <c r="AT46" s="209"/>
      <c r="AU46" s="210"/>
      <c r="BK46" s="240"/>
    </row>
    <row r="47" spans="1:63" ht="15" customHeight="1" x14ac:dyDescent="0.25">
      <c r="A47" s="239"/>
      <c r="Q47" s="259"/>
      <c r="R47" s="260"/>
      <c r="S47" s="260"/>
      <c r="T47" s="260"/>
      <c r="U47" s="260"/>
      <c r="V47" s="260"/>
      <c r="W47" s="260"/>
      <c r="X47" s="260"/>
      <c r="Y47" s="260"/>
      <c r="Z47" s="261"/>
      <c r="AA47" s="259"/>
      <c r="AB47" s="260"/>
      <c r="AC47" s="260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1"/>
      <c r="AQ47" s="259"/>
      <c r="AR47" s="260"/>
      <c r="AS47" s="260"/>
      <c r="AT47" s="260"/>
      <c r="AU47" s="261"/>
      <c r="BK47" s="240"/>
    </row>
    <row r="48" spans="1:63" ht="15" customHeight="1" x14ac:dyDescent="0.25">
      <c r="A48" s="239"/>
      <c r="Q48" s="259"/>
      <c r="R48" s="260"/>
      <c r="S48" s="260"/>
      <c r="T48" s="260"/>
      <c r="U48" s="260"/>
      <c r="V48" s="260"/>
      <c r="W48" s="260"/>
      <c r="X48" s="260"/>
      <c r="Y48" s="260"/>
      <c r="Z48" s="261"/>
      <c r="AA48" s="259"/>
      <c r="AB48" s="260"/>
      <c r="AC48" s="260"/>
      <c r="AD48" s="260"/>
      <c r="AE48" s="260"/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1"/>
      <c r="AQ48" s="259"/>
      <c r="AR48" s="260"/>
      <c r="AS48" s="260"/>
      <c r="AT48" s="260"/>
      <c r="AU48" s="261"/>
      <c r="BK48" s="240"/>
    </row>
    <row r="49" spans="1:63" ht="15" customHeight="1" x14ac:dyDescent="0.25">
      <c r="A49" s="239"/>
      <c r="Q49" s="221"/>
      <c r="R49" s="222"/>
      <c r="S49" s="222"/>
      <c r="T49" s="222"/>
      <c r="U49" s="222"/>
      <c r="V49" s="222"/>
      <c r="W49" s="222"/>
      <c r="X49" s="222"/>
      <c r="Y49" s="222"/>
      <c r="Z49" s="223"/>
      <c r="AA49" s="221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3"/>
      <c r="AQ49" s="221"/>
      <c r="AR49" s="222"/>
      <c r="AS49" s="222"/>
      <c r="AT49" s="222"/>
      <c r="AU49" s="223"/>
      <c r="BK49" s="240"/>
    </row>
    <row r="50" spans="1:63" ht="15" customHeight="1" x14ac:dyDescent="0.25">
      <c r="A50" s="239"/>
      <c r="BK50" s="240"/>
    </row>
    <row r="51" spans="1:63" ht="15" customHeight="1" x14ac:dyDescent="0.25">
      <c r="A51" s="239"/>
      <c r="BK51" s="240"/>
    </row>
    <row r="52" spans="1:63" ht="15" customHeight="1" x14ac:dyDescent="0.25">
      <c r="A52" s="239"/>
      <c r="BK52" s="240"/>
    </row>
    <row r="53" spans="1:63" ht="15" customHeight="1" x14ac:dyDescent="0.25">
      <c r="A53" s="239"/>
      <c r="BK53" s="240"/>
    </row>
    <row r="54" spans="1:63" ht="15" customHeight="1" x14ac:dyDescent="0.25">
      <c r="A54" s="239"/>
      <c r="BK54" s="240"/>
    </row>
    <row r="55" spans="1:63" ht="15" customHeight="1" x14ac:dyDescent="0.25">
      <c r="A55" s="236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3" t="s">
        <v>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82" t="s">
        <v>56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3" t="s">
        <v>3</v>
      </c>
      <c r="AQ1" s="12"/>
      <c r="AR1" s="12"/>
      <c r="AS1" s="11"/>
      <c r="AT1" s="13" t="s">
        <v>4</v>
      </c>
      <c r="AU1" s="12"/>
      <c r="AV1" s="12"/>
      <c r="AW1" s="12"/>
      <c r="AX1" s="11"/>
      <c r="AY1" s="13" t="s">
        <v>5</v>
      </c>
      <c r="AZ1" s="12"/>
      <c r="BA1"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"/>
      <c r="BJ1" s="12"/>
      <c r="BK1" s="11"/>
    </row>
    <row r="2" spans="1:63" ht="15" customHeight="1" x14ac:dyDescent="0.25">
      <c r="A2" s="10" t="s">
        <v>55</v>
      </c>
      <c r="B2" s="9"/>
      <c r="C2" s="9"/>
      <c r="D2" s="9"/>
      <c r="E2" s="9"/>
      <c r="F2" s="9"/>
      <c r="G2" s="9"/>
      <c r="H2" s="9"/>
      <c r="I2" s="9"/>
      <c r="J2" s="8"/>
      <c r="K2" s="10" t="s">
        <v>55</v>
      </c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1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8"/>
      <c r="AP2" s="10" t="s">
        <v>52</v>
      </c>
      <c r="AQ2" s="9"/>
      <c r="AR2" s="9"/>
      <c r="AS2" s="8"/>
      <c r="AT2" s="76">
        <v>45782</v>
      </c>
      <c r="AU2" s="77"/>
      <c r="AV2" s="77"/>
      <c r="AW2" s="77"/>
      <c r="AX2" s="78"/>
      <c r="AY2" s="10" t="s">
        <v>53</v>
      </c>
      <c r="AZ2" s="9"/>
      <c r="BA2" s="9"/>
      <c r="BB2" s="8"/>
      <c r="BC2" s="76">
        <v>45796</v>
      </c>
      <c r="BD2" s="77"/>
      <c r="BE2" s="77"/>
      <c r="BF2" s="77"/>
      <c r="BG2" s="78"/>
      <c r="BH2" s="10">
        <v>0.12</v>
      </c>
      <c r="BI2" s="9"/>
      <c r="BJ2" s="9"/>
      <c r="BK2" s="8"/>
    </row>
    <row r="3" spans="1:63" ht="15" customHeight="1" x14ac:dyDescent="0.25">
      <c r="A3" s="7"/>
      <c r="B3" s="6"/>
      <c r="C3" s="6"/>
      <c r="D3" s="6"/>
      <c r="E3" s="6"/>
      <c r="F3" s="6"/>
      <c r="G3" s="6"/>
      <c r="H3" s="6"/>
      <c r="I3" s="6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69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1"/>
      <c r="AP3" s="7"/>
      <c r="AQ3" s="6"/>
      <c r="AR3" s="6"/>
      <c r="AS3" s="5"/>
      <c r="AT3" s="79"/>
      <c r="AU3" s="80"/>
      <c r="AV3" s="80"/>
      <c r="AW3" s="80"/>
      <c r="AX3" s="81"/>
      <c r="AY3" s="7"/>
      <c r="AZ3" s="6"/>
      <c r="BA3" s="6"/>
      <c r="BB3" s="5"/>
      <c r="BC3" s="79"/>
      <c r="BD3" s="80"/>
      <c r="BE3" s="80"/>
      <c r="BF3" s="80"/>
      <c r="BG3" s="81"/>
      <c r="BH3" s="7"/>
      <c r="BI3" s="6"/>
      <c r="BJ3" s="6"/>
      <c r="BK3" s="5"/>
    </row>
    <row r="4" spans="1:63" ht="24.95" customHeight="1" x14ac:dyDescent="0.25">
      <c r="A4" s="13" t="s">
        <v>1</v>
      </c>
      <c r="B4" s="12"/>
      <c r="C4" s="12"/>
      <c r="D4" s="12"/>
      <c r="E4" s="12"/>
      <c r="F4" s="12"/>
      <c r="G4" s="11"/>
      <c r="H4" s="72" t="s">
        <v>54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13" t="s">
        <v>8</v>
      </c>
      <c r="V4" s="12"/>
      <c r="W4" s="12"/>
      <c r="X4" s="12"/>
      <c r="Y4" s="11"/>
      <c r="Z4" s="72" t="s">
        <v>57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2" t="str">
        <f t="array" aca="1" ref="AP4" ca="1">RIGHT(CELL("filename",$A$1),LEN(CELL("filename",$A$1))-FIND("]",CELL("filename",$A$1)))</f>
        <v>改訂履歴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8"/>
    </row>
    <row r="6" spans="1:63" ht="15" customHeight="1" x14ac:dyDescent="0.25">
      <c r="A6" s="14"/>
      <c r="BK6" s="17"/>
    </row>
    <row r="7" spans="1:63" ht="15" customHeight="1" x14ac:dyDescent="0.25">
      <c r="A7" s="14"/>
      <c r="BK7" s="17"/>
    </row>
    <row r="8" spans="1:63" ht="15" customHeight="1" x14ac:dyDescent="0.25">
      <c r="A8" s="14"/>
      <c r="B8" t="s">
        <v>9</v>
      </c>
      <c r="BK8" s="17"/>
    </row>
    <row r="9" spans="1:63" ht="15" customHeight="1" x14ac:dyDescent="0.25">
      <c r="A9" s="14"/>
      <c r="BK9" s="17"/>
    </row>
    <row r="10" spans="1:63" ht="15" customHeight="1" x14ac:dyDescent="0.25">
      <c r="A10" s="14"/>
      <c r="B10" s="105" t="s">
        <v>6</v>
      </c>
      <c r="C10" s="105"/>
      <c r="D10" s="105"/>
      <c r="E10" s="105"/>
      <c r="F10" s="105"/>
      <c r="G10" s="105"/>
      <c r="H10" s="105" t="s">
        <v>5</v>
      </c>
      <c r="I10" s="105"/>
      <c r="J10" s="105"/>
      <c r="K10" s="105"/>
      <c r="L10" s="105"/>
      <c r="M10" s="105"/>
      <c r="N10" s="105"/>
      <c r="O10" s="105" t="s">
        <v>7</v>
      </c>
      <c r="P10" s="105"/>
      <c r="Q10" s="105"/>
      <c r="R10" s="105"/>
      <c r="S10" s="105" t="s">
        <v>10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 t="s">
        <v>11</v>
      </c>
      <c r="AY10" s="105"/>
      <c r="AZ10" s="105"/>
      <c r="BA10" s="105"/>
      <c r="BB10" s="105"/>
      <c r="BC10" s="105"/>
      <c r="BD10" s="105" t="s">
        <v>12</v>
      </c>
      <c r="BE10" s="105"/>
      <c r="BF10" s="105"/>
      <c r="BG10" s="105"/>
      <c r="BH10" s="105"/>
      <c r="BI10" s="105"/>
      <c r="BJ10" s="105"/>
      <c r="BK10" s="17"/>
    </row>
    <row r="11" spans="1:63" ht="15" customHeight="1" x14ac:dyDescent="0.25">
      <c r="A11" s="14"/>
      <c r="B11" s="76">
        <v>45782</v>
      </c>
      <c r="C11" s="9"/>
      <c r="D11" s="9"/>
      <c r="E11" s="9"/>
      <c r="F11" s="9"/>
      <c r="G11" s="8"/>
      <c r="H11" s="4" t="s">
        <v>43</v>
      </c>
      <c r="I11" s="9"/>
      <c r="J11" s="9"/>
      <c r="K11" s="9"/>
      <c r="L11" s="9"/>
      <c r="M11" s="9"/>
      <c r="N11" s="8"/>
      <c r="O11" s="10">
        <v>0.1</v>
      </c>
      <c r="P11" s="9"/>
      <c r="Q11" s="9"/>
      <c r="R11" s="9"/>
      <c r="S11" s="102" t="s">
        <v>14</v>
      </c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4"/>
      <c r="AX11" s="93"/>
      <c r="AY11" s="93"/>
      <c r="AZ11" s="93"/>
      <c r="BA11" s="93"/>
      <c r="BB11" s="93"/>
      <c r="BC11" s="94"/>
      <c r="BD11" s="97"/>
      <c r="BE11" s="93"/>
      <c r="BF11" s="93"/>
      <c r="BG11" s="93"/>
      <c r="BH11" s="93"/>
      <c r="BI11" s="93"/>
      <c r="BJ11" s="94"/>
      <c r="BK11" s="17"/>
    </row>
    <row r="12" spans="1:63" ht="15" customHeight="1" x14ac:dyDescent="0.25">
      <c r="A12" s="14"/>
      <c r="B12" s="7"/>
      <c r="C12" s="6"/>
      <c r="D12" s="6"/>
      <c r="E12" s="6"/>
      <c r="F12" s="6"/>
      <c r="G12" s="5"/>
      <c r="H12" s="7"/>
      <c r="I12" s="6"/>
      <c r="J12" s="6"/>
      <c r="K12" s="6"/>
      <c r="L12" s="6"/>
      <c r="M12" s="6"/>
      <c r="N12" s="5"/>
      <c r="O12" s="7"/>
      <c r="P12" s="6"/>
      <c r="Q12" s="6"/>
      <c r="R12" s="6"/>
      <c r="S12" s="99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1"/>
      <c r="AX12" s="95"/>
      <c r="AY12" s="95"/>
      <c r="AZ12" s="95"/>
      <c r="BA12" s="95"/>
      <c r="BB12" s="95"/>
      <c r="BC12" s="96"/>
      <c r="BD12" s="98"/>
      <c r="BE12" s="95"/>
      <c r="BF12" s="95"/>
      <c r="BG12" s="95"/>
      <c r="BH12" s="95"/>
      <c r="BI12" s="95"/>
      <c r="BJ12" s="96"/>
      <c r="BK12" s="17"/>
    </row>
    <row r="13" spans="1:63" ht="15" customHeight="1" x14ac:dyDescent="0.25">
      <c r="A13" s="14"/>
      <c r="B13" s="83">
        <v>45792</v>
      </c>
      <c r="C13" s="84"/>
      <c r="D13" s="84"/>
      <c r="E13" s="84"/>
      <c r="F13" s="84"/>
      <c r="G13" s="85"/>
      <c r="H13" s="89" t="s">
        <v>46</v>
      </c>
      <c r="I13" s="84"/>
      <c r="J13" s="84"/>
      <c r="K13" s="84"/>
      <c r="L13" s="84"/>
      <c r="M13" s="84"/>
      <c r="N13" s="85"/>
      <c r="O13" s="89">
        <v>0.11</v>
      </c>
      <c r="P13" s="84"/>
      <c r="Q13" s="84"/>
      <c r="R13" s="84"/>
      <c r="S13" s="90" t="s">
        <v>47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2"/>
      <c r="AX13" s="93"/>
      <c r="AY13" s="93"/>
      <c r="AZ13" s="93"/>
      <c r="BA13" s="93"/>
      <c r="BB13" s="93"/>
      <c r="BC13" s="94"/>
      <c r="BD13" s="97"/>
      <c r="BE13" s="93"/>
      <c r="BF13" s="93"/>
      <c r="BG13" s="93"/>
      <c r="BH13" s="93"/>
      <c r="BI13" s="93"/>
      <c r="BJ13" s="94"/>
      <c r="BK13" s="17"/>
    </row>
    <row r="14" spans="1:63" ht="15" customHeight="1" x14ac:dyDescent="0.25">
      <c r="A14" s="14"/>
      <c r="B14" s="86"/>
      <c r="C14" s="87"/>
      <c r="D14" s="87"/>
      <c r="E14" s="87"/>
      <c r="F14" s="87"/>
      <c r="G14" s="88"/>
      <c r="H14" s="86"/>
      <c r="I14" s="87"/>
      <c r="J14" s="87"/>
      <c r="K14" s="87"/>
      <c r="L14" s="87"/>
      <c r="M14" s="87"/>
      <c r="N14" s="88"/>
      <c r="O14" s="86"/>
      <c r="P14" s="87"/>
      <c r="Q14" s="87"/>
      <c r="R14" s="87"/>
      <c r="S14" s="113" t="s">
        <v>48</v>
      </c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5"/>
      <c r="AX14" s="95"/>
      <c r="AY14" s="95"/>
      <c r="AZ14" s="95"/>
      <c r="BA14" s="95"/>
      <c r="BB14" s="95"/>
      <c r="BC14" s="96"/>
      <c r="BD14" s="98"/>
      <c r="BE14" s="95"/>
      <c r="BF14" s="95"/>
      <c r="BG14" s="95"/>
      <c r="BH14" s="95"/>
      <c r="BI14" s="95"/>
      <c r="BJ14" s="96"/>
      <c r="BK14" s="17"/>
    </row>
    <row r="15" spans="1:63" ht="15" customHeight="1" x14ac:dyDescent="0.25">
      <c r="A15" s="14"/>
      <c r="B15" s="116">
        <v>45796</v>
      </c>
      <c r="C15" s="117"/>
      <c r="D15" s="117"/>
      <c r="E15" s="117"/>
      <c r="F15" s="117"/>
      <c r="G15" s="118"/>
      <c r="H15" s="122" t="s">
        <v>49</v>
      </c>
      <c r="I15" s="117"/>
      <c r="J15" s="117"/>
      <c r="K15" s="117"/>
      <c r="L15" s="117"/>
      <c r="M15" s="117"/>
      <c r="N15" s="118"/>
      <c r="O15" s="122">
        <v>0.12</v>
      </c>
      <c r="P15" s="117"/>
      <c r="Q15" s="117"/>
      <c r="R15" s="117"/>
      <c r="S15" s="123" t="s">
        <v>50</v>
      </c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  <c r="AX15" s="126"/>
      <c r="AY15" s="126"/>
      <c r="AZ15" s="126"/>
      <c r="BA15" s="126"/>
      <c r="BB15" s="126"/>
      <c r="BC15" s="127"/>
      <c r="BD15" s="130"/>
      <c r="BE15" s="126"/>
      <c r="BF15" s="126"/>
      <c r="BG15" s="126"/>
      <c r="BH15" s="126"/>
      <c r="BI15" s="126"/>
      <c r="BJ15" s="127"/>
      <c r="BK15" s="17"/>
    </row>
    <row r="16" spans="1:63" ht="15" customHeight="1" x14ac:dyDescent="0.25">
      <c r="A16" s="14"/>
      <c r="B16" s="119"/>
      <c r="C16" s="120"/>
      <c r="D16" s="120"/>
      <c r="E16" s="120"/>
      <c r="F16" s="120"/>
      <c r="G16" s="121"/>
      <c r="H16" s="119"/>
      <c r="I16" s="120"/>
      <c r="J16" s="120"/>
      <c r="K16" s="120"/>
      <c r="L16" s="120"/>
      <c r="M16" s="120"/>
      <c r="N16" s="121"/>
      <c r="O16" s="119"/>
      <c r="P16" s="120"/>
      <c r="Q16" s="120"/>
      <c r="R16" s="120"/>
      <c r="S16" s="132" t="s">
        <v>70</v>
      </c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28"/>
      <c r="AY16" s="128"/>
      <c r="AZ16" s="128"/>
      <c r="BA16" s="128"/>
      <c r="BB16" s="128"/>
      <c r="BC16" s="129"/>
      <c r="BD16" s="131"/>
      <c r="BE16" s="128"/>
      <c r="BF16" s="128"/>
      <c r="BG16" s="128"/>
      <c r="BH16" s="128"/>
      <c r="BI16" s="128"/>
      <c r="BJ16" s="129"/>
      <c r="BK16" s="17"/>
    </row>
    <row r="17" spans="1:63" ht="14.25" customHeight="1" x14ac:dyDescent="0.25">
      <c r="A17" s="14"/>
      <c r="B17" s="76"/>
      <c r="C17" s="9"/>
      <c r="D17" s="9"/>
      <c r="E17" s="9"/>
      <c r="F17" s="9"/>
      <c r="G17" s="8"/>
      <c r="H17" s="10"/>
      <c r="I17" s="9"/>
      <c r="J17" s="9"/>
      <c r="K17" s="9"/>
      <c r="L17" s="9"/>
      <c r="M17" s="9"/>
      <c r="N17" s="8"/>
      <c r="O17" s="10"/>
      <c r="P17" s="9"/>
      <c r="Q17" s="9"/>
      <c r="R17" s="9"/>
      <c r="S17" s="106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4"/>
      <c r="AX17" s="107"/>
      <c r="AY17" s="107"/>
      <c r="AZ17" s="107"/>
      <c r="BA17" s="107"/>
      <c r="BB17" s="107"/>
      <c r="BC17" s="108"/>
      <c r="BD17" s="111"/>
      <c r="BE17" s="107"/>
      <c r="BF17" s="107"/>
      <c r="BG17" s="107"/>
      <c r="BH17" s="107"/>
      <c r="BI17" s="107"/>
      <c r="BJ17" s="108"/>
      <c r="BK17" s="17"/>
    </row>
    <row r="18" spans="1:63" ht="15" customHeight="1" x14ac:dyDescent="0.25">
      <c r="A18" s="14"/>
      <c r="B18" s="7"/>
      <c r="C18" s="6"/>
      <c r="D18" s="6"/>
      <c r="E18" s="6"/>
      <c r="F18" s="6"/>
      <c r="G18" s="5"/>
      <c r="H18" s="7"/>
      <c r="I18" s="6"/>
      <c r="J18" s="6"/>
      <c r="K18" s="6"/>
      <c r="L18" s="6"/>
      <c r="M18" s="6"/>
      <c r="N18" s="5"/>
      <c r="O18" s="7"/>
      <c r="P18" s="6"/>
      <c r="Q18" s="6"/>
      <c r="R18" s="6"/>
      <c r="S18" s="99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1"/>
      <c r="AX18" s="109"/>
      <c r="AY18" s="109"/>
      <c r="AZ18" s="109"/>
      <c r="BA18" s="109"/>
      <c r="BB18" s="109"/>
      <c r="BC18" s="110"/>
      <c r="BD18" s="112"/>
      <c r="BE18" s="109"/>
      <c r="BF18" s="109"/>
      <c r="BG18" s="109"/>
      <c r="BH18" s="109"/>
      <c r="BI18" s="109"/>
      <c r="BJ18" s="110"/>
      <c r="BK18" s="17"/>
    </row>
    <row r="19" spans="1:63" ht="15" customHeight="1" x14ac:dyDescent="0.25">
      <c r="A19" s="14"/>
      <c r="B19" s="83"/>
      <c r="C19" s="84"/>
      <c r="D19" s="84"/>
      <c r="E19" s="84"/>
      <c r="F19" s="84"/>
      <c r="G19" s="85"/>
      <c r="H19" s="89"/>
      <c r="I19" s="84"/>
      <c r="J19" s="84"/>
      <c r="K19" s="84"/>
      <c r="L19" s="84"/>
      <c r="M19" s="84"/>
      <c r="N19" s="85"/>
      <c r="O19" s="89"/>
      <c r="P19" s="84"/>
      <c r="Q19" s="84"/>
      <c r="R19" s="84"/>
      <c r="S19" s="90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2"/>
      <c r="AX19" s="93"/>
      <c r="AY19" s="93"/>
      <c r="AZ19" s="93"/>
      <c r="BA19" s="93"/>
      <c r="BB19" s="93"/>
      <c r="BC19" s="94"/>
      <c r="BD19" s="97"/>
      <c r="BE19" s="93"/>
      <c r="BF19" s="93"/>
      <c r="BG19" s="93"/>
      <c r="BH19" s="93"/>
      <c r="BI19" s="93"/>
      <c r="BJ19" s="94"/>
      <c r="BK19" s="17"/>
    </row>
    <row r="20" spans="1:63" ht="15" customHeight="1" x14ac:dyDescent="0.25">
      <c r="A20" s="14"/>
      <c r="B20" s="86"/>
      <c r="C20" s="87"/>
      <c r="D20" s="87"/>
      <c r="E20" s="87"/>
      <c r="F20" s="87"/>
      <c r="G20" s="88"/>
      <c r="H20" s="86"/>
      <c r="I20" s="87"/>
      <c r="J20" s="87"/>
      <c r="K20" s="87"/>
      <c r="L20" s="87"/>
      <c r="M20" s="87"/>
      <c r="N20" s="88"/>
      <c r="O20" s="86"/>
      <c r="P20" s="87"/>
      <c r="Q20" s="87"/>
      <c r="R20" s="87"/>
      <c r="S20" s="113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5"/>
      <c r="AX20" s="95"/>
      <c r="AY20" s="95"/>
      <c r="AZ20" s="95"/>
      <c r="BA20" s="95"/>
      <c r="BB20" s="95"/>
      <c r="BC20" s="96"/>
      <c r="BD20" s="98"/>
      <c r="BE20" s="95"/>
      <c r="BF20" s="95"/>
      <c r="BG20" s="95"/>
      <c r="BH20" s="95"/>
      <c r="BI20" s="95"/>
      <c r="BJ20" s="96"/>
      <c r="BK20" s="17"/>
    </row>
    <row r="21" spans="1:63" ht="15" customHeight="1" x14ac:dyDescent="0.25">
      <c r="A21" s="14"/>
      <c r="B21" s="10"/>
      <c r="C21" s="9"/>
      <c r="D21" s="9"/>
      <c r="E21" s="9"/>
      <c r="F21" s="9"/>
      <c r="G21" s="8"/>
      <c r="H21" s="10"/>
      <c r="I21" s="9"/>
      <c r="J21" s="9"/>
      <c r="K21" s="9"/>
      <c r="L21" s="9"/>
      <c r="M21" s="9"/>
      <c r="N21" s="8"/>
      <c r="O21" s="10"/>
      <c r="P21" s="9"/>
      <c r="Q21" s="9"/>
      <c r="R21" s="9"/>
      <c r="S21" s="102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93"/>
      <c r="AY21" s="93"/>
      <c r="AZ21" s="93"/>
      <c r="BA21" s="93"/>
      <c r="BB21" s="93"/>
      <c r="BC21" s="94"/>
      <c r="BD21" s="97"/>
      <c r="BE21" s="93"/>
      <c r="BF21" s="93"/>
      <c r="BG21" s="93"/>
      <c r="BH21" s="93"/>
      <c r="BI21" s="93"/>
      <c r="BJ21" s="94"/>
      <c r="BK21" s="17"/>
    </row>
    <row r="22" spans="1:63" ht="15" customHeight="1" x14ac:dyDescent="0.25">
      <c r="A22" s="14"/>
      <c r="B22" s="7"/>
      <c r="C22" s="6"/>
      <c r="D22" s="6"/>
      <c r="E22" s="6"/>
      <c r="F22" s="6"/>
      <c r="G22" s="5"/>
      <c r="H22" s="7"/>
      <c r="I22" s="6"/>
      <c r="J22" s="6"/>
      <c r="K22" s="6"/>
      <c r="L22" s="6"/>
      <c r="M22" s="6"/>
      <c r="N22" s="5"/>
      <c r="O22" s="7"/>
      <c r="P22" s="6"/>
      <c r="Q22" s="6"/>
      <c r="R22" s="6"/>
      <c r="S22" s="99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1"/>
      <c r="AX22" s="95"/>
      <c r="AY22" s="95"/>
      <c r="AZ22" s="95"/>
      <c r="BA22" s="95"/>
      <c r="BB22" s="95"/>
      <c r="BC22" s="96"/>
      <c r="BD22" s="98"/>
      <c r="BE22" s="95"/>
      <c r="BF22" s="95"/>
      <c r="BG22" s="95"/>
      <c r="BH22" s="95"/>
      <c r="BI22" s="95"/>
      <c r="BJ22" s="96"/>
      <c r="BK22" s="17"/>
    </row>
    <row r="23" spans="1:63" ht="15" customHeight="1" x14ac:dyDescent="0.25">
      <c r="A23" s="14"/>
      <c r="B23" s="10"/>
      <c r="C23" s="9"/>
      <c r="D23" s="9"/>
      <c r="E23" s="9"/>
      <c r="F23" s="9"/>
      <c r="G23" s="8"/>
      <c r="H23" s="10"/>
      <c r="I23" s="9"/>
      <c r="J23" s="9"/>
      <c r="K23" s="9"/>
      <c r="L23" s="9"/>
      <c r="M23" s="9"/>
      <c r="N23" s="8"/>
      <c r="O23" s="10"/>
      <c r="P23" s="9"/>
      <c r="Q23" s="9"/>
      <c r="R23" s="9"/>
      <c r="S23" s="102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4"/>
      <c r="AX23" s="93"/>
      <c r="AY23" s="93"/>
      <c r="AZ23" s="93"/>
      <c r="BA23" s="93"/>
      <c r="BB23" s="93"/>
      <c r="BC23" s="94"/>
      <c r="BD23" s="97"/>
      <c r="BE23" s="93"/>
      <c r="BF23" s="93"/>
      <c r="BG23" s="93"/>
      <c r="BH23" s="93"/>
      <c r="BI23" s="93"/>
      <c r="BJ23" s="94"/>
      <c r="BK23" s="17"/>
    </row>
    <row r="24" spans="1:63" ht="15" customHeight="1" x14ac:dyDescent="0.25">
      <c r="A24" s="14"/>
      <c r="B24" s="7"/>
      <c r="C24" s="6"/>
      <c r="D24" s="6"/>
      <c r="E24" s="6"/>
      <c r="F24" s="6"/>
      <c r="G24" s="5"/>
      <c r="H24" s="7"/>
      <c r="I24" s="6"/>
      <c r="J24" s="6"/>
      <c r="K24" s="6"/>
      <c r="L24" s="6"/>
      <c r="M24" s="6"/>
      <c r="N24" s="5"/>
      <c r="O24" s="7"/>
      <c r="P24" s="6"/>
      <c r="Q24" s="6"/>
      <c r="R24" s="6"/>
      <c r="S24" s="99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1"/>
      <c r="AX24" s="95"/>
      <c r="AY24" s="95"/>
      <c r="AZ24" s="95"/>
      <c r="BA24" s="95"/>
      <c r="BB24" s="95"/>
      <c r="BC24" s="96"/>
      <c r="BD24" s="98"/>
      <c r="BE24" s="95"/>
      <c r="BF24" s="95"/>
      <c r="BG24" s="95"/>
      <c r="BH24" s="95"/>
      <c r="BI24" s="95"/>
      <c r="BJ24" s="96"/>
      <c r="BK24" s="17"/>
    </row>
    <row r="25" spans="1:63" ht="15" customHeight="1" x14ac:dyDescent="0.25">
      <c r="A25" s="14"/>
      <c r="B25" s="10"/>
      <c r="C25" s="9"/>
      <c r="D25" s="9"/>
      <c r="E25" s="9"/>
      <c r="F25" s="9"/>
      <c r="G25" s="8"/>
      <c r="H25" s="10"/>
      <c r="I25" s="9"/>
      <c r="J25" s="9"/>
      <c r="K25" s="9"/>
      <c r="L25" s="9"/>
      <c r="M25" s="9"/>
      <c r="N25" s="8"/>
      <c r="O25" s="10"/>
      <c r="P25" s="9"/>
      <c r="Q25" s="9"/>
      <c r="R25" s="9"/>
      <c r="S25" s="102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4"/>
      <c r="AX25" s="93"/>
      <c r="AY25" s="93"/>
      <c r="AZ25" s="93"/>
      <c r="BA25" s="93"/>
      <c r="BB25" s="93"/>
      <c r="BC25" s="94"/>
      <c r="BD25" s="97"/>
      <c r="BE25" s="93"/>
      <c r="BF25" s="93"/>
      <c r="BG25" s="93"/>
      <c r="BH25" s="93"/>
      <c r="BI25" s="93"/>
      <c r="BJ25" s="94"/>
      <c r="BK25" s="17"/>
    </row>
    <row r="26" spans="1:63" ht="15" customHeight="1" x14ac:dyDescent="0.25">
      <c r="A26" s="14"/>
      <c r="B26" s="7"/>
      <c r="C26" s="6"/>
      <c r="D26" s="6"/>
      <c r="E26" s="6"/>
      <c r="F26" s="6"/>
      <c r="G26" s="5"/>
      <c r="H26" s="7"/>
      <c r="I26" s="6"/>
      <c r="J26" s="6"/>
      <c r="K26" s="6"/>
      <c r="L26" s="6"/>
      <c r="M26" s="6"/>
      <c r="N26" s="5"/>
      <c r="O26" s="7"/>
      <c r="P26" s="6"/>
      <c r="Q26" s="6"/>
      <c r="R26" s="6"/>
      <c r="S26" s="99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1"/>
      <c r="AX26" s="95"/>
      <c r="AY26" s="95"/>
      <c r="AZ26" s="95"/>
      <c r="BA26" s="95"/>
      <c r="BB26" s="95"/>
      <c r="BC26" s="96"/>
      <c r="BD26" s="98"/>
      <c r="BE26" s="95"/>
      <c r="BF26" s="95"/>
      <c r="BG26" s="95"/>
      <c r="BH26" s="95"/>
      <c r="BI26" s="95"/>
      <c r="BJ26" s="96"/>
      <c r="BK26" s="17"/>
    </row>
    <row r="27" spans="1:63" ht="15" customHeight="1" x14ac:dyDescent="0.25">
      <c r="A27" s="14"/>
      <c r="B27" s="10"/>
      <c r="C27" s="9"/>
      <c r="D27" s="9"/>
      <c r="E27" s="9"/>
      <c r="F27" s="9"/>
      <c r="G27" s="8"/>
      <c r="H27" s="10"/>
      <c r="I27" s="9"/>
      <c r="J27" s="9"/>
      <c r="K27" s="9"/>
      <c r="L27" s="9"/>
      <c r="M27" s="9"/>
      <c r="N27" s="8"/>
      <c r="O27" s="10"/>
      <c r="P27" s="9"/>
      <c r="Q27" s="9"/>
      <c r="R27" s="9"/>
      <c r="S27" s="102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4"/>
      <c r="AX27" s="93"/>
      <c r="AY27" s="93"/>
      <c r="AZ27" s="93"/>
      <c r="BA27" s="93"/>
      <c r="BB27" s="93"/>
      <c r="BC27" s="94"/>
      <c r="BD27" s="97"/>
      <c r="BE27" s="93"/>
      <c r="BF27" s="93"/>
      <c r="BG27" s="93"/>
      <c r="BH27" s="93"/>
      <c r="BI27" s="93"/>
      <c r="BJ27" s="94"/>
      <c r="BK27" s="17"/>
    </row>
    <row r="28" spans="1:63" ht="15" customHeight="1" x14ac:dyDescent="0.25">
      <c r="A28" s="14"/>
      <c r="B28" s="7"/>
      <c r="C28" s="6"/>
      <c r="D28" s="6"/>
      <c r="E28" s="6"/>
      <c r="F28" s="6"/>
      <c r="G28" s="5"/>
      <c r="H28" s="7"/>
      <c r="I28" s="6"/>
      <c r="J28" s="6"/>
      <c r="K28" s="6"/>
      <c r="L28" s="6"/>
      <c r="M28" s="6"/>
      <c r="N28" s="5"/>
      <c r="O28" s="7"/>
      <c r="P28" s="6"/>
      <c r="Q28" s="6"/>
      <c r="R28" s="6"/>
      <c r="S28" s="99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1"/>
      <c r="AX28" s="95"/>
      <c r="AY28" s="95"/>
      <c r="AZ28" s="95"/>
      <c r="BA28" s="95"/>
      <c r="BB28" s="95"/>
      <c r="BC28" s="96"/>
      <c r="BD28" s="98"/>
      <c r="BE28" s="95"/>
      <c r="BF28" s="95"/>
      <c r="BG28" s="95"/>
      <c r="BH28" s="95"/>
      <c r="BI28" s="95"/>
      <c r="BJ28" s="96"/>
      <c r="BK28" s="17"/>
    </row>
    <row r="29" spans="1:63" ht="15" customHeight="1" x14ac:dyDescent="0.25">
      <c r="A29" s="14"/>
      <c r="B29" s="10"/>
      <c r="C29" s="9"/>
      <c r="D29" s="9"/>
      <c r="E29" s="9"/>
      <c r="F29" s="9"/>
      <c r="G29" s="8"/>
      <c r="H29" s="10"/>
      <c r="I29" s="9"/>
      <c r="J29" s="9"/>
      <c r="K29" s="9"/>
      <c r="L29" s="9"/>
      <c r="M29" s="9"/>
      <c r="N29" s="8"/>
      <c r="O29" s="10"/>
      <c r="P29" s="9"/>
      <c r="Q29" s="9"/>
      <c r="R29" s="9"/>
      <c r="S29" s="102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4"/>
      <c r="AX29" s="93"/>
      <c r="AY29" s="93"/>
      <c r="AZ29" s="93"/>
      <c r="BA29" s="93"/>
      <c r="BB29" s="93"/>
      <c r="BC29" s="94"/>
      <c r="BD29" s="97"/>
      <c r="BE29" s="93"/>
      <c r="BF29" s="93"/>
      <c r="BG29" s="93"/>
      <c r="BH29" s="93"/>
      <c r="BI29" s="93"/>
      <c r="BJ29" s="94"/>
      <c r="BK29" s="17"/>
    </row>
    <row r="30" spans="1:63" ht="15" customHeight="1" x14ac:dyDescent="0.25">
      <c r="A30" s="14"/>
      <c r="B30" s="7"/>
      <c r="C30" s="6"/>
      <c r="D30" s="6"/>
      <c r="E30" s="6"/>
      <c r="F30" s="6"/>
      <c r="G30" s="5"/>
      <c r="H30" s="7"/>
      <c r="I30" s="6"/>
      <c r="J30" s="6"/>
      <c r="K30" s="6"/>
      <c r="L30" s="6"/>
      <c r="M30" s="6"/>
      <c r="N30" s="5"/>
      <c r="O30" s="7"/>
      <c r="P30" s="6"/>
      <c r="Q30" s="6"/>
      <c r="R30" s="6"/>
      <c r="S30" s="99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1"/>
      <c r="AX30" s="95"/>
      <c r="AY30" s="95"/>
      <c r="AZ30" s="95"/>
      <c r="BA30" s="95"/>
      <c r="BB30" s="95"/>
      <c r="BC30" s="96"/>
      <c r="BD30" s="98"/>
      <c r="BE30" s="95"/>
      <c r="BF30" s="95"/>
      <c r="BG30" s="95"/>
      <c r="BH30" s="95"/>
      <c r="BI30" s="95"/>
      <c r="BJ30" s="96"/>
      <c r="BK30" s="17"/>
    </row>
    <row r="31" spans="1:63" ht="15" customHeight="1" x14ac:dyDescent="0.25">
      <c r="A31" s="14"/>
      <c r="B31" s="10"/>
      <c r="C31" s="9"/>
      <c r="D31" s="9"/>
      <c r="E31" s="9"/>
      <c r="F31" s="9"/>
      <c r="G31" s="8"/>
      <c r="H31" s="10"/>
      <c r="I31" s="9"/>
      <c r="J31" s="9"/>
      <c r="K31" s="9"/>
      <c r="L31" s="9"/>
      <c r="M31" s="9"/>
      <c r="N31" s="8"/>
      <c r="O31" s="10"/>
      <c r="P31" s="9"/>
      <c r="Q31" s="9"/>
      <c r="R31" s="9"/>
      <c r="S31" s="102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93"/>
      <c r="AY31" s="93"/>
      <c r="AZ31" s="93"/>
      <c r="BA31" s="93"/>
      <c r="BB31" s="93"/>
      <c r="BC31" s="94"/>
      <c r="BD31" s="97"/>
      <c r="BE31" s="93"/>
      <c r="BF31" s="93"/>
      <c r="BG31" s="93"/>
      <c r="BH31" s="93"/>
      <c r="BI31" s="93"/>
      <c r="BJ31" s="94"/>
      <c r="BK31" s="17"/>
    </row>
    <row r="32" spans="1:63" ht="15" customHeight="1" x14ac:dyDescent="0.25">
      <c r="A32" s="14"/>
      <c r="B32" s="7"/>
      <c r="C32" s="6"/>
      <c r="D32" s="6"/>
      <c r="E32" s="6"/>
      <c r="F32" s="6"/>
      <c r="G32" s="5"/>
      <c r="H32" s="7"/>
      <c r="I32" s="6"/>
      <c r="J32" s="6"/>
      <c r="K32" s="6"/>
      <c r="L32" s="6"/>
      <c r="M32" s="6"/>
      <c r="N32" s="5"/>
      <c r="O32" s="7"/>
      <c r="P32" s="6"/>
      <c r="Q32" s="6"/>
      <c r="R32" s="6"/>
      <c r="S32" s="99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1"/>
      <c r="AX32" s="95"/>
      <c r="AY32" s="95"/>
      <c r="AZ32" s="95"/>
      <c r="BA32" s="95"/>
      <c r="BB32" s="95"/>
      <c r="BC32" s="96"/>
      <c r="BD32" s="98"/>
      <c r="BE32" s="95"/>
      <c r="BF32" s="95"/>
      <c r="BG32" s="95"/>
      <c r="BH32" s="95"/>
      <c r="BI32" s="95"/>
      <c r="BJ32" s="96"/>
      <c r="BK32" s="17"/>
    </row>
    <row r="33" spans="1:63" ht="15" customHeight="1" x14ac:dyDescent="0.25">
      <c r="A33" s="14"/>
      <c r="B33" s="10"/>
      <c r="C33" s="9"/>
      <c r="D33" s="9"/>
      <c r="E33" s="9"/>
      <c r="F33" s="9"/>
      <c r="G33" s="8"/>
      <c r="H33" s="10"/>
      <c r="I33" s="9"/>
      <c r="J33" s="9"/>
      <c r="K33" s="9"/>
      <c r="L33" s="9"/>
      <c r="M33" s="9"/>
      <c r="N33" s="8"/>
      <c r="O33" s="10"/>
      <c r="P33" s="9"/>
      <c r="Q33" s="9"/>
      <c r="R33" s="9"/>
      <c r="S33" s="102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4"/>
      <c r="AX33" s="93"/>
      <c r="AY33" s="93"/>
      <c r="AZ33" s="93"/>
      <c r="BA33" s="93"/>
      <c r="BB33" s="93"/>
      <c r="BC33" s="94"/>
      <c r="BD33" s="97"/>
      <c r="BE33" s="93"/>
      <c r="BF33" s="93"/>
      <c r="BG33" s="93"/>
      <c r="BH33" s="93"/>
      <c r="BI33" s="93"/>
      <c r="BJ33" s="94"/>
      <c r="BK33" s="17"/>
    </row>
    <row r="34" spans="1:63" ht="15" customHeight="1" x14ac:dyDescent="0.25">
      <c r="A34" s="14"/>
      <c r="B34" s="7"/>
      <c r="C34" s="6"/>
      <c r="D34" s="6"/>
      <c r="E34" s="6"/>
      <c r="F34" s="6"/>
      <c r="G34" s="5"/>
      <c r="H34" s="7"/>
      <c r="I34" s="6"/>
      <c r="J34" s="6"/>
      <c r="K34" s="6"/>
      <c r="L34" s="6"/>
      <c r="M34" s="6"/>
      <c r="N34" s="5"/>
      <c r="O34" s="7"/>
      <c r="P34" s="6"/>
      <c r="Q34" s="6"/>
      <c r="R34" s="6"/>
      <c r="S34" s="99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1"/>
      <c r="AX34" s="95"/>
      <c r="AY34" s="95"/>
      <c r="AZ34" s="95"/>
      <c r="BA34" s="95"/>
      <c r="BB34" s="95"/>
      <c r="BC34" s="96"/>
      <c r="BD34" s="98"/>
      <c r="BE34" s="95"/>
      <c r="BF34" s="95"/>
      <c r="BG34" s="95"/>
      <c r="BH34" s="95"/>
      <c r="BI34" s="95"/>
      <c r="BJ34" s="96"/>
      <c r="BK34" s="17"/>
    </row>
    <row r="35" spans="1:63" ht="15" customHeight="1" x14ac:dyDescent="0.25">
      <c r="A35" s="14"/>
      <c r="B35" s="10"/>
      <c r="C35" s="9"/>
      <c r="D35" s="9"/>
      <c r="E35" s="9"/>
      <c r="F35" s="9"/>
      <c r="G35" s="8"/>
      <c r="H35" s="10"/>
      <c r="I35" s="9"/>
      <c r="J35" s="9"/>
      <c r="K35" s="9"/>
      <c r="L35" s="9"/>
      <c r="M35" s="9"/>
      <c r="N35" s="8"/>
      <c r="O35" s="10"/>
      <c r="P35" s="9"/>
      <c r="Q35" s="9"/>
      <c r="R35" s="9"/>
      <c r="S35" s="102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4"/>
      <c r="AX35" s="93"/>
      <c r="AY35" s="93"/>
      <c r="AZ35" s="93"/>
      <c r="BA35" s="93"/>
      <c r="BB35" s="93"/>
      <c r="BC35" s="94"/>
      <c r="BD35" s="97"/>
      <c r="BE35" s="93"/>
      <c r="BF35" s="93"/>
      <c r="BG35" s="93"/>
      <c r="BH35" s="93"/>
      <c r="BI35" s="93"/>
      <c r="BJ35" s="94"/>
      <c r="BK35" s="17"/>
    </row>
    <row r="36" spans="1:63" ht="15" customHeight="1" x14ac:dyDescent="0.25">
      <c r="A36" s="14"/>
      <c r="B36" s="7"/>
      <c r="C36" s="6"/>
      <c r="D36" s="6"/>
      <c r="E36" s="6"/>
      <c r="F36" s="6"/>
      <c r="G36" s="5"/>
      <c r="H36" s="7"/>
      <c r="I36" s="6"/>
      <c r="J36" s="6"/>
      <c r="K36" s="6"/>
      <c r="L36" s="6"/>
      <c r="M36" s="6"/>
      <c r="N36" s="5"/>
      <c r="O36" s="7"/>
      <c r="P36" s="6"/>
      <c r="Q36" s="6"/>
      <c r="R36" s="6"/>
      <c r="S36" s="99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1"/>
      <c r="AX36" s="95"/>
      <c r="AY36" s="95"/>
      <c r="AZ36" s="95"/>
      <c r="BA36" s="95"/>
      <c r="BB36" s="95"/>
      <c r="BC36" s="96"/>
      <c r="BD36" s="98"/>
      <c r="BE36" s="95"/>
      <c r="BF36" s="95"/>
      <c r="BG36" s="95"/>
      <c r="BH36" s="95"/>
      <c r="BI36" s="95"/>
      <c r="BJ36" s="96"/>
      <c r="BK36" s="17"/>
    </row>
    <row r="37" spans="1:63" ht="15" customHeight="1" x14ac:dyDescent="0.25">
      <c r="A37" s="14"/>
      <c r="B37" s="10"/>
      <c r="C37" s="9"/>
      <c r="D37" s="9"/>
      <c r="E37" s="9"/>
      <c r="F37" s="9"/>
      <c r="G37" s="8"/>
      <c r="H37" s="10"/>
      <c r="I37" s="9"/>
      <c r="J37" s="9"/>
      <c r="K37" s="9"/>
      <c r="L37" s="9"/>
      <c r="M37" s="9"/>
      <c r="N37" s="8"/>
      <c r="O37" s="10"/>
      <c r="P37" s="9"/>
      <c r="Q37" s="9"/>
      <c r="R37" s="9"/>
      <c r="S37" s="102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4"/>
      <c r="AX37" s="93"/>
      <c r="AY37" s="93"/>
      <c r="AZ37" s="93"/>
      <c r="BA37" s="93"/>
      <c r="BB37" s="93"/>
      <c r="BC37" s="94"/>
      <c r="BD37" s="97"/>
      <c r="BE37" s="93"/>
      <c r="BF37" s="93"/>
      <c r="BG37" s="93"/>
      <c r="BH37" s="93"/>
      <c r="BI37" s="93"/>
      <c r="BJ37" s="94"/>
      <c r="BK37" s="17"/>
    </row>
    <row r="38" spans="1:63" ht="15" customHeight="1" x14ac:dyDescent="0.25">
      <c r="A38" s="14"/>
      <c r="B38" s="7"/>
      <c r="C38" s="6"/>
      <c r="D38" s="6"/>
      <c r="E38" s="6"/>
      <c r="F38" s="6"/>
      <c r="G38" s="5"/>
      <c r="H38" s="7"/>
      <c r="I38" s="6"/>
      <c r="J38" s="6"/>
      <c r="K38" s="6"/>
      <c r="L38" s="6"/>
      <c r="M38" s="6"/>
      <c r="N38" s="5"/>
      <c r="O38" s="7"/>
      <c r="P38" s="6"/>
      <c r="Q38" s="6"/>
      <c r="R38" s="6"/>
      <c r="S38" s="99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1"/>
      <c r="AX38" s="95"/>
      <c r="AY38" s="95"/>
      <c r="AZ38" s="95"/>
      <c r="BA38" s="95"/>
      <c r="BB38" s="95"/>
      <c r="BC38" s="96"/>
      <c r="BD38" s="98"/>
      <c r="BE38" s="95"/>
      <c r="BF38" s="95"/>
      <c r="BG38" s="95"/>
      <c r="BH38" s="95"/>
      <c r="BI38" s="95"/>
      <c r="BJ38" s="96"/>
      <c r="BK38" s="17"/>
    </row>
    <row r="39" spans="1:63" ht="15" customHeight="1" x14ac:dyDescent="0.25">
      <c r="A39" s="14"/>
      <c r="B39" s="10"/>
      <c r="C39" s="9"/>
      <c r="D39" s="9"/>
      <c r="E39" s="9"/>
      <c r="F39" s="9"/>
      <c r="G39" s="8"/>
      <c r="H39" s="10"/>
      <c r="I39" s="9"/>
      <c r="J39" s="9"/>
      <c r="K39" s="9"/>
      <c r="L39" s="9"/>
      <c r="M39" s="9"/>
      <c r="N39" s="8"/>
      <c r="O39" s="10"/>
      <c r="P39" s="9"/>
      <c r="Q39" s="9"/>
      <c r="R39" s="9"/>
      <c r="S39" s="102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4"/>
      <c r="AX39" s="93"/>
      <c r="AY39" s="93"/>
      <c r="AZ39" s="93"/>
      <c r="BA39" s="93"/>
      <c r="BB39" s="93"/>
      <c r="BC39" s="94"/>
      <c r="BD39" s="97"/>
      <c r="BE39" s="93"/>
      <c r="BF39" s="93"/>
      <c r="BG39" s="93"/>
      <c r="BH39" s="93"/>
      <c r="BI39" s="93"/>
      <c r="BJ39" s="94"/>
      <c r="BK39" s="17"/>
    </row>
    <row r="40" spans="1:63" ht="15" customHeight="1" x14ac:dyDescent="0.25">
      <c r="A40" s="14"/>
      <c r="B40" s="7"/>
      <c r="C40" s="6"/>
      <c r="D40" s="6"/>
      <c r="E40" s="6"/>
      <c r="F40" s="6"/>
      <c r="G40" s="5"/>
      <c r="H40" s="7"/>
      <c r="I40" s="6"/>
      <c r="J40" s="6"/>
      <c r="K40" s="6"/>
      <c r="L40" s="6"/>
      <c r="M40" s="6"/>
      <c r="N40" s="5"/>
      <c r="O40" s="7"/>
      <c r="P40" s="6"/>
      <c r="Q40" s="6"/>
      <c r="R40" s="6"/>
      <c r="S40" s="99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1"/>
      <c r="AX40" s="95"/>
      <c r="AY40" s="95"/>
      <c r="AZ40" s="95"/>
      <c r="BA40" s="95"/>
      <c r="BB40" s="95"/>
      <c r="BC40" s="96"/>
      <c r="BD40" s="98"/>
      <c r="BE40" s="95"/>
      <c r="BF40" s="95"/>
      <c r="BG40" s="95"/>
      <c r="BH40" s="95"/>
      <c r="BI40" s="95"/>
      <c r="BJ40" s="96"/>
      <c r="BK40" s="17"/>
    </row>
    <row r="41" spans="1:63" ht="15" customHeight="1" x14ac:dyDescent="0.25">
      <c r="A41" s="14"/>
      <c r="B41" s="10"/>
      <c r="C41" s="9"/>
      <c r="D41" s="9"/>
      <c r="E41" s="9"/>
      <c r="F41" s="9"/>
      <c r="G41" s="8"/>
      <c r="H41" s="10"/>
      <c r="I41" s="9"/>
      <c r="J41" s="9"/>
      <c r="K41" s="9"/>
      <c r="L41" s="9"/>
      <c r="M41" s="9"/>
      <c r="N41" s="8"/>
      <c r="O41" s="10"/>
      <c r="P41" s="9"/>
      <c r="Q41" s="9"/>
      <c r="R41" s="9"/>
      <c r="S41" s="102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4"/>
      <c r="AX41" s="93"/>
      <c r="AY41" s="93"/>
      <c r="AZ41" s="93"/>
      <c r="BA41" s="93"/>
      <c r="BB41" s="93"/>
      <c r="BC41" s="94"/>
      <c r="BD41" s="97"/>
      <c r="BE41" s="93"/>
      <c r="BF41" s="93"/>
      <c r="BG41" s="93"/>
      <c r="BH41" s="93"/>
      <c r="BI41" s="93"/>
      <c r="BJ41" s="94"/>
      <c r="BK41" s="17"/>
    </row>
    <row r="42" spans="1:63" ht="15" customHeight="1" x14ac:dyDescent="0.25">
      <c r="A42" s="14"/>
      <c r="B42" s="7"/>
      <c r="C42" s="6"/>
      <c r="D42" s="6"/>
      <c r="E42" s="6"/>
      <c r="F42" s="6"/>
      <c r="G42" s="5"/>
      <c r="H42" s="7"/>
      <c r="I42" s="6"/>
      <c r="J42" s="6"/>
      <c r="K42" s="6"/>
      <c r="L42" s="6"/>
      <c r="M42" s="6"/>
      <c r="N42" s="5"/>
      <c r="O42" s="7"/>
      <c r="P42" s="6"/>
      <c r="Q42" s="6"/>
      <c r="R42" s="6"/>
      <c r="S42" s="99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1"/>
      <c r="AX42" s="95"/>
      <c r="AY42" s="95"/>
      <c r="AZ42" s="95"/>
      <c r="BA42" s="95"/>
      <c r="BB42" s="95"/>
      <c r="BC42" s="96"/>
      <c r="BD42" s="98"/>
      <c r="BE42" s="95"/>
      <c r="BF42" s="95"/>
      <c r="BG42" s="95"/>
      <c r="BH42" s="95"/>
      <c r="BI42" s="95"/>
      <c r="BJ42" s="96"/>
      <c r="BK42" s="17"/>
    </row>
    <row r="43" spans="1:63" ht="15" customHeight="1" x14ac:dyDescent="0.25">
      <c r="A43" s="14"/>
      <c r="B43" s="10"/>
      <c r="C43" s="9"/>
      <c r="D43" s="9"/>
      <c r="E43" s="9"/>
      <c r="F43" s="9"/>
      <c r="G43" s="8"/>
      <c r="H43" s="10"/>
      <c r="I43" s="9"/>
      <c r="J43" s="9"/>
      <c r="K43" s="9"/>
      <c r="L43" s="9"/>
      <c r="M43" s="9"/>
      <c r="N43" s="8"/>
      <c r="O43" s="10"/>
      <c r="P43" s="9"/>
      <c r="Q43" s="9"/>
      <c r="R43" s="9"/>
      <c r="S43" s="102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4"/>
      <c r="AX43" s="93"/>
      <c r="AY43" s="93"/>
      <c r="AZ43" s="93"/>
      <c r="BA43" s="93"/>
      <c r="BB43" s="93"/>
      <c r="BC43" s="94"/>
      <c r="BD43" s="97"/>
      <c r="BE43" s="93"/>
      <c r="BF43" s="93"/>
      <c r="BG43" s="93"/>
      <c r="BH43" s="93"/>
      <c r="BI43" s="93"/>
      <c r="BJ43" s="94"/>
      <c r="BK43" s="17"/>
    </row>
    <row r="44" spans="1:63" ht="15" customHeight="1" x14ac:dyDescent="0.25">
      <c r="A44" s="14"/>
      <c r="B44" s="7"/>
      <c r="C44" s="6"/>
      <c r="D44" s="6"/>
      <c r="E44" s="6"/>
      <c r="F44" s="6"/>
      <c r="G44" s="5"/>
      <c r="H44" s="7"/>
      <c r="I44" s="6"/>
      <c r="J44" s="6"/>
      <c r="K44" s="6"/>
      <c r="L44" s="6"/>
      <c r="M44" s="6"/>
      <c r="N44" s="5"/>
      <c r="O44" s="7"/>
      <c r="P44" s="6"/>
      <c r="Q44" s="6"/>
      <c r="R44" s="6"/>
      <c r="S44" s="99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1"/>
      <c r="AX44" s="95"/>
      <c r="AY44" s="95"/>
      <c r="AZ44" s="95"/>
      <c r="BA44" s="95"/>
      <c r="BB44" s="95"/>
      <c r="BC44" s="96"/>
      <c r="BD44" s="98"/>
      <c r="BE44" s="95"/>
      <c r="BF44" s="95"/>
      <c r="BG44" s="95"/>
      <c r="BH44" s="95"/>
      <c r="BI44" s="95"/>
      <c r="BJ44" s="96"/>
      <c r="BK44" s="17"/>
    </row>
    <row r="45" spans="1:63" ht="15" customHeight="1" x14ac:dyDescent="0.25">
      <c r="A45" s="14"/>
      <c r="B45" s="10"/>
      <c r="C45" s="9"/>
      <c r="D45" s="9"/>
      <c r="E45" s="9"/>
      <c r="F45" s="9"/>
      <c r="G45" s="8"/>
      <c r="H45" s="10"/>
      <c r="I45" s="9"/>
      <c r="J45" s="9"/>
      <c r="K45" s="9"/>
      <c r="L45" s="9"/>
      <c r="M45" s="9"/>
      <c r="N45" s="8"/>
      <c r="O45" s="10"/>
      <c r="P45" s="9"/>
      <c r="Q45" s="9"/>
      <c r="R45" s="9"/>
      <c r="S45" s="102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4"/>
      <c r="AX45" s="93"/>
      <c r="AY45" s="93"/>
      <c r="AZ45" s="93"/>
      <c r="BA45" s="93"/>
      <c r="BB45" s="93"/>
      <c r="BC45" s="94"/>
      <c r="BD45" s="97"/>
      <c r="BE45" s="93"/>
      <c r="BF45" s="93"/>
      <c r="BG45" s="93"/>
      <c r="BH45" s="93"/>
      <c r="BI45" s="93"/>
      <c r="BJ45" s="94"/>
      <c r="BK45" s="17"/>
    </row>
    <row r="46" spans="1:63" ht="15" customHeight="1" x14ac:dyDescent="0.25">
      <c r="A46" s="14"/>
      <c r="B46" s="7"/>
      <c r="C46" s="6"/>
      <c r="D46" s="6"/>
      <c r="E46" s="6"/>
      <c r="F46" s="6"/>
      <c r="G46" s="5"/>
      <c r="H46" s="7"/>
      <c r="I46" s="6"/>
      <c r="J46" s="6"/>
      <c r="K46" s="6"/>
      <c r="L46" s="6"/>
      <c r="M46" s="6"/>
      <c r="N46" s="5"/>
      <c r="O46" s="7"/>
      <c r="P46" s="6"/>
      <c r="Q46" s="6"/>
      <c r="R46" s="6"/>
      <c r="S46" s="99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1"/>
      <c r="AX46" s="95"/>
      <c r="AY46" s="95"/>
      <c r="AZ46" s="95"/>
      <c r="BA46" s="95"/>
      <c r="BB46" s="95"/>
      <c r="BC46" s="96"/>
      <c r="BD46" s="98"/>
      <c r="BE46" s="95"/>
      <c r="BF46" s="95"/>
      <c r="BG46" s="95"/>
      <c r="BH46" s="95"/>
      <c r="BI46" s="95"/>
      <c r="BJ46" s="96"/>
      <c r="BK46" s="17"/>
    </row>
    <row r="47" spans="1:63" ht="15" customHeight="1" x14ac:dyDescent="0.25">
      <c r="A47" s="14"/>
      <c r="B47" s="10"/>
      <c r="C47" s="9"/>
      <c r="D47" s="9"/>
      <c r="E47" s="9"/>
      <c r="F47" s="9"/>
      <c r="G47" s="8"/>
      <c r="H47" s="10"/>
      <c r="I47" s="9"/>
      <c r="J47" s="9"/>
      <c r="K47" s="9"/>
      <c r="L47" s="9"/>
      <c r="M47" s="9"/>
      <c r="N47" s="8"/>
      <c r="O47" s="10"/>
      <c r="P47" s="9"/>
      <c r="Q47" s="9"/>
      <c r="R47" s="9"/>
      <c r="S47" s="102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4"/>
      <c r="AX47" s="93"/>
      <c r="AY47" s="93"/>
      <c r="AZ47" s="93"/>
      <c r="BA47" s="93"/>
      <c r="BB47" s="93"/>
      <c r="BC47" s="94"/>
      <c r="BD47" s="97"/>
      <c r="BE47" s="93"/>
      <c r="BF47" s="93"/>
      <c r="BG47" s="93"/>
      <c r="BH47" s="93"/>
      <c r="BI47" s="93"/>
      <c r="BJ47" s="94"/>
      <c r="BK47" s="17"/>
    </row>
    <row r="48" spans="1:63" ht="15" customHeight="1" x14ac:dyDescent="0.25">
      <c r="A48" s="14"/>
      <c r="B48" s="7"/>
      <c r="C48" s="6"/>
      <c r="D48" s="6"/>
      <c r="E48" s="6"/>
      <c r="F48" s="6"/>
      <c r="G48" s="5"/>
      <c r="H48" s="7"/>
      <c r="I48" s="6"/>
      <c r="J48" s="6"/>
      <c r="K48" s="6"/>
      <c r="L48" s="6"/>
      <c r="M48" s="6"/>
      <c r="N48" s="5"/>
      <c r="O48" s="7"/>
      <c r="P48" s="6"/>
      <c r="Q48" s="6"/>
      <c r="R48" s="6"/>
      <c r="S48" s="99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1"/>
      <c r="AX48" s="95"/>
      <c r="AY48" s="95"/>
      <c r="AZ48" s="95"/>
      <c r="BA48" s="95"/>
      <c r="BB48" s="95"/>
      <c r="BC48" s="96"/>
      <c r="BD48" s="98"/>
      <c r="BE48" s="95"/>
      <c r="BF48" s="95"/>
      <c r="BG48" s="95"/>
      <c r="BH48" s="95"/>
      <c r="BI48" s="95"/>
      <c r="BJ48" s="96"/>
      <c r="BK48" s="17"/>
    </row>
    <row r="49" spans="1:63" ht="15" customHeight="1" x14ac:dyDescent="0.25">
      <c r="A49" s="14"/>
      <c r="B49" s="10"/>
      <c r="C49" s="9"/>
      <c r="D49" s="9"/>
      <c r="E49" s="9"/>
      <c r="F49" s="9"/>
      <c r="G49" s="8"/>
      <c r="H49" s="10"/>
      <c r="I49" s="9"/>
      <c r="J49" s="9"/>
      <c r="K49" s="9"/>
      <c r="L49" s="9"/>
      <c r="M49" s="9"/>
      <c r="N49" s="8"/>
      <c r="O49" s="10"/>
      <c r="P49" s="9"/>
      <c r="Q49" s="9"/>
      <c r="R49" s="9"/>
      <c r="S49" s="102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4"/>
      <c r="AX49" s="93"/>
      <c r="AY49" s="93"/>
      <c r="AZ49" s="93"/>
      <c r="BA49" s="93"/>
      <c r="BB49" s="93"/>
      <c r="BC49" s="94"/>
      <c r="BD49" s="97"/>
      <c r="BE49" s="93"/>
      <c r="BF49" s="93"/>
      <c r="BG49" s="93"/>
      <c r="BH49" s="93"/>
      <c r="BI49" s="93"/>
      <c r="BJ49" s="94"/>
      <c r="BK49" s="17"/>
    </row>
    <row r="50" spans="1:63" ht="15" customHeight="1" x14ac:dyDescent="0.25">
      <c r="A50" s="14"/>
      <c r="B50" s="7"/>
      <c r="C50" s="6"/>
      <c r="D50" s="6"/>
      <c r="E50" s="6"/>
      <c r="F50" s="6"/>
      <c r="G50" s="5"/>
      <c r="H50" s="7"/>
      <c r="I50" s="6"/>
      <c r="J50" s="6"/>
      <c r="K50" s="6"/>
      <c r="L50" s="6"/>
      <c r="M50" s="6"/>
      <c r="N50" s="5"/>
      <c r="O50" s="7"/>
      <c r="P50" s="6"/>
      <c r="Q50" s="6"/>
      <c r="R50" s="6"/>
      <c r="S50" s="99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1"/>
      <c r="AX50" s="95"/>
      <c r="AY50" s="95"/>
      <c r="AZ50" s="95"/>
      <c r="BA50" s="95"/>
      <c r="BB50" s="95"/>
      <c r="BC50" s="96"/>
      <c r="BD50" s="98"/>
      <c r="BE50" s="95"/>
      <c r="BF50" s="95"/>
      <c r="BG50" s="95"/>
      <c r="BH50" s="95"/>
      <c r="BI50" s="95"/>
      <c r="BJ50" s="96"/>
      <c r="BK50" s="17"/>
    </row>
    <row r="51" spans="1:63" ht="15" customHeight="1" x14ac:dyDescent="0.25">
      <c r="A51" s="14"/>
      <c r="B51" s="10"/>
      <c r="C51" s="9"/>
      <c r="D51" s="9"/>
      <c r="E51" s="9"/>
      <c r="F51" s="9"/>
      <c r="G51" s="8"/>
      <c r="H51" s="10"/>
      <c r="I51" s="9"/>
      <c r="J51" s="9"/>
      <c r="K51" s="9"/>
      <c r="L51" s="9"/>
      <c r="M51" s="9"/>
      <c r="N51" s="8"/>
      <c r="O51" s="10"/>
      <c r="P51" s="9"/>
      <c r="Q51" s="9"/>
      <c r="R51" s="9"/>
      <c r="S51" s="102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4"/>
      <c r="AX51" s="93"/>
      <c r="AY51" s="93"/>
      <c r="AZ51" s="93"/>
      <c r="BA51" s="93"/>
      <c r="BB51" s="93"/>
      <c r="BC51" s="94"/>
      <c r="BD51" s="97"/>
      <c r="BE51" s="93"/>
      <c r="BF51" s="93"/>
      <c r="BG51" s="93"/>
      <c r="BH51" s="93"/>
      <c r="BI51" s="93"/>
      <c r="BJ51" s="94"/>
      <c r="BK51" s="17"/>
    </row>
    <row r="52" spans="1:63" ht="15" customHeight="1" x14ac:dyDescent="0.25">
      <c r="A52" s="14"/>
      <c r="B52" s="7"/>
      <c r="C52" s="6"/>
      <c r="D52" s="6"/>
      <c r="E52" s="6"/>
      <c r="F52" s="6"/>
      <c r="G52" s="5"/>
      <c r="H52" s="7"/>
      <c r="I52" s="6"/>
      <c r="J52" s="6"/>
      <c r="K52" s="6"/>
      <c r="L52" s="6"/>
      <c r="M52" s="6"/>
      <c r="N52" s="5"/>
      <c r="O52" s="7"/>
      <c r="P52" s="6"/>
      <c r="Q52" s="6"/>
      <c r="R52" s="6"/>
      <c r="S52" s="99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1"/>
      <c r="AX52" s="95"/>
      <c r="AY52" s="95"/>
      <c r="AZ52" s="95"/>
      <c r="BA52" s="95"/>
      <c r="BB52" s="95"/>
      <c r="BC52" s="96"/>
      <c r="BD52" s="98"/>
      <c r="BE52" s="95"/>
      <c r="BF52" s="95"/>
      <c r="BG52" s="95"/>
      <c r="BH52" s="95"/>
      <c r="BI52" s="95"/>
      <c r="BJ52" s="96"/>
      <c r="BK52" s="17"/>
    </row>
    <row r="53" spans="1:63" ht="15" customHeight="1" x14ac:dyDescent="0.25">
      <c r="A53" s="14"/>
      <c r="B53" s="10"/>
      <c r="C53" s="9"/>
      <c r="D53" s="9"/>
      <c r="E53" s="9"/>
      <c r="F53" s="9"/>
      <c r="G53" s="8"/>
      <c r="H53" s="10"/>
      <c r="I53" s="9"/>
      <c r="J53" s="9"/>
      <c r="K53" s="9"/>
      <c r="L53" s="9"/>
      <c r="M53" s="9"/>
      <c r="N53" s="8"/>
      <c r="O53" s="10"/>
      <c r="P53" s="9"/>
      <c r="Q53" s="9"/>
      <c r="R53" s="9"/>
      <c r="S53" s="102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4"/>
      <c r="AX53" s="93"/>
      <c r="AY53" s="93"/>
      <c r="AZ53" s="93"/>
      <c r="BA53" s="93"/>
      <c r="BB53" s="93"/>
      <c r="BC53" s="94"/>
      <c r="BD53" s="97"/>
      <c r="BE53" s="93"/>
      <c r="BF53" s="93"/>
      <c r="BG53" s="93"/>
      <c r="BH53" s="93"/>
      <c r="BI53" s="93"/>
      <c r="BJ53" s="94"/>
      <c r="BK53" s="17"/>
    </row>
    <row r="54" spans="1:63" ht="15" customHeight="1" x14ac:dyDescent="0.25">
      <c r="A54" s="14"/>
      <c r="B54" s="7"/>
      <c r="C54" s="6"/>
      <c r="D54" s="6"/>
      <c r="E54" s="6"/>
      <c r="F54" s="6"/>
      <c r="G54" s="5"/>
      <c r="H54" s="7"/>
      <c r="I54" s="6"/>
      <c r="J54" s="6"/>
      <c r="K54" s="6"/>
      <c r="L54" s="6"/>
      <c r="M54" s="6"/>
      <c r="N54" s="5"/>
      <c r="O54" s="7"/>
      <c r="P54" s="6"/>
      <c r="Q54" s="6"/>
      <c r="R54" s="6"/>
      <c r="S54" s="99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1"/>
      <c r="AX54" s="95"/>
      <c r="AY54" s="95"/>
      <c r="AZ54" s="95"/>
      <c r="BA54" s="95"/>
      <c r="BB54" s="95"/>
      <c r="BC54" s="96"/>
      <c r="BD54" s="98"/>
      <c r="BE54" s="95"/>
      <c r="BF54" s="95"/>
      <c r="BG54" s="95"/>
      <c r="BH54" s="95"/>
      <c r="BI54" s="95"/>
      <c r="BJ54" s="96"/>
      <c r="BK54" s="17"/>
    </row>
    <row r="55" spans="1:63" ht="15" customHeight="1" x14ac:dyDescent="0.2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62" t="s">
        <v>58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59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">
        <v>56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02" t="s">
        <v>60</v>
      </c>
      <c r="AQ1" s="203"/>
      <c r="AR1" s="203"/>
      <c r="AS1" s="204"/>
      <c r="AT1" s="202" t="s">
        <v>61</v>
      </c>
      <c r="AU1" s="203"/>
      <c r="AV1" s="203"/>
      <c r="AW1" s="203"/>
      <c r="AX1" s="204"/>
      <c r="AY1" s="202" t="s">
        <v>62</v>
      </c>
      <c r="AZ1" s="203"/>
      <c r="BA1" s="203"/>
      <c r="BB1" s="204"/>
      <c r="BC1" s="202" t="s">
        <v>63</v>
      </c>
      <c r="BD1" s="203"/>
      <c r="BE1" s="203"/>
      <c r="BF1" s="203"/>
      <c r="BG1" s="204"/>
      <c r="BH1" s="202" t="s">
        <v>64</v>
      </c>
      <c r="BI1" s="203"/>
      <c r="BJ1" s="203"/>
      <c r="BK1" s="204"/>
    </row>
    <row r="2" spans="1:63" ht="15" customHeight="1" x14ac:dyDescent="0.25">
      <c r="A2" s="139" t="s">
        <v>55</v>
      </c>
      <c r="B2" s="140"/>
      <c r="C2" s="140"/>
      <c r="D2" s="140"/>
      <c r="E2" s="140"/>
      <c r="F2" s="140"/>
      <c r="G2" s="140"/>
      <c r="H2" s="140"/>
      <c r="I2" s="140"/>
      <c r="J2" s="141"/>
      <c r="K2" s="139" t="s">
        <v>55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11" t="s">
        <v>52</v>
      </c>
      <c r="AQ2" s="209"/>
      <c r="AR2" s="209"/>
      <c r="AS2" s="210"/>
      <c r="AT2" s="215">
        <v>45782</v>
      </c>
      <c r="AU2" s="216"/>
      <c r="AV2" s="216"/>
      <c r="AW2" s="216"/>
      <c r="AX2" s="217"/>
      <c r="AY2" s="211" t="s">
        <v>53</v>
      </c>
      <c r="AZ2" s="209"/>
      <c r="BA2" s="209"/>
      <c r="BB2" s="210"/>
      <c r="BC2" s="215">
        <v>45796</v>
      </c>
      <c r="BD2" s="216"/>
      <c r="BE2" s="216"/>
      <c r="BF2" s="216"/>
      <c r="BG2" s="217"/>
      <c r="BH2" s="211">
        <v>0.12</v>
      </c>
      <c r="BI2" s="209"/>
      <c r="BJ2" s="209"/>
      <c r="BK2" s="210"/>
    </row>
    <row r="3" spans="1:63" ht="15" customHeight="1" x14ac:dyDescent="0.25">
      <c r="A3" s="142"/>
      <c r="B3" s="143"/>
      <c r="C3" s="143"/>
      <c r="D3" s="143"/>
      <c r="E3" s="143"/>
      <c r="F3" s="143"/>
      <c r="G3" s="143"/>
      <c r="H3" s="143"/>
      <c r="I3" s="143"/>
      <c r="J3" s="144"/>
      <c r="K3" s="142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62" t="s">
        <v>65</v>
      </c>
      <c r="B4" s="263"/>
      <c r="C4" s="263"/>
      <c r="D4" s="263"/>
      <c r="E4" s="263"/>
      <c r="F4" s="263"/>
      <c r="G4" s="264"/>
      <c r="H4" s="135" t="s">
        <v>54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262" t="s">
        <v>66</v>
      </c>
      <c r="V4" s="263"/>
      <c r="W4" s="263"/>
      <c r="X4" s="263"/>
      <c r="Y4" s="264"/>
      <c r="Z4" s="135" t="s">
        <v>57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8" t="str">
        <f ca="1">MID(CELL("filename",A1),FIND("]",CELL("filename",A1))+1,255)</f>
        <v>処理フロー凡例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208" customFormat="1" ht="15" customHeight="1" x14ac:dyDescent="0.25">
      <c r="A7" s="274"/>
      <c r="B7" s="275" t="s">
        <v>71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7"/>
      <c r="AF7" s="278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7"/>
      <c r="BJ7" s="276"/>
      <c r="BK7" s="279"/>
    </row>
    <row r="8" spans="1:63" s="280" customFormat="1" ht="15" customHeight="1" x14ac:dyDescent="0.25">
      <c r="BK8" s="279"/>
    </row>
    <row r="9" spans="1:63" s="280" customFormat="1" ht="15" customHeight="1" x14ac:dyDescent="0.25">
      <c r="BK9" s="279"/>
    </row>
    <row r="10" spans="1:63" s="280" customFormat="1" ht="15" customHeight="1" x14ac:dyDescent="0.25">
      <c r="BK10" s="279"/>
    </row>
    <row r="11" spans="1:63" s="280" customFormat="1" ht="15" customHeight="1" x14ac:dyDescent="0.25">
      <c r="BK11" s="279"/>
    </row>
    <row r="12" spans="1:63" s="280" customFormat="1" ht="15" customHeight="1" x14ac:dyDescent="0.25">
      <c r="BK12" s="279"/>
    </row>
    <row r="13" spans="1:63" s="280" customFormat="1" ht="15" customHeight="1" x14ac:dyDescent="0.25">
      <c r="BK13" s="279"/>
    </row>
    <row r="14" spans="1:63" s="280" customFormat="1" ht="15" customHeight="1" x14ac:dyDescent="0.25">
      <c r="BK14" s="279"/>
    </row>
    <row r="15" spans="1:63" s="280" customFormat="1" ht="15" customHeight="1" x14ac:dyDescent="0.25">
      <c r="BK15" s="279"/>
    </row>
    <row r="16" spans="1:63" s="280" customFormat="1" ht="15" customHeight="1" x14ac:dyDescent="0.25">
      <c r="BK16" s="279"/>
    </row>
    <row r="17" spans="63:63" s="280" customFormat="1" ht="15" customHeight="1" x14ac:dyDescent="0.25">
      <c r="BK17" s="279"/>
    </row>
    <row r="18" spans="63:63" s="280" customFormat="1" ht="15" customHeight="1" x14ac:dyDescent="0.25">
      <c r="BK18" s="279"/>
    </row>
    <row r="19" spans="63:63" s="280" customFormat="1" ht="15" customHeight="1" x14ac:dyDescent="0.25">
      <c r="BK19" s="279"/>
    </row>
    <row r="20" spans="63:63" s="280" customFormat="1" ht="15" customHeight="1" x14ac:dyDescent="0.25">
      <c r="BK20" s="279"/>
    </row>
    <row r="21" spans="63:63" s="280" customFormat="1" ht="15" customHeight="1" x14ac:dyDescent="0.25">
      <c r="BK21" s="279"/>
    </row>
    <row r="22" spans="63:63" s="280" customFormat="1" ht="15" customHeight="1" x14ac:dyDescent="0.25">
      <c r="BK22" s="279"/>
    </row>
    <row r="23" spans="63:63" s="280" customFormat="1" ht="15" customHeight="1" x14ac:dyDescent="0.25">
      <c r="BK23" s="279"/>
    </row>
    <row r="24" spans="63:63" s="280" customFormat="1" ht="15" customHeight="1" x14ac:dyDescent="0.25">
      <c r="BK24" s="279"/>
    </row>
    <row r="25" spans="63:63" s="280" customFormat="1" ht="15" customHeight="1" x14ac:dyDescent="0.25">
      <c r="BK25" s="279"/>
    </row>
    <row r="26" spans="63:63" s="280" customFormat="1" ht="15" customHeight="1" x14ac:dyDescent="0.25">
      <c r="BK26" s="279"/>
    </row>
    <row r="27" spans="63:63" s="280" customFormat="1" ht="15" customHeight="1" x14ac:dyDescent="0.25">
      <c r="BK27" s="279"/>
    </row>
    <row r="28" spans="63:63" s="280" customFormat="1" ht="15" customHeight="1" x14ac:dyDescent="0.25">
      <c r="BK28" s="279"/>
    </row>
    <row r="29" spans="63:63" s="280" customFormat="1" ht="15" customHeight="1" x14ac:dyDescent="0.25">
      <c r="BK29" s="279"/>
    </row>
    <row r="30" spans="63:63" s="280" customFormat="1" ht="15" customHeight="1" x14ac:dyDescent="0.25">
      <c r="BK30" s="279"/>
    </row>
    <row r="31" spans="63:63" s="280" customFormat="1" ht="15" customHeight="1" x14ac:dyDescent="0.25">
      <c r="BK31" s="279"/>
    </row>
    <row r="32" spans="63:63" s="280" customFormat="1" ht="15" customHeight="1" x14ac:dyDescent="0.25">
      <c r="BK32" s="279"/>
    </row>
    <row r="33" spans="63:63" s="280" customFormat="1" ht="15" customHeight="1" x14ac:dyDescent="0.25">
      <c r="BK33" s="279"/>
    </row>
    <row r="34" spans="63:63" s="280" customFormat="1" ht="15" customHeight="1" x14ac:dyDescent="0.25">
      <c r="BK34" s="279"/>
    </row>
    <row r="35" spans="63:63" s="280" customFormat="1" ht="15" customHeight="1" x14ac:dyDescent="0.25">
      <c r="BK35" s="279"/>
    </row>
    <row r="36" spans="63:63" s="280" customFormat="1" ht="15" customHeight="1" x14ac:dyDescent="0.25">
      <c r="BK36" s="279"/>
    </row>
    <row r="37" spans="63:63" s="280" customFormat="1" ht="15" customHeight="1" x14ac:dyDescent="0.25">
      <c r="BK37" s="279"/>
    </row>
    <row r="38" spans="63:63" s="280" customFormat="1" ht="15" customHeight="1" x14ac:dyDescent="0.25">
      <c r="BK38" s="279"/>
    </row>
    <row r="39" spans="63:63" s="280" customFormat="1" ht="15" customHeight="1" x14ac:dyDescent="0.25">
      <c r="BK39" s="279"/>
    </row>
    <row r="40" spans="63:63" s="280" customFormat="1" ht="15" customHeight="1" x14ac:dyDescent="0.25">
      <c r="BK40" s="279"/>
    </row>
    <row r="41" spans="63:63" s="280" customFormat="1" ht="15" customHeight="1" x14ac:dyDescent="0.25">
      <c r="BK41" s="279"/>
    </row>
    <row r="42" spans="63:63" s="280" customFormat="1" ht="15" customHeight="1" x14ac:dyDescent="0.25">
      <c r="BK42" s="279"/>
    </row>
    <row r="43" spans="63:63" s="280" customFormat="1" ht="15" customHeight="1" x14ac:dyDescent="0.25">
      <c r="BK43" s="279"/>
    </row>
    <row r="44" spans="63:63" s="280" customFormat="1" ht="15" customHeight="1" x14ac:dyDescent="0.25">
      <c r="BK44" s="279"/>
    </row>
    <row r="45" spans="63:63" s="280" customFormat="1" ht="15" customHeight="1" x14ac:dyDescent="0.25">
      <c r="BK45" s="279"/>
    </row>
    <row r="46" spans="63:63" s="280" customFormat="1" ht="15" customHeight="1" x14ac:dyDescent="0.25">
      <c r="BK46" s="279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F0"/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62" t="s">
        <v>58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59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">
        <v>56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02" t="s">
        <v>60</v>
      </c>
      <c r="AQ1" s="203"/>
      <c r="AR1" s="203"/>
      <c r="AS1" s="204"/>
      <c r="AT1" s="202" t="s">
        <v>61</v>
      </c>
      <c r="AU1" s="203"/>
      <c r="AV1" s="203"/>
      <c r="AW1" s="203"/>
      <c r="AX1" s="204"/>
      <c r="AY1" s="202" t="s">
        <v>62</v>
      </c>
      <c r="AZ1" s="203"/>
      <c r="BA1" s="203"/>
      <c r="BB1" s="204"/>
      <c r="BC1" s="202" t="s">
        <v>63</v>
      </c>
      <c r="BD1" s="203"/>
      <c r="BE1" s="203"/>
      <c r="BF1" s="203"/>
      <c r="BG1" s="204"/>
      <c r="BH1" s="202" t="s">
        <v>64</v>
      </c>
      <c r="BI1" s="203"/>
      <c r="BJ1" s="203"/>
      <c r="BK1" s="204"/>
    </row>
    <row r="2" spans="1:63" ht="15" customHeight="1" x14ac:dyDescent="0.25">
      <c r="A2" s="139" t="s">
        <v>55</v>
      </c>
      <c r="B2" s="140"/>
      <c r="C2" s="140"/>
      <c r="D2" s="140"/>
      <c r="E2" s="140"/>
      <c r="F2" s="140"/>
      <c r="G2" s="140"/>
      <c r="H2" s="140"/>
      <c r="I2" s="140"/>
      <c r="J2" s="141"/>
      <c r="K2" s="139" t="s">
        <v>55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11" t="s">
        <v>52</v>
      </c>
      <c r="AQ2" s="209"/>
      <c r="AR2" s="209"/>
      <c r="AS2" s="210"/>
      <c r="AT2" s="215">
        <v>45782</v>
      </c>
      <c r="AU2" s="216"/>
      <c r="AV2" s="216"/>
      <c r="AW2" s="216"/>
      <c r="AX2" s="217"/>
      <c r="AY2" s="211" t="s">
        <v>53</v>
      </c>
      <c r="AZ2" s="209"/>
      <c r="BA2" s="209"/>
      <c r="BB2" s="210"/>
      <c r="BC2" s="215">
        <v>45796</v>
      </c>
      <c r="BD2" s="216"/>
      <c r="BE2" s="216"/>
      <c r="BF2" s="216"/>
      <c r="BG2" s="217"/>
      <c r="BH2" s="211">
        <v>0.12</v>
      </c>
      <c r="BI2" s="209"/>
      <c r="BJ2" s="209"/>
      <c r="BK2" s="210"/>
    </row>
    <row r="3" spans="1:63" ht="15" customHeight="1" x14ac:dyDescent="0.25">
      <c r="A3" s="142"/>
      <c r="B3" s="143"/>
      <c r="C3" s="143"/>
      <c r="D3" s="143"/>
      <c r="E3" s="143"/>
      <c r="F3" s="143"/>
      <c r="G3" s="143"/>
      <c r="H3" s="143"/>
      <c r="I3" s="143"/>
      <c r="J3" s="144"/>
      <c r="K3" s="142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62" t="s">
        <v>65</v>
      </c>
      <c r="B4" s="263"/>
      <c r="C4" s="263"/>
      <c r="D4" s="263"/>
      <c r="E4" s="263"/>
      <c r="F4" s="263"/>
      <c r="G4" s="264"/>
      <c r="H4" s="135" t="s">
        <v>54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262" t="s">
        <v>66</v>
      </c>
      <c r="V4" s="263"/>
      <c r="W4" s="263"/>
      <c r="X4" s="263"/>
      <c r="Y4" s="264"/>
      <c r="Z4" s="135" t="s">
        <v>57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8" t="str">
        <f ca="1">MID(CELL("filename",A1),FIND("]",CELL("filename",A1))+1,255)</f>
        <v>AP9902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34" customFormat="1" ht="15" customHeight="1" x14ac:dyDescent="0.25">
      <c r="A7" s="29"/>
      <c r="B7" s="30" t="s">
        <v>72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281"/>
      <c r="AQ7" s="281"/>
      <c r="AR7" s="281"/>
      <c r="AS7" s="28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2"/>
      <c r="BI7" s="32"/>
      <c r="BJ7" s="32"/>
      <c r="BK7" s="33"/>
    </row>
    <row r="8" spans="1:63" s="34" customFormat="1" ht="15" customHeight="1" x14ac:dyDescent="0.25">
      <c r="A8" s="29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282"/>
      <c r="AQ8" s="282"/>
      <c r="AR8" s="282"/>
      <c r="AS8" s="282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7"/>
      <c r="BI8" s="37"/>
      <c r="BJ8" s="37"/>
      <c r="BK8" s="33"/>
    </row>
    <row r="9" spans="1:63" s="34" customFormat="1" ht="15" customHeight="1" x14ac:dyDescent="0.25">
      <c r="A9" s="29"/>
      <c r="B9" s="35"/>
      <c r="C9" s="36" t="s">
        <v>44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282"/>
      <c r="AQ9" s="282"/>
      <c r="AR9" s="282"/>
      <c r="AS9" s="282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7"/>
      <c r="BI9" s="37"/>
      <c r="BJ9" s="37"/>
      <c r="BK9" s="33"/>
    </row>
    <row r="10" spans="1:63" s="34" customFormat="1" ht="15" customHeight="1" x14ac:dyDescent="0.25">
      <c r="A10" s="29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7"/>
      <c r="BI10" s="37"/>
      <c r="BJ10" s="37"/>
      <c r="BK10" s="33"/>
    </row>
    <row r="11" spans="1:63" s="34" customFormat="1" ht="15" customHeight="1" x14ac:dyDescent="0.25">
      <c r="A11" s="29"/>
      <c r="B11" s="38" t="s">
        <v>73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2"/>
      <c r="BI11" s="32"/>
      <c r="BJ11" s="32"/>
      <c r="BK11" s="33"/>
    </row>
    <row r="12" spans="1:63" s="34" customFormat="1" ht="15" customHeight="1" x14ac:dyDescent="0.25">
      <c r="A12" s="29"/>
      <c r="B12" s="36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7"/>
      <c r="BI12" s="37"/>
      <c r="BJ12" s="37"/>
      <c r="BK12" s="33"/>
    </row>
    <row r="13" spans="1:63" s="34" customFormat="1" ht="15" customHeight="1" x14ac:dyDescent="0.25">
      <c r="A13" s="29"/>
      <c r="B13" s="36"/>
      <c r="C13" s="39" t="s">
        <v>74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7"/>
      <c r="BI13" s="37"/>
      <c r="BJ13" s="37"/>
      <c r="BK13" s="33"/>
    </row>
    <row r="14" spans="1:63" s="34" customFormat="1" ht="15" customHeight="1" x14ac:dyDescent="0.25">
      <c r="A14" s="29"/>
      <c r="B14" s="36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7"/>
      <c r="BI14" s="37"/>
      <c r="BJ14" s="37"/>
      <c r="BK14" s="33"/>
    </row>
    <row r="15" spans="1:63" s="34" customFormat="1" ht="15" customHeight="1" x14ac:dyDescent="0.25">
      <c r="A15" s="29"/>
      <c r="B15" s="36"/>
      <c r="C15" s="145" t="s">
        <v>26</v>
      </c>
      <c r="D15" s="146"/>
      <c r="E15" s="145" t="s">
        <v>27</v>
      </c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6"/>
      <c r="AG15" s="145" t="s">
        <v>28</v>
      </c>
      <c r="AH15" s="149"/>
      <c r="AI15" s="149"/>
      <c r="AJ15" s="149"/>
      <c r="AK15" s="149"/>
      <c r="AL15" s="149"/>
      <c r="AM15" s="149"/>
      <c r="AN15" s="149"/>
      <c r="AO15" s="149"/>
      <c r="AP15" s="146"/>
      <c r="AQ15" s="145" t="s">
        <v>29</v>
      </c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6"/>
      <c r="BK15" s="33"/>
    </row>
    <row r="16" spans="1:63" s="34" customFormat="1" ht="15" customHeight="1" x14ac:dyDescent="0.25">
      <c r="A16" s="29"/>
      <c r="B16" s="36"/>
      <c r="C16" s="147">
        <v>1</v>
      </c>
      <c r="D16" s="148"/>
      <c r="E16" s="150" t="s">
        <v>75</v>
      </c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2"/>
      <c r="AG16" s="156" t="s">
        <v>76</v>
      </c>
      <c r="AH16" s="157"/>
      <c r="AI16" s="157"/>
      <c r="AJ16" s="157"/>
      <c r="AK16" s="157"/>
      <c r="AL16" s="157"/>
      <c r="AM16" s="157"/>
      <c r="AN16" s="157"/>
      <c r="AO16" s="157"/>
      <c r="AP16" s="158"/>
      <c r="AQ16" s="159" t="s">
        <v>18</v>
      </c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1"/>
      <c r="BK16" s="33"/>
    </row>
    <row r="17" spans="1:63" s="34" customFormat="1" ht="15" customHeight="1" x14ac:dyDescent="0.25">
      <c r="A17" s="29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7"/>
      <c r="BI17" s="37"/>
      <c r="BJ17" s="37"/>
      <c r="BK17" s="33"/>
    </row>
    <row r="18" spans="1:63" s="34" customFormat="1" ht="15" customHeight="1" x14ac:dyDescent="0.25">
      <c r="A18" s="29"/>
      <c r="B18" s="36"/>
      <c r="C18" s="39" t="s">
        <v>77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7"/>
      <c r="BI18" s="37"/>
      <c r="BJ18" s="37"/>
      <c r="BK18" s="33"/>
    </row>
    <row r="19" spans="1:63" s="34" customFormat="1" ht="15" customHeight="1" x14ac:dyDescent="0.25">
      <c r="A19" s="29"/>
      <c r="B19" s="36"/>
      <c r="C19" s="39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7"/>
      <c r="BI19" s="37"/>
      <c r="BJ19" s="37"/>
      <c r="BK19" s="33"/>
    </row>
    <row r="20" spans="1:63" s="34" customFormat="1" ht="15" customHeight="1" x14ac:dyDescent="0.25">
      <c r="A20" s="29"/>
      <c r="B20" s="36"/>
      <c r="C20" s="153" t="s">
        <v>78</v>
      </c>
      <c r="D20" s="154"/>
      <c r="E20" s="153" t="s">
        <v>79</v>
      </c>
      <c r="F20" s="155"/>
      <c r="G20" s="155"/>
      <c r="H20" s="155"/>
      <c r="I20" s="155"/>
      <c r="J20" s="155"/>
      <c r="K20" s="154"/>
      <c r="L20" s="145" t="s">
        <v>30</v>
      </c>
      <c r="M20" s="149"/>
      <c r="N20" s="146"/>
      <c r="O20" s="145" t="s">
        <v>31</v>
      </c>
      <c r="P20" s="149"/>
      <c r="Q20" s="149"/>
      <c r="R20" s="146"/>
      <c r="S20" s="145" t="s">
        <v>32</v>
      </c>
      <c r="T20" s="149"/>
      <c r="U20" s="149"/>
      <c r="V20" s="149"/>
      <c r="W20" s="149"/>
      <c r="X20" s="149"/>
      <c r="Y20" s="146"/>
      <c r="Z20" s="153" t="s">
        <v>80</v>
      </c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4"/>
      <c r="AQ20" s="145" t="s">
        <v>29</v>
      </c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6"/>
      <c r="BK20" s="33"/>
    </row>
    <row r="21" spans="1:63" s="34" customFormat="1" ht="15" customHeight="1" x14ac:dyDescent="0.25">
      <c r="A21" s="29"/>
      <c r="B21" s="36"/>
      <c r="C21" s="166">
        <v>1</v>
      </c>
      <c r="D21" s="167"/>
      <c r="E21" s="283" t="s">
        <v>15</v>
      </c>
      <c r="F21" s="284"/>
      <c r="G21" s="284"/>
      <c r="H21" s="284"/>
      <c r="I21" s="284"/>
      <c r="J21" s="284"/>
      <c r="K21" s="285"/>
      <c r="L21" s="174" t="s">
        <v>16</v>
      </c>
      <c r="M21" s="175"/>
      <c r="N21" s="176"/>
      <c r="O21" s="166" t="s">
        <v>17</v>
      </c>
      <c r="P21" s="172"/>
      <c r="Q21" s="172"/>
      <c r="R21" s="167"/>
      <c r="S21" s="166" t="s">
        <v>18</v>
      </c>
      <c r="T21" s="172"/>
      <c r="U21" s="172"/>
      <c r="V21" s="172"/>
      <c r="W21" s="172"/>
      <c r="X21" s="172"/>
      <c r="Y21" s="167"/>
      <c r="Z21" s="283" t="s">
        <v>19</v>
      </c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5"/>
      <c r="AQ21" s="286" t="s">
        <v>81</v>
      </c>
      <c r="AR21" s="287"/>
      <c r="AS21" s="287"/>
      <c r="AT21" s="287"/>
      <c r="AU21" s="287"/>
      <c r="AV21" s="287"/>
      <c r="AW21" s="287"/>
      <c r="AX21" s="287"/>
      <c r="AY21" s="287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8"/>
      <c r="BK21" s="33"/>
    </row>
    <row r="22" spans="1:63" s="34" customFormat="1" ht="15" customHeight="1" x14ac:dyDescent="0.25">
      <c r="A22" s="29"/>
      <c r="B22" s="36"/>
      <c r="C22" s="170"/>
      <c r="D22" s="171"/>
      <c r="E22" s="289"/>
      <c r="F22" s="290"/>
      <c r="G22" s="290"/>
      <c r="H22" s="290"/>
      <c r="I22" s="290"/>
      <c r="J22" s="290"/>
      <c r="K22" s="291"/>
      <c r="L22" s="177"/>
      <c r="M22" s="178"/>
      <c r="N22" s="179"/>
      <c r="O22" s="170"/>
      <c r="P22" s="173"/>
      <c r="Q22" s="173"/>
      <c r="R22" s="171"/>
      <c r="S22" s="170"/>
      <c r="T22" s="173"/>
      <c r="U22" s="173"/>
      <c r="V22" s="173"/>
      <c r="W22" s="173"/>
      <c r="X22" s="173"/>
      <c r="Y22" s="171"/>
      <c r="Z22" s="289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1"/>
      <c r="AQ22" s="292"/>
      <c r="AR22" s="293"/>
      <c r="AS22" s="293"/>
      <c r="AT22" s="293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293"/>
      <c r="BF22" s="293"/>
      <c r="BG22" s="293"/>
      <c r="BH22" s="293"/>
      <c r="BI22" s="293"/>
      <c r="BJ22" s="294"/>
      <c r="BK22" s="33"/>
    </row>
    <row r="23" spans="1:63" s="34" customFormat="1" ht="15" customHeight="1" x14ac:dyDescent="0.25">
      <c r="A23" s="29"/>
      <c r="B23" s="36"/>
      <c r="C23" s="147">
        <v>2</v>
      </c>
      <c r="D23" s="148"/>
      <c r="E23" s="295" t="s">
        <v>20</v>
      </c>
      <c r="F23" s="296"/>
      <c r="G23" s="296"/>
      <c r="H23" s="296"/>
      <c r="I23" s="296"/>
      <c r="J23" s="296"/>
      <c r="K23" s="297"/>
      <c r="L23" s="163" t="s">
        <v>18</v>
      </c>
      <c r="M23" s="164"/>
      <c r="N23" s="165"/>
      <c r="O23" s="147" t="s">
        <v>17</v>
      </c>
      <c r="P23" s="162"/>
      <c r="Q23" s="162"/>
      <c r="R23" s="148"/>
      <c r="S23" s="147" t="s">
        <v>18</v>
      </c>
      <c r="T23" s="162"/>
      <c r="U23" s="162"/>
      <c r="V23" s="162"/>
      <c r="W23" s="162"/>
      <c r="X23" s="162"/>
      <c r="Y23" s="148"/>
      <c r="Z23" s="295" t="s">
        <v>20</v>
      </c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7"/>
      <c r="AQ23" s="298" t="s">
        <v>21</v>
      </c>
      <c r="AR23" s="299"/>
      <c r="AS23" s="299"/>
      <c r="AT23" s="299"/>
      <c r="AU23" s="299"/>
      <c r="AV23" s="299"/>
      <c r="AW23" s="299"/>
      <c r="AX23" s="299"/>
      <c r="AY23" s="299"/>
      <c r="AZ23" s="299"/>
      <c r="BA23" s="299"/>
      <c r="BB23" s="299"/>
      <c r="BC23" s="299"/>
      <c r="BD23" s="299"/>
      <c r="BE23" s="299"/>
      <c r="BF23" s="299"/>
      <c r="BG23" s="299"/>
      <c r="BH23" s="299"/>
      <c r="BI23" s="299"/>
      <c r="BJ23" s="300"/>
      <c r="BK23" s="33"/>
    </row>
    <row r="24" spans="1:63" s="34" customFormat="1" ht="15" customHeight="1" x14ac:dyDescent="0.25">
      <c r="A24" s="29"/>
      <c r="B24" s="36"/>
      <c r="C24" s="166">
        <v>3</v>
      </c>
      <c r="D24" s="167"/>
      <c r="E24" s="283" t="s">
        <v>22</v>
      </c>
      <c r="F24" s="284"/>
      <c r="G24" s="284"/>
      <c r="H24" s="284"/>
      <c r="I24" s="284"/>
      <c r="J24" s="284"/>
      <c r="K24" s="285"/>
      <c r="L24" s="301" t="s">
        <v>16</v>
      </c>
      <c r="M24" s="302"/>
      <c r="N24" s="303"/>
      <c r="O24" s="304" t="s">
        <v>17</v>
      </c>
      <c r="P24" s="305"/>
      <c r="Q24" s="305"/>
      <c r="R24" s="306"/>
      <c r="S24" s="304" t="s">
        <v>18</v>
      </c>
      <c r="T24" s="305"/>
      <c r="U24" s="305"/>
      <c r="V24" s="305"/>
      <c r="W24" s="305"/>
      <c r="X24" s="305"/>
      <c r="Y24" s="306"/>
      <c r="Z24" s="307" t="s">
        <v>22</v>
      </c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9"/>
      <c r="AQ24" s="310" t="s">
        <v>82</v>
      </c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1"/>
      <c r="BK24" s="33"/>
    </row>
    <row r="25" spans="1:63" s="34" customFormat="1" ht="15" customHeight="1" x14ac:dyDescent="0.25">
      <c r="A25" s="29"/>
      <c r="B25" s="36"/>
      <c r="C25" s="168"/>
      <c r="D25" s="169"/>
      <c r="E25" s="312"/>
      <c r="F25" s="313"/>
      <c r="G25" s="313"/>
      <c r="H25" s="313"/>
      <c r="I25" s="313"/>
      <c r="J25" s="313"/>
      <c r="K25" s="314"/>
      <c r="L25" s="315"/>
      <c r="M25" s="316"/>
      <c r="N25" s="317"/>
      <c r="O25" s="318"/>
      <c r="P25" s="319"/>
      <c r="Q25" s="319"/>
      <c r="R25" s="320"/>
      <c r="S25" s="318"/>
      <c r="T25" s="319"/>
      <c r="U25" s="319"/>
      <c r="V25" s="319"/>
      <c r="W25" s="319"/>
      <c r="X25" s="319"/>
      <c r="Y25" s="320"/>
      <c r="Z25" s="321"/>
      <c r="AA25" s="322"/>
      <c r="AB25" s="322"/>
      <c r="AC25" s="322"/>
      <c r="AD25" s="322"/>
      <c r="AE25" s="322"/>
      <c r="AF25" s="322"/>
      <c r="AG25" s="322"/>
      <c r="AH25" s="322"/>
      <c r="AI25" s="322"/>
      <c r="AJ25" s="322"/>
      <c r="AK25" s="322"/>
      <c r="AL25" s="322"/>
      <c r="AM25" s="322"/>
      <c r="AN25" s="322"/>
      <c r="AO25" s="322"/>
      <c r="AP25" s="323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24"/>
      <c r="BC25" s="324"/>
      <c r="BD25" s="324"/>
      <c r="BE25" s="324"/>
      <c r="BF25" s="324"/>
      <c r="BG25" s="324"/>
      <c r="BH25" s="324"/>
      <c r="BI25" s="324"/>
      <c r="BJ25" s="325"/>
      <c r="BK25" s="33"/>
    </row>
    <row r="26" spans="1:63" s="34" customFormat="1" ht="15" customHeight="1" x14ac:dyDescent="0.25">
      <c r="A26" s="29"/>
      <c r="B26" s="36"/>
      <c r="C26" s="168"/>
      <c r="D26" s="169"/>
      <c r="E26" s="312"/>
      <c r="F26" s="313"/>
      <c r="G26" s="313"/>
      <c r="H26" s="313"/>
      <c r="I26" s="313"/>
      <c r="J26" s="313"/>
      <c r="K26" s="314"/>
      <c r="L26" s="315"/>
      <c r="M26" s="316"/>
      <c r="N26" s="317"/>
      <c r="O26" s="318"/>
      <c r="P26" s="319"/>
      <c r="Q26" s="319"/>
      <c r="R26" s="320"/>
      <c r="S26" s="318"/>
      <c r="T26" s="319"/>
      <c r="U26" s="319"/>
      <c r="V26" s="319"/>
      <c r="W26" s="319"/>
      <c r="X26" s="319"/>
      <c r="Y26" s="320"/>
      <c r="Z26" s="321"/>
      <c r="AA26" s="322"/>
      <c r="AB26" s="322"/>
      <c r="AC26" s="322"/>
      <c r="AD26" s="322"/>
      <c r="AE26" s="322"/>
      <c r="AF26" s="322"/>
      <c r="AG26" s="322"/>
      <c r="AH26" s="322"/>
      <c r="AI26" s="322"/>
      <c r="AJ26" s="322"/>
      <c r="AK26" s="322"/>
      <c r="AL26" s="322"/>
      <c r="AM26" s="322"/>
      <c r="AN26" s="322"/>
      <c r="AO26" s="322"/>
      <c r="AP26" s="323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4"/>
      <c r="BD26" s="324"/>
      <c r="BE26" s="324"/>
      <c r="BF26" s="324"/>
      <c r="BG26" s="324"/>
      <c r="BH26" s="324"/>
      <c r="BI26" s="324"/>
      <c r="BJ26" s="325"/>
      <c r="BK26" s="33"/>
    </row>
    <row r="27" spans="1:63" s="34" customFormat="1" ht="15" customHeight="1" x14ac:dyDescent="0.25">
      <c r="A27" s="29"/>
      <c r="B27" s="36"/>
      <c r="C27" s="168"/>
      <c r="D27" s="169"/>
      <c r="E27" s="312"/>
      <c r="F27" s="313"/>
      <c r="G27" s="313"/>
      <c r="H27" s="313"/>
      <c r="I27" s="313"/>
      <c r="J27" s="313"/>
      <c r="K27" s="314"/>
      <c r="L27" s="315"/>
      <c r="M27" s="316"/>
      <c r="N27" s="317"/>
      <c r="O27" s="318"/>
      <c r="P27" s="319"/>
      <c r="Q27" s="319"/>
      <c r="R27" s="320"/>
      <c r="S27" s="318"/>
      <c r="T27" s="319"/>
      <c r="U27" s="319"/>
      <c r="V27" s="319"/>
      <c r="W27" s="319"/>
      <c r="X27" s="319"/>
      <c r="Y27" s="320"/>
      <c r="Z27" s="321"/>
      <c r="AA27" s="322"/>
      <c r="AB27" s="322"/>
      <c r="AC27" s="322"/>
      <c r="AD27" s="322"/>
      <c r="AE27" s="322"/>
      <c r="AF27" s="322"/>
      <c r="AG27" s="322"/>
      <c r="AH27" s="322"/>
      <c r="AI27" s="322"/>
      <c r="AJ27" s="322"/>
      <c r="AK27" s="322"/>
      <c r="AL27" s="322"/>
      <c r="AM27" s="322"/>
      <c r="AN27" s="322"/>
      <c r="AO27" s="322"/>
      <c r="AP27" s="323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  <c r="BC27" s="324"/>
      <c r="BD27" s="324"/>
      <c r="BE27" s="324"/>
      <c r="BF27" s="324"/>
      <c r="BG27" s="324"/>
      <c r="BH27" s="324"/>
      <c r="BI27" s="324"/>
      <c r="BJ27" s="325"/>
      <c r="BK27" s="33"/>
    </row>
    <row r="28" spans="1:63" s="34" customFormat="1" ht="15" customHeight="1" x14ac:dyDescent="0.25">
      <c r="A28" s="29"/>
      <c r="B28" s="36"/>
      <c r="C28" s="168"/>
      <c r="D28" s="169"/>
      <c r="E28" s="312"/>
      <c r="F28" s="313"/>
      <c r="G28" s="313"/>
      <c r="H28" s="313"/>
      <c r="I28" s="313"/>
      <c r="J28" s="313"/>
      <c r="K28" s="314"/>
      <c r="L28" s="315"/>
      <c r="M28" s="316"/>
      <c r="N28" s="317"/>
      <c r="O28" s="318"/>
      <c r="P28" s="319"/>
      <c r="Q28" s="319"/>
      <c r="R28" s="320"/>
      <c r="S28" s="318"/>
      <c r="T28" s="319"/>
      <c r="U28" s="319"/>
      <c r="V28" s="319"/>
      <c r="W28" s="319"/>
      <c r="X28" s="319"/>
      <c r="Y28" s="320"/>
      <c r="Z28" s="321"/>
      <c r="AA28" s="322"/>
      <c r="AB28" s="322"/>
      <c r="AC28" s="322"/>
      <c r="AD28" s="322"/>
      <c r="AE28" s="322"/>
      <c r="AF28" s="322"/>
      <c r="AG28" s="322"/>
      <c r="AH28" s="322"/>
      <c r="AI28" s="322"/>
      <c r="AJ28" s="322"/>
      <c r="AK28" s="322"/>
      <c r="AL28" s="322"/>
      <c r="AM28" s="322"/>
      <c r="AN28" s="322"/>
      <c r="AO28" s="322"/>
      <c r="AP28" s="323"/>
      <c r="AQ28" s="324"/>
      <c r="AR28" s="324"/>
      <c r="AS28" s="324"/>
      <c r="AT28" s="324"/>
      <c r="AU28" s="324"/>
      <c r="AV28" s="324"/>
      <c r="AW28" s="324"/>
      <c r="AX28" s="324"/>
      <c r="AY28" s="324"/>
      <c r="AZ28" s="324"/>
      <c r="BA28" s="324"/>
      <c r="BB28" s="324"/>
      <c r="BC28" s="324"/>
      <c r="BD28" s="324"/>
      <c r="BE28" s="324"/>
      <c r="BF28" s="324"/>
      <c r="BG28" s="324"/>
      <c r="BH28" s="324"/>
      <c r="BI28" s="324"/>
      <c r="BJ28" s="325"/>
      <c r="BK28" s="33"/>
    </row>
    <row r="29" spans="1:63" s="34" customFormat="1" ht="15" customHeight="1" x14ac:dyDescent="0.25">
      <c r="A29" s="29"/>
      <c r="B29" s="36"/>
      <c r="C29" s="168"/>
      <c r="D29" s="169"/>
      <c r="E29" s="312"/>
      <c r="F29" s="313"/>
      <c r="G29" s="313"/>
      <c r="H29" s="313"/>
      <c r="I29" s="313"/>
      <c r="J29" s="313"/>
      <c r="K29" s="314"/>
      <c r="L29" s="315"/>
      <c r="M29" s="316"/>
      <c r="N29" s="317"/>
      <c r="O29" s="318"/>
      <c r="P29" s="319"/>
      <c r="Q29" s="319"/>
      <c r="R29" s="320"/>
      <c r="S29" s="318"/>
      <c r="T29" s="319"/>
      <c r="U29" s="319"/>
      <c r="V29" s="319"/>
      <c r="W29" s="319"/>
      <c r="X29" s="319"/>
      <c r="Y29" s="320"/>
      <c r="Z29" s="321"/>
      <c r="AA29" s="322"/>
      <c r="AB29" s="322"/>
      <c r="AC29" s="322"/>
      <c r="AD29" s="322"/>
      <c r="AE29" s="322"/>
      <c r="AF29" s="322"/>
      <c r="AG29" s="322"/>
      <c r="AH29" s="322"/>
      <c r="AI29" s="322"/>
      <c r="AJ29" s="322"/>
      <c r="AK29" s="322"/>
      <c r="AL29" s="322"/>
      <c r="AM29" s="322"/>
      <c r="AN29" s="322"/>
      <c r="AO29" s="322"/>
      <c r="AP29" s="323"/>
      <c r="AQ29" s="324"/>
      <c r="AR29" s="324"/>
      <c r="AS29" s="324"/>
      <c r="AT29" s="324"/>
      <c r="AU29" s="324"/>
      <c r="AV29" s="324"/>
      <c r="AW29" s="324"/>
      <c r="AX29" s="324"/>
      <c r="AY29" s="324"/>
      <c r="AZ29" s="324"/>
      <c r="BA29" s="324"/>
      <c r="BB29" s="324"/>
      <c r="BC29" s="324"/>
      <c r="BD29" s="324"/>
      <c r="BE29" s="324"/>
      <c r="BF29" s="324"/>
      <c r="BG29" s="324"/>
      <c r="BH29" s="324"/>
      <c r="BI29" s="324"/>
      <c r="BJ29" s="325"/>
      <c r="BK29" s="33"/>
    </row>
    <row r="30" spans="1:63" s="34" customFormat="1" ht="15" customHeight="1" x14ac:dyDescent="0.25">
      <c r="A30" s="29"/>
      <c r="B30" s="36"/>
      <c r="C30" s="170"/>
      <c r="D30" s="171"/>
      <c r="E30" s="289"/>
      <c r="F30" s="290"/>
      <c r="G30" s="290"/>
      <c r="H30" s="290"/>
      <c r="I30" s="290"/>
      <c r="J30" s="290"/>
      <c r="K30" s="291"/>
      <c r="L30" s="326"/>
      <c r="M30" s="327"/>
      <c r="N30" s="328"/>
      <c r="O30" s="329"/>
      <c r="P30" s="330"/>
      <c r="Q30" s="330"/>
      <c r="R30" s="331"/>
      <c r="S30" s="329"/>
      <c r="T30" s="330"/>
      <c r="U30" s="330"/>
      <c r="V30" s="330"/>
      <c r="W30" s="330"/>
      <c r="X30" s="330"/>
      <c r="Y30" s="331"/>
      <c r="Z30" s="332"/>
      <c r="AA30" s="333"/>
      <c r="AB30" s="33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3"/>
      <c r="AM30" s="333"/>
      <c r="AN30" s="333"/>
      <c r="AO30" s="333"/>
      <c r="AP30" s="334"/>
      <c r="AQ30" s="335"/>
      <c r="AR30" s="335"/>
      <c r="AS30" s="335"/>
      <c r="AT30" s="335"/>
      <c r="AU30" s="335"/>
      <c r="AV30" s="335"/>
      <c r="AW30" s="335"/>
      <c r="AX30" s="335"/>
      <c r="AY30" s="335"/>
      <c r="AZ30" s="335"/>
      <c r="BA30" s="335"/>
      <c r="BB30" s="335"/>
      <c r="BC30" s="335"/>
      <c r="BD30" s="335"/>
      <c r="BE30" s="335"/>
      <c r="BF30" s="335"/>
      <c r="BG30" s="335"/>
      <c r="BH30" s="335"/>
      <c r="BI30" s="335"/>
      <c r="BJ30" s="336"/>
      <c r="BK30" s="33"/>
    </row>
    <row r="31" spans="1:63" s="34" customFormat="1" ht="15" customHeight="1" x14ac:dyDescent="0.25">
      <c r="A31" s="29"/>
      <c r="B31" s="36"/>
      <c r="C31" s="147">
        <v>4</v>
      </c>
      <c r="D31" s="148"/>
      <c r="E31" s="295" t="s">
        <v>23</v>
      </c>
      <c r="F31" s="296"/>
      <c r="G31" s="296"/>
      <c r="H31" s="296"/>
      <c r="I31" s="296"/>
      <c r="J31" s="296"/>
      <c r="K31" s="297"/>
      <c r="L31" s="163" t="s">
        <v>18</v>
      </c>
      <c r="M31" s="164"/>
      <c r="N31" s="165"/>
      <c r="O31" s="147" t="s">
        <v>17</v>
      </c>
      <c r="P31" s="162"/>
      <c r="Q31" s="162"/>
      <c r="R31" s="148"/>
      <c r="S31" s="147" t="s">
        <v>18</v>
      </c>
      <c r="T31" s="162"/>
      <c r="U31" s="162"/>
      <c r="V31" s="162"/>
      <c r="W31" s="162"/>
      <c r="X31" s="162"/>
      <c r="Y31" s="148"/>
      <c r="Z31" s="295" t="s">
        <v>23</v>
      </c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7"/>
      <c r="AQ31" s="298" t="s">
        <v>24</v>
      </c>
      <c r="AR31" s="299"/>
      <c r="AS31" s="299"/>
      <c r="AT31" s="299"/>
      <c r="AU31" s="299"/>
      <c r="AV31" s="299"/>
      <c r="AW31" s="299"/>
      <c r="AX31" s="299"/>
      <c r="AY31" s="299"/>
      <c r="AZ31" s="299"/>
      <c r="BA31" s="299"/>
      <c r="BB31" s="299"/>
      <c r="BC31" s="299"/>
      <c r="BD31" s="299"/>
      <c r="BE31" s="299"/>
      <c r="BF31" s="299"/>
      <c r="BG31" s="299"/>
      <c r="BH31" s="299"/>
      <c r="BI31" s="299"/>
      <c r="BJ31" s="300"/>
      <c r="BK31" s="33"/>
    </row>
    <row r="32" spans="1:63" s="34" customFormat="1" ht="15" customHeight="1" x14ac:dyDescent="0.25">
      <c r="A32" s="29"/>
      <c r="B32" s="36"/>
      <c r="C32" s="147">
        <v>5</v>
      </c>
      <c r="D32" s="148"/>
      <c r="E32" s="295" t="s">
        <v>25</v>
      </c>
      <c r="F32" s="296"/>
      <c r="G32" s="296"/>
      <c r="H32" s="296"/>
      <c r="I32" s="296"/>
      <c r="J32" s="296"/>
      <c r="K32" s="297"/>
      <c r="L32" s="163" t="s">
        <v>18</v>
      </c>
      <c r="M32" s="164"/>
      <c r="N32" s="165"/>
      <c r="O32" s="147" t="s">
        <v>17</v>
      </c>
      <c r="P32" s="162"/>
      <c r="Q32" s="162"/>
      <c r="R32" s="148"/>
      <c r="S32" s="147" t="s">
        <v>18</v>
      </c>
      <c r="T32" s="162"/>
      <c r="U32" s="162"/>
      <c r="V32" s="162"/>
      <c r="W32" s="162"/>
      <c r="X32" s="162"/>
      <c r="Y32" s="148"/>
      <c r="Z32" s="295" t="s">
        <v>25</v>
      </c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7"/>
      <c r="AQ32" s="298" t="s">
        <v>83</v>
      </c>
      <c r="AR32" s="299"/>
      <c r="AS32" s="299"/>
      <c r="AT32" s="299"/>
      <c r="AU32" s="299"/>
      <c r="AV32" s="299"/>
      <c r="AW32" s="299"/>
      <c r="AX32" s="299"/>
      <c r="AY32" s="299"/>
      <c r="AZ32" s="299"/>
      <c r="BA32" s="299"/>
      <c r="BB32" s="299"/>
      <c r="BC32" s="299"/>
      <c r="BD32" s="299"/>
      <c r="BE32" s="299"/>
      <c r="BF32" s="299"/>
      <c r="BG32" s="299"/>
      <c r="BH32" s="299"/>
      <c r="BI32" s="299"/>
      <c r="BJ32" s="300"/>
      <c r="BK32" s="33"/>
    </row>
    <row r="33" spans="1:63" s="34" customFormat="1" ht="15" customHeight="1" x14ac:dyDescent="0.25">
      <c r="A33" s="29"/>
      <c r="B33" s="36"/>
      <c r="C33" s="36"/>
      <c r="D33" s="36"/>
      <c r="E33" s="282"/>
      <c r="F33" s="282"/>
      <c r="G33" s="282"/>
      <c r="H33" s="282"/>
      <c r="I33" s="36"/>
      <c r="J33" s="36"/>
      <c r="K33" s="36"/>
      <c r="L33" s="43"/>
      <c r="M33" s="282"/>
      <c r="N33" s="282"/>
      <c r="O33" s="282"/>
      <c r="P33" s="282"/>
      <c r="Q33" s="36"/>
      <c r="R33" s="36"/>
      <c r="S33" s="36"/>
      <c r="T33" s="36"/>
      <c r="U33" s="36"/>
      <c r="V33" s="36"/>
      <c r="W33" s="36"/>
      <c r="X33" s="36"/>
      <c r="Y33" s="36"/>
      <c r="Z33" s="41"/>
      <c r="AA33" s="36"/>
      <c r="AB33" s="36"/>
      <c r="AC33" s="36"/>
      <c r="AD33" s="36"/>
      <c r="AE33" s="36"/>
      <c r="AF33" s="36"/>
      <c r="AG33" s="282"/>
      <c r="AH33" s="282"/>
      <c r="AI33" s="282"/>
      <c r="AJ33" s="282"/>
      <c r="AK33" s="282"/>
      <c r="AL33" s="282"/>
      <c r="AM33" s="282"/>
      <c r="AN33" s="282"/>
      <c r="AO33" s="282"/>
      <c r="AP33" s="36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37"/>
      <c r="BI33" s="37"/>
      <c r="BJ33" s="37"/>
      <c r="BK33" s="33"/>
    </row>
    <row r="34" spans="1:63" s="34" customFormat="1" ht="15" customHeight="1" x14ac:dyDescent="0.25">
      <c r="A34" s="29"/>
      <c r="B34" s="36"/>
      <c r="C34" s="39" t="s">
        <v>84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7"/>
      <c r="BI34" s="37"/>
      <c r="BJ34" s="37"/>
      <c r="BK34" s="33"/>
    </row>
    <row r="35" spans="1:63" s="34" customFormat="1" ht="15" customHeight="1" x14ac:dyDescent="0.25">
      <c r="A35" s="29"/>
      <c r="B35" s="36"/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7"/>
      <c r="BI35" s="37"/>
      <c r="BJ35" s="37"/>
      <c r="BK35" s="33"/>
    </row>
    <row r="36" spans="1:63" s="34" customFormat="1" ht="15" customHeight="1" x14ac:dyDescent="0.25">
      <c r="A36" s="29"/>
      <c r="B36" s="36"/>
      <c r="C36" s="193" t="s">
        <v>26</v>
      </c>
      <c r="D36" s="194"/>
      <c r="E36" s="337" t="s">
        <v>33</v>
      </c>
      <c r="F36" s="338"/>
      <c r="G36" s="338"/>
      <c r="H36" s="338"/>
      <c r="I36" s="338"/>
      <c r="J36" s="338"/>
      <c r="K36" s="339"/>
      <c r="L36" s="145" t="s">
        <v>30</v>
      </c>
      <c r="M36" s="149"/>
      <c r="N36" s="146"/>
      <c r="O36" s="145" t="s">
        <v>31</v>
      </c>
      <c r="P36" s="149"/>
      <c r="Q36" s="149"/>
      <c r="R36" s="146"/>
      <c r="S36" s="145" t="s">
        <v>32</v>
      </c>
      <c r="T36" s="149"/>
      <c r="U36" s="149"/>
      <c r="V36" s="149"/>
      <c r="W36" s="149"/>
      <c r="X36" s="149"/>
      <c r="Y36" s="146"/>
      <c r="Z36" s="153" t="s">
        <v>80</v>
      </c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4"/>
      <c r="AQ36" s="190" t="s">
        <v>29</v>
      </c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2"/>
      <c r="BK36" s="33"/>
    </row>
    <row r="37" spans="1:63" s="34" customFormat="1" ht="50.25" customHeight="1" x14ac:dyDescent="0.25">
      <c r="A37" s="36"/>
      <c r="B37" s="36"/>
      <c r="C37" s="147">
        <v>2</v>
      </c>
      <c r="D37" s="148"/>
      <c r="E37" s="295" t="s">
        <v>38</v>
      </c>
      <c r="F37" s="296"/>
      <c r="G37" s="296"/>
      <c r="H37" s="296"/>
      <c r="I37" s="296"/>
      <c r="J37" s="296"/>
      <c r="K37" s="297"/>
      <c r="L37" s="163"/>
      <c r="M37" s="164"/>
      <c r="N37" s="165"/>
      <c r="O37" s="147" t="s">
        <v>17</v>
      </c>
      <c r="P37" s="162"/>
      <c r="Q37" s="162"/>
      <c r="R37" s="148"/>
      <c r="S37" s="147" t="s">
        <v>18</v>
      </c>
      <c r="T37" s="162"/>
      <c r="U37" s="162"/>
      <c r="V37" s="162"/>
      <c r="W37" s="162"/>
      <c r="X37" s="162"/>
      <c r="Y37" s="148"/>
      <c r="Z37" s="340" t="s">
        <v>85</v>
      </c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7"/>
      <c r="AQ37" s="180" t="s">
        <v>86</v>
      </c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1"/>
      <c r="BK37" s="37"/>
    </row>
    <row r="38" spans="1:63" ht="35.25" customHeight="1" x14ac:dyDescent="0.25">
      <c r="C38" s="147">
        <v>3</v>
      </c>
      <c r="D38" s="148"/>
      <c r="E38" s="295" t="s">
        <v>39</v>
      </c>
      <c r="F38" s="296"/>
      <c r="G38" s="296"/>
      <c r="H38" s="296"/>
      <c r="I38" s="296"/>
      <c r="J38" s="296"/>
      <c r="K38" s="297"/>
      <c r="L38" s="163"/>
      <c r="M38" s="164"/>
      <c r="N38" s="165"/>
      <c r="O38" s="147" t="s">
        <v>17</v>
      </c>
      <c r="P38" s="162"/>
      <c r="Q38" s="162"/>
      <c r="R38" s="148"/>
      <c r="S38" s="147" t="s">
        <v>18</v>
      </c>
      <c r="T38" s="162"/>
      <c r="U38" s="162"/>
      <c r="V38" s="162"/>
      <c r="W38" s="162"/>
      <c r="X38" s="162"/>
      <c r="Y38" s="148"/>
      <c r="Z38" s="298" t="s">
        <v>87</v>
      </c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7"/>
      <c r="AQ38" s="180" t="s">
        <v>86</v>
      </c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1"/>
    </row>
    <row r="39" spans="1:63" s="34" customFormat="1" ht="44.25" customHeight="1" x14ac:dyDescent="0.25">
      <c r="A39" s="29"/>
      <c r="B39" s="36"/>
      <c r="C39" s="147">
        <v>4</v>
      </c>
      <c r="D39" s="148"/>
      <c r="E39" s="295" t="s">
        <v>40</v>
      </c>
      <c r="F39" s="296"/>
      <c r="G39" s="296"/>
      <c r="H39" s="296"/>
      <c r="I39" s="296"/>
      <c r="J39" s="296"/>
      <c r="K39" s="297"/>
      <c r="L39" s="163"/>
      <c r="M39" s="164"/>
      <c r="N39" s="165"/>
      <c r="O39" s="147" t="s">
        <v>17</v>
      </c>
      <c r="P39" s="162"/>
      <c r="Q39" s="162"/>
      <c r="R39" s="148"/>
      <c r="S39" s="147" t="s">
        <v>18</v>
      </c>
      <c r="T39" s="162"/>
      <c r="U39" s="162"/>
      <c r="V39" s="162"/>
      <c r="W39" s="162"/>
      <c r="X39" s="162"/>
      <c r="Y39" s="148"/>
      <c r="Z39" s="298" t="s">
        <v>88</v>
      </c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7"/>
      <c r="AQ39" s="180" t="s">
        <v>86</v>
      </c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1"/>
      <c r="BK39" s="33"/>
    </row>
    <row r="40" spans="1:63" s="34" customFormat="1" ht="39" customHeight="1" x14ac:dyDescent="0.25">
      <c r="A40" s="36"/>
      <c r="B40" s="36"/>
      <c r="C40" s="147">
        <v>5</v>
      </c>
      <c r="D40" s="148"/>
      <c r="E40" s="295" t="s">
        <v>41</v>
      </c>
      <c r="F40" s="296"/>
      <c r="G40" s="296"/>
      <c r="H40" s="296"/>
      <c r="I40" s="296"/>
      <c r="J40" s="296"/>
      <c r="K40" s="297"/>
      <c r="L40" s="163"/>
      <c r="M40" s="164"/>
      <c r="N40" s="165"/>
      <c r="O40" s="147" t="s">
        <v>45</v>
      </c>
      <c r="P40" s="162"/>
      <c r="Q40" s="162"/>
      <c r="R40" s="148"/>
      <c r="S40" s="147" t="s">
        <v>18</v>
      </c>
      <c r="T40" s="162"/>
      <c r="U40" s="162"/>
      <c r="V40" s="162"/>
      <c r="W40" s="162"/>
      <c r="X40" s="162"/>
      <c r="Y40" s="148"/>
      <c r="Z40" s="298" t="s">
        <v>89</v>
      </c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7"/>
      <c r="AQ40" s="180" t="s">
        <v>90</v>
      </c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1"/>
      <c r="BK40" s="37"/>
    </row>
    <row r="41" spans="1:63" ht="37.5" customHeight="1" x14ac:dyDescent="0.25">
      <c r="C41" s="147">
        <v>6</v>
      </c>
      <c r="D41" s="148"/>
      <c r="E41" s="295" t="s">
        <v>42</v>
      </c>
      <c r="F41" s="296"/>
      <c r="G41" s="296"/>
      <c r="H41" s="296"/>
      <c r="I41" s="296"/>
      <c r="J41" s="296"/>
      <c r="K41" s="297"/>
      <c r="L41" s="163"/>
      <c r="M41" s="164"/>
      <c r="N41" s="165"/>
      <c r="O41" s="147" t="s">
        <v>17</v>
      </c>
      <c r="P41" s="162"/>
      <c r="Q41" s="162"/>
      <c r="R41" s="148"/>
      <c r="S41" s="147" t="s">
        <v>18</v>
      </c>
      <c r="T41" s="162"/>
      <c r="U41" s="162"/>
      <c r="V41" s="162"/>
      <c r="W41" s="162"/>
      <c r="X41" s="162"/>
      <c r="Y41" s="148"/>
      <c r="Z41" s="298" t="s">
        <v>91</v>
      </c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7"/>
      <c r="AQ41" s="180" t="s">
        <v>86</v>
      </c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1"/>
    </row>
    <row r="42" spans="1:63" s="34" customFormat="1" ht="41.25" customHeight="1" x14ac:dyDescent="0.25">
      <c r="A42" s="29"/>
      <c r="B42" s="36"/>
      <c r="C42" s="195">
        <v>7</v>
      </c>
      <c r="D42" s="196"/>
      <c r="E42" s="195" t="s">
        <v>92</v>
      </c>
      <c r="F42" s="197"/>
      <c r="G42" s="197"/>
      <c r="H42" s="197"/>
      <c r="I42" s="197"/>
      <c r="J42" s="197"/>
      <c r="K42" s="196"/>
      <c r="L42" s="198"/>
      <c r="M42" s="199"/>
      <c r="N42" s="200"/>
      <c r="O42" s="195" t="s">
        <v>93</v>
      </c>
      <c r="P42" s="197"/>
      <c r="Q42" s="197"/>
      <c r="R42" s="196"/>
      <c r="S42" s="195" t="s">
        <v>18</v>
      </c>
      <c r="T42" s="197"/>
      <c r="U42" s="197"/>
      <c r="V42" s="197"/>
      <c r="W42" s="197"/>
      <c r="X42" s="197"/>
      <c r="Y42" s="196"/>
      <c r="Z42" s="201" t="s">
        <v>94</v>
      </c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6"/>
      <c r="AQ42" s="201" t="s">
        <v>18</v>
      </c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6"/>
      <c r="BK42" s="33"/>
    </row>
    <row r="43" spans="1:63" ht="37.5" customHeight="1" x14ac:dyDescent="0.25">
      <c r="C43" s="36"/>
      <c r="D43" s="36"/>
      <c r="E43" s="282"/>
      <c r="F43" s="282"/>
      <c r="G43" s="282"/>
      <c r="H43" s="282"/>
      <c r="I43" s="282"/>
      <c r="J43" s="282"/>
      <c r="K43" s="282"/>
      <c r="L43" s="55"/>
      <c r="M43" s="55"/>
      <c r="N43" s="55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41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6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</row>
    <row r="44" spans="1:63" s="34" customFormat="1" ht="15" customHeight="1" x14ac:dyDescent="0.25">
      <c r="A44" s="29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7"/>
      <c r="BI44" s="37"/>
      <c r="BJ44" s="37"/>
      <c r="BK44" s="33"/>
    </row>
    <row r="45" spans="1:63" s="34" customFormat="1" ht="15" customHeight="1" x14ac:dyDescent="0.25">
      <c r="A45" s="29"/>
      <c r="B45" s="36"/>
      <c r="C45" s="39" t="s">
        <v>95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7"/>
      <c r="BI45" s="37"/>
      <c r="BJ45" s="37"/>
      <c r="BK45" s="33"/>
    </row>
    <row r="46" spans="1:63" s="34" customFormat="1" ht="15" customHeight="1" x14ac:dyDescent="0.25">
      <c r="A46" s="29"/>
      <c r="B46" s="36"/>
      <c r="C46" s="36"/>
      <c r="D46" s="36" t="s">
        <v>37</v>
      </c>
      <c r="E46" s="282"/>
      <c r="F46" s="282"/>
      <c r="G46" s="282"/>
      <c r="H46" s="282"/>
      <c r="I46" s="282"/>
      <c r="J46" s="282"/>
      <c r="K46" s="282"/>
      <c r="L46" s="55"/>
      <c r="M46" s="55"/>
      <c r="N46" s="55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  <c r="AN46" s="282"/>
      <c r="AO46" s="282"/>
      <c r="AP46" s="282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33"/>
    </row>
    <row r="47" spans="1:63" s="34" customFormat="1" ht="15" customHeight="1" x14ac:dyDescent="0.25">
      <c r="A47" s="29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7"/>
      <c r="BI47" s="37"/>
      <c r="BJ47" s="37"/>
      <c r="BK47" s="33"/>
    </row>
    <row r="48" spans="1:63" s="34" customFormat="1" ht="15" customHeight="1" x14ac:dyDescent="0.25">
      <c r="A48" s="29"/>
      <c r="B48" s="38" t="s">
        <v>96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2"/>
      <c r="BI48" s="32"/>
      <c r="BJ48" s="32"/>
      <c r="BK48" s="33"/>
    </row>
    <row r="49" spans="1:63" s="34" customFormat="1" ht="15" customHeight="1" x14ac:dyDescent="0.25">
      <c r="A49" s="29"/>
      <c r="B49" s="35"/>
      <c r="C49" s="39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7"/>
      <c r="BI49" s="37"/>
      <c r="BJ49" s="37"/>
      <c r="BK49" s="33"/>
    </row>
    <row r="50" spans="1:63" s="34" customFormat="1" ht="15" customHeight="1" x14ac:dyDescent="0.25">
      <c r="A50" s="29"/>
      <c r="B50" s="35"/>
      <c r="C50" s="39" t="s">
        <v>97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7"/>
      <c r="BI50" s="37"/>
      <c r="BJ50" s="37"/>
      <c r="BK50" s="33"/>
    </row>
    <row r="51" spans="1:63" s="34" customFormat="1" ht="15" customHeight="1" x14ac:dyDescent="0.25">
      <c r="A51" s="29"/>
      <c r="B51" s="35"/>
      <c r="C51" s="39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7"/>
      <c r="BI51" s="37"/>
      <c r="BJ51" s="37"/>
      <c r="BK51" s="33"/>
    </row>
    <row r="52" spans="1:63" s="34" customFormat="1" ht="15" customHeight="1" x14ac:dyDescent="0.25">
      <c r="A52" s="29"/>
      <c r="B52" s="36"/>
      <c r="C52" s="145" t="s">
        <v>26</v>
      </c>
      <c r="D52" s="146"/>
      <c r="E52" s="187" t="s">
        <v>98</v>
      </c>
      <c r="F52" s="188"/>
      <c r="G52" s="188"/>
      <c r="H52" s="188"/>
      <c r="I52" s="188"/>
      <c r="J52" s="188"/>
      <c r="K52" s="188"/>
      <c r="L52" s="188"/>
      <c r="M52" s="188"/>
      <c r="N52" s="189"/>
      <c r="O52" s="181" t="s">
        <v>31</v>
      </c>
      <c r="P52" s="182"/>
      <c r="Q52" s="182"/>
      <c r="R52" s="183"/>
      <c r="S52" s="184" t="s">
        <v>80</v>
      </c>
      <c r="T52" s="185"/>
      <c r="U52" s="185"/>
      <c r="V52" s="185"/>
      <c r="W52" s="185"/>
      <c r="X52" s="185"/>
      <c r="Y52" s="185"/>
      <c r="Z52" s="185"/>
      <c r="AA52" s="185"/>
      <c r="AB52" s="186"/>
      <c r="AC52" s="145" t="s">
        <v>29</v>
      </c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7"/>
      <c r="BI52" s="37"/>
      <c r="BJ52" s="37"/>
      <c r="BK52" s="33"/>
    </row>
    <row r="53" spans="1:63" s="34" customFormat="1" ht="15" customHeight="1" x14ac:dyDescent="0.25">
      <c r="A53" s="29"/>
      <c r="B53" s="36"/>
      <c r="C53" s="36"/>
      <c r="D53" s="36"/>
      <c r="E53" s="282"/>
      <c r="F53" s="282"/>
      <c r="G53" s="282"/>
      <c r="H53" s="28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282"/>
      <c r="T53" s="282"/>
      <c r="U53" s="282"/>
      <c r="V53" s="282"/>
      <c r="W53" s="282"/>
      <c r="X53" s="282"/>
      <c r="Y53" s="282"/>
      <c r="Z53" s="282"/>
      <c r="AA53" s="282"/>
      <c r="AB53" s="36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7"/>
      <c r="BI53" s="37"/>
      <c r="BJ53" s="37"/>
      <c r="BK53" s="33"/>
    </row>
    <row r="54" spans="1:63" s="34" customFormat="1" ht="15" customHeight="1" x14ac:dyDescent="0.25">
      <c r="A54" s="29"/>
      <c r="B54" s="36"/>
      <c r="C54" s="39" t="s">
        <v>99</v>
      </c>
      <c r="D54" s="36"/>
      <c r="E54" s="282"/>
      <c r="F54" s="36"/>
      <c r="G54" s="282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7"/>
      <c r="BI54" s="37"/>
      <c r="BJ54" s="37"/>
      <c r="BK54" s="33"/>
    </row>
    <row r="55" spans="1:63" s="34" customFormat="1" ht="15" customHeight="1" x14ac:dyDescent="0.25">
      <c r="A55" s="29"/>
      <c r="B55" s="36"/>
      <c r="C55" s="39"/>
      <c r="D55" s="282"/>
      <c r="E55" s="282"/>
      <c r="F55" s="36"/>
      <c r="G55" s="282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7"/>
      <c r="BI55" s="37"/>
      <c r="BJ55" s="37"/>
      <c r="BK55" s="33"/>
    </row>
    <row r="56" spans="1:63" s="34" customFormat="1" ht="15" customHeight="1" x14ac:dyDescent="0.25">
      <c r="A56" s="29"/>
      <c r="B56" s="36"/>
      <c r="C56" s="342" t="s">
        <v>34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0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7"/>
      <c r="BI56" s="37"/>
      <c r="BJ56" s="37"/>
      <c r="BK56" s="33"/>
    </row>
    <row r="57" spans="1:63" s="62" customFormat="1" ht="15" customHeight="1" x14ac:dyDescent="0.25">
      <c r="A57" s="57"/>
      <c r="B57" s="58"/>
      <c r="C57" s="343" t="s">
        <v>100</v>
      </c>
      <c r="D57" s="36"/>
      <c r="E57" s="36"/>
      <c r="F57" s="36"/>
      <c r="G57" s="36"/>
      <c r="H57" s="36"/>
      <c r="I57" s="36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9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60"/>
      <c r="BI57" s="60"/>
      <c r="BJ57" s="60"/>
      <c r="BK57" s="61"/>
    </row>
    <row r="58" spans="1:63" s="62" customFormat="1" ht="15" customHeight="1" x14ac:dyDescent="0.25">
      <c r="A58" s="57"/>
      <c r="B58" s="58"/>
      <c r="C58" s="344" t="s">
        <v>35</v>
      </c>
      <c r="D58" s="47"/>
      <c r="E58" s="47"/>
      <c r="F58" s="47"/>
      <c r="G58" s="47"/>
      <c r="H58" s="47"/>
      <c r="I58" s="47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4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60"/>
      <c r="BI58" s="60"/>
      <c r="BJ58" s="60"/>
      <c r="BK58" s="61"/>
    </row>
    <row r="59" spans="1:63" s="34" customFormat="1" ht="15" customHeight="1" x14ac:dyDescent="0.25">
      <c r="A59" s="29"/>
      <c r="B59" s="36"/>
      <c r="C59" s="36"/>
      <c r="D59" s="282"/>
      <c r="E59" s="28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7"/>
      <c r="BI59" s="37"/>
      <c r="BJ59" s="37"/>
      <c r="BK59" s="33"/>
    </row>
    <row r="60" spans="1:63" s="34" customFormat="1" ht="15" customHeight="1" x14ac:dyDescent="0.25">
      <c r="A60" s="29"/>
      <c r="B60" s="36"/>
      <c r="C60" s="35" t="s">
        <v>101</v>
      </c>
      <c r="D60" s="36"/>
      <c r="E60" s="282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7"/>
      <c r="BI60" s="37"/>
      <c r="BJ60" s="37"/>
      <c r="BK60" s="33"/>
    </row>
    <row r="61" spans="1:63" s="34" customFormat="1" ht="15" customHeight="1" x14ac:dyDescent="0.25">
      <c r="A61" s="29"/>
      <c r="B61" s="36"/>
      <c r="C61" s="35"/>
      <c r="D61" s="36"/>
      <c r="E61" s="282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7"/>
      <c r="BI61" s="37"/>
      <c r="BJ61" s="37"/>
      <c r="BK61" s="33"/>
    </row>
    <row r="62" spans="1:63" s="34" customFormat="1" ht="15" customHeight="1" x14ac:dyDescent="0.25">
      <c r="A62" s="29"/>
      <c r="B62" s="36"/>
      <c r="C62" s="35"/>
      <c r="D62" s="36" t="s">
        <v>36</v>
      </c>
      <c r="E62" s="282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7"/>
      <c r="BI62" s="37"/>
      <c r="BJ62" s="37"/>
      <c r="BK62" s="33"/>
    </row>
    <row r="63" spans="1:63" s="53" customFormat="1" ht="15" customHeight="1" x14ac:dyDescent="0.25">
      <c r="A63" s="48"/>
      <c r="B63" s="49"/>
      <c r="C63" s="49"/>
      <c r="D63" s="49"/>
      <c r="E63" s="50"/>
      <c r="F63" s="50"/>
      <c r="G63" s="50"/>
      <c r="H63" s="50"/>
      <c r="I63" s="50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51"/>
      <c r="BI63" s="51"/>
      <c r="BJ63" s="51"/>
      <c r="BK63" s="52"/>
    </row>
  </sheetData>
  <mergeCells count="124">
    <mergeCell ref="C42:D42"/>
    <mergeCell ref="E42:K42"/>
    <mergeCell ref="L42:N42"/>
    <mergeCell ref="O42:R42"/>
    <mergeCell ref="S42:Y42"/>
    <mergeCell ref="Z42:AP42"/>
    <mergeCell ref="AQ42:BJ42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21:D22"/>
    <mergeCell ref="O32:R32"/>
    <mergeCell ref="S32:Y32"/>
    <mergeCell ref="O52:R52"/>
    <mergeCell ref="S52:AB52"/>
    <mergeCell ref="Z32:AP32"/>
    <mergeCell ref="AC52:AU52"/>
    <mergeCell ref="C37:D37"/>
    <mergeCell ref="E37:K37"/>
    <mergeCell ref="L37:N37"/>
    <mergeCell ref="O37:R37"/>
    <mergeCell ref="S37:Y37"/>
    <mergeCell ref="E24:K30"/>
    <mergeCell ref="E31:K31"/>
    <mergeCell ref="O23:R23"/>
    <mergeCell ref="O31:R31"/>
    <mergeCell ref="O24:R30"/>
    <mergeCell ref="AQ32:BJ32"/>
    <mergeCell ref="E36:K36"/>
    <mergeCell ref="S36:Y36"/>
    <mergeCell ref="C32:D32"/>
    <mergeCell ref="E52:N52"/>
    <mergeCell ref="AQ36:BJ36"/>
    <mergeCell ref="C36:D36"/>
    <mergeCell ref="AQ21:BJ22"/>
    <mergeCell ref="O21:R22"/>
    <mergeCell ref="L21:N22"/>
    <mergeCell ref="E21:K22"/>
    <mergeCell ref="AQ39:BJ39"/>
    <mergeCell ref="Z21:AP22"/>
    <mergeCell ref="S21:Y22"/>
    <mergeCell ref="AQ31:BJ31"/>
    <mergeCell ref="S31:Y31"/>
    <mergeCell ref="L36:N36"/>
    <mergeCell ref="O36:R36"/>
    <mergeCell ref="Z36:AP36"/>
    <mergeCell ref="Z37:AP37"/>
    <mergeCell ref="AQ37:BJ37"/>
    <mergeCell ref="E38:K38"/>
    <mergeCell ref="L38:N38"/>
    <mergeCell ref="O38:R38"/>
    <mergeCell ref="S38:Y38"/>
    <mergeCell ref="Z38:AP38"/>
    <mergeCell ref="AQ38:BJ38"/>
    <mergeCell ref="C31:D31"/>
    <mergeCell ref="Z39:AP39"/>
    <mergeCell ref="E39:K39"/>
    <mergeCell ref="S39:Y39"/>
    <mergeCell ref="O39:R39"/>
    <mergeCell ref="Z31:AP31"/>
    <mergeCell ref="AQ23:BJ23"/>
    <mergeCell ref="AQ24:BJ30"/>
    <mergeCell ref="Z23:AP23"/>
    <mergeCell ref="C39:D39"/>
    <mergeCell ref="C23:D23"/>
    <mergeCell ref="L39:N39"/>
    <mergeCell ref="E32:K32"/>
    <mergeCell ref="L32:N32"/>
    <mergeCell ref="S23:Y23"/>
    <mergeCell ref="S24:Y30"/>
    <mergeCell ref="Z24:AP30"/>
    <mergeCell ref="E23:K23"/>
    <mergeCell ref="C24:D30"/>
    <mergeCell ref="L23:N23"/>
    <mergeCell ref="L24:N30"/>
    <mergeCell ref="L31:N31"/>
    <mergeCell ref="C38:D38"/>
    <mergeCell ref="AG15:AP15"/>
    <mergeCell ref="AQ15:BJ15"/>
    <mergeCell ref="E16:AF16"/>
    <mergeCell ref="AQ20:BJ20"/>
    <mergeCell ref="O20:R20"/>
    <mergeCell ref="C20:D20"/>
    <mergeCell ref="S20:Y20"/>
    <mergeCell ref="Z20:AP20"/>
    <mergeCell ref="AG16:AP16"/>
    <mergeCell ref="AQ16:BJ16"/>
    <mergeCell ref="E20:K20"/>
    <mergeCell ref="L20:N20"/>
    <mergeCell ref="A4:G4"/>
    <mergeCell ref="H4:T4"/>
    <mergeCell ref="U4:Y4"/>
    <mergeCell ref="Z4:AO4"/>
    <mergeCell ref="AP4:BK4"/>
    <mergeCell ref="C52:D52"/>
    <mergeCell ref="C15:D15"/>
    <mergeCell ref="C16:D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15:AF1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F0"/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62" t="s">
        <v>58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59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">
        <v>56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02" t="s">
        <v>60</v>
      </c>
      <c r="AQ1" s="203"/>
      <c r="AR1" s="203"/>
      <c r="AS1" s="204"/>
      <c r="AT1" s="202" t="s">
        <v>61</v>
      </c>
      <c r="AU1" s="203"/>
      <c r="AV1" s="203"/>
      <c r="AW1" s="203"/>
      <c r="AX1" s="204"/>
      <c r="AY1" s="202" t="s">
        <v>62</v>
      </c>
      <c r="AZ1" s="203"/>
      <c r="BA1" s="203"/>
      <c r="BB1" s="204"/>
      <c r="BC1" s="202" t="s">
        <v>63</v>
      </c>
      <c r="BD1" s="203"/>
      <c r="BE1" s="203"/>
      <c r="BF1" s="203"/>
      <c r="BG1" s="204"/>
      <c r="BH1" s="202" t="s">
        <v>64</v>
      </c>
      <c r="BI1" s="203"/>
      <c r="BJ1" s="203"/>
      <c r="BK1" s="204"/>
    </row>
    <row r="2" spans="1:63" ht="15" customHeight="1" x14ac:dyDescent="0.25">
      <c r="A2" s="139" t="s">
        <v>55</v>
      </c>
      <c r="B2" s="140"/>
      <c r="C2" s="140"/>
      <c r="D2" s="140"/>
      <c r="E2" s="140"/>
      <c r="F2" s="140"/>
      <c r="G2" s="140"/>
      <c r="H2" s="140"/>
      <c r="I2" s="140"/>
      <c r="J2" s="141"/>
      <c r="K2" s="139" t="s">
        <v>55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11" t="s">
        <v>52</v>
      </c>
      <c r="AQ2" s="209"/>
      <c r="AR2" s="209"/>
      <c r="AS2" s="210"/>
      <c r="AT2" s="215">
        <v>45782</v>
      </c>
      <c r="AU2" s="216"/>
      <c r="AV2" s="216"/>
      <c r="AW2" s="216"/>
      <c r="AX2" s="217"/>
      <c r="AY2" s="211" t="s">
        <v>53</v>
      </c>
      <c r="AZ2" s="209"/>
      <c r="BA2" s="209"/>
      <c r="BB2" s="210"/>
      <c r="BC2" s="215">
        <v>45796</v>
      </c>
      <c r="BD2" s="216"/>
      <c r="BE2" s="216"/>
      <c r="BF2" s="216"/>
      <c r="BG2" s="217"/>
      <c r="BH2" s="211">
        <v>0.12</v>
      </c>
      <c r="BI2" s="209"/>
      <c r="BJ2" s="209"/>
      <c r="BK2" s="210"/>
    </row>
    <row r="3" spans="1:63" ht="15" customHeight="1" x14ac:dyDescent="0.25">
      <c r="A3" s="142"/>
      <c r="B3" s="143"/>
      <c r="C3" s="143"/>
      <c r="D3" s="143"/>
      <c r="E3" s="143"/>
      <c r="F3" s="143"/>
      <c r="G3" s="143"/>
      <c r="H3" s="143"/>
      <c r="I3" s="143"/>
      <c r="J3" s="144"/>
      <c r="K3" s="142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62" t="s">
        <v>65</v>
      </c>
      <c r="B4" s="263"/>
      <c r="C4" s="263"/>
      <c r="D4" s="263"/>
      <c r="E4" s="263"/>
      <c r="F4" s="263"/>
      <c r="G4" s="264"/>
      <c r="H4" s="135" t="s">
        <v>54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262" t="s">
        <v>66</v>
      </c>
      <c r="V4" s="263"/>
      <c r="W4" s="263"/>
      <c r="X4" s="263"/>
      <c r="Y4" s="264"/>
      <c r="Z4" s="135" t="s">
        <v>57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8" t="str">
        <f ca="1">MID(CELL("filename",A1),FIND("]",CELL("filename",A1))+1,255)</f>
        <v>処理フロー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280" customFormat="1" ht="15" customHeight="1" x14ac:dyDescent="0.25">
      <c r="B7" s="54"/>
      <c r="C7" s="37"/>
      <c r="D7" s="37"/>
      <c r="E7" s="37"/>
      <c r="F7" s="37"/>
      <c r="G7" s="37"/>
      <c r="AI7" s="345"/>
      <c r="BJ7" s="345"/>
      <c r="BK7" s="279"/>
    </row>
    <row r="8" spans="1:63" s="280" customFormat="1" ht="15" customHeight="1" x14ac:dyDescent="0.25">
      <c r="B8" s="54"/>
      <c r="C8" s="37"/>
      <c r="D8" s="37"/>
      <c r="E8" s="37"/>
      <c r="F8" s="37"/>
      <c r="G8" s="37"/>
      <c r="AI8" s="345"/>
      <c r="BJ8" s="345"/>
      <c r="BK8" s="279"/>
    </row>
    <row r="9" spans="1:63" s="280" customFormat="1" ht="15" customHeight="1" x14ac:dyDescent="0.25">
      <c r="B9" s="54"/>
      <c r="C9" s="37"/>
      <c r="D9" s="37"/>
      <c r="E9" s="37"/>
      <c r="F9" s="37"/>
      <c r="G9" s="37"/>
      <c r="AI9" s="345"/>
      <c r="BJ9" s="345"/>
      <c r="BK9" s="279"/>
    </row>
    <row r="10" spans="1:63" s="280" customFormat="1" ht="15" customHeight="1" x14ac:dyDescent="0.25">
      <c r="B10" s="346"/>
      <c r="AI10" s="345"/>
      <c r="BJ10" s="345"/>
      <c r="BK10" s="279"/>
    </row>
    <row r="11" spans="1:63" s="280" customFormat="1" ht="15" customHeight="1" x14ac:dyDescent="0.25">
      <c r="B11" s="346"/>
      <c r="AI11" s="345"/>
      <c r="BJ11" s="345"/>
      <c r="BK11" s="279"/>
    </row>
    <row r="12" spans="1:63" s="280" customFormat="1" ht="15" customHeight="1" x14ac:dyDescent="0.25">
      <c r="B12" s="346"/>
      <c r="AI12" s="345"/>
      <c r="BJ12" s="345"/>
      <c r="BK12" s="279"/>
    </row>
    <row r="13" spans="1:63" s="280" customFormat="1" ht="15" customHeight="1" x14ac:dyDescent="0.25">
      <c r="B13" s="346"/>
      <c r="AI13" s="345"/>
      <c r="BJ13" s="345"/>
      <c r="BK13" s="279"/>
    </row>
    <row r="14" spans="1:63" s="280" customFormat="1" ht="15" customHeight="1" x14ac:dyDescent="0.25">
      <c r="B14" s="346"/>
      <c r="AI14" s="345"/>
      <c r="BJ14" s="345"/>
      <c r="BK14" s="279"/>
    </row>
    <row r="15" spans="1:63" s="280" customFormat="1" ht="15" customHeight="1" x14ac:dyDescent="0.25">
      <c r="B15" s="346"/>
      <c r="AI15" s="345"/>
      <c r="BJ15" s="345"/>
      <c r="BK15" s="279"/>
    </row>
    <row r="16" spans="1:63" s="280" customFormat="1" ht="15" customHeight="1" x14ac:dyDescent="0.25">
      <c r="B16" s="346"/>
      <c r="AI16" s="345"/>
      <c r="BJ16" s="345"/>
      <c r="BK16" s="279"/>
    </row>
    <row r="17" spans="2:63" s="280" customFormat="1" ht="15" customHeight="1" x14ac:dyDescent="0.25">
      <c r="B17" s="346"/>
      <c r="AI17" s="345"/>
      <c r="BJ17" s="345"/>
      <c r="BK17" s="279"/>
    </row>
    <row r="18" spans="2:63" s="280" customFormat="1" ht="15" customHeight="1" x14ac:dyDescent="0.25">
      <c r="B18" s="346"/>
      <c r="AI18" s="345"/>
      <c r="BJ18" s="345"/>
      <c r="BK18" s="279"/>
    </row>
    <row r="19" spans="2:63" s="280" customFormat="1" ht="15" customHeight="1" x14ac:dyDescent="0.25">
      <c r="B19" s="346"/>
      <c r="AI19" s="345"/>
      <c r="BJ19" s="345"/>
      <c r="BK19" s="279"/>
    </row>
    <row r="20" spans="2:63" s="280" customFormat="1" ht="15" customHeight="1" x14ac:dyDescent="0.25">
      <c r="B20" s="346"/>
      <c r="AI20" s="345"/>
      <c r="BJ20" s="345"/>
      <c r="BK20" s="279"/>
    </row>
    <row r="21" spans="2:63" s="280" customFormat="1" ht="15" customHeight="1" x14ac:dyDescent="0.25">
      <c r="B21" s="346"/>
      <c r="AI21" s="345"/>
      <c r="BJ21" s="345"/>
      <c r="BK21" s="279"/>
    </row>
    <row r="22" spans="2:63" s="280" customFormat="1" ht="15" customHeight="1" x14ac:dyDescent="0.25">
      <c r="B22" s="346"/>
      <c r="AI22" s="345"/>
      <c r="BJ22" s="345"/>
      <c r="BK22" s="279"/>
    </row>
    <row r="23" spans="2:63" s="280" customFormat="1" ht="15" customHeight="1" x14ac:dyDescent="0.25">
      <c r="B23" s="346"/>
      <c r="AI23" s="345"/>
      <c r="BJ23" s="345"/>
      <c r="BK23" s="279"/>
    </row>
    <row r="24" spans="2:63" s="280" customFormat="1" ht="15" customHeight="1" x14ac:dyDescent="0.25">
      <c r="B24" s="346"/>
      <c r="AI24" s="345"/>
      <c r="BJ24" s="345"/>
      <c r="BK24" s="279"/>
    </row>
    <row r="25" spans="2:63" s="280" customFormat="1" ht="15" customHeight="1" x14ac:dyDescent="0.25">
      <c r="B25" s="346"/>
      <c r="AI25" s="345"/>
      <c r="BJ25" s="345"/>
      <c r="BK25" s="279"/>
    </row>
    <row r="26" spans="2:63" s="280" customFormat="1" ht="15" customHeight="1" x14ac:dyDescent="0.25">
      <c r="B26" s="346"/>
      <c r="AI26" s="345"/>
      <c r="BJ26" s="345"/>
      <c r="BK26" s="279"/>
    </row>
    <row r="27" spans="2:63" s="280" customFormat="1" ht="15" customHeight="1" x14ac:dyDescent="0.25">
      <c r="B27" s="346"/>
      <c r="AI27" s="345"/>
      <c r="BJ27" s="345"/>
      <c r="BK27" s="279"/>
    </row>
    <row r="28" spans="2:63" s="280" customFormat="1" ht="15" customHeight="1" x14ac:dyDescent="0.25">
      <c r="B28" s="346"/>
      <c r="AI28" s="345"/>
      <c r="BJ28" s="345"/>
      <c r="BK28" s="279"/>
    </row>
    <row r="29" spans="2:63" s="280" customFormat="1" ht="15" customHeight="1" x14ac:dyDescent="0.25">
      <c r="B29" s="346"/>
      <c r="AI29" s="345"/>
      <c r="BJ29" s="345"/>
      <c r="BK29" s="279"/>
    </row>
    <row r="30" spans="2:63" s="280" customFormat="1" ht="15" customHeight="1" x14ac:dyDescent="0.25">
      <c r="B30" s="346"/>
      <c r="AI30" s="345"/>
      <c r="BJ30" s="345"/>
      <c r="BK30" s="279"/>
    </row>
    <row r="31" spans="2:63" s="280" customFormat="1" ht="15" customHeight="1" x14ac:dyDescent="0.25">
      <c r="B31" s="346"/>
      <c r="AI31" s="345"/>
      <c r="BJ31" s="345"/>
      <c r="BK31" s="279"/>
    </row>
    <row r="32" spans="2:63" s="280" customFormat="1" ht="15" customHeight="1" x14ac:dyDescent="0.25">
      <c r="B32" s="346"/>
      <c r="AI32" s="345"/>
      <c r="BJ32" s="345"/>
      <c r="BK32" s="279"/>
    </row>
    <row r="33" spans="2:63" s="280" customFormat="1" ht="15" customHeight="1" x14ac:dyDescent="0.25">
      <c r="B33" s="346"/>
      <c r="AI33" s="345"/>
      <c r="BJ33" s="345"/>
      <c r="BK33" s="279"/>
    </row>
    <row r="34" spans="2:63" s="280" customFormat="1" ht="15" customHeight="1" x14ac:dyDescent="0.25">
      <c r="B34" s="346"/>
      <c r="AI34" s="345"/>
      <c r="BJ34" s="345"/>
      <c r="BK34" s="279"/>
    </row>
    <row r="35" spans="2:63" s="280" customFormat="1" ht="15" customHeight="1" x14ac:dyDescent="0.25">
      <c r="B35" s="346"/>
      <c r="O35" s="65"/>
      <c r="AI35" s="345"/>
      <c r="BJ35" s="345"/>
      <c r="BK35" s="279"/>
    </row>
    <row r="36" spans="2:63" s="280" customFormat="1" ht="15" customHeight="1" x14ac:dyDescent="0.25">
      <c r="B36" s="346"/>
      <c r="O36" s="65"/>
      <c r="AI36" s="345"/>
      <c r="BJ36" s="345"/>
      <c r="BK36" s="279"/>
    </row>
    <row r="37" spans="2:63" s="280" customFormat="1" ht="15" customHeight="1" x14ac:dyDescent="0.25">
      <c r="B37" s="346"/>
      <c r="O37" s="65"/>
      <c r="AI37" s="345"/>
      <c r="BJ37" s="345"/>
      <c r="BK37" s="279"/>
    </row>
    <row r="38" spans="2:63" s="280" customFormat="1" ht="15" customHeight="1" x14ac:dyDescent="0.25">
      <c r="B38" s="346"/>
      <c r="O38" s="65"/>
      <c r="AI38" s="345"/>
      <c r="BJ38" s="345"/>
      <c r="BK38" s="279"/>
    </row>
    <row r="39" spans="2:63" s="280" customFormat="1" ht="15" customHeight="1" x14ac:dyDescent="0.25">
      <c r="B39" s="346"/>
      <c r="O39" s="65"/>
      <c r="AI39" s="345"/>
      <c r="BJ39" s="345"/>
      <c r="BK39" s="279"/>
    </row>
    <row r="40" spans="2:63" s="280" customFormat="1" ht="15" customHeight="1" x14ac:dyDescent="0.25">
      <c r="B40" s="346"/>
      <c r="O40" s="65"/>
      <c r="AI40" s="345"/>
      <c r="BJ40" s="345"/>
      <c r="BK40" s="279"/>
    </row>
    <row r="41" spans="2:63" s="280" customFormat="1" ht="15" customHeight="1" x14ac:dyDescent="0.25">
      <c r="B41" s="346"/>
      <c r="O41" s="65"/>
      <c r="AI41" s="345"/>
      <c r="BJ41" s="345"/>
      <c r="BK41" s="279"/>
    </row>
    <row r="42" spans="2:63" s="280" customFormat="1" ht="15" customHeight="1" x14ac:dyDescent="0.25">
      <c r="B42" s="346"/>
      <c r="AI42" s="345"/>
      <c r="BJ42" s="345"/>
      <c r="BK42" s="279"/>
    </row>
    <row r="43" spans="2:63" ht="15" customHeight="1" x14ac:dyDescent="0.25">
      <c r="B43" s="27"/>
      <c r="AI43" s="28"/>
      <c r="BJ43" s="28"/>
      <c r="BK43" s="23"/>
    </row>
    <row r="44" spans="2:63" ht="15" customHeight="1" x14ac:dyDescent="0.25">
      <c r="B44" s="27"/>
      <c r="AI44" s="28"/>
      <c r="BJ44" s="28"/>
      <c r="BK44" s="23"/>
    </row>
    <row r="45" spans="2:63" ht="15" customHeight="1" x14ac:dyDescent="0.25">
      <c r="B45" s="27"/>
      <c r="AI45" s="28"/>
      <c r="BJ45" s="28"/>
      <c r="BK45" s="23"/>
    </row>
    <row r="46" spans="2:63" ht="15" customHeight="1" x14ac:dyDescent="0.25">
      <c r="B46" s="27"/>
      <c r="AI46" s="28"/>
      <c r="BJ46" s="28"/>
      <c r="BK46" s="23"/>
    </row>
    <row r="47" spans="2:63" ht="15" customHeight="1" x14ac:dyDescent="0.25">
      <c r="B47" s="27"/>
      <c r="AI47" s="28"/>
      <c r="BJ47" s="28"/>
      <c r="BK47" s="23"/>
    </row>
    <row r="48" spans="2:63" ht="15" customHeight="1" x14ac:dyDescent="0.25">
      <c r="B48" s="27"/>
      <c r="AI48" s="28"/>
      <c r="BJ48" s="28"/>
      <c r="BK48" s="23"/>
    </row>
    <row r="49" spans="2:63" ht="15" customHeight="1" x14ac:dyDescent="0.25">
      <c r="B49" s="27"/>
      <c r="AI49" s="28"/>
      <c r="BJ49" s="28"/>
      <c r="BK49" s="23"/>
    </row>
    <row r="50" spans="2:63" ht="15" customHeight="1" x14ac:dyDescent="0.25">
      <c r="B50" s="27"/>
      <c r="AI50" s="28"/>
      <c r="BJ50" s="28"/>
      <c r="BK50" s="23"/>
    </row>
    <row r="51" spans="2:63" x14ac:dyDescent="0.25">
      <c r="B51" s="27"/>
    </row>
    <row r="52" spans="2:63" x14ac:dyDescent="0.25">
      <c r="B52" s="27"/>
    </row>
    <row r="53" spans="2:63" x14ac:dyDescent="0.25">
      <c r="B53" s="27"/>
    </row>
    <row r="54" spans="2:63" x14ac:dyDescent="0.25">
      <c r="B54" s="27"/>
    </row>
    <row r="55" spans="2:63" x14ac:dyDescent="0.25">
      <c r="B55" s="27"/>
    </row>
    <row r="56" spans="2:63" x14ac:dyDescent="0.25">
      <c r="B56" s="27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62" t="s">
        <v>58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59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">
        <v>56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02" t="s">
        <v>60</v>
      </c>
      <c r="AQ1" s="203"/>
      <c r="AR1" s="203"/>
      <c r="AS1" s="204"/>
      <c r="AT1" s="202" t="s">
        <v>61</v>
      </c>
      <c r="AU1" s="203"/>
      <c r="AV1" s="203"/>
      <c r="AW1" s="203"/>
      <c r="AX1" s="204"/>
      <c r="AY1" s="202" t="s">
        <v>62</v>
      </c>
      <c r="AZ1" s="203"/>
      <c r="BA1" s="203"/>
      <c r="BB1" s="204"/>
      <c r="BC1" s="202" t="s">
        <v>63</v>
      </c>
      <c r="BD1" s="203"/>
      <c r="BE1" s="203"/>
      <c r="BF1" s="203"/>
      <c r="BG1" s="204"/>
      <c r="BH1" s="202" t="s">
        <v>64</v>
      </c>
      <c r="BI1" s="203"/>
      <c r="BJ1" s="203"/>
      <c r="BK1" s="204"/>
    </row>
    <row r="2" spans="1:63" ht="15" customHeight="1" x14ac:dyDescent="0.25">
      <c r="A2" s="139" t="s">
        <v>55</v>
      </c>
      <c r="B2" s="140"/>
      <c r="C2" s="140"/>
      <c r="D2" s="140"/>
      <c r="E2" s="140"/>
      <c r="F2" s="140"/>
      <c r="G2" s="140"/>
      <c r="H2" s="140"/>
      <c r="I2" s="140"/>
      <c r="J2" s="141"/>
      <c r="K2" s="139" t="s">
        <v>55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11" t="s">
        <v>52</v>
      </c>
      <c r="AQ2" s="209"/>
      <c r="AR2" s="209"/>
      <c r="AS2" s="210"/>
      <c r="AT2" s="215">
        <v>45782</v>
      </c>
      <c r="AU2" s="216"/>
      <c r="AV2" s="216"/>
      <c r="AW2" s="216"/>
      <c r="AX2" s="217"/>
      <c r="AY2" s="211" t="s">
        <v>53</v>
      </c>
      <c r="AZ2" s="209"/>
      <c r="BA2" s="209"/>
      <c r="BB2" s="210"/>
      <c r="BC2" s="215">
        <v>45796</v>
      </c>
      <c r="BD2" s="216"/>
      <c r="BE2" s="216"/>
      <c r="BF2" s="216"/>
      <c r="BG2" s="217"/>
      <c r="BH2" s="211">
        <v>0.12</v>
      </c>
      <c r="BI2" s="209"/>
      <c r="BJ2" s="209"/>
      <c r="BK2" s="210"/>
    </row>
    <row r="3" spans="1:63" ht="15" customHeight="1" x14ac:dyDescent="0.25">
      <c r="A3" s="142"/>
      <c r="B3" s="143"/>
      <c r="C3" s="143"/>
      <c r="D3" s="143"/>
      <c r="E3" s="143"/>
      <c r="F3" s="143"/>
      <c r="G3" s="143"/>
      <c r="H3" s="143"/>
      <c r="I3" s="143"/>
      <c r="J3" s="144"/>
      <c r="K3" s="142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62" t="s">
        <v>65</v>
      </c>
      <c r="B4" s="263"/>
      <c r="C4" s="263"/>
      <c r="D4" s="263"/>
      <c r="E4" s="263"/>
      <c r="F4" s="263"/>
      <c r="G4" s="264"/>
      <c r="H4" s="135" t="s">
        <v>54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262" t="s">
        <v>66</v>
      </c>
      <c r="V4" s="263"/>
      <c r="W4" s="263"/>
      <c r="X4" s="263"/>
      <c r="Y4" s="264"/>
      <c r="Z4" s="135" t="s">
        <v>57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8" t="str">
        <f ca="1">MID(CELL("filename",A1),FIND("]",CELL("filename",A1))+1,255)</f>
        <v>テンプレート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280" customFormat="1" ht="15" customHeight="1" x14ac:dyDescent="0.25">
      <c r="BK7" s="279"/>
    </row>
    <row r="8" spans="1:63" s="280" customFormat="1" ht="15" customHeight="1" x14ac:dyDescent="0.25">
      <c r="BK8" s="279"/>
    </row>
    <row r="9" spans="1:63" s="280" customFormat="1" ht="15" customHeight="1" x14ac:dyDescent="0.25">
      <c r="BK9" s="279"/>
    </row>
    <row r="10" spans="1:63" s="280" customFormat="1" ht="15" customHeight="1" x14ac:dyDescent="0.25">
      <c r="BK10" s="279"/>
    </row>
    <row r="11" spans="1:63" s="280" customFormat="1" ht="15" customHeight="1" x14ac:dyDescent="0.25">
      <c r="BK11" s="279"/>
    </row>
    <row r="12" spans="1:63" s="280" customFormat="1" ht="15" customHeight="1" x14ac:dyDescent="0.25">
      <c r="BK12" s="279"/>
    </row>
    <row r="13" spans="1:63" s="280" customFormat="1" ht="15" customHeight="1" x14ac:dyDescent="0.25">
      <c r="BK13" s="279"/>
    </row>
    <row r="14" spans="1:63" s="280" customFormat="1" ht="15" customHeight="1" x14ac:dyDescent="0.25">
      <c r="BK14" s="279"/>
    </row>
    <row r="15" spans="1:63" s="280" customFormat="1" ht="15" customHeight="1" x14ac:dyDescent="0.25">
      <c r="BK15" s="279"/>
    </row>
    <row r="16" spans="1:63" s="280" customFormat="1" ht="15" customHeight="1" x14ac:dyDescent="0.25">
      <c r="BK16" s="279"/>
    </row>
    <row r="17" spans="63:63" s="280" customFormat="1" ht="15" customHeight="1" x14ac:dyDescent="0.25">
      <c r="BK17" s="279"/>
    </row>
    <row r="18" spans="63:63" s="280" customFormat="1" ht="15" customHeight="1" x14ac:dyDescent="0.25">
      <c r="BK18" s="279"/>
    </row>
    <row r="19" spans="63:63" s="280" customFormat="1" ht="15" customHeight="1" x14ac:dyDescent="0.25">
      <c r="BK19" s="279"/>
    </row>
    <row r="20" spans="63:63" s="280" customFormat="1" ht="15" customHeight="1" x14ac:dyDescent="0.25">
      <c r="BK20" s="279"/>
    </row>
    <row r="21" spans="63:63" s="280" customFormat="1" ht="15" customHeight="1" x14ac:dyDescent="0.25">
      <c r="BK21" s="279"/>
    </row>
    <row r="22" spans="63:63" s="280" customFormat="1" ht="15" customHeight="1" x14ac:dyDescent="0.25">
      <c r="BK22" s="279"/>
    </row>
    <row r="23" spans="63:63" s="280" customFormat="1" ht="15" customHeight="1" x14ac:dyDescent="0.25">
      <c r="BK23" s="279"/>
    </row>
    <row r="24" spans="63:63" s="280" customFormat="1" ht="15" customHeight="1" x14ac:dyDescent="0.25">
      <c r="BK24" s="279"/>
    </row>
    <row r="25" spans="63:63" s="280" customFormat="1" ht="15" customHeight="1" x14ac:dyDescent="0.25">
      <c r="BK25" s="279"/>
    </row>
    <row r="26" spans="63:63" s="280" customFormat="1" ht="15" customHeight="1" x14ac:dyDescent="0.25">
      <c r="BK26" s="279"/>
    </row>
    <row r="27" spans="63:63" s="280" customFormat="1" ht="15" customHeight="1" x14ac:dyDescent="0.25">
      <c r="BK27" s="279"/>
    </row>
    <row r="28" spans="63:63" s="280" customFormat="1" ht="15" customHeight="1" x14ac:dyDescent="0.25">
      <c r="BK28" s="279"/>
    </row>
    <row r="29" spans="63:63" s="280" customFormat="1" ht="15" customHeight="1" x14ac:dyDescent="0.25">
      <c r="BK29" s="279"/>
    </row>
    <row r="30" spans="63:63" s="280" customFormat="1" ht="15" customHeight="1" x14ac:dyDescent="0.25">
      <c r="BK30" s="279"/>
    </row>
    <row r="31" spans="63:63" s="280" customFormat="1" ht="15" customHeight="1" x14ac:dyDescent="0.25">
      <c r="BK31" s="279"/>
    </row>
    <row r="32" spans="63:63" s="280" customFormat="1" ht="15" customHeight="1" x14ac:dyDescent="0.25">
      <c r="BK32" s="279"/>
    </row>
    <row r="33" spans="63:63" s="280" customFormat="1" ht="15" customHeight="1" x14ac:dyDescent="0.25">
      <c r="BK33" s="279"/>
    </row>
    <row r="34" spans="63:63" s="280" customFormat="1" ht="15" customHeight="1" x14ac:dyDescent="0.25">
      <c r="BK34" s="279"/>
    </row>
    <row r="35" spans="63:63" s="280" customFormat="1" ht="15" customHeight="1" x14ac:dyDescent="0.25">
      <c r="BK35" s="279"/>
    </row>
    <row r="36" spans="63:63" s="280" customFormat="1" ht="15" customHeight="1" x14ac:dyDescent="0.25">
      <c r="BK36" s="279"/>
    </row>
    <row r="37" spans="63:63" s="280" customFormat="1" ht="15" customHeight="1" x14ac:dyDescent="0.25">
      <c r="BK37" s="279"/>
    </row>
    <row r="38" spans="63:63" s="280" customFormat="1" ht="15" customHeight="1" x14ac:dyDescent="0.25">
      <c r="BK38" s="279"/>
    </row>
    <row r="39" spans="63:63" s="280" customFormat="1" ht="15" customHeight="1" x14ac:dyDescent="0.25">
      <c r="BK39" s="279"/>
    </row>
    <row r="40" spans="63:63" s="280" customFormat="1" ht="15" customHeight="1" x14ac:dyDescent="0.25">
      <c r="BK40" s="279"/>
    </row>
    <row r="41" spans="63:63" s="280" customFormat="1" ht="15" customHeight="1" x14ac:dyDescent="0.25">
      <c r="BK41" s="279"/>
    </row>
    <row r="42" spans="63:63" s="280" customFormat="1" ht="15" customHeight="1" x14ac:dyDescent="0.25">
      <c r="BK42" s="279"/>
    </row>
    <row r="43" spans="63:63" s="280" customFormat="1" ht="15" customHeight="1" x14ac:dyDescent="0.25">
      <c r="BK43" s="279"/>
    </row>
    <row r="44" spans="63:63" s="280" customFormat="1" ht="15" customHeight="1" x14ac:dyDescent="0.25">
      <c r="BK44" s="279"/>
    </row>
    <row r="45" spans="63:63" s="280" customFormat="1" ht="15" customHeight="1" x14ac:dyDescent="0.25">
      <c r="BK45" s="279"/>
    </row>
    <row r="46" spans="63:63" s="280" customFormat="1" ht="15" customHeight="1" x14ac:dyDescent="0.25">
      <c r="BK46" s="279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F17E2B-BF9A-4C5B-9934-53184041BB01}"/>
</file>

<file path=customXml/itemProps2.xml><?xml version="1.0" encoding="utf-8"?>
<ds:datastoreItem xmlns:ds="http://schemas.openxmlformats.org/officeDocument/2006/customXml" ds:itemID="{A2E75859-29BE-4BF6-880D-B0DACD128EFD}"/>
</file>

<file path=customXml/itemProps3.xml><?xml version="1.0" encoding="utf-8"?>
<ds:datastoreItem xmlns:ds="http://schemas.openxmlformats.org/officeDocument/2006/customXml" ds:itemID="{541867E7-4BF7-43BC-86DD-B8469285343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AP9902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2025-06-23T03:14:01Z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