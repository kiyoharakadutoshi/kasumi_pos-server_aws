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X0_ログイン\"/>
    </mc:Choice>
  </mc:AlternateContent>
  <xr:revisionPtr revIDLastSave="0" documentId="13_ncr:1_{ED1999DC-A986-4369-BFFF-71EAAD7C83E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X001" sheetId="8" r:id="rId4"/>
    <sheet name="処理フロー" sheetId="11" r:id="rId5"/>
    <sheet name="キーマッピング" sheetId="7" r:id="rId6"/>
  </sheets>
  <definedNames>
    <definedName name="_xlnm.Print_Area" localSheetId="3">'APX001'!$A$1:$BK$90</definedName>
    <definedName name="_xlnm.Print_Area" localSheetId="5">キーマッピング!$A$1:$BK$78</definedName>
    <definedName name="_xlnm.Print_Area" localSheetId="4">処理フロー!$A$1:$BK$88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11"/>
  <c r="C51" i="8"/>
  <c r="C52" i="8" s="1"/>
  <c r="C53" i="8" s="1"/>
  <c r="C54" i="8" s="1"/>
  <c r="C55" i="8" s="1"/>
  <c r="C56" i="8" s="1"/>
  <c r="C57" i="8" s="1"/>
  <c r="C58" i="8" s="1"/>
  <c r="C59" i="8" s="1"/>
  <c r="C60" i="8" s="1"/>
  <c r="C50" i="8"/>
  <c r="C49" i="8"/>
  <c r="C47" i="8"/>
  <c r="C38" i="8"/>
  <c r="C37" i="8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<sst xmlns="http://schemas.openxmlformats.org/spreadsheetml/2006/main" count="367" uniqueCount="262">
  <si>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</si>
  <si>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</si>
  <si>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</si>
  <si>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</si>
  <si>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</si>
  <si>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</si>
  <si>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</si>
  <si>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</si>
  <si>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</si>
  <si>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</si>
  <si>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</si>
  <si>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</si>
  <si>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</si>
  <si>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</si>
  <si>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</si>
  <si>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</si>
  <si>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</si>
  <si>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</si>
  <si>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</si>
  <si>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</si>
  <si>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</si>
  <si>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</si>
  <si>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</si>
  <si>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</si>
  <si>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</si>
  <si>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</si>
  <si>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</si>
  <si>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</si>
  <si>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</si>
  <si>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</si>
  <si>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</si>
  <si>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</si>
  <si>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</si>
  <si>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</si>
  <si>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</si>
  <si>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</si>
  <si>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</si>
  <si>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</si>
  <si>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</si>
  <si>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</si>
  <si>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</si>
  <si>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</si>
  <si>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</si>
  <si>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</si>
  <si>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</si>
  <si>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</si>
  <si>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</si>
  <si>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code</t>
    </r>
  </si>
  <si>
    <t>{</t>
  </si>
  <si>
    <t>}</t>
  </si>
  <si>
    <t>]</t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</si>
  <si>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</si>
  <si>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ユーザーログインを実行する。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</si>
  <si>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</si>
  <si>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</si>
  <si>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</si>
  <si>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ログインユーザーが所属する企業コード</t>
    </r>
  </si>
  <si>
    <r>
      <rPr>
        <sz val="11"/>
        <color rgb="FF000000"/>
        <rFont val="Meiryo UI"/>
        <family val="2"/>
      </rPr>
      <t>ログイン名</t>
    </r>
  </si>
  <si>
    <r>
      <rPr>
        <sz val="11"/>
        <color rgb="FF000000"/>
        <rFont val="Meiryo UI"/>
        <family val="2"/>
      </rPr>
      <t>パスワード</t>
    </r>
  </si>
  <si>
    <r>
      <rPr>
        <sz val="11"/>
        <color rgb="FF000000"/>
        <rFont val="Meiryo UI"/>
        <family val="2"/>
      </rPr>
      <t>access_token</t>
    </r>
  </si>
  <si>
    <r>
      <rPr>
        <sz val="11"/>
        <color rgb="FF000000"/>
        <rFont val="Meiryo UI"/>
        <family val="2"/>
      </rPr>
      <t>refresh_token</t>
    </r>
  </si>
  <si>
    <r>
      <rPr>
        <sz val="11"/>
        <color rgb="FF000000"/>
        <rFont val="Meiryo UI"/>
        <family val="2"/>
      </rPr>
      <t>access token</t>
    </r>
  </si>
  <si>
    <r>
      <rPr>
        <sz val="11"/>
        <color rgb="FF000000"/>
        <rFont val="Meiryo UI"/>
        <family val="2"/>
      </rPr>
      <t>refresh token</t>
    </r>
  </si>
  <si>
    <r>
      <rPr>
        <sz val="11"/>
        <color rgb="FF000000"/>
        <rFont val="Meiryo UI"/>
        <family val="2"/>
      </rPr>
      <t>user_name</t>
    </r>
  </si>
  <si>
    <r>
      <rPr>
        <sz val="11"/>
        <color rgb="FF000000"/>
        <rFont val="Meiryo UI"/>
        <family val="2"/>
      </rPr>
      <t>role_code</t>
    </r>
  </si>
  <si>
    <r>
      <rPr>
        <sz val="11"/>
        <color rgb="FF000000"/>
        <rFont val="Meiryo UI"/>
        <family val="2"/>
      </rPr>
      <t>role_name</t>
    </r>
  </si>
  <si>
    <r>
      <rPr>
        <sz val="11"/>
        <color rgb="FF000000"/>
        <rFont val="Meiryo UI"/>
        <family val="2"/>
      </rPr>
      <t>有効期限：1日</t>
    </r>
  </si>
  <si>
    <r>
      <rPr>
        <sz val="11"/>
        <color rgb="FF000000"/>
        <rFont val="Meiryo UI"/>
        <family val="2"/>
      </rPr>
      <t>user_detail</t>
    </r>
  </si>
  <si>
    <r>
      <rPr>
        <sz val="11"/>
        <color rgb="FF000000"/>
        <rFont val="Meiryo UI"/>
        <family val="2"/>
      </rPr>
      <t>Object</t>
    </r>
  </si>
  <si>
    <r>
      <rPr>
        <sz val="11"/>
        <color rgb="FF000000"/>
        <rFont val="Meiryo UI"/>
        <family val="2"/>
      </rPr>
      <t>ユーザー詳細情報</t>
    </r>
  </si>
  <si>
    <r>
      <rPr>
        <sz val="11"/>
        <color rgb="FF000000"/>
        <rFont val="Meiryo UI"/>
        <family val="2"/>
      </rPr>
      <t>ユーザーログイン名</t>
    </r>
  </si>
  <si>
    <r>
      <rPr>
        <sz val="11"/>
        <color rgb="FF000000"/>
        <rFont val="Meiryo UI"/>
        <family val="2"/>
      </rPr>
      <t>表示に使用されるユーザー名</t>
    </r>
  </si>
  <si>
    <r>
      <rPr>
        <sz val="11"/>
        <color rgb="FF000000"/>
        <rFont val="Meiryo UI"/>
        <family val="2"/>
      </rPr>
      <t>ユーザーロールコード</t>
    </r>
  </si>
  <si>
    <r>
      <rPr>
        <sz val="11"/>
        <color rgb="FF000000"/>
        <rFont val="Meiryo UI"/>
        <family val="2"/>
      </rPr>
      <t>ユーザーロール名</t>
    </r>
  </si>
  <si>
    <r>
      <rPr>
        <sz val="11"/>
        <color rgb="FF000000"/>
        <rFont val="Meiryo UI"/>
        <family val="2"/>
      </rPr>
      <t>企業コード</t>
    </r>
  </si>
  <si>
    <r>
      <rPr>
        <sz val="11"/>
        <color rgb="FF000000"/>
        <rFont val="Meiryo UI"/>
        <family val="2"/>
      </rPr>
      <t>"refresh_token": "i6mapTIAVSp2oJkgUnCACKKfZxt_H5MBLiqcybBBd04",</t>
    </r>
  </si>
  <si>
    <r>
      <rPr>
        <sz val="11"/>
        <color rgb="FF000000"/>
        <rFont val="Meiryo UI"/>
        <family val="2"/>
      </rPr>
      <t>"user_detail": {</t>
    </r>
  </si>
  <si>
    <r>
      <rPr>
        <sz val="11"/>
        <color rgb="FF000000"/>
        <rFont val="Meiryo UI"/>
        <family val="2"/>
      </rPr>
      <t>パーミッションコード</t>
    </r>
  </si>
  <si>
    <r>
      <rPr>
        <sz val="11"/>
        <color rgb="FF000000"/>
        <rFont val="Meiryo UI"/>
        <family val="2"/>
      </rPr>
      <t>"permisisons": [</t>
    </r>
  </si>
  <si>
    <r>
      <rPr>
        <sz val="11"/>
        <color rgb="FF000000"/>
        <rFont val="Meiryo UI"/>
        <family val="2"/>
      </rPr>
      <t>"access_token": "eyJhbGciOiJIUzI1NiIsInR5cCI6IkpXVCJ9.eyJpc3MiOiJodHRwczovL2V4YW1wbGUuYXV0aDAuY29tLyIsImF1ZCI6Imh0dHBzOi8vYXBpLmV4YW1wbGUuY29tL2NhbGFuZGFyL3YxLyIsInN1YiI6InVzcl8xMjMiLCJpYXQiOjE0NTg3ODU3OTYsImV4cCI6MTQ1ODg3MjE5Nn0.CA7eaHjIHz5NxeIJoFK9krqaeZrPLwmMmgI_XiQiIkQ",</t>
    </r>
  </si>
  <si>
    <r>
      <rPr>
        <sz val="11"/>
        <color rgb="FF00B050"/>
        <rFont val="Meiryo UI"/>
        <family val="2"/>
      </rPr>
      <t>alias_name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</si>
  <si>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</si>
  <si>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permissions</t>
    </r>
  </si>
  <si>
    <r>
      <rPr>
        <sz val="11"/>
        <color rgb="FF000000"/>
        <rFont val="Meiryo UI"/>
        <family val="2"/>
      </rPr>
      <t>アクセス可能権限一覧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</si>
  <si>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</si>
  <si>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アクセストークンの有効期限修正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</si>
  <si>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</si>
  <si>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会社名</t>
    </r>
  </si>
  <si>
    <r>
      <rPr>
        <i/>
        <sz val="11"/>
        <color rgb="FF000000"/>
        <rFont val="Meiryo UI"/>
        <family val="2"/>
      </rPr>
      <t>"store_name": "湖北店",</t>
    </r>
  </si>
  <si>
    <r>
      <rPr>
        <sz val="11"/>
        <color rgb="FF000000"/>
        <rFont val="Meiryo UI"/>
        <family val="2"/>
      </rPr>
      <t>有効期限： 5分</t>
    </r>
  </si>
  <si>
    <r>
      <rPr>
        <sz val="11"/>
        <color rgb="FF00B050"/>
        <rFont val="Meiryo UI"/>
        <family val="2"/>
      </rPr>
      <t>システム名</t>
    </r>
  </si>
  <si>
    <r>
      <rPr>
        <sz val="11"/>
        <color rgb="FF00B050"/>
        <rFont val="Meiryo UI"/>
        <family val="2"/>
      </rPr>
      <t>システム種別</t>
    </r>
  </si>
  <si>
    <r>
      <rPr>
        <sz val="11"/>
        <color rgb="FF00B050"/>
        <rFont val="Meiryo UI"/>
        <family val="2"/>
      </rPr>
      <t>作成者</t>
    </r>
  </si>
  <si>
    <r>
      <rPr>
        <sz val="11"/>
        <color rgb="FF00B050"/>
        <rFont val="Meiryo UI"/>
        <family val="2"/>
      </rPr>
      <t>作成日</t>
    </r>
  </si>
  <si>
    <r>
      <rPr>
        <sz val="11"/>
        <color rgb="FF00B050"/>
        <rFont val="Meiryo UI"/>
        <family val="2"/>
      </rPr>
      <t>更新者</t>
    </r>
  </si>
  <si>
    <r>
      <rPr>
        <sz val="11"/>
        <color rgb="FF00B050"/>
        <rFont val="Meiryo UI"/>
        <family val="2"/>
      </rPr>
      <t>更新日</t>
    </r>
  </si>
  <si>
    <r>
      <rPr>
        <sz val="11"/>
        <color rgb="FF00B050"/>
        <rFont val="Meiryo UI"/>
        <family val="2"/>
      </rPr>
      <t>版数</t>
    </r>
  </si>
  <si>
    <r>
      <rPr>
        <sz val="11"/>
        <color rgb="FF00B050"/>
        <rFont val="Meiryo UI"/>
        <family val="2"/>
      </rPr>
      <t>機能カテゴリ</t>
    </r>
  </si>
  <si>
    <r>
      <rPr>
        <sz val="11"/>
        <color rgb="FF00B050"/>
        <rFont val="Meiryo UI"/>
        <family val="2"/>
      </rPr>
      <t>項目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</si>
  <si>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SC0101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</si>
  <si>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SC0201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</si>
  <si>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SC0301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</si>
  <si>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SC0501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</si>
  <si>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SC0601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</si>
  <si>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SC0801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</si>
  <si>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SC1001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</si>
  <si>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SC1101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</si>
  <si>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SC1201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</si>
  <si>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SC1401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</si>
  <si>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SC1501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</si>
  <si>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SC1901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</si>
  <si>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SC2001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</si>
  <si>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SC2101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</si>
  <si>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SC2201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</si>
  <si>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SC2801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</si>
  <si>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SC2901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</si>
  <si>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SC3101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</si>
  <si>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SC3201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</si>
  <si>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SC3301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</si>
  <si>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SC3701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</si>
  <si>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SC3801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</si>
  <si>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SC4001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</si>
  <si>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SC4501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</si>
  <si>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SC6201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</si>
  <si>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SC6601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</si>
  <si>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SC6801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</si>
  <si>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SC7201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</si>
  <si>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SC7301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</si>
  <si>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SC7401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</si>
  <si>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SC8001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</si>
  <si>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SC8201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</si>
  <si>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SC9601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</si>
  <si>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SC9901</t>
    </r>
  </si>
  <si>
    <r>
      <rPr>
        <sz val="11"/>
        <color rgb="FF00B050"/>
        <rFont val="Meiryo UI"/>
        <family val="2"/>
      </rPr>
      <t>画面コード</t>
    </r>
  </si>
  <si>
    <r>
      <rPr>
        <sz val="11"/>
        <color rgb="FF00B050"/>
        <rFont val="Meiryo UI"/>
        <family val="2"/>
      </rPr>
      <t>product-management</t>
    </r>
  </si>
  <si>
    <r>
      <rPr>
        <sz val="11"/>
        <color rgb="FF00B050"/>
        <rFont val="Meiryo UI"/>
        <family val="2"/>
      </rPr>
      <t>price-change</t>
    </r>
  </si>
  <si>
    <r>
      <rPr>
        <sz val="11"/>
        <color rgb="FF00B050"/>
        <rFont val="Meiryo UI"/>
        <family val="2"/>
      </rPr>
      <t>special-promotion</t>
    </r>
  </si>
  <si>
    <r>
      <rPr>
        <sz val="11"/>
        <color rgb="FF00B050"/>
        <rFont val="Meiryo UI"/>
        <family val="2"/>
      </rPr>
      <t>mix-match</t>
    </r>
  </si>
  <si>
    <r>
      <rPr>
        <sz val="11"/>
        <color rgb="FF00B050"/>
        <rFont val="Meiryo UI"/>
        <family val="2"/>
      </rPr>
      <t>standard-price</t>
    </r>
  </si>
  <si>
    <r>
      <rPr>
        <sz val="11"/>
        <color rgb="FF00B050"/>
        <rFont val="Meiryo UI"/>
        <family val="2"/>
      </rPr>
      <t>master-category</t>
    </r>
  </si>
  <si>
    <r>
      <rPr>
        <sz val="11"/>
        <color rgb="FF00B050"/>
        <rFont val="Meiryo UI"/>
        <family val="2"/>
      </rPr>
      <t>promotion-maintenance</t>
    </r>
  </si>
  <si>
    <r>
      <rPr>
        <sz val="11"/>
        <color rgb="FF00B050"/>
        <rFont val="Meiryo UI"/>
        <family val="2"/>
      </rPr>
      <t>sales-report</t>
    </r>
  </si>
  <si>
    <r>
      <rPr>
        <sz val="11"/>
        <color rgb="FF00B050"/>
        <rFont val="Meiryo UI"/>
        <family val="2"/>
      </rPr>
      <t>product-report</t>
    </r>
  </si>
  <si>
    <r>
      <rPr>
        <sz val="11"/>
        <color rgb="FF00B050"/>
        <rFont val="Meiryo UI"/>
        <family val="2"/>
      </rPr>
      <t>sales-tenant-report</t>
    </r>
  </si>
  <si>
    <r>
      <rPr>
        <sz val="11"/>
        <color rgb="FF00B050"/>
        <rFont val="Meiryo UI"/>
        <family val="2"/>
      </rPr>
      <t>preset-setting</t>
    </r>
  </si>
  <si>
    <r>
      <rPr>
        <sz val="11"/>
        <color rgb="FF00B050"/>
        <rFont val="Meiryo UI"/>
        <family val="2"/>
      </rPr>
      <t>price-change-explanations</t>
    </r>
  </si>
  <si>
    <r>
      <rPr>
        <sz val="11"/>
        <color rgb="FF00B050"/>
        <rFont val="Meiryo UI"/>
        <family val="2"/>
      </rPr>
      <t>register-settlement</t>
    </r>
  </si>
  <si>
    <r>
      <rPr>
        <sz val="11"/>
        <color rgb="FF00B050"/>
        <rFont val="Meiryo UI"/>
        <family val="2"/>
      </rPr>
      <t>search-journal</t>
    </r>
  </si>
  <si>
    <r>
      <rPr>
        <sz val="11"/>
        <color rgb="FF00B050"/>
        <rFont val="Meiryo UI"/>
        <family val="2"/>
      </rPr>
      <t>subtotal-discount-settings</t>
    </r>
  </si>
  <si>
    <r>
      <rPr>
        <sz val="11"/>
        <color rgb="FF00B050"/>
        <rFont val="Meiryo UI"/>
        <family val="2"/>
      </rPr>
      <t>receipt-coupon-setting</t>
    </r>
  </si>
  <si>
    <r>
      <rPr>
        <sz val="11"/>
        <color rgb="FF00B050"/>
        <rFont val="Meiryo UI"/>
        <family val="2"/>
      </rPr>
      <t>check-time-instores</t>
    </r>
  </si>
  <si>
    <r>
      <rPr>
        <sz val="11"/>
        <color rgb="FF00B050"/>
        <rFont val="Meiryo UI"/>
        <family val="2"/>
      </rPr>
      <t>instores-report</t>
    </r>
  </si>
  <si>
    <r>
      <rPr>
        <sz val="11"/>
        <color rgb="FF00B050"/>
        <rFont val="Meiryo UI"/>
        <family val="2"/>
      </rPr>
      <t>product-revenue-pos</t>
    </r>
  </si>
  <si>
    <r>
      <rPr>
        <sz val="11"/>
        <color rgb="FF00B050"/>
        <rFont val="Meiryo UI"/>
        <family val="2"/>
      </rPr>
      <t>cash-report</t>
    </r>
  </si>
  <si>
    <r>
      <rPr>
        <sz val="11"/>
        <color rgb="FF00B050"/>
        <rFont val="Meiryo UI"/>
        <family val="2"/>
      </rPr>
      <t>mega-discount-settings</t>
    </r>
  </si>
  <si>
    <r>
      <rPr>
        <sz val="11"/>
        <color rgb="FF00B050"/>
        <rFont val="Meiryo UI"/>
        <family val="2"/>
      </rPr>
      <t>morning-discount-settings</t>
    </r>
  </si>
  <si>
    <r>
      <rPr>
        <sz val="11"/>
        <color rgb="FF00B050"/>
        <rFont val="Meiryo UI"/>
        <family val="2"/>
      </rPr>
      <t>employee-setting</t>
    </r>
  </si>
  <si>
    <r>
      <rPr>
        <sz val="11"/>
        <color rgb="FF00B050"/>
        <rFont val="Meiryo UI"/>
        <family val="2"/>
      </rPr>
      <t>product-registration</t>
    </r>
  </si>
  <si>
    <r>
      <rPr>
        <sz val="11"/>
        <color rgb="FF00B050"/>
        <rFont val="Meiryo UI"/>
        <family val="2"/>
      </rPr>
      <t>image-upload</t>
    </r>
  </si>
  <si>
    <r>
      <rPr>
        <sz val="11"/>
        <color rgb="FF00B050"/>
        <rFont val="Meiryo UI"/>
        <family val="2"/>
      </rPr>
      <t>master-ticket</t>
    </r>
  </si>
  <si>
    <r>
      <rPr>
        <sz val="11"/>
        <color rgb="FF00B050"/>
        <rFont val="Meiryo UI"/>
        <family val="2"/>
      </rPr>
      <t>user-setting</t>
    </r>
  </si>
  <si>
    <r>
      <rPr>
        <sz val="11"/>
        <color rgb="FF00B050"/>
        <rFont val="Meiryo UI"/>
        <family val="2"/>
      </rPr>
      <t>instores</t>
    </r>
  </si>
  <si>
    <r>
      <rPr>
        <sz val="11"/>
        <color rgb="FF00B050"/>
        <rFont val="Meiryo UI"/>
        <family val="2"/>
      </rPr>
      <t>change-password</t>
    </r>
  </si>
  <si>
    <r>
      <rPr>
        <sz val="11"/>
        <color rgb="FF00B050"/>
        <rFont val="Meiryo UI"/>
        <family val="2"/>
      </rPr>
      <t>instores-status-reference</t>
    </r>
  </si>
  <si>
    <r>
      <rPr>
        <sz val="11"/>
        <color rgb="FF00B050"/>
        <rFont val="Meiryo UI"/>
        <family val="2"/>
      </rPr>
      <t>budget-registration</t>
    </r>
  </si>
  <si>
    <r>
      <rPr>
        <sz val="11"/>
        <color rgb="FF00B050"/>
        <rFont val="Meiryo UI"/>
        <family val="2"/>
      </rPr>
      <t>master-redistribution</t>
    </r>
  </si>
  <si>
    <r>
      <rPr>
        <sz val="11"/>
        <color rgb="FF00B050"/>
        <rFont val="Meiryo UI"/>
        <family val="2"/>
      </rPr>
      <t>setup-alert-payment-machine</t>
    </r>
  </si>
  <si>
    <r>
      <rPr>
        <sz val="11"/>
        <color rgb="FF00B050"/>
        <rFont val="Meiryo UI"/>
        <family val="2"/>
      </rPr>
      <t>master-stores</t>
    </r>
  </si>
  <si>
    <r>
      <rPr>
        <sz val="11"/>
        <color rgb="FF00B050"/>
        <rFont val="Meiryo UI"/>
        <family val="2"/>
      </rPr>
      <t>category-discount-receipt-coupon-settings</t>
    </r>
  </si>
  <si>
    <r>
      <rPr>
        <sz val="11"/>
        <color rgb="FF00B050"/>
        <rFont val="Meiryo UI"/>
        <family val="2"/>
      </rPr>
      <t>master-company-settings</t>
    </r>
  </si>
  <si>
    <r>
      <rPr>
        <sz val="11"/>
        <color rgb="FF00B050"/>
        <rFont val="Meiryo UI"/>
        <family val="2"/>
      </rPr>
      <t>01</t>
    </r>
  </si>
  <si>
    <r>
      <rPr>
        <sz val="11"/>
        <color rgb="FF00B050"/>
        <rFont val="Meiryo UI"/>
        <family val="2"/>
      </rPr>
      <t>02</t>
    </r>
  </si>
  <si>
    <r>
      <rPr>
        <sz val="11"/>
        <color rgb="FF00B050"/>
        <rFont val="Meiryo UI"/>
        <family val="2"/>
      </rPr>
      <t>03</t>
    </r>
  </si>
  <si>
    <r>
      <rPr>
        <sz val="11"/>
        <color rgb="FF00B050"/>
        <rFont val="Meiryo UI"/>
        <family val="2"/>
      </rPr>
      <t>05</t>
    </r>
  </si>
  <si>
    <r>
      <rPr>
        <sz val="11"/>
        <color rgb="FF00B050"/>
        <rFont val="Meiryo UI"/>
        <family val="2"/>
      </rPr>
      <t>06</t>
    </r>
  </si>
  <si>
    <r>
      <rPr>
        <sz val="11"/>
        <color rgb="FF00B050"/>
        <rFont val="Meiryo UI"/>
        <family val="2"/>
      </rPr>
      <t>08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</si>
  <si>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SC7101</t>
    </r>
  </si>
  <si>
    <r>
      <rPr>
        <sz val="11"/>
        <color rgb="FF00B050"/>
        <rFont val="Meiryo UI"/>
        <family val="2"/>
      </rPr>
      <t>メニューコード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</si>
  <si>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SC8101</t>
    </r>
  </si>
  <si>
    <r>
      <rPr>
        <sz val="11"/>
        <color rgb="FF00B050"/>
        <rFont val="Meiryo UI"/>
        <family val="2"/>
      </rPr>
      <t>いなげや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800</t>
    </r>
  </si>
  <si>
    <r>
      <rPr>
        <sz val="11"/>
        <color rgb="FF00B050"/>
        <rFont val="Meiryo UI"/>
        <family val="2"/>
      </rPr>
      <t>カスミ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100</t>
    </r>
  </si>
  <si>
    <r>
      <rPr>
        <sz val="11"/>
        <color rgb="FF000000"/>
        <rFont val="Meiryo UI"/>
        <family val="2"/>
      </rPr>
      <t>SonNH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</si>
  <si>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</si>
  <si>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B050"/>
        <rFont val="Meiryo UI"/>
        <family val="2"/>
      </rPr>
      <t>01</t>
    </r>
  </si>
  <si>
    <r>
      <rPr>
        <sz val="11"/>
        <color rgb="FF00B050"/>
        <rFont val="Meiryo UI"/>
        <family val="2"/>
      </rPr>
      <t>02</t>
    </r>
  </si>
  <si>
    <r>
      <rPr>
        <sz val="11"/>
        <color rgb="FF00B050"/>
        <rFont val="Meiryo UI"/>
        <family val="2"/>
      </rPr>
      <t>03</t>
    </r>
  </si>
  <si>
    <r>
      <rPr>
        <sz val="11"/>
        <color rgb="FF00B050"/>
        <rFont val="Meiryo UI"/>
        <family val="2"/>
      </rPr>
      <t>05</t>
    </r>
  </si>
  <si>
    <r>
      <rPr>
        <sz val="11"/>
        <color rgb="FF00B050"/>
        <rFont val="Meiryo UI"/>
        <family val="2"/>
      </rPr>
      <t>06</t>
    </r>
  </si>
  <si>
    <r>
      <rPr>
        <sz val="11"/>
        <color rgb="FF00B050"/>
        <rFont val="Meiryo UI"/>
        <family val="2"/>
      </rPr>
      <t>08</t>
    </r>
  </si>
  <si>
    <t>LoiLV</t>
  </si>
  <si>
    <t>SonNH</t>
  </si>
  <si>
    <t>APX001</t>
  </si>
  <si>
    <t>POSサーバー</t>
  </si>
  <si>
    <t>詳細設計書</t>
  </si>
  <si>
    <t>API設計書</t>
  </si>
  <si>
    <t xml:space="preserve">処理フローシート：terminal更新ロジックを更新 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</si>
  <si>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</si>
  <si>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</si>
  <si>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</si>
  <si>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</si>
  <si>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</si>
  <si>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</si>
  <si>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</si>
  <si>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</si>
  <si>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</si>
  <si>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</si>
  <si>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</si>
  <si>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</si>
  <si>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AnhTTP</t>
  </si>
  <si>
    <t>DB snake_caseマッピング更新</t>
  </si>
  <si>
    <t>master_codesからロール取得処理更新</t>
  </si>
  <si>
    <t>パーミッションロジック修正</t>
  </si>
  <si>
    <r>
      <rPr>
        <sz val="11"/>
        <color rgb="FFC55A11"/>
        <rFont val="Meiryo UI"/>
        <family val="2"/>
      </rPr>
      <t>SonNH</t>
    </r>
  </si>
  <si>
    <t>●API処理フロー</t>
  </si>
  <si>
    <t>100: カスミ, 800：いなげや
companies.company_name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</si>
  <si>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</si>
  <si>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</si>
  <si>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</si>
  <si>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api/v1/auth/login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</si>
  <si>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</si>
  <si>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</si>
  <si>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</si>
  <si>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</si>
  <si>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</si>
  <si>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</si>
  <si>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</si>
  <si>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</si>
  <si>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t>100: カスミ, 800：いなげや</t>
  </si>
  <si>
    <t>入力バリデーションチェック：MSG_VAL_001。その中、{0}がuser_nameである。</t>
  </si>
  <si>
    <t>入力バリデーションチェック：MSG_VAL_001。その中、{0}がpasswordである。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</si>
  <si>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</si>
  <si>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</si>
  <si>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</si>
  <si>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3つのユーザーロールがある：
・00: System administrator (企業の全て店舗にアクセスする権限)
・01 : Headquarters user (複数の店舗にアクセスする権限)
・02 : Store user (1つの店舗のみにアクセスする権限)</t>
    </r>
  </si>
  <si>
    <t>100: カスミ, 800：いなげや
companies.company_code</t>
  </si>
  <si>
    <t>company_name</t>
  </si>
  <si>
    <t>store_code</t>
  </si>
  <si>
    <t>stores.store_code</t>
  </si>
  <si>
    <t>store_name</t>
  </si>
  <si>
    <t>stores.ten_name</t>
  </si>
  <si>
    <t>01 - 99: 01～99の機能に該当する。
値が変更された場合、メインメニュー画面上のコード値と画面の配置位置も連動して変更される。</t>
  </si>
  <si>
    <t>name</t>
  </si>
  <si>
    <t>json string</t>
  </si>
  <si>
    <t>表示名（日本語／英語）</t>
  </si>
  <si>
    <t>メインメニュー画面上に表示される画面名</t>
  </si>
  <si>
    <t>alias_name</t>
  </si>
  <si>
    <t>string</t>
  </si>
  <si>
    <t>フロントエンド画面とのキーのマッピング</t>
  </si>
  <si>
    <t>01～99の各機能に該当する画面のURLパス キー</t>
  </si>
  <si>
    <t>※サンプル</t>
  </si>
  <si>
    <r>
      <rPr>
        <i/>
        <sz val="11"/>
        <color rgb="FF000000"/>
        <rFont val="Meiryo UI"/>
        <family val="2"/>
      </rPr>
      <t>"user_name": "LUVINA02"</t>
    </r>
  </si>
  <si>
    <r>
      <rPr>
        <i/>
        <sz val="11"/>
        <color rgb="FF000000"/>
        <rFont val="Meiryo UI"/>
        <family val="2"/>
      </rPr>
      <t>"name": "Luvina Test"</t>
    </r>
  </si>
  <si>
    <r>
      <rPr>
        <i/>
        <sz val="11"/>
        <color rgb="FF000000"/>
        <rFont val="Meiryo UI"/>
        <family val="2"/>
      </rPr>
      <t>"role_code": "02"</t>
    </r>
  </si>
  <si>
    <r>
      <rPr>
        <i/>
        <sz val="11"/>
        <color rgb="FF000000"/>
        <rFont val="Meiryo UI"/>
        <family val="2"/>
      </rPr>
      <t>"role_name": "Store User"</t>
    </r>
  </si>
  <si>
    <r>
      <rPr>
        <i/>
        <sz val="11"/>
        <color rgb="FF000000"/>
        <rFont val="Meiryo UI"/>
        <family val="2"/>
      </rPr>
      <t>"company_code": "100",</t>
    </r>
  </si>
  <si>
    <r>
      <rPr>
        <i/>
        <sz val="11"/>
        <color rgb="FF000000"/>
        <rFont val="Meiryo UI"/>
        <family val="2"/>
      </rPr>
      <t>"company_name": "Kasumi",</t>
    </r>
  </si>
  <si>
    <t>"store_code": "9176",</t>
  </si>
  <si>
    <r>
      <rPr>
        <i/>
        <sz val="11"/>
        <color rgb="FF000000"/>
        <rFont val="Meiryo UI"/>
        <family val="2"/>
      </rPr>
      <t>code: "01"</t>
    </r>
  </si>
  <si>
    <t>"name": "{"ja": "商品管理"}"</t>
  </si>
  <si>
    <t>"alias_name": "product-managerment""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</si>
  <si>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</si>
  <si>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システム名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</si>
</sst>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3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i/>
      <sz val="11"/>
      <color theme="1"/>
      <name val="Meiryo UI"/>
      <family val="2"/>
    </font>
    <font>
      <i/>
      <sz val="11"/>
      <name val="Meiryo UI"/>
      <family val="2"/>
    </font>
    <font>
      <sz val="10"/>
      <color rgb="FF000000"/>
      <name val="Meiryo UI"/>
      <family val="2"/>
    </font>
    <font>
      <i/>
      <sz val="11"/>
      <color rgb="FFFF0000"/>
      <name val="Meiryo UI"/>
      <family val="2"/>
    </font>
    <font>
      <i/>
      <sz val="11"/>
      <color rgb="FF00B050"/>
      <name val="Meiryo UI"/>
      <family val="2"/>
    </font>
    <font>
      <sz val="18"/>
      <color rgb="FF00B050"/>
      <name val="Meiryo UI"/>
      <family val="2"/>
    </font>
    <font>
      <i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theme="5" tint="-0.24994659260841701"/>
      <name val="Meiryo UI"/>
      <family val="2"/>
    </font>
    <font>
      <sz val="11"/>
      <color rgb="FFC55A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/>
  </cellStyleXfs>
  <cellXfs count="4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3" borderId="0" xfId="0" applyFont="1" applyFill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3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0" borderId="0" xfId="6" applyFont="1" applyAlignment="1">
      <alignment vertical="center"/>
    </xf>
    <xf numFmtId="0" fontId="13" fillId="0" borderId="2" xfId="6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16" xfId="6" applyFont="1" applyBorder="1" applyAlignment="1">
      <alignment vertical="center"/>
    </xf>
    <xf numFmtId="0" fontId="13" fillId="0" borderId="17" xfId="6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9" applyFont="1" applyAlignment="1">
      <alignment vertical="center"/>
    </xf>
    <xf numFmtId="0" fontId="7" fillId="0" borderId="5" xfId="9" applyFont="1" applyBorder="1" applyAlignment="1">
      <alignment vertical="center"/>
    </xf>
    <xf numFmtId="0" fontId="7" fillId="0" borderId="21" xfId="9" applyFont="1" applyBorder="1" applyAlignment="1">
      <alignment vertical="center"/>
    </xf>
    <xf numFmtId="0" fontId="7" fillId="0" borderId="3" xfId="9" applyFont="1" applyBorder="1" applyAlignment="1">
      <alignment vertical="center"/>
    </xf>
    <xf numFmtId="0" fontId="7" fillId="0" borderId="22" xfId="9" applyFont="1" applyBorder="1" applyAlignment="1">
      <alignment vertical="center"/>
    </xf>
    <xf numFmtId="0" fontId="7" fillId="0" borderId="4" xfId="9" applyFont="1" applyBorder="1" applyAlignment="1">
      <alignment vertical="center"/>
    </xf>
    <xf numFmtId="0" fontId="7" fillId="0" borderId="20" xfId="9" applyFont="1" applyBorder="1" applyAlignment="1">
      <alignment vertical="center"/>
    </xf>
    <xf numFmtId="0" fontId="7" fillId="0" borderId="19" xfId="9" applyFont="1" applyBorder="1" applyAlignment="1">
      <alignment vertical="center"/>
    </xf>
    <xf numFmtId="0" fontId="7" fillId="0" borderId="18" xfId="9" applyFont="1" applyBorder="1" applyAlignment="1">
      <alignment vertical="center"/>
    </xf>
    <xf numFmtId="0" fontId="7" fillId="0" borderId="17" xfId="9" applyFont="1" applyBorder="1" applyAlignment="1">
      <alignment vertical="center"/>
    </xf>
    <xf numFmtId="0" fontId="7" fillId="0" borderId="16" xfId="9" applyFont="1" applyBorder="1" applyAlignment="1">
      <alignment vertical="center"/>
    </xf>
    <xf numFmtId="0" fontId="7" fillId="0" borderId="2" xfId="9" applyFont="1" applyBorder="1" applyAlignment="1">
      <alignment vertical="center"/>
    </xf>
    <xf numFmtId="0" fontId="29" fillId="0" borderId="0" xfId="0" applyFont="1"/>
    <xf numFmtId="0" fontId="29" fillId="0" borderId="2" xfId="0" applyFont="1" applyBorder="1"/>
    <xf numFmtId="0" fontId="29" fillId="0" borderId="3" xfId="0" applyFont="1" applyBorder="1"/>
    <xf numFmtId="0" fontId="29" fillId="0" borderId="5" xfId="0" applyFont="1" applyBorder="1"/>
    <xf numFmtId="0" fontId="29" fillId="0" borderId="1" xfId="0" applyFont="1" applyBorder="1"/>
    <xf numFmtId="0" fontId="29" fillId="0" borderId="4" xfId="0" applyFont="1" applyBorder="1"/>
    <xf numFmtId="0" fontId="29" fillId="0" borderId="1" xfId="0" applyFont="1" applyBorder="1" applyAlignment="1">
      <alignment vertical="center"/>
    </xf>
    <xf numFmtId="0" fontId="27" fillId="4" borderId="19" xfId="0" applyFont="1" applyFill="1" applyBorder="1" applyAlignment="1">
      <alignment vertical="center"/>
    </xf>
    <xf numFmtId="0" fontId="26" fillId="4" borderId="0" xfId="0" applyFont="1" applyFill="1" applyAlignment="1">
      <alignment vertical="center"/>
    </xf>
    <xf numFmtId="0" fontId="26" fillId="4" borderId="20" xfId="0" applyFont="1" applyFill="1" applyBorder="1" applyAlignment="1">
      <alignment vertical="center"/>
    </xf>
    <xf numFmtId="0" fontId="26" fillId="4" borderId="19" xfId="0" applyFont="1" applyFill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2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0" xfId="0" quotePrefix="1" applyFont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26" xfId="0" applyFont="1" applyBorder="1"/>
    <xf numFmtId="0" fontId="29" fillId="0" borderId="27" xfId="0" applyFont="1" applyBorder="1"/>
    <xf numFmtId="0" fontId="29" fillId="0" borderId="28" xfId="0" applyFont="1" applyBorder="1"/>
    <xf numFmtId="0" fontId="29" fillId="0" borderId="17" xfId="0" applyFont="1" applyBorder="1"/>
    <xf numFmtId="0" fontId="29" fillId="0" borderId="18" xfId="0" applyFont="1" applyBorder="1"/>
    <xf numFmtId="0" fontId="29" fillId="0" borderId="3" xfId="0" applyFont="1" applyBorder="1"/>
    <xf numFmtId="0" fontId="29" fillId="0" borderId="5" xfId="0" applyFont="1" applyBorder="1"/>
    <xf numFmtId="0" fontId="29" fillId="0" borderId="16" xfId="0" applyFont="1" applyBorder="1"/>
    <xf numFmtId="0" fontId="29" fillId="0" borderId="2" xfId="0" applyFont="1" applyBorder="1"/>
    <xf numFmtId="0" fontId="29" fillId="0" borderId="29" xfId="0" applyFont="1" applyBorder="1"/>
    <xf numFmtId="0" fontId="29" fillId="0" borderId="30" xfId="0" applyFont="1" applyBorder="1"/>
    <xf numFmtId="0" fontId="29" fillId="0" borderId="31" xfId="0" applyFont="1" applyBorder="1"/>
    <xf numFmtId="14" fontId="30" fillId="0" borderId="16" xfId="0" applyNumberFormat="1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1" fillId="0" borderId="26" xfId="0" applyFont="1" applyBorder="1"/>
    <xf numFmtId="0" fontId="30" fillId="0" borderId="27" xfId="0" applyFont="1" applyBorder="1"/>
    <xf numFmtId="0" fontId="30" fillId="0" borderId="28" xfId="0" applyFont="1" applyBorder="1"/>
    <xf numFmtId="0" fontId="30" fillId="0" borderId="29" xfId="0" applyFont="1" applyBorder="1"/>
    <xf numFmtId="0" fontId="30" fillId="0" borderId="30" xfId="0" applyFont="1" applyBorder="1"/>
    <xf numFmtId="0" fontId="30" fillId="0" borderId="31" xfId="0" applyFont="1" applyBorder="1"/>
    <xf numFmtId="0" fontId="26" fillId="4" borderId="0" xfId="0" applyFont="1" applyFill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14" fontId="29" fillId="0" borderId="16" xfId="0" applyNumberFormat="1" applyFont="1" applyBorder="1" applyAlignment="1">
      <alignment horizontal="center" vertical="center"/>
    </xf>
    <xf numFmtId="0" fontId="26" fillId="4" borderId="23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25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4" fontId="29" fillId="0" borderId="17" xfId="0" applyNumberFormat="1" applyFont="1" applyBorder="1" applyAlignment="1">
      <alignment horizontal="center" vertical="center"/>
    </xf>
    <xf numFmtId="14" fontId="29" fillId="0" borderId="18" xfId="0" applyNumberFormat="1" applyFont="1" applyBorder="1" applyAlignment="1">
      <alignment horizontal="center" vertical="center"/>
    </xf>
    <xf numFmtId="14" fontId="29" fillId="0" borderId="2" xfId="0" applyNumberFormat="1" applyFont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14" fontId="29" fillId="0" borderId="5" xfId="0" applyNumberFormat="1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6" fillId="4" borderId="23" xfId="6" applyFont="1" applyFill="1" applyBorder="1" applyAlignment="1">
      <alignment horizontal="center" vertical="center"/>
    </xf>
    <xf numFmtId="0" fontId="26" fillId="4" borderId="24" xfId="6" applyFont="1" applyFill="1" applyBorder="1" applyAlignment="1">
      <alignment horizontal="center" vertical="center"/>
    </xf>
    <xf numFmtId="0" fontId="26" fillId="4" borderId="25" xfId="6" applyFont="1" applyFill="1" applyBorder="1" applyAlignment="1">
      <alignment horizontal="center" vertical="center"/>
    </xf>
    <xf numFmtId="0" fontId="28" fillId="0" borderId="16" xfId="6" applyFont="1" applyBorder="1" applyAlignment="1">
      <alignment horizontal="center" vertical="center"/>
    </xf>
    <xf numFmtId="0" fontId="28" fillId="0" borderId="17" xfId="6" applyFont="1" applyBorder="1" applyAlignment="1">
      <alignment horizontal="center" vertical="center"/>
    </xf>
    <xf numFmtId="0" fontId="28" fillId="0" borderId="18" xfId="6" applyFont="1" applyBorder="1" applyAlignment="1">
      <alignment horizontal="center" vertical="center"/>
    </xf>
    <xf numFmtId="0" fontId="28" fillId="0" borderId="1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8" fillId="0" borderId="4" xfId="6" applyFont="1" applyBorder="1" applyAlignment="1">
      <alignment horizontal="center" vertical="center"/>
    </xf>
    <xf numFmtId="0" fontId="28" fillId="0" borderId="2" xfId="6" applyFont="1" applyBorder="1" applyAlignment="1">
      <alignment horizontal="center" vertical="center"/>
    </xf>
    <xf numFmtId="0" fontId="28" fillId="0" borderId="3" xfId="6" applyFont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2" fillId="5" borderId="24" xfId="0" applyFont="1" applyFill="1" applyBorder="1" applyAlignment="1">
      <alignment vertical="center"/>
    </xf>
    <xf numFmtId="0" fontId="12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29" fillId="0" borderId="16" xfId="0" quotePrefix="1" applyFont="1" applyBorder="1" applyAlignment="1">
      <alignment horizontal="left" vertical="center"/>
    </xf>
    <xf numFmtId="0" fontId="29" fillId="0" borderId="17" xfId="0" quotePrefix="1" applyFont="1" applyBorder="1" applyAlignment="1">
      <alignment horizontal="left" vertical="center"/>
    </xf>
    <xf numFmtId="0" fontId="29" fillId="0" borderId="18" xfId="0" quotePrefix="1" applyFont="1" applyBorder="1" applyAlignment="1">
      <alignment horizontal="left" vertical="center"/>
    </xf>
    <xf numFmtId="0" fontId="29" fillId="0" borderId="1" xfId="0" quotePrefix="1" applyFont="1" applyBorder="1" applyAlignment="1">
      <alignment horizontal="left" vertical="center"/>
    </xf>
    <xf numFmtId="0" fontId="29" fillId="0" borderId="0" xfId="0" quotePrefix="1" applyFont="1" applyAlignment="1">
      <alignment horizontal="left" vertical="center"/>
    </xf>
    <xf numFmtId="0" fontId="29" fillId="0" borderId="4" xfId="0" quotePrefix="1" applyFont="1" applyBorder="1" applyAlignment="1">
      <alignment horizontal="left" vertical="center"/>
    </xf>
    <xf numFmtId="0" fontId="29" fillId="0" borderId="2" xfId="0" quotePrefix="1" applyFont="1" applyBorder="1" applyAlignment="1">
      <alignment horizontal="left" vertical="center"/>
    </xf>
    <xf numFmtId="0" fontId="29" fillId="0" borderId="3" xfId="0" quotePrefix="1" applyFont="1" applyBorder="1" applyAlignment="1">
      <alignment horizontal="left" vertical="center"/>
    </xf>
    <xf numFmtId="0" fontId="29" fillId="0" borderId="5" xfId="0" quotePrefix="1" applyFont="1" applyBorder="1" applyAlignment="1">
      <alignment horizontal="left" vertical="center"/>
    </xf>
    <xf numFmtId="0" fontId="29" fillId="0" borderId="16" xfId="0" applyFont="1" applyBorder="1" applyAlignment="1">
      <alignment horizontal="left" vertical="top"/>
    </xf>
    <xf numFmtId="0" fontId="29" fillId="0" borderId="17" xfId="0" applyFont="1" applyBorder="1" applyAlignment="1">
      <alignment horizontal="left" vertical="top"/>
    </xf>
    <xf numFmtId="0" fontId="29" fillId="0" borderId="18" xfId="0" applyFont="1" applyBorder="1" applyAlignment="1">
      <alignment horizontal="left" vertical="top"/>
    </xf>
    <xf numFmtId="0" fontId="29" fillId="0" borderId="1" xfId="0" applyFont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29" fillId="0" borderId="4" xfId="0" applyFont="1" applyBorder="1" applyAlignment="1">
      <alignment horizontal="left" vertical="top"/>
    </xf>
    <xf numFmtId="0" fontId="29" fillId="0" borderId="2" xfId="0" applyFont="1" applyBorder="1" applyAlignment="1">
      <alignment horizontal="left" vertical="top"/>
    </xf>
    <xf numFmtId="0" fontId="29" fillId="0" borderId="3" xfId="0" applyFont="1" applyBorder="1" applyAlignment="1">
      <alignment horizontal="left" vertical="top"/>
    </xf>
    <xf numFmtId="0" fontId="29" fillId="0" borderId="5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9" fillId="5" borderId="23" xfId="0" applyFont="1" applyFill="1" applyBorder="1" applyAlignment="1">
      <alignment horizontal="left" vertical="center"/>
    </xf>
    <xf numFmtId="0" fontId="29" fillId="5" borderId="24" xfId="0" applyFont="1" applyFill="1" applyBorder="1" applyAlignment="1">
      <alignment horizontal="left" vertical="center"/>
    </xf>
    <xf numFmtId="0" fontId="29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quotePrefix="1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4" xfId="0" quotePrefix="1" applyFont="1" applyBorder="1" applyAlignment="1">
      <alignment horizontal="left" vertical="center"/>
    </xf>
    <xf numFmtId="0" fontId="13" fillId="0" borderId="25" xfId="0" quotePrefix="1" applyFont="1" applyBorder="1" applyAlignment="1">
      <alignment horizontal="left" vertical="center"/>
    </xf>
    <xf numFmtId="0" fontId="29" fillId="0" borderId="23" xfId="0" quotePrefix="1" applyFont="1" applyBorder="1" applyAlignment="1">
      <alignment horizontal="left" vertical="center"/>
    </xf>
    <xf numFmtId="0" fontId="29" fillId="0" borderId="24" xfId="0" quotePrefix="1" applyFont="1" applyBorder="1" applyAlignment="1">
      <alignment horizontal="left" vertical="center"/>
    </xf>
    <xf numFmtId="0" fontId="29" fillId="0" borderId="25" xfId="0" quotePrefix="1" applyFont="1" applyBorder="1" applyAlignment="1">
      <alignment horizontal="left" vertical="center"/>
    </xf>
    <xf numFmtId="0" fontId="29" fillId="0" borderId="17" xfId="0" quotePrefix="1" applyFont="1" applyBorder="1" applyAlignment="1">
      <alignment horizontal="left" vertical="top" wrapText="1"/>
    </xf>
    <xf numFmtId="0" fontId="29" fillId="0" borderId="18" xfId="0" quotePrefix="1" applyFont="1" applyBorder="1" applyAlignment="1">
      <alignment horizontal="left" vertical="top" wrapText="1"/>
    </xf>
    <xf numFmtId="0" fontId="29" fillId="0" borderId="0" xfId="0" quotePrefix="1" applyFont="1" applyAlignment="1">
      <alignment horizontal="left" vertical="top" wrapText="1"/>
    </xf>
    <xf numFmtId="0" fontId="29" fillId="0" borderId="4" xfId="0" quotePrefix="1" applyFont="1" applyBorder="1" applyAlignment="1">
      <alignment horizontal="left" vertical="top" wrapText="1"/>
    </xf>
    <xf numFmtId="0" fontId="29" fillId="0" borderId="3" xfId="0" quotePrefix="1" applyFont="1" applyBorder="1" applyAlignment="1">
      <alignment horizontal="left" vertical="top" wrapText="1"/>
    </xf>
    <xf numFmtId="0" fontId="29" fillId="0" borderId="5" xfId="0" quotePrefix="1" applyFont="1" applyBorder="1" applyAlignment="1">
      <alignment horizontal="left" vertical="top" wrapText="1"/>
    </xf>
    <xf numFmtId="0" fontId="29" fillId="0" borderId="16" xfId="0" quotePrefix="1" applyFont="1" applyBorder="1" applyAlignment="1">
      <alignment horizontal="center" vertical="center"/>
    </xf>
    <xf numFmtId="0" fontId="29" fillId="0" borderId="17" xfId="0" quotePrefix="1" applyFont="1" applyBorder="1" applyAlignment="1">
      <alignment horizontal="center" vertical="center"/>
    </xf>
    <xf numFmtId="0" fontId="29" fillId="0" borderId="18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29" fillId="0" borderId="4" xfId="0" quotePrefix="1" applyFont="1" applyBorder="1" applyAlignment="1">
      <alignment horizontal="center" vertical="center"/>
    </xf>
    <xf numFmtId="0" fontId="29" fillId="0" borderId="2" xfId="0" quotePrefix="1" applyFont="1" applyBorder="1" applyAlignment="1">
      <alignment horizontal="center" vertical="center"/>
    </xf>
    <xf numFmtId="0" fontId="29" fillId="0" borderId="3" xfId="0" quotePrefix="1" applyFont="1" applyBorder="1" applyAlignment="1">
      <alignment horizontal="center" vertical="center"/>
    </xf>
    <xf numFmtId="0" fontId="29" fillId="0" borderId="5" xfId="0" quotePrefix="1" applyFont="1" applyBorder="1" applyAlignment="1">
      <alignment horizontal="center" vertical="center"/>
    </xf>
    <xf numFmtId="0" fontId="29" fillId="0" borderId="16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14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3" fillId="0" borderId="23" xfId="0" applyFont="1" applyBorder="1" applyAlignment="1">
      <alignment horizontal="left" vertical="center" indent="2"/>
    </xf>
    <xf numFmtId="0" fontId="13" fillId="0" borderId="24" xfId="0" applyFont="1" applyBorder="1" applyAlignment="1">
      <alignment horizontal="left" vertical="center" indent="2"/>
    </xf>
    <xf numFmtId="0" fontId="13" fillId="0" borderId="25" xfId="0" applyFont="1" applyBorder="1" applyAlignment="1">
      <alignment horizontal="left" vertical="center" indent="2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4" fillId="0" borderId="23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3" fillId="4" borderId="23" xfId="9" applyFont="1" applyFill="1" applyBorder="1" applyAlignment="1">
      <alignment horizontal="center" vertical="center"/>
    </xf>
    <xf numFmtId="0" fontId="3" fillId="4" borderId="24" xfId="9" applyFont="1" applyFill="1" applyBorder="1" applyAlignment="1">
      <alignment horizontal="center" vertical="center"/>
    </xf>
    <xf numFmtId="0" fontId="3" fillId="4" borderId="25" xfId="9" applyFont="1" applyFill="1" applyBorder="1" applyAlignment="1">
      <alignment horizontal="center" vertical="center"/>
    </xf>
    <xf numFmtId="0" fontId="4" fillId="0" borderId="16" xfId="9" applyFont="1" applyBorder="1" applyAlignment="1">
      <alignment horizontal="center" vertical="center"/>
    </xf>
    <xf numFmtId="0" fontId="4" fillId="0" borderId="17" xfId="9" applyFont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1" xfId="9" applyFont="1" applyBorder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0" borderId="4" xfId="9" applyFont="1" applyBorder="1" applyAlignment="1">
      <alignment horizontal="center" vertical="center"/>
    </xf>
    <xf numFmtId="0" fontId="4" fillId="0" borderId="2" xfId="9" applyFont="1" applyBorder="1" applyAlignment="1">
      <alignment horizontal="center" vertical="center"/>
    </xf>
    <xf numFmtId="0" fontId="4" fillId="0" borderId="3" xfId="9" applyFont="1" applyBorder="1" applyAlignment="1">
      <alignment horizontal="center" vertical="center"/>
    </xf>
    <xf numFmtId="0" fontId="4" fillId="0" borderId="5" xfId="9" applyFont="1" applyBorder="1" applyAlignment="1">
      <alignment horizontal="center" vertical="center"/>
    </xf>
    <xf numFmtId="0" fontId="7" fillId="0" borderId="16" xfId="9" applyFont="1" applyBorder="1" applyAlignment="1">
      <alignment horizontal="center" vertical="center"/>
    </xf>
    <xf numFmtId="0" fontId="7" fillId="0" borderId="17" xfId="9" applyFont="1" applyBorder="1" applyAlignment="1">
      <alignment horizontal="center" vertical="center"/>
    </xf>
    <xf numFmtId="0" fontId="7" fillId="0" borderId="18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7" fillId="0" borderId="5" xfId="9" applyFont="1" applyBorder="1" applyAlignment="1">
      <alignment horizontal="center" vertical="center"/>
    </xf>
    <xf numFmtId="0" fontId="7" fillId="0" borderId="23" xfId="9" applyFont="1" applyBorder="1" applyAlignment="1">
      <alignment horizontal="center" vertical="center"/>
    </xf>
    <xf numFmtId="0" fontId="7" fillId="0" borderId="24" xfId="9" applyFont="1" applyBorder="1" applyAlignment="1">
      <alignment horizontal="center" vertical="center"/>
    </xf>
    <xf numFmtId="0" fontId="7" fillId="0" borderId="25" xfId="9" applyFont="1" applyBorder="1" applyAlignment="1">
      <alignment horizontal="center" vertical="center"/>
    </xf>
    <xf numFmtId="0" fontId="8" fillId="0" borderId="23" xfId="9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3" fillId="0" borderId="23" xfId="6" applyFont="1" applyBorder="1" applyAlignment="1">
      <alignment horizontal="center" vertical="center"/>
    </xf>
    <xf numFmtId="0" fontId="13" fillId="0" borderId="24" xfId="6" applyFont="1" applyBorder="1" applyAlignment="1">
      <alignment horizontal="center" vertical="center"/>
    </xf>
    <xf numFmtId="0" fontId="13" fillId="0" borderId="25" xfId="6" applyFont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23" fillId="0" borderId="16" xfId="6" applyFont="1" applyBorder="1" applyAlignment="1">
      <alignment horizontal="center" vertical="center"/>
    </xf>
    <xf numFmtId="0" fontId="23" fillId="0" borderId="17" xfId="6" applyFont="1" applyBorder="1" applyAlignment="1">
      <alignment horizontal="center" vertical="center"/>
    </xf>
    <xf numFmtId="0" fontId="23" fillId="0" borderId="18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left" vertical="center" wrapText="1" indent="1"/>
    </xf>
    <xf numFmtId="0" fontId="13" fillId="0" borderId="25" xfId="0" applyFont="1" applyBorder="1" applyAlignment="1">
      <alignment horizontal="left" vertical="center" wrapText="1" indent="1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3" xfId="0" quotePrefix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  <cellStyle name="標準 2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33</xdr:row>
      <xdr:rowOff>0</xdr:rowOff>
    </xdr:from>
    <xdr:to>
      <xdr:col>62</xdr:col>
      <xdr:colOff>0</xdr:colOff>
      <xdr:row>38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6400800"/>
          <a:ext cx="7200900" cy="952500"/>
        </a:xfrm>
        <a:prstGeom prst="borderCallout1">
          <a:avLst>
            <a:gd name="adj1" fmla="val 51887"/>
            <a:gd name="adj2" fmla="val 470"/>
            <a:gd name="adj3" fmla="val 70510"/>
            <a:gd name="adj4" fmla="val -995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4.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・2つのパスワードが同じ場合、「5. ip_address情報取得」を実行する。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・2つのパスワードが異なっている場合、ログを記録し、以下のレスポンスを返す。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status_code = 401, message = MSG_ERR_005</a:t>
          </a:r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334500" y="2590800"/>
          <a:ext cx="7200900" cy="762000"/>
        </a:xfrm>
        <a:prstGeom prst="borderCallout1">
          <a:avLst>
            <a:gd name="adj1" fmla="val 51887"/>
            <a:gd name="adj2" fmla="val 470"/>
            <a:gd name="adj3" fmla="val 48697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「Users」テーブルから条件を満たすユーザーを取得する。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users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.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user_id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= Request.user_name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users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.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company_code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= Request.company_code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4" name="吹き出し: 線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41098"/>
            <a:gd name="adj4" fmla="val -969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 リクエストからパスワードをBcrypt形式で暗号化する。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「1.企業コートとIDの参照」で取得された</a:t>
          </a:r>
          <a:r>
            <a:rPr lang="en-US" altLang="ja-JP" sz="1000" b="0" i="0" u="none" baseline="0">
              <a:solidFill>
                <a:srgbClr val="EE0000"/>
              </a:solidFill>
              <a:latin typeface="Meiryo UI"/>
              <a:ea typeface="Meiryo UI"/>
            </a:rPr>
            <a:t>users.password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を確認する。</a:t>
          </a: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24</xdr:row>
      <xdr:rowOff>179294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236324" y="3922059"/>
          <a:ext cx="6353735" cy="941294"/>
        </a:xfrm>
        <a:prstGeom prst="borderCallout1">
          <a:avLst>
            <a:gd name="adj1" fmla="val 51887"/>
            <a:gd name="adj2" fmla="val 470"/>
            <a:gd name="adj3" fmla="val 34921"/>
            <a:gd name="adj4" fmla="val -993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・レコードが存在している場合、「3. パスワード参照」を実行する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・レコードが存在していない場合、ログを記録し、以下のレスポンスを返す。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status_code = 401, message = MSG_ERR_005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6" idx="4"/>
          <a:endCxn id="8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9" name="吹き出し: 線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1.企業コートとIDの参照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0" idx="2"/>
          <a:endCxn id="12" idx="0"/>
        </xdr:cNvCxnSpPr>
      </xdr:nvCxnSpPr>
      <xdr:spPr>
        <a:xfrm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8</xdr:col>
      <xdr:colOff>0</xdr:colOff>
      <xdr:row>80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066800" y="15163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83</xdr:row>
      <xdr:rowOff>22412</xdr:rowOff>
    </xdr:from>
    <xdr:to>
      <xdr:col>8</xdr:col>
      <xdr:colOff>0</xdr:colOff>
      <xdr:row>85</xdr:row>
      <xdr:rowOff>0</xdr:rowOff>
    </xdr:to>
    <xdr:sp macro="" textlink="" fLocksText="0">
      <xdr:nvSpPr>
        <xdr:cNvPr id="17" name="Oval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066800" y="15944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28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4" idx="2"/>
          <a:endCxn id="21" idx="0"/>
        </xdr:cNvCxnSpPr>
      </xdr:nvCxnSpPr>
      <xdr:spPr>
        <a:xfrm>
          <a:off x="1600200" y="4876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80</xdr:row>
      <xdr:rowOff>0</xdr:rowOff>
    </xdr:from>
    <xdr:to>
      <xdr:col>6</xdr:col>
      <xdr:colOff>0</xdr:colOff>
      <xdr:row>83</xdr:row>
      <xdr:rowOff>22412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6" idx="2"/>
          <a:endCxn id="17" idx="0"/>
        </xdr:cNvCxnSpPr>
      </xdr:nvCxnSpPr>
      <xdr:spPr>
        <a:xfrm>
          <a:off x="1600200" y="15354300"/>
          <a:ext cx="0" cy="590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79</xdr:row>
      <xdr:rowOff>0</xdr:rowOff>
    </xdr:to>
    <xdr:cxnSp macro="">
      <xdr:nvCxnSpPr>
        <xdr:cNvPr id="20" name="Straight Arrow Connector 3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5" idx="3"/>
          <a:endCxn id="16" idx="0"/>
        </xdr:cNvCxnSpPr>
      </xdr:nvCxnSpPr>
      <xdr:spPr>
        <a:xfrm flipH="1">
          <a:off x="1600200" y="4210050"/>
          <a:ext cx="1333500" cy="10953750"/>
        </a:xfrm>
        <a:prstGeom prst="bentConnector4">
          <a:avLst>
            <a:gd name="adj1" fmla="val -19429"/>
            <a:gd name="adj2" fmla="val 92776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32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3.パスワード参照</a:t>
          </a: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179294</xdr:rowOff>
    </xdr:to>
    <xdr:sp macro="" textlink="" fLocksText="0">
      <xdr:nvSpPr>
        <xdr:cNvPr id="22" name="Flowchart: Decision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00100" y="6591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4.パスワードが同じ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7</xdr:col>
      <xdr:colOff>0</xdr:colOff>
      <xdr:row>40</xdr:row>
      <xdr:rowOff>0</xdr:rowOff>
    </xdr:to>
    <xdr:sp macro="" textlink="" fLocksText="0">
      <xdr:nvSpPr>
        <xdr:cNvPr id="23" name="Flowchart: Process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333500" y="754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37</xdr:row>
      <xdr:rowOff>0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400300" y="697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6</xdr:col>
      <xdr:colOff>1</xdr:colOff>
      <xdr:row>32</xdr:row>
      <xdr:rowOff>0</xdr:rowOff>
    </xdr:from>
    <xdr:to>
      <xdr:col>6</xdr:col>
      <xdr:colOff>1</xdr:colOff>
      <xdr:row>34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1" idx="2"/>
          <a:endCxn id="22" idx="0"/>
        </xdr:cNvCxnSpPr>
      </xdr:nvCxnSpPr>
      <xdr:spPr>
        <a:xfrm>
          <a:off x="1600200" y="6210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36</xdr:row>
      <xdr:rowOff>95250</xdr:rowOff>
    </xdr:from>
    <xdr:to>
      <xdr:col>11</xdr:col>
      <xdr:colOff>0</xdr:colOff>
      <xdr:row>79</xdr:row>
      <xdr:rowOff>0</xdr:rowOff>
    </xdr:to>
    <xdr:cxnSp macro="">
      <xdr:nvCxnSpPr>
        <xdr:cNvPr id="26" name="Straight Arrow Connector 3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4" idx="3"/>
          <a:endCxn id="16" idx="0"/>
        </xdr:cNvCxnSpPr>
      </xdr:nvCxnSpPr>
      <xdr:spPr>
        <a:xfrm flipH="1">
          <a:off x="1600200" y="7067550"/>
          <a:ext cx="1333500" cy="8096250"/>
        </a:xfrm>
        <a:prstGeom prst="bentConnector4">
          <a:avLst>
            <a:gd name="adj1" fmla="val -19429"/>
            <a:gd name="adj2" fmla="val 84532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231029</xdr:colOff>
      <xdr:row>40</xdr:row>
      <xdr:rowOff>0</xdr:rowOff>
    </xdr:from>
    <xdr:to>
      <xdr:col>6</xdr:col>
      <xdr:colOff>0</xdr:colOff>
      <xdr:row>43</xdr:row>
      <xdr:rowOff>51170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3" idx="2"/>
          <a:endCxn id="32" idx="0"/>
        </xdr:cNvCxnSpPr>
      </xdr:nvCxnSpPr>
      <xdr:spPr>
        <a:xfrm flipH="1">
          <a:off x="1562100" y="7734300"/>
          <a:ext cx="38100" cy="6191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71</xdr:row>
      <xdr:rowOff>0</xdr:rowOff>
    </xdr:from>
    <xdr:to>
      <xdr:col>9</xdr:col>
      <xdr:colOff>0</xdr:colOff>
      <xdr:row>75</xdr:row>
      <xdr:rowOff>0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7.レスポンス情報取得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</xdr:colOff>
      <xdr:row>79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28" idx="2"/>
          <a:endCxn id="16" idx="0"/>
        </xdr:cNvCxnSpPr>
      </xdr:nvCxnSpPr>
      <xdr:spPr>
        <a:xfrm flipH="1">
          <a:off x="1600200" y="14401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507</xdr:colOff>
      <xdr:row>66</xdr:row>
      <xdr:rowOff>145676</xdr:rowOff>
    </xdr:from>
    <xdr:to>
      <xdr:col>62</xdr:col>
      <xdr:colOff>507</xdr:colOff>
      <xdr:row>83</xdr:row>
      <xdr:rowOff>14381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12830175"/>
          <a:ext cx="7200900" cy="3114675"/>
        </a:xfrm>
        <a:prstGeom prst="borderCallout1">
          <a:avLst>
            <a:gd name="adj1" fmla="val 51887"/>
            <a:gd name="adj2" fmla="val 470"/>
            <a:gd name="adj3" fmla="val 38647"/>
            <a:gd name="adj4" fmla="val -9623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7. ・access_token、refresh_tokenを生成する。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・以下を満たす</a:t>
          </a:r>
          <a:r>
            <a:rPr lang="en-US" altLang="ja-JP" sz="1000" b="0" i="0" u="none" baseline="0">
              <a:solidFill>
                <a:srgbClr val="EE0000"/>
              </a:solidFill>
              <a:latin typeface="Meiryo UI"/>
              <a:ea typeface="Meiryo UI"/>
            </a:rPr>
            <a:t>Permissions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テーブルから1～99の機能のpermissionsを取得する。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+ SELECT FROM permission_roles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+ INNER JOIN permissions ON permissions.menu_code = permission_roles.menu_code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AND permissions.company_code = permission_roles.company_code AND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permissions.record_void_flag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+ WHERE permission_roles.role_code = users.role_code AND permission_roles.status 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+ AND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permission_roles.company_code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= Request.company_code AND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permission_roles.record_void_flag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以下の条件を満たす、 </a:t>
          </a:r>
          <a:r>
            <a:rPr lang="en-US" altLang="ja-JP" sz="1000" b="0" i="0" u="none" baseline="0">
              <a:solidFill>
                <a:srgbClr val="EE0000"/>
              </a:solidFill>
              <a:latin typeface="Meiryo UI"/>
              <a:ea typeface="Meiryo UI"/>
            </a:rPr>
            <a:t>master_codes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テーブルから</a:t>
          </a:r>
          <a:r>
            <a:rPr lang="en-US" altLang="ja-JP" sz="1000" b="0" i="0" u="none" baseline="0">
              <a:solidFill>
                <a:srgbClr val="EE0000"/>
              </a:solidFill>
              <a:latin typeface="Meiryo UI"/>
              <a:ea typeface="Meiryo UI"/>
            </a:rPr>
            <a:t>code_value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+ 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master_codes.code_no = user.role_code AND master_codes.master_code = "MC0002"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・レスポンス情報を取得する。パーミッションがない場合、空のリストを返却する。 -&gt; ログを記録し、レスポンスを返す。</a:t>
          </a:r>
        </a:p>
      </xdr:txBody>
    </xdr:sp>
    <xdr:clientData/>
  </xdr:twoCellAnchor>
  <xdr:twoCellAnchor>
    <xdr:from>
      <xdr:col>35</xdr:col>
      <xdr:colOff>11205</xdr:colOff>
      <xdr:row>84</xdr:row>
      <xdr:rowOff>179295</xdr:rowOff>
    </xdr:from>
    <xdr:to>
      <xdr:col>62</xdr:col>
      <xdr:colOff>11205</xdr:colOff>
      <xdr:row>87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9344025" y="16297275"/>
          <a:ext cx="7200900" cy="390525"/>
        </a:xfrm>
        <a:prstGeom prst="borderCallout1">
          <a:avLst>
            <a:gd name="adj1" fmla="val 46004"/>
            <a:gd name="adj2" fmla="val 117"/>
            <a:gd name="adj3" fmla="val -261590"/>
            <a:gd name="adj4" fmla="val -101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231028</xdr:colOff>
      <xdr:row>43</xdr:row>
      <xdr:rowOff>51170</xdr:rowOff>
    </xdr:from>
    <xdr:to>
      <xdr:col>8</xdr:col>
      <xdr:colOff>231028</xdr:colOff>
      <xdr:row>47</xdr:row>
      <xdr:rowOff>51170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762000" y="83534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C55A11"/>
              </a:solidFill>
              <a:latin typeface="Meiryo UI"/>
              <a:ea typeface="Meiryo UI"/>
            </a:rPr>
            <a:t>5.ip_address取得</a:t>
          </a:r>
        </a:p>
      </xdr:txBody>
    </xdr:sp>
    <xdr:clientData/>
  </xdr:twoCellAnchor>
  <xdr:twoCellAnchor>
    <xdr:from>
      <xdr:col>5</xdr:col>
      <xdr:colOff>231029</xdr:colOff>
      <xdr:row>47</xdr:row>
      <xdr:rowOff>51170</xdr:rowOff>
    </xdr:from>
    <xdr:to>
      <xdr:col>5</xdr:col>
      <xdr:colOff>231029</xdr:colOff>
      <xdr:row>51</xdr:row>
      <xdr:rowOff>133345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32" idx="2"/>
          <a:endCxn id="35" idx="0"/>
        </xdr:cNvCxnSpPr>
      </xdr:nvCxnSpPr>
      <xdr:spPr>
        <a:xfrm>
          <a:off x="1562100" y="9115425"/>
          <a:ext cx="0" cy="8477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18941</xdr:colOff>
      <xdr:row>41</xdr:row>
      <xdr:rowOff>118223</xdr:rowOff>
    </xdr:from>
    <xdr:to>
      <xdr:col>62</xdr:col>
      <xdr:colOff>18940</xdr:colOff>
      <xdr:row>46</xdr:row>
      <xdr:rowOff>118223</xdr:rowOff>
    </xdr:to>
    <xdr:sp macro="" textlink="" fLocksText="0">
      <xdr:nvSpPr>
        <xdr:cNvPr id="34" name="吹き出し: 線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353550" y="8039100"/>
          <a:ext cx="7200900" cy="952500"/>
        </a:xfrm>
        <a:prstGeom prst="borderCallout1">
          <a:avLst>
            <a:gd name="adj1" fmla="val 51887"/>
            <a:gd name="adj2" fmla="val 470"/>
            <a:gd name="adj3" fmla="val 72611"/>
            <a:gd name="adj4" fmla="val -968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5. 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request.header["X-Forwarded-For","X-Real-IP", "RemoteAdd"]からip_addressを取得する。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C55A11"/>
              </a:solidFill>
              <a:latin typeface="Meiryo UI"/>
              <a:ea typeface="Meiryo UI"/>
            </a:rPr>
            <a:t>ステップ</a:t>
          </a: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6</a:t>
          </a:r>
          <a:r>
            <a:rPr lang="ja-JP" altLang="en-US" sz="1000" b="0" i="0" u="none" baseline="0">
              <a:solidFill>
                <a:srgbClr val="C55A11"/>
              </a:solidFill>
              <a:latin typeface="Meiryo UI"/>
              <a:ea typeface="Meiryo UI"/>
            </a:rPr>
            <a:t>を実行する。</a:t>
          </a:r>
          <a:endParaRPr lang="en-US" altLang="ja-JP" sz="1000" b="0" i="0" u="none" baseline="0">
            <a:solidFill>
              <a:srgbClr val="C55A11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endParaRPr lang="en-US" altLang="ja-JP" sz="1000" b="0" i="0" u="none" baseline="0">
            <a:solidFill>
              <a:srgbClr val="C55A11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</a:t>
          </a:r>
        </a:p>
      </xdr:txBody>
    </xdr:sp>
    <xdr:clientData/>
  </xdr:twoCellAnchor>
  <xdr:twoCellAnchor>
    <xdr:from>
      <xdr:col>2</xdr:col>
      <xdr:colOff>231028</xdr:colOff>
      <xdr:row>51</xdr:row>
      <xdr:rowOff>133345</xdr:rowOff>
    </xdr:from>
    <xdr:to>
      <xdr:col>8</xdr:col>
      <xdr:colOff>231028</xdr:colOff>
      <xdr:row>55</xdr:row>
      <xdr:rowOff>133345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762000" y="996315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C55A11"/>
              </a:solidFill>
              <a:latin typeface="Meiryo UI"/>
              <a:ea typeface="Meiryo UI"/>
            </a:rPr>
            <a:t>6.terminalsに更新又は挿入する」を実行する。</a:t>
          </a:r>
          <a:endParaRPr lang="en-US" sz="1000">
            <a:solidFill>
              <a:schemeClr val="accent2">
                <a:lumMod val="7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12859</xdr:colOff>
      <xdr:row>47</xdr:row>
      <xdr:rowOff>92315</xdr:rowOff>
    </xdr:from>
    <xdr:to>
      <xdr:col>62</xdr:col>
      <xdr:colOff>12858</xdr:colOff>
      <xdr:row>66</xdr:row>
      <xdr:rowOff>53840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44025" y="9163050"/>
          <a:ext cx="7200900" cy="3581400"/>
        </a:xfrm>
        <a:prstGeom prst="borderCallout1">
          <a:avLst>
            <a:gd name="adj1" fmla="val 50601"/>
            <a:gd name="adj2" fmla="val -412"/>
            <a:gd name="adj3" fmla="val 33197"/>
            <a:gd name="adj4" fmla="val -96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6. ヘッダーから取得したip_addressが存在しているを確認する。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SELECT * FROM terminals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INNER JOIN  companies 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ON terminals.company_code = companies.company_code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Record_void_flag!=1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WHERE ip_address = {ip_address trong header}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Record_void_flag!=1;</a:t>
          </a:r>
          <a:r>
            <a:t>
</a:t>
          </a: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●True：terminalテーブルにPC情報を更新する。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terminalsを更新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SET company_code = request.company_code, store_code = user.store_code,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ip_address = ip_address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WHERE  ip_address = {ヘッダーのip_address}</a:t>
          </a:r>
          <a:r>
            <a:t>
</a:t>
          </a: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●False：terminalテーブルにPC情報を挿入する。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Insert INTO terminals (company_code, store_code, ip_address)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    VALUES (request.company_code, user.store_code, ip_address)</a:t>
          </a: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C55A11"/>
              </a:solidFill>
              <a:latin typeface="Meiryo UI"/>
              <a:ea typeface="Meiryo UI"/>
            </a:rPr>
            <a:t>ステップ</a:t>
          </a:r>
          <a:r>
            <a:rPr lang="en-US" altLang="ja-JP" sz="1000" b="0" i="0" u="none" baseline="0">
              <a:solidFill>
                <a:srgbClr val="C55A11"/>
              </a:solidFill>
              <a:latin typeface="Meiryo UI"/>
              <a:ea typeface="Meiryo UI"/>
            </a:rPr>
            <a:t>7</a:t>
          </a:r>
          <a:r>
            <a:rPr lang="ja-JP" altLang="en-US" sz="1000" b="0" i="0" u="none" baseline="0">
              <a:solidFill>
                <a:srgbClr val="C55A11"/>
              </a:solidFill>
              <a:latin typeface="Meiryo UI"/>
              <a:ea typeface="Meiryo UI"/>
            </a:rPr>
            <a:t>を実行する。</a:t>
          </a:r>
          <a:endParaRPr lang="en-US" altLang="ja-JP" sz="1000" b="0" i="0" u="none" baseline="0">
            <a:solidFill>
              <a:srgbClr val="C55A11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endParaRPr lang="en-US" altLang="ja-JP" sz="1000" b="0" i="0" u="none" baseline="0">
            <a:solidFill>
              <a:srgbClr val="C55A11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endParaRPr/>
        </a:p>
        <a:p>
          <a:pPr>
            <a:defRPr lang="en-US" altLang="ja-JP" sz="1000" b="0" i="0" u="none" baseline="0">
              <a:solidFill>
                <a:schemeClr val="accent2">
                  <a:lumMod val="75000"/>
                </a:schemeClr>
              </a:solidFill>
              <a:latin typeface="Meiryo UI"/>
              <a:ea typeface="Meiryo UI" panose="020B0604030504040204" pitchFamily="34" charset="-128"/>
              <a:cs typeface="+mn-cs"/>
            </a:defRPr>
          </a:pPr>
          <a:endParaRPr/>
        </a:p>
      </xdr:txBody>
    </xdr:sp>
    <xdr:clientData/>
  </xdr:twoCellAnchor>
  <xdr:twoCellAnchor>
    <xdr:from>
      <xdr:col>5</xdr:col>
      <xdr:colOff>231029</xdr:colOff>
      <xdr:row>55</xdr:row>
      <xdr:rowOff>133345</xdr:rowOff>
    </xdr:from>
    <xdr:to>
      <xdr:col>6</xdr:col>
      <xdr:colOff>0</xdr:colOff>
      <xdr:row>71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28" idx="0"/>
        </xdr:cNvCxnSpPr>
      </xdr:nvCxnSpPr>
      <xdr:spPr>
        <a:xfrm>
          <a:off x="1562100" y="10725150"/>
          <a:ext cx="38100" cy="29146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453" t="s">
        <v>261</v>
      </c>
      <c r="B1" s="133"/>
      <c r="C1" s="133"/>
      <c r="D1" s="133"/>
      <c r="E1" s="133"/>
      <c r="F1" s="133"/>
      <c r="G1" s="133"/>
      <c r="H1" s="133"/>
      <c r="I1" s="133"/>
      <c r="J1" s="134"/>
      <c r="K1" s="132" t="s">
        <v>1</v>
      </c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4"/>
      <c r="W1" s="154" t="s">
        <v>16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32" t="s">
        <v>2</v>
      </c>
      <c r="AQ1" s="133"/>
      <c r="AR1" s="133"/>
      <c r="AS1" s="134"/>
      <c r="AT1" s="132" t="s">
        <v>3</v>
      </c>
      <c r="AU1" s="133"/>
      <c r="AV1" s="133"/>
      <c r="AW1" s="133"/>
      <c r="AX1" s="134"/>
      <c r="AY1" s="132" t="s">
        <v>4</v>
      </c>
      <c r="AZ1" s="133"/>
      <c r="BA1" s="133"/>
      <c r="BB1" s="134"/>
      <c r="BC1" s="132" t="s">
        <v>5</v>
      </c>
      <c r="BD1" s="133"/>
      <c r="BE1" s="133"/>
      <c r="BF1" s="133"/>
      <c r="BG1" s="134"/>
      <c r="BH1" s="132" t="s">
        <v>6</v>
      </c>
      <c r="BI1" s="133"/>
      <c r="BJ1" s="133"/>
      <c r="BK1" s="134"/>
    </row>
    <row r="2" spans="1:63" ht="15" customHeight="1" x14ac:dyDescent="0.25">
      <c r="A2" s="153" t="s">
        <v>13</v>
      </c>
      <c r="B2" s="118"/>
      <c r="C2" s="118"/>
      <c r="D2" s="118"/>
      <c r="E2" s="118"/>
      <c r="F2" s="118"/>
      <c r="G2" s="118"/>
      <c r="H2" s="118"/>
      <c r="I2" s="118"/>
      <c r="J2" s="119"/>
      <c r="K2" s="117" t="s">
        <v>11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117" t="str">
        <f>改訂履歴!$H$11</f>
        <v>LoiLV</v>
      </c>
      <c r="AQ2" s="118"/>
      <c r="AR2" s="118"/>
      <c r="AS2" s="119"/>
      <c r="AT2" s="147">
        <f>改訂履歴!$B$11</f>
        <v>45467</v>
      </c>
      <c r="AU2" s="148"/>
      <c r="AV2" s="148"/>
      <c r="AW2" s="148"/>
      <c r="AX2" s="149"/>
      <c r="AY2" s="117" t="str">
        <f>LOOKUP(2,1/(改訂履歴!H11:H30000&lt;&gt;""),改訂履歴!H11:H30000)</f>
        <v>SonNH</v>
      </c>
      <c r="AZ2" s="118"/>
      <c r="BA2" s="118"/>
      <c r="BB2" s="119"/>
      <c r="BC2" s="147">
        <f>LOOKUP(2,1/(改訂履歴!B11:B30000&lt;&gt;""),改訂履歴!B11:B30000)</f>
        <v>45811</v>
      </c>
      <c r="BD2" s="148"/>
      <c r="BE2" s="148"/>
      <c r="BF2" s="148"/>
      <c r="BG2" s="149"/>
      <c r="BH2" s="141">
        <f>LOOKUP(2,1/(改訂履歴!O11:O30000&lt;&gt;""),改訂履歴!O11:O30000)</f>
        <v>0.13</v>
      </c>
      <c r="BI2" s="142"/>
      <c r="BJ2" s="142"/>
      <c r="BK2" s="143"/>
    </row>
    <row r="3" spans="1:63" ht="15" customHeight="1" x14ac:dyDescent="0.25">
      <c r="A3" s="123"/>
      <c r="B3" s="124"/>
      <c r="C3" s="124"/>
      <c r="D3" s="124"/>
      <c r="E3" s="124"/>
      <c r="F3" s="124"/>
      <c r="G3" s="124"/>
      <c r="H3" s="124"/>
      <c r="I3" s="124"/>
      <c r="J3" s="125"/>
      <c r="K3" s="123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5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123"/>
      <c r="AQ3" s="124"/>
      <c r="AR3" s="124"/>
      <c r="AS3" s="125"/>
      <c r="AT3" s="150"/>
      <c r="AU3" s="151"/>
      <c r="AV3" s="151"/>
      <c r="AW3" s="151"/>
      <c r="AX3" s="152"/>
      <c r="AY3" s="123"/>
      <c r="AZ3" s="124"/>
      <c r="BA3" s="124"/>
      <c r="BB3" s="125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32" t="s">
        <v>0</v>
      </c>
      <c r="B4" s="133"/>
      <c r="C4" s="133"/>
      <c r="D4" s="133"/>
      <c r="E4" s="133"/>
      <c r="F4" s="133"/>
      <c r="G4" s="134"/>
      <c r="H4" s="137" t="s">
        <v>51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2" t="s">
        <v>7</v>
      </c>
      <c r="V4" s="133"/>
      <c r="W4" s="133"/>
      <c r="X4" s="133"/>
      <c r="Y4" s="134"/>
      <c r="Z4" s="140" t="s">
        <v>15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37" t="str">
        <f t="array" aca="1" ref="AP4" ca="1">RIGHT(CELL("filename",$A$1),LEN(CELL("filename",$A$1))-FIND("]",CELL("filename",$A$1)))</f>
        <v>‎表紙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135" t="s">
        <v>14</v>
      </c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2"/>
      <c r="BK16" s="4"/>
    </row>
    <row r="17" spans="1:63" ht="15" customHeight="1" x14ac:dyDescent="0.25">
      <c r="A17" s="1"/>
      <c r="K17" s="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2"/>
      <c r="BK17" s="4"/>
    </row>
    <row r="18" spans="1:63" ht="15" customHeight="1" x14ac:dyDescent="0.25">
      <c r="A18" s="1"/>
      <c r="K18" s="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2"/>
      <c r="BK18" s="4"/>
    </row>
    <row r="19" spans="1:63" ht="15" customHeight="1" x14ac:dyDescent="0.25">
      <c r="A19" s="1"/>
      <c r="K19" s="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2"/>
      <c r="BK19" s="4"/>
    </row>
    <row r="20" spans="1:63" ht="15" customHeight="1" x14ac:dyDescent="0.25">
      <c r="A20" s="1"/>
      <c r="K20" s="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2"/>
      <c r="BK20" s="4"/>
    </row>
    <row r="21" spans="1:63" ht="15" customHeight="1" x14ac:dyDescent="0.25">
      <c r="A21" s="1"/>
      <c r="K21" s="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136" t="str">
        <f>K2&amp;"/"&amp;H4&amp;"/"&amp;Z4</f>
        <v>POSサーバー/APX001/API設計書</v>
      </c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2"/>
      <c r="BK24" s="4"/>
    </row>
    <row r="25" spans="1:63" ht="15" customHeight="1" x14ac:dyDescent="0.25">
      <c r="A25" s="1"/>
      <c r="K25" s="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2"/>
      <c r="BK25" s="4"/>
    </row>
    <row r="26" spans="1:63" ht="15" customHeight="1" x14ac:dyDescent="0.25">
      <c r="A26" s="1"/>
      <c r="K26" s="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2"/>
      <c r="BK26" s="4"/>
    </row>
    <row r="27" spans="1:63" ht="15" customHeight="1" x14ac:dyDescent="0.25">
      <c r="A27" s="1"/>
      <c r="K27" s="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2"/>
      <c r="BK27" s="4"/>
    </row>
    <row r="28" spans="1:63" ht="15" customHeight="1" x14ac:dyDescent="0.25">
      <c r="A28" s="1"/>
      <c r="K28" s="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2"/>
      <c r="BK28" s="4"/>
    </row>
    <row r="29" spans="1:63" ht="15" customHeight="1" x14ac:dyDescent="0.25">
      <c r="A29" s="1"/>
      <c r="K29" s="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2"/>
      <c r="BK29" s="4"/>
    </row>
    <row r="30" spans="1:63" ht="15" customHeight="1" x14ac:dyDescent="0.25">
      <c r="A30" s="1"/>
      <c r="K30" s="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2"/>
      <c r="BK30" s="4"/>
    </row>
    <row r="31" spans="1:63" ht="15" customHeight="1" x14ac:dyDescent="0.25">
      <c r="A31" s="1"/>
      <c r="K31" s="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2"/>
      <c r="BK31" s="4"/>
    </row>
    <row r="32" spans="1:63" ht="15" customHeight="1" x14ac:dyDescent="0.25">
      <c r="A32" s="1"/>
      <c r="K32" s="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2"/>
      <c r="BK32" s="4"/>
    </row>
    <row r="33" spans="1:63" ht="15" customHeight="1" x14ac:dyDescent="0.25">
      <c r="A33" s="1"/>
      <c r="K33" s="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2"/>
      <c r="BK33" s="4"/>
    </row>
    <row r="34" spans="1:63" ht="15" customHeight="1" x14ac:dyDescent="0.25">
      <c r="A34" s="1"/>
      <c r="K34" s="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2"/>
      <c r="BK34" s="4"/>
    </row>
    <row r="35" spans="1:63" ht="15" customHeight="1" x14ac:dyDescent="0.25">
      <c r="A35" s="1"/>
      <c r="K35" s="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2"/>
      <c r="BK35" s="4"/>
    </row>
    <row r="36" spans="1:63" ht="15" customHeight="1" x14ac:dyDescent="0.25">
      <c r="A36" s="1"/>
      <c r="K36" s="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26" t="s">
        <v>9</v>
      </c>
      <c r="R44" s="127"/>
      <c r="S44" s="127"/>
      <c r="T44" s="127"/>
      <c r="U44" s="127"/>
      <c r="V44" s="127"/>
      <c r="W44" s="127"/>
      <c r="X44" s="127"/>
      <c r="Y44" s="127"/>
      <c r="Z44" s="128"/>
      <c r="AA44" s="126" t="s">
        <v>10</v>
      </c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8"/>
      <c r="AQ44" s="126" t="s">
        <v>6</v>
      </c>
      <c r="AR44" s="127"/>
      <c r="AS44" s="127"/>
      <c r="AT44" s="127"/>
      <c r="AU44" s="128"/>
      <c r="BK44" s="4"/>
    </row>
    <row r="45" spans="1:63" ht="15" customHeight="1" x14ac:dyDescent="0.25">
      <c r="A45" s="1"/>
      <c r="Q45" s="129"/>
      <c r="R45" s="130"/>
      <c r="S45" s="130"/>
      <c r="T45" s="130"/>
      <c r="U45" s="130"/>
      <c r="V45" s="130"/>
      <c r="W45" s="130"/>
      <c r="X45" s="130"/>
      <c r="Y45" s="130"/>
      <c r="Z45" s="131"/>
      <c r="AA45" s="129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1"/>
      <c r="AQ45" s="129"/>
      <c r="AR45" s="130"/>
      <c r="AS45" s="130"/>
      <c r="AT45" s="130"/>
      <c r="AU45" s="131"/>
      <c r="BK45" s="4"/>
    </row>
    <row r="46" spans="1:63" ht="15" customHeight="1" x14ac:dyDescent="0.25">
      <c r="A46" s="1"/>
      <c r="Q46" s="117"/>
      <c r="R46" s="118"/>
      <c r="S46" s="118"/>
      <c r="T46" s="118"/>
      <c r="U46" s="118"/>
      <c r="V46" s="118"/>
      <c r="W46" s="118"/>
      <c r="X46" s="118"/>
      <c r="Y46" s="118"/>
      <c r="Z46" s="119"/>
      <c r="AA46" s="117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9"/>
      <c r="AQ46" s="117"/>
      <c r="AR46" s="118"/>
      <c r="AS46" s="118"/>
      <c r="AT46" s="118"/>
      <c r="AU46" s="119"/>
      <c r="BK46" s="4"/>
    </row>
    <row r="47" spans="1:63" ht="15" customHeight="1" x14ac:dyDescent="0.25">
      <c r="A47" s="1"/>
      <c r="Q47" s="120"/>
      <c r="R47" s="121"/>
      <c r="S47" s="121"/>
      <c r="T47" s="121"/>
      <c r="U47" s="121"/>
      <c r="V47" s="121"/>
      <c r="W47" s="121"/>
      <c r="X47" s="121"/>
      <c r="Y47" s="121"/>
      <c r="Z47" s="122"/>
      <c r="AA47" s="120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2"/>
      <c r="AQ47" s="120"/>
      <c r="AR47" s="121"/>
      <c r="AS47" s="121"/>
      <c r="AT47" s="121"/>
      <c r="AU47" s="122"/>
      <c r="BK47" s="4"/>
    </row>
    <row r="48" spans="1:63" ht="15" customHeight="1" x14ac:dyDescent="0.25">
      <c r="A48" s="1"/>
      <c r="Q48" s="120"/>
      <c r="R48" s="121"/>
      <c r="S48" s="121"/>
      <c r="T48" s="121"/>
      <c r="U48" s="121"/>
      <c r="V48" s="121"/>
      <c r="W48" s="121"/>
      <c r="X48" s="121"/>
      <c r="Y48" s="121"/>
      <c r="Z48" s="122"/>
      <c r="AA48" s="120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2"/>
      <c r="AQ48" s="120"/>
      <c r="AR48" s="121"/>
      <c r="AS48" s="121"/>
      <c r="AT48" s="121"/>
      <c r="AU48" s="122"/>
      <c r="BK48" s="4"/>
    </row>
    <row r="49" spans="1:63" ht="15" customHeight="1" x14ac:dyDescent="0.25">
      <c r="A49" s="1"/>
      <c r="Q49" s="123"/>
      <c r="R49" s="124"/>
      <c r="S49" s="124"/>
      <c r="T49" s="124"/>
      <c r="U49" s="124"/>
      <c r="V49" s="124"/>
      <c r="W49" s="124"/>
      <c r="X49" s="124"/>
      <c r="Y49" s="124"/>
      <c r="Z49" s="125"/>
      <c r="AA49" s="123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5"/>
      <c r="AQ49" s="123"/>
      <c r="AR49" s="124"/>
      <c r="AS49" s="124"/>
      <c r="AT49" s="124"/>
      <c r="AU49" s="12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98" customWidth="1"/>
    <col min="61" max="16384" width="2.77734375" style="98"/>
  </cols>
  <sheetData>
    <row r="1" spans="1:63" ht="24.95" customHeight="1" x14ac:dyDescent="0.25">
      <c r="A1" s="222" t="s">
        <v>196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197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">
        <v>193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222" t="s">
        <v>198</v>
      </c>
      <c r="AQ1" s="223"/>
      <c r="AR1" s="223"/>
      <c r="AS1" s="224"/>
      <c r="AT1" s="222" t="s">
        <v>199</v>
      </c>
      <c r="AU1" s="223"/>
      <c r="AV1" s="223"/>
      <c r="AW1" s="223"/>
      <c r="AX1" s="224"/>
      <c r="AY1" s="222" t="s">
        <v>200</v>
      </c>
      <c r="AZ1" s="223"/>
      <c r="BA1" s="223"/>
      <c r="BB1" s="224"/>
      <c r="BC1" s="222" t="s">
        <v>201</v>
      </c>
      <c r="BD1" s="223"/>
      <c r="BE1" s="223"/>
      <c r="BF1" s="223"/>
      <c r="BG1" s="224"/>
      <c r="BH1" s="222" t="s">
        <v>202</v>
      </c>
      <c r="BI1" s="223"/>
      <c r="BJ1" s="223"/>
      <c r="BK1" s="224"/>
    </row>
    <row r="2" spans="1:63" ht="15" customHeight="1" x14ac:dyDescent="0.25">
      <c r="A2" s="163" t="s">
        <v>192</v>
      </c>
      <c r="B2" s="164"/>
      <c r="C2" s="164"/>
      <c r="D2" s="164"/>
      <c r="E2" s="164"/>
      <c r="F2" s="164"/>
      <c r="G2" s="164"/>
      <c r="H2" s="164"/>
      <c r="I2" s="164"/>
      <c r="J2" s="165"/>
      <c r="K2" s="163" t="s">
        <v>192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63" t="s">
        <v>189</v>
      </c>
      <c r="AQ2" s="164"/>
      <c r="AR2" s="164"/>
      <c r="AS2" s="165"/>
      <c r="AT2" s="221">
        <v>45467</v>
      </c>
      <c r="AU2" s="237"/>
      <c r="AV2" s="237"/>
      <c r="AW2" s="237"/>
      <c r="AX2" s="238"/>
      <c r="AY2" s="163" t="s">
        <v>190</v>
      </c>
      <c r="AZ2" s="164"/>
      <c r="BA2" s="164"/>
      <c r="BB2" s="165"/>
      <c r="BC2" s="221">
        <v>45811</v>
      </c>
      <c r="BD2" s="237"/>
      <c r="BE2" s="237"/>
      <c r="BF2" s="237"/>
      <c r="BG2" s="238"/>
      <c r="BH2" s="163">
        <v>0.13</v>
      </c>
      <c r="BI2" s="164"/>
      <c r="BJ2" s="164"/>
      <c r="BK2" s="16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6"/>
      <c r="AQ3" s="167"/>
      <c r="AR3" s="167"/>
      <c r="AS3" s="168"/>
      <c r="AT3" s="239"/>
      <c r="AU3" s="240"/>
      <c r="AV3" s="240"/>
      <c r="AW3" s="240"/>
      <c r="AX3" s="241"/>
      <c r="AY3" s="166"/>
      <c r="AZ3" s="167"/>
      <c r="BA3" s="167"/>
      <c r="BB3" s="168"/>
      <c r="BC3" s="239"/>
      <c r="BD3" s="240"/>
      <c r="BE3" s="240"/>
      <c r="BF3" s="240"/>
      <c r="BG3" s="241"/>
      <c r="BH3" s="166"/>
      <c r="BI3" s="167"/>
      <c r="BJ3" s="167"/>
      <c r="BK3" s="168"/>
    </row>
    <row r="4" spans="1:63" ht="24.95" customHeight="1" x14ac:dyDescent="0.25">
      <c r="A4" s="222" t="s">
        <v>203</v>
      </c>
      <c r="B4" s="223"/>
      <c r="C4" s="223"/>
      <c r="D4" s="223"/>
      <c r="E4" s="223"/>
      <c r="F4" s="223"/>
      <c r="G4" s="224"/>
      <c r="H4" s="234" t="s">
        <v>191</v>
      </c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6"/>
      <c r="U4" s="222" t="s">
        <v>204</v>
      </c>
      <c r="V4" s="223"/>
      <c r="W4" s="223"/>
      <c r="X4" s="223"/>
      <c r="Y4" s="224"/>
      <c r="Z4" s="234" t="s">
        <v>194</v>
      </c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6"/>
      <c r="AP4" s="234" t="str">
        <f t="array" aca="1" ref="AP4" ca="1">RIGHT(CELL("filename",$A$1),LEN(CELL("filename",$A$1))-FIND("]",CELL("filename",$A$1)))</f>
        <v>改訂履歴</v>
      </c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6"/>
    </row>
    <row r="5" spans="1:63" ht="5.0999999999999996" customHeight="1" x14ac:dyDescent="0.25">
      <c r="A5" s="99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1"/>
    </row>
    <row r="6" spans="1:63" ht="15" customHeight="1" x14ac:dyDescent="0.25">
      <c r="A6" s="102"/>
      <c r="BK6" s="103"/>
    </row>
    <row r="7" spans="1:63" ht="15" customHeight="1" x14ac:dyDescent="0.25">
      <c r="A7" s="102"/>
      <c r="BK7" s="103"/>
    </row>
    <row r="8" spans="1:63" ht="15" customHeight="1" x14ac:dyDescent="0.25">
      <c r="A8" s="102"/>
      <c r="B8" s="98" t="s">
        <v>8</v>
      </c>
      <c r="BK8" s="103"/>
    </row>
    <row r="9" spans="1:63" ht="15" customHeight="1" x14ac:dyDescent="0.25">
      <c r="A9" s="102"/>
      <c r="BK9" s="103"/>
    </row>
    <row r="10" spans="1:63" ht="15" customHeight="1" x14ac:dyDescent="0.25">
      <c r="A10" s="102"/>
      <c r="B10" s="194" t="s">
        <v>201</v>
      </c>
      <c r="C10" s="194"/>
      <c r="D10" s="194"/>
      <c r="E10" s="194"/>
      <c r="F10" s="194"/>
      <c r="G10" s="194"/>
      <c r="H10" s="194" t="s">
        <v>200</v>
      </c>
      <c r="I10" s="194"/>
      <c r="J10" s="194"/>
      <c r="K10" s="194"/>
      <c r="L10" s="194"/>
      <c r="M10" s="194"/>
      <c r="N10" s="194"/>
      <c r="O10" s="194" t="s">
        <v>202</v>
      </c>
      <c r="P10" s="194"/>
      <c r="Q10" s="194"/>
      <c r="R10" s="194"/>
      <c r="S10" s="194" t="s">
        <v>205</v>
      </c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 t="s">
        <v>206</v>
      </c>
      <c r="AY10" s="194"/>
      <c r="AZ10" s="194"/>
      <c r="BA10" s="194"/>
      <c r="BB10" s="194"/>
      <c r="BC10" s="194"/>
      <c r="BD10" s="194" t="s">
        <v>207</v>
      </c>
      <c r="BE10" s="194"/>
      <c r="BF10" s="194"/>
      <c r="BG10" s="194"/>
      <c r="BH10" s="194"/>
      <c r="BI10" s="194"/>
      <c r="BJ10" s="194"/>
      <c r="BK10" s="103"/>
    </row>
    <row r="11" spans="1:63" ht="15" customHeight="1" x14ac:dyDescent="0.25">
      <c r="A11" s="102"/>
      <c r="B11" s="221">
        <v>45467</v>
      </c>
      <c r="C11" s="164"/>
      <c r="D11" s="164"/>
      <c r="E11" s="164"/>
      <c r="F11" s="164"/>
      <c r="G11" s="165"/>
      <c r="H11" s="153" t="s">
        <v>189</v>
      </c>
      <c r="I11" s="164"/>
      <c r="J11" s="164"/>
      <c r="K11" s="164"/>
      <c r="L11" s="164"/>
      <c r="M11" s="164"/>
      <c r="N11" s="165"/>
      <c r="O11" s="163">
        <v>0.1</v>
      </c>
      <c r="P11" s="164"/>
      <c r="Q11" s="164"/>
      <c r="R11" s="164"/>
      <c r="S11" s="169" t="s">
        <v>12</v>
      </c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1"/>
      <c r="AX11" s="172"/>
      <c r="AY11" s="172"/>
      <c r="AZ11" s="172"/>
      <c r="BA11" s="172"/>
      <c r="BB11" s="172"/>
      <c r="BC11" s="173"/>
      <c r="BD11" s="176"/>
      <c r="BE11" s="172"/>
      <c r="BF11" s="172"/>
      <c r="BG11" s="172"/>
      <c r="BH11" s="172"/>
      <c r="BI11" s="172"/>
      <c r="BJ11" s="173"/>
      <c r="BK11" s="103"/>
    </row>
    <row r="12" spans="1:63" ht="15" customHeight="1" x14ac:dyDescent="0.25">
      <c r="A12" s="102"/>
      <c r="B12" s="166"/>
      <c r="C12" s="167"/>
      <c r="D12" s="167"/>
      <c r="E12" s="167"/>
      <c r="F12" s="167"/>
      <c r="G12" s="168"/>
      <c r="H12" s="166"/>
      <c r="I12" s="167"/>
      <c r="J12" s="167"/>
      <c r="K12" s="167"/>
      <c r="L12" s="167"/>
      <c r="M12" s="167"/>
      <c r="N12" s="168"/>
      <c r="O12" s="166"/>
      <c r="P12" s="167"/>
      <c r="Q12" s="167"/>
      <c r="R12" s="167"/>
      <c r="S12" s="178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80"/>
      <c r="AX12" s="174"/>
      <c r="AY12" s="174"/>
      <c r="AZ12" s="174"/>
      <c r="BA12" s="174"/>
      <c r="BB12" s="174"/>
      <c r="BC12" s="175"/>
      <c r="BD12" s="177"/>
      <c r="BE12" s="174"/>
      <c r="BF12" s="174"/>
      <c r="BG12" s="174"/>
      <c r="BH12" s="174"/>
      <c r="BI12" s="174"/>
      <c r="BJ12" s="175"/>
      <c r="BK12" s="103"/>
    </row>
    <row r="13" spans="1:63" ht="15" customHeight="1" x14ac:dyDescent="0.25">
      <c r="A13" s="102"/>
      <c r="B13" s="221">
        <v>45483</v>
      </c>
      <c r="C13" s="164"/>
      <c r="D13" s="164"/>
      <c r="E13" s="164"/>
      <c r="F13" s="164"/>
      <c r="G13" s="165"/>
      <c r="H13" s="163" t="s">
        <v>84</v>
      </c>
      <c r="I13" s="164"/>
      <c r="J13" s="164"/>
      <c r="K13" s="164"/>
      <c r="L13" s="164"/>
      <c r="M13" s="164"/>
      <c r="N13" s="165"/>
      <c r="O13" s="163">
        <v>0.11</v>
      </c>
      <c r="P13" s="164"/>
      <c r="Q13" s="164"/>
      <c r="R13" s="164"/>
      <c r="S13" s="169" t="s">
        <v>85</v>
      </c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1"/>
      <c r="AX13" s="172"/>
      <c r="AY13" s="172"/>
      <c r="AZ13" s="172"/>
      <c r="BA13" s="172"/>
      <c r="BB13" s="172"/>
      <c r="BC13" s="173"/>
      <c r="BD13" s="176"/>
      <c r="BE13" s="172"/>
      <c r="BF13" s="172"/>
      <c r="BG13" s="172"/>
      <c r="BH13" s="172"/>
      <c r="BI13" s="172"/>
      <c r="BJ13" s="173"/>
      <c r="BK13" s="103"/>
    </row>
    <row r="14" spans="1:63" ht="15" customHeight="1" x14ac:dyDescent="0.25">
      <c r="A14" s="102"/>
      <c r="B14" s="166"/>
      <c r="C14" s="167"/>
      <c r="D14" s="167"/>
      <c r="E14" s="167"/>
      <c r="F14" s="167"/>
      <c r="G14" s="168"/>
      <c r="H14" s="166"/>
      <c r="I14" s="167"/>
      <c r="J14" s="167"/>
      <c r="K14" s="167"/>
      <c r="L14" s="167"/>
      <c r="M14" s="167"/>
      <c r="N14" s="168"/>
      <c r="O14" s="166"/>
      <c r="P14" s="167"/>
      <c r="Q14" s="167"/>
      <c r="R14" s="167"/>
      <c r="S14" s="178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80"/>
      <c r="AX14" s="174"/>
      <c r="AY14" s="174"/>
      <c r="AZ14" s="174"/>
      <c r="BA14" s="174"/>
      <c r="BB14" s="174"/>
      <c r="BC14" s="175"/>
      <c r="BD14" s="177"/>
      <c r="BE14" s="174"/>
      <c r="BF14" s="174"/>
      <c r="BG14" s="174"/>
      <c r="BH14" s="174"/>
      <c r="BI14" s="174"/>
      <c r="BJ14" s="175"/>
      <c r="BK14" s="103"/>
    </row>
    <row r="15" spans="1:63" ht="15" customHeight="1" x14ac:dyDescent="0.25">
      <c r="A15" s="102"/>
      <c r="B15" s="208">
        <v>45799</v>
      </c>
      <c r="C15" s="209"/>
      <c r="D15" s="209"/>
      <c r="E15" s="209"/>
      <c r="F15" s="209"/>
      <c r="G15" s="210"/>
      <c r="H15" s="214" t="s">
        <v>208</v>
      </c>
      <c r="I15" s="209"/>
      <c r="J15" s="209"/>
      <c r="K15" s="209"/>
      <c r="L15" s="209"/>
      <c r="M15" s="209"/>
      <c r="N15" s="210"/>
      <c r="O15" s="214">
        <v>0.12</v>
      </c>
      <c r="P15" s="209"/>
      <c r="Q15" s="209"/>
      <c r="R15" s="209"/>
      <c r="S15" s="215" t="s">
        <v>209</v>
      </c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7"/>
      <c r="AX15" s="172"/>
      <c r="AY15" s="172"/>
      <c r="AZ15" s="172"/>
      <c r="BA15" s="172"/>
      <c r="BB15" s="172"/>
      <c r="BC15" s="173"/>
      <c r="BD15" s="176"/>
      <c r="BE15" s="172"/>
      <c r="BF15" s="172"/>
      <c r="BG15" s="172"/>
      <c r="BH15" s="172"/>
      <c r="BI15" s="172"/>
      <c r="BJ15" s="173"/>
      <c r="BK15" s="103"/>
    </row>
    <row r="16" spans="1:63" ht="15" customHeight="1" x14ac:dyDescent="0.25">
      <c r="A16" s="102"/>
      <c r="B16" s="211"/>
      <c r="C16" s="212"/>
      <c r="D16" s="212"/>
      <c r="E16" s="212"/>
      <c r="F16" s="212"/>
      <c r="G16" s="213"/>
      <c r="H16" s="211"/>
      <c r="I16" s="212"/>
      <c r="J16" s="212"/>
      <c r="K16" s="212"/>
      <c r="L16" s="212"/>
      <c r="M16" s="212"/>
      <c r="N16" s="213"/>
      <c r="O16" s="211"/>
      <c r="P16" s="212"/>
      <c r="Q16" s="212"/>
      <c r="R16" s="212"/>
      <c r="S16" s="218" t="s">
        <v>210</v>
      </c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20"/>
      <c r="AX16" s="174"/>
      <c r="AY16" s="174"/>
      <c r="AZ16" s="174"/>
      <c r="BA16" s="174"/>
      <c r="BB16" s="174"/>
      <c r="BC16" s="175"/>
      <c r="BD16" s="177"/>
      <c r="BE16" s="174"/>
      <c r="BF16" s="174"/>
      <c r="BG16" s="174"/>
      <c r="BH16" s="174"/>
      <c r="BI16" s="174"/>
      <c r="BJ16" s="175"/>
      <c r="BK16" s="103"/>
    </row>
    <row r="17" spans="1:63" ht="15" customHeight="1" x14ac:dyDescent="0.25">
      <c r="A17" s="102"/>
      <c r="B17" s="195">
        <v>45803</v>
      </c>
      <c r="C17" s="196"/>
      <c r="D17" s="196"/>
      <c r="E17" s="196"/>
      <c r="F17" s="196"/>
      <c r="G17" s="197"/>
      <c r="H17" s="201" t="s">
        <v>189</v>
      </c>
      <c r="I17" s="196"/>
      <c r="J17" s="196"/>
      <c r="K17" s="196"/>
      <c r="L17" s="196"/>
      <c r="M17" s="196"/>
      <c r="N17" s="197"/>
      <c r="O17" s="201">
        <v>0.12</v>
      </c>
      <c r="P17" s="196"/>
      <c r="Q17" s="196"/>
      <c r="R17" s="196"/>
      <c r="S17" s="202" t="s">
        <v>211</v>
      </c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172"/>
      <c r="AY17" s="172"/>
      <c r="AZ17" s="172"/>
      <c r="BA17" s="172"/>
      <c r="BB17" s="172"/>
      <c r="BC17" s="173"/>
      <c r="BD17" s="176"/>
      <c r="BE17" s="172"/>
      <c r="BF17" s="172"/>
      <c r="BG17" s="172"/>
      <c r="BH17" s="172"/>
      <c r="BI17" s="172"/>
      <c r="BJ17" s="173"/>
      <c r="BK17" s="103"/>
    </row>
    <row r="18" spans="1:63" ht="15" customHeight="1" x14ac:dyDescent="0.25">
      <c r="A18" s="102"/>
      <c r="B18" s="198"/>
      <c r="C18" s="199"/>
      <c r="D18" s="199"/>
      <c r="E18" s="199"/>
      <c r="F18" s="199"/>
      <c r="G18" s="200"/>
      <c r="H18" s="198"/>
      <c r="I18" s="199"/>
      <c r="J18" s="199"/>
      <c r="K18" s="199"/>
      <c r="L18" s="199"/>
      <c r="M18" s="199"/>
      <c r="N18" s="200"/>
      <c r="O18" s="198"/>
      <c r="P18" s="199"/>
      <c r="Q18" s="199"/>
      <c r="R18" s="199"/>
      <c r="S18" s="205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7"/>
      <c r="AX18" s="174"/>
      <c r="AY18" s="174"/>
      <c r="AZ18" s="174"/>
      <c r="BA18" s="174"/>
      <c r="BB18" s="174"/>
      <c r="BC18" s="175"/>
      <c r="BD18" s="177"/>
      <c r="BE18" s="174"/>
      <c r="BF18" s="174"/>
      <c r="BG18" s="174"/>
      <c r="BH18" s="174"/>
      <c r="BI18" s="174"/>
      <c r="BJ18" s="175"/>
      <c r="BK18" s="103"/>
    </row>
    <row r="19" spans="1:63" ht="15" customHeight="1" x14ac:dyDescent="0.25">
      <c r="A19" s="102"/>
      <c r="B19" s="181">
        <v>45811</v>
      </c>
      <c r="C19" s="182"/>
      <c r="D19" s="182"/>
      <c r="E19" s="182"/>
      <c r="F19" s="182"/>
      <c r="G19" s="183"/>
      <c r="H19" s="187" t="s">
        <v>212</v>
      </c>
      <c r="I19" s="182"/>
      <c r="J19" s="182"/>
      <c r="K19" s="182"/>
      <c r="L19" s="182"/>
      <c r="M19" s="182"/>
      <c r="N19" s="183"/>
      <c r="O19" s="187">
        <v>0.13</v>
      </c>
      <c r="P19" s="182"/>
      <c r="Q19" s="182"/>
      <c r="R19" s="182"/>
      <c r="S19" s="188" t="s">
        <v>195</v>
      </c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90"/>
      <c r="AX19" s="172"/>
      <c r="AY19" s="172"/>
      <c r="AZ19" s="172"/>
      <c r="BA19" s="172"/>
      <c r="BB19" s="172"/>
      <c r="BC19" s="173"/>
      <c r="BD19" s="176"/>
      <c r="BE19" s="172"/>
      <c r="BF19" s="172"/>
      <c r="BG19" s="172"/>
      <c r="BH19" s="172"/>
      <c r="BI19" s="172"/>
      <c r="BJ19" s="173"/>
      <c r="BK19" s="103"/>
    </row>
    <row r="20" spans="1:63" ht="15" customHeight="1" x14ac:dyDescent="0.25">
      <c r="A20" s="102"/>
      <c r="B20" s="184"/>
      <c r="C20" s="185"/>
      <c r="D20" s="185"/>
      <c r="E20" s="185"/>
      <c r="F20" s="185"/>
      <c r="G20" s="186"/>
      <c r="H20" s="184"/>
      <c r="I20" s="185"/>
      <c r="J20" s="185"/>
      <c r="K20" s="185"/>
      <c r="L20" s="185"/>
      <c r="M20" s="185"/>
      <c r="N20" s="186"/>
      <c r="O20" s="184"/>
      <c r="P20" s="185"/>
      <c r="Q20" s="185"/>
      <c r="R20" s="185"/>
      <c r="S20" s="191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3"/>
      <c r="AX20" s="174"/>
      <c r="AY20" s="174"/>
      <c r="AZ20" s="174"/>
      <c r="BA20" s="174"/>
      <c r="BB20" s="174"/>
      <c r="BC20" s="175"/>
      <c r="BD20" s="177"/>
      <c r="BE20" s="174"/>
      <c r="BF20" s="174"/>
      <c r="BG20" s="174"/>
      <c r="BH20" s="174"/>
      <c r="BI20" s="174"/>
      <c r="BJ20" s="175"/>
      <c r="BK20" s="103"/>
    </row>
    <row r="21" spans="1:63" ht="15" customHeight="1" x14ac:dyDescent="0.25">
      <c r="A21" s="102"/>
      <c r="B21" s="163"/>
      <c r="C21" s="164"/>
      <c r="D21" s="164"/>
      <c r="E21" s="164"/>
      <c r="F21" s="164"/>
      <c r="G21" s="165"/>
      <c r="H21" s="163"/>
      <c r="I21" s="164"/>
      <c r="J21" s="164"/>
      <c r="K21" s="164"/>
      <c r="L21" s="164"/>
      <c r="M21" s="164"/>
      <c r="N21" s="165"/>
      <c r="O21" s="163"/>
      <c r="P21" s="164"/>
      <c r="Q21" s="164"/>
      <c r="R21" s="164"/>
      <c r="S21" s="169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1"/>
      <c r="AX21" s="172"/>
      <c r="AY21" s="172"/>
      <c r="AZ21" s="172"/>
      <c r="BA21" s="172"/>
      <c r="BB21" s="172"/>
      <c r="BC21" s="173"/>
      <c r="BD21" s="176"/>
      <c r="BE21" s="172"/>
      <c r="BF21" s="172"/>
      <c r="BG21" s="172"/>
      <c r="BH21" s="172"/>
      <c r="BI21" s="172"/>
      <c r="BJ21" s="173"/>
      <c r="BK21" s="103"/>
    </row>
    <row r="22" spans="1:63" ht="15" customHeight="1" x14ac:dyDescent="0.25">
      <c r="A22" s="102"/>
      <c r="B22" s="166"/>
      <c r="C22" s="167"/>
      <c r="D22" s="167"/>
      <c r="E22" s="167"/>
      <c r="F22" s="167"/>
      <c r="G22" s="168"/>
      <c r="H22" s="166"/>
      <c r="I22" s="167"/>
      <c r="J22" s="167"/>
      <c r="K22" s="167"/>
      <c r="L22" s="167"/>
      <c r="M22" s="167"/>
      <c r="N22" s="168"/>
      <c r="O22" s="166"/>
      <c r="P22" s="167"/>
      <c r="Q22" s="167"/>
      <c r="R22" s="167"/>
      <c r="S22" s="178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80"/>
      <c r="AX22" s="174"/>
      <c r="AY22" s="174"/>
      <c r="AZ22" s="174"/>
      <c r="BA22" s="174"/>
      <c r="BB22" s="174"/>
      <c r="BC22" s="175"/>
      <c r="BD22" s="177"/>
      <c r="BE22" s="174"/>
      <c r="BF22" s="174"/>
      <c r="BG22" s="174"/>
      <c r="BH22" s="174"/>
      <c r="BI22" s="174"/>
      <c r="BJ22" s="175"/>
      <c r="BK22" s="103"/>
    </row>
    <row r="23" spans="1:63" ht="15" customHeight="1" x14ac:dyDescent="0.25">
      <c r="A23" s="102"/>
      <c r="B23" s="163"/>
      <c r="C23" s="164"/>
      <c r="D23" s="164"/>
      <c r="E23" s="164"/>
      <c r="F23" s="164"/>
      <c r="G23" s="165"/>
      <c r="H23" s="163"/>
      <c r="I23" s="164"/>
      <c r="J23" s="164"/>
      <c r="K23" s="164"/>
      <c r="L23" s="164"/>
      <c r="M23" s="164"/>
      <c r="N23" s="165"/>
      <c r="O23" s="163"/>
      <c r="P23" s="164"/>
      <c r="Q23" s="164"/>
      <c r="R23" s="164"/>
      <c r="S23" s="169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1"/>
      <c r="AX23" s="172"/>
      <c r="AY23" s="172"/>
      <c r="AZ23" s="172"/>
      <c r="BA23" s="172"/>
      <c r="BB23" s="172"/>
      <c r="BC23" s="173"/>
      <c r="BD23" s="176"/>
      <c r="BE23" s="172"/>
      <c r="BF23" s="172"/>
      <c r="BG23" s="172"/>
      <c r="BH23" s="172"/>
      <c r="BI23" s="172"/>
      <c r="BJ23" s="173"/>
      <c r="BK23" s="103"/>
    </row>
    <row r="24" spans="1:63" ht="15" customHeight="1" x14ac:dyDescent="0.25">
      <c r="A24" s="102"/>
      <c r="B24" s="166"/>
      <c r="C24" s="167"/>
      <c r="D24" s="167"/>
      <c r="E24" s="167"/>
      <c r="F24" s="167"/>
      <c r="G24" s="168"/>
      <c r="H24" s="166"/>
      <c r="I24" s="167"/>
      <c r="J24" s="167"/>
      <c r="K24" s="167"/>
      <c r="L24" s="167"/>
      <c r="M24" s="167"/>
      <c r="N24" s="168"/>
      <c r="O24" s="166"/>
      <c r="P24" s="167"/>
      <c r="Q24" s="167"/>
      <c r="R24" s="167"/>
      <c r="S24" s="178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80"/>
      <c r="AX24" s="174"/>
      <c r="AY24" s="174"/>
      <c r="AZ24" s="174"/>
      <c r="BA24" s="174"/>
      <c r="BB24" s="174"/>
      <c r="BC24" s="175"/>
      <c r="BD24" s="177"/>
      <c r="BE24" s="174"/>
      <c r="BF24" s="174"/>
      <c r="BG24" s="174"/>
      <c r="BH24" s="174"/>
      <c r="BI24" s="174"/>
      <c r="BJ24" s="175"/>
      <c r="BK24" s="103"/>
    </row>
    <row r="25" spans="1:63" ht="15" customHeight="1" x14ac:dyDescent="0.25">
      <c r="A25" s="102"/>
      <c r="B25" s="163"/>
      <c r="C25" s="164"/>
      <c r="D25" s="164"/>
      <c r="E25" s="164"/>
      <c r="F25" s="164"/>
      <c r="G25" s="165"/>
      <c r="H25" s="163"/>
      <c r="I25" s="164"/>
      <c r="J25" s="164"/>
      <c r="K25" s="164"/>
      <c r="L25" s="164"/>
      <c r="M25" s="164"/>
      <c r="N25" s="165"/>
      <c r="O25" s="163"/>
      <c r="P25" s="164"/>
      <c r="Q25" s="164"/>
      <c r="R25" s="164"/>
      <c r="S25" s="169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1"/>
      <c r="AX25" s="172"/>
      <c r="AY25" s="172"/>
      <c r="AZ25" s="172"/>
      <c r="BA25" s="172"/>
      <c r="BB25" s="172"/>
      <c r="BC25" s="173"/>
      <c r="BD25" s="176"/>
      <c r="BE25" s="172"/>
      <c r="BF25" s="172"/>
      <c r="BG25" s="172"/>
      <c r="BH25" s="172"/>
      <c r="BI25" s="172"/>
      <c r="BJ25" s="173"/>
      <c r="BK25" s="103"/>
    </row>
    <row r="26" spans="1:63" ht="15" customHeight="1" x14ac:dyDescent="0.25">
      <c r="A26" s="102"/>
      <c r="B26" s="166"/>
      <c r="C26" s="167"/>
      <c r="D26" s="167"/>
      <c r="E26" s="167"/>
      <c r="F26" s="167"/>
      <c r="G26" s="168"/>
      <c r="H26" s="166"/>
      <c r="I26" s="167"/>
      <c r="J26" s="167"/>
      <c r="K26" s="167"/>
      <c r="L26" s="167"/>
      <c r="M26" s="167"/>
      <c r="N26" s="168"/>
      <c r="O26" s="166"/>
      <c r="P26" s="167"/>
      <c r="Q26" s="167"/>
      <c r="R26" s="167"/>
      <c r="S26" s="178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  <c r="AW26" s="180"/>
      <c r="AX26" s="174"/>
      <c r="AY26" s="174"/>
      <c r="AZ26" s="174"/>
      <c r="BA26" s="174"/>
      <c r="BB26" s="174"/>
      <c r="BC26" s="175"/>
      <c r="BD26" s="177"/>
      <c r="BE26" s="174"/>
      <c r="BF26" s="174"/>
      <c r="BG26" s="174"/>
      <c r="BH26" s="174"/>
      <c r="BI26" s="174"/>
      <c r="BJ26" s="175"/>
      <c r="BK26" s="103"/>
    </row>
    <row r="27" spans="1:63" ht="15" customHeight="1" x14ac:dyDescent="0.25">
      <c r="A27" s="102"/>
      <c r="B27" s="163"/>
      <c r="C27" s="164"/>
      <c r="D27" s="164"/>
      <c r="E27" s="164"/>
      <c r="F27" s="164"/>
      <c r="G27" s="165"/>
      <c r="H27" s="163"/>
      <c r="I27" s="164"/>
      <c r="J27" s="164"/>
      <c r="K27" s="164"/>
      <c r="L27" s="164"/>
      <c r="M27" s="164"/>
      <c r="N27" s="165"/>
      <c r="O27" s="163"/>
      <c r="P27" s="164"/>
      <c r="Q27" s="164"/>
      <c r="R27" s="164"/>
      <c r="S27" s="169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1"/>
      <c r="AX27" s="172"/>
      <c r="AY27" s="172"/>
      <c r="AZ27" s="172"/>
      <c r="BA27" s="172"/>
      <c r="BB27" s="172"/>
      <c r="BC27" s="173"/>
      <c r="BD27" s="176"/>
      <c r="BE27" s="172"/>
      <c r="BF27" s="172"/>
      <c r="BG27" s="172"/>
      <c r="BH27" s="172"/>
      <c r="BI27" s="172"/>
      <c r="BJ27" s="173"/>
      <c r="BK27" s="103"/>
    </row>
    <row r="28" spans="1:63" ht="15" customHeight="1" x14ac:dyDescent="0.25">
      <c r="A28" s="102"/>
      <c r="B28" s="166"/>
      <c r="C28" s="167"/>
      <c r="D28" s="167"/>
      <c r="E28" s="167"/>
      <c r="F28" s="167"/>
      <c r="G28" s="168"/>
      <c r="H28" s="166"/>
      <c r="I28" s="167"/>
      <c r="J28" s="167"/>
      <c r="K28" s="167"/>
      <c r="L28" s="167"/>
      <c r="M28" s="167"/>
      <c r="N28" s="168"/>
      <c r="O28" s="166"/>
      <c r="P28" s="167"/>
      <c r="Q28" s="167"/>
      <c r="R28" s="167"/>
      <c r="S28" s="178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80"/>
      <c r="AX28" s="174"/>
      <c r="AY28" s="174"/>
      <c r="AZ28" s="174"/>
      <c r="BA28" s="174"/>
      <c r="BB28" s="174"/>
      <c r="BC28" s="175"/>
      <c r="BD28" s="177"/>
      <c r="BE28" s="174"/>
      <c r="BF28" s="174"/>
      <c r="BG28" s="174"/>
      <c r="BH28" s="174"/>
      <c r="BI28" s="174"/>
      <c r="BJ28" s="175"/>
      <c r="BK28" s="103"/>
    </row>
    <row r="29" spans="1:63" ht="15" customHeight="1" x14ac:dyDescent="0.25">
      <c r="A29" s="102"/>
      <c r="B29" s="163"/>
      <c r="C29" s="164"/>
      <c r="D29" s="164"/>
      <c r="E29" s="164"/>
      <c r="F29" s="164"/>
      <c r="G29" s="165"/>
      <c r="H29" s="163"/>
      <c r="I29" s="164"/>
      <c r="J29" s="164"/>
      <c r="K29" s="164"/>
      <c r="L29" s="164"/>
      <c r="M29" s="164"/>
      <c r="N29" s="165"/>
      <c r="O29" s="163"/>
      <c r="P29" s="164"/>
      <c r="Q29" s="164"/>
      <c r="R29" s="164"/>
      <c r="S29" s="169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1"/>
      <c r="AX29" s="172"/>
      <c r="AY29" s="172"/>
      <c r="AZ29" s="172"/>
      <c r="BA29" s="172"/>
      <c r="BB29" s="172"/>
      <c r="BC29" s="173"/>
      <c r="BD29" s="176"/>
      <c r="BE29" s="172"/>
      <c r="BF29" s="172"/>
      <c r="BG29" s="172"/>
      <c r="BH29" s="172"/>
      <c r="BI29" s="172"/>
      <c r="BJ29" s="173"/>
      <c r="BK29" s="103"/>
    </row>
    <row r="30" spans="1:63" ht="15" customHeight="1" x14ac:dyDescent="0.25">
      <c r="A30" s="102"/>
      <c r="B30" s="166"/>
      <c r="C30" s="167"/>
      <c r="D30" s="167"/>
      <c r="E30" s="167"/>
      <c r="F30" s="167"/>
      <c r="G30" s="168"/>
      <c r="H30" s="166"/>
      <c r="I30" s="167"/>
      <c r="J30" s="167"/>
      <c r="K30" s="167"/>
      <c r="L30" s="167"/>
      <c r="M30" s="167"/>
      <c r="N30" s="168"/>
      <c r="O30" s="166"/>
      <c r="P30" s="167"/>
      <c r="Q30" s="167"/>
      <c r="R30" s="167"/>
      <c r="S30" s="178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80"/>
      <c r="AX30" s="174"/>
      <c r="AY30" s="174"/>
      <c r="AZ30" s="174"/>
      <c r="BA30" s="174"/>
      <c r="BB30" s="174"/>
      <c r="BC30" s="175"/>
      <c r="BD30" s="177"/>
      <c r="BE30" s="174"/>
      <c r="BF30" s="174"/>
      <c r="BG30" s="174"/>
      <c r="BH30" s="174"/>
      <c r="BI30" s="174"/>
      <c r="BJ30" s="175"/>
      <c r="BK30" s="103"/>
    </row>
    <row r="31" spans="1:63" ht="15" customHeight="1" x14ac:dyDescent="0.25">
      <c r="A31" s="102"/>
      <c r="B31" s="163"/>
      <c r="C31" s="164"/>
      <c r="D31" s="164"/>
      <c r="E31" s="164"/>
      <c r="F31" s="164"/>
      <c r="G31" s="165"/>
      <c r="H31" s="163"/>
      <c r="I31" s="164"/>
      <c r="J31" s="164"/>
      <c r="K31" s="164"/>
      <c r="L31" s="164"/>
      <c r="M31" s="164"/>
      <c r="N31" s="165"/>
      <c r="O31" s="163"/>
      <c r="P31" s="164"/>
      <c r="Q31" s="164"/>
      <c r="R31" s="164"/>
      <c r="S31" s="169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1"/>
      <c r="AX31" s="172"/>
      <c r="AY31" s="172"/>
      <c r="AZ31" s="172"/>
      <c r="BA31" s="172"/>
      <c r="BB31" s="172"/>
      <c r="BC31" s="173"/>
      <c r="BD31" s="176"/>
      <c r="BE31" s="172"/>
      <c r="BF31" s="172"/>
      <c r="BG31" s="172"/>
      <c r="BH31" s="172"/>
      <c r="BI31" s="172"/>
      <c r="BJ31" s="173"/>
      <c r="BK31" s="103"/>
    </row>
    <row r="32" spans="1:63" ht="15" customHeight="1" x14ac:dyDescent="0.25">
      <c r="A32" s="102"/>
      <c r="B32" s="166"/>
      <c r="C32" s="167"/>
      <c r="D32" s="167"/>
      <c r="E32" s="167"/>
      <c r="F32" s="167"/>
      <c r="G32" s="168"/>
      <c r="H32" s="166"/>
      <c r="I32" s="167"/>
      <c r="J32" s="167"/>
      <c r="K32" s="167"/>
      <c r="L32" s="167"/>
      <c r="M32" s="167"/>
      <c r="N32" s="168"/>
      <c r="O32" s="166"/>
      <c r="P32" s="167"/>
      <c r="Q32" s="167"/>
      <c r="R32" s="167"/>
      <c r="S32" s="178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80"/>
      <c r="AX32" s="174"/>
      <c r="AY32" s="174"/>
      <c r="AZ32" s="174"/>
      <c r="BA32" s="174"/>
      <c r="BB32" s="174"/>
      <c r="BC32" s="175"/>
      <c r="BD32" s="177"/>
      <c r="BE32" s="174"/>
      <c r="BF32" s="174"/>
      <c r="BG32" s="174"/>
      <c r="BH32" s="174"/>
      <c r="BI32" s="174"/>
      <c r="BJ32" s="175"/>
      <c r="BK32" s="103"/>
    </row>
    <row r="33" spans="1:63" ht="15" customHeight="1" x14ac:dyDescent="0.25">
      <c r="A33" s="102"/>
      <c r="B33" s="163"/>
      <c r="C33" s="164"/>
      <c r="D33" s="164"/>
      <c r="E33" s="164"/>
      <c r="F33" s="164"/>
      <c r="G33" s="165"/>
      <c r="H33" s="163"/>
      <c r="I33" s="164"/>
      <c r="J33" s="164"/>
      <c r="K33" s="164"/>
      <c r="L33" s="164"/>
      <c r="M33" s="164"/>
      <c r="N33" s="165"/>
      <c r="O33" s="163"/>
      <c r="P33" s="164"/>
      <c r="Q33" s="164"/>
      <c r="R33" s="164"/>
      <c r="S33" s="169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1"/>
      <c r="AX33" s="172"/>
      <c r="AY33" s="172"/>
      <c r="AZ33" s="172"/>
      <c r="BA33" s="172"/>
      <c r="BB33" s="172"/>
      <c r="BC33" s="173"/>
      <c r="BD33" s="176"/>
      <c r="BE33" s="172"/>
      <c r="BF33" s="172"/>
      <c r="BG33" s="172"/>
      <c r="BH33" s="172"/>
      <c r="BI33" s="172"/>
      <c r="BJ33" s="173"/>
      <c r="BK33" s="103"/>
    </row>
    <row r="34" spans="1:63" ht="15" customHeight="1" x14ac:dyDescent="0.25">
      <c r="A34" s="102"/>
      <c r="B34" s="166"/>
      <c r="C34" s="167"/>
      <c r="D34" s="167"/>
      <c r="E34" s="167"/>
      <c r="F34" s="167"/>
      <c r="G34" s="168"/>
      <c r="H34" s="166"/>
      <c r="I34" s="167"/>
      <c r="J34" s="167"/>
      <c r="K34" s="167"/>
      <c r="L34" s="167"/>
      <c r="M34" s="167"/>
      <c r="N34" s="168"/>
      <c r="O34" s="166"/>
      <c r="P34" s="167"/>
      <c r="Q34" s="167"/>
      <c r="R34" s="167"/>
      <c r="S34" s="178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80"/>
      <c r="AX34" s="174"/>
      <c r="AY34" s="174"/>
      <c r="AZ34" s="174"/>
      <c r="BA34" s="174"/>
      <c r="BB34" s="174"/>
      <c r="BC34" s="175"/>
      <c r="BD34" s="177"/>
      <c r="BE34" s="174"/>
      <c r="BF34" s="174"/>
      <c r="BG34" s="174"/>
      <c r="BH34" s="174"/>
      <c r="BI34" s="174"/>
      <c r="BJ34" s="175"/>
      <c r="BK34" s="103"/>
    </row>
    <row r="35" spans="1:63" ht="15" customHeight="1" x14ac:dyDescent="0.25">
      <c r="A35" s="102"/>
      <c r="B35" s="163"/>
      <c r="C35" s="164"/>
      <c r="D35" s="164"/>
      <c r="E35" s="164"/>
      <c r="F35" s="164"/>
      <c r="G35" s="165"/>
      <c r="H35" s="163"/>
      <c r="I35" s="164"/>
      <c r="J35" s="164"/>
      <c r="K35" s="164"/>
      <c r="L35" s="164"/>
      <c r="M35" s="164"/>
      <c r="N35" s="165"/>
      <c r="O35" s="163"/>
      <c r="P35" s="164"/>
      <c r="Q35" s="164"/>
      <c r="R35" s="164"/>
      <c r="S35" s="169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1"/>
      <c r="AX35" s="172"/>
      <c r="AY35" s="172"/>
      <c r="AZ35" s="172"/>
      <c r="BA35" s="172"/>
      <c r="BB35" s="172"/>
      <c r="BC35" s="173"/>
      <c r="BD35" s="176"/>
      <c r="BE35" s="172"/>
      <c r="BF35" s="172"/>
      <c r="BG35" s="172"/>
      <c r="BH35" s="172"/>
      <c r="BI35" s="172"/>
      <c r="BJ35" s="173"/>
      <c r="BK35" s="103"/>
    </row>
    <row r="36" spans="1:63" ht="15" customHeight="1" x14ac:dyDescent="0.25">
      <c r="A36" s="102"/>
      <c r="B36" s="166"/>
      <c r="C36" s="167"/>
      <c r="D36" s="167"/>
      <c r="E36" s="167"/>
      <c r="F36" s="167"/>
      <c r="G36" s="168"/>
      <c r="H36" s="166"/>
      <c r="I36" s="167"/>
      <c r="J36" s="167"/>
      <c r="K36" s="167"/>
      <c r="L36" s="167"/>
      <c r="M36" s="167"/>
      <c r="N36" s="168"/>
      <c r="O36" s="166"/>
      <c r="P36" s="167"/>
      <c r="Q36" s="167"/>
      <c r="R36" s="167"/>
      <c r="S36" s="178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80"/>
      <c r="AX36" s="174"/>
      <c r="AY36" s="174"/>
      <c r="AZ36" s="174"/>
      <c r="BA36" s="174"/>
      <c r="BB36" s="174"/>
      <c r="BC36" s="175"/>
      <c r="BD36" s="177"/>
      <c r="BE36" s="174"/>
      <c r="BF36" s="174"/>
      <c r="BG36" s="174"/>
      <c r="BH36" s="174"/>
      <c r="BI36" s="174"/>
      <c r="BJ36" s="175"/>
      <c r="BK36" s="103"/>
    </row>
    <row r="37" spans="1:63" ht="15" customHeight="1" x14ac:dyDescent="0.25">
      <c r="A37" s="102"/>
      <c r="B37" s="163"/>
      <c r="C37" s="164"/>
      <c r="D37" s="164"/>
      <c r="E37" s="164"/>
      <c r="F37" s="164"/>
      <c r="G37" s="165"/>
      <c r="H37" s="163"/>
      <c r="I37" s="164"/>
      <c r="J37" s="164"/>
      <c r="K37" s="164"/>
      <c r="L37" s="164"/>
      <c r="M37" s="164"/>
      <c r="N37" s="165"/>
      <c r="O37" s="163"/>
      <c r="P37" s="164"/>
      <c r="Q37" s="164"/>
      <c r="R37" s="164"/>
      <c r="S37" s="169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1"/>
      <c r="AX37" s="172"/>
      <c r="AY37" s="172"/>
      <c r="AZ37" s="172"/>
      <c r="BA37" s="172"/>
      <c r="BB37" s="172"/>
      <c r="BC37" s="173"/>
      <c r="BD37" s="176"/>
      <c r="BE37" s="172"/>
      <c r="BF37" s="172"/>
      <c r="BG37" s="172"/>
      <c r="BH37" s="172"/>
      <c r="BI37" s="172"/>
      <c r="BJ37" s="173"/>
      <c r="BK37" s="103"/>
    </row>
    <row r="38" spans="1:63" ht="15" customHeight="1" x14ac:dyDescent="0.25">
      <c r="A38" s="102"/>
      <c r="B38" s="166"/>
      <c r="C38" s="167"/>
      <c r="D38" s="167"/>
      <c r="E38" s="167"/>
      <c r="F38" s="167"/>
      <c r="G38" s="168"/>
      <c r="H38" s="166"/>
      <c r="I38" s="167"/>
      <c r="J38" s="167"/>
      <c r="K38" s="167"/>
      <c r="L38" s="167"/>
      <c r="M38" s="167"/>
      <c r="N38" s="168"/>
      <c r="O38" s="166"/>
      <c r="P38" s="167"/>
      <c r="Q38" s="167"/>
      <c r="R38" s="167"/>
      <c r="S38" s="178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80"/>
      <c r="AX38" s="174"/>
      <c r="AY38" s="174"/>
      <c r="AZ38" s="174"/>
      <c r="BA38" s="174"/>
      <c r="BB38" s="174"/>
      <c r="BC38" s="175"/>
      <c r="BD38" s="177"/>
      <c r="BE38" s="174"/>
      <c r="BF38" s="174"/>
      <c r="BG38" s="174"/>
      <c r="BH38" s="174"/>
      <c r="BI38" s="174"/>
      <c r="BJ38" s="175"/>
      <c r="BK38" s="103"/>
    </row>
    <row r="39" spans="1:63" ht="15" customHeight="1" x14ac:dyDescent="0.25">
      <c r="A39" s="102"/>
      <c r="B39" s="163"/>
      <c r="C39" s="164"/>
      <c r="D39" s="164"/>
      <c r="E39" s="164"/>
      <c r="F39" s="164"/>
      <c r="G39" s="165"/>
      <c r="H39" s="163"/>
      <c r="I39" s="164"/>
      <c r="J39" s="164"/>
      <c r="K39" s="164"/>
      <c r="L39" s="164"/>
      <c r="M39" s="164"/>
      <c r="N39" s="165"/>
      <c r="O39" s="163"/>
      <c r="P39" s="164"/>
      <c r="Q39" s="164"/>
      <c r="R39" s="164"/>
      <c r="S39" s="169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1"/>
      <c r="AX39" s="172"/>
      <c r="AY39" s="172"/>
      <c r="AZ39" s="172"/>
      <c r="BA39" s="172"/>
      <c r="BB39" s="172"/>
      <c r="BC39" s="173"/>
      <c r="BD39" s="176"/>
      <c r="BE39" s="172"/>
      <c r="BF39" s="172"/>
      <c r="BG39" s="172"/>
      <c r="BH39" s="172"/>
      <c r="BI39" s="172"/>
      <c r="BJ39" s="173"/>
      <c r="BK39" s="103"/>
    </row>
    <row r="40" spans="1:63" ht="15" customHeight="1" x14ac:dyDescent="0.25">
      <c r="A40" s="102"/>
      <c r="B40" s="166"/>
      <c r="C40" s="167"/>
      <c r="D40" s="167"/>
      <c r="E40" s="167"/>
      <c r="F40" s="167"/>
      <c r="G40" s="168"/>
      <c r="H40" s="166"/>
      <c r="I40" s="167"/>
      <c r="J40" s="167"/>
      <c r="K40" s="167"/>
      <c r="L40" s="167"/>
      <c r="M40" s="167"/>
      <c r="N40" s="168"/>
      <c r="O40" s="166"/>
      <c r="P40" s="167"/>
      <c r="Q40" s="167"/>
      <c r="R40" s="167"/>
      <c r="S40" s="178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80"/>
      <c r="AX40" s="174"/>
      <c r="AY40" s="174"/>
      <c r="AZ40" s="174"/>
      <c r="BA40" s="174"/>
      <c r="BB40" s="174"/>
      <c r="BC40" s="175"/>
      <c r="BD40" s="177"/>
      <c r="BE40" s="174"/>
      <c r="BF40" s="174"/>
      <c r="BG40" s="174"/>
      <c r="BH40" s="174"/>
      <c r="BI40" s="174"/>
      <c r="BJ40" s="175"/>
      <c r="BK40" s="103"/>
    </row>
    <row r="41" spans="1:63" ht="15" customHeight="1" x14ac:dyDescent="0.25">
      <c r="A41" s="102"/>
      <c r="B41" s="163"/>
      <c r="C41" s="164"/>
      <c r="D41" s="164"/>
      <c r="E41" s="164"/>
      <c r="F41" s="164"/>
      <c r="G41" s="165"/>
      <c r="H41" s="163"/>
      <c r="I41" s="164"/>
      <c r="J41" s="164"/>
      <c r="K41" s="164"/>
      <c r="L41" s="164"/>
      <c r="M41" s="164"/>
      <c r="N41" s="165"/>
      <c r="O41" s="163"/>
      <c r="P41" s="164"/>
      <c r="Q41" s="164"/>
      <c r="R41" s="164"/>
      <c r="S41" s="169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1"/>
      <c r="AX41" s="172"/>
      <c r="AY41" s="172"/>
      <c r="AZ41" s="172"/>
      <c r="BA41" s="172"/>
      <c r="BB41" s="172"/>
      <c r="BC41" s="173"/>
      <c r="BD41" s="176"/>
      <c r="BE41" s="172"/>
      <c r="BF41" s="172"/>
      <c r="BG41" s="172"/>
      <c r="BH41" s="172"/>
      <c r="BI41" s="172"/>
      <c r="BJ41" s="173"/>
      <c r="BK41" s="103"/>
    </row>
    <row r="42" spans="1:63" ht="15" customHeight="1" x14ac:dyDescent="0.25">
      <c r="A42" s="102"/>
      <c r="B42" s="166"/>
      <c r="C42" s="167"/>
      <c r="D42" s="167"/>
      <c r="E42" s="167"/>
      <c r="F42" s="167"/>
      <c r="G42" s="168"/>
      <c r="H42" s="166"/>
      <c r="I42" s="167"/>
      <c r="J42" s="167"/>
      <c r="K42" s="167"/>
      <c r="L42" s="167"/>
      <c r="M42" s="167"/>
      <c r="N42" s="168"/>
      <c r="O42" s="166"/>
      <c r="P42" s="167"/>
      <c r="Q42" s="167"/>
      <c r="R42" s="167"/>
      <c r="S42" s="178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80"/>
      <c r="AX42" s="174"/>
      <c r="AY42" s="174"/>
      <c r="AZ42" s="174"/>
      <c r="BA42" s="174"/>
      <c r="BB42" s="174"/>
      <c r="BC42" s="175"/>
      <c r="BD42" s="177"/>
      <c r="BE42" s="174"/>
      <c r="BF42" s="174"/>
      <c r="BG42" s="174"/>
      <c r="BH42" s="174"/>
      <c r="BI42" s="174"/>
      <c r="BJ42" s="175"/>
      <c r="BK42" s="103"/>
    </row>
    <row r="43" spans="1:63" ht="15" customHeight="1" x14ac:dyDescent="0.25">
      <c r="A43" s="102"/>
      <c r="B43" s="163"/>
      <c r="C43" s="164"/>
      <c r="D43" s="164"/>
      <c r="E43" s="164"/>
      <c r="F43" s="164"/>
      <c r="G43" s="165"/>
      <c r="H43" s="163"/>
      <c r="I43" s="164"/>
      <c r="J43" s="164"/>
      <c r="K43" s="164"/>
      <c r="L43" s="164"/>
      <c r="M43" s="164"/>
      <c r="N43" s="165"/>
      <c r="O43" s="163"/>
      <c r="P43" s="164"/>
      <c r="Q43" s="164"/>
      <c r="R43" s="164"/>
      <c r="S43" s="169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1"/>
      <c r="AX43" s="172"/>
      <c r="AY43" s="172"/>
      <c r="AZ43" s="172"/>
      <c r="BA43" s="172"/>
      <c r="BB43" s="172"/>
      <c r="BC43" s="173"/>
      <c r="BD43" s="176"/>
      <c r="BE43" s="172"/>
      <c r="BF43" s="172"/>
      <c r="BG43" s="172"/>
      <c r="BH43" s="172"/>
      <c r="BI43" s="172"/>
      <c r="BJ43" s="173"/>
      <c r="BK43" s="103"/>
    </row>
    <row r="44" spans="1:63" ht="15" customHeight="1" x14ac:dyDescent="0.25">
      <c r="A44" s="102"/>
      <c r="B44" s="166"/>
      <c r="C44" s="167"/>
      <c r="D44" s="167"/>
      <c r="E44" s="167"/>
      <c r="F44" s="167"/>
      <c r="G44" s="168"/>
      <c r="H44" s="166"/>
      <c r="I44" s="167"/>
      <c r="J44" s="167"/>
      <c r="K44" s="167"/>
      <c r="L44" s="167"/>
      <c r="M44" s="167"/>
      <c r="N44" s="168"/>
      <c r="O44" s="166"/>
      <c r="P44" s="167"/>
      <c r="Q44" s="167"/>
      <c r="R44" s="167"/>
      <c r="S44" s="178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80"/>
      <c r="AX44" s="174"/>
      <c r="AY44" s="174"/>
      <c r="AZ44" s="174"/>
      <c r="BA44" s="174"/>
      <c r="BB44" s="174"/>
      <c r="BC44" s="175"/>
      <c r="BD44" s="177"/>
      <c r="BE44" s="174"/>
      <c r="BF44" s="174"/>
      <c r="BG44" s="174"/>
      <c r="BH44" s="174"/>
      <c r="BI44" s="174"/>
      <c r="BJ44" s="175"/>
      <c r="BK44" s="103"/>
    </row>
    <row r="45" spans="1:63" ht="15" customHeight="1" x14ac:dyDescent="0.25">
      <c r="A45" s="102"/>
      <c r="B45" s="163"/>
      <c r="C45" s="164"/>
      <c r="D45" s="164"/>
      <c r="E45" s="164"/>
      <c r="F45" s="164"/>
      <c r="G45" s="165"/>
      <c r="H45" s="163"/>
      <c r="I45" s="164"/>
      <c r="J45" s="164"/>
      <c r="K45" s="164"/>
      <c r="L45" s="164"/>
      <c r="M45" s="164"/>
      <c r="N45" s="165"/>
      <c r="O45" s="163"/>
      <c r="P45" s="164"/>
      <c r="Q45" s="164"/>
      <c r="R45" s="164"/>
      <c r="S45" s="169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1"/>
      <c r="AX45" s="172"/>
      <c r="AY45" s="172"/>
      <c r="AZ45" s="172"/>
      <c r="BA45" s="172"/>
      <c r="BB45" s="172"/>
      <c r="BC45" s="173"/>
      <c r="BD45" s="176"/>
      <c r="BE45" s="172"/>
      <c r="BF45" s="172"/>
      <c r="BG45" s="172"/>
      <c r="BH45" s="172"/>
      <c r="BI45" s="172"/>
      <c r="BJ45" s="173"/>
      <c r="BK45" s="103"/>
    </row>
    <row r="46" spans="1:63" ht="15" customHeight="1" x14ac:dyDescent="0.25">
      <c r="A46" s="102"/>
      <c r="B46" s="166"/>
      <c r="C46" s="167"/>
      <c r="D46" s="167"/>
      <c r="E46" s="167"/>
      <c r="F46" s="167"/>
      <c r="G46" s="168"/>
      <c r="H46" s="166"/>
      <c r="I46" s="167"/>
      <c r="J46" s="167"/>
      <c r="K46" s="167"/>
      <c r="L46" s="167"/>
      <c r="M46" s="167"/>
      <c r="N46" s="168"/>
      <c r="O46" s="166"/>
      <c r="P46" s="167"/>
      <c r="Q46" s="167"/>
      <c r="R46" s="167"/>
      <c r="S46" s="178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80"/>
      <c r="AX46" s="174"/>
      <c r="AY46" s="174"/>
      <c r="AZ46" s="174"/>
      <c r="BA46" s="174"/>
      <c r="BB46" s="174"/>
      <c r="BC46" s="175"/>
      <c r="BD46" s="177"/>
      <c r="BE46" s="174"/>
      <c r="BF46" s="174"/>
      <c r="BG46" s="174"/>
      <c r="BH46" s="174"/>
      <c r="BI46" s="174"/>
      <c r="BJ46" s="175"/>
      <c r="BK46" s="103"/>
    </row>
    <row r="47" spans="1:63" ht="15" customHeight="1" x14ac:dyDescent="0.25">
      <c r="A47" s="102"/>
      <c r="B47" s="163"/>
      <c r="C47" s="164"/>
      <c r="D47" s="164"/>
      <c r="E47" s="164"/>
      <c r="F47" s="164"/>
      <c r="G47" s="165"/>
      <c r="H47" s="163"/>
      <c r="I47" s="164"/>
      <c r="J47" s="164"/>
      <c r="K47" s="164"/>
      <c r="L47" s="164"/>
      <c r="M47" s="164"/>
      <c r="N47" s="165"/>
      <c r="O47" s="163"/>
      <c r="P47" s="164"/>
      <c r="Q47" s="164"/>
      <c r="R47" s="164"/>
      <c r="S47" s="169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1"/>
      <c r="AX47" s="172"/>
      <c r="AY47" s="172"/>
      <c r="AZ47" s="172"/>
      <c r="BA47" s="172"/>
      <c r="BB47" s="172"/>
      <c r="BC47" s="173"/>
      <c r="BD47" s="176"/>
      <c r="BE47" s="172"/>
      <c r="BF47" s="172"/>
      <c r="BG47" s="172"/>
      <c r="BH47" s="172"/>
      <c r="BI47" s="172"/>
      <c r="BJ47" s="173"/>
      <c r="BK47" s="103"/>
    </row>
    <row r="48" spans="1:63" ht="15" customHeight="1" x14ac:dyDescent="0.25">
      <c r="A48" s="102"/>
      <c r="B48" s="166"/>
      <c r="C48" s="167"/>
      <c r="D48" s="167"/>
      <c r="E48" s="167"/>
      <c r="F48" s="167"/>
      <c r="G48" s="168"/>
      <c r="H48" s="166"/>
      <c r="I48" s="167"/>
      <c r="J48" s="167"/>
      <c r="K48" s="167"/>
      <c r="L48" s="167"/>
      <c r="M48" s="167"/>
      <c r="N48" s="168"/>
      <c r="O48" s="166"/>
      <c r="P48" s="167"/>
      <c r="Q48" s="167"/>
      <c r="R48" s="167"/>
      <c r="S48" s="178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80"/>
      <c r="AX48" s="174"/>
      <c r="AY48" s="174"/>
      <c r="AZ48" s="174"/>
      <c r="BA48" s="174"/>
      <c r="BB48" s="174"/>
      <c r="BC48" s="175"/>
      <c r="BD48" s="177"/>
      <c r="BE48" s="174"/>
      <c r="BF48" s="174"/>
      <c r="BG48" s="174"/>
      <c r="BH48" s="174"/>
      <c r="BI48" s="174"/>
      <c r="BJ48" s="175"/>
      <c r="BK48" s="103"/>
    </row>
    <row r="49" spans="1:63" ht="15" customHeight="1" x14ac:dyDescent="0.25">
      <c r="A49" s="102"/>
      <c r="B49" s="163"/>
      <c r="C49" s="164"/>
      <c r="D49" s="164"/>
      <c r="E49" s="164"/>
      <c r="F49" s="164"/>
      <c r="G49" s="165"/>
      <c r="H49" s="163"/>
      <c r="I49" s="164"/>
      <c r="J49" s="164"/>
      <c r="K49" s="164"/>
      <c r="L49" s="164"/>
      <c r="M49" s="164"/>
      <c r="N49" s="165"/>
      <c r="O49" s="163"/>
      <c r="P49" s="164"/>
      <c r="Q49" s="164"/>
      <c r="R49" s="164"/>
      <c r="S49" s="169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1"/>
      <c r="AX49" s="172"/>
      <c r="AY49" s="172"/>
      <c r="AZ49" s="172"/>
      <c r="BA49" s="172"/>
      <c r="BB49" s="172"/>
      <c r="BC49" s="173"/>
      <c r="BD49" s="176"/>
      <c r="BE49" s="172"/>
      <c r="BF49" s="172"/>
      <c r="BG49" s="172"/>
      <c r="BH49" s="172"/>
      <c r="BI49" s="172"/>
      <c r="BJ49" s="173"/>
      <c r="BK49" s="103"/>
    </row>
    <row r="50" spans="1:63" ht="15" customHeight="1" x14ac:dyDescent="0.25">
      <c r="A50" s="102"/>
      <c r="B50" s="166"/>
      <c r="C50" s="167"/>
      <c r="D50" s="167"/>
      <c r="E50" s="167"/>
      <c r="F50" s="167"/>
      <c r="G50" s="168"/>
      <c r="H50" s="166"/>
      <c r="I50" s="167"/>
      <c r="J50" s="167"/>
      <c r="K50" s="167"/>
      <c r="L50" s="167"/>
      <c r="M50" s="167"/>
      <c r="N50" s="168"/>
      <c r="O50" s="166"/>
      <c r="P50" s="167"/>
      <c r="Q50" s="167"/>
      <c r="R50" s="167"/>
      <c r="S50" s="178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80"/>
      <c r="AX50" s="174"/>
      <c r="AY50" s="174"/>
      <c r="AZ50" s="174"/>
      <c r="BA50" s="174"/>
      <c r="BB50" s="174"/>
      <c r="BC50" s="175"/>
      <c r="BD50" s="177"/>
      <c r="BE50" s="174"/>
      <c r="BF50" s="174"/>
      <c r="BG50" s="174"/>
      <c r="BH50" s="174"/>
      <c r="BI50" s="174"/>
      <c r="BJ50" s="175"/>
      <c r="BK50" s="103"/>
    </row>
    <row r="51" spans="1:63" ht="15" customHeight="1" x14ac:dyDescent="0.25">
      <c r="A51" s="102"/>
      <c r="B51" s="163"/>
      <c r="C51" s="164"/>
      <c r="D51" s="164"/>
      <c r="E51" s="164"/>
      <c r="F51" s="164"/>
      <c r="G51" s="165"/>
      <c r="H51" s="163"/>
      <c r="I51" s="164"/>
      <c r="J51" s="164"/>
      <c r="K51" s="164"/>
      <c r="L51" s="164"/>
      <c r="M51" s="164"/>
      <c r="N51" s="165"/>
      <c r="O51" s="163"/>
      <c r="P51" s="164"/>
      <c r="Q51" s="164"/>
      <c r="R51" s="164"/>
      <c r="S51" s="169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1"/>
      <c r="AX51" s="172"/>
      <c r="AY51" s="172"/>
      <c r="AZ51" s="172"/>
      <c r="BA51" s="172"/>
      <c r="BB51" s="172"/>
      <c r="BC51" s="173"/>
      <c r="BD51" s="176"/>
      <c r="BE51" s="172"/>
      <c r="BF51" s="172"/>
      <c r="BG51" s="172"/>
      <c r="BH51" s="172"/>
      <c r="BI51" s="172"/>
      <c r="BJ51" s="173"/>
      <c r="BK51" s="103"/>
    </row>
    <row r="52" spans="1:63" ht="15" customHeight="1" x14ac:dyDescent="0.25">
      <c r="A52" s="102"/>
      <c r="B52" s="166"/>
      <c r="C52" s="167"/>
      <c r="D52" s="167"/>
      <c r="E52" s="167"/>
      <c r="F52" s="167"/>
      <c r="G52" s="168"/>
      <c r="H52" s="166"/>
      <c r="I52" s="167"/>
      <c r="J52" s="167"/>
      <c r="K52" s="167"/>
      <c r="L52" s="167"/>
      <c r="M52" s="167"/>
      <c r="N52" s="168"/>
      <c r="O52" s="166"/>
      <c r="P52" s="167"/>
      <c r="Q52" s="167"/>
      <c r="R52" s="167"/>
      <c r="S52" s="178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  <c r="AN52" s="179"/>
      <c r="AO52" s="179"/>
      <c r="AP52" s="179"/>
      <c r="AQ52" s="179"/>
      <c r="AR52" s="179"/>
      <c r="AS52" s="179"/>
      <c r="AT52" s="179"/>
      <c r="AU52" s="179"/>
      <c r="AV52" s="179"/>
      <c r="AW52" s="180"/>
      <c r="AX52" s="174"/>
      <c r="AY52" s="174"/>
      <c r="AZ52" s="174"/>
      <c r="BA52" s="174"/>
      <c r="BB52" s="174"/>
      <c r="BC52" s="175"/>
      <c r="BD52" s="177"/>
      <c r="BE52" s="174"/>
      <c r="BF52" s="174"/>
      <c r="BG52" s="174"/>
      <c r="BH52" s="174"/>
      <c r="BI52" s="174"/>
      <c r="BJ52" s="175"/>
      <c r="BK52" s="103"/>
    </row>
    <row r="53" spans="1:63" ht="15" customHeight="1" x14ac:dyDescent="0.25">
      <c r="A53" s="102"/>
      <c r="B53" s="163"/>
      <c r="C53" s="164"/>
      <c r="D53" s="164"/>
      <c r="E53" s="164"/>
      <c r="F53" s="164"/>
      <c r="G53" s="165"/>
      <c r="H53" s="163"/>
      <c r="I53" s="164"/>
      <c r="J53" s="164"/>
      <c r="K53" s="164"/>
      <c r="L53" s="164"/>
      <c r="M53" s="164"/>
      <c r="N53" s="165"/>
      <c r="O53" s="163"/>
      <c r="P53" s="164"/>
      <c r="Q53" s="164"/>
      <c r="R53" s="164"/>
      <c r="S53" s="169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1"/>
      <c r="AX53" s="172"/>
      <c r="AY53" s="172"/>
      <c r="AZ53" s="172"/>
      <c r="BA53" s="172"/>
      <c r="BB53" s="172"/>
      <c r="BC53" s="173"/>
      <c r="BD53" s="176"/>
      <c r="BE53" s="172"/>
      <c r="BF53" s="172"/>
      <c r="BG53" s="172"/>
      <c r="BH53" s="172"/>
      <c r="BI53" s="172"/>
      <c r="BJ53" s="173"/>
      <c r="BK53" s="103"/>
    </row>
    <row r="54" spans="1:63" ht="15" customHeight="1" x14ac:dyDescent="0.25">
      <c r="A54" s="102"/>
      <c r="B54" s="166"/>
      <c r="C54" s="167"/>
      <c r="D54" s="167"/>
      <c r="E54" s="167"/>
      <c r="F54" s="167"/>
      <c r="G54" s="168"/>
      <c r="H54" s="166"/>
      <c r="I54" s="167"/>
      <c r="J54" s="167"/>
      <c r="K54" s="167"/>
      <c r="L54" s="167"/>
      <c r="M54" s="167"/>
      <c r="N54" s="168"/>
      <c r="O54" s="166"/>
      <c r="P54" s="167"/>
      <c r="Q54" s="167"/>
      <c r="R54" s="167"/>
      <c r="S54" s="178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80"/>
      <c r="AX54" s="174"/>
      <c r="AY54" s="174"/>
      <c r="AZ54" s="174"/>
      <c r="BA54" s="174"/>
      <c r="BB54" s="174"/>
      <c r="BC54" s="175"/>
      <c r="BD54" s="177"/>
      <c r="BE54" s="174"/>
      <c r="BF54" s="174"/>
      <c r="BG54" s="174"/>
      <c r="BH54" s="174"/>
      <c r="BI54" s="174"/>
      <c r="BJ54" s="175"/>
      <c r="BK54" s="103"/>
    </row>
    <row r="55" spans="1:63" ht="15" customHeight="1" x14ac:dyDescent="0.25">
      <c r="A55" s="99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248" t="s">
        <v>196</v>
      </c>
      <c r="B1" s="249"/>
      <c r="C1" s="249"/>
      <c r="D1" s="249"/>
      <c r="E1" s="249"/>
      <c r="F1" s="249"/>
      <c r="G1" s="249"/>
      <c r="H1" s="249"/>
      <c r="I1" s="249"/>
      <c r="J1" s="250"/>
      <c r="K1" s="248" t="s">
        <v>197</v>
      </c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50"/>
      <c r="W1" s="251" t="s">
        <v>193</v>
      </c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3"/>
      <c r="AP1" s="222" t="s">
        <v>198</v>
      </c>
      <c r="AQ1" s="223"/>
      <c r="AR1" s="223"/>
      <c r="AS1" s="224"/>
      <c r="AT1" s="222" t="s">
        <v>199</v>
      </c>
      <c r="AU1" s="223"/>
      <c r="AV1" s="223"/>
      <c r="AW1" s="223"/>
      <c r="AX1" s="224"/>
      <c r="AY1" s="222" t="s">
        <v>200</v>
      </c>
      <c r="AZ1" s="223"/>
      <c r="BA1" s="223"/>
      <c r="BB1" s="224"/>
      <c r="BC1" s="222" t="s">
        <v>201</v>
      </c>
      <c r="BD1" s="223"/>
      <c r="BE1" s="223"/>
      <c r="BF1" s="223"/>
      <c r="BG1" s="224"/>
      <c r="BH1" s="222" t="s">
        <v>202</v>
      </c>
      <c r="BI1" s="223"/>
      <c r="BJ1" s="223"/>
      <c r="BK1" s="224"/>
    </row>
    <row r="2" spans="1:63" ht="15" customHeight="1" x14ac:dyDescent="0.25">
      <c r="A2" s="242" t="s">
        <v>192</v>
      </c>
      <c r="B2" s="243"/>
      <c r="C2" s="243"/>
      <c r="D2" s="243"/>
      <c r="E2" s="243"/>
      <c r="F2" s="243"/>
      <c r="G2" s="243"/>
      <c r="H2" s="243"/>
      <c r="I2" s="243"/>
      <c r="J2" s="244"/>
      <c r="K2" s="242" t="s">
        <v>192</v>
      </c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4"/>
      <c r="W2" s="254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6"/>
      <c r="AP2" s="163" t="s">
        <v>189</v>
      </c>
      <c r="AQ2" s="164"/>
      <c r="AR2" s="164"/>
      <c r="AS2" s="165"/>
      <c r="AT2" s="221">
        <v>45467</v>
      </c>
      <c r="AU2" s="237"/>
      <c r="AV2" s="237"/>
      <c r="AW2" s="237"/>
      <c r="AX2" s="238"/>
      <c r="AY2" s="163" t="s">
        <v>190</v>
      </c>
      <c r="AZ2" s="164"/>
      <c r="BA2" s="164"/>
      <c r="BB2" s="165"/>
      <c r="BC2" s="221">
        <v>45811</v>
      </c>
      <c r="BD2" s="237"/>
      <c r="BE2" s="237"/>
      <c r="BF2" s="237"/>
      <c r="BG2" s="238"/>
      <c r="BH2" s="163">
        <v>0.13</v>
      </c>
      <c r="BI2" s="164"/>
      <c r="BJ2" s="164"/>
      <c r="BK2" s="165"/>
    </row>
    <row r="3" spans="1:63" ht="15" customHeight="1" x14ac:dyDescent="0.25">
      <c r="A3" s="245"/>
      <c r="B3" s="246"/>
      <c r="C3" s="246"/>
      <c r="D3" s="246"/>
      <c r="E3" s="246"/>
      <c r="F3" s="246"/>
      <c r="G3" s="246"/>
      <c r="H3" s="246"/>
      <c r="I3" s="246"/>
      <c r="J3" s="247"/>
      <c r="K3" s="245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7"/>
      <c r="W3" s="257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9"/>
      <c r="AP3" s="166"/>
      <c r="AQ3" s="167"/>
      <c r="AR3" s="167"/>
      <c r="AS3" s="168"/>
      <c r="AT3" s="239"/>
      <c r="AU3" s="240"/>
      <c r="AV3" s="240"/>
      <c r="AW3" s="240"/>
      <c r="AX3" s="241"/>
      <c r="AY3" s="166"/>
      <c r="AZ3" s="167"/>
      <c r="BA3" s="167"/>
      <c r="BB3" s="168"/>
      <c r="BC3" s="239"/>
      <c r="BD3" s="240"/>
      <c r="BE3" s="240"/>
      <c r="BF3" s="240"/>
      <c r="BG3" s="241"/>
      <c r="BH3" s="166"/>
      <c r="BI3" s="167"/>
      <c r="BJ3" s="167"/>
      <c r="BK3" s="168"/>
    </row>
    <row r="4" spans="1:63" ht="24.95" customHeight="1" x14ac:dyDescent="0.25">
      <c r="A4" s="248" t="s">
        <v>203</v>
      </c>
      <c r="B4" s="249"/>
      <c r="C4" s="249"/>
      <c r="D4" s="249"/>
      <c r="E4" s="249"/>
      <c r="F4" s="249"/>
      <c r="G4" s="250"/>
      <c r="H4" s="260" t="s">
        <v>191</v>
      </c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2"/>
      <c r="U4" s="248" t="s">
        <v>204</v>
      </c>
      <c r="V4" s="249"/>
      <c r="W4" s="249"/>
      <c r="X4" s="249"/>
      <c r="Y4" s="250"/>
      <c r="Z4" s="260" t="s">
        <v>194</v>
      </c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2"/>
      <c r="AP4" s="263" t="str">
        <f ca="1">MID(CELL("filename",A1),FIND("]",CELL("filename",A1))+1,255)</f>
        <v>処理フロー凡例</v>
      </c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98" customFormat="1" ht="15" customHeight="1" x14ac:dyDescent="0.25">
      <c r="A7" s="104"/>
      <c r="B7" s="105" t="s">
        <v>213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7"/>
      <c r="AF7" s="108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7"/>
      <c r="BJ7" s="106"/>
      <c r="BK7" s="109"/>
    </row>
    <row r="8" spans="1:63" s="110" customFormat="1" ht="15" customHeight="1" x14ac:dyDescent="0.25">
      <c r="BK8" s="109"/>
    </row>
    <row r="9" spans="1:63" s="110" customFormat="1" ht="15" customHeight="1" x14ac:dyDescent="0.25">
      <c r="BK9" s="109"/>
    </row>
    <row r="10" spans="1:63" s="110" customFormat="1" ht="15" customHeight="1" x14ac:dyDescent="0.25">
      <c r="BK10" s="109"/>
    </row>
    <row r="11" spans="1:63" s="110" customFormat="1" ht="15" customHeight="1" x14ac:dyDescent="0.25">
      <c r="BK11" s="109"/>
    </row>
    <row r="12" spans="1:63" s="110" customFormat="1" ht="15" customHeight="1" x14ac:dyDescent="0.25">
      <c r="BK12" s="109"/>
    </row>
    <row r="13" spans="1:63" s="110" customFormat="1" ht="15" customHeight="1" x14ac:dyDescent="0.25">
      <c r="BK13" s="109"/>
    </row>
    <row r="14" spans="1:63" s="110" customFormat="1" ht="15" customHeight="1" x14ac:dyDescent="0.25">
      <c r="BK14" s="109"/>
    </row>
    <row r="15" spans="1:63" s="110" customFormat="1" ht="15" customHeight="1" x14ac:dyDescent="0.25">
      <c r="BK15" s="109"/>
    </row>
    <row r="16" spans="1:63" s="110" customFormat="1" ht="15" customHeight="1" x14ac:dyDescent="0.25">
      <c r="BK16" s="109"/>
    </row>
    <row r="17" spans="63:63" s="110" customFormat="1" ht="15" customHeight="1" x14ac:dyDescent="0.25">
      <c r="BK17" s="109"/>
    </row>
    <row r="18" spans="63:63" s="110" customFormat="1" ht="15" customHeight="1" x14ac:dyDescent="0.25">
      <c r="BK18" s="109"/>
    </row>
    <row r="19" spans="63:63" s="110" customFormat="1" ht="15" customHeight="1" x14ac:dyDescent="0.25">
      <c r="BK19" s="109"/>
    </row>
    <row r="20" spans="63:63" s="110" customFormat="1" ht="15" customHeight="1" x14ac:dyDescent="0.25">
      <c r="BK20" s="109"/>
    </row>
    <row r="21" spans="63:63" s="110" customFormat="1" ht="15" customHeight="1" x14ac:dyDescent="0.25">
      <c r="BK21" s="109"/>
    </row>
    <row r="22" spans="63:63" s="110" customFormat="1" ht="15" customHeight="1" x14ac:dyDescent="0.25">
      <c r="BK22" s="109"/>
    </row>
    <row r="23" spans="63:63" s="110" customFormat="1" ht="15" customHeight="1" x14ac:dyDescent="0.25">
      <c r="BK23" s="109"/>
    </row>
    <row r="24" spans="63:63" s="110" customFormat="1" ht="15" customHeight="1" x14ac:dyDescent="0.25">
      <c r="BK24" s="109"/>
    </row>
    <row r="25" spans="63:63" s="110" customFormat="1" ht="15" customHeight="1" x14ac:dyDescent="0.25">
      <c r="BK25" s="109"/>
    </row>
    <row r="26" spans="63:63" s="110" customFormat="1" ht="15" customHeight="1" x14ac:dyDescent="0.25">
      <c r="BK26" s="109"/>
    </row>
    <row r="27" spans="63:63" s="110" customFormat="1" ht="15" customHeight="1" x14ac:dyDescent="0.25">
      <c r="BK27" s="109"/>
    </row>
    <row r="28" spans="63:63" s="110" customFormat="1" ht="15" customHeight="1" x14ac:dyDescent="0.25">
      <c r="BK28" s="109"/>
    </row>
    <row r="29" spans="63:63" s="110" customFormat="1" ht="15" customHeight="1" x14ac:dyDescent="0.25">
      <c r="BK29" s="109"/>
    </row>
    <row r="30" spans="63:63" s="110" customFormat="1" ht="15" customHeight="1" x14ac:dyDescent="0.25">
      <c r="BK30" s="109"/>
    </row>
    <row r="31" spans="63:63" s="110" customFormat="1" ht="15" customHeight="1" x14ac:dyDescent="0.25">
      <c r="BK31" s="109"/>
    </row>
    <row r="32" spans="63:63" s="110" customFormat="1" ht="15" customHeight="1" x14ac:dyDescent="0.25">
      <c r="BK32" s="109"/>
    </row>
    <row r="33" spans="63:63" s="110" customFormat="1" ht="15" customHeight="1" x14ac:dyDescent="0.25">
      <c r="BK33" s="109"/>
    </row>
    <row r="34" spans="63:63" s="110" customFormat="1" ht="15" customHeight="1" x14ac:dyDescent="0.25">
      <c r="BK34" s="109"/>
    </row>
    <row r="35" spans="63:63" s="110" customFormat="1" ht="15" customHeight="1" x14ac:dyDescent="0.25">
      <c r="BK35" s="109"/>
    </row>
    <row r="36" spans="63:63" s="110" customFormat="1" ht="15" customHeight="1" x14ac:dyDescent="0.25">
      <c r="BK36" s="109"/>
    </row>
    <row r="37" spans="63:63" s="110" customFormat="1" ht="15" customHeight="1" x14ac:dyDescent="0.25">
      <c r="BK37" s="109"/>
    </row>
    <row r="38" spans="63:63" s="110" customFormat="1" ht="15" customHeight="1" x14ac:dyDescent="0.25">
      <c r="BK38" s="109"/>
    </row>
    <row r="39" spans="63:63" s="110" customFormat="1" ht="15" customHeight="1" x14ac:dyDescent="0.25">
      <c r="BK39" s="109"/>
    </row>
    <row r="40" spans="63:63" s="110" customFormat="1" ht="15" customHeight="1" x14ac:dyDescent="0.25">
      <c r="BK40" s="109"/>
    </row>
    <row r="41" spans="63:63" s="110" customFormat="1" ht="15" customHeight="1" x14ac:dyDescent="0.25">
      <c r="BK41" s="109"/>
    </row>
    <row r="42" spans="63:63" s="110" customFormat="1" ht="15" customHeight="1" x14ac:dyDescent="0.25">
      <c r="BK42" s="109"/>
    </row>
    <row r="43" spans="63:63" s="110" customFormat="1" ht="15" customHeight="1" x14ac:dyDescent="0.25">
      <c r="BK43" s="109"/>
    </row>
    <row r="44" spans="63:63" s="110" customFormat="1" ht="15" customHeight="1" x14ac:dyDescent="0.25">
      <c r="BK44" s="109"/>
    </row>
    <row r="45" spans="63:63" s="110" customFormat="1" ht="15" customHeight="1" x14ac:dyDescent="0.25">
      <c r="BK45" s="109"/>
    </row>
    <row r="46" spans="63:63" s="110" customFormat="1" ht="15" customHeight="1" x14ac:dyDescent="0.25">
      <c r="BK46" s="109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50"/>
    <pageSetUpPr fitToPage="1"/>
  </sheetPr>
  <dimension ref="A1:BK9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6" customWidth="1"/>
    <col min="43" max="62" width="3.33203125" style="16" customWidth="1"/>
    <col min="63" max="63" width="2.77734375" style="16" customWidth="1"/>
    <col min="64" max="16384" width="10.109375" style="16"/>
  </cols>
  <sheetData>
    <row r="1" spans="1:63" ht="24.95" customHeight="1" x14ac:dyDescent="0.25">
      <c r="A1" s="248" t="s">
        <v>196</v>
      </c>
      <c r="B1" s="249"/>
      <c r="C1" s="249"/>
      <c r="D1" s="249"/>
      <c r="E1" s="249"/>
      <c r="F1" s="249"/>
      <c r="G1" s="249"/>
      <c r="H1" s="249"/>
      <c r="I1" s="249"/>
      <c r="J1" s="250"/>
      <c r="K1" s="248" t="s">
        <v>197</v>
      </c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50"/>
      <c r="W1" s="251" t="s">
        <v>193</v>
      </c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3"/>
      <c r="AP1" s="222" t="s">
        <v>198</v>
      </c>
      <c r="AQ1" s="223"/>
      <c r="AR1" s="223"/>
      <c r="AS1" s="224"/>
      <c r="AT1" s="222" t="s">
        <v>199</v>
      </c>
      <c r="AU1" s="223"/>
      <c r="AV1" s="223"/>
      <c r="AW1" s="223"/>
      <c r="AX1" s="224"/>
      <c r="AY1" s="222" t="s">
        <v>200</v>
      </c>
      <c r="AZ1" s="223"/>
      <c r="BA1" s="223"/>
      <c r="BB1" s="224"/>
      <c r="BC1" s="222" t="s">
        <v>201</v>
      </c>
      <c r="BD1" s="223"/>
      <c r="BE1" s="223"/>
      <c r="BF1" s="223"/>
      <c r="BG1" s="224"/>
      <c r="BH1" s="222" t="s">
        <v>202</v>
      </c>
      <c r="BI1" s="223"/>
      <c r="BJ1" s="223"/>
      <c r="BK1" s="224"/>
    </row>
    <row r="2" spans="1:63" ht="15" customHeight="1" x14ac:dyDescent="0.25">
      <c r="A2" s="242" t="s">
        <v>192</v>
      </c>
      <c r="B2" s="243"/>
      <c r="C2" s="243"/>
      <c r="D2" s="243"/>
      <c r="E2" s="243"/>
      <c r="F2" s="243"/>
      <c r="G2" s="243"/>
      <c r="H2" s="243"/>
      <c r="I2" s="243"/>
      <c r="J2" s="244"/>
      <c r="K2" s="242" t="s">
        <v>192</v>
      </c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4"/>
      <c r="W2" s="254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6"/>
      <c r="AP2" s="163" t="s">
        <v>189</v>
      </c>
      <c r="AQ2" s="164"/>
      <c r="AR2" s="164"/>
      <c r="AS2" s="165"/>
      <c r="AT2" s="221">
        <v>45467</v>
      </c>
      <c r="AU2" s="237"/>
      <c r="AV2" s="237"/>
      <c r="AW2" s="237"/>
      <c r="AX2" s="238"/>
      <c r="AY2" s="163" t="s">
        <v>190</v>
      </c>
      <c r="AZ2" s="164"/>
      <c r="BA2" s="164"/>
      <c r="BB2" s="165"/>
      <c r="BC2" s="221">
        <v>45811</v>
      </c>
      <c r="BD2" s="237"/>
      <c r="BE2" s="237"/>
      <c r="BF2" s="237"/>
      <c r="BG2" s="238"/>
      <c r="BH2" s="163">
        <v>0.13</v>
      </c>
      <c r="BI2" s="164"/>
      <c r="BJ2" s="164"/>
      <c r="BK2" s="165"/>
    </row>
    <row r="3" spans="1:63" ht="15" customHeight="1" x14ac:dyDescent="0.25">
      <c r="A3" s="245"/>
      <c r="B3" s="246"/>
      <c r="C3" s="246"/>
      <c r="D3" s="246"/>
      <c r="E3" s="246"/>
      <c r="F3" s="246"/>
      <c r="G3" s="246"/>
      <c r="H3" s="246"/>
      <c r="I3" s="246"/>
      <c r="J3" s="247"/>
      <c r="K3" s="245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7"/>
      <c r="W3" s="257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9"/>
      <c r="AP3" s="166"/>
      <c r="AQ3" s="167"/>
      <c r="AR3" s="167"/>
      <c r="AS3" s="168"/>
      <c r="AT3" s="239"/>
      <c r="AU3" s="240"/>
      <c r="AV3" s="240"/>
      <c r="AW3" s="240"/>
      <c r="AX3" s="241"/>
      <c r="AY3" s="166"/>
      <c r="AZ3" s="167"/>
      <c r="BA3" s="167"/>
      <c r="BB3" s="168"/>
      <c r="BC3" s="239"/>
      <c r="BD3" s="240"/>
      <c r="BE3" s="240"/>
      <c r="BF3" s="240"/>
      <c r="BG3" s="241"/>
      <c r="BH3" s="166"/>
      <c r="BI3" s="167"/>
      <c r="BJ3" s="167"/>
      <c r="BK3" s="168"/>
    </row>
    <row r="4" spans="1:63" ht="24.95" customHeight="1" x14ac:dyDescent="0.25">
      <c r="A4" s="248" t="s">
        <v>203</v>
      </c>
      <c r="B4" s="249"/>
      <c r="C4" s="249"/>
      <c r="D4" s="249"/>
      <c r="E4" s="249"/>
      <c r="F4" s="249"/>
      <c r="G4" s="250"/>
      <c r="H4" s="260" t="s">
        <v>191</v>
      </c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2"/>
      <c r="U4" s="248" t="s">
        <v>204</v>
      </c>
      <c r="V4" s="249"/>
      <c r="W4" s="249"/>
      <c r="X4" s="249"/>
      <c r="Y4" s="250"/>
      <c r="Z4" s="260" t="s">
        <v>194</v>
      </c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2"/>
      <c r="AP4" s="263" t="str">
        <f ca="1">MID(CELL("filename",A1),FIND("]",CELL("filename",A1))+1,255)</f>
        <v>APX001</v>
      </c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33" customFormat="1" ht="15" customHeight="1" x14ac:dyDescent="0.25">
      <c r="A7" s="28"/>
      <c r="B7" s="29" t="s">
        <v>215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111"/>
      <c r="AQ7" s="111"/>
      <c r="AR7" s="111"/>
      <c r="AS7" s="111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1"/>
      <c r="BI7" s="31"/>
      <c r="BJ7" s="31"/>
      <c r="BK7" s="32"/>
    </row>
    <row r="8" spans="1:63" s="33" customFormat="1" ht="15" customHeight="1" x14ac:dyDescent="0.25">
      <c r="A8" s="28"/>
      <c r="B8" s="34"/>
      <c r="C8" s="56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112"/>
      <c r="AQ8" s="112"/>
      <c r="AR8" s="112"/>
      <c r="AS8" s="112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6"/>
      <c r="BI8" s="36"/>
      <c r="BJ8" s="36"/>
      <c r="BK8" s="32"/>
    </row>
    <row r="9" spans="1:63" s="33" customFormat="1" ht="15" customHeight="1" x14ac:dyDescent="0.25">
      <c r="A9" s="28"/>
      <c r="B9" s="34"/>
      <c r="C9" s="35" t="s">
        <v>52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112"/>
      <c r="AQ9" s="112"/>
      <c r="AR9" s="112"/>
      <c r="AS9" s="112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6"/>
      <c r="BI9" s="36"/>
      <c r="BJ9" s="36"/>
      <c r="BK9" s="32"/>
    </row>
    <row r="10" spans="1:63" s="33" customFormat="1" ht="15" customHeight="1" x14ac:dyDescent="0.25">
      <c r="A10" s="28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112"/>
      <c r="AQ10" s="112"/>
      <c r="AR10" s="112"/>
      <c r="AS10" s="112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6"/>
      <c r="BI10" s="36"/>
      <c r="BJ10" s="36"/>
      <c r="BK10" s="32"/>
    </row>
    <row r="11" spans="1:63" s="33" customFormat="1" ht="15" customHeight="1" x14ac:dyDescent="0.25">
      <c r="A11" s="28"/>
      <c r="B11" s="37" t="s">
        <v>216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32"/>
    </row>
    <row r="12" spans="1:63" s="33" customFormat="1" ht="15" customHeight="1" x14ac:dyDescent="0.25">
      <c r="A12" s="28"/>
      <c r="B12" s="35"/>
      <c r="C12" s="38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6"/>
      <c r="BI12" s="36"/>
      <c r="BJ12" s="36"/>
      <c r="BK12" s="32"/>
    </row>
    <row r="13" spans="1:63" s="33" customFormat="1" ht="15" customHeight="1" x14ac:dyDescent="0.25">
      <c r="A13" s="28"/>
      <c r="B13" s="35"/>
      <c r="C13" s="38" t="s">
        <v>217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6"/>
      <c r="BI13" s="36"/>
      <c r="BJ13" s="36"/>
      <c r="BK13" s="32"/>
    </row>
    <row r="14" spans="1:63" s="33" customFormat="1" ht="15" customHeight="1" x14ac:dyDescent="0.25">
      <c r="A14" s="28"/>
      <c r="B14" s="35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6"/>
      <c r="BI14" s="36"/>
      <c r="BJ14" s="36"/>
      <c r="BK14" s="32"/>
    </row>
    <row r="15" spans="1:63" s="33" customFormat="1" ht="15" customHeight="1" x14ac:dyDescent="0.25">
      <c r="A15" s="28"/>
      <c r="B15" s="35"/>
      <c r="C15" s="282" t="s">
        <v>26</v>
      </c>
      <c r="D15" s="284"/>
      <c r="E15" s="282" t="s">
        <v>36</v>
      </c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4"/>
      <c r="AG15" s="282" t="s">
        <v>37</v>
      </c>
      <c r="AH15" s="283"/>
      <c r="AI15" s="283"/>
      <c r="AJ15" s="283"/>
      <c r="AK15" s="283"/>
      <c r="AL15" s="283"/>
      <c r="AM15" s="283"/>
      <c r="AN15" s="283"/>
      <c r="AO15" s="283"/>
      <c r="AP15" s="284"/>
      <c r="AQ15" s="282" t="s">
        <v>38</v>
      </c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4"/>
      <c r="BK15" s="32"/>
    </row>
    <row r="16" spans="1:63" s="33" customFormat="1" ht="15" customHeight="1" x14ac:dyDescent="0.25">
      <c r="A16" s="28"/>
      <c r="B16" s="35"/>
      <c r="C16" s="273">
        <v>1</v>
      </c>
      <c r="D16" s="275"/>
      <c r="E16" s="315" t="s">
        <v>218</v>
      </c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7"/>
      <c r="AG16" s="273" t="s">
        <v>53</v>
      </c>
      <c r="AH16" s="274"/>
      <c r="AI16" s="274"/>
      <c r="AJ16" s="274"/>
      <c r="AK16" s="274"/>
      <c r="AL16" s="274"/>
      <c r="AM16" s="274"/>
      <c r="AN16" s="274"/>
      <c r="AO16" s="274"/>
      <c r="AP16" s="275"/>
      <c r="AQ16" s="303" t="s">
        <v>19</v>
      </c>
      <c r="AR16" s="304"/>
      <c r="AS16" s="304"/>
      <c r="AT16" s="304"/>
      <c r="AU16" s="304"/>
      <c r="AV16" s="304"/>
      <c r="AW16" s="304"/>
      <c r="AX16" s="304"/>
      <c r="AY16" s="304"/>
      <c r="AZ16" s="304"/>
      <c r="BA16" s="304"/>
      <c r="BB16" s="304"/>
      <c r="BC16" s="304"/>
      <c r="BD16" s="304"/>
      <c r="BE16" s="304"/>
      <c r="BF16" s="304"/>
      <c r="BG16" s="304"/>
      <c r="BH16" s="304"/>
      <c r="BI16" s="304"/>
      <c r="BJ16" s="305"/>
      <c r="BK16" s="32"/>
    </row>
    <row r="17" spans="1:63" s="33" customFormat="1" ht="15" customHeight="1" x14ac:dyDescent="0.25">
      <c r="A17" s="28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6"/>
      <c r="BI17" s="36"/>
      <c r="BJ17" s="36"/>
      <c r="BK17" s="32"/>
    </row>
    <row r="18" spans="1:63" s="33" customFormat="1" ht="15" customHeight="1" x14ac:dyDescent="0.25">
      <c r="A18" s="28"/>
      <c r="B18" s="35"/>
      <c r="C18" s="38" t="s">
        <v>219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6"/>
      <c r="BI18" s="36"/>
      <c r="BJ18" s="36"/>
      <c r="BK18" s="32"/>
    </row>
    <row r="19" spans="1:63" s="33" customFormat="1" ht="15" customHeight="1" x14ac:dyDescent="0.25">
      <c r="A19" s="28"/>
      <c r="B19" s="35"/>
      <c r="C19" s="3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6"/>
      <c r="BI19" s="36"/>
      <c r="BJ19" s="36"/>
      <c r="BK19" s="32"/>
    </row>
    <row r="20" spans="1:63" s="33" customFormat="1" ht="15" customHeight="1" x14ac:dyDescent="0.25">
      <c r="A20" s="28"/>
      <c r="B20" s="35"/>
      <c r="C20" s="264" t="s">
        <v>220</v>
      </c>
      <c r="D20" s="266"/>
      <c r="E20" s="264" t="s">
        <v>221</v>
      </c>
      <c r="F20" s="265"/>
      <c r="G20" s="265"/>
      <c r="H20" s="265"/>
      <c r="I20" s="265"/>
      <c r="J20" s="265"/>
      <c r="K20" s="266"/>
      <c r="L20" s="282" t="s">
        <v>39</v>
      </c>
      <c r="M20" s="283"/>
      <c r="N20" s="284"/>
      <c r="O20" s="282" t="s">
        <v>40</v>
      </c>
      <c r="P20" s="283"/>
      <c r="Q20" s="283"/>
      <c r="R20" s="284"/>
      <c r="S20" s="282" t="s">
        <v>41</v>
      </c>
      <c r="T20" s="283"/>
      <c r="U20" s="283"/>
      <c r="V20" s="283"/>
      <c r="W20" s="283"/>
      <c r="X20" s="283"/>
      <c r="Y20" s="284"/>
      <c r="Z20" s="264" t="s">
        <v>222</v>
      </c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6"/>
      <c r="AQ20" s="282" t="s">
        <v>38</v>
      </c>
      <c r="AR20" s="283"/>
      <c r="AS20" s="283"/>
      <c r="AT20" s="283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4"/>
      <c r="BK20" s="32"/>
    </row>
    <row r="21" spans="1:63" s="33" customFormat="1" ht="15" customHeight="1" x14ac:dyDescent="0.25">
      <c r="A21" s="28"/>
      <c r="B21" s="35"/>
      <c r="C21" s="273">
        <v>1</v>
      </c>
      <c r="D21" s="275"/>
      <c r="E21" s="279" t="s">
        <v>20</v>
      </c>
      <c r="F21" s="280"/>
      <c r="G21" s="280"/>
      <c r="H21" s="280"/>
      <c r="I21" s="280"/>
      <c r="J21" s="280"/>
      <c r="K21" s="281"/>
      <c r="L21" s="311" t="s">
        <v>19</v>
      </c>
      <c r="M21" s="312"/>
      <c r="N21" s="313"/>
      <c r="O21" s="273" t="s">
        <v>18</v>
      </c>
      <c r="P21" s="274"/>
      <c r="Q21" s="274"/>
      <c r="R21" s="275"/>
      <c r="S21" s="273" t="s">
        <v>19</v>
      </c>
      <c r="T21" s="274"/>
      <c r="U21" s="274"/>
      <c r="V21" s="274"/>
      <c r="W21" s="274"/>
      <c r="X21" s="274"/>
      <c r="Y21" s="275"/>
      <c r="Z21" s="279" t="s">
        <v>20</v>
      </c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1"/>
      <c r="AQ21" s="318" t="s">
        <v>21</v>
      </c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20"/>
      <c r="BK21" s="32"/>
    </row>
    <row r="22" spans="1:63" s="33" customFormat="1" ht="15" customHeight="1" x14ac:dyDescent="0.25">
      <c r="A22" s="28"/>
      <c r="B22" s="35"/>
      <c r="C22" s="345">
        <v>2</v>
      </c>
      <c r="D22" s="346"/>
      <c r="E22" s="336" t="s">
        <v>22</v>
      </c>
      <c r="F22" s="337"/>
      <c r="G22" s="337"/>
      <c r="H22" s="337"/>
      <c r="I22" s="337"/>
      <c r="J22" s="337"/>
      <c r="K22" s="338"/>
      <c r="L22" s="327" t="s">
        <v>19</v>
      </c>
      <c r="M22" s="328"/>
      <c r="N22" s="329"/>
      <c r="O22" s="285" t="s">
        <v>18</v>
      </c>
      <c r="P22" s="286"/>
      <c r="Q22" s="286"/>
      <c r="R22" s="287"/>
      <c r="S22" s="285" t="s">
        <v>19</v>
      </c>
      <c r="T22" s="286"/>
      <c r="U22" s="286"/>
      <c r="V22" s="286"/>
      <c r="W22" s="286"/>
      <c r="X22" s="286"/>
      <c r="Y22" s="287"/>
      <c r="Z22" s="294" t="s">
        <v>22</v>
      </c>
      <c r="AA22" s="295"/>
      <c r="AB22" s="295"/>
      <c r="AC22" s="295"/>
      <c r="AD22" s="295"/>
      <c r="AE22" s="295"/>
      <c r="AF22" s="295"/>
      <c r="AG22" s="295"/>
      <c r="AH22" s="295"/>
      <c r="AI22" s="295"/>
      <c r="AJ22" s="295"/>
      <c r="AK22" s="295"/>
      <c r="AL22" s="295"/>
      <c r="AM22" s="295"/>
      <c r="AN22" s="295"/>
      <c r="AO22" s="295"/>
      <c r="AP22" s="296"/>
      <c r="AQ22" s="321" t="s">
        <v>223</v>
      </c>
      <c r="AR22" s="321"/>
      <c r="AS22" s="321"/>
      <c r="AT22" s="321"/>
      <c r="AU22" s="321"/>
      <c r="AV22" s="321"/>
      <c r="AW22" s="321"/>
      <c r="AX22" s="321"/>
      <c r="AY22" s="321"/>
      <c r="AZ22" s="321"/>
      <c r="BA22" s="321"/>
      <c r="BB22" s="321"/>
      <c r="BC22" s="321"/>
      <c r="BD22" s="321"/>
      <c r="BE22" s="321"/>
      <c r="BF22" s="321"/>
      <c r="BG22" s="321"/>
      <c r="BH22" s="321"/>
      <c r="BI22" s="321"/>
      <c r="BJ22" s="322"/>
      <c r="BK22" s="32"/>
    </row>
    <row r="23" spans="1:63" s="33" customFormat="1" ht="15" customHeight="1" x14ac:dyDescent="0.25">
      <c r="A23" s="28"/>
      <c r="B23" s="35"/>
      <c r="C23" s="347"/>
      <c r="D23" s="348"/>
      <c r="E23" s="339"/>
      <c r="F23" s="340"/>
      <c r="G23" s="340"/>
      <c r="H23" s="340"/>
      <c r="I23" s="340"/>
      <c r="J23" s="340"/>
      <c r="K23" s="341"/>
      <c r="L23" s="330"/>
      <c r="M23" s="331"/>
      <c r="N23" s="332"/>
      <c r="O23" s="288"/>
      <c r="P23" s="289"/>
      <c r="Q23" s="289"/>
      <c r="R23" s="290"/>
      <c r="S23" s="288"/>
      <c r="T23" s="289"/>
      <c r="U23" s="289"/>
      <c r="V23" s="289"/>
      <c r="W23" s="289"/>
      <c r="X23" s="289"/>
      <c r="Y23" s="290"/>
      <c r="Z23" s="297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9"/>
      <c r="AQ23" s="323"/>
      <c r="AR23" s="323"/>
      <c r="AS23" s="323"/>
      <c r="AT23" s="323"/>
      <c r="AU23" s="323"/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3"/>
      <c r="BG23" s="323"/>
      <c r="BH23" s="323"/>
      <c r="BI23" s="323"/>
      <c r="BJ23" s="324"/>
      <c r="BK23" s="32"/>
    </row>
    <row r="24" spans="1:63" s="33" customFormat="1" ht="24.75" customHeight="1" x14ac:dyDescent="0.25">
      <c r="A24" s="28"/>
      <c r="B24" s="35"/>
      <c r="C24" s="349"/>
      <c r="D24" s="350"/>
      <c r="E24" s="342"/>
      <c r="F24" s="343"/>
      <c r="G24" s="343"/>
      <c r="H24" s="343"/>
      <c r="I24" s="343"/>
      <c r="J24" s="343"/>
      <c r="K24" s="344"/>
      <c r="L24" s="333"/>
      <c r="M24" s="334"/>
      <c r="N24" s="335"/>
      <c r="O24" s="291"/>
      <c r="P24" s="292"/>
      <c r="Q24" s="292"/>
      <c r="R24" s="293"/>
      <c r="S24" s="291"/>
      <c r="T24" s="292"/>
      <c r="U24" s="292"/>
      <c r="V24" s="292"/>
      <c r="W24" s="292"/>
      <c r="X24" s="292"/>
      <c r="Y24" s="293"/>
      <c r="Z24" s="300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  <c r="AN24" s="301"/>
      <c r="AO24" s="301"/>
      <c r="AP24" s="302"/>
      <c r="AQ24" s="325"/>
      <c r="AR24" s="325"/>
      <c r="AS24" s="325"/>
      <c r="AT24" s="325"/>
      <c r="AU24" s="325"/>
      <c r="AV24" s="325"/>
      <c r="AW24" s="325"/>
      <c r="AX24" s="325"/>
      <c r="AY24" s="325"/>
      <c r="AZ24" s="325"/>
      <c r="BA24" s="325"/>
      <c r="BB24" s="325"/>
      <c r="BC24" s="325"/>
      <c r="BD24" s="325"/>
      <c r="BE24" s="325"/>
      <c r="BF24" s="325"/>
      <c r="BG24" s="325"/>
      <c r="BH24" s="325"/>
      <c r="BI24" s="325"/>
      <c r="BJ24" s="326"/>
      <c r="BK24" s="32"/>
    </row>
    <row r="25" spans="1:63" s="33" customFormat="1" ht="15" customHeight="1" x14ac:dyDescent="0.25">
      <c r="A25" s="28"/>
      <c r="B25" s="35"/>
      <c r="C25" s="273">
        <v>3</v>
      </c>
      <c r="D25" s="275"/>
      <c r="E25" s="279" t="s">
        <v>23</v>
      </c>
      <c r="F25" s="280"/>
      <c r="G25" s="280"/>
      <c r="H25" s="280"/>
      <c r="I25" s="280"/>
      <c r="J25" s="280"/>
      <c r="K25" s="281"/>
      <c r="L25" s="311" t="s">
        <v>19</v>
      </c>
      <c r="M25" s="312"/>
      <c r="N25" s="313"/>
      <c r="O25" s="273" t="s">
        <v>18</v>
      </c>
      <c r="P25" s="274"/>
      <c r="Q25" s="274"/>
      <c r="R25" s="275"/>
      <c r="S25" s="273" t="s">
        <v>19</v>
      </c>
      <c r="T25" s="274"/>
      <c r="U25" s="274"/>
      <c r="V25" s="274"/>
      <c r="W25" s="274"/>
      <c r="X25" s="274"/>
      <c r="Y25" s="275"/>
      <c r="Z25" s="279" t="s">
        <v>23</v>
      </c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1"/>
      <c r="AQ25" s="318" t="s">
        <v>24</v>
      </c>
      <c r="AR25" s="319"/>
      <c r="AS25" s="319"/>
      <c r="AT25" s="319"/>
      <c r="AU25" s="319"/>
      <c r="AV25" s="319"/>
      <c r="AW25" s="319"/>
      <c r="AX25" s="319"/>
      <c r="AY25" s="319"/>
      <c r="AZ25" s="319"/>
      <c r="BA25" s="319"/>
      <c r="BB25" s="319"/>
      <c r="BC25" s="319"/>
      <c r="BD25" s="319"/>
      <c r="BE25" s="319"/>
      <c r="BF25" s="319"/>
      <c r="BG25" s="319"/>
      <c r="BH25" s="319"/>
      <c r="BI25" s="319"/>
      <c r="BJ25" s="320"/>
      <c r="BK25" s="32"/>
    </row>
    <row r="26" spans="1:63" s="33" customFormat="1" ht="15" customHeight="1" x14ac:dyDescent="0.25">
      <c r="A26" s="28"/>
      <c r="B26" s="35"/>
      <c r="C26" s="273">
        <v>4</v>
      </c>
      <c r="D26" s="275"/>
      <c r="E26" s="279" t="s">
        <v>25</v>
      </c>
      <c r="F26" s="280"/>
      <c r="G26" s="280"/>
      <c r="H26" s="280"/>
      <c r="I26" s="280"/>
      <c r="J26" s="280"/>
      <c r="K26" s="281"/>
      <c r="L26" s="311" t="s">
        <v>19</v>
      </c>
      <c r="M26" s="312"/>
      <c r="N26" s="313"/>
      <c r="O26" s="273" t="s">
        <v>18</v>
      </c>
      <c r="P26" s="274"/>
      <c r="Q26" s="274"/>
      <c r="R26" s="275"/>
      <c r="S26" s="273" t="s">
        <v>19</v>
      </c>
      <c r="T26" s="274"/>
      <c r="U26" s="274"/>
      <c r="V26" s="274"/>
      <c r="W26" s="274"/>
      <c r="X26" s="274"/>
      <c r="Y26" s="275"/>
      <c r="Z26" s="279" t="s">
        <v>25</v>
      </c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  <c r="AK26" s="280"/>
      <c r="AL26" s="280"/>
      <c r="AM26" s="280"/>
      <c r="AN26" s="280"/>
      <c r="AO26" s="280"/>
      <c r="AP26" s="281"/>
      <c r="AQ26" s="318" t="s">
        <v>224</v>
      </c>
      <c r="AR26" s="319"/>
      <c r="AS26" s="319"/>
      <c r="AT26" s="319"/>
      <c r="AU26" s="319"/>
      <c r="AV26" s="319"/>
      <c r="AW26" s="319"/>
      <c r="AX26" s="319"/>
      <c r="AY26" s="319"/>
      <c r="AZ26" s="319"/>
      <c r="BA26" s="319"/>
      <c r="BB26" s="319"/>
      <c r="BC26" s="319"/>
      <c r="BD26" s="319"/>
      <c r="BE26" s="319"/>
      <c r="BF26" s="319"/>
      <c r="BG26" s="319"/>
      <c r="BH26" s="319"/>
      <c r="BI26" s="319"/>
      <c r="BJ26" s="320"/>
      <c r="BK26" s="32"/>
    </row>
    <row r="27" spans="1:63" s="33" customFormat="1" ht="15" customHeight="1" x14ac:dyDescent="0.25">
      <c r="A27" s="28"/>
      <c r="B27" s="35"/>
      <c r="C27" s="35"/>
      <c r="D27" s="35"/>
      <c r="E27" s="112"/>
      <c r="F27" s="112"/>
      <c r="G27" s="112"/>
      <c r="H27" s="112"/>
      <c r="I27" s="35"/>
      <c r="J27" s="35"/>
      <c r="K27" s="35"/>
      <c r="L27" s="115"/>
      <c r="M27" s="112"/>
      <c r="N27" s="112"/>
      <c r="O27" s="112"/>
      <c r="P27" s="112"/>
      <c r="Q27" s="35"/>
      <c r="R27" s="35"/>
      <c r="S27" s="35"/>
      <c r="T27" s="35"/>
      <c r="U27" s="35"/>
      <c r="V27" s="35"/>
      <c r="W27" s="35"/>
      <c r="X27" s="35"/>
      <c r="Y27" s="35"/>
      <c r="Z27" s="42"/>
      <c r="AA27" s="35"/>
      <c r="AB27" s="35"/>
      <c r="AC27" s="35"/>
      <c r="AD27" s="35"/>
      <c r="AE27" s="35"/>
      <c r="AF27" s="35"/>
      <c r="AG27" s="112"/>
      <c r="AH27" s="112"/>
      <c r="AI27" s="112"/>
      <c r="AJ27" s="112"/>
      <c r="AK27" s="112"/>
      <c r="AL27" s="112"/>
      <c r="AM27" s="112"/>
      <c r="AN27" s="112"/>
      <c r="AO27" s="112"/>
      <c r="AP27" s="35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36"/>
      <c r="BI27" s="36"/>
      <c r="BJ27" s="36"/>
      <c r="BK27" s="32"/>
    </row>
    <row r="28" spans="1:63" s="33" customFormat="1" ht="15" customHeight="1" x14ac:dyDescent="0.25">
      <c r="A28" s="28"/>
      <c r="B28" s="35"/>
      <c r="C28" s="35"/>
      <c r="D28" s="35"/>
      <c r="E28" s="112"/>
      <c r="F28" s="112"/>
      <c r="G28" s="112"/>
      <c r="H28" s="112"/>
      <c r="I28" s="35"/>
      <c r="J28" s="35"/>
      <c r="K28" s="35"/>
      <c r="L28" s="44"/>
      <c r="M28" s="112"/>
      <c r="N28" s="112"/>
      <c r="O28" s="112"/>
      <c r="P28" s="112"/>
      <c r="Q28" s="35"/>
      <c r="R28" s="35"/>
      <c r="S28" s="35"/>
      <c r="T28" s="35"/>
      <c r="U28" s="35"/>
      <c r="V28" s="35"/>
      <c r="W28" s="35"/>
      <c r="X28" s="35"/>
      <c r="Y28" s="35"/>
      <c r="Z28" s="42"/>
      <c r="AA28" s="35"/>
      <c r="AB28" s="35"/>
      <c r="AC28" s="35"/>
      <c r="AD28" s="35"/>
      <c r="AE28" s="35"/>
      <c r="AF28" s="35"/>
      <c r="AG28" s="112"/>
      <c r="AH28" s="112"/>
      <c r="AI28" s="112"/>
      <c r="AJ28" s="112"/>
      <c r="AK28" s="112"/>
      <c r="AL28" s="112"/>
      <c r="AM28" s="112"/>
      <c r="AN28" s="112"/>
      <c r="AO28" s="112"/>
      <c r="AP28" s="35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36"/>
      <c r="BI28" s="36"/>
      <c r="BJ28" s="36"/>
      <c r="BK28" s="32"/>
    </row>
    <row r="29" spans="1:63" s="33" customFormat="1" ht="15" customHeight="1" x14ac:dyDescent="0.25">
      <c r="A29" s="28"/>
      <c r="B29" s="35"/>
      <c r="C29" s="38" t="s">
        <v>225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6"/>
      <c r="BI29" s="36"/>
      <c r="BJ29" s="36"/>
      <c r="BK29" s="32"/>
    </row>
    <row r="30" spans="1:63" s="33" customFormat="1" ht="15" customHeight="1" x14ac:dyDescent="0.25">
      <c r="A30" s="28"/>
      <c r="B30" s="35"/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6"/>
      <c r="BI30" s="36"/>
      <c r="BJ30" s="36"/>
      <c r="BK30" s="32"/>
    </row>
    <row r="31" spans="1:63" s="33" customFormat="1" ht="15" customHeight="1" x14ac:dyDescent="0.25">
      <c r="A31" s="28"/>
      <c r="B31" s="35"/>
      <c r="C31" s="35"/>
      <c r="D31" s="35" t="s">
        <v>46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6"/>
      <c r="BI31" s="36"/>
      <c r="BJ31" s="36"/>
      <c r="BK31" s="32"/>
    </row>
    <row r="32" spans="1:63" s="33" customFormat="1" ht="15" customHeight="1" x14ac:dyDescent="0.25">
      <c r="A32" s="28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6"/>
      <c r="BI32" s="36"/>
      <c r="BJ32" s="36"/>
      <c r="BK32" s="32"/>
    </row>
    <row r="33" spans="1:63" s="33" customFormat="1" ht="15" customHeight="1" x14ac:dyDescent="0.25">
      <c r="A33" s="28"/>
      <c r="B33" s="35"/>
      <c r="C33" s="38" t="s">
        <v>226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6"/>
      <c r="BI33" s="36"/>
      <c r="BJ33" s="36"/>
      <c r="BK33" s="32"/>
    </row>
    <row r="34" spans="1:63" s="33" customFormat="1" ht="15" customHeight="1" x14ac:dyDescent="0.25">
      <c r="A34" s="28"/>
      <c r="B34" s="35"/>
      <c r="C34" s="38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6"/>
      <c r="BI34" s="36"/>
      <c r="BJ34" s="36"/>
      <c r="BK34" s="32"/>
    </row>
    <row r="35" spans="1:63" s="33" customFormat="1" ht="15" customHeight="1" x14ac:dyDescent="0.25">
      <c r="A35" s="28"/>
      <c r="B35" s="35"/>
      <c r="C35" s="306" t="s">
        <v>26</v>
      </c>
      <c r="D35" s="307"/>
      <c r="E35" s="308" t="s">
        <v>42</v>
      </c>
      <c r="F35" s="309"/>
      <c r="G35" s="309"/>
      <c r="H35" s="309"/>
      <c r="I35" s="309"/>
      <c r="J35" s="309"/>
      <c r="K35" s="310"/>
      <c r="L35" s="282" t="s">
        <v>39</v>
      </c>
      <c r="M35" s="283"/>
      <c r="N35" s="284"/>
      <c r="O35" s="282" t="s">
        <v>40</v>
      </c>
      <c r="P35" s="283"/>
      <c r="Q35" s="283"/>
      <c r="R35" s="284"/>
      <c r="S35" s="282" t="s">
        <v>41</v>
      </c>
      <c r="T35" s="283"/>
      <c r="U35" s="283"/>
      <c r="V35" s="283"/>
      <c r="W35" s="283"/>
      <c r="X35" s="283"/>
      <c r="Y35" s="284"/>
      <c r="Z35" s="264" t="s">
        <v>222</v>
      </c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6"/>
      <c r="AQ35" s="276" t="s">
        <v>38</v>
      </c>
      <c r="AR35" s="277"/>
      <c r="AS35" s="277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7"/>
      <c r="BH35" s="277"/>
      <c r="BI35" s="277"/>
      <c r="BJ35" s="278"/>
      <c r="BK35" s="32"/>
    </row>
    <row r="36" spans="1:63" s="33" customFormat="1" ht="15" customHeight="1" x14ac:dyDescent="0.25">
      <c r="A36" s="28"/>
      <c r="B36" s="35"/>
      <c r="C36" s="273">
        <v>1</v>
      </c>
      <c r="D36" s="275"/>
      <c r="E36" s="279" t="s">
        <v>54</v>
      </c>
      <c r="F36" s="280"/>
      <c r="G36" s="280"/>
      <c r="H36" s="280"/>
      <c r="I36" s="280"/>
      <c r="J36" s="280"/>
      <c r="K36" s="281"/>
      <c r="L36" s="311" t="s">
        <v>17</v>
      </c>
      <c r="M36" s="312"/>
      <c r="N36" s="313"/>
      <c r="O36" s="273" t="s">
        <v>44</v>
      </c>
      <c r="P36" s="274"/>
      <c r="Q36" s="274"/>
      <c r="R36" s="275"/>
      <c r="S36" s="314" t="s">
        <v>19</v>
      </c>
      <c r="T36" s="274"/>
      <c r="U36" s="274"/>
      <c r="V36" s="274"/>
      <c r="W36" s="274"/>
      <c r="X36" s="274"/>
      <c r="Y36" s="275"/>
      <c r="Z36" s="279" t="s">
        <v>56</v>
      </c>
      <c r="AA36" s="280"/>
      <c r="AB36" s="280"/>
      <c r="AC36" s="280"/>
      <c r="AD36" s="280"/>
      <c r="AE36" s="280"/>
      <c r="AF36" s="280"/>
      <c r="AG36" s="280"/>
      <c r="AH36" s="280"/>
      <c r="AI36" s="280"/>
      <c r="AJ36" s="280"/>
      <c r="AK36" s="280"/>
      <c r="AL36" s="280"/>
      <c r="AM36" s="280"/>
      <c r="AN36" s="280"/>
      <c r="AO36" s="280"/>
      <c r="AP36" s="281"/>
      <c r="AQ36" s="303" t="s">
        <v>227</v>
      </c>
      <c r="AR36" s="304"/>
      <c r="AS36" s="304"/>
      <c r="AT36" s="304"/>
      <c r="AU36" s="304"/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5"/>
      <c r="BK36" s="32"/>
    </row>
    <row r="37" spans="1:63" s="33" customFormat="1" ht="15" customHeight="1" x14ac:dyDescent="0.25">
      <c r="A37" s="28"/>
      <c r="B37" s="35"/>
      <c r="C37" s="273">
        <f>C36+1</f>
        <v>2</v>
      </c>
      <c r="D37" s="275"/>
      <c r="E37" s="279" t="s">
        <v>63</v>
      </c>
      <c r="F37" s="280"/>
      <c r="G37" s="280"/>
      <c r="H37" s="280"/>
      <c r="I37" s="280"/>
      <c r="J37" s="280"/>
      <c r="K37" s="281"/>
      <c r="L37" s="311" t="s">
        <v>17</v>
      </c>
      <c r="M37" s="312"/>
      <c r="N37" s="313"/>
      <c r="O37" s="273" t="s">
        <v>44</v>
      </c>
      <c r="P37" s="274"/>
      <c r="Q37" s="274"/>
      <c r="R37" s="275"/>
      <c r="S37" s="314" t="s">
        <v>19</v>
      </c>
      <c r="T37" s="274"/>
      <c r="U37" s="274"/>
      <c r="V37" s="274"/>
      <c r="W37" s="274"/>
      <c r="X37" s="274"/>
      <c r="Y37" s="275"/>
      <c r="Z37" s="279" t="s">
        <v>57</v>
      </c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1"/>
      <c r="AQ37" s="303" t="s">
        <v>228</v>
      </c>
      <c r="AR37" s="304"/>
      <c r="AS37" s="304"/>
      <c r="AT37" s="304"/>
      <c r="AU37" s="304"/>
      <c r="AV37" s="304"/>
      <c r="AW37" s="304"/>
      <c r="AX37" s="304"/>
      <c r="AY37" s="304"/>
      <c r="AZ37" s="304"/>
      <c r="BA37" s="304"/>
      <c r="BB37" s="304"/>
      <c r="BC37" s="304"/>
      <c r="BD37" s="304"/>
      <c r="BE37" s="304"/>
      <c r="BF37" s="304"/>
      <c r="BG37" s="304"/>
      <c r="BH37" s="304"/>
      <c r="BI37" s="304"/>
      <c r="BJ37" s="305"/>
      <c r="BK37" s="32"/>
    </row>
    <row r="38" spans="1:63" s="33" customFormat="1" ht="15" customHeight="1" x14ac:dyDescent="0.25">
      <c r="A38" s="28"/>
      <c r="B38" s="35"/>
      <c r="C38" s="273">
        <f t="shared" ref="C38" si="0">C37+1</f>
        <v>3</v>
      </c>
      <c r="D38" s="275"/>
      <c r="E38" s="279" t="s">
        <v>55</v>
      </c>
      <c r="F38" s="280"/>
      <c r="G38" s="280"/>
      <c r="H38" s="280"/>
      <c r="I38" s="280"/>
      <c r="J38" s="280"/>
      <c r="K38" s="281"/>
      <c r="L38" s="311" t="s">
        <v>17</v>
      </c>
      <c r="M38" s="312"/>
      <c r="N38" s="313"/>
      <c r="O38" s="273" t="s">
        <v>44</v>
      </c>
      <c r="P38" s="274"/>
      <c r="Q38" s="274"/>
      <c r="R38" s="275"/>
      <c r="S38" s="314" t="s">
        <v>19</v>
      </c>
      <c r="T38" s="274"/>
      <c r="U38" s="274"/>
      <c r="V38" s="274"/>
      <c r="W38" s="274"/>
      <c r="X38" s="274"/>
      <c r="Y38" s="275"/>
      <c r="Z38" s="279" t="s">
        <v>58</v>
      </c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1"/>
      <c r="AQ38" s="303" t="s">
        <v>229</v>
      </c>
      <c r="AR38" s="304"/>
      <c r="AS38" s="304"/>
      <c r="AT38" s="304"/>
      <c r="AU38" s="304"/>
      <c r="AV38" s="304"/>
      <c r="AW38" s="304"/>
      <c r="AX38" s="304"/>
      <c r="AY38" s="304"/>
      <c r="AZ38" s="304"/>
      <c r="BA38" s="304"/>
      <c r="BB38" s="304"/>
      <c r="BC38" s="304"/>
      <c r="BD38" s="304"/>
      <c r="BE38" s="304"/>
      <c r="BF38" s="304"/>
      <c r="BG38" s="304"/>
      <c r="BH38" s="304"/>
      <c r="BI38" s="304"/>
      <c r="BJ38" s="305"/>
      <c r="BK38" s="32"/>
    </row>
    <row r="39" spans="1:63" s="33" customFormat="1" ht="15" customHeight="1" x14ac:dyDescent="0.25">
      <c r="A39" s="28"/>
      <c r="B39" s="35"/>
      <c r="C39" s="34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6"/>
      <c r="BI39" s="36"/>
      <c r="BJ39" s="36"/>
      <c r="BK39" s="32"/>
    </row>
    <row r="40" spans="1:63" s="33" customFormat="1" ht="15" customHeight="1" x14ac:dyDescent="0.2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6"/>
      <c r="BI40" s="36"/>
      <c r="BJ40" s="36"/>
      <c r="BK40" s="32"/>
    </row>
    <row r="41" spans="1:63" s="33" customFormat="1" ht="15" customHeight="1" x14ac:dyDescent="0.25">
      <c r="A41" s="28"/>
      <c r="B41" s="29" t="s">
        <v>230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1"/>
      <c r="BI41" s="31"/>
      <c r="BJ41" s="31"/>
      <c r="BK41" s="32"/>
    </row>
    <row r="42" spans="1:63" s="33" customFormat="1" ht="15" customHeight="1" x14ac:dyDescent="0.25">
      <c r="A42" s="28"/>
      <c r="B42" s="34"/>
      <c r="C42" s="38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6"/>
      <c r="BI42" s="36"/>
      <c r="BJ42" s="36"/>
      <c r="BK42" s="32"/>
    </row>
    <row r="43" spans="1:63" s="33" customFormat="1" ht="15" customHeight="1" x14ac:dyDescent="0.25">
      <c r="A43" s="28"/>
      <c r="B43" s="34"/>
      <c r="C43" s="38" t="s">
        <v>231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6"/>
      <c r="BI43" s="36"/>
      <c r="BJ43" s="36"/>
      <c r="BK43" s="32"/>
    </row>
    <row r="44" spans="1:63" s="33" customFormat="1" ht="15" customHeight="1" x14ac:dyDescent="0.25">
      <c r="A44" s="28"/>
      <c r="B44" s="34"/>
      <c r="C44" s="38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6"/>
      <c r="BI44" s="36"/>
      <c r="BJ44" s="36"/>
      <c r="BK44" s="32"/>
    </row>
    <row r="45" spans="1:63" s="33" customFormat="1" ht="15" customHeight="1" x14ac:dyDescent="0.25">
      <c r="A45" s="28"/>
      <c r="B45" s="35"/>
      <c r="C45" s="282" t="s">
        <v>26</v>
      </c>
      <c r="D45" s="284"/>
      <c r="E45" s="264" t="s">
        <v>232</v>
      </c>
      <c r="F45" s="265"/>
      <c r="G45" s="265"/>
      <c r="H45" s="265"/>
      <c r="I45" s="265"/>
      <c r="J45" s="265"/>
      <c r="K45" s="266"/>
      <c r="L45" s="282" t="s">
        <v>40</v>
      </c>
      <c r="M45" s="283"/>
      <c r="N45" s="283"/>
      <c r="O45" s="283"/>
      <c r="P45" s="283"/>
      <c r="Q45" s="283"/>
      <c r="R45" s="284"/>
      <c r="S45" s="267" t="s">
        <v>222</v>
      </c>
      <c r="T45" s="268"/>
      <c r="U45" s="268"/>
      <c r="V45" s="268"/>
      <c r="W45" s="268"/>
      <c r="X45" s="268"/>
      <c r="Y45" s="268"/>
      <c r="Z45" s="268"/>
      <c r="AA45" s="268"/>
      <c r="AB45" s="269"/>
      <c r="AC45" s="282" t="s">
        <v>38</v>
      </c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P45" s="283"/>
      <c r="AQ45" s="283"/>
      <c r="AR45" s="283"/>
      <c r="AS45" s="283"/>
      <c r="AT45" s="283"/>
      <c r="AU45" s="284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6"/>
      <c r="BI45" s="36"/>
      <c r="BJ45" s="36"/>
      <c r="BK45" s="32"/>
    </row>
    <row r="46" spans="1:63" s="33" customFormat="1" ht="15" customHeight="1" x14ac:dyDescent="0.25">
      <c r="A46" s="28"/>
      <c r="B46" s="35"/>
      <c r="C46" s="273">
        <v>1</v>
      </c>
      <c r="D46" s="275"/>
      <c r="E46" s="273" t="s">
        <v>59</v>
      </c>
      <c r="F46" s="274"/>
      <c r="G46" s="274"/>
      <c r="H46" s="274"/>
      <c r="I46" s="274"/>
      <c r="J46" s="274"/>
      <c r="K46" s="275"/>
      <c r="L46" s="273" t="s">
        <v>44</v>
      </c>
      <c r="M46" s="274"/>
      <c r="N46" s="274"/>
      <c r="O46" s="274"/>
      <c r="P46" s="274"/>
      <c r="Q46" s="274"/>
      <c r="R46" s="275"/>
      <c r="S46" s="270" t="s">
        <v>61</v>
      </c>
      <c r="T46" s="271"/>
      <c r="U46" s="271"/>
      <c r="V46" s="271"/>
      <c r="W46" s="271"/>
      <c r="X46" s="271"/>
      <c r="Y46" s="271"/>
      <c r="Z46" s="271"/>
      <c r="AA46" s="271"/>
      <c r="AB46" s="272"/>
      <c r="AC46" s="279" t="s">
        <v>89</v>
      </c>
      <c r="AD46" s="280"/>
      <c r="AE46" s="280"/>
      <c r="AF46" s="280"/>
      <c r="AG46" s="280"/>
      <c r="AH46" s="280"/>
      <c r="AI46" s="280"/>
      <c r="AJ46" s="280"/>
      <c r="AK46" s="280"/>
      <c r="AL46" s="280"/>
      <c r="AM46" s="280"/>
      <c r="AN46" s="280"/>
      <c r="AO46" s="280"/>
      <c r="AP46" s="280"/>
      <c r="AQ46" s="280"/>
      <c r="AR46" s="280"/>
      <c r="AS46" s="280"/>
      <c r="AT46" s="280"/>
      <c r="AU46" s="281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6"/>
      <c r="BI46" s="36"/>
      <c r="BJ46" s="36"/>
      <c r="BK46" s="32"/>
    </row>
    <row r="47" spans="1:63" s="33" customFormat="1" ht="15" customHeight="1" x14ac:dyDescent="0.25">
      <c r="A47" s="28"/>
      <c r="B47" s="35"/>
      <c r="C47" s="273">
        <f>C46+1</f>
        <v>2</v>
      </c>
      <c r="D47" s="275"/>
      <c r="E47" s="273" t="s">
        <v>60</v>
      </c>
      <c r="F47" s="274"/>
      <c r="G47" s="274"/>
      <c r="H47" s="274"/>
      <c r="I47" s="274"/>
      <c r="J47" s="274"/>
      <c r="K47" s="275"/>
      <c r="L47" s="273" t="s">
        <v>44</v>
      </c>
      <c r="M47" s="274"/>
      <c r="N47" s="274"/>
      <c r="O47" s="274"/>
      <c r="P47" s="274"/>
      <c r="Q47" s="274"/>
      <c r="R47" s="275"/>
      <c r="S47" s="270" t="s">
        <v>62</v>
      </c>
      <c r="T47" s="271"/>
      <c r="U47" s="271"/>
      <c r="V47" s="271"/>
      <c r="W47" s="271"/>
      <c r="X47" s="271"/>
      <c r="Y47" s="271"/>
      <c r="Z47" s="271"/>
      <c r="AA47" s="271"/>
      <c r="AB47" s="272"/>
      <c r="AC47" s="273" t="s">
        <v>66</v>
      </c>
      <c r="AD47" s="274"/>
      <c r="AE47" s="274"/>
      <c r="AF47" s="274"/>
      <c r="AG47" s="274"/>
      <c r="AH47" s="274"/>
      <c r="AI47" s="274"/>
      <c r="AJ47" s="274"/>
      <c r="AK47" s="274"/>
      <c r="AL47" s="274"/>
      <c r="AM47" s="274"/>
      <c r="AN47" s="274"/>
      <c r="AO47" s="274"/>
      <c r="AP47" s="274"/>
      <c r="AQ47" s="274"/>
      <c r="AR47" s="274"/>
      <c r="AS47" s="274"/>
      <c r="AT47" s="274"/>
      <c r="AU47" s="27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6"/>
      <c r="BI47" s="36"/>
      <c r="BJ47" s="36"/>
      <c r="BK47" s="32"/>
    </row>
    <row r="48" spans="1:63" s="33" customFormat="1" ht="15" customHeight="1" x14ac:dyDescent="0.25">
      <c r="A48" s="28"/>
      <c r="B48" s="35"/>
      <c r="C48" s="273">
        <v>3</v>
      </c>
      <c r="D48" s="275"/>
      <c r="E48" s="273" t="s">
        <v>67</v>
      </c>
      <c r="F48" s="274"/>
      <c r="G48" s="274"/>
      <c r="H48" s="274"/>
      <c r="I48" s="274"/>
      <c r="J48" s="274"/>
      <c r="K48" s="275"/>
      <c r="L48" s="273" t="s">
        <v>68</v>
      </c>
      <c r="M48" s="274"/>
      <c r="N48" s="274"/>
      <c r="O48" s="274"/>
      <c r="P48" s="274"/>
      <c r="Q48" s="274"/>
      <c r="R48" s="275"/>
      <c r="S48" s="270" t="s">
        <v>69</v>
      </c>
      <c r="T48" s="271"/>
      <c r="U48" s="271"/>
      <c r="V48" s="271"/>
      <c r="W48" s="271"/>
      <c r="X48" s="271"/>
      <c r="Y48" s="271"/>
      <c r="Z48" s="271"/>
      <c r="AA48" s="271"/>
      <c r="AB48" s="272"/>
      <c r="AC48" s="273" t="s">
        <v>19</v>
      </c>
      <c r="AD48" s="274"/>
      <c r="AE48" s="274"/>
      <c r="AF48" s="274"/>
      <c r="AG48" s="274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6"/>
      <c r="BI48" s="36"/>
      <c r="BJ48" s="36"/>
      <c r="BK48" s="32"/>
    </row>
    <row r="49" spans="1:63" s="33" customFormat="1" ht="15" customHeight="1" x14ac:dyDescent="0.25">
      <c r="A49" s="28"/>
      <c r="B49" s="35"/>
      <c r="C49" s="273">
        <f t="shared" ref="C49:C60" si="1">C48+1</f>
        <v>4</v>
      </c>
      <c r="D49" s="275"/>
      <c r="E49" s="351" t="s">
        <v>63</v>
      </c>
      <c r="F49" s="352"/>
      <c r="G49" s="352"/>
      <c r="H49" s="352"/>
      <c r="I49" s="352"/>
      <c r="J49" s="352"/>
      <c r="K49" s="353"/>
      <c r="L49" s="273" t="s">
        <v>44</v>
      </c>
      <c r="M49" s="274"/>
      <c r="N49" s="274"/>
      <c r="O49" s="274"/>
      <c r="P49" s="274"/>
      <c r="Q49" s="274"/>
      <c r="R49" s="275"/>
      <c r="S49" s="270" t="s">
        <v>70</v>
      </c>
      <c r="T49" s="271"/>
      <c r="U49" s="271"/>
      <c r="V49" s="271"/>
      <c r="W49" s="271"/>
      <c r="X49" s="271"/>
      <c r="Y49" s="271"/>
      <c r="Z49" s="271"/>
      <c r="AA49" s="271"/>
      <c r="AB49" s="272"/>
      <c r="AC49" s="273" t="s">
        <v>19</v>
      </c>
      <c r="AD49" s="274"/>
      <c r="AE49" s="274"/>
      <c r="AF49" s="274"/>
      <c r="AG49" s="274"/>
      <c r="AH49" s="274"/>
      <c r="AI49" s="274"/>
      <c r="AJ49" s="274"/>
      <c r="AK49" s="274"/>
      <c r="AL49" s="274"/>
      <c r="AM49" s="274"/>
      <c r="AN49" s="274"/>
      <c r="AO49" s="274"/>
      <c r="AP49" s="274"/>
      <c r="AQ49" s="274"/>
      <c r="AR49" s="274"/>
      <c r="AS49" s="274"/>
      <c r="AT49" s="274"/>
      <c r="AU49" s="27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6"/>
      <c r="BI49" s="36"/>
      <c r="BJ49" s="36"/>
      <c r="BK49" s="32"/>
    </row>
    <row r="50" spans="1:63" s="33" customFormat="1" ht="15" customHeight="1" x14ac:dyDescent="0.25">
      <c r="A50" s="28"/>
      <c r="B50" s="35"/>
      <c r="C50" s="273">
        <f t="shared" si="1"/>
        <v>5</v>
      </c>
      <c r="D50" s="275"/>
      <c r="E50" s="351" t="s">
        <v>182</v>
      </c>
      <c r="F50" s="352"/>
      <c r="G50" s="352"/>
      <c r="H50" s="352"/>
      <c r="I50" s="352"/>
      <c r="J50" s="352"/>
      <c r="K50" s="353"/>
      <c r="L50" s="273" t="s">
        <v>44</v>
      </c>
      <c r="M50" s="274"/>
      <c r="N50" s="274"/>
      <c r="O50" s="274"/>
      <c r="P50" s="274"/>
      <c r="Q50" s="274"/>
      <c r="R50" s="275"/>
      <c r="S50" s="270" t="s">
        <v>71</v>
      </c>
      <c r="T50" s="271"/>
      <c r="U50" s="271"/>
      <c r="V50" s="271"/>
      <c r="W50" s="271"/>
      <c r="X50" s="271"/>
      <c r="Y50" s="271"/>
      <c r="Z50" s="271"/>
      <c r="AA50" s="271"/>
      <c r="AB50" s="272"/>
      <c r="AC50" s="273" t="s">
        <v>19</v>
      </c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4"/>
      <c r="AU50" s="27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6"/>
      <c r="BI50" s="36"/>
      <c r="BJ50" s="36"/>
      <c r="BK50" s="32"/>
    </row>
    <row r="51" spans="1:63" s="33" customFormat="1" ht="86.25" customHeight="1" x14ac:dyDescent="0.25">
      <c r="A51" s="28"/>
      <c r="B51" s="35"/>
      <c r="C51" s="273">
        <f t="shared" si="1"/>
        <v>6</v>
      </c>
      <c r="D51" s="275"/>
      <c r="E51" s="351" t="s">
        <v>64</v>
      </c>
      <c r="F51" s="352"/>
      <c r="G51" s="352"/>
      <c r="H51" s="352"/>
      <c r="I51" s="352"/>
      <c r="J51" s="352"/>
      <c r="K51" s="353"/>
      <c r="L51" s="273" t="s">
        <v>44</v>
      </c>
      <c r="M51" s="274"/>
      <c r="N51" s="274"/>
      <c r="O51" s="274"/>
      <c r="P51" s="274"/>
      <c r="Q51" s="274"/>
      <c r="R51" s="275"/>
      <c r="S51" s="270" t="s">
        <v>72</v>
      </c>
      <c r="T51" s="271"/>
      <c r="U51" s="271"/>
      <c r="V51" s="271"/>
      <c r="W51" s="271"/>
      <c r="X51" s="271"/>
      <c r="Y51" s="271"/>
      <c r="Z51" s="271"/>
      <c r="AA51" s="271"/>
      <c r="AB51" s="272"/>
      <c r="AC51" s="354" t="s">
        <v>233</v>
      </c>
      <c r="AD51" s="355"/>
      <c r="AE51" s="355"/>
      <c r="AF51" s="355"/>
      <c r="AG51" s="355"/>
      <c r="AH51" s="355"/>
      <c r="AI51" s="355"/>
      <c r="AJ51" s="355"/>
      <c r="AK51" s="355"/>
      <c r="AL51" s="355"/>
      <c r="AM51" s="355"/>
      <c r="AN51" s="355"/>
      <c r="AO51" s="355"/>
      <c r="AP51" s="355"/>
      <c r="AQ51" s="355"/>
      <c r="AR51" s="355"/>
      <c r="AS51" s="355"/>
      <c r="AT51" s="355"/>
      <c r="AU51" s="356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6"/>
      <c r="BI51" s="36"/>
      <c r="BJ51" s="36"/>
      <c r="BK51" s="32"/>
    </row>
    <row r="52" spans="1:63" s="33" customFormat="1" ht="15" customHeight="1" x14ac:dyDescent="0.25">
      <c r="A52" s="28"/>
      <c r="B52" s="35"/>
      <c r="C52" s="273">
        <f t="shared" si="1"/>
        <v>7</v>
      </c>
      <c r="D52" s="275"/>
      <c r="E52" s="351" t="s">
        <v>65</v>
      </c>
      <c r="F52" s="352"/>
      <c r="G52" s="352"/>
      <c r="H52" s="352"/>
      <c r="I52" s="352"/>
      <c r="J52" s="352"/>
      <c r="K52" s="353"/>
      <c r="L52" s="273" t="s">
        <v>44</v>
      </c>
      <c r="M52" s="274"/>
      <c r="N52" s="274"/>
      <c r="O52" s="274"/>
      <c r="P52" s="274"/>
      <c r="Q52" s="274"/>
      <c r="R52" s="275"/>
      <c r="S52" s="270" t="s">
        <v>73</v>
      </c>
      <c r="T52" s="271"/>
      <c r="U52" s="271"/>
      <c r="V52" s="271"/>
      <c r="W52" s="271"/>
      <c r="X52" s="271"/>
      <c r="Y52" s="271"/>
      <c r="Z52" s="271"/>
      <c r="AA52" s="271"/>
      <c r="AB52" s="272"/>
      <c r="AC52" s="273" t="s">
        <v>19</v>
      </c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6"/>
      <c r="BI52" s="36"/>
      <c r="BJ52" s="36"/>
      <c r="BK52" s="32"/>
    </row>
    <row r="53" spans="1:63" s="33" customFormat="1" ht="53.25" customHeight="1" x14ac:dyDescent="0.25">
      <c r="A53" s="28"/>
      <c r="B53" s="35"/>
      <c r="C53" s="273">
        <f t="shared" si="1"/>
        <v>8</v>
      </c>
      <c r="D53" s="275"/>
      <c r="E53" s="351" t="s">
        <v>54</v>
      </c>
      <c r="F53" s="352"/>
      <c r="G53" s="352"/>
      <c r="H53" s="352"/>
      <c r="I53" s="352"/>
      <c r="J53" s="352"/>
      <c r="K53" s="353"/>
      <c r="L53" s="273" t="s">
        <v>44</v>
      </c>
      <c r="M53" s="274"/>
      <c r="N53" s="274"/>
      <c r="O53" s="274"/>
      <c r="P53" s="274"/>
      <c r="Q53" s="274"/>
      <c r="R53" s="275"/>
      <c r="S53" s="270" t="s">
        <v>74</v>
      </c>
      <c r="T53" s="271"/>
      <c r="U53" s="271"/>
      <c r="V53" s="271"/>
      <c r="W53" s="271"/>
      <c r="X53" s="271"/>
      <c r="Y53" s="271"/>
      <c r="Z53" s="271"/>
      <c r="AA53" s="271"/>
      <c r="AB53" s="272"/>
      <c r="AC53" s="357" t="s">
        <v>234</v>
      </c>
      <c r="AD53" s="358"/>
      <c r="AE53" s="358"/>
      <c r="AF53" s="358"/>
      <c r="AG53" s="358"/>
      <c r="AH53" s="358"/>
      <c r="AI53" s="358"/>
      <c r="AJ53" s="358"/>
      <c r="AK53" s="358"/>
      <c r="AL53" s="358"/>
      <c r="AM53" s="358"/>
      <c r="AN53" s="358"/>
      <c r="AO53" s="358"/>
      <c r="AP53" s="358"/>
      <c r="AQ53" s="358"/>
      <c r="AR53" s="358"/>
      <c r="AS53" s="358"/>
      <c r="AT53" s="358"/>
      <c r="AU53" s="359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6"/>
      <c r="BI53" s="36"/>
      <c r="BJ53" s="36"/>
      <c r="BK53" s="32"/>
    </row>
    <row r="54" spans="1:63" s="33" customFormat="1" ht="33" customHeight="1" x14ac:dyDescent="0.25">
      <c r="A54" s="28"/>
      <c r="B54" s="35"/>
      <c r="C54" s="361">
        <f t="shared" si="1"/>
        <v>9</v>
      </c>
      <c r="D54" s="359"/>
      <c r="E54" s="374" t="s">
        <v>235</v>
      </c>
      <c r="F54" s="375"/>
      <c r="G54" s="375"/>
      <c r="H54" s="375"/>
      <c r="I54" s="375"/>
      <c r="J54" s="375"/>
      <c r="K54" s="376"/>
      <c r="L54" s="273" t="s">
        <v>44</v>
      </c>
      <c r="M54" s="274"/>
      <c r="N54" s="274"/>
      <c r="O54" s="274"/>
      <c r="P54" s="274"/>
      <c r="Q54" s="274"/>
      <c r="R54" s="275"/>
      <c r="S54" s="270" t="s">
        <v>87</v>
      </c>
      <c r="T54" s="271"/>
      <c r="U54" s="271"/>
      <c r="V54" s="271"/>
      <c r="W54" s="271"/>
      <c r="X54" s="271"/>
      <c r="Y54" s="271"/>
      <c r="Z54" s="271"/>
      <c r="AA54" s="271"/>
      <c r="AB54" s="272"/>
      <c r="AC54" s="357" t="s">
        <v>214</v>
      </c>
      <c r="AD54" s="358"/>
      <c r="AE54" s="358"/>
      <c r="AF54" s="358"/>
      <c r="AG54" s="358"/>
      <c r="AH54" s="358"/>
      <c r="AI54" s="358"/>
      <c r="AJ54" s="358"/>
      <c r="AK54" s="358"/>
      <c r="AL54" s="358"/>
      <c r="AM54" s="358"/>
      <c r="AN54" s="358"/>
      <c r="AO54" s="358"/>
      <c r="AP54" s="358"/>
      <c r="AQ54" s="358"/>
      <c r="AR54" s="358"/>
      <c r="AS54" s="358"/>
      <c r="AT54" s="358"/>
      <c r="AU54" s="359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6"/>
      <c r="BI54" s="36"/>
      <c r="BJ54" s="36"/>
      <c r="BK54" s="32"/>
    </row>
    <row r="55" spans="1:63" s="33" customFormat="1" ht="15" customHeight="1" x14ac:dyDescent="0.25">
      <c r="A55" s="28"/>
      <c r="B55" s="35"/>
      <c r="C55" s="361">
        <f t="shared" si="1"/>
        <v>10</v>
      </c>
      <c r="D55" s="359"/>
      <c r="E55" s="374" t="s">
        <v>236</v>
      </c>
      <c r="F55" s="375"/>
      <c r="G55" s="375"/>
      <c r="H55" s="375"/>
      <c r="I55" s="375"/>
      <c r="J55" s="375"/>
      <c r="K55" s="376"/>
      <c r="L55" s="273" t="s">
        <v>44</v>
      </c>
      <c r="M55" s="274"/>
      <c r="N55" s="274"/>
      <c r="O55" s="274"/>
      <c r="P55" s="274"/>
      <c r="Q55" s="274"/>
      <c r="R55" s="275"/>
      <c r="S55" s="270" t="s">
        <v>86</v>
      </c>
      <c r="T55" s="271"/>
      <c r="U55" s="271"/>
      <c r="V55" s="271"/>
      <c r="W55" s="271"/>
      <c r="X55" s="271"/>
      <c r="Y55" s="271"/>
      <c r="Z55" s="271"/>
      <c r="AA55" s="271"/>
      <c r="AB55" s="272"/>
      <c r="AC55" s="361" t="s">
        <v>237</v>
      </c>
      <c r="AD55" s="358"/>
      <c r="AE55" s="358"/>
      <c r="AF55" s="358"/>
      <c r="AG55" s="358"/>
      <c r="AH55" s="358"/>
      <c r="AI55" s="358"/>
      <c r="AJ55" s="358"/>
      <c r="AK55" s="358"/>
      <c r="AL55" s="358"/>
      <c r="AM55" s="358"/>
      <c r="AN55" s="358"/>
      <c r="AO55" s="358"/>
      <c r="AP55" s="358"/>
      <c r="AQ55" s="358"/>
      <c r="AR55" s="358"/>
      <c r="AS55" s="358"/>
      <c r="AT55" s="358"/>
      <c r="AU55" s="359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6"/>
      <c r="BI55" s="36"/>
      <c r="BJ55" s="36"/>
      <c r="BK55" s="32"/>
    </row>
    <row r="56" spans="1:63" s="33" customFormat="1" x14ac:dyDescent="0.25">
      <c r="A56" s="28"/>
      <c r="B56" s="35"/>
      <c r="C56" s="361">
        <f t="shared" si="1"/>
        <v>11</v>
      </c>
      <c r="D56" s="359"/>
      <c r="E56" s="374" t="s">
        <v>238</v>
      </c>
      <c r="F56" s="375"/>
      <c r="G56" s="375"/>
      <c r="H56" s="375"/>
      <c r="I56" s="375"/>
      <c r="J56" s="375"/>
      <c r="K56" s="376"/>
      <c r="L56" s="273" t="s">
        <v>44</v>
      </c>
      <c r="M56" s="274"/>
      <c r="N56" s="274"/>
      <c r="O56" s="274"/>
      <c r="P56" s="274"/>
      <c r="Q56" s="274"/>
      <c r="R56" s="275"/>
      <c r="S56" s="270" t="s">
        <v>74</v>
      </c>
      <c r="T56" s="271"/>
      <c r="U56" s="271"/>
      <c r="V56" s="271"/>
      <c r="W56" s="271"/>
      <c r="X56" s="271"/>
      <c r="Y56" s="271"/>
      <c r="Z56" s="271"/>
      <c r="AA56" s="271"/>
      <c r="AB56" s="272"/>
      <c r="AC56" s="361" t="s">
        <v>239</v>
      </c>
      <c r="AD56" s="358"/>
      <c r="AE56" s="358"/>
      <c r="AF56" s="358"/>
      <c r="AG56" s="358"/>
      <c r="AH56" s="358"/>
      <c r="AI56" s="358"/>
      <c r="AJ56" s="358"/>
      <c r="AK56" s="358"/>
      <c r="AL56" s="358"/>
      <c r="AM56" s="358"/>
      <c r="AN56" s="358"/>
      <c r="AO56" s="358"/>
      <c r="AP56" s="358"/>
      <c r="AQ56" s="358"/>
      <c r="AR56" s="358"/>
      <c r="AS56" s="358"/>
      <c r="AT56" s="358"/>
      <c r="AU56" s="359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6"/>
      <c r="BI56" s="36"/>
      <c r="BJ56" s="36"/>
      <c r="BK56" s="32"/>
    </row>
    <row r="57" spans="1:63" s="33" customFormat="1" ht="33" customHeight="1" x14ac:dyDescent="0.25">
      <c r="A57" s="28"/>
      <c r="B57" s="35"/>
      <c r="C57" s="361">
        <f t="shared" si="1"/>
        <v>12</v>
      </c>
      <c r="D57" s="359"/>
      <c r="E57" s="351" t="s">
        <v>82</v>
      </c>
      <c r="F57" s="352"/>
      <c r="G57" s="352"/>
      <c r="H57" s="352"/>
      <c r="I57" s="352"/>
      <c r="J57" s="352"/>
      <c r="K57" s="353"/>
      <c r="L57" s="273" t="s">
        <v>45</v>
      </c>
      <c r="M57" s="274"/>
      <c r="N57" s="274"/>
      <c r="O57" s="274"/>
      <c r="P57" s="274"/>
      <c r="Q57" s="274"/>
      <c r="R57" s="275"/>
      <c r="S57" s="362" t="s">
        <v>83</v>
      </c>
      <c r="T57" s="363"/>
      <c r="U57" s="363"/>
      <c r="V57" s="363"/>
      <c r="W57" s="363"/>
      <c r="X57" s="363"/>
      <c r="Y57" s="363"/>
      <c r="Z57" s="363"/>
      <c r="AA57" s="363"/>
      <c r="AB57" s="364"/>
      <c r="AC57" s="273" t="s">
        <v>19</v>
      </c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4"/>
      <c r="AU57" s="27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6"/>
      <c r="BI57" s="36"/>
      <c r="BJ57" s="36"/>
      <c r="BK57" s="32"/>
    </row>
    <row r="58" spans="1:63" s="33" customFormat="1" ht="51.75" customHeight="1" x14ac:dyDescent="0.25">
      <c r="A58" s="28"/>
      <c r="B58" s="35"/>
      <c r="C58" s="361">
        <f t="shared" si="1"/>
        <v>13</v>
      </c>
      <c r="D58" s="359"/>
      <c r="E58" s="381" t="s">
        <v>47</v>
      </c>
      <c r="F58" s="382"/>
      <c r="G58" s="382"/>
      <c r="H58" s="382"/>
      <c r="I58" s="382"/>
      <c r="J58" s="382"/>
      <c r="K58" s="383"/>
      <c r="L58" s="273" t="s">
        <v>44</v>
      </c>
      <c r="M58" s="274"/>
      <c r="N58" s="274"/>
      <c r="O58" s="274"/>
      <c r="P58" s="274"/>
      <c r="Q58" s="274"/>
      <c r="R58" s="275"/>
      <c r="S58" s="270" t="s">
        <v>77</v>
      </c>
      <c r="T58" s="271"/>
      <c r="U58" s="271"/>
      <c r="V58" s="271"/>
      <c r="W58" s="271"/>
      <c r="X58" s="271"/>
      <c r="Y58" s="271"/>
      <c r="Z58" s="271"/>
      <c r="AA58" s="271"/>
      <c r="AB58" s="272"/>
      <c r="AC58" s="380" t="s">
        <v>240</v>
      </c>
      <c r="AD58" s="369"/>
      <c r="AE58" s="369"/>
      <c r="AF58" s="369"/>
      <c r="AG58" s="369"/>
      <c r="AH58" s="369"/>
      <c r="AI58" s="369"/>
      <c r="AJ58" s="369"/>
      <c r="AK58" s="369"/>
      <c r="AL58" s="369"/>
      <c r="AM58" s="369"/>
      <c r="AN58" s="369"/>
      <c r="AO58" s="369"/>
      <c r="AP58" s="369"/>
      <c r="AQ58" s="369"/>
      <c r="AR58" s="369"/>
      <c r="AS58" s="369"/>
      <c r="AT58" s="369"/>
      <c r="AU58" s="370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6"/>
      <c r="BI58" s="36"/>
      <c r="BJ58" s="36"/>
      <c r="BK58" s="32"/>
    </row>
    <row r="59" spans="1:63" s="76" customFormat="1" ht="15" customHeight="1" x14ac:dyDescent="0.25">
      <c r="A59" s="72"/>
      <c r="B59" s="73"/>
      <c r="C59" s="361">
        <f t="shared" si="1"/>
        <v>14</v>
      </c>
      <c r="D59" s="359"/>
      <c r="E59" s="365" t="s">
        <v>241</v>
      </c>
      <c r="F59" s="366"/>
      <c r="G59" s="366"/>
      <c r="H59" s="366"/>
      <c r="I59" s="366"/>
      <c r="J59" s="366"/>
      <c r="K59" s="367"/>
      <c r="L59" s="368" t="s">
        <v>242</v>
      </c>
      <c r="M59" s="369"/>
      <c r="N59" s="369"/>
      <c r="O59" s="369"/>
      <c r="P59" s="369"/>
      <c r="Q59" s="369"/>
      <c r="R59" s="370"/>
      <c r="S59" s="371" t="s">
        <v>243</v>
      </c>
      <c r="T59" s="372"/>
      <c r="U59" s="372"/>
      <c r="V59" s="372"/>
      <c r="W59" s="372"/>
      <c r="X59" s="372"/>
      <c r="Y59" s="372"/>
      <c r="Z59" s="372"/>
      <c r="AA59" s="372"/>
      <c r="AB59" s="373"/>
      <c r="AC59" s="368" t="s">
        <v>244</v>
      </c>
      <c r="AD59" s="369"/>
      <c r="AE59" s="369"/>
      <c r="AF59" s="369"/>
      <c r="AG59" s="369"/>
      <c r="AH59" s="369"/>
      <c r="AI59" s="369"/>
      <c r="AJ59" s="369"/>
      <c r="AK59" s="369"/>
      <c r="AL59" s="369"/>
      <c r="AM59" s="369"/>
      <c r="AN59" s="369"/>
      <c r="AO59" s="369"/>
      <c r="AP59" s="369"/>
      <c r="AQ59" s="369"/>
      <c r="AR59" s="369"/>
      <c r="AS59" s="369"/>
      <c r="AT59" s="369"/>
      <c r="AU59" s="370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4"/>
      <c r="BI59" s="74"/>
      <c r="BJ59" s="74"/>
      <c r="BK59" s="75"/>
    </row>
    <row r="60" spans="1:63" s="76" customFormat="1" ht="34.5" customHeight="1" x14ac:dyDescent="0.25">
      <c r="A60" s="72"/>
      <c r="B60" s="73"/>
      <c r="C60" s="361">
        <f t="shared" si="1"/>
        <v>15</v>
      </c>
      <c r="D60" s="359"/>
      <c r="E60" s="365" t="s">
        <v>245</v>
      </c>
      <c r="F60" s="366"/>
      <c r="G60" s="366"/>
      <c r="H60" s="366"/>
      <c r="I60" s="366"/>
      <c r="J60" s="366"/>
      <c r="K60" s="367"/>
      <c r="L60" s="368" t="s">
        <v>246</v>
      </c>
      <c r="M60" s="369"/>
      <c r="N60" s="369"/>
      <c r="O60" s="369"/>
      <c r="P60" s="369"/>
      <c r="Q60" s="369"/>
      <c r="R60" s="370"/>
      <c r="S60" s="377" t="s">
        <v>247</v>
      </c>
      <c r="T60" s="378"/>
      <c r="U60" s="378"/>
      <c r="V60" s="378"/>
      <c r="W60" s="378"/>
      <c r="X60" s="378"/>
      <c r="Y60" s="378"/>
      <c r="Z60" s="378"/>
      <c r="AA60" s="378"/>
      <c r="AB60" s="379"/>
      <c r="AC60" s="380" t="s">
        <v>248</v>
      </c>
      <c r="AD60" s="369"/>
      <c r="AE60" s="369"/>
      <c r="AF60" s="369"/>
      <c r="AG60" s="369"/>
      <c r="AH60" s="369"/>
      <c r="AI60" s="369"/>
      <c r="AJ60" s="369"/>
      <c r="AK60" s="369"/>
      <c r="AL60" s="369"/>
      <c r="AM60" s="369"/>
      <c r="AN60" s="369"/>
      <c r="AO60" s="369"/>
      <c r="AP60" s="369"/>
      <c r="AQ60" s="369"/>
      <c r="AR60" s="369"/>
      <c r="AS60" s="369"/>
      <c r="AT60" s="369"/>
      <c r="AU60" s="370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4"/>
      <c r="BI60" s="74"/>
      <c r="BJ60" s="74"/>
      <c r="BK60" s="75"/>
    </row>
    <row r="61" spans="1:63" s="33" customFormat="1" ht="15" customHeight="1" x14ac:dyDescent="0.25">
      <c r="A61" s="28"/>
      <c r="B61" s="35"/>
      <c r="C61" s="35"/>
      <c r="D61" s="35"/>
      <c r="E61" s="112"/>
      <c r="F61" s="112"/>
      <c r="G61" s="112"/>
      <c r="H61" s="112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112"/>
      <c r="T61" s="112"/>
      <c r="U61" s="112"/>
      <c r="V61" s="112"/>
      <c r="W61" s="112"/>
      <c r="X61" s="112"/>
      <c r="Y61" s="112"/>
      <c r="Z61" s="112"/>
      <c r="AA61" s="112"/>
      <c r="AB61" s="35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6"/>
      <c r="BI61" s="36"/>
      <c r="BJ61" s="36"/>
      <c r="BK61" s="32"/>
    </row>
    <row r="62" spans="1:63" s="33" customFormat="1" ht="15" customHeight="1" x14ac:dyDescent="0.25">
      <c r="A62" s="28"/>
      <c r="B62" s="35"/>
      <c r="C62" s="38" t="s">
        <v>249</v>
      </c>
      <c r="D62" s="35"/>
      <c r="E62" s="112"/>
      <c r="F62" s="35"/>
      <c r="G62" s="112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6"/>
      <c r="BI62" s="36"/>
      <c r="BJ62" s="36"/>
      <c r="BK62" s="32"/>
    </row>
    <row r="63" spans="1:63" s="33" customFormat="1" ht="15" customHeight="1" x14ac:dyDescent="0.25">
      <c r="A63" s="28"/>
      <c r="B63" s="35"/>
      <c r="C63" s="38"/>
      <c r="D63" s="112"/>
      <c r="E63" s="112"/>
      <c r="F63" s="35"/>
      <c r="G63" s="112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6"/>
      <c r="BI63" s="36"/>
      <c r="BJ63" s="36"/>
      <c r="BK63" s="32"/>
    </row>
    <row r="64" spans="1:63" s="33" customFormat="1" ht="15" customHeight="1" x14ac:dyDescent="0.25">
      <c r="A64" s="28"/>
      <c r="B64" s="35"/>
      <c r="C64" s="11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39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6"/>
      <c r="BI64" s="36"/>
      <c r="BJ64" s="36"/>
      <c r="BK64" s="32"/>
    </row>
    <row r="65" spans="1:63" s="33" customFormat="1" ht="15" customHeight="1" x14ac:dyDescent="0.25">
      <c r="A65" s="28"/>
      <c r="B65" s="35"/>
      <c r="C65" s="114"/>
      <c r="D65" s="35" t="s">
        <v>48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40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6"/>
      <c r="BI65" s="36"/>
      <c r="BJ65" s="36"/>
      <c r="BK65" s="32"/>
    </row>
    <row r="66" spans="1:63" s="33" customFormat="1" ht="70.5" customHeight="1" x14ac:dyDescent="0.25">
      <c r="A66" s="28"/>
      <c r="B66" s="35"/>
      <c r="C66" s="114"/>
      <c r="D66" s="35"/>
      <c r="E66" s="360" t="s">
        <v>79</v>
      </c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0"/>
      <c r="AG66" s="360"/>
      <c r="AH66" s="360"/>
      <c r="AI66" s="360"/>
      <c r="AJ66" s="360"/>
      <c r="AK66" s="360"/>
      <c r="AL66" s="360"/>
      <c r="AM66" s="360"/>
      <c r="AN66" s="360"/>
      <c r="AO66" s="360"/>
      <c r="AP66" s="360"/>
      <c r="AQ66" s="360"/>
      <c r="AR66" s="360"/>
      <c r="AS66" s="360"/>
      <c r="AT66" s="35"/>
      <c r="AU66" s="40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6"/>
      <c r="BI66" s="36"/>
      <c r="BJ66" s="36"/>
      <c r="BK66" s="32"/>
    </row>
    <row r="67" spans="1:63" s="33" customFormat="1" ht="15" customHeight="1" x14ac:dyDescent="0.25">
      <c r="A67" s="28"/>
      <c r="B67" s="35"/>
      <c r="C67" s="114"/>
      <c r="D67" s="35"/>
      <c r="E67" s="35" t="s">
        <v>75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40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6"/>
      <c r="BI67" s="36"/>
      <c r="BJ67" s="36"/>
      <c r="BK67" s="32"/>
    </row>
    <row r="68" spans="1:63" s="63" customFormat="1" ht="15" customHeight="1" x14ac:dyDescent="0.25">
      <c r="A68" s="57"/>
      <c r="B68" s="58"/>
      <c r="C68" s="59"/>
      <c r="D68" s="58"/>
      <c r="E68" s="35" t="s">
        <v>76</v>
      </c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60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61"/>
      <c r="BI68" s="61"/>
      <c r="BJ68" s="61"/>
      <c r="BK68" s="62"/>
    </row>
    <row r="69" spans="1:63" s="63" customFormat="1" ht="15" customHeight="1" x14ac:dyDescent="0.25">
      <c r="A69" s="57"/>
      <c r="B69" s="58"/>
      <c r="C69" s="59"/>
      <c r="D69" s="58"/>
      <c r="E69" s="58"/>
      <c r="F69" s="58" t="s">
        <v>250</v>
      </c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60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61"/>
      <c r="BI69" s="61"/>
      <c r="BJ69" s="61"/>
      <c r="BK69" s="62"/>
    </row>
    <row r="70" spans="1:63" s="63" customFormat="1" ht="15" customHeight="1" x14ac:dyDescent="0.25">
      <c r="A70" s="57"/>
      <c r="B70" s="58"/>
      <c r="C70" s="59"/>
      <c r="D70" s="58"/>
      <c r="E70" s="58"/>
      <c r="F70" s="58" t="s">
        <v>251</v>
      </c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60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61"/>
      <c r="BI70" s="61"/>
      <c r="BJ70" s="61"/>
      <c r="BK70" s="62"/>
    </row>
    <row r="71" spans="1:63" s="63" customFormat="1" ht="15" customHeight="1" x14ac:dyDescent="0.25">
      <c r="A71" s="57"/>
      <c r="B71" s="58"/>
      <c r="C71" s="59"/>
      <c r="D71" s="58"/>
      <c r="E71" s="58"/>
      <c r="F71" s="58" t="s">
        <v>252</v>
      </c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60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61"/>
      <c r="BI71" s="61"/>
      <c r="BJ71" s="61"/>
      <c r="BK71" s="62"/>
    </row>
    <row r="72" spans="1:63" s="63" customFormat="1" ht="15" customHeight="1" x14ac:dyDescent="0.25">
      <c r="A72" s="57"/>
      <c r="B72" s="58"/>
      <c r="C72" s="59"/>
      <c r="D72" s="58"/>
      <c r="E72" s="58"/>
      <c r="F72" s="58" t="s">
        <v>253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60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61"/>
      <c r="BI72" s="61"/>
      <c r="BJ72" s="61"/>
      <c r="BK72" s="62"/>
    </row>
    <row r="73" spans="1:63" s="63" customFormat="1" ht="14.25" customHeight="1" x14ac:dyDescent="0.25">
      <c r="A73" s="57"/>
      <c r="B73" s="58"/>
      <c r="C73" s="59"/>
      <c r="D73" s="58"/>
      <c r="E73" s="58"/>
      <c r="F73" s="58" t="s">
        <v>254</v>
      </c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60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61"/>
      <c r="BI73" s="61"/>
      <c r="BJ73" s="61"/>
      <c r="BK73" s="62"/>
    </row>
    <row r="74" spans="1:63" s="63" customFormat="1" ht="14.25" customHeight="1" x14ac:dyDescent="0.25">
      <c r="A74" s="57"/>
      <c r="B74" s="58"/>
      <c r="C74" s="59"/>
      <c r="D74" s="58"/>
      <c r="E74" s="58"/>
      <c r="F74" s="58" t="s">
        <v>255</v>
      </c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60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61"/>
      <c r="BI74" s="61"/>
      <c r="BJ74" s="61"/>
      <c r="BK74" s="62"/>
    </row>
    <row r="75" spans="1:63" s="63" customFormat="1" ht="14.25" customHeight="1" x14ac:dyDescent="0.25">
      <c r="A75" s="57"/>
      <c r="B75" s="58"/>
      <c r="C75" s="59"/>
      <c r="D75" s="58"/>
      <c r="E75" s="58"/>
      <c r="F75" s="65" t="s">
        <v>256</v>
      </c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60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61"/>
      <c r="BI75" s="61"/>
      <c r="BJ75" s="61"/>
      <c r="BK75" s="62"/>
    </row>
    <row r="76" spans="1:63" s="63" customFormat="1" ht="15" customHeight="1" x14ac:dyDescent="0.25">
      <c r="A76" s="57"/>
      <c r="B76" s="58"/>
      <c r="C76" s="59"/>
      <c r="D76" s="58"/>
      <c r="E76" s="58"/>
      <c r="F76" s="58" t="s">
        <v>88</v>
      </c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60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61"/>
      <c r="BI76" s="61"/>
      <c r="BJ76" s="61"/>
      <c r="BK76" s="62"/>
    </row>
    <row r="77" spans="1:63" s="33" customFormat="1" ht="15" customHeight="1" x14ac:dyDescent="0.25">
      <c r="A77" s="28"/>
      <c r="B77" s="35"/>
      <c r="C77" s="114"/>
      <c r="D77" s="35"/>
      <c r="E77" s="35"/>
      <c r="F77" s="35" t="s">
        <v>78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40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6"/>
      <c r="BI77" s="36"/>
      <c r="BJ77" s="36"/>
      <c r="BK77" s="32"/>
    </row>
    <row r="78" spans="1:63" s="63" customFormat="1" ht="15" customHeight="1" x14ac:dyDescent="0.25">
      <c r="A78" s="57"/>
      <c r="B78" s="58"/>
      <c r="C78" s="59"/>
      <c r="D78" s="58"/>
      <c r="E78" s="58"/>
      <c r="F78" s="58"/>
      <c r="G78" s="58" t="s">
        <v>48</v>
      </c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60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61"/>
      <c r="BI78" s="61"/>
      <c r="BJ78" s="61"/>
      <c r="BK78" s="62"/>
    </row>
    <row r="79" spans="1:63" s="63" customFormat="1" ht="15" customHeight="1" x14ac:dyDescent="0.25">
      <c r="A79" s="57"/>
      <c r="B79" s="58"/>
      <c r="C79" s="59"/>
      <c r="D79" s="58"/>
      <c r="E79" s="58"/>
      <c r="F79" s="58"/>
      <c r="G79" s="58"/>
      <c r="H79" s="58" t="s">
        <v>257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60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61"/>
      <c r="BI79" s="61"/>
      <c r="BJ79" s="61"/>
      <c r="BK79" s="62"/>
    </row>
    <row r="80" spans="1:63" s="71" customFormat="1" ht="15" customHeight="1" x14ac:dyDescent="0.25">
      <c r="A80" s="66"/>
      <c r="B80" s="67"/>
      <c r="C80" s="66"/>
      <c r="D80" s="67"/>
      <c r="E80" s="67"/>
      <c r="F80" s="67"/>
      <c r="G80" s="67"/>
      <c r="H80" s="67" t="s">
        <v>258</v>
      </c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8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9"/>
      <c r="BI80" s="69"/>
      <c r="BJ80" s="69"/>
      <c r="BK80" s="70"/>
    </row>
    <row r="81" spans="1:63" s="71" customFormat="1" ht="15" customHeight="1" x14ac:dyDescent="0.25">
      <c r="A81" s="66"/>
      <c r="B81" s="67"/>
      <c r="C81" s="66"/>
      <c r="D81" s="67"/>
      <c r="E81" s="67"/>
      <c r="F81" s="67"/>
      <c r="G81" s="67"/>
      <c r="H81" s="67" t="s">
        <v>259</v>
      </c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8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9"/>
      <c r="BI81" s="69"/>
      <c r="BJ81" s="69"/>
      <c r="BK81" s="70"/>
    </row>
    <row r="82" spans="1:63" s="63" customFormat="1" ht="15" customHeight="1" x14ac:dyDescent="0.25">
      <c r="A82" s="57"/>
      <c r="B82" s="58"/>
      <c r="C82" s="59"/>
      <c r="D82" s="58"/>
      <c r="E82" s="58"/>
      <c r="F82" s="58"/>
      <c r="G82" s="58" t="s">
        <v>49</v>
      </c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60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61"/>
      <c r="BI82" s="61"/>
      <c r="BJ82" s="61"/>
      <c r="BK82" s="62"/>
    </row>
    <row r="83" spans="1:63" s="33" customFormat="1" ht="15" customHeight="1" x14ac:dyDescent="0.25">
      <c r="A83" s="28"/>
      <c r="B83" s="35"/>
      <c r="C83" s="114"/>
      <c r="D83" s="35"/>
      <c r="E83" s="35"/>
      <c r="F83" s="35" t="s">
        <v>50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40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6"/>
      <c r="BI83" s="36"/>
      <c r="BJ83" s="36"/>
      <c r="BK83" s="32"/>
    </row>
    <row r="84" spans="1:63" s="33" customFormat="1" ht="15" customHeight="1" x14ac:dyDescent="0.25">
      <c r="A84" s="28"/>
      <c r="B84" s="35"/>
      <c r="C84" s="114"/>
      <c r="D84" s="35" t="s">
        <v>49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40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6"/>
      <c r="BI84" s="36"/>
      <c r="BJ84" s="36"/>
      <c r="BK84" s="32"/>
    </row>
    <row r="85" spans="1:63" s="33" customFormat="1" ht="15" customHeight="1" x14ac:dyDescent="0.25">
      <c r="A85" s="28"/>
      <c r="B85" s="35"/>
      <c r="C85" s="116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1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6"/>
      <c r="BI85" s="36"/>
      <c r="BJ85" s="36"/>
      <c r="BK85" s="32"/>
    </row>
    <row r="86" spans="1:63" s="33" customFormat="1" ht="15" customHeight="1" x14ac:dyDescent="0.25">
      <c r="A86" s="28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6"/>
      <c r="BI86" s="36"/>
      <c r="BJ86" s="36"/>
      <c r="BK86" s="32"/>
    </row>
    <row r="87" spans="1:63" s="33" customFormat="1" ht="15" customHeight="1" x14ac:dyDescent="0.25">
      <c r="A87" s="28"/>
      <c r="B87" s="35"/>
      <c r="C87" s="34" t="s">
        <v>260</v>
      </c>
      <c r="D87" s="35"/>
      <c r="E87" s="112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6"/>
      <c r="BI87" s="36"/>
      <c r="BJ87" s="36"/>
      <c r="BK87" s="32"/>
    </row>
    <row r="88" spans="1:63" s="33" customFormat="1" ht="15" customHeight="1" x14ac:dyDescent="0.25">
      <c r="A88" s="28"/>
      <c r="B88" s="35"/>
      <c r="C88" s="34"/>
      <c r="D88" s="35"/>
      <c r="E88" s="112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6"/>
      <c r="BI88" s="36"/>
      <c r="BJ88" s="36"/>
      <c r="BK88" s="32"/>
    </row>
    <row r="89" spans="1:63" s="33" customFormat="1" ht="15" customHeight="1" x14ac:dyDescent="0.25">
      <c r="A89" s="28"/>
      <c r="B89" s="35"/>
      <c r="C89" s="35" t="s">
        <v>81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6"/>
      <c r="BI89" s="36"/>
      <c r="BJ89" s="36"/>
      <c r="BK89" s="32"/>
    </row>
    <row r="90" spans="1:63" s="54" customFormat="1" ht="15" customHeight="1" x14ac:dyDescent="0.25">
      <c r="A90" s="49"/>
      <c r="B90" s="50"/>
      <c r="C90" s="50"/>
      <c r="D90" s="50"/>
      <c r="E90" s="51"/>
      <c r="F90" s="51"/>
      <c r="G90" s="51"/>
      <c r="H90" s="51"/>
      <c r="I90" s="5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2"/>
      <c r="BI90" s="52"/>
      <c r="BJ90" s="52"/>
      <c r="BK90" s="53"/>
    </row>
  </sheetData>
  <mergeCells count="172">
    <mergeCell ref="S60:AB60"/>
    <mergeCell ref="AC60:AU60"/>
    <mergeCell ref="C54:D54"/>
    <mergeCell ref="E54:K54"/>
    <mergeCell ref="L54:R54"/>
    <mergeCell ref="S54:AB54"/>
    <mergeCell ref="AC54:AU54"/>
    <mergeCell ref="C55:D55"/>
    <mergeCell ref="E55:K55"/>
    <mergeCell ref="L55:R55"/>
    <mergeCell ref="S55:AB55"/>
    <mergeCell ref="AC55:AU55"/>
    <mergeCell ref="C58:D58"/>
    <mergeCell ref="E58:K58"/>
    <mergeCell ref="L58:R58"/>
    <mergeCell ref="S58:AB58"/>
    <mergeCell ref="AC58:AU58"/>
    <mergeCell ref="C53:D53"/>
    <mergeCell ref="E53:K53"/>
    <mergeCell ref="L53:R53"/>
    <mergeCell ref="S53:AB53"/>
    <mergeCell ref="AC53:AU53"/>
    <mergeCell ref="E66:AS66"/>
    <mergeCell ref="C57:D57"/>
    <mergeCell ref="E57:K57"/>
    <mergeCell ref="L57:R57"/>
    <mergeCell ref="S57:AB57"/>
    <mergeCell ref="AC57:AU57"/>
    <mergeCell ref="C59:D59"/>
    <mergeCell ref="E59:K59"/>
    <mergeCell ref="L59:R59"/>
    <mergeCell ref="S59:AB59"/>
    <mergeCell ref="AC59:AU59"/>
    <mergeCell ref="C56:D56"/>
    <mergeCell ref="E56:K56"/>
    <mergeCell ref="L56:R56"/>
    <mergeCell ref="S56:AB56"/>
    <mergeCell ref="AC56:AU56"/>
    <mergeCell ref="C60:D60"/>
    <mergeCell ref="E60:K60"/>
    <mergeCell ref="L60:R60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49:D49"/>
    <mergeCell ref="E49:K49"/>
    <mergeCell ref="L49:R49"/>
    <mergeCell ref="S49:AB49"/>
    <mergeCell ref="AC49:AU49"/>
    <mergeCell ref="C50:D50"/>
    <mergeCell ref="E50:K50"/>
    <mergeCell ref="L50:R50"/>
    <mergeCell ref="S50:AB50"/>
    <mergeCell ref="AC50:AU50"/>
    <mergeCell ref="C38:D38"/>
    <mergeCell ref="E38:K38"/>
    <mergeCell ref="L38:N38"/>
    <mergeCell ref="O38:R38"/>
    <mergeCell ref="S38:Y38"/>
    <mergeCell ref="Z38:AP38"/>
    <mergeCell ref="AQ38:BJ38"/>
    <mergeCell ref="C48:D48"/>
    <mergeCell ref="E48:K48"/>
    <mergeCell ref="L48:R48"/>
    <mergeCell ref="S48:AB48"/>
    <mergeCell ref="AC48:AU48"/>
    <mergeCell ref="C45:D45"/>
    <mergeCell ref="C46:D46"/>
    <mergeCell ref="AC45:AU45"/>
    <mergeCell ref="AC46:AU46"/>
    <mergeCell ref="AC47:AU47"/>
    <mergeCell ref="E46:K46"/>
    <mergeCell ref="E47:K47"/>
    <mergeCell ref="L47:R47"/>
    <mergeCell ref="S47:AB47"/>
    <mergeCell ref="C47:D47"/>
    <mergeCell ref="L45:R45"/>
    <mergeCell ref="L46:R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0:D20"/>
    <mergeCell ref="S20:Y20"/>
    <mergeCell ref="AQ25:BJ25"/>
    <mergeCell ref="AQ26:BJ26"/>
    <mergeCell ref="AQ21:BJ21"/>
    <mergeCell ref="Z20:AP20"/>
    <mergeCell ref="AQ22:BJ24"/>
    <mergeCell ref="Z21:AP21"/>
    <mergeCell ref="O21:R21"/>
    <mergeCell ref="L21:N21"/>
    <mergeCell ref="O26:R26"/>
    <mergeCell ref="O22:R24"/>
    <mergeCell ref="L22:N24"/>
    <mergeCell ref="E22:K24"/>
    <mergeCell ref="E25:K25"/>
    <mergeCell ref="S25:Y25"/>
    <mergeCell ref="S26:Y26"/>
    <mergeCell ref="C26:D26"/>
    <mergeCell ref="L25:N25"/>
    <mergeCell ref="L26:N26"/>
    <mergeCell ref="C25:D25"/>
    <mergeCell ref="E26:K26"/>
    <mergeCell ref="C21:D21"/>
    <mergeCell ref="C22:D24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C35:D35"/>
    <mergeCell ref="E35:K35"/>
    <mergeCell ref="L35:N35"/>
    <mergeCell ref="O35:R35"/>
    <mergeCell ref="S35:Y35"/>
    <mergeCell ref="C37:D37"/>
    <mergeCell ref="E37:K37"/>
    <mergeCell ref="L37:N37"/>
    <mergeCell ref="O37:R37"/>
    <mergeCell ref="S37:Y37"/>
    <mergeCell ref="C36:D36"/>
    <mergeCell ref="E36:K36"/>
    <mergeCell ref="L36:N36"/>
    <mergeCell ref="O36:R36"/>
    <mergeCell ref="S36:Y36"/>
    <mergeCell ref="E45:K45"/>
    <mergeCell ref="S45:AB45"/>
    <mergeCell ref="S46:AB46"/>
    <mergeCell ref="O25:R25"/>
    <mergeCell ref="E20:K20"/>
    <mergeCell ref="Z35:AP35"/>
    <mergeCell ref="AQ35:BJ35"/>
    <mergeCell ref="Z25:AP25"/>
    <mergeCell ref="AQ20:BJ20"/>
    <mergeCell ref="O20:R20"/>
    <mergeCell ref="L20:N20"/>
    <mergeCell ref="S21:Y21"/>
    <mergeCell ref="S22:Y24"/>
    <mergeCell ref="Z26:AP26"/>
    <mergeCell ref="Z22:AP24"/>
    <mergeCell ref="E21:K21"/>
    <mergeCell ref="Z36:AP36"/>
    <mergeCell ref="AQ36:BJ36"/>
    <mergeCell ref="Z37:AP37"/>
    <mergeCell ref="AQ37:BJ37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2538-8773-4352-B4D6-434C4D3DA897}">
  <sheetPr>
    <tabColor theme="5" tint="-0.24994659260841701"/>
    <pageSetUpPr fitToPage="1"/>
  </sheetPr>
  <dimension ref="A1:BK8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86" customWidth="1"/>
    <col min="64" max="16384" width="10.109375" style="86"/>
  </cols>
  <sheetData>
    <row r="1" spans="1:63" ht="24.95" customHeight="1" x14ac:dyDescent="0.25">
      <c r="A1" s="384" t="s">
        <v>27</v>
      </c>
      <c r="B1" s="385"/>
      <c r="C1" s="385"/>
      <c r="D1" s="385"/>
      <c r="E1" s="385"/>
      <c r="F1" s="385"/>
      <c r="G1" s="385"/>
      <c r="H1" s="385"/>
      <c r="I1" s="385"/>
      <c r="J1" s="386"/>
      <c r="K1" s="384" t="s">
        <v>28</v>
      </c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6"/>
      <c r="W1" s="387" t="s">
        <v>16</v>
      </c>
      <c r="X1" s="388"/>
      <c r="Y1" s="388"/>
      <c r="Z1" s="388"/>
      <c r="AA1" s="388"/>
      <c r="AB1" s="388"/>
      <c r="AC1" s="388"/>
      <c r="AD1" s="388"/>
      <c r="AE1" s="388"/>
      <c r="AF1" s="388"/>
      <c r="AG1" s="388"/>
      <c r="AH1" s="388"/>
      <c r="AI1" s="388"/>
      <c r="AJ1" s="388"/>
      <c r="AK1" s="388"/>
      <c r="AL1" s="388"/>
      <c r="AM1" s="388"/>
      <c r="AN1" s="388"/>
      <c r="AO1" s="389"/>
      <c r="AP1" s="132" t="s">
        <v>29</v>
      </c>
      <c r="AQ1" s="133"/>
      <c r="AR1" s="133"/>
      <c r="AS1" s="134"/>
      <c r="AT1" s="132" t="s">
        <v>30</v>
      </c>
      <c r="AU1" s="133"/>
      <c r="AV1" s="133"/>
      <c r="AW1" s="133"/>
      <c r="AX1" s="134"/>
      <c r="AY1" s="132" t="s">
        <v>31</v>
      </c>
      <c r="AZ1" s="133"/>
      <c r="BA1" s="133"/>
      <c r="BB1" s="134"/>
      <c r="BC1" s="132" t="s">
        <v>32</v>
      </c>
      <c r="BD1" s="133"/>
      <c r="BE1" s="133"/>
      <c r="BF1" s="133"/>
      <c r="BG1" s="134"/>
      <c r="BH1" s="132" t="s">
        <v>33</v>
      </c>
      <c r="BI1" s="133"/>
      <c r="BJ1" s="133"/>
      <c r="BK1" s="134"/>
    </row>
    <row r="2" spans="1:63" ht="15" customHeight="1" x14ac:dyDescent="0.25">
      <c r="A2" s="396" t="s">
        <v>13</v>
      </c>
      <c r="B2" s="397"/>
      <c r="C2" s="397"/>
      <c r="D2" s="397"/>
      <c r="E2" s="397"/>
      <c r="F2" s="397"/>
      <c r="G2" s="397"/>
      <c r="H2" s="397"/>
      <c r="I2" s="397"/>
      <c r="J2" s="398"/>
      <c r="K2" s="396" t="s">
        <v>13</v>
      </c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8"/>
      <c r="W2" s="390"/>
      <c r="X2" s="391"/>
      <c r="Y2" s="391"/>
      <c r="Z2" s="391"/>
      <c r="AA2" s="391"/>
      <c r="AB2" s="391"/>
      <c r="AC2" s="391"/>
      <c r="AD2" s="391"/>
      <c r="AE2" s="391"/>
      <c r="AF2" s="391"/>
      <c r="AG2" s="391"/>
      <c r="AH2" s="391"/>
      <c r="AI2" s="391"/>
      <c r="AJ2" s="391"/>
      <c r="AK2" s="391"/>
      <c r="AL2" s="391"/>
      <c r="AM2" s="391"/>
      <c r="AN2" s="391"/>
      <c r="AO2" s="392"/>
      <c r="AP2" s="117" t="s">
        <v>43</v>
      </c>
      <c r="AQ2" s="118"/>
      <c r="AR2" s="118"/>
      <c r="AS2" s="119"/>
      <c r="AT2" s="147">
        <v>45467</v>
      </c>
      <c r="AU2" s="148"/>
      <c r="AV2" s="148"/>
      <c r="AW2" s="148"/>
      <c r="AX2" s="149"/>
      <c r="AY2" s="117" t="s">
        <v>181</v>
      </c>
      <c r="AZ2" s="118"/>
      <c r="BA2" s="118"/>
      <c r="BB2" s="119"/>
      <c r="BC2" s="147">
        <v>45811</v>
      </c>
      <c r="BD2" s="148"/>
      <c r="BE2" s="148"/>
      <c r="BF2" s="148"/>
      <c r="BG2" s="149"/>
      <c r="BH2" s="117">
        <v>0.13</v>
      </c>
      <c r="BI2" s="118"/>
      <c r="BJ2" s="118"/>
      <c r="BK2" s="119"/>
    </row>
    <row r="3" spans="1:63" ht="15" customHeight="1" x14ac:dyDescent="0.25">
      <c r="A3" s="399"/>
      <c r="B3" s="400"/>
      <c r="C3" s="400"/>
      <c r="D3" s="400"/>
      <c r="E3" s="400"/>
      <c r="F3" s="400"/>
      <c r="G3" s="400"/>
      <c r="H3" s="400"/>
      <c r="I3" s="400"/>
      <c r="J3" s="401"/>
      <c r="K3" s="399"/>
      <c r="L3" s="400"/>
      <c r="M3" s="400"/>
      <c r="N3" s="400"/>
      <c r="O3" s="400"/>
      <c r="P3" s="400"/>
      <c r="Q3" s="400"/>
      <c r="R3" s="400"/>
      <c r="S3" s="400"/>
      <c r="T3" s="400"/>
      <c r="U3" s="400"/>
      <c r="V3" s="401"/>
      <c r="W3" s="393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4"/>
      <c r="AJ3" s="394"/>
      <c r="AK3" s="394"/>
      <c r="AL3" s="394"/>
      <c r="AM3" s="394"/>
      <c r="AN3" s="394"/>
      <c r="AO3" s="395"/>
      <c r="AP3" s="123"/>
      <c r="AQ3" s="124"/>
      <c r="AR3" s="124"/>
      <c r="AS3" s="125"/>
      <c r="AT3" s="150"/>
      <c r="AU3" s="151"/>
      <c r="AV3" s="151"/>
      <c r="AW3" s="151"/>
      <c r="AX3" s="152"/>
      <c r="AY3" s="123"/>
      <c r="AZ3" s="124"/>
      <c r="BA3" s="124"/>
      <c r="BB3" s="125"/>
      <c r="BC3" s="150"/>
      <c r="BD3" s="151"/>
      <c r="BE3" s="151"/>
      <c r="BF3" s="151"/>
      <c r="BG3" s="152"/>
      <c r="BH3" s="123"/>
      <c r="BI3" s="124"/>
      <c r="BJ3" s="124"/>
      <c r="BK3" s="125"/>
    </row>
    <row r="4" spans="1:63" ht="24.95" customHeight="1" x14ac:dyDescent="0.25">
      <c r="A4" s="384" t="s">
        <v>34</v>
      </c>
      <c r="B4" s="385"/>
      <c r="C4" s="385"/>
      <c r="D4" s="385"/>
      <c r="E4" s="385"/>
      <c r="F4" s="385"/>
      <c r="G4" s="386"/>
      <c r="H4" s="402" t="s">
        <v>51</v>
      </c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4"/>
      <c r="U4" s="384" t="s">
        <v>35</v>
      </c>
      <c r="V4" s="385"/>
      <c r="W4" s="385"/>
      <c r="X4" s="385"/>
      <c r="Y4" s="386"/>
      <c r="Z4" s="402" t="s">
        <v>15</v>
      </c>
      <c r="AA4" s="403"/>
      <c r="AB4" s="403"/>
      <c r="AC4" s="403"/>
      <c r="AD4" s="403"/>
      <c r="AE4" s="403"/>
      <c r="AF4" s="403"/>
      <c r="AG4" s="403"/>
      <c r="AH4" s="403"/>
      <c r="AI4" s="403"/>
      <c r="AJ4" s="403"/>
      <c r="AK4" s="403"/>
      <c r="AL4" s="403"/>
      <c r="AM4" s="403"/>
      <c r="AN4" s="403"/>
      <c r="AO4" s="404"/>
      <c r="AP4" s="405" t="str">
        <f ca="1">MID(CELL("filename",A1),FIND("]",CELL("filename",A1))+1,255)</f>
        <v>処理フロー</v>
      </c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4"/>
    </row>
    <row r="5" spans="1:63" ht="5.0999999999999996" customHeight="1" x14ac:dyDescent="0.25">
      <c r="A5" s="97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7"/>
    </row>
    <row r="6" spans="1:63" ht="15" customHeight="1" x14ac:dyDescent="0.25">
      <c r="A6" s="96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4"/>
    </row>
    <row r="7" spans="1:63" s="21" customFormat="1" ht="15" customHeight="1" x14ac:dyDescent="0.25">
      <c r="B7" s="55"/>
      <c r="C7" s="36"/>
      <c r="D7" s="36"/>
      <c r="E7" s="36"/>
      <c r="F7" s="36"/>
      <c r="G7" s="36"/>
      <c r="AI7" s="27"/>
      <c r="BJ7" s="27"/>
      <c r="BK7" s="25"/>
    </row>
    <row r="8" spans="1:63" s="21" customFormat="1" ht="15" customHeight="1" x14ac:dyDescent="0.25">
      <c r="B8" s="55"/>
      <c r="C8" s="36"/>
      <c r="D8" s="36"/>
      <c r="E8" s="36"/>
      <c r="F8" s="36"/>
      <c r="G8" s="36"/>
      <c r="AI8" s="27"/>
      <c r="BJ8" s="27"/>
      <c r="BK8" s="25"/>
    </row>
    <row r="9" spans="1:63" s="21" customFormat="1" ht="15" customHeight="1" x14ac:dyDescent="0.25">
      <c r="B9" s="55"/>
      <c r="C9" s="36"/>
      <c r="D9" s="36"/>
      <c r="E9" s="36"/>
      <c r="F9" s="36"/>
      <c r="G9" s="36"/>
      <c r="AI9" s="27"/>
      <c r="BJ9" s="27"/>
      <c r="BK9" s="25"/>
    </row>
    <row r="10" spans="1:63" s="21" customFormat="1" ht="15" customHeight="1" x14ac:dyDescent="0.25">
      <c r="B10" s="55"/>
      <c r="C10" s="36"/>
      <c r="D10" s="36"/>
      <c r="E10" s="36"/>
      <c r="F10" s="36"/>
      <c r="G10" s="36"/>
      <c r="AI10" s="27"/>
      <c r="BJ10" s="27"/>
      <c r="BK10" s="25"/>
    </row>
    <row r="11" spans="1:63" s="21" customFormat="1" ht="15" customHeight="1" x14ac:dyDescent="0.25">
      <c r="B11" s="26"/>
      <c r="AI11" s="27"/>
      <c r="BJ11" s="27"/>
      <c r="BK11" s="25"/>
    </row>
    <row r="12" spans="1:63" s="21" customFormat="1" ht="15" customHeight="1" x14ac:dyDescent="0.25">
      <c r="B12" s="26"/>
      <c r="AI12" s="27"/>
      <c r="BJ12" s="27"/>
      <c r="BK12" s="25"/>
    </row>
    <row r="13" spans="1:63" s="21" customFormat="1" ht="15" customHeight="1" x14ac:dyDescent="0.25">
      <c r="B13" s="26"/>
      <c r="AI13" s="27"/>
      <c r="BJ13" s="27"/>
      <c r="BK13" s="25"/>
    </row>
    <row r="14" spans="1:63" s="21" customFormat="1" ht="15" customHeight="1" x14ac:dyDescent="0.25">
      <c r="B14" s="26"/>
      <c r="AI14" s="27"/>
      <c r="BJ14" s="27"/>
      <c r="BK14" s="25"/>
    </row>
    <row r="15" spans="1:63" s="21" customFormat="1" ht="15" customHeight="1" x14ac:dyDescent="0.25">
      <c r="B15" s="26"/>
      <c r="AI15" s="27"/>
      <c r="BJ15" s="27"/>
      <c r="BK15" s="25"/>
    </row>
    <row r="16" spans="1:63" s="21" customFormat="1" ht="15" customHeight="1" x14ac:dyDescent="0.25">
      <c r="B16" s="26"/>
      <c r="AI16" s="27"/>
      <c r="BJ16" s="27"/>
      <c r="BK16" s="25"/>
    </row>
    <row r="17" spans="2:63" s="21" customFormat="1" ht="15" customHeight="1" x14ac:dyDescent="0.25">
      <c r="B17" s="26"/>
      <c r="AI17" s="27"/>
      <c r="BJ17" s="27"/>
      <c r="BK17" s="25"/>
    </row>
    <row r="18" spans="2:63" s="21" customFormat="1" ht="15" customHeight="1" x14ac:dyDescent="0.25">
      <c r="B18" s="26"/>
      <c r="AI18" s="27"/>
      <c r="BJ18" s="27"/>
      <c r="BK18" s="25"/>
    </row>
    <row r="19" spans="2:63" s="21" customFormat="1" ht="15" customHeight="1" x14ac:dyDescent="0.25">
      <c r="B19" s="26"/>
      <c r="AI19" s="27"/>
      <c r="BJ19" s="27"/>
      <c r="BK19" s="25"/>
    </row>
    <row r="20" spans="2:63" s="21" customFormat="1" ht="15" customHeight="1" x14ac:dyDescent="0.25">
      <c r="B20" s="26"/>
      <c r="AI20" s="27"/>
      <c r="BJ20" s="27"/>
      <c r="BK20" s="25"/>
    </row>
    <row r="21" spans="2:63" s="21" customFormat="1" ht="15" customHeight="1" x14ac:dyDescent="0.25">
      <c r="B21" s="26"/>
      <c r="AI21" s="27"/>
      <c r="BJ21" s="27"/>
      <c r="BK21" s="25"/>
    </row>
    <row r="22" spans="2:63" s="21" customFormat="1" ht="15" customHeight="1" x14ac:dyDescent="0.25">
      <c r="B22" s="26"/>
      <c r="AI22" s="27"/>
      <c r="BJ22" s="27"/>
      <c r="BK22" s="25"/>
    </row>
    <row r="23" spans="2:63" s="21" customFormat="1" ht="15" customHeight="1" x14ac:dyDescent="0.25">
      <c r="B23" s="26"/>
      <c r="AI23" s="27"/>
      <c r="BJ23" s="27"/>
      <c r="BK23" s="25"/>
    </row>
    <row r="24" spans="2:63" s="21" customFormat="1" ht="15" customHeight="1" x14ac:dyDescent="0.25">
      <c r="B24" s="26"/>
      <c r="AI24" s="27"/>
      <c r="BJ24" s="27"/>
      <c r="BK24" s="25"/>
    </row>
    <row r="25" spans="2:63" s="21" customFormat="1" ht="15" customHeight="1" x14ac:dyDescent="0.25">
      <c r="B25" s="26"/>
      <c r="AI25" s="27"/>
      <c r="BJ25" s="27"/>
      <c r="BK25" s="25"/>
    </row>
    <row r="26" spans="2:63" s="21" customFormat="1" ht="15" customHeight="1" x14ac:dyDescent="0.25">
      <c r="B26" s="26"/>
      <c r="AI26" s="27"/>
      <c r="BJ26" s="27"/>
      <c r="BK26" s="25"/>
    </row>
    <row r="27" spans="2:63" s="21" customFormat="1" ht="15" customHeight="1" x14ac:dyDescent="0.25">
      <c r="B27" s="26"/>
      <c r="AI27" s="27"/>
      <c r="BJ27" s="27"/>
      <c r="BK27" s="25"/>
    </row>
    <row r="28" spans="2:63" s="21" customFormat="1" ht="15" customHeight="1" x14ac:dyDescent="0.25">
      <c r="B28" s="26"/>
      <c r="AI28" s="27"/>
      <c r="BJ28" s="27"/>
      <c r="BK28" s="25"/>
    </row>
    <row r="29" spans="2:63" s="21" customFormat="1" ht="15" customHeight="1" x14ac:dyDescent="0.25">
      <c r="B29" s="26"/>
      <c r="AI29" s="27"/>
      <c r="BJ29" s="27"/>
      <c r="BK29" s="25"/>
    </row>
    <row r="30" spans="2:63" s="21" customFormat="1" ht="15" customHeight="1" x14ac:dyDescent="0.25">
      <c r="B30" s="26"/>
      <c r="AI30" s="27"/>
      <c r="BJ30" s="27"/>
      <c r="BK30" s="25"/>
    </row>
    <row r="31" spans="2:63" s="21" customFormat="1" ht="15" customHeight="1" x14ac:dyDescent="0.25">
      <c r="B31" s="26"/>
      <c r="AI31" s="27"/>
      <c r="BJ31" s="27"/>
      <c r="BK31" s="25"/>
    </row>
    <row r="32" spans="2:63" s="21" customFormat="1" ht="15" customHeight="1" x14ac:dyDescent="0.25">
      <c r="B32" s="26"/>
      <c r="AI32" s="27"/>
      <c r="BJ32" s="27"/>
      <c r="BK32" s="25"/>
    </row>
    <row r="33" spans="2:63" s="21" customFormat="1" ht="15" customHeight="1" x14ac:dyDescent="0.25">
      <c r="B33" s="26"/>
      <c r="AI33" s="27"/>
      <c r="BJ33" s="27"/>
      <c r="BK33" s="25"/>
    </row>
    <row r="34" spans="2:63" s="21" customFormat="1" ht="15" customHeight="1" x14ac:dyDescent="0.25">
      <c r="B34" s="26"/>
      <c r="AI34" s="27"/>
      <c r="BJ34" s="27"/>
      <c r="BK34" s="25"/>
    </row>
    <row r="35" spans="2:63" s="21" customFormat="1" ht="15" customHeight="1" x14ac:dyDescent="0.25">
      <c r="B35" s="26"/>
      <c r="AI35" s="27"/>
      <c r="BJ35" s="27"/>
      <c r="BK35" s="25"/>
    </row>
    <row r="36" spans="2:63" s="21" customFormat="1" ht="15" customHeight="1" x14ac:dyDescent="0.25">
      <c r="B36" s="26"/>
      <c r="AI36" s="27"/>
      <c r="BJ36" s="27"/>
      <c r="BK36" s="25"/>
    </row>
    <row r="37" spans="2:63" s="21" customFormat="1" ht="15" customHeight="1" x14ac:dyDescent="0.25">
      <c r="B37" s="26"/>
      <c r="AI37" s="27"/>
      <c r="BJ37" s="27"/>
      <c r="BK37" s="25"/>
    </row>
    <row r="38" spans="2:63" s="21" customFormat="1" ht="15" customHeight="1" x14ac:dyDescent="0.25">
      <c r="B38" s="26"/>
      <c r="AI38" s="27"/>
      <c r="BJ38" s="27"/>
      <c r="BK38" s="25"/>
    </row>
    <row r="39" spans="2:63" s="21" customFormat="1" ht="15" customHeight="1" x14ac:dyDescent="0.25">
      <c r="B39" s="26"/>
      <c r="AI39" s="27"/>
      <c r="BJ39" s="27"/>
      <c r="BK39" s="25"/>
    </row>
    <row r="40" spans="2:63" s="21" customFormat="1" ht="15" customHeight="1" x14ac:dyDescent="0.25">
      <c r="B40" s="26"/>
      <c r="AI40" s="27"/>
      <c r="BJ40" s="27"/>
      <c r="BK40" s="25"/>
    </row>
    <row r="41" spans="2:63" s="21" customFormat="1" ht="15" customHeight="1" x14ac:dyDescent="0.25">
      <c r="B41" s="26"/>
      <c r="AI41" s="27"/>
      <c r="BJ41" s="27"/>
      <c r="BK41" s="25"/>
    </row>
    <row r="42" spans="2:63" s="21" customFormat="1" ht="15" customHeight="1" x14ac:dyDescent="0.25">
      <c r="B42" s="26"/>
      <c r="AI42" s="27"/>
      <c r="BJ42" s="27"/>
      <c r="BK42" s="25"/>
    </row>
    <row r="43" spans="2:63" s="21" customFormat="1" ht="15" customHeight="1" x14ac:dyDescent="0.25">
      <c r="B43" s="26"/>
      <c r="AI43" s="27"/>
      <c r="BJ43" s="27"/>
      <c r="BK43" s="25"/>
    </row>
    <row r="44" spans="2:63" s="21" customFormat="1" ht="15" customHeight="1" x14ac:dyDescent="0.25">
      <c r="B44" s="26"/>
      <c r="AI44" s="27"/>
      <c r="BJ44" s="27"/>
      <c r="BK44" s="25"/>
    </row>
    <row r="45" spans="2:63" s="21" customFormat="1" ht="15" customHeight="1" x14ac:dyDescent="0.25">
      <c r="B45" s="26"/>
      <c r="AI45" s="27"/>
      <c r="BJ45" s="27"/>
      <c r="BK45" s="25"/>
    </row>
    <row r="46" spans="2:63" s="21" customFormat="1" ht="15" customHeight="1" x14ac:dyDescent="0.25">
      <c r="B46" s="26"/>
      <c r="AI46" s="27"/>
      <c r="BJ46" s="27"/>
      <c r="BK46" s="25"/>
    </row>
    <row r="47" spans="2:63" s="21" customFormat="1" ht="15" customHeight="1" x14ac:dyDescent="0.25">
      <c r="B47" s="26"/>
      <c r="AI47" s="27"/>
      <c r="BJ47" s="27"/>
      <c r="BK47" s="25"/>
    </row>
    <row r="48" spans="2:63" s="21" customFormat="1" ht="15" customHeight="1" x14ac:dyDescent="0.25">
      <c r="B48" s="26"/>
      <c r="AI48" s="27"/>
      <c r="BJ48" s="27"/>
      <c r="BK48" s="25"/>
    </row>
    <row r="49" spans="2:63" s="21" customFormat="1" ht="15" customHeight="1" x14ac:dyDescent="0.25">
      <c r="B49" s="26"/>
      <c r="AI49" s="27"/>
      <c r="BJ49" s="27"/>
      <c r="BK49" s="25"/>
    </row>
    <row r="50" spans="2:63" s="21" customFormat="1" ht="15" customHeight="1" x14ac:dyDescent="0.25">
      <c r="B50" s="26"/>
      <c r="AI50" s="27"/>
      <c r="BJ50" s="27"/>
      <c r="BK50" s="25"/>
    </row>
    <row r="51" spans="2:63" s="21" customFormat="1" ht="15" customHeight="1" x14ac:dyDescent="0.25">
      <c r="B51" s="26"/>
      <c r="AI51" s="27"/>
      <c r="BJ51" s="27"/>
      <c r="BK51" s="25"/>
    </row>
    <row r="52" spans="2:63" s="21" customFormat="1" ht="15" customHeight="1" x14ac:dyDescent="0.25">
      <c r="B52" s="26"/>
      <c r="AI52" s="27"/>
      <c r="BJ52" s="27"/>
      <c r="BK52" s="25"/>
    </row>
    <row r="53" spans="2:63" s="21" customFormat="1" ht="15" customHeight="1" x14ac:dyDescent="0.25">
      <c r="B53" s="26"/>
      <c r="AI53" s="27"/>
      <c r="BJ53" s="27"/>
      <c r="BK53" s="25"/>
    </row>
    <row r="54" spans="2:63" s="21" customFormat="1" ht="15" customHeight="1" x14ac:dyDescent="0.25">
      <c r="B54" s="26"/>
      <c r="AI54" s="27"/>
      <c r="BJ54" s="27"/>
      <c r="BK54" s="25"/>
    </row>
    <row r="55" spans="2:63" s="21" customFormat="1" ht="15" customHeight="1" x14ac:dyDescent="0.25">
      <c r="B55" s="26"/>
      <c r="AI55" s="27"/>
      <c r="BJ55" s="27"/>
      <c r="BK55" s="25"/>
    </row>
    <row r="56" spans="2:63" s="21" customFormat="1" ht="15" customHeight="1" x14ac:dyDescent="0.25">
      <c r="B56" s="26"/>
      <c r="AI56" s="27"/>
      <c r="BJ56" s="27"/>
      <c r="BK56" s="25"/>
    </row>
    <row r="57" spans="2:63" s="21" customFormat="1" ht="15" customHeight="1" x14ac:dyDescent="0.25">
      <c r="B57" s="26"/>
      <c r="AI57" s="27"/>
      <c r="BJ57" s="27"/>
      <c r="BK57" s="25"/>
    </row>
    <row r="58" spans="2:63" s="21" customFormat="1" ht="15" customHeight="1" x14ac:dyDescent="0.25">
      <c r="B58" s="26"/>
      <c r="AI58" s="27"/>
      <c r="BJ58" s="27"/>
      <c r="BK58" s="25"/>
    </row>
    <row r="59" spans="2:63" s="21" customFormat="1" ht="15" customHeight="1" x14ac:dyDescent="0.25">
      <c r="B59" s="26"/>
      <c r="AI59" s="27"/>
      <c r="BJ59" s="27"/>
      <c r="BK59" s="25"/>
    </row>
    <row r="60" spans="2:63" s="21" customFormat="1" ht="15" customHeight="1" x14ac:dyDescent="0.25">
      <c r="B60" s="26"/>
      <c r="AI60" s="27"/>
      <c r="BJ60" s="27"/>
      <c r="BK60" s="25"/>
    </row>
    <row r="61" spans="2:63" s="21" customFormat="1" ht="15" customHeight="1" x14ac:dyDescent="0.25">
      <c r="B61" s="26"/>
      <c r="AI61" s="27"/>
      <c r="BJ61" s="27"/>
      <c r="BK61" s="25"/>
    </row>
    <row r="62" spans="2:63" s="21" customFormat="1" ht="15" customHeight="1" x14ac:dyDescent="0.25">
      <c r="B62" s="26"/>
      <c r="AI62" s="27"/>
      <c r="BJ62" s="27"/>
      <c r="BK62" s="25"/>
    </row>
    <row r="63" spans="2:63" s="21" customFormat="1" ht="15" customHeight="1" x14ac:dyDescent="0.25">
      <c r="B63" s="26"/>
      <c r="AI63" s="27"/>
      <c r="BJ63" s="27"/>
      <c r="BK63" s="25"/>
    </row>
    <row r="64" spans="2:63" s="21" customFormat="1" ht="15" customHeight="1" x14ac:dyDescent="0.25">
      <c r="B64" s="26"/>
      <c r="AI64" s="27"/>
      <c r="BJ64" s="27"/>
      <c r="BK64" s="25"/>
    </row>
    <row r="65" spans="2:63" s="21" customFormat="1" ht="15" customHeight="1" x14ac:dyDescent="0.25">
      <c r="B65" s="26"/>
      <c r="AI65" s="27"/>
      <c r="BJ65" s="27"/>
      <c r="BK65" s="25"/>
    </row>
    <row r="66" spans="2:63" s="21" customFormat="1" ht="15" customHeight="1" x14ac:dyDescent="0.25">
      <c r="B66" s="26"/>
      <c r="AI66" s="27"/>
      <c r="BJ66" s="27"/>
      <c r="BK66" s="25"/>
    </row>
    <row r="67" spans="2:63" s="21" customFormat="1" ht="15" customHeight="1" x14ac:dyDescent="0.25">
      <c r="B67" s="26"/>
      <c r="AI67" s="27"/>
      <c r="BJ67" s="27"/>
      <c r="BK67" s="25"/>
    </row>
    <row r="68" spans="2:63" s="21" customFormat="1" ht="15" customHeight="1" x14ac:dyDescent="0.25">
      <c r="B68" s="26"/>
      <c r="AI68" s="27"/>
      <c r="BJ68" s="27"/>
      <c r="BK68" s="25"/>
    </row>
    <row r="69" spans="2:63" s="21" customFormat="1" ht="15" customHeight="1" x14ac:dyDescent="0.25">
      <c r="B69" s="26"/>
      <c r="AI69" s="27"/>
      <c r="BJ69" s="27"/>
      <c r="BK69" s="25"/>
    </row>
    <row r="70" spans="2:63" s="21" customFormat="1" ht="15" customHeight="1" x14ac:dyDescent="0.25">
      <c r="B70" s="26"/>
      <c r="AI70" s="27"/>
      <c r="BJ70" s="27"/>
      <c r="BK70" s="25"/>
    </row>
    <row r="71" spans="2:63" s="21" customFormat="1" ht="15" customHeight="1" x14ac:dyDescent="0.25">
      <c r="B71" s="26"/>
      <c r="AG71" s="64"/>
      <c r="AI71" s="27"/>
      <c r="BJ71" s="27"/>
      <c r="BK71" s="25"/>
    </row>
    <row r="72" spans="2:63" s="21" customFormat="1" ht="15" customHeight="1" x14ac:dyDescent="0.25">
      <c r="B72" s="26"/>
      <c r="AG72" s="64"/>
      <c r="AI72" s="27"/>
      <c r="BJ72" s="27"/>
      <c r="BK72" s="25"/>
    </row>
    <row r="73" spans="2:63" s="21" customFormat="1" ht="15" customHeight="1" x14ac:dyDescent="0.25">
      <c r="B73" s="26"/>
      <c r="AI73" s="27"/>
      <c r="BJ73" s="27"/>
      <c r="BK73" s="25"/>
    </row>
    <row r="74" spans="2:63" s="21" customFormat="1" ht="15" customHeight="1" x14ac:dyDescent="0.25">
      <c r="B74" s="26"/>
      <c r="AI74" s="27"/>
      <c r="BJ74" s="27"/>
      <c r="BK74" s="25"/>
    </row>
    <row r="75" spans="2:63" s="21" customFormat="1" ht="15" customHeight="1" x14ac:dyDescent="0.25">
      <c r="B75" s="26"/>
      <c r="AI75" s="27"/>
      <c r="BJ75" s="27"/>
      <c r="BK75" s="25"/>
    </row>
    <row r="76" spans="2:63" ht="15" customHeight="1" x14ac:dyDescent="0.25">
      <c r="B76" s="93"/>
      <c r="AI76" s="92"/>
      <c r="BJ76" s="92"/>
      <c r="BK76" s="91"/>
    </row>
    <row r="77" spans="2:63" ht="15" customHeight="1" x14ac:dyDescent="0.25">
      <c r="B77" s="93"/>
      <c r="AI77" s="92"/>
      <c r="BJ77" s="92"/>
      <c r="BK77" s="91"/>
    </row>
    <row r="78" spans="2:63" ht="15" customHeight="1" x14ac:dyDescent="0.25">
      <c r="B78" s="93"/>
      <c r="AI78" s="92"/>
      <c r="BJ78" s="92"/>
      <c r="BK78" s="91"/>
    </row>
    <row r="79" spans="2:63" ht="15" customHeight="1" x14ac:dyDescent="0.25">
      <c r="B79" s="93"/>
      <c r="AI79" s="92"/>
      <c r="BJ79" s="92"/>
      <c r="BK79" s="91"/>
    </row>
    <row r="80" spans="2:63" ht="15" customHeight="1" x14ac:dyDescent="0.25">
      <c r="B80" s="93"/>
      <c r="AI80" s="92"/>
      <c r="BJ80" s="92"/>
      <c r="BK80" s="91"/>
    </row>
    <row r="81" spans="1:63" ht="15" customHeight="1" x14ac:dyDescent="0.25">
      <c r="B81" s="93"/>
      <c r="AI81" s="92"/>
      <c r="BJ81" s="92"/>
      <c r="BK81" s="91"/>
    </row>
    <row r="82" spans="1:63" ht="15" customHeight="1" x14ac:dyDescent="0.25">
      <c r="B82" s="93"/>
      <c r="AI82" s="92"/>
      <c r="BJ82" s="92"/>
      <c r="BK82" s="91"/>
    </row>
    <row r="83" spans="1:63" ht="15" customHeight="1" x14ac:dyDescent="0.25">
      <c r="B83" s="93"/>
      <c r="AI83" s="92"/>
      <c r="BJ83" s="92"/>
      <c r="BK83" s="91"/>
    </row>
    <row r="84" spans="1:63" ht="15" customHeight="1" x14ac:dyDescent="0.25">
      <c r="B84" s="93"/>
      <c r="AI84" s="92"/>
      <c r="BJ84" s="92"/>
      <c r="BK84" s="91"/>
    </row>
    <row r="85" spans="1:63" ht="15" customHeight="1" x14ac:dyDescent="0.25">
      <c r="B85" s="93"/>
      <c r="AI85" s="92"/>
      <c r="BJ85" s="92"/>
      <c r="BK85" s="91"/>
    </row>
    <row r="86" spans="1:63" ht="15" customHeight="1" x14ac:dyDescent="0.25">
      <c r="B86" s="93"/>
      <c r="AI86" s="92"/>
      <c r="BJ86" s="92"/>
      <c r="BK86" s="91"/>
    </row>
    <row r="87" spans="1:63" ht="15" customHeight="1" x14ac:dyDescent="0.25">
      <c r="B87" s="93"/>
      <c r="AI87" s="92"/>
      <c r="BJ87" s="92"/>
      <c r="BK87" s="91"/>
    </row>
    <row r="88" spans="1:63" ht="15" customHeight="1" x14ac:dyDescent="0.25">
      <c r="A88" s="89"/>
      <c r="B88" s="90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8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8"/>
      <c r="BK88" s="87"/>
    </row>
  </sheetData>
  <mergeCells count="20">
    <mergeCell ref="A4:G4"/>
    <mergeCell ref="H4:T4"/>
    <mergeCell ref="U4:Y4"/>
    <mergeCell ref="Z4:AO4"/>
    <mergeCell ref="AP4:BK4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C1:BG1"/>
    <mergeCell ref="BH1:BK1"/>
    <mergeCell ref="A2:J3"/>
    <mergeCell ref="K2:V3"/>
    <mergeCell ref="AP2:AS3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B050"/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7" customWidth="1"/>
    <col min="64" max="16384" width="10.109375" style="77"/>
  </cols>
  <sheetData>
    <row r="1" spans="1:63" ht="24.95" customHeight="1" x14ac:dyDescent="0.25">
      <c r="A1" s="409" t="s">
        <v>90</v>
      </c>
      <c r="B1" s="410"/>
      <c r="C1" s="410"/>
      <c r="D1" s="410"/>
      <c r="E1" s="410"/>
      <c r="F1" s="410"/>
      <c r="G1" s="410"/>
      <c r="H1" s="410"/>
      <c r="I1" s="410"/>
      <c r="J1" s="411"/>
      <c r="K1" s="409" t="s">
        <v>91</v>
      </c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1"/>
      <c r="W1" s="429" t="s">
        <v>193</v>
      </c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0"/>
      <c r="AI1" s="430"/>
      <c r="AJ1" s="430"/>
      <c r="AK1" s="430"/>
      <c r="AL1" s="430"/>
      <c r="AM1" s="430"/>
      <c r="AN1" s="430"/>
      <c r="AO1" s="431"/>
      <c r="AP1" s="415" t="s">
        <v>92</v>
      </c>
      <c r="AQ1" s="416"/>
      <c r="AR1" s="416"/>
      <c r="AS1" s="417"/>
      <c r="AT1" s="415" t="s">
        <v>93</v>
      </c>
      <c r="AU1" s="416"/>
      <c r="AV1" s="416"/>
      <c r="AW1" s="416"/>
      <c r="AX1" s="417"/>
      <c r="AY1" s="415" t="s">
        <v>94</v>
      </c>
      <c r="AZ1" s="416"/>
      <c r="BA1" s="416"/>
      <c r="BB1" s="417"/>
      <c r="BC1" s="415" t="s">
        <v>95</v>
      </c>
      <c r="BD1" s="416"/>
      <c r="BE1" s="416"/>
      <c r="BF1" s="416"/>
      <c r="BG1" s="417"/>
      <c r="BH1" s="415" t="s">
        <v>96</v>
      </c>
      <c r="BI1" s="416"/>
      <c r="BJ1" s="416"/>
      <c r="BK1" s="417"/>
    </row>
    <row r="2" spans="1:63" ht="15" customHeight="1" x14ac:dyDescent="0.25">
      <c r="A2" s="418" t="s">
        <v>192</v>
      </c>
      <c r="B2" s="419"/>
      <c r="C2" s="419"/>
      <c r="D2" s="419"/>
      <c r="E2" s="419"/>
      <c r="F2" s="419"/>
      <c r="G2" s="419"/>
      <c r="H2" s="419"/>
      <c r="I2" s="419"/>
      <c r="J2" s="420"/>
      <c r="K2" s="418" t="s">
        <v>192</v>
      </c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20"/>
      <c r="W2" s="432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4"/>
      <c r="AP2" s="201" t="s">
        <v>189</v>
      </c>
      <c r="AQ2" s="196"/>
      <c r="AR2" s="196"/>
      <c r="AS2" s="197"/>
      <c r="AT2" s="195">
        <v>45467</v>
      </c>
      <c r="AU2" s="424"/>
      <c r="AV2" s="424"/>
      <c r="AW2" s="424"/>
      <c r="AX2" s="425"/>
      <c r="AY2" s="201" t="s">
        <v>190</v>
      </c>
      <c r="AZ2" s="196"/>
      <c r="BA2" s="196"/>
      <c r="BB2" s="197"/>
      <c r="BC2" s="195">
        <v>45811</v>
      </c>
      <c r="BD2" s="424"/>
      <c r="BE2" s="424"/>
      <c r="BF2" s="424"/>
      <c r="BG2" s="425"/>
      <c r="BH2" s="201">
        <v>0.13</v>
      </c>
      <c r="BI2" s="196"/>
      <c r="BJ2" s="196"/>
      <c r="BK2" s="197"/>
    </row>
    <row r="3" spans="1:63" ht="15" customHeight="1" x14ac:dyDescent="0.25">
      <c r="A3" s="421"/>
      <c r="B3" s="422"/>
      <c r="C3" s="422"/>
      <c r="D3" s="422"/>
      <c r="E3" s="422"/>
      <c r="F3" s="422"/>
      <c r="G3" s="422"/>
      <c r="H3" s="422"/>
      <c r="I3" s="422"/>
      <c r="J3" s="423"/>
      <c r="K3" s="421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3"/>
      <c r="W3" s="435"/>
      <c r="X3" s="436"/>
      <c r="Y3" s="436"/>
      <c r="Z3" s="436"/>
      <c r="AA3" s="436"/>
      <c r="AB3" s="436"/>
      <c r="AC3" s="436"/>
      <c r="AD3" s="436"/>
      <c r="AE3" s="436"/>
      <c r="AF3" s="436"/>
      <c r="AG3" s="436"/>
      <c r="AH3" s="436"/>
      <c r="AI3" s="436"/>
      <c r="AJ3" s="436"/>
      <c r="AK3" s="436"/>
      <c r="AL3" s="436"/>
      <c r="AM3" s="436"/>
      <c r="AN3" s="436"/>
      <c r="AO3" s="437"/>
      <c r="AP3" s="198"/>
      <c r="AQ3" s="199"/>
      <c r="AR3" s="199"/>
      <c r="AS3" s="200"/>
      <c r="AT3" s="426"/>
      <c r="AU3" s="427"/>
      <c r="AV3" s="427"/>
      <c r="AW3" s="427"/>
      <c r="AX3" s="428"/>
      <c r="AY3" s="198"/>
      <c r="AZ3" s="199"/>
      <c r="BA3" s="199"/>
      <c r="BB3" s="200"/>
      <c r="BC3" s="426"/>
      <c r="BD3" s="427"/>
      <c r="BE3" s="427"/>
      <c r="BF3" s="427"/>
      <c r="BG3" s="428"/>
      <c r="BH3" s="198"/>
      <c r="BI3" s="199"/>
      <c r="BJ3" s="199"/>
      <c r="BK3" s="200"/>
    </row>
    <row r="4" spans="1:63" ht="24.95" customHeight="1" x14ac:dyDescent="0.25">
      <c r="A4" s="409" t="s">
        <v>97</v>
      </c>
      <c r="B4" s="410"/>
      <c r="C4" s="410"/>
      <c r="D4" s="410"/>
      <c r="E4" s="410"/>
      <c r="F4" s="410"/>
      <c r="G4" s="411"/>
      <c r="H4" s="412" t="s">
        <v>191</v>
      </c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4"/>
      <c r="U4" s="409" t="s">
        <v>98</v>
      </c>
      <c r="V4" s="410"/>
      <c r="W4" s="410"/>
      <c r="X4" s="410"/>
      <c r="Y4" s="411"/>
      <c r="Z4" s="412" t="s">
        <v>194</v>
      </c>
      <c r="AA4" s="413"/>
      <c r="AB4" s="413"/>
      <c r="AC4" s="413"/>
      <c r="AD4" s="413"/>
      <c r="AE4" s="413"/>
      <c r="AF4" s="413"/>
      <c r="AG4" s="413"/>
      <c r="AH4" s="413"/>
      <c r="AI4" s="413"/>
      <c r="AJ4" s="413"/>
      <c r="AK4" s="413"/>
      <c r="AL4" s="413"/>
      <c r="AM4" s="413"/>
      <c r="AN4" s="413"/>
      <c r="AO4" s="414"/>
      <c r="AP4" s="412" t="str">
        <f ca="1">MID(CELL("filename",A1),FIND("]",CELL("filename",A1))+1,255)</f>
        <v>キーマッピング</v>
      </c>
      <c r="AQ4" s="413"/>
      <c r="AR4" s="413"/>
      <c r="AS4" s="413"/>
      <c r="AT4" s="413"/>
      <c r="AU4" s="413"/>
      <c r="AV4" s="413"/>
      <c r="AW4" s="413"/>
      <c r="AX4" s="413"/>
      <c r="AY4" s="413"/>
      <c r="AZ4" s="413"/>
      <c r="BA4" s="413"/>
      <c r="BB4" s="413"/>
      <c r="BC4" s="413"/>
      <c r="BD4" s="413"/>
      <c r="BE4" s="413"/>
      <c r="BF4" s="413"/>
      <c r="BG4" s="413"/>
      <c r="BH4" s="413"/>
      <c r="BI4" s="413"/>
      <c r="BJ4" s="413"/>
      <c r="BK4" s="414"/>
    </row>
    <row r="5" spans="1:63" ht="5.0999999999999996" customHeigh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80"/>
    </row>
    <row r="6" spans="1:63" ht="15" customHeight="1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</row>
    <row r="7" spans="1:63" s="74" customFormat="1" ht="15" customHeight="1" x14ac:dyDescent="0.25"/>
    <row r="8" spans="1:63" s="74" customFormat="1" ht="15" customHeight="1" x14ac:dyDescent="0.25"/>
    <row r="9" spans="1:63" s="74" customFormat="1" ht="36" customHeight="1" x14ac:dyDescent="0.25">
      <c r="D9" s="83"/>
      <c r="E9" s="83"/>
      <c r="F9" s="83"/>
      <c r="G9" s="443" t="s">
        <v>133</v>
      </c>
      <c r="H9" s="444"/>
      <c r="I9" s="444"/>
      <c r="J9" s="444"/>
      <c r="K9" s="444"/>
      <c r="L9" s="444"/>
      <c r="M9" s="445"/>
      <c r="N9" s="443" t="s">
        <v>80</v>
      </c>
      <c r="O9" s="444"/>
      <c r="P9" s="444"/>
      <c r="Q9" s="444"/>
      <c r="R9" s="444"/>
      <c r="S9" s="444"/>
      <c r="T9" s="444"/>
      <c r="U9" s="444"/>
      <c r="V9" s="445"/>
      <c r="W9" s="441" t="s">
        <v>177</v>
      </c>
      <c r="X9" s="441"/>
      <c r="Y9" s="441"/>
      <c r="Z9" s="441"/>
      <c r="AA9" s="441"/>
      <c r="AB9" s="441"/>
    </row>
    <row r="10" spans="1:63" s="74" customFormat="1" ht="36" customHeight="1" x14ac:dyDescent="0.25">
      <c r="D10" s="83"/>
      <c r="E10" s="83"/>
      <c r="F10" s="83"/>
      <c r="G10" s="446"/>
      <c r="H10" s="447"/>
      <c r="I10" s="447"/>
      <c r="J10" s="447"/>
      <c r="K10" s="447"/>
      <c r="L10" s="447"/>
      <c r="M10" s="448"/>
      <c r="N10" s="446"/>
      <c r="O10" s="447"/>
      <c r="P10" s="447"/>
      <c r="Q10" s="447"/>
      <c r="R10" s="447"/>
      <c r="S10" s="447"/>
      <c r="T10" s="447"/>
      <c r="U10" s="447"/>
      <c r="V10" s="448"/>
      <c r="W10" s="442" t="s">
        <v>179</v>
      </c>
      <c r="X10" s="441"/>
      <c r="Y10" s="441"/>
      <c r="Z10" s="442" t="s">
        <v>180</v>
      </c>
      <c r="AA10" s="441"/>
      <c r="AB10" s="441"/>
    </row>
    <row r="11" spans="1:63" s="74" customFormat="1" ht="15" customHeight="1" x14ac:dyDescent="0.25">
      <c r="D11" s="84"/>
      <c r="E11" s="85"/>
      <c r="F11" s="85"/>
      <c r="G11" s="406" t="s">
        <v>99</v>
      </c>
      <c r="H11" s="407"/>
      <c r="I11" s="407"/>
      <c r="J11" s="407"/>
      <c r="K11" s="407"/>
      <c r="L11" s="407"/>
      <c r="M11" s="408"/>
      <c r="N11" s="438" t="s">
        <v>134</v>
      </c>
      <c r="O11" s="439"/>
      <c r="P11" s="439"/>
      <c r="Q11" s="439"/>
      <c r="R11" s="439"/>
      <c r="S11" s="439"/>
      <c r="T11" s="439"/>
      <c r="U11" s="439"/>
      <c r="V11" s="440"/>
      <c r="W11" s="449" t="s">
        <v>183</v>
      </c>
      <c r="X11" s="450"/>
      <c r="Y11" s="451"/>
      <c r="Z11" s="449" t="s">
        <v>170</v>
      </c>
      <c r="AA11" s="450"/>
      <c r="AB11" s="451"/>
    </row>
    <row r="12" spans="1:63" s="74" customFormat="1" ht="15" customHeight="1" x14ac:dyDescent="0.25">
      <c r="D12" s="84"/>
      <c r="E12" s="85"/>
      <c r="F12" s="85"/>
      <c r="G12" s="406" t="s">
        <v>100</v>
      </c>
      <c r="H12" s="407"/>
      <c r="I12" s="407"/>
      <c r="J12" s="407"/>
      <c r="K12" s="407"/>
      <c r="L12" s="407"/>
      <c r="M12" s="408"/>
      <c r="N12" s="438" t="s">
        <v>135</v>
      </c>
      <c r="O12" s="439"/>
      <c r="P12" s="439"/>
      <c r="Q12" s="439"/>
      <c r="R12" s="439"/>
      <c r="S12" s="439"/>
      <c r="T12" s="439"/>
      <c r="U12" s="439"/>
      <c r="V12" s="440"/>
      <c r="W12" s="449" t="s">
        <v>184</v>
      </c>
      <c r="X12" s="450"/>
      <c r="Y12" s="451"/>
      <c r="Z12" s="449" t="s">
        <v>171</v>
      </c>
      <c r="AA12" s="450"/>
      <c r="AB12" s="451"/>
    </row>
    <row r="13" spans="1:63" s="74" customFormat="1" ht="15" customHeight="1" x14ac:dyDescent="0.25">
      <c r="D13" s="84"/>
      <c r="E13" s="85"/>
      <c r="F13" s="85"/>
      <c r="G13" s="406" t="s">
        <v>101</v>
      </c>
      <c r="H13" s="407"/>
      <c r="I13" s="407"/>
      <c r="J13" s="407"/>
      <c r="K13" s="407"/>
      <c r="L13" s="407"/>
      <c r="M13" s="408"/>
      <c r="N13" s="438" t="s">
        <v>136</v>
      </c>
      <c r="O13" s="439"/>
      <c r="P13" s="439"/>
      <c r="Q13" s="439"/>
      <c r="R13" s="439"/>
      <c r="S13" s="439"/>
      <c r="T13" s="439"/>
      <c r="U13" s="439"/>
      <c r="V13" s="440"/>
      <c r="W13" s="449" t="s">
        <v>185</v>
      </c>
      <c r="X13" s="450"/>
      <c r="Y13" s="451"/>
      <c r="Z13" s="449" t="s">
        <v>172</v>
      </c>
      <c r="AA13" s="450"/>
      <c r="AB13" s="451"/>
    </row>
    <row r="14" spans="1:63" s="74" customFormat="1" ht="15" customHeight="1" x14ac:dyDescent="0.25">
      <c r="D14" s="84"/>
      <c r="E14" s="85"/>
      <c r="F14" s="85"/>
      <c r="G14" s="406" t="s">
        <v>102</v>
      </c>
      <c r="H14" s="407"/>
      <c r="I14" s="407"/>
      <c r="J14" s="407"/>
      <c r="K14" s="407"/>
      <c r="L14" s="407"/>
      <c r="M14" s="408"/>
      <c r="N14" s="438" t="s">
        <v>137</v>
      </c>
      <c r="O14" s="439"/>
      <c r="P14" s="439"/>
      <c r="Q14" s="439"/>
      <c r="R14" s="439"/>
      <c r="S14" s="439"/>
      <c r="T14" s="439"/>
      <c r="U14" s="439"/>
      <c r="V14" s="440"/>
      <c r="W14" s="449" t="s">
        <v>186</v>
      </c>
      <c r="X14" s="450"/>
      <c r="Y14" s="451"/>
      <c r="Z14" s="449" t="s">
        <v>173</v>
      </c>
      <c r="AA14" s="450"/>
      <c r="AB14" s="451"/>
    </row>
    <row r="15" spans="1:63" s="74" customFormat="1" ht="15" customHeight="1" x14ac:dyDescent="0.25">
      <c r="D15" s="84"/>
      <c r="E15" s="85"/>
      <c r="F15" s="85"/>
      <c r="G15" s="406" t="s">
        <v>103</v>
      </c>
      <c r="H15" s="407"/>
      <c r="I15" s="407"/>
      <c r="J15" s="407"/>
      <c r="K15" s="407"/>
      <c r="L15" s="407"/>
      <c r="M15" s="408"/>
      <c r="N15" s="438" t="s">
        <v>138</v>
      </c>
      <c r="O15" s="439"/>
      <c r="P15" s="439"/>
      <c r="Q15" s="439"/>
      <c r="R15" s="439"/>
      <c r="S15" s="439"/>
      <c r="T15" s="439"/>
      <c r="U15" s="439"/>
      <c r="V15" s="440"/>
      <c r="W15" s="449" t="s">
        <v>187</v>
      </c>
      <c r="X15" s="450"/>
      <c r="Y15" s="451"/>
      <c r="Z15" s="449" t="s">
        <v>174</v>
      </c>
      <c r="AA15" s="450"/>
      <c r="AB15" s="451"/>
    </row>
    <row r="16" spans="1:63" s="74" customFormat="1" ht="15" customHeight="1" x14ac:dyDescent="0.25">
      <c r="D16" s="84"/>
      <c r="E16" s="85"/>
      <c r="F16" s="85"/>
      <c r="G16" s="406" t="s">
        <v>104</v>
      </c>
      <c r="H16" s="407"/>
      <c r="I16" s="407"/>
      <c r="J16" s="407"/>
      <c r="K16" s="407"/>
      <c r="L16" s="407"/>
      <c r="M16" s="408"/>
      <c r="N16" s="438" t="s">
        <v>139</v>
      </c>
      <c r="O16" s="439"/>
      <c r="P16" s="439"/>
      <c r="Q16" s="439"/>
      <c r="R16" s="439"/>
      <c r="S16" s="439"/>
      <c r="T16" s="439"/>
      <c r="U16" s="439"/>
      <c r="V16" s="440"/>
      <c r="W16" s="449" t="s">
        <v>188</v>
      </c>
      <c r="X16" s="450"/>
      <c r="Y16" s="451"/>
      <c r="Z16" s="449" t="s">
        <v>175</v>
      </c>
      <c r="AA16" s="450"/>
      <c r="AB16" s="451"/>
    </row>
    <row r="17" spans="4:28" s="74" customFormat="1" ht="15" customHeight="1" x14ac:dyDescent="0.25">
      <c r="D17" s="85"/>
      <c r="E17" s="85"/>
      <c r="F17" s="85"/>
      <c r="G17" s="406" t="s">
        <v>105</v>
      </c>
      <c r="H17" s="407"/>
      <c r="I17" s="407"/>
      <c r="J17" s="407"/>
      <c r="K17" s="407"/>
      <c r="L17" s="407"/>
      <c r="M17" s="408"/>
      <c r="N17" s="438" t="s">
        <v>140</v>
      </c>
      <c r="O17" s="439"/>
      <c r="P17" s="439"/>
      <c r="Q17" s="439"/>
      <c r="R17" s="439"/>
      <c r="S17" s="439"/>
      <c r="T17" s="439"/>
      <c r="U17" s="439"/>
      <c r="V17" s="440"/>
      <c r="W17" s="452">
        <v>10</v>
      </c>
      <c r="X17" s="450"/>
      <c r="Y17" s="451"/>
      <c r="Z17" s="452">
        <v>10</v>
      </c>
      <c r="AA17" s="450"/>
      <c r="AB17" s="451"/>
    </row>
    <row r="18" spans="4:28" s="74" customFormat="1" ht="15" customHeight="1" x14ac:dyDescent="0.25">
      <c r="D18" s="85"/>
      <c r="E18" s="85"/>
      <c r="F18" s="85"/>
      <c r="G18" s="406" t="s">
        <v>106</v>
      </c>
      <c r="H18" s="407"/>
      <c r="I18" s="407"/>
      <c r="J18" s="407"/>
      <c r="K18" s="407"/>
      <c r="L18" s="407"/>
      <c r="M18" s="408"/>
      <c r="N18" s="438" t="s">
        <v>141</v>
      </c>
      <c r="O18" s="439"/>
      <c r="P18" s="439"/>
      <c r="Q18" s="439"/>
      <c r="R18" s="439"/>
      <c r="S18" s="439"/>
      <c r="T18" s="439"/>
      <c r="U18" s="439"/>
      <c r="V18" s="440"/>
      <c r="W18" s="452">
        <v>11</v>
      </c>
      <c r="X18" s="450"/>
      <c r="Y18" s="451"/>
      <c r="Z18" s="452">
        <v>11</v>
      </c>
      <c r="AA18" s="450"/>
      <c r="AB18" s="451"/>
    </row>
    <row r="19" spans="4:28" s="74" customFormat="1" ht="15" customHeight="1" x14ac:dyDescent="0.25">
      <c r="D19" s="85"/>
      <c r="E19" s="85"/>
      <c r="F19" s="85"/>
      <c r="G19" s="406" t="s">
        <v>107</v>
      </c>
      <c r="H19" s="407"/>
      <c r="I19" s="407"/>
      <c r="J19" s="407"/>
      <c r="K19" s="407"/>
      <c r="L19" s="407"/>
      <c r="M19" s="408"/>
      <c r="N19" s="438" t="s">
        <v>142</v>
      </c>
      <c r="O19" s="439"/>
      <c r="P19" s="439"/>
      <c r="Q19" s="439"/>
      <c r="R19" s="439"/>
      <c r="S19" s="439"/>
      <c r="T19" s="439"/>
      <c r="U19" s="439"/>
      <c r="V19" s="440"/>
      <c r="W19" s="452">
        <v>12</v>
      </c>
      <c r="X19" s="450"/>
      <c r="Y19" s="451"/>
      <c r="Z19" s="452">
        <v>12</v>
      </c>
      <c r="AA19" s="450"/>
      <c r="AB19" s="451"/>
    </row>
    <row r="20" spans="4:28" s="74" customFormat="1" ht="15" customHeight="1" x14ac:dyDescent="0.25">
      <c r="D20" s="85"/>
      <c r="E20" s="85"/>
      <c r="F20" s="85"/>
      <c r="G20" s="406" t="s">
        <v>108</v>
      </c>
      <c r="H20" s="407"/>
      <c r="I20" s="407"/>
      <c r="J20" s="407"/>
      <c r="K20" s="407"/>
      <c r="L20" s="407"/>
      <c r="M20" s="408"/>
      <c r="N20" s="438" t="s">
        <v>143</v>
      </c>
      <c r="O20" s="439"/>
      <c r="P20" s="439"/>
      <c r="Q20" s="439"/>
      <c r="R20" s="439"/>
      <c r="S20" s="439"/>
      <c r="T20" s="439"/>
      <c r="U20" s="439"/>
      <c r="V20" s="440"/>
      <c r="W20" s="452">
        <v>14</v>
      </c>
      <c r="X20" s="450"/>
      <c r="Y20" s="451"/>
      <c r="Z20" s="452">
        <v>14</v>
      </c>
      <c r="AA20" s="450"/>
      <c r="AB20" s="451"/>
    </row>
    <row r="21" spans="4:28" s="74" customFormat="1" x14ac:dyDescent="0.25">
      <c r="D21" s="85"/>
      <c r="E21" s="85"/>
      <c r="F21" s="85"/>
      <c r="G21" s="406" t="s">
        <v>109</v>
      </c>
      <c r="H21" s="407"/>
      <c r="I21" s="407"/>
      <c r="J21" s="407"/>
      <c r="K21" s="407"/>
      <c r="L21" s="407"/>
      <c r="M21" s="408"/>
      <c r="N21" s="438" t="s">
        <v>144</v>
      </c>
      <c r="O21" s="439"/>
      <c r="P21" s="439"/>
      <c r="Q21" s="439"/>
      <c r="R21" s="439"/>
      <c r="S21" s="439"/>
      <c r="T21" s="439"/>
      <c r="U21" s="439"/>
      <c r="V21" s="440"/>
      <c r="W21" s="452">
        <v>15</v>
      </c>
      <c r="X21" s="450"/>
      <c r="Y21" s="451"/>
      <c r="Z21" s="452">
        <v>15</v>
      </c>
      <c r="AA21" s="450"/>
      <c r="AB21" s="451"/>
    </row>
    <row r="22" spans="4:28" s="74" customFormat="1" ht="15" customHeight="1" x14ac:dyDescent="0.25">
      <c r="D22" s="85"/>
      <c r="E22" s="85"/>
      <c r="F22" s="85"/>
      <c r="G22" s="406" t="s">
        <v>110</v>
      </c>
      <c r="H22" s="407"/>
      <c r="I22" s="407"/>
      <c r="J22" s="407"/>
      <c r="K22" s="407"/>
      <c r="L22" s="407"/>
      <c r="M22" s="408"/>
      <c r="N22" s="438" t="s">
        <v>145</v>
      </c>
      <c r="O22" s="439"/>
      <c r="P22" s="439"/>
      <c r="Q22" s="439"/>
      <c r="R22" s="439"/>
      <c r="S22" s="439"/>
      <c r="T22" s="439"/>
      <c r="U22" s="439"/>
      <c r="V22" s="440"/>
      <c r="W22" s="452">
        <v>19</v>
      </c>
      <c r="X22" s="450"/>
      <c r="Y22" s="451"/>
      <c r="Z22" s="452">
        <v>19</v>
      </c>
      <c r="AA22" s="450"/>
      <c r="AB22" s="451"/>
    </row>
    <row r="23" spans="4:28" s="74" customFormat="1" ht="15" customHeight="1" x14ac:dyDescent="0.25">
      <c r="D23" s="85"/>
      <c r="E23" s="85"/>
      <c r="F23" s="85"/>
      <c r="G23" s="406" t="s">
        <v>111</v>
      </c>
      <c r="H23" s="407"/>
      <c r="I23" s="407"/>
      <c r="J23" s="407"/>
      <c r="K23" s="407"/>
      <c r="L23" s="407"/>
      <c r="M23" s="408"/>
      <c r="N23" s="438" t="s">
        <v>146</v>
      </c>
      <c r="O23" s="439"/>
      <c r="P23" s="439"/>
      <c r="Q23" s="439"/>
      <c r="R23" s="439"/>
      <c r="S23" s="439"/>
      <c r="T23" s="439"/>
      <c r="U23" s="439"/>
      <c r="V23" s="440"/>
      <c r="W23" s="452">
        <v>20</v>
      </c>
      <c r="X23" s="450"/>
      <c r="Y23" s="451"/>
      <c r="Z23" s="452">
        <v>20</v>
      </c>
      <c r="AA23" s="450"/>
      <c r="AB23" s="451"/>
    </row>
    <row r="24" spans="4:28" s="74" customFormat="1" ht="15" customHeight="1" x14ac:dyDescent="0.25">
      <c r="D24" s="85"/>
      <c r="E24" s="85"/>
      <c r="F24" s="85"/>
      <c r="G24" s="406" t="s">
        <v>112</v>
      </c>
      <c r="H24" s="407"/>
      <c r="I24" s="407"/>
      <c r="J24" s="407"/>
      <c r="K24" s="407"/>
      <c r="L24" s="407"/>
      <c r="M24" s="408"/>
      <c r="N24" s="438" t="s">
        <v>147</v>
      </c>
      <c r="O24" s="439"/>
      <c r="P24" s="439"/>
      <c r="Q24" s="439"/>
      <c r="R24" s="439"/>
      <c r="S24" s="439"/>
      <c r="T24" s="439"/>
      <c r="U24" s="439"/>
      <c r="V24" s="440"/>
      <c r="W24" s="452">
        <v>21</v>
      </c>
      <c r="X24" s="450"/>
      <c r="Y24" s="451"/>
      <c r="Z24" s="452">
        <v>21</v>
      </c>
      <c r="AA24" s="450"/>
      <c r="AB24" s="451"/>
    </row>
    <row r="25" spans="4:28" s="74" customFormat="1" ht="15" customHeight="1" x14ac:dyDescent="0.25">
      <c r="D25" s="85"/>
      <c r="E25" s="85"/>
      <c r="F25" s="85"/>
      <c r="G25" s="406" t="s">
        <v>113</v>
      </c>
      <c r="H25" s="407"/>
      <c r="I25" s="407"/>
      <c r="J25" s="407"/>
      <c r="K25" s="407"/>
      <c r="L25" s="407"/>
      <c r="M25" s="408"/>
      <c r="N25" s="438" t="s">
        <v>148</v>
      </c>
      <c r="O25" s="439"/>
      <c r="P25" s="439"/>
      <c r="Q25" s="439"/>
      <c r="R25" s="439"/>
      <c r="S25" s="439"/>
      <c r="T25" s="439"/>
      <c r="U25" s="439"/>
      <c r="V25" s="440"/>
      <c r="W25" s="452">
        <v>22</v>
      </c>
      <c r="X25" s="450"/>
      <c r="Y25" s="451"/>
      <c r="Z25" s="452">
        <v>22</v>
      </c>
      <c r="AA25" s="450"/>
      <c r="AB25" s="451"/>
    </row>
    <row r="26" spans="4:28" s="74" customFormat="1" ht="15" customHeight="1" x14ac:dyDescent="0.25">
      <c r="D26" s="85"/>
      <c r="E26" s="85"/>
      <c r="F26" s="85"/>
      <c r="G26" s="406" t="s">
        <v>114</v>
      </c>
      <c r="H26" s="407"/>
      <c r="I26" s="407"/>
      <c r="J26" s="407"/>
      <c r="K26" s="407"/>
      <c r="L26" s="407"/>
      <c r="M26" s="408"/>
      <c r="N26" s="438" t="s">
        <v>149</v>
      </c>
      <c r="O26" s="439"/>
      <c r="P26" s="439"/>
      <c r="Q26" s="439"/>
      <c r="R26" s="439"/>
      <c r="S26" s="439"/>
      <c r="T26" s="439"/>
      <c r="U26" s="439"/>
      <c r="V26" s="440"/>
      <c r="W26" s="452">
        <v>28</v>
      </c>
      <c r="X26" s="450"/>
      <c r="Y26" s="451"/>
      <c r="Z26" s="452">
        <v>28</v>
      </c>
      <c r="AA26" s="450"/>
      <c r="AB26" s="451"/>
    </row>
    <row r="27" spans="4:28" s="74" customFormat="1" ht="15" customHeight="1" x14ac:dyDescent="0.25">
      <c r="D27" s="85"/>
      <c r="E27" s="85"/>
      <c r="F27" s="85"/>
      <c r="G27" s="406" t="s">
        <v>115</v>
      </c>
      <c r="H27" s="407"/>
      <c r="I27" s="407"/>
      <c r="J27" s="407"/>
      <c r="K27" s="407"/>
      <c r="L27" s="407"/>
      <c r="M27" s="408"/>
      <c r="N27" s="438" t="s">
        <v>150</v>
      </c>
      <c r="O27" s="439"/>
      <c r="P27" s="439"/>
      <c r="Q27" s="439"/>
      <c r="R27" s="439"/>
      <c r="S27" s="439"/>
      <c r="T27" s="439"/>
      <c r="U27" s="439"/>
      <c r="V27" s="440"/>
      <c r="W27" s="452">
        <v>29</v>
      </c>
      <c r="X27" s="450"/>
      <c r="Y27" s="451"/>
      <c r="Z27" s="452">
        <v>29</v>
      </c>
      <c r="AA27" s="450"/>
      <c r="AB27" s="451"/>
    </row>
    <row r="28" spans="4:28" s="74" customFormat="1" ht="15" customHeight="1" x14ac:dyDescent="0.25">
      <c r="D28" s="85"/>
      <c r="E28" s="85"/>
      <c r="F28" s="85"/>
      <c r="G28" s="406" t="s">
        <v>116</v>
      </c>
      <c r="H28" s="407"/>
      <c r="I28" s="407"/>
      <c r="J28" s="407"/>
      <c r="K28" s="407"/>
      <c r="L28" s="407"/>
      <c r="M28" s="408"/>
      <c r="N28" s="438" t="s">
        <v>151</v>
      </c>
      <c r="O28" s="439"/>
      <c r="P28" s="439"/>
      <c r="Q28" s="439"/>
      <c r="R28" s="439"/>
      <c r="S28" s="439"/>
      <c r="T28" s="439"/>
      <c r="U28" s="439"/>
      <c r="V28" s="440"/>
      <c r="W28" s="452">
        <v>31</v>
      </c>
      <c r="X28" s="450"/>
      <c r="Y28" s="451"/>
      <c r="Z28" s="452">
        <v>31</v>
      </c>
      <c r="AA28" s="450"/>
      <c r="AB28" s="451"/>
    </row>
    <row r="29" spans="4:28" s="74" customFormat="1" ht="15" customHeight="1" x14ac:dyDescent="0.25">
      <c r="D29" s="85"/>
      <c r="E29" s="85"/>
      <c r="F29" s="85"/>
      <c r="G29" s="406" t="s">
        <v>117</v>
      </c>
      <c r="H29" s="407"/>
      <c r="I29" s="407"/>
      <c r="J29" s="407"/>
      <c r="K29" s="407"/>
      <c r="L29" s="407"/>
      <c r="M29" s="408"/>
      <c r="N29" s="438" t="s">
        <v>152</v>
      </c>
      <c r="O29" s="439"/>
      <c r="P29" s="439"/>
      <c r="Q29" s="439"/>
      <c r="R29" s="439"/>
      <c r="S29" s="439"/>
      <c r="T29" s="439"/>
      <c r="U29" s="439"/>
      <c r="V29" s="440"/>
      <c r="W29" s="452">
        <v>32</v>
      </c>
      <c r="X29" s="450"/>
      <c r="Y29" s="451"/>
      <c r="Z29" s="452">
        <v>32</v>
      </c>
      <c r="AA29" s="450"/>
      <c r="AB29" s="451"/>
    </row>
    <row r="30" spans="4:28" s="74" customFormat="1" ht="15" customHeight="1" x14ac:dyDescent="0.25">
      <c r="D30" s="85"/>
      <c r="E30" s="85"/>
      <c r="F30" s="85"/>
      <c r="G30" s="406" t="s">
        <v>118</v>
      </c>
      <c r="H30" s="407"/>
      <c r="I30" s="407"/>
      <c r="J30" s="407"/>
      <c r="K30" s="407"/>
      <c r="L30" s="407"/>
      <c r="M30" s="408"/>
      <c r="N30" s="438" t="s">
        <v>153</v>
      </c>
      <c r="O30" s="439"/>
      <c r="P30" s="439"/>
      <c r="Q30" s="439"/>
      <c r="R30" s="439"/>
      <c r="S30" s="439"/>
      <c r="T30" s="439"/>
      <c r="U30" s="439"/>
      <c r="V30" s="440"/>
      <c r="W30" s="452">
        <v>33</v>
      </c>
      <c r="X30" s="450"/>
      <c r="Y30" s="451"/>
      <c r="Z30" s="452">
        <v>33</v>
      </c>
      <c r="AA30" s="450"/>
      <c r="AB30" s="451"/>
    </row>
    <row r="31" spans="4:28" s="74" customFormat="1" ht="15" customHeight="1" x14ac:dyDescent="0.25">
      <c r="D31" s="85"/>
      <c r="E31" s="85"/>
      <c r="F31" s="85"/>
      <c r="G31" s="406" t="s">
        <v>119</v>
      </c>
      <c r="H31" s="407"/>
      <c r="I31" s="407"/>
      <c r="J31" s="407"/>
      <c r="K31" s="407"/>
      <c r="L31" s="407"/>
      <c r="M31" s="408"/>
      <c r="N31" s="438" t="s">
        <v>154</v>
      </c>
      <c r="O31" s="439"/>
      <c r="P31" s="439"/>
      <c r="Q31" s="439"/>
      <c r="R31" s="439"/>
      <c r="S31" s="439"/>
      <c r="T31" s="439"/>
      <c r="U31" s="439"/>
      <c r="V31" s="440"/>
      <c r="W31" s="452">
        <v>37</v>
      </c>
      <c r="X31" s="450"/>
      <c r="Y31" s="451"/>
      <c r="Z31" s="452">
        <v>37</v>
      </c>
      <c r="AA31" s="450"/>
      <c r="AB31" s="451"/>
    </row>
    <row r="32" spans="4:28" s="74" customFormat="1" ht="15" customHeight="1" x14ac:dyDescent="0.25">
      <c r="D32" s="85"/>
      <c r="E32" s="85"/>
      <c r="F32" s="85"/>
      <c r="G32" s="406" t="s">
        <v>120</v>
      </c>
      <c r="H32" s="407"/>
      <c r="I32" s="407"/>
      <c r="J32" s="407"/>
      <c r="K32" s="407"/>
      <c r="L32" s="407"/>
      <c r="M32" s="408"/>
      <c r="N32" s="438" t="s">
        <v>155</v>
      </c>
      <c r="O32" s="439"/>
      <c r="P32" s="439"/>
      <c r="Q32" s="439"/>
      <c r="R32" s="439"/>
      <c r="S32" s="439"/>
      <c r="T32" s="439"/>
      <c r="U32" s="439"/>
      <c r="V32" s="440"/>
      <c r="W32" s="452">
        <v>38</v>
      </c>
      <c r="X32" s="450"/>
      <c r="Y32" s="451"/>
      <c r="Z32" s="452">
        <v>38</v>
      </c>
      <c r="AA32" s="450"/>
      <c r="AB32" s="451"/>
    </row>
    <row r="33" spans="4:28" s="74" customFormat="1" ht="15" customHeight="1" x14ac:dyDescent="0.25">
      <c r="D33" s="85"/>
      <c r="E33" s="85"/>
      <c r="F33" s="85"/>
      <c r="G33" s="406" t="s">
        <v>121</v>
      </c>
      <c r="H33" s="407"/>
      <c r="I33" s="407"/>
      <c r="J33" s="407"/>
      <c r="K33" s="407"/>
      <c r="L33" s="407"/>
      <c r="M33" s="408"/>
      <c r="N33" s="438" t="s">
        <v>156</v>
      </c>
      <c r="O33" s="439"/>
      <c r="P33" s="439"/>
      <c r="Q33" s="439"/>
      <c r="R33" s="439"/>
      <c r="S33" s="439"/>
      <c r="T33" s="439"/>
      <c r="U33" s="439"/>
      <c r="V33" s="440"/>
      <c r="W33" s="452">
        <v>40</v>
      </c>
      <c r="X33" s="450"/>
      <c r="Y33" s="451"/>
      <c r="Z33" s="452">
        <v>40</v>
      </c>
      <c r="AA33" s="450"/>
      <c r="AB33" s="451"/>
    </row>
    <row r="34" spans="4:28" s="74" customFormat="1" ht="15" customHeight="1" x14ac:dyDescent="0.25">
      <c r="D34" s="85"/>
      <c r="E34" s="85"/>
      <c r="F34" s="85"/>
      <c r="G34" s="406" t="s">
        <v>122</v>
      </c>
      <c r="H34" s="407"/>
      <c r="I34" s="407"/>
      <c r="J34" s="407"/>
      <c r="K34" s="407"/>
      <c r="L34" s="407"/>
      <c r="M34" s="408"/>
      <c r="N34" s="438" t="s">
        <v>157</v>
      </c>
      <c r="O34" s="439"/>
      <c r="P34" s="439"/>
      <c r="Q34" s="439"/>
      <c r="R34" s="439"/>
      <c r="S34" s="439"/>
      <c r="T34" s="439"/>
      <c r="U34" s="439"/>
      <c r="V34" s="440"/>
      <c r="W34" s="452">
        <v>45</v>
      </c>
      <c r="X34" s="450"/>
      <c r="Y34" s="451"/>
      <c r="Z34" s="452">
        <v>45</v>
      </c>
      <c r="AA34" s="450"/>
      <c r="AB34" s="451"/>
    </row>
    <row r="35" spans="4:28" s="74" customFormat="1" ht="15" customHeight="1" x14ac:dyDescent="0.25">
      <c r="D35" s="85"/>
      <c r="E35" s="85"/>
      <c r="F35" s="85"/>
      <c r="G35" s="406" t="s">
        <v>123</v>
      </c>
      <c r="H35" s="407"/>
      <c r="I35" s="407"/>
      <c r="J35" s="407"/>
      <c r="K35" s="407"/>
      <c r="L35" s="407"/>
      <c r="M35" s="408"/>
      <c r="N35" s="438" t="s">
        <v>158</v>
      </c>
      <c r="O35" s="439"/>
      <c r="P35" s="439"/>
      <c r="Q35" s="439"/>
      <c r="R35" s="439"/>
      <c r="S35" s="439"/>
      <c r="T35" s="439"/>
      <c r="U35" s="439"/>
      <c r="V35" s="440"/>
      <c r="W35" s="452">
        <v>62</v>
      </c>
      <c r="X35" s="450"/>
      <c r="Y35" s="451"/>
      <c r="Z35" s="452">
        <v>62</v>
      </c>
      <c r="AA35" s="450"/>
      <c r="AB35" s="451"/>
    </row>
    <row r="36" spans="4:28" s="74" customFormat="1" x14ac:dyDescent="0.25">
      <c r="D36" s="85"/>
      <c r="E36" s="85"/>
      <c r="F36" s="85"/>
      <c r="G36" s="406" t="s">
        <v>124</v>
      </c>
      <c r="H36" s="407"/>
      <c r="I36" s="407"/>
      <c r="J36" s="407"/>
      <c r="K36" s="407"/>
      <c r="L36" s="407"/>
      <c r="M36" s="408"/>
      <c r="N36" s="438" t="s">
        <v>159</v>
      </c>
      <c r="O36" s="439"/>
      <c r="P36" s="439"/>
      <c r="Q36" s="439"/>
      <c r="R36" s="439"/>
      <c r="S36" s="439"/>
      <c r="T36" s="439"/>
      <c r="U36" s="439"/>
      <c r="V36" s="440"/>
      <c r="W36" s="452">
        <v>66</v>
      </c>
      <c r="X36" s="450"/>
      <c r="Y36" s="451"/>
      <c r="Z36" s="452">
        <v>66</v>
      </c>
      <c r="AA36" s="450"/>
      <c r="AB36" s="451"/>
    </row>
    <row r="37" spans="4:28" s="74" customFormat="1" ht="15" customHeight="1" x14ac:dyDescent="0.25">
      <c r="D37" s="85"/>
      <c r="E37" s="85"/>
      <c r="F37" s="85"/>
      <c r="G37" s="406" t="s">
        <v>125</v>
      </c>
      <c r="H37" s="407"/>
      <c r="I37" s="407"/>
      <c r="J37" s="407"/>
      <c r="K37" s="407"/>
      <c r="L37" s="407"/>
      <c r="M37" s="408"/>
      <c r="N37" s="438" t="s">
        <v>160</v>
      </c>
      <c r="O37" s="439"/>
      <c r="P37" s="439"/>
      <c r="Q37" s="439"/>
      <c r="R37" s="439"/>
      <c r="S37" s="439"/>
      <c r="T37" s="439"/>
      <c r="U37" s="439"/>
      <c r="V37" s="440"/>
      <c r="W37" s="452">
        <v>68</v>
      </c>
      <c r="X37" s="450"/>
      <c r="Y37" s="451"/>
      <c r="Z37" s="452">
        <v>68</v>
      </c>
      <c r="AA37" s="450"/>
      <c r="AB37" s="451"/>
    </row>
    <row r="38" spans="4:28" s="74" customFormat="1" ht="15" customHeight="1" x14ac:dyDescent="0.25">
      <c r="D38" s="85"/>
      <c r="E38" s="85"/>
      <c r="F38" s="85"/>
      <c r="G38" s="406" t="s">
        <v>176</v>
      </c>
      <c r="H38" s="407"/>
      <c r="I38" s="407"/>
      <c r="J38" s="407"/>
      <c r="K38" s="407"/>
      <c r="L38" s="407"/>
      <c r="M38" s="408"/>
      <c r="N38" s="438" t="s">
        <v>161</v>
      </c>
      <c r="O38" s="439"/>
      <c r="P38" s="439"/>
      <c r="Q38" s="439"/>
      <c r="R38" s="439"/>
      <c r="S38" s="439"/>
      <c r="T38" s="439"/>
      <c r="U38" s="439"/>
      <c r="V38" s="440"/>
      <c r="W38" s="452">
        <v>81</v>
      </c>
      <c r="X38" s="450"/>
      <c r="Y38" s="451"/>
      <c r="Z38" s="452">
        <v>71</v>
      </c>
      <c r="AA38" s="450"/>
      <c r="AB38" s="451"/>
    </row>
    <row r="39" spans="4:28" s="74" customFormat="1" ht="15" customHeight="1" x14ac:dyDescent="0.25">
      <c r="D39" s="85"/>
      <c r="E39" s="85"/>
      <c r="F39" s="85"/>
      <c r="G39" s="406" t="s">
        <v>126</v>
      </c>
      <c r="H39" s="407"/>
      <c r="I39" s="407"/>
      <c r="J39" s="407"/>
      <c r="K39" s="407"/>
      <c r="L39" s="407"/>
      <c r="M39" s="408"/>
      <c r="N39" s="438" t="s">
        <v>162</v>
      </c>
      <c r="O39" s="439"/>
      <c r="P39" s="439"/>
      <c r="Q39" s="439"/>
      <c r="R39" s="439"/>
      <c r="S39" s="439"/>
      <c r="T39" s="439"/>
      <c r="U39" s="439"/>
      <c r="V39" s="440"/>
      <c r="W39" s="452">
        <v>72</v>
      </c>
      <c r="X39" s="450"/>
      <c r="Y39" s="451"/>
      <c r="Z39" s="452">
        <v>72</v>
      </c>
      <c r="AA39" s="450"/>
      <c r="AB39" s="451"/>
    </row>
    <row r="40" spans="4:28" s="74" customFormat="1" ht="15" customHeight="1" x14ac:dyDescent="0.25">
      <c r="D40" s="85"/>
      <c r="E40" s="85"/>
      <c r="F40" s="85"/>
      <c r="G40" s="406" t="s">
        <v>127</v>
      </c>
      <c r="H40" s="407"/>
      <c r="I40" s="407"/>
      <c r="J40" s="407"/>
      <c r="K40" s="407"/>
      <c r="L40" s="407"/>
      <c r="M40" s="408"/>
      <c r="N40" s="438" t="s">
        <v>163</v>
      </c>
      <c r="O40" s="439"/>
      <c r="P40" s="439"/>
      <c r="Q40" s="439"/>
      <c r="R40" s="439"/>
      <c r="S40" s="439"/>
      <c r="T40" s="439"/>
      <c r="U40" s="439"/>
      <c r="V40" s="440"/>
      <c r="W40" s="452">
        <v>73</v>
      </c>
      <c r="X40" s="450"/>
      <c r="Y40" s="451"/>
      <c r="Z40" s="452">
        <v>73</v>
      </c>
      <c r="AA40" s="450"/>
      <c r="AB40" s="451"/>
    </row>
    <row r="41" spans="4:28" s="74" customFormat="1" ht="15" customHeight="1" x14ac:dyDescent="0.25">
      <c r="D41" s="85"/>
      <c r="E41" s="85"/>
      <c r="F41" s="85"/>
      <c r="G41" s="406" t="s">
        <v>128</v>
      </c>
      <c r="H41" s="407"/>
      <c r="I41" s="407"/>
      <c r="J41" s="407"/>
      <c r="K41" s="407"/>
      <c r="L41" s="407"/>
      <c r="M41" s="408"/>
      <c r="N41" s="438" t="s">
        <v>164</v>
      </c>
      <c r="O41" s="439"/>
      <c r="P41" s="439"/>
      <c r="Q41" s="439"/>
      <c r="R41" s="439"/>
      <c r="S41" s="439"/>
      <c r="T41" s="439"/>
      <c r="U41" s="439"/>
      <c r="V41" s="440"/>
      <c r="W41" s="452">
        <v>74</v>
      </c>
      <c r="X41" s="450"/>
      <c r="Y41" s="451"/>
      <c r="Z41" s="452">
        <v>74</v>
      </c>
      <c r="AA41" s="450"/>
      <c r="AB41" s="451"/>
    </row>
    <row r="42" spans="4:28" s="74" customFormat="1" ht="15" customHeight="1" x14ac:dyDescent="0.25">
      <c r="D42" s="85"/>
      <c r="E42" s="85"/>
      <c r="F42" s="85"/>
      <c r="G42" s="406" t="s">
        <v>129</v>
      </c>
      <c r="H42" s="407"/>
      <c r="I42" s="407"/>
      <c r="J42" s="407"/>
      <c r="K42" s="407"/>
      <c r="L42" s="407"/>
      <c r="M42" s="408"/>
      <c r="N42" s="438" t="s">
        <v>165</v>
      </c>
      <c r="O42" s="439"/>
      <c r="P42" s="439"/>
      <c r="Q42" s="439"/>
      <c r="R42" s="439"/>
      <c r="S42" s="439"/>
      <c r="T42" s="439"/>
      <c r="U42" s="439"/>
      <c r="V42" s="440"/>
      <c r="W42" s="452">
        <v>80</v>
      </c>
      <c r="X42" s="450"/>
      <c r="Y42" s="451"/>
      <c r="Z42" s="452">
        <v>80</v>
      </c>
      <c r="AA42" s="450"/>
      <c r="AB42" s="451"/>
    </row>
    <row r="43" spans="4:28" s="74" customFormat="1" ht="33.75" customHeight="1" x14ac:dyDescent="0.25">
      <c r="D43" s="85"/>
      <c r="E43" s="85"/>
      <c r="F43" s="85"/>
      <c r="G43" s="406" t="s">
        <v>178</v>
      </c>
      <c r="H43" s="407"/>
      <c r="I43" s="407"/>
      <c r="J43" s="407"/>
      <c r="K43" s="407"/>
      <c r="L43" s="407"/>
      <c r="M43" s="408"/>
      <c r="N43" s="438" t="s">
        <v>166</v>
      </c>
      <c r="O43" s="439"/>
      <c r="P43" s="439"/>
      <c r="Q43" s="439"/>
      <c r="R43" s="439"/>
      <c r="S43" s="439"/>
      <c r="T43" s="439"/>
      <c r="U43" s="439"/>
      <c r="V43" s="440"/>
      <c r="W43" s="452"/>
      <c r="X43" s="450"/>
      <c r="Y43" s="451"/>
      <c r="Z43" s="452">
        <v>81</v>
      </c>
      <c r="AA43" s="450"/>
      <c r="AB43" s="451"/>
    </row>
    <row r="44" spans="4:28" s="74" customFormat="1" x14ac:dyDescent="0.25">
      <c r="D44" s="85"/>
      <c r="E44" s="85"/>
      <c r="F44" s="85"/>
      <c r="G44" s="406" t="s">
        <v>130</v>
      </c>
      <c r="H44" s="407"/>
      <c r="I44" s="407"/>
      <c r="J44" s="407"/>
      <c r="K44" s="407"/>
      <c r="L44" s="407"/>
      <c r="M44" s="408"/>
      <c r="N44" s="438" t="s">
        <v>167</v>
      </c>
      <c r="O44" s="439"/>
      <c r="P44" s="439"/>
      <c r="Q44" s="439"/>
      <c r="R44" s="439"/>
      <c r="S44" s="439"/>
      <c r="T44" s="439"/>
      <c r="U44" s="439"/>
      <c r="V44" s="440"/>
      <c r="W44" s="452">
        <v>82</v>
      </c>
      <c r="X44" s="450"/>
      <c r="Y44" s="451"/>
      <c r="Z44" s="452">
        <v>82</v>
      </c>
      <c r="AA44" s="450"/>
      <c r="AB44" s="451"/>
    </row>
    <row r="45" spans="4:28" s="74" customFormat="1" ht="31.5" customHeight="1" x14ac:dyDescent="0.25">
      <c r="D45" s="85"/>
      <c r="E45" s="85"/>
      <c r="F45" s="85"/>
      <c r="G45" s="406" t="s">
        <v>131</v>
      </c>
      <c r="H45" s="407"/>
      <c r="I45" s="407"/>
      <c r="J45" s="407"/>
      <c r="K45" s="407"/>
      <c r="L45" s="407"/>
      <c r="M45" s="408"/>
      <c r="N45" s="438" t="s">
        <v>168</v>
      </c>
      <c r="O45" s="439"/>
      <c r="P45" s="439"/>
      <c r="Q45" s="439"/>
      <c r="R45" s="439"/>
      <c r="S45" s="439"/>
      <c r="T45" s="439"/>
      <c r="U45" s="439"/>
      <c r="V45" s="440"/>
      <c r="W45" s="452">
        <v>96</v>
      </c>
      <c r="X45" s="450"/>
      <c r="Y45" s="451"/>
      <c r="Z45" s="452">
        <v>96</v>
      </c>
      <c r="AA45" s="450"/>
      <c r="AB45" s="451"/>
    </row>
    <row r="46" spans="4:28" s="74" customFormat="1" ht="15" customHeight="1" x14ac:dyDescent="0.25">
      <c r="D46" s="85"/>
      <c r="E46" s="85"/>
      <c r="F46" s="85"/>
      <c r="G46" s="406" t="s">
        <v>132</v>
      </c>
      <c r="H46" s="407"/>
      <c r="I46" s="407"/>
      <c r="J46" s="407"/>
      <c r="K46" s="407"/>
      <c r="L46" s="407"/>
      <c r="M46" s="408"/>
      <c r="N46" s="438" t="s">
        <v>169</v>
      </c>
      <c r="O46" s="439"/>
      <c r="P46" s="439"/>
      <c r="Q46" s="439"/>
      <c r="R46" s="439"/>
      <c r="S46" s="439"/>
      <c r="T46" s="439"/>
      <c r="U46" s="439"/>
      <c r="V46" s="440"/>
      <c r="W46" s="452">
        <v>99</v>
      </c>
      <c r="X46" s="450"/>
      <c r="Y46" s="451"/>
      <c r="Z46" s="452">
        <v>99</v>
      </c>
      <c r="AA46" s="450"/>
      <c r="AB46" s="451"/>
    </row>
    <row r="47" spans="4:28" s="74" customFormat="1" ht="15" customHeight="1" x14ac:dyDescent="0.25"/>
    <row r="48" spans="4:2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mergeCells count="169">
    <mergeCell ref="Z45:AB45"/>
    <mergeCell ref="Z46:AB46"/>
    <mergeCell ref="Z37:AB37"/>
    <mergeCell ref="Z38:AB38"/>
    <mergeCell ref="Z39:AB39"/>
    <mergeCell ref="Z40:AB40"/>
    <mergeCell ref="Z41:AB41"/>
    <mergeCell ref="Z42:AB42"/>
    <mergeCell ref="Z43:AB43"/>
    <mergeCell ref="Z44:AB44"/>
    <mergeCell ref="Z28:AB28"/>
    <mergeCell ref="Z29:AB29"/>
    <mergeCell ref="Z30:AB30"/>
    <mergeCell ref="Z31:AB31"/>
    <mergeCell ref="Z32:AB32"/>
    <mergeCell ref="Z33:AB33"/>
    <mergeCell ref="Z34:AB34"/>
    <mergeCell ref="Z35:AB35"/>
    <mergeCell ref="Z36:AB36"/>
    <mergeCell ref="W41:Y41"/>
    <mergeCell ref="W42:Y42"/>
    <mergeCell ref="W43:Y43"/>
    <mergeCell ref="W44:Y44"/>
    <mergeCell ref="W45:Y45"/>
    <mergeCell ref="W46:Y46"/>
    <mergeCell ref="Z11:AB11"/>
    <mergeCell ref="Z12:AB12"/>
    <mergeCell ref="Z13:AB13"/>
    <mergeCell ref="Z14:AB14"/>
    <mergeCell ref="Z15:AB15"/>
    <mergeCell ref="Z16:AB16"/>
    <mergeCell ref="Z17:AB17"/>
    <mergeCell ref="Z18:AB18"/>
    <mergeCell ref="Z19:AB19"/>
    <mergeCell ref="Z20:AB20"/>
    <mergeCell ref="Z21:AB21"/>
    <mergeCell ref="Z22:AB22"/>
    <mergeCell ref="Z23:AB23"/>
    <mergeCell ref="Z24:AB24"/>
    <mergeCell ref="Z25:AB25"/>
    <mergeCell ref="Z26:AB26"/>
    <mergeCell ref="Z27:AB27"/>
    <mergeCell ref="W32:Y32"/>
    <mergeCell ref="W37:Y37"/>
    <mergeCell ref="W38:Y38"/>
    <mergeCell ref="W39:Y39"/>
    <mergeCell ref="W40:Y40"/>
    <mergeCell ref="W23:Y23"/>
    <mergeCell ref="W24:Y24"/>
    <mergeCell ref="W25:Y25"/>
    <mergeCell ref="W26:Y26"/>
    <mergeCell ref="W27:Y27"/>
    <mergeCell ref="W28:Y28"/>
    <mergeCell ref="W29:Y29"/>
    <mergeCell ref="W30:Y30"/>
    <mergeCell ref="W31:Y31"/>
    <mergeCell ref="W18:Y18"/>
    <mergeCell ref="W19:Y19"/>
    <mergeCell ref="W20:Y20"/>
    <mergeCell ref="W21:Y21"/>
    <mergeCell ref="W22:Y22"/>
    <mergeCell ref="W33:Y33"/>
    <mergeCell ref="W34:Y34"/>
    <mergeCell ref="W35:Y35"/>
    <mergeCell ref="W36:Y36"/>
    <mergeCell ref="N46:V46"/>
    <mergeCell ref="N20:V20"/>
    <mergeCell ref="N36:V36"/>
    <mergeCell ref="N37:V37"/>
    <mergeCell ref="N38:V38"/>
    <mergeCell ref="N39:V39"/>
    <mergeCell ref="N40:V40"/>
    <mergeCell ref="N29:V29"/>
    <mergeCell ref="N30:V30"/>
    <mergeCell ref="N31:V31"/>
    <mergeCell ref="N32:V32"/>
    <mergeCell ref="N35:V35"/>
    <mergeCell ref="N33:V33"/>
    <mergeCell ref="N34:V34"/>
    <mergeCell ref="N25:V25"/>
    <mergeCell ref="N26:V26"/>
    <mergeCell ref="N45:V45"/>
    <mergeCell ref="N44:V44"/>
    <mergeCell ref="N43:V43"/>
    <mergeCell ref="N42:V42"/>
    <mergeCell ref="N41:V41"/>
    <mergeCell ref="N24:V24"/>
    <mergeCell ref="G11:M11"/>
    <mergeCell ref="G12:M12"/>
    <mergeCell ref="G13:M13"/>
    <mergeCell ref="G14:M14"/>
    <mergeCell ref="G15:M15"/>
    <mergeCell ref="G16:M16"/>
    <mergeCell ref="G17:M17"/>
    <mergeCell ref="N15:V15"/>
    <mergeCell ref="N16:V16"/>
    <mergeCell ref="N17:V17"/>
    <mergeCell ref="G31:M31"/>
    <mergeCell ref="N27:V27"/>
    <mergeCell ref="N28:V28"/>
    <mergeCell ref="N18:V18"/>
    <mergeCell ref="N19:V19"/>
    <mergeCell ref="N21:V21"/>
    <mergeCell ref="N22:V22"/>
    <mergeCell ref="N23:V23"/>
    <mergeCell ref="W9:AB9"/>
    <mergeCell ref="W10:Y10"/>
    <mergeCell ref="Z10:AB10"/>
    <mergeCell ref="G9:M10"/>
    <mergeCell ref="N9:V10"/>
    <mergeCell ref="W11:Y11"/>
    <mergeCell ref="W12:Y12"/>
    <mergeCell ref="W13:Y13"/>
    <mergeCell ref="W14:Y14"/>
    <mergeCell ref="N11:V11"/>
    <mergeCell ref="N12:V12"/>
    <mergeCell ref="N13:V13"/>
    <mergeCell ref="N14:V14"/>
    <mergeCell ref="W15:Y15"/>
    <mergeCell ref="W16:Y16"/>
    <mergeCell ref="W17:Y17"/>
    <mergeCell ref="G46:M46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G32:M32"/>
    <mergeCell ref="G33:M33"/>
    <mergeCell ref="G34:M34"/>
    <mergeCell ref="G44:M44"/>
    <mergeCell ref="G45:M45"/>
    <mergeCell ref="G35:M35"/>
    <mergeCell ref="G18:M18"/>
    <mergeCell ref="G19:M19"/>
    <mergeCell ref="G20:M20"/>
    <mergeCell ref="G38:M38"/>
    <mergeCell ref="G39:M39"/>
    <mergeCell ref="G40:M40"/>
    <mergeCell ref="G41:M41"/>
    <mergeCell ref="G42:M42"/>
    <mergeCell ref="G43:M43"/>
    <mergeCell ref="G36:M36"/>
    <mergeCell ref="G37:M37"/>
    <mergeCell ref="G21:M21"/>
    <mergeCell ref="G22:M22"/>
    <mergeCell ref="G23:M23"/>
    <mergeCell ref="G24:M24"/>
    <mergeCell ref="G25:M25"/>
    <mergeCell ref="G26:M26"/>
    <mergeCell ref="G27:M27"/>
    <mergeCell ref="G28:M28"/>
    <mergeCell ref="G29:M29"/>
    <mergeCell ref="G30:M30"/>
  </mergeCells>
  <pageMargins left="0.7" right="0.7" top="0.75" bottom="0.75" header="0.3" footer="0.3"/>
  <pageSetup scale="42" orientation="portrait" r:id="rId1"/>
  <ignoredErrors>
    <ignoredError sqref="W11:AB15 W16:A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APX001</vt:lpstr>
      <vt:lpstr>処理フロー</vt:lpstr>
      <vt:lpstr>キーマッピング</vt:lpstr>
      <vt:lpstr>'APX001'!Print_Area</vt:lpstr>
      <vt:lpstr>キーマッピング!Print_Area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2025-06-12T06:51:33Z</dcterms:modified>
  <cp:category/>
  <cp:contentStatus/>
</cp:coreProperties>
</file>