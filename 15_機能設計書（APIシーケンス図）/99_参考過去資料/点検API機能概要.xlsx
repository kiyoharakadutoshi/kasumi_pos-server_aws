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itkat44g-my.sharepoint.com/personal/kiyohara_kadutoshi_com1/Documents/●prjs_pos_system/30_implementation/32_design/JP/03_POSサーバー/"/>
    </mc:Choice>
  </mc:AlternateContent>
  <xr:revisionPtr revIDLastSave="658" documentId="8_{9D8C2DD1-3F2F-4825-8E53-64562FE03F18}" xr6:coauthVersionLast="47" xr6:coauthVersionMax="47" xr10:uidLastSave="{818A425B-E72F-45E4-9B0A-CF7B67139457}"/>
  <bookViews>
    <workbookView xWindow="11745" yWindow="2880" windowWidth="14835" windowHeight="15000" tabRatio="784" firstSheet="4" activeTab="8" xr2:uid="{41AA9E41-D388-4A32-AA11-EFB5F023DAAB}"/>
  </bookViews>
  <sheets>
    <sheet name="表紙" sheetId="8" r:id="rId1"/>
    <sheet name="改廃履歴" sheetId="7" r:id="rId2"/>
    <sheet name="概要" sheetId="6" r:id="rId3"/>
    <sheet name="DB仕様(charge_info)" sheetId="11" r:id="rId4"/>
    <sheet name="DB仕様(charger_receipt_no)" sheetId="15" r:id="rId5"/>
    <sheet name="API仕様(Charge_Log)" sheetId="10" r:id="rId6"/>
    <sheet name="API仕様(Charge_CHK) " sheetId="12" r:id="rId7"/>
    <sheet name="API仕様(Charge_journal)" sheetId="13" r:id="rId8"/>
    <sheet name="API仕様(Charge_CHK_finish)" sheetId="14" r:id="rId9"/>
    <sheet name="テストデータ" sheetId="16" r:id="rId10"/>
    <sheet name="SQLサンプル" sheetId="18" r:id="rId11"/>
    <sheet name="テンプレート" sheetId="9" r:id="rId12"/>
  </sheets>
  <definedNames>
    <definedName name="_xlnm.Print_Area" localSheetId="6">'API仕様(Charge_CHK) '!$A$1:$BK$54</definedName>
    <definedName name="_xlnm.Print_Area" localSheetId="8">'API仕様(Charge_CHK_finish)'!$A$1:$BK$54</definedName>
    <definedName name="_xlnm.Print_Area" localSheetId="7">'API仕様(Charge_journal)'!$A$1:$BK$54</definedName>
    <definedName name="_xlnm.Print_Area" localSheetId="5">'API仕様(Charge_Log)'!$A$1:$BK$194</definedName>
    <definedName name="_xlnm.Print_Area" localSheetId="3">'DB仕様(charge_info)'!$A$1:$BK$55</definedName>
    <definedName name="_xlnm.Print_Area" localSheetId="4">'DB仕様(charger_receipt_no)'!$A$1:$BK$51</definedName>
    <definedName name="_xlnm.Print_Area" localSheetId="1">改廃履歴!$A$1:$BK$55</definedName>
    <definedName name="_xlnm.Print_Area" localSheetId="0">表紙!$A$1:$BK$55</definedName>
    <definedName name="_xlnm.Print_Titles" localSheetId="6">'API仕様(Charge_CHK) '!$1:$5</definedName>
    <definedName name="_xlnm.Print_Titles" localSheetId="8">'API仕様(Charge_CHK_finish)'!$1:$5</definedName>
    <definedName name="_xlnm.Print_Titles" localSheetId="7">'API仕様(Charge_journal)'!$1:$5</definedName>
    <definedName name="_xlnm.Print_Titles" localSheetId="5">'API仕様(Charge_Log)'!$1:$5</definedName>
    <definedName name="_xlnm.Print_Titles" localSheetId="3">'DB仕様(charge_info)'!$1:$5</definedName>
    <definedName name="_xlnm.Print_Titles" localSheetId="4">'DB仕様(charger_receipt_no)'!$1:$5</definedName>
    <definedName name="_xlnm.Print_Titles" localSheetId="10">SQLサンプル!$1:$5</definedName>
    <definedName name="_xlnm.Print_Titles" localSheetId="9">テストデータ!$1:$5</definedName>
    <definedName name="_xlnm.Print_Titles" localSheetId="11">テンプレート!$1:$5</definedName>
    <definedName name="_xlnm.Print_Titles" localSheetId="1">改廃履歴!$1:$5</definedName>
    <definedName name="_xlnm.Print_Titles" localSheetId="2">概要!$1:$5</definedName>
    <definedName name="_xlnm.Print_Titles" localSheetId="0">表紙!$1:$5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P4" i="18" l="1" a="1"/>
  <c r="AP4" i="18" s="1"/>
  <c r="Z4" i="18"/>
  <c r="H4" i="18"/>
  <c r="BC2" i="18"/>
  <c r="AT2" i="18"/>
  <c r="K2" i="18"/>
  <c r="A2" i="18"/>
  <c r="W1" i="18"/>
  <c r="AP4" i="16" a="1"/>
  <c r="AP4" i="16" s="1"/>
  <c r="Z4" i="16"/>
  <c r="H4" i="16"/>
  <c r="BC2" i="16"/>
  <c r="AT2" i="16"/>
  <c r="K2" i="16"/>
  <c r="A2" i="16"/>
  <c r="W1" i="16"/>
  <c r="B21" i="15"/>
  <c r="B22" i="15" s="1"/>
  <c r="B23" i="15" s="1"/>
  <c r="B24" i="15" s="1"/>
  <c r="B25" i="15" s="1"/>
  <c r="B26" i="15" s="1"/>
  <c r="B27" i="15" s="1"/>
  <c r="B28" i="15" s="1"/>
  <c r="AP4" i="15" a="1"/>
  <c r="AP4" i="15" s="1"/>
  <c r="Z4" i="15"/>
  <c r="H4" i="15"/>
  <c r="BC2" i="15"/>
  <c r="AT2" i="15"/>
  <c r="K2" i="15"/>
  <c r="A2" i="15"/>
  <c r="W1" i="15"/>
  <c r="AB16" i="14"/>
  <c r="AB15" i="14"/>
  <c r="AB14" i="14"/>
  <c r="AP4" i="14" a="1"/>
  <c r="AP4" i="14" s="1"/>
  <c r="Z4" i="14"/>
  <c r="H4" i="14"/>
  <c r="BC2" i="14"/>
  <c r="AT2" i="14"/>
  <c r="K2" i="14"/>
  <c r="A2" i="14"/>
  <c r="W1" i="14"/>
  <c r="AB19" i="13"/>
  <c r="AB18" i="13"/>
  <c r="AB17" i="13"/>
  <c r="AB16" i="13"/>
  <c r="AB15" i="13"/>
  <c r="AB14" i="13"/>
  <c r="AP4" i="13" a="1"/>
  <c r="AP4" i="13" s="1"/>
  <c r="Z4" i="13"/>
  <c r="H4" i="13"/>
  <c r="BC2" i="13"/>
  <c r="AT2" i="13"/>
  <c r="K2" i="13"/>
  <c r="A2" i="13"/>
  <c r="W1" i="13"/>
  <c r="AB16" i="12" l="1"/>
  <c r="AB15" i="12"/>
  <c r="AB14" i="12"/>
  <c r="AP4" i="12" a="1"/>
  <c r="AP4" i="12" s="1"/>
  <c r="Z4" i="12"/>
  <c r="H4" i="12"/>
  <c r="BC2" i="12"/>
  <c r="AT2" i="12"/>
  <c r="K2" i="12"/>
  <c r="A2" i="12"/>
  <c r="W1" i="12"/>
  <c r="B21" i="1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  <c r="AP4" i="11" a="1"/>
  <c r="AP4" i="11" s="1"/>
  <c r="Z4" i="11"/>
  <c r="H4" i="11"/>
  <c r="BC2" i="11"/>
  <c r="AT2" i="11"/>
  <c r="K2" i="11"/>
  <c r="A2" i="11"/>
  <c r="W1" i="11"/>
  <c r="AB20" i="10"/>
  <c r="AB18" i="10"/>
  <c r="AB17" i="10"/>
  <c r="AB16" i="10"/>
  <c r="AB15" i="10"/>
  <c r="AB14" i="10"/>
  <c r="AB19" i="10"/>
  <c r="AP4" i="10" l="1" a="1"/>
  <c r="AP4" i="10" s="1"/>
  <c r="Z4" i="10"/>
  <c r="H4" i="10"/>
  <c r="BC2" i="10"/>
  <c r="AT2" i="10"/>
  <c r="K2" i="10"/>
  <c r="A2" i="10"/>
  <c r="W1" i="10"/>
  <c r="AP4" i="9" l="1" a="1"/>
  <c r="AP4" i="9" s="1"/>
  <c r="Z4" i="9"/>
  <c r="H4" i="9"/>
  <c r="BC2" i="9"/>
  <c r="AT2" i="9"/>
  <c r="K2" i="9"/>
  <c r="A2" i="9"/>
  <c r="W1" i="9"/>
  <c r="AP4" i="6" l="1" a="1"/>
  <c r="AP4" i="6" s="1"/>
  <c r="AT2" i="6"/>
  <c r="Z4" i="6"/>
  <c r="W1" i="6"/>
  <c r="K2" i="6"/>
  <c r="H4" i="6"/>
  <c r="A2" i="6"/>
  <c r="L24" i="8"/>
  <c r="AP4" i="8" a="1"/>
  <c r="AP4" i="8" s="1"/>
  <c r="BH2" i="8"/>
  <c r="BC2" i="8"/>
  <c r="BC2" i="7" s="1"/>
  <c r="AY2" i="8"/>
  <c r="AT2" i="8"/>
  <c r="AT2" i="7" s="1"/>
  <c r="AP2" i="8"/>
  <c r="AP4" i="7" a="1"/>
  <c r="AP4" i="7" s="1"/>
  <c r="Z4" i="7"/>
  <c r="W1" i="7"/>
  <c r="K2" i="7"/>
  <c r="H4" i="7"/>
  <c r="A2" i="7"/>
  <c r="BH2" i="7" l="1"/>
  <c r="BH2" i="13"/>
  <c r="BH2" i="14"/>
  <c r="BH2" i="18"/>
  <c r="BH2" i="16"/>
  <c r="BH2" i="15"/>
  <c r="BH2" i="12"/>
  <c r="BH2" i="11"/>
  <c r="BH2" i="10"/>
  <c r="BH2" i="9"/>
  <c r="BH2" i="6"/>
  <c r="AP2" i="7"/>
  <c r="AP2" i="16"/>
  <c r="AP2" i="14"/>
  <c r="AP2" i="15"/>
  <c r="AP2" i="18"/>
  <c r="AP2" i="13"/>
  <c r="AP2" i="12"/>
  <c r="AP2" i="11"/>
  <c r="AP2" i="10"/>
  <c r="AP2" i="9"/>
  <c r="AY2" i="7"/>
  <c r="AY2" i="16"/>
  <c r="AY2" i="18"/>
  <c r="AY2" i="14"/>
  <c r="AY2" i="13"/>
  <c r="AY2" i="15"/>
  <c r="AY2" i="12"/>
  <c r="AY2" i="11"/>
  <c r="AY2" i="10"/>
  <c r="AY2" i="9"/>
  <c r="AP2" i="6"/>
  <c r="AY2" i="6"/>
  <c r="BC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kiyohara kadutoshi</author>
  </authors>
  <commentList>
    <comment ref="AI19" authorId="0" shapeId="0" xr:uid="{CC795132-6882-4016-83DF-DEF8A07FE05A}">
      <text>
        <r>
          <rPr>
            <b/>
            <sz val="9"/>
            <color indexed="81"/>
            <rFont val="MS P ゴシック"/>
            <family val="3"/>
            <charset val="128"/>
          </rPr>
          <t>PKは、優先順位の番号をふる。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kiyohara kadutoshi</author>
  </authors>
  <commentList>
    <comment ref="AI19" authorId="0" shapeId="0" xr:uid="{64AD5B4F-FB1D-45E5-8020-6CCACAB2B414}">
      <text>
        <r>
          <rPr>
            <b/>
            <sz val="9"/>
            <color indexed="81"/>
            <rFont val="MS P ゴシック"/>
            <family val="3"/>
            <charset val="128"/>
          </rPr>
          <t>PKは、優先順位の番号をふる。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<sst xmlns="http://schemas.openxmlformats.org/spreadsheetml/2006/main" count="654" uniqueCount="254">
  <si>
    <t>システム名</t>
  </si>
  <si>
    <t>機能カテゴリ</t>
  </si>
  <si>
    <t>システム種別</t>
  </si>
  <si>
    <t>作成者</t>
  </si>
  <si>
    <t>作成日</t>
  </si>
  <si>
    <t>更新者</t>
  </si>
  <si>
    <t>更新日</t>
  </si>
  <si>
    <t>版数</t>
  </si>
  <si>
    <t>項目</t>
  </si>
  <si>
    <t>■改廃履歴</t>
  </si>
  <si>
    <t>更新日付</t>
  </si>
  <si>
    <t>変更内容</t>
  </si>
  <si>
    <t>承認日付</t>
  </si>
  <si>
    <t>承認者</t>
  </si>
  <si>
    <t>現金専用簡易セルフPOS</t>
  </si>
  <si>
    <t>現金専用簡易セルフPOS 基本設計書</t>
  </si>
  <si>
    <t>承認日</t>
  </si>
  <si>
    <t>●概要</t>
    <rPh sb="1" eb="3">
      <t>ガイヨウ</t>
    </rPh>
    <phoneticPr fontId="3"/>
  </si>
  <si>
    <t>■テーブル情報</t>
    <phoneticPr fontId="3"/>
  </si>
  <si>
    <r>
      <rPr>
        <sz val="11"/>
        <rFont val="Meiryo UI"/>
        <family val="3"/>
        <charset val="128"/>
      </rPr>
      <t>スキーマ名</t>
    </r>
  </si>
  <si>
    <r>
      <rPr>
        <sz val="11"/>
        <rFont val="Meiryo UI"/>
        <family val="3"/>
        <charset val="128"/>
      </rPr>
      <t>RDBMS名</t>
    </r>
  </si>
  <si>
    <r>
      <rPr>
        <sz val="11"/>
        <rFont val="Meiryo UI"/>
        <family val="3"/>
        <charset val="128"/>
      </rPr>
      <t>論理名</t>
    </r>
  </si>
  <si>
    <r>
      <rPr>
        <sz val="11"/>
        <rFont val="Meiryo UI"/>
        <family val="3"/>
        <charset val="128"/>
      </rPr>
      <t>バージョン</t>
    </r>
  </si>
  <si>
    <r>
      <rPr>
        <sz val="11"/>
        <rFont val="Meiryo UI"/>
        <family val="3"/>
        <charset val="128"/>
      </rPr>
      <t>物理名</t>
    </r>
  </si>
  <si>
    <r>
      <rPr>
        <sz val="11"/>
        <rFont val="Meiryo UI"/>
        <family val="3"/>
        <charset val="128"/>
      </rPr>
      <t>備考</t>
    </r>
  </si>
  <si>
    <t>charge_info</t>
    <phoneticPr fontId="3"/>
  </si>
  <si>
    <t>チャージ機点検情報</t>
    <rPh sb="4" eb="5">
      <t>キ</t>
    </rPh>
    <rPh sb="5" eb="9">
      <t>テンケンジョウホウ</t>
    </rPh>
    <phoneticPr fontId="3"/>
  </si>
  <si>
    <t>POS_Charge</t>
    <phoneticPr fontId="3"/>
  </si>
  <si>
    <t>各機器から上がってくる、補充、回収、チャージの入出金金額情報を保持</t>
    <rPh sb="0" eb="3">
      <t>カクキキ</t>
    </rPh>
    <rPh sb="5" eb="6">
      <t>ア</t>
    </rPh>
    <rPh sb="12" eb="14">
      <t>ホジュウ</t>
    </rPh>
    <rPh sb="15" eb="17">
      <t>カイシュウ</t>
    </rPh>
    <rPh sb="23" eb="26">
      <t>ニュウシュッキン</t>
    </rPh>
    <rPh sb="26" eb="30">
      <t>キンガクジョウホウ</t>
    </rPh>
    <rPh sb="31" eb="33">
      <t>ホジ</t>
    </rPh>
    <phoneticPr fontId="3"/>
  </si>
  <si>
    <t>■カラム情報</t>
  </si>
  <si>
    <t>No.</t>
    <phoneticPr fontId="3"/>
  </si>
  <si>
    <t>論理名</t>
    <phoneticPr fontId="3"/>
  </si>
  <si>
    <t>物理名</t>
  </si>
  <si>
    <t>データ型</t>
  </si>
  <si>
    <t>PK</t>
    <phoneticPr fontId="3"/>
  </si>
  <si>
    <t>Not Null</t>
  </si>
  <si>
    <t>デフォルト</t>
  </si>
  <si>
    <t>備考</t>
  </si>
  <si>
    <t>登録日時</t>
    <rPh sb="0" eb="2">
      <t>トウロク</t>
    </rPh>
    <rPh sb="2" eb="4">
      <t>ニチジ</t>
    </rPh>
    <phoneticPr fontId="3"/>
  </si>
  <si>
    <t>register_datetime</t>
  </si>
  <si>
    <t>TIMESTAMP</t>
  </si>
  <si>
    <t>Yes</t>
  </si>
  <si>
    <t>CURRENT_DATE</t>
    <phoneticPr fontId="3"/>
  </si>
  <si>
    <t>登録処理を行った日時</t>
    <rPh sb="0" eb="2">
      <t>トウロク</t>
    </rPh>
    <rPh sb="2" eb="4">
      <t>ショリ</t>
    </rPh>
    <rPh sb="5" eb="6">
      <t>オコナ</t>
    </rPh>
    <rPh sb="8" eb="10">
      <t>ニチジ</t>
    </rPh>
    <phoneticPr fontId="3"/>
  </si>
  <si>
    <t>登録プログラムID</t>
    <rPh sb="0" eb="2">
      <t>トウロク</t>
    </rPh>
    <phoneticPr fontId="3"/>
  </si>
  <si>
    <t>register_pgid</t>
  </si>
  <si>
    <t>varchar(20)</t>
    <phoneticPr fontId="3"/>
  </si>
  <si>
    <t>CURRENT_TIME</t>
    <phoneticPr fontId="3"/>
  </si>
  <si>
    <t>登録処理を行ったプログラムID</t>
    <rPh sb="0" eb="2">
      <t>トウロク</t>
    </rPh>
    <rPh sb="2" eb="4">
      <t>ショリ</t>
    </rPh>
    <rPh sb="5" eb="6">
      <t>オコナ</t>
    </rPh>
    <phoneticPr fontId="3"/>
  </si>
  <si>
    <t>更新日時</t>
    <rPh sb="0" eb="2">
      <t>コウシン</t>
    </rPh>
    <rPh sb="2" eb="4">
      <t>ニチジ</t>
    </rPh>
    <phoneticPr fontId="2"/>
  </si>
  <si>
    <t>update_datetime</t>
  </si>
  <si>
    <t>TIMESTAMP</t>
    <phoneticPr fontId="3"/>
  </si>
  <si>
    <t>更新処理を行った日時</t>
    <rPh sb="0" eb="2">
      <t>コウシン</t>
    </rPh>
    <rPh sb="2" eb="4">
      <t>ショリ</t>
    </rPh>
    <rPh sb="5" eb="6">
      <t>オコナ</t>
    </rPh>
    <rPh sb="8" eb="10">
      <t>ニチジ</t>
    </rPh>
    <phoneticPr fontId="3"/>
  </si>
  <si>
    <t>更新プログラムID</t>
    <rPh sb="0" eb="2">
      <t>コウシン</t>
    </rPh>
    <phoneticPr fontId="3"/>
  </si>
  <si>
    <t>update_pgid</t>
  </si>
  <si>
    <t>Yes</t>
    <phoneticPr fontId="3"/>
  </si>
  <si>
    <t>更新処理を行ったプログラムID</t>
    <rPh sb="0" eb="2">
      <t>コウシン</t>
    </rPh>
    <rPh sb="2" eb="4">
      <t>ショリ</t>
    </rPh>
    <rPh sb="5" eb="6">
      <t>オコナ</t>
    </rPh>
    <phoneticPr fontId="3"/>
  </si>
  <si>
    <t>削除フラグ</t>
    <rPh sb="0" eb="2">
      <t>サクジョ</t>
    </rPh>
    <phoneticPr fontId="3"/>
  </si>
  <si>
    <t>delete_flag</t>
  </si>
  <si>
    <t>decimal(1)</t>
    <phoneticPr fontId="3"/>
  </si>
  <si>
    <t>""</t>
    <phoneticPr fontId="3"/>
  </si>
  <si>
    <t>0: 有効フラグ、 1:無効フラグ</t>
    <rPh sb="3" eb="5">
      <t>ユウコウ</t>
    </rPh>
    <rPh sb="12" eb="14">
      <t>ムコウ</t>
    </rPh>
    <phoneticPr fontId="2"/>
  </si>
  <si>
    <t>company_code</t>
    <phoneticPr fontId="3"/>
  </si>
  <si>
    <t>企業識別コード</t>
    <rPh sb="0" eb="2">
      <t>キギョウ</t>
    </rPh>
    <rPh sb="2" eb="4">
      <t>シキベツ</t>
    </rPh>
    <phoneticPr fontId="2"/>
  </si>
  <si>
    <t>store_code</t>
    <phoneticPr fontId="3"/>
  </si>
  <si>
    <t>店舗識別コード</t>
    <rPh sb="0" eb="2">
      <t>テンポ</t>
    </rPh>
    <rPh sb="2" eb="4">
      <t>シキベツ</t>
    </rPh>
    <phoneticPr fontId="2"/>
  </si>
  <si>
    <t>instore_code</t>
    <phoneticPr fontId="3"/>
  </si>
  <si>
    <t>店舗内識別コード</t>
    <rPh sb="0" eb="2">
      <t>テンポ</t>
    </rPh>
    <rPh sb="2" eb="3">
      <t>ナイ</t>
    </rPh>
    <rPh sb="3" eb="5">
      <t>シキベツ</t>
    </rPh>
    <phoneticPr fontId="2"/>
  </si>
  <si>
    <t>区分</t>
    <rPh sb="0" eb="2">
      <t>クブン</t>
    </rPh>
    <phoneticPr fontId="3"/>
  </si>
  <si>
    <t>INTEGER</t>
    <phoneticPr fontId="3"/>
  </si>
  <si>
    <t>receipt_no</t>
  </si>
  <si>
    <t>receipt_no</t>
    <phoneticPr fontId="3"/>
  </si>
  <si>
    <t>企業コード</t>
    <rPh sb="0" eb="2">
      <t>キギョウ</t>
    </rPh>
    <phoneticPr fontId="1"/>
  </si>
  <si>
    <t>店舗コード</t>
    <rPh sb="0" eb="2">
      <t>テンポ</t>
    </rPh>
    <phoneticPr fontId="1"/>
  </si>
  <si>
    <t>レジ番号</t>
    <rPh sb="2" eb="4">
      <t>バンゴウ</t>
    </rPh>
    <phoneticPr fontId="1"/>
  </si>
  <si>
    <t>日時</t>
    <rPh sb="0" eb="2">
      <t>ニチジ</t>
    </rPh>
    <phoneticPr fontId="1"/>
  </si>
  <si>
    <t>レシートNO</t>
  </si>
  <si>
    <t>レシートNO</t>
    <phoneticPr fontId="3"/>
  </si>
  <si>
    <t>company_code</t>
  </si>
  <si>
    <t>store_code</t>
  </si>
  <si>
    <t>instore_code</t>
  </si>
  <si>
    <t>record_datetime</t>
  </si>
  <si>
    <t>char(10)</t>
  </si>
  <si>
    <t>1:2_8_4(補充) / 2:2_8_5(回収) / 3:4_0(チャージ)</t>
    <phoneticPr fontId="3"/>
  </si>
  <si>
    <t>class</t>
  </si>
  <si>
    <t>入出金金額</t>
    <rPh sb="0" eb="3">
      <t>ニュウシュッキン</t>
    </rPh>
    <rPh sb="3" eb="5">
      <t>キンガク</t>
    </rPh>
    <phoneticPr fontId="3"/>
  </si>
  <si>
    <t>amount</t>
    <phoneticPr fontId="3"/>
  </si>
  <si>
    <r>
      <rPr>
        <sz val="11"/>
        <rFont val="Meiryo UI"/>
        <family val="3"/>
        <charset val="128"/>
      </rPr>
      <t xml:space="preserve">No. </t>
    </r>
  </si>
  <si>
    <r>
      <rPr>
        <sz val="11"/>
        <rFont val="Meiryo UI"/>
        <family val="3"/>
        <charset val="128"/>
      </rPr>
      <t>Index名</t>
    </r>
  </si>
  <si>
    <r>
      <rPr>
        <sz val="11"/>
        <rFont val="Meiryo UI"/>
        <family val="3"/>
        <charset val="128"/>
      </rPr>
      <t>カラム一覧</t>
    </r>
  </si>
  <si>
    <r>
      <rPr>
        <sz val="11"/>
        <rFont val="Meiryo UI"/>
        <family val="3"/>
        <charset val="128"/>
      </rPr>
      <t>プライマリキー</t>
    </r>
  </si>
  <si>
    <r>
      <rPr>
        <sz val="11"/>
        <rFont val="Meiryo UI"/>
        <family val="3"/>
        <charset val="128"/>
      </rPr>
      <t>ユニーク</t>
    </r>
  </si>
  <si>
    <r>
      <rPr>
        <sz val="11"/>
        <rFont val="Meiryo UI"/>
        <family val="3"/>
        <charset val="128"/>
      </rPr>
      <t>PRIMARY</t>
    </r>
  </si>
  <si>
    <r>
      <rPr>
        <sz val="11"/>
        <rFont val="Meiryo UI"/>
        <family val="3"/>
        <charset val="128"/>
      </rPr>
      <t>Yes</t>
    </r>
  </si>
  <si>
    <t>company_code,store_code,record_datetime,instore_code,receipt_no,class</t>
    <phoneticPr fontId="3"/>
  </si>
  <si>
    <t>No.</t>
    <phoneticPr fontId="9"/>
  </si>
  <si>
    <t>API</t>
    <phoneticPr fontId="10"/>
  </si>
  <si>
    <t>METHOD</t>
  </si>
  <si>
    <t>認証</t>
  </si>
  <si>
    <t>A001</t>
    <phoneticPr fontId="10"/>
  </si>
  <si>
    <t>POST</t>
  </si>
  <si>
    <t>-</t>
  </si>
  <si>
    <t>レスポンス&lt;200：OK&gt;</t>
    <phoneticPr fontId="10"/>
  </si>
  <si>
    <t>プロパティ</t>
    <phoneticPr fontId="10"/>
  </si>
  <si>
    <t>型</t>
    <phoneticPr fontId="10"/>
  </si>
  <si>
    <t>文字数</t>
    <rPh sb="0" eb="3">
      <t>モジスウ</t>
    </rPh>
    <phoneticPr fontId="10"/>
  </si>
  <si>
    <t>必須</t>
    <rPh sb="0" eb="2">
      <t>ヒッス</t>
    </rPh>
    <phoneticPr fontId="10"/>
  </si>
  <si>
    <t>説明</t>
    <rPh sb="0" eb="2">
      <t>セツメイ</t>
    </rPh>
    <phoneticPr fontId="10"/>
  </si>
  <si>
    <t>例</t>
    <phoneticPr fontId="10"/>
  </si>
  <si>
    <t>{</t>
  </si>
  <si>
    <t>なし</t>
    <phoneticPr fontId="10"/>
  </si>
  <si>
    <t>string</t>
    <phoneticPr fontId="10"/>
  </si>
  <si>
    <t>10</t>
    <phoneticPr fontId="10"/>
  </si>
  <si>
    <t>〇</t>
    <phoneticPr fontId="10"/>
  </si>
  <si>
    <t>エラーメッセージ&lt;200：OK&gt;</t>
    <phoneticPr fontId="10"/>
  </si>
  <si>
    <t>5</t>
    <phoneticPr fontId="3"/>
  </si>
  <si>
    <t>int</t>
  </si>
  <si>
    <t>HTTPステータス</t>
  </si>
  <si>
    <t>メッセージ</t>
  </si>
  <si>
    <t>int</t>
    <phoneticPr fontId="3"/>
  </si>
  <si>
    <t>400</t>
  </si>
  <si>
    <t>{ message:"company_code に誤りがあります。（必須または10文字以内）"}</t>
  </si>
  <si>
    <t>{ message:"store_code に誤りがあります。（必須または10文字以内）"}</t>
  </si>
  <si>
    <t>{ message:"instore_code に誤りがあります。（必須または10文字以内）"}</t>
    <phoneticPr fontId="10"/>
  </si>
  <si>
    <t>{ message:"プロパティ に誤りがあります。"}</t>
    <phoneticPr fontId="10"/>
  </si>
  <si>
    <t>リクエスト:追加（Insert）</t>
    <phoneticPr fontId="9"/>
  </si>
  <si>
    <t>}</t>
    <phoneticPr fontId="3"/>
  </si>
  <si>
    <t>〇</t>
  </si>
  <si>
    <t>点検日次</t>
    <rPh sb="0" eb="2">
      <t>テンケン</t>
    </rPh>
    <rPh sb="2" eb="4">
      <t>ニチジ</t>
    </rPh>
    <phoneticPr fontId="3"/>
  </si>
  <si>
    <t>操作日時</t>
    <rPh sb="0" eb="2">
      <t>ソウサ</t>
    </rPh>
    <rPh sb="2" eb="4">
      <t>ニチジ</t>
    </rPh>
    <phoneticPr fontId="1"/>
  </si>
  <si>
    <t>PARTITION BY RANGE (`record_datetime`)</t>
  </si>
  <si>
    <t>(PARTITION p2023 VALUES LESS THAN (20240101) ENGINE = InnoDB,</t>
  </si>
  <si>
    <t xml:space="preserve"> PARTITION p2024 VALUES LESS THAN (20250101) ENGINE = InnoDB,</t>
  </si>
  <si>
    <t xml:space="preserve"> PARTITION p2025 VALUES LESS THAN (20260101) ENGINE = InnoDB,</t>
  </si>
  <si>
    <t xml:space="preserve"> PARTITION p2026 VALUES LESS THAN (20270101) ENGINE = InnoDB,</t>
  </si>
  <si>
    <t xml:space="preserve"> PARTITION p2027 VALUES LESS THAN (20280101) ENGINE = InnoDB,</t>
  </si>
  <si>
    <t xml:space="preserve"> PARTITION p2028 VALUES LESS THAN (20290101) ENGINE = InnoDB,</t>
  </si>
  <si>
    <t xml:space="preserve"> PARTITION p2029 VALUES LESS THAN (20300101) ENGINE = InnoDB,</t>
  </si>
  <si>
    <t xml:space="preserve"> PARTITION p2030 VALUES LESS THAN (20310101) ENGINE = InnoDB)</t>
  </si>
  <si>
    <t>■インデックス情報</t>
    <phoneticPr fontId="3"/>
  </si>
  <si>
    <t>■トリガー情報</t>
    <rPh sb="5" eb="7">
      <t>ジョウホウ</t>
    </rPh>
    <phoneticPr fontId="3"/>
  </si>
  <si>
    <t>■パーテーションを切ってください</t>
    <rPh sb="9" eb="10">
      <t>キ</t>
    </rPh>
    <phoneticPr fontId="3"/>
  </si>
  <si>
    <t xml:space="preserve">CREATE DEFINER = `posuser` @`%` TRIGGER `charge_info_CR_Date_Time` BEFORE INSERT ON `charge_info` FOR EACH ROW SET </t>
  </si>
  <si>
    <t>NEW.record_create_date = CURRENT_DATE,NEW.record_create_time = CURRENT_TIME,</t>
  </si>
  <si>
    <t>NEW.record_update_date = CURRENT_DATE,NEW.record_update_time = CURRENT_TIME;</t>
  </si>
  <si>
    <t>CREATE DEFINER = `posuser` @`%` TRIGGER `charge_info_UP_Date_Time` BEFORE UPDATE ON `charge_info` FOR EACH ROW</t>
  </si>
  <si>
    <t>SET NEW.record_update_date = CURRENT_DATE,NEW.record_update_time = CURRENT_TIME;</t>
  </si>
  <si>
    <t>※POS側 API</t>
    <rPh sb="4" eb="5">
      <t>ガワ</t>
    </rPh>
    <phoneticPr fontId="3"/>
  </si>
  <si>
    <t>※Luvinaコントローラー側 API</t>
    <phoneticPr fontId="3"/>
  </si>
  <si>
    <t xml:space="preserve">INSERT INTO `pos_charge`.`charge_info` </t>
  </si>
  <si>
    <t xml:space="preserve">INSERT INTO `pos_charge`.`charge_info` </t>
    <phoneticPr fontId="3"/>
  </si>
  <si>
    <t>フィールド名</t>
    <rPh sb="5" eb="6">
      <t>メイ</t>
    </rPh>
    <phoneticPr fontId="10"/>
  </si>
  <si>
    <t>値</t>
    <rPh sb="0" eb="1">
      <t>アタイ</t>
    </rPh>
    <phoneticPr fontId="10"/>
  </si>
  <si>
    <t>'02701'</t>
    <phoneticPr fontId="3"/>
  </si>
  <si>
    <t>’200'</t>
    <phoneticPr fontId="3"/>
  </si>
  <si>
    <t>'6201'</t>
    <phoneticPr fontId="3"/>
  </si>
  <si>
    <t>20230815</t>
    <phoneticPr fontId="3"/>
  </si>
  <si>
    <t>'1234'</t>
    <phoneticPr fontId="3"/>
  </si>
  <si>
    <t>1</t>
    <phoneticPr fontId="3"/>
  </si>
  <si>
    <t>5000</t>
    <phoneticPr fontId="3"/>
  </si>
  <si>
    <t>CompanyCode</t>
    <phoneticPr fontId="3"/>
  </si>
  <si>
    <t>StoreCode</t>
    <phoneticPr fontId="3"/>
  </si>
  <si>
    <t>操作日時</t>
    <phoneticPr fontId="3"/>
  </si>
  <si>
    <r>
      <t>pos/v1/〇〇〇/</t>
    </r>
    <r>
      <rPr>
        <b/>
        <sz val="11"/>
        <color rgb="FFFF0000"/>
        <rFont val="Meiryo UI"/>
        <family val="3"/>
        <charset val="128"/>
      </rPr>
      <t>charge_info</t>
    </r>
    <phoneticPr fontId="10"/>
  </si>
  <si>
    <r>
      <t>pos/v1/〇〇〇/</t>
    </r>
    <r>
      <rPr>
        <b/>
        <sz val="11"/>
        <color rgb="FFFF0000"/>
        <rFont val="Meiryo UI"/>
        <family val="3"/>
        <charset val="128"/>
      </rPr>
      <t>Charge_CHK</t>
    </r>
    <phoneticPr fontId="10"/>
  </si>
  <si>
    <t>※回収の場合(マイナス値)</t>
    <rPh sb="1" eb="3">
      <t>カイシュウ</t>
    </rPh>
    <rPh sb="4" eb="6">
      <t>バアイ</t>
    </rPh>
    <rPh sb="11" eb="12">
      <t>チ</t>
    </rPh>
    <phoneticPr fontId="3"/>
  </si>
  <si>
    <t>cashchanger_register</t>
    <phoneticPr fontId="3"/>
  </si>
  <si>
    <t>sales_cash</t>
    <phoneticPr fontId="3"/>
  </si>
  <si>
    <t>"200"</t>
    <phoneticPr fontId="3"/>
  </si>
  <si>
    <t>"02701"</t>
    <phoneticPr fontId="3"/>
  </si>
  <si>
    <t>"6205"</t>
    <phoneticPr fontId="3"/>
  </si>
  <si>
    <t>3000</t>
    <phoneticPr fontId="3"/>
  </si>
  <si>
    <t>釣銭準備金</t>
    <rPh sb="0" eb="1">
      <t>ツリ</t>
    </rPh>
    <rPh sb="1" eb="2">
      <t>セン</t>
    </rPh>
    <rPh sb="2" eb="5">
      <t>ジュンビキン</t>
    </rPh>
    <phoneticPr fontId="3"/>
  </si>
  <si>
    <t>現金売上</t>
    <rPh sb="0" eb="4">
      <t>ゲンキンウリアゲ</t>
    </rPh>
    <phoneticPr fontId="3"/>
  </si>
  <si>
    <r>
      <t>pos/v1/〇〇〇/</t>
    </r>
    <r>
      <rPr>
        <b/>
        <sz val="11"/>
        <color rgb="FFFF0000"/>
        <rFont val="Meiryo UI"/>
        <family val="3"/>
        <charset val="128"/>
      </rPr>
      <t>Charge_journal</t>
    </r>
    <phoneticPr fontId="10"/>
  </si>
  <si>
    <t>現在在高</t>
    <rPh sb="0" eb="2">
      <t>ゲンザイ</t>
    </rPh>
    <rPh sb="2" eb="3">
      <t>ア</t>
    </rPh>
    <rPh sb="3" eb="4">
      <t>ダカ</t>
    </rPh>
    <phoneticPr fontId="3"/>
  </si>
  <si>
    <t>other_cash</t>
    <phoneticPr fontId="3"/>
  </si>
  <si>
    <t>その他金額</t>
    <phoneticPr fontId="3"/>
  </si>
  <si>
    <t>init_amount</t>
    <phoneticPr fontId="3"/>
  </si>
  <si>
    <t>釣銭機残置金額計</t>
    <phoneticPr fontId="3"/>
  </si>
  <si>
    <t>datetime</t>
    <phoneticPr fontId="3"/>
  </si>
  <si>
    <r>
      <t>pos/v1/〇〇〇/</t>
    </r>
    <r>
      <rPr>
        <b/>
        <sz val="11"/>
        <color rgb="FFFF0000"/>
        <rFont val="Meiryo UI"/>
        <family val="3"/>
        <charset val="128"/>
      </rPr>
      <t>Charge_CHK_finish</t>
    </r>
    <phoneticPr fontId="10"/>
  </si>
  <si>
    <t>charger_receipt_no</t>
    <phoneticPr fontId="3"/>
  </si>
  <si>
    <t>チャージ機点検レシート番号</t>
    <rPh sb="4" eb="5">
      <t>キ</t>
    </rPh>
    <rPh sb="5" eb="7">
      <t>テンケン</t>
    </rPh>
    <rPh sb="11" eb="13">
      <t>バンゴウ</t>
    </rPh>
    <phoneticPr fontId="3"/>
  </si>
  <si>
    <t>レシート番号のシーケンス用</t>
    <rPh sb="4" eb="6">
      <t>バンゴウ</t>
    </rPh>
    <rPh sb="12" eb="13">
      <t>ヨウ</t>
    </rPh>
    <phoneticPr fontId="3"/>
  </si>
  <si>
    <t>RecordDatetime</t>
    <phoneticPr fontId="3"/>
  </si>
  <si>
    <t>InstoreCode</t>
    <phoneticPr fontId="3"/>
  </si>
  <si>
    <t>ReceiptNo</t>
    <phoneticPr fontId="3"/>
  </si>
  <si>
    <t>Class</t>
    <phoneticPr fontId="3"/>
  </si>
  <si>
    <t>Amount</t>
    <phoneticPr fontId="3"/>
  </si>
  <si>
    <t>InspectionDatetime</t>
    <phoneticPr fontId="3"/>
  </si>
  <si>
    <t>(`RecordDatetime`,`CompanyCode`,`StoreCode`,`InstoreCode`,`ReceiptNo`,`Class`,`Amount` )</t>
  </si>
  <si>
    <t>VALUES (20230815,'200','02701','6201','1230',1,2000);</t>
  </si>
  <si>
    <t>VALUES (20230815,'200','02701','6201','1231',1,3000);</t>
  </si>
  <si>
    <t>VALUES (20230815,'200','02701','6201','1232',1,1000);</t>
  </si>
  <si>
    <t>VALUES (20230815,'200','02701','6201','1233',2,-2000);</t>
  </si>
  <si>
    <t>VALUES (20230815,'200','02701','6201','1234',3,3000);</t>
  </si>
  <si>
    <t>VALUES (20230815,'200','02701','6201','1235',3,11000);</t>
  </si>
  <si>
    <t>"0"</t>
    <phoneticPr fontId="3"/>
  </si>
  <si>
    <t xml:space="preserve">CREATE ` TRIGGER `charger_receipt_no_CR_Date_Time` BEFORE INSERT ON `charger_receipt_no` FOR EACH ROW SET </t>
    <phoneticPr fontId="3"/>
  </si>
  <si>
    <t>CREATE TRIGGER `charger_receipt_no_UP_Date_Time` BEFORE UPDATE ON `charger_receipt_no` FOR EACH ROW</t>
    <phoneticPr fontId="3"/>
  </si>
  <si>
    <t>company_code,store_code,record_datetime,instore_code</t>
    <phoneticPr fontId="3"/>
  </si>
  <si>
    <t>SELECT</t>
  </si>
  <si>
    <t>FROM `pos_charge`.`charge_info`</t>
  </si>
  <si>
    <t>WHERE</t>
  </si>
  <si>
    <t>SET @amount = 8000;</t>
  </si>
  <si>
    <t>SET @other_cash = 0;</t>
  </si>
  <si>
    <t>SET @init_amount = 0;</t>
  </si>
  <si>
    <t>SET @No2_amount = ( SELECT SUM( charge_info.amount ) FROM charge_info WHERE CompanyCode = '200' AND StoreCode = '02701' AND InstoreCode = '6201' AND InspectionDatetime IS NULL );</t>
  </si>
  <si>
    <t>SET @excess = @amount + @other_cash - @No2_amount - @init_amount;</t>
  </si>
  <si>
    <t>FROM charge_info</t>
  </si>
  <si>
    <t>GROUP BY</t>
  </si>
  <si>
    <t>FROM charge_receipt_no</t>
  </si>
  <si>
    <t>UPDATE charge_info SET InspectionDatetime =NOW()</t>
  </si>
  <si>
    <t>UPDATE charge_receipt_no SET ReceiptNo = CASE WHEN ReceiptNo &gt;= 99999 THEN 90000 ELSE ReceiptNo +1 END</t>
  </si>
  <si>
    <t>-- 点検画面 つり銭準備金</t>
    <phoneticPr fontId="3"/>
  </si>
  <si>
    <t>-- 点検画面 現金売上</t>
    <phoneticPr fontId="3"/>
  </si>
  <si>
    <t>-- 出力日次を取得</t>
    <phoneticPr fontId="3"/>
  </si>
  <si>
    <t>-- API Charge_journalの値をセット</t>
    <phoneticPr fontId="3"/>
  </si>
  <si>
    <t>-- 過不足を計算</t>
    <phoneticPr fontId="3"/>
  </si>
  <si>
    <t>-- 補充・回収・売上 件数・金額取得</t>
    <phoneticPr fontId="3"/>
  </si>
  <si>
    <t>-- レシート番号を取得</t>
    <phoneticPr fontId="3"/>
  </si>
  <si>
    <t>-- 点検日次更新</t>
    <phoneticPr fontId="3"/>
  </si>
  <si>
    <t>-- レジ番号更新</t>
    <phoneticPr fontId="3"/>
  </si>
  <si>
    <t>(`CompanyCode`,`StoreCode`,`InstoreCode`,`RecordDatetime`,`ReceiptNo`,`Class`,`Amount`,`InspectionDatetime`)</t>
  </si>
  <si>
    <t>VALUES ('200','02701','6201',20230815,'1236',3,2000,'2023-08-15 22:16:22');</t>
  </si>
  <si>
    <t xml:space="preserve"> SUM( amount )</t>
  </si>
  <si>
    <t xml:space="preserve"> CompanyCode = '200'</t>
  </si>
  <si>
    <t xml:space="preserve"> AND StoreCode = '02701'</t>
  </si>
  <si>
    <t xml:space="preserve"> AND InstoreCode = '6201'</t>
  </si>
  <si>
    <t xml:space="preserve"> AND ( Class = '1' OR Class = '2' ) </t>
  </si>
  <si>
    <t xml:space="preserve"> AND InspectionDatetime IS NULL;</t>
  </si>
  <si>
    <t xml:space="preserve"> </t>
  </si>
  <si>
    <t xml:space="preserve"> SUM( charge_info.amount ) </t>
  </si>
  <si>
    <t xml:space="preserve"> CompanyCode = '200' </t>
  </si>
  <si>
    <t xml:space="preserve"> AND StoreCode = '02701' </t>
  </si>
  <si>
    <t xml:space="preserve"> AND InstoreCode = '6201' </t>
  </si>
  <si>
    <t xml:space="preserve"> AND Class = '3' </t>
  </si>
  <si>
    <t xml:space="preserve"> MAX( InspectionDatetime ) AS '前回出力日時',</t>
  </si>
  <si>
    <t xml:space="preserve"> NOW() AS '今回出力日時'</t>
  </si>
  <si>
    <t xml:space="preserve"> AND InspectionDatetime IS NOT NULL;</t>
  </si>
  <si>
    <t xml:space="preserve"> Class AS '区分',</t>
  </si>
  <si>
    <t xml:space="preserve"> COUNT(*) AS '件数',</t>
  </si>
  <si>
    <t xml:space="preserve"> SUM(amount ) AS '金額' </t>
  </si>
  <si>
    <t xml:space="preserve"> AND InspectionDatetime IS NULL </t>
  </si>
  <si>
    <t xml:space="preserve"> CompanyCode,StoreCode,InstoreCode,Class;</t>
  </si>
  <si>
    <t xml:space="preserve"> ReceiptNo</t>
  </si>
  <si>
    <t xml:space="preserve"> AND InstoreCode = '6201';</t>
  </si>
  <si>
    <t>Thanh Nguyên</t>
    <phoneticPr fontId="3"/>
  </si>
  <si>
    <t>初版作成</t>
    <rPh sb="0" eb="4">
      <t>ショハンサクセイ</t>
    </rPh>
    <phoneticPr fontId="3"/>
  </si>
  <si>
    <t>システム名</t>
    <phoneticPr fontId="3"/>
  </si>
  <si>
    <t>※補充</t>
    <rPh sb="1" eb="3">
      <t>ホジュウ</t>
    </rPh>
    <phoneticPr fontId="3"/>
  </si>
  <si>
    <t>※回収</t>
    <rPh sb="1" eb="3">
      <t>カイシュウ</t>
    </rPh>
    <phoneticPr fontId="3"/>
  </si>
  <si>
    <t>※チャージ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</si>
</sst>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14">
    <font>
      <sz val="11"/>
      <name val="Meiryo UI"/>
      <family val="3"/>
      <charset val="128"/>
    </font>
    <font>
      <b/>
      <sz val="15"/>
      <color theme="3"/>
      <name val="Segoe UI"/>
      <family val="2"/>
      <charset val="128"/>
    </font>
    <font>
      <sz val="10"/>
      <color theme="1"/>
      <name val="Meiryo UI"/>
      <family val="3"/>
      <charset val="128"/>
    </font>
    <font>
      <sz val="6"/>
      <name val="Meiryo UI"/>
      <family val="3"/>
      <charset val="128"/>
    </font>
    <font>
      <sz val="11"/>
      <color theme="0"/>
      <name val="Meiryo UI"/>
      <family val="3"/>
      <charset val="128"/>
    </font>
    <font>
      <sz val="18"/>
      <name val="Meiryo UI"/>
      <family val="3"/>
      <charset val="128"/>
    </font>
    <font>
      <b/>
      <sz val="24"/>
      <name val="Meiryo UI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2"/>
      <name val="Meiryo UI"/>
      <family val="3"/>
      <charset val="128"/>
    </font>
    <font>
      <sz val="9"/>
      <name val="Meiryo UI"/>
      <family val="3"/>
      <charset val="128"/>
    </font>
    <font>
      <b/>
      <sz val="11"/>
      <color rgb="FFFF0000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rgb="FF333399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ck">
        <color rgb="FF000080"/>
      </left>
      <right/>
      <top/>
      <bottom/>
      <diagonal/>
    </border>
    <border>
      <left style="thick">
        <color rgb="FF000080"/>
      </left>
      <right/>
      <top style="thick">
        <color rgb="FF000080"/>
      </top>
      <bottom/>
      <diagonal/>
    </border>
    <border>
      <left/>
      <right/>
      <top style="thick">
        <color rgb="FF000080"/>
      </top>
      <bottom/>
      <diagonal/>
    </border>
    <border>
      <left style="thick">
        <color rgb="FF000080"/>
      </left>
      <right/>
      <top/>
      <bottom style="thick">
        <color rgb="FF000080"/>
      </bottom>
      <diagonal/>
    </border>
    <border>
      <left/>
      <right/>
      <top/>
      <bottom style="thick">
        <color rgb="FF000080"/>
      </bottom>
      <diagonal/>
    </border>
    <border>
      <left/>
      <right style="thick">
        <color rgb="FF000080"/>
      </right>
      <top style="thick">
        <color rgb="FF000080"/>
      </top>
      <bottom/>
      <diagonal/>
    </border>
    <border>
      <left/>
      <right style="thick">
        <color rgb="FF000080"/>
      </right>
      <top/>
      <bottom/>
      <diagonal/>
    </border>
    <border>
      <left/>
      <right style="thick">
        <color rgb="FF000080"/>
      </right>
      <top/>
      <bottom style="thick">
        <color rgb="FF000080"/>
      </bottom>
      <diagonal/>
    </border>
    <border>
      <left/>
      <right/>
      <top/>
      <bottom style="medium">
        <color rgb="FF000080"/>
      </bottom>
      <diagonal/>
    </border>
    <border>
      <left/>
      <right/>
      <top style="medium">
        <color rgb="FF000080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auto="1"/>
      </right>
      <top style="hair">
        <color indexed="64"/>
      </top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6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4" fillId="2" borderId="0" xfId="0" applyFont="1" applyFill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4" borderId="4" xfId="0" applyFill="1" applyBorder="1" applyAlignment="1">
      <alignment horizontal="left" vertical="center"/>
    </xf>
    <xf numFmtId="0" fontId="0" fillId="4" borderId="12" xfId="0" applyFill="1" applyBorder="1" applyAlignment="1">
      <alignment horizontal="left" vertical="center"/>
    </xf>
    <xf numFmtId="0" fontId="0" fillId="4" borderId="11" xfId="0" applyFill="1" applyBorder="1" applyAlignment="1">
      <alignment horizontal="left" vertical="center"/>
    </xf>
    <xf numFmtId="0" fontId="0" fillId="5" borderId="29" xfId="0" applyFill="1" applyBorder="1" applyAlignment="1">
      <alignment horizontal="center" vertical="center"/>
    </xf>
    <xf numFmtId="0" fontId="0" fillId="5" borderId="31" xfId="0" applyFill="1" applyBorder="1" applyAlignment="1">
      <alignment horizontal="center" vertical="center"/>
    </xf>
    <xf numFmtId="0" fontId="0" fillId="5" borderId="29" xfId="0" applyFill="1" applyBorder="1" applyAlignment="1">
      <alignment horizontal="left" vertical="center"/>
    </xf>
    <xf numFmtId="0" fontId="0" fillId="5" borderId="30" xfId="0" applyFill="1" applyBorder="1" applyAlignment="1">
      <alignment horizontal="left" vertical="center"/>
    </xf>
    <xf numFmtId="0" fontId="0" fillId="5" borderId="31" xfId="0" applyFill="1" applyBorder="1" applyAlignment="1">
      <alignment horizontal="left" vertical="center"/>
    </xf>
    <xf numFmtId="0" fontId="0" fillId="5" borderId="29" xfId="0" quotePrefix="1" applyFill="1" applyBorder="1" applyAlignment="1">
      <alignment horizontal="left" vertical="center"/>
    </xf>
    <xf numFmtId="0" fontId="0" fillId="5" borderId="30" xfId="0" quotePrefix="1" applyFill="1" applyBorder="1" applyAlignment="1">
      <alignment horizontal="left" vertical="center"/>
    </xf>
    <xf numFmtId="0" fontId="0" fillId="5" borderId="31" xfId="0" quotePrefix="1" applyFill="1" applyBorder="1" applyAlignment="1">
      <alignment horizontal="left" vertical="center"/>
    </xf>
    <xf numFmtId="0" fontId="0" fillId="5" borderId="32" xfId="0" applyFill="1" applyBorder="1" applyAlignment="1">
      <alignment horizontal="center" vertical="center"/>
    </xf>
    <xf numFmtId="0" fontId="0" fillId="5" borderId="33" xfId="0" applyFill="1" applyBorder="1" applyAlignment="1">
      <alignment horizontal="center" vertical="center"/>
    </xf>
    <xf numFmtId="0" fontId="0" fillId="5" borderId="32" xfId="0" applyFill="1" applyBorder="1" applyAlignment="1">
      <alignment horizontal="left" vertical="center"/>
    </xf>
    <xf numFmtId="0" fontId="0" fillId="5" borderId="34" xfId="0" applyFill="1" applyBorder="1" applyAlignment="1">
      <alignment horizontal="left" vertical="center"/>
    </xf>
    <xf numFmtId="0" fontId="0" fillId="5" borderId="33" xfId="0" applyFill="1" applyBorder="1" applyAlignment="1">
      <alignment horizontal="left" vertical="center"/>
    </xf>
    <xf numFmtId="0" fontId="0" fillId="5" borderId="13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13" xfId="0" applyFill="1" applyBorder="1" applyAlignment="1">
      <alignment horizontal="left" vertical="center"/>
    </xf>
    <xf numFmtId="0" fontId="0" fillId="5" borderId="14" xfId="0" applyFill="1" applyBorder="1" applyAlignment="1">
      <alignment horizontal="left" vertical="center"/>
    </xf>
    <xf numFmtId="0" fontId="0" fillId="5" borderId="15" xfId="0" applyFill="1" applyBorder="1" applyAlignment="1">
      <alignment horizontal="left" vertical="center"/>
    </xf>
    <xf numFmtId="0" fontId="0" fillId="5" borderId="4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4" xfId="0" applyFill="1" applyBorder="1" applyAlignment="1">
      <alignment horizontal="left" vertical="center"/>
    </xf>
    <xf numFmtId="0" fontId="0" fillId="5" borderId="11" xfId="0" applyFill="1" applyBorder="1" applyAlignment="1">
      <alignment horizontal="left" vertical="center"/>
    </xf>
    <xf numFmtId="0" fontId="0" fillId="5" borderId="12" xfId="0" applyFill="1" applyBorder="1" applyAlignment="1">
      <alignment horizontal="left" vertical="center"/>
    </xf>
    <xf numFmtId="0" fontId="0" fillId="5" borderId="16" xfId="0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0" fontId="0" fillId="5" borderId="16" xfId="0" applyFill="1" applyBorder="1" applyAlignment="1">
      <alignment horizontal="left" vertical="center"/>
    </xf>
    <xf numFmtId="0" fontId="0" fillId="5" borderId="17" xfId="0" applyFill="1" applyBorder="1" applyAlignment="1">
      <alignment horizontal="left" vertical="center"/>
    </xf>
    <xf numFmtId="0" fontId="0" fillId="5" borderId="18" xfId="0" applyFill="1" applyBorder="1" applyAlignment="1">
      <alignment horizontal="left" vertical="center"/>
    </xf>
    <xf numFmtId="0" fontId="0" fillId="4" borderId="11" xfId="0" applyFill="1" applyBorder="1">
      <alignment vertical="center"/>
    </xf>
    <xf numFmtId="0" fontId="0" fillId="4" borderId="12" xfId="0" applyFill="1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49" fontId="0" fillId="4" borderId="4" xfId="0" applyNumberFormat="1" applyFill="1" applyBorder="1">
      <alignment vertical="center"/>
    </xf>
    <xf numFmtId="49" fontId="0" fillId="4" borderId="11" xfId="0" applyNumberFormat="1" applyFill="1" applyBorder="1">
      <alignment vertical="center"/>
    </xf>
    <xf numFmtId="49" fontId="0" fillId="4" borderId="12" xfId="0" applyNumberFormat="1" applyFill="1" applyBorder="1">
      <alignment vertical="center"/>
    </xf>
    <xf numFmtId="49" fontId="11" fillId="4" borderId="4" xfId="0" applyNumberFormat="1" applyFont="1" applyFill="1" applyBorder="1">
      <alignment vertical="center"/>
    </xf>
    <xf numFmtId="49" fontId="11" fillId="4" borderId="11" xfId="0" applyNumberFormat="1" applyFont="1" applyFill="1" applyBorder="1">
      <alignment vertical="center"/>
    </xf>
    <xf numFmtId="49" fontId="11" fillId="4" borderId="12" xfId="0" applyNumberFormat="1" applyFont="1" applyFill="1" applyBorder="1">
      <alignment vertical="center"/>
    </xf>
    <xf numFmtId="49" fontId="11" fillId="4" borderId="2" xfId="0" applyNumberFormat="1" applyFont="1" applyFill="1" applyBorder="1">
      <alignment vertical="center"/>
    </xf>
    <xf numFmtId="49" fontId="11" fillId="4" borderId="3" xfId="0" applyNumberFormat="1" applyFont="1" applyFill="1" applyBorder="1">
      <alignment vertical="center"/>
    </xf>
    <xf numFmtId="0" fontId="0" fillId="4" borderId="3" xfId="0" applyFill="1" applyBorder="1">
      <alignment vertical="center"/>
    </xf>
    <xf numFmtId="0" fontId="0" fillId="4" borderId="8" xfId="0" applyFill="1" applyBorder="1">
      <alignment vertical="center"/>
    </xf>
    <xf numFmtId="0" fontId="11" fillId="4" borderId="1" xfId="0" applyFont="1" applyFill="1" applyBorder="1">
      <alignment vertical="center"/>
    </xf>
    <xf numFmtId="0" fontId="11" fillId="4" borderId="35" xfId="0" applyFont="1" applyFill="1" applyBorder="1">
      <alignment vertical="center"/>
    </xf>
    <xf numFmtId="0" fontId="11" fillId="4" borderId="3" xfId="0" applyFont="1" applyFill="1" applyBorder="1">
      <alignment vertical="center"/>
    </xf>
    <xf numFmtId="0" fontId="11" fillId="4" borderId="36" xfId="0" applyFont="1" applyFill="1" applyBorder="1">
      <alignment vertical="center"/>
    </xf>
    <xf numFmtId="0" fontId="0" fillId="4" borderId="9" xfId="0" applyFill="1" applyBorder="1">
      <alignment vertical="center"/>
    </xf>
    <xf numFmtId="0" fontId="11" fillId="4" borderId="5" xfId="0" applyFont="1" applyFill="1" applyBorder="1">
      <alignment vertical="center"/>
    </xf>
    <xf numFmtId="0" fontId="11" fillId="4" borderId="6" xfId="0" applyFont="1" applyFill="1" applyBorder="1">
      <alignment vertical="center"/>
    </xf>
    <xf numFmtId="0" fontId="0" fillId="4" borderId="6" xfId="0" applyFill="1" applyBorder="1">
      <alignment vertical="center"/>
    </xf>
    <xf numFmtId="0" fontId="0" fillId="4" borderId="10" xfId="0" applyFill="1" applyBorder="1">
      <alignment vertical="center"/>
    </xf>
    <xf numFmtId="0" fontId="11" fillId="5" borderId="13" xfId="0" applyFont="1" applyFill="1" applyBorder="1">
      <alignment vertical="center"/>
    </xf>
    <xf numFmtId="0" fontId="11" fillId="5" borderId="14" xfId="0" applyFont="1" applyFill="1" applyBorder="1">
      <alignment vertical="center"/>
    </xf>
    <xf numFmtId="0" fontId="11" fillId="5" borderId="37" xfId="0" applyFont="1" applyFill="1" applyBorder="1">
      <alignment vertical="center"/>
    </xf>
    <xf numFmtId="0" fontId="11" fillId="5" borderId="38" xfId="0" applyFont="1" applyFill="1" applyBorder="1">
      <alignment vertical="center"/>
    </xf>
    <xf numFmtId="49" fontId="11" fillId="5" borderId="38" xfId="0" quotePrefix="1" applyNumberFormat="1" applyFont="1" applyFill="1" applyBorder="1" applyAlignment="1">
      <alignment horizontal="centerContinuous" vertical="center"/>
    </xf>
    <xf numFmtId="0" fontId="11" fillId="5" borderId="38" xfId="0" applyFont="1" applyFill="1" applyBorder="1" applyAlignment="1">
      <alignment horizontal="centerContinuous" vertical="center"/>
    </xf>
    <xf numFmtId="0" fontId="0" fillId="5" borderId="14" xfId="0" applyFill="1" applyBorder="1">
      <alignment vertical="center"/>
    </xf>
    <xf numFmtId="0" fontId="11" fillId="5" borderId="14" xfId="0" applyFont="1" applyFill="1" applyBorder="1" applyAlignment="1">
      <alignment horizontal="centerContinuous" vertical="center"/>
    </xf>
    <xf numFmtId="0" fontId="11" fillId="5" borderId="37" xfId="0" applyFont="1" applyFill="1" applyBorder="1" applyAlignment="1">
      <alignment horizontal="centerContinuous" vertical="center"/>
    </xf>
    <xf numFmtId="0" fontId="11" fillId="5" borderId="35" xfId="0" applyFont="1" applyFill="1" applyBorder="1" applyAlignment="1">
      <alignment vertical="top"/>
    </xf>
    <xf numFmtId="0" fontId="11" fillId="5" borderId="3" xfId="0" applyFont="1" applyFill="1" applyBorder="1">
      <alignment vertical="center"/>
    </xf>
    <xf numFmtId="0" fontId="0" fillId="5" borderId="3" xfId="0" applyFill="1" applyBorder="1">
      <alignment vertical="center"/>
    </xf>
    <xf numFmtId="0" fontId="0" fillId="5" borderId="8" xfId="0" applyFill="1" applyBorder="1">
      <alignment vertical="center"/>
    </xf>
    <xf numFmtId="0" fontId="11" fillId="5" borderId="2" xfId="0" applyFont="1" applyFill="1" applyBorder="1">
      <alignment vertical="center"/>
    </xf>
    <xf numFmtId="0" fontId="11" fillId="5" borderId="3" xfId="0" applyFont="1" applyFill="1" applyBorder="1" applyAlignment="1">
      <alignment horizontal="centerContinuous" vertical="top" wrapText="1"/>
    </xf>
    <xf numFmtId="0" fontId="12" fillId="5" borderId="3" xfId="0" applyFont="1" applyFill="1" applyBorder="1" applyAlignment="1">
      <alignment vertical="top"/>
    </xf>
    <xf numFmtId="0" fontId="11" fillId="5" borderId="29" xfId="0" applyFont="1" applyFill="1" applyBorder="1">
      <alignment vertical="center"/>
    </xf>
    <xf numFmtId="0" fontId="11" fillId="5" borderId="30" xfId="0" applyFont="1" applyFill="1" applyBorder="1">
      <alignment vertical="center"/>
    </xf>
    <xf numFmtId="0" fontId="11" fillId="5" borderId="39" xfId="0" applyFont="1" applyFill="1" applyBorder="1">
      <alignment vertical="center"/>
    </xf>
    <xf numFmtId="0" fontId="11" fillId="5" borderId="40" xfId="0" applyFont="1" applyFill="1" applyBorder="1">
      <alignment vertical="center"/>
    </xf>
    <xf numFmtId="49" fontId="11" fillId="5" borderId="40" xfId="0" quotePrefix="1" applyNumberFormat="1" applyFont="1" applyFill="1" applyBorder="1" applyAlignment="1">
      <alignment horizontal="centerContinuous" vertical="center"/>
    </xf>
    <xf numFmtId="0" fontId="11" fillId="5" borderId="40" xfId="0" applyFont="1" applyFill="1" applyBorder="1" applyAlignment="1">
      <alignment horizontal="centerContinuous" vertical="center"/>
    </xf>
    <xf numFmtId="0" fontId="0" fillId="5" borderId="30" xfId="0" applyFill="1" applyBorder="1">
      <alignment vertical="center"/>
    </xf>
    <xf numFmtId="0" fontId="11" fillId="5" borderId="30" xfId="0" applyFont="1" applyFill="1" applyBorder="1" applyAlignment="1">
      <alignment horizontal="centerContinuous" vertical="center"/>
    </xf>
    <xf numFmtId="0" fontId="11" fillId="5" borderId="39" xfId="0" applyFont="1" applyFill="1" applyBorder="1" applyAlignment="1">
      <alignment horizontal="centerContinuous" vertical="center"/>
    </xf>
    <xf numFmtId="0" fontId="11" fillId="5" borderId="41" xfId="0" applyFont="1" applyFill="1" applyBorder="1" applyAlignment="1">
      <alignment vertical="top"/>
    </xf>
    <xf numFmtId="0" fontId="0" fillId="5" borderId="9" xfId="0" applyFill="1" applyBorder="1">
      <alignment vertical="center"/>
    </xf>
    <xf numFmtId="0" fontId="11" fillId="5" borderId="1" xfId="0" applyFont="1" applyFill="1" applyBorder="1">
      <alignment vertical="center"/>
    </xf>
    <xf numFmtId="49" fontId="11" fillId="5" borderId="40" xfId="0" applyNumberFormat="1" applyFont="1" applyFill="1" applyBorder="1" applyAlignment="1">
      <alignment horizontal="centerContinuous" vertical="center"/>
    </xf>
    <xf numFmtId="0" fontId="12" fillId="5" borderId="42" xfId="0" applyFont="1" applyFill="1" applyBorder="1" applyAlignment="1">
      <alignment vertical="top"/>
    </xf>
    <xf numFmtId="0" fontId="12" fillId="5" borderId="35" xfId="0" applyFont="1" applyFill="1" applyBorder="1" applyAlignment="1">
      <alignment vertical="top"/>
    </xf>
    <xf numFmtId="0" fontId="12" fillId="5" borderId="43" xfId="0" applyFont="1" applyFill="1" applyBorder="1" applyAlignment="1">
      <alignment vertical="top"/>
    </xf>
    <xf numFmtId="0" fontId="12" fillId="5" borderId="41" xfId="0" applyFont="1" applyFill="1" applyBorder="1" applyAlignment="1">
      <alignment vertical="top"/>
    </xf>
    <xf numFmtId="49" fontId="11" fillId="5" borderId="40" xfId="0" applyNumberFormat="1" applyFont="1" applyFill="1" applyBorder="1">
      <alignment vertical="center"/>
    </xf>
    <xf numFmtId="0" fontId="0" fillId="5" borderId="43" xfId="0" applyFill="1" applyBorder="1">
      <alignment vertical="center"/>
    </xf>
    <xf numFmtId="0" fontId="0" fillId="5" borderId="41" xfId="0" applyFill="1" applyBorder="1">
      <alignment vertical="center"/>
    </xf>
    <xf numFmtId="0" fontId="11" fillId="4" borderId="0" xfId="0" applyFont="1" applyFill="1">
      <alignment vertical="center"/>
    </xf>
    <xf numFmtId="0" fontId="0" fillId="4" borderId="0" xfId="0" applyFill="1">
      <alignment vertical="center"/>
    </xf>
    <xf numFmtId="0" fontId="11" fillId="5" borderId="0" xfId="0" applyFont="1" applyFill="1">
      <alignment vertical="center"/>
    </xf>
    <xf numFmtId="0" fontId="0" fillId="5" borderId="0" xfId="0" applyFill="1">
      <alignment vertical="center"/>
    </xf>
    <xf numFmtId="0" fontId="11" fillId="5" borderId="0" xfId="0" applyFont="1" applyFill="1" applyAlignment="1">
      <alignment horizontal="centerContinuous" vertical="top" wrapText="1"/>
    </xf>
    <xf numFmtId="0" fontId="12" fillId="5" borderId="0" xfId="0" applyFont="1" applyFill="1" applyAlignment="1">
      <alignment vertical="top"/>
    </xf>
    <xf numFmtId="0" fontId="11" fillId="5" borderId="0" xfId="0" applyFont="1" applyFill="1" applyAlignment="1">
      <alignment horizontal="centerContinuous" vertical="center"/>
    </xf>
    <xf numFmtId="0" fontId="0" fillId="5" borderId="16" xfId="0" applyFill="1" applyBorder="1">
      <alignment vertical="center"/>
    </xf>
    <xf numFmtId="0" fontId="0" fillId="5" borderId="17" xfId="0" applyFill="1" applyBorder="1">
      <alignment vertical="center"/>
    </xf>
    <xf numFmtId="0" fontId="0" fillId="5" borderId="44" xfId="0" applyFill="1" applyBorder="1">
      <alignment vertical="center"/>
    </xf>
    <xf numFmtId="0" fontId="0" fillId="5" borderId="45" xfId="0" applyFill="1" applyBorder="1">
      <alignment vertical="center"/>
    </xf>
    <xf numFmtId="0" fontId="11" fillId="5" borderId="46" xfId="0" applyFont="1" applyFill="1" applyBorder="1" applyAlignment="1">
      <alignment vertical="top"/>
    </xf>
    <xf numFmtId="0" fontId="0" fillId="5" borderId="6" xfId="0" applyFill="1" applyBorder="1">
      <alignment vertical="center"/>
    </xf>
    <xf numFmtId="0" fontId="0" fillId="5" borderId="10" xfId="0" applyFill="1" applyBorder="1">
      <alignment vertical="center"/>
    </xf>
    <xf numFmtId="0" fontId="0" fillId="5" borderId="5" xfId="0" applyFill="1" applyBorder="1">
      <alignment vertical="center"/>
    </xf>
    <xf numFmtId="0" fontId="0" fillId="5" borderId="47" xfId="0" applyFill="1" applyBorder="1">
      <alignment vertical="center"/>
    </xf>
    <xf numFmtId="0" fontId="0" fillId="5" borderId="46" xfId="0" applyFill="1" applyBorder="1">
      <alignment vertical="center"/>
    </xf>
    <xf numFmtId="0" fontId="11" fillId="5" borderId="40" xfId="0" applyFont="1" applyFill="1" applyBorder="1" applyAlignment="1">
      <alignment horizontal="center" vertical="center"/>
    </xf>
    <xf numFmtId="0" fontId="13" fillId="0" borderId="0" xfId="0" applyFont="1">
      <alignment vertical="center"/>
    </xf>
    <xf numFmtId="0" fontId="0" fillId="0" borderId="0" xfId="0" applyAlignment="1">
      <alignment horizontal="left" vertical="center"/>
    </xf>
    <xf numFmtId="0" fontId="11" fillId="4" borderId="2" xfId="0" applyFont="1" applyFill="1" applyBorder="1">
      <alignment vertical="center"/>
    </xf>
    <xf numFmtId="0" fontId="11" fillId="4" borderId="8" xfId="0" applyFont="1" applyFill="1" applyBorder="1">
      <alignment vertical="center"/>
    </xf>
    <xf numFmtId="0" fontId="11" fillId="5" borderId="15" xfId="0" applyFont="1" applyFill="1" applyBorder="1">
      <alignment vertical="center"/>
    </xf>
    <xf numFmtId="0" fontId="11" fillId="5" borderId="31" xfId="0" applyFont="1" applyFill="1" applyBorder="1">
      <alignment vertical="center"/>
    </xf>
    <xf numFmtId="0" fontId="0" fillId="5" borderId="18" xfId="0" applyFill="1" applyBorder="1">
      <alignment vertical="center"/>
    </xf>
    <xf numFmtId="0" fontId="11" fillId="5" borderId="29" xfId="0" quotePrefix="1" applyFon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3" xfId="0" applyNumberFormat="1" applyFill="1" applyBorder="1">
      <alignment vertical="center"/>
    </xf>
    <xf numFmtId="0" fontId="0" fillId="4" borderId="1" xfId="0" applyFill="1" applyBorder="1">
      <alignment vertical="center"/>
    </xf>
    <xf numFmtId="0" fontId="0" fillId="4" borderId="35" xfId="0" applyFill="1" applyBorder="1">
      <alignment vertical="center"/>
    </xf>
    <xf numFmtId="0" fontId="0" fillId="4" borderId="36" xfId="0" applyFill="1" applyBorder="1">
      <alignment vertical="center"/>
    </xf>
    <xf numFmtId="0" fontId="0" fillId="4" borderId="5" xfId="0" applyFill="1" applyBorder="1">
      <alignment vertical="center"/>
    </xf>
    <xf numFmtId="0" fontId="0" fillId="5" borderId="13" xfId="0" applyFill="1" applyBorder="1">
      <alignment vertical="center"/>
    </xf>
    <xf numFmtId="0" fontId="0" fillId="5" borderId="37" xfId="0" applyFill="1" applyBorder="1">
      <alignment vertical="center"/>
    </xf>
    <xf numFmtId="0" fontId="0" fillId="5" borderId="38" xfId="0" applyFill="1" applyBorder="1">
      <alignment vertical="center"/>
    </xf>
    <xf numFmtId="49" fontId="0" fillId="5" borderId="38" xfId="0" quotePrefix="1" applyNumberFormat="1" applyFill="1" applyBorder="1" applyAlignment="1">
      <alignment horizontal="centerContinuous" vertical="center"/>
    </xf>
    <xf numFmtId="0" fontId="0" fillId="5" borderId="38" xfId="0" applyFill="1" applyBorder="1" applyAlignment="1">
      <alignment horizontal="centerContinuous" vertical="center"/>
    </xf>
    <xf numFmtId="0" fontId="0" fillId="5" borderId="14" xfId="0" applyFill="1" applyBorder="1" applyAlignment="1">
      <alignment horizontal="centerContinuous" vertical="center"/>
    </xf>
    <xf numFmtId="0" fontId="0" fillId="5" borderId="37" xfId="0" applyFill="1" applyBorder="1" applyAlignment="1">
      <alignment horizontal="centerContinuous" vertical="center"/>
    </xf>
    <xf numFmtId="0" fontId="0" fillId="5" borderId="35" xfId="0" applyFill="1" applyBorder="1" applyAlignment="1">
      <alignment vertical="top"/>
    </xf>
    <xf numFmtId="0" fontId="0" fillId="5" borderId="3" xfId="0" applyFill="1" applyBorder="1" applyAlignment="1">
      <alignment vertical="top"/>
    </xf>
    <xf numFmtId="0" fontId="0" fillId="5" borderId="29" xfId="0" applyFill="1" applyBorder="1">
      <alignment vertical="center"/>
    </xf>
    <xf numFmtId="0" fontId="0" fillId="5" borderId="39" xfId="0" applyFill="1" applyBorder="1">
      <alignment vertical="center"/>
    </xf>
    <xf numFmtId="0" fontId="0" fillId="5" borderId="40" xfId="0" applyFill="1" applyBorder="1">
      <alignment vertical="center"/>
    </xf>
    <xf numFmtId="49" fontId="0" fillId="5" borderId="40" xfId="0" quotePrefix="1" applyNumberFormat="1" applyFill="1" applyBorder="1" applyAlignment="1">
      <alignment horizontal="centerContinuous" vertical="center"/>
    </xf>
    <xf numFmtId="0" fontId="0" fillId="5" borderId="40" xfId="0" applyFill="1" applyBorder="1" applyAlignment="1">
      <alignment horizontal="centerContinuous" vertical="center"/>
    </xf>
    <xf numFmtId="0" fontId="0" fillId="5" borderId="30" xfId="0" applyFill="1" applyBorder="1" applyAlignment="1">
      <alignment horizontal="centerContinuous" vertical="center"/>
    </xf>
    <xf numFmtId="0" fontId="0" fillId="5" borderId="39" xfId="0" applyFill="1" applyBorder="1" applyAlignment="1">
      <alignment horizontal="centerContinuous" vertical="center"/>
    </xf>
    <xf numFmtId="0" fontId="0" fillId="5" borderId="41" xfId="0" applyFill="1" applyBorder="1" applyAlignment="1">
      <alignment vertical="top"/>
    </xf>
    <xf numFmtId="0" fontId="0" fillId="5" borderId="1" xfId="0" applyFill="1" applyBorder="1">
      <alignment vertical="center"/>
    </xf>
    <xf numFmtId="0" fontId="0" fillId="5" borderId="0" xfId="0" applyFill="1" applyAlignment="1">
      <alignment horizontal="centerContinuous" vertical="top" wrapText="1"/>
    </xf>
    <xf numFmtId="0" fontId="0" fillId="5" borderId="0" xfId="0" applyFill="1" applyAlignment="1">
      <alignment vertical="top"/>
    </xf>
    <xf numFmtId="49" fontId="0" fillId="5" borderId="40" xfId="0" applyNumberFormat="1" applyFill="1" applyBorder="1" applyAlignment="1">
      <alignment horizontal="centerContinuous" vertical="center"/>
    </xf>
    <xf numFmtId="0" fontId="0" fillId="5" borderId="40" xfId="0" applyFill="1" applyBorder="1" applyAlignment="1">
      <alignment horizontal="center" vertical="center"/>
    </xf>
    <xf numFmtId="49" fontId="0" fillId="5" borderId="40" xfId="0" applyNumberFormat="1" applyFill="1" applyBorder="1">
      <alignment vertical="center"/>
    </xf>
    <xf numFmtId="0" fontId="0" fillId="5" borderId="46" xfId="0" applyFill="1" applyBorder="1" applyAlignment="1">
      <alignment vertical="top"/>
    </xf>
    <xf numFmtId="0" fontId="0" fillId="5" borderId="2" xfId="0" applyFill="1" applyBorder="1">
      <alignment vertical="center"/>
    </xf>
    <xf numFmtId="0" fontId="0" fillId="5" borderId="3" xfId="0" applyFill="1" applyBorder="1" applyAlignment="1">
      <alignment horizontal="centerContinuous" vertical="top" wrapText="1"/>
    </xf>
    <xf numFmtId="0" fontId="0" fillId="5" borderId="42" xfId="0" applyFill="1" applyBorder="1" applyAlignment="1">
      <alignment vertical="top"/>
    </xf>
    <xf numFmtId="0" fontId="0" fillId="5" borderId="0" xfId="0" applyFill="1" applyAlignment="1">
      <alignment horizontal="centerContinuous" vertical="center"/>
    </xf>
    <xf numFmtId="0" fontId="0" fillId="5" borderId="43" xfId="0" applyFill="1" applyBorder="1" applyAlignment="1">
      <alignment vertical="top"/>
    </xf>
    <xf numFmtId="0" fontId="0" fillId="0" borderId="0" xfId="0" quotePrefix="1">
      <alignment vertical="center"/>
    </xf>
    <xf numFmtId="0" fontId="0" fillId="5" borderId="0" xfId="0" quotePrefix="1" applyFill="1" applyAlignment="1">
      <alignment vertical="top"/>
    </xf>
    <xf numFmtId="0" fontId="0" fillId="2" borderId="0" xfId="0" applyFill="1">
      <alignment vertical="center"/>
    </xf>
    <xf numFmtId="0" fontId="6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2" fontId="0" fillId="0" borderId="2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176" fontId="0" fillId="0" borderId="2" xfId="0" applyNumberFormat="1" applyBorder="1" applyAlignment="1">
      <alignment horizontal="center" vertical="center"/>
    </xf>
    <xf numFmtId="176" fontId="0" fillId="0" borderId="3" xfId="0" applyNumberFormat="1" applyBorder="1" applyAlignment="1">
      <alignment horizontal="center" vertical="center"/>
    </xf>
    <xf numFmtId="176" fontId="0" fillId="0" borderId="8" xfId="0" applyNumberFormat="1" applyBorder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3" xfId="0" applyBorder="1">
      <alignment vertical="center"/>
    </xf>
    <xf numFmtId="0" fontId="0" fillId="0" borderId="8" xfId="0" applyBorder="1">
      <alignment vertical="center"/>
    </xf>
    <xf numFmtId="0" fontId="0" fillId="0" borderId="6" xfId="0" applyBorder="1">
      <alignment vertical="center"/>
    </xf>
    <xf numFmtId="0" fontId="0" fillId="0" borderId="10" xfId="0" applyBorder="1">
      <alignment vertical="center"/>
    </xf>
    <xf numFmtId="0" fontId="0" fillId="0" borderId="2" xfId="0" applyBorder="1">
      <alignment vertical="center"/>
    </xf>
    <xf numFmtId="0" fontId="0" fillId="0" borderId="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14" fontId="0" fillId="0" borderId="2" xfId="0" applyNumberFormat="1" applyBorder="1" applyAlignment="1">
      <alignment horizontal="center" vertical="center"/>
    </xf>
    <xf numFmtId="0" fontId="4" fillId="2" borderId="0" xfId="0" applyFont="1" applyFill="1">
      <alignment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3" borderId="29" xfId="0" applyFill="1" applyBorder="1" applyAlignment="1">
      <alignment horizontal="left" vertical="center"/>
    </xf>
    <xf numFmtId="0" fontId="0" fillId="3" borderId="30" xfId="0" applyFill="1" applyBorder="1" applyAlignment="1">
      <alignment horizontal="left" vertical="center"/>
    </xf>
    <xf numFmtId="0" fontId="0" fillId="3" borderId="31" xfId="0" applyFill="1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14" fontId="0" fillId="0" borderId="29" xfId="0" quotePrefix="1" applyNumberFormat="1" applyBorder="1" applyAlignment="1">
      <alignment horizontal="left" vertical="center" wrapText="1"/>
    </xf>
    <xf numFmtId="14" fontId="0" fillId="0" borderId="30" xfId="0" quotePrefix="1" applyNumberFormat="1" applyBorder="1" applyAlignment="1">
      <alignment horizontal="left" vertical="center" wrapText="1"/>
    </xf>
    <xf numFmtId="14" fontId="0" fillId="0" borderId="31" xfId="0" quotePrefix="1" applyNumberFormat="1" applyBorder="1" applyAlignment="1">
      <alignment horizontal="left" vertical="center" wrapText="1"/>
    </xf>
    <xf numFmtId="0" fontId="0" fillId="3" borderId="16" xfId="0" applyFill="1" applyBorder="1" applyAlignment="1">
      <alignment horizontal="left" vertical="center"/>
    </xf>
    <xf numFmtId="0" fontId="0" fillId="3" borderId="17" xfId="0" applyFill="1" applyBorder="1" applyAlignment="1">
      <alignment horizontal="left" vertical="center"/>
    </xf>
    <xf numFmtId="0" fontId="0" fillId="3" borderId="18" xfId="0" applyFill="1" applyBorder="1" applyAlignment="1">
      <alignment horizontal="left" vertical="center"/>
    </xf>
    <xf numFmtId="14" fontId="0" fillId="0" borderId="16" xfId="0" applyNumberFormat="1" applyBorder="1" applyAlignment="1">
      <alignment horizontal="left" vertical="center"/>
    </xf>
    <xf numFmtId="14" fontId="0" fillId="0" borderId="17" xfId="0" applyNumberFormat="1" applyBorder="1" applyAlignment="1">
      <alignment horizontal="left" vertical="center"/>
    </xf>
    <xf numFmtId="14" fontId="0" fillId="0" borderId="18" xfId="0" applyNumberFormat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3" borderId="11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3" borderId="13" xfId="0" applyFill="1" applyBorder="1" applyAlignment="1">
      <alignment horizontal="left" vertical="center"/>
    </xf>
    <xf numFmtId="0" fontId="0" fillId="3" borderId="14" xfId="0" applyFill="1" applyBorder="1" applyAlignment="1">
      <alignment horizontal="left" vertical="center"/>
    </xf>
    <xf numFmtId="0" fontId="0" fillId="3" borderId="15" xfId="0" applyFill="1" applyBorder="1" applyAlignment="1">
      <alignment horizontal="left" vertical="center"/>
    </xf>
    <xf numFmtId="49" fontId="0" fillId="4" borderId="4" xfId="0" applyNumberFormat="1" applyFill="1" applyBorder="1">
      <alignment vertical="center"/>
    </xf>
    <xf numFmtId="49" fontId="0" fillId="4" borderId="11" xfId="0" applyNumberFormat="1" applyFill="1" applyBorder="1">
      <alignment vertical="center"/>
    </xf>
    <xf numFmtId="49" fontId="0" fillId="4" borderId="12" xfId="0" applyNumberFormat="1" applyFill="1" applyBorder="1">
      <alignment vertical="center"/>
    </xf>
    <xf numFmtId="0" fontId="0" fillId="4" borderId="4" xfId="0" applyFill="1" applyBorder="1">
      <alignment vertical="center"/>
    </xf>
    <xf numFmtId="0" fontId="0" fillId="4" borderId="11" xfId="0" applyFill="1" applyBorder="1">
      <alignment vertical="center"/>
    </xf>
    <xf numFmtId="0" fontId="0" fillId="4" borderId="12" xfId="0" applyFill="1" applyBorder="1">
      <alignment vertical="center"/>
    </xf>
    <xf numFmtId="0" fontId="0" fillId="0" borderId="7" xfId="0" applyBorder="1" applyAlignment="1">
      <alignment vertical="center" shrinkToFit="1"/>
    </xf>
    <xf numFmtId="0" fontId="0" fillId="0" borderId="7" xfId="0" applyBorder="1">
      <alignment vertical="center"/>
    </xf>
  </cellXfs>
  <cellStyles count="1">
    <cellStyle name="標準" xfId="0" builtinId="0" customBuiltin="1"/>
  </cellStyles>
  <dxfs count="0"/>
  <tableStyles count="0" defaultTableStyle="TableStyleMedium2" defaultPivotStyle="PivotStyleLight16"/>
  <colors>
    <mruColors>
      <color rgb="FF33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9</xdr:row>
      <xdr:rowOff>0</xdr:rowOff>
    </xdr:from>
    <xdr:to>
      <xdr:col>8</xdr:col>
      <xdr:colOff>0</xdr:colOff>
      <xdr:row>13</xdr:row>
      <xdr:rowOff>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90122BA6-1631-D225-8A4C-7A767CB1B7BB}"/>
            </a:ext>
          </a:extLst>
        </xdr:cNvPr>
        <xdr:cNvSpPr/>
      </xdr:nvSpPr>
      <xdr:spPr>
        <a:xfrm>
          <a:off x="482600" y="1841500"/>
          <a:ext cx="1447800" cy="762000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AndroidPOS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0</xdr:colOff>
      <xdr:row>9</xdr:row>
      <xdr:rowOff>0</xdr:rowOff>
    </xdr:from>
    <xdr:to>
      <xdr:col>18</xdr:col>
      <xdr:colOff>0</xdr:colOff>
      <xdr:row>13</xdr:row>
      <xdr:rowOff>0</xdr:rowOff>
    </xdr:to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9637025F-CFB1-43E6-BDDF-1CAA10341F04}"/>
            </a:ext>
          </a:extLst>
        </xdr:cNvPr>
        <xdr:cNvSpPr/>
      </xdr:nvSpPr>
      <xdr:spPr>
        <a:xfrm>
          <a:off x="2895600" y="1841500"/>
          <a:ext cx="14478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>
          <a:noAutofit/>
        </a:bodyPr>
        <a:lstStyle/>
        <a:p>
          <a:pPr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2_8_4: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釣銭機補充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0</xdr:colOff>
      <xdr:row>15</xdr:row>
      <xdr:rowOff>0</xdr:rowOff>
    </xdr:from>
    <xdr:to>
      <xdr:col>18</xdr:col>
      <xdr:colOff>0</xdr:colOff>
      <xdr:row>19</xdr:row>
      <xdr:rowOff>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E41E52C9-C556-4D8B-9BED-F4026E69FA1B}"/>
            </a:ext>
          </a:extLst>
        </xdr:cNvPr>
        <xdr:cNvSpPr/>
      </xdr:nvSpPr>
      <xdr:spPr>
        <a:xfrm>
          <a:off x="2895600" y="2984500"/>
          <a:ext cx="14478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>
          <a:noAutofit/>
        </a:bodyPr>
        <a:lstStyle/>
        <a:p>
          <a:pPr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2_8_5: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釣銭機回収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0</xdr:colOff>
      <xdr:row>21</xdr:row>
      <xdr:rowOff>0</xdr:rowOff>
    </xdr:from>
    <xdr:to>
      <xdr:col>18</xdr:col>
      <xdr:colOff>0</xdr:colOff>
      <xdr:row>25</xdr:row>
      <xdr:rowOff>0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3E65EA5C-F309-4300-BDEF-C374F074E4E6}"/>
            </a:ext>
          </a:extLst>
        </xdr:cNvPr>
        <xdr:cNvSpPr/>
      </xdr:nvSpPr>
      <xdr:spPr>
        <a:xfrm>
          <a:off x="2895600" y="4127500"/>
          <a:ext cx="14478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>
          <a:noAutofit/>
        </a:bodyPr>
        <a:lstStyle/>
        <a:p>
          <a:pPr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4_1_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チャージ機能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12</xdr:col>
      <xdr:colOff>0</xdr:colOff>
      <xdr:row>35</xdr:row>
      <xdr:rowOff>152400</xdr:rowOff>
    </xdr:from>
    <xdr:to>
      <xdr:col>18</xdr:col>
      <xdr:colOff>0</xdr:colOff>
      <xdr:row>39</xdr:row>
      <xdr:rowOff>152400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488761AE-2910-4A80-ADEB-441DBBF1273F}"/>
            </a:ext>
          </a:extLst>
        </xdr:cNvPr>
        <xdr:cNvSpPr/>
      </xdr:nvSpPr>
      <xdr:spPr>
        <a:xfrm>
          <a:off x="2895600" y="6946900"/>
          <a:ext cx="1447800" cy="762000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lIns="36000" tIns="0" rIns="36000" bIns="0" rtlCol="0" anchor="ctr">
          <a:noAutofit/>
        </a:bodyPr>
        <a:lstStyle/>
        <a:p>
          <a:pPr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4_2_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チャージ点検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0</xdr:colOff>
      <xdr:row>11</xdr:row>
      <xdr:rowOff>0</xdr:rowOff>
    </xdr:from>
    <xdr:to>
      <xdr:col>12</xdr:col>
      <xdr:colOff>0</xdr:colOff>
      <xdr:row>11</xdr:row>
      <xdr:rowOff>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F6853AEB-1239-200D-DB16-3DF90E89EDA8}"/>
            </a:ext>
          </a:extLst>
        </xdr:cNvPr>
        <xdr:cNvCxnSpPr>
          <a:stCxn id="2" idx="3"/>
          <a:endCxn id="3" idx="1"/>
        </xdr:cNvCxnSpPr>
      </xdr:nvCxnSpPr>
      <xdr:spPr>
        <a:xfrm>
          <a:off x="1930400" y="2222500"/>
          <a:ext cx="9652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11</xdr:row>
      <xdr:rowOff>0</xdr:rowOff>
    </xdr:from>
    <xdr:to>
      <xdr:col>12</xdr:col>
      <xdr:colOff>0</xdr:colOff>
      <xdr:row>17</xdr:row>
      <xdr:rowOff>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296951E9-F040-4DE4-966F-4515974A2E03}"/>
            </a:ext>
          </a:extLst>
        </xdr:cNvPr>
        <xdr:cNvCxnSpPr>
          <a:stCxn id="2" idx="3"/>
          <a:endCxn id="4" idx="1"/>
        </xdr:cNvCxnSpPr>
      </xdr:nvCxnSpPr>
      <xdr:spPr>
        <a:xfrm>
          <a:off x="1930400" y="2222500"/>
          <a:ext cx="965200" cy="11430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11</xdr:row>
      <xdr:rowOff>0</xdr:rowOff>
    </xdr:from>
    <xdr:to>
      <xdr:col>12</xdr:col>
      <xdr:colOff>0</xdr:colOff>
      <xdr:row>23</xdr:row>
      <xdr:rowOff>0</xdr:rowOff>
    </xdr:to>
    <xdr:cxnSp macro="">
      <xdr:nvCxnSpPr>
        <xdr:cNvPr id="12" name="直線矢印コネクタ 8">
          <a:extLst>
            <a:ext uri="{FF2B5EF4-FFF2-40B4-BE49-F238E27FC236}">
              <a16:creationId xmlns:a16="http://schemas.microsoft.com/office/drawing/2014/main" id="{D5E1627D-A9C4-4B62-B398-E7117E8CDDB7}"/>
            </a:ext>
          </a:extLst>
        </xdr:cNvPr>
        <xdr:cNvCxnSpPr>
          <a:stCxn id="2" idx="3"/>
          <a:endCxn id="5" idx="1"/>
        </xdr:cNvCxnSpPr>
      </xdr:nvCxnSpPr>
      <xdr:spPr>
        <a:xfrm>
          <a:off x="1930400" y="2222500"/>
          <a:ext cx="965200" cy="22860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11</xdr:row>
      <xdr:rowOff>0</xdr:rowOff>
    </xdr:from>
    <xdr:to>
      <xdr:col>12</xdr:col>
      <xdr:colOff>0</xdr:colOff>
      <xdr:row>37</xdr:row>
      <xdr:rowOff>152400</xdr:rowOff>
    </xdr:to>
    <xdr:cxnSp macro="">
      <xdr:nvCxnSpPr>
        <xdr:cNvPr id="15" name="直線矢印コネクタ 8">
          <a:extLst>
            <a:ext uri="{FF2B5EF4-FFF2-40B4-BE49-F238E27FC236}">
              <a16:creationId xmlns:a16="http://schemas.microsoft.com/office/drawing/2014/main" id="{2DC04C27-736A-4D70-A14E-9C7CC06F1AA7}"/>
            </a:ext>
          </a:extLst>
        </xdr:cNvPr>
        <xdr:cNvCxnSpPr>
          <a:stCxn id="2" idx="3"/>
          <a:endCxn id="6" idx="1"/>
        </xdr:cNvCxnSpPr>
      </xdr:nvCxnSpPr>
      <xdr:spPr>
        <a:xfrm>
          <a:off x="1930400" y="2222500"/>
          <a:ext cx="965200" cy="51054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11</xdr:row>
      <xdr:rowOff>0</xdr:rowOff>
    </xdr:from>
    <xdr:to>
      <xdr:col>23</xdr:col>
      <xdr:colOff>0</xdr:colOff>
      <xdr:row>11</xdr:row>
      <xdr:rowOff>0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E67F2566-E0F5-4373-B867-D9CADE1AF049}"/>
            </a:ext>
          </a:extLst>
        </xdr:cNvPr>
        <xdr:cNvCxnSpPr>
          <a:cxnSpLocks/>
          <a:stCxn id="3" idx="3"/>
          <a:endCxn id="34" idx="2"/>
        </xdr:cNvCxnSpPr>
      </xdr:nvCxnSpPr>
      <xdr:spPr>
        <a:xfrm>
          <a:off x="4343400" y="2222500"/>
          <a:ext cx="1206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11</xdr:row>
      <xdr:rowOff>0</xdr:rowOff>
    </xdr:from>
    <xdr:to>
      <xdr:col>23</xdr:col>
      <xdr:colOff>0</xdr:colOff>
      <xdr:row>17</xdr:row>
      <xdr:rowOff>0</xdr:rowOff>
    </xdr:to>
    <xdr:cxnSp macro="">
      <xdr:nvCxnSpPr>
        <xdr:cNvPr id="27" name="直線矢印コネクタ 26">
          <a:extLst>
            <a:ext uri="{FF2B5EF4-FFF2-40B4-BE49-F238E27FC236}">
              <a16:creationId xmlns:a16="http://schemas.microsoft.com/office/drawing/2014/main" id="{CEA5C66E-2ADC-4769-B289-0C1137C60F2B}"/>
            </a:ext>
          </a:extLst>
        </xdr:cNvPr>
        <xdr:cNvCxnSpPr>
          <a:cxnSpLocks/>
          <a:stCxn id="4" idx="3"/>
          <a:endCxn id="34" idx="2"/>
        </xdr:cNvCxnSpPr>
      </xdr:nvCxnSpPr>
      <xdr:spPr>
        <a:xfrm flipV="1">
          <a:off x="4343400" y="2222500"/>
          <a:ext cx="1206500" cy="11430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11</xdr:row>
      <xdr:rowOff>0</xdr:rowOff>
    </xdr:from>
    <xdr:to>
      <xdr:col>23</xdr:col>
      <xdr:colOff>0</xdr:colOff>
      <xdr:row>23</xdr:row>
      <xdr:rowOff>0</xdr:rowOff>
    </xdr:to>
    <xdr:cxnSp macro="">
      <xdr:nvCxnSpPr>
        <xdr:cNvPr id="30" name="直線矢印コネクタ 26">
          <a:extLst>
            <a:ext uri="{FF2B5EF4-FFF2-40B4-BE49-F238E27FC236}">
              <a16:creationId xmlns:a16="http://schemas.microsoft.com/office/drawing/2014/main" id="{E229AD68-A709-4605-9F05-DBCBD43F84C4}"/>
            </a:ext>
          </a:extLst>
        </xdr:cNvPr>
        <xdr:cNvCxnSpPr>
          <a:cxnSpLocks/>
          <a:stCxn id="5" idx="3"/>
          <a:endCxn id="34" idx="2"/>
        </xdr:cNvCxnSpPr>
      </xdr:nvCxnSpPr>
      <xdr:spPr>
        <a:xfrm flipV="1">
          <a:off x="4343400" y="2222500"/>
          <a:ext cx="1206500" cy="22860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9</xdr:row>
      <xdr:rowOff>0</xdr:rowOff>
    </xdr:from>
    <xdr:to>
      <xdr:col>29</xdr:col>
      <xdr:colOff>0</xdr:colOff>
      <xdr:row>13</xdr:row>
      <xdr:rowOff>0</xdr:rowOff>
    </xdr:to>
    <xdr:sp macro="" textlink="">
      <xdr:nvSpPr>
        <xdr:cNvPr id="34" name="フローチャート: 磁気ディスク 33">
          <a:extLst>
            <a:ext uri="{FF2B5EF4-FFF2-40B4-BE49-F238E27FC236}">
              <a16:creationId xmlns:a16="http://schemas.microsoft.com/office/drawing/2014/main" id="{968FE723-1170-4DAD-A6C3-1AF1009BB323}"/>
            </a:ext>
          </a:extLst>
        </xdr:cNvPr>
        <xdr:cNvSpPr/>
      </xdr:nvSpPr>
      <xdr:spPr>
        <a:xfrm>
          <a:off x="5549900" y="1841500"/>
          <a:ext cx="14478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XXX_Charge_Log</a:t>
          </a:r>
        </a:p>
      </xdr:txBody>
    </xdr:sp>
    <xdr:clientData/>
  </xdr:twoCellAnchor>
  <xdr:twoCellAnchor>
    <xdr:from>
      <xdr:col>23</xdr:col>
      <xdr:colOff>0</xdr:colOff>
      <xdr:row>35</xdr:row>
      <xdr:rowOff>152400</xdr:rowOff>
    </xdr:from>
    <xdr:to>
      <xdr:col>29</xdr:col>
      <xdr:colOff>0</xdr:colOff>
      <xdr:row>39</xdr:row>
      <xdr:rowOff>152400</xdr:rowOff>
    </xdr:to>
    <xdr:sp macro="" textlink="">
      <xdr:nvSpPr>
        <xdr:cNvPr id="35" name="フローチャート: 磁気ディスク 34">
          <a:extLst>
            <a:ext uri="{FF2B5EF4-FFF2-40B4-BE49-F238E27FC236}">
              <a16:creationId xmlns:a16="http://schemas.microsoft.com/office/drawing/2014/main" id="{443699BE-739F-4C23-B474-05CB90AD28E2}"/>
            </a:ext>
          </a:extLst>
        </xdr:cNvPr>
        <xdr:cNvSpPr/>
      </xdr:nvSpPr>
      <xdr:spPr>
        <a:xfrm>
          <a:off x="5549900" y="6946900"/>
          <a:ext cx="14478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XXX_Charge_CHK</a:t>
          </a:r>
        </a:p>
      </xdr:txBody>
    </xdr:sp>
    <xdr:clientData/>
  </xdr:twoCellAnchor>
  <xdr:twoCellAnchor>
    <xdr:from>
      <xdr:col>37</xdr:col>
      <xdr:colOff>12700</xdr:colOff>
      <xdr:row>9</xdr:row>
      <xdr:rowOff>0</xdr:rowOff>
    </xdr:from>
    <xdr:to>
      <xdr:col>43</xdr:col>
      <xdr:colOff>12700</xdr:colOff>
      <xdr:row>13</xdr:row>
      <xdr:rowOff>0</xdr:rowOff>
    </xdr:to>
    <xdr:sp macro="" textlink="">
      <xdr:nvSpPr>
        <xdr:cNvPr id="40" name="フローチャート: 磁気ディスク 39">
          <a:extLst>
            <a:ext uri="{FF2B5EF4-FFF2-40B4-BE49-F238E27FC236}">
              <a16:creationId xmlns:a16="http://schemas.microsoft.com/office/drawing/2014/main" id="{1191DDE1-3F04-463E-9FE6-4CE3968603EE}"/>
            </a:ext>
          </a:extLst>
        </xdr:cNvPr>
        <xdr:cNvSpPr/>
      </xdr:nvSpPr>
      <xdr:spPr>
        <a:xfrm>
          <a:off x="8940800" y="1841500"/>
          <a:ext cx="14478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XXX_Charge_Log</a:t>
          </a:r>
        </a:p>
      </xdr:txBody>
    </xdr:sp>
    <xdr:clientData/>
  </xdr:twoCellAnchor>
  <xdr:twoCellAnchor>
    <xdr:from>
      <xdr:col>37</xdr:col>
      <xdr:colOff>0</xdr:colOff>
      <xdr:row>35</xdr:row>
      <xdr:rowOff>152400</xdr:rowOff>
    </xdr:from>
    <xdr:to>
      <xdr:col>43</xdr:col>
      <xdr:colOff>0</xdr:colOff>
      <xdr:row>39</xdr:row>
      <xdr:rowOff>152400</xdr:rowOff>
    </xdr:to>
    <xdr:sp macro="" textlink="">
      <xdr:nvSpPr>
        <xdr:cNvPr id="41" name="フローチャート: 磁気ディスク 40">
          <a:extLst>
            <a:ext uri="{FF2B5EF4-FFF2-40B4-BE49-F238E27FC236}">
              <a16:creationId xmlns:a16="http://schemas.microsoft.com/office/drawing/2014/main" id="{BFD9A69F-7148-43D8-B8D5-212D6F16F7C1}"/>
            </a:ext>
          </a:extLst>
        </xdr:cNvPr>
        <xdr:cNvSpPr/>
      </xdr:nvSpPr>
      <xdr:spPr>
        <a:xfrm>
          <a:off x="8928100" y="6946900"/>
          <a:ext cx="14478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XXX_Charge_CHK</a:t>
          </a:r>
        </a:p>
      </xdr:txBody>
    </xdr:sp>
    <xdr:clientData/>
  </xdr:twoCellAnchor>
  <xdr:twoCellAnchor>
    <xdr:from>
      <xdr:col>29</xdr:col>
      <xdr:colOff>0</xdr:colOff>
      <xdr:row>11</xdr:row>
      <xdr:rowOff>0</xdr:rowOff>
    </xdr:from>
    <xdr:to>
      <xdr:col>37</xdr:col>
      <xdr:colOff>12700</xdr:colOff>
      <xdr:row>11</xdr:row>
      <xdr:rowOff>0</xdr:rowOff>
    </xdr:to>
    <xdr:cxnSp macro="">
      <xdr:nvCxnSpPr>
        <xdr:cNvPr id="42" name="直線矢印コネクタ 41">
          <a:extLst>
            <a:ext uri="{FF2B5EF4-FFF2-40B4-BE49-F238E27FC236}">
              <a16:creationId xmlns:a16="http://schemas.microsoft.com/office/drawing/2014/main" id="{50CEC5D2-D304-41BE-8892-25DCFDC3FCE9}"/>
            </a:ext>
          </a:extLst>
        </xdr:cNvPr>
        <xdr:cNvCxnSpPr>
          <a:cxnSpLocks/>
          <a:stCxn id="34" idx="4"/>
          <a:endCxn id="40" idx="2"/>
        </xdr:cNvCxnSpPr>
      </xdr:nvCxnSpPr>
      <xdr:spPr>
        <a:xfrm>
          <a:off x="6997700" y="2222500"/>
          <a:ext cx="1943100" cy="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9</xdr:row>
      <xdr:rowOff>0</xdr:rowOff>
    </xdr:from>
    <xdr:to>
      <xdr:col>53</xdr:col>
      <xdr:colOff>0</xdr:colOff>
      <xdr:row>13</xdr:row>
      <xdr:rowOff>0</xdr:rowOff>
    </xdr:to>
    <xdr:sp macro="" textlink="">
      <xdr:nvSpPr>
        <xdr:cNvPr id="48" name="フローチャート: 磁気ディスク 47">
          <a:extLst>
            <a:ext uri="{FF2B5EF4-FFF2-40B4-BE49-F238E27FC236}">
              <a16:creationId xmlns:a16="http://schemas.microsoft.com/office/drawing/2014/main" id="{A4F6A97E-B758-4A4F-99D0-9D35DFCDFA7A}"/>
            </a:ext>
          </a:extLst>
        </xdr:cNvPr>
        <xdr:cNvSpPr/>
      </xdr:nvSpPr>
      <xdr:spPr>
        <a:xfrm>
          <a:off x="11341100" y="1841500"/>
          <a:ext cx="1447800" cy="762000"/>
        </a:xfrm>
        <a:prstGeom prst="flowChartMagneticDisk">
          <a:avLst/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charge_info</a:t>
          </a:r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43</xdr:col>
      <xdr:colOff>0</xdr:colOff>
      <xdr:row>11</xdr:row>
      <xdr:rowOff>0</xdr:rowOff>
    </xdr:from>
    <xdr:to>
      <xdr:col>47</xdr:col>
      <xdr:colOff>0</xdr:colOff>
      <xdr:row>37</xdr:row>
      <xdr:rowOff>152400</xdr:rowOff>
    </xdr:to>
    <xdr:cxnSp macro="">
      <xdr:nvCxnSpPr>
        <xdr:cNvPr id="49" name="直線矢印コネクタ 26">
          <a:extLst>
            <a:ext uri="{FF2B5EF4-FFF2-40B4-BE49-F238E27FC236}">
              <a16:creationId xmlns:a16="http://schemas.microsoft.com/office/drawing/2014/main" id="{6416DD1D-A3DB-4865-A2CF-89CF92B66BC9}"/>
            </a:ext>
          </a:extLst>
        </xdr:cNvPr>
        <xdr:cNvCxnSpPr>
          <a:cxnSpLocks/>
          <a:stCxn id="48" idx="2"/>
          <a:endCxn id="41" idx="4"/>
        </xdr:cNvCxnSpPr>
      </xdr:nvCxnSpPr>
      <xdr:spPr>
        <a:xfrm rot="10800000" flipV="1">
          <a:off x="10375900" y="2222500"/>
          <a:ext cx="965200" cy="51054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12700</xdr:colOff>
      <xdr:row>11</xdr:row>
      <xdr:rowOff>0</xdr:rowOff>
    </xdr:from>
    <xdr:to>
      <xdr:col>47</xdr:col>
      <xdr:colOff>0</xdr:colOff>
      <xdr:row>11</xdr:row>
      <xdr:rowOff>0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67075F73-61BD-4BE6-816D-93765D51E88C}"/>
            </a:ext>
          </a:extLst>
        </xdr:cNvPr>
        <xdr:cNvCxnSpPr>
          <a:cxnSpLocks/>
          <a:stCxn id="40" idx="4"/>
          <a:endCxn id="48" idx="2"/>
        </xdr:cNvCxnSpPr>
      </xdr:nvCxnSpPr>
      <xdr:spPr>
        <a:xfrm>
          <a:off x="10388600" y="2222500"/>
          <a:ext cx="952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14</xdr:row>
      <xdr:rowOff>0</xdr:rowOff>
    </xdr:from>
    <xdr:to>
      <xdr:col>43</xdr:col>
      <xdr:colOff>0</xdr:colOff>
      <xdr:row>18</xdr:row>
      <xdr:rowOff>0</xdr:rowOff>
    </xdr:to>
    <xdr:sp macro="" textlink="">
      <xdr:nvSpPr>
        <xdr:cNvPr id="59" name="吹き出し: 線 58">
          <a:extLst>
            <a:ext uri="{FF2B5EF4-FFF2-40B4-BE49-F238E27FC236}">
              <a16:creationId xmlns:a16="http://schemas.microsoft.com/office/drawing/2014/main" id="{96058B3B-37DB-4DC8-A8AF-A405946DEB69}"/>
            </a:ext>
          </a:extLst>
        </xdr:cNvPr>
        <xdr:cNvSpPr/>
      </xdr:nvSpPr>
      <xdr:spPr>
        <a:xfrm>
          <a:off x="6997700" y="2794000"/>
          <a:ext cx="3378200" cy="762000"/>
        </a:xfrm>
        <a:prstGeom prst="borderCallout1">
          <a:avLst>
            <a:gd name="adj1" fmla="val 75416"/>
            <a:gd name="adj2" fmla="val -565"/>
            <a:gd name="adj3" fmla="val -30834"/>
            <a:gd name="adj4" fmla="val -26435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補充・回収・チャージを行った時の入出金金額を記録する</a:t>
          </a:r>
        </a:p>
      </xdr:txBody>
    </xdr:sp>
    <xdr:clientData/>
  </xdr:twoCellAnchor>
  <xdr:twoCellAnchor>
    <xdr:from>
      <xdr:col>47</xdr:col>
      <xdr:colOff>0</xdr:colOff>
      <xdr:row>36</xdr:row>
      <xdr:rowOff>0</xdr:rowOff>
    </xdr:from>
    <xdr:to>
      <xdr:col>61</xdr:col>
      <xdr:colOff>0</xdr:colOff>
      <xdr:row>40</xdr:row>
      <xdr:rowOff>0</xdr:rowOff>
    </xdr:to>
    <xdr:sp macro="" textlink="">
      <xdr:nvSpPr>
        <xdr:cNvPr id="60" name="吹き出し: 線 59">
          <a:extLst>
            <a:ext uri="{FF2B5EF4-FFF2-40B4-BE49-F238E27FC236}">
              <a16:creationId xmlns:a16="http://schemas.microsoft.com/office/drawing/2014/main" id="{48F82447-D74D-42D4-AFCE-971EDF53DA52}"/>
            </a:ext>
          </a:extLst>
        </xdr:cNvPr>
        <xdr:cNvSpPr/>
      </xdr:nvSpPr>
      <xdr:spPr>
        <a:xfrm>
          <a:off x="11341100" y="6985000"/>
          <a:ext cx="3378200" cy="762000"/>
        </a:xfrm>
        <a:prstGeom prst="borderCallout1">
          <a:avLst>
            <a:gd name="adj1" fmla="val 75416"/>
            <a:gd name="adj2" fmla="val -565"/>
            <a:gd name="adj3" fmla="val 62500"/>
            <a:gd name="adj4" fmla="val -30571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記録された入出金金額をもとに、点検レシートのデータを取得し、点検実施フラグを立てる。</a:t>
          </a:r>
        </a:p>
      </xdr:txBody>
    </xdr:sp>
    <xdr:clientData/>
  </xdr:twoCellAnchor>
  <xdr:twoCellAnchor>
    <xdr:from>
      <xdr:col>23</xdr:col>
      <xdr:colOff>0</xdr:colOff>
      <xdr:row>45</xdr:row>
      <xdr:rowOff>88900</xdr:rowOff>
    </xdr:from>
    <xdr:to>
      <xdr:col>29</xdr:col>
      <xdr:colOff>0</xdr:colOff>
      <xdr:row>49</xdr:row>
      <xdr:rowOff>88900</xdr:rowOff>
    </xdr:to>
    <xdr:sp macro="" textlink="">
      <xdr:nvSpPr>
        <xdr:cNvPr id="61" name="フローチャート: 磁気ディスク 60">
          <a:extLst>
            <a:ext uri="{FF2B5EF4-FFF2-40B4-BE49-F238E27FC236}">
              <a16:creationId xmlns:a16="http://schemas.microsoft.com/office/drawing/2014/main" id="{83A37A2D-0882-4F44-9BA8-1E934BED9E2F}"/>
            </a:ext>
          </a:extLst>
        </xdr:cNvPr>
        <xdr:cNvSpPr/>
      </xdr:nvSpPr>
      <xdr:spPr>
        <a:xfrm>
          <a:off x="5549900" y="8788400"/>
          <a:ext cx="14478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XXX_Charge_CHK_finish</a:t>
          </a:r>
        </a:p>
      </xdr:txBody>
    </xdr:sp>
    <xdr:clientData/>
  </xdr:twoCellAnchor>
  <xdr:twoCellAnchor>
    <xdr:from>
      <xdr:col>18</xdr:col>
      <xdr:colOff>0</xdr:colOff>
      <xdr:row>37</xdr:row>
      <xdr:rowOff>152400</xdr:rowOff>
    </xdr:from>
    <xdr:to>
      <xdr:col>23</xdr:col>
      <xdr:colOff>0</xdr:colOff>
      <xdr:row>37</xdr:row>
      <xdr:rowOff>152400</xdr:rowOff>
    </xdr:to>
    <xdr:cxnSp macro="">
      <xdr:nvCxnSpPr>
        <xdr:cNvPr id="62" name="直線矢印コネクタ 61">
          <a:extLst>
            <a:ext uri="{FF2B5EF4-FFF2-40B4-BE49-F238E27FC236}">
              <a16:creationId xmlns:a16="http://schemas.microsoft.com/office/drawing/2014/main" id="{558BE920-65FF-4D7B-8CE7-76C66F46661D}"/>
            </a:ext>
          </a:extLst>
        </xdr:cNvPr>
        <xdr:cNvCxnSpPr>
          <a:cxnSpLocks/>
          <a:stCxn id="35" idx="2"/>
          <a:endCxn id="6" idx="3"/>
        </xdr:cNvCxnSpPr>
      </xdr:nvCxnSpPr>
      <xdr:spPr>
        <a:xfrm flipH="1">
          <a:off x="4343400" y="7327900"/>
          <a:ext cx="12065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0</xdr:colOff>
      <xdr:row>37</xdr:row>
      <xdr:rowOff>152400</xdr:rowOff>
    </xdr:from>
    <xdr:to>
      <xdr:col>37</xdr:col>
      <xdr:colOff>0</xdr:colOff>
      <xdr:row>37</xdr:row>
      <xdr:rowOff>152400</xdr:rowOff>
    </xdr:to>
    <xdr:cxnSp macro="">
      <xdr:nvCxnSpPr>
        <xdr:cNvPr id="70" name="直線矢印コネクタ 69">
          <a:extLst>
            <a:ext uri="{FF2B5EF4-FFF2-40B4-BE49-F238E27FC236}">
              <a16:creationId xmlns:a16="http://schemas.microsoft.com/office/drawing/2014/main" id="{5F8C5574-CDFA-43B8-AB86-3423F353AC16}"/>
            </a:ext>
          </a:extLst>
        </xdr:cNvPr>
        <xdr:cNvCxnSpPr>
          <a:cxnSpLocks/>
          <a:stCxn id="41" idx="2"/>
          <a:endCxn id="35" idx="4"/>
        </xdr:cNvCxnSpPr>
      </xdr:nvCxnSpPr>
      <xdr:spPr>
        <a:xfrm flipH="1">
          <a:off x="6997700" y="7327900"/>
          <a:ext cx="1930400" cy="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37</xdr:row>
      <xdr:rowOff>152400</xdr:rowOff>
    </xdr:from>
    <xdr:to>
      <xdr:col>23</xdr:col>
      <xdr:colOff>0</xdr:colOff>
      <xdr:row>47</xdr:row>
      <xdr:rowOff>88900</xdr:rowOff>
    </xdr:to>
    <xdr:cxnSp macro="">
      <xdr:nvCxnSpPr>
        <xdr:cNvPr id="73" name="直線矢印コネクタ 26">
          <a:extLst>
            <a:ext uri="{FF2B5EF4-FFF2-40B4-BE49-F238E27FC236}">
              <a16:creationId xmlns:a16="http://schemas.microsoft.com/office/drawing/2014/main" id="{D09EEBDD-DFB8-47F1-9A26-AD3A022F5EFB}"/>
            </a:ext>
          </a:extLst>
        </xdr:cNvPr>
        <xdr:cNvCxnSpPr>
          <a:cxnSpLocks/>
          <a:stCxn id="6" idx="3"/>
          <a:endCxn id="61" idx="2"/>
        </xdr:cNvCxnSpPr>
      </xdr:nvCxnSpPr>
      <xdr:spPr>
        <a:xfrm>
          <a:off x="4343400" y="7327900"/>
          <a:ext cx="1206500" cy="18415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37</xdr:col>
      <xdr:colOff>0</xdr:colOff>
      <xdr:row>45</xdr:row>
      <xdr:rowOff>88900</xdr:rowOff>
    </xdr:from>
    <xdr:to>
      <xdr:col>43</xdr:col>
      <xdr:colOff>0</xdr:colOff>
      <xdr:row>49</xdr:row>
      <xdr:rowOff>88900</xdr:rowOff>
    </xdr:to>
    <xdr:sp macro="" textlink="">
      <xdr:nvSpPr>
        <xdr:cNvPr id="76" name="フローチャート: 磁気ディスク 75">
          <a:extLst>
            <a:ext uri="{FF2B5EF4-FFF2-40B4-BE49-F238E27FC236}">
              <a16:creationId xmlns:a16="http://schemas.microsoft.com/office/drawing/2014/main" id="{CCA990E5-8B5B-42AE-87AF-4700B5BE0CB2}"/>
            </a:ext>
          </a:extLst>
        </xdr:cNvPr>
        <xdr:cNvSpPr/>
      </xdr:nvSpPr>
      <xdr:spPr>
        <a:xfrm>
          <a:off x="8928100" y="8788400"/>
          <a:ext cx="14478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XXX_Charge_CHK_finish</a:t>
          </a:r>
        </a:p>
      </xdr:txBody>
    </xdr:sp>
    <xdr:clientData/>
  </xdr:twoCellAnchor>
  <xdr:twoCellAnchor>
    <xdr:from>
      <xdr:col>29</xdr:col>
      <xdr:colOff>0</xdr:colOff>
      <xdr:row>47</xdr:row>
      <xdr:rowOff>88900</xdr:rowOff>
    </xdr:from>
    <xdr:to>
      <xdr:col>37</xdr:col>
      <xdr:colOff>0</xdr:colOff>
      <xdr:row>47</xdr:row>
      <xdr:rowOff>88900</xdr:rowOff>
    </xdr:to>
    <xdr:cxnSp macro="">
      <xdr:nvCxnSpPr>
        <xdr:cNvPr id="77" name="直線矢印コネクタ 76">
          <a:extLst>
            <a:ext uri="{FF2B5EF4-FFF2-40B4-BE49-F238E27FC236}">
              <a16:creationId xmlns:a16="http://schemas.microsoft.com/office/drawing/2014/main" id="{64457781-F794-4CF3-BF00-835B1995A462}"/>
            </a:ext>
          </a:extLst>
        </xdr:cNvPr>
        <xdr:cNvCxnSpPr>
          <a:cxnSpLocks/>
          <a:stCxn id="61" idx="4"/>
          <a:endCxn id="76" idx="2"/>
        </xdr:cNvCxnSpPr>
      </xdr:nvCxnSpPr>
      <xdr:spPr>
        <a:xfrm>
          <a:off x="6997700" y="9169400"/>
          <a:ext cx="1930400" cy="0"/>
        </a:xfrm>
        <a:prstGeom prst="straightConnector1">
          <a:avLst/>
        </a:prstGeom>
        <a:ln>
          <a:prstDash val="dash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11</xdr:row>
      <xdr:rowOff>0</xdr:rowOff>
    </xdr:from>
    <xdr:to>
      <xdr:col>47</xdr:col>
      <xdr:colOff>0</xdr:colOff>
      <xdr:row>47</xdr:row>
      <xdr:rowOff>88900</xdr:rowOff>
    </xdr:to>
    <xdr:cxnSp macro="">
      <xdr:nvCxnSpPr>
        <xdr:cNvPr id="80" name="直線矢印コネクタ 26">
          <a:extLst>
            <a:ext uri="{FF2B5EF4-FFF2-40B4-BE49-F238E27FC236}">
              <a16:creationId xmlns:a16="http://schemas.microsoft.com/office/drawing/2014/main" id="{FCAA3318-7766-4379-BCA9-C74DA5C56382}"/>
            </a:ext>
          </a:extLst>
        </xdr:cNvPr>
        <xdr:cNvCxnSpPr>
          <a:cxnSpLocks/>
          <a:stCxn id="76" idx="4"/>
          <a:endCxn id="48" idx="2"/>
        </xdr:cNvCxnSpPr>
      </xdr:nvCxnSpPr>
      <xdr:spPr>
        <a:xfrm flipV="1">
          <a:off x="10375900" y="2222500"/>
          <a:ext cx="965200" cy="694690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0</xdr:colOff>
      <xdr:row>41</xdr:row>
      <xdr:rowOff>0</xdr:rowOff>
    </xdr:from>
    <xdr:to>
      <xdr:col>29</xdr:col>
      <xdr:colOff>0</xdr:colOff>
      <xdr:row>45</xdr:row>
      <xdr:rowOff>0</xdr:rowOff>
    </xdr:to>
    <xdr:sp macro="" textlink="">
      <xdr:nvSpPr>
        <xdr:cNvPr id="86" name="フローチャート: 磁気ディスク 85">
          <a:extLst>
            <a:ext uri="{FF2B5EF4-FFF2-40B4-BE49-F238E27FC236}">
              <a16:creationId xmlns:a16="http://schemas.microsoft.com/office/drawing/2014/main" id="{909CB5B8-F1F3-44F2-9673-1E19201A2675}"/>
            </a:ext>
          </a:extLst>
        </xdr:cNvPr>
        <xdr:cNvSpPr/>
      </xdr:nvSpPr>
      <xdr:spPr>
        <a:xfrm>
          <a:off x="5549900" y="7937500"/>
          <a:ext cx="14478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XXX_Charge_journal</a:t>
          </a:r>
        </a:p>
      </xdr:txBody>
    </xdr:sp>
    <xdr:clientData/>
  </xdr:twoCellAnchor>
  <xdr:twoCellAnchor>
    <xdr:from>
      <xdr:col>37</xdr:col>
      <xdr:colOff>0</xdr:colOff>
      <xdr:row>41</xdr:row>
      <xdr:rowOff>0</xdr:rowOff>
    </xdr:from>
    <xdr:to>
      <xdr:col>43</xdr:col>
      <xdr:colOff>0</xdr:colOff>
      <xdr:row>45</xdr:row>
      <xdr:rowOff>0</xdr:rowOff>
    </xdr:to>
    <xdr:sp macro="" textlink="">
      <xdr:nvSpPr>
        <xdr:cNvPr id="87" name="フローチャート: 磁気ディスク 86">
          <a:extLst>
            <a:ext uri="{FF2B5EF4-FFF2-40B4-BE49-F238E27FC236}">
              <a16:creationId xmlns:a16="http://schemas.microsoft.com/office/drawing/2014/main" id="{CF0FB9FF-B2BA-4A40-B8F9-BC41E4C9BF65}"/>
            </a:ext>
          </a:extLst>
        </xdr:cNvPr>
        <xdr:cNvSpPr/>
      </xdr:nvSpPr>
      <xdr:spPr>
        <a:xfrm>
          <a:off x="8928100" y="7937500"/>
          <a:ext cx="1447800" cy="762000"/>
        </a:xfrm>
        <a:prstGeom prst="flowChartMagneticDisk">
          <a:avLst/>
        </a:prstGeom>
        <a:solidFill>
          <a:schemeClr val="bg2">
            <a:lumMod val="9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none" lIns="36000" tIns="0" rIns="36000" bIns="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>
            <a:lnSpc>
              <a:spcPts val="1320"/>
            </a:lnSpc>
          </a:pP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XXX_Charge_journal</a:t>
          </a:r>
        </a:p>
      </xdr:txBody>
    </xdr:sp>
    <xdr:clientData/>
  </xdr:twoCellAnchor>
  <xdr:twoCellAnchor>
    <xdr:from>
      <xdr:col>18</xdr:col>
      <xdr:colOff>0</xdr:colOff>
      <xdr:row>37</xdr:row>
      <xdr:rowOff>152400</xdr:rowOff>
    </xdr:from>
    <xdr:to>
      <xdr:col>23</xdr:col>
      <xdr:colOff>0</xdr:colOff>
      <xdr:row>43</xdr:row>
      <xdr:rowOff>0</xdr:rowOff>
    </xdr:to>
    <xdr:cxnSp macro="">
      <xdr:nvCxnSpPr>
        <xdr:cNvPr id="88" name="直線矢印コネクタ 26">
          <a:extLst>
            <a:ext uri="{FF2B5EF4-FFF2-40B4-BE49-F238E27FC236}">
              <a16:creationId xmlns:a16="http://schemas.microsoft.com/office/drawing/2014/main" id="{A86B557F-6813-4621-90EE-2BD47724756A}"/>
            </a:ext>
          </a:extLst>
        </xdr:cNvPr>
        <xdr:cNvCxnSpPr>
          <a:cxnSpLocks/>
          <a:stCxn id="6" idx="3"/>
          <a:endCxn id="86" idx="2"/>
        </xdr:cNvCxnSpPr>
      </xdr:nvCxnSpPr>
      <xdr:spPr>
        <a:xfrm>
          <a:off x="4343400" y="7327900"/>
          <a:ext cx="1206500" cy="990600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43</xdr:col>
      <xdr:colOff>0</xdr:colOff>
      <xdr:row>11</xdr:row>
      <xdr:rowOff>0</xdr:rowOff>
    </xdr:from>
    <xdr:to>
      <xdr:col>47</xdr:col>
      <xdr:colOff>0</xdr:colOff>
      <xdr:row>43</xdr:row>
      <xdr:rowOff>0</xdr:rowOff>
    </xdr:to>
    <xdr:cxnSp macro="">
      <xdr:nvCxnSpPr>
        <xdr:cNvPr id="93" name="直線矢印コネクタ 26">
          <a:extLst>
            <a:ext uri="{FF2B5EF4-FFF2-40B4-BE49-F238E27FC236}">
              <a16:creationId xmlns:a16="http://schemas.microsoft.com/office/drawing/2014/main" id="{382D231D-8E79-48EA-88B2-8EACEABB7BAA}"/>
            </a:ext>
          </a:extLst>
        </xdr:cNvPr>
        <xdr:cNvCxnSpPr>
          <a:cxnSpLocks/>
          <a:stCxn id="87" idx="4"/>
          <a:endCxn id="48" idx="2"/>
        </xdr:cNvCxnSpPr>
      </xdr:nvCxnSpPr>
      <xdr:spPr>
        <a:xfrm flipV="1">
          <a:off x="10375900" y="2222500"/>
          <a:ext cx="965200" cy="6096000"/>
        </a:xfrm>
        <a:prstGeom prst="bentConnector3">
          <a:avLst>
            <a:gd name="adj1" fmla="val 50000"/>
          </a:avLst>
        </a:prstGeom>
        <a:ln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41</xdr:row>
      <xdr:rowOff>0</xdr:rowOff>
    </xdr:from>
    <xdr:to>
      <xdr:col>61</xdr:col>
      <xdr:colOff>0</xdr:colOff>
      <xdr:row>45</xdr:row>
      <xdr:rowOff>0</xdr:rowOff>
    </xdr:to>
    <xdr:sp macro="" textlink="">
      <xdr:nvSpPr>
        <xdr:cNvPr id="96" name="吹き出し: 線 95">
          <a:extLst>
            <a:ext uri="{FF2B5EF4-FFF2-40B4-BE49-F238E27FC236}">
              <a16:creationId xmlns:a16="http://schemas.microsoft.com/office/drawing/2014/main" id="{154B7AB1-93A8-48D8-A83C-C6719594B90C}"/>
            </a:ext>
          </a:extLst>
        </xdr:cNvPr>
        <xdr:cNvSpPr/>
      </xdr:nvSpPr>
      <xdr:spPr>
        <a:xfrm>
          <a:off x="11341100" y="7937500"/>
          <a:ext cx="3378200" cy="762000"/>
        </a:xfrm>
        <a:prstGeom prst="borderCallout1">
          <a:avLst>
            <a:gd name="adj1" fmla="val 75416"/>
            <a:gd name="adj2" fmla="val -565"/>
            <a:gd name="adj3" fmla="val 62500"/>
            <a:gd name="adj4" fmla="val -30571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釣銭機在高、その他金額、過不足の値を投げて、レシートジャーナル情報を取得し印刷</a:t>
          </a:r>
        </a:p>
      </xdr:txBody>
    </xdr:sp>
    <xdr:clientData/>
  </xdr:twoCellAnchor>
  <xdr:twoCellAnchor>
    <xdr:from>
      <xdr:col>29</xdr:col>
      <xdr:colOff>0</xdr:colOff>
      <xdr:row>43</xdr:row>
      <xdr:rowOff>0</xdr:rowOff>
    </xdr:from>
    <xdr:to>
      <xdr:col>37</xdr:col>
      <xdr:colOff>0</xdr:colOff>
      <xdr:row>43</xdr:row>
      <xdr:rowOff>0</xdr:rowOff>
    </xdr:to>
    <xdr:cxnSp macro="">
      <xdr:nvCxnSpPr>
        <xdr:cNvPr id="97" name="直線矢印コネクタ 96">
          <a:extLst>
            <a:ext uri="{FF2B5EF4-FFF2-40B4-BE49-F238E27FC236}">
              <a16:creationId xmlns:a16="http://schemas.microsoft.com/office/drawing/2014/main" id="{4B367804-99B2-4710-B7DE-66A6EA21FA3E}"/>
            </a:ext>
          </a:extLst>
        </xdr:cNvPr>
        <xdr:cNvCxnSpPr>
          <a:cxnSpLocks/>
          <a:stCxn id="86" idx="4"/>
          <a:endCxn id="87" idx="2"/>
        </xdr:cNvCxnSpPr>
      </xdr:nvCxnSpPr>
      <xdr:spPr>
        <a:xfrm>
          <a:off x="6997700" y="8318500"/>
          <a:ext cx="1930400" cy="0"/>
        </a:xfrm>
        <a:prstGeom prst="straightConnector1">
          <a:avLst/>
        </a:prstGeom>
        <a:ln>
          <a:prstDash val="dash"/>
          <a:headEnd type="triangle"/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47</xdr:col>
      <xdr:colOff>0</xdr:colOff>
      <xdr:row>46</xdr:row>
      <xdr:rowOff>0</xdr:rowOff>
    </xdr:from>
    <xdr:to>
      <xdr:col>61</xdr:col>
      <xdr:colOff>0</xdr:colOff>
      <xdr:row>50</xdr:row>
      <xdr:rowOff>0</xdr:rowOff>
    </xdr:to>
    <xdr:sp macro="" textlink="">
      <xdr:nvSpPr>
        <xdr:cNvPr id="100" name="吹き出し: 線 99">
          <a:extLst>
            <a:ext uri="{FF2B5EF4-FFF2-40B4-BE49-F238E27FC236}">
              <a16:creationId xmlns:a16="http://schemas.microsoft.com/office/drawing/2014/main" id="{5CA26D49-6FA2-4976-82F2-1469CA7E70BD}"/>
            </a:ext>
          </a:extLst>
        </xdr:cNvPr>
        <xdr:cNvSpPr/>
      </xdr:nvSpPr>
      <xdr:spPr>
        <a:xfrm>
          <a:off x="11341100" y="8890000"/>
          <a:ext cx="3378200" cy="762000"/>
        </a:xfrm>
        <a:prstGeom prst="borderCallout1">
          <a:avLst>
            <a:gd name="adj1" fmla="val 75416"/>
            <a:gd name="adj2" fmla="val -565"/>
            <a:gd name="adj3" fmla="val 62500"/>
            <a:gd name="adj4" fmla="val -30571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印刷が完了したのを待って「点検日次」を更新</a:t>
          </a:r>
          <a:b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レシート番号を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つ進める。</a:t>
          </a:r>
          <a:b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※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ただし、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99999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より大きい場合は、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90000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にする。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46</xdr:row>
      <xdr:rowOff>0</xdr:rowOff>
    </xdr:from>
    <xdr:to>
      <xdr:col>38</xdr:col>
      <xdr:colOff>0</xdr:colOff>
      <xdr:row>50</xdr:row>
      <xdr:rowOff>0</xdr:rowOff>
    </xdr:to>
    <xdr:sp macro="" textlink="">
      <xdr:nvSpPr>
        <xdr:cNvPr id="2" name="吹き出し: 線 1">
          <a:extLst>
            <a:ext uri="{FF2B5EF4-FFF2-40B4-BE49-F238E27FC236}">
              <a16:creationId xmlns:a16="http://schemas.microsoft.com/office/drawing/2014/main" id="{F42E619C-451D-4481-9960-353F88CFAAE4}"/>
            </a:ext>
          </a:extLst>
        </xdr:cNvPr>
        <xdr:cNvSpPr/>
      </xdr:nvSpPr>
      <xdr:spPr>
        <a:xfrm>
          <a:off x="5791200" y="7556500"/>
          <a:ext cx="3378200" cy="762000"/>
        </a:xfrm>
        <a:prstGeom prst="borderCallout1">
          <a:avLst>
            <a:gd name="adj1" fmla="val 75416"/>
            <a:gd name="adj2" fmla="val -565"/>
            <a:gd name="adj3" fmla="val 77499"/>
            <a:gd name="adj4" fmla="val -15533"/>
          </a:avLst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30000">
              <a:schemeClr val="bg1"/>
            </a:gs>
            <a:gs pos="70000">
              <a:schemeClr val="bg1"/>
            </a:gs>
            <a:gs pos="100000">
              <a:schemeClr val="accent1">
                <a:lumMod val="20000"/>
                <a:lumOff val="80000"/>
              </a:schemeClr>
            </a:gs>
          </a:gsLst>
          <a:lin ang="5400000" scaled="1"/>
        </a:gradFill>
        <a:ln>
          <a:solidFill>
            <a:schemeClr val="accent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overflow" horzOverflow="overflow" vert="horz" wrap="square" lIns="36000" tIns="0" rIns="36000" bIns="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l"/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賞味期限切れのデータを簡単に削除するため。</a:t>
          </a:r>
          <a:b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初期 </a:t>
          </a:r>
          <a:r>
            <a:rPr kumimoji="1" lang="en-US" altLang="ja-JP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2030</a:t>
          </a:r>
          <a:r>
            <a:rPr kumimoji="1" lang="ja-JP" altLang="en-US" sz="11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年まで作成</a:t>
          </a:r>
          <a:endParaRPr kumimoji="1" lang="en-US" altLang="ja-JP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l"/>
          <a:endParaRPr kumimoji="1" lang="ja-JP" altLang="en-US" sz="11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203200</xdr:colOff>
      <xdr:row>36</xdr:row>
      <xdr:rowOff>177800</xdr:rowOff>
    </xdr:from>
    <xdr:to>
      <xdr:col>65</xdr:col>
      <xdr:colOff>127000</xdr:colOff>
      <xdr:row>68</xdr:row>
      <xdr:rowOff>38100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32B11CB6-193E-2E2C-EDB3-B719CE62B034}"/>
            </a:ext>
          </a:extLst>
        </xdr:cNvPr>
        <xdr:cNvSpPr txBox="1"/>
      </xdr:nvSpPr>
      <xdr:spPr>
        <a:xfrm>
          <a:off x="10337800" y="7162800"/>
          <a:ext cx="6515100" cy="6172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CREATE TABLE `charge_info` (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 `RECORD_ID` bigint NOT NULL AUTO_INCREMENT COMMENT '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レコード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ID',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 `RECORD_CREATE_DATE` date NOT NULL COMMENT '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レコード作成日付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 `RECORD_CREATE_TIME` time NOT NULL,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 `RECORD_UPDATE_DATE` date NOT NULL COMMENT '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レコード更新日付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トリガーにより更新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 `RECORD_UPDATE_TIME` time NOT NULL,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 `RECORD_VOID_FLAG` varchar(255) NOT NULL DEFAULT '0' COMMENT '0: 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有効フラグ、 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1: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無効フラグ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 `CompanyCode` varchar(10) NOT NULL COMMENT '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企業コード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 `StoreCode` varchar(10) NOT NULL COMMENT '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店舗コード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 `InstoreCode` varchar(10) NOT NULL COMMENT '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レジ番号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 `RecordDatetime` int NOT NULL COMMENT '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操作日時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 `ReceiptNo` varchar(10) NOT NULL COMMENT '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レシート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NO',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 `Class` int NOT NULL COMMENT '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区分 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1:2_8_4(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補充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) 2:2_8_5(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回収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) 3:4_0(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チャージ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)',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 `Amount` int NOT NULL DEFAULT '0' COMMENT '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入出金金額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 `InspectionDatetime` timestamp NULL DEFAULT NULL COMMENT '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点検日時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 PRIMARY KEY (`CompanyCode`,`StoreCode`,`InstoreCode`,`RecordDatetime`,`ReceiptNo`,`Class`) USING BTREE,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 KEY `RECORD_ID` (`RECORD_ID`) USING BTREE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) ENGINE=InnoDB DEFAULT CHARSET=utf8mb4 COLLATE=utf8mb4_0900_ai_ci COMMENT='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チャージ機点検情報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'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PARTITION BY RANGE (`RecordDatetime`)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(PARTITION p2023 VALUES LESS THAN (20240101) ENGINE = InnoDB,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PARTITION p2024 VALUES LESS THAN (20250101) ENGINE = InnoDB,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PARTITION p2025 VALUES LESS THAN (20260101) ENGINE = InnoDB,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PARTITION p2026 VALUES LESS THAN (20270101) ENGINE = InnoDB,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PARTITION p2027 VALUES LESS THAN (20280101) ENGINE = InnoDB,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PARTITION p2028 VALUES LESS THAN (20290101) ENGINE = InnoDB,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PARTITION p2029 VALUES LESS THAN (20300101) ENGINE = InnoDB,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PARTITION p2030 VALUES LESS THAN (20310101) ENGINE = InnoDB) ;</a:t>
          </a:r>
        </a:p>
        <a:p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CREATE TRIGGER `charge_info_CR_Date_Time` BEFORE INSERT ON `charge_info` FOR EACH ROW SET NEW.record_create_date = CURRENT_DATE, NEW.record_create_time = CURRENT_TIME, NEW.record_update_date = CURRENT_DATE, NEW.record_update_time = CURRENT_TIME;</a:t>
          </a:r>
        </a:p>
        <a:p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CREATE TRIGGER `charge_info_UP_Date_Time` BEFORE UPDATE ON `charge_info` FOR EACH ROW SET NEW.record_update_date = CURRENT_DATE, NEW.record_update_time = CURRENT_TIME;</a:t>
          </a:r>
          <a:endParaRPr kumimoji="1" lang="ja-JP" altLang="en-US" sz="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203200</xdr:colOff>
      <xdr:row>32</xdr:row>
      <xdr:rowOff>177800</xdr:rowOff>
    </xdr:from>
    <xdr:to>
      <xdr:col>65</xdr:col>
      <xdr:colOff>127000</xdr:colOff>
      <xdr:row>64</xdr:row>
      <xdr:rowOff>38100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CD969644-8137-415B-836B-D55DA66824F4}"/>
            </a:ext>
          </a:extLst>
        </xdr:cNvPr>
        <xdr:cNvSpPr txBox="1"/>
      </xdr:nvSpPr>
      <xdr:spPr>
        <a:xfrm>
          <a:off x="10204450" y="7150100"/>
          <a:ext cx="6448425" cy="61182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CREATE TABLE `charge_receipt_no` (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`RECORD_ID` BIGINT NOT NULL AUTO_INCREMENT COMMENT '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レコード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ID',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`RECORD_CREATE_DATE` date NOT NULL COMMENT '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レコード作成日付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`RECORD_CREATE_TIME` time NOT NULL,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`RECORD_UPDATE_DATE` date NOT NULL COMMENT '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レコード更新日付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/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トリガーにより更新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`RECORD_UPDATE_TIME` time NOT NULL,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`RECORD_VOID_FLAG` VARCHAR ( 255 ) CHARACTER 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SET utf8mb4 COLLATE utf8mb4_0900_ai_ci NOT NULL DEFAULT '0' COMMENT '0: 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有効フラグ、 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1: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無効フラグ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`CompanyCode` VARCHAR ( 10 ) CHARACTER 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SET utf8mb4 COLLATE utf8mb4_0900_ai_ci NOT NULL COMMENT '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企業コード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`StoreCode` VARCHAR ( 10 ) CHARACTER 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SET utf8mb4 COLLATE utf8mb4_0900_ai_ci NOT NULL COMMENT '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店舗コード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`InstoreCode` VARCHAR ( 10 ) CHARACTER 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SET utf8mb4 COLLATE utf8mb4_0900_ai_ci NOT NULL COMMENT '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レジ番号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`ReceiptNo` VARCHAR ( 10 ) CHARACTER 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SET utf8mb4 COLLATE utf8mb4_0900_ai_ci DEFAULT NULL COMMENT '</a:t>
          </a:r>
          <a:r>
            <a:rPr kumimoji="1" lang="ja-JP" altLang="en-US" sz="800">
              <a:latin typeface="Meiryo UI" panose="020B0604030504040204" pitchFamily="50" charset="-128"/>
              <a:ea typeface="Meiryo UI" panose="020B0604030504040204" pitchFamily="50" charset="-128"/>
            </a:rPr>
            <a:t>レシート</a:t>
          </a:r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NO',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PRIMARY KEY ( `CompanyCode`, `StoreCode`, `InstoreCode` ) USING BTREE,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 KEY `RECORD_ID` ( `RECORD_ID` ) USING BTREE 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) ENGINE = INNODB DEFAULT CHARSET = utf8mb4 COLLATE = utf8mb4_0900_ai_ci;</a:t>
          </a:r>
        </a:p>
        <a:p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CREATE DEFINER = `posuser` @`%` TRIGGER `charge_receipt_no_UP_Date_Time` BEFORE UPDATE ON `charge_receipt_no` FOR EACH ROW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SET NEW.record_update_date = CURRENT_DATE,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NEW.record_update_time = CURRENT_TIME;</a:t>
          </a:r>
        </a:p>
        <a:p>
          <a:endParaRPr kumimoji="1" lang="en-US" altLang="ja-JP" sz="8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CREATE DEFINER = `posuser` @`%` TRIGGER `charge_receipt_no_CR_Date_Time` BEFORE INSERT ON `charge_receipt_no` FOR EACH ROW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SET NEW.record_create_date = CURRENT_DATE,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NEW.record_create_time = CURRENT_TIME,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NEW.record_update_date = CURRENT_DATE,</a:t>
          </a:r>
        </a:p>
        <a:p>
          <a:r>
            <a:rPr kumimoji="1" lang="en-US" altLang="ja-JP" sz="800">
              <a:latin typeface="Meiryo UI" panose="020B0604030504040204" pitchFamily="50" charset="-128"/>
              <a:ea typeface="Meiryo UI" panose="020B0604030504040204" pitchFamily="50" charset="-128"/>
            </a:rPr>
            <a:t>NEW.record_update_time = CURRENT_TIME;</a:t>
          </a:r>
          <a:endParaRPr kumimoji="1" lang="ja-JP" altLang="en-US" sz="8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76200</xdr:colOff>
      <xdr:row>18</xdr:row>
      <xdr:rowOff>127000</xdr:rowOff>
    </xdr:from>
    <xdr:to>
      <xdr:col>40</xdr:col>
      <xdr:colOff>101600</xdr:colOff>
      <xdr:row>41</xdr:row>
      <xdr:rowOff>190500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D81BAE76-0551-5BD6-9509-7E7D736CE95A}"/>
            </a:ext>
          </a:extLst>
        </xdr:cNvPr>
        <xdr:cNvSpPr txBox="1"/>
      </xdr:nvSpPr>
      <xdr:spPr>
        <a:xfrm>
          <a:off x="3937000" y="3683000"/>
          <a:ext cx="5816600" cy="4813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※5000</a:t>
          </a:r>
          <a:r>
            <a:rPr kumimoji="1" lang="ja-JP" altLang="en-US" sz="1050">
              <a:latin typeface="Meiryo UI" panose="020B0604030504040204" pitchFamily="50" charset="-128"/>
              <a:ea typeface="Meiryo UI" panose="020B0604030504040204" pitchFamily="50" charset="-128"/>
            </a:rPr>
            <a:t>円補充したときのサンプル</a:t>
          </a:r>
          <a:b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</a:br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INSERT INTO `pos_charge`.`charge_info` 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(`record_datetime`,`CompanyCode`,`StoreCode`,`InstoreCode`,`receipt_no`,`Class`,`amount` )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VALUES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(20230815,'200','02701','6201','1234',1,5000)</a:t>
          </a:r>
        </a:p>
        <a:p>
          <a:endParaRPr kumimoji="1" lang="en-US" altLang="ja-JP" sz="105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en-US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※3000</a:t>
          </a:r>
          <a:r>
            <a:rPr kumimoji="1" lang="ja-JP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円</a:t>
          </a:r>
          <a:r>
            <a:rPr kumimoji="1" lang="ja-JP" altLang="en-US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回収</a:t>
          </a:r>
          <a:r>
            <a:rPr kumimoji="1" lang="ja-JP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したときのサンプル</a:t>
          </a:r>
          <a:br>
            <a:rPr kumimoji="1" lang="en-US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en-US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INSERT INTO `pos_charge`.`charge_info` </a:t>
          </a:r>
        </a:p>
        <a:p>
          <a:r>
            <a:rPr kumimoji="1" lang="en-US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(`record_datetime`,`CompanyCode`,`StoreCode`,`InstoreCode`,`receipt_no`,`Class`,`amount` )</a:t>
          </a:r>
        </a:p>
        <a:p>
          <a:r>
            <a:rPr kumimoji="1" lang="en-US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VALUES</a:t>
          </a:r>
        </a:p>
        <a:p>
          <a:r>
            <a:rPr kumimoji="1" lang="en-US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(20230815,'200','02701','6201','1236',2</a:t>
          </a:r>
          <a:r>
            <a:rPr kumimoji="1" lang="en-US" altLang="ja-JP" sz="105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,-3000</a:t>
          </a:r>
          <a:r>
            <a:rPr kumimoji="1" lang="en-US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)</a:t>
          </a:r>
        </a:p>
        <a:p>
          <a:endParaRPr kumimoji="1" lang="en-US" altLang="ja-JP" sz="105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r>
            <a:rPr kumimoji="1" lang="en-US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※3000</a:t>
          </a:r>
          <a:r>
            <a:rPr kumimoji="1" lang="ja-JP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円</a:t>
          </a:r>
          <a:r>
            <a:rPr kumimoji="1" lang="ja-JP" altLang="en-US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チャージ</a:t>
          </a:r>
          <a:r>
            <a:rPr kumimoji="1" lang="ja-JP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したときのサンプル</a:t>
          </a:r>
          <a:endParaRPr kumimoji="1" lang="en-US" altLang="ja-JP" sz="1050">
            <a:solidFill>
              <a:schemeClr val="dk1"/>
            </a:solidFill>
            <a:effectLst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INSERT INTO `pos_charge`.`charge_info` 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(`record_datetime`,`CompanyCode`,`StoreCode`,`InstoreCode`,`receipt_no`,`Class`,`amount` )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VALUES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(20230815,'200','02701','6201','1237',3,3000)</a:t>
          </a:r>
          <a:endParaRPr kumimoji="1" lang="ja-JP" altLang="en-US" sz="105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12700</xdr:colOff>
      <xdr:row>12</xdr:row>
      <xdr:rowOff>177800</xdr:rowOff>
    </xdr:from>
    <xdr:to>
      <xdr:col>27</xdr:col>
      <xdr:colOff>25400</xdr:colOff>
      <xdr:row>16</xdr:row>
      <xdr:rowOff>12700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1AA13FD-D7ED-CF9E-05EC-07A22DE19954}"/>
            </a:ext>
          </a:extLst>
        </xdr:cNvPr>
        <xdr:cNvSpPr/>
      </xdr:nvSpPr>
      <xdr:spPr>
        <a:xfrm>
          <a:off x="254000" y="2590800"/>
          <a:ext cx="6286500" cy="596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27</xdr:col>
      <xdr:colOff>190500</xdr:colOff>
      <xdr:row>9</xdr:row>
      <xdr:rowOff>76200</xdr:rowOff>
    </xdr:from>
    <xdr:to>
      <xdr:col>40</xdr:col>
      <xdr:colOff>76200</xdr:colOff>
      <xdr:row>12</xdr:row>
      <xdr:rowOff>127000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CFB557FA-BDEE-D430-630C-01C5B8D93D64}"/>
            </a:ext>
          </a:extLst>
        </xdr:cNvPr>
        <xdr:cNvSpPr/>
      </xdr:nvSpPr>
      <xdr:spPr>
        <a:xfrm>
          <a:off x="6705600" y="1917700"/>
          <a:ext cx="3022600" cy="622300"/>
        </a:xfrm>
        <a:prstGeom prst="wedgeRectCallout">
          <a:avLst>
            <a:gd name="adj1" fmla="val -60749"/>
            <a:gd name="adj2" fmla="val 6658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Bearer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にて確定できるなら、不要</a:t>
          </a:r>
          <a:endParaRPr kumimoji="1" lang="ja-JP" altLang="en-US" sz="1100"/>
        </a:p>
      </xdr:txBody>
    </xdr:sp>
    <xdr:clientData/>
  </xdr:twoCellAnchor>
  <xdr:twoCellAnchor>
    <xdr:from>
      <xdr:col>2</xdr:col>
      <xdr:colOff>0</xdr:colOff>
      <xdr:row>45</xdr:row>
      <xdr:rowOff>0</xdr:rowOff>
    </xdr:from>
    <xdr:to>
      <xdr:col>13</xdr:col>
      <xdr:colOff>0</xdr:colOff>
      <xdr:row>72</xdr:row>
      <xdr:rowOff>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6397A97B-5107-490F-A638-F1A89EEBA988}"/>
            </a:ext>
          </a:extLst>
        </xdr:cNvPr>
        <xdr:cNvSpPr txBox="1"/>
      </xdr:nvSpPr>
      <xdr:spPr>
        <a:xfrm>
          <a:off x="482600" y="9118600"/>
          <a:ext cx="2654300" cy="5486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{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"count_10000": 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"count_5000": 20,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"count_2000": 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"count_1000": 44,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"count_500": 5,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"count_100": 21,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"count_50": 15,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"count_10": 50,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"count_5": 20,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"count_1": 50,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"replenish": {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"count_10000": 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"count_5000": 20,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"count_2000": 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"count_1000": 44,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"count_500": 5,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"count_100": 21,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"count_50": 15,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"count_10": 50,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"count_5": 20,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"count_1": 50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}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}</a:t>
          </a:r>
          <a:endParaRPr kumimoji="1" lang="ja-JP" altLang="en-US" sz="105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45</xdr:row>
      <xdr:rowOff>0</xdr:rowOff>
    </xdr:from>
    <xdr:to>
      <xdr:col>26</xdr:col>
      <xdr:colOff>0</xdr:colOff>
      <xdr:row>72</xdr:row>
      <xdr:rowOff>0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C0870987-79FA-433B-9D0A-E58697D0FC0B}"/>
            </a:ext>
          </a:extLst>
        </xdr:cNvPr>
        <xdr:cNvSpPr txBox="1"/>
      </xdr:nvSpPr>
      <xdr:spPr>
        <a:xfrm>
          <a:off x="3378200" y="9118600"/>
          <a:ext cx="2895600" cy="5486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"journal": "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--------------------------------\r\n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釣銭機補充     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                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2023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08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16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水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)14:59         \r\n</a:t>
          </a:r>
        </a:p>
        <a:p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店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:</a:t>
          </a:r>
          <a:r>
            <a:rPr kumimoji="1" lang="en-US" altLang="ja-JP" sz="11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02701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ﾚｼﾞ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No:</a:t>
          </a:r>
          <a:r>
            <a:rPr kumimoji="1" lang="en-US" altLang="ja-JP" sz="11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6201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                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金種      枚             金額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10000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               ¥0\r\n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5000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20         ¥100,000\r\n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2000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               ¥0\r\n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1000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44          ¥44,000\r\n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500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5           ¥2,500\r\n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100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21           ¥2,100\r\n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50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15             ¥750\r\n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10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50             ¥500\r\n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5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20             ¥100\r\n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1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50              ¥50\r\n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--------------------------------\r\n</a:t>
          </a:r>
        </a:p>
        <a:p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補充金額                </a:t>
          </a:r>
          <a:r>
            <a:rPr kumimoji="1" lang="en-US" altLang="ja-JP" sz="11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¥150,000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補充後釣銭機合計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¥150,000)\r\n</a:t>
          </a:r>
        </a:p>
        <a:p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ﾚｼｰﾄ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No:0133                     \r\n</a:t>
          </a:r>
        </a:p>
        <a:p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責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:\r\n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@000000000000000133             \r\n"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  <a:endParaRPr kumimoji="1" lang="ja-JP" altLang="en-US" sz="1100"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</xdr:col>
      <xdr:colOff>0</xdr:colOff>
      <xdr:row>76</xdr:row>
      <xdr:rowOff>0</xdr:rowOff>
    </xdr:from>
    <xdr:to>
      <xdr:col>13</xdr:col>
      <xdr:colOff>0</xdr:colOff>
      <xdr:row>103</xdr:row>
      <xdr:rowOff>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7537EE19-795F-4F15-86B2-7FD52D95ECC7}"/>
            </a:ext>
          </a:extLst>
        </xdr:cNvPr>
        <xdr:cNvSpPr txBox="1"/>
      </xdr:nvSpPr>
      <xdr:spPr>
        <a:xfrm>
          <a:off x="482600" y="15417800"/>
          <a:ext cx="2654300" cy="5486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{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"when": "always",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"count_10000": 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"count_5000": 20,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"count_2000": 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"count_1000": 44,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"count_500": 5,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"count_100": 21,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"count_50": 15,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"count_10": 50,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"count_5": 20,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"count_1": 50,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"recover": {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"count_10000": 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"count_5000": 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"count_2000": 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"count_1000": 12,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"count_500": 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"count_100": 1,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"count_50": 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"count_10": 5,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"count_5": 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  "count_1": 9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}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}</a:t>
          </a:r>
        </a:p>
        <a:p>
          <a:endParaRPr kumimoji="1" lang="ja-JP" altLang="en-US" sz="105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14</xdr:col>
      <xdr:colOff>0</xdr:colOff>
      <xdr:row>76</xdr:row>
      <xdr:rowOff>0</xdr:rowOff>
    </xdr:from>
    <xdr:to>
      <xdr:col>26</xdr:col>
      <xdr:colOff>0</xdr:colOff>
      <xdr:row>103</xdr:row>
      <xdr:rowOff>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79CD332F-B329-4235-B0A7-F77577B61A86}"/>
            </a:ext>
          </a:extLst>
        </xdr:cNvPr>
        <xdr:cNvSpPr txBox="1"/>
      </xdr:nvSpPr>
      <xdr:spPr>
        <a:xfrm>
          <a:off x="3378200" y="15417800"/>
          <a:ext cx="2895600" cy="5486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"journal": "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--------------------------------\r\n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釣銭機回収     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                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2023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08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16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水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)15:29         \r\n</a:t>
          </a:r>
        </a:p>
        <a:p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店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:</a:t>
          </a:r>
          <a:r>
            <a:rPr kumimoji="1" lang="en-US" altLang="ja-JP" sz="11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02701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ﾚｼﾞ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No:</a:t>
          </a:r>
          <a:r>
            <a:rPr kumimoji="1" lang="en-US" altLang="ja-JP" sz="11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6201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                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金種      枚             金額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10000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               ¥0\r\n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5000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               ¥0\r\n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2000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               ¥0\r\n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1000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12          ¥12,000\r\n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500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               ¥0\r\n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100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             ¥100\r\n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50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               ¥0\r\n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10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5              ¥50\r\n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5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               ¥0\r\n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1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円 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9               ¥9\r\n</a:t>
          </a:r>
        </a:p>
        <a:p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回収庫                  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¥0\r\n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--------------------------------\r\n</a:t>
          </a:r>
        </a:p>
        <a:p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回収金額                 </a:t>
          </a:r>
          <a:r>
            <a:rPr kumimoji="1" lang="en-US" altLang="ja-JP" sz="11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¥12,159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回収後釣銭機合計      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¥150,000)\r\n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                \r\n</a:t>
          </a:r>
        </a:p>
        <a:p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ﾚｼｰﾄ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No:0135                     \r\n</a:t>
          </a:r>
        </a:p>
        <a:p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責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:\r\n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@000000000000000135             \r\n"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twoCellAnchor>
  <xdr:twoCellAnchor>
    <xdr:from>
      <xdr:col>2</xdr:col>
      <xdr:colOff>0</xdr:colOff>
      <xdr:row>108</xdr:row>
      <xdr:rowOff>0</xdr:rowOff>
    </xdr:from>
    <xdr:to>
      <xdr:col>15</xdr:col>
      <xdr:colOff>0</xdr:colOff>
      <xdr:row>117</xdr:row>
      <xdr:rowOff>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8BB7F3B1-0153-4768-8B86-38FB33DE710E}"/>
            </a:ext>
          </a:extLst>
        </xdr:cNvPr>
        <xdr:cNvSpPr txBox="1"/>
      </xdr:nvSpPr>
      <xdr:spPr>
        <a:xfrm>
          <a:off x="482600" y="21920200"/>
          <a:ext cx="3136900" cy="1828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{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"transaction_id" : "${"transaction_id"}",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"account_id":"000000160",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"charge_amount":10,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 "payment_deposit_amount":10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}</a:t>
          </a:r>
          <a:endParaRPr kumimoji="1" lang="ja-JP" altLang="en-US" sz="105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16</xdr:col>
      <xdr:colOff>0</xdr:colOff>
      <xdr:row>108</xdr:row>
      <xdr:rowOff>0</xdr:rowOff>
    </xdr:from>
    <xdr:to>
      <xdr:col>41</xdr:col>
      <xdr:colOff>0</xdr:colOff>
      <xdr:row>191</xdr:row>
      <xdr:rowOff>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E746AB16-1745-42DC-8C51-E86B33E7132D}"/>
            </a:ext>
          </a:extLst>
        </xdr:cNvPr>
        <xdr:cNvSpPr txBox="1"/>
      </xdr:nvSpPr>
      <xdr:spPr>
        <a:xfrm>
          <a:off x="3860800" y="21920200"/>
          <a:ext cx="6032500" cy="16865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"meta": {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"transaction_id": "434e0f0329af45d4aca78f44fdc7eb29",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"practice_mode": false,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"sales_mode": "sales",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"company_code": "200",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"company_name":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株式会社マルエツ　　　　　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"store_code": "02701",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"store_name": "02701-6201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店（マルエツ）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"store_telno": "03-3590-1511",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"store_faxno": null,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"instore_code": "</a:t>
          </a:r>
          <a:r>
            <a:rPr kumimoji="1" lang="en-US" altLang="ja-JP" sz="11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6201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"account_id": "000000160",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"account_name": "kiyo",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"business_date": "</a:t>
          </a:r>
          <a:r>
            <a:rPr kumimoji="1" lang="en-US" altLang="ja-JP" sz="11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2023/08/16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"business_open_count": 7,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"transaction_datetime": "2023-08-16T15:33:07.7360091+09:00",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"transaction_datetime_receipt_fmt": "2023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08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16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水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)15:33",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"journal_no": "000000000000000136",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"receipt_no": "</a:t>
          </a:r>
          <a:r>
            <a:rPr kumimoji="1" lang="en-US" altLang="ja-JP" sz="1100" b="1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0136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"confirm_age": false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},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"header": {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"item_total_price_fmt":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"mm_discount_price_fmt":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"subtotal_price_fmt":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"subtotal_discount_price_fmt":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"total_tax_excluded_fmt":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"total_price_fmt":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"total_quantity_fmt": "1"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},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"items": [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{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"item_no": 1,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"item_cancel_line": false,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"item_manual_discount": false,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"item_scan_code": null,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"item_code": "0000000000000",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"item_category": "7777",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"item_name": "ignica money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チャージ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"item_unit_price_fmt":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"item_quantity": 1,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"item_discount_fmt":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"item_price_fmt":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"item_tax_fmt":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非課税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"item_eatin": false,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"item_age_limit": false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}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],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"tax": {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"total_tax_excluded_fmt":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"total_tax_included_fmt":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"taxlist": [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{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"tax_type": "tax_exempt",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"tax_per": 0.0,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"tax_price_fmt":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"taxable_amount_fmt":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10"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}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]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},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"payment": {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"payment_total_price": 10,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"payment_total_price_fmt":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"payment_remaining_price": 0,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"payment_remaining_price_fmt":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"payment_list": [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{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"payment_no": 1,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"payment_type": "cash",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"payment_name":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現金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"payment_code": null,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"payment_quantity": 1,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"payment_amount_fmt":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"payment_deposit_amount_fmt":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10",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"payment_change_amount_fmt":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￥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0"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}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]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},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"employee": {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"code": null,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"name": null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},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"message": "</a:t>
          </a:r>
          <a:r>
            <a:rPr kumimoji="1" lang="ja-JP" altLang="en-US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チャージ処理が完了しました</a:t>
          </a:r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"point_balance": 5186,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"bonus_point": 0,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"money_balance": 12451,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"terminal_no": "9300700000002",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    "card_no": "************2217"</a:t>
          </a:r>
        </a:p>
        <a:p>
          <a:r>
            <a:rPr kumimoji="1" lang="en-US" altLang="ja-JP" sz="1100"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34</xdr:row>
      <xdr:rowOff>0</xdr:rowOff>
    </xdr:from>
    <xdr:to>
      <xdr:col>12</xdr:col>
      <xdr:colOff>215900</xdr:colOff>
      <xdr:row>49</xdr:row>
      <xdr:rowOff>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FD56F33-38B1-4C84-8B5E-0FE2619999C4}"/>
            </a:ext>
          </a:extLst>
        </xdr:cNvPr>
        <xdr:cNvSpPr txBox="1"/>
      </xdr:nvSpPr>
      <xdr:spPr>
        <a:xfrm>
          <a:off x="241300" y="6604000"/>
          <a:ext cx="2870200" cy="3009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-- </a:t>
          </a:r>
          <a:r>
            <a:rPr kumimoji="1" lang="ja-JP" altLang="en-US" sz="1050">
              <a:latin typeface="Meiryo UI" panose="020B0604030504040204" pitchFamily="50" charset="-128"/>
              <a:ea typeface="Meiryo UI" panose="020B0604030504040204" pitchFamily="50" charset="-128"/>
            </a:rPr>
            <a:t>点検画面 つり銭準備金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SELECT</a:t>
          </a:r>
        </a:p>
        <a:p>
          <a:r>
            <a:rPr kumimoji="1" lang="ja-JP" altLang="en-US" sz="1050">
              <a:latin typeface="Meiryo UI" panose="020B0604030504040204" pitchFamily="50" charset="-128"/>
              <a:ea typeface="Meiryo UI" panose="020B0604030504040204" pitchFamily="50" charset="-128"/>
            </a:rPr>
            <a:t>　</a:t>
          </a:r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SUM(charge_info.amount)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FROM</a:t>
          </a:r>
        </a:p>
        <a:p>
          <a:r>
            <a:rPr kumimoji="1" lang="ja-JP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charge_info</a:t>
          </a:r>
        </a:p>
        <a:p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WHERE</a:t>
          </a:r>
        </a:p>
        <a:p>
          <a:r>
            <a:rPr kumimoji="1" lang="ja-JP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CompanyCode = '200' AND</a:t>
          </a:r>
        </a:p>
        <a:p>
          <a:r>
            <a:rPr kumimoji="1" lang="ja-JP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StoreCode = '02701' AND</a:t>
          </a:r>
        </a:p>
        <a:p>
          <a:r>
            <a:rPr kumimoji="1" lang="ja-JP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InstoreCode = '6201' AND</a:t>
          </a:r>
        </a:p>
        <a:p>
          <a:r>
            <a:rPr kumimoji="1" lang="ja-JP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(Class = '1' or Class = '2') AND</a:t>
          </a:r>
        </a:p>
        <a:p>
          <a:r>
            <a:rPr kumimoji="1" lang="ja-JP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50">
              <a:latin typeface="Meiryo UI" panose="020B0604030504040204" pitchFamily="50" charset="-128"/>
              <a:ea typeface="Meiryo UI" panose="020B0604030504040204" pitchFamily="50" charset="-128"/>
            </a:rPr>
            <a:t> `Inspection datetime` IS NULL;</a:t>
          </a:r>
        </a:p>
        <a:p>
          <a:endParaRPr kumimoji="1" lang="ja-JP" altLang="en-US" sz="105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</xdr:col>
      <xdr:colOff>12700</xdr:colOff>
      <xdr:row>12</xdr:row>
      <xdr:rowOff>177800</xdr:rowOff>
    </xdr:from>
    <xdr:to>
      <xdr:col>27</xdr:col>
      <xdr:colOff>25400</xdr:colOff>
      <xdr:row>16</xdr:row>
      <xdr:rowOff>12700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860F144-8886-4B88-AF76-105DC04B3B03}"/>
            </a:ext>
          </a:extLst>
        </xdr:cNvPr>
        <xdr:cNvSpPr/>
      </xdr:nvSpPr>
      <xdr:spPr>
        <a:xfrm>
          <a:off x="250825" y="2578100"/>
          <a:ext cx="6203950" cy="596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25400</xdr:colOff>
      <xdr:row>9</xdr:row>
      <xdr:rowOff>101600</xdr:rowOff>
    </xdr:from>
    <xdr:to>
      <xdr:col>37</xdr:col>
      <xdr:colOff>152400</xdr:colOff>
      <xdr:row>12</xdr:row>
      <xdr:rowOff>152400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ED078702-1586-40D5-AB61-6A28E510E6FA}"/>
            </a:ext>
          </a:extLst>
        </xdr:cNvPr>
        <xdr:cNvSpPr/>
      </xdr:nvSpPr>
      <xdr:spPr>
        <a:xfrm>
          <a:off x="6057900" y="1943100"/>
          <a:ext cx="3022600" cy="622300"/>
        </a:xfrm>
        <a:prstGeom prst="wedgeRectCallout">
          <a:avLst>
            <a:gd name="adj1" fmla="val -60749"/>
            <a:gd name="adj2" fmla="val 6658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Bearer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にて確定できるなら、不要</a:t>
          </a:r>
          <a:endParaRPr kumimoji="1" lang="ja-JP" altLang="en-US" sz="1100"/>
        </a:p>
      </xdr:txBody>
    </xdr:sp>
    <xdr:clientData/>
  </xdr:twoCellAnchor>
  <xdr:twoCellAnchor>
    <xdr:from>
      <xdr:col>39</xdr:col>
      <xdr:colOff>0</xdr:colOff>
      <xdr:row>13</xdr:row>
      <xdr:rowOff>0</xdr:rowOff>
    </xdr:from>
    <xdr:to>
      <xdr:col>62</xdr:col>
      <xdr:colOff>0</xdr:colOff>
      <xdr:row>16</xdr:row>
      <xdr:rowOff>25400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C14F2FD6-5DB4-405C-8367-299B9EC1C0BA}"/>
            </a:ext>
          </a:extLst>
        </xdr:cNvPr>
        <xdr:cNvSpPr/>
      </xdr:nvSpPr>
      <xdr:spPr>
        <a:xfrm>
          <a:off x="9410700" y="2603500"/>
          <a:ext cx="5549900" cy="596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47</xdr:col>
      <xdr:colOff>215900</xdr:colOff>
      <xdr:row>9</xdr:row>
      <xdr:rowOff>38100</xdr:rowOff>
    </xdr:from>
    <xdr:to>
      <xdr:col>60</xdr:col>
      <xdr:colOff>101600</xdr:colOff>
      <xdr:row>12</xdr:row>
      <xdr:rowOff>88900</xdr:rowOff>
    </xdr:to>
    <xdr:sp macro="" textlink="">
      <xdr:nvSpPr>
        <xdr:cNvPr id="6" name="吹き出し: 四角形 5">
          <a:extLst>
            <a:ext uri="{FF2B5EF4-FFF2-40B4-BE49-F238E27FC236}">
              <a16:creationId xmlns:a16="http://schemas.microsoft.com/office/drawing/2014/main" id="{B3D455DC-66B7-4B9F-8D8A-29FE1CEC6BEF}"/>
            </a:ext>
          </a:extLst>
        </xdr:cNvPr>
        <xdr:cNvSpPr/>
      </xdr:nvSpPr>
      <xdr:spPr>
        <a:xfrm>
          <a:off x="11557000" y="1879600"/>
          <a:ext cx="3022600" cy="622300"/>
        </a:xfrm>
        <a:prstGeom prst="wedgeRectCallout">
          <a:avLst>
            <a:gd name="adj1" fmla="val -60749"/>
            <a:gd name="adj2" fmla="val 6658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テストの時に、目検で確認するので、必要</a:t>
          </a:r>
          <a:endParaRPr kumimoji="1" lang="ja-JP" altLang="en-US" sz="1100"/>
        </a:p>
      </xdr:txBody>
    </xdr:sp>
    <xdr:clientData/>
  </xdr:twoCellAnchor>
  <xdr:twoCellAnchor>
    <xdr:from>
      <xdr:col>14</xdr:col>
      <xdr:colOff>0</xdr:colOff>
      <xdr:row>34</xdr:row>
      <xdr:rowOff>0</xdr:rowOff>
    </xdr:from>
    <xdr:to>
      <xdr:col>26</xdr:col>
      <xdr:colOff>0</xdr:colOff>
      <xdr:row>49</xdr:row>
      <xdr:rowOff>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CEAB2A63-66A5-114D-2DF8-BFA95701088C}"/>
            </a:ext>
          </a:extLst>
        </xdr:cNvPr>
        <xdr:cNvSpPr txBox="1"/>
      </xdr:nvSpPr>
      <xdr:spPr>
        <a:xfrm>
          <a:off x="3378200" y="6604000"/>
          <a:ext cx="2895600" cy="3009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kumimoji="1" lang="en-US" altLang="ja-JP" sz="105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-- </a:t>
          </a:r>
          <a:r>
            <a:rPr kumimoji="1" lang="ja-JP" altLang="ja-JP" sz="105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点検画面 現金売上</a:t>
          </a:r>
        </a:p>
        <a:p>
          <a:pPr marL="0" indent="0"/>
          <a:r>
            <a:rPr kumimoji="1" lang="en-US" altLang="ja-JP" sz="105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SELECT</a:t>
          </a:r>
          <a:endParaRPr kumimoji="1" lang="ja-JP" altLang="ja-JP" sz="105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/>
          <a:r>
            <a:rPr kumimoji="1" lang="ja-JP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5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SUM(charge_info.amount)</a:t>
          </a:r>
          <a:endParaRPr kumimoji="1" lang="ja-JP" altLang="ja-JP" sz="105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/>
          <a:r>
            <a:rPr kumimoji="1" lang="en-US" altLang="ja-JP" sz="105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FROM</a:t>
          </a:r>
          <a:endParaRPr kumimoji="1" lang="ja-JP" altLang="ja-JP" sz="105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/>
          <a:r>
            <a:rPr kumimoji="1" lang="ja-JP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5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charge_info</a:t>
          </a:r>
          <a:endParaRPr kumimoji="1" lang="ja-JP" altLang="ja-JP" sz="105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/>
          <a:r>
            <a:rPr kumimoji="1" lang="en-US" altLang="ja-JP" sz="105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WHERE</a:t>
          </a:r>
          <a:endParaRPr kumimoji="1" lang="ja-JP" altLang="ja-JP" sz="105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/>
          <a:r>
            <a:rPr kumimoji="1" lang="ja-JP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5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CompanyCode = '200' AND</a:t>
          </a:r>
          <a:endParaRPr kumimoji="1" lang="ja-JP" altLang="ja-JP" sz="105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/>
          <a:r>
            <a:rPr kumimoji="1" lang="ja-JP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5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StoreCode = '02701' AND</a:t>
          </a:r>
          <a:endParaRPr kumimoji="1" lang="ja-JP" altLang="ja-JP" sz="105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/>
          <a:r>
            <a:rPr kumimoji="1" lang="ja-JP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5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InstoreCode = '6201' AND</a:t>
          </a:r>
          <a:endParaRPr kumimoji="1" lang="ja-JP" altLang="ja-JP" sz="105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/>
          <a:r>
            <a:rPr kumimoji="1" lang="ja-JP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5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Class = '3' AND</a:t>
          </a:r>
          <a:endParaRPr kumimoji="1" lang="ja-JP" altLang="ja-JP" sz="105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/>
          <a:r>
            <a:rPr kumimoji="1" lang="ja-JP" altLang="ja-JP" sz="105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5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`Inspection datetime` IS NULL;</a:t>
          </a:r>
          <a:endParaRPr kumimoji="1" lang="ja-JP" altLang="en-US" sz="105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34</xdr:row>
      <xdr:rowOff>0</xdr:rowOff>
    </xdr:from>
    <xdr:to>
      <xdr:col>14</xdr:col>
      <xdr:colOff>0</xdr:colOff>
      <xdr:row>49</xdr:row>
      <xdr:rowOff>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D11D1DC7-505F-4F4B-9FD7-A31F97035A74}"/>
            </a:ext>
          </a:extLst>
        </xdr:cNvPr>
        <xdr:cNvSpPr txBox="1"/>
      </xdr:nvSpPr>
      <xdr:spPr>
        <a:xfrm>
          <a:off x="241300" y="6604000"/>
          <a:ext cx="3136900" cy="3009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-- </a:t>
          </a:r>
          <a:r>
            <a:rPr kumimoji="1" lang="ja-JP" altLang="en-US" sz="1100"/>
            <a:t>出力</a:t>
          </a:r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日次</a:t>
          </a:r>
        </a:p>
        <a:p>
          <a:r>
            <a:rPr kumimoji="1" lang="en-US" altLang="ja-JP" sz="1100"/>
            <a:t>SELECT</a:t>
          </a:r>
        </a:p>
        <a:p>
          <a:r>
            <a:rPr kumimoji="1" lang="ja-JP" altLang="en-US" sz="1100"/>
            <a:t>　</a:t>
          </a:r>
          <a:r>
            <a:rPr kumimoji="1" lang="en-US" altLang="ja-JP" sz="1100"/>
            <a:t>MAX(`Inspection datetime`) AS '</a:t>
          </a:r>
          <a:r>
            <a:rPr kumimoji="1" lang="ja-JP" altLang="en-US" sz="1100"/>
            <a:t>前回出力日時</a:t>
          </a:r>
          <a:r>
            <a:rPr kumimoji="1" lang="en-US" altLang="ja-JP" sz="1100"/>
            <a:t>',</a:t>
          </a:r>
        </a:p>
        <a:p>
          <a:r>
            <a:rPr kumimoji="1" lang="en-US" altLang="ja-JP" sz="1100"/>
            <a:t> </a:t>
          </a:r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/>
            <a:t>NOW() AS '</a:t>
          </a:r>
          <a:r>
            <a:rPr kumimoji="1" lang="ja-JP" altLang="en-US" sz="1100"/>
            <a:t>今回出力日時</a:t>
          </a:r>
          <a:r>
            <a:rPr kumimoji="1" lang="en-US" altLang="ja-JP" sz="1100"/>
            <a:t>'</a:t>
          </a:r>
        </a:p>
        <a:p>
          <a:r>
            <a:rPr kumimoji="1" lang="en-US" altLang="ja-JP" sz="1100"/>
            <a:t>FROM</a:t>
          </a:r>
          <a:r>
            <a:rPr kumimoji="1" lang="ja-JP" altLang="en-US" sz="1100" baseline="0"/>
            <a:t> </a:t>
          </a:r>
          <a:r>
            <a:rPr kumimoji="1" lang="en-US" altLang="ja-JP" sz="1100"/>
            <a:t> `pos_charge`.`charge_info` </a:t>
          </a:r>
        </a:p>
        <a:p>
          <a:r>
            <a:rPr kumimoji="1" lang="en-US" altLang="ja-JP" sz="1100"/>
            <a:t>WHERE</a:t>
          </a: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/>
            <a:t>`CompanyCode` = '200' </a:t>
          </a: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/>
            <a:t>AND `StoreCode` = '02701' </a:t>
          </a: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/>
            <a:t>AND `InstoreCode` = '6201' </a:t>
          </a:r>
        </a:p>
        <a:p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/>
            <a:t>AND `Inspection datetime` IS NOT NULL</a:t>
          </a:r>
        </a:p>
      </xdr:txBody>
    </xdr:sp>
    <xdr:clientData/>
  </xdr:twoCellAnchor>
  <xdr:twoCellAnchor>
    <xdr:from>
      <xdr:col>1</xdr:col>
      <xdr:colOff>12700</xdr:colOff>
      <xdr:row>12</xdr:row>
      <xdr:rowOff>177800</xdr:rowOff>
    </xdr:from>
    <xdr:to>
      <xdr:col>27</xdr:col>
      <xdr:colOff>25400</xdr:colOff>
      <xdr:row>16</xdr:row>
      <xdr:rowOff>12700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268495AA-1500-4123-BCD6-E0D1B3E79E18}"/>
            </a:ext>
          </a:extLst>
        </xdr:cNvPr>
        <xdr:cNvSpPr/>
      </xdr:nvSpPr>
      <xdr:spPr>
        <a:xfrm>
          <a:off x="250825" y="2578100"/>
          <a:ext cx="6203950" cy="596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25400</xdr:colOff>
      <xdr:row>9</xdr:row>
      <xdr:rowOff>101600</xdr:rowOff>
    </xdr:from>
    <xdr:to>
      <xdr:col>37</xdr:col>
      <xdr:colOff>152400</xdr:colOff>
      <xdr:row>12</xdr:row>
      <xdr:rowOff>152400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EC0BF5D2-2E5F-42E0-B973-2D3EB42B92EF}"/>
            </a:ext>
          </a:extLst>
        </xdr:cNvPr>
        <xdr:cNvSpPr/>
      </xdr:nvSpPr>
      <xdr:spPr>
        <a:xfrm>
          <a:off x="5978525" y="1930400"/>
          <a:ext cx="2984500" cy="622300"/>
        </a:xfrm>
        <a:prstGeom prst="wedgeRectCallout">
          <a:avLst>
            <a:gd name="adj1" fmla="val -60749"/>
            <a:gd name="adj2" fmla="val 6658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Bearer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にて確定できるなら、不要</a:t>
          </a:r>
          <a:endParaRPr kumimoji="1" lang="ja-JP" altLang="en-US" sz="1100"/>
        </a:p>
      </xdr:txBody>
    </xdr:sp>
    <xdr:clientData/>
  </xdr:twoCellAnchor>
  <xdr:twoCellAnchor>
    <xdr:from>
      <xdr:col>14</xdr:col>
      <xdr:colOff>0</xdr:colOff>
      <xdr:row>34</xdr:row>
      <xdr:rowOff>0</xdr:rowOff>
    </xdr:from>
    <xdr:to>
      <xdr:col>26</xdr:col>
      <xdr:colOff>0</xdr:colOff>
      <xdr:row>54</xdr:row>
      <xdr:rowOff>0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BFCFAD3A-885C-46CE-B5CF-E77781237503}"/>
            </a:ext>
          </a:extLst>
        </xdr:cNvPr>
        <xdr:cNvSpPr txBox="1"/>
      </xdr:nvSpPr>
      <xdr:spPr>
        <a:xfrm>
          <a:off x="3378200" y="6604000"/>
          <a:ext cx="2895600" cy="4025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-- </a:t>
          </a:r>
          <a:r>
            <a:rPr kumimoji="1" lang="ja-JP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点検画面 </a:t>
          </a:r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事前計算</a:t>
          </a:r>
          <a:endParaRPr kumimoji="1" lang="ja-JP" altLang="ja-JP" sz="100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SET @amount = 8000;</a:t>
          </a:r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←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API</a:t>
          </a:r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で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</a:t>
          </a:r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より取得</a:t>
          </a:r>
          <a:endParaRPr kumimoji="1" lang="en-US" altLang="ja-JP" sz="100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SET @other_cash = 0;</a:t>
          </a:r>
          <a:r>
            <a:rPr kumimoji="1" lang="ja-JP" altLang="ja-JP" sz="10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←</a:t>
          </a:r>
          <a:r>
            <a:rPr kumimoji="1" lang="en-US" altLang="ja-JP" sz="10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API</a:t>
          </a:r>
          <a:r>
            <a:rPr kumimoji="1" lang="ja-JP" altLang="ja-JP" sz="10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で</a:t>
          </a:r>
          <a:r>
            <a:rPr kumimoji="1" lang="en-US" altLang="ja-JP" sz="10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</a:t>
          </a:r>
          <a:r>
            <a:rPr kumimoji="1" lang="ja-JP" altLang="ja-JP" sz="10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より取得</a:t>
          </a:r>
          <a:endParaRPr lang="ja-JP" altLang="ja-JP" sz="10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SET @init_amount = 0;</a:t>
          </a:r>
          <a:r>
            <a:rPr kumimoji="1" lang="ja-JP" altLang="ja-JP" sz="10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←</a:t>
          </a:r>
          <a:r>
            <a:rPr kumimoji="1" lang="en-US" altLang="ja-JP" sz="10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API</a:t>
          </a:r>
          <a:r>
            <a:rPr kumimoji="1" lang="ja-JP" altLang="ja-JP" sz="10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で</a:t>
          </a:r>
          <a:r>
            <a:rPr kumimoji="1" lang="en-US" altLang="ja-JP" sz="10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POS</a:t>
          </a:r>
          <a:r>
            <a:rPr kumimoji="1" lang="ja-JP" altLang="ja-JP" sz="10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より取得</a:t>
          </a:r>
          <a:endParaRPr kumimoji="1" lang="en-US" altLang="ja-JP" sz="100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SET @No2_amount = (</a:t>
          </a: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SELECT</a:t>
          </a:r>
        </a:p>
        <a:p>
          <a:pPr marL="0" indent="0"/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SUM(charge_info.amount)</a:t>
          </a: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FROM</a:t>
          </a:r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charge_info</a:t>
          </a: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WHERE</a:t>
          </a:r>
        </a:p>
        <a:p>
          <a:pPr marL="0" indent="0"/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CompanyCode = '200' AND</a:t>
          </a:r>
        </a:p>
        <a:p>
          <a:pPr marL="0" indent="0"/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StoreCode = '02701' AND</a:t>
          </a:r>
        </a:p>
        <a:p>
          <a:pPr marL="0" indent="0"/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InstoreCode = '6201' AND</a:t>
          </a:r>
        </a:p>
        <a:p>
          <a:pPr marL="0" indent="0"/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`Inspection datetime` IS NULL);</a:t>
          </a:r>
          <a:b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</a:br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←精算時入金金額を取得</a:t>
          </a:r>
          <a:endParaRPr kumimoji="1" lang="en-US" altLang="ja-JP" sz="100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SET @excess = @amount + @other_cash - @No2_amount - @init_amount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0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←</a:t>
          </a:r>
          <a:r>
            <a:rPr kumimoji="1" lang="ja-JP" altLang="en-US" sz="1000">
              <a:solidFill>
                <a:schemeClr val="dk1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過不足を計算</a:t>
          </a:r>
          <a:endParaRPr lang="ja-JP" altLang="ja-JP" sz="1000"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indent="0"/>
          <a:endParaRPr kumimoji="1" lang="ja-JP" altLang="en-US" sz="100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39</xdr:col>
      <xdr:colOff>0</xdr:colOff>
      <xdr:row>13</xdr:row>
      <xdr:rowOff>1</xdr:rowOff>
    </xdr:from>
    <xdr:to>
      <xdr:col>52</xdr:col>
      <xdr:colOff>113506</xdr:colOff>
      <xdr:row>34</xdr:row>
      <xdr:rowOff>76200</xdr:rowOff>
    </xdr:to>
    <xdr:sp macro="" textlink="">
      <xdr:nvSpPr>
        <xdr:cNvPr id="8" name="テキスト ボックス 7">
          <a:extLst>
            <a:ext uri="{FF2B5EF4-FFF2-40B4-BE49-F238E27FC236}">
              <a16:creationId xmlns:a16="http://schemas.microsoft.com/office/drawing/2014/main" id="{80189617-5AE6-4630-ACE4-02B88B6867D8}"/>
            </a:ext>
          </a:extLst>
        </xdr:cNvPr>
        <xdr:cNvSpPr txBox="1"/>
      </xdr:nvSpPr>
      <xdr:spPr>
        <a:xfrm>
          <a:off x="9410700" y="2603501"/>
          <a:ext cx="3250406" cy="40766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{</a:t>
          </a:r>
        </a:p>
        <a:p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"journal": "</a:t>
          </a:r>
        </a:p>
        <a:p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--------------------------------\r\n</a:t>
          </a:r>
        </a:p>
        <a:p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</a:t>
          </a:r>
          <a:r>
            <a:rPr kumimoji="1"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点検</a:t>
          </a:r>
          <a:r>
            <a:rPr kumimoji="1" lang="en-US" altLang="ja-JP" sz="1100">
              <a:solidFill>
                <a:schemeClr val="dk1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  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\r\n</a:t>
          </a:r>
        </a:p>
        <a:p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                \r\n</a:t>
          </a:r>
        </a:p>
        <a:p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2023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年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07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31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日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(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月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)17:43         \r\n</a:t>
          </a:r>
        </a:p>
        <a:p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店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:02701 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ﾚｼﾞ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No:6205             \r\n</a:t>
          </a:r>
        </a:p>
        <a:p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                \r\n</a:t>
          </a:r>
        </a:p>
        <a:p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前回出力日時　　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2023/07/15 16:00\r\n</a:t>
          </a:r>
        </a:p>
        <a:p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今回出力日時　　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2023/07/31 17:43\r\n</a:t>
          </a:r>
        </a:p>
        <a:p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--------------------------------\r\n</a:t>
          </a:r>
        </a:p>
        <a:p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                               \r\n</a:t>
          </a:r>
        </a:p>
        <a:p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ﾁｬｰｼﾞ合計      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2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点   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\  5,000\r\n</a:t>
          </a:r>
        </a:p>
        <a:p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--------------------------------\r\n</a:t>
          </a:r>
        </a:p>
        <a:p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入出金処理                     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\r\n</a:t>
          </a:r>
          <a:endParaRPr kumimoji="1" lang="ja-JP" altLang="en-US" sz="900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--------------------------------\r\n</a:t>
          </a:r>
        </a:p>
        <a:p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釣銭機補充       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点  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\  9,000\r\n</a:t>
          </a:r>
        </a:p>
        <a:p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現金売上　　　　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 2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点　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\  5,000\r\n</a:t>
          </a:r>
        </a:p>
        <a:p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釣銭機回収       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点  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\  5,000\r\n</a:t>
          </a:r>
        </a:p>
        <a:p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残置金額               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\      0\r\n</a:t>
          </a:r>
        </a:p>
        <a:p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現金過不足             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¥      0\r\n</a:t>
          </a:r>
        </a:p>
        <a:p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--------------------------------\r\n</a:t>
          </a:r>
        </a:p>
        <a:p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ﾚｼｰﾄ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No:0032                     \r\n</a:t>
          </a:r>
        </a:p>
        <a:p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責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:100639131</a:t>
          </a:r>
          <a:r>
            <a:rPr kumimoji="1" lang="ja-JP" altLang="en-US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１３１セルフレジ    </a:t>
          </a:r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\r\n</a:t>
          </a:r>
        </a:p>
        <a:p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"</a:t>
          </a:r>
        </a:p>
        <a:p>
          <a:r>
            <a:rPr kumimoji="1" lang="en-US" altLang="ja-JP" sz="900">
              <a:solidFill>
                <a:srgbClr val="FF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}</a:t>
          </a:r>
        </a:p>
        <a:p>
          <a:endParaRPr kumimoji="1" lang="en-US" altLang="ja-JP" sz="900">
            <a:solidFill>
              <a:srgbClr val="FF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26</xdr:col>
      <xdr:colOff>0</xdr:colOff>
      <xdr:row>34</xdr:row>
      <xdr:rowOff>0</xdr:rowOff>
    </xdr:from>
    <xdr:to>
      <xdr:col>38</xdr:col>
      <xdr:colOff>0</xdr:colOff>
      <xdr:row>54</xdr:row>
      <xdr:rowOff>0</xdr:rowOff>
    </xdr:to>
    <xdr:sp macro="" textlink="">
      <xdr:nvSpPr>
        <xdr:cNvPr id="9" name="テキスト ボックス 8">
          <a:extLst>
            <a:ext uri="{FF2B5EF4-FFF2-40B4-BE49-F238E27FC236}">
              <a16:creationId xmlns:a16="http://schemas.microsoft.com/office/drawing/2014/main" id="{73C32B6D-128D-431C-B26B-91337F5A368B}"/>
            </a:ext>
          </a:extLst>
        </xdr:cNvPr>
        <xdr:cNvSpPr txBox="1"/>
      </xdr:nvSpPr>
      <xdr:spPr>
        <a:xfrm>
          <a:off x="6273800" y="6604000"/>
          <a:ext cx="2895600" cy="4025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-- </a:t>
          </a:r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補充・回収・売上　件数・金額取得</a:t>
          </a: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SELECT</a:t>
          </a:r>
        </a:p>
        <a:p>
          <a:pPr marL="0" indent="0"/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charge_info.Class AS '</a:t>
          </a:r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区分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', </a:t>
          </a:r>
        </a:p>
        <a:p>
          <a:pPr marL="0" indent="0"/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COUNT(*) AS '</a:t>
          </a:r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件数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',</a:t>
          </a:r>
        </a:p>
        <a:p>
          <a:pPr marL="0" indent="0"/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SUM(charge_info.amount) AS '</a:t>
          </a:r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金額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'</a:t>
          </a: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FROM charge_info</a:t>
          </a: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WHERE</a:t>
          </a:r>
        </a:p>
        <a:p>
          <a:pPr marL="0" indent="0"/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CompanyCode = '200' AND</a:t>
          </a:r>
        </a:p>
        <a:p>
          <a:pPr marL="0" indent="0"/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StoreCode = '02701' AND</a:t>
          </a:r>
        </a:p>
        <a:p>
          <a:pPr marL="0" indent="0"/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InstoreCode = '6201' AND</a:t>
          </a:r>
        </a:p>
        <a:p>
          <a:pPr marL="0" indent="0"/>
          <a:r>
            <a:rPr kumimoji="1" lang="ja-JP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`Inspection datetime` IS NULL</a:t>
          </a: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GROUP BY</a:t>
          </a: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CompanyCode, StoreCode,InstoreCode, Class;</a:t>
          </a:r>
          <a:endParaRPr kumimoji="1" lang="ja-JP" altLang="en-US" sz="100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38</xdr:col>
      <xdr:colOff>0</xdr:colOff>
      <xdr:row>34</xdr:row>
      <xdr:rowOff>0</xdr:rowOff>
    </xdr:from>
    <xdr:to>
      <xdr:col>50</xdr:col>
      <xdr:colOff>0</xdr:colOff>
      <xdr:row>54</xdr:row>
      <xdr:rowOff>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1CA774C0-318E-442B-A830-AE8F4E324E68}"/>
            </a:ext>
          </a:extLst>
        </xdr:cNvPr>
        <xdr:cNvSpPr txBox="1"/>
      </xdr:nvSpPr>
      <xdr:spPr>
        <a:xfrm>
          <a:off x="9169400" y="6604000"/>
          <a:ext cx="2895600" cy="4025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-- </a:t>
          </a:r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レシート番号を取得</a:t>
          </a: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SELECT</a:t>
          </a:r>
        </a:p>
        <a:p>
          <a:pPr marL="0" indent="0"/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ReceiptNo</a:t>
          </a: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FROM charge_receipt_no</a:t>
          </a: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WHERE</a:t>
          </a:r>
        </a:p>
        <a:p>
          <a:pPr marL="0" indent="0"/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CompanyCode = '200' </a:t>
          </a:r>
        </a:p>
        <a:p>
          <a:pPr marL="0" indent="0"/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AND StoreCode = '02701' </a:t>
          </a:r>
        </a:p>
        <a:p>
          <a:pPr marL="0" indent="0"/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AND InstoreCode = '6201';</a:t>
          </a:r>
          <a:endParaRPr kumimoji="1" lang="ja-JP" altLang="en-US" sz="100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34</xdr:row>
      <xdr:rowOff>0</xdr:rowOff>
    </xdr:from>
    <xdr:to>
      <xdr:col>15</xdr:col>
      <xdr:colOff>0</xdr:colOff>
      <xdr:row>49</xdr:row>
      <xdr:rowOff>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4F0D8E07-F6C8-4D33-8C1B-7A655C31A8B3}"/>
            </a:ext>
          </a:extLst>
        </xdr:cNvPr>
        <xdr:cNvSpPr txBox="1"/>
      </xdr:nvSpPr>
      <xdr:spPr>
        <a:xfrm>
          <a:off x="241300" y="6604000"/>
          <a:ext cx="3378200" cy="3009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-- </a:t>
          </a:r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点検日次更新</a:t>
          </a: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UPDATE charge_info SET InspectionDatetime =NOW()</a:t>
          </a: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WHERE</a:t>
          </a:r>
        </a:p>
        <a:p>
          <a:pPr marL="0" indent="0"/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CompanyCode = '200' </a:t>
          </a:r>
        </a:p>
        <a:p>
          <a:pPr marL="0" indent="0"/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AND StoreCode = '02701' </a:t>
          </a:r>
        </a:p>
        <a:p>
          <a:pPr marL="0" indent="0"/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　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AND InstoreCode = '6201';</a:t>
          </a:r>
        </a:p>
      </xdr:txBody>
    </xdr:sp>
    <xdr:clientData/>
  </xdr:twoCellAnchor>
  <xdr:twoCellAnchor>
    <xdr:from>
      <xdr:col>1</xdr:col>
      <xdr:colOff>12700</xdr:colOff>
      <xdr:row>12</xdr:row>
      <xdr:rowOff>177800</xdr:rowOff>
    </xdr:from>
    <xdr:to>
      <xdr:col>27</xdr:col>
      <xdr:colOff>25400</xdr:colOff>
      <xdr:row>16</xdr:row>
      <xdr:rowOff>12700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815057F-0F56-4BA4-B480-92725BAEB87F}"/>
            </a:ext>
          </a:extLst>
        </xdr:cNvPr>
        <xdr:cNvSpPr/>
      </xdr:nvSpPr>
      <xdr:spPr>
        <a:xfrm>
          <a:off x="250825" y="2578100"/>
          <a:ext cx="6203950" cy="5969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25</xdr:col>
      <xdr:colOff>25400</xdr:colOff>
      <xdr:row>9</xdr:row>
      <xdr:rowOff>101600</xdr:rowOff>
    </xdr:from>
    <xdr:to>
      <xdr:col>37</xdr:col>
      <xdr:colOff>152400</xdr:colOff>
      <xdr:row>12</xdr:row>
      <xdr:rowOff>152400</xdr:rowOff>
    </xdr:to>
    <xdr:sp macro="" textlink="">
      <xdr:nvSpPr>
        <xdr:cNvPr id="4" name="吹き出し: 四角形 3">
          <a:extLst>
            <a:ext uri="{FF2B5EF4-FFF2-40B4-BE49-F238E27FC236}">
              <a16:creationId xmlns:a16="http://schemas.microsoft.com/office/drawing/2014/main" id="{BF923BFC-BDA4-450A-9404-D0FF6F5FB505}"/>
            </a:ext>
          </a:extLst>
        </xdr:cNvPr>
        <xdr:cNvSpPr/>
      </xdr:nvSpPr>
      <xdr:spPr>
        <a:xfrm>
          <a:off x="5978525" y="1930400"/>
          <a:ext cx="2984500" cy="622300"/>
        </a:xfrm>
        <a:prstGeom prst="wedgeRectCallout">
          <a:avLst>
            <a:gd name="adj1" fmla="val -60749"/>
            <a:gd name="adj2" fmla="val 66582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ja-JP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Bearer</a:t>
          </a:r>
          <a:r>
            <a:rPr lang="ja-JP" alt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にて確定できるなら、不要</a:t>
          </a:r>
          <a:endParaRPr kumimoji="1" lang="ja-JP" altLang="en-US" sz="1100"/>
        </a:p>
      </xdr:txBody>
    </xdr:sp>
    <xdr:clientData/>
  </xdr:twoCellAnchor>
  <xdr:twoCellAnchor>
    <xdr:from>
      <xdr:col>15</xdr:col>
      <xdr:colOff>0</xdr:colOff>
      <xdr:row>34</xdr:row>
      <xdr:rowOff>0</xdr:rowOff>
    </xdr:from>
    <xdr:to>
      <xdr:col>49</xdr:col>
      <xdr:colOff>38100</xdr:colOff>
      <xdr:row>49</xdr:row>
      <xdr:rowOff>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F8DACE96-3132-4E31-9A12-9C82B163E409}"/>
            </a:ext>
          </a:extLst>
        </xdr:cNvPr>
        <xdr:cNvSpPr txBox="1"/>
      </xdr:nvSpPr>
      <xdr:spPr>
        <a:xfrm>
          <a:off x="3619500" y="6604000"/>
          <a:ext cx="8242300" cy="3009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-- </a:t>
          </a:r>
          <a:r>
            <a:rPr kumimoji="1" lang="ja-JP" altLang="en-US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レジ番号更新</a:t>
          </a: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UPDATE charge_receipt_no SET ReceiptNo = CASE WHEN ReceiptNo &gt;= 99999 THEN 90000 ELSE ReceiptNo +1 END</a:t>
          </a: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WHERE</a:t>
          </a:r>
        </a:p>
        <a:p>
          <a:pPr marL="0" indent="0"/>
          <a:r>
            <a:rPr kumimoji="1" lang="ja-JP" altLang="en-US" sz="1000" baseline="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</a:t>
          </a:r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CompanyCode = '200' </a:t>
          </a: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AND StoreCode = '02701' </a:t>
          </a:r>
        </a:p>
        <a:p>
          <a:pPr marL="0" indent="0"/>
          <a:r>
            <a:rPr kumimoji="1" lang="en-US" altLang="ja-JP" sz="1000">
              <a:solidFill>
                <a:schemeClr val="dk1"/>
              </a:solidFill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 AND InstoreCode = '6201';</a:t>
          </a:r>
          <a:endParaRPr kumimoji="1" lang="ja-JP" altLang="en-US" sz="1000">
            <a:solidFill>
              <a:schemeClr val="dk1"/>
            </a:solidFill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7</xdr:row>
      <xdr:rowOff>0</xdr:rowOff>
    </xdr:from>
    <xdr:to>
      <xdr:col>20</xdr:col>
      <xdr:colOff>12548</xdr:colOff>
      <xdr:row>9</xdr:row>
      <xdr:rowOff>9476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E2CA484-8780-438F-8927-295855056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0" y="1460500"/>
          <a:ext cx="1219048" cy="390476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21</xdr:col>
      <xdr:colOff>209343</xdr:colOff>
      <xdr:row>19</xdr:row>
      <xdr:rowOff>190452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2317ADD8-77B0-65BA-0026-B27764ADD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9500" y="3556000"/>
          <a:ext cx="1657143" cy="380952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25</xdr:col>
      <xdr:colOff>225095</xdr:colOff>
      <xdr:row>30</xdr:row>
      <xdr:rowOff>19000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00E941E-9DC7-6D6C-1199-F775C998B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9500" y="5461000"/>
          <a:ext cx="2638095" cy="4000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49</xdr:row>
      <xdr:rowOff>0</xdr:rowOff>
    </xdr:from>
    <xdr:to>
      <xdr:col>26</xdr:col>
      <xdr:colOff>78679</xdr:colOff>
      <xdr:row>55</xdr:row>
      <xdr:rowOff>152400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910B4D97-2124-326F-A2C2-8047D7D3B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19500" y="9461500"/>
          <a:ext cx="2732979" cy="12954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63</xdr:row>
      <xdr:rowOff>0</xdr:rowOff>
    </xdr:from>
    <xdr:to>
      <xdr:col>25</xdr:col>
      <xdr:colOff>117549</xdr:colOff>
      <xdr:row>68</xdr:row>
      <xdr:rowOff>50800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B9EFAB57-7ABB-998C-A23C-D4A695A04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19500" y="12230100"/>
          <a:ext cx="2530549" cy="1066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A4333-217D-447E-A647-C9ECA840D97D}">
  <dimension ref="A1:BK55"/>
  <sheetViews>
    <sheetView view="pageBreakPreview" zoomScale="75" zoomScaleNormal="75" zoomScaleSheetLayoutView="75" workbookViewId="0">
      <selection activeCell="A6" sqref="A6"/>
    </sheetView>
  </sheetViews>
  <sheetFormatPr defaultRowHeight="15.75"/>
  <cols>
    <col min="1" max="63" width="2.77734375" customWidth="1"/>
  </cols>
  <sheetData>
    <row r="1" spans="1:63" ht="24.95" customHeight="1">
      <c r="A1" s="190" t="s">
        <v>0</v>
      </c>
      <c r="B1" s="191"/>
      <c r="C1" s="191"/>
      <c r="D1" s="191"/>
      <c r="E1" s="191"/>
      <c r="F1" s="191"/>
      <c r="G1" s="191"/>
      <c r="H1" s="191"/>
      <c r="I1" s="191"/>
      <c r="J1" s="192"/>
      <c r="K1" s="190" t="s">
        <v>2</v>
      </c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2"/>
      <c r="W1" s="193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5"/>
      <c r="AP1" s="190" t="s">
        <v>3</v>
      </c>
      <c r="AQ1" s="191"/>
      <c r="AR1" s="191"/>
      <c r="AS1" s="192"/>
      <c r="AT1" s="190" t="s">
        <v>4</v>
      </c>
      <c r="AU1" s="191"/>
      <c r="AV1" s="191"/>
      <c r="AW1" s="191"/>
      <c r="AX1" s="192"/>
      <c r="AY1" s="190" t="s">
        <v>5</v>
      </c>
      <c r="AZ1" s="191"/>
      <c r="BA1" s="191"/>
      <c r="BB1" s="192"/>
      <c r="BC1" s="190" t="s">
        <v>6</v>
      </c>
      <c r="BD1" s="191"/>
      <c r="BE1" s="191"/>
      <c r="BF1" s="191"/>
      <c r="BG1" s="192"/>
      <c r="BH1" s="190" t="s">
        <v>7</v>
      </c>
      <c r="BI1" s="191"/>
      <c r="BJ1" s="191"/>
      <c r="BK1" s="192"/>
    </row>
    <row r="2" spans="1:63" ht="15" customHeight="1">
      <c r="A2" s="175" t="s">
        <v>14</v>
      </c>
      <c r="B2" s="176"/>
      <c r="C2" s="176"/>
      <c r="D2" s="176"/>
      <c r="E2" s="176"/>
      <c r="F2" s="176"/>
      <c r="G2" s="176"/>
      <c r="H2" s="176"/>
      <c r="I2" s="176"/>
      <c r="J2" s="177"/>
      <c r="K2" s="175"/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7"/>
      <c r="W2" s="196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8"/>
      <c r="AP2" s="175" t="str">
        <f>改廃履歴!$H$11</f>
        <v>Thanh Nguyên</v>
      </c>
      <c r="AQ2" s="176"/>
      <c r="AR2" s="176"/>
      <c r="AS2" s="177"/>
      <c r="AT2" s="208">
        <f>改廃履歴!$B$11</f>
        <v>45153</v>
      </c>
      <c r="AU2" s="209"/>
      <c r="AV2" s="209"/>
      <c r="AW2" s="209"/>
      <c r="AX2" s="210"/>
      <c r="AY2" s="175" t="str">
        <f>LOOKUP(2,1/(改廃履歴!H11:H30000&lt;&gt;""),改廃履歴!H11:H30000)</f>
        <v>Thanh Nguyên</v>
      </c>
      <c r="AZ2" s="176"/>
      <c r="BA2" s="176"/>
      <c r="BB2" s="177"/>
      <c r="BC2" s="208">
        <f>LOOKUP(2,1/(改廃履歴!B11:B30000&lt;&gt;""),改廃履歴!B11:B30000)</f>
        <v>45153</v>
      </c>
      <c r="BD2" s="209"/>
      <c r="BE2" s="209"/>
      <c r="BF2" s="209"/>
      <c r="BG2" s="210"/>
      <c r="BH2" s="202">
        <f>LOOKUP(2,1/(改廃履歴!O11:O30000&lt;&gt;""),改廃履歴!O11:O30000)</f>
        <v>0.5</v>
      </c>
      <c r="BI2" s="203"/>
      <c r="BJ2" s="203"/>
      <c r="BK2" s="204"/>
    </row>
    <row r="3" spans="1:63" ht="15" customHeight="1">
      <c r="A3" s="181"/>
      <c r="B3" s="182"/>
      <c r="C3" s="182"/>
      <c r="D3" s="182"/>
      <c r="E3" s="182"/>
      <c r="F3" s="182"/>
      <c r="G3" s="182"/>
      <c r="H3" s="182"/>
      <c r="I3" s="182"/>
      <c r="J3" s="183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3"/>
      <c r="W3" s="199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1"/>
      <c r="AP3" s="181"/>
      <c r="AQ3" s="182"/>
      <c r="AR3" s="182"/>
      <c r="AS3" s="183"/>
      <c r="AT3" s="211"/>
      <c r="AU3" s="212"/>
      <c r="AV3" s="212"/>
      <c r="AW3" s="212"/>
      <c r="AX3" s="213"/>
      <c r="AY3" s="181"/>
      <c r="AZ3" s="182"/>
      <c r="BA3" s="182"/>
      <c r="BB3" s="183"/>
      <c r="BC3" s="211"/>
      <c r="BD3" s="212"/>
      <c r="BE3" s="212"/>
      <c r="BF3" s="212"/>
      <c r="BG3" s="213"/>
      <c r="BH3" s="205"/>
      <c r="BI3" s="206"/>
      <c r="BJ3" s="206"/>
      <c r="BK3" s="207"/>
    </row>
    <row r="4" spans="1:63" ht="24.95" customHeight="1">
      <c r="A4" s="190" t="s">
        <v>1</v>
      </c>
      <c r="B4" s="191"/>
      <c r="C4" s="191"/>
      <c r="D4" s="191"/>
      <c r="E4" s="191"/>
      <c r="F4" s="191"/>
      <c r="G4" s="192"/>
      <c r="H4" s="214"/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  <c r="U4" s="190" t="s">
        <v>8</v>
      </c>
      <c r="V4" s="191"/>
      <c r="W4" s="191"/>
      <c r="X4" s="191"/>
      <c r="Y4" s="192"/>
      <c r="Z4" s="214"/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6"/>
      <c r="AP4" s="214" t="str" cm="1">
        <f t="array" aca="1" ref="AP4" ca="1">RIGHT(CELL("filename",$A$1),LEN(CELL("filename",$A$1))-FIND("]",CELL("filename",$A$1)))</f>
        <v>表紙</v>
      </c>
      <c r="AQ4" s="215"/>
      <c r="AR4" s="215"/>
      <c r="AS4" s="215"/>
      <c r="AT4" s="215"/>
      <c r="AU4" s="215"/>
      <c r="AV4" s="215"/>
      <c r="AW4" s="215"/>
      <c r="AX4" s="215"/>
      <c r="AY4" s="215"/>
      <c r="AZ4" s="215"/>
      <c r="BA4" s="215"/>
      <c r="BB4" s="215"/>
      <c r="BC4" s="215"/>
      <c r="BD4" s="215"/>
      <c r="BE4" s="215"/>
      <c r="BF4" s="215"/>
      <c r="BG4" s="215"/>
      <c r="BH4" s="215"/>
      <c r="BI4" s="215"/>
      <c r="BJ4" s="215"/>
      <c r="BK4" s="216"/>
    </row>
    <row r="5" spans="1:63" ht="5.0999999999999996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8"/>
    </row>
    <row r="6" spans="1:63" ht="15" customHeight="1">
      <c r="A6" s="1"/>
      <c r="BK6" s="7"/>
    </row>
    <row r="7" spans="1:63" ht="15" customHeight="1">
      <c r="A7" s="1"/>
      <c r="BK7" s="7"/>
    </row>
    <row r="8" spans="1:63" ht="15" customHeight="1">
      <c r="A8" s="1"/>
      <c r="BK8" s="7"/>
    </row>
    <row r="9" spans="1:63" ht="15" customHeight="1">
      <c r="A9" s="1"/>
      <c r="BK9" s="7"/>
    </row>
    <row r="10" spans="1:63" ht="15" customHeight="1">
      <c r="A10" s="1"/>
      <c r="BK10" s="7"/>
    </row>
    <row r="11" spans="1:63" ht="15" customHeight="1">
      <c r="A11" s="1"/>
      <c r="BK11" s="7"/>
    </row>
    <row r="12" spans="1:63" ht="15" customHeight="1">
      <c r="A12" s="1"/>
      <c r="BK12" s="7"/>
    </row>
    <row r="13" spans="1:63" ht="15" customHeight="1">
      <c r="A13" s="1"/>
      <c r="BK13" s="7"/>
    </row>
    <row r="14" spans="1:63" ht="15" customHeight="1" thickBot="1">
      <c r="A14" s="1"/>
      <c r="BK14" s="7"/>
    </row>
    <row r="15" spans="1:63" ht="15" customHeight="1" thickTop="1">
      <c r="A15" s="1"/>
      <c r="K15" s="11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5"/>
      <c r="BK15" s="7"/>
    </row>
    <row r="16" spans="1:63" ht="15" customHeight="1">
      <c r="A16" s="1"/>
      <c r="K16" s="10"/>
      <c r="L16" s="174" t="s">
        <v>15</v>
      </c>
      <c r="M16" s="174"/>
      <c r="N16" s="174"/>
      <c r="O16" s="174"/>
      <c r="P16" s="174"/>
      <c r="Q16" s="174"/>
      <c r="R16" s="174"/>
      <c r="S16" s="174"/>
      <c r="T16" s="174"/>
      <c r="U16" s="174"/>
      <c r="V16" s="174"/>
      <c r="W16" s="174"/>
      <c r="X16" s="174"/>
      <c r="Y16" s="174"/>
      <c r="Z16" s="174"/>
      <c r="AA16" s="174"/>
      <c r="AB16" s="174"/>
      <c r="AC16" s="174"/>
      <c r="AD16" s="174"/>
      <c r="AE16" s="174"/>
      <c r="AF16" s="174"/>
      <c r="AG16" s="174"/>
      <c r="AH16" s="174"/>
      <c r="AI16" s="174"/>
      <c r="AJ16" s="174"/>
      <c r="AK16" s="174"/>
      <c r="AL16" s="174"/>
      <c r="AM16" s="174"/>
      <c r="AN16" s="174"/>
      <c r="AO16" s="174"/>
      <c r="AP16" s="174"/>
      <c r="AQ16" s="174"/>
      <c r="AR16" s="174"/>
      <c r="AS16" s="174"/>
      <c r="AT16" s="174"/>
      <c r="AU16" s="174"/>
      <c r="AV16" s="174"/>
      <c r="AW16" s="174"/>
      <c r="AX16" s="174"/>
      <c r="AY16" s="174"/>
      <c r="AZ16" s="174"/>
      <c r="BA16" s="16"/>
      <c r="BK16" s="7"/>
    </row>
    <row r="17" spans="1:63" ht="15" customHeight="1">
      <c r="A17" s="1"/>
      <c r="K17" s="10"/>
      <c r="L17" s="174"/>
      <c r="M17" s="174"/>
      <c r="N17" s="174"/>
      <c r="O17" s="174"/>
      <c r="P17" s="174"/>
      <c r="Q17" s="174"/>
      <c r="R17" s="174"/>
      <c r="S17" s="174"/>
      <c r="T17" s="174"/>
      <c r="U17" s="174"/>
      <c r="V17" s="174"/>
      <c r="W17" s="174"/>
      <c r="X17" s="174"/>
      <c r="Y17" s="174"/>
      <c r="Z17" s="174"/>
      <c r="AA17" s="174"/>
      <c r="AB17" s="174"/>
      <c r="AC17" s="174"/>
      <c r="AD17" s="174"/>
      <c r="AE17" s="174"/>
      <c r="AF17" s="174"/>
      <c r="AG17" s="174"/>
      <c r="AH17" s="174"/>
      <c r="AI17" s="174"/>
      <c r="AJ17" s="174"/>
      <c r="AK17" s="174"/>
      <c r="AL17" s="174"/>
      <c r="AM17" s="174"/>
      <c r="AN17" s="174"/>
      <c r="AO17" s="174"/>
      <c r="AP17" s="174"/>
      <c r="AQ17" s="174"/>
      <c r="AR17" s="174"/>
      <c r="AS17" s="174"/>
      <c r="AT17" s="174"/>
      <c r="AU17" s="174"/>
      <c r="AV17" s="174"/>
      <c r="AW17" s="174"/>
      <c r="AX17" s="174"/>
      <c r="AY17" s="174"/>
      <c r="AZ17" s="174"/>
      <c r="BA17" s="16"/>
      <c r="BK17" s="7"/>
    </row>
    <row r="18" spans="1:63" ht="15" customHeight="1">
      <c r="A18" s="1"/>
      <c r="K18" s="10"/>
      <c r="L18" s="174"/>
      <c r="M18" s="174"/>
      <c r="N18" s="174"/>
      <c r="O18" s="174"/>
      <c r="P18" s="174"/>
      <c r="Q18" s="174"/>
      <c r="R18" s="174"/>
      <c r="S18" s="174"/>
      <c r="T18" s="174"/>
      <c r="U18" s="174"/>
      <c r="V18" s="174"/>
      <c r="W18" s="174"/>
      <c r="X18" s="174"/>
      <c r="Y18" s="174"/>
      <c r="Z18" s="174"/>
      <c r="AA18" s="174"/>
      <c r="AB18" s="174"/>
      <c r="AC18" s="174"/>
      <c r="AD18" s="174"/>
      <c r="AE18" s="174"/>
      <c r="AF18" s="174"/>
      <c r="AG18" s="174"/>
      <c r="AH18" s="174"/>
      <c r="AI18" s="174"/>
      <c r="AJ18" s="174"/>
      <c r="AK18" s="174"/>
      <c r="AL18" s="174"/>
      <c r="AM18" s="174"/>
      <c r="AN18" s="174"/>
      <c r="AO18" s="174"/>
      <c r="AP18" s="174"/>
      <c r="AQ18" s="174"/>
      <c r="AR18" s="174"/>
      <c r="AS18" s="174"/>
      <c r="AT18" s="174"/>
      <c r="AU18" s="174"/>
      <c r="AV18" s="174"/>
      <c r="AW18" s="174"/>
      <c r="AX18" s="174"/>
      <c r="AY18" s="174"/>
      <c r="AZ18" s="174"/>
      <c r="BA18" s="16"/>
      <c r="BK18" s="7"/>
    </row>
    <row r="19" spans="1:63" ht="15" customHeight="1">
      <c r="A19" s="1"/>
      <c r="K19" s="10"/>
      <c r="L19" s="174"/>
      <c r="M19" s="174"/>
      <c r="N19" s="174"/>
      <c r="O19" s="174"/>
      <c r="P19" s="174"/>
      <c r="Q19" s="174"/>
      <c r="R19" s="174"/>
      <c r="S19" s="174"/>
      <c r="T19" s="174"/>
      <c r="U19" s="174"/>
      <c r="V19" s="174"/>
      <c r="W19" s="174"/>
      <c r="X19" s="174"/>
      <c r="Y19" s="174"/>
      <c r="Z19" s="174"/>
      <c r="AA19" s="174"/>
      <c r="AB19" s="174"/>
      <c r="AC19" s="174"/>
      <c r="AD19" s="174"/>
      <c r="AE19" s="174"/>
      <c r="AF19" s="174"/>
      <c r="AG19" s="174"/>
      <c r="AH19" s="174"/>
      <c r="AI19" s="174"/>
      <c r="AJ19" s="174"/>
      <c r="AK19" s="174"/>
      <c r="AL19" s="174"/>
      <c r="AM19" s="174"/>
      <c r="AN19" s="174"/>
      <c r="AO19" s="174"/>
      <c r="AP19" s="174"/>
      <c r="AQ19" s="174"/>
      <c r="AR19" s="174"/>
      <c r="AS19" s="174"/>
      <c r="AT19" s="174"/>
      <c r="AU19" s="174"/>
      <c r="AV19" s="174"/>
      <c r="AW19" s="174"/>
      <c r="AX19" s="174"/>
      <c r="AY19" s="174"/>
      <c r="AZ19" s="174"/>
      <c r="BA19" s="16"/>
      <c r="BK19" s="7"/>
    </row>
    <row r="20" spans="1:63" ht="15" customHeight="1">
      <c r="A20" s="1"/>
      <c r="K20" s="10"/>
      <c r="L20" s="174"/>
      <c r="M20" s="174"/>
      <c r="N20" s="174"/>
      <c r="O20" s="174"/>
      <c r="P20" s="174"/>
      <c r="Q20" s="174"/>
      <c r="R20" s="174"/>
      <c r="S20" s="174"/>
      <c r="T20" s="174"/>
      <c r="U20" s="174"/>
      <c r="V20" s="174"/>
      <c r="W20" s="174"/>
      <c r="X20" s="174"/>
      <c r="Y20" s="174"/>
      <c r="Z20" s="174"/>
      <c r="AA20" s="174"/>
      <c r="AB20" s="174"/>
      <c r="AC20" s="174"/>
      <c r="AD20" s="174"/>
      <c r="AE20" s="174"/>
      <c r="AF20" s="174"/>
      <c r="AG20" s="174"/>
      <c r="AH20" s="174"/>
      <c r="AI20" s="174"/>
      <c r="AJ20" s="174"/>
      <c r="AK20" s="174"/>
      <c r="AL20" s="174"/>
      <c r="AM20" s="174"/>
      <c r="AN20" s="174"/>
      <c r="AO20" s="174"/>
      <c r="AP20" s="174"/>
      <c r="AQ20" s="174"/>
      <c r="AR20" s="174"/>
      <c r="AS20" s="174"/>
      <c r="AT20" s="174"/>
      <c r="AU20" s="174"/>
      <c r="AV20" s="174"/>
      <c r="AW20" s="174"/>
      <c r="AX20" s="174"/>
      <c r="AY20" s="174"/>
      <c r="AZ20" s="174"/>
      <c r="BA20" s="16"/>
      <c r="BK20" s="7"/>
    </row>
    <row r="21" spans="1:63" ht="15" customHeight="1">
      <c r="A21" s="1"/>
      <c r="K21" s="10"/>
      <c r="L21" s="174"/>
      <c r="M21" s="174"/>
      <c r="N21" s="174"/>
      <c r="O21" s="174"/>
      <c r="P21" s="174"/>
      <c r="Q21" s="174"/>
      <c r="R21" s="174"/>
      <c r="S21" s="174"/>
      <c r="T21" s="174"/>
      <c r="U21" s="174"/>
      <c r="V21" s="174"/>
      <c r="W21" s="174"/>
      <c r="X21" s="174"/>
      <c r="Y21" s="174"/>
      <c r="Z21" s="174"/>
      <c r="AA21" s="174"/>
      <c r="AB21" s="174"/>
      <c r="AC21" s="174"/>
      <c r="AD21" s="174"/>
      <c r="AE21" s="174"/>
      <c r="AF21" s="174"/>
      <c r="AG21" s="174"/>
      <c r="AH21" s="174"/>
      <c r="AI21" s="174"/>
      <c r="AJ21" s="174"/>
      <c r="AK21" s="174"/>
      <c r="AL21" s="174"/>
      <c r="AM21" s="174"/>
      <c r="AN21" s="174"/>
      <c r="AO21" s="174"/>
      <c r="AP21" s="174"/>
      <c r="AQ21" s="174"/>
      <c r="AR21" s="174"/>
      <c r="AS21" s="174"/>
      <c r="AT21" s="174"/>
      <c r="AU21" s="174"/>
      <c r="AV21" s="174"/>
      <c r="AW21" s="174"/>
      <c r="AX21" s="174"/>
      <c r="AY21" s="174"/>
      <c r="AZ21" s="174"/>
      <c r="BA21" s="16"/>
      <c r="BK21" s="7"/>
    </row>
    <row r="22" spans="1:63" ht="15" customHeight="1" thickBot="1">
      <c r="A22" s="1"/>
      <c r="K22" s="10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6"/>
      <c r="BK22" s="7"/>
    </row>
    <row r="23" spans="1:63" ht="15" customHeight="1">
      <c r="A23" s="1"/>
      <c r="K23" s="10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6"/>
      <c r="BK23" s="7"/>
    </row>
    <row r="24" spans="1:63" ht="15" customHeight="1">
      <c r="A24" s="1"/>
      <c r="K24" s="10"/>
      <c r="L24" s="174" t="str">
        <f>K2&amp;"/"&amp;H4&amp;"/"&amp;Z4</f>
        <v>//</v>
      </c>
      <c r="M24" s="174"/>
      <c r="N24" s="174"/>
      <c r="O24" s="174"/>
      <c r="P24" s="174"/>
      <c r="Q24" s="174"/>
      <c r="R24" s="174"/>
      <c r="S24" s="174"/>
      <c r="T24" s="174"/>
      <c r="U24" s="174"/>
      <c r="V24" s="174"/>
      <c r="W24" s="174"/>
      <c r="X24" s="174"/>
      <c r="Y24" s="174"/>
      <c r="Z24" s="174"/>
      <c r="AA24" s="174"/>
      <c r="AB24" s="174"/>
      <c r="AC24" s="174"/>
      <c r="AD24" s="174"/>
      <c r="AE24" s="174"/>
      <c r="AF24" s="174"/>
      <c r="AG24" s="174"/>
      <c r="AH24" s="174"/>
      <c r="AI24" s="174"/>
      <c r="AJ24" s="174"/>
      <c r="AK24" s="174"/>
      <c r="AL24" s="174"/>
      <c r="AM24" s="174"/>
      <c r="AN24" s="174"/>
      <c r="AO24" s="174"/>
      <c r="AP24" s="174"/>
      <c r="AQ24" s="174"/>
      <c r="AR24" s="174"/>
      <c r="AS24" s="174"/>
      <c r="AT24" s="174"/>
      <c r="AU24" s="174"/>
      <c r="AV24" s="174"/>
      <c r="AW24" s="174"/>
      <c r="AX24" s="174"/>
      <c r="AY24" s="174"/>
      <c r="AZ24" s="174"/>
      <c r="BA24" s="16"/>
      <c r="BK24" s="7"/>
    </row>
    <row r="25" spans="1:63" ht="15" customHeight="1">
      <c r="A25" s="1"/>
      <c r="K25" s="10"/>
      <c r="L25" s="174"/>
      <c r="M25" s="174"/>
      <c r="N25" s="174"/>
      <c r="O25" s="174"/>
      <c r="P25" s="174"/>
      <c r="Q25" s="174"/>
      <c r="R25" s="174"/>
      <c r="S25" s="174"/>
      <c r="T25" s="174"/>
      <c r="U25" s="174"/>
      <c r="V25" s="174"/>
      <c r="W25" s="174"/>
      <c r="X25" s="174"/>
      <c r="Y25" s="174"/>
      <c r="Z25" s="174"/>
      <c r="AA25" s="174"/>
      <c r="AB25" s="174"/>
      <c r="AC25" s="174"/>
      <c r="AD25" s="174"/>
      <c r="AE25" s="174"/>
      <c r="AF25" s="174"/>
      <c r="AG25" s="174"/>
      <c r="AH25" s="174"/>
      <c r="AI25" s="174"/>
      <c r="AJ25" s="174"/>
      <c r="AK25" s="174"/>
      <c r="AL25" s="174"/>
      <c r="AM25" s="174"/>
      <c r="AN25" s="174"/>
      <c r="AO25" s="174"/>
      <c r="AP25" s="174"/>
      <c r="AQ25" s="174"/>
      <c r="AR25" s="174"/>
      <c r="AS25" s="174"/>
      <c r="AT25" s="174"/>
      <c r="AU25" s="174"/>
      <c r="AV25" s="174"/>
      <c r="AW25" s="174"/>
      <c r="AX25" s="174"/>
      <c r="AY25" s="174"/>
      <c r="AZ25" s="174"/>
      <c r="BA25" s="16"/>
      <c r="BK25" s="7"/>
    </row>
    <row r="26" spans="1:63" ht="15" customHeight="1">
      <c r="A26" s="1"/>
      <c r="K26" s="10"/>
      <c r="L26" s="174"/>
      <c r="M26" s="174"/>
      <c r="N26" s="174"/>
      <c r="O26" s="174"/>
      <c r="P26" s="174"/>
      <c r="Q26" s="174"/>
      <c r="R26" s="174"/>
      <c r="S26" s="174"/>
      <c r="T26" s="174"/>
      <c r="U26" s="174"/>
      <c r="V26" s="174"/>
      <c r="W26" s="174"/>
      <c r="X26" s="174"/>
      <c r="Y26" s="174"/>
      <c r="Z26" s="174"/>
      <c r="AA26" s="174"/>
      <c r="AB26" s="174"/>
      <c r="AC26" s="174"/>
      <c r="AD26" s="174"/>
      <c r="AE26" s="174"/>
      <c r="AF26" s="174"/>
      <c r="AG26" s="174"/>
      <c r="AH26" s="174"/>
      <c r="AI26" s="174"/>
      <c r="AJ26" s="174"/>
      <c r="AK26" s="174"/>
      <c r="AL26" s="174"/>
      <c r="AM26" s="174"/>
      <c r="AN26" s="174"/>
      <c r="AO26" s="174"/>
      <c r="AP26" s="174"/>
      <c r="AQ26" s="174"/>
      <c r="AR26" s="174"/>
      <c r="AS26" s="174"/>
      <c r="AT26" s="174"/>
      <c r="AU26" s="174"/>
      <c r="AV26" s="174"/>
      <c r="AW26" s="174"/>
      <c r="AX26" s="174"/>
      <c r="AY26" s="174"/>
      <c r="AZ26" s="174"/>
      <c r="BA26" s="16"/>
      <c r="BK26" s="7"/>
    </row>
    <row r="27" spans="1:63" ht="15" customHeight="1">
      <c r="A27" s="1"/>
      <c r="K27" s="10"/>
      <c r="L27" s="174"/>
      <c r="M27" s="174"/>
      <c r="N27" s="174"/>
      <c r="O27" s="174"/>
      <c r="P27" s="174"/>
      <c r="Q27" s="174"/>
      <c r="R27" s="174"/>
      <c r="S27" s="174"/>
      <c r="T27" s="174"/>
      <c r="U27" s="174"/>
      <c r="V27" s="174"/>
      <c r="W27" s="174"/>
      <c r="X27" s="174"/>
      <c r="Y27" s="174"/>
      <c r="Z27" s="174"/>
      <c r="AA27" s="174"/>
      <c r="AB27" s="174"/>
      <c r="AC27" s="174"/>
      <c r="AD27" s="174"/>
      <c r="AE27" s="174"/>
      <c r="AF27" s="174"/>
      <c r="AG27" s="174"/>
      <c r="AH27" s="174"/>
      <c r="AI27" s="174"/>
      <c r="AJ27" s="174"/>
      <c r="AK27" s="174"/>
      <c r="AL27" s="174"/>
      <c r="AM27" s="174"/>
      <c r="AN27" s="174"/>
      <c r="AO27" s="174"/>
      <c r="AP27" s="174"/>
      <c r="AQ27" s="174"/>
      <c r="AR27" s="174"/>
      <c r="AS27" s="174"/>
      <c r="AT27" s="174"/>
      <c r="AU27" s="174"/>
      <c r="AV27" s="174"/>
      <c r="AW27" s="174"/>
      <c r="AX27" s="174"/>
      <c r="AY27" s="174"/>
      <c r="AZ27" s="174"/>
      <c r="BA27" s="16"/>
      <c r="BK27" s="7"/>
    </row>
    <row r="28" spans="1:63" ht="15" customHeight="1">
      <c r="A28" s="1"/>
      <c r="K28" s="10"/>
      <c r="L28" s="174"/>
      <c r="M28" s="174"/>
      <c r="N28" s="174"/>
      <c r="O28" s="174"/>
      <c r="P28" s="174"/>
      <c r="Q28" s="174"/>
      <c r="R28" s="174"/>
      <c r="S28" s="174"/>
      <c r="T28" s="174"/>
      <c r="U28" s="174"/>
      <c r="V28" s="174"/>
      <c r="W28" s="174"/>
      <c r="X28" s="174"/>
      <c r="Y28" s="174"/>
      <c r="Z28" s="174"/>
      <c r="AA28" s="174"/>
      <c r="AB28" s="174"/>
      <c r="AC28" s="174"/>
      <c r="AD28" s="174"/>
      <c r="AE28" s="174"/>
      <c r="AF28" s="174"/>
      <c r="AG28" s="174"/>
      <c r="AH28" s="174"/>
      <c r="AI28" s="174"/>
      <c r="AJ28" s="174"/>
      <c r="AK28" s="174"/>
      <c r="AL28" s="174"/>
      <c r="AM28" s="174"/>
      <c r="AN28" s="174"/>
      <c r="AO28" s="174"/>
      <c r="AP28" s="174"/>
      <c r="AQ28" s="174"/>
      <c r="AR28" s="174"/>
      <c r="AS28" s="174"/>
      <c r="AT28" s="174"/>
      <c r="AU28" s="174"/>
      <c r="AV28" s="174"/>
      <c r="AW28" s="174"/>
      <c r="AX28" s="174"/>
      <c r="AY28" s="174"/>
      <c r="AZ28" s="174"/>
      <c r="BA28" s="16"/>
      <c r="BK28" s="7"/>
    </row>
    <row r="29" spans="1:63" ht="15" customHeight="1">
      <c r="A29" s="1"/>
      <c r="K29" s="10"/>
      <c r="L29" s="174"/>
      <c r="M29" s="174"/>
      <c r="N29" s="174"/>
      <c r="O29" s="174"/>
      <c r="P29" s="174"/>
      <c r="Q29" s="174"/>
      <c r="R29" s="174"/>
      <c r="S29" s="174"/>
      <c r="T29" s="174"/>
      <c r="U29" s="174"/>
      <c r="V29" s="174"/>
      <c r="W29" s="174"/>
      <c r="X29" s="174"/>
      <c r="Y29" s="174"/>
      <c r="Z29" s="174"/>
      <c r="AA29" s="174"/>
      <c r="AB29" s="174"/>
      <c r="AC29" s="174"/>
      <c r="AD29" s="174"/>
      <c r="AE29" s="174"/>
      <c r="AF29" s="174"/>
      <c r="AG29" s="174"/>
      <c r="AH29" s="174"/>
      <c r="AI29" s="174"/>
      <c r="AJ29" s="174"/>
      <c r="AK29" s="174"/>
      <c r="AL29" s="174"/>
      <c r="AM29" s="174"/>
      <c r="AN29" s="174"/>
      <c r="AO29" s="174"/>
      <c r="AP29" s="174"/>
      <c r="AQ29" s="174"/>
      <c r="AR29" s="174"/>
      <c r="AS29" s="174"/>
      <c r="AT29" s="174"/>
      <c r="AU29" s="174"/>
      <c r="AV29" s="174"/>
      <c r="AW29" s="174"/>
      <c r="AX29" s="174"/>
      <c r="AY29" s="174"/>
      <c r="AZ29" s="174"/>
      <c r="BA29" s="16"/>
      <c r="BK29" s="7"/>
    </row>
    <row r="30" spans="1:63" ht="15" customHeight="1">
      <c r="A30" s="1"/>
      <c r="K30" s="10"/>
      <c r="L30" s="174"/>
      <c r="M30" s="174"/>
      <c r="N30" s="174"/>
      <c r="O30" s="174"/>
      <c r="P30" s="174"/>
      <c r="Q30" s="174"/>
      <c r="R30" s="174"/>
      <c r="S30" s="174"/>
      <c r="T30" s="174"/>
      <c r="U30" s="174"/>
      <c r="V30" s="174"/>
      <c r="W30" s="174"/>
      <c r="X30" s="174"/>
      <c r="Y30" s="174"/>
      <c r="Z30" s="174"/>
      <c r="AA30" s="174"/>
      <c r="AB30" s="174"/>
      <c r="AC30" s="174"/>
      <c r="AD30" s="174"/>
      <c r="AE30" s="174"/>
      <c r="AF30" s="174"/>
      <c r="AG30" s="174"/>
      <c r="AH30" s="174"/>
      <c r="AI30" s="174"/>
      <c r="AJ30" s="174"/>
      <c r="AK30" s="174"/>
      <c r="AL30" s="174"/>
      <c r="AM30" s="174"/>
      <c r="AN30" s="174"/>
      <c r="AO30" s="174"/>
      <c r="AP30" s="174"/>
      <c r="AQ30" s="174"/>
      <c r="AR30" s="174"/>
      <c r="AS30" s="174"/>
      <c r="AT30" s="174"/>
      <c r="AU30" s="174"/>
      <c r="AV30" s="174"/>
      <c r="AW30" s="174"/>
      <c r="AX30" s="174"/>
      <c r="AY30" s="174"/>
      <c r="AZ30" s="174"/>
      <c r="BA30" s="16"/>
      <c r="BK30" s="7"/>
    </row>
    <row r="31" spans="1:63" ht="15" customHeight="1">
      <c r="A31" s="1"/>
      <c r="K31" s="10"/>
      <c r="L31" s="174"/>
      <c r="M31" s="174"/>
      <c r="N31" s="174"/>
      <c r="O31" s="174"/>
      <c r="P31" s="174"/>
      <c r="Q31" s="174"/>
      <c r="R31" s="174"/>
      <c r="S31" s="174"/>
      <c r="T31" s="174"/>
      <c r="U31" s="174"/>
      <c r="V31" s="174"/>
      <c r="W31" s="174"/>
      <c r="X31" s="174"/>
      <c r="Y31" s="174"/>
      <c r="Z31" s="174"/>
      <c r="AA31" s="174"/>
      <c r="AB31" s="174"/>
      <c r="AC31" s="174"/>
      <c r="AD31" s="174"/>
      <c r="AE31" s="174"/>
      <c r="AF31" s="174"/>
      <c r="AG31" s="174"/>
      <c r="AH31" s="174"/>
      <c r="AI31" s="174"/>
      <c r="AJ31" s="174"/>
      <c r="AK31" s="174"/>
      <c r="AL31" s="174"/>
      <c r="AM31" s="174"/>
      <c r="AN31" s="174"/>
      <c r="AO31" s="174"/>
      <c r="AP31" s="174"/>
      <c r="AQ31" s="174"/>
      <c r="AR31" s="174"/>
      <c r="AS31" s="174"/>
      <c r="AT31" s="174"/>
      <c r="AU31" s="174"/>
      <c r="AV31" s="174"/>
      <c r="AW31" s="174"/>
      <c r="AX31" s="174"/>
      <c r="AY31" s="174"/>
      <c r="AZ31" s="174"/>
      <c r="BA31" s="16"/>
      <c r="BK31" s="7"/>
    </row>
    <row r="32" spans="1:63" ht="15" customHeight="1">
      <c r="A32" s="1"/>
      <c r="K32" s="10"/>
      <c r="L32" s="174"/>
      <c r="M32" s="174"/>
      <c r="N32" s="174"/>
      <c r="O32" s="174"/>
      <c r="P32" s="174"/>
      <c r="Q32" s="174"/>
      <c r="R32" s="174"/>
      <c r="S32" s="174"/>
      <c r="T32" s="174"/>
      <c r="U32" s="174"/>
      <c r="V32" s="174"/>
      <c r="W32" s="174"/>
      <c r="X32" s="174"/>
      <c r="Y32" s="174"/>
      <c r="Z32" s="174"/>
      <c r="AA32" s="174"/>
      <c r="AB32" s="174"/>
      <c r="AC32" s="174"/>
      <c r="AD32" s="174"/>
      <c r="AE32" s="174"/>
      <c r="AF32" s="174"/>
      <c r="AG32" s="174"/>
      <c r="AH32" s="174"/>
      <c r="AI32" s="174"/>
      <c r="AJ32" s="174"/>
      <c r="AK32" s="174"/>
      <c r="AL32" s="174"/>
      <c r="AM32" s="174"/>
      <c r="AN32" s="174"/>
      <c r="AO32" s="174"/>
      <c r="AP32" s="174"/>
      <c r="AQ32" s="174"/>
      <c r="AR32" s="174"/>
      <c r="AS32" s="174"/>
      <c r="AT32" s="174"/>
      <c r="AU32" s="174"/>
      <c r="AV32" s="174"/>
      <c r="AW32" s="174"/>
      <c r="AX32" s="174"/>
      <c r="AY32" s="174"/>
      <c r="AZ32" s="174"/>
      <c r="BA32" s="16"/>
      <c r="BK32" s="7"/>
    </row>
    <row r="33" spans="1:63" ht="15" customHeight="1">
      <c r="A33" s="1"/>
      <c r="K33" s="10"/>
      <c r="L33" s="174"/>
      <c r="M33" s="174"/>
      <c r="N33" s="174"/>
      <c r="O33" s="174"/>
      <c r="P33" s="174"/>
      <c r="Q33" s="174"/>
      <c r="R33" s="174"/>
      <c r="S33" s="174"/>
      <c r="T33" s="174"/>
      <c r="U33" s="174"/>
      <c r="V33" s="174"/>
      <c r="W33" s="174"/>
      <c r="X33" s="174"/>
      <c r="Y33" s="174"/>
      <c r="Z33" s="174"/>
      <c r="AA33" s="174"/>
      <c r="AB33" s="174"/>
      <c r="AC33" s="174"/>
      <c r="AD33" s="174"/>
      <c r="AE33" s="174"/>
      <c r="AF33" s="174"/>
      <c r="AG33" s="174"/>
      <c r="AH33" s="174"/>
      <c r="AI33" s="174"/>
      <c r="AJ33" s="174"/>
      <c r="AK33" s="174"/>
      <c r="AL33" s="174"/>
      <c r="AM33" s="174"/>
      <c r="AN33" s="174"/>
      <c r="AO33" s="174"/>
      <c r="AP33" s="174"/>
      <c r="AQ33" s="174"/>
      <c r="AR33" s="174"/>
      <c r="AS33" s="174"/>
      <c r="AT33" s="174"/>
      <c r="AU33" s="174"/>
      <c r="AV33" s="174"/>
      <c r="AW33" s="174"/>
      <c r="AX33" s="174"/>
      <c r="AY33" s="174"/>
      <c r="AZ33" s="174"/>
      <c r="BA33" s="16"/>
      <c r="BK33" s="7"/>
    </row>
    <row r="34" spans="1:63" ht="15" customHeight="1">
      <c r="A34" s="1"/>
      <c r="K34" s="10"/>
      <c r="L34" s="174"/>
      <c r="M34" s="174"/>
      <c r="N34" s="174"/>
      <c r="O34" s="174"/>
      <c r="P34" s="174"/>
      <c r="Q34" s="174"/>
      <c r="R34" s="174"/>
      <c r="S34" s="174"/>
      <c r="T34" s="174"/>
      <c r="U34" s="174"/>
      <c r="V34" s="174"/>
      <c r="W34" s="174"/>
      <c r="X34" s="174"/>
      <c r="Y34" s="174"/>
      <c r="Z34" s="174"/>
      <c r="AA34" s="174"/>
      <c r="AB34" s="174"/>
      <c r="AC34" s="174"/>
      <c r="AD34" s="174"/>
      <c r="AE34" s="174"/>
      <c r="AF34" s="174"/>
      <c r="AG34" s="174"/>
      <c r="AH34" s="174"/>
      <c r="AI34" s="174"/>
      <c r="AJ34" s="174"/>
      <c r="AK34" s="174"/>
      <c r="AL34" s="174"/>
      <c r="AM34" s="174"/>
      <c r="AN34" s="174"/>
      <c r="AO34" s="174"/>
      <c r="AP34" s="174"/>
      <c r="AQ34" s="174"/>
      <c r="AR34" s="174"/>
      <c r="AS34" s="174"/>
      <c r="AT34" s="174"/>
      <c r="AU34" s="174"/>
      <c r="AV34" s="174"/>
      <c r="AW34" s="174"/>
      <c r="AX34" s="174"/>
      <c r="AY34" s="174"/>
      <c r="AZ34" s="174"/>
      <c r="BA34" s="16"/>
      <c r="BK34" s="7"/>
    </row>
    <row r="35" spans="1:63" ht="15" customHeight="1">
      <c r="A35" s="1"/>
      <c r="K35" s="10"/>
      <c r="L35" s="174"/>
      <c r="M35" s="174"/>
      <c r="N35" s="174"/>
      <c r="O35" s="174"/>
      <c r="P35" s="174"/>
      <c r="Q35" s="174"/>
      <c r="R35" s="174"/>
      <c r="S35" s="174"/>
      <c r="T35" s="174"/>
      <c r="U35" s="174"/>
      <c r="V35" s="174"/>
      <c r="W35" s="174"/>
      <c r="X35" s="174"/>
      <c r="Y35" s="174"/>
      <c r="Z35" s="174"/>
      <c r="AA35" s="174"/>
      <c r="AB35" s="174"/>
      <c r="AC35" s="174"/>
      <c r="AD35" s="174"/>
      <c r="AE35" s="174"/>
      <c r="AF35" s="174"/>
      <c r="AG35" s="174"/>
      <c r="AH35" s="174"/>
      <c r="AI35" s="174"/>
      <c r="AJ35" s="174"/>
      <c r="AK35" s="174"/>
      <c r="AL35" s="174"/>
      <c r="AM35" s="174"/>
      <c r="AN35" s="174"/>
      <c r="AO35" s="174"/>
      <c r="AP35" s="174"/>
      <c r="AQ35" s="174"/>
      <c r="AR35" s="174"/>
      <c r="AS35" s="174"/>
      <c r="AT35" s="174"/>
      <c r="AU35" s="174"/>
      <c r="AV35" s="174"/>
      <c r="AW35" s="174"/>
      <c r="AX35" s="174"/>
      <c r="AY35" s="174"/>
      <c r="AZ35" s="174"/>
      <c r="BA35" s="16"/>
      <c r="BK35" s="7"/>
    </row>
    <row r="36" spans="1:63" ht="15" customHeight="1">
      <c r="A36" s="1"/>
      <c r="K36" s="10"/>
      <c r="L36" s="174"/>
      <c r="M36" s="174"/>
      <c r="N36" s="174"/>
      <c r="O36" s="174"/>
      <c r="P36" s="174"/>
      <c r="Q36" s="174"/>
      <c r="R36" s="174"/>
      <c r="S36" s="174"/>
      <c r="T36" s="174"/>
      <c r="U36" s="174"/>
      <c r="V36" s="174"/>
      <c r="W36" s="174"/>
      <c r="X36" s="174"/>
      <c r="Y36" s="174"/>
      <c r="Z36" s="174"/>
      <c r="AA36" s="174"/>
      <c r="AB36" s="174"/>
      <c r="AC36" s="174"/>
      <c r="AD36" s="174"/>
      <c r="AE36" s="174"/>
      <c r="AF36" s="174"/>
      <c r="AG36" s="174"/>
      <c r="AH36" s="174"/>
      <c r="AI36" s="174"/>
      <c r="AJ36" s="174"/>
      <c r="AK36" s="174"/>
      <c r="AL36" s="174"/>
      <c r="AM36" s="174"/>
      <c r="AN36" s="174"/>
      <c r="AO36" s="174"/>
      <c r="AP36" s="174"/>
      <c r="AQ36" s="174"/>
      <c r="AR36" s="174"/>
      <c r="AS36" s="174"/>
      <c r="AT36" s="174"/>
      <c r="AU36" s="174"/>
      <c r="AV36" s="174"/>
      <c r="AW36" s="174"/>
      <c r="AX36" s="174"/>
      <c r="AY36" s="174"/>
      <c r="AZ36" s="174"/>
      <c r="BA36" s="16"/>
      <c r="BK36" s="7"/>
    </row>
    <row r="37" spans="1:63" ht="15" customHeight="1" thickBot="1">
      <c r="A37" s="1"/>
      <c r="K37" s="13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7"/>
      <c r="BK37" s="7"/>
    </row>
    <row r="38" spans="1:63" ht="15" customHeight="1" thickTop="1">
      <c r="A38" s="1"/>
      <c r="BK38" s="7"/>
    </row>
    <row r="39" spans="1:63" ht="15" customHeight="1">
      <c r="A39" s="1"/>
      <c r="BK39" s="7"/>
    </row>
    <row r="40" spans="1:63" ht="15" customHeight="1">
      <c r="A40" s="1"/>
      <c r="BK40" s="7"/>
    </row>
    <row r="41" spans="1:63" ht="15" customHeight="1">
      <c r="A41" s="1"/>
      <c r="BK41" s="7"/>
    </row>
    <row r="42" spans="1:63" ht="15" customHeight="1">
      <c r="A42" s="1"/>
      <c r="BK42" s="7"/>
    </row>
    <row r="43" spans="1:63" ht="15" customHeight="1">
      <c r="A43" s="1"/>
      <c r="BK43" s="7"/>
    </row>
    <row r="44" spans="1:63" ht="15" customHeight="1">
      <c r="A44" s="1"/>
      <c r="Q44" s="184" t="s">
        <v>16</v>
      </c>
      <c r="R44" s="185"/>
      <c r="S44" s="185"/>
      <c r="T44" s="185"/>
      <c r="U44" s="185"/>
      <c r="V44" s="185"/>
      <c r="W44" s="185"/>
      <c r="X44" s="185"/>
      <c r="Y44" s="185"/>
      <c r="Z44" s="186"/>
      <c r="AA44" s="184" t="s">
        <v>13</v>
      </c>
      <c r="AB44" s="185"/>
      <c r="AC44" s="185"/>
      <c r="AD44" s="185"/>
      <c r="AE44" s="185"/>
      <c r="AF44" s="185"/>
      <c r="AG44" s="185"/>
      <c r="AH44" s="185"/>
      <c r="AI44" s="185"/>
      <c r="AJ44" s="185"/>
      <c r="AK44" s="185"/>
      <c r="AL44" s="185"/>
      <c r="AM44" s="185"/>
      <c r="AN44" s="185"/>
      <c r="AO44" s="185"/>
      <c r="AP44" s="186"/>
      <c r="AQ44" s="184" t="s">
        <v>7</v>
      </c>
      <c r="AR44" s="185"/>
      <c r="AS44" s="185"/>
      <c r="AT44" s="185"/>
      <c r="AU44" s="186"/>
      <c r="BK44" s="7"/>
    </row>
    <row r="45" spans="1:63" ht="15" customHeight="1">
      <c r="A45" s="1"/>
      <c r="Q45" s="187"/>
      <c r="R45" s="188"/>
      <c r="S45" s="188"/>
      <c r="T45" s="188"/>
      <c r="U45" s="188"/>
      <c r="V45" s="188"/>
      <c r="W45" s="188"/>
      <c r="X45" s="188"/>
      <c r="Y45" s="188"/>
      <c r="Z45" s="189"/>
      <c r="AA45" s="187"/>
      <c r="AB45" s="188"/>
      <c r="AC45" s="188"/>
      <c r="AD45" s="188"/>
      <c r="AE45" s="188"/>
      <c r="AF45" s="188"/>
      <c r="AG45" s="188"/>
      <c r="AH45" s="188"/>
      <c r="AI45" s="188"/>
      <c r="AJ45" s="188"/>
      <c r="AK45" s="188"/>
      <c r="AL45" s="188"/>
      <c r="AM45" s="188"/>
      <c r="AN45" s="188"/>
      <c r="AO45" s="188"/>
      <c r="AP45" s="189"/>
      <c r="AQ45" s="187"/>
      <c r="AR45" s="188"/>
      <c r="AS45" s="188"/>
      <c r="AT45" s="188"/>
      <c r="AU45" s="189"/>
      <c r="BK45" s="7"/>
    </row>
    <row r="46" spans="1:63" ht="15" customHeight="1">
      <c r="A46" s="1"/>
      <c r="Q46" s="175"/>
      <c r="R46" s="176"/>
      <c r="S46" s="176"/>
      <c r="T46" s="176"/>
      <c r="U46" s="176"/>
      <c r="V46" s="176"/>
      <c r="W46" s="176"/>
      <c r="X46" s="176"/>
      <c r="Y46" s="176"/>
      <c r="Z46" s="177"/>
      <c r="AA46" s="175"/>
      <c r="AB46" s="176"/>
      <c r="AC46" s="176"/>
      <c r="AD46" s="176"/>
      <c r="AE46" s="176"/>
      <c r="AF46" s="176"/>
      <c r="AG46" s="176"/>
      <c r="AH46" s="176"/>
      <c r="AI46" s="176"/>
      <c r="AJ46" s="176"/>
      <c r="AK46" s="176"/>
      <c r="AL46" s="176"/>
      <c r="AM46" s="176"/>
      <c r="AN46" s="176"/>
      <c r="AO46" s="176"/>
      <c r="AP46" s="177"/>
      <c r="AQ46" s="175"/>
      <c r="AR46" s="176"/>
      <c r="AS46" s="176"/>
      <c r="AT46" s="176"/>
      <c r="AU46" s="177"/>
      <c r="BK46" s="7"/>
    </row>
    <row r="47" spans="1:63" ht="15" customHeight="1">
      <c r="A47" s="1"/>
      <c r="Q47" s="178"/>
      <c r="R47" s="179"/>
      <c r="S47" s="179"/>
      <c r="T47" s="179"/>
      <c r="U47" s="179"/>
      <c r="V47" s="179"/>
      <c r="W47" s="179"/>
      <c r="X47" s="179"/>
      <c r="Y47" s="179"/>
      <c r="Z47" s="180"/>
      <c r="AA47" s="178"/>
      <c r="AB47" s="179"/>
      <c r="AC47" s="179"/>
      <c r="AD47" s="179"/>
      <c r="AE47" s="179"/>
      <c r="AF47" s="179"/>
      <c r="AG47" s="179"/>
      <c r="AH47" s="179"/>
      <c r="AI47" s="179"/>
      <c r="AJ47" s="179"/>
      <c r="AK47" s="179"/>
      <c r="AL47" s="179"/>
      <c r="AM47" s="179"/>
      <c r="AN47" s="179"/>
      <c r="AO47" s="179"/>
      <c r="AP47" s="180"/>
      <c r="AQ47" s="178"/>
      <c r="AR47" s="179"/>
      <c r="AS47" s="179"/>
      <c r="AT47" s="179"/>
      <c r="AU47" s="180"/>
      <c r="BK47" s="7"/>
    </row>
    <row r="48" spans="1:63" ht="15" customHeight="1">
      <c r="A48" s="1"/>
      <c r="Q48" s="178"/>
      <c r="R48" s="179"/>
      <c r="S48" s="179"/>
      <c r="T48" s="179"/>
      <c r="U48" s="179"/>
      <c r="V48" s="179"/>
      <c r="W48" s="179"/>
      <c r="X48" s="179"/>
      <c r="Y48" s="179"/>
      <c r="Z48" s="180"/>
      <c r="AA48" s="178"/>
      <c r="AB48" s="179"/>
      <c r="AC48" s="179"/>
      <c r="AD48" s="179"/>
      <c r="AE48" s="179"/>
      <c r="AF48" s="179"/>
      <c r="AG48" s="179"/>
      <c r="AH48" s="179"/>
      <c r="AI48" s="179"/>
      <c r="AJ48" s="179"/>
      <c r="AK48" s="179"/>
      <c r="AL48" s="179"/>
      <c r="AM48" s="179"/>
      <c r="AN48" s="179"/>
      <c r="AO48" s="179"/>
      <c r="AP48" s="180"/>
      <c r="AQ48" s="178"/>
      <c r="AR48" s="179"/>
      <c r="AS48" s="179"/>
      <c r="AT48" s="179"/>
      <c r="AU48" s="180"/>
      <c r="BK48" s="7"/>
    </row>
    <row r="49" spans="1:63" ht="15" customHeight="1">
      <c r="A49" s="1"/>
      <c r="Q49" s="181"/>
      <c r="R49" s="182"/>
      <c r="S49" s="182"/>
      <c r="T49" s="182"/>
      <c r="U49" s="182"/>
      <c r="V49" s="182"/>
      <c r="W49" s="182"/>
      <c r="X49" s="182"/>
      <c r="Y49" s="182"/>
      <c r="Z49" s="183"/>
      <c r="AA49" s="181"/>
      <c r="AB49" s="182"/>
      <c r="AC49" s="182"/>
      <c r="AD49" s="182"/>
      <c r="AE49" s="182"/>
      <c r="AF49" s="182"/>
      <c r="AG49" s="182"/>
      <c r="AH49" s="182"/>
      <c r="AI49" s="182"/>
      <c r="AJ49" s="182"/>
      <c r="AK49" s="182"/>
      <c r="AL49" s="182"/>
      <c r="AM49" s="182"/>
      <c r="AN49" s="182"/>
      <c r="AO49" s="182"/>
      <c r="AP49" s="183"/>
      <c r="AQ49" s="181"/>
      <c r="AR49" s="182"/>
      <c r="AS49" s="182"/>
      <c r="AT49" s="182"/>
      <c r="AU49" s="183"/>
      <c r="BK49" s="7"/>
    </row>
    <row r="50" spans="1:63" ht="15" customHeight="1">
      <c r="A50" s="1"/>
      <c r="BK50" s="7"/>
    </row>
    <row r="51" spans="1:63" ht="15" customHeight="1">
      <c r="A51" s="1"/>
      <c r="BK51" s="7"/>
    </row>
    <row r="52" spans="1:63" ht="15" customHeight="1">
      <c r="A52" s="1"/>
      <c r="BK52" s="7"/>
    </row>
    <row r="53" spans="1:63" ht="15" customHeight="1">
      <c r="A53" s="1"/>
      <c r="BK53" s="7"/>
    </row>
    <row r="54" spans="1:63" ht="15" customHeight="1">
      <c r="A54" s="1"/>
      <c r="BK54" s="7"/>
    </row>
    <row r="55" spans="1:63" ht="15" customHeight="1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8"/>
    </row>
  </sheetData>
  <mergeCells count="28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  <mergeCell ref="L16:AZ21"/>
    <mergeCell ref="L24:AZ36"/>
    <mergeCell ref="AQ46:AU49"/>
    <mergeCell ref="AA46:AP49"/>
    <mergeCell ref="Q46:Z49"/>
    <mergeCell ref="AQ44:AU45"/>
    <mergeCell ref="AA44:AP45"/>
    <mergeCell ref="Q44:Z45"/>
  </mergeCells>
  <phoneticPr fontId="3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FE163-B74C-4837-8900-198A12F84C7C}">
  <dimension ref="A1:BK55"/>
  <sheetViews>
    <sheetView view="pageBreakPreview" zoomScale="75" zoomScaleNormal="75" zoomScaleSheetLayoutView="75" workbookViewId="0">
      <selection activeCell="S12" sqref="S12:AW12"/>
    </sheetView>
  </sheetViews>
  <sheetFormatPr defaultRowHeight="15.75"/>
  <cols>
    <col min="1" max="63" width="2.77734375" customWidth="1"/>
  </cols>
  <sheetData>
    <row r="1" spans="1:63" ht="24.95" customHeight="1">
      <c r="A1" s="190" t="s">
        <v>0</v>
      </c>
      <c r="B1" s="191"/>
      <c r="C1" s="191"/>
      <c r="D1" s="191"/>
      <c r="E1" s="191"/>
      <c r="F1" s="191"/>
      <c r="G1" s="191"/>
      <c r="H1" s="191"/>
      <c r="I1" s="191"/>
      <c r="J1" s="192"/>
      <c r="K1" s="190" t="s">
        <v>2</v>
      </c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2"/>
      <c r="W1" s="193" t="str">
        <f>IF(表紙!W1="","",表紙!W1)</f>
        <v/>
      </c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5"/>
      <c r="AP1" s="190" t="s">
        <v>3</v>
      </c>
      <c r="AQ1" s="191"/>
      <c r="AR1" s="191"/>
      <c r="AS1" s="192"/>
      <c r="AT1" s="190" t="s">
        <v>4</v>
      </c>
      <c r="AU1" s="191"/>
      <c r="AV1" s="191"/>
      <c r="AW1" s="191"/>
      <c r="AX1" s="192"/>
      <c r="AY1" s="190" t="s">
        <v>5</v>
      </c>
      <c r="AZ1" s="191"/>
      <c r="BA1" s="191"/>
      <c r="BB1" s="192"/>
      <c r="BC1" s="190" t="s">
        <v>6</v>
      </c>
      <c r="BD1" s="191"/>
      <c r="BE1" s="191"/>
      <c r="BF1" s="191"/>
      <c r="BG1" s="192"/>
      <c r="BH1" s="190" t="s">
        <v>7</v>
      </c>
      <c r="BI1" s="191"/>
      <c r="BJ1" s="191"/>
      <c r="BK1" s="192"/>
    </row>
    <row r="2" spans="1:63" ht="15" customHeight="1">
      <c r="A2" s="175" t="str">
        <f>IF(表紙!A2="","",表紙!A2)</f>
        <v>現金専用簡易セルフPOS</v>
      </c>
      <c r="B2" s="176"/>
      <c r="C2" s="176"/>
      <c r="D2" s="176"/>
      <c r="E2" s="176"/>
      <c r="F2" s="176"/>
      <c r="G2" s="176"/>
      <c r="H2" s="176"/>
      <c r="I2" s="176"/>
      <c r="J2" s="177"/>
      <c r="K2" s="175" t="str">
        <f>IF(表紙!K2="","",表紙!K2)</f>
        <v/>
      </c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7"/>
      <c r="W2" s="196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8"/>
      <c r="AP2" s="175" t="str">
        <f>IF(表紙!AP2="","",表紙!AP2)</f>
        <v>Thanh Nguyên</v>
      </c>
      <c r="AQ2" s="176"/>
      <c r="AR2" s="176"/>
      <c r="AS2" s="177"/>
      <c r="AT2" s="208">
        <f>IF(表紙!AT2="","",表紙!AT2)</f>
        <v>45153</v>
      </c>
      <c r="AU2" s="209"/>
      <c r="AV2" s="209"/>
      <c r="AW2" s="209"/>
      <c r="AX2" s="210"/>
      <c r="AY2" s="175" t="str">
        <f>IF(表紙!AY2="","",表紙!AY2)</f>
        <v>Thanh Nguyên</v>
      </c>
      <c r="AZ2" s="176"/>
      <c r="BA2" s="176"/>
      <c r="BB2" s="177"/>
      <c r="BC2" s="208">
        <f>IF(表紙!BC2="","",表紙!BC2)</f>
        <v>45153</v>
      </c>
      <c r="BD2" s="209"/>
      <c r="BE2" s="209"/>
      <c r="BF2" s="209"/>
      <c r="BG2" s="210"/>
      <c r="BH2" s="175">
        <f>IF(表紙!BH2="","",表紙!BH2)</f>
        <v>0.5</v>
      </c>
      <c r="BI2" s="176"/>
      <c r="BJ2" s="176"/>
      <c r="BK2" s="177"/>
    </row>
    <row r="3" spans="1:63" ht="15" customHeight="1">
      <c r="A3" s="181"/>
      <c r="B3" s="182"/>
      <c r="C3" s="182"/>
      <c r="D3" s="182"/>
      <c r="E3" s="182"/>
      <c r="F3" s="182"/>
      <c r="G3" s="182"/>
      <c r="H3" s="182"/>
      <c r="I3" s="182"/>
      <c r="J3" s="183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3"/>
      <c r="W3" s="199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1"/>
      <c r="AP3" s="181"/>
      <c r="AQ3" s="182"/>
      <c r="AR3" s="182"/>
      <c r="AS3" s="183"/>
      <c r="AT3" s="211"/>
      <c r="AU3" s="212"/>
      <c r="AV3" s="212"/>
      <c r="AW3" s="212"/>
      <c r="AX3" s="213"/>
      <c r="AY3" s="181"/>
      <c r="AZ3" s="182"/>
      <c r="BA3" s="182"/>
      <c r="BB3" s="183"/>
      <c r="BC3" s="211"/>
      <c r="BD3" s="212"/>
      <c r="BE3" s="212"/>
      <c r="BF3" s="212"/>
      <c r="BG3" s="213"/>
      <c r="BH3" s="181"/>
      <c r="BI3" s="182"/>
      <c r="BJ3" s="182"/>
      <c r="BK3" s="183"/>
    </row>
    <row r="4" spans="1:63" ht="24.95" customHeight="1">
      <c r="A4" s="190" t="s">
        <v>1</v>
      </c>
      <c r="B4" s="191"/>
      <c r="C4" s="191"/>
      <c r="D4" s="191"/>
      <c r="E4" s="191"/>
      <c r="F4" s="191"/>
      <c r="G4" s="192"/>
      <c r="H4" s="214" t="str">
        <f>IF(表紙!H4="","",表紙!H4)</f>
        <v/>
      </c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  <c r="U4" s="190" t="s">
        <v>8</v>
      </c>
      <c r="V4" s="191"/>
      <c r="W4" s="191"/>
      <c r="X4" s="191"/>
      <c r="Y4" s="192"/>
      <c r="Z4" s="214" t="str">
        <f>IF(表紙!Z4="","",表紙!Z4)</f>
        <v/>
      </c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6"/>
      <c r="AP4" s="214" t="str" cm="1">
        <f t="array" aca="1" ref="AP4" ca="1">RIGHT(CELL("filename",$A$1),LEN(CELL("filename",$A$1))-FIND("]",CELL("filename",$A$1)))</f>
        <v>改廃履歴</v>
      </c>
      <c r="AQ4" s="215"/>
      <c r="AR4" s="215"/>
      <c r="AS4" s="215"/>
      <c r="AT4" s="215"/>
      <c r="AU4" s="215"/>
      <c r="AV4" s="215"/>
      <c r="AW4" s="215"/>
      <c r="AX4" s="215"/>
      <c r="AY4" s="215"/>
      <c r="AZ4" s="215"/>
      <c r="BA4" s="215"/>
      <c r="BB4" s="215"/>
      <c r="BC4" s="215"/>
      <c r="BD4" s="215"/>
      <c r="BE4" s="215"/>
      <c r="BF4" s="215"/>
      <c r="BG4" s="215"/>
      <c r="BH4" s="215"/>
      <c r="BI4" s="215"/>
      <c r="BJ4" s="215"/>
      <c r="BK4" s="216"/>
    </row>
    <row r="5" spans="1:63" ht="5.0999999999999996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8"/>
    </row>
    <row r="6" spans="1:63" ht="15" customHeight="1">
      <c r="A6" s="1"/>
      <c r="BK6" s="7"/>
    </row>
    <row r="7" spans="1:63" ht="15" customHeight="1">
      <c r="A7" s="1"/>
      <c r="BK7" s="7"/>
    </row>
    <row r="8" spans="1:63" ht="15" customHeight="1">
      <c r="A8" s="1"/>
      <c r="B8" t="s">
        <v>9</v>
      </c>
      <c r="BK8" s="7"/>
    </row>
    <row r="9" spans="1:63" ht="15" customHeight="1">
      <c r="A9" s="1"/>
      <c r="BK9" s="7"/>
    </row>
    <row r="10" spans="1:63" ht="15" customHeight="1">
      <c r="A10" s="1"/>
      <c r="B10" s="230" t="s">
        <v>10</v>
      </c>
      <c r="C10" s="230"/>
      <c r="D10" s="230"/>
      <c r="E10" s="230"/>
      <c r="F10" s="230"/>
      <c r="G10" s="230"/>
      <c r="H10" s="230" t="s">
        <v>5</v>
      </c>
      <c r="I10" s="230"/>
      <c r="J10" s="230"/>
      <c r="K10" s="230"/>
      <c r="L10" s="230"/>
      <c r="M10" s="230"/>
      <c r="N10" s="230"/>
      <c r="O10" s="230" t="s">
        <v>7</v>
      </c>
      <c r="P10" s="230"/>
      <c r="Q10" s="230"/>
      <c r="R10" s="230"/>
      <c r="S10" s="230" t="s">
        <v>11</v>
      </c>
      <c r="T10" s="230"/>
      <c r="U10" s="230"/>
      <c r="V10" s="230"/>
      <c r="W10" s="230"/>
      <c r="X10" s="230"/>
      <c r="Y10" s="230"/>
      <c r="Z10" s="230"/>
      <c r="AA10" s="230"/>
      <c r="AB10" s="230"/>
      <c r="AC10" s="230"/>
      <c r="AD10" s="230"/>
      <c r="AE10" s="230"/>
      <c r="AF10" s="230"/>
      <c r="AG10" s="230"/>
      <c r="AH10" s="230"/>
      <c r="AI10" s="230"/>
      <c r="AJ10" s="230"/>
      <c r="AK10" s="230"/>
      <c r="AL10" s="230"/>
      <c r="AM10" s="230"/>
      <c r="AN10" s="230"/>
      <c r="AO10" s="230"/>
      <c r="AP10" s="230"/>
      <c r="AQ10" s="230"/>
      <c r="AR10" s="230"/>
      <c r="AS10" s="230"/>
      <c r="AT10" s="230"/>
      <c r="AU10" s="230"/>
      <c r="AV10" s="230"/>
      <c r="AW10" s="230"/>
      <c r="AX10" s="230" t="s">
        <v>12</v>
      </c>
      <c r="AY10" s="230"/>
      <c r="AZ10" s="230"/>
      <c r="BA10" s="230"/>
      <c r="BB10" s="230"/>
      <c r="BC10" s="230"/>
      <c r="BD10" s="230" t="s">
        <v>13</v>
      </c>
      <c r="BE10" s="230"/>
      <c r="BF10" s="230"/>
      <c r="BG10" s="230"/>
      <c r="BH10" s="230"/>
      <c r="BI10" s="230"/>
      <c r="BJ10" s="230"/>
      <c r="BK10" s="7"/>
    </row>
    <row r="11" spans="1:63" ht="15" customHeight="1">
      <c r="A11" s="1"/>
      <c r="B11" s="229">
        <v>45153</v>
      </c>
      <c r="C11" s="176"/>
      <c r="D11" s="176"/>
      <c r="E11" s="176"/>
      <c r="F11" s="176"/>
      <c r="G11" s="177"/>
      <c r="H11" s="175" t="s">
        <v>248</v>
      </c>
      <c r="I11" s="176"/>
      <c r="J11" s="176"/>
      <c r="K11" s="176"/>
      <c r="L11" s="176"/>
      <c r="M11" s="176"/>
      <c r="N11" s="177"/>
      <c r="O11" s="175">
        <v>0.5</v>
      </c>
      <c r="P11" s="176"/>
      <c r="Q11" s="176"/>
      <c r="R11" s="176"/>
      <c r="S11" s="217" t="s">
        <v>249</v>
      </c>
      <c r="T11" s="218"/>
      <c r="U11" s="218"/>
      <c r="V11" s="218"/>
      <c r="W11" s="218"/>
      <c r="X11" s="218"/>
      <c r="Y11" s="218"/>
      <c r="Z11" s="218"/>
      <c r="AA11" s="218"/>
      <c r="AB11" s="218"/>
      <c r="AC11" s="218"/>
      <c r="AD11" s="218"/>
      <c r="AE11" s="218"/>
      <c r="AF11" s="218"/>
      <c r="AG11" s="218"/>
      <c r="AH11" s="218"/>
      <c r="AI11" s="218"/>
      <c r="AJ11" s="218"/>
      <c r="AK11" s="218"/>
      <c r="AL11" s="218"/>
      <c r="AM11" s="218"/>
      <c r="AN11" s="218"/>
      <c r="AO11" s="218"/>
      <c r="AP11" s="218"/>
      <c r="AQ11" s="218"/>
      <c r="AR11" s="218"/>
      <c r="AS11" s="218"/>
      <c r="AT11" s="218"/>
      <c r="AU11" s="218"/>
      <c r="AV11" s="218"/>
      <c r="AW11" s="219"/>
      <c r="AX11" s="220"/>
      <c r="AY11" s="220"/>
      <c r="AZ11" s="220"/>
      <c r="BA11" s="220"/>
      <c r="BB11" s="220"/>
      <c r="BC11" s="221"/>
      <c r="BD11" s="224"/>
      <c r="BE11" s="220"/>
      <c r="BF11" s="220"/>
      <c r="BG11" s="220"/>
      <c r="BH11" s="220"/>
      <c r="BI11" s="220"/>
      <c r="BJ11" s="221"/>
      <c r="BK11" s="7"/>
    </row>
    <row r="12" spans="1:63" ht="15" customHeight="1">
      <c r="A12" s="1"/>
      <c r="B12" s="181"/>
      <c r="C12" s="182"/>
      <c r="D12" s="182"/>
      <c r="E12" s="182"/>
      <c r="F12" s="182"/>
      <c r="G12" s="183"/>
      <c r="H12" s="181"/>
      <c r="I12" s="182"/>
      <c r="J12" s="182"/>
      <c r="K12" s="182"/>
      <c r="L12" s="182"/>
      <c r="M12" s="182"/>
      <c r="N12" s="183"/>
      <c r="O12" s="181"/>
      <c r="P12" s="182"/>
      <c r="Q12" s="182"/>
      <c r="R12" s="182"/>
      <c r="S12" s="226"/>
      <c r="T12" s="227"/>
      <c r="U12" s="227"/>
      <c r="V12" s="227"/>
      <c r="W12" s="227"/>
      <c r="X12" s="227"/>
      <c r="Y12" s="227"/>
      <c r="Z12" s="227"/>
      <c r="AA12" s="227"/>
      <c r="AB12" s="227"/>
      <c r="AC12" s="227"/>
      <c r="AD12" s="227"/>
      <c r="AE12" s="227"/>
      <c r="AF12" s="227"/>
      <c r="AG12" s="227"/>
      <c r="AH12" s="227"/>
      <c r="AI12" s="227"/>
      <c r="AJ12" s="227"/>
      <c r="AK12" s="227"/>
      <c r="AL12" s="227"/>
      <c r="AM12" s="227"/>
      <c r="AN12" s="227"/>
      <c r="AO12" s="227"/>
      <c r="AP12" s="227"/>
      <c r="AQ12" s="227"/>
      <c r="AR12" s="227"/>
      <c r="AS12" s="227"/>
      <c r="AT12" s="227"/>
      <c r="AU12" s="227"/>
      <c r="AV12" s="227"/>
      <c r="AW12" s="228"/>
      <c r="AX12" s="222"/>
      <c r="AY12" s="222"/>
      <c r="AZ12" s="222"/>
      <c r="BA12" s="222"/>
      <c r="BB12" s="222"/>
      <c r="BC12" s="223"/>
      <c r="BD12" s="225"/>
      <c r="BE12" s="222"/>
      <c r="BF12" s="222"/>
      <c r="BG12" s="222"/>
      <c r="BH12" s="222"/>
      <c r="BI12" s="222"/>
      <c r="BJ12" s="223"/>
      <c r="BK12" s="7"/>
    </row>
    <row r="13" spans="1:63" ht="15" customHeight="1">
      <c r="A13" s="1"/>
      <c r="B13" s="175"/>
      <c r="C13" s="176"/>
      <c r="D13" s="176"/>
      <c r="E13" s="176"/>
      <c r="F13" s="176"/>
      <c r="G13" s="177"/>
      <c r="H13" s="175"/>
      <c r="I13" s="176"/>
      <c r="J13" s="176"/>
      <c r="K13" s="176"/>
      <c r="L13" s="176"/>
      <c r="M13" s="176"/>
      <c r="N13" s="177"/>
      <c r="O13" s="175"/>
      <c r="P13" s="176"/>
      <c r="Q13" s="176"/>
      <c r="R13" s="176"/>
      <c r="S13" s="217"/>
      <c r="T13" s="218"/>
      <c r="U13" s="218"/>
      <c r="V13" s="218"/>
      <c r="W13" s="218"/>
      <c r="X13" s="218"/>
      <c r="Y13" s="218"/>
      <c r="Z13" s="218"/>
      <c r="AA13" s="218"/>
      <c r="AB13" s="218"/>
      <c r="AC13" s="218"/>
      <c r="AD13" s="218"/>
      <c r="AE13" s="218"/>
      <c r="AF13" s="218"/>
      <c r="AG13" s="218"/>
      <c r="AH13" s="218"/>
      <c r="AI13" s="218"/>
      <c r="AJ13" s="218"/>
      <c r="AK13" s="218"/>
      <c r="AL13" s="218"/>
      <c r="AM13" s="218"/>
      <c r="AN13" s="218"/>
      <c r="AO13" s="218"/>
      <c r="AP13" s="218"/>
      <c r="AQ13" s="218"/>
      <c r="AR13" s="218"/>
      <c r="AS13" s="218"/>
      <c r="AT13" s="218"/>
      <c r="AU13" s="218"/>
      <c r="AV13" s="218"/>
      <c r="AW13" s="219"/>
      <c r="AX13" s="220"/>
      <c r="AY13" s="220"/>
      <c r="AZ13" s="220"/>
      <c r="BA13" s="220"/>
      <c r="BB13" s="220"/>
      <c r="BC13" s="221"/>
      <c r="BD13" s="224"/>
      <c r="BE13" s="220"/>
      <c r="BF13" s="220"/>
      <c r="BG13" s="220"/>
      <c r="BH13" s="220"/>
      <c r="BI13" s="220"/>
      <c r="BJ13" s="221"/>
      <c r="BK13" s="7"/>
    </row>
    <row r="14" spans="1:63" ht="15" customHeight="1">
      <c r="A14" s="1"/>
      <c r="B14" s="181"/>
      <c r="C14" s="182"/>
      <c r="D14" s="182"/>
      <c r="E14" s="182"/>
      <c r="F14" s="182"/>
      <c r="G14" s="183"/>
      <c r="H14" s="181"/>
      <c r="I14" s="182"/>
      <c r="J14" s="182"/>
      <c r="K14" s="182"/>
      <c r="L14" s="182"/>
      <c r="M14" s="182"/>
      <c r="N14" s="183"/>
      <c r="O14" s="181"/>
      <c r="P14" s="182"/>
      <c r="Q14" s="182"/>
      <c r="R14" s="182"/>
      <c r="S14" s="226"/>
      <c r="T14" s="227"/>
      <c r="U14" s="227"/>
      <c r="V14" s="227"/>
      <c r="W14" s="227"/>
      <c r="X14" s="227"/>
      <c r="Y14" s="227"/>
      <c r="Z14" s="227"/>
      <c r="AA14" s="227"/>
      <c r="AB14" s="227"/>
      <c r="AC14" s="227"/>
      <c r="AD14" s="227"/>
      <c r="AE14" s="227"/>
      <c r="AF14" s="227"/>
      <c r="AG14" s="227"/>
      <c r="AH14" s="227"/>
      <c r="AI14" s="227"/>
      <c r="AJ14" s="227"/>
      <c r="AK14" s="227"/>
      <c r="AL14" s="227"/>
      <c r="AM14" s="227"/>
      <c r="AN14" s="227"/>
      <c r="AO14" s="227"/>
      <c r="AP14" s="227"/>
      <c r="AQ14" s="227"/>
      <c r="AR14" s="227"/>
      <c r="AS14" s="227"/>
      <c r="AT14" s="227"/>
      <c r="AU14" s="227"/>
      <c r="AV14" s="227"/>
      <c r="AW14" s="228"/>
      <c r="AX14" s="222"/>
      <c r="AY14" s="222"/>
      <c r="AZ14" s="222"/>
      <c r="BA14" s="222"/>
      <c r="BB14" s="222"/>
      <c r="BC14" s="223"/>
      <c r="BD14" s="225"/>
      <c r="BE14" s="222"/>
      <c r="BF14" s="222"/>
      <c r="BG14" s="222"/>
      <c r="BH14" s="222"/>
      <c r="BI14" s="222"/>
      <c r="BJ14" s="223"/>
      <c r="BK14" s="7"/>
    </row>
    <row r="15" spans="1:63" ht="15" customHeight="1">
      <c r="A15" s="1"/>
      <c r="B15" s="175"/>
      <c r="C15" s="176"/>
      <c r="D15" s="176"/>
      <c r="E15" s="176"/>
      <c r="F15" s="176"/>
      <c r="G15" s="177"/>
      <c r="H15" s="175"/>
      <c r="I15" s="176"/>
      <c r="J15" s="176"/>
      <c r="K15" s="176"/>
      <c r="L15" s="176"/>
      <c r="M15" s="176"/>
      <c r="N15" s="177"/>
      <c r="O15" s="175"/>
      <c r="P15" s="176"/>
      <c r="Q15" s="176"/>
      <c r="R15" s="176"/>
      <c r="S15" s="217"/>
      <c r="T15" s="218"/>
      <c r="U15" s="218"/>
      <c r="V15" s="218"/>
      <c r="W15" s="218"/>
      <c r="X15" s="218"/>
      <c r="Y15" s="218"/>
      <c r="Z15" s="218"/>
      <c r="AA15" s="218"/>
      <c r="AB15" s="218"/>
      <c r="AC15" s="218"/>
      <c r="AD15" s="218"/>
      <c r="AE15" s="218"/>
      <c r="AF15" s="218"/>
      <c r="AG15" s="218"/>
      <c r="AH15" s="218"/>
      <c r="AI15" s="218"/>
      <c r="AJ15" s="218"/>
      <c r="AK15" s="218"/>
      <c r="AL15" s="218"/>
      <c r="AM15" s="218"/>
      <c r="AN15" s="218"/>
      <c r="AO15" s="218"/>
      <c r="AP15" s="218"/>
      <c r="AQ15" s="218"/>
      <c r="AR15" s="218"/>
      <c r="AS15" s="218"/>
      <c r="AT15" s="218"/>
      <c r="AU15" s="218"/>
      <c r="AV15" s="218"/>
      <c r="AW15" s="219"/>
      <c r="AX15" s="220"/>
      <c r="AY15" s="220"/>
      <c r="AZ15" s="220"/>
      <c r="BA15" s="220"/>
      <c r="BB15" s="220"/>
      <c r="BC15" s="221"/>
      <c r="BD15" s="224"/>
      <c r="BE15" s="220"/>
      <c r="BF15" s="220"/>
      <c r="BG15" s="220"/>
      <c r="BH15" s="220"/>
      <c r="BI15" s="220"/>
      <c r="BJ15" s="221"/>
      <c r="BK15" s="7"/>
    </row>
    <row r="16" spans="1:63" ht="15" customHeight="1">
      <c r="A16" s="1"/>
      <c r="B16" s="181"/>
      <c r="C16" s="182"/>
      <c r="D16" s="182"/>
      <c r="E16" s="182"/>
      <c r="F16" s="182"/>
      <c r="G16" s="183"/>
      <c r="H16" s="181"/>
      <c r="I16" s="182"/>
      <c r="J16" s="182"/>
      <c r="K16" s="182"/>
      <c r="L16" s="182"/>
      <c r="M16" s="182"/>
      <c r="N16" s="183"/>
      <c r="O16" s="181"/>
      <c r="P16" s="182"/>
      <c r="Q16" s="182"/>
      <c r="R16" s="182"/>
      <c r="S16" s="226"/>
      <c r="T16" s="227"/>
      <c r="U16" s="227"/>
      <c r="V16" s="227"/>
      <c r="W16" s="227"/>
      <c r="X16" s="227"/>
      <c r="Y16" s="227"/>
      <c r="Z16" s="227"/>
      <c r="AA16" s="227"/>
      <c r="AB16" s="227"/>
      <c r="AC16" s="227"/>
      <c r="AD16" s="227"/>
      <c r="AE16" s="227"/>
      <c r="AF16" s="227"/>
      <c r="AG16" s="227"/>
      <c r="AH16" s="227"/>
      <c r="AI16" s="227"/>
      <c r="AJ16" s="227"/>
      <c r="AK16" s="227"/>
      <c r="AL16" s="227"/>
      <c r="AM16" s="227"/>
      <c r="AN16" s="227"/>
      <c r="AO16" s="227"/>
      <c r="AP16" s="227"/>
      <c r="AQ16" s="227"/>
      <c r="AR16" s="227"/>
      <c r="AS16" s="227"/>
      <c r="AT16" s="227"/>
      <c r="AU16" s="227"/>
      <c r="AV16" s="227"/>
      <c r="AW16" s="228"/>
      <c r="AX16" s="222"/>
      <c r="AY16" s="222"/>
      <c r="AZ16" s="222"/>
      <c r="BA16" s="222"/>
      <c r="BB16" s="222"/>
      <c r="BC16" s="223"/>
      <c r="BD16" s="225"/>
      <c r="BE16" s="222"/>
      <c r="BF16" s="222"/>
      <c r="BG16" s="222"/>
      <c r="BH16" s="222"/>
      <c r="BI16" s="222"/>
      <c r="BJ16" s="223"/>
      <c r="BK16" s="7"/>
    </row>
    <row r="17" spans="1:63" ht="15" customHeight="1">
      <c r="A17" s="1"/>
      <c r="B17" s="175"/>
      <c r="C17" s="176"/>
      <c r="D17" s="176"/>
      <c r="E17" s="176"/>
      <c r="F17" s="176"/>
      <c r="G17" s="177"/>
      <c r="H17" s="175"/>
      <c r="I17" s="176"/>
      <c r="J17" s="176"/>
      <c r="K17" s="176"/>
      <c r="L17" s="176"/>
      <c r="M17" s="176"/>
      <c r="N17" s="177"/>
      <c r="O17" s="175"/>
      <c r="P17" s="176"/>
      <c r="Q17" s="176"/>
      <c r="R17" s="176"/>
      <c r="S17" s="217"/>
      <c r="T17" s="218"/>
      <c r="U17" s="218"/>
      <c r="V17" s="218"/>
      <c r="W17" s="218"/>
      <c r="X17" s="218"/>
      <c r="Y17" s="218"/>
      <c r="Z17" s="218"/>
      <c r="AA17" s="218"/>
      <c r="AB17" s="218"/>
      <c r="AC17" s="218"/>
      <c r="AD17" s="218"/>
      <c r="AE17" s="218"/>
      <c r="AF17" s="218"/>
      <c r="AG17" s="218"/>
      <c r="AH17" s="218"/>
      <c r="AI17" s="218"/>
      <c r="AJ17" s="218"/>
      <c r="AK17" s="218"/>
      <c r="AL17" s="218"/>
      <c r="AM17" s="218"/>
      <c r="AN17" s="218"/>
      <c r="AO17" s="218"/>
      <c r="AP17" s="218"/>
      <c r="AQ17" s="218"/>
      <c r="AR17" s="218"/>
      <c r="AS17" s="218"/>
      <c r="AT17" s="218"/>
      <c r="AU17" s="218"/>
      <c r="AV17" s="218"/>
      <c r="AW17" s="219"/>
      <c r="AX17" s="220"/>
      <c r="AY17" s="220"/>
      <c r="AZ17" s="220"/>
      <c r="BA17" s="220"/>
      <c r="BB17" s="220"/>
      <c r="BC17" s="221"/>
      <c r="BD17" s="224"/>
      <c r="BE17" s="220"/>
      <c r="BF17" s="220"/>
      <c r="BG17" s="220"/>
      <c r="BH17" s="220"/>
      <c r="BI17" s="220"/>
      <c r="BJ17" s="221"/>
      <c r="BK17" s="7"/>
    </row>
    <row r="18" spans="1:63" ht="15" customHeight="1">
      <c r="A18" s="1"/>
      <c r="B18" s="181"/>
      <c r="C18" s="182"/>
      <c r="D18" s="182"/>
      <c r="E18" s="182"/>
      <c r="F18" s="182"/>
      <c r="G18" s="183"/>
      <c r="H18" s="181"/>
      <c r="I18" s="182"/>
      <c r="J18" s="182"/>
      <c r="K18" s="182"/>
      <c r="L18" s="182"/>
      <c r="M18" s="182"/>
      <c r="N18" s="183"/>
      <c r="O18" s="181"/>
      <c r="P18" s="182"/>
      <c r="Q18" s="182"/>
      <c r="R18" s="182"/>
      <c r="S18" s="226"/>
      <c r="T18" s="227"/>
      <c r="U18" s="227"/>
      <c r="V18" s="227"/>
      <c r="W18" s="227"/>
      <c r="X18" s="227"/>
      <c r="Y18" s="227"/>
      <c r="Z18" s="227"/>
      <c r="AA18" s="227"/>
      <c r="AB18" s="227"/>
      <c r="AC18" s="227"/>
      <c r="AD18" s="227"/>
      <c r="AE18" s="227"/>
      <c r="AF18" s="227"/>
      <c r="AG18" s="227"/>
      <c r="AH18" s="227"/>
      <c r="AI18" s="227"/>
      <c r="AJ18" s="227"/>
      <c r="AK18" s="227"/>
      <c r="AL18" s="227"/>
      <c r="AM18" s="227"/>
      <c r="AN18" s="227"/>
      <c r="AO18" s="227"/>
      <c r="AP18" s="227"/>
      <c r="AQ18" s="227"/>
      <c r="AR18" s="227"/>
      <c r="AS18" s="227"/>
      <c r="AT18" s="227"/>
      <c r="AU18" s="227"/>
      <c r="AV18" s="227"/>
      <c r="AW18" s="228"/>
      <c r="AX18" s="222"/>
      <c r="AY18" s="222"/>
      <c r="AZ18" s="222"/>
      <c r="BA18" s="222"/>
      <c r="BB18" s="222"/>
      <c r="BC18" s="223"/>
      <c r="BD18" s="225"/>
      <c r="BE18" s="222"/>
      <c r="BF18" s="222"/>
      <c r="BG18" s="222"/>
      <c r="BH18" s="222"/>
      <c r="BI18" s="222"/>
      <c r="BJ18" s="223"/>
      <c r="BK18" s="7"/>
    </row>
    <row r="19" spans="1:63" ht="15" customHeight="1">
      <c r="A19" s="1"/>
      <c r="B19" s="175"/>
      <c r="C19" s="176"/>
      <c r="D19" s="176"/>
      <c r="E19" s="176"/>
      <c r="F19" s="176"/>
      <c r="G19" s="177"/>
      <c r="H19" s="175"/>
      <c r="I19" s="176"/>
      <c r="J19" s="176"/>
      <c r="K19" s="176"/>
      <c r="L19" s="176"/>
      <c r="M19" s="176"/>
      <c r="N19" s="177"/>
      <c r="O19" s="175"/>
      <c r="P19" s="176"/>
      <c r="Q19" s="176"/>
      <c r="R19" s="176"/>
      <c r="S19" s="217"/>
      <c r="T19" s="218"/>
      <c r="U19" s="218"/>
      <c r="V19" s="218"/>
      <c r="W19" s="218"/>
      <c r="X19" s="218"/>
      <c r="Y19" s="218"/>
      <c r="Z19" s="218"/>
      <c r="AA19" s="218"/>
      <c r="AB19" s="218"/>
      <c r="AC19" s="218"/>
      <c r="AD19" s="218"/>
      <c r="AE19" s="218"/>
      <c r="AF19" s="218"/>
      <c r="AG19" s="218"/>
      <c r="AH19" s="218"/>
      <c r="AI19" s="218"/>
      <c r="AJ19" s="218"/>
      <c r="AK19" s="218"/>
      <c r="AL19" s="218"/>
      <c r="AM19" s="218"/>
      <c r="AN19" s="218"/>
      <c r="AO19" s="218"/>
      <c r="AP19" s="218"/>
      <c r="AQ19" s="218"/>
      <c r="AR19" s="218"/>
      <c r="AS19" s="218"/>
      <c r="AT19" s="218"/>
      <c r="AU19" s="218"/>
      <c r="AV19" s="218"/>
      <c r="AW19" s="219"/>
      <c r="AX19" s="220"/>
      <c r="AY19" s="220"/>
      <c r="AZ19" s="220"/>
      <c r="BA19" s="220"/>
      <c r="BB19" s="220"/>
      <c r="BC19" s="221"/>
      <c r="BD19" s="224"/>
      <c r="BE19" s="220"/>
      <c r="BF19" s="220"/>
      <c r="BG19" s="220"/>
      <c r="BH19" s="220"/>
      <c r="BI19" s="220"/>
      <c r="BJ19" s="221"/>
      <c r="BK19" s="7"/>
    </row>
    <row r="20" spans="1:63" ht="15" customHeight="1">
      <c r="A20" s="1"/>
      <c r="B20" s="181"/>
      <c r="C20" s="182"/>
      <c r="D20" s="182"/>
      <c r="E20" s="182"/>
      <c r="F20" s="182"/>
      <c r="G20" s="183"/>
      <c r="H20" s="181"/>
      <c r="I20" s="182"/>
      <c r="J20" s="182"/>
      <c r="K20" s="182"/>
      <c r="L20" s="182"/>
      <c r="M20" s="182"/>
      <c r="N20" s="183"/>
      <c r="O20" s="181"/>
      <c r="P20" s="182"/>
      <c r="Q20" s="182"/>
      <c r="R20" s="182"/>
      <c r="S20" s="226"/>
      <c r="T20" s="227"/>
      <c r="U20" s="227"/>
      <c r="V20" s="227"/>
      <c r="W20" s="227"/>
      <c r="X20" s="227"/>
      <c r="Y20" s="227"/>
      <c r="Z20" s="227"/>
      <c r="AA20" s="227"/>
      <c r="AB20" s="227"/>
      <c r="AC20" s="227"/>
      <c r="AD20" s="227"/>
      <c r="AE20" s="227"/>
      <c r="AF20" s="227"/>
      <c r="AG20" s="227"/>
      <c r="AH20" s="227"/>
      <c r="AI20" s="227"/>
      <c r="AJ20" s="227"/>
      <c r="AK20" s="227"/>
      <c r="AL20" s="227"/>
      <c r="AM20" s="227"/>
      <c r="AN20" s="227"/>
      <c r="AO20" s="227"/>
      <c r="AP20" s="227"/>
      <c r="AQ20" s="227"/>
      <c r="AR20" s="227"/>
      <c r="AS20" s="227"/>
      <c r="AT20" s="227"/>
      <c r="AU20" s="227"/>
      <c r="AV20" s="227"/>
      <c r="AW20" s="228"/>
      <c r="AX20" s="222"/>
      <c r="AY20" s="222"/>
      <c r="AZ20" s="222"/>
      <c r="BA20" s="222"/>
      <c r="BB20" s="222"/>
      <c r="BC20" s="223"/>
      <c r="BD20" s="225"/>
      <c r="BE20" s="222"/>
      <c r="BF20" s="222"/>
      <c r="BG20" s="222"/>
      <c r="BH20" s="222"/>
      <c r="BI20" s="222"/>
      <c r="BJ20" s="223"/>
      <c r="BK20" s="7"/>
    </row>
    <row r="21" spans="1:63" ht="15" customHeight="1">
      <c r="A21" s="1"/>
      <c r="B21" s="175"/>
      <c r="C21" s="176"/>
      <c r="D21" s="176"/>
      <c r="E21" s="176"/>
      <c r="F21" s="176"/>
      <c r="G21" s="177"/>
      <c r="H21" s="175"/>
      <c r="I21" s="176"/>
      <c r="J21" s="176"/>
      <c r="K21" s="176"/>
      <c r="L21" s="176"/>
      <c r="M21" s="176"/>
      <c r="N21" s="177"/>
      <c r="O21" s="175"/>
      <c r="P21" s="176"/>
      <c r="Q21" s="176"/>
      <c r="R21" s="176"/>
      <c r="S21" s="217"/>
      <c r="T21" s="218"/>
      <c r="U21" s="218"/>
      <c r="V21" s="218"/>
      <c r="W21" s="218"/>
      <c r="X21" s="218"/>
      <c r="Y21" s="218"/>
      <c r="Z21" s="218"/>
      <c r="AA21" s="218"/>
      <c r="AB21" s="218"/>
      <c r="AC21" s="218"/>
      <c r="AD21" s="218"/>
      <c r="AE21" s="218"/>
      <c r="AF21" s="218"/>
      <c r="AG21" s="218"/>
      <c r="AH21" s="218"/>
      <c r="AI21" s="218"/>
      <c r="AJ21" s="218"/>
      <c r="AK21" s="218"/>
      <c r="AL21" s="218"/>
      <c r="AM21" s="218"/>
      <c r="AN21" s="218"/>
      <c r="AO21" s="218"/>
      <c r="AP21" s="218"/>
      <c r="AQ21" s="218"/>
      <c r="AR21" s="218"/>
      <c r="AS21" s="218"/>
      <c r="AT21" s="218"/>
      <c r="AU21" s="218"/>
      <c r="AV21" s="218"/>
      <c r="AW21" s="219"/>
      <c r="AX21" s="220"/>
      <c r="AY21" s="220"/>
      <c r="AZ21" s="220"/>
      <c r="BA21" s="220"/>
      <c r="BB21" s="220"/>
      <c r="BC21" s="221"/>
      <c r="BD21" s="224"/>
      <c r="BE21" s="220"/>
      <c r="BF21" s="220"/>
      <c r="BG21" s="220"/>
      <c r="BH21" s="220"/>
      <c r="BI21" s="220"/>
      <c r="BJ21" s="221"/>
      <c r="BK21" s="7"/>
    </row>
    <row r="22" spans="1:63" ht="15" customHeight="1">
      <c r="A22" s="1"/>
      <c r="B22" s="181"/>
      <c r="C22" s="182"/>
      <c r="D22" s="182"/>
      <c r="E22" s="182"/>
      <c r="F22" s="182"/>
      <c r="G22" s="183"/>
      <c r="H22" s="181"/>
      <c r="I22" s="182"/>
      <c r="J22" s="182"/>
      <c r="K22" s="182"/>
      <c r="L22" s="182"/>
      <c r="M22" s="182"/>
      <c r="N22" s="183"/>
      <c r="O22" s="181"/>
      <c r="P22" s="182"/>
      <c r="Q22" s="182"/>
      <c r="R22" s="182"/>
      <c r="S22" s="226"/>
      <c r="T22" s="227"/>
      <c r="U22" s="227"/>
      <c r="V22" s="227"/>
      <c r="W22" s="227"/>
      <c r="X22" s="227"/>
      <c r="Y22" s="227"/>
      <c r="Z22" s="227"/>
      <c r="AA22" s="227"/>
      <c r="AB22" s="227"/>
      <c r="AC22" s="227"/>
      <c r="AD22" s="227"/>
      <c r="AE22" s="227"/>
      <c r="AF22" s="227"/>
      <c r="AG22" s="227"/>
      <c r="AH22" s="227"/>
      <c r="AI22" s="227"/>
      <c r="AJ22" s="227"/>
      <c r="AK22" s="227"/>
      <c r="AL22" s="227"/>
      <c r="AM22" s="227"/>
      <c r="AN22" s="227"/>
      <c r="AO22" s="227"/>
      <c r="AP22" s="227"/>
      <c r="AQ22" s="227"/>
      <c r="AR22" s="227"/>
      <c r="AS22" s="227"/>
      <c r="AT22" s="227"/>
      <c r="AU22" s="227"/>
      <c r="AV22" s="227"/>
      <c r="AW22" s="228"/>
      <c r="AX22" s="222"/>
      <c r="AY22" s="222"/>
      <c r="AZ22" s="222"/>
      <c r="BA22" s="222"/>
      <c r="BB22" s="222"/>
      <c r="BC22" s="223"/>
      <c r="BD22" s="225"/>
      <c r="BE22" s="222"/>
      <c r="BF22" s="222"/>
      <c r="BG22" s="222"/>
      <c r="BH22" s="222"/>
      <c r="BI22" s="222"/>
      <c r="BJ22" s="223"/>
      <c r="BK22" s="7"/>
    </row>
    <row r="23" spans="1:63" ht="15" customHeight="1">
      <c r="A23" s="1"/>
      <c r="B23" s="175"/>
      <c r="C23" s="176"/>
      <c r="D23" s="176"/>
      <c r="E23" s="176"/>
      <c r="F23" s="176"/>
      <c r="G23" s="177"/>
      <c r="H23" s="175"/>
      <c r="I23" s="176"/>
      <c r="J23" s="176"/>
      <c r="K23" s="176"/>
      <c r="L23" s="176"/>
      <c r="M23" s="176"/>
      <c r="N23" s="177"/>
      <c r="O23" s="175"/>
      <c r="P23" s="176"/>
      <c r="Q23" s="176"/>
      <c r="R23" s="176"/>
      <c r="S23" s="217"/>
      <c r="T23" s="218"/>
      <c r="U23" s="218"/>
      <c r="V23" s="218"/>
      <c r="W23" s="218"/>
      <c r="X23" s="218"/>
      <c r="Y23" s="218"/>
      <c r="Z23" s="218"/>
      <c r="AA23" s="218"/>
      <c r="AB23" s="218"/>
      <c r="AC23" s="218"/>
      <c r="AD23" s="218"/>
      <c r="AE23" s="218"/>
      <c r="AF23" s="218"/>
      <c r="AG23" s="218"/>
      <c r="AH23" s="218"/>
      <c r="AI23" s="218"/>
      <c r="AJ23" s="218"/>
      <c r="AK23" s="218"/>
      <c r="AL23" s="218"/>
      <c r="AM23" s="218"/>
      <c r="AN23" s="218"/>
      <c r="AO23" s="218"/>
      <c r="AP23" s="218"/>
      <c r="AQ23" s="218"/>
      <c r="AR23" s="218"/>
      <c r="AS23" s="218"/>
      <c r="AT23" s="218"/>
      <c r="AU23" s="218"/>
      <c r="AV23" s="218"/>
      <c r="AW23" s="219"/>
      <c r="AX23" s="220"/>
      <c r="AY23" s="220"/>
      <c r="AZ23" s="220"/>
      <c r="BA23" s="220"/>
      <c r="BB23" s="220"/>
      <c r="BC23" s="221"/>
      <c r="BD23" s="224"/>
      <c r="BE23" s="220"/>
      <c r="BF23" s="220"/>
      <c r="BG23" s="220"/>
      <c r="BH23" s="220"/>
      <c r="BI23" s="220"/>
      <c r="BJ23" s="221"/>
      <c r="BK23" s="7"/>
    </row>
    <row r="24" spans="1:63" ht="15" customHeight="1">
      <c r="A24" s="1"/>
      <c r="B24" s="181"/>
      <c r="C24" s="182"/>
      <c r="D24" s="182"/>
      <c r="E24" s="182"/>
      <c r="F24" s="182"/>
      <c r="G24" s="183"/>
      <c r="H24" s="181"/>
      <c r="I24" s="182"/>
      <c r="J24" s="182"/>
      <c r="K24" s="182"/>
      <c r="L24" s="182"/>
      <c r="M24" s="182"/>
      <c r="N24" s="183"/>
      <c r="O24" s="181"/>
      <c r="P24" s="182"/>
      <c r="Q24" s="182"/>
      <c r="R24" s="182"/>
      <c r="S24" s="226"/>
      <c r="T24" s="227"/>
      <c r="U24" s="227"/>
      <c r="V24" s="227"/>
      <c r="W24" s="227"/>
      <c r="X24" s="227"/>
      <c r="Y24" s="227"/>
      <c r="Z24" s="227"/>
      <c r="AA24" s="227"/>
      <c r="AB24" s="227"/>
      <c r="AC24" s="227"/>
      <c r="AD24" s="227"/>
      <c r="AE24" s="227"/>
      <c r="AF24" s="227"/>
      <c r="AG24" s="227"/>
      <c r="AH24" s="227"/>
      <c r="AI24" s="227"/>
      <c r="AJ24" s="227"/>
      <c r="AK24" s="227"/>
      <c r="AL24" s="227"/>
      <c r="AM24" s="227"/>
      <c r="AN24" s="227"/>
      <c r="AO24" s="227"/>
      <c r="AP24" s="227"/>
      <c r="AQ24" s="227"/>
      <c r="AR24" s="227"/>
      <c r="AS24" s="227"/>
      <c r="AT24" s="227"/>
      <c r="AU24" s="227"/>
      <c r="AV24" s="227"/>
      <c r="AW24" s="228"/>
      <c r="AX24" s="222"/>
      <c r="AY24" s="222"/>
      <c r="AZ24" s="222"/>
      <c r="BA24" s="222"/>
      <c r="BB24" s="222"/>
      <c r="BC24" s="223"/>
      <c r="BD24" s="225"/>
      <c r="BE24" s="222"/>
      <c r="BF24" s="222"/>
      <c r="BG24" s="222"/>
      <c r="BH24" s="222"/>
      <c r="BI24" s="222"/>
      <c r="BJ24" s="223"/>
      <c r="BK24" s="7"/>
    </row>
    <row r="25" spans="1:63" ht="15" customHeight="1">
      <c r="A25" s="1"/>
      <c r="B25" s="175"/>
      <c r="C25" s="176"/>
      <c r="D25" s="176"/>
      <c r="E25" s="176"/>
      <c r="F25" s="176"/>
      <c r="G25" s="177"/>
      <c r="H25" s="175"/>
      <c r="I25" s="176"/>
      <c r="J25" s="176"/>
      <c r="K25" s="176"/>
      <c r="L25" s="176"/>
      <c r="M25" s="176"/>
      <c r="N25" s="177"/>
      <c r="O25" s="175"/>
      <c r="P25" s="176"/>
      <c r="Q25" s="176"/>
      <c r="R25" s="176"/>
      <c r="S25" s="217"/>
      <c r="T25" s="218"/>
      <c r="U25" s="218"/>
      <c r="V25" s="218"/>
      <c r="W25" s="218"/>
      <c r="X25" s="218"/>
      <c r="Y25" s="218"/>
      <c r="Z25" s="218"/>
      <c r="AA25" s="218"/>
      <c r="AB25" s="218"/>
      <c r="AC25" s="218"/>
      <c r="AD25" s="218"/>
      <c r="AE25" s="218"/>
      <c r="AF25" s="218"/>
      <c r="AG25" s="218"/>
      <c r="AH25" s="218"/>
      <c r="AI25" s="218"/>
      <c r="AJ25" s="218"/>
      <c r="AK25" s="218"/>
      <c r="AL25" s="218"/>
      <c r="AM25" s="218"/>
      <c r="AN25" s="218"/>
      <c r="AO25" s="218"/>
      <c r="AP25" s="218"/>
      <c r="AQ25" s="218"/>
      <c r="AR25" s="218"/>
      <c r="AS25" s="218"/>
      <c r="AT25" s="218"/>
      <c r="AU25" s="218"/>
      <c r="AV25" s="218"/>
      <c r="AW25" s="219"/>
      <c r="AX25" s="220"/>
      <c r="AY25" s="220"/>
      <c r="AZ25" s="220"/>
      <c r="BA25" s="220"/>
      <c r="BB25" s="220"/>
      <c r="BC25" s="221"/>
      <c r="BD25" s="224"/>
      <c r="BE25" s="220"/>
      <c r="BF25" s="220"/>
      <c r="BG25" s="220"/>
      <c r="BH25" s="220"/>
      <c r="BI25" s="220"/>
      <c r="BJ25" s="221"/>
      <c r="BK25" s="7"/>
    </row>
    <row r="26" spans="1:63" ht="15" customHeight="1">
      <c r="A26" s="1"/>
      <c r="B26" s="181"/>
      <c r="C26" s="182"/>
      <c r="D26" s="182"/>
      <c r="E26" s="182"/>
      <c r="F26" s="182"/>
      <c r="G26" s="183"/>
      <c r="H26" s="181"/>
      <c r="I26" s="182"/>
      <c r="J26" s="182"/>
      <c r="K26" s="182"/>
      <c r="L26" s="182"/>
      <c r="M26" s="182"/>
      <c r="N26" s="183"/>
      <c r="O26" s="181"/>
      <c r="P26" s="182"/>
      <c r="Q26" s="182"/>
      <c r="R26" s="182"/>
      <c r="S26" s="226"/>
      <c r="T26" s="227"/>
      <c r="U26" s="227"/>
      <c r="V26" s="227"/>
      <c r="W26" s="227"/>
      <c r="X26" s="227"/>
      <c r="Y26" s="227"/>
      <c r="Z26" s="227"/>
      <c r="AA26" s="227"/>
      <c r="AB26" s="227"/>
      <c r="AC26" s="227"/>
      <c r="AD26" s="227"/>
      <c r="AE26" s="227"/>
      <c r="AF26" s="227"/>
      <c r="AG26" s="227"/>
      <c r="AH26" s="227"/>
      <c r="AI26" s="227"/>
      <c r="AJ26" s="227"/>
      <c r="AK26" s="227"/>
      <c r="AL26" s="227"/>
      <c r="AM26" s="227"/>
      <c r="AN26" s="227"/>
      <c r="AO26" s="227"/>
      <c r="AP26" s="227"/>
      <c r="AQ26" s="227"/>
      <c r="AR26" s="227"/>
      <c r="AS26" s="227"/>
      <c r="AT26" s="227"/>
      <c r="AU26" s="227"/>
      <c r="AV26" s="227"/>
      <c r="AW26" s="228"/>
      <c r="AX26" s="222"/>
      <c r="AY26" s="222"/>
      <c r="AZ26" s="222"/>
      <c r="BA26" s="222"/>
      <c r="BB26" s="222"/>
      <c r="BC26" s="223"/>
      <c r="BD26" s="225"/>
      <c r="BE26" s="222"/>
      <c r="BF26" s="222"/>
      <c r="BG26" s="222"/>
      <c r="BH26" s="222"/>
      <c r="BI26" s="222"/>
      <c r="BJ26" s="223"/>
      <c r="BK26" s="7"/>
    </row>
    <row r="27" spans="1:63" ht="15" customHeight="1">
      <c r="A27" s="1"/>
      <c r="B27" s="175"/>
      <c r="C27" s="176"/>
      <c r="D27" s="176"/>
      <c r="E27" s="176"/>
      <c r="F27" s="176"/>
      <c r="G27" s="177"/>
      <c r="H27" s="175"/>
      <c r="I27" s="176"/>
      <c r="J27" s="176"/>
      <c r="K27" s="176"/>
      <c r="L27" s="176"/>
      <c r="M27" s="176"/>
      <c r="N27" s="177"/>
      <c r="O27" s="175"/>
      <c r="P27" s="176"/>
      <c r="Q27" s="176"/>
      <c r="R27" s="176"/>
      <c r="S27" s="217"/>
      <c r="T27" s="218"/>
      <c r="U27" s="218"/>
      <c r="V27" s="218"/>
      <c r="W27" s="218"/>
      <c r="X27" s="218"/>
      <c r="Y27" s="218"/>
      <c r="Z27" s="218"/>
      <c r="AA27" s="218"/>
      <c r="AB27" s="218"/>
      <c r="AC27" s="218"/>
      <c r="AD27" s="218"/>
      <c r="AE27" s="218"/>
      <c r="AF27" s="218"/>
      <c r="AG27" s="218"/>
      <c r="AH27" s="218"/>
      <c r="AI27" s="218"/>
      <c r="AJ27" s="218"/>
      <c r="AK27" s="218"/>
      <c r="AL27" s="218"/>
      <c r="AM27" s="218"/>
      <c r="AN27" s="218"/>
      <c r="AO27" s="218"/>
      <c r="AP27" s="218"/>
      <c r="AQ27" s="218"/>
      <c r="AR27" s="218"/>
      <c r="AS27" s="218"/>
      <c r="AT27" s="218"/>
      <c r="AU27" s="218"/>
      <c r="AV27" s="218"/>
      <c r="AW27" s="219"/>
      <c r="AX27" s="220"/>
      <c r="AY27" s="220"/>
      <c r="AZ27" s="220"/>
      <c r="BA27" s="220"/>
      <c r="BB27" s="220"/>
      <c r="BC27" s="221"/>
      <c r="BD27" s="224"/>
      <c r="BE27" s="220"/>
      <c r="BF27" s="220"/>
      <c r="BG27" s="220"/>
      <c r="BH27" s="220"/>
      <c r="BI27" s="220"/>
      <c r="BJ27" s="221"/>
      <c r="BK27" s="7"/>
    </row>
    <row r="28" spans="1:63" ht="15" customHeight="1">
      <c r="A28" s="1"/>
      <c r="B28" s="181"/>
      <c r="C28" s="182"/>
      <c r="D28" s="182"/>
      <c r="E28" s="182"/>
      <c r="F28" s="182"/>
      <c r="G28" s="183"/>
      <c r="H28" s="181"/>
      <c r="I28" s="182"/>
      <c r="J28" s="182"/>
      <c r="K28" s="182"/>
      <c r="L28" s="182"/>
      <c r="M28" s="182"/>
      <c r="N28" s="183"/>
      <c r="O28" s="181"/>
      <c r="P28" s="182"/>
      <c r="Q28" s="182"/>
      <c r="R28" s="182"/>
      <c r="S28" s="226"/>
      <c r="T28" s="227"/>
      <c r="U28" s="227"/>
      <c r="V28" s="227"/>
      <c r="W28" s="227"/>
      <c r="X28" s="227"/>
      <c r="Y28" s="227"/>
      <c r="Z28" s="227"/>
      <c r="AA28" s="227"/>
      <c r="AB28" s="227"/>
      <c r="AC28" s="227"/>
      <c r="AD28" s="227"/>
      <c r="AE28" s="227"/>
      <c r="AF28" s="227"/>
      <c r="AG28" s="227"/>
      <c r="AH28" s="227"/>
      <c r="AI28" s="227"/>
      <c r="AJ28" s="227"/>
      <c r="AK28" s="227"/>
      <c r="AL28" s="227"/>
      <c r="AM28" s="227"/>
      <c r="AN28" s="227"/>
      <c r="AO28" s="227"/>
      <c r="AP28" s="227"/>
      <c r="AQ28" s="227"/>
      <c r="AR28" s="227"/>
      <c r="AS28" s="227"/>
      <c r="AT28" s="227"/>
      <c r="AU28" s="227"/>
      <c r="AV28" s="227"/>
      <c r="AW28" s="228"/>
      <c r="AX28" s="222"/>
      <c r="AY28" s="222"/>
      <c r="AZ28" s="222"/>
      <c r="BA28" s="222"/>
      <c r="BB28" s="222"/>
      <c r="BC28" s="223"/>
      <c r="BD28" s="225"/>
      <c r="BE28" s="222"/>
      <c r="BF28" s="222"/>
      <c r="BG28" s="222"/>
      <c r="BH28" s="222"/>
      <c r="BI28" s="222"/>
      <c r="BJ28" s="223"/>
      <c r="BK28" s="7"/>
    </row>
    <row r="29" spans="1:63" ht="15" customHeight="1">
      <c r="A29" s="1"/>
      <c r="B29" s="175"/>
      <c r="C29" s="176"/>
      <c r="D29" s="176"/>
      <c r="E29" s="176"/>
      <c r="F29" s="176"/>
      <c r="G29" s="177"/>
      <c r="H29" s="175"/>
      <c r="I29" s="176"/>
      <c r="J29" s="176"/>
      <c r="K29" s="176"/>
      <c r="L29" s="176"/>
      <c r="M29" s="176"/>
      <c r="N29" s="177"/>
      <c r="O29" s="175"/>
      <c r="P29" s="176"/>
      <c r="Q29" s="176"/>
      <c r="R29" s="176"/>
      <c r="S29" s="217"/>
      <c r="T29" s="218"/>
      <c r="U29" s="218"/>
      <c r="V29" s="218"/>
      <c r="W29" s="218"/>
      <c r="X29" s="218"/>
      <c r="Y29" s="218"/>
      <c r="Z29" s="218"/>
      <c r="AA29" s="218"/>
      <c r="AB29" s="218"/>
      <c r="AC29" s="218"/>
      <c r="AD29" s="218"/>
      <c r="AE29" s="218"/>
      <c r="AF29" s="218"/>
      <c r="AG29" s="218"/>
      <c r="AH29" s="218"/>
      <c r="AI29" s="218"/>
      <c r="AJ29" s="218"/>
      <c r="AK29" s="218"/>
      <c r="AL29" s="218"/>
      <c r="AM29" s="218"/>
      <c r="AN29" s="218"/>
      <c r="AO29" s="218"/>
      <c r="AP29" s="218"/>
      <c r="AQ29" s="218"/>
      <c r="AR29" s="218"/>
      <c r="AS29" s="218"/>
      <c r="AT29" s="218"/>
      <c r="AU29" s="218"/>
      <c r="AV29" s="218"/>
      <c r="AW29" s="219"/>
      <c r="AX29" s="220"/>
      <c r="AY29" s="220"/>
      <c r="AZ29" s="220"/>
      <c r="BA29" s="220"/>
      <c r="BB29" s="220"/>
      <c r="BC29" s="221"/>
      <c r="BD29" s="224"/>
      <c r="BE29" s="220"/>
      <c r="BF29" s="220"/>
      <c r="BG29" s="220"/>
      <c r="BH29" s="220"/>
      <c r="BI29" s="220"/>
      <c r="BJ29" s="221"/>
      <c r="BK29" s="7"/>
    </row>
    <row r="30" spans="1:63" ht="15" customHeight="1">
      <c r="A30" s="1"/>
      <c r="B30" s="181"/>
      <c r="C30" s="182"/>
      <c r="D30" s="182"/>
      <c r="E30" s="182"/>
      <c r="F30" s="182"/>
      <c r="G30" s="183"/>
      <c r="H30" s="181"/>
      <c r="I30" s="182"/>
      <c r="J30" s="182"/>
      <c r="K30" s="182"/>
      <c r="L30" s="182"/>
      <c r="M30" s="182"/>
      <c r="N30" s="183"/>
      <c r="O30" s="181"/>
      <c r="P30" s="182"/>
      <c r="Q30" s="182"/>
      <c r="R30" s="182"/>
      <c r="S30" s="226"/>
      <c r="T30" s="227"/>
      <c r="U30" s="227"/>
      <c r="V30" s="227"/>
      <c r="W30" s="227"/>
      <c r="X30" s="227"/>
      <c r="Y30" s="227"/>
      <c r="Z30" s="227"/>
      <c r="AA30" s="227"/>
      <c r="AB30" s="227"/>
      <c r="AC30" s="227"/>
      <c r="AD30" s="227"/>
      <c r="AE30" s="227"/>
      <c r="AF30" s="227"/>
      <c r="AG30" s="227"/>
      <c r="AH30" s="227"/>
      <c r="AI30" s="227"/>
      <c r="AJ30" s="227"/>
      <c r="AK30" s="227"/>
      <c r="AL30" s="227"/>
      <c r="AM30" s="227"/>
      <c r="AN30" s="227"/>
      <c r="AO30" s="227"/>
      <c r="AP30" s="227"/>
      <c r="AQ30" s="227"/>
      <c r="AR30" s="227"/>
      <c r="AS30" s="227"/>
      <c r="AT30" s="227"/>
      <c r="AU30" s="227"/>
      <c r="AV30" s="227"/>
      <c r="AW30" s="228"/>
      <c r="AX30" s="222"/>
      <c r="AY30" s="222"/>
      <c r="AZ30" s="222"/>
      <c r="BA30" s="222"/>
      <c r="BB30" s="222"/>
      <c r="BC30" s="223"/>
      <c r="BD30" s="225"/>
      <c r="BE30" s="222"/>
      <c r="BF30" s="222"/>
      <c r="BG30" s="222"/>
      <c r="BH30" s="222"/>
      <c r="BI30" s="222"/>
      <c r="BJ30" s="223"/>
      <c r="BK30" s="7"/>
    </row>
    <row r="31" spans="1:63" ht="15" customHeight="1">
      <c r="A31" s="1"/>
      <c r="B31" s="175"/>
      <c r="C31" s="176"/>
      <c r="D31" s="176"/>
      <c r="E31" s="176"/>
      <c r="F31" s="176"/>
      <c r="G31" s="177"/>
      <c r="H31" s="175"/>
      <c r="I31" s="176"/>
      <c r="J31" s="176"/>
      <c r="K31" s="176"/>
      <c r="L31" s="176"/>
      <c r="M31" s="176"/>
      <c r="N31" s="177"/>
      <c r="O31" s="175"/>
      <c r="P31" s="176"/>
      <c r="Q31" s="176"/>
      <c r="R31" s="176"/>
      <c r="S31" s="217"/>
      <c r="T31" s="218"/>
      <c r="U31" s="218"/>
      <c r="V31" s="218"/>
      <c r="W31" s="218"/>
      <c r="X31" s="218"/>
      <c r="Y31" s="218"/>
      <c r="Z31" s="218"/>
      <c r="AA31" s="218"/>
      <c r="AB31" s="218"/>
      <c r="AC31" s="218"/>
      <c r="AD31" s="218"/>
      <c r="AE31" s="218"/>
      <c r="AF31" s="218"/>
      <c r="AG31" s="218"/>
      <c r="AH31" s="218"/>
      <c r="AI31" s="218"/>
      <c r="AJ31" s="218"/>
      <c r="AK31" s="218"/>
      <c r="AL31" s="218"/>
      <c r="AM31" s="218"/>
      <c r="AN31" s="218"/>
      <c r="AO31" s="218"/>
      <c r="AP31" s="218"/>
      <c r="AQ31" s="218"/>
      <c r="AR31" s="218"/>
      <c r="AS31" s="218"/>
      <c r="AT31" s="218"/>
      <c r="AU31" s="218"/>
      <c r="AV31" s="218"/>
      <c r="AW31" s="219"/>
      <c r="AX31" s="220"/>
      <c r="AY31" s="220"/>
      <c r="AZ31" s="220"/>
      <c r="BA31" s="220"/>
      <c r="BB31" s="220"/>
      <c r="BC31" s="221"/>
      <c r="BD31" s="224"/>
      <c r="BE31" s="220"/>
      <c r="BF31" s="220"/>
      <c r="BG31" s="220"/>
      <c r="BH31" s="220"/>
      <c r="BI31" s="220"/>
      <c r="BJ31" s="221"/>
      <c r="BK31" s="7"/>
    </row>
    <row r="32" spans="1:63" ht="15" customHeight="1">
      <c r="A32" s="1"/>
      <c r="B32" s="181"/>
      <c r="C32" s="182"/>
      <c r="D32" s="182"/>
      <c r="E32" s="182"/>
      <c r="F32" s="182"/>
      <c r="G32" s="183"/>
      <c r="H32" s="181"/>
      <c r="I32" s="182"/>
      <c r="J32" s="182"/>
      <c r="K32" s="182"/>
      <c r="L32" s="182"/>
      <c r="M32" s="182"/>
      <c r="N32" s="183"/>
      <c r="O32" s="181"/>
      <c r="P32" s="182"/>
      <c r="Q32" s="182"/>
      <c r="R32" s="182"/>
      <c r="S32" s="226"/>
      <c r="T32" s="227"/>
      <c r="U32" s="227"/>
      <c r="V32" s="227"/>
      <c r="W32" s="227"/>
      <c r="X32" s="227"/>
      <c r="Y32" s="227"/>
      <c r="Z32" s="227"/>
      <c r="AA32" s="227"/>
      <c r="AB32" s="227"/>
      <c r="AC32" s="227"/>
      <c r="AD32" s="227"/>
      <c r="AE32" s="227"/>
      <c r="AF32" s="227"/>
      <c r="AG32" s="227"/>
      <c r="AH32" s="227"/>
      <c r="AI32" s="227"/>
      <c r="AJ32" s="227"/>
      <c r="AK32" s="227"/>
      <c r="AL32" s="227"/>
      <c r="AM32" s="227"/>
      <c r="AN32" s="227"/>
      <c r="AO32" s="227"/>
      <c r="AP32" s="227"/>
      <c r="AQ32" s="227"/>
      <c r="AR32" s="227"/>
      <c r="AS32" s="227"/>
      <c r="AT32" s="227"/>
      <c r="AU32" s="227"/>
      <c r="AV32" s="227"/>
      <c r="AW32" s="228"/>
      <c r="AX32" s="222"/>
      <c r="AY32" s="222"/>
      <c r="AZ32" s="222"/>
      <c r="BA32" s="222"/>
      <c r="BB32" s="222"/>
      <c r="BC32" s="223"/>
      <c r="BD32" s="225"/>
      <c r="BE32" s="222"/>
      <c r="BF32" s="222"/>
      <c r="BG32" s="222"/>
      <c r="BH32" s="222"/>
      <c r="BI32" s="222"/>
      <c r="BJ32" s="223"/>
      <c r="BK32" s="7"/>
    </row>
    <row r="33" spans="1:63" ht="15" customHeight="1">
      <c r="A33" s="1"/>
      <c r="B33" s="175"/>
      <c r="C33" s="176"/>
      <c r="D33" s="176"/>
      <c r="E33" s="176"/>
      <c r="F33" s="176"/>
      <c r="G33" s="177"/>
      <c r="H33" s="175"/>
      <c r="I33" s="176"/>
      <c r="J33" s="176"/>
      <c r="K33" s="176"/>
      <c r="L33" s="176"/>
      <c r="M33" s="176"/>
      <c r="N33" s="177"/>
      <c r="O33" s="175"/>
      <c r="P33" s="176"/>
      <c r="Q33" s="176"/>
      <c r="R33" s="176"/>
      <c r="S33" s="217"/>
      <c r="T33" s="218"/>
      <c r="U33" s="218"/>
      <c r="V33" s="218"/>
      <c r="W33" s="218"/>
      <c r="X33" s="218"/>
      <c r="Y33" s="218"/>
      <c r="Z33" s="218"/>
      <c r="AA33" s="218"/>
      <c r="AB33" s="218"/>
      <c r="AC33" s="218"/>
      <c r="AD33" s="218"/>
      <c r="AE33" s="218"/>
      <c r="AF33" s="218"/>
      <c r="AG33" s="218"/>
      <c r="AH33" s="218"/>
      <c r="AI33" s="218"/>
      <c r="AJ33" s="218"/>
      <c r="AK33" s="218"/>
      <c r="AL33" s="218"/>
      <c r="AM33" s="218"/>
      <c r="AN33" s="218"/>
      <c r="AO33" s="218"/>
      <c r="AP33" s="218"/>
      <c r="AQ33" s="218"/>
      <c r="AR33" s="218"/>
      <c r="AS33" s="218"/>
      <c r="AT33" s="218"/>
      <c r="AU33" s="218"/>
      <c r="AV33" s="218"/>
      <c r="AW33" s="219"/>
      <c r="AX33" s="220"/>
      <c r="AY33" s="220"/>
      <c r="AZ33" s="220"/>
      <c r="BA33" s="220"/>
      <c r="BB33" s="220"/>
      <c r="BC33" s="221"/>
      <c r="BD33" s="224"/>
      <c r="BE33" s="220"/>
      <c r="BF33" s="220"/>
      <c r="BG33" s="220"/>
      <c r="BH33" s="220"/>
      <c r="BI33" s="220"/>
      <c r="BJ33" s="221"/>
      <c r="BK33" s="7"/>
    </row>
    <row r="34" spans="1:63" ht="15" customHeight="1">
      <c r="A34" s="1"/>
      <c r="B34" s="181"/>
      <c r="C34" s="182"/>
      <c r="D34" s="182"/>
      <c r="E34" s="182"/>
      <c r="F34" s="182"/>
      <c r="G34" s="183"/>
      <c r="H34" s="181"/>
      <c r="I34" s="182"/>
      <c r="J34" s="182"/>
      <c r="K34" s="182"/>
      <c r="L34" s="182"/>
      <c r="M34" s="182"/>
      <c r="N34" s="183"/>
      <c r="O34" s="181"/>
      <c r="P34" s="182"/>
      <c r="Q34" s="182"/>
      <c r="R34" s="182"/>
      <c r="S34" s="226"/>
      <c r="T34" s="227"/>
      <c r="U34" s="227"/>
      <c r="V34" s="227"/>
      <c r="W34" s="227"/>
      <c r="X34" s="227"/>
      <c r="Y34" s="227"/>
      <c r="Z34" s="227"/>
      <c r="AA34" s="227"/>
      <c r="AB34" s="227"/>
      <c r="AC34" s="227"/>
      <c r="AD34" s="227"/>
      <c r="AE34" s="227"/>
      <c r="AF34" s="227"/>
      <c r="AG34" s="227"/>
      <c r="AH34" s="227"/>
      <c r="AI34" s="227"/>
      <c r="AJ34" s="227"/>
      <c r="AK34" s="227"/>
      <c r="AL34" s="227"/>
      <c r="AM34" s="227"/>
      <c r="AN34" s="227"/>
      <c r="AO34" s="227"/>
      <c r="AP34" s="227"/>
      <c r="AQ34" s="227"/>
      <c r="AR34" s="227"/>
      <c r="AS34" s="227"/>
      <c r="AT34" s="227"/>
      <c r="AU34" s="227"/>
      <c r="AV34" s="227"/>
      <c r="AW34" s="228"/>
      <c r="AX34" s="222"/>
      <c r="AY34" s="222"/>
      <c r="AZ34" s="222"/>
      <c r="BA34" s="222"/>
      <c r="BB34" s="222"/>
      <c r="BC34" s="223"/>
      <c r="BD34" s="225"/>
      <c r="BE34" s="222"/>
      <c r="BF34" s="222"/>
      <c r="BG34" s="222"/>
      <c r="BH34" s="222"/>
      <c r="BI34" s="222"/>
      <c r="BJ34" s="223"/>
      <c r="BK34" s="7"/>
    </row>
    <row r="35" spans="1:63" ht="15" customHeight="1">
      <c r="A35" s="1"/>
      <c r="B35" s="175"/>
      <c r="C35" s="176"/>
      <c r="D35" s="176"/>
      <c r="E35" s="176"/>
      <c r="F35" s="176"/>
      <c r="G35" s="177"/>
      <c r="H35" s="175"/>
      <c r="I35" s="176"/>
      <c r="J35" s="176"/>
      <c r="K35" s="176"/>
      <c r="L35" s="176"/>
      <c r="M35" s="176"/>
      <c r="N35" s="177"/>
      <c r="O35" s="175"/>
      <c r="P35" s="176"/>
      <c r="Q35" s="176"/>
      <c r="R35" s="176"/>
      <c r="S35" s="217"/>
      <c r="T35" s="218"/>
      <c r="U35" s="218"/>
      <c r="V35" s="218"/>
      <c r="W35" s="218"/>
      <c r="X35" s="218"/>
      <c r="Y35" s="218"/>
      <c r="Z35" s="218"/>
      <c r="AA35" s="218"/>
      <c r="AB35" s="218"/>
      <c r="AC35" s="218"/>
      <c r="AD35" s="218"/>
      <c r="AE35" s="218"/>
      <c r="AF35" s="218"/>
      <c r="AG35" s="218"/>
      <c r="AH35" s="218"/>
      <c r="AI35" s="218"/>
      <c r="AJ35" s="218"/>
      <c r="AK35" s="218"/>
      <c r="AL35" s="218"/>
      <c r="AM35" s="218"/>
      <c r="AN35" s="218"/>
      <c r="AO35" s="218"/>
      <c r="AP35" s="218"/>
      <c r="AQ35" s="218"/>
      <c r="AR35" s="218"/>
      <c r="AS35" s="218"/>
      <c r="AT35" s="218"/>
      <c r="AU35" s="218"/>
      <c r="AV35" s="218"/>
      <c r="AW35" s="219"/>
      <c r="AX35" s="220"/>
      <c r="AY35" s="220"/>
      <c r="AZ35" s="220"/>
      <c r="BA35" s="220"/>
      <c r="BB35" s="220"/>
      <c r="BC35" s="221"/>
      <c r="BD35" s="224"/>
      <c r="BE35" s="220"/>
      <c r="BF35" s="220"/>
      <c r="BG35" s="220"/>
      <c r="BH35" s="220"/>
      <c r="BI35" s="220"/>
      <c r="BJ35" s="221"/>
      <c r="BK35" s="7"/>
    </row>
    <row r="36" spans="1:63" ht="15" customHeight="1">
      <c r="A36" s="1"/>
      <c r="B36" s="181"/>
      <c r="C36" s="182"/>
      <c r="D36" s="182"/>
      <c r="E36" s="182"/>
      <c r="F36" s="182"/>
      <c r="G36" s="183"/>
      <c r="H36" s="181"/>
      <c r="I36" s="182"/>
      <c r="J36" s="182"/>
      <c r="K36" s="182"/>
      <c r="L36" s="182"/>
      <c r="M36" s="182"/>
      <c r="N36" s="183"/>
      <c r="O36" s="181"/>
      <c r="P36" s="182"/>
      <c r="Q36" s="182"/>
      <c r="R36" s="182"/>
      <c r="S36" s="226"/>
      <c r="T36" s="227"/>
      <c r="U36" s="227"/>
      <c r="V36" s="227"/>
      <c r="W36" s="227"/>
      <c r="X36" s="227"/>
      <c r="Y36" s="227"/>
      <c r="Z36" s="227"/>
      <c r="AA36" s="227"/>
      <c r="AB36" s="227"/>
      <c r="AC36" s="227"/>
      <c r="AD36" s="227"/>
      <c r="AE36" s="227"/>
      <c r="AF36" s="227"/>
      <c r="AG36" s="227"/>
      <c r="AH36" s="227"/>
      <c r="AI36" s="227"/>
      <c r="AJ36" s="227"/>
      <c r="AK36" s="227"/>
      <c r="AL36" s="227"/>
      <c r="AM36" s="227"/>
      <c r="AN36" s="227"/>
      <c r="AO36" s="227"/>
      <c r="AP36" s="227"/>
      <c r="AQ36" s="227"/>
      <c r="AR36" s="227"/>
      <c r="AS36" s="227"/>
      <c r="AT36" s="227"/>
      <c r="AU36" s="227"/>
      <c r="AV36" s="227"/>
      <c r="AW36" s="228"/>
      <c r="AX36" s="222"/>
      <c r="AY36" s="222"/>
      <c r="AZ36" s="222"/>
      <c r="BA36" s="222"/>
      <c r="BB36" s="222"/>
      <c r="BC36" s="223"/>
      <c r="BD36" s="225"/>
      <c r="BE36" s="222"/>
      <c r="BF36" s="222"/>
      <c r="BG36" s="222"/>
      <c r="BH36" s="222"/>
      <c r="BI36" s="222"/>
      <c r="BJ36" s="223"/>
      <c r="BK36" s="7"/>
    </row>
    <row r="37" spans="1:63" ht="15" customHeight="1">
      <c r="A37" s="1"/>
      <c r="B37" s="175"/>
      <c r="C37" s="176"/>
      <c r="D37" s="176"/>
      <c r="E37" s="176"/>
      <c r="F37" s="176"/>
      <c r="G37" s="177"/>
      <c r="H37" s="175"/>
      <c r="I37" s="176"/>
      <c r="J37" s="176"/>
      <c r="K37" s="176"/>
      <c r="L37" s="176"/>
      <c r="M37" s="176"/>
      <c r="N37" s="177"/>
      <c r="O37" s="175"/>
      <c r="P37" s="176"/>
      <c r="Q37" s="176"/>
      <c r="R37" s="176"/>
      <c r="S37" s="217"/>
      <c r="T37" s="218"/>
      <c r="U37" s="218"/>
      <c r="V37" s="218"/>
      <c r="W37" s="218"/>
      <c r="X37" s="218"/>
      <c r="Y37" s="218"/>
      <c r="Z37" s="218"/>
      <c r="AA37" s="218"/>
      <c r="AB37" s="218"/>
      <c r="AC37" s="218"/>
      <c r="AD37" s="218"/>
      <c r="AE37" s="218"/>
      <c r="AF37" s="218"/>
      <c r="AG37" s="218"/>
      <c r="AH37" s="218"/>
      <c r="AI37" s="218"/>
      <c r="AJ37" s="218"/>
      <c r="AK37" s="218"/>
      <c r="AL37" s="218"/>
      <c r="AM37" s="218"/>
      <c r="AN37" s="218"/>
      <c r="AO37" s="218"/>
      <c r="AP37" s="218"/>
      <c r="AQ37" s="218"/>
      <c r="AR37" s="218"/>
      <c r="AS37" s="218"/>
      <c r="AT37" s="218"/>
      <c r="AU37" s="218"/>
      <c r="AV37" s="218"/>
      <c r="AW37" s="219"/>
      <c r="AX37" s="220"/>
      <c r="AY37" s="220"/>
      <c r="AZ37" s="220"/>
      <c r="BA37" s="220"/>
      <c r="BB37" s="220"/>
      <c r="BC37" s="221"/>
      <c r="BD37" s="224"/>
      <c r="BE37" s="220"/>
      <c r="BF37" s="220"/>
      <c r="BG37" s="220"/>
      <c r="BH37" s="220"/>
      <c r="BI37" s="220"/>
      <c r="BJ37" s="221"/>
      <c r="BK37" s="7"/>
    </row>
    <row r="38" spans="1:63" ht="15" customHeight="1">
      <c r="A38" s="1"/>
      <c r="B38" s="181"/>
      <c r="C38" s="182"/>
      <c r="D38" s="182"/>
      <c r="E38" s="182"/>
      <c r="F38" s="182"/>
      <c r="G38" s="183"/>
      <c r="H38" s="181"/>
      <c r="I38" s="182"/>
      <c r="J38" s="182"/>
      <c r="K38" s="182"/>
      <c r="L38" s="182"/>
      <c r="M38" s="182"/>
      <c r="N38" s="183"/>
      <c r="O38" s="181"/>
      <c r="P38" s="182"/>
      <c r="Q38" s="182"/>
      <c r="R38" s="182"/>
      <c r="S38" s="226"/>
      <c r="T38" s="227"/>
      <c r="U38" s="227"/>
      <c r="V38" s="227"/>
      <c r="W38" s="227"/>
      <c r="X38" s="227"/>
      <c r="Y38" s="227"/>
      <c r="Z38" s="227"/>
      <c r="AA38" s="227"/>
      <c r="AB38" s="227"/>
      <c r="AC38" s="227"/>
      <c r="AD38" s="227"/>
      <c r="AE38" s="227"/>
      <c r="AF38" s="227"/>
      <c r="AG38" s="227"/>
      <c r="AH38" s="227"/>
      <c r="AI38" s="227"/>
      <c r="AJ38" s="227"/>
      <c r="AK38" s="227"/>
      <c r="AL38" s="227"/>
      <c r="AM38" s="227"/>
      <c r="AN38" s="227"/>
      <c r="AO38" s="227"/>
      <c r="AP38" s="227"/>
      <c r="AQ38" s="227"/>
      <c r="AR38" s="227"/>
      <c r="AS38" s="227"/>
      <c r="AT38" s="227"/>
      <c r="AU38" s="227"/>
      <c r="AV38" s="227"/>
      <c r="AW38" s="228"/>
      <c r="AX38" s="222"/>
      <c r="AY38" s="222"/>
      <c r="AZ38" s="222"/>
      <c r="BA38" s="222"/>
      <c r="BB38" s="222"/>
      <c r="BC38" s="223"/>
      <c r="BD38" s="225"/>
      <c r="BE38" s="222"/>
      <c r="BF38" s="222"/>
      <c r="BG38" s="222"/>
      <c r="BH38" s="222"/>
      <c r="BI38" s="222"/>
      <c r="BJ38" s="223"/>
      <c r="BK38" s="7"/>
    </row>
    <row r="39" spans="1:63" ht="15" customHeight="1">
      <c r="A39" s="1"/>
      <c r="B39" s="175"/>
      <c r="C39" s="176"/>
      <c r="D39" s="176"/>
      <c r="E39" s="176"/>
      <c r="F39" s="176"/>
      <c r="G39" s="177"/>
      <c r="H39" s="175"/>
      <c r="I39" s="176"/>
      <c r="J39" s="176"/>
      <c r="K39" s="176"/>
      <c r="L39" s="176"/>
      <c r="M39" s="176"/>
      <c r="N39" s="177"/>
      <c r="O39" s="175"/>
      <c r="P39" s="176"/>
      <c r="Q39" s="176"/>
      <c r="R39" s="176"/>
      <c r="S39" s="217"/>
      <c r="T39" s="218"/>
      <c r="U39" s="218"/>
      <c r="V39" s="218"/>
      <c r="W39" s="218"/>
      <c r="X39" s="218"/>
      <c r="Y39" s="218"/>
      <c r="Z39" s="218"/>
      <c r="AA39" s="218"/>
      <c r="AB39" s="218"/>
      <c r="AC39" s="218"/>
      <c r="AD39" s="218"/>
      <c r="AE39" s="218"/>
      <c r="AF39" s="218"/>
      <c r="AG39" s="218"/>
      <c r="AH39" s="218"/>
      <c r="AI39" s="218"/>
      <c r="AJ39" s="218"/>
      <c r="AK39" s="218"/>
      <c r="AL39" s="218"/>
      <c r="AM39" s="218"/>
      <c r="AN39" s="218"/>
      <c r="AO39" s="218"/>
      <c r="AP39" s="218"/>
      <c r="AQ39" s="218"/>
      <c r="AR39" s="218"/>
      <c r="AS39" s="218"/>
      <c r="AT39" s="218"/>
      <c r="AU39" s="218"/>
      <c r="AV39" s="218"/>
      <c r="AW39" s="219"/>
      <c r="AX39" s="220"/>
      <c r="AY39" s="220"/>
      <c r="AZ39" s="220"/>
      <c r="BA39" s="220"/>
      <c r="BB39" s="220"/>
      <c r="BC39" s="221"/>
      <c r="BD39" s="224"/>
      <c r="BE39" s="220"/>
      <c r="BF39" s="220"/>
      <c r="BG39" s="220"/>
      <c r="BH39" s="220"/>
      <c r="BI39" s="220"/>
      <c r="BJ39" s="221"/>
      <c r="BK39" s="7"/>
    </row>
    <row r="40" spans="1:63" ht="15" customHeight="1">
      <c r="A40" s="1"/>
      <c r="B40" s="181"/>
      <c r="C40" s="182"/>
      <c r="D40" s="182"/>
      <c r="E40" s="182"/>
      <c r="F40" s="182"/>
      <c r="G40" s="183"/>
      <c r="H40" s="181"/>
      <c r="I40" s="182"/>
      <c r="J40" s="182"/>
      <c r="K40" s="182"/>
      <c r="L40" s="182"/>
      <c r="M40" s="182"/>
      <c r="N40" s="183"/>
      <c r="O40" s="181"/>
      <c r="P40" s="182"/>
      <c r="Q40" s="182"/>
      <c r="R40" s="182"/>
      <c r="S40" s="226"/>
      <c r="T40" s="227"/>
      <c r="U40" s="227"/>
      <c r="V40" s="227"/>
      <c r="W40" s="227"/>
      <c r="X40" s="227"/>
      <c r="Y40" s="227"/>
      <c r="Z40" s="227"/>
      <c r="AA40" s="227"/>
      <c r="AB40" s="227"/>
      <c r="AC40" s="227"/>
      <c r="AD40" s="227"/>
      <c r="AE40" s="227"/>
      <c r="AF40" s="227"/>
      <c r="AG40" s="227"/>
      <c r="AH40" s="227"/>
      <c r="AI40" s="227"/>
      <c r="AJ40" s="227"/>
      <c r="AK40" s="227"/>
      <c r="AL40" s="227"/>
      <c r="AM40" s="227"/>
      <c r="AN40" s="227"/>
      <c r="AO40" s="227"/>
      <c r="AP40" s="227"/>
      <c r="AQ40" s="227"/>
      <c r="AR40" s="227"/>
      <c r="AS40" s="227"/>
      <c r="AT40" s="227"/>
      <c r="AU40" s="227"/>
      <c r="AV40" s="227"/>
      <c r="AW40" s="228"/>
      <c r="AX40" s="222"/>
      <c r="AY40" s="222"/>
      <c r="AZ40" s="222"/>
      <c r="BA40" s="222"/>
      <c r="BB40" s="222"/>
      <c r="BC40" s="223"/>
      <c r="BD40" s="225"/>
      <c r="BE40" s="222"/>
      <c r="BF40" s="222"/>
      <c r="BG40" s="222"/>
      <c r="BH40" s="222"/>
      <c r="BI40" s="222"/>
      <c r="BJ40" s="223"/>
      <c r="BK40" s="7"/>
    </row>
    <row r="41" spans="1:63" ht="15" customHeight="1">
      <c r="A41" s="1"/>
      <c r="B41" s="175"/>
      <c r="C41" s="176"/>
      <c r="D41" s="176"/>
      <c r="E41" s="176"/>
      <c r="F41" s="176"/>
      <c r="G41" s="177"/>
      <c r="H41" s="175"/>
      <c r="I41" s="176"/>
      <c r="J41" s="176"/>
      <c r="K41" s="176"/>
      <c r="L41" s="176"/>
      <c r="M41" s="176"/>
      <c r="N41" s="177"/>
      <c r="O41" s="175"/>
      <c r="P41" s="176"/>
      <c r="Q41" s="176"/>
      <c r="R41" s="176"/>
      <c r="S41" s="217"/>
      <c r="T41" s="218"/>
      <c r="U41" s="218"/>
      <c r="V41" s="218"/>
      <c r="W41" s="218"/>
      <c r="X41" s="218"/>
      <c r="Y41" s="218"/>
      <c r="Z41" s="218"/>
      <c r="AA41" s="218"/>
      <c r="AB41" s="218"/>
      <c r="AC41" s="218"/>
      <c r="AD41" s="218"/>
      <c r="AE41" s="218"/>
      <c r="AF41" s="218"/>
      <c r="AG41" s="218"/>
      <c r="AH41" s="218"/>
      <c r="AI41" s="218"/>
      <c r="AJ41" s="218"/>
      <c r="AK41" s="218"/>
      <c r="AL41" s="218"/>
      <c r="AM41" s="218"/>
      <c r="AN41" s="218"/>
      <c r="AO41" s="218"/>
      <c r="AP41" s="218"/>
      <c r="AQ41" s="218"/>
      <c r="AR41" s="218"/>
      <c r="AS41" s="218"/>
      <c r="AT41" s="218"/>
      <c r="AU41" s="218"/>
      <c r="AV41" s="218"/>
      <c r="AW41" s="219"/>
      <c r="AX41" s="220"/>
      <c r="AY41" s="220"/>
      <c r="AZ41" s="220"/>
      <c r="BA41" s="220"/>
      <c r="BB41" s="220"/>
      <c r="BC41" s="221"/>
      <c r="BD41" s="224"/>
      <c r="BE41" s="220"/>
      <c r="BF41" s="220"/>
      <c r="BG41" s="220"/>
      <c r="BH41" s="220"/>
      <c r="BI41" s="220"/>
      <c r="BJ41" s="221"/>
      <c r="BK41" s="7"/>
    </row>
    <row r="42" spans="1:63" ht="15" customHeight="1">
      <c r="A42" s="1"/>
      <c r="B42" s="181"/>
      <c r="C42" s="182"/>
      <c r="D42" s="182"/>
      <c r="E42" s="182"/>
      <c r="F42" s="182"/>
      <c r="G42" s="183"/>
      <c r="H42" s="181"/>
      <c r="I42" s="182"/>
      <c r="J42" s="182"/>
      <c r="K42" s="182"/>
      <c r="L42" s="182"/>
      <c r="M42" s="182"/>
      <c r="N42" s="183"/>
      <c r="O42" s="181"/>
      <c r="P42" s="182"/>
      <c r="Q42" s="182"/>
      <c r="R42" s="182"/>
      <c r="S42" s="226"/>
      <c r="T42" s="227"/>
      <c r="U42" s="227"/>
      <c r="V42" s="227"/>
      <c r="W42" s="227"/>
      <c r="X42" s="227"/>
      <c r="Y42" s="227"/>
      <c r="Z42" s="227"/>
      <c r="AA42" s="227"/>
      <c r="AB42" s="227"/>
      <c r="AC42" s="227"/>
      <c r="AD42" s="227"/>
      <c r="AE42" s="227"/>
      <c r="AF42" s="227"/>
      <c r="AG42" s="227"/>
      <c r="AH42" s="227"/>
      <c r="AI42" s="227"/>
      <c r="AJ42" s="227"/>
      <c r="AK42" s="227"/>
      <c r="AL42" s="227"/>
      <c r="AM42" s="227"/>
      <c r="AN42" s="227"/>
      <c r="AO42" s="227"/>
      <c r="AP42" s="227"/>
      <c r="AQ42" s="227"/>
      <c r="AR42" s="227"/>
      <c r="AS42" s="227"/>
      <c r="AT42" s="227"/>
      <c r="AU42" s="227"/>
      <c r="AV42" s="227"/>
      <c r="AW42" s="228"/>
      <c r="AX42" s="222"/>
      <c r="AY42" s="222"/>
      <c r="AZ42" s="222"/>
      <c r="BA42" s="222"/>
      <c r="BB42" s="222"/>
      <c r="BC42" s="223"/>
      <c r="BD42" s="225"/>
      <c r="BE42" s="222"/>
      <c r="BF42" s="222"/>
      <c r="BG42" s="222"/>
      <c r="BH42" s="222"/>
      <c r="BI42" s="222"/>
      <c r="BJ42" s="223"/>
      <c r="BK42" s="7"/>
    </row>
    <row r="43" spans="1:63" ht="15" customHeight="1">
      <c r="A43" s="1"/>
      <c r="B43" s="175"/>
      <c r="C43" s="176"/>
      <c r="D43" s="176"/>
      <c r="E43" s="176"/>
      <c r="F43" s="176"/>
      <c r="G43" s="177"/>
      <c r="H43" s="175"/>
      <c r="I43" s="176"/>
      <c r="J43" s="176"/>
      <c r="K43" s="176"/>
      <c r="L43" s="176"/>
      <c r="M43" s="176"/>
      <c r="N43" s="177"/>
      <c r="O43" s="175"/>
      <c r="P43" s="176"/>
      <c r="Q43" s="176"/>
      <c r="R43" s="176"/>
      <c r="S43" s="217"/>
      <c r="T43" s="218"/>
      <c r="U43" s="218"/>
      <c r="V43" s="218"/>
      <c r="W43" s="218"/>
      <c r="X43" s="218"/>
      <c r="Y43" s="218"/>
      <c r="Z43" s="218"/>
      <c r="AA43" s="218"/>
      <c r="AB43" s="218"/>
      <c r="AC43" s="218"/>
      <c r="AD43" s="218"/>
      <c r="AE43" s="218"/>
      <c r="AF43" s="218"/>
      <c r="AG43" s="218"/>
      <c r="AH43" s="218"/>
      <c r="AI43" s="218"/>
      <c r="AJ43" s="218"/>
      <c r="AK43" s="218"/>
      <c r="AL43" s="218"/>
      <c r="AM43" s="218"/>
      <c r="AN43" s="218"/>
      <c r="AO43" s="218"/>
      <c r="AP43" s="218"/>
      <c r="AQ43" s="218"/>
      <c r="AR43" s="218"/>
      <c r="AS43" s="218"/>
      <c r="AT43" s="218"/>
      <c r="AU43" s="218"/>
      <c r="AV43" s="218"/>
      <c r="AW43" s="219"/>
      <c r="AX43" s="220"/>
      <c r="AY43" s="220"/>
      <c r="AZ43" s="220"/>
      <c r="BA43" s="220"/>
      <c r="BB43" s="220"/>
      <c r="BC43" s="221"/>
      <c r="BD43" s="224"/>
      <c r="BE43" s="220"/>
      <c r="BF43" s="220"/>
      <c r="BG43" s="220"/>
      <c r="BH43" s="220"/>
      <c r="BI43" s="220"/>
      <c r="BJ43" s="221"/>
      <c r="BK43" s="7"/>
    </row>
    <row r="44" spans="1:63" ht="15" customHeight="1">
      <c r="A44" s="1"/>
      <c r="B44" s="181"/>
      <c r="C44" s="182"/>
      <c r="D44" s="182"/>
      <c r="E44" s="182"/>
      <c r="F44" s="182"/>
      <c r="G44" s="183"/>
      <c r="H44" s="181"/>
      <c r="I44" s="182"/>
      <c r="J44" s="182"/>
      <c r="K44" s="182"/>
      <c r="L44" s="182"/>
      <c r="M44" s="182"/>
      <c r="N44" s="183"/>
      <c r="O44" s="181"/>
      <c r="P44" s="182"/>
      <c r="Q44" s="182"/>
      <c r="R44" s="182"/>
      <c r="S44" s="226"/>
      <c r="T44" s="227"/>
      <c r="U44" s="227"/>
      <c r="V44" s="227"/>
      <c r="W44" s="227"/>
      <c r="X44" s="227"/>
      <c r="Y44" s="227"/>
      <c r="Z44" s="227"/>
      <c r="AA44" s="227"/>
      <c r="AB44" s="227"/>
      <c r="AC44" s="227"/>
      <c r="AD44" s="227"/>
      <c r="AE44" s="227"/>
      <c r="AF44" s="227"/>
      <c r="AG44" s="227"/>
      <c r="AH44" s="227"/>
      <c r="AI44" s="227"/>
      <c r="AJ44" s="227"/>
      <c r="AK44" s="227"/>
      <c r="AL44" s="227"/>
      <c r="AM44" s="227"/>
      <c r="AN44" s="227"/>
      <c r="AO44" s="227"/>
      <c r="AP44" s="227"/>
      <c r="AQ44" s="227"/>
      <c r="AR44" s="227"/>
      <c r="AS44" s="227"/>
      <c r="AT44" s="227"/>
      <c r="AU44" s="227"/>
      <c r="AV44" s="227"/>
      <c r="AW44" s="228"/>
      <c r="AX44" s="222"/>
      <c r="AY44" s="222"/>
      <c r="AZ44" s="222"/>
      <c r="BA44" s="222"/>
      <c r="BB44" s="222"/>
      <c r="BC44" s="223"/>
      <c r="BD44" s="225"/>
      <c r="BE44" s="222"/>
      <c r="BF44" s="222"/>
      <c r="BG44" s="222"/>
      <c r="BH44" s="222"/>
      <c r="BI44" s="222"/>
      <c r="BJ44" s="223"/>
      <c r="BK44" s="7"/>
    </row>
    <row r="45" spans="1:63" ht="15" customHeight="1">
      <c r="A45" s="1"/>
      <c r="B45" s="175"/>
      <c r="C45" s="176"/>
      <c r="D45" s="176"/>
      <c r="E45" s="176"/>
      <c r="F45" s="176"/>
      <c r="G45" s="177"/>
      <c r="H45" s="175"/>
      <c r="I45" s="176"/>
      <c r="J45" s="176"/>
      <c r="K45" s="176"/>
      <c r="L45" s="176"/>
      <c r="M45" s="176"/>
      <c r="N45" s="177"/>
      <c r="O45" s="175"/>
      <c r="P45" s="176"/>
      <c r="Q45" s="176"/>
      <c r="R45" s="176"/>
      <c r="S45" s="217"/>
      <c r="T45" s="218"/>
      <c r="U45" s="218"/>
      <c r="V45" s="218"/>
      <c r="W45" s="218"/>
      <c r="X45" s="218"/>
      <c r="Y45" s="218"/>
      <c r="Z45" s="218"/>
      <c r="AA45" s="218"/>
      <c r="AB45" s="218"/>
      <c r="AC45" s="218"/>
      <c r="AD45" s="218"/>
      <c r="AE45" s="218"/>
      <c r="AF45" s="218"/>
      <c r="AG45" s="218"/>
      <c r="AH45" s="218"/>
      <c r="AI45" s="218"/>
      <c r="AJ45" s="218"/>
      <c r="AK45" s="218"/>
      <c r="AL45" s="218"/>
      <c r="AM45" s="218"/>
      <c r="AN45" s="218"/>
      <c r="AO45" s="218"/>
      <c r="AP45" s="218"/>
      <c r="AQ45" s="218"/>
      <c r="AR45" s="218"/>
      <c r="AS45" s="218"/>
      <c r="AT45" s="218"/>
      <c r="AU45" s="218"/>
      <c r="AV45" s="218"/>
      <c r="AW45" s="219"/>
      <c r="AX45" s="220"/>
      <c r="AY45" s="220"/>
      <c r="AZ45" s="220"/>
      <c r="BA45" s="220"/>
      <c r="BB45" s="220"/>
      <c r="BC45" s="221"/>
      <c r="BD45" s="224"/>
      <c r="BE45" s="220"/>
      <c r="BF45" s="220"/>
      <c r="BG45" s="220"/>
      <c r="BH45" s="220"/>
      <c r="BI45" s="220"/>
      <c r="BJ45" s="221"/>
      <c r="BK45" s="7"/>
    </row>
    <row r="46" spans="1:63" ht="15" customHeight="1">
      <c r="A46" s="1"/>
      <c r="B46" s="181"/>
      <c r="C46" s="182"/>
      <c r="D46" s="182"/>
      <c r="E46" s="182"/>
      <c r="F46" s="182"/>
      <c r="G46" s="183"/>
      <c r="H46" s="181"/>
      <c r="I46" s="182"/>
      <c r="J46" s="182"/>
      <c r="K46" s="182"/>
      <c r="L46" s="182"/>
      <c r="M46" s="182"/>
      <c r="N46" s="183"/>
      <c r="O46" s="181"/>
      <c r="P46" s="182"/>
      <c r="Q46" s="182"/>
      <c r="R46" s="182"/>
      <c r="S46" s="226"/>
      <c r="T46" s="227"/>
      <c r="U46" s="227"/>
      <c r="V46" s="227"/>
      <c r="W46" s="227"/>
      <c r="X46" s="227"/>
      <c r="Y46" s="227"/>
      <c r="Z46" s="227"/>
      <c r="AA46" s="227"/>
      <c r="AB46" s="227"/>
      <c r="AC46" s="227"/>
      <c r="AD46" s="227"/>
      <c r="AE46" s="227"/>
      <c r="AF46" s="227"/>
      <c r="AG46" s="227"/>
      <c r="AH46" s="227"/>
      <c r="AI46" s="227"/>
      <c r="AJ46" s="227"/>
      <c r="AK46" s="227"/>
      <c r="AL46" s="227"/>
      <c r="AM46" s="227"/>
      <c r="AN46" s="227"/>
      <c r="AO46" s="227"/>
      <c r="AP46" s="227"/>
      <c r="AQ46" s="227"/>
      <c r="AR46" s="227"/>
      <c r="AS46" s="227"/>
      <c r="AT46" s="227"/>
      <c r="AU46" s="227"/>
      <c r="AV46" s="227"/>
      <c r="AW46" s="228"/>
      <c r="AX46" s="222"/>
      <c r="AY46" s="222"/>
      <c r="AZ46" s="222"/>
      <c r="BA46" s="222"/>
      <c r="BB46" s="222"/>
      <c r="BC46" s="223"/>
      <c r="BD46" s="225"/>
      <c r="BE46" s="222"/>
      <c r="BF46" s="222"/>
      <c r="BG46" s="222"/>
      <c r="BH46" s="222"/>
      <c r="BI46" s="222"/>
      <c r="BJ46" s="223"/>
      <c r="BK46" s="7"/>
    </row>
    <row r="47" spans="1:63" ht="15" customHeight="1">
      <c r="A47" s="1"/>
      <c r="B47" s="175"/>
      <c r="C47" s="176"/>
      <c r="D47" s="176"/>
      <c r="E47" s="176"/>
      <c r="F47" s="176"/>
      <c r="G47" s="177"/>
      <c r="H47" s="175"/>
      <c r="I47" s="176"/>
      <c r="J47" s="176"/>
      <c r="K47" s="176"/>
      <c r="L47" s="176"/>
      <c r="M47" s="176"/>
      <c r="N47" s="177"/>
      <c r="O47" s="175"/>
      <c r="P47" s="176"/>
      <c r="Q47" s="176"/>
      <c r="R47" s="176"/>
      <c r="S47" s="217"/>
      <c r="T47" s="218"/>
      <c r="U47" s="218"/>
      <c r="V47" s="218"/>
      <c r="W47" s="218"/>
      <c r="X47" s="218"/>
      <c r="Y47" s="218"/>
      <c r="Z47" s="218"/>
      <c r="AA47" s="218"/>
      <c r="AB47" s="218"/>
      <c r="AC47" s="218"/>
      <c r="AD47" s="218"/>
      <c r="AE47" s="218"/>
      <c r="AF47" s="218"/>
      <c r="AG47" s="218"/>
      <c r="AH47" s="218"/>
      <c r="AI47" s="218"/>
      <c r="AJ47" s="218"/>
      <c r="AK47" s="218"/>
      <c r="AL47" s="218"/>
      <c r="AM47" s="218"/>
      <c r="AN47" s="218"/>
      <c r="AO47" s="218"/>
      <c r="AP47" s="218"/>
      <c r="AQ47" s="218"/>
      <c r="AR47" s="218"/>
      <c r="AS47" s="218"/>
      <c r="AT47" s="218"/>
      <c r="AU47" s="218"/>
      <c r="AV47" s="218"/>
      <c r="AW47" s="219"/>
      <c r="AX47" s="220"/>
      <c r="AY47" s="220"/>
      <c r="AZ47" s="220"/>
      <c r="BA47" s="220"/>
      <c r="BB47" s="220"/>
      <c r="BC47" s="221"/>
      <c r="BD47" s="224"/>
      <c r="BE47" s="220"/>
      <c r="BF47" s="220"/>
      <c r="BG47" s="220"/>
      <c r="BH47" s="220"/>
      <c r="BI47" s="220"/>
      <c r="BJ47" s="221"/>
      <c r="BK47" s="7"/>
    </row>
    <row r="48" spans="1:63" ht="15" customHeight="1">
      <c r="A48" s="1"/>
      <c r="B48" s="181"/>
      <c r="C48" s="182"/>
      <c r="D48" s="182"/>
      <c r="E48" s="182"/>
      <c r="F48" s="182"/>
      <c r="G48" s="183"/>
      <c r="H48" s="181"/>
      <c r="I48" s="182"/>
      <c r="J48" s="182"/>
      <c r="K48" s="182"/>
      <c r="L48" s="182"/>
      <c r="M48" s="182"/>
      <c r="N48" s="183"/>
      <c r="O48" s="181"/>
      <c r="P48" s="182"/>
      <c r="Q48" s="182"/>
      <c r="R48" s="182"/>
      <c r="S48" s="226"/>
      <c r="T48" s="227"/>
      <c r="U48" s="227"/>
      <c r="V48" s="227"/>
      <c r="W48" s="227"/>
      <c r="X48" s="227"/>
      <c r="Y48" s="227"/>
      <c r="Z48" s="227"/>
      <c r="AA48" s="227"/>
      <c r="AB48" s="227"/>
      <c r="AC48" s="227"/>
      <c r="AD48" s="227"/>
      <c r="AE48" s="227"/>
      <c r="AF48" s="227"/>
      <c r="AG48" s="227"/>
      <c r="AH48" s="227"/>
      <c r="AI48" s="227"/>
      <c r="AJ48" s="227"/>
      <c r="AK48" s="227"/>
      <c r="AL48" s="227"/>
      <c r="AM48" s="227"/>
      <c r="AN48" s="227"/>
      <c r="AO48" s="227"/>
      <c r="AP48" s="227"/>
      <c r="AQ48" s="227"/>
      <c r="AR48" s="227"/>
      <c r="AS48" s="227"/>
      <c r="AT48" s="227"/>
      <c r="AU48" s="227"/>
      <c r="AV48" s="227"/>
      <c r="AW48" s="228"/>
      <c r="AX48" s="222"/>
      <c r="AY48" s="222"/>
      <c r="AZ48" s="222"/>
      <c r="BA48" s="222"/>
      <c r="BB48" s="222"/>
      <c r="BC48" s="223"/>
      <c r="BD48" s="225"/>
      <c r="BE48" s="222"/>
      <c r="BF48" s="222"/>
      <c r="BG48" s="222"/>
      <c r="BH48" s="222"/>
      <c r="BI48" s="222"/>
      <c r="BJ48" s="223"/>
      <c r="BK48" s="7"/>
    </row>
    <row r="49" spans="1:63" ht="15" customHeight="1">
      <c r="A49" s="1"/>
      <c r="B49" s="175"/>
      <c r="C49" s="176"/>
      <c r="D49" s="176"/>
      <c r="E49" s="176"/>
      <c r="F49" s="176"/>
      <c r="G49" s="177"/>
      <c r="H49" s="175"/>
      <c r="I49" s="176"/>
      <c r="J49" s="176"/>
      <c r="K49" s="176"/>
      <c r="L49" s="176"/>
      <c r="M49" s="176"/>
      <c r="N49" s="177"/>
      <c r="O49" s="175"/>
      <c r="P49" s="176"/>
      <c r="Q49" s="176"/>
      <c r="R49" s="176"/>
      <c r="S49" s="217"/>
      <c r="T49" s="218"/>
      <c r="U49" s="218"/>
      <c r="V49" s="218"/>
      <c r="W49" s="218"/>
      <c r="X49" s="218"/>
      <c r="Y49" s="218"/>
      <c r="Z49" s="218"/>
      <c r="AA49" s="218"/>
      <c r="AB49" s="218"/>
      <c r="AC49" s="218"/>
      <c r="AD49" s="218"/>
      <c r="AE49" s="218"/>
      <c r="AF49" s="218"/>
      <c r="AG49" s="218"/>
      <c r="AH49" s="218"/>
      <c r="AI49" s="218"/>
      <c r="AJ49" s="218"/>
      <c r="AK49" s="218"/>
      <c r="AL49" s="218"/>
      <c r="AM49" s="218"/>
      <c r="AN49" s="218"/>
      <c r="AO49" s="218"/>
      <c r="AP49" s="218"/>
      <c r="AQ49" s="218"/>
      <c r="AR49" s="218"/>
      <c r="AS49" s="218"/>
      <c r="AT49" s="218"/>
      <c r="AU49" s="218"/>
      <c r="AV49" s="218"/>
      <c r="AW49" s="219"/>
      <c r="AX49" s="220"/>
      <c r="AY49" s="220"/>
      <c r="AZ49" s="220"/>
      <c r="BA49" s="220"/>
      <c r="BB49" s="220"/>
      <c r="BC49" s="221"/>
      <c r="BD49" s="224"/>
      <c r="BE49" s="220"/>
      <c r="BF49" s="220"/>
      <c r="BG49" s="220"/>
      <c r="BH49" s="220"/>
      <c r="BI49" s="220"/>
      <c r="BJ49" s="221"/>
      <c r="BK49" s="7"/>
    </row>
    <row r="50" spans="1:63" ht="15" customHeight="1">
      <c r="A50" s="1"/>
      <c r="B50" s="181"/>
      <c r="C50" s="182"/>
      <c r="D50" s="182"/>
      <c r="E50" s="182"/>
      <c r="F50" s="182"/>
      <c r="G50" s="183"/>
      <c r="H50" s="181"/>
      <c r="I50" s="182"/>
      <c r="J50" s="182"/>
      <c r="K50" s="182"/>
      <c r="L50" s="182"/>
      <c r="M50" s="182"/>
      <c r="N50" s="183"/>
      <c r="O50" s="181"/>
      <c r="P50" s="182"/>
      <c r="Q50" s="182"/>
      <c r="R50" s="182"/>
      <c r="S50" s="226"/>
      <c r="T50" s="227"/>
      <c r="U50" s="227"/>
      <c r="V50" s="227"/>
      <c r="W50" s="227"/>
      <c r="X50" s="227"/>
      <c r="Y50" s="227"/>
      <c r="Z50" s="227"/>
      <c r="AA50" s="227"/>
      <c r="AB50" s="227"/>
      <c r="AC50" s="227"/>
      <c r="AD50" s="227"/>
      <c r="AE50" s="227"/>
      <c r="AF50" s="227"/>
      <c r="AG50" s="227"/>
      <c r="AH50" s="227"/>
      <c r="AI50" s="227"/>
      <c r="AJ50" s="227"/>
      <c r="AK50" s="227"/>
      <c r="AL50" s="227"/>
      <c r="AM50" s="227"/>
      <c r="AN50" s="227"/>
      <c r="AO50" s="227"/>
      <c r="AP50" s="227"/>
      <c r="AQ50" s="227"/>
      <c r="AR50" s="227"/>
      <c r="AS50" s="227"/>
      <c r="AT50" s="227"/>
      <c r="AU50" s="227"/>
      <c r="AV50" s="227"/>
      <c r="AW50" s="228"/>
      <c r="AX50" s="222"/>
      <c r="AY50" s="222"/>
      <c r="AZ50" s="222"/>
      <c r="BA50" s="222"/>
      <c r="BB50" s="222"/>
      <c r="BC50" s="223"/>
      <c r="BD50" s="225"/>
      <c r="BE50" s="222"/>
      <c r="BF50" s="222"/>
      <c r="BG50" s="222"/>
      <c r="BH50" s="222"/>
      <c r="BI50" s="222"/>
      <c r="BJ50" s="223"/>
      <c r="BK50" s="7"/>
    </row>
    <row r="51" spans="1:63" ht="15" customHeight="1">
      <c r="A51" s="1"/>
      <c r="B51" s="175"/>
      <c r="C51" s="176"/>
      <c r="D51" s="176"/>
      <c r="E51" s="176"/>
      <c r="F51" s="176"/>
      <c r="G51" s="177"/>
      <c r="H51" s="175"/>
      <c r="I51" s="176"/>
      <c r="J51" s="176"/>
      <c r="K51" s="176"/>
      <c r="L51" s="176"/>
      <c r="M51" s="176"/>
      <c r="N51" s="177"/>
      <c r="O51" s="175"/>
      <c r="P51" s="176"/>
      <c r="Q51" s="176"/>
      <c r="R51" s="176"/>
      <c r="S51" s="217"/>
      <c r="T51" s="218"/>
      <c r="U51" s="218"/>
      <c r="V51" s="218"/>
      <c r="W51" s="218"/>
      <c r="X51" s="218"/>
      <c r="Y51" s="218"/>
      <c r="Z51" s="218"/>
      <c r="AA51" s="218"/>
      <c r="AB51" s="218"/>
      <c r="AC51" s="218"/>
      <c r="AD51" s="218"/>
      <c r="AE51" s="218"/>
      <c r="AF51" s="218"/>
      <c r="AG51" s="218"/>
      <c r="AH51" s="218"/>
      <c r="AI51" s="218"/>
      <c r="AJ51" s="218"/>
      <c r="AK51" s="218"/>
      <c r="AL51" s="218"/>
      <c r="AM51" s="218"/>
      <c r="AN51" s="218"/>
      <c r="AO51" s="218"/>
      <c r="AP51" s="218"/>
      <c r="AQ51" s="218"/>
      <c r="AR51" s="218"/>
      <c r="AS51" s="218"/>
      <c r="AT51" s="218"/>
      <c r="AU51" s="218"/>
      <c r="AV51" s="218"/>
      <c r="AW51" s="219"/>
      <c r="AX51" s="220"/>
      <c r="AY51" s="220"/>
      <c r="AZ51" s="220"/>
      <c r="BA51" s="220"/>
      <c r="BB51" s="220"/>
      <c r="BC51" s="221"/>
      <c r="BD51" s="224"/>
      <c r="BE51" s="220"/>
      <c r="BF51" s="220"/>
      <c r="BG51" s="220"/>
      <c r="BH51" s="220"/>
      <c r="BI51" s="220"/>
      <c r="BJ51" s="221"/>
      <c r="BK51" s="7"/>
    </row>
    <row r="52" spans="1:63" ht="15" customHeight="1">
      <c r="A52" s="1"/>
      <c r="B52" s="181"/>
      <c r="C52" s="182"/>
      <c r="D52" s="182"/>
      <c r="E52" s="182"/>
      <c r="F52" s="182"/>
      <c r="G52" s="183"/>
      <c r="H52" s="181"/>
      <c r="I52" s="182"/>
      <c r="J52" s="182"/>
      <c r="K52" s="182"/>
      <c r="L52" s="182"/>
      <c r="M52" s="182"/>
      <c r="N52" s="183"/>
      <c r="O52" s="181"/>
      <c r="P52" s="182"/>
      <c r="Q52" s="182"/>
      <c r="R52" s="182"/>
      <c r="S52" s="226"/>
      <c r="T52" s="227"/>
      <c r="U52" s="227"/>
      <c r="V52" s="227"/>
      <c r="W52" s="227"/>
      <c r="X52" s="227"/>
      <c r="Y52" s="227"/>
      <c r="Z52" s="227"/>
      <c r="AA52" s="227"/>
      <c r="AB52" s="227"/>
      <c r="AC52" s="227"/>
      <c r="AD52" s="227"/>
      <c r="AE52" s="227"/>
      <c r="AF52" s="227"/>
      <c r="AG52" s="227"/>
      <c r="AH52" s="227"/>
      <c r="AI52" s="227"/>
      <c r="AJ52" s="227"/>
      <c r="AK52" s="227"/>
      <c r="AL52" s="227"/>
      <c r="AM52" s="227"/>
      <c r="AN52" s="227"/>
      <c r="AO52" s="227"/>
      <c r="AP52" s="227"/>
      <c r="AQ52" s="227"/>
      <c r="AR52" s="227"/>
      <c r="AS52" s="227"/>
      <c r="AT52" s="227"/>
      <c r="AU52" s="227"/>
      <c r="AV52" s="227"/>
      <c r="AW52" s="228"/>
      <c r="AX52" s="222"/>
      <c r="AY52" s="222"/>
      <c r="AZ52" s="222"/>
      <c r="BA52" s="222"/>
      <c r="BB52" s="222"/>
      <c r="BC52" s="223"/>
      <c r="BD52" s="225"/>
      <c r="BE52" s="222"/>
      <c r="BF52" s="222"/>
      <c r="BG52" s="222"/>
      <c r="BH52" s="222"/>
      <c r="BI52" s="222"/>
      <c r="BJ52" s="223"/>
      <c r="BK52" s="7"/>
    </row>
    <row r="53" spans="1:63" ht="15" customHeight="1">
      <c r="A53" s="1"/>
      <c r="B53" s="175"/>
      <c r="C53" s="176"/>
      <c r="D53" s="176"/>
      <c r="E53" s="176"/>
      <c r="F53" s="176"/>
      <c r="G53" s="177"/>
      <c r="H53" s="175"/>
      <c r="I53" s="176"/>
      <c r="J53" s="176"/>
      <c r="K53" s="176"/>
      <c r="L53" s="176"/>
      <c r="M53" s="176"/>
      <c r="N53" s="177"/>
      <c r="O53" s="175"/>
      <c r="P53" s="176"/>
      <c r="Q53" s="176"/>
      <c r="R53" s="176"/>
      <c r="S53" s="217"/>
      <c r="T53" s="218"/>
      <c r="U53" s="218"/>
      <c r="V53" s="218"/>
      <c r="W53" s="218"/>
      <c r="X53" s="218"/>
      <c r="Y53" s="218"/>
      <c r="Z53" s="218"/>
      <c r="AA53" s="218"/>
      <c r="AB53" s="218"/>
      <c r="AC53" s="218"/>
      <c r="AD53" s="218"/>
      <c r="AE53" s="218"/>
      <c r="AF53" s="218"/>
      <c r="AG53" s="218"/>
      <c r="AH53" s="218"/>
      <c r="AI53" s="218"/>
      <c r="AJ53" s="218"/>
      <c r="AK53" s="218"/>
      <c r="AL53" s="218"/>
      <c r="AM53" s="218"/>
      <c r="AN53" s="218"/>
      <c r="AO53" s="218"/>
      <c r="AP53" s="218"/>
      <c r="AQ53" s="218"/>
      <c r="AR53" s="218"/>
      <c r="AS53" s="218"/>
      <c r="AT53" s="218"/>
      <c r="AU53" s="218"/>
      <c r="AV53" s="218"/>
      <c r="AW53" s="219"/>
      <c r="AX53" s="220"/>
      <c r="AY53" s="220"/>
      <c r="AZ53" s="220"/>
      <c r="BA53" s="220"/>
      <c r="BB53" s="220"/>
      <c r="BC53" s="221"/>
      <c r="BD53" s="224"/>
      <c r="BE53" s="220"/>
      <c r="BF53" s="220"/>
      <c r="BG53" s="220"/>
      <c r="BH53" s="220"/>
      <c r="BI53" s="220"/>
      <c r="BJ53" s="221"/>
      <c r="BK53" s="7"/>
    </row>
    <row r="54" spans="1:63" ht="15" customHeight="1">
      <c r="A54" s="1"/>
      <c r="B54" s="181"/>
      <c r="C54" s="182"/>
      <c r="D54" s="182"/>
      <c r="E54" s="182"/>
      <c r="F54" s="182"/>
      <c r="G54" s="183"/>
      <c r="H54" s="181"/>
      <c r="I54" s="182"/>
      <c r="J54" s="182"/>
      <c r="K54" s="182"/>
      <c r="L54" s="182"/>
      <c r="M54" s="182"/>
      <c r="N54" s="183"/>
      <c r="O54" s="181"/>
      <c r="P54" s="182"/>
      <c r="Q54" s="182"/>
      <c r="R54" s="182"/>
      <c r="S54" s="226"/>
      <c r="T54" s="227"/>
      <c r="U54" s="227"/>
      <c r="V54" s="227"/>
      <c r="W54" s="227"/>
      <c r="X54" s="227"/>
      <c r="Y54" s="227"/>
      <c r="Z54" s="227"/>
      <c r="AA54" s="227"/>
      <c r="AB54" s="227"/>
      <c r="AC54" s="227"/>
      <c r="AD54" s="227"/>
      <c r="AE54" s="227"/>
      <c r="AF54" s="227"/>
      <c r="AG54" s="227"/>
      <c r="AH54" s="227"/>
      <c r="AI54" s="227"/>
      <c r="AJ54" s="227"/>
      <c r="AK54" s="227"/>
      <c r="AL54" s="227"/>
      <c r="AM54" s="227"/>
      <c r="AN54" s="227"/>
      <c r="AO54" s="227"/>
      <c r="AP54" s="227"/>
      <c r="AQ54" s="227"/>
      <c r="AR54" s="227"/>
      <c r="AS54" s="227"/>
      <c r="AT54" s="227"/>
      <c r="AU54" s="227"/>
      <c r="AV54" s="227"/>
      <c r="AW54" s="228"/>
      <c r="AX54" s="222"/>
      <c r="AY54" s="222"/>
      <c r="AZ54" s="222"/>
      <c r="BA54" s="222"/>
      <c r="BB54" s="222"/>
      <c r="BC54" s="223"/>
      <c r="BD54" s="225"/>
      <c r="BE54" s="222"/>
      <c r="BF54" s="222"/>
      <c r="BG54" s="222"/>
      <c r="BH54" s="222"/>
      <c r="BI54" s="222"/>
      <c r="BJ54" s="223"/>
      <c r="BK54" s="7"/>
    </row>
    <row r="55" spans="1:63" ht="15" customHeight="1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8"/>
    </row>
  </sheetData>
  <mergeCells count="180">
    <mergeCell ref="BH1:BK1"/>
    <mergeCell ref="BC1:BG1"/>
    <mergeCell ref="AY1:BB1"/>
    <mergeCell ref="AT1:AX1"/>
    <mergeCell ref="AP1:AS1"/>
    <mergeCell ref="W1:AO3"/>
    <mergeCell ref="K1:V1"/>
    <mergeCell ref="A1:J1"/>
    <mergeCell ref="AP4:BK4"/>
    <mergeCell ref="Z4:AO4"/>
    <mergeCell ref="U4:Y4"/>
    <mergeCell ref="H4:T4"/>
    <mergeCell ref="A4:G4"/>
    <mergeCell ref="BH2:BK3"/>
    <mergeCell ref="BC2:BG3"/>
    <mergeCell ref="AY2:BB3"/>
    <mergeCell ref="AT2:AX3"/>
    <mergeCell ref="AP2:AS3"/>
    <mergeCell ref="B11:G12"/>
    <mergeCell ref="B13:G14"/>
    <mergeCell ref="H13:N14"/>
    <mergeCell ref="O13:R14"/>
    <mergeCell ref="S13:AW13"/>
    <mergeCell ref="AX13:BC14"/>
    <mergeCell ref="BD11:BJ12"/>
    <mergeCell ref="AX11:BC12"/>
    <mergeCell ref="S12:AW12"/>
    <mergeCell ref="S11:AW11"/>
    <mergeCell ref="O11:R12"/>
    <mergeCell ref="H11:N12"/>
    <mergeCell ref="BD10:BJ10"/>
    <mergeCell ref="AX10:BC10"/>
    <mergeCell ref="S10:AW10"/>
    <mergeCell ref="O10:R10"/>
    <mergeCell ref="H10:N10"/>
    <mergeCell ref="B10:G10"/>
    <mergeCell ref="K2:V3"/>
    <mergeCell ref="A2:J3"/>
    <mergeCell ref="B17:G18"/>
    <mergeCell ref="H17:N18"/>
    <mergeCell ref="O17:R18"/>
    <mergeCell ref="S17:AW17"/>
    <mergeCell ref="AX17:BC18"/>
    <mergeCell ref="BD17:BJ18"/>
    <mergeCell ref="S18:AW18"/>
    <mergeCell ref="BD13:BJ14"/>
    <mergeCell ref="S14:AW14"/>
    <mergeCell ref="B15:G16"/>
    <mergeCell ref="H15:N16"/>
    <mergeCell ref="O15:R16"/>
    <mergeCell ref="S15:AW15"/>
    <mergeCell ref="AX15:BC16"/>
    <mergeCell ref="BD15:BJ16"/>
    <mergeCell ref="S16:AW16"/>
    <mergeCell ref="B21:G22"/>
    <mergeCell ref="H21:N22"/>
    <mergeCell ref="O21:R22"/>
    <mergeCell ref="S21:AW21"/>
    <mergeCell ref="AX21:BC22"/>
    <mergeCell ref="BD21:BJ22"/>
    <mergeCell ref="S22:AW22"/>
    <mergeCell ref="B19:G20"/>
    <mergeCell ref="H19:N20"/>
    <mergeCell ref="O19:R20"/>
    <mergeCell ref="S19:AW19"/>
    <mergeCell ref="AX19:BC20"/>
    <mergeCell ref="BD19:BJ20"/>
    <mergeCell ref="S20:AW20"/>
    <mergeCell ref="B25:G26"/>
    <mergeCell ref="H25:N26"/>
    <mergeCell ref="O25:R26"/>
    <mergeCell ref="S25:AW25"/>
    <mergeCell ref="AX25:BC26"/>
    <mergeCell ref="BD25:BJ26"/>
    <mergeCell ref="S26:AW26"/>
    <mergeCell ref="B23:G24"/>
    <mergeCell ref="H23:N24"/>
    <mergeCell ref="O23:R24"/>
    <mergeCell ref="S23:AW23"/>
    <mergeCell ref="AX23:BC24"/>
    <mergeCell ref="BD23:BJ24"/>
    <mergeCell ref="S24:AW24"/>
    <mergeCell ref="B29:G30"/>
    <mergeCell ref="H29:N30"/>
    <mergeCell ref="O29:R30"/>
    <mergeCell ref="S29:AW29"/>
    <mergeCell ref="AX29:BC30"/>
    <mergeCell ref="BD29:BJ30"/>
    <mergeCell ref="S30:AW30"/>
    <mergeCell ref="B27:G28"/>
    <mergeCell ref="H27:N28"/>
    <mergeCell ref="O27:R28"/>
    <mergeCell ref="S27:AW27"/>
    <mergeCell ref="AX27:BC28"/>
    <mergeCell ref="BD27:BJ28"/>
    <mergeCell ref="S28:AW28"/>
    <mergeCell ref="B33:G34"/>
    <mergeCell ref="H33:N34"/>
    <mergeCell ref="O33:R34"/>
    <mergeCell ref="S33:AW33"/>
    <mergeCell ref="AX33:BC34"/>
    <mergeCell ref="BD33:BJ34"/>
    <mergeCell ref="S34:AW34"/>
    <mergeCell ref="B31:G32"/>
    <mergeCell ref="H31:N32"/>
    <mergeCell ref="O31:R32"/>
    <mergeCell ref="S31:AW31"/>
    <mergeCell ref="AX31:BC32"/>
    <mergeCell ref="BD31:BJ32"/>
    <mergeCell ref="S32:AW32"/>
    <mergeCell ref="B37:G38"/>
    <mergeCell ref="H37:N38"/>
    <mergeCell ref="O37:R38"/>
    <mergeCell ref="S37:AW37"/>
    <mergeCell ref="AX37:BC38"/>
    <mergeCell ref="BD37:BJ38"/>
    <mergeCell ref="S38:AW38"/>
    <mergeCell ref="B35:G36"/>
    <mergeCell ref="H35:N36"/>
    <mergeCell ref="O35:R36"/>
    <mergeCell ref="S35:AW35"/>
    <mergeCell ref="AX35:BC36"/>
    <mergeCell ref="BD35:BJ36"/>
    <mergeCell ref="S36:AW36"/>
    <mergeCell ref="B41:G42"/>
    <mergeCell ref="H41:N42"/>
    <mergeCell ref="O41:R42"/>
    <mergeCell ref="S41:AW41"/>
    <mergeCell ref="AX41:BC42"/>
    <mergeCell ref="BD41:BJ42"/>
    <mergeCell ref="S42:AW42"/>
    <mergeCell ref="B39:G40"/>
    <mergeCell ref="H39:N40"/>
    <mergeCell ref="O39:R40"/>
    <mergeCell ref="S39:AW39"/>
    <mergeCell ref="AX39:BC40"/>
    <mergeCell ref="BD39:BJ40"/>
    <mergeCell ref="S40:AW40"/>
    <mergeCell ref="B45:G46"/>
    <mergeCell ref="H45:N46"/>
    <mergeCell ref="O45:R46"/>
    <mergeCell ref="S45:AW45"/>
    <mergeCell ref="AX45:BC46"/>
    <mergeCell ref="BD45:BJ46"/>
    <mergeCell ref="S46:AW46"/>
    <mergeCell ref="B43:G44"/>
    <mergeCell ref="H43:N44"/>
    <mergeCell ref="O43:R44"/>
    <mergeCell ref="S43:AW43"/>
    <mergeCell ref="AX43:BC44"/>
    <mergeCell ref="BD43:BJ44"/>
    <mergeCell ref="S44:AW44"/>
    <mergeCell ref="B49:G50"/>
    <mergeCell ref="H49:N50"/>
    <mergeCell ref="O49:R50"/>
    <mergeCell ref="S49:AW49"/>
    <mergeCell ref="AX49:BC50"/>
    <mergeCell ref="BD49:BJ50"/>
    <mergeCell ref="S50:AW50"/>
    <mergeCell ref="B47:G48"/>
    <mergeCell ref="H47:N48"/>
    <mergeCell ref="O47:R48"/>
    <mergeCell ref="S47:AW47"/>
    <mergeCell ref="AX47:BC48"/>
    <mergeCell ref="BD47:BJ48"/>
    <mergeCell ref="S48:AW48"/>
    <mergeCell ref="B53:G54"/>
    <mergeCell ref="H53:N54"/>
    <mergeCell ref="O53:R54"/>
    <mergeCell ref="S53:AW53"/>
    <mergeCell ref="AX53:BC54"/>
    <mergeCell ref="BD53:BJ54"/>
    <mergeCell ref="S54:AW54"/>
    <mergeCell ref="B51:G52"/>
    <mergeCell ref="H51:N52"/>
    <mergeCell ref="O51:R52"/>
    <mergeCell ref="S51:AW51"/>
    <mergeCell ref="AX51:BC52"/>
    <mergeCell ref="BD51:BJ52"/>
    <mergeCell ref="S52:AW52"/>
  </mergeCells>
  <phoneticPr fontId="3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9F9D2-F326-4905-9484-421E3C179F2D}">
  <dimension ref="A1:BK55"/>
  <sheetViews>
    <sheetView view="pageBreakPreview" topLeftCell="A6" zoomScale="75" zoomScaleNormal="75" zoomScaleSheetLayoutView="75" workbookViewId="0">
      <selection activeCell="BA32" sqref="BA32"/>
    </sheetView>
  </sheetViews>
  <sheetFormatPr defaultRowHeight="15.75"/>
  <cols>
    <col min="1" max="63" width="2.77734375" customWidth="1"/>
  </cols>
  <sheetData>
    <row r="1" spans="1:63" ht="24.95" customHeight="1">
      <c r="A1" s="190" t="s">
        <v>0</v>
      </c>
      <c r="B1" s="191"/>
      <c r="C1" s="191"/>
      <c r="D1" s="191"/>
      <c r="E1" s="191"/>
      <c r="F1" s="191"/>
      <c r="G1" s="191"/>
      <c r="H1" s="191"/>
      <c r="I1" s="191"/>
      <c r="J1" s="192"/>
      <c r="K1" s="190" t="s">
        <v>2</v>
      </c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2"/>
      <c r="W1" s="193" t="str">
        <f>IF(表紙!W1="","",表紙!W1)</f>
        <v/>
      </c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5"/>
      <c r="AP1" s="190" t="s">
        <v>3</v>
      </c>
      <c r="AQ1" s="191"/>
      <c r="AR1" s="191"/>
      <c r="AS1" s="192"/>
      <c r="AT1" s="190" t="s">
        <v>4</v>
      </c>
      <c r="AU1" s="191"/>
      <c r="AV1" s="191"/>
      <c r="AW1" s="191"/>
      <c r="AX1" s="192"/>
      <c r="AY1" s="190" t="s">
        <v>5</v>
      </c>
      <c r="AZ1" s="191"/>
      <c r="BA1" s="191"/>
      <c r="BB1" s="192"/>
      <c r="BC1" s="190" t="s">
        <v>6</v>
      </c>
      <c r="BD1" s="191"/>
      <c r="BE1" s="191"/>
      <c r="BF1" s="191"/>
      <c r="BG1" s="192"/>
      <c r="BH1" s="190" t="s">
        <v>7</v>
      </c>
      <c r="BI1" s="191"/>
      <c r="BJ1" s="191"/>
      <c r="BK1" s="192"/>
    </row>
    <row r="2" spans="1:63" ht="15" customHeight="1">
      <c r="A2" s="175" t="str">
        <f>IF(表紙!A2="","",表紙!A2)</f>
        <v>現金専用簡易セルフPOS</v>
      </c>
      <c r="B2" s="176"/>
      <c r="C2" s="176"/>
      <c r="D2" s="176"/>
      <c r="E2" s="176"/>
      <c r="F2" s="176"/>
      <c r="G2" s="176"/>
      <c r="H2" s="176"/>
      <c r="I2" s="176"/>
      <c r="J2" s="177"/>
      <c r="K2" s="175" t="str">
        <f>IF(表紙!K2="","",表紙!K2)</f>
        <v/>
      </c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7"/>
      <c r="W2" s="196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8"/>
      <c r="AP2" s="175" t="str">
        <f>IF(表紙!AP2="","",表紙!AP2)</f>
        <v>Thanh Nguyên</v>
      </c>
      <c r="AQ2" s="176"/>
      <c r="AR2" s="176"/>
      <c r="AS2" s="177"/>
      <c r="AT2" s="208">
        <f>IF(表紙!AT2="","",表紙!AT2)</f>
        <v>45153</v>
      </c>
      <c r="AU2" s="209"/>
      <c r="AV2" s="209"/>
      <c r="AW2" s="209"/>
      <c r="AX2" s="210"/>
      <c r="AY2" s="175" t="str">
        <f>IF(表紙!AY2="","",表紙!AY2)</f>
        <v>Thanh Nguyên</v>
      </c>
      <c r="AZ2" s="176"/>
      <c r="BA2" s="176"/>
      <c r="BB2" s="177"/>
      <c r="BC2" s="208">
        <f>IF(表紙!BC2="","",表紙!BC2)</f>
        <v>45153</v>
      </c>
      <c r="BD2" s="209"/>
      <c r="BE2" s="209"/>
      <c r="BF2" s="209"/>
      <c r="BG2" s="210"/>
      <c r="BH2" s="175">
        <f>IF(表紙!BH2="","",表紙!BH2)</f>
        <v>0.5</v>
      </c>
      <c r="BI2" s="176"/>
      <c r="BJ2" s="176"/>
      <c r="BK2" s="177"/>
    </row>
    <row r="3" spans="1:63" ht="15" customHeight="1">
      <c r="A3" s="181"/>
      <c r="B3" s="182"/>
      <c r="C3" s="182"/>
      <c r="D3" s="182"/>
      <c r="E3" s="182"/>
      <c r="F3" s="182"/>
      <c r="G3" s="182"/>
      <c r="H3" s="182"/>
      <c r="I3" s="182"/>
      <c r="J3" s="183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3"/>
      <c r="W3" s="199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1"/>
      <c r="AP3" s="181"/>
      <c r="AQ3" s="182"/>
      <c r="AR3" s="182"/>
      <c r="AS3" s="183"/>
      <c r="AT3" s="211"/>
      <c r="AU3" s="212"/>
      <c r="AV3" s="212"/>
      <c r="AW3" s="212"/>
      <c r="AX3" s="213"/>
      <c r="AY3" s="181"/>
      <c r="AZ3" s="182"/>
      <c r="BA3" s="182"/>
      <c r="BB3" s="183"/>
      <c r="BC3" s="211"/>
      <c r="BD3" s="212"/>
      <c r="BE3" s="212"/>
      <c r="BF3" s="212"/>
      <c r="BG3" s="213"/>
      <c r="BH3" s="181"/>
      <c r="BI3" s="182"/>
      <c r="BJ3" s="182"/>
      <c r="BK3" s="183"/>
    </row>
    <row r="4" spans="1:63" ht="24.95" customHeight="1">
      <c r="A4" s="190" t="s">
        <v>1</v>
      </c>
      <c r="B4" s="191"/>
      <c r="C4" s="191"/>
      <c r="D4" s="191"/>
      <c r="E4" s="191"/>
      <c r="F4" s="191"/>
      <c r="G4" s="192"/>
      <c r="H4" s="214" t="str">
        <f>IF(表紙!H4="","",表紙!H4)</f>
        <v/>
      </c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  <c r="U4" s="190" t="s">
        <v>8</v>
      </c>
      <c r="V4" s="191"/>
      <c r="W4" s="191"/>
      <c r="X4" s="191"/>
      <c r="Y4" s="192"/>
      <c r="Z4" s="214" t="str">
        <f>IF(表紙!Z4="","",表紙!Z4)</f>
        <v/>
      </c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6"/>
      <c r="AP4" s="214" t="str" cm="1">
        <f t="array" aca="1" ref="AP4" ca="1">RIGHT(CELL("filename",$A$1),LEN(CELL("filename",$A$1))-FIND("]",CELL("filename",$A$1)))</f>
        <v>概要</v>
      </c>
      <c r="AQ4" s="215"/>
      <c r="AR4" s="215"/>
      <c r="AS4" s="215"/>
      <c r="AT4" s="215"/>
      <c r="AU4" s="215"/>
      <c r="AV4" s="215"/>
      <c r="AW4" s="215"/>
      <c r="AX4" s="215"/>
      <c r="AY4" s="215"/>
      <c r="AZ4" s="215"/>
      <c r="BA4" s="215"/>
      <c r="BB4" s="215"/>
      <c r="BC4" s="215"/>
      <c r="BD4" s="215"/>
      <c r="BE4" s="215"/>
      <c r="BF4" s="215"/>
      <c r="BG4" s="215"/>
      <c r="BH4" s="215"/>
      <c r="BI4" s="215"/>
      <c r="BJ4" s="215"/>
      <c r="BK4" s="216"/>
    </row>
    <row r="5" spans="1:63" ht="5.0999999999999996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8"/>
    </row>
    <row r="6" spans="1:63" ht="15" customHeight="1">
      <c r="A6" s="1"/>
      <c r="BK6" s="7"/>
    </row>
    <row r="7" spans="1:63" ht="15" customHeight="1">
      <c r="A7" s="1"/>
      <c r="B7" t="s">
        <v>17</v>
      </c>
      <c r="BK7" s="7"/>
    </row>
    <row r="8" spans="1:63" ht="15" customHeight="1">
      <c r="A8" s="1"/>
      <c r="BK8" s="7"/>
    </row>
    <row r="9" spans="1:63" ht="15" customHeight="1">
      <c r="A9" s="1"/>
      <c r="BK9" s="7"/>
    </row>
    <row r="10" spans="1:63" ht="15" customHeight="1">
      <c r="A10" s="1"/>
      <c r="BK10" s="7"/>
    </row>
    <row r="11" spans="1:63" ht="15" customHeight="1">
      <c r="A11" s="1"/>
      <c r="BK11" s="7"/>
    </row>
    <row r="12" spans="1:63" ht="15" customHeight="1">
      <c r="A12" s="1"/>
      <c r="BK12" s="7"/>
    </row>
    <row r="13" spans="1:63" ht="15" customHeight="1">
      <c r="A13" s="1"/>
      <c r="BK13" s="7"/>
    </row>
    <row r="14" spans="1:63" ht="15" customHeight="1">
      <c r="A14" s="1"/>
      <c r="BK14" s="7"/>
    </row>
    <row r="15" spans="1:63" ht="15" customHeight="1">
      <c r="A15" s="1"/>
      <c r="BK15" s="7"/>
    </row>
    <row r="16" spans="1:63" ht="15" customHeight="1">
      <c r="A16" s="1"/>
      <c r="BK16" s="7"/>
    </row>
    <row r="17" spans="1:63" ht="15" customHeight="1">
      <c r="A17" s="1"/>
      <c r="BK17" s="7"/>
    </row>
    <row r="18" spans="1:63" ht="15" customHeight="1">
      <c r="A18" s="1"/>
      <c r="BK18" s="7"/>
    </row>
    <row r="19" spans="1:63" ht="15" customHeight="1">
      <c r="A19" s="1"/>
      <c r="BK19" s="7"/>
    </row>
    <row r="20" spans="1:63" ht="15" customHeight="1">
      <c r="A20" s="1"/>
      <c r="BK20" s="7"/>
    </row>
    <row r="21" spans="1:63" ht="15" customHeight="1">
      <c r="A21" s="1"/>
      <c r="BK21" s="7"/>
    </row>
    <row r="22" spans="1:63" ht="15" customHeight="1">
      <c r="A22" s="1"/>
      <c r="BK22" s="7"/>
    </row>
    <row r="23" spans="1:63" ht="15" customHeight="1">
      <c r="A23" s="1"/>
      <c r="BK23" s="7"/>
    </row>
    <row r="24" spans="1:63" ht="15" customHeight="1">
      <c r="A24" s="1"/>
      <c r="BK24" s="7"/>
    </row>
    <row r="25" spans="1:63" ht="15" customHeight="1">
      <c r="A25" s="1"/>
      <c r="BK25" s="7"/>
    </row>
    <row r="26" spans="1:63" ht="15" customHeight="1">
      <c r="A26" s="1"/>
      <c r="BK26" s="7"/>
    </row>
    <row r="27" spans="1:63" ht="15" customHeight="1">
      <c r="A27" s="1"/>
      <c r="BK27" s="7"/>
    </row>
    <row r="28" spans="1:63" ht="15" customHeight="1">
      <c r="A28" s="1"/>
      <c r="BK28" s="7"/>
    </row>
    <row r="29" spans="1:63" ht="15" customHeight="1">
      <c r="A29" s="1"/>
      <c r="BK29" s="7"/>
    </row>
    <row r="30" spans="1:63" ht="15" customHeight="1">
      <c r="A30" s="1"/>
      <c r="BK30" s="7"/>
    </row>
    <row r="31" spans="1:63" ht="15" customHeight="1">
      <c r="A31" s="1"/>
      <c r="BK31" s="7"/>
    </row>
    <row r="32" spans="1:63" ht="15" customHeight="1">
      <c r="A32" s="1"/>
      <c r="BK32" s="7"/>
    </row>
    <row r="33" spans="1:63" ht="15" customHeight="1">
      <c r="A33" s="1"/>
      <c r="BK33" s="7"/>
    </row>
    <row r="34" spans="1:63" ht="15" customHeight="1">
      <c r="A34" s="1"/>
      <c r="BK34" s="7"/>
    </row>
    <row r="35" spans="1:63" ht="15" customHeight="1">
      <c r="A35" s="1"/>
      <c r="BK35" s="7"/>
    </row>
    <row r="36" spans="1:63" ht="15" customHeight="1">
      <c r="A36" s="1"/>
      <c r="BK36" s="7"/>
    </row>
    <row r="37" spans="1:63" ht="15" customHeight="1">
      <c r="A37" s="1"/>
      <c r="BK37" s="7"/>
    </row>
    <row r="38" spans="1:63" ht="15" customHeight="1">
      <c r="A38" s="1"/>
      <c r="BK38" s="7"/>
    </row>
    <row r="39" spans="1:63" ht="15" customHeight="1">
      <c r="A39" s="1"/>
      <c r="BK39" s="7"/>
    </row>
    <row r="40" spans="1:63" ht="15" customHeight="1">
      <c r="A40" s="1"/>
      <c r="BK40" s="7"/>
    </row>
    <row r="41" spans="1:63" ht="15" customHeight="1">
      <c r="A41" s="1"/>
      <c r="BK41" s="7"/>
    </row>
    <row r="42" spans="1:63" ht="15" customHeight="1">
      <c r="A42" s="1"/>
      <c r="BK42" s="7"/>
    </row>
    <row r="43" spans="1:63" ht="15" customHeight="1">
      <c r="A43" s="1"/>
      <c r="BK43" s="7"/>
    </row>
    <row r="44" spans="1:63" ht="15" customHeight="1">
      <c r="A44" s="1"/>
      <c r="BK44" s="7"/>
    </row>
    <row r="45" spans="1:63" ht="15" customHeight="1">
      <c r="A45" s="1"/>
      <c r="BK45" s="7"/>
    </row>
    <row r="46" spans="1:63" ht="15" customHeight="1">
      <c r="A46" s="1"/>
      <c r="BK46" s="7"/>
    </row>
    <row r="47" spans="1:63" ht="15" customHeight="1">
      <c r="A47" s="1"/>
      <c r="BK47" s="7"/>
    </row>
    <row r="48" spans="1:63" ht="15" customHeight="1">
      <c r="A48" s="1"/>
      <c r="BK48" s="7"/>
    </row>
    <row r="49" spans="1:63" ht="15" customHeight="1">
      <c r="A49" s="1"/>
      <c r="BK49" s="7"/>
    </row>
    <row r="50" spans="1:63" ht="15" customHeight="1">
      <c r="A50" s="1"/>
      <c r="BK50" s="7"/>
    </row>
    <row r="51" spans="1:63" ht="15" customHeight="1">
      <c r="A51" s="1"/>
      <c r="BK51" s="7"/>
    </row>
    <row r="52" spans="1:63" ht="15" customHeight="1">
      <c r="A52" s="1"/>
      <c r="BK52" s="7"/>
    </row>
    <row r="53" spans="1:63" ht="15" customHeight="1">
      <c r="A53" s="1"/>
      <c r="BK53" s="7"/>
    </row>
    <row r="54" spans="1:63" ht="15" customHeight="1">
      <c r="A54" s="1"/>
      <c r="BK54" s="7"/>
    </row>
    <row r="55" spans="1:63" ht="15" customHeight="1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8"/>
    </row>
  </sheetData>
  <mergeCells count="20">
    <mergeCell ref="AP4:BK4"/>
    <mergeCell ref="Z4:AO4"/>
    <mergeCell ref="U4:Y4"/>
    <mergeCell ref="H4:T4"/>
    <mergeCell ref="A4:G4"/>
    <mergeCell ref="K2:V3"/>
    <mergeCell ref="A2:J3"/>
    <mergeCell ref="BH1:BK1"/>
    <mergeCell ref="BC1:BG1"/>
    <mergeCell ref="AY1:BB1"/>
    <mergeCell ref="AT1:AX1"/>
    <mergeCell ref="AP1:AS1"/>
    <mergeCell ref="W1:AO3"/>
    <mergeCell ref="K1:V1"/>
    <mergeCell ref="A1:J1"/>
    <mergeCell ref="BH2:BK3"/>
    <mergeCell ref="BC2:BG3"/>
    <mergeCell ref="AY2:BB3"/>
    <mergeCell ref="AT2:AX3"/>
    <mergeCell ref="AP2:AS3"/>
  </mergeCells>
  <phoneticPr fontId="3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0C90B-0240-4D81-A2E8-6B9BF96CDE12}">
  <dimension ref="A1:BK55"/>
  <sheetViews>
    <sheetView view="pageBreakPreview" topLeftCell="A38" zoomScale="75" zoomScaleNormal="75" zoomScaleSheetLayoutView="75" workbookViewId="0">
      <selection activeCell="AF23" sqref="AF23"/>
    </sheetView>
  </sheetViews>
  <sheetFormatPr defaultRowHeight="15.75"/>
  <cols>
    <col min="1" max="63" width="2.77734375" customWidth="1"/>
  </cols>
  <sheetData>
    <row r="1" spans="1:63" ht="24.95" customHeight="1">
      <c r="A1" s="190" t="s">
        <v>0</v>
      </c>
      <c r="B1" s="191"/>
      <c r="C1" s="191"/>
      <c r="D1" s="191"/>
      <c r="E1" s="191"/>
      <c r="F1" s="191"/>
      <c r="G1" s="191"/>
      <c r="H1" s="191"/>
      <c r="I1" s="191"/>
      <c r="J1" s="192"/>
      <c r="K1" s="190" t="s">
        <v>2</v>
      </c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2"/>
      <c r="W1" s="193" t="str">
        <f>IF(表紙!W1="","",表紙!W1)</f>
        <v/>
      </c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5"/>
      <c r="AP1" s="190" t="s">
        <v>3</v>
      </c>
      <c r="AQ1" s="191"/>
      <c r="AR1" s="191"/>
      <c r="AS1" s="192"/>
      <c r="AT1" s="190" t="s">
        <v>4</v>
      </c>
      <c r="AU1" s="191"/>
      <c r="AV1" s="191"/>
      <c r="AW1" s="191"/>
      <c r="AX1" s="192"/>
      <c r="AY1" s="190" t="s">
        <v>5</v>
      </c>
      <c r="AZ1" s="191"/>
      <c r="BA1" s="191"/>
      <c r="BB1" s="192"/>
      <c r="BC1" s="190" t="s">
        <v>6</v>
      </c>
      <c r="BD1" s="191"/>
      <c r="BE1" s="191"/>
      <c r="BF1" s="191"/>
      <c r="BG1" s="192"/>
      <c r="BH1" s="190" t="s">
        <v>7</v>
      </c>
      <c r="BI1" s="191"/>
      <c r="BJ1" s="191"/>
      <c r="BK1" s="192"/>
    </row>
    <row r="2" spans="1:63" ht="15" customHeight="1">
      <c r="A2" s="175" t="str">
        <f>IF(表紙!A2="","",表紙!A2)</f>
        <v>現金専用簡易セルフPOS</v>
      </c>
      <c r="B2" s="176"/>
      <c r="C2" s="176"/>
      <c r="D2" s="176"/>
      <c r="E2" s="176"/>
      <c r="F2" s="176"/>
      <c r="G2" s="176"/>
      <c r="H2" s="176"/>
      <c r="I2" s="176"/>
      <c r="J2" s="177"/>
      <c r="K2" s="175" t="str">
        <f>IF(表紙!K2="","",表紙!K2)</f>
        <v/>
      </c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7"/>
      <c r="W2" s="196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8"/>
      <c r="AP2" s="175" t="str">
        <f>IF(表紙!AP2="","",表紙!AP2)</f>
        <v>Thanh Nguyên</v>
      </c>
      <c r="AQ2" s="176"/>
      <c r="AR2" s="176"/>
      <c r="AS2" s="177"/>
      <c r="AT2" s="208">
        <f>IF(表紙!AT2="","",表紙!AT2)</f>
        <v>45153</v>
      </c>
      <c r="AU2" s="209"/>
      <c r="AV2" s="209"/>
      <c r="AW2" s="209"/>
      <c r="AX2" s="210"/>
      <c r="AY2" s="175" t="str">
        <f>IF(表紙!AY2="","",表紙!AY2)</f>
        <v>Thanh Nguyên</v>
      </c>
      <c r="AZ2" s="176"/>
      <c r="BA2" s="176"/>
      <c r="BB2" s="177"/>
      <c r="BC2" s="208">
        <f>IF(表紙!BC2="","",表紙!BC2)</f>
        <v>45153</v>
      </c>
      <c r="BD2" s="209"/>
      <c r="BE2" s="209"/>
      <c r="BF2" s="209"/>
      <c r="BG2" s="210"/>
      <c r="BH2" s="175">
        <f>IF(表紙!BH2="","",表紙!BH2)</f>
        <v>0.5</v>
      </c>
      <c r="BI2" s="176"/>
      <c r="BJ2" s="176"/>
      <c r="BK2" s="177"/>
    </row>
    <row r="3" spans="1:63" ht="15" customHeight="1">
      <c r="A3" s="181"/>
      <c r="B3" s="182"/>
      <c r="C3" s="182"/>
      <c r="D3" s="182"/>
      <c r="E3" s="182"/>
      <c r="F3" s="182"/>
      <c r="G3" s="182"/>
      <c r="H3" s="182"/>
      <c r="I3" s="182"/>
      <c r="J3" s="183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3"/>
      <c r="W3" s="199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1"/>
      <c r="AP3" s="181"/>
      <c r="AQ3" s="182"/>
      <c r="AR3" s="182"/>
      <c r="AS3" s="183"/>
      <c r="AT3" s="211"/>
      <c r="AU3" s="212"/>
      <c r="AV3" s="212"/>
      <c r="AW3" s="212"/>
      <c r="AX3" s="213"/>
      <c r="AY3" s="181"/>
      <c r="AZ3" s="182"/>
      <c r="BA3" s="182"/>
      <c r="BB3" s="183"/>
      <c r="BC3" s="211"/>
      <c r="BD3" s="212"/>
      <c r="BE3" s="212"/>
      <c r="BF3" s="212"/>
      <c r="BG3" s="213"/>
      <c r="BH3" s="181"/>
      <c r="BI3" s="182"/>
      <c r="BJ3" s="182"/>
      <c r="BK3" s="183"/>
    </row>
    <row r="4" spans="1:63" ht="24.95" customHeight="1">
      <c r="A4" s="190" t="s">
        <v>1</v>
      </c>
      <c r="B4" s="191"/>
      <c r="C4" s="191"/>
      <c r="D4" s="191"/>
      <c r="E4" s="191"/>
      <c r="F4" s="191"/>
      <c r="G4" s="192"/>
      <c r="H4" s="214" t="str">
        <f>IF(表紙!H4="","",表紙!H4)</f>
        <v/>
      </c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  <c r="U4" s="190" t="s">
        <v>8</v>
      </c>
      <c r="V4" s="191"/>
      <c r="W4" s="191"/>
      <c r="X4" s="191"/>
      <c r="Y4" s="192"/>
      <c r="Z4" s="214" t="str">
        <f>IF(表紙!Z4="","",表紙!Z4)</f>
        <v/>
      </c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6"/>
      <c r="AP4" s="214" t="str" cm="1">
        <f t="array" aca="1" ref="AP4" ca="1">RIGHT(CELL("filename",$A$1),LEN(CELL("filename",$A$1))-FIND("]",CELL("filename",$A$1)))</f>
        <v>DB仕様(charge_info)</v>
      </c>
      <c r="AQ4" s="215"/>
      <c r="AR4" s="215"/>
      <c r="AS4" s="215"/>
      <c r="AT4" s="215"/>
      <c r="AU4" s="215"/>
      <c r="AV4" s="215"/>
      <c r="AW4" s="215"/>
      <c r="AX4" s="215"/>
      <c r="AY4" s="215"/>
      <c r="AZ4" s="215"/>
      <c r="BA4" s="215"/>
      <c r="BB4" s="215"/>
      <c r="BC4" s="215"/>
      <c r="BD4" s="215"/>
      <c r="BE4" s="215"/>
      <c r="BF4" s="215"/>
      <c r="BG4" s="215"/>
      <c r="BH4" s="215"/>
      <c r="BI4" s="215"/>
      <c r="BJ4" s="215"/>
      <c r="BK4" s="216"/>
    </row>
    <row r="5" spans="1:63" ht="5.0999999999999996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8"/>
    </row>
    <row r="6" spans="1:63" ht="15" customHeigh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6"/>
    </row>
    <row r="7" spans="1:63" ht="15" customHeight="1">
      <c r="A7" s="1"/>
      <c r="B7" t="s">
        <v>18</v>
      </c>
      <c r="BK7" s="7"/>
    </row>
    <row r="8" spans="1:63" ht="15" customHeight="1">
      <c r="A8" s="1"/>
      <c r="B8" s="255" t="s">
        <v>19</v>
      </c>
      <c r="C8" s="256"/>
      <c r="D8" s="256"/>
      <c r="E8" s="256"/>
      <c r="F8" s="257"/>
      <c r="G8" s="252" t="s">
        <v>27</v>
      </c>
      <c r="H8" s="253"/>
      <c r="I8" s="253"/>
      <c r="J8" s="253"/>
      <c r="K8" s="253"/>
      <c r="L8" s="253"/>
      <c r="M8" s="253"/>
      <c r="N8" s="253"/>
      <c r="O8" s="253"/>
      <c r="P8" s="253"/>
      <c r="Q8" s="253"/>
      <c r="R8" s="253"/>
      <c r="S8" s="253"/>
      <c r="T8" s="253"/>
      <c r="U8" s="253"/>
      <c r="V8" s="253"/>
      <c r="W8" s="253"/>
      <c r="X8" s="254"/>
      <c r="Y8" s="255" t="s">
        <v>20</v>
      </c>
      <c r="Z8" s="256"/>
      <c r="AA8" s="256"/>
      <c r="AB8" s="256"/>
      <c r="AC8" s="257"/>
      <c r="AD8" s="252"/>
      <c r="AE8" s="253"/>
      <c r="AF8" s="253"/>
      <c r="AG8" s="253"/>
      <c r="AH8" s="253"/>
      <c r="AI8" s="253"/>
      <c r="AJ8" s="253"/>
      <c r="AK8" s="253"/>
      <c r="AL8" s="253"/>
      <c r="AM8" s="253"/>
      <c r="AN8" s="254"/>
      <c r="BK8" s="7"/>
    </row>
    <row r="9" spans="1:63" ht="15" customHeight="1">
      <c r="A9" s="1"/>
      <c r="B9" s="234" t="s">
        <v>21</v>
      </c>
      <c r="C9" s="235"/>
      <c r="D9" s="235"/>
      <c r="E9" s="235"/>
      <c r="F9" s="236"/>
      <c r="G9" s="237" t="s">
        <v>26</v>
      </c>
      <c r="H9" s="238"/>
      <c r="I9" s="238"/>
      <c r="J9" s="238"/>
      <c r="K9" s="238"/>
      <c r="L9" s="238"/>
      <c r="M9" s="238"/>
      <c r="N9" s="238"/>
      <c r="O9" s="238"/>
      <c r="P9" s="238"/>
      <c r="Q9" s="238"/>
      <c r="R9" s="238"/>
      <c r="S9" s="238"/>
      <c r="T9" s="238"/>
      <c r="U9" s="238"/>
      <c r="V9" s="238"/>
      <c r="W9" s="238"/>
      <c r="X9" s="239"/>
      <c r="Y9" s="234" t="s">
        <v>22</v>
      </c>
      <c r="Z9" s="235"/>
      <c r="AA9" s="235"/>
      <c r="AB9" s="235"/>
      <c r="AC9" s="236"/>
      <c r="AD9" s="240"/>
      <c r="AE9" s="241"/>
      <c r="AF9" s="241"/>
      <c r="AG9" s="241"/>
      <c r="AH9" s="241"/>
      <c r="AI9" s="241"/>
      <c r="AJ9" s="241"/>
      <c r="AK9" s="241"/>
      <c r="AL9" s="241"/>
      <c r="AM9" s="241"/>
      <c r="AN9" s="242"/>
      <c r="BK9" s="7"/>
    </row>
    <row r="10" spans="1:63" ht="15" customHeight="1">
      <c r="A10" s="1"/>
      <c r="B10" s="243" t="s">
        <v>23</v>
      </c>
      <c r="C10" s="244"/>
      <c r="D10" s="244"/>
      <c r="E10" s="244"/>
      <c r="F10" s="245"/>
      <c r="G10" s="231" t="s">
        <v>25</v>
      </c>
      <c r="H10" s="232"/>
      <c r="I10" s="232"/>
      <c r="J10" s="232"/>
      <c r="K10" s="232"/>
      <c r="L10" s="232"/>
      <c r="M10" s="232"/>
      <c r="N10" s="232"/>
      <c r="O10" s="232"/>
      <c r="P10" s="232"/>
      <c r="Q10" s="232"/>
      <c r="R10" s="232"/>
      <c r="S10" s="232"/>
      <c r="T10" s="232"/>
      <c r="U10" s="232"/>
      <c r="V10" s="232"/>
      <c r="W10" s="232"/>
      <c r="X10" s="233"/>
      <c r="Y10" s="243"/>
      <c r="Z10" s="244"/>
      <c r="AA10" s="244"/>
      <c r="AB10" s="244"/>
      <c r="AC10" s="245"/>
      <c r="AD10" s="246"/>
      <c r="AE10" s="247"/>
      <c r="AF10" s="247"/>
      <c r="AG10" s="247"/>
      <c r="AH10" s="247"/>
      <c r="AI10" s="247"/>
      <c r="AJ10" s="247"/>
      <c r="AK10" s="247"/>
      <c r="AL10" s="247"/>
      <c r="AM10" s="247"/>
      <c r="AN10" s="248"/>
      <c r="BK10" s="7"/>
    </row>
    <row r="11" spans="1:63" ht="15" customHeight="1">
      <c r="A11" s="1"/>
      <c r="B11" s="249" t="s">
        <v>24</v>
      </c>
      <c r="C11" s="250"/>
      <c r="D11" s="250"/>
      <c r="E11" s="250"/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  <c r="AE11" s="250"/>
      <c r="AF11" s="250"/>
      <c r="AG11" s="250"/>
      <c r="AH11" s="250"/>
      <c r="AI11" s="250"/>
      <c r="AJ11" s="250"/>
      <c r="AK11" s="250"/>
      <c r="AL11" s="250"/>
      <c r="AM11" s="250"/>
      <c r="AN11" s="251"/>
      <c r="BK11" s="7"/>
    </row>
    <row r="12" spans="1:63" ht="15" customHeight="1">
      <c r="A12" s="1"/>
      <c r="B12" s="252" t="s">
        <v>28</v>
      </c>
      <c r="C12" s="253"/>
      <c r="D12" s="253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53"/>
      <c r="Q12" s="253"/>
      <c r="R12" s="253"/>
      <c r="S12" s="253"/>
      <c r="T12" s="253"/>
      <c r="U12" s="253"/>
      <c r="V12" s="253"/>
      <c r="W12" s="253"/>
      <c r="X12" s="253"/>
      <c r="Y12" s="253"/>
      <c r="Z12" s="253"/>
      <c r="AA12" s="253"/>
      <c r="AB12" s="253"/>
      <c r="AC12" s="253"/>
      <c r="AD12" s="253"/>
      <c r="AE12" s="253"/>
      <c r="AF12" s="253"/>
      <c r="AG12" s="253"/>
      <c r="AH12" s="253"/>
      <c r="AI12" s="253"/>
      <c r="AJ12" s="253"/>
      <c r="AK12" s="253"/>
      <c r="AL12" s="253"/>
      <c r="AM12" s="253"/>
      <c r="AN12" s="254"/>
      <c r="BK12" s="7"/>
    </row>
    <row r="13" spans="1:63" ht="15" customHeight="1">
      <c r="A13" s="1"/>
      <c r="B13" s="237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8"/>
      <c r="P13" s="238"/>
      <c r="Q13" s="238"/>
      <c r="R13" s="238"/>
      <c r="S13" s="238"/>
      <c r="T13" s="238"/>
      <c r="U13" s="238"/>
      <c r="V13" s="238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9"/>
      <c r="BK13" s="7"/>
    </row>
    <row r="14" spans="1:63" ht="15" customHeight="1">
      <c r="A14" s="1"/>
      <c r="B14" s="237"/>
      <c r="C14" s="238"/>
      <c r="D14" s="238"/>
      <c r="E14" s="238"/>
      <c r="F14" s="238"/>
      <c r="G14" s="238"/>
      <c r="H14" s="238"/>
      <c r="I14" s="238"/>
      <c r="J14" s="238"/>
      <c r="K14" s="238"/>
      <c r="L14" s="238"/>
      <c r="M14" s="238"/>
      <c r="N14" s="238"/>
      <c r="O14" s="238"/>
      <c r="P14" s="238"/>
      <c r="Q14" s="238"/>
      <c r="R14" s="238"/>
      <c r="S14" s="238"/>
      <c r="T14" s="238"/>
      <c r="U14" s="238"/>
      <c r="V14" s="238"/>
      <c r="W14" s="238"/>
      <c r="X14" s="238"/>
      <c r="Y14" s="238"/>
      <c r="Z14" s="238"/>
      <c r="AA14" s="238"/>
      <c r="AB14" s="238"/>
      <c r="AC14" s="238"/>
      <c r="AD14" s="238"/>
      <c r="AE14" s="238"/>
      <c r="AF14" s="238"/>
      <c r="AG14" s="238"/>
      <c r="AH14" s="238"/>
      <c r="AI14" s="238"/>
      <c r="AJ14" s="238"/>
      <c r="AK14" s="238"/>
      <c r="AL14" s="238"/>
      <c r="AM14" s="238"/>
      <c r="AN14" s="239"/>
      <c r="BK14" s="7"/>
    </row>
    <row r="15" spans="1:63" ht="15" customHeight="1">
      <c r="A15" s="1"/>
      <c r="B15" s="237"/>
      <c r="C15" s="238"/>
      <c r="D15" s="238"/>
      <c r="E15" s="238"/>
      <c r="F15" s="238"/>
      <c r="G15" s="238"/>
      <c r="H15" s="238"/>
      <c r="I15" s="238"/>
      <c r="J15" s="238"/>
      <c r="K15" s="238"/>
      <c r="L15" s="238"/>
      <c r="M15" s="238"/>
      <c r="N15" s="238"/>
      <c r="O15" s="238"/>
      <c r="P15" s="238"/>
      <c r="Q15" s="238"/>
      <c r="R15" s="238"/>
      <c r="S15" s="238"/>
      <c r="T15" s="238"/>
      <c r="U15" s="238"/>
      <c r="V15" s="238"/>
      <c r="W15" s="238"/>
      <c r="X15" s="238"/>
      <c r="Y15" s="238"/>
      <c r="Z15" s="238"/>
      <c r="AA15" s="238"/>
      <c r="AB15" s="238"/>
      <c r="AC15" s="238"/>
      <c r="AD15" s="238"/>
      <c r="AE15" s="238"/>
      <c r="AF15" s="238"/>
      <c r="AG15" s="238"/>
      <c r="AH15" s="238"/>
      <c r="AI15" s="238"/>
      <c r="AJ15" s="238"/>
      <c r="AK15" s="238"/>
      <c r="AL15" s="238"/>
      <c r="AM15" s="238"/>
      <c r="AN15" s="239"/>
      <c r="BK15" s="7"/>
    </row>
    <row r="16" spans="1:63" ht="15" customHeight="1">
      <c r="A16" s="1"/>
      <c r="B16" s="231"/>
      <c r="C16" s="232"/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2"/>
      <c r="P16" s="232"/>
      <c r="Q16" s="232"/>
      <c r="R16" s="232"/>
      <c r="S16" s="232"/>
      <c r="T16" s="232"/>
      <c r="U16" s="232"/>
      <c r="V16" s="232"/>
      <c r="W16" s="232"/>
      <c r="X16" s="232"/>
      <c r="Y16" s="232"/>
      <c r="Z16" s="232"/>
      <c r="AA16" s="232"/>
      <c r="AB16" s="232"/>
      <c r="AC16" s="232"/>
      <c r="AD16" s="232"/>
      <c r="AE16" s="232"/>
      <c r="AF16" s="232"/>
      <c r="AG16" s="232"/>
      <c r="AH16" s="232"/>
      <c r="AI16" s="232"/>
      <c r="AJ16" s="232"/>
      <c r="AK16" s="232"/>
      <c r="AL16" s="232"/>
      <c r="AM16" s="232"/>
      <c r="AN16" s="233"/>
      <c r="BK16" s="7"/>
    </row>
    <row r="17" spans="1:63" ht="15" customHeight="1">
      <c r="A17" s="1"/>
      <c r="BK17" s="7"/>
    </row>
    <row r="18" spans="1:63" ht="15" customHeight="1">
      <c r="A18" s="1"/>
      <c r="B18" t="s">
        <v>29</v>
      </c>
      <c r="BK18" s="7"/>
    </row>
    <row r="19" spans="1:63" ht="15" customHeight="1">
      <c r="A19" s="1"/>
      <c r="B19" s="20" t="s">
        <v>30</v>
      </c>
      <c r="C19" s="21"/>
      <c r="D19" s="20" t="s">
        <v>31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1"/>
      <c r="R19" s="20" t="s">
        <v>32</v>
      </c>
      <c r="S19" s="22"/>
      <c r="T19" s="22"/>
      <c r="U19" s="22"/>
      <c r="V19" s="22"/>
      <c r="W19" s="22"/>
      <c r="X19" s="22"/>
      <c r="Y19" s="22"/>
      <c r="Z19" s="22"/>
      <c r="AA19" s="22"/>
      <c r="AB19" s="21"/>
      <c r="AC19" s="20" t="s">
        <v>33</v>
      </c>
      <c r="AD19" s="22"/>
      <c r="AE19" s="22"/>
      <c r="AF19" s="22"/>
      <c r="AG19" s="21"/>
      <c r="AH19" s="20" t="s">
        <v>34</v>
      </c>
      <c r="AI19" s="21"/>
      <c r="AJ19" s="20" t="s">
        <v>35</v>
      </c>
      <c r="AK19" s="22"/>
      <c r="AL19" s="21"/>
      <c r="AM19" s="20" t="s">
        <v>36</v>
      </c>
      <c r="AN19" s="22"/>
      <c r="AO19" s="22"/>
      <c r="AP19" s="22"/>
      <c r="AQ19" s="22"/>
      <c r="AR19" s="22"/>
      <c r="AS19" s="21"/>
      <c r="AT19" s="20" t="s">
        <v>37</v>
      </c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1"/>
      <c r="BK19" s="7"/>
    </row>
    <row r="20" spans="1:63" ht="15" customHeight="1">
      <c r="A20" s="1"/>
      <c r="B20" s="23">
        <v>1</v>
      </c>
      <c r="C20" s="24"/>
      <c r="D20" s="25" t="s">
        <v>38</v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7"/>
      <c r="R20" s="25" t="s">
        <v>39</v>
      </c>
      <c r="S20" s="26"/>
      <c r="T20" s="26"/>
      <c r="U20" s="26"/>
      <c r="V20" s="26"/>
      <c r="W20" s="26"/>
      <c r="X20" s="26"/>
      <c r="Y20" s="26"/>
      <c r="Z20" s="26"/>
      <c r="AA20" s="26"/>
      <c r="AB20" s="27"/>
      <c r="AC20" s="25" t="s">
        <v>40</v>
      </c>
      <c r="AD20" s="26"/>
      <c r="AE20" s="26"/>
      <c r="AF20" s="26"/>
      <c r="AG20" s="27"/>
      <c r="AH20" s="25"/>
      <c r="AI20" s="27"/>
      <c r="AJ20" s="25" t="s">
        <v>41</v>
      </c>
      <c r="AK20" s="26"/>
      <c r="AL20" s="27"/>
      <c r="AM20" s="25" t="s">
        <v>42</v>
      </c>
      <c r="AN20" s="26"/>
      <c r="AO20" s="26"/>
      <c r="AP20" s="26"/>
      <c r="AQ20" s="26"/>
      <c r="AR20" s="26"/>
      <c r="AS20" s="27"/>
      <c r="AT20" s="25" t="s">
        <v>43</v>
      </c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7"/>
      <c r="BK20" s="7"/>
    </row>
    <row r="21" spans="1:63" ht="15" customHeight="1">
      <c r="A21" s="1"/>
      <c r="B21" s="23">
        <f t="shared" ref="B21:B32" si="0">B20+1</f>
        <v>2</v>
      </c>
      <c r="C21" s="24"/>
      <c r="D21" s="25" t="s">
        <v>44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7"/>
      <c r="R21" s="25" t="s">
        <v>45</v>
      </c>
      <c r="S21" s="26"/>
      <c r="T21" s="26"/>
      <c r="U21" s="26"/>
      <c r="V21" s="26"/>
      <c r="W21" s="26"/>
      <c r="X21" s="26"/>
      <c r="Y21" s="26"/>
      <c r="Z21" s="26"/>
      <c r="AA21" s="26"/>
      <c r="AB21" s="27"/>
      <c r="AC21" s="25" t="s">
        <v>46</v>
      </c>
      <c r="AD21" s="26"/>
      <c r="AE21" s="26"/>
      <c r="AF21" s="26"/>
      <c r="AG21" s="27"/>
      <c r="AH21" s="25"/>
      <c r="AI21" s="27"/>
      <c r="AJ21" s="25" t="s">
        <v>41</v>
      </c>
      <c r="AK21" s="26"/>
      <c r="AL21" s="27"/>
      <c r="AM21" s="25" t="s">
        <v>47</v>
      </c>
      <c r="AN21" s="26"/>
      <c r="AO21" s="26"/>
      <c r="AP21" s="26"/>
      <c r="AQ21" s="26"/>
      <c r="AR21" s="26"/>
      <c r="AS21" s="27"/>
      <c r="AT21" s="25" t="s">
        <v>48</v>
      </c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7"/>
      <c r="BK21" s="7"/>
    </row>
    <row r="22" spans="1:63" ht="15" customHeight="1">
      <c r="A22" s="1"/>
      <c r="B22" s="23">
        <f t="shared" si="0"/>
        <v>3</v>
      </c>
      <c r="C22" s="24"/>
      <c r="D22" s="25" t="s">
        <v>49</v>
      </c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7"/>
      <c r="R22" s="25" t="s">
        <v>50</v>
      </c>
      <c r="S22" s="26"/>
      <c r="T22" s="26"/>
      <c r="U22" s="26"/>
      <c r="V22" s="26"/>
      <c r="W22" s="26"/>
      <c r="X22" s="26"/>
      <c r="Y22" s="26"/>
      <c r="Z22" s="26"/>
      <c r="AA22" s="26"/>
      <c r="AB22" s="27"/>
      <c r="AC22" s="25" t="s">
        <v>51</v>
      </c>
      <c r="AD22" s="26"/>
      <c r="AE22" s="26"/>
      <c r="AF22" s="26"/>
      <c r="AG22" s="27"/>
      <c r="AH22" s="25"/>
      <c r="AI22" s="27"/>
      <c r="AJ22" s="25" t="s">
        <v>41</v>
      </c>
      <c r="AK22" s="26"/>
      <c r="AL22" s="27"/>
      <c r="AM22" s="25" t="s">
        <v>42</v>
      </c>
      <c r="AN22" s="26"/>
      <c r="AO22" s="26"/>
      <c r="AP22" s="26"/>
      <c r="AQ22" s="26"/>
      <c r="AR22" s="26"/>
      <c r="AS22" s="27"/>
      <c r="AT22" s="28" t="s">
        <v>52</v>
      </c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30"/>
      <c r="BK22" s="7"/>
    </row>
    <row r="23" spans="1:63" ht="15" customHeight="1">
      <c r="A23" s="1"/>
      <c r="B23" s="23">
        <f t="shared" si="0"/>
        <v>4</v>
      </c>
      <c r="C23" s="24"/>
      <c r="D23" s="25" t="s">
        <v>53</v>
      </c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7"/>
      <c r="R23" s="25" t="s">
        <v>54</v>
      </c>
      <c r="S23" s="26"/>
      <c r="T23" s="26"/>
      <c r="U23" s="26"/>
      <c r="V23" s="26"/>
      <c r="W23" s="26"/>
      <c r="X23" s="26"/>
      <c r="Y23" s="26"/>
      <c r="Z23" s="26"/>
      <c r="AA23" s="26"/>
      <c r="AB23" s="27"/>
      <c r="AC23" s="25" t="s">
        <v>46</v>
      </c>
      <c r="AD23" s="26"/>
      <c r="AE23" s="26"/>
      <c r="AF23" s="26"/>
      <c r="AG23" s="27"/>
      <c r="AH23" s="25"/>
      <c r="AI23" s="27"/>
      <c r="AJ23" s="25" t="s">
        <v>55</v>
      </c>
      <c r="AK23" s="26"/>
      <c r="AL23" s="27"/>
      <c r="AM23" s="25" t="s">
        <v>47</v>
      </c>
      <c r="AN23" s="26"/>
      <c r="AO23" s="26"/>
      <c r="AP23" s="26"/>
      <c r="AQ23" s="26"/>
      <c r="AR23" s="26"/>
      <c r="AS23" s="27"/>
      <c r="AT23" s="28" t="s">
        <v>56</v>
      </c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30"/>
      <c r="BK23" s="7"/>
    </row>
    <row r="24" spans="1:63" ht="15" customHeight="1">
      <c r="A24" s="1"/>
      <c r="B24" s="31">
        <f t="shared" si="0"/>
        <v>5</v>
      </c>
      <c r="C24" s="32"/>
      <c r="D24" s="33" t="s">
        <v>57</v>
      </c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5"/>
      <c r="R24" s="33" t="s">
        <v>58</v>
      </c>
      <c r="S24" s="34"/>
      <c r="T24" s="34"/>
      <c r="U24" s="34"/>
      <c r="V24" s="34"/>
      <c r="W24" s="34"/>
      <c r="X24" s="34"/>
      <c r="Y24" s="34"/>
      <c r="Z24" s="34"/>
      <c r="AA24" s="34"/>
      <c r="AB24" s="35"/>
      <c r="AC24" s="33" t="s">
        <v>59</v>
      </c>
      <c r="AD24" s="34"/>
      <c r="AE24" s="34"/>
      <c r="AF24" s="34"/>
      <c r="AG24" s="35"/>
      <c r="AH24" s="33"/>
      <c r="AI24" s="35"/>
      <c r="AJ24" s="33" t="s">
        <v>55</v>
      </c>
      <c r="AK24" s="34"/>
      <c r="AL24" s="35"/>
      <c r="AM24" s="33" t="s">
        <v>60</v>
      </c>
      <c r="AN24" s="34"/>
      <c r="AO24" s="34"/>
      <c r="AP24" s="34"/>
      <c r="AQ24" s="34"/>
      <c r="AR24" s="34"/>
      <c r="AS24" s="35"/>
      <c r="AT24" s="33" t="s">
        <v>61</v>
      </c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5"/>
      <c r="BK24" s="7"/>
    </row>
    <row r="25" spans="1:63" ht="15" customHeight="1">
      <c r="A25" s="1"/>
      <c r="B25" s="36">
        <f t="shared" si="0"/>
        <v>6</v>
      </c>
      <c r="C25" s="37"/>
      <c r="D25" s="38" t="s">
        <v>72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40"/>
      <c r="R25" s="38" t="s">
        <v>160</v>
      </c>
      <c r="S25" s="39"/>
      <c r="T25" s="39"/>
      <c r="U25" s="39"/>
      <c r="V25" s="39"/>
      <c r="W25" s="39"/>
      <c r="X25" s="39"/>
      <c r="Y25" s="39"/>
      <c r="Z25" s="39"/>
      <c r="AA25" s="39"/>
      <c r="AB25" s="40"/>
      <c r="AC25" s="38" t="s">
        <v>82</v>
      </c>
      <c r="AD25" s="39"/>
      <c r="AE25" s="39"/>
      <c r="AF25" s="39"/>
      <c r="AG25" s="40"/>
      <c r="AH25" s="38">
        <v>1</v>
      </c>
      <c r="AI25" s="40"/>
      <c r="AJ25" s="38"/>
      <c r="AK25" s="39"/>
      <c r="AL25" s="40"/>
      <c r="AM25" s="38"/>
      <c r="AN25" s="39"/>
      <c r="AO25" s="39"/>
      <c r="AP25" s="39"/>
      <c r="AQ25" s="39"/>
      <c r="AR25" s="39"/>
      <c r="AS25" s="40"/>
      <c r="AT25" s="38" t="s">
        <v>63</v>
      </c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40"/>
      <c r="BK25" s="7"/>
    </row>
    <row r="26" spans="1:63" ht="15" customHeight="1">
      <c r="A26" s="1"/>
      <c r="B26" s="23">
        <f t="shared" si="0"/>
        <v>7</v>
      </c>
      <c r="C26" s="24"/>
      <c r="D26" s="25" t="s">
        <v>73</v>
      </c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7"/>
      <c r="R26" s="25" t="s">
        <v>161</v>
      </c>
      <c r="S26" s="26"/>
      <c r="T26" s="26"/>
      <c r="U26" s="26"/>
      <c r="V26" s="26"/>
      <c r="W26" s="26"/>
      <c r="X26" s="26"/>
      <c r="Y26" s="26"/>
      <c r="Z26" s="26"/>
      <c r="AA26" s="26"/>
      <c r="AB26" s="27"/>
      <c r="AC26" s="25" t="s">
        <v>82</v>
      </c>
      <c r="AD26" s="26"/>
      <c r="AE26" s="26"/>
      <c r="AF26" s="26"/>
      <c r="AG26" s="27"/>
      <c r="AH26" s="25">
        <v>2</v>
      </c>
      <c r="AI26" s="27"/>
      <c r="AJ26" s="25"/>
      <c r="AK26" s="26"/>
      <c r="AL26" s="27"/>
      <c r="AM26" s="25"/>
      <c r="AN26" s="26"/>
      <c r="AO26" s="26"/>
      <c r="AP26" s="26"/>
      <c r="AQ26" s="26"/>
      <c r="AR26" s="26"/>
      <c r="AS26" s="27"/>
      <c r="AT26" s="25" t="s">
        <v>65</v>
      </c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7"/>
      <c r="BK26" s="7"/>
    </row>
    <row r="27" spans="1:63" ht="15" customHeight="1">
      <c r="A27" s="1"/>
      <c r="B27" s="23">
        <f t="shared" si="0"/>
        <v>8</v>
      </c>
      <c r="C27" s="24"/>
      <c r="D27" s="25" t="s">
        <v>74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7"/>
      <c r="R27" s="25" t="s">
        <v>186</v>
      </c>
      <c r="S27" s="26"/>
      <c r="T27" s="26"/>
      <c r="U27" s="26"/>
      <c r="V27" s="26"/>
      <c r="W27" s="26"/>
      <c r="X27" s="26"/>
      <c r="Y27" s="26"/>
      <c r="Z27" s="26"/>
      <c r="AA27" s="26"/>
      <c r="AB27" s="27"/>
      <c r="AC27" s="25" t="s">
        <v>82</v>
      </c>
      <c r="AD27" s="26"/>
      <c r="AE27" s="26"/>
      <c r="AF27" s="26"/>
      <c r="AG27" s="27"/>
      <c r="AH27" s="25">
        <v>3</v>
      </c>
      <c r="AI27" s="27"/>
      <c r="AJ27" s="25"/>
      <c r="AK27" s="26"/>
      <c r="AL27" s="27"/>
      <c r="AM27" s="25"/>
      <c r="AN27" s="26"/>
      <c r="AO27" s="26"/>
      <c r="AP27" s="26"/>
      <c r="AQ27" s="26"/>
      <c r="AR27" s="26"/>
      <c r="AS27" s="27"/>
      <c r="AT27" s="25" t="s">
        <v>67</v>
      </c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7"/>
      <c r="BK27" s="7"/>
    </row>
    <row r="28" spans="1:63" ht="15" customHeight="1">
      <c r="A28" s="1"/>
      <c r="B28" s="23">
        <f t="shared" si="0"/>
        <v>9</v>
      </c>
      <c r="C28" s="24"/>
      <c r="D28" s="25" t="s">
        <v>129</v>
      </c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7"/>
      <c r="R28" s="25" t="s">
        <v>185</v>
      </c>
      <c r="S28" s="26"/>
      <c r="T28" s="26"/>
      <c r="U28" s="26"/>
      <c r="V28" s="26"/>
      <c r="W28" s="26"/>
      <c r="X28" s="26"/>
      <c r="Y28" s="26"/>
      <c r="Z28" s="26"/>
      <c r="AA28" s="26"/>
      <c r="AB28" s="27"/>
      <c r="AC28" s="25" t="s">
        <v>69</v>
      </c>
      <c r="AD28" s="26"/>
      <c r="AE28" s="26"/>
      <c r="AF28" s="26"/>
      <c r="AG28" s="27"/>
      <c r="AH28" s="25">
        <v>4</v>
      </c>
      <c r="AI28" s="27"/>
      <c r="AJ28" s="25"/>
      <c r="AK28" s="26"/>
      <c r="AL28" s="27"/>
      <c r="AM28" s="25"/>
      <c r="AN28" s="26"/>
      <c r="AO28" s="26"/>
      <c r="AP28" s="26"/>
      <c r="AQ28" s="26"/>
      <c r="AR28" s="26"/>
      <c r="AS28" s="27"/>
      <c r="AT28" s="25" t="s">
        <v>162</v>
      </c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7"/>
      <c r="BK28" s="7"/>
    </row>
    <row r="29" spans="1:63" ht="15" customHeight="1">
      <c r="A29" s="1"/>
      <c r="B29" s="46">
        <f t="shared" si="0"/>
        <v>10</v>
      </c>
      <c r="C29" s="47"/>
      <c r="D29" s="48" t="s">
        <v>77</v>
      </c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50"/>
      <c r="R29" s="48" t="s">
        <v>187</v>
      </c>
      <c r="S29" s="49"/>
      <c r="T29" s="49"/>
      <c r="U29" s="49"/>
      <c r="V29" s="49"/>
      <c r="W29" s="49"/>
      <c r="X29" s="49"/>
      <c r="Y29" s="49"/>
      <c r="Z29" s="49"/>
      <c r="AA29" s="49"/>
      <c r="AB29" s="50"/>
      <c r="AC29" s="48" t="s">
        <v>82</v>
      </c>
      <c r="AD29" s="49"/>
      <c r="AE29" s="49"/>
      <c r="AF29" s="49"/>
      <c r="AG29" s="50"/>
      <c r="AH29" s="48">
        <v>5</v>
      </c>
      <c r="AI29" s="50"/>
      <c r="AJ29" s="48"/>
      <c r="AK29" s="49"/>
      <c r="AL29" s="50"/>
      <c r="AM29" s="48"/>
      <c r="AN29" s="49"/>
      <c r="AO29" s="49"/>
      <c r="AP29" s="49"/>
      <c r="AQ29" s="49"/>
      <c r="AR29" s="49"/>
      <c r="AS29" s="50"/>
      <c r="AT29" s="48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50"/>
      <c r="BK29" s="7"/>
    </row>
    <row r="30" spans="1:63" ht="15" customHeight="1">
      <c r="A30" s="1"/>
      <c r="B30" s="41">
        <f t="shared" si="0"/>
        <v>11</v>
      </c>
      <c r="C30" s="42"/>
      <c r="D30" s="43" t="s">
        <v>68</v>
      </c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5"/>
      <c r="R30" s="43" t="s">
        <v>188</v>
      </c>
      <c r="S30" s="44"/>
      <c r="T30" s="44"/>
      <c r="U30" s="44"/>
      <c r="V30" s="44"/>
      <c r="W30" s="44"/>
      <c r="X30" s="44"/>
      <c r="Y30" s="44"/>
      <c r="Z30" s="44"/>
      <c r="AA30" s="44"/>
      <c r="AB30" s="45"/>
      <c r="AC30" s="43" t="s">
        <v>69</v>
      </c>
      <c r="AD30" s="44"/>
      <c r="AE30" s="44"/>
      <c r="AF30" s="44"/>
      <c r="AG30" s="45"/>
      <c r="AH30" s="43">
        <v>6</v>
      </c>
      <c r="AI30" s="45"/>
      <c r="AJ30" s="43"/>
      <c r="AK30" s="44"/>
      <c r="AL30" s="45"/>
      <c r="AM30" s="43"/>
      <c r="AN30" s="44"/>
      <c r="AO30" s="44"/>
      <c r="AP30" s="44"/>
      <c r="AQ30" s="44"/>
      <c r="AR30" s="44"/>
      <c r="AS30" s="45"/>
      <c r="AT30" s="43" t="s">
        <v>83</v>
      </c>
      <c r="AU30" s="44"/>
      <c r="AV30" s="44"/>
      <c r="AW30" s="44"/>
      <c r="AX30" s="44"/>
      <c r="AY30" s="44"/>
      <c r="AZ30" s="44"/>
      <c r="BA30" s="44"/>
      <c r="BB30" s="44"/>
      <c r="BC30" s="44"/>
      <c r="BD30" s="44"/>
      <c r="BE30" s="44"/>
      <c r="BF30" s="44"/>
      <c r="BG30" s="44"/>
      <c r="BH30" s="44"/>
      <c r="BI30" s="44"/>
      <c r="BJ30" s="45"/>
      <c r="BK30" s="7"/>
    </row>
    <row r="31" spans="1:63" ht="15" customHeight="1">
      <c r="A31" s="1"/>
      <c r="B31" s="41">
        <f t="shared" si="0"/>
        <v>12</v>
      </c>
      <c r="C31" s="42"/>
      <c r="D31" s="43" t="s">
        <v>85</v>
      </c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5"/>
      <c r="R31" s="43" t="s">
        <v>189</v>
      </c>
      <c r="S31" s="44"/>
      <c r="T31" s="44"/>
      <c r="U31" s="44"/>
      <c r="V31" s="44"/>
      <c r="W31" s="44"/>
      <c r="X31" s="44"/>
      <c r="Y31" s="44"/>
      <c r="Z31" s="44"/>
      <c r="AA31" s="44"/>
      <c r="AB31" s="45"/>
      <c r="AC31" s="43" t="s">
        <v>69</v>
      </c>
      <c r="AD31" s="44"/>
      <c r="AE31" s="44"/>
      <c r="AF31" s="44"/>
      <c r="AG31" s="45"/>
      <c r="AH31" s="43"/>
      <c r="AI31" s="45"/>
      <c r="AJ31" s="43"/>
      <c r="AK31" s="44"/>
      <c r="AL31" s="45"/>
      <c r="AM31" s="43"/>
      <c r="AN31" s="44"/>
      <c r="AO31" s="44"/>
      <c r="AP31" s="44"/>
      <c r="AQ31" s="44"/>
      <c r="AR31" s="44"/>
      <c r="AS31" s="45"/>
      <c r="AT31" s="43"/>
      <c r="AU31" s="44"/>
      <c r="AV31" s="44"/>
      <c r="AW31" s="44"/>
      <c r="AX31" s="44"/>
      <c r="AY31" s="44"/>
      <c r="AZ31" s="44"/>
      <c r="BA31" s="44"/>
      <c r="BB31" s="44"/>
      <c r="BC31" s="44"/>
      <c r="BD31" s="44"/>
      <c r="BE31" s="44"/>
      <c r="BF31" s="44"/>
      <c r="BG31" s="44"/>
      <c r="BH31" s="44"/>
      <c r="BI31" s="44"/>
      <c r="BJ31" s="45"/>
      <c r="BK31" s="7"/>
    </row>
    <row r="32" spans="1:63" ht="15" customHeight="1">
      <c r="A32" s="1"/>
      <c r="B32" s="41">
        <f t="shared" si="0"/>
        <v>13</v>
      </c>
      <c r="C32" s="42"/>
      <c r="D32" s="43" t="s">
        <v>128</v>
      </c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5"/>
      <c r="R32" s="43" t="s">
        <v>190</v>
      </c>
      <c r="S32" s="44"/>
      <c r="T32" s="44"/>
      <c r="U32" s="44"/>
      <c r="V32" s="44"/>
      <c r="W32" s="44"/>
      <c r="X32" s="44"/>
      <c r="Y32" s="44"/>
      <c r="Z32" s="44"/>
      <c r="AA32" s="44"/>
      <c r="AB32" s="45"/>
      <c r="AC32" s="43" t="s">
        <v>180</v>
      </c>
      <c r="AD32" s="44"/>
      <c r="AE32" s="44"/>
      <c r="AF32" s="44"/>
      <c r="AG32" s="45"/>
      <c r="AH32" s="43"/>
      <c r="AI32" s="45"/>
      <c r="AJ32" s="43"/>
      <c r="AK32" s="44"/>
      <c r="AL32" s="45"/>
      <c r="AM32" s="43"/>
      <c r="AN32" s="44"/>
      <c r="AO32" s="44"/>
      <c r="AP32" s="44"/>
      <c r="AQ32" s="44"/>
      <c r="AR32" s="44"/>
      <c r="AS32" s="45"/>
      <c r="AT32" s="43"/>
      <c r="AU32" s="44"/>
      <c r="AV32" s="44"/>
      <c r="AW32" s="44"/>
      <c r="AX32" s="44"/>
      <c r="AY32" s="44"/>
      <c r="AZ32" s="44"/>
      <c r="BA32" s="44"/>
      <c r="BB32" s="44"/>
      <c r="BC32" s="44"/>
      <c r="BD32" s="44"/>
      <c r="BE32" s="44"/>
      <c r="BF32" s="44"/>
      <c r="BG32" s="44"/>
      <c r="BH32" s="44"/>
      <c r="BI32" s="44"/>
      <c r="BJ32" s="45"/>
      <c r="BK32" s="7"/>
    </row>
    <row r="33" spans="1:63" ht="15" customHeight="1">
      <c r="A33" s="1"/>
      <c r="BK33" s="7"/>
    </row>
    <row r="34" spans="1:63" ht="15" customHeight="1">
      <c r="A34" s="1"/>
      <c r="B34" s="129" t="s">
        <v>139</v>
      </c>
      <c r="C34" s="129"/>
      <c r="D34" s="129"/>
      <c r="E34" s="129"/>
      <c r="F34" s="129"/>
      <c r="G34" s="129"/>
      <c r="H34" s="129"/>
      <c r="I34" s="129"/>
      <c r="J34" s="129"/>
      <c r="K34" s="129"/>
      <c r="L34" s="129"/>
      <c r="M34" s="129"/>
      <c r="N34" s="129"/>
      <c r="O34" s="129"/>
      <c r="P34" s="129"/>
      <c r="Q34" s="129"/>
      <c r="R34" s="129"/>
      <c r="S34" s="129"/>
      <c r="T34" s="129"/>
      <c r="U34" s="129"/>
      <c r="V34" s="129"/>
      <c r="W34" s="129"/>
      <c r="X34" s="129"/>
      <c r="Y34" s="129"/>
      <c r="Z34" s="129"/>
      <c r="AA34" s="129"/>
      <c r="AB34" s="129"/>
      <c r="AC34" s="129"/>
      <c r="AD34" s="129"/>
      <c r="AE34" s="129"/>
      <c r="AF34" s="129"/>
      <c r="AG34" s="129"/>
      <c r="AH34" s="129"/>
      <c r="AI34" s="129"/>
      <c r="AJ34" s="129"/>
      <c r="AK34" s="129"/>
      <c r="AL34" s="129"/>
      <c r="AM34" s="129"/>
      <c r="AN34" s="129"/>
      <c r="AO34" s="129"/>
      <c r="AP34" s="129"/>
      <c r="AQ34" s="129"/>
      <c r="AR34" s="129"/>
      <c r="AS34" s="129"/>
      <c r="AT34" s="129"/>
      <c r="AU34" s="129"/>
      <c r="AV34" s="129"/>
      <c r="AW34" s="129"/>
      <c r="AX34" s="129"/>
      <c r="AY34" s="129"/>
      <c r="AZ34" s="129"/>
      <c r="BA34" s="129"/>
      <c r="BB34" s="129"/>
      <c r="BC34" s="129"/>
      <c r="BD34" s="129"/>
      <c r="BE34" s="129"/>
      <c r="BF34" s="129"/>
      <c r="BG34" s="129"/>
      <c r="BH34" s="129"/>
      <c r="BI34" s="129"/>
      <c r="BJ34" s="129"/>
      <c r="BK34" s="7"/>
    </row>
    <row r="35" spans="1:63" ht="15" customHeight="1">
      <c r="A35" s="1"/>
      <c r="B35" s="20" t="s">
        <v>87</v>
      </c>
      <c r="C35" s="21"/>
      <c r="D35" s="20" t="s">
        <v>88</v>
      </c>
      <c r="E35" s="51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1"/>
      <c r="R35" s="20" t="s">
        <v>89</v>
      </c>
      <c r="S35" s="51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1"/>
      <c r="AL35" s="20" t="s">
        <v>90</v>
      </c>
      <c r="AM35" s="22"/>
      <c r="AN35" s="22"/>
      <c r="AO35" s="52"/>
      <c r="AP35" s="20" t="s">
        <v>91</v>
      </c>
      <c r="AQ35" s="22"/>
      <c r="AR35" s="22"/>
      <c r="AS35" s="21"/>
      <c r="AT35" s="20" t="s">
        <v>24</v>
      </c>
      <c r="AU35" s="51"/>
      <c r="AV35" s="51"/>
      <c r="AW35" s="22"/>
      <c r="AX35" s="22"/>
      <c r="AY35" s="51"/>
      <c r="AZ35" s="22"/>
      <c r="BA35" s="22"/>
      <c r="BB35" s="22"/>
      <c r="BC35" s="22"/>
      <c r="BD35" s="22"/>
      <c r="BE35" s="22"/>
      <c r="BF35" s="22"/>
      <c r="BG35" s="22"/>
      <c r="BH35" s="22"/>
      <c r="BI35" s="51"/>
      <c r="BJ35" s="21"/>
      <c r="BK35" s="7"/>
    </row>
    <row r="36" spans="1:63" ht="15" customHeight="1">
      <c r="A36" s="1"/>
      <c r="B36" s="43">
        <v>1</v>
      </c>
      <c r="C36" s="45"/>
      <c r="D36" s="43" t="s">
        <v>92</v>
      </c>
      <c r="E36" s="53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5"/>
      <c r="R36" s="43" t="s">
        <v>94</v>
      </c>
      <c r="S36" s="53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4"/>
      <c r="AH36" s="44"/>
      <c r="AI36" s="44"/>
      <c r="AJ36" s="44"/>
      <c r="AK36" s="45"/>
      <c r="AL36" s="43" t="s">
        <v>93</v>
      </c>
      <c r="AM36" s="44"/>
      <c r="AN36" s="44"/>
      <c r="AO36" s="54"/>
      <c r="AP36" s="43" t="s">
        <v>93</v>
      </c>
      <c r="AQ36" s="44"/>
      <c r="AR36" s="44"/>
      <c r="AS36" s="45"/>
      <c r="AT36" s="43"/>
      <c r="AU36" s="53"/>
      <c r="AV36" s="53"/>
      <c r="AW36" s="44"/>
      <c r="AX36" s="44"/>
      <c r="AY36" s="53"/>
      <c r="AZ36" s="44"/>
      <c r="BA36" s="44"/>
      <c r="BB36" s="44"/>
      <c r="BC36" s="44"/>
      <c r="BD36" s="44"/>
      <c r="BE36" s="44"/>
      <c r="BF36" s="44"/>
      <c r="BG36" s="44"/>
      <c r="BH36" s="44"/>
      <c r="BI36" s="53"/>
      <c r="BJ36" s="45"/>
      <c r="BK36" s="7"/>
    </row>
    <row r="37" spans="1:63" ht="15" customHeight="1">
      <c r="A37" s="1"/>
      <c r="BK37" s="7"/>
    </row>
    <row r="38" spans="1:63" ht="15" customHeight="1">
      <c r="A38" s="1"/>
      <c r="B38" t="s">
        <v>140</v>
      </c>
      <c r="BK38" s="7"/>
    </row>
    <row r="39" spans="1:63" ht="15" customHeight="1">
      <c r="A39" s="1"/>
      <c r="B39" t="s">
        <v>142</v>
      </c>
      <c r="BK39" s="7"/>
    </row>
    <row r="40" spans="1:63" ht="15" customHeight="1">
      <c r="A40" s="1"/>
      <c r="B40" t="s">
        <v>143</v>
      </c>
      <c r="BK40" s="7"/>
    </row>
    <row r="41" spans="1:63" ht="15" customHeight="1">
      <c r="A41" s="1"/>
      <c r="B41" t="s">
        <v>144</v>
      </c>
      <c r="BK41" s="7"/>
    </row>
    <row r="42" spans="1:63" ht="15" customHeight="1">
      <c r="A42" s="1"/>
      <c r="B42" t="s">
        <v>145</v>
      </c>
      <c r="BK42" s="7"/>
    </row>
    <row r="43" spans="1:63" ht="15" customHeight="1">
      <c r="A43" s="1"/>
      <c r="B43" t="s">
        <v>146</v>
      </c>
      <c r="BK43" s="7"/>
    </row>
    <row r="44" spans="1:63" ht="15" customHeight="1">
      <c r="A44" s="1"/>
      <c r="BK44" s="7"/>
    </row>
    <row r="45" spans="1:63" ht="15" customHeight="1">
      <c r="A45" s="1"/>
      <c r="B45" s="128" t="s">
        <v>141</v>
      </c>
      <c r="BK45" s="7"/>
    </row>
    <row r="46" spans="1:63" ht="15" customHeight="1">
      <c r="A46" s="1"/>
      <c r="B46" t="s">
        <v>130</v>
      </c>
      <c r="BK46" s="7"/>
    </row>
    <row r="47" spans="1:63" ht="15" customHeight="1">
      <c r="A47" s="1"/>
      <c r="B47" t="s">
        <v>131</v>
      </c>
      <c r="BK47" s="7"/>
    </row>
    <row r="48" spans="1:63" ht="15" customHeight="1">
      <c r="A48" s="1"/>
      <c r="B48" t="s">
        <v>132</v>
      </c>
      <c r="BK48" s="7"/>
    </row>
    <row r="49" spans="1:63" ht="15" customHeight="1">
      <c r="A49" s="1"/>
      <c r="B49" t="s">
        <v>133</v>
      </c>
      <c r="BK49" s="7"/>
    </row>
    <row r="50" spans="1:63" ht="15" customHeight="1">
      <c r="A50" s="1"/>
      <c r="B50" t="s">
        <v>134</v>
      </c>
      <c r="BK50" s="7"/>
    </row>
    <row r="51" spans="1:63" ht="15" customHeight="1">
      <c r="A51" s="1"/>
      <c r="B51" t="s">
        <v>135</v>
      </c>
      <c r="BK51" s="7"/>
    </row>
    <row r="52" spans="1:63">
      <c r="A52" s="1"/>
      <c r="B52" t="s">
        <v>136</v>
      </c>
      <c r="BK52" s="7"/>
    </row>
    <row r="53" spans="1:63">
      <c r="A53" s="1"/>
      <c r="B53" t="s">
        <v>137</v>
      </c>
      <c r="BK53" s="7"/>
    </row>
    <row r="54" spans="1:63">
      <c r="A54" s="1"/>
      <c r="B54" t="s">
        <v>138</v>
      </c>
      <c r="BK54" s="7"/>
    </row>
    <row r="55" spans="1:63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8"/>
    </row>
  </sheetData>
  <mergeCells count="38">
    <mergeCell ref="BC2:BG3"/>
    <mergeCell ref="BH2:BK3"/>
    <mergeCell ref="A1:J1"/>
    <mergeCell ref="K1:V1"/>
    <mergeCell ref="W1:AO3"/>
    <mergeCell ref="AP1:AS1"/>
    <mergeCell ref="AT1:AX1"/>
    <mergeCell ref="AY1:BB1"/>
    <mergeCell ref="B8:F8"/>
    <mergeCell ref="G8:X8"/>
    <mergeCell ref="Y8:AC8"/>
    <mergeCell ref="AD8:AN8"/>
    <mergeCell ref="BC1:BG1"/>
    <mergeCell ref="A4:G4"/>
    <mergeCell ref="H4:T4"/>
    <mergeCell ref="U4:Y4"/>
    <mergeCell ref="Z4:AO4"/>
    <mergeCell ref="AP4:BK4"/>
    <mergeCell ref="BH1:BK1"/>
    <mergeCell ref="A2:J3"/>
    <mergeCell ref="K2:V3"/>
    <mergeCell ref="AP2:AS3"/>
    <mergeCell ref="AT2:AX3"/>
    <mergeCell ref="AY2:BB3"/>
    <mergeCell ref="B16:AN16"/>
    <mergeCell ref="B9:F9"/>
    <mergeCell ref="G9:X9"/>
    <mergeCell ref="Y9:AC9"/>
    <mergeCell ref="AD9:AN9"/>
    <mergeCell ref="B10:F10"/>
    <mergeCell ref="G10:X10"/>
    <mergeCell ref="Y10:AC10"/>
    <mergeCell ref="AD10:AN10"/>
    <mergeCell ref="B11:AN11"/>
    <mergeCell ref="B12:AN12"/>
    <mergeCell ref="B13:AN13"/>
    <mergeCell ref="B14:AN14"/>
    <mergeCell ref="B15:AN15"/>
  </mergeCells>
  <phoneticPr fontId="3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DB169-6956-4C3C-8247-C3EA56F1E68D}">
  <dimension ref="A1:BK51"/>
  <sheetViews>
    <sheetView view="pageBreakPreview" zoomScale="75" zoomScaleNormal="75" zoomScaleSheetLayoutView="75" workbookViewId="0">
      <selection activeCell="K1" sqref="K1:V1"/>
    </sheetView>
  </sheetViews>
  <sheetFormatPr defaultRowHeight="15.75"/>
  <cols>
    <col min="1" max="63" width="2.77734375" customWidth="1"/>
  </cols>
  <sheetData>
    <row r="1" spans="1:63" ht="24.95" customHeight="1">
      <c r="A1" s="190" t="s">
        <v>250</v>
      </c>
      <c r="B1" s="191"/>
      <c r="C1" s="191"/>
      <c r="D1" s="191"/>
      <c r="E1" s="191"/>
      <c r="F1" s="191"/>
      <c r="G1" s="191"/>
      <c r="H1" s="191"/>
      <c r="I1" s="191"/>
      <c r="J1" s="192"/>
      <c r="K1" s="190" t="s">
        <v>2</v>
      </c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2"/>
      <c r="W1" s="193" t="str">
        <f>IF(表紙!W1="","",表紙!W1)</f>
        <v/>
      </c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5"/>
      <c r="AP1" s="190" t="s">
        <v>3</v>
      </c>
      <c r="AQ1" s="191"/>
      <c r="AR1" s="191"/>
      <c r="AS1" s="192"/>
      <c r="AT1" s="190" t="s">
        <v>4</v>
      </c>
      <c r="AU1" s="191"/>
      <c r="AV1" s="191"/>
      <c r="AW1" s="191"/>
      <c r="AX1" s="192"/>
      <c r="AY1" s="190" t="s">
        <v>5</v>
      </c>
      <c r="AZ1" s="191"/>
      <c r="BA1" s="191"/>
      <c r="BB1" s="192"/>
      <c r="BC1" s="190" t="s">
        <v>6</v>
      </c>
      <c r="BD1" s="191"/>
      <c r="BE1" s="191"/>
      <c r="BF1" s="191"/>
      <c r="BG1" s="192"/>
      <c r="BH1" s="190" t="s">
        <v>7</v>
      </c>
      <c r="BI1" s="191"/>
      <c r="BJ1" s="191"/>
      <c r="BK1" s="192"/>
    </row>
    <row r="2" spans="1:63" ht="15" customHeight="1">
      <c r="A2" s="175" t="str">
        <f>IF(表紙!A2="","",表紙!A2)</f>
        <v>現金専用簡易セルフPOS</v>
      </c>
      <c r="B2" s="176"/>
      <c r="C2" s="176"/>
      <c r="D2" s="176"/>
      <c r="E2" s="176"/>
      <c r="F2" s="176"/>
      <c r="G2" s="176"/>
      <c r="H2" s="176"/>
      <c r="I2" s="176"/>
      <c r="J2" s="177"/>
      <c r="K2" s="175" t="str">
        <f>IF(表紙!K2="","",表紙!K2)</f>
        <v/>
      </c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7"/>
      <c r="W2" s="196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8"/>
      <c r="AP2" s="175" t="str">
        <f>IF(表紙!AP2="","",表紙!AP2)</f>
        <v>Thanh Nguyên</v>
      </c>
      <c r="AQ2" s="176"/>
      <c r="AR2" s="176"/>
      <c r="AS2" s="177"/>
      <c r="AT2" s="208">
        <f>IF(表紙!AT2="","",表紙!AT2)</f>
        <v>45153</v>
      </c>
      <c r="AU2" s="209"/>
      <c r="AV2" s="209"/>
      <c r="AW2" s="209"/>
      <c r="AX2" s="210"/>
      <c r="AY2" s="175" t="str">
        <f>IF(表紙!AY2="","",表紙!AY2)</f>
        <v>Thanh Nguyên</v>
      </c>
      <c r="AZ2" s="176"/>
      <c r="BA2" s="176"/>
      <c r="BB2" s="177"/>
      <c r="BC2" s="208">
        <f>IF(表紙!BC2="","",表紙!BC2)</f>
        <v>45153</v>
      </c>
      <c r="BD2" s="209"/>
      <c r="BE2" s="209"/>
      <c r="BF2" s="209"/>
      <c r="BG2" s="210"/>
      <c r="BH2" s="175">
        <f>IF(表紙!BH2="","",表紙!BH2)</f>
        <v>0.5</v>
      </c>
      <c r="BI2" s="176"/>
      <c r="BJ2" s="176"/>
      <c r="BK2" s="177"/>
    </row>
    <row r="3" spans="1:63" ht="15" customHeight="1">
      <c r="A3" s="181"/>
      <c r="B3" s="182"/>
      <c r="C3" s="182"/>
      <c r="D3" s="182"/>
      <c r="E3" s="182"/>
      <c r="F3" s="182"/>
      <c r="G3" s="182"/>
      <c r="H3" s="182"/>
      <c r="I3" s="182"/>
      <c r="J3" s="183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3"/>
      <c r="W3" s="199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1"/>
      <c r="AP3" s="181"/>
      <c r="AQ3" s="182"/>
      <c r="AR3" s="182"/>
      <c r="AS3" s="183"/>
      <c r="AT3" s="211"/>
      <c r="AU3" s="212"/>
      <c r="AV3" s="212"/>
      <c r="AW3" s="212"/>
      <c r="AX3" s="213"/>
      <c r="AY3" s="181"/>
      <c r="AZ3" s="182"/>
      <c r="BA3" s="182"/>
      <c r="BB3" s="183"/>
      <c r="BC3" s="211"/>
      <c r="BD3" s="212"/>
      <c r="BE3" s="212"/>
      <c r="BF3" s="212"/>
      <c r="BG3" s="213"/>
      <c r="BH3" s="181"/>
      <c r="BI3" s="182"/>
      <c r="BJ3" s="182"/>
      <c r="BK3" s="183"/>
    </row>
    <row r="4" spans="1:63" ht="24.95" customHeight="1">
      <c r="A4" s="190" t="s">
        <v>1</v>
      </c>
      <c r="B4" s="191"/>
      <c r="C4" s="191"/>
      <c r="D4" s="191"/>
      <c r="E4" s="191"/>
      <c r="F4" s="191"/>
      <c r="G4" s="192"/>
      <c r="H4" s="214" t="str">
        <f>IF(表紙!H4="","",表紙!H4)</f>
        <v/>
      </c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  <c r="U4" s="190" t="s">
        <v>8</v>
      </c>
      <c r="V4" s="191"/>
      <c r="W4" s="191"/>
      <c r="X4" s="191"/>
      <c r="Y4" s="192"/>
      <c r="Z4" s="214" t="str">
        <f>IF(表紙!Z4="","",表紙!Z4)</f>
        <v/>
      </c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6"/>
      <c r="AP4" s="214" t="str" cm="1">
        <f t="array" aca="1" ref="AP4" ca="1">RIGHT(CELL("filename",$A$1),LEN(CELL("filename",$A$1))-FIND("]",CELL("filename",$A$1)))</f>
        <v>DB仕様(charger_receipt_no)</v>
      </c>
      <c r="AQ4" s="215"/>
      <c r="AR4" s="215"/>
      <c r="AS4" s="215"/>
      <c r="AT4" s="215"/>
      <c r="AU4" s="215"/>
      <c r="AV4" s="215"/>
      <c r="AW4" s="215"/>
      <c r="AX4" s="215"/>
      <c r="AY4" s="215"/>
      <c r="AZ4" s="215"/>
      <c r="BA4" s="215"/>
      <c r="BB4" s="215"/>
      <c r="BC4" s="215"/>
      <c r="BD4" s="215"/>
      <c r="BE4" s="215"/>
      <c r="BF4" s="215"/>
      <c r="BG4" s="215"/>
      <c r="BH4" s="215"/>
      <c r="BI4" s="215"/>
      <c r="BJ4" s="215"/>
      <c r="BK4" s="216"/>
    </row>
    <row r="5" spans="1:63" ht="5.0999999999999996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8"/>
    </row>
    <row r="6" spans="1:63" ht="15" customHeight="1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6"/>
    </row>
    <row r="7" spans="1:63" ht="15" customHeight="1">
      <c r="A7" s="1"/>
      <c r="B7" t="s">
        <v>18</v>
      </c>
      <c r="BK7" s="7"/>
    </row>
    <row r="8" spans="1:63" ht="15" customHeight="1">
      <c r="A8" s="1"/>
      <c r="B8" s="255" t="s">
        <v>19</v>
      </c>
      <c r="C8" s="256"/>
      <c r="D8" s="256"/>
      <c r="E8" s="256"/>
      <c r="F8" s="257"/>
      <c r="G8" s="252" t="s">
        <v>27</v>
      </c>
      <c r="H8" s="253"/>
      <c r="I8" s="253"/>
      <c r="J8" s="253"/>
      <c r="K8" s="253"/>
      <c r="L8" s="253"/>
      <c r="M8" s="253"/>
      <c r="N8" s="253"/>
      <c r="O8" s="253"/>
      <c r="P8" s="253"/>
      <c r="Q8" s="253"/>
      <c r="R8" s="253"/>
      <c r="S8" s="253"/>
      <c r="T8" s="253"/>
      <c r="U8" s="253"/>
      <c r="V8" s="253"/>
      <c r="W8" s="253"/>
      <c r="X8" s="254"/>
      <c r="Y8" s="255" t="s">
        <v>20</v>
      </c>
      <c r="Z8" s="256"/>
      <c r="AA8" s="256"/>
      <c r="AB8" s="256"/>
      <c r="AC8" s="257"/>
      <c r="AD8" s="252"/>
      <c r="AE8" s="253"/>
      <c r="AF8" s="253"/>
      <c r="AG8" s="253"/>
      <c r="AH8" s="253"/>
      <c r="AI8" s="253"/>
      <c r="AJ8" s="253"/>
      <c r="AK8" s="253"/>
      <c r="AL8" s="253"/>
      <c r="AM8" s="253"/>
      <c r="AN8" s="254"/>
      <c r="BK8" s="7"/>
    </row>
    <row r="9" spans="1:63" ht="15" customHeight="1">
      <c r="A9" s="1"/>
      <c r="B9" s="234" t="s">
        <v>21</v>
      </c>
      <c r="C9" s="235"/>
      <c r="D9" s="235"/>
      <c r="E9" s="235"/>
      <c r="F9" s="236"/>
      <c r="G9" s="237" t="s">
        <v>183</v>
      </c>
      <c r="H9" s="238"/>
      <c r="I9" s="238"/>
      <c r="J9" s="238"/>
      <c r="K9" s="238"/>
      <c r="L9" s="238"/>
      <c r="M9" s="238"/>
      <c r="N9" s="238"/>
      <c r="O9" s="238"/>
      <c r="P9" s="238"/>
      <c r="Q9" s="238"/>
      <c r="R9" s="238"/>
      <c r="S9" s="238"/>
      <c r="T9" s="238"/>
      <c r="U9" s="238"/>
      <c r="V9" s="238"/>
      <c r="W9" s="238"/>
      <c r="X9" s="239"/>
      <c r="Y9" s="234" t="s">
        <v>22</v>
      </c>
      <c r="Z9" s="235"/>
      <c r="AA9" s="235"/>
      <c r="AB9" s="235"/>
      <c r="AC9" s="236"/>
      <c r="AD9" s="240"/>
      <c r="AE9" s="241"/>
      <c r="AF9" s="241"/>
      <c r="AG9" s="241"/>
      <c r="AH9" s="241"/>
      <c r="AI9" s="241"/>
      <c r="AJ9" s="241"/>
      <c r="AK9" s="241"/>
      <c r="AL9" s="241"/>
      <c r="AM9" s="241"/>
      <c r="AN9" s="242"/>
      <c r="BK9" s="7"/>
    </row>
    <row r="10" spans="1:63" ht="15" customHeight="1">
      <c r="A10" s="1"/>
      <c r="B10" s="243" t="s">
        <v>23</v>
      </c>
      <c r="C10" s="244"/>
      <c r="D10" s="244"/>
      <c r="E10" s="244"/>
      <c r="F10" s="245"/>
      <c r="G10" s="231" t="s">
        <v>182</v>
      </c>
      <c r="H10" s="232"/>
      <c r="I10" s="232"/>
      <c r="J10" s="232"/>
      <c r="K10" s="232"/>
      <c r="L10" s="232"/>
      <c r="M10" s="232"/>
      <c r="N10" s="232"/>
      <c r="O10" s="232"/>
      <c r="P10" s="232"/>
      <c r="Q10" s="232"/>
      <c r="R10" s="232"/>
      <c r="S10" s="232"/>
      <c r="T10" s="232"/>
      <c r="U10" s="232"/>
      <c r="V10" s="232"/>
      <c r="W10" s="232"/>
      <c r="X10" s="233"/>
      <c r="Y10" s="243"/>
      <c r="Z10" s="244"/>
      <c r="AA10" s="244"/>
      <c r="AB10" s="244"/>
      <c r="AC10" s="245"/>
      <c r="AD10" s="246"/>
      <c r="AE10" s="247"/>
      <c r="AF10" s="247"/>
      <c r="AG10" s="247"/>
      <c r="AH10" s="247"/>
      <c r="AI10" s="247"/>
      <c r="AJ10" s="247"/>
      <c r="AK10" s="247"/>
      <c r="AL10" s="247"/>
      <c r="AM10" s="247"/>
      <c r="AN10" s="248"/>
      <c r="BK10" s="7"/>
    </row>
    <row r="11" spans="1:63" ht="15" customHeight="1">
      <c r="A11" s="1"/>
      <c r="B11" s="249" t="s">
        <v>24</v>
      </c>
      <c r="C11" s="250"/>
      <c r="D11" s="250"/>
      <c r="E11" s="250"/>
      <c r="F11" s="250"/>
      <c r="G11" s="250"/>
      <c r="H11" s="250"/>
      <c r="I11" s="250"/>
      <c r="J11" s="250"/>
      <c r="K11" s="250"/>
      <c r="L11" s="250"/>
      <c r="M11" s="250"/>
      <c r="N11" s="250"/>
      <c r="O11" s="250"/>
      <c r="P11" s="250"/>
      <c r="Q11" s="250"/>
      <c r="R11" s="250"/>
      <c r="S11" s="250"/>
      <c r="T11" s="250"/>
      <c r="U11" s="250"/>
      <c r="V11" s="250"/>
      <c r="W11" s="250"/>
      <c r="X11" s="250"/>
      <c r="Y11" s="250"/>
      <c r="Z11" s="250"/>
      <c r="AA11" s="250"/>
      <c r="AB11" s="250"/>
      <c r="AC11" s="250"/>
      <c r="AD11" s="250"/>
      <c r="AE11" s="250"/>
      <c r="AF11" s="250"/>
      <c r="AG11" s="250"/>
      <c r="AH11" s="250"/>
      <c r="AI11" s="250"/>
      <c r="AJ11" s="250"/>
      <c r="AK11" s="250"/>
      <c r="AL11" s="250"/>
      <c r="AM11" s="250"/>
      <c r="AN11" s="251"/>
      <c r="BK11" s="7"/>
    </row>
    <row r="12" spans="1:63" ht="15" customHeight="1">
      <c r="A12" s="1"/>
      <c r="B12" s="252" t="s">
        <v>184</v>
      </c>
      <c r="C12" s="253"/>
      <c r="D12" s="253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53"/>
      <c r="Q12" s="253"/>
      <c r="R12" s="253"/>
      <c r="S12" s="253"/>
      <c r="T12" s="253"/>
      <c r="U12" s="253"/>
      <c r="V12" s="253"/>
      <c r="W12" s="253"/>
      <c r="X12" s="253"/>
      <c r="Y12" s="253"/>
      <c r="Z12" s="253"/>
      <c r="AA12" s="253"/>
      <c r="AB12" s="253"/>
      <c r="AC12" s="253"/>
      <c r="AD12" s="253"/>
      <c r="AE12" s="253"/>
      <c r="AF12" s="253"/>
      <c r="AG12" s="253"/>
      <c r="AH12" s="253"/>
      <c r="AI12" s="253"/>
      <c r="AJ12" s="253"/>
      <c r="AK12" s="253"/>
      <c r="AL12" s="253"/>
      <c r="AM12" s="253"/>
      <c r="AN12" s="254"/>
      <c r="BK12" s="7"/>
    </row>
    <row r="13" spans="1:63" ht="15" customHeight="1">
      <c r="A13" s="1"/>
      <c r="B13" s="237"/>
      <c r="C13" s="238"/>
      <c r="D13" s="238"/>
      <c r="E13" s="238"/>
      <c r="F13" s="238"/>
      <c r="G13" s="238"/>
      <c r="H13" s="238"/>
      <c r="I13" s="238"/>
      <c r="J13" s="238"/>
      <c r="K13" s="238"/>
      <c r="L13" s="238"/>
      <c r="M13" s="238"/>
      <c r="N13" s="238"/>
      <c r="O13" s="238"/>
      <c r="P13" s="238"/>
      <c r="Q13" s="238"/>
      <c r="R13" s="238"/>
      <c r="S13" s="238"/>
      <c r="T13" s="238"/>
      <c r="U13" s="238"/>
      <c r="V13" s="238"/>
      <c r="W13" s="238"/>
      <c r="X13" s="238"/>
      <c r="Y13" s="238"/>
      <c r="Z13" s="238"/>
      <c r="AA13" s="238"/>
      <c r="AB13" s="238"/>
      <c r="AC13" s="238"/>
      <c r="AD13" s="238"/>
      <c r="AE13" s="238"/>
      <c r="AF13" s="238"/>
      <c r="AG13" s="238"/>
      <c r="AH13" s="238"/>
      <c r="AI13" s="238"/>
      <c r="AJ13" s="238"/>
      <c r="AK13" s="238"/>
      <c r="AL13" s="238"/>
      <c r="AM13" s="238"/>
      <c r="AN13" s="239"/>
      <c r="BK13" s="7"/>
    </row>
    <row r="14" spans="1:63" ht="15" customHeight="1">
      <c r="A14" s="1"/>
      <c r="B14" s="237"/>
      <c r="C14" s="238"/>
      <c r="D14" s="238"/>
      <c r="E14" s="238"/>
      <c r="F14" s="238"/>
      <c r="G14" s="238"/>
      <c r="H14" s="238"/>
      <c r="I14" s="238"/>
      <c r="J14" s="238"/>
      <c r="K14" s="238"/>
      <c r="L14" s="238"/>
      <c r="M14" s="238"/>
      <c r="N14" s="238"/>
      <c r="O14" s="238"/>
      <c r="P14" s="238"/>
      <c r="Q14" s="238"/>
      <c r="R14" s="238"/>
      <c r="S14" s="238"/>
      <c r="T14" s="238"/>
      <c r="U14" s="238"/>
      <c r="V14" s="238"/>
      <c r="W14" s="238"/>
      <c r="X14" s="238"/>
      <c r="Y14" s="238"/>
      <c r="Z14" s="238"/>
      <c r="AA14" s="238"/>
      <c r="AB14" s="238"/>
      <c r="AC14" s="238"/>
      <c r="AD14" s="238"/>
      <c r="AE14" s="238"/>
      <c r="AF14" s="238"/>
      <c r="AG14" s="238"/>
      <c r="AH14" s="238"/>
      <c r="AI14" s="238"/>
      <c r="AJ14" s="238"/>
      <c r="AK14" s="238"/>
      <c r="AL14" s="238"/>
      <c r="AM14" s="238"/>
      <c r="AN14" s="239"/>
      <c r="BK14" s="7"/>
    </row>
    <row r="15" spans="1:63" ht="15" customHeight="1">
      <c r="A15" s="1"/>
      <c r="B15" s="237"/>
      <c r="C15" s="238"/>
      <c r="D15" s="238"/>
      <c r="E15" s="238"/>
      <c r="F15" s="238"/>
      <c r="G15" s="238"/>
      <c r="H15" s="238"/>
      <c r="I15" s="238"/>
      <c r="J15" s="238"/>
      <c r="K15" s="238"/>
      <c r="L15" s="238"/>
      <c r="M15" s="238"/>
      <c r="N15" s="238"/>
      <c r="O15" s="238"/>
      <c r="P15" s="238"/>
      <c r="Q15" s="238"/>
      <c r="R15" s="238"/>
      <c r="S15" s="238"/>
      <c r="T15" s="238"/>
      <c r="U15" s="238"/>
      <c r="V15" s="238"/>
      <c r="W15" s="238"/>
      <c r="X15" s="238"/>
      <c r="Y15" s="238"/>
      <c r="Z15" s="238"/>
      <c r="AA15" s="238"/>
      <c r="AB15" s="238"/>
      <c r="AC15" s="238"/>
      <c r="AD15" s="238"/>
      <c r="AE15" s="238"/>
      <c r="AF15" s="238"/>
      <c r="AG15" s="238"/>
      <c r="AH15" s="238"/>
      <c r="AI15" s="238"/>
      <c r="AJ15" s="238"/>
      <c r="AK15" s="238"/>
      <c r="AL15" s="238"/>
      <c r="AM15" s="238"/>
      <c r="AN15" s="239"/>
      <c r="BK15" s="7"/>
    </row>
    <row r="16" spans="1:63" ht="15" customHeight="1">
      <c r="A16" s="1"/>
      <c r="B16" s="231"/>
      <c r="C16" s="232"/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2"/>
      <c r="P16" s="232"/>
      <c r="Q16" s="232"/>
      <c r="R16" s="232"/>
      <c r="S16" s="232"/>
      <c r="T16" s="232"/>
      <c r="U16" s="232"/>
      <c r="V16" s="232"/>
      <c r="W16" s="232"/>
      <c r="X16" s="232"/>
      <c r="Y16" s="232"/>
      <c r="Z16" s="232"/>
      <c r="AA16" s="232"/>
      <c r="AB16" s="232"/>
      <c r="AC16" s="232"/>
      <c r="AD16" s="232"/>
      <c r="AE16" s="232"/>
      <c r="AF16" s="232"/>
      <c r="AG16" s="232"/>
      <c r="AH16" s="232"/>
      <c r="AI16" s="232"/>
      <c r="AJ16" s="232"/>
      <c r="AK16" s="232"/>
      <c r="AL16" s="232"/>
      <c r="AM16" s="232"/>
      <c r="AN16" s="233"/>
      <c r="BK16" s="7"/>
    </row>
    <row r="17" spans="1:63" ht="15" customHeight="1">
      <c r="A17" s="1"/>
      <c r="BK17" s="7"/>
    </row>
    <row r="18" spans="1:63" ht="15" customHeight="1">
      <c r="A18" s="1"/>
      <c r="B18" t="s">
        <v>29</v>
      </c>
      <c r="BK18" s="7"/>
    </row>
    <row r="19" spans="1:63" ht="15" customHeight="1">
      <c r="A19" s="1"/>
      <c r="B19" s="20" t="s">
        <v>30</v>
      </c>
      <c r="C19" s="21"/>
      <c r="D19" s="20" t="s">
        <v>31</v>
      </c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1"/>
      <c r="R19" s="20" t="s">
        <v>32</v>
      </c>
      <c r="S19" s="22"/>
      <c r="T19" s="22"/>
      <c r="U19" s="22"/>
      <c r="V19" s="22"/>
      <c r="W19" s="22"/>
      <c r="X19" s="22"/>
      <c r="Y19" s="22"/>
      <c r="Z19" s="22"/>
      <c r="AA19" s="22"/>
      <c r="AB19" s="21"/>
      <c r="AC19" s="20" t="s">
        <v>33</v>
      </c>
      <c r="AD19" s="22"/>
      <c r="AE19" s="22"/>
      <c r="AF19" s="22"/>
      <c r="AG19" s="21"/>
      <c r="AH19" s="20" t="s">
        <v>34</v>
      </c>
      <c r="AI19" s="21"/>
      <c r="AJ19" s="20" t="s">
        <v>35</v>
      </c>
      <c r="AK19" s="22"/>
      <c r="AL19" s="21"/>
      <c r="AM19" s="20" t="s">
        <v>36</v>
      </c>
      <c r="AN19" s="22"/>
      <c r="AO19" s="22"/>
      <c r="AP19" s="22"/>
      <c r="AQ19" s="22"/>
      <c r="AR19" s="22"/>
      <c r="AS19" s="21"/>
      <c r="AT19" s="20" t="s">
        <v>37</v>
      </c>
      <c r="AU19" s="22"/>
      <c r="AV19" s="22"/>
      <c r="AW19" s="22"/>
      <c r="AX19" s="22"/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1"/>
      <c r="BK19" s="7"/>
    </row>
    <row r="20" spans="1:63" ht="15" customHeight="1">
      <c r="A20" s="1"/>
      <c r="B20" s="23">
        <v>1</v>
      </c>
      <c r="C20" s="24"/>
      <c r="D20" s="25" t="s">
        <v>38</v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7"/>
      <c r="R20" s="25" t="s">
        <v>39</v>
      </c>
      <c r="S20" s="26"/>
      <c r="T20" s="26"/>
      <c r="U20" s="26"/>
      <c r="V20" s="26"/>
      <c r="W20" s="26"/>
      <c r="X20" s="26"/>
      <c r="Y20" s="26"/>
      <c r="Z20" s="26"/>
      <c r="AA20" s="26"/>
      <c r="AB20" s="27"/>
      <c r="AC20" s="25" t="s">
        <v>40</v>
      </c>
      <c r="AD20" s="26"/>
      <c r="AE20" s="26"/>
      <c r="AF20" s="26"/>
      <c r="AG20" s="27"/>
      <c r="AH20" s="25"/>
      <c r="AI20" s="27"/>
      <c r="AJ20" s="25" t="s">
        <v>41</v>
      </c>
      <c r="AK20" s="26"/>
      <c r="AL20" s="27"/>
      <c r="AM20" s="25" t="s">
        <v>42</v>
      </c>
      <c r="AN20" s="26"/>
      <c r="AO20" s="26"/>
      <c r="AP20" s="26"/>
      <c r="AQ20" s="26"/>
      <c r="AR20" s="26"/>
      <c r="AS20" s="27"/>
      <c r="AT20" s="25" t="s">
        <v>43</v>
      </c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7"/>
      <c r="BK20" s="7"/>
    </row>
    <row r="21" spans="1:63" ht="15" customHeight="1">
      <c r="A21" s="1"/>
      <c r="B21" s="23">
        <f t="shared" ref="B21:B28" si="0">B20+1</f>
        <v>2</v>
      </c>
      <c r="C21" s="24"/>
      <c r="D21" s="25" t="s">
        <v>44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7"/>
      <c r="R21" s="25" t="s">
        <v>45</v>
      </c>
      <c r="S21" s="26"/>
      <c r="T21" s="26"/>
      <c r="U21" s="26"/>
      <c r="V21" s="26"/>
      <c r="W21" s="26"/>
      <c r="X21" s="26"/>
      <c r="Y21" s="26"/>
      <c r="Z21" s="26"/>
      <c r="AA21" s="26"/>
      <c r="AB21" s="27"/>
      <c r="AC21" s="25" t="s">
        <v>46</v>
      </c>
      <c r="AD21" s="26"/>
      <c r="AE21" s="26"/>
      <c r="AF21" s="26"/>
      <c r="AG21" s="27"/>
      <c r="AH21" s="25"/>
      <c r="AI21" s="27"/>
      <c r="AJ21" s="25" t="s">
        <v>41</v>
      </c>
      <c r="AK21" s="26"/>
      <c r="AL21" s="27"/>
      <c r="AM21" s="25" t="s">
        <v>47</v>
      </c>
      <c r="AN21" s="26"/>
      <c r="AO21" s="26"/>
      <c r="AP21" s="26"/>
      <c r="AQ21" s="26"/>
      <c r="AR21" s="26"/>
      <c r="AS21" s="27"/>
      <c r="AT21" s="25" t="s">
        <v>48</v>
      </c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7"/>
      <c r="BK21" s="7"/>
    </row>
    <row r="22" spans="1:63" ht="15" customHeight="1">
      <c r="A22" s="1"/>
      <c r="B22" s="23">
        <f t="shared" si="0"/>
        <v>3</v>
      </c>
      <c r="C22" s="24"/>
      <c r="D22" s="25" t="s">
        <v>49</v>
      </c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7"/>
      <c r="R22" s="25" t="s">
        <v>50</v>
      </c>
      <c r="S22" s="26"/>
      <c r="T22" s="26"/>
      <c r="U22" s="26"/>
      <c r="V22" s="26"/>
      <c r="W22" s="26"/>
      <c r="X22" s="26"/>
      <c r="Y22" s="26"/>
      <c r="Z22" s="26"/>
      <c r="AA22" s="26"/>
      <c r="AB22" s="27"/>
      <c r="AC22" s="25" t="s">
        <v>51</v>
      </c>
      <c r="AD22" s="26"/>
      <c r="AE22" s="26"/>
      <c r="AF22" s="26"/>
      <c r="AG22" s="27"/>
      <c r="AH22" s="25"/>
      <c r="AI22" s="27"/>
      <c r="AJ22" s="25" t="s">
        <v>41</v>
      </c>
      <c r="AK22" s="26"/>
      <c r="AL22" s="27"/>
      <c r="AM22" s="25" t="s">
        <v>42</v>
      </c>
      <c r="AN22" s="26"/>
      <c r="AO22" s="26"/>
      <c r="AP22" s="26"/>
      <c r="AQ22" s="26"/>
      <c r="AR22" s="26"/>
      <c r="AS22" s="27"/>
      <c r="AT22" s="28" t="s">
        <v>52</v>
      </c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F22" s="29"/>
      <c r="BG22" s="29"/>
      <c r="BH22" s="29"/>
      <c r="BI22" s="29"/>
      <c r="BJ22" s="30"/>
      <c r="BK22" s="7"/>
    </row>
    <row r="23" spans="1:63" ht="15" customHeight="1">
      <c r="A23" s="1"/>
      <c r="B23" s="23">
        <f t="shared" si="0"/>
        <v>4</v>
      </c>
      <c r="C23" s="24"/>
      <c r="D23" s="25" t="s">
        <v>53</v>
      </c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7"/>
      <c r="R23" s="25" t="s">
        <v>54</v>
      </c>
      <c r="S23" s="26"/>
      <c r="T23" s="26"/>
      <c r="U23" s="26"/>
      <c r="V23" s="26"/>
      <c r="W23" s="26"/>
      <c r="X23" s="26"/>
      <c r="Y23" s="26"/>
      <c r="Z23" s="26"/>
      <c r="AA23" s="26"/>
      <c r="AB23" s="27"/>
      <c r="AC23" s="25" t="s">
        <v>46</v>
      </c>
      <c r="AD23" s="26"/>
      <c r="AE23" s="26"/>
      <c r="AF23" s="26"/>
      <c r="AG23" s="27"/>
      <c r="AH23" s="25"/>
      <c r="AI23" s="27"/>
      <c r="AJ23" s="25" t="s">
        <v>55</v>
      </c>
      <c r="AK23" s="26"/>
      <c r="AL23" s="27"/>
      <c r="AM23" s="25" t="s">
        <v>47</v>
      </c>
      <c r="AN23" s="26"/>
      <c r="AO23" s="26"/>
      <c r="AP23" s="26"/>
      <c r="AQ23" s="26"/>
      <c r="AR23" s="26"/>
      <c r="AS23" s="27"/>
      <c r="AT23" s="28" t="s">
        <v>56</v>
      </c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F23" s="29"/>
      <c r="BG23" s="29"/>
      <c r="BH23" s="29"/>
      <c r="BI23" s="29"/>
      <c r="BJ23" s="30"/>
      <c r="BK23" s="7"/>
    </row>
    <row r="24" spans="1:63" ht="15" customHeight="1">
      <c r="A24" s="1"/>
      <c r="B24" s="31">
        <f t="shared" si="0"/>
        <v>5</v>
      </c>
      <c r="C24" s="32"/>
      <c r="D24" s="33" t="s">
        <v>57</v>
      </c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5"/>
      <c r="R24" s="33" t="s">
        <v>58</v>
      </c>
      <c r="S24" s="34"/>
      <c r="T24" s="34"/>
      <c r="U24" s="34"/>
      <c r="V24" s="34"/>
      <c r="W24" s="34"/>
      <c r="X24" s="34"/>
      <c r="Y24" s="34"/>
      <c r="Z24" s="34"/>
      <c r="AA24" s="34"/>
      <c r="AB24" s="35"/>
      <c r="AC24" s="33" t="s">
        <v>59</v>
      </c>
      <c r="AD24" s="34"/>
      <c r="AE24" s="34"/>
      <c r="AF24" s="34"/>
      <c r="AG24" s="35"/>
      <c r="AH24" s="33"/>
      <c r="AI24" s="35"/>
      <c r="AJ24" s="33" t="s">
        <v>55</v>
      </c>
      <c r="AK24" s="34"/>
      <c r="AL24" s="35"/>
      <c r="AM24" s="33" t="s">
        <v>198</v>
      </c>
      <c r="AN24" s="34"/>
      <c r="AO24" s="34"/>
      <c r="AP24" s="34"/>
      <c r="AQ24" s="34"/>
      <c r="AR24" s="34"/>
      <c r="AS24" s="35"/>
      <c r="AT24" s="33" t="s">
        <v>61</v>
      </c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5"/>
      <c r="BK24" s="7"/>
    </row>
    <row r="25" spans="1:63" ht="15" customHeight="1">
      <c r="A25" s="1"/>
      <c r="B25" s="36">
        <f t="shared" si="0"/>
        <v>6</v>
      </c>
      <c r="C25" s="37"/>
      <c r="D25" s="38" t="s">
        <v>72</v>
      </c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40"/>
      <c r="R25" s="38" t="s">
        <v>160</v>
      </c>
      <c r="S25" s="39"/>
      <c r="T25" s="39"/>
      <c r="U25" s="39"/>
      <c r="V25" s="39"/>
      <c r="W25" s="39"/>
      <c r="X25" s="39"/>
      <c r="Y25" s="39"/>
      <c r="Z25" s="39"/>
      <c r="AA25" s="39"/>
      <c r="AB25" s="40"/>
      <c r="AC25" s="38" t="s">
        <v>82</v>
      </c>
      <c r="AD25" s="39"/>
      <c r="AE25" s="39"/>
      <c r="AF25" s="39"/>
      <c r="AG25" s="40"/>
      <c r="AH25" s="38">
        <v>1</v>
      </c>
      <c r="AI25" s="40"/>
      <c r="AJ25" s="38"/>
      <c r="AK25" s="39"/>
      <c r="AL25" s="40"/>
      <c r="AM25" s="38"/>
      <c r="AN25" s="39"/>
      <c r="AO25" s="39"/>
      <c r="AP25" s="39"/>
      <c r="AQ25" s="39"/>
      <c r="AR25" s="39"/>
      <c r="AS25" s="40"/>
      <c r="AT25" s="38" t="s">
        <v>63</v>
      </c>
      <c r="AU25" s="3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40"/>
      <c r="BK25" s="7"/>
    </row>
    <row r="26" spans="1:63" ht="15" customHeight="1">
      <c r="A26" s="1"/>
      <c r="B26" s="23">
        <f t="shared" si="0"/>
        <v>7</v>
      </c>
      <c r="C26" s="24"/>
      <c r="D26" s="25" t="s">
        <v>73</v>
      </c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7"/>
      <c r="R26" s="25" t="s">
        <v>161</v>
      </c>
      <c r="S26" s="26"/>
      <c r="T26" s="26"/>
      <c r="U26" s="26"/>
      <c r="V26" s="26"/>
      <c r="W26" s="26"/>
      <c r="X26" s="26"/>
      <c r="Y26" s="26"/>
      <c r="Z26" s="26"/>
      <c r="AA26" s="26"/>
      <c r="AB26" s="27"/>
      <c r="AC26" s="25" t="s">
        <v>82</v>
      </c>
      <c r="AD26" s="26"/>
      <c r="AE26" s="26"/>
      <c r="AF26" s="26"/>
      <c r="AG26" s="27"/>
      <c r="AH26" s="25">
        <v>2</v>
      </c>
      <c r="AI26" s="27"/>
      <c r="AJ26" s="25"/>
      <c r="AK26" s="26"/>
      <c r="AL26" s="27"/>
      <c r="AM26" s="25"/>
      <c r="AN26" s="26"/>
      <c r="AO26" s="26"/>
      <c r="AP26" s="26"/>
      <c r="AQ26" s="26"/>
      <c r="AR26" s="26"/>
      <c r="AS26" s="27"/>
      <c r="AT26" s="25" t="s">
        <v>65</v>
      </c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7"/>
      <c r="BK26" s="7"/>
    </row>
    <row r="27" spans="1:63" ht="15" customHeight="1">
      <c r="A27" s="1"/>
      <c r="B27" s="23">
        <f t="shared" si="0"/>
        <v>8</v>
      </c>
      <c r="C27" s="24"/>
      <c r="D27" s="25" t="s">
        <v>74</v>
      </c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7"/>
      <c r="R27" s="25" t="s">
        <v>80</v>
      </c>
      <c r="S27" s="26"/>
      <c r="T27" s="26"/>
      <c r="U27" s="26"/>
      <c r="V27" s="26"/>
      <c r="W27" s="26"/>
      <c r="X27" s="26"/>
      <c r="Y27" s="26"/>
      <c r="Z27" s="26"/>
      <c r="AA27" s="26"/>
      <c r="AB27" s="27"/>
      <c r="AC27" s="25" t="s">
        <v>82</v>
      </c>
      <c r="AD27" s="26"/>
      <c r="AE27" s="26"/>
      <c r="AF27" s="26"/>
      <c r="AG27" s="27"/>
      <c r="AH27" s="25">
        <v>3</v>
      </c>
      <c r="AI27" s="27"/>
      <c r="AJ27" s="25"/>
      <c r="AK27" s="26"/>
      <c r="AL27" s="27"/>
      <c r="AM27" s="25"/>
      <c r="AN27" s="26"/>
      <c r="AO27" s="26"/>
      <c r="AP27" s="26"/>
      <c r="AQ27" s="26"/>
      <c r="AR27" s="26"/>
      <c r="AS27" s="27"/>
      <c r="AT27" s="25" t="s">
        <v>67</v>
      </c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7"/>
      <c r="BK27" s="7"/>
    </row>
    <row r="28" spans="1:63" ht="15" customHeight="1">
      <c r="A28" s="1"/>
      <c r="B28" s="23">
        <f t="shared" si="0"/>
        <v>9</v>
      </c>
      <c r="C28" s="24"/>
      <c r="D28" s="48" t="s">
        <v>77</v>
      </c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  <c r="P28" s="49"/>
      <c r="Q28" s="50"/>
      <c r="R28" s="48" t="s">
        <v>71</v>
      </c>
      <c r="S28" s="49"/>
      <c r="T28" s="49"/>
      <c r="U28" s="49"/>
      <c r="V28" s="49"/>
      <c r="W28" s="49"/>
      <c r="X28" s="49"/>
      <c r="Y28" s="49"/>
      <c r="Z28" s="49"/>
      <c r="AA28" s="49"/>
      <c r="AB28" s="50"/>
      <c r="AC28" s="48" t="s">
        <v>82</v>
      </c>
      <c r="AD28" s="49"/>
      <c r="AE28" s="49"/>
      <c r="AF28" s="49"/>
      <c r="AG28" s="50"/>
      <c r="AH28" s="48"/>
      <c r="AI28" s="50"/>
      <c r="AJ28" s="48"/>
      <c r="AK28" s="49"/>
      <c r="AL28" s="50"/>
      <c r="AM28" s="48"/>
      <c r="AN28" s="49"/>
      <c r="AO28" s="49"/>
      <c r="AP28" s="49"/>
      <c r="AQ28" s="49"/>
      <c r="AR28" s="49"/>
      <c r="AS28" s="50"/>
      <c r="AT28" s="48"/>
      <c r="AU28" s="49"/>
      <c r="AV28" s="49"/>
      <c r="AW28" s="49"/>
      <c r="AX28" s="49"/>
      <c r="AY28" s="49"/>
      <c r="AZ28" s="49"/>
      <c r="BA28" s="49"/>
      <c r="BB28" s="49"/>
      <c r="BC28" s="49"/>
      <c r="BD28" s="49"/>
      <c r="BE28" s="49"/>
      <c r="BF28" s="49"/>
      <c r="BG28" s="49"/>
      <c r="BH28" s="49"/>
      <c r="BI28" s="49"/>
      <c r="BJ28" s="50"/>
      <c r="BK28" s="7"/>
    </row>
    <row r="29" spans="1:63" ht="15" customHeight="1">
      <c r="A29" s="1"/>
      <c r="BK29" s="7"/>
    </row>
    <row r="30" spans="1:63" ht="15" customHeight="1">
      <c r="A30" s="1"/>
      <c r="B30" s="129" t="s">
        <v>139</v>
      </c>
      <c r="C30" s="129"/>
      <c r="D30" s="129"/>
      <c r="E30" s="129"/>
      <c r="F30" s="129"/>
      <c r="G30" s="129"/>
      <c r="H30" s="129"/>
      <c r="I30" s="129"/>
      <c r="J30" s="129"/>
      <c r="K30" s="129"/>
      <c r="L30" s="129"/>
      <c r="M30" s="129"/>
      <c r="N30" s="129"/>
      <c r="O30" s="129"/>
      <c r="P30" s="129"/>
      <c r="Q30" s="129"/>
      <c r="R30" s="129"/>
      <c r="S30" s="129"/>
      <c r="T30" s="129"/>
      <c r="U30" s="129"/>
      <c r="V30" s="129"/>
      <c r="W30" s="129"/>
      <c r="X30" s="129"/>
      <c r="Y30" s="129"/>
      <c r="Z30" s="129"/>
      <c r="AA30" s="129"/>
      <c r="AB30" s="129"/>
      <c r="AC30" s="129"/>
      <c r="AD30" s="129"/>
      <c r="AE30" s="129"/>
      <c r="AF30" s="129"/>
      <c r="AG30" s="129"/>
      <c r="AH30" s="129"/>
      <c r="AI30" s="129"/>
      <c r="AJ30" s="129"/>
      <c r="AK30" s="129"/>
      <c r="AL30" s="129"/>
      <c r="AM30" s="129"/>
      <c r="AN30" s="129"/>
      <c r="AO30" s="129"/>
      <c r="AP30" s="129"/>
      <c r="AQ30" s="129"/>
      <c r="AR30" s="129"/>
      <c r="AS30" s="129"/>
      <c r="AT30" s="129"/>
      <c r="AU30" s="129"/>
      <c r="AV30" s="129"/>
      <c r="AW30" s="129"/>
      <c r="AX30" s="129"/>
      <c r="AY30" s="129"/>
      <c r="AZ30" s="129"/>
      <c r="BA30" s="129"/>
      <c r="BB30" s="129"/>
      <c r="BC30" s="129"/>
      <c r="BD30" s="129"/>
      <c r="BE30" s="129"/>
      <c r="BF30" s="129"/>
      <c r="BG30" s="129"/>
      <c r="BH30" s="129"/>
      <c r="BI30" s="129"/>
      <c r="BJ30" s="129"/>
      <c r="BK30" s="7"/>
    </row>
    <row r="31" spans="1:63" ht="15" customHeight="1">
      <c r="A31" s="1"/>
      <c r="B31" s="20" t="s">
        <v>87</v>
      </c>
      <c r="C31" s="21"/>
      <c r="D31" s="20" t="s">
        <v>88</v>
      </c>
      <c r="E31" s="51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1"/>
      <c r="R31" s="20" t="s">
        <v>89</v>
      </c>
      <c r="S31" s="51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1"/>
      <c r="AL31" s="20" t="s">
        <v>90</v>
      </c>
      <c r="AM31" s="22"/>
      <c r="AN31" s="22"/>
      <c r="AO31" s="52"/>
      <c r="AP31" s="20" t="s">
        <v>91</v>
      </c>
      <c r="AQ31" s="22"/>
      <c r="AR31" s="22"/>
      <c r="AS31" s="21"/>
      <c r="AT31" s="20" t="s">
        <v>24</v>
      </c>
      <c r="AU31" s="51"/>
      <c r="AV31" s="51"/>
      <c r="AW31" s="22"/>
      <c r="AX31" s="22"/>
      <c r="AY31" s="51"/>
      <c r="AZ31" s="22"/>
      <c r="BA31" s="22"/>
      <c r="BB31" s="22"/>
      <c r="BC31" s="22"/>
      <c r="BD31" s="22"/>
      <c r="BE31" s="22"/>
      <c r="BF31" s="22"/>
      <c r="BG31" s="22"/>
      <c r="BH31" s="22"/>
      <c r="BI31" s="51"/>
      <c r="BJ31" s="21"/>
      <c r="BK31" s="7"/>
    </row>
    <row r="32" spans="1:63" ht="15" customHeight="1">
      <c r="A32" s="1"/>
      <c r="B32" s="43">
        <v>1</v>
      </c>
      <c r="C32" s="45"/>
      <c r="D32" s="43" t="s">
        <v>92</v>
      </c>
      <c r="E32" s="53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5"/>
      <c r="R32" s="43" t="s">
        <v>201</v>
      </c>
      <c r="S32" s="53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5"/>
      <c r="AL32" s="43" t="s">
        <v>93</v>
      </c>
      <c r="AM32" s="44"/>
      <c r="AN32" s="44"/>
      <c r="AO32" s="54"/>
      <c r="AP32" s="43" t="s">
        <v>93</v>
      </c>
      <c r="AQ32" s="44"/>
      <c r="AR32" s="44"/>
      <c r="AS32" s="45"/>
      <c r="AT32" s="43"/>
      <c r="AU32" s="53"/>
      <c r="AV32" s="53"/>
      <c r="AW32" s="44"/>
      <c r="AX32" s="44"/>
      <c r="AY32" s="53"/>
      <c r="AZ32" s="44"/>
      <c r="BA32" s="44"/>
      <c r="BB32" s="44"/>
      <c r="BC32" s="44"/>
      <c r="BD32" s="44"/>
      <c r="BE32" s="44"/>
      <c r="BF32" s="44"/>
      <c r="BG32" s="44"/>
      <c r="BH32" s="44"/>
      <c r="BI32" s="53"/>
      <c r="BJ32" s="45"/>
      <c r="BK32" s="7"/>
    </row>
    <row r="33" spans="1:63" ht="15" customHeight="1">
      <c r="A33" s="1"/>
      <c r="BK33" s="7"/>
    </row>
    <row r="34" spans="1:63" ht="15" customHeight="1">
      <c r="A34" s="1"/>
      <c r="B34" t="s">
        <v>140</v>
      </c>
      <c r="BK34" s="7"/>
    </row>
    <row r="35" spans="1:63" ht="15" customHeight="1">
      <c r="A35" s="1"/>
      <c r="B35" t="s">
        <v>199</v>
      </c>
      <c r="BK35" s="7"/>
    </row>
    <row r="36" spans="1:63" ht="15" customHeight="1">
      <c r="A36" s="1"/>
      <c r="B36" t="s">
        <v>143</v>
      </c>
      <c r="BK36" s="7"/>
    </row>
    <row r="37" spans="1:63" ht="15" customHeight="1">
      <c r="A37" s="1"/>
      <c r="B37" t="s">
        <v>144</v>
      </c>
      <c r="BK37" s="7"/>
    </row>
    <row r="38" spans="1:63" ht="15" customHeight="1">
      <c r="A38" s="1"/>
      <c r="B38" t="s">
        <v>200</v>
      </c>
      <c r="BK38" s="7"/>
    </row>
    <row r="39" spans="1:63" ht="15" customHeight="1">
      <c r="A39" s="1"/>
      <c r="B39" t="s">
        <v>146</v>
      </c>
      <c r="BK39" s="7"/>
    </row>
    <row r="40" spans="1:63" ht="15" customHeight="1">
      <c r="A40" s="1"/>
      <c r="BK40" s="7"/>
    </row>
    <row r="41" spans="1:63" ht="15" customHeight="1">
      <c r="A41" s="1"/>
      <c r="B41" s="128"/>
      <c r="BK41" s="7"/>
    </row>
    <row r="42" spans="1:63" ht="15" customHeight="1">
      <c r="A42" s="1"/>
      <c r="BK42" s="7"/>
    </row>
    <row r="43" spans="1:63" ht="15" customHeight="1">
      <c r="A43" s="1"/>
      <c r="BK43" s="7"/>
    </row>
    <row r="44" spans="1:63" ht="15" customHeight="1">
      <c r="A44" s="1"/>
      <c r="BK44" s="7"/>
    </row>
    <row r="45" spans="1:63" ht="15" customHeight="1">
      <c r="A45" s="1"/>
      <c r="BK45" s="7"/>
    </row>
    <row r="46" spans="1:63" ht="15" customHeight="1">
      <c r="A46" s="1"/>
      <c r="BK46" s="7"/>
    </row>
    <row r="47" spans="1:63" ht="15" customHeight="1">
      <c r="A47" s="1"/>
      <c r="BK47" s="7"/>
    </row>
    <row r="48" spans="1:63">
      <c r="A48" s="1"/>
      <c r="BK48" s="7"/>
    </row>
    <row r="49" spans="1:63">
      <c r="A49" s="1"/>
      <c r="BK49" s="7"/>
    </row>
    <row r="50" spans="1:63">
      <c r="A50" s="1"/>
      <c r="BK50" s="7"/>
    </row>
    <row r="51" spans="1:63">
      <c r="A51" s="4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8"/>
    </row>
  </sheetData>
  <mergeCells count="38">
    <mergeCell ref="BC2:BG3"/>
    <mergeCell ref="BH2:BK3"/>
    <mergeCell ref="A1:J1"/>
    <mergeCell ref="K1:V1"/>
    <mergeCell ref="W1:AO3"/>
    <mergeCell ref="AP1:AS1"/>
    <mergeCell ref="AT1:AX1"/>
    <mergeCell ref="AY1:BB1"/>
    <mergeCell ref="B8:F8"/>
    <mergeCell ref="G8:X8"/>
    <mergeCell ref="Y8:AC8"/>
    <mergeCell ref="AD8:AN8"/>
    <mergeCell ref="BC1:BG1"/>
    <mergeCell ref="A4:G4"/>
    <mergeCell ref="H4:T4"/>
    <mergeCell ref="U4:Y4"/>
    <mergeCell ref="Z4:AO4"/>
    <mergeCell ref="AP4:BK4"/>
    <mergeCell ref="BH1:BK1"/>
    <mergeCell ref="A2:J3"/>
    <mergeCell ref="K2:V3"/>
    <mergeCell ref="AP2:AS3"/>
    <mergeCell ref="AT2:AX3"/>
    <mergeCell ref="AY2:BB3"/>
    <mergeCell ref="B16:AN16"/>
    <mergeCell ref="B9:F9"/>
    <mergeCell ref="G9:X9"/>
    <mergeCell ref="Y9:AC9"/>
    <mergeCell ref="AD9:AN9"/>
    <mergeCell ref="B10:F10"/>
    <mergeCell ref="G10:X10"/>
    <mergeCell ref="Y10:AC10"/>
    <mergeCell ref="AD10:AN10"/>
    <mergeCell ref="B11:AN11"/>
    <mergeCell ref="B12:AN12"/>
    <mergeCell ref="B13:AN13"/>
    <mergeCell ref="B14:AN14"/>
    <mergeCell ref="B15:AN15"/>
  </mergeCells>
  <phoneticPr fontId="3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CDDDF-318D-45B1-AD32-F7309139E52C}">
  <dimension ref="A1:BK107"/>
  <sheetViews>
    <sheetView view="pageBreakPreview" zoomScale="75" zoomScaleNormal="75" zoomScaleSheetLayoutView="75" workbookViewId="0">
      <selection activeCell="AX131" sqref="AX131"/>
    </sheetView>
  </sheetViews>
  <sheetFormatPr defaultRowHeight="15.75"/>
  <cols>
    <col min="1" max="63" width="2.77734375" customWidth="1"/>
  </cols>
  <sheetData>
    <row r="1" spans="1:63" ht="24.95" customHeight="1">
      <c r="A1" s="190" t="s">
        <v>0</v>
      </c>
      <c r="B1" s="191"/>
      <c r="C1" s="191"/>
      <c r="D1" s="191"/>
      <c r="E1" s="191"/>
      <c r="F1" s="191"/>
      <c r="G1" s="191"/>
      <c r="H1" s="191"/>
      <c r="I1" s="191"/>
      <c r="J1" s="192"/>
      <c r="K1" s="190" t="s">
        <v>2</v>
      </c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2"/>
      <c r="W1" s="193" t="str">
        <f>IF(表紙!W1="","",表紙!W1)</f>
        <v/>
      </c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5"/>
      <c r="AP1" s="190" t="s">
        <v>3</v>
      </c>
      <c r="AQ1" s="191"/>
      <c r="AR1" s="191"/>
      <c r="AS1" s="192"/>
      <c r="AT1" s="190" t="s">
        <v>4</v>
      </c>
      <c r="AU1" s="191"/>
      <c r="AV1" s="191"/>
      <c r="AW1" s="191"/>
      <c r="AX1" s="192"/>
      <c r="AY1" s="190" t="s">
        <v>5</v>
      </c>
      <c r="AZ1" s="191"/>
      <c r="BA1" s="191"/>
      <c r="BB1" s="192"/>
      <c r="BC1" s="190" t="s">
        <v>6</v>
      </c>
      <c r="BD1" s="191"/>
      <c r="BE1" s="191"/>
      <c r="BF1" s="191"/>
      <c r="BG1" s="192"/>
      <c r="BH1" s="190" t="s">
        <v>7</v>
      </c>
      <c r="BI1" s="191"/>
      <c r="BJ1" s="191"/>
      <c r="BK1" s="192"/>
    </row>
    <row r="2" spans="1:63" ht="15" customHeight="1">
      <c r="A2" s="175" t="str">
        <f>IF(表紙!A2="","",表紙!A2)</f>
        <v>現金専用簡易セルフPOS</v>
      </c>
      <c r="B2" s="176"/>
      <c r="C2" s="176"/>
      <c r="D2" s="176"/>
      <c r="E2" s="176"/>
      <c r="F2" s="176"/>
      <c r="G2" s="176"/>
      <c r="H2" s="176"/>
      <c r="I2" s="176"/>
      <c r="J2" s="177"/>
      <c r="K2" s="175" t="str">
        <f>IF(表紙!K2="","",表紙!K2)</f>
        <v/>
      </c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7"/>
      <c r="W2" s="196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8"/>
      <c r="AP2" s="175" t="str">
        <f>IF(表紙!AP2="","",表紙!AP2)</f>
        <v>Thanh Nguyên</v>
      </c>
      <c r="AQ2" s="176"/>
      <c r="AR2" s="176"/>
      <c r="AS2" s="177"/>
      <c r="AT2" s="208">
        <f>IF(表紙!AT2="","",表紙!AT2)</f>
        <v>45153</v>
      </c>
      <c r="AU2" s="209"/>
      <c r="AV2" s="209"/>
      <c r="AW2" s="209"/>
      <c r="AX2" s="210"/>
      <c r="AY2" s="175" t="str">
        <f>IF(表紙!AY2="","",表紙!AY2)</f>
        <v>Thanh Nguyên</v>
      </c>
      <c r="AZ2" s="176"/>
      <c r="BA2" s="176"/>
      <c r="BB2" s="177"/>
      <c r="BC2" s="208">
        <f>IF(表紙!BC2="","",表紙!BC2)</f>
        <v>45153</v>
      </c>
      <c r="BD2" s="209"/>
      <c r="BE2" s="209"/>
      <c r="BF2" s="209"/>
      <c r="BG2" s="210"/>
      <c r="BH2" s="175">
        <f>IF(表紙!BH2="","",表紙!BH2)</f>
        <v>0.5</v>
      </c>
      <c r="BI2" s="176"/>
      <c r="BJ2" s="176"/>
      <c r="BK2" s="177"/>
    </row>
    <row r="3" spans="1:63" ht="15" customHeight="1">
      <c r="A3" s="181"/>
      <c r="B3" s="182"/>
      <c r="C3" s="182"/>
      <c r="D3" s="182"/>
      <c r="E3" s="182"/>
      <c r="F3" s="182"/>
      <c r="G3" s="182"/>
      <c r="H3" s="182"/>
      <c r="I3" s="182"/>
      <c r="J3" s="183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3"/>
      <c r="W3" s="199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1"/>
      <c r="AP3" s="181"/>
      <c r="AQ3" s="182"/>
      <c r="AR3" s="182"/>
      <c r="AS3" s="183"/>
      <c r="AT3" s="211"/>
      <c r="AU3" s="212"/>
      <c r="AV3" s="212"/>
      <c r="AW3" s="212"/>
      <c r="AX3" s="213"/>
      <c r="AY3" s="181"/>
      <c r="AZ3" s="182"/>
      <c r="BA3" s="182"/>
      <c r="BB3" s="183"/>
      <c r="BC3" s="211"/>
      <c r="BD3" s="212"/>
      <c r="BE3" s="212"/>
      <c r="BF3" s="212"/>
      <c r="BG3" s="213"/>
      <c r="BH3" s="181"/>
      <c r="BI3" s="182"/>
      <c r="BJ3" s="182"/>
      <c r="BK3" s="183"/>
    </row>
    <row r="4" spans="1:63" ht="24.95" customHeight="1">
      <c r="A4" s="190" t="s">
        <v>1</v>
      </c>
      <c r="B4" s="191"/>
      <c r="C4" s="191"/>
      <c r="D4" s="191"/>
      <c r="E4" s="191"/>
      <c r="F4" s="191"/>
      <c r="G4" s="192"/>
      <c r="H4" s="214" t="str">
        <f>IF(表紙!H4="","",表紙!H4)</f>
        <v/>
      </c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  <c r="U4" s="190" t="s">
        <v>8</v>
      </c>
      <c r="V4" s="191"/>
      <c r="W4" s="191"/>
      <c r="X4" s="191"/>
      <c r="Y4" s="192"/>
      <c r="Z4" s="214" t="str">
        <f>IF(表紙!Z4="","",表紙!Z4)</f>
        <v/>
      </c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6"/>
      <c r="AP4" s="214" t="str" cm="1">
        <f t="array" aca="1" ref="AP4" ca="1">RIGHT(CELL("filename",$A$1),LEN(CELL("filename",$A$1))-FIND("]",CELL("filename",$A$1)))</f>
        <v>API仕様(Charge_Log)</v>
      </c>
      <c r="AQ4" s="215"/>
      <c r="AR4" s="215"/>
      <c r="AS4" s="215"/>
      <c r="AT4" s="215"/>
      <c r="AU4" s="215"/>
      <c r="AV4" s="215"/>
      <c r="AW4" s="215"/>
      <c r="AX4" s="215"/>
      <c r="AY4" s="215"/>
      <c r="AZ4" s="215"/>
      <c r="BA4" s="215"/>
      <c r="BB4" s="215"/>
      <c r="BC4" s="215"/>
      <c r="BD4" s="215"/>
      <c r="BE4" s="215"/>
      <c r="BF4" s="215"/>
      <c r="BG4" s="215"/>
      <c r="BH4" s="215"/>
      <c r="BI4" s="215"/>
      <c r="BJ4" s="215"/>
      <c r="BK4" s="216"/>
    </row>
    <row r="5" spans="1:63" ht="5.0999999999999996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8"/>
    </row>
    <row r="6" spans="1:63" ht="15" customHeight="1">
      <c r="A6" s="1"/>
      <c r="BK6" s="7"/>
    </row>
    <row r="7" spans="1:63" ht="15" customHeight="1">
      <c r="A7" s="1"/>
      <c r="B7" t="s">
        <v>147</v>
      </c>
      <c r="BK7" s="7"/>
    </row>
    <row r="8" spans="1:63" ht="15" customHeight="1">
      <c r="A8" s="1"/>
      <c r="B8" s="258" t="s">
        <v>95</v>
      </c>
      <c r="C8" s="259"/>
      <c r="D8" s="259"/>
      <c r="E8" s="260"/>
      <c r="F8" s="258" t="s">
        <v>96</v>
      </c>
      <c r="G8" s="259"/>
      <c r="H8" s="259"/>
      <c r="I8" s="259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59"/>
      <c r="U8" s="259"/>
      <c r="V8" s="259"/>
      <c r="W8" s="259"/>
      <c r="X8" s="259"/>
      <c r="Y8" s="259"/>
      <c r="Z8" s="260"/>
      <c r="AA8" s="261" t="s">
        <v>97</v>
      </c>
      <c r="AB8" s="262"/>
      <c r="AC8" s="262"/>
      <c r="AD8" s="262"/>
      <c r="AE8" s="263"/>
      <c r="AF8" s="261" t="s">
        <v>98</v>
      </c>
      <c r="AG8" s="262"/>
      <c r="AH8" s="262"/>
      <c r="AI8" s="262"/>
      <c r="AJ8" s="263"/>
      <c r="BK8" s="7"/>
    </row>
    <row r="9" spans="1:63" ht="15" customHeight="1">
      <c r="A9" s="1"/>
      <c r="B9" s="264" t="s">
        <v>99</v>
      </c>
      <c r="C9" s="264"/>
      <c r="D9" s="264"/>
      <c r="E9" s="264"/>
      <c r="F9" s="264" t="s">
        <v>163</v>
      </c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  <c r="X9" s="264"/>
      <c r="Y9" s="264"/>
      <c r="Z9" s="264"/>
      <c r="AA9" s="265" t="s">
        <v>100</v>
      </c>
      <c r="AB9" s="265"/>
      <c r="AC9" s="265"/>
      <c r="AD9" s="265"/>
      <c r="AE9" s="265"/>
      <c r="AF9" s="265" t="s">
        <v>101</v>
      </c>
      <c r="AG9" s="265"/>
      <c r="AH9" s="265"/>
      <c r="AI9" s="265"/>
      <c r="AJ9" s="265"/>
      <c r="BK9" s="7"/>
    </row>
    <row r="10" spans="1:63" ht="15" customHeight="1">
      <c r="A10" s="1"/>
      <c r="BK10" s="7"/>
    </row>
    <row r="11" spans="1:63" ht="15" customHeight="1">
      <c r="A11" s="1"/>
      <c r="B11" s="58" t="s">
        <v>125</v>
      </c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60"/>
      <c r="AN11" s="61" t="s">
        <v>102</v>
      </c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3"/>
      <c r="BI11" s="63"/>
      <c r="BJ11" s="64"/>
      <c r="BK11" s="7"/>
    </row>
    <row r="12" spans="1:63" ht="15" customHeight="1">
      <c r="A12" s="1"/>
      <c r="B12" s="65" t="s">
        <v>103</v>
      </c>
      <c r="C12" s="110"/>
      <c r="D12" s="110"/>
      <c r="E12" s="110"/>
      <c r="F12" s="110"/>
      <c r="G12" s="110"/>
      <c r="H12" s="110"/>
      <c r="I12" s="66" t="s">
        <v>104</v>
      </c>
      <c r="J12" s="110"/>
      <c r="K12" s="110"/>
      <c r="L12" s="66" t="s">
        <v>105</v>
      </c>
      <c r="M12" s="67"/>
      <c r="N12" s="67"/>
      <c r="O12" s="68" t="s">
        <v>106</v>
      </c>
      <c r="P12" s="67"/>
      <c r="Q12" s="110"/>
      <c r="R12" s="66" t="s">
        <v>107</v>
      </c>
      <c r="S12" s="67"/>
      <c r="T12" s="67"/>
      <c r="U12" s="110"/>
      <c r="V12" s="111"/>
      <c r="W12" s="111"/>
      <c r="X12" s="110"/>
      <c r="Y12" s="110"/>
      <c r="Z12" s="110"/>
      <c r="AA12" s="110"/>
      <c r="AB12" s="66" t="s">
        <v>108</v>
      </c>
      <c r="AC12" s="110"/>
      <c r="AD12" s="110"/>
      <c r="AE12" s="110"/>
      <c r="AF12" s="111"/>
      <c r="AG12" s="111"/>
      <c r="AH12" s="111"/>
      <c r="AI12" s="110"/>
      <c r="AJ12" s="110"/>
      <c r="AK12" s="110"/>
      <c r="AL12" s="110"/>
      <c r="AM12" s="69"/>
      <c r="AN12" s="70"/>
      <c r="AO12" s="71"/>
      <c r="AP12" s="72"/>
      <c r="AQ12" s="71"/>
      <c r="AR12" s="71"/>
      <c r="AS12" s="71"/>
      <c r="AT12" s="71"/>
      <c r="AU12" s="71"/>
      <c r="AV12" s="71"/>
      <c r="AW12" s="71"/>
      <c r="AX12" s="71"/>
      <c r="AY12" s="71"/>
      <c r="AZ12" s="71"/>
      <c r="BA12" s="71"/>
      <c r="BB12" s="71"/>
      <c r="BC12" s="71"/>
      <c r="BD12" s="71"/>
      <c r="BE12" s="71"/>
      <c r="BF12" s="71"/>
      <c r="BG12" s="71"/>
      <c r="BH12" s="71"/>
      <c r="BI12" s="71"/>
      <c r="BJ12" s="73"/>
      <c r="BK12" s="7"/>
    </row>
    <row r="13" spans="1:63" ht="15" customHeight="1">
      <c r="A13" s="1"/>
      <c r="B13" s="74"/>
      <c r="C13" s="75"/>
      <c r="D13" s="75"/>
      <c r="E13" s="75"/>
      <c r="F13" s="75"/>
      <c r="G13" s="75"/>
      <c r="H13" s="76"/>
      <c r="I13" s="77"/>
      <c r="J13" s="75"/>
      <c r="K13" s="76"/>
      <c r="L13" s="78"/>
      <c r="M13" s="75"/>
      <c r="N13" s="76"/>
      <c r="O13" s="79"/>
      <c r="P13" s="75"/>
      <c r="Q13" s="76"/>
      <c r="R13" s="77"/>
      <c r="S13" s="75"/>
      <c r="T13" s="75"/>
      <c r="U13" s="75"/>
      <c r="V13" s="80"/>
      <c r="W13" s="80"/>
      <c r="X13" s="81"/>
      <c r="Y13" s="81"/>
      <c r="Z13" s="81"/>
      <c r="AA13" s="82"/>
      <c r="AB13" s="83" t="s">
        <v>109</v>
      </c>
      <c r="AC13" s="84"/>
      <c r="AD13" s="84"/>
      <c r="AE13" s="84"/>
      <c r="AF13" s="85"/>
      <c r="AG13" s="85"/>
      <c r="AH13" s="85"/>
      <c r="AI13" s="84"/>
      <c r="AJ13" s="84"/>
      <c r="AK13" s="84"/>
      <c r="AL13" s="84"/>
      <c r="AM13" s="86"/>
      <c r="AN13" s="87" t="s">
        <v>110</v>
      </c>
      <c r="AO13" s="88"/>
      <c r="AP13" s="85"/>
      <c r="AQ13" s="89"/>
      <c r="AR13" s="89"/>
      <c r="AS13" s="89"/>
      <c r="AT13" s="89"/>
      <c r="AU13" s="89"/>
      <c r="AV13" s="89"/>
      <c r="AW13" s="89"/>
      <c r="AX13" s="89"/>
      <c r="AY13" s="89"/>
      <c r="AZ13" s="89"/>
      <c r="BA13" s="89"/>
      <c r="BB13" s="89"/>
      <c r="BC13" s="89"/>
      <c r="BD13" s="89"/>
      <c r="BE13" s="89"/>
      <c r="BF13" s="89"/>
      <c r="BG13" s="89"/>
      <c r="BH13" s="89"/>
      <c r="BI13" s="89"/>
      <c r="BJ13" s="86"/>
      <c r="BK13" s="7"/>
    </row>
    <row r="14" spans="1:63" ht="15" customHeight="1">
      <c r="A14" s="1"/>
      <c r="B14" s="90" t="s">
        <v>78</v>
      </c>
      <c r="C14" s="91"/>
      <c r="D14" s="91"/>
      <c r="E14" s="91"/>
      <c r="F14" s="91"/>
      <c r="G14" s="91"/>
      <c r="H14" s="92"/>
      <c r="I14" s="93" t="s">
        <v>111</v>
      </c>
      <c r="J14" s="91"/>
      <c r="K14" s="92"/>
      <c r="L14" s="94" t="s">
        <v>112</v>
      </c>
      <c r="M14" s="91"/>
      <c r="N14" s="92"/>
      <c r="O14" s="95" t="s">
        <v>113</v>
      </c>
      <c r="P14" s="91"/>
      <c r="Q14" s="92"/>
      <c r="R14" s="93" t="s">
        <v>72</v>
      </c>
      <c r="S14" s="91"/>
      <c r="T14" s="91"/>
      <c r="U14" s="91"/>
      <c r="V14" s="96"/>
      <c r="W14" s="96"/>
      <c r="X14" s="97"/>
      <c r="Y14" s="97"/>
      <c r="Z14" s="97"/>
      <c r="AA14" s="98"/>
      <c r="AB14" s="99" t="str">
        <f>"  """&amp;B14&amp;": ""200"","""</f>
        <v xml:space="preserve">  "company_code: "200","</v>
      </c>
      <c r="AC14" s="112"/>
      <c r="AD14" s="112"/>
      <c r="AE14" s="112"/>
      <c r="AF14" s="113"/>
      <c r="AG14" s="113"/>
      <c r="AH14" s="113"/>
      <c r="AI14" s="112"/>
      <c r="AJ14" s="112"/>
      <c r="AK14" s="112"/>
      <c r="AL14" s="112"/>
      <c r="AM14" s="100"/>
      <c r="AN14" s="101"/>
      <c r="AO14" s="114"/>
      <c r="AP14" s="113"/>
      <c r="AQ14" s="115"/>
      <c r="AR14" s="115"/>
      <c r="AS14" s="115"/>
      <c r="AT14" s="115"/>
      <c r="AU14" s="115"/>
      <c r="AV14" s="115"/>
      <c r="AW14" s="115"/>
      <c r="AX14" s="115"/>
      <c r="AY14" s="115"/>
      <c r="AZ14" s="115"/>
      <c r="BA14" s="115"/>
      <c r="BB14" s="115"/>
      <c r="BC14" s="115"/>
      <c r="BD14" s="115"/>
      <c r="BE14" s="115"/>
      <c r="BF14" s="115"/>
      <c r="BG14" s="115"/>
      <c r="BH14" s="115"/>
      <c r="BI14" s="115"/>
      <c r="BJ14" s="100"/>
      <c r="BK14" s="7"/>
    </row>
    <row r="15" spans="1:63" ht="15" customHeight="1">
      <c r="A15" s="1"/>
      <c r="B15" s="90" t="s">
        <v>79</v>
      </c>
      <c r="C15" s="91"/>
      <c r="D15" s="91"/>
      <c r="E15" s="91"/>
      <c r="F15" s="91"/>
      <c r="G15" s="91"/>
      <c r="H15" s="92"/>
      <c r="I15" s="93" t="s">
        <v>111</v>
      </c>
      <c r="J15" s="91"/>
      <c r="K15" s="92"/>
      <c r="L15" s="102" t="s">
        <v>112</v>
      </c>
      <c r="M15" s="91"/>
      <c r="N15" s="92"/>
      <c r="O15" s="127" t="s">
        <v>127</v>
      </c>
      <c r="P15" s="91"/>
      <c r="Q15" s="92"/>
      <c r="R15" s="93" t="s">
        <v>73</v>
      </c>
      <c r="S15" s="91"/>
      <c r="T15" s="91"/>
      <c r="U15" s="91"/>
      <c r="V15" s="96"/>
      <c r="W15" s="96"/>
      <c r="X15" s="97"/>
      <c r="Y15" s="97"/>
      <c r="Z15" s="97"/>
      <c r="AA15" s="98"/>
      <c r="AB15" s="99" t="str">
        <f>"  """&amp;B15&amp;": ""02701"","""</f>
        <v xml:space="preserve">  "store_code: "02701","</v>
      </c>
      <c r="AC15" s="112"/>
      <c r="AD15" s="112"/>
      <c r="AE15" s="112"/>
      <c r="AF15" s="113"/>
      <c r="AG15" s="113"/>
      <c r="AH15" s="113"/>
      <c r="AI15" s="112"/>
      <c r="AJ15" s="112"/>
      <c r="AK15" s="112"/>
      <c r="AL15" s="112"/>
      <c r="AM15" s="100"/>
      <c r="AN15" s="101"/>
      <c r="AO15" s="114"/>
      <c r="AP15" s="113"/>
      <c r="AQ15" s="115"/>
      <c r="AR15" s="115"/>
      <c r="AS15" s="115"/>
      <c r="AT15" s="115"/>
      <c r="AU15" s="115"/>
      <c r="AV15" s="115"/>
      <c r="AW15" s="115"/>
      <c r="AX15" s="115"/>
      <c r="AY15" s="115"/>
      <c r="AZ15" s="115"/>
      <c r="BA15" s="115"/>
      <c r="BB15" s="115"/>
      <c r="BC15" s="115"/>
      <c r="BD15" s="115"/>
      <c r="BE15" s="115"/>
      <c r="BF15" s="115"/>
      <c r="BG15" s="115"/>
      <c r="BH15" s="115"/>
      <c r="BI15" s="115"/>
      <c r="BJ15" s="100"/>
      <c r="BK15" s="7"/>
    </row>
    <row r="16" spans="1:63" ht="15" customHeight="1">
      <c r="A16" s="1"/>
      <c r="B16" s="90" t="s">
        <v>80</v>
      </c>
      <c r="C16" s="91"/>
      <c r="D16" s="91"/>
      <c r="E16" s="91"/>
      <c r="F16" s="91"/>
      <c r="G16" s="91"/>
      <c r="H16" s="92"/>
      <c r="I16" s="93" t="s">
        <v>111</v>
      </c>
      <c r="J16" s="91"/>
      <c r="K16" s="92"/>
      <c r="L16" s="102" t="s">
        <v>112</v>
      </c>
      <c r="M16" s="91"/>
      <c r="N16" s="92"/>
      <c r="O16" s="127" t="s">
        <v>127</v>
      </c>
      <c r="P16" s="91"/>
      <c r="Q16" s="92"/>
      <c r="R16" s="93" t="s">
        <v>74</v>
      </c>
      <c r="S16" s="91"/>
      <c r="T16" s="91"/>
      <c r="U16" s="91"/>
      <c r="V16" s="96"/>
      <c r="W16" s="96"/>
      <c r="X16" s="97"/>
      <c r="Y16" s="97"/>
      <c r="Z16" s="97"/>
      <c r="AA16" s="98"/>
      <c r="AB16" s="99" t="str">
        <f>"  """&amp;B16&amp;": ""6201"","""</f>
        <v xml:space="preserve">  "instore_code: "6201","</v>
      </c>
      <c r="AC16" s="112"/>
      <c r="AD16" s="112"/>
      <c r="AE16" s="112"/>
      <c r="AF16" s="113"/>
      <c r="AG16" s="113"/>
      <c r="AH16" s="113"/>
      <c r="AI16" s="112"/>
      <c r="AJ16" s="112"/>
      <c r="AK16" s="112"/>
      <c r="AL16" s="112"/>
      <c r="AM16" s="100"/>
      <c r="AN16" s="61" t="s">
        <v>114</v>
      </c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3"/>
      <c r="BI16" s="63"/>
      <c r="BJ16" s="64"/>
      <c r="BK16" s="7"/>
    </row>
    <row r="17" spans="1:63" ht="15" customHeight="1">
      <c r="A17" s="1"/>
      <c r="B17" s="90" t="s">
        <v>81</v>
      </c>
      <c r="C17" s="91"/>
      <c r="D17" s="91"/>
      <c r="E17" s="91"/>
      <c r="F17" s="91"/>
      <c r="G17" s="91"/>
      <c r="H17" s="92"/>
      <c r="I17" s="93" t="s">
        <v>111</v>
      </c>
      <c r="J17" s="91"/>
      <c r="K17" s="92"/>
      <c r="L17" s="102" t="s">
        <v>115</v>
      </c>
      <c r="M17" s="91"/>
      <c r="N17" s="92"/>
      <c r="O17" s="127" t="s">
        <v>127</v>
      </c>
      <c r="P17" s="91"/>
      <c r="Q17" s="92"/>
      <c r="R17" s="93" t="s">
        <v>75</v>
      </c>
      <c r="S17" s="91"/>
      <c r="T17" s="91"/>
      <c r="U17" s="91"/>
      <c r="V17" s="96"/>
      <c r="W17" s="96"/>
      <c r="X17" s="97"/>
      <c r="Y17" s="97"/>
      <c r="Z17" s="97"/>
      <c r="AA17" s="98"/>
      <c r="AB17" s="99" t="str">
        <f>"  """&amp;B17&amp;": 20230816,"""</f>
        <v xml:space="preserve">  "record_datetime: 20230816,"</v>
      </c>
      <c r="AC17" s="112"/>
      <c r="AD17" s="112"/>
      <c r="AE17" s="112"/>
      <c r="AF17" s="113"/>
      <c r="AG17" s="113"/>
      <c r="AH17" s="113"/>
      <c r="AI17" s="112"/>
      <c r="AJ17" s="112"/>
      <c r="AK17" s="112"/>
      <c r="AL17" s="112"/>
      <c r="AM17" s="100"/>
      <c r="AN17" s="70"/>
      <c r="AO17" s="71"/>
      <c r="AP17" s="72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1"/>
      <c r="BE17" s="71"/>
      <c r="BF17" s="71"/>
      <c r="BG17" s="71"/>
      <c r="BH17" s="71"/>
      <c r="BI17" s="71"/>
      <c r="BJ17" s="73"/>
      <c r="BK17" s="7"/>
    </row>
    <row r="18" spans="1:63" ht="15" customHeight="1">
      <c r="A18" s="1"/>
      <c r="B18" s="90" t="s">
        <v>70</v>
      </c>
      <c r="C18" s="91"/>
      <c r="D18" s="91"/>
      <c r="E18" s="91"/>
      <c r="F18" s="91"/>
      <c r="G18" s="91"/>
      <c r="H18" s="92"/>
      <c r="I18" s="93" t="s">
        <v>116</v>
      </c>
      <c r="J18" s="91"/>
      <c r="K18" s="92"/>
      <c r="L18" s="102"/>
      <c r="M18" s="91"/>
      <c r="N18" s="92"/>
      <c r="O18" s="127" t="s">
        <v>127</v>
      </c>
      <c r="P18" s="91"/>
      <c r="Q18" s="92"/>
      <c r="R18" s="93" t="s">
        <v>76</v>
      </c>
      <c r="S18" s="91"/>
      <c r="T18" s="91"/>
      <c r="U18" s="91"/>
      <c r="V18" s="96"/>
      <c r="W18" s="96"/>
      <c r="X18" s="97"/>
      <c r="Y18" s="97"/>
      <c r="Z18" s="97"/>
      <c r="AA18" s="98"/>
      <c r="AB18" s="99" t="str">
        <f>"  """&amp;B18&amp;": 1234,"""</f>
        <v xml:space="preserve">  "receipt_no: 1234,"</v>
      </c>
      <c r="AC18" s="112"/>
      <c r="AD18" s="112"/>
      <c r="AE18" s="112"/>
      <c r="AF18" s="113"/>
      <c r="AG18" s="113"/>
      <c r="AH18" s="113"/>
      <c r="AI18" s="112"/>
      <c r="AJ18" s="112"/>
      <c r="AK18" s="112"/>
      <c r="AL18" s="112"/>
      <c r="AM18" s="100"/>
      <c r="AN18" s="87" t="s">
        <v>117</v>
      </c>
      <c r="AO18" s="88"/>
      <c r="AP18" s="85"/>
      <c r="AQ18" s="89"/>
      <c r="AR18" s="89"/>
      <c r="AS18" s="103"/>
      <c r="AT18" s="104" t="s">
        <v>118</v>
      </c>
      <c r="AU18" s="115"/>
      <c r="AV18" s="115"/>
      <c r="AW18" s="115"/>
      <c r="AX18" s="115"/>
      <c r="AY18" s="115"/>
      <c r="AZ18" s="115"/>
      <c r="BA18" s="115"/>
      <c r="BB18" s="115"/>
      <c r="BC18" s="115"/>
      <c r="BD18" s="115"/>
      <c r="BE18" s="115"/>
      <c r="BF18" s="115"/>
      <c r="BG18" s="115"/>
      <c r="BH18" s="115"/>
      <c r="BI18" s="115"/>
      <c r="BJ18" s="100"/>
      <c r="BK18" s="7"/>
    </row>
    <row r="19" spans="1:63" ht="15" customHeight="1">
      <c r="A19" s="1"/>
      <c r="B19" s="90" t="s">
        <v>84</v>
      </c>
      <c r="C19" s="91"/>
      <c r="D19" s="91"/>
      <c r="E19" s="91"/>
      <c r="F19" s="91"/>
      <c r="G19" s="91"/>
      <c r="H19" s="92"/>
      <c r="I19" s="93" t="s">
        <v>119</v>
      </c>
      <c r="J19" s="91"/>
      <c r="K19" s="92"/>
      <c r="L19" s="102"/>
      <c r="M19" s="91"/>
      <c r="N19" s="92"/>
      <c r="O19" s="127" t="s">
        <v>127</v>
      </c>
      <c r="P19" s="91"/>
      <c r="Q19" s="92"/>
      <c r="R19" s="93" t="s">
        <v>68</v>
      </c>
      <c r="S19" s="91"/>
      <c r="T19" s="91"/>
      <c r="U19" s="91"/>
      <c r="V19" s="96"/>
      <c r="W19" s="96"/>
      <c r="X19" s="97"/>
      <c r="Y19" s="97"/>
      <c r="Z19" s="97"/>
      <c r="AA19" s="98"/>
      <c r="AB19" s="99" t="str">
        <f>"  """&amp;B19&amp;": 1,"""</f>
        <v xml:space="preserve">  "class: 1,"</v>
      </c>
      <c r="AC19" s="112"/>
      <c r="AD19" s="112"/>
      <c r="AE19" s="112"/>
      <c r="AF19" s="113"/>
      <c r="AG19" s="113"/>
      <c r="AH19" s="113"/>
      <c r="AI19" s="112"/>
      <c r="AJ19" s="112"/>
      <c r="AK19" s="112"/>
      <c r="AL19" s="112"/>
      <c r="AM19" s="100"/>
      <c r="AN19" s="101" t="s">
        <v>120</v>
      </c>
      <c r="AO19" s="116"/>
      <c r="AP19" s="113"/>
      <c r="AQ19" s="115"/>
      <c r="AR19" s="115"/>
      <c r="AS19" s="105"/>
      <c r="AT19" s="106" t="s">
        <v>121</v>
      </c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5"/>
      <c r="BF19" s="115"/>
      <c r="BG19" s="115"/>
      <c r="BH19" s="115"/>
      <c r="BI19" s="115"/>
      <c r="BJ19" s="100"/>
      <c r="BK19" s="7"/>
    </row>
    <row r="20" spans="1:63" ht="15" customHeight="1">
      <c r="A20" s="1"/>
      <c r="B20" s="90" t="s">
        <v>86</v>
      </c>
      <c r="C20" s="91"/>
      <c r="D20" s="91"/>
      <c r="E20" s="91"/>
      <c r="F20" s="91"/>
      <c r="G20" s="91"/>
      <c r="H20" s="92"/>
      <c r="I20" s="93" t="s">
        <v>116</v>
      </c>
      <c r="J20" s="91"/>
      <c r="K20" s="92"/>
      <c r="L20" s="102"/>
      <c r="M20" s="91"/>
      <c r="N20" s="92"/>
      <c r="O20" s="127" t="s">
        <v>127</v>
      </c>
      <c r="P20" s="91"/>
      <c r="Q20" s="92"/>
      <c r="R20" s="93" t="s">
        <v>85</v>
      </c>
      <c r="S20" s="91"/>
      <c r="T20" s="91"/>
      <c r="U20" s="91"/>
      <c r="V20" s="96"/>
      <c r="W20" s="96"/>
      <c r="X20" s="97"/>
      <c r="Y20" s="97"/>
      <c r="Z20" s="97"/>
      <c r="AA20" s="98"/>
      <c r="AB20" s="99" t="str">
        <f>"  """&amp;B20&amp;": 5000,"""</f>
        <v xml:space="preserve">  "amount: 5000,"</v>
      </c>
      <c r="AC20" s="112"/>
      <c r="AD20" s="112"/>
      <c r="AE20" s="112"/>
      <c r="AF20" s="113"/>
      <c r="AG20" s="113"/>
      <c r="AH20" s="113"/>
      <c r="AI20" s="112"/>
      <c r="AJ20" s="112"/>
      <c r="AK20" s="112"/>
      <c r="AL20" s="112"/>
      <c r="AM20" s="100"/>
      <c r="AN20" s="101" t="s">
        <v>120</v>
      </c>
      <c r="AO20" s="116"/>
      <c r="AP20" s="113"/>
      <c r="AQ20" s="115"/>
      <c r="AR20" s="115"/>
      <c r="AS20" s="105"/>
      <c r="AT20" s="106" t="s">
        <v>122</v>
      </c>
      <c r="AU20" s="115"/>
      <c r="AV20" s="115"/>
      <c r="AW20" s="115"/>
      <c r="AX20" s="115"/>
      <c r="AY20" s="115"/>
      <c r="AZ20" s="115"/>
      <c r="BA20" s="115"/>
      <c r="BB20" s="115"/>
      <c r="BC20" s="115"/>
      <c r="BD20" s="115"/>
      <c r="BE20" s="115"/>
      <c r="BF20" s="115"/>
      <c r="BG20" s="115"/>
      <c r="BH20" s="115"/>
      <c r="BI20" s="115"/>
      <c r="BJ20" s="100"/>
      <c r="BK20" s="7"/>
    </row>
    <row r="21" spans="1:63" ht="15" customHeight="1">
      <c r="A21" s="1"/>
      <c r="B21" s="90"/>
      <c r="C21" s="91"/>
      <c r="D21" s="91"/>
      <c r="E21" s="91"/>
      <c r="F21" s="91"/>
      <c r="G21" s="91"/>
      <c r="H21" s="92"/>
      <c r="I21" s="93"/>
      <c r="J21" s="91"/>
      <c r="K21" s="92"/>
      <c r="L21" s="102"/>
      <c r="M21" s="91"/>
      <c r="N21" s="92"/>
      <c r="O21" s="95"/>
      <c r="P21" s="91"/>
      <c r="Q21" s="92"/>
      <c r="R21" s="93" t="s">
        <v>165</v>
      </c>
      <c r="S21" s="91"/>
      <c r="T21" s="91"/>
      <c r="U21" s="91"/>
      <c r="V21" s="96"/>
      <c r="W21" s="96"/>
      <c r="X21" s="97"/>
      <c r="Y21" s="97"/>
      <c r="Z21" s="97"/>
      <c r="AA21" s="98"/>
      <c r="AB21" s="99" t="s">
        <v>126</v>
      </c>
      <c r="AC21" s="112"/>
      <c r="AD21" s="112"/>
      <c r="AE21" s="112"/>
      <c r="AF21" s="113"/>
      <c r="AG21" s="113"/>
      <c r="AH21" s="113"/>
      <c r="AI21" s="112"/>
      <c r="AJ21" s="112"/>
      <c r="AK21" s="112"/>
      <c r="AL21" s="112"/>
      <c r="AM21" s="100"/>
      <c r="AN21" s="101" t="s">
        <v>120</v>
      </c>
      <c r="AO21" s="116"/>
      <c r="AP21" s="113"/>
      <c r="AQ21" s="115"/>
      <c r="AR21" s="115"/>
      <c r="AS21" s="105"/>
      <c r="AT21" s="106" t="s">
        <v>123</v>
      </c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5"/>
      <c r="BF21" s="115"/>
      <c r="BG21" s="115"/>
      <c r="BH21" s="115"/>
      <c r="BI21" s="115"/>
      <c r="BJ21" s="100"/>
      <c r="BK21" s="7"/>
    </row>
    <row r="22" spans="1:63" ht="15" customHeight="1">
      <c r="A22" s="1"/>
      <c r="B22" s="90"/>
      <c r="C22" s="91"/>
      <c r="D22" s="91"/>
      <c r="E22" s="91"/>
      <c r="F22" s="91"/>
      <c r="G22" s="91"/>
      <c r="H22" s="92"/>
      <c r="I22" s="93"/>
      <c r="J22" s="91"/>
      <c r="K22" s="92"/>
      <c r="L22" s="107"/>
      <c r="M22" s="91"/>
      <c r="N22" s="92"/>
      <c r="O22" s="95"/>
      <c r="P22" s="91"/>
      <c r="Q22" s="92"/>
      <c r="R22" s="93"/>
      <c r="S22" s="91"/>
      <c r="T22" s="91"/>
      <c r="U22" s="91"/>
      <c r="V22" s="96"/>
      <c r="W22" s="96"/>
      <c r="X22" s="91"/>
      <c r="Y22" s="91"/>
      <c r="Z22" s="91"/>
      <c r="AA22" s="92"/>
      <c r="AB22" s="99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00"/>
      <c r="AN22" s="101" t="s">
        <v>120</v>
      </c>
      <c r="AO22" s="113"/>
      <c r="AP22" s="113"/>
      <c r="AQ22" s="113"/>
      <c r="AR22" s="113"/>
      <c r="AS22" s="108"/>
      <c r="AT22" s="109" t="s">
        <v>124</v>
      </c>
      <c r="AU22" s="113"/>
      <c r="AV22" s="113"/>
      <c r="AW22" s="113"/>
      <c r="AX22" s="113"/>
      <c r="AY22" s="113"/>
      <c r="AZ22" s="113"/>
      <c r="BA22" s="113"/>
      <c r="BB22" s="113"/>
      <c r="BC22" s="113"/>
      <c r="BD22" s="113"/>
      <c r="BE22" s="113"/>
      <c r="BF22" s="113"/>
      <c r="BG22" s="113"/>
      <c r="BH22" s="113"/>
      <c r="BI22" s="113"/>
      <c r="BJ22" s="100"/>
      <c r="BK22" s="7"/>
    </row>
    <row r="23" spans="1:63" ht="15" customHeight="1">
      <c r="A23" s="1"/>
      <c r="B23" s="117"/>
      <c r="C23" s="118"/>
      <c r="D23" s="118"/>
      <c r="E23" s="118"/>
      <c r="F23" s="118"/>
      <c r="G23" s="118"/>
      <c r="H23" s="119"/>
      <c r="I23" s="120"/>
      <c r="J23" s="118"/>
      <c r="K23" s="119"/>
      <c r="L23" s="120"/>
      <c r="M23" s="118"/>
      <c r="N23" s="119"/>
      <c r="O23" s="120"/>
      <c r="P23" s="118"/>
      <c r="Q23" s="119"/>
      <c r="R23" s="120"/>
      <c r="S23" s="118"/>
      <c r="T23" s="118"/>
      <c r="U23" s="118"/>
      <c r="V23" s="118"/>
      <c r="W23" s="118"/>
      <c r="X23" s="118"/>
      <c r="Y23" s="118"/>
      <c r="Z23" s="118"/>
      <c r="AA23" s="119"/>
      <c r="AB23" s="121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3"/>
      <c r="AN23" s="124"/>
      <c r="AO23" s="122"/>
      <c r="AP23" s="122"/>
      <c r="AQ23" s="122"/>
      <c r="AR23" s="122"/>
      <c r="AS23" s="125"/>
      <c r="AT23" s="126"/>
      <c r="AU23" s="122"/>
      <c r="AV23" s="122"/>
      <c r="AW23" s="122"/>
      <c r="AX23" s="122"/>
      <c r="AY23" s="122"/>
      <c r="AZ23" s="122"/>
      <c r="BA23" s="122"/>
      <c r="BB23" s="122"/>
      <c r="BC23" s="122"/>
      <c r="BD23" s="122"/>
      <c r="BE23" s="122"/>
      <c r="BF23" s="122"/>
      <c r="BG23" s="122"/>
      <c r="BH23" s="122"/>
      <c r="BI23" s="122"/>
      <c r="BJ23" s="123"/>
      <c r="BK23" s="7"/>
    </row>
    <row r="25" spans="1:63">
      <c r="B25" t="s">
        <v>148</v>
      </c>
    </row>
    <row r="26" spans="1:63">
      <c r="B26" t="s">
        <v>150</v>
      </c>
    </row>
    <row r="27" spans="1:63" ht="16.5">
      <c r="B27" s="130" t="s">
        <v>151</v>
      </c>
      <c r="C27" s="67"/>
      <c r="D27" s="67"/>
      <c r="E27" s="67"/>
      <c r="F27" s="67"/>
      <c r="G27" s="67"/>
      <c r="H27" s="131"/>
      <c r="I27" s="130" t="s">
        <v>152</v>
      </c>
      <c r="J27" s="67"/>
      <c r="K27" s="67"/>
      <c r="L27" s="67"/>
      <c r="M27" s="67"/>
      <c r="N27" s="67"/>
      <c r="O27" s="131"/>
    </row>
    <row r="28" spans="1:63" ht="16.5">
      <c r="B28" s="74"/>
      <c r="C28" s="75"/>
      <c r="D28" s="75"/>
      <c r="E28" s="75"/>
      <c r="F28" s="75"/>
      <c r="G28" s="75"/>
      <c r="H28" s="132"/>
      <c r="I28" s="74"/>
      <c r="J28" s="75"/>
      <c r="K28" s="75"/>
      <c r="L28" s="75"/>
      <c r="M28" s="75"/>
      <c r="N28" s="75"/>
      <c r="O28" s="132"/>
    </row>
    <row r="29" spans="1:63" ht="16.5">
      <c r="B29" s="90" t="s">
        <v>78</v>
      </c>
      <c r="C29" s="91"/>
      <c r="D29" s="91"/>
      <c r="E29" s="91"/>
      <c r="F29" s="91"/>
      <c r="G29" s="91"/>
      <c r="H29" s="133"/>
      <c r="I29" s="135" t="s">
        <v>154</v>
      </c>
      <c r="J29" s="91"/>
      <c r="K29" s="91"/>
      <c r="L29" s="91"/>
      <c r="M29" s="91"/>
      <c r="N29" s="91"/>
      <c r="O29" s="133"/>
    </row>
    <row r="30" spans="1:63" ht="16.5">
      <c r="B30" s="90" t="s">
        <v>79</v>
      </c>
      <c r="C30" s="91"/>
      <c r="D30" s="91"/>
      <c r="E30" s="91"/>
      <c r="F30" s="91"/>
      <c r="G30" s="91"/>
      <c r="H30" s="133"/>
      <c r="I30" s="135" t="s">
        <v>153</v>
      </c>
      <c r="J30" s="91"/>
      <c r="K30" s="91"/>
      <c r="L30" s="91"/>
      <c r="M30" s="91"/>
      <c r="N30" s="91"/>
      <c r="O30" s="133"/>
    </row>
    <row r="31" spans="1:63" ht="16.5">
      <c r="B31" s="90" t="s">
        <v>80</v>
      </c>
      <c r="C31" s="91"/>
      <c r="D31" s="91"/>
      <c r="E31" s="91"/>
      <c r="F31" s="91"/>
      <c r="G31" s="91"/>
      <c r="H31" s="133"/>
      <c r="I31" s="135" t="s">
        <v>155</v>
      </c>
      <c r="J31" s="91"/>
      <c r="K31" s="91"/>
      <c r="L31" s="91"/>
      <c r="M31" s="91"/>
      <c r="N31" s="91"/>
      <c r="O31" s="133"/>
    </row>
    <row r="32" spans="1:63" ht="16.5">
      <c r="B32" s="90" t="s">
        <v>81</v>
      </c>
      <c r="C32" s="91"/>
      <c r="D32" s="91"/>
      <c r="E32" s="91"/>
      <c r="F32" s="91"/>
      <c r="G32" s="91"/>
      <c r="H32" s="133"/>
      <c r="I32" s="135" t="s">
        <v>156</v>
      </c>
      <c r="J32" s="91"/>
      <c r="K32" s="91"/>
      <c r="L32" s="91"/>
      <c r="M32" s="91"/>
      <c r="N32" s="91"/>
      <c r="O32" s="133"/>
    </row>
    <row r="33" spans="2:62" ht="16.5">
      <c r="B33" s="90" t="s">
        <v>70</v>
      </c>
      <c r="C33" s="91"/>
      <c r="D33" s="91"/>
      <c r="E33" s="91"/>
      <c r="F33" s="91"/>
      <c r="G33" s="91"/>
      <c r="H33" s="133"/>
      <c r="I33" s="135" t="s">
        <v>157</v>
      </c>
      <c r="J33" s="91"/>
      <c r="K33" s="91"/>
      <c r="L33" s="91"/>
      <c r="M33" s="91"/>
      <c r="N33" s="91"/>
      <c r="O33" s="133"/>
    </row>
    <row r="34" spans="2:62" ht="16.5">
      <c r="B34" s="90" t="s">
        <v>84</v>
      </c>
      <c r="C34" s="91"/>
      <c r="D34" s="91"/>
      <c r="E34" s="91"/>
      <c r="F34" s="91"/>
      <c r="G34" s="91"/>
      <c r="H34" s="133"/>
      <c r="I34" s="135" t="s">
        <v>158</v>
      </c>
      <c r="J34" s="91"/>
      <c r="K34" s="91"/>
      <c r="L34" s="91"/>
      <c r="M34" s="91"/>
      <c r="N34" s="91"/>
      <c r="O34" s="133"/>
    </row>
    <row r="35" spans="2:62" ht="16.5">
      <c r="B35" s="90" t="s">
        <v>86</v>
      </c>
      <c r="C35" s="91"/>
      <c r="D35" s="91"/>
      <c r="E35" s="91"/>
      <c r="F35" s="91"/>
      <c r="G35" s="91"/>
      <c r="H35" s="133"/>
      <c r="I35" s="135" t="s">
        <v>159</v>
      </c>
      <c r="J35" s="91"/>
      <c r="K35" s="91"/>
      <c r="L35" s="91"/>
      <c r="M35" s="91"/>
      <c r="N35" s="91"/>
      <c r="O35" s="133"/>
    </row>
    <row r="36" spans="2:62" ht="16.5">
      <c r="B36" s="90"/>
      <c r="C36" s="91"/>
      <c r="D36" s="91"/>
      <c r="E36" s="91"/>
      <c r="F36" s="91"/>
      <c r="G36" s="91"/>
      <c r="H36" s="133"/>
      <c r="I36" s="90"/>
      <c r="J36" s="91"/>
      <c r="K36" s="91"/>
      <c r="L36" s="91"/>
      <c r="M36" s="91"/>
      <c r="N36" s="91"/>
      <c r="O36" s="133"/>
    </row>
    <row r="37" spans="2:62" ht="16.5">
      <c r="B37" s="90"/>
      <c r="C37" s="91"/>
      <c r="D37" s="91"/>
      <c r="E37" s="91"/>
      <c r="F37" s="91"/>
      <c r="G37" s="91"/>
      <c r="H37" s="133"/>
      <c r="I37" s="90"/>
      <c r="J37" s="91"/>
      <c r="K37" s="91"/>
      <c r="L37" s="91"/>
      <c r="M37" s="91"/>
      <c r="N37" s="91"/>
      <c r="O37" s="133"/>
    </row>
    <row r="38" spans="2:62">
      <c r="B38" s="117"/>
      <c r="C38" s="118"/>
      <c r="D38" s="118"/>
      <c r="E38" s="118"/>
      <c r="F38" s="118"/>
      <c r="G38" s="118"/>
      <c r="H38" s="134"/>
      <c r="I38" s="117"/>
      <c r="J38" s="118"/>
      <c r="K38" s="118"/>
      <c r="L38" s="118"/>
      <c r="M38" s="118"/>
      <c r="N38" s="118"/>
      <c r="O38" s="134"/>
    </row>
    <row r="43" spans="2:62">
      <c r="B43" s="9" t="s">
        <v>251</v>
      </c>
      <c r="C43" s="173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73"/>
      <c r="AF43" s="173"/>
      <c r="AG43" s="173"/>
      <c r="AH43" s="173"/>
      <c r="AI43" s="173"/>
      <c r="AJ43" s="173"/>
      <c r="AK43" s="173"/>
      <c r="AL43" s="173"/>
      <c r="AM43" s="173"/>
      <c r="AN43" s="173"/>
      <c r="AO43" s="173"/>
      <c r="AP43" s="173"/>
      <c r="AQ43" s="173"/>
      <c r="AR43" s="173"/>
      <c r="AS43" s="173"/>
      <c r="AT43" s="173"/>
      <c r="AU43" s="173"/>
      <c r="AV43" s="173"/>
      <c r="AW43" s="173"/>
      <c r="AX43" s="173"/>
      <c r="AY43" s="173"/>
      <c r="AZ43" s="173"/>
      <c r="BA43" s="173"/>
      <c r="BB43" s="173"/>
      <c r="BC43" s="173"/>
      <c r="BD43" s="173"/>
      <c r="BE43" s="173"/>
      <c r="BF43" s="173"/>
      <c r="BG43" s="173"/>
      <c r="BH43" s="173"/>
      <c r="BI43" s="173"/>
      <c r="BJ43" s="173"/>
    </row>
    <row r="75" spans="2:62">
      <c r="B75" s="9" t="s">
        <v>252</v>
      </c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3"/>
      <c r="R75" s="173"/>
      <c r="S75" s="173"/>
      <c r="T75" s="173"/>
      <c r="U75" s="173"/>
      <c r="V75" s="173"/>
      <c r="W75" s="173"/>
      <c r="X75" s="173"/>
      <c r="Y75" s="173"/>
      <c r="Z75" s="173"/>
      <c r="AA75" s="173"/>
      <c r="AB75" s="173"/>
      <c r="AC75" s="173"/>
      <c r="AD75" s="173"/>
      <c r="AE75" s="173"/>
      <c r="AF75" s="173"/>
      <c r="AG75" s="173"/>
      <c r="AH75" s="173"/>
      <c r="AI75" s="173"/>
      <c r="AJ75" s="173"/>
      <c r="AK75" s="173"/>
      <c r="AL75" s="173"/>
      <c r="AM75" s="173"/>
      <c r="AN75" s="173"/>
      <c r="AO75" s="173"/>
      <c r="AP75" s="173"/>
      <c r="AQ75" s="173"/>
      <c r="AR75" s="173"/>
      <c r="AS75" s="173"/>
      <c r="AT75" s="173"/>
      <c r="AU75" s="173"/>
      <c r="AV75" s="173"/>
      <c r="AW75" s="173"/>
      <c r="AX75" s="173"/>
      <c r="AY75" s="173"/>
      <c r="AZ75" s="173"/>
      <c r="BA75" s="173"/>
      <c r="BB75" s="173"/>
      <c r="BC75" s="173"/>
      <c r="BD75" s="173"/>
      <c r="BE75" s="173"/>
      <c r="BF75" s="173"/>
      <c r="BG75" s="173"/>
      <c r="BH75" s="173"/>
      <c r="BI75" s="173"/>
      <c r="BJ75" s="173"/>
    </row>
    <row r="107" spans="2:62">
      <c r="B107" s="9" t="s">
        <v>253</v>
      </c>
      <c r="C107" s="173"/>
      <c r="D107" s="173"/>
      <c r="E107" s="173"/>
      <c r="F107" s="173"/>
      <c r="G107" s="173"/>
      <c r="H107" s="173"/>
      <c r="I107" s="173"/>
      <c r="J107" s="173"/>
      <c r="K107" s="173"/>
      <c r="L107" s="173"/>
      <c r="M107" s="173"/>
      <c r="N107" s="173"/>
      <c r="O107" s="173"/>
      <c r="P107" s="173"/>
      <c r="Q107" s="173"/>
      <c r="R107" s="173"/>
      <c r="S107" s="173"/>
      <c r="T107" s="173"/>
      <c r="U107" s="173"/>
      <c r="V107" s="173"/>
      <c r="W107" s="173"/>
      <c r="X107" s="173"/>
      <c r="Y107" s="173"/>
      <c r="Z107" s="173"/>
      <c r="AA107" s="173"/>
      <c r="AB107" s="173"/>
      <c r="AC107" s="173"/>
      <c r="AD107" s="173"/>
      <c r="AE107" s="173"/>
      <c r="AF107" s="173"/>
      <c r="AG107" s="173"/>
      <c r="AH107" s="173"/>
      <c r="AI107" s="173"/>
      <c r="AJ107" s="173"/>
      <c r="AK107" s="173"/>
      <c r="AL107" s="173"/>
      <c r="AM107" s="173"/>
      <c r="AN107" s="173"/>
      <c r="AO107" s="173"/>
      <c r="AP107" s="173"/>
      <c r="AQ107" s="173"/>
      <c r="AR107" s="173"/>
      <c r="AS107" s="173"/>
      <c r="AT107" s="173"/>
      <c r="AU107" s="173"/>
      <c r="AV107" s="173"/>
      <c r="AW107" s="173"/>
      <c r="AX107" s="173"/>
      <c r="AY107" s="173"/>
      <c r="AZ107" s="173"/>
      <c r="BA107" s="173"/>
      <c r="BB107" s="173"/>
      <c r="BC107" s="173"/>
      <c r="BD107" s="173"/>
      <c r="BE107" s="173"/>
      <c r="BF107" s="173"/>
      <c r="BG107" s="173"/>
      <c r="BH107" s="173"/>
      <c r="BI107" s="173"/>
      <c r="BJ107" s="173"/>
    </row>
  </sheetData>
  <mergeCells count="28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  <mergeCell ref="B8:E8"/>
    <mergeCell ref="F8:Z8"/>
    <mergeCell ref="AA8:AE8"/>
    <mergeCell ref="AF8:AJ8"/>
    <mergeCell ref="B9:E9"/>
    <mergeCell ref="F9:Z9"/>
    <mergeCell ref="AA9:AE9"/>
    <mergeCell ref="AF9:AJ9"/>
  </mergeCells>
  <phoneticPr fontId="3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9BDA2-C690-456B-9B23-A3FEC6929909}">
  <dimension ref="A1:BK49"/>
  <sheetViews>
    <sheetView view="pageBreakPreview" zoomScale="75" zoomScaleNormal="75" zoomScaleSheetLayoutView="75" workbookViewId="0">
      <selection activeCell="F9" sqref="F9:Z9"/>
    </sheetView>
  </sheetViews>
  <sheetFormatPr defaultRowHeight="15.75"/>
  <cols>
    <col min="1" max="63" width="2.77734375" customWidth="1"/>
  </cols>
  <sheetData>
    <row r="1" spans="1:63" ht="24.95" customHeight="1">
      <c r="A1" s="190" t="s">
        <v>0</v>
      </c>
      <c r="B1" s="191"/>
      <c r="C1" s="191"/>
      <c r="D1" s="191"/>
      <c r="E1" s="191"/>
      <c r="F1" s="191"/>
      <c r="G1" s="191"/>
      <c r="H1" s="191"/>
      <c r="I1" s="191"/>
      <c r="J1" s="192"/>
      <c r="K1" s="190" t="s">
        <v>2</v>
      </c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2"/>
      <c r="W1" s="193" t="str">
        <f>IF(表紙!W1="","",表紙!W1)</f>
        <v/>
      </c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5"/>
      <c r="AP1" s="190" t="s">
        <v>3</v>
      </c>
      <c r="AQ1" s="191"/>
      <c r="AR1" s="191"/>
      <c r="AS1" s="192"/>
      <c r="AT1" s="190" t="s">
        <v>4</v>
      </c>
      <c r="AU1" s="191"/>
      <c r="AV1" s="191"/>
      <c r="AW1" s="191"/>
      <c r="AX1" s="192"/>
      <c r="AY1" s="190" t="s">
        <v>5</v>
      </c>
      <c r="AZ1" s="191"/>
      <c r="BA1" s="191"/>
      <c r="BB1" s="192"/>
      <c r="BC1" s="190" t="s">
        <v>6</v>
      </c>
      <c r="BD1" s="191"/>
      <c r="BE1" s="191"/>
      <c r="BF1" s="191"/>
      <c r="BG1" s="192"/>
      <c r="BH1" s="190" t="s">
        <v>7</v>
      </c>
      <c r="BI1" s="191"/>
      <c r="BJ1" s="191"/>
      <c r="BK1" s="192"/>
    </row>
    <row r="2" spans="1:63" ht="15" customHeight="1">
      <c r="A2" s="175" t="str">
        <f>IF(表紙!A2="","",表紙!A2)</f>
        <v>現金専用簡易セルフPOS</v>
      </c>
      <c r="B2" s="176"/>
      <c r="C2" s="176"/>
      <c r="D2" s="176"/>
      <c r="E2" s="176"/>
      <c r="F2" s="176"/>
      <c r="G2" s="176"/>
      <c r="H2" s="176"/>
      <c r="I2" s="176"/>
      <c r="J2" s="177"/>
      <c r="K2" s="175" t="str">
        <f>IF(表紙!K2="","",表紙!K2)</f>
        <v/>
      </c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7"/>
      <c r="W2" s="196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8"/>
      <c r="AP2" s="175" t="str">
        <f>IF(表紙!AP2="","",表紙!AP2)</f>
        <v>Thanh Nguyên</v>
      </c>
      <c r="AQ2" s="176"/>
      <c r="AR2" s="176"/>
      <c r="AS2" s="177"/>
      <c r="AT2" s="208">
        <f>IF(表紙!AT2="","",表紙!AT2)</f>
        <v>45153</v>
      </c>
      <c r="AU2" s="209"/>
      <c r="AV2" s="209"/>
      <c r="AW2" s="209"/>
      <c r="AX2" s="210"/>
      <c r="AY2" s="175" t="str">
        <f>IF(表紙!AY2="","",表紙!AY2)</f>
        <v>Thanh Nguyên</v>
      </c>
      <c r="AZ2" s="176"/>
      <c r="BA2" s="176"/>
      <c r="BB2" s="177"/>
      <c r="BC2" s="208">
        <f>IF(表紙!BC2="","",表紙!BC2)</f>
        <v>45153</v>
      </c>
      <c r="BD2" s="209"/>
      <c r="BE2" s="209"/>
      <c r="BF2" s="209"/>
      <c r="BG2" s="210"/>
      <c r="BH2" s="175">
        <f>IF(表紙!BH2="","",表紙!BH2)</f>
        <v>0.5</v>
      </c>
      <c r="BI2" s="176"/>
      <c r="BJ2" s="176"/>
      <c r="BK2" s="177"/>
    </row>
    <row r="3" spans="1:63" ht="15" customHeight="1">
      <c r="A3" s="181"/>
      <c r="B3" s="182"/>
      <c r="C3" s="182"/>
      <c r="D3" s="182"/>
      <c r="E3" s="182"/>
      <c r="F3" s="182"/>
      <c r="G3" s="182"/>
      <c r="H3" s="182"/>
      <c r="I3" s="182"/>
      <c r="J3" s="183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3"/>
      <c r="W3" s="199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1"/>
      <c r="AP3" s="181"/>
      <c r="AQ3" s="182"/>
      <c r="AR3" s="182"/>
      <c r="AS3" s="183"/>
      <c r="AT3" s="211"/>
      <c r="AU3" s="212"/>
      <c r="AV3" s="212"/>
      <c r="AW3" s="212"/>
      <c r="AX3" s="213"/>
      <c r="AY3" s="181"/>
      <c r="AZ3" s="182"/>
      <c r="BA3" s="182"/>
      <c r="BB3" s="183"/>
      <c r="BC3" s="211"/>
      <c r="BD3" s="212"/>
      <c r="BE3" s="212"/>
      <c r="BF3" s="212"/>
      <c r="BG3" s="213"/>
      <c r="BH3" s="181"/>
      <c r="BI3" s="182"/>
      <c r="BJ3" s="182"/>
      <c r="BK3" s="183"/>
    </row>
    <row r="4" spans="1:63" ht="24.95" customHeight="1">
      <c r="A4" s="190" t="s">
        <v>1</v>
      </c>
      <c r="B4" s="191"/>
      <c r="C4" s="191"/>
      <c r="D4" s="191"/>
      <c r="E4" s="191"/>
      <c r="F4" s="191"/>
      <c r="G4" s="192"/>
      <c r="H4" s="214" t="str">
        <f>IF(表紙!H4="","",表紙!H4)</f>
        <v/>
      </c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  <c r="U4" s="190" t="s">
        <v>8</v>
      </c>
      <c r="V4" s="191"/>
      <c r="W4" s="191"/>
      <c r="X4" s="191"/>
      <c r="Y4" s="192"/>
      <c r="Z4" s="214" t="str">
        <f>IF(表紙!Z4="","",表紙!Z4)</f>
        <v/>
      </c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6"/>
      <c r="AP4" s="214" t="str" cm="1">
        <f t="array" aca="1" ref="AP4" ca="1">RIGHT(CELL("filename",$A$1),LEN(CELL("filename",$A$1))-FIND("]",CELL("filename",$A$1)))</f>
        <v xml:space="preserve">API仕様(Charge_CHK) </v>
      </c>
      <c r="AQ4" s="215"/>
      <c r="AR4" s="215"/>
      <c r="AS4" s="215"/>
      <c r="AT4" s="215"/>
      <c r="AU4" s="215"/>
      <c r="AV4" s="215"/>
      <c r="AW4" s="215"/>
      <c r="AX4" s="215"/>
      <c r="AY4" s="215"/>
      <c r="AZ4" s="215"/>
      <c r="BA4" s="215"/>
      <c r="BB4" s="215"/>
      <c r="BC4" s="215"/>
      <c r="BD4" s="215"/>
      <c r="BE4" s="215"/>
      <c r="BF4" s="215"/>
      <c r="BG4" s="215"/>
      <c r="BH4" s="215"/>
      <c r="BI4" s="215"/>
      <c r="BJ4" s="215"/>
      <c r="BK4" s="216"/>
    </row>
    <row r="5" spans="1:63" ht="5.0999999999999996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8"/>
    </row>
    <row r="6" spans="1:63" ht="15" customHeight="1">
      <c r="A6" s="1"/>
      <c r="BK6" s="7"/>
    </row>
    <row r="7" spans="1:63" ht="15" customHeight="1">
      <c r="A7" s="1"/>
      <c r="B7" t="s">
        <v>147</v>
      </c>
      <c r="BK7" s="7"/>
    </row>
    <row r="8" spans="1:63" ht="15" customHeight="1">
      <c r="A8" s="1"/>
      <c r="B8" s="258" t="s">
        <v>95</v>
      </c>
      <c r="C8" s="259"/>
      <c r="D8" s="259"/>
      <c r="E8" s="260"/>
      <c r="F8" s="258" t="s">
        <v>96</v>
      </c>
      <c r="G8" s="259"/>
      <c r="H8" s="259"/>
      <c r="I8" s="259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59"/>
      <c r="U8" s="259"/>
      <c r="V8" s="259"/>
      <c r="W8" s="259"/>
      <c r="X8" s="259"/>
      <c r="Y8" s="259"/>
      <c r="Z8" s="260"/>
      <c r="AA8" s="261" t="s">
        <v>97</v>
      </c>
      <c r="AB8" s="262"/>
      <c r="AC8" s="262"/>
      <c r="AD8" s="262"/>
      <c r="AE8" s="263"/>
      <c r="AF8" s="261" t="s">
        <v>98</v>
      </c>
      <c r="AG8" s="262"/>
      <c r="AH8" s="262"/>
      <c r="AI8" s="262"/>
      <c r="AJ8" s="263"/>
      <c r="BK8" s="7"/>
    </row>
    <row r="9" spans="1:63" ht="15" customHeight="1">
      <c r="A9" s="1"/>
      <c r="B9" s="264" t="s">
        <v>99</v>
      </c>
      <c r="C9" s="264"/>
      <c r="D9" s="264"/>
      <c r="E9" s="264"/>
      <c r="F9" s="264" t="s">
        <v>164</v>
      </c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  <c r="X9" s="264"/>
      <c r="Y9" s="264"/>
      <c r="Z9" s="264"/>
      <c r="AA9" s="265" t="s">
        <v>100</v>
      </c>
      <c r="AB9" s="265"/>
      <c r="AC9" s="265"/>
      <c r="AD9" s="265"/>
      <c r="AE9" s="265"/>
      <c r="AF9" s="265" t="s">
        <v>101</v>
      </c>
      <c r="AG9" s="265"/>
      <c r="AH9" s="265"/>
      <c r="AI9" s="265"/>
      <c r="AJ9" s="265"/>
      <c r="BK9" s="7"/>
    </row>
    <row r="10" spans="1:63" ht="15" customHeight="1">
      <c r="A10" s="1"/>
      <c r="BK10" s="7"/>
    </row>
    <row r="11" spans="1:63" ht="15" customHeight="1">
      <c r="A11" s="1"/>
      <c r="B11" s="55" t="s">
        <v>125</v>
      </c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7"/>
      <c r="AN11" s="136" t="s">
        <v>102</v>
      </c>
      <c r="AO11" s="137"/>
      <c r="AP11" s="137"/>
      <c r="AQ11" s="137"/>
      <c r="AR11" s="137"/>
      <c r="AS11" s="137"/>
      <c r="AT11" s="137"/>
      <c r="AU11" s="137"/>
      <c r="AV11" s="137"/>
      <c r="AW11" s="137"/>
      <c r="AX11" s="137"/>
      <c r="AY11" s="137"/>
      <c r="AZ11" s="137"/>
      <c r="BA11" s="137"/>
      <c r="BB11" s="137"/>
      <c r="BC11" s="137"/>
      <c r="BD11" s="137"/>
      <c r="BE11" s="137"/>
      <c r="BF11" s="137"/>
      <c r="BG11" s="137"/>
      <c r="BH11" s="63"/>
      <c r="BI11" s="63"/>
      <c r="BJ11" s="64"/>
      <c r="BK11" s="7"/>
    </row>
    <row r="12" spans="1:63" ht="15" customHeight="1">
      <c r="A12" s="1"/>
      <c r="B12" s="138" t="s">
        <v>103</v>
      </c>
      <c r="C12" s="111"/>
      <c r="D12" s="111"/>
      <c r="E12" s="111"/>
      <c r="F12" s="111"/>
      <c r="G12" s="111"/>
      <c r="H12" s="111"/>
      <c r="I12" s="139" t="s">
        <v>104</v>
      </c>
      <c r="J12" s="111"/>
      <c r="K12" s="111"/>
      <c r="L12" s="139" t="s">
        <v>105</v>
      </c>
      <c r="M12" s="63"/>
      <c r="N12" s="63"/>
      <c r="O12" s="140" t="s">
        <v>106</v>
      </c>
      <c r="P12" s="63"/>
      <c r="Q12" s="111"/>
      <c r="R12" s="139" t="s">
        <v>107</v>
      </c>
      <c r="S12" s="63"/>
      <c r="T12" s="63"/>
      <c r="U12" s="111"/>
      <c r="V12" s="111"/>
      <c r="W12" s="111"/>
      <c r="X12" s="111"/>
      <c r="Y12" s="111"/>
      <c r="Z12" s="111"/>
      <c r="AA12" s="111"/>
      <c r="AB12" s="139" t="s">
        <v>108</v>
      </c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69"/>
      <c r="AN12" s="141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3"/>
      <c r="BK12" s="7"/>
    </row>
    <row r="13" spans="1:63" ht="15" customHeight="1">
      <c r="A13" s="1"/>
      <c r="B13" s="142"/>
      <c r="C13" s="80"/>
      <c r="D13" s="80"/>
      <c r="E13" s="80"/>
      <c r="F13" s="80"/>
      <c r="G13" s="80"/>
      <c r="H13" s="143"/>
      <c r="I13" s="144"/>
      <c r="J13" s="80"/>
      <c r="K13" s="143"/>
      <c r="L13" s="145"/>
      <c r="M13" s="80"/>
      <c r="N13" s="143"/>
      <c r="O13" s="146"/>
      <c r="P13" s="80"/>
      <c r="Q13" s="143"/>
      <c r="R13" s="144"/>
      <c r="S13" s="80"/>
      <c r="T13" s="80"/>
      <c r="U13" s="80"/>
      <c r="V13" s="80"/>
      <c r="W13" s="80"/>
      <c r="X13" s="147"/>
      <c r="Y13" s="147"/>
      <c r="Z13" s="147"/>
      <c r="AA13" s="148"/>
      <c r="AB13" s="149" t="s">
        <v>109</v>
      </c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6"/>
      <c r="AN13" s="138" t="s">
        <v>103</v>
      </c>
      <c r="AO13" s="111"/>
      <c r="AP13" s="111"/>
      <c r="AQ13" s="111"/>
      <c r="AR13" s="111"/>
      <c r="AS13" s="111"/>
      <c r="AT13" s="111"/>
      <c r="AU13" s="150"/>
      <c r="AV13" s="150"/>
      <c r="AW13" s="150"/>
      <c r="AX13" s="150"/>
      <c r="AY13" s="150"/>
      <c r="AZ13" s="150"/>
      <c r="BA13" s="150"/>
      <c r="BB13" s="150"/>
      <c r="BC13" s="150"/>
      <c r="BD13" s="150"/>
      <c r="BE13" s="150"/>
      <c r="BF13" s="150"/>
      <c r="BG13" s="150"/>
      <c r="BH13" s="150"/>
      <c r="BI13" s="150"/>
      <c r="BJ13" s="86"/>
      <c r="BK13" s="7"/>
    </row>
    <row r="14" spans="1:63" ht="15" customHeight="1">
      <c r="A14" s="1"/>
      <c r="B14" s="151" t="s">
        <v>78</v>
      </c>
      <c r="C14" s="96"/>
      <c r="D14" s="96"/>
      <c r="E14" s="96"/>
      <c r="F14" s="96"/>
      <c r="G14" s="96"/>
      <c r="H14" s="152"/>
      <c r="I14" s="153" t="s">
        <v>111</v>
      </c>
      <c r="J14" s="96"/>
      <c r="K14" s="152"/>
      <c r="L14" s="154" t="s">
        <v>112</v>
      </c>
      <c r="M14" s="96"/>
      <c r="N14" s="152"/>
      <c r="O14" s="155" t="s">
        <v>113</v>
      </c>
      <c r="P14" s="96"/>
      <c r="Q14" s="152"/>
      <c r="R14" s="153" t="s">
        <v>72</v>
      </c>
      <c r="S14" s="96"/>
      <c r="T14" s="96"/>
      <c r="U14" s="96"/>
      <c r="V14" s="96"/>
      <c r="W14" s="96"/>
      <c r="X14" s="156"/>
      <c r="Y14" s="156"/>
      <c r="Z14" s="156"/>
      <c r="AA14" s="157"/>
      <c r="AB14" s="158" t="str">
        <f>"  """&amp;B14&amp;": ""200"","""</f>
        <v xml:space="preserve">  "company_code: "200","</v>
      </c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00"/>
      <c r="AN14" s="159" t="s">
        <v>62</v>
      </c>
      <c r="AO14" s="160"/>
      <c r="AP14" s="113"/>
      <c r="AQ14" s="161"/>
      <c r="AR14" s="161"/>
      <c r="AS14" s="161"/>
      <c r="AT14" s="161"/>
      <c r="AU14" s="161" t="s">
        <v>168</v>
      </c>
      <c r="AV14" s="161"/>
      <c r="AW14" s="161"/>
      <c r="AX14" s="161"/>
      <c r="AY14" s="161"/>
      <c r="AZ14" s="161"/>
      <c r="BA14" s="161"/>
      <c r="BB14" s="161"/>
      <c r="BC14" s="161"/>
      <c r="BD14" s="161"/>
      <c r="BE14" s="161"/>
      <c r="BF14" s="161"/>
      <c r="BG14" s="161"/>
      <c r="BH14" s="161"/>
      <c r="BI14" s="161"/>
      <c r="BJ14" s="100"/>
      <c r="BK14" s="7"/>
    </row>
    <row r="15" spans="1:63" ht="15" customHeight="1">
      <c r="A15" s="1"/>
      <c r="B15" s="151" t="s">
        <v>79</v>
      </c>
      <c r="C15" s="96"/>
      <c r="D15" s="96"/>
      <c r="E15" s="96"/>
      <c r="F15" s="96"/>
      <c r="G15" s="96"/>
      <c r="H15" s="152"/>
      <c r="I15" s="153" t="s">
        <v>111</v>
      </c>
      <c r="J15" s="96"/>
      <c r="K15" s="152"/>
      <c r="L15" s="162" t="s">
        <v>112</v>
      </c>
      <c r="M15" s="96"/>
      <c r="N15" s="152"/>
      <c r="O15" s="163" t="s">
        <v>127</v>
      </c>
      <c r="P15" s="96"/>
      <c r="Q15" s="152"/>
      <c r="R15" s="153" t="s">
        <v>73</v>
      </c>
      <c r="S15" s="96"/>
      <c r="T15" s="96"/>
      <c r="U15" s="96"/>
      <c r="V15" s="96"/>
      <c r="W15" s="96"/>
      <c r="X15" s="156"/>
      <c r="Y15" s="156"/>
      <c r="Z15" s="156"/>
      <c r="AA15" s="157"/>
      <c r="AB15" s="158" t="str">
        <f>"  """&amp;B15&amp;": ""02701"","""</f>
        <v xml:space="preserve">  "store_code: "02701","</v>
      </c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00"/>
      <c r="AN15" s="159" t="s">
        <v>64</v>
      </c>
      <c r="AO15" s="160"/>
      <c r="AP15" s="113"/>
      <c r="AQ15" s="161"/>
      <c r="AR15" s="161"/>
      <c r="AS15" s="161"/>
      <c r="AT15" s="161"/>
      <c r="AU15" s="161" t="s">
        <v>169</v>
      </c>
      <c r="AV15" s="161"/>
      <c r="AW15" s="161"/>
      <c r="AX15" s="161"/>
      <c r="AY15" s="161"/>
      <c r="AZ15" s="161"/>
      <c r="BA15" s="161"/>
      <c r="BB15" s="161"/>
      <c r="BC15" s="161"/>
      <c r="BD15" s="161"/>
      <c r="BE15" s="161"/>
      <c r="BF15" s="161"/>
      <c r="BG15" s="161"/>
      <c r="BH15" s="161"/>
      <c r="BI15" s="161"/>
      <c r="BJ15" s="100"/>
      <c r="BK15" s="7"/>
    </row>
    <row r="16" spans="1:63" ht="15" customHeight="1">
      <c r="A16" s="1"/>
      <c r="B16" s="151" t="s">
        <v>80</v>
      </c>
      <c r="C16" s="96"/>
      <c r="D16" s="96"/>
      <c r="E16" s="96"/>
      <c r="F16" s="96"/>
      <c r="G16" s="96"/>
      <c r="H16" s="152"/>
      <c r="I16" s="153" t="s">
        <v>111</v>
      </c>
      <c r="J16" s="96"/>
      <c r="K16" s="152"/>
      <c r="L16" s="162" t="s">
        <v>112</v>
      </c>
      <c r="M16" s="96"/>
      <c r="N16" s="152"/>
      <c r="O16" s="163" t="s">
        <v>127</v>
      </c>
      <c r="P16" s="96"/>
      <c r="Q16" s="152"/>
      <c r="R16" s="153" t="s">
        <v>74</v>
      </c>
      <c r="S16" s="96"/>
      <c r="T16" s="96"/>
      <c r="U16" s="96"/>
      <c r="V16" s="96"/>
      <c r="W16" s="96"/>
      <c r="X16" s="156"/>
      <c r="Y16" s="156"/>
      <c r="Z16" s="156"/>
      <c r="AA16" s="157"/>
      <c r="AB16" s="158" t="str">
        <f>"  """&amp;B16&amp;": ""6201"","""</f>
        <v xml:space="preserve">  "instore_code: "6201","</v>
      </c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00"/>
      <c r="AN16" t="s">
        <v>66</v>
      </c>
      <c r="AU16" t="s">
        <v>170</v>
      </c>
      <c r="BK16" s="7"/>
    </row>
    <row r="17" spans="1:63" ht="15" customHeight="1">
      <c r="A17" s="1"/>
      <c r="B17" s="151"/>
      <c r="C17" s="96"/>
      <c r="D17" s="96"/>
      <c r="E17" s="96"/>
      <c r="F17" s="96"/>
      <c r="G17" s="96"/>
      <c r="H17" s="152"/>
      <c r="I17" s="153"/>
      <c r="J17" s="96"/>
      <c r="K17" s="152"/>
      <c r="L17" s="162"/>
      <c r="M17" s="96"/>
      <c r="N17" s="152"/>
      <c r="O17" s="163"/>
      <c r="P17" s="96"/>
      <c r="Q17" s="152"/>
      <c r="R17" s="153"/>
      <c r="S17" s="96"/>
      <c r="T17" s="96"/>
      <c r="U17" s="96"/>
      <c r="V17" s="96"/>
      <c r="W17" s="96"/>
      <c r="X17" s="156"/>
      <c r="Y17" s="156"/>
      <c r="Z17" s="156"/>
      <c r="AA17" s="157"/>
      <c r="AB17" s="158" t="s">
        <v>126</v>
      </c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00"/>
      <c r="AN17" t="s">
        <v>166</v>
      </c>
      <c r="AU17" s="171" t="s">
        <v>171</v>
      </c>
      <c r="AZ17" t="s">
        <v>172</v>
      </c>
      <c r="BK17" s="7"/>
    </row>
    <row r="18" spans="1:63" ht="15" customHeight="1">
      <c r="A18" s="1"/>
      <c r="B18" s="151"/>
      <c r="C18" s="96"/>
      <c r="D18" s="96"/>
      <c r="E18" s="96"/>
      <c r="F18" s="96"/>
      <c r="G18" s="96"/>
      <c r="H18" s="152"/>
      <c r="I18" s="153"/>
      <c r="J18" s="96"/>
      <c r="K18" s="152"/>
      <c r="L18" s="162"/>
      <c r="M18" s="96"/>
      <c r="N18" s="152"/>
      <c r="O18" s="163"/>
      <c r="P18" s="96"/>
      <c r="Q18" s="152"/>
      <c r="R18" s="153"/>
      <c r="S18" s="96"/>
      <c r="T18" s="96"/>
      <c r="U18" s="96"/>
      <c r="V18" s="96"/>
      <c r="W18" s="96"/>
      <c r="X18" s="156"/>
      <c r="Y18" s="156"/>
      <c r="Z18" s="156"/>
      <c r="AA18" s="157"/>
      <c r="AB18" s="158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00"/>
      <c r="AN18" t="s">
        <v>167</v>
      </c>
      <c r="AU18" s="172" t="s">
        <v>159</v>
      </c>
      <c r="AZ18" t="s">
        <v>173</v>
      </c>
      <c r="BK18" s="7"/>
    </row>
    <row r="19" spans="1:63" ht="15" customHeight="1">
      <c r="A19" s="1"/>
      <c r="B19" s="151"/>
      <c r="C19" s="96"/>
      <c r="D19" s="96"/>
      <c r="E19" s="96"/>
      <c r="F19" s="96"/>
      <c r="G19" s="96"/>
      <c r="H19" s="152"/>
      <c r="I19" s="153"/>
      <c r="J19" s="96"/>
      <c r="K19" s="152"/>
      <c r="L19" s="162"/>
      <c r="M19" s="96"/>
      <c r="N19" s="152"/>
      <c r="O19" s="163"/>
      <c r="P19" s="96"/>
      <c r="Q19" s="152"/>
      <c r="R19" s="153"/>
      <c r="S19" s="96"/>
      <c r="T19" s="96"/>
      <c r="U19" s="96"/>
      <c r="V19" s="96"/>
      <c r="W19" s="96"/>
      <c r="X19" s="156"/>
      <c r="Y19" s="156"/>
      <c r="Z19" s="156"/>
      <c r="AA19" s="157"/>
      <c r="AB19" s="158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00"/>
      <c r="BK19" s="7"/>
    </row>
    <row r="20" spans="1:63" ht="15" customHeight="1">
      <c r="A20" s="1"/>
      <c r="B20" s="151"/>
      <c r="C20" s="96"/>
      <c r="D20" s="96"/>
      <c r="E20" s="96"/>
      <c r="F20" s="96"/>
      <c r="G20" s="96"/>
      <c r="H20" s="152"/>
      <c r="I20" s="153"/>
      <c r="J20" s="96"/>
      <c r="K20" s="152"/>
      <c r="L20" s="162"/>
      <c r="M20" s="96"/>
      <c r="N20" s="152"/>
      <c r="O20" s="163"/>
      <c r="P20" s="96"/>
      <c r="Q20" s="152"/>
      <c r="R20" s="153"/>
      <c r="S20" s="96"/>
      <c r="T20" s="96"/>
      <c r="U20" s="96"/>
      <c r="V20" s="96"/>
      <c r="W20" s="96"/>
      <c r="X20" s="156"/>
      <c r="Y20" s="156"/>
      <c r="Z20" s="156"/>
      <c r="AA20" s="157"/>
      <c r="AB20" s="158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00"/>
      <c r="BK20" s="7"/>
    </row>
    <row r="21" spans="1:63" ht="15" customHeight="1">
      <c r="A21" s="1"/>
      <c r="B21" s="151"/>
      <c r="C21" s="96"/>
      <c r="D21" s="96"/>
      <c r="E21" s="96"/>
      <c r="F21" s="96"/>
      <c r="G21" s="96"/>
      <c r="H21" s="152"/>
      <c r="I21" s="153"/>
      <c r="J21" s="96"/>
      <c r="K21" s="152"/>
      <c r="L21" s="162"/>
      <c r="M21" s="96"/>
      <c r="N21" s="152"/>
      <c r="O21" s="155"/>
      <c r="P21" s="96"/>
      <c r="Q21" s="152"/>
      <c r="R21" s="153"/>
      <c r="S21" s="96"/>
      <c r="T21" s="96"/>
      <c r="U21" s="96"/>
      <c r="V21" s="96"/>
      <c r="W21" s="96"/>
      <c r="X21" s="156"/>
      <c r="Y21" s="156"/>
      <c r="Z21" s="156"/>
      <c r="AA21" s="157"/>
      <c r="AB21" s="158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00"/>
      <c r="BK21" s="7"/>
    </row>
    <row r="22" spans="1:63" ht="15" customHeight="1">
      <c r="A22" s="1"/>
      <c r="B22" s="151"/>
      <c r="C22" s="96"/>
      <c r="D22" s="96"/>
      <c r="E22" s="96"/>
      <c r="F22" s="96"/>
      <c r="G22" s="96"/>
      <c r="H22" s="152"/>
      <c r="I22" s="153"/>
      <c r="J22" s="96"/>
      <c r="K22" s="152"/>
      <c r="L22" s="164"/>
      <c r="M22" s="96"/>
      <c r="N22" s="152"/>
      <c r="O22" s="155"/>
      <c r="P22" s="96"/>
      <c r="Q22" s="152"/>
      <c r="R22" s="153"/>
      <c r="S22" s="96"/>
      <c r="T22" s="96"/>
      <c r="U22" s="96"/>
      <c r="V22" s="96"/>
      <c r="W22" s="96"/>
      <c r="X22" s="96"/>
      <c r="Y22" s="96"/>
      <c r="Z22" s="96"/>
      <c r="AA22" s="152"/>
      <c r="AB22" s="158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00"/>
      <c r="BK22" s="7"/>
    </row>
    <row r="23" spans="1:63" ht="15" customHeight="1">
      <c r="A23" s="1"/>
      <c r="B23" s="117"/>
      <c r="C23" s="118"/>
      <c r="D23" s="118"/>
      <c r="E23" s="118"/>
      <c r="F23" s="118"/>
      <c r="G23" s="118"/>
      <c r="H23" s="119"/>
      <c r="I23" s="120"/>
      <c r="J23" s="118"/>
      <c r="K23" s="119"/>
      <c r="L23" s="120"/>
      <c r="M23" s="118"/>
      <c r="N23" s="119"/>
      <c r="O23" s="120"/>
      <c r="P23" s="118"/>
      <c r="Q23" s="119"/>
      <c r="R23" s="120"/>
      <c r="S23" s="118"/>
      <c r="T23" s="118"/>
      <c r="U23" s="118"/>
      <c r="V23" s="118"/>
      <c r="W23" s="118"/>
      <c r="X23" s="118"/>
      <c r="Y23" s="118"/>
      <c r="Z23" s="118"/>
      <c r="AA23" s="119"/>
      <c r="AB23" s="165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3"/>
      <c r="BK23" s="7"/>
    </row>
    <row r="24" spans="1:63" ht="15" customHeight="1"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61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36" t="s">
        <v>114</v>
      </c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7"/>
      <c r="BD24" s="137"/>
      <c r="BE24" s="137"/>
      <c r="BF24" s="137"/>
      <c r="BG24" s="137"/>
      <c r="BH24" s="63"/>
      <c r="BI24" s="63"/>
      <c r="BJ24" s="64"/>
    </row>
    <row r="25" spans="1:63" ht="15" customHeight="1"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61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41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3"/>
    </row>
    <row r="26" spans="1:63" ht="15" customHeight="1"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61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66" t="s">
        <v>117</v>
      </c>
      <c r="AO26" s="167"/>
      <c r="AP26" s="85"/>
      <c r="AQ26" s="150"/>
      <c r="AR26" s="150"/>
      <c r="AS26" s="168"/>
      <c r="AT26" s="149" t="s">
        <v>118</v>
      </c>
      <c r="AU26" s="161"/>
      <c r="AV26" s="161"/>
      <c r="AW26" s="161"/>
      <c r="AX26" s="161"/>
      <c r="AY26" s="161"/>
      <c r="AZ26" s="161"/>
      <c r="BA26" s="161"/>
      <c r="BB26" s="161"/>
      <c r="BC26" s="161"/>
      <c r="BD26" s="161"/>
      <c r="BE26" s="161"/>
      <c r="BF26" s="161"/>
      <c r="BG26" s="161"/>
      <c r="BH26" s="161"/>
      <c r="BI26" s="161"/>
      <c r="BJ26" s="100"/>
    </row>
    <row r="27" spans="1:63" ht="15" customHeight="1"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61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59" t="s">
        <v>120</v>
      </c>
      <c r="AO27" s="169"/>
      <c r="AP27" s="113"/>
      <c r="AQ27" s="161"/>
      <c r="AR27" s="161"/>
      <c r="AS27" s="170"/>
      <c r="AT27" s="158" t="s">
        <v>121</v>
      </c>
      <c r="AU27" s="161"/>
      <c r="AV27" s="161"/>
      <c r="AW27" s="161"/>
      <c r="AX27" s="161"/>
      <c r="AY27" s="161"/>
      <c r="AZ27" s="161"/>
      <c r="BA27" s="161"/>
      <c r="BB27" s="161"/>
      <c r="BC27" s="161"/>
      <c r="BD27" s="161"/>
      <c r="BE27" s="161"/>
      <c r="BF27" s="161"/>
      <c r="BG27" s="161"/>
      <c r="BH27" s="161"/>
      <c r="BI27" s="161"/>
      <c r="BJ27" s="100"/>
    </row>
    <row r="28" spans="1:63" ht="15" customHeight="1"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61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59" t="s">
        <v>120</v>
      </c>
      <c r="AO28" s="169"/>
      <c r="AP28" s="113"/>
      <c r="AQ28" s="161"/>
      <c r="AR28" s="161"/>
      <c r="AS28" s="170"/>
      <c r="AT28" s="158" t="s">
        <v>122</v>
      </c>
      <c r="AU28" s="161"/>
      <c r="AV28" s="161"/>
      <c r="AW28" s="161"/>
      <c r="AX28" s="161"/>
      <c r="AY28" s="161"/>
      <c r="AZ28" s="161"/>
      <c r="BA28" s="161"/>
      <c r="BB28" s="161"/>
      <c r="BC28" s="161"/>
      <c r="BD28" s="161"/>
      <c r="BE28" s="161"/>
      <c r="BF28" s="161"/>
      <c r="BG28" s="161"/>
      <c r="BH28" s="161"/>
      <c r="BI28" s="161"/>
      <c r="BJ28" s="100"/>
    </row>
    <row r="29" spans="1:63" ht="15" customHeight="1"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61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59" t="s">
        <v>120</v>
      </c>
      <c r="AO29" s="169"/>
      <c r="AP29" s="113"/>
      <c r="AQ29" s="161"/>
      <c r="AR29" s="161"/>
      <c r="AS29" s="170"/>
      <c r="AT29" s="158" t="s">
        <v>123</v>
      </c>
      <c r="AU29" s="161"/>
      <c r="AV29" s="161"/>
      <c r="AW29" s="161"/>
      <c r="AX29" s="161"/>
      <c r="AY29" s="161"/>
      <c r="AZ29" s="161"/>
      <c r="BA29" s="161"/>
      <c r="BB29" s="161"/>
      <c r="BC29" s="161"/>
      <c r="BD29" s="161"/>
      <c r="BE29" s="161"/>
      <c r="BF29" s="161"/>
      <c r="BG29" s="161"/>
      <c r="BH29" s="161"/>
      <c r="BI29" s="161"/>
      <c r="BJ29" s="100"/>
    </row>
    <row r="30" spans="1:63" ht="15" customHeight="1"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61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59" t="s">
        <v>120</v>
      </c>
      <c r="AO30" s="113"/>
      <c r="AP30" s="113"/>
      <c r="AQ30" s="113"/>
      <c r="AR30" s="113"/>
      <c r="AS30" s="108"/>
      <c r="AT30" s="109" t="s">
        <v>124</v>
      </c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3"/>
      <c r="BF30" s="113"/>
      <c r="BG30" s="113"/>
      <c r="BH30" s="113"/>
      <c r="BI30" s="113"/>
      <c r="BJ30" s="100"/>
    </row>
    <row r="31" spans="1:63" ht="15" customHeight="1"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61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24"/>
      <c r="AO31" s="122"/>
      <c r="AP31" s="122"/>
      <c r="AQ31" s="122"/>
      <c r="AR31" s="122"/>
      <c r="AS31" s="125"/>
      <c r="AT31" s="126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3"/>
    </row>
    <row r="32" spans="1:63" ht="15" customHeight="1"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61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113"/>
      <c r="BD32" s="113"/>
      <c r="BE32" s="113"/>
      <c r="BF32" s="113"/>
      <c r="BG32" s="113"/>
      <c r="BH32" s="113"/>
      <c r="BI32" s="113"/>
      <c r="BJ32" s="113"/>
    </row>
    <row r="33" spans="2:62" ht="15" customHeight="1">
      <c r="B33" t="s">
        <v>148</v>
      </c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61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3"/>
      <c r="AQ33" s="113"/>
      <c r="AR33" s="113"/>
      <c r="AS33" s="113"/>
      <c r="AT33" s="113"/>
      <c r="AU33" s="113"/>
      <c r="AV33" s="113"/>
      <c r="AW33" s="113"/>
      <c r="AX33" s="113"/>
      <c r="AY33" s="113"/>
      <c r="AZ33" s="113"/>
      <c r="BA33" s="113"/>
      <c r="BB33" s="113"/>
      <c r="BC33" s="113"/>
      <c r="BD33" s="113"/>
      <c r="BE33" s="113"/>
      <c r="BF33" s="113"/>
      <c r="BG33" s="113"/>
      <c r="BH33" s="113"/>
      <c r="BI33" s="113"/>
      <c r="BJ33" s="113"/>
    </row>
    <row r="34" spans="2:62" ht="15" customHeight="1"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61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3"/>
      <c r="BF34" s="113"/>
      <c r="BG34" s="113"/>
      <c r="BH34" s="113"/>
      <c r="BI34" s="113"/>
      <c r="BJ34" s="113"/>
    </row>
    <row r="35" spans="2:62" ht="15" customHeight="1"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61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3"/>
      <c r="BF35" s="113"/>
      <c r="BG35" s="113"/>
      <c r="BH35" s="113"/>
      <c r="BI35" s="113"/>
      <c r="BJ35" s="113"/>
    </row>
    <row r="36" spans="2:62" ht="15" customHeight="1"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61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  <c r="AM36" s="113"/>
      <c r="AN36" s="113"/>
      <c r="AO36" s="113"/>
      <c r="AP36" s="113"/>
      <c r="AQ36" s="113"/>
      <c r="AR36" s="113"/>
      <c r="AS36" s="113"/>
      <c r="AT36" s="113"/>
      <c r="AU36" s="113"/>
      <c r="AV36" s="113"/>
      <c r="AW36" s="113"/>
      <c r="AX36" s="113"/>
      <c r="AY36" s="113"/>
      <c r="AZ36" s="113"/>
      <c r="BA36" s="113"/>
      <c r="BB36" s="113"/>
      <c r="BC36" s="113"/>
      <c r="BD36" s="113"/>
      <c r="BE36" s="113"/>
      <c r="BF36" s="113"/>
      <c r="BG36" s="113"/>
      <c r="BH36" s="113"/>
      <c r="BI36" s="113"/>
      <c r="BJ36" s="113"/>
    </row>
    <row r="37" spans="2:62" ht="15" customHeight="1"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61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  <c r="AM37" s="113"/>
      <c r="AN37" s="113"/>
      <c r="AO37" s="113"/>
      <c r="AP37" s="113"/>
      <c r="AQ37" s="113"/>
      <c r="AR37" s="113"/>
      <c r="AS37" s="113"/>
      <c r="AT37" s="113"/>
      <c r="AU37" s="113"/>
      <c r="AV37" s="113"/>
      <c r="AW37" s="113"/>
      <c r="AX37" s="113"/>
      <c r="AY37" s="113"/>
      <c r="AZ37" s="113"/>
      <c r="BA37" s="113"/>
      <c r="BB37" s="113"/>
      <c r="BC37" s="113"/>
      <c r="BD37" s="113"/>
      <c r="BE37" s="113"/>
      <c r="BF37" s="113"/>
      <c r="BG37" s="113"/>
      <c r="BH37" s="113"/>
      <c r="BI37" s="113"/>
      <c r="BJ37" s="113"/>
    </row>
    <row r="43" spans="2:62">
      <c r="I43" s="171"/>
    </row>
    <row r="44" spans="2:62">
      <c r="I44" s="171"/>
    </row>
    <row r="45" spans="2:62">
      <c r="I45" s="171"/>
    </row>
    <row r="46" spans="2:62">
      <c r="I46" s="171"/>
    </row>
    <row r="47" spans="2:62">
      <c r="I47" s="171"/>
    </row>
    <row r="48" spans="2:62">
      <c r="I48" s="171"/>
    </row>
    <row r="49" spans="9:9">
      <c r="I49" s="171"/>
    </row>
  </sheetData>
  <mergeCells count="28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P4:BK4"/>
    <mergeCell ref="B8:E8"/>
    <mergeCell ref="F8:Z8"/>
    <mergeCell ref="AA8:AE8"/>
    <mergeCell ref="AF8:AJ8"/>
    <mergeCell ref="B9:E9"/>
    <mergeCell ref="F9:Z9"/>
    <mergeCell ref="AA9:AE9"/>
    <mergeCell ref="AF9:AJ9"/>
    <mergeCell ref="A4:G4"/>
    <mergeCell ref="H4:T4"/>
    <mergeCell ref="U4:Y4"/>
    <mergeCell ref="Z4:AO4"/>
  </mergeCells>
  <phoneticPr fontId="3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3CE50-451F-4866-8405-5C813823AF4A}">
  <dimension ref="A1:BK49"/>
  <sheetViews>
    <sheetView view="pageBreakPreview" topLeftCell="A13" zoomScale="75" zoomScaleNormal="75" zoomScaleSheetLayoutView="75" workbookViewId="0">
      <selection activeCell="BA47" sqref="BA47"/>
    </sheetView>
  </sheetViews>
  <sheetFormatPr defaultRowHeight="15.75"/>
  <cols>
    <col min="1" max="63" width="2.77734375" customWidth="1"/>
  </cols>
  <sheetData>
    <row r="1" spans="1:63" ht="24.95" customHeight="1">
      <c r="A1" s="190" t="s">
        <v>0</v>
      </c>
      <c r="B1" s="191"/>
      <c r="C1" s="191"/>
      <c r="D1" s="191"/>
      <c r="E1" s="191"/>
      <c r="F1" s="191"/>
      <c r="G1" s="191"/>
      <c r="H1" s="191"/>
      <c r="I1" s="191"/>
      <c r="J1" s="192"/>
      <c r="K1" s="190" t="s">
        <v>2</v>
      </c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2"/>
      <c r="W1" s="193" t="str">
        <f>IF(表紙!W1="","",表紙!W1)</f>
        <v/>
      </c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5"/>
      <c r="AP1" s="190" t="s">
        <v>3</v>
      </c>
      <c r="AQ1" s="191"/>
      <c r="AR1" s="191"/>
      <c r="AS1" s="192"/>
      <c r="AT1" s="190" t="s">
        <v>4</v>
      </c>
      <c r="AU1" s="191"/>
      <c r="AV1" s="191"/>
      <c r="AW1" s="191"/>
      <c r="AX1" s="192"/>
      <c r="AY1" s="190" t="s">
        <v>5</v>
      </c>
      <c r="AZ1" s="191"/>
      <c r="BA1" s="191"/>
      <c r="BB1" s="192"/>
      <c r="BC1" s="190" t="s">
        <v>6</v>
      </c>
      <c r="BD1" s="191"/>
      <c r="BE1" s="191"/>
      <c r="BF1" s="191"/>
      <c r="BG1" s="192"/>
      <c r="BH1" s="190" t="s">
        <v>7</v>
      </c>
      <c r="BI1" s="191"/>
      <c r="BJ1" s="191"/>
      <c r="BK1" s="192"/>
    </row>
    <row r="2" spans="1:63" ht="15" customHeight="1">
      <c r="A2" s="175" t="str">
        <f>IF(表紙!A2="","",表紙!A2)</f>
        <v>現金専用簡易セルフPOS</v>
      </c>
      <c r="B2" s="176"/>
      <c r="C2" s="176"/>
      <c r="D2" s="176"/>
      <c r="E2" s="176"/>
      <c r="F2" s="176"/>
      <c r="G2" s="176"/>
      <c r="H2" s="176"/>
      <c r="I2" s="176"/>
      <c r="J2" s="177"/>
      <c r="K2" s="175" t="str">
        <f>IF(表紙!K2="","",表紙!K2)</f>
        <v/>
      </c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7"/>
      <c r="W2" s="196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8"/>
      <c r="AP2" s="175" t="str">
        <f>IF(表紙!AP2="","",表紙!AP2)</f>
        <v>Thanh Nguyên</v>
      </c>
      <c r="AQ2" s="176"/>
      <c r="AR2" s="176"/>
      <c r="AS2" s="177"/>
      <c r="AT2" s="208">
        <f>IF(表紙!AT2="","",表紙!AT2)</f>
        <v>45153</v>
      </c>
      <c r="AU2" s="209"/>
      <c r="AV2" s="209"/>
      <c r="AW2" s="209"/>
      <c r="AX2" s="210"/>
      <c r="AY2" s="175" t="str">
        <f>IF(表紙!AY2="","",表紙!AY2)</f>
        <v>Thanh Nguyên</v>
      </c>
      <c r="AZ2" s="176"/>
      <c r="BA2" s="176"/>
      <c r="BB2" s="177"/>
      <c r="BC2" s="208">
        <f>IF(表紙!BC2="","",表紙!BC2)</f>
        <v>45153</v>
      </c>
      <c r="BD2" s="209"/>
      <c r="BE2" s="209"/>
      <c r="BF2" s="209"/>
      <c r="BG2" s="210"/>
      <c r="BH2" s="175">
        <f>IF(表紙!BH2="","",表紙!BH2)</f>
        <v>0.5</v>
      </c>
      <c r="BI2" s="176"/>
      <c r="BJ2" s="176"/>
      <c r="BK2" s="177"/>
    </row>
    <row r="3" spans="1:63" ht="15" customHeight="1">
      <c r="A3" s="181"/>
      <c r="B3" s="182"/>
      <c r="C3" s="182"/>
      <c r="D3" s="182"/>
      <c r="E3" s="182"/>
      <c r="F3" s="182"/>
      <c r="G3" s="182"/>
      <c r="H3" s="182"/>
      <c r="I3" s="182"/>
      <c r="J3" s="183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3"/>
      <c r="W3" s="199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1"/>
      <c r="AP3" s="181"/>
      <c r="AQ3" s="182"/>
      <c r="AR3" s="182"/>
      <c r="AS3" s="183"/>
      <c r="AT3" s="211"/>
      <c r="AU3" s="212"/>
      <c r="AV3" s="212"/>
      <c r="AW3" s="212"/>
      <c r="AX3" s="213"/>
      <c r="AY3" s="181"/>
      <c r="AZ3" s="182"/>
      <c r="BA3" s="182"/>
      <c r="BB3" s="183"/>
      <c r="BC3" s="211"/>
      <c r="BD3" s="212"/>
      <c r="BE3" s="212"/>
      <c r="BF3" s="212"/>
      <c r="BG3" s="213"/>
      <c r="BH3" s="181"/>
      <c r="BI3" s="182"/>
      <c r="BJ3" s="182"/>
      <c r="BK3" s="183"/>
    </row>
    <row r="4" spans="1:63" ht="24.95" customHeight="1">
      <c r="A4" s="190" t="s">
        <v>1</v>
      </c>
      <c r="B4" s="191"/>
      <c r="C4" s="191"/>
      <c r="D4" s="191"/>
      <c r="E4" s="191"/>
      <c r="F4" s="191"/>
      <c r="G4" s="192"/>
      <c r="H4" s="214" t="str">
        <f>IF(表紙!H4="","",表紙!H4)</f>
        <v/>
      </c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  <c r="U4" s="190" t="s">
        <v>8</v>
      </c>
      <c r="V4" s="191"/>
      <c r="W4" s="191"/>
      <c r="X4" s="191"/>
      <c r="Y4" s="192"/>
      <c r="Z4" s="214" t="str">
        <f>IF(表紙!Z4="","",表紙!Z4)</f>
        <v/>
      </c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6"/>
      <c r="AP4" s="214" t="str" cm="1">
        <f t="array" aca="1" ref="AP4" ca="1">RIGHT(CELL("filename",$A$1),LEN(CELL("filename",$A$1))-FIND("]",CELL("filename",$A$1)))</f>
        <v>API仕様(Charge_journal)</v>
      </c>
      <c r="AQ4" s="215"/>
      <c r="AR4" s="215"/>
      <c r="AS4" s="215"/>
      <c r="AT4" s="215"/>
      <c r="AU4" s="215"/>
      <c r="AV4" s="215"/>
      <c r="AW4" s="215"/>
      <c r="AX4" s="215"/>
      <c r="AY4" s="215"/>
      <c r="AZ4" s="215"/>
      <c r="BA4" s="215"/>
      <c r="BB4" s="215"/>
      <c r="BC4" s="215"/>
      <c r="BD4" s="215"/>
      <c r="BE4" s="215"/>
      <c r="BF4" s="215"/>
      <c r="BG4" s="215"/>
      <c r="BH4" s="215"/>
      <c r="BI4" s="215"/>
      <c r="BJ4" s="215"/>
      <c r="BK4" s="216"/>
    </row>
    <row r="5" spans="1:63" ht="5.0999999999999996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8"/>
    </row>
    <row r="6" spans="1:63" ht="15" customHeight="1">
      <c r="A6" s="1"/>
      <c r="BK6" s="7"/>
    </row>
    <row r="7" spans="1:63" ht="15" customHeight="1">
      <c r="A7" s="1"/>
      <c r="B7" t="s">
        <v>147</v>
      </c>
      <c r="BK7" s="7"/>
    </row>
    <row r="8" spans="1:63" ht="15" customHeight="1">
      <c r="A8" s="1"/>
      <c r="B8" s="258" t="s">
        <v>95</v>
      </c>
      <c r="C8" s="259"/>
      <c r="D8" s="259"/>
      <c r="E8" s="260"/>
      <c r="F8" s="258" t="s">
        <v>96</v>
      </c>
      <c r="G8" s="259"/>
      <c r="H8" s="259"/>
      <c r="I8" s="259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59"/>
      <c r="U8" s="259"/>
      <c r="V8" s="259"/>
      <c r="W8" s="259"/>
      <c r="X8" s="259"/>
      <c r="Y8" s="259"/>
      <c r="Z8" s="260"/>
      <c r="AA8" s="261" t="s">
        <v>97</v>
      </c>
      <c r="AB8" s="262"/>
      <c r="AC8" s="262"/>
      <c r="AD8" s="262"/>
      <c r="AE8" s="263"/>
      <c r="AF8" s="261" t="s">
        <v>98</v>
      </c>
      <c r="AG8" s="262"/>
      <c r="AH8" s="262"/>
      <c r="AI8" s="262"/>
      <c r="AJ8" s="263"/>
      <c r="BK8" s="7"/>
    </row>
    <row r="9" spans="1:63" ht="15" customHeight="1">
      <c r="A9" s="1"/>
      <c r="B9" s="264" t="s">
        <v>99</v>
      </c>
      <c r="C9" s="264"/>
      <c r="D9" s="264"/>
      <c r="E9" s="264"/>
      <c r="F9" s="264" t="s">
        <v>174</v>
      </c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  <c r="X9" s="264"/>
      <c r="Y9" s="264"/>
      <c r="Z9" s="264"/>
      <c r="AA9" s="265" t="s">
        <v>100</v>
      </c>
      <c r="AB9" s="265"/>
      <c r="AC9" s="265"/>
      <c r="AD9" s="265"/>
      <c r="AE9" s="265"/>
      <c r="AF9" s="265" t="s">
        <v>101</v>
      </c>
      <c r="AG9" s="265"/>
      <c r="AH9" s="265"/>
      <c r="AI9" s="265"/>
      <c r="AJ9" s="265"/>
      <c r="BK9" s="7"/>
    </row>
    <row r="10" spans="1:63" ht="15" customHeight="1">
      <c r="A10" s="1"/>
      <c r="BK10" s="7"/>
    </row>
    <row r="11" spans="1:63" ht="15" customHeight="1">
      <c r="A11" s="1"/>
      <c r="B11" s="55" t="s">
        <v>125</v>
      </c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7"/>
      <c r="AN11" s="136" t="s">
        <v>102</v>
      </c>
      <c r="AO11" s="137"/>
      <c r="AP11" s="137"/>
      <c r="AQ11" s="137"/>
      <c r="AR11" s="137"/>
      <c r="AS11" s="137"/>
      <c r="AT11" s="137"/>
      <c r="AU11" s="137"/>
      <c r="AV11" s="137"/>
      <c r="AW11" s="137"/>
      <c r="AX11" s="137"/>
      <c r="AY11" s="137"/>
      <c r="AZ11" s="137"/>
      <c r="BA11" s="137"/>
      <c r="BB11" s="137"/>
      <c r="BC11" s="137"/>
      <c r="BD11" s="137"/>
      <c r="BE11" s="137"/>
      <c r="BF11" s="137"/>
      <c r="BG11" s="137"/>
      <c r="BH11" s="63"/>
      <c r="BI11" s="63"/>
      <c r="BJ11" s="64"/>
      <c r="BK11" s="7"/>
    </row>
    <row r="12" spans="1:63" ht="15" customHeight="1">
      <c r="A12" s="1"/>
      <c r="B12" s="138" t="s">
        <v>103</v>
      </c>
      <c r="C12" s="111"/>
      <c r="D12" s="111"/>
      <c r="E12" s="111"/>
      <c r="F12" s="111"/>
      <c r="G12" s="111"/>
      <c r="H12" s="111"/>
      <c r="I12" s="139" t="s">
        <v>104</v>
      </c>
      <c r="J12" s="111"/>
      <c r="K12" s="111"/>
      <c r="L12" s="139" t="s">
        <v>105</v>
      </c>
      <c r="M12" s="63"/>
      <c r="N12" s="63"/>
      <c r="O12" s="140" t="s">
        <v>106</v>
      </c>
      <c r="P12" s="63"/>
      <c r="Q12" s="111"/>
      <c r="R12" s="139" t="s">
        <v>107</v>
      </c>
      <c r="S12" s="63"/>
      <c r="T12" s="63"/>
      <c r="U12" s="111"/>
      <c r="V12" s="111"/>
      <c r="W12" s="111"/>
      <c r="X12" s="111"/>
      <c r="Y12" s="111"/>
      <c r="Z12" s="111"/>
      <c r="AA12" s="111"/>
      <c r="AB12" s="139" t="s">
        <v>108</v>
      </c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69"/>
      <c r="AN12" s="141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3"/>
      <c r="BK12" s="7"/>
    </row>
    <row r="13" spans="1:63" ht="15" customHeight="1">
      <c r="A13" s="1"/>
      <c r="B13" s="142"/>
      <c r="C13" s="80"/>
      <c r="D13" s="80"/>
      <c r="E13" s="80"/>
      <c r="F13" s="80"/>
      <c r="G13" s="80"/>
      <c r="H13" s="143"/>
      <c r="I13" s="144"/>
      <c r="J13" s="80"/>
      <c r="K13" s="143"/>
      <c r="L13" s="145"/>
      <c r="M13" s="80"/>
      <c r="N13" s="143"/>
      <c r="O13" s="146"/>
      <c r="P13" s="80"/>
      <c r="Q13" s="143"/>
      <c r="R13" s="144"/>
      <c r="S13" s="80"/>
      <c r="T13" s="80"/>
      <c r="U13" s="80"/>
      <c r="V13" s="80"/>
      <c r="W13" s="80"/>
      <c r="X13" s="147"/>
      <c r="Y13" s="147"/>
      <c r="Z13" s="147"/>
      <c r="AA13" s="148"/>
      <c r="AB13" s="149" t="s">
        <v>109</v>
      </c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6"/>
      <c r="AN13" s="138" t="s">
        <v>103</v>
      </c>
      <c r="AO13" s="111"/>
      <c r="AP13" s="111"/>
      <c r="AQ13" s="111"/>
      <c r="AR13" s="111"/>
      <c r="AS13" s="111"/>
      <c r="AT13" s="111"/>
      <c r="AU13" s="150"/>
      <c r="AV13" s="150"/>
      <c r="AW13" s="150"/>
      <c r="AX13" s="150"/>
      <c r="AY13" s="150"/>
      <c r="AZ13" s="150"/>
      <c r="BA13" s="150"/>
      <c r="BB13" s="150"/>
      <c r="BC13" s="150"/>
      <c r="BD13" s="150"/>
      <c r="BE13" s="150"/>
      <c r="BF13" s="150"/>
      <c r="BG13" s="150"/>
      <c r="BH13" s="150"/>
      <c r="BI13" s="150"/>
      <c r="BJ13" s="86"/>
      <c r="BK13" s="7"/>
    </row>
    <row r="14" spans="1:63" ht="15" customHeight="1">
      <c r="A14" s="1"/>
      <c r="B14" s="151" t="s">
        <v>78</v>
      </c>
      <c r="C14" s="96"/>
      <c r="D14" s="96"/>
      <c r="E14" s="96"/>
      <c r="F14" s="96"/>
      <c r="G14" s="96"/>
      <c r="H14" s="152"/>
      <c r="I14" s="153" t="s">
        <v>111</v>
      </c>
      <c r="J14" s="96"/>
      <c r="K14" s="152"/>
      <c r="L14" s="154" t="s">
        <v>112</v>
      </c>
      <c r="M14" s="96"/>
      <c r="N14" s="152"/>
      <c r="O14" s="155" t="s">
        <v>113</v>
      </c>
      <c r="P14" s="96"/>
      <c r="Q14" s="152"/>
      <c r="R14" s="153" t="s">
        <v>72</v>
      </c>
      <c r="S14" s="96"/>
      <c r="T14" s="96"/>
      <c r="U14" s="96"/>
      <c r="V14" s="96"/>
      <c r="W14" s="96"/>
      <c r="X14" s="156"/>
      <c r="Y14" s="156"/>
      <c r="Z14" s="156"/>
      <c r="AA14" s="157"/>
      <c r="AB14" s="158" t="str">
        <f>"  """&amp;B14&amp;": ""200"","</f>
        <v xml:space="preserve">  "company_code: "200",</v>
      </c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00"/>
      <c r="AN14" s="159"/>
      <c r="AO14" s="160"/>
      <c r="AP14" s="113"/>
      <c r="AQ14" s="161"/>
      <c r="AR14" s="161"/>
      <c r="AS14" s="161"/>
      <c r="AT14" s="161"/>
      <c r="AU14" s="161"/>
      <c r="AV14" s="161"/>
      <c r="AW14" s="161"/>
      <c r="AX14" s="161"/>
      <c r="AY14" s="161"/>
      <c r="AZ14" s="161"/>
      <c r="BA14" s="161"/>
      <c r="BB14" s="161"/>
      <c r="BC14" s="161"/>
      <c r="BD14" s="161"/>
      <c r="BE14" s="161"/>
      <c r="BF14" s="161"/>
      <c r="BG14" s="161"/>
      <c r="BH14" s="161"/>
      <c r="BI14" s="161"/>
      <c r="BJ14" s="100"/>
      <c r="BK14" s="7"/>
    </row>
    <row r="15" spans="1:63" ht="15" customHeight="1">
      <c r="A15" s="1"/>
      <c r="B15" s="151" t="s">
        <v>79</v>
      </c>
      <c r="C15" s="96"/>
      <c r="D15" s="96"/>
      <c r="E15" s="96"/>
      <c r="F15" s="96"/>
      <c r="G15" s="96"/>
      <c r="H15" s="152"/>
      <c r="I15" s="153" t="s">
        <v>111</v>
      </c>
      <c r="J15" s="96"/>
      <c r="K15" s="152"/>
      <c r="L15" s="162" t="s">
        <v>112</v>
      </c>
      <c r="M15" s="96"/>
      <c r="N15" s="152"/>
      <c r="O15" s="163" t="s">
        <v>127</v>
      </c>
      <c r="P15" s="96"/>
      <c r="Q15" s="152"/>
      <c r="R15" s="153" t="s">
        <v>73</v>
      </c>
      <c r="S15" s="96"/>
      <c r="T15" s="96"/>
      <c r="U15" s="96"/>
      <c r="V15" s="96"/>
      <c r="W15" s="96"/>
      <c r="X15" s="156"/>
      <c r="Y15" s="156"/>
      <c r="Z15" s="156"/>
      <c r="AA15" s="157"/>
      <c r="AB15" s="158" t="str">
        <f>"  """&amp;B15&amp;": ""02701"","</f>
        <v xml:space="preserve">  "store_code: "02701",</v>
      </c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00"/>
      <c r="AN15" s="159"/>
      <c r="AO15" s="160"/>
      <c r="AP15" s="113"/>
      <c r="AQ15" s="161"/>
      <c r="AR15" s="161"/>
      <c r="AS15" s="161"/>
      <c r="AT15" s="161"/>
      <c r="AU15" s="161"/>
      <c r="AV15" s="161"/>
      <c r="AW15" s="161"/>
      <c r="AX15" s="161"/>
      <c r="AY15" s="161"/>
      <c r="AZ15" s="161"/>
      <c r="BA15" s="161"/>
      <c r="BB15" s="161"/>
      <c r="BC15" s="161"/>
      <c r="BD15" s="161"/>
      <c r="BE15" s="161"/>
      <c r="BF15" s="161"/>
      <c r="BG15" s="161"/>
      <c r="BH15" s="161"/>
      <c r="BI15" s="161"/>
      <c r="BJ15" s="100"/>
      <c r="BK15" s="7"/>
    </row>
    <row r="16" spans="1:63" ht="15" customHeight="1">
      <c r="A16" s="1"/>
      <c r="B16" s="151" t="s">
        <v>80</v>
      </c>
      <c r="C16" s="96"/>
      <c r="D16" s="96"/>
      <c r="E16" s="96"/>
      <c r="F16" s="96"/>
      <c r="G16" s="96"/>
      <c r="H16" s="152"/>
      <c r="I16" s="153" t="s">
        <v>111</v>
      </c>
      <c r="J16" s="96"/>
      <c r="K16" s="152"/>
      <c r="L16" s="162" t="s">
        <v>112</v>
      </c>
      <c r="M16" s="96"/>
      <c r="N16" s="152"/>
      <c r="O16" s="163" t="s">
        <v>127</v>
      </c>
      <c r="P16" s="96"/>
      <c r="Q16" s="152"/>
      <c r="R16" s="153" t="s">
        <v>74</v>
      </c>
      <c r="S16" s="96"/>
      <c r="T16" s="96"/>
      <c r="U16" s="96"/>
      <c r="V16" s="96"/>
      <c r="W16" s="96"/>
      <c r="X16" s="156"/>
      <c r="Y16" s="156"/>
      <c r="Z16" s="156"/>
      <c r="AA16" s="157"/>
      <c r="AB16" s="158" t="str">
        <f>"  """&amp;B16&amp;": ""6205"","</f>
        <v xml:space="preserve">  "instore_code: "6205",</v>
      </c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00"/>
      <c r="BK16" s="7"/>
    </row>
    <row r="17" spans="1:63" ht="15" customHeight="1">
      <c r="A17" s="1"/>
      <c r="B17" s="151" t="s">
        <v>86</v>
      </c>
      <c r="C17" s="96"/>
      <c r="D17" s="96"/>
      <c r="E17" s="96"/>
      <c r="F17" s="96"/>
      <c r="G17" s="96"/>
      <c r="H17" s="152"/>
      <c r="I17" s="153" t="s">
        <v>119</v>
      </c>
      <c r="J17" s="96"/>
      <c r="K17" s="152"/>
      <c r="L17" s="162"/>
      <c r="M17" s="96"/>
      <c r="N17" s="152"/>
      <c r="O17" s="163" t="s">
        <v>127</v>
      </c>
      <c r="P17" s="96"/>
      <c r="Q17" s="152"/>
      <c r="R17" s="153" t="s">
        <v>175</v>
      </c>
      <c r="S17" s="96"/>
      <c r="T17" s="96"/>
      <c r="U17" s="96"/>
      <c r="V17" s="96"/>
      <c r="W17" s="96"/>
      <c r="X17" s="156"/>
      <c r="Y17" s="156"/>
      <c r="Z17" s="156"/>
      <c r="AA17" s="157"/>
      <c r="AB17" s="158" t="str">
        <f>"  """&amp;B17&amp;": 8000,"</f>
        <v xml:space="preserve">  "amount: 8000,</v>
      </c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00"/>
      <c r="AU17" s="171"/>
      <c r="BK17" s="7"/>
    </row>
    <row r="18" spans="1:63" ht="15" customHeight="1">
      <c r="A18" s="1"/>
      <c r="B18" s="151" t="s">
        <v>176</v>
      </c>
      <c r="C18" s="96"/>
      <c r="D18" s="96"/>
      <c r="E18" s="96"/>
      <c r="F18" s="96"/>
      <c r="G18" s="96"/>
      <c r="H18" s="152"/>
      <c r="I18" s="153" t="s">
        <v>119</v>
      </c>
      <c r="J18" s="96"/>
      <c r="K18" s="152"/>
      <c r="L18" s="162"/>
      <c r="M18" s="96"/>
      <c r="N18" s="152"/>
      <c r="O18" s="163" t="s">
        <v>127</v>
      </c>
      <c r="P18" s="96"/>
      <c r="Q18" s="152"/>
      <c r="R18" s="153" t="s">
        <v>177</v>
      </c>
      <c r="S18" s="96"/>
      <c r="T18" s="96"/>
      <c r="U18" s="96"/>
      <c r="V18" s="96"/>
      <c r="W18" s="96"/>
      <c r="X18" s="156"/>
      <c r="Y18" s="156"/>
      <c r="Z18" s="156"/>
      <c r="AA18" s="157"/>
      <c r="AB18" s="158" t="str">
        <f>"  """&amp;B18&amp;": 0,"</f>
        <v xml:space="preserve">  "other_cash: 0,</v>
      </c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00"/>
      <c r="AU18" s="172"/>
      <c r="BK18" s="7"/>
    </row>
    <row r="19" spans="1:63" ht="15" customHeight="1">
      <c r="A19" s="1"/>
      <c r="B19" s="151" t="s">
        <v>178</v>
      </c>
      <c r="C19" s="96"/>
      <c r="D19" s="96"/>
      <c r="E19" s="96"/>
      <c r="F19" s="96"/>
      <c r="G19" s="96"/>
      <c r="H19" s="152"/>
      <c r="I19" s="153" t="s">
        <v>119</v>
      </c>
      <c r="J19" s="96"/>
      <c r="K19" s="152"/>
      <c r="L19" s="162"/>
      <c r="M19" s="96"/>
      <c r="N19" s="152"/>
      <c r="O19" s="163" t="s">
        <v>127</v>
      </c>
      <c r="P19" s="96"/>
      <c r="Q19" s="152"/>
      <c r="R19" s="153" t="s">
        <v>179</v>
      </c>
      <c r="S19" s="96"/>
      <c r="T19" s="96"/>
      <c r="U19" s="96"/>
      <c r="V19" s="96"/>
      <c r="W19" s="96"/>
      <c r="X19" s="156"/>
      <c r="Y19" s="156"/>
      <c r="Z19" s="156"/>
      <c r="AA19" s="157"/>
      <c r="AB19" s="158" t="str">
        <f>"  """&amp;B19&amp;": 0,"</f>
        <v xml:space="preserve">  "init_amount: 0,</v>
      </c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00"/>
      <c r="BK19" s="7"/>
    </row>
    <row r="20" spans="1:63" ht="15" customHeight="1">
      <c r="A20" s="1"/>
      <c r="B20" s="151"/>
      <c r="C20" s="96"/>
      <c r="D20" s="96"/>
      <c r="E20" s="96"/>
      <c r="F20" s="96"/>
      <c r="G20" s="96"/>
      <c r="H20" s="152"/>
      <c r="I20" s="153"/>
      <c r="J20" s="96"/>
      <c r="K20" s="152"/>
      <c r="L20" s="162"/>
      <c r="M20" s="96"/>
      <c r="N20" s="152"/>
      <c r="O20" s="163"/>
      <c r="P20" s="96"/>
      <c r="Q20" s="152"/>
      <c r="R20" s="153"/>
      <c r="S20" s="96"/>
      <c r="T20" s="96"/>
      <c r="U20" s="96"/>
      <c r="V20" s="96"/>
      <c r="W20" s="96"/>
      <c r="X20" s="156"/>
      <c r="Y20" s="156"/>
      <c r="Z20" s="156"/>
      <c r="AA20" s="157"/>
      <c r="AB20" s="158" t="s">
        <v>126</v>
      </c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00"/>
      <c r="BK20" s="7"/>
    </row>
    <row r="21" spans="1:63" ht="15" customHeight="1">
      <c r="A21" s="1"/>
      <c r="B21" s="151"/>
      <c r="C21" s="96"/>
      <c r="D21" s="96"/>
      <c r="E21" s="96"/>
      <c r="F21" s="96"/>
      <c r="G21" s="96"/>
      <c r="H21" s="152"/>
      <c r="I21" s="153"/>
      <c r="J21" s="96"/>
      <c r="K21" s="152"/>
      <c r="L21" s="162"/>
      <c r="M21" s="96"/>
      <c r="N21" s="152"/>
      <c r="O21" s="155"/>
      <c r="P21" s="96"/>
      <c r="Q21" s="152"/>
      <c r="R21" s="153"/>
      <c r="S21" s="96"/>
      <c r="T21" s="96"/>
      <c r="U21" s="96"/>
      <c r="V21" s="96"/>
      <c r="W21" s="96"/>
      <c r="X21" s="156"/>
      <c r="Y21" s="156"/>
      <c r="Z21" s="156"/>
      <c r="AA21" s="157"/>
      <c r="AB21" s="158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00"/>
      <c r="BK21" s="7"/>
    </row>
    <row r="22" spans="1:63" ht="15" customHeight="1">
      <c r="A22" s="1"/>
      <c r="B22" s="151"/>
      <c r="C22" s="96"/>
      <c r="D22" s="96"/>
      <c r="E22" s="96"/>
      <c r="F22" s="96"/>
      <c r="G22" s="96"/>
      <c r="H22" s="152"/>
      <c r="I22" s="153"/>
      <c r="J22" s="96"/>
      <c r="K22" s="152"/>
      <c r="L22" s="164"/>
      <c r="M22" s="96"/>
      <c r="N22" s="152"/>
      <c r="O22" s="155"/>
      <c r="P22" s="96"/>
      <c r="Q22" s="152"/>
      <c r="R22" s="153"/>
      <c r="S22" s="96"/>
      <c r="T22" s="96"/>
      <c r="U22" s="96"/>
      <c r="V22" s="96"/>
      <c r="W22" s="96"/>
      <c r="X22" s="96"/>
      <c r="Y22" s="96"/>
      <c r="Z22" s="96"/>
      <c r="AA22" s="152"/>
      <c r="AB22" s="158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00"/>
      <c r="BK22" s="7"/>
    </row>
    <row r="23" spans="1:63" ht="15" customHeight="1">
      <c r="A23" s="1"/>
      <c r="B23" s="117"/>
      <c r="C23" s="118"/>
      <c r="D23" s="118"/>
      <c r="E23" s="118"/>
      <c r="F23" s="118"/>
      <c r="G23" s="118"/>
      <c r="H23" s="119"/>
      <c r="I23" s="120"/>
      <c r="J23" s="118"/>
      <c r="K23" s="119"/>
      <c r="L23" s="120"/>
      <c r="M23" s="118"/>
      <c r="N23" s="119"/>
      <c r="O23" s="120"/>
      <c r="P23" s="118"/>
      <c r="Q23" s="119"/>
      <c r="R23" s="120"/>
      <c r="S23" s="118"/>
      <c r="T23" s="118"/>
      <c r="U23" s="118"/>
      <c r="V23" s="118"/>
      <c r="W23" s="118"/>
      <c r="X23" s="118"/>
      <c r="Y23" s="118"/>
      <c r="Z23" s="118"/>
      <c r="AA23" s="119"/>
      <c r="AB23" s="165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3"/>
      <c r="BK23" s="7"/>
    </row>
    <row r="24" spans="1:63" ht="15" customHeight="1"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61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36" t="s">
        <v>114</v>
      </c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7"/>
      <c r="BD24" s="137"/>
      <c r="BE24" s="137"/>
      <c r="BF24" s="137"/>
      <c r="BG24" s="137"/>
      <c r="BH24" s="63"/>
      <c r="BI24" s="63"/>
      <c r="BJ24" s="64"/>
    </row>
    <row r="25" spans="1:63" ht="15" customHeight="1"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61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41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3"/>
    </row>
    <row r="26" spans="1:63" ht="15" customHeight="1"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61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66" t="s">
        <v>117</v>
      </c>
      <c r="AO26" s="167"/>
      <c r="AP26" s="85"/>
      <c r="AQ26" s="150"/>
      <c r="AR26" s="150"/>
      <c r="AS26" s="168"/>
      <c r="AT26" s="149" t="s">
        <v>118</v>
      </c>
      <c r="AU26" s="161"/>
      <c r="AV26" s="161"/>
      <c r="AW26" s="161"/>
      <c r="AX26" s="161"/>
      <c r="AY26" s="161"/>
      <c r="AZ26" s="161"/>
      <c r="BA26" s="161"/>
      <c r="BB26" s="161"/>
      <c r="BC26" s="161"/>
      <c r="BD26" s="161"/>
      <c r="BE26" s="161"/>
      <c r="BF26" s="161"/>
      <c r="BG26" s="161"/>
      <c r="BH26" s="161"/>
      <c r="BI26" s="161"/>
      <c r="BJ26" s="100"/>
    </row>
    <row r="27" spans="1:63" ht="15" customHeight="1"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61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59" t="s">
        <v>120</v>
      </c>
      <c r="AO27" s="169"/>
      <c r="AP27" s="113"/>
      <c r="AQ27" s="161"/>
      <c r="AR27" s="161"/>
      <c r="AS27" s="170"/>
      <c r="AT27" s="158" t="s">
        <v>121</v>
      </c>
      <c r="AU27" s="161"/>
      <c r="AV27" s="161"/>
      <c r="AW27" s="161"/>
      <c r="AX27" s="161"/>
      <c r="AY27" s="161"/>
      <c r="AZ27" s="161"/>
      <c r="BA27" s="161"/>
      <c r="BB27" s="161"/>
      <c r="BC27" s="161"/>
      <c r="BD27" s="161"/>
      <c r="BE27" s="161"/>
      <c r="BF27" s="161"/>
      <c r="BG27" s="161"/>
      <c r="BH27" s="161"/>
      <c r="BI27" s="161"/>
      <c r="BJ27" s="100"/>
    </row>
    <row r="28" spans="1:63" ht="15" customHeight="1"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61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59" t="s">
        <v>120</v>
      </c>
      <c r="AO28" s="169"/>
      <c r="AP28" s="113"/>
      <c r="AQ28" s="161"/>
      <c r="AR28" s="161"/>
      <c r="AS28" s="170"/>
      <c r="AT28" s="158" t="s">
        <v>122</v>
      </c>
      <c r="AU28" s="161"/>
      <c r="AV28" s="161"/>
      <c r="AW28" s="161"/>
      <c r="AX28" s="161"/>
      <c r="AY28" s="161"/>
      <c r="AZ28" s="161"/>
      <c r="BA28" s="161"/>
      <c r="BB28" s="161"/>
      <c r="BC28" s="161"/>
      <c r="BD28" s="161"/>
      <c r="BE28" s="161"/>
      <c r="BF28" s="161"/>
      <c r="BG28" s="161"/>
      <c r="BH28" s="161"/>
      <c r="BI28" s="161"/>
      <c r="BJ28" s="100"/>
    </row>
    <row r="29" spans="1:63" ht="15" customHeight="1"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61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59" t="s">
        <v>120</v>
      </c>
      <c r="AO29" s="169"/>
      <c r="AP29" s="113"/>
      <c r="AQ29" s="161"/>
      <c r="AR29" s="161"/>
      <c r="AS29" s="170"/>
      <c r="AT29" s="158" t="s">
        <v>123</v>
      </c>
      <c r="AU29" s="161"/>
      <c r="AV29" s="161"/>
      <c r="AW29" s="161"/>
      <c r="AX29" s="161"/>
      <c r="AY29" s="161"/>
      <c r="AZ29" s="161"/>
      <c r="BA29" s="161"/>
      <c r="BB29" s="161"/>
      <c r="BC29" s="161"/>
      <c r="BD29" s="161"/>
      <c r="BE29" s="161"/>
      <c r="BF29" s="161"/>
      <c r="BG29" s="161"/>
      <c r="BH29" s="161"/>
      <c r="BI29" s="161"/>
      <c r="BJ29" s="100"/>
    </row>
    <row r="30" spans="1:63" ht="15" customHeight="1"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61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59" t="s">
        <v>120</v>
      </c>
      <c r="AO30" s="113"/>
      <c r="AP30" s="113"/>
      <c r="AQ30" s="113"/>
      <c r="AR30" s="113"/>
      <c r="AS30" s="108"/>
      <c r="AT30" s="109" t="s">
        <v>124</v>
      </c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3"/>
      <c r="BF30" s="113"/>
      <c r="BG30" s="113"/>
      <c r="BH30" s="113"/>
      <c r="BI30" s="113"/>
      <c r="BJ30" s="100"/>
    </row>
    <row r="31" spans="1:63" ht="15" customHeight="1"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61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24"/>
      <c r="AO31" s="122"/>
      <c r="AP31" s="122"/>
      <c r="AQ31" s="122"/>
      <c r="AR31" s="122"/>
      <c r="AS31" s="125"/>
      <c r="AT31" s="126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3"/>
    </row>
    <row r="32" spans="1:63" ht="15" customHeight="1"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61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113"/>
      <c r="BD32" s="113"/>
      <c r="BE32" s="113"/>
      <c r="BF32" s="113"/>
      <c r="BG32" s="113"/>
      <c r="BH32" s="113"/>
      <c r="BI32" s="113"/>
      <c r="BJ32" s="113"/>
    </row>
    <row r="33" spans="2:62" ht="15" customHeight="1">
      <c r="B33" t="s">
        <v>148</v>
      </c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61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3"/>
      <c r="AQ33" s="113"/>
      <c r="AR33" s="113"/>
      <c r="AS33" s="113"/>
      <c r="AT33" s="113"/>
      <c r="AU33" s="113"/>
      <c r="AV33" s="113"/>
      <c r="AW33" s="113"/>
      <c r="AX33" s="113"/>
      <c r="AY33" s="113"/>
      <c r="AZ33" s="113"/>
      <c r="BA33" s="113"/>
      <c r="BB33" s="113"/>
      <c r="BC33" s="113"/>
      <c r="BD33" s="113"/>
      <c r="BE33" s="113"/>
      <c r="BF33" s="113"/>
      <c r="BG33" s="113"/>
      <c r="BH33" s="113"/>
      <c r="BI33" s="113"/>
      <c r="BJ33" s="113"/>
    </row>
    <row r="34" spans="2:62" ht="15" customHeight="1"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61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3"/>
      <c r="BF34" s="113"/>
      <c r="BG34" s="113"/>
      <c r="BH34" s="113"/>
      <c r="BI34" s="113"/>
      <c r="BJ34" s="113"/>
    </row>
    <row r="35" spans="2:62" ht="15" customHeight="1"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3"/>
      <c r="BF35" s="113"/>
      <c r="BG35" s="113"/>
      <c r="BH35" s="113"/>
      <c r="BI35" s="113"/>
      <c r="BJ35" s="113"/>
    </row>
    <row r="36" spans="2:62" ht="15" customHeight="1"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61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  <c r="AM36" s="113"/>
      <c r="AN36" s="113"/>
      <c r="AO36" s="113"/>
      <c r="AP36" s="113"/>
      <c r="AQ36" s="113"/>
      <c r="AR36" s="113"/>
      <c r="AS36" s="113"/>
      <c r="AT36" s="113"/>
      <c r="AU36" s="113"/>
      <c r="AV36" s="113"/>
      <c r="AW36" s="113"/>
      <c r="AX36" s="113"/>
      <c r="AY36" s="113"/>
      <c r="AZ36" s="113"/>
      <c r="BA36" s="113"/>
      <c r="BB36" s="113"/>
      <c r="BC36" s="113"/>
      <c r="BD36" s="113"/>
      <c r="BE36" s="113"/>
      <c r="BF36" s="113"/>
      <c r="BG36" s="113"/>
      <c r="BH36" s="113"/>
      <c r="BI36" s="113"/>
      <c r="BJ36" s="113"/>
    </row>
    <row r="37" spans="2:62" ht="15" customHeight="1"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61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  <c r="AM37" s="113"/>
      <c r="AN37" s="113"/>
      <c r="AO37" s="113"/>
      <c r="AP37" s="113"/>
      <c r="AQ37" s="113"/>
      <c r="AR37" s="113"/>
      <c r="AS37" s="113"/>
      <c r="AT37" s="113"/>
      <c r="AU37" s="113"/>
      <c r="AV37" s="113"/>
      <c r="AW37" s="113"/>
      <c r="AX37" s="113"/>
      <c r="AY37" s="113"/>
      <c r="AZ37" s="113"/>
      <c r="BA37" s="113"/>
      <c r="BB37" s="113"/>
      <c r="BC37" s="113"/>
      <c r="BD37" s="113"/>
      <c r="BE37" s="113"/>
      <c r="BF37" s="113"/>
      <c r="BG37" s="113"/>
      <c r="BH37" s="113"/>
      <c r="BI37" s="113"/>
      <c r="BJ37" s="113"/>
    </row>
    <row r="39" spans="2:62">
      <c r="AF39" s="171"/>
    </row>
    <row r="40" spans="2:62">
      <c r="AF40" s="171"/>
    </row>
    <row r="41" spans="2:62">
      <c r="AF41" s="171"/>
    </row>
    <row r="43" spans="2:62">
      <c r="I43" s="171"/>
    </row>
    <row r="44" spans="2:62">
      <c r="I44" s="171"/>
    </row>
    <row r="45" spans="2:62">
      <c r="I45" s="171"/>
      <c r="AI45" s="161"/>
    </row>
    <row r="46" spans="2:62">
      <c r="I46" s="171"/>
    </row>
    <row r="47" spans="2:62">
      <c r="I47" s="171"/>
    </row>
    <row r="48" spans="2:62">
      <c r="I48" s="171"/>
    </row>
    <row r="49" spans="9:9">
      <c r="I49" s="171"/>
    </row>
  </sheetData>
  <mergeCells count="28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P4:BK4"/>
    <mergeCell ref="B8:E8"/>
    <mergeCell ref="F8:Z8"/>
    <mergeCell ref="AA8:AE8"/>
    <mergeCell ref="AF8:AJ8"/>
    <mergeCell ref="B9:E9"/>
    <mergeCell ref="F9:Z9"/>
    <mergeCell ref="AA9:AE9"/>
    <mergeCell ref="AF9:AJ9"/>
    <mergeCell ref="A4:G4"/>
    <mergeCell ref="H4:T4"/>
    <mergeCell ref="U4:Y4"/>
    <mergeCell ref="Z4:AO4"/>
  </mergeCells>
  <phoneticPr fontId="3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D62A4-E13D-44A8-8F27-454924D62D18}">
  <dimension ref="A1:BK49"/>
  <sheetViews>
    <sheetView tabSelected="1" view="pageBreakPreview" zoomScale="75" zoomScaleNormal="75" zoomScaleSheetLayoutView="75" workbookViewId="0">
      <selection activeCell="F9" sqref="F9:Z9"/>
    </sheetView>
  </sheetViews>
  <sheetFormatPr defaultRowHeight="15.75"/>
  <cols>
    <col min="1" max="63" width="2.77734375" customWidth="1"/>
  </cols>
  <sheetData>
    <row r="1" spans="1:63" ht="24.95" customHeight="1">
      <c r="A1" s="190" t="s">
        <v>0</v>
      </c>
      <c r="B1" s="191"/>
      <c r="C1" s="191"/>
      <c r="D1" s="191"/>
      <c r="E1" s="191"/>
      <c r="F1" s="191"/>
      <c r="G1" s="191"/>
      <c r="H1" s="191"/>
      <c r="I1" s="191"/>
      <c r="J1" s="192"/>
      <c r="K1" s="190" t="s">
        <v>2</v>
      </c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2"/>
      <c r="W1" s="193" t="str">
        <f>IF(表紙!W1="","",表紙!W1)</f>
        <v/>
      </c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5"/>
      <c r="AP1" s="190" t="s">
        <v>3</v>
      </c>
      <c r="AQ1" s="191"/>
      <c r="AR1" s="191"/>
      <c r="AS1" s="192"/>
      <c r="AT1" s="190" t="s">
        <v>4</v>
      </c>
      <c r="AU1" s="191"/>
      <c r="AV1" s="191"/>
      <c r="AW1" s="191"/>
      <c r="AX1" s="192"/>
      <c r="AY1" s="190" t="s">
        <v>5</v>
      </c>
      <c r="AZ1" s="191"/>
      <c r="BA1" s="191"/>
      <c r="BB1" s="192"/>
      <c r="BC1" s="190" t="s">
        <v>6</v>
      </c>
      <c r="BD1" s="191"/>
      <c r="BE1" s="191"/>
      <c r="BF1" s="191"/>
      <c r="BG1" s="192"/>
      <c r="BH1" s="190" t="s">
        <v>7</v>
      </c>
      <c r="BI1" s="191"/>
      <c r="BJ1" s="191"/>
      <c r="BK1" s="192"/>
    </row>
    <row r="2" spans="1:63" ht="15" customHeight="1">
      <c r="A2" s="175" t="str">
        <f>IF(表紙!A2="","",表紙!A2)</f>
        <v>現金専用簡易セルフPOS</v>
      </c>
      <c r="B2" s="176"/>
      <c r="C2" s="176"/>
      <c r="D2" s="176"/>
      <c r="E2" s="176"/>
      <c r="F2" s="176"/>
      <c r="G2" s="176"/>
      <c r="H2" s="176"/>
      <c r="I2" s="176"/>
      <c r="J2" s="177"/>
      <c r="K2" s="175" t="str">
        <f>IF(表紙!K2="","",表紙!K2)</f>
        <v/>
      </c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7"/>
      <c r="W2" s="196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8"/>
      <c r="AP2" s="175" t="str">
        <f>IF(表紙!AP2="","",表紙!AP2)</f>
        <v>Thanh Nguyên</v>
      </c>
      <c r="AQ2" s="176"/>
      <c r="AR2" s="176"/>
      <c r="AS2" s="177"/>
      <c r="AT2" s="208">
        <f>IF(表紙!AT2="","",表紙!AT2)</f>
        <v>45153</v>
      </c>
      <c r="AU2" s="209"/>
      <c r="AV2" s="209"/>
      <c r="AW2" s="209"/>
      <c r="AX2" s="210"/>
      <c r="AY2" s="175" t="str">
        <f>IF(表紙!AY2="","",表紙!AY2)</f>
        <v>Thanh Nguyên</v>
      </c>
      <c r="AZ2" s="176"/>
      <c r="BA2" s="176"/>
      <c r="BB2" s="177"/>
      <c r="BC2" s="208">
        <f>IF(表紙!BC2="","",表紙!BC2)</f>
        <v>45153</v>
      </c>
      <c r="BD2" s="209"/>
      <c r="BE2" s="209"/>
      <c r="BF2" s="209"/>
      <c r="BG2" s="210"/>
      <c r="BH2" s="175">
        <f>IF(表紙!BH2="","",表紙!BH2)</f>
        <v>0.5</v>
      </c>
      <c r="BI2" s="176"/>
      <c r="BJ2" s="176"/>
      <c r="BK2" s="177"/>
    </row>
    <row r="3" spans="1:63" ht="15" customHeight="1">
      <c r="A3" s="181"/>
      <c r="B3" s="182"/>
      <c r="C3" s="182"/>
      <c r="D3" s="182"/>
      <c r="E3" s="182"/>
      <c r="F3" s="182"/>
      <c r="G3" s="182"/>
      <c r="H3" s="182"/>
      <c r="I3" s="182"/>
      <c r="J3" s="183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3"/>
      <c r="W3" s="199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1"/>
      <c r="AP3" s="181"/>
      <c r="AQ3" s="182"/>
      <c r="AR3" s="182"/>
      <c r="AS3" s="183"/>
      <c r="AT3" s="211"/>
      <c r="AU3" s="212"/>
      <c r="AV3" s="212"/>
      <c r="AW3" s="212"/>
      <c r="AX3" s="213"/>
      <c r="AY3" s="181"/>
      <c r="AZ3" s="182"/>
      <c r="BA3" s="182"/>
      <c r="BB3" s="183"/>
      <c r="BC3" s="211"/>
      <c r="BD3" s="212"/>
      <c r="BE3" s="212"/>
      <c r="BF3" s="212"/>
      <c r="BG3" s="213"/>
      <c r="BH3" s="181"/>
      <c r="BI3" s="182"/>
      <c r="BJ3" s="182"/>
      <c r="BK3" s="183"/>
    </row>
    <row r="4" spans="1:63" ht="24.95" customHeight="1">
      <c r="A4" s="190" t="s">
        <v>1</v>
      </c>
      <c r="B4" s="191"/>
      <c r="C4" s="191"/>
      <c r="D4" s="191"/>
      <c r="E4" s="191"/>
      <c r="F4" s="191"/>
      <c r="G4" s="192"/>
      <c r="H4" s="214" t="str">
        <f>IF(表紙!H4="","",表紙!H4)</f>
        <v/>
      </c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  <c r="U4" s="190" t="s">
        <v>8</v>
      </c>
      <c r="V4" s="191"/>
      <c r="W4" s="191"/>
      <c r="X4" s="191"/>
      <c r="Y4" s="192"/>
      <c r="Z4" s="214" t="str">
        <f>IF(表紙!Z4="","",表紙!Z4)</f>
        <v/>
      </c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6"/>
      <c r="AP4" s="214" t="str" cm="1">
        <f t="array" aca="1" ref="AP4" ca="1">RIGHT(CELL("filename",$A$1),LEN(CELL("filename",$A$1))-FIND("]",CELL("filename",$A$1)))</f>
        <v>API仕様(Charge_CHK_finish)</v>
      </c>
      <c r="AQ4" s="215"/>
      <c r="AR4" s="215"/>
      <c r="AS4" s="215"/>
      <c r="AT4" s="215"/>
      <c r="AU4" s="215"/>
      <c r="AV4" s="215"/>
      <c r="AW4" s="215"/>
      <c r="AX4" s="215"/>
      <c r="AY4" s="215"/>
      <c r="AZ4" s="215"/>
      <c r="BA4" s="215"/>
      <c r="BB4" s="215"/>
      <c r="BC4" s="215"/>
      <c r="BD4" s="215"/>
      <c r="BE4" s="215"/>
      <c r="BF4" s="215"/>
      <c r="BG4" s="215"/>
      <c r="BH4" s="215"/>
      <c r="BI4" s="215"/>
      <c r="BJ4" s="215"/>
      <c r="BK4" s="216"/>
    </row>
    <row r="5" spans="1:63" ht="5.0999999999999996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8"/>
    </row>
    <row r="6" spans="1:63" ht="15" customHeight="1">
      <c r="A6" s="1"/>
      <c r="BK6" s="7"/>
    </row>
    <row r="7" spans="1:63" ht="15" customHeight="1">
      <c r="A7" s="1"/>
      <c r="B7" t="s">
        <v>147</v>
      </c>
      <c r="BK7" s="7"/>
    </row>
    <row r="8" spans="1:63" ht="15" customHeight="1">
      <c r="A8" s="1"/>
      <c r="B8" s="258" t="s">
        <v>95</v>
      </c>
      <c r="C8" s="259"/>
      <c r="D8" s="259"/>
      <c r="E8" s="260"/>
      <c r="F8" s="258" t="s">
        <v>96</v>
      </c>
      <c r="G8" s="259"/>
      <c r="H8" s="259"/>
      <c r="I8" s="259"/>
      <c r="J8" s="259"/>
      <c r="K8" s="259"/>
      <c r="L8" s="259"/>
      <c r="M8" s="259"/>
      <c r="N8" s="259"/>
      <c r="O8" s="259"/>
      <c r="P8" s="259"/>
      <c r="Q8" s="259"/>
      <c r="R8" s="259"/>
      <c r="S8" s="259"/>
      <c r="T8" s="259"/>
      <c r="U8" s="259"/>
      <c r="V8" s="259"/>
      <c r="W8" s="259"/>
      <c r="X8" s="259"/>
      <c r="Y8" s="259"/>
      <c r="Z8" s="260"/>
      <c r="AA8" s="261" t="s">
        <v>97</v>
      </c>
      <c r="AB8" s="262"/>
      <c r="AC8" s="262"/>
      <c r="AD8" s="262"/>
      <c r="AE8" s="263"/>
      <c r="AF8" s="261" t="s">
        <v>98</v>
      </c>
      <c r="AG8" s="262"/>
      <c r="AH8" s="262"/>
      <c r="AI8" s="262"/>
      <c r="AJ8" s="263"/>
      <c r="BK8" s="7"/>
    </row>
    <row r="9" spans="1:63" ht="15" customHeight="1">
      <c r="A9" s="1"/>
      <c r="B9" s="264" t="s">
        <v>99</v>
      </c>
      <c r="C9" s="264"/>
      <c r="D9" s="264"/>
      <c r="E9" s="264"/>
      <c r="F9" s="264" t="s">
        <v>181</v>
      </c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  <c r="X9" s="264"/>
      <c r="Y9" s="264"/>
      <c r="Z9" s="264"/>
      <c r="AA9" s="265" t="s">
        <v>100</v>
      </c>
      <c r="AB9" s="265"/>
      <c r="AC9" s="265"/>
      <c r="AD9" s="265"/>
      <c r="AE9" s="265"/>
      <c r="AF9" s="265" t="s">
        <v>101</v>
      </c>
      <c r="AG9" s="265"/>
      <c r="AH9" s="265"/>
      <c r="AI9" s="265"/>
      <c r="AJ9" s="265"/>
      <c r="BK9" s="7"/>
    </row>
    <row r="10" spans="1:63" ht="15" customHeight="1">
      <c r="A10" s="1"/>
      <c r="BK10" s="7"/>
    </row>
    <row r="11" spans="1:63" ht="15" customHeight="1">
      <c r="A11" s="1"/>
      <c r="B11" s="55" t="s">
        <v>125</v>
      </c>
      <c r="C11" s="56"/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7"/>
      <c r="AN11" s="136" t="s">
        <v>102</v>
      </c>
      <c r="AO11" s="137"/>
      <c r="AP11" s="137"/>
      <c r="AQ11" s="137"/>
      <c r="AR11" s="137"/>
      <c r="AS11" s="137"/>
      <c r="AT11" s="137"/>
      <c r="AU11" s="137"/>
      <c r="AV11" s="137"/>
      <c r="AW11" s="137"/>
      <c r="AX11" s="137"/>
      <c r="AY11" s="137"/>
      <c r="AZ11" s="137"/>
      <c r="BA11" s="137"/>
      <c r="BB11" s="137"/>
      <c r="BC11" s="137"/>
      <c r="BD11" s="137"/>
      <c r="BE11" s="137"/>
      <c r="BF11" s="137"/>
      <c r="BG11" s="137"/>
      <c r="BH11" s="63"/>
      <c r="BI11" s="63"/>
      <c r="BJ11" s="64"/>
      <c r="BK11" s="7"/>
    </row>
    <row r="12" spans="1:63" ht="15" customHeight="1">
      <c r="A12" s="1"/>
      <c r="B12" s="138" t="s">
        <v>103</v>
      </c>
      <c r="C12" s="111"/>
      <c r="D12" s="111"/>
      <c r="E12" s="111"/>
      <c r="F12" s="111"/>
      <c r="G12" s="111"/>
      <c r="H12" s="111"/>
      <c r="I12" s="139" t="s">
        <v>104</v>
      </c>
      <c r="J12" s="111"/>
      <c r="K12" s="111"/>
      <c r="L12" s="139" t="s">
        <v>105</v>
      </c>
      <c r="M12" s="63"/>
      <c r="N12" s="63"/>
      <c r="O12" s="140" t="s">
        <v>106</v>
      </c>
      <c r="P12" s="63"/>
      <c r="Q12" s="111"/>
      <c r="R12" s="139" t="s">
        <v>107</v>
      </c>
      <c r="S12" s="63"/>
      <c r="T12" s="63"/>
      <c r="U12" s="111"/>
      <c r="V12" s="111"/>
      <c r="W12" s="111"/>
      <c r="X12" s="111"/>
      <c r="Y12" s="111"/>
      <c r="Z12" s="111"/>
      <c r="AA12" s="111"/>
      <c r="AB12" s="139" t="s">
        <v>108</v>
      </c>
      <c r="AC12" s="111"/>
      <c r="AD12" s="111"/>
      <c r="AE12" s="111"/>
      <c r="AF12" s="111"/>
      <c r="AG12" s="111"/>
      <c r="AH12" s="111"/>
      <c r="AI12" s="111"/>
      <c r="AJ12" s="111"/>
      <c r="AK12" s="111"/>
      <c r="AL12" s="111"/>
      <c r="AM12" s="69"/>
      <c r="AN12" s="141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  <c r="BA12" s="72"/>
      <c r="BB12" s="72"/>
      <c r="BC12" s="72"/>
      <c r="BD12" s="72"/>
      <c r="BE12" s="72"/>
      <c r="BF12" s="72"/>
      <c r="BG12" s="72"/>
      <c r="BH12" s="72"/>
      <c r="BI12" s="72"/>
      <c r="BJ12" s="73"/>
      <c r="BK12" s="7"/>
    </row>
    <row r="13" spans="1:63" ht="15" customHeight="1">
      <c r="A13" s="1"/>
      <c r="B13" s="142"/>
      <c r="C13" s="80"/>
      <c r="D13" s="80"/>
      <c r="E13" s="80"/>
      <c r="F13" s="80"/>
      <c r="G13" s="80"/>
      <c r="H13" s="143"/>
      <c r="I13" s="144"/>
      <c r="J13" s="80"/>
      <c r="K13" s="143"/>
      <c r="L13" s="145"/>
      <c r="M13" s="80"/>
      <c r="N13" s="143"/>
      <c r="O13" s="146"/>
      <c r="P13" s="80"/>
      <c r="Q13" s="143"/>
      <c r="R13" s="144"/>
      <c r="S13" s="80"/>
      <c r="T13" s="80"/>
      <c r="U13" s="80"/>
      <c r="V13" s="80"/>
      <c r="W13" s="80"/>
      <c r="X13" s="147"/>
      <c r="Y13" s="147"/>
      <c r="Z13" s="147"/>
      <c r="AA13" s="148"/>
      <c r="AB13" s="149" t="s">
        <v>109</v>
      </c>
      <c r="AC13" s="85"/>
      <c r="AD13" s="85"/>
      <c r="AE13" s="85"/>
      <c r="AF13" s="85"/>
      <c r="AG13" s="85"/>
      <c r="AH13" s="85"/>
      <c r="AI13" s="85"/>
      <c r="AJ13" s="85"/>
      <c r="AK13" s="85"/>
      <c r="AL13" s="85"/>
      <c r="AM13" s="86"/>
      <c r="AN13" s="138" t="s">
        <v>103</v>
      </c>
      <c r="AO13" s="111"/>
      <c r="AP13" s="111"/>
      <c r="AQ13" s="111"/>
      <c r="AR13" s="111"/>
      <c r="AS13" s="111"/>
      <c r="AT13" s="111"/>
      <c r="AU13" s="150"/>
      <c r="AV13" s="150"/>
      <c r="AW13" s="150"/>
      <c r="AX13" s="150"/>
      <c r="AY13" s="150"/>
      <c r="AZ13" s="150"/>
      <c r="BA13" s="150"/>
      <c r="BB13" s="150"/>
      <c r="BC13" s="150"/>
      <c r="BD13" s="150"/>
      <c r="BE13" s="150"/>
      <c r="BF13" s="150"/>
      <c r="BG13" s="150"/>
      <c r="BH13" s="150"/>
      <c r="BI13" s="150"/>
      <c r="BJ13" s="86"/>
      <c r="BK13" s="7"/>
    </row>
    <row r="14" spans="1:63" ht="15" customHeight="1">
      <c r="A14" s="1"/>
      <c r="B14" s="151" t="s">
        <v>78</v>
      </c>
      <c r="C14" s="96"/>
      <c r="D14" s="96"/>
      <c r="E14" s="96"/>
      <c r="F14" s="96"/>
      <c r="G14" s="96"/>
      <c r="H14" s="152"/>
      <c r="I14" s="153" t="s">
        <v>111</v>
      </c>
      <c r="J14" s="96"/>
      <c r="K14" s="152"/>
      <c r="L14" s="154" t="s">
        <v>112</v>
      </c>
      <c r="M14" s="96"/>
      <c r="N14" s="152"/>
      <c r="O14" s="155" t="s">
        <v>113</v>
      </c>
      <c r="P14" s="96"/>
      <c r="Q14" s="152"/>
      <c r="R14" s="153" t="s">
        <v>72</v>
      </c>
      <c r="S14" s="96"/>
      <c r="T14" s="96"/>
      <c r="U14" s="96"/>
      <c r="V14" s="96"/>
      <c r="W14" s="96"/>
      <c r="X14" s="156"/>
      <c r="Y14" s="156"/>
      <c r="Z14" s="156"/>
      <c r="AA14" s="157"/>
      <c r="AB14" s="158" t="str">
        <f>"  """&amp;B14&amp;": ""200"","</f>
        <v xml:space="preserve">  "company_code: "200",</v>
      </c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00"/>
      <c r="AN14" s="159"/>
      <c r="AO14" s="160"/>
      <c r="AP14" s="113"/>
      <c r="AQ14" s="161"/>
      <c r="AR14" s="161"/>
      <c r="AS14" s="161"/>
      <c r="AT14" s="161"/>
      <c r="AU14" s="161"/>
      <c r="AV14" s="161"/>
      <c r="AW14" s="161"/>
      <c r="AX14" s="161"/>
      <c r="AY14" s="161"/>
      <c r="AZ14" s="161"/>
      <c r="BA14" s="161"/>
      <c r="BB14" s="161"/>
      <c r="BC14" s="161"/>
      <c r="BD14" s="161"/>
      <c r="BE14" s="161"/>
      <c r="BF14" s="161"/>
      <c r="BG14" s="161"/>
      <c r="BH14" s="161"/>
      <c r="BI14" s="161"/>
      <c r="BJ14" s="100"/>
      <c r="BK14" s="7"/>
    </row>
    <row r="15" spans="1:63" ht="15" customHeight="1">
      <c r="A15" s="1"/>
      <c r="B15" s="151" t="s">
        <v>79</v>
      </c>
      <c r="C15" s="96"/>
      <c r="D15" s="96"/>
      <c r="E15" s="96"/>
      <c r="F15" s="96"/>
      <c r="G15" s="96"/>
      <c r="H15" s="152"/>
      <c r="I15" s="153" t="s">
        <v>111</v>
      </c>
      <c r="J15" s="96"/>
      <c r="K15" s="152"/>
      <c r="L15" s="162" t="s">
        <v>112</v>
      </c>
      <c r="M15" s="96"/>
      <c r="N15" s="152"/>
      <c r="O15" s="163" t="s">
        <v>127</v>
      </c>
      <c r="P15" s="96"/>
      <c r="Q15" s="152"/>
      <c r="R15" s="153" t="s">
        <v>73</v>
      </c>
      <c r="S15" s="96"/>
      <c r="T15" s="96"/>
      <c r="U15" s="96"/>
      <c r="V15" s="96"/>
      <c r="W15" s="96"/>
      <c r="X15" s="156"/>
      <c r="Y15" s="156"/>
      <c r="Z15" s="156"/>
      <c r="AA15" s="157"/>
      <c r="AB15" s="158" t="str">
        <f>"  """&amp;B15&amp;": ""02701"","</f>
        <v xml:space="preserve">  "store_code: "02701",</v>
      </c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00"/>
      <c r="AN15" s="159"/>
      <c r="AO15" s="160"/>
      <c r="AP15" s="113"/>
      <c r="AQ15" s="161"/>
      <c r="AR15" s="161"/>
      <c r="AS15" s="161"/>
      <c r="AT15" s="161"/>
      <c r="AU15" s="161"/>
      <c r="AV15" s="161"/>
      <c r="AW15" s="161"/>
      <c r="AX15" s="161"/>
      <c r="AY15" s="161"/>
      <c r="AZ15" s="161"/>
      <c r="BA15" s="161"/>
      <c r="BB15" s="161"/>
      <c r="BC15" s="161"/>
      <c r="BD15" s="161"/>
      <c r="BE15" s="161"/>
      <c r="BF15" s="161"/>
      <c r="BG15" s="161"/>
      <c r="BH15" s="161"/>
      <c r="BI15" s="161"/>
      <c r="BJ15" s="100"/>
      <c r="BK15" s="7"/>
    </row>
    <row r="16" spans="1:63" ht="15" customHeight="1">
      <c r="A16" s="1"/>
      <c r="B16" s="151" t="s">
        <v>80</v>
      </c>
      <c r="C16" s="96"/>
      <c r="D16" s="96"/>
      <c r="E16" s="96"/>
      <c r="F16" s="96"/>
      <c r="G16" s="96"/>
      <c r="H16" s="152"/>
      <c r="I16" s="153" t="s">
        <v>111</v>
      </c>
      <c r="J16" s="96"/>
      <c r="K16" s="152"/>
      <c r="L16" s="162" t="s">
        <v>112</v>
      </c>
      <c r="M16" s="96"/>
      <c r="N16" s="152"/>
      <c r="O16" s="163" t="s">
        <v>127</v>
      </c>
      <c r="P16" s="96"/>
      <c r="Q16" s="152"/>
      <c r="R16" s="153" t="s">
        <v>74</v>
      </c>
      <c r="S16" s="96"/>
      <c r="T16" s="96"/>
      <c r="U16" s="96"/>
      <c r="V16" s="96"/>
      <c r="W16" s="96"/>
      <c r="X16" s="156"/>
      <c r="Y16" s="156"/>
      <c r="Z16" s="156"/>
      <c r="AA16" s="157"/>
      <c r="AB16" s="158" t="str">
        <f>"  """&amp;B16&amp;": ""6205"","</f>
        <v xml:space="preserve">  "instore_code: "6205",</v>
      </c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00"/>
      <c r="BK16" s="7"/>
    </row>
    <row r="17" spans="1:63" ht="15" customHeight="1">
      <c r="A17" s="1"/>
      <c r="B17" s="151"/>
      <c r="C17" s="96"/>
      <c r="D17" s="96"/>
      <c r="E17" s="96"/>
      <c r="F17" s="96"/>
      <c r="G17" s="96"/>
      <c r="H17" s="152"/>
      <c r="I17" s="153"/>
      <c r="J17" s="96"/>
      <c r="K17" s="152"/>
      <c r="L17" s="162"/>
      <c r="M17" s="96"/>
      <c r="N17" s="152"/>
      <c r="O17" s="163"/>
      <c r="P17" s="96"/>
      <c r="Q17" s="152"/>
      <c r="R17" s="153"/>
      <c r="S17" s="96"/>
      <c r="T17" s="96"/>
      <c r="U17" s="96"/>
      <c r="V17" s="96"/>
      <c r="W17" s="96"/>
      <c r="X17" s="156"/>
      <c r="Y17" s="156"/>
      <c r="Z17" s="156"/>
      <c r="AA17" s="157"/>
      <c r="AB17" s="158" t="s">
        <v>126</v>
      </c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00"/>
      <c r="AU17" s="171"/>
      <c r="BK17" s="7"/>
    </row>
    <row r="18" spans="1:63" ht="15" customHeight="1">
      <c r="A18" s="1"/>
      <c r="B18" s="151"/>
      <c r="C18" s="96"/>
      <c r="D18" s="96"/>
      <c r="E18" s="96"/>
      <c r="F18" s="96"/>
      <c r="G18" s="96"/>
      <c r="H18" s="152"/>
      <c r="I18" s="153"/>
      <c r="J18" s="96"/>
      <c r="K18" s="152"/>
      <c r="L18" s="162"/>
      <c r="M18" s="96"/>
      <c r="N18" s="152"/>
      <c r="O18" s="163"/>
      <c r="P18" s="96"/>
      <c r="Q18" s="152"/>
      <c r="R18" s="153"/>
      <c r="S18" s="96"/>
      <c r="T18" s="96"/>
      <c r="U18" s="96"/>
      <c r="V18" s="96"/>
      <c r="W18" s="96"/>
      <c r="X18" s="156"/>
      <c r="Y18" s="156"/>
      <c r="Z18" s="156"/>
      <c r="AA18" s="157"/>
      <c r="AB18" s="158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00"/>
      <c r="AU18" s="172"/>
      <c r="BK18" s="7"/>
    </row>
    <row r="19" spans="1:63" ht="15" customHeight="1">
      <c r="A19" s="1"/>
      <c r="B19" s="151"/>
      <c r="C19" s="96"/>
      <c r="D19" s="96"/>
      <c r="E19" s="96"/>
      <c r="F19" s="96"/>
      <c r="G19" s="96"/>
      <c r="H19" s="152"/>
      <c r="I19" s="153"/>
      <c r="J19" s="96"/>
      <c r="K19" s="152"/>
      <c r="L19" s="162"/>
      <c r="M19" s="96"/>
      <c r="N19" s="152"/>
      <c r="O19" s="163"/>
      <c r="P19" s="96"/>
      <c r="Q19" s="152"/>
      <c r="R19" s="153"/>
      <c r="S19" s="96"/>
      <c r="T19" s="96"/>
      <c r="U19" s="96"/>
      <c r="V19" s="96"/>
      <c r="W19" s="96"/>
      <c r="X19" s="156"/>
      <c r="Y19" s="156"/>
      <c r="Z19" s="156"/>
      <c r="AA19" s="157"/>
      <c r="AB19" s="158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00"/>
      <c r="BK19" s="7"/>
    </row>
    <row r="20" spans="1:63" ht="15" customHeight="1">
      <c r="A20" s="1"/>
      <c r="B20" s="151"/>
      <c r="C20" s="96"/>
      <c r="D20" s="96"/>
      <c r="E20" s="96"/>
      <c r="F20" s="96"/>
      <c r="G20" s="96"/>
      <c r="H20" s="152"/>
      <c r="I20" s="153"/>
      <c r="J20" s="96"/>
      <c r="K20" s="152"/>
      <c r="L20" s="162"/>
      <c r="M20" s="96"/>
      <c r="N20" s="152"/>
      <c r="O20" s="163"/>
      <c r="P20" s="96"/>
      <c r="Q20" s="152"/>
      <c r="R20" s="153"/>
      <c r="S20" s="96"/>
      <c r="T20" s="96"/>
      <c r="U20" s="96"/>
      <c r="V20" s="96"/>
      <c r="W20" s="96"/>
      <c r="X20" s="156"/>
      <c r="Y20" s="156"/>
      <c r="Z20" s="156"/>
      <c r="AA20" s="157"/>
      <c r="AB20" s="158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00"/>
      <c r="BK20" s="7"/>
    </row>
    <row r="21" spans="1:63" ht="15" customHeight="1">
      <c r="A21" s="1"/>
      <c r="B21" s="151"/>
      <c r="C21" s="96"/>
      <c r="D21" s="96"/>
      <c r="E21" s="96"/>
      <c r="F21" s="96"/>
      <c r="G21" s="96"/>
      <c r="H21" s="152"/>
      <c r="I21" s="153"/>
      <c r="J21" s="96"/>
      <c r="K21" s="152"/>
      <c r="L21" s="162"/>
      <c r="M21" s="96"/>
      <c r="N21" s="152"/>
      <c r="O21" s="155"/>
      <c r="P21" s="96"/>
      <c r="Q21" s="152"/>
      <c r="R21" s="153"/>
      <c r="S21" s="96"/>
      <c r="T21" s="96"/>
      <c r="U21" s="96"/>
      <c r="V21" s="96"/>
      <c r="W21" s="96"/>
      <c r="X21" s="156"/>
      <c r="Y21" s="156"/>
      <c r="Z21" s="156"/>
      <c r="AA21" s="157"/>
      <c r="AB21" s="158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00"/>
      <c r="BK21" s="7"/>
    </row>
    <row r="22" spans="1:63" ht="15" customHeight="1">
      <c r="A22" s="1"/>
      <c r="B22" s="151"/>
      <c r="C22" s="96"/>
      <c r="D22" s="96"/>
      <c r="E22" s="96"/>
      <c r="F22" s="96"/>
      <c r="G22" s="96"/>
      <c r="H22" s="152"/>
      <c r="I22" s="153"/>
      <c r="J22" s="96"/>
      <c r="K22" s="152"/>
      <c r="L22" s="164"/>
      <c r="M22" s="96"/>
      <c r="N22" s="152"/>
      <c r="O22" s="155"/>
      <c r="P22" s="96"/>
      <c r="Q22" s="152"/>
      <c r="R22" s="153"/>
      <c r="S22" s="96"/>
      <c r="T22" s="96"/>
      <c r="U22" s="96"/>
      <c r="V22" s="96"/>
      <c r="W22" s="96"/>
      <c r="X22" s="96"/>
      <c r="Y22" s="96"/>
      <c r="Z22" s="96"/>
      <c r="AA22" s="152"/>
      <c r="AB22" s="158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00"/>
      <c r="BK22" s="7"/>
    </row>
    <row r="23" spans="1:63" ht="15" customHeight="1">
      <c r="A23" s="1"/>
      <c r="B23" s="117"/>
      <c r="C23" s="118"/>
      <c r="D23" s="118"/>
      <c r="E23" s="118"/>
      <c r="F23" s="118"/>
      <c r="G23" s="118"/>
      <c r="H23" s="119"/>
      <c r="I23" s="120"/>
      <c r="J23" s="118"/>
      <c r="K23" s="119"/>
      <c r="L23" s="120"/>
      <c r="M23" s="118"/>
      <c r="N23" s="119"/>
      <c r="O23" s="120"/>
      <c r="P23" s="118"/>
      <c r="Q23" s="119"/>
      <c r="R23" s="120"/>
      <c r="S23" s="118"/>
      <c r="T23" s="118"/>
      <c r="U23" s="118"/>
      <c r="V23" s="118"/>
      <c r="W23" s="118"/>
      <c r="X23" s="118"/>
      <c r="Y23" s="118"/>
      <c r="Z23" s="118"/>
      <c r="AA23" s="119"/>
      <c r="AB23" s="165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3"/>
      <c r="BK23" s="7"/>
    </row>
    <row r="24" spans="1:63" ht="15" customHeight="1"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61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36" t="s">
        <v>114</v>
      </c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7"/>
      <c r="BD24" s="137"/>
      <c r="BE24" s="137"/>
      <c r="BF24" s="137"/>
      <c r="BG24" s="137"/>
      <c r="BH24" s="63"/>
      <c r="BI24" s="63"/>
      <c r="BJ24" s="64"/>
    </row>
    <row r="25" spans="1:63" ht="15" customHeight="1"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61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41"/>
      <c r="AO25" s="72"/>
      <c r="AP25" s="72"/>
      <c r="AQ25" s="72"/>
      <c r="AR25" s="72"/>
      <c r="AS25" s="72"/>
      <c r="AT25" s="72"/>
      <c r="AU25" s="72"/>
      <c r="AV25" s="72"/>
      <c r="AW25" s="72"/>
      <c r="AX25" s="72"/>
      <c r="AY25" s="72"/>
      <c r="AZ25" s="72"/>
      <c r="BA25" s="72"/>
      <c r="BB25" s="72"/>
      <c r="BC25" s="72"/>
      <c r="BD25" s="72"/>
      <c r="BE25" s="72"/>
      <c r="BF25" s="72"/>
      <c r="BG25" s="72"/>
      <c r="BH25" s="72"/>
      <c r="BI25" s="72"/>
      <c r="BJ25" s="73"/>
    </row>
    <row r="26" spans="1:63" ht="15" customHeight="1"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61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66" t="s">
        <v>117</v>
      </c>
      <c r="AO26" s="167"/>
      <c r="AP26" s="85"/>
      <c r="AQ26" s="150"/>
      <c r="AR26" s="150"/>
      <c r="AS26" s="168"/>
      <c r="AT26" s="149" t="s">
        <v>118</v>
      </c>
      <c r="AU26" s="161"/>
      <c r="AV26" s="161"/>
      <c r="AW26" s="161"/>
      <c r="AX26" s="161"/>
      <c r="AY26" s="161"/>
      <c r="AZ26" s="161"/>
      <c r="BA26" s="161"/>
      <c r="BB26" s="161"/>
      <c r="BC26" s="161"/>
      <c r="BD26" s="161"/>
      <c r="BE26" s="161"/>
      <c r="BF26" s="161"/>
      <c r="BG26" s="161"/>
      <c r="BH26" s="161"/>
      <c r="BI26" s="161"/>
      <c r="BJ26" s="100"/>
    </row>
    <row r="27" spans="1:63" ht="15" customHeight="1"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61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59" t="s">
        <v>120</v>
      </c>
      <c r="AO27" s="169"/>
      <c r="AP27" s="113"/>
      <c r="AQ27" s="161"/>
      <c r="AR27" s="161"/>
      <c r="AS27" s="170"/>
      <c r="AT27" s="158" t="s">
        <v>121</v>
      </c>
      <c r="AU27" s="161"/>
      <c r="AV27" s="161"/>
      <c r="AW27" s="161"/>
      <c r="AX27" s="161"/>
      <c r="AY27" s="161"/>
      <c r="AZ27" s="161"/>
      <c r="BA27" s="161"/>
      <c r="BB27" s="161"/>
      <c r="BC27" s="161"/>
      <c r="BD27" s="161"/>
      <c r="BE27" s="161"/>
      <c r="BF27" s="161"/>
      <c r="BG27" s="161"/>
      <c r="BH27" s="161"/>
      <c r="BI27" s="161"/>
      <c r="BJ27" s="100"/>
    </row>
    <row r="28" spans="1:63" ht="15" customHeight="1"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61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59" t="s">
        <v>120</v>
      </c>
      <c r="AO28" s="169"/>
      <c r="AP28" s="113"/>
      <c r="AQ28" s="161"/>
      <c r="AR28" s="161"/>
      <c r="AS28" s="170"/>
      <c r="AT28" s="158" t="s">
        <v>122</v>
      </c>
      <c r="AU28" s="161"/>
      <c r="AV28" s="161"/>
      <c r="AW28" s="161"/>
      <c r="AX28" s="161"/>
      <c r="AY28" s="161"/>
      <c r="AZ28" s="161"/>
      <c r="BA28" s="161"/>
      <c r="BB28" s="161"/>
      <c r="BC28" s="161"/>
      <c r="BD28" s="161"/>
      <c r="BE28" s="161"/>
      <c r="BF28" s="161"/>
      <c r="BG28" s="161"/>
      <c r="BH28" s="161"/>
      <c r="BI28" s="161"/>
      <c r="BJ28" s="100"/>
    </row>
    <row r="29" spans="1:63" ht="15" customHeight="1"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61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59" t="s">
        <v>120</v>
      </c>
      <c r="AO29" s="169"/>
      <c r="AP29" s="113"/>
      <c r="AQ29" s="161"/>
      <c r="AR29" s="161"/>
      <c r="AS29" s="170"/>
      <c r="AT29" s="158" t="s">
        <v>123</v>
      </c>
      <c r="AU29" s="161"/>
      <c r="AV29" s="161"/>
      <c r="AW29" s="161"/>
      <c r="AX29" s="161"/>
      <c r="AY29" s="161"/>
      <c r="AZ29" s="161"/>
      <c r="BA29" s="161"/>
      <c r="BB29" s="161"/>
      <c r="BC29" s="161"/>
      <c r="BD29" s="161"/>
      <c r="BE29" s="161"/>
      <c r="BF29" s="161"/>
      <c r="BG29" s="161"/>
      <c r="BH29" s="161"/>
      <c r="BI29" s="161"/>
      <c r="BJ29" s="100"/>
    </row>
    <row r="30" spans="1:63" ht="15" customHeight="1"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61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59" t="s">
        <v>120</v>
      </c>
      <c r="AO30" s="113"/>
      <c r="AP30" s="113"/>
      <c r="AQ30" s="113"/>
      <c r="AR30" s="113"/>
      <c r="AS30" s="108"/>
      <c r="AT30" s="109" t="s">
        <v>124</v>
      </c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3"/>
      <c r="BF30" s="113"/>
      <c r="BG30" s="113"/>
      <c r="BH30" s="113"/>
      <c r="BI30" s="113"/>
      <c r="BJ30" s="100"/>
    </row>
    <row r="31" spans="1:63" ht="15" customHeight="1"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61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24"/>
      <c r="AO31" s="122"/>
      <c r="AP31" s="122"/>
      <c r="AQ31" s="122"/>
      <c r="AR31" s="122"/>
      <c r="AS31" s="125"/>
      <c r="AT31" s="126"/>
      <c r="AU31" s="122"/>
      <c r="AV31" s="122"/>
      <c r="AW31" s="122"/>
      <c r="AX31" s="122"/>
      <c r="AY31" s="122"/>
      <c r="AZ31" s="122"/>
      <c r="BA31" s="122"/>
      <c r="BB31" s="122"/>
      <c r="BC31" s="122"/>
      <c r="BD31" s="122"/>
      <c r="BE31" s="122"/>
      <c r="BF31" s="122"/>
      <c r="BG31" s="122"/>
      <c r="BH31" s="122"/>
      <c r="BI31" s="122"/>
      <c r="BJ31" s="123"/>
    </row>
    <row r="32" spans="1:63" ht="15" customHeight="1"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61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113"/>
      <c r="BD32" s="113"/>
      <c r="BE32" s="113"/>
      <c r="BF32" s="113"/>
      <c r="BG32" s="113"/>
      <c r="BH32" s="113"/>
      <c r="BI32" s="113"/>
      <c r="BJ32" s="113"/>
    </row>
    <row r="33" spans="2:62" ht="15" customHeight="1">
      <c r="B33" t="s">
        <v>148</v>
      </c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61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3"/>
      <c r="AQ33" s="113"/>
      <c r="AR33" s="113"/>
      <c r="AS33" s="113"/>
      <c r="AT33" s="113"/>
      <c r="AU33" s="113"/>
      <c r="AV33" s="113"/>
      <c r="AW33" s="113"/>
      <c r="AX33" s="113"/>
      <c r="AY33" s="113"/>
      <c r="AZ33" s="113"/>
      <c r="BA33" s="113"/>
      <c r="BB33" s="113"/>
      <c r="BC33" s="113"/>
      <c r="BD33" s="113"/>
      <c r="BE33" s="113"/>
      <c r="BF33" s="113"/>
      <c r="BG33" s="113"/>
      <c r="BH33" s="113"/>
      <c r="BI33" s="113"/>
      <c r="BJ33" s="113"/>
    </row>
    <row r="34" spans="2:62" ht="15" customHeight="1"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61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3"/>
      <c r="AQ34" s="113"/>
      <c r="AR34" s="11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3"/>
      <c r="BF34" s="113"/>
      <c r="BG34" s="113"/>
      <c r="BH34" s="113"/>
      <c r="BI34" s="113"/>
      <c r="BJ34" s="113"/>
    </row>
    <row r="35" spans="2:62" ht="15" customHeight="1"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3"/>
      <c r="AQ35" s="113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3"/>
      <c r="BF35" s="113"/>
      <c r="BG35" s="113"/>
      <c r="BH35" s="113"/>
      <c r="BI35" s="113"/>
      <c r="BJ35" s="113"/>
    </row>
    <row r="36" spans="2:62" ht="15" customHeight="1"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61"/>
      <c r="AC36" s="113"/>
      <c r="AD36" s="113"/>
      <c r="AE36" s="113"/>
      <c r="AF36" s="113"/>
      <c r="AG36" s="113"/>
      <c r="AH36" s="113"/>
      <c r="AI36" s="113"/>
      <c r="AJ36" s="113"/>
      <c r="AK36" s="113"/>
      <c r="AL36" s="113"/>
      <c r="AM36" s="113"/>
      <c r="AN36" s="113"/>
      <c r="AO36" s="113"/>
      <c r="AP36" s="113"/>
      <c r="AQ36" s="113"/>
      <c r="AR36" s="113"/>
      <c r="AS36" s="113"/>
      <c r="AT36" s="113"/>
      <c r="AU36" s="113"/>
      <c r="AV36" s="113"/>
      <c r="AW36" s="113"/>
      <c r="AX36" s="113"/>
      <c r="AY36" s="113"/>
      <c r="AZ36" s="113"/>
      <c r="BA36" s="113"/>
      <c r="BB36" s="113"/>
      <c r="BC36" s="113"/>
      <c r="BD36" s="113"/>
      <c r="BE36" s="113"/>
      <c r="BF36" s="113"/>
      <c r="BG36" s="113"/>
      <c r="BH36" s="113"/>
      <c r="BI36" s="113"/>
      <c r="BJ36" s="113"/>
    </row>
    <row r="37" spans="2:62" ht="15" customHeight="1"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61"/>
      <c r="AC37" s="113"/>
      <c r="AD37" s="113"/>
      <c r="AE37" s="113"/>
      <c r="AF37" s="113"/>
      <c r="AG37" s="113"/>
      <c r="AH37" s="113"/>
      <c r="AI37" s="113"/>
      <c r="AJ37" s="113"/>
      <c r="AK37" s="113"/>
      <c r="AL37" s="113"/>
      <c r="AM37" s="113"/>
      <c r="AN37" s="113"/>
      <c r="AO37" s="113"/>
      <c r="AP37" s="113"/>
      <c r="AQ37" s="113"/>
      <c r="AR37" s="113"/>
      <c r="AS37" s="113"/>
      <c r="AT37" s="113"/>
      <c r="AU37" s="113"/>
      <c r="AV37" s="113"/>
      <c r="AW37" s="113"/>
      <c r="AX37" s="113"/>
      <c r="AY37" s="113"/>
      <c r="AZ37" s="113"/>
      <c r="BA37" s="113"/>
      <c r="BB37" s="113"/>
      <c r="BC37" s="113"/>
      <c r="BD37" s="113"/>
      <c r="BE37" s="113"/>
      <c r="BF37" s="113"/>
      <c r="BG37" s="113"/>
      <c r="BH37" s="113"/>
      <c r="BI37" s="113"/>
      <c r="BJ37" s="113"/>
    </row>
    <row r="39" spans="2:62">
      <c r="AF39" s="171"/>
    </row>
    <row r="40" spans="2:62">
      <c r="AF40" s="171"/>
    </row>
    <row r="41" spans="2:62">
      <c r="AF41" s="171"/>
    </row>
    <row r="43" spans="2:62">
      <c r="I43" s="171"/>
    </row>
    <row r="44" spans="2:62">
      <c r="I44" s="171"/>
    </row>
    <row r="45" spans="2:62">
      <c r="I45" s="171"/>
      <c r="AI45" s="161"/>
    </row>
    <row r="46" spans="2:62">
      <c r="I46" s="171"/>
    </row>
    <row r="47" spans="2:62">
      <c r="I47" s="171"/>
    </row>
    <row r="48" spans="2:62">
      <c r="I48" s="171"/>
    </row>
    <row r="49" spans="9:9">
      <c r="I49" s="171"/>
    </row>
  </sheetData>
  <mergeCells count="28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P4:BK4"/>
    <mergeCell ref="B8:E8"/>
    <mergeCell ref="F8:Z8"/>
    <mergeCell ref="AA8:AE8"/>
    <mergeCell ref="AF8:AJ8"/>
    <mergeCell ref="B9:E9"/>
    <mergeCell ref="F9:Z9"/>
    <mergeCell ref="AA9:AE9"/>
    <mergeCell ref="AF9:AJ9"/>
    <mergeCell ref="A4:G4"/>
    <mergeCell ref="H4:T4"/>
    <mergeCell ref="U4:Y4"/>
    <mergeCell ref="Z4:AO4"/>
  </mergeCells>
  <phoneticPr fontId="3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B4617-A48F-4F9F-8D54-56451C68BA7F}">
  <dimension ref="A1:BK55"/>
  <sheetViews>
    <sheetView view="pageBreakPreview" zoomScale="75" zoomScaleNormal="75" zoomScaleSheetLayoutView="75" workbookViewId="0">
      <selection activeCell="B7" sqref="B7:B33"/>
    </sheetView>
  </sheetViews>
  <sheetFormatPr defaultRowHeight="15.75"/>
  <cols>
    <col min="1" max="63" width="2.77734375" customWidth="1"/>
  </cols>
  <sheetData>
    <row r="1" spans="1:63" ht="24.95" customHeight="1">
      <c r="A1" s="190" t="s">
        <v>0</v>
      </c>
      <c r="B1" s="191"/>
      <c r="C1" s="191"/>
      <c r="D1" s="191"/>
      <c r="E1" s="191"/>
      <c r="F1" s="191"/>
      <c r="G1" s="191"/>
      <c r="H1" s="191"/>
      <c r="I1" s="191"/>
      <c r="J1" s="192"/>
      <c r="K1" s="190" t="s">
        <v>2</v>
      </c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2"/>
      <c r="W1" s="193" t="str">
        <f>IF(表紙!W1="","",表紙!W1)</f>
        <v/>
      </c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5"/>
      <c r="AP1" s="190" t="s">
        <v>3</v>
      </c>
      <c r="AQ1" s="191"/>
      <c r="AR1" s="191"/>
      <c r="AS1" s="192"/>
      <c r="AT1" s="190" t="s">
        <v>4</v>
      </c>
      <c r="AU1" s="191"/>
      <c r="AV1" s="191"/>
      <c r="AW1" s="191"/>
      <c r="AX1" s="192"/>
      <c r="AY1" s="190" t="s">
        <v>5</v>
      </c>
      <c r="AZ1" s="191"/>
      <c r="BA1" s="191"/>
      <c r="BB1" s="192"/>
      <c r="BC1" s="190" t="s">
        <v>6</v>
      </c>
      <c r="BD1" s="191"/>
      <c r="BE1" s="191"/>
      <c r="BF1" s="191"/>
      <c r="BG1" s="192"/>
      <c r="BH1" s="190" t="s">
        <v>7</v>
      </c>
      <c r="BI1" s="191"/>
      <c r="BJ1" s="191"/>
      <c r="BK1" s="192"/>
    </row>
    <row r="2" spans="1:63" ht="15" customHeight="1">
      <c r="A2" s="175" t="str">
        <f>IF(表紙!A2="","",表紙!A2)</f>
        <v>現金専用簡易セルフPOS</v>
      </c>
      <c r="B2" s="176"/>
      <c r="C2" s="176"/>
      <c r="D2" s="176"/>
      <c r="E2" s="176"/>
      <c r="F2" s="176"/>
      <c r="G2" s="176"/>
      <c r="H2" s="176"/>
      <c r="I2" s="176"/>
      <c r="J2" s="177"/>
      <c r="K2" s="175" t="str">
        <f>IF(表紙!K2="","",表紙!K2)</f>
        <v/>
      </c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7"/>
      <c r="W2" s="196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8"/>
      <c r="AP2" s="175" t="str">
        <f>IF(表紙!AP2="","",表紙!AP2)</f>
        <v>Thanh Nguyên</v>
      </c>
      <c r="AQ2" s="176"/>
      <c r="AR2" s="176"/>
      <c r="AS2" s="177"/>
      <c r="AT2" s="208">
        <f>IF(表紙!AT2="","",表紙!AT2)</f>
        <v>45153</v>
      </c>
      <c r="AU2" s="209"/>
      <c r="AV2" s="209"/>
      <c r="AW2" s="209"/>
      <c r="AX2" s="210"/>
      <c r="AY2" s="175" t="str">
        <f>IF(表紙!AY2="","",表紙!AY2)</f>
        <v>Thanh Nguyên</v>
      </c>
      <c r="AZ2" s="176"/>
      <c r="BA2" s="176"/>
      <c r="BB2" s="177"/>
      <c r="BC2" s="208">
        <f>IF(表紙!BC2="","",表紙!BC2)</f>
        <v>45153</v>
      </c>
      <c r="BD2" s="209"/>
      <c r="BE2" s="209"/>
      <c r="BF2" s="209"/>
      <c r="BG2" s="210"/>
      <c r="BH2" s="175">
        <f>IF(表紙!BH2="","",表紙!BH2)</f>
        <v>0.5</v>
      </c>
      <c r="BI2" s="176"/>
      <c r="BJ2" s="176"/>
      <c r="BK2" s="177"/>
    </row>
    <row r="3" spans="1:63" ht="15" customHeight="1">
      <c r="A3" s="181"/>
      <c r="B3" s="182"/>
      <c r="C3" s="182"/>
      <c r="D3" s="182"/>
      <c r="E3" s="182"/>
      <c r="F3" s="182"/>
      <c r="G3" s="182"/>
      <c r="H3" s="182"/>
      <c r="I3" s="182"/>
      <c r="J3" s="183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3"/>
      <c r="W3" s="199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1"/>
      <c r="AP3" s="181"/>
      <c r="AQ3" s="182"/>
      <c r="AR3" s="182"/>
      <c r="AS3" s="183"/>
      <c r="AT3" s="211"/>
      <c r="AU3" s="212"/>
      <c r="AV3" s="212"/>
      <c r="AW3" s="212"/>
      <c r="AX3" s="213"/>
      <c r="AY3" s="181"/>
      <c r="AZ3" s="182"/>
      <c r="BA3" s="182"/>
      <c r="BB3" s="183"/>
      <c r="BC3" s="211"/>
      <c r="BD3" s="212"/>
      <c r="BE3" s="212"/>
      <c r="BF3" s="212"/>
      <c r="BG3" s="213"/>
      <c r="BH3" s="181"/>
      <c r="BI3" s="182"/>
      <c r="BJ3" s="182"/>
      <c r="BK3" s="183"/>
    </row>
    <row r="4" spans="1:63" ht="24.95" customHeight="1">
      <c r="A4" s="190" t="s">
        <v>1</v>
      </c>
      <c r="B4" s="191"/>
      <c r="C4" s="191"/>
      <c r="D4" s="191"/>
      <c r="E4" s="191"/>
      <c r="F4" s="191"/>
      <c r="G4" s="192"/>
      <c r="H4" s="214" t="str">
        <f>IF(表紙!H4="","",表紙!H4)</f>
        <v/>
      </c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  <c r="U4" s="190" t="s">
        <v>8</v>
      </c>
      <c r="V4" s="191"/>
      <c r="W4" s="191"/>
      <c r="X4" s="191"/>
      <c r="Y4" s="192"/>
      <c r="Z4" s="214" t="str">
        <f>IF(表紙!Z4="","",表紙!Z4)</f>
        <v/>
      </c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6"/>
      <c r="AP4" s="214" t="str" cm="1">
        <f t="array" aca="1" ref="AP4" ca="1">RIGHT(CELL("filename",$A$1),LEN(CELL("filename",$A$1))-FIND("]",CELL("filename",$A$1)))</f>
        <v>テストデータ</v>
      </c>
      <c r="AQ4" s="215"/>
      <c r="AR4" s="215"/>
      <c r="AS4" s="215"/>
      <c r="AT4" s="215"/>
      <c r="AU4" s="215"/>
      <c r="AV4" s="215"/>
      <c r="AW4" s="215"/>
      <c r="AX4" s="215"/>
      <c r="AY4" s="215"/>
      <c r="AZ4" s="215"/>
      <c r="BA4" s="215"/>
      <c r="BB4" s="215"/>
      <c r="BC4" s="215"/>
      <c r="BD4" s="215"/>
      <c r="BE4" s="215"/>
      <c r="BF4" s="215"/>
      <c r="BG4" s="215"/>
      <c r="BH4" s="215"/>
      <c r="BI4" s="215"/>
      <c r="BJ4" s="215"/>
      <c r="BK4" s="216"/>
    </row>
    <row r="5" spans="1:63" ht="5.0999999999999996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8"/>
    </row>
    <row r="6" spans="1:63" ht="15" customHeight="1">
      <c r="A6" s="1"/>
      <c r="BK6" s="7"/>
    </row>
    <row r="7" spans="1:63" ht="15" customHeight="1">
      <c r="A7" s="1"/>
      <c r="B7" t="s">
        <v>149</v>
      </c>
      <c r="BK7" s="7"/>
    </row>
    <row r="8" spans="1:63" ht="15" customHeight="1">
      <c r="A8" s="1"/>
      <c r="B8" t="s">
        <v>191</v>
      </c>
      <c r="BK8" s="7"/>
    </row>
    <row r="9" spans="1:63" ht="15" customHeight="1">
      <c r="A9" s="1"/>
      <c r="B9" t="s">
        <v>192</v>
      </c>
      <c r="BK9" s="7"/>
    </row>
    <row r="10" spans="1:63" ht="15" customHeight="1">
      <c r="A10" s="1"/>
      <c r="BK10" s="7"/>
    </row>
    <row r="11" spans="1:63" ht="15" customHeight="1">
      <c r="A11" s="1"/>
      <c r="B11" t="s">
        <v>149</v>
      </c>
      <c r="BK11" s="7"/>
    </row>
    <row r="12" spans="1:63" ht="15" customHeight="1">
      <c r="A12" s="1"/>
      <c r="B12" t="s">
        <v>191</v>
      </c>
      <c r="BK12" s="7"/>
    </row>
    <row r="13" spans="1:63" ht="15" customHeight="1">
      <c r="A13" s="1"/>
      <c r="B13" t="s">
        <v>193</v>
      </c>
      <c r="BK13" s="7"/>
    </row>
    <row r="14" spans="1:63" ht="15" customHeight="1">
      <c r="A14" s="1"/>
      <c r="BK14" s="7"/>
    </row>
    <row r="15" spans="1:63" ht="15" customHeight="1">
      <c r="A15" s="1"/>
      <c r="B15" t="s">
        <v>149</v>
      </c>
      <c r="BK15" s="7"/>
    </row>
    <row r="16" spans="1:63" ht="15" customHeight="1">
      <c r="A16" s="1"/>
      <c r="B16" t="s">
        <v>191</v>
      </c>
      <c r="BK16" s="7"/>
    </row>
    <row r="17" spans="1:63" ht="15" customHeight="1">
      <c r="A17" s="1"/>
      <c r="B17" t="s">
        <v>194</v>
      </c>
      <c r="BK17" s="7"/>
    </row>
    <row r="18" spans="1:63" ht="15" customHeight="1">
      <c r="A18" s="1"/>
      <c r="BK18" s="7"/>
    </row>
    <row r="19" spans="1:63" ht="15" customHeight="1">
      <c r="A19" s="1"/>
      <c r="B19" t="s">
        <v>149</v>
      </c>
      <c r="BK19" s="7"/>
    </row>
    <row r="20" spans="1:63" ht="15" customHeight="1">
      <c r="A20" s="1"/>
      <c r="B20" t="s">
        <v>191</v>
      </c>
      <c r="BK20" s="7"/>
    </row>
    <row r="21" spans="1:63" ht="15" customHeight="1">
      <c r="A21" s="1"/>
      <c r="B21" t="s">
        <v>195</v>
      </c>
      <c r="BK21" s="7"/>
    </row>
    <row r="22" spans="1:63" ht="15" customHeight="1">
      <c r="A22" s="1"/>
      <c r="BK22" s="7"/>
    </row>
    <row r="23" spans="1:63" ht="15" customHeight="1">
      <c r="A23" s="1"/>
      <c r="B23" t="s">
        <v>149</v>
      </c>
      <c r="BK23" s="7"/>
    </row>
    <row r="24" spans="1:63" ht="15" customHeight="1">
      <c r="A24" s="1"/>
      <c r="B24" t="s">
        <v>191</v>
      </c>
      <c r="BK24" s="7"/>
    </row>
    <row r="25" spans="1:63" ht="15" customHeight="1">
      <c r="A25" s="1"/>
      <c r="B25" t="s">
        <v>196</v>
      </c>
      <c r="BK25" s="7"/>
    </row>
    <row r="26" spans="1:63" ht="15" customHeight="1">
      <c r="A26" s="1"/>
      <c r="BK26" s="7"/>
    </row>
    <row r="27" spans="1:63" ht="15" customHeight="1">
      <c r="A27" s="1"/>
      <c r="B27" t="s">
        <v>149</v>
      </c>
      <c r="BK27" s="7"/>
    </row>
    <row r="28" spans="1:63" ht="15" customHeight="1">
      <c r="A28" s="1"/>
      <c r="B28" t="s">
        <v>191</v>
      </c>
      <c r="BK28" s="7"/>
    </row>
    <row r="29" spans="1:63" ht="15" customHeight="1">
      <c r="A29" s="1"/>
      <c r="B29" t="s">
        <v>197</v>
      </c>
      <c r="BK29" s="7"/>
    </row>
    <row r="30" spans="1:63" ht="15" customHeight="1">
      <c r="A30" s="1"/>
      <c r="BK30" s="7"/>
    </row>
    <row r="31" spans="1:63" ht="15" customHeight="1">
      <c r="A31" s="1"/>
      <c r="B31" t="s">
        <v>149</v>
      </c>
      <c r="BK31" s="7"/>
    </row>
    <row r="32" spans="1:63" ht="15" customHeight="1">
      <c r="A32" s="1"/>
      <c r="B32" t="s">
        <v>224</v>
      </c>
      <c r="BK32" s="7"/>
    </row>
    <row r="33" spans="1:63" ht="15" customHeight="1">
      <c r="A33" s="1"/>
      <c r="B33" t="s">
        <v>225</v>
      </c>
      <c r="BK33" s="7"/>
    </row>
    <row r="34" spans="1:63" ht="15" customHeight="1">
      <c r="A34" s="1"/>
      <c r="BK34" s="7"/>
    </row>
    <row r="35" spans="1:63" ht="15" customHeight="1">
      <c r="A35" s="1"/>
      <c r="BK35" s="7"/>
    </row>
    <row r="36" spans="1:63" ht="15" customHeight="1">
      <c r="A36" s="1"/>
      <c r="BK36" s="7"/>
    </row>
    <row r="37" spans="1:63" ht="15" customHeight="1">
      <c r="A37" s="1"/>
      <c r="BK37" s="7"/>
    </row>
    <row r="38" spans="1:63" ht="15" customHeight="1">
      <c r="A38" s="1"/>
      <c r="BK38" s="7"/>
    </row>
    <row r="39" spans="1:63" ht="15" customHeight="1">
      <c r="A39" s="1"/>
      <c r="BK39" s="7"/>
    </row>
    <row r="40" spans="1:63" ht="15" customHeight="1">
      <c r="A40" s="1"/>
      <c r="BK40" s="7"/>
    </row>
    <row r="41" spans="1:63" ht="15" customHeight="1">
      <c r="A41" s="1"/>
      <c r="BK41" s="7"/>
    </row>
    <row r="42" spans="1:63" ht="15" customHeight="1">
      <c r="A42" s="1"/>
      <c r="BK42" s="7"/>
    </row>
    <row r="43" spans="1:63" ht="15" customHeight="1">
      <c r="A43" s="1"/>
      <c r="BK43" s="7"/>
    </row>
    <row r="44" spans="1:63" ht="15" customHeight="1">
      <c r="A44" s="1"/>
      <c r="BK44" s="7"/>
    </row>
    <row r="45" spans="1:63" ht="15" customHeight="1">
      <c r="A45" s="1"/>
      <c r="BK45" s="7"/>
    </row>
    <row r="46" spans="1:63" ht="15" customHeight="1">
      <c r="A46" s="1"/>
      <c r="BK46" s="7"/>
    </row>
    <row r="47" spans="1:63" ht="15" customHeight="1">
      <c r="A47" s="1"/>
      <c r="BK47" s="7"/>
    </row>
    <row r="48" spans="1:63" ht="15" customHeight="1">
      <c r="A48" s="1"/>
      <c r="BK48" s="7"/>
    </row>
    <row r="49" spans="1:63" ht="15" customHeight="1">
      <c r="A49" s="1"/>
      <c r="BK49" s="7"/>
    </row>
    <row r="50" spans="1:63" ht="15" customHeight="1">
      <c r="A50" s="1"/>
      <c r="BK50" s="7"/>
    </row>
    <row r="51" spans="1:63" ht="15" customHeight="1">
      <c r="A51" s="1"/>
      <c r="BK51" s="7"/>
    </row>
    <row r="52" spans="1:63" ht="15" customHeight="1">
      <c r="A52" s="1"/>
      <c r="BK52" s="7"/>
    </row>
    <row r="53" spans="1:63" ht="15" customHeight="1">
      <c r="A53" s="1"/>
      <c r="BK53" s="7"/>
    </row>
    <row r="54" spans="1:63" ht="15" customHeight="1">
      <c r="A54" s="1"/>
      <c r="BK54" s="7"/>
    </row>
    <row r="55" spans="1:63" ht="15" customHeight="1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8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honeticPr fontId="3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5D37A-C1BD-496E-99CE-BACE80A7B2C5}">
  <dimension ref="A1:BK84"/>
  <sheetViews>
    <sheetView view="pageBreakPreview" zoomScale="75" zoomScaleNormal="75" zoomScaleSheetLayoutView="75" workbookViewId="0">
      <selection activeCell="B7" sqref="B7:B84"/>
    </sheetView>
  </sheetViews>
  <sheetFormatPr defaultRowHeight="15.75"/>
  <cols>
    <col min="1" max="63" width="2.77734375" customWidth="1"/>
  </cols>
  <sheetData>
    <row r="1" spans="1:63" ht="24.95" customHeight="1">
      <c r="A1" s="190" t="s">
        <v>0</v>
      </c>
      <c r="B1" s="191"/>
      <c r="C1" s="191"/>
      <c r="D1" s="191"/>
      <c r="E1" s="191"/>
      <c r="F1" s="191"/>
      <c r="G1" s="191"/>
      <c r="H1" s="191"/>
      <c r="I1" s="191"/>
      <c r="J1" s="192"/>
      <c r="K1" s="190" t="s">
        <v>2</v>
      </c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2"/>
      <c r="W1" s="193" t="str">
        <f>IF(表紙!W1="","",表紙!W1)</f>
        <v/>
      </c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5"/>
      <c r="AP1" s="190" t="s">
        <v>3</v>
      </c>
      <c r="AQ1" s="191"/>
      <c r="AR1" s="191"/>
      <c r="AS1" s="192"/>
      <c r="AT1" s="190" t="s">
        <v>4</v>
      </c>
      <c r="AU1" s="191"/>
      <c r="AV1" s="191"/>
      <c r="AW1" s="191"/>
      <c r="AX1" s="192"/>
      <c r="AY1" s="190" t="s">
        <v>5</v>
      </c>
      <c r="AZ1" s="191"/>
      <c r="BA1" s="191"/>
      <c r="BB1" s="192"/>
      <c r="BC1" s="190" t="s">
        <v>6</v>
      </c>
      <c r="BD1" s="191"/>
      <c r="BE1" s="191"/>
      <c r="BF1" s="191"/>
      <c r="BG1" s="192"/>
      <c r="BH1" s="190" t="s">
        <v>7</v>
      </c>
      <c r="BI1" s="191"/>
      <c r="BJ1" s="191"/>
      <c r="BK1" s="192"/>
    </row>
    <row r="2" spans="1:63" ht="15" customHeight="1">
      <c r="A2" s="175" t="str">
        <f>IF(表紙!A2="","",表紙!A2)</f>
        <v>現金専用簡易セルフPOS</v>
      </c>
      <c r="B2" s="176"/>
      <c r="C2" s="176"/>
      <c r="D2" s="176"/>
      <c r="E2" s="176"/>
      <c r="F2" s="176"/>
      <c r="G2" s="176"/>
      <c r="H2" s="176"/>
      <c r="I2" s="176"/>
      <c r="J2" s="177"/>
      <c r="K2" s="175" t="str">
        <f>IF(表紙!K2="","",表紙!K2)</f>
        <v/>
      </c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7"/>
      <c r="W2" s="196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8"/>
      <c r="AP2" s="175" t="str">
        <f>IF(表紙!AP2="","",表紙!AP2)</f>
        <v>Thanh Nguyên</v>
      </c>
      <c r="AQ2" s="176"/>
      <c r="AR2" s="176"/>
      <c r="AS2" s="177"/>
      <c r="AT2" s="208">
        <f>IF(表紙!AT2="","",表紙!AT2)</f>
        <v>45153</v>
      </c>
      <c r="AU2" s="209"/>
      <c r="AV2" s="209"/>
      <c r="AW2" s="209"/>
      <c r="AX2" s="210"/>
      <c r="AY2" s="175" t="str">
        <f>IF(表紙!AY2="","",表紙!AY2)</f>
        <v>Thanh Nguyên</v>
      </c>
      <c r="AZ2" s="176"/>
      <c r="BA2" s="176"/>
      <c r="BB2" s="177"/>
      <c r="BC2" s="208">
        <f>IF(表紙!BC2="","",表紙!BC2)</f>
        <v>45153</v>
      </c>
      <c r="BD2" s="209"/>
      <c r="BE2" s="209"/>
      <c r="BF2" s="209"/>
      <c r="BG2" s="210"/>
      <c r="BH2" s="175">
        <f>IF(表紙!BH2="","",表紙!BH2)</f>
        <v>0.5</v>
      </c>
      <c r="BI2" s="176"/>
      <c r="BJ2" s="176"/>
      <c r="BK2" s="177"/>
    </row>
    <row r="3" spans="1:63" ht="15" customHeight="1">
      <c r="A3" s="181"/>
      <c r="B3" s="182"/>
      <c r="C3" s="182"/>
      <c r="D3" s="182"/>
      <c r="E3" s="182"/>
      <c r="F3" s="182"/>
      <c r="G3" s="182"/>
      <c r="H3" s="182"/>
      <c r="I3" s="182"/>
      <c r="J3" s="183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3"/>
      <c r="W3" s="199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1"/>
      <c r="AP3" s="181"/>
      <c r="AQ3" s="182"/>
      <c r="AR3" s="182"/>
      <c r="AS3" s="183"/>
      <c r="AT3" s="211"/>
      <c r="AU3" s="212"/>
      <c r="AV3" s="212"/>
      <c r="AW3" s="212"/>
      <c r="AX3" s="213"/>
      <c r="AY3" s="181"/>
      <c r="AZ3" s="182"/>
      <c r="BA3" s="182"/>
      <c r="BB3" s="183"/>
      <c r="BC3" s="211"/>
      <c r="BD3" s="212"/>
      <c r="BE3" s="212"/>
      <c r="BF3" s="212"/>
      <c r="BG3" s="213"/>
      <c r="BH3" s="181"/>
      <c r="BI3" s="182"/>
      <c r="BJ3" s="182"/>
      <c r="BK3" s="183"/>
    </row>
    <row r="4" spans="1:63" ht="24.95" customHeight="1">
      <c r="A4" s="190" t="s">
        <v>1</v>
      </c>
      <c r="B4" s="191"/>
      <c r="C4" s="191"/>
      <c r="D4" s="191"/>
      <c r="E4" s="191"/>
      <c r="F4" s="191"/>
      <c r="G4" s="192"/>
      <c r="H4" s="214" t="str">
        <f>IF(表紙!H4="","",表紙!H4)</f>
        <v/>
      </c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  <c r="U4" s="190" t="s">
        <v>8</v>
      </c>
      <c r="V4" s="191"/>
      <c r="W4" s="191"/>
      <c r="X4" s="191"/>
      <c r="Y4" s="192"/>
      <c r="Z4" s="214" t="str">
        <f>IF(表紙!Z4="","",表紙!Z4)</f>
        <v/>
      </c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6"/>
      <c r="AP4" s="214" t="str" cm="1">
        <f t="array" aca="1" ref="AP4" ca="1">RIGHT(CELL("filename",$A$1),LEN(CELL("filename",$A$1))-FIND("]",CELL("filename",$A$1)))</f>
        <v>SQLサンプル</v>
      </c>
      <c r="AQ4" s="215"/>
      <c r="AR4" s="215"/>
      <c r="AS4" s="215"/>
      <c r="AT4" s="215"/>
      <c r="AU4" s="215"/>
      <c r="AV4" s="215"/>
      <c r="AW4" s="215"/>
      <c r="AX4" s="215"/>
      <c r="AY4" s="215"/>
      <c r="AZ4" s="215"/>
      <c r="BA4" s="215"/>
      <c r="BB4" s="215"/>
      <c r="BC4" s="215"/>
      <c r="BD4" s="215"/>
      <c r="BE4" s="215"/>
      <c r="BF4" s="215"/>
      <c r="BG4" s="215"/>
      <c r="BH4" s="215"/>
      <c r="BI4" s="215"/>
      <c r="BJ4" s="215"/>
      <c r="BK4" s="216"/>
    </row>
    <row r="5" spans="1:63" ht="5.0999999999999996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8"/>
    </row>
    <row r="6" spans="1:63" ht="15" customHeight="1">
      <c r="A6" s="1"/>
      <c r="BK6" s="7"/>
    </row>
    <row r="7" spans="1:63" ht="15" customHeight="1">
      <c r="A7" s="1"/>
      <c r="B7" s="171" t="s">
        <v>215</v>
      </c>
      <c r="BK7" s="7"/>
    </row>
    <row r="8" spans="1:63" ht="15" customHeight="1">
      <c r="A8" s="1"/>
      <c r="B8" t="s">
        <v>202</v>
      </c>
      <c r="BK8" s="7"/>
    </row>
    <row r="9" spans="1:63" ht="15" customHeight="1">
      <c r="A9" s="1"/>
      <c r="B9" t="s">
        <v>226</v>
      </c>
      <c r="BK9" s="7"/>
    </row>
    <row r="10" spans="1:63" ht="15" customHeight="1">
      <c r="A10" s="1"/>
      <c r="B10" t="s">
        <v>203</v>
      </c>
      <c r="BK10" s="7"/>
    </row>
    <row r="11" spans="1:63" ht="15" customHeight="1">
      <c r="A11" s="1"/>
      <c r="B11" t="s">
        <v>204</v>
      </c>
      <c r="BK11" s="7"/>
    </row>
    <row r="12" spans="1:63" ht="15" customHeight="1">
      <c r="A12" s="1"/>
      <c r="B12" t="s">
        <v>227</v>
      </c>
      <c r="BK12" s="7"/>
    </row>
    <row r="13" spans="1:63" ht="15" customHeight="1">
      <c r="A13" s="1"/>
      <c r="B13" t="s">
        <v>228</v>
      </c>
      <c r="BK13" s="7"/>
    </row>
    <row r="14" spans="1:63" ht="15" customHeight="1">
      <c r="A14" s="1"/>
      <c r="B14" t="s">
        <v>229</v>
      </c>
      <c r="BK14" s="7"/>
    </row>
    <row r="15" spans="1:63" ht="15" customHeight="1">
      <c r="A15" s="1"/>
      <c r="B15" t="s">
        <v>230</v>
      </c>
      <c r="BK15" s="7"/>
    </row>
    <row r="16" spans="1:63" ht="15" customHeight="1">
      <c r="A16" s="1"/>
      <c r="B16" t="s">
        <v>231</v>
      </c>
      <c r="BK16" s="7"/>
    </row>
    <row r="17" spans="1:63" ht="15" customHeight="1">
      <c r="A17" s="1"/>
      <c r="B17" t="s">
        <v>232</v>
      </c>
      <c r="BK17" s="7"/>
    </row>
    <row r="18" spans="1:63" ht="15" customHeight="1">
      <c r="A18" s="1"/>
      <c r="B18" s="171" t="s">
        <v>216</v>
      </c>
      <c r="BK18" s="7"/>
    </row>
    <row r="19" spans="1:63" ht="15" customHeight="1">
      <c r="A19" s="1"/>
      <c r="B19" t="s">
        <v>202</v>
      </c>
      <c r="BK19" s="7"/>
    </row>
    <row r="20" spans="1:63" ht="15" customHeight="1">
      <c r="A20" s="1"/>
      <c r="B20" t="s">
        <v>233</v>
      </c>
      <c r="BK20" s="7"/>
    </row>
    <row r="21" spans="1:63" ht="15" customHeight="1">
      <c r="A21" s="1"/>
      <c r="B21" t="s">
        <v>203</v>
      </c>
      <c r="BK21" s="7"/>
    </row>
    <row r="22" spans="1:63" ht="15" customHeight="1">
      <c r="A22" s="1"/>
      <c r="B22" t="s">
        <v>204</v>
      </c>
      <c r="BK22" s="7"/>
    </row>
    <row r="23" spans="1:63" ht="15" customHeight="1">
      <c r="A23" s="1"/>
      <c r="B23" t="s">
        <v>234</v>
      </c>
      <c r="BK23" s="7"/>
    </row>
    <row r="24" spans="1:63" ht="15" customHeight="1">
      <c r="A24" s="1"/>
      <c r="B24" t="s">
        <v>235</v>
      </c>
      <c r="BK24" s="7"/>
    </row>
    <row r="25" spans="1:63" ht="15" customHeight="1">
      <c r="A25" s="1"/>
      <c r="B25" t="s">
        <v>236</v>
      </c>
      <c r="BK25" s="7"/>
    </row>
    <row r="26" spans="1:63" ht="15" customHeight="1">
      <c r="A26" s="1"/>
      <c r="B26" t="s">
        <v>237</v>
      </c>
      <c r="BK26" s="7"/>
    </row>
    <row r="27" spans="1:63" ht="15" customHeight="1">
      <c r="A27" s="1"/>
      <c r="B27" t="s">
        <v>231</v>
      </c>
      <c r="BK27" s="7"/>
    </row>
    <row r="28" spans="1:63" ht="15" customHeight="1">
      <c r="A28" s="1"/>
      <c r="BK28" s="7"/>
    </row>
    <row r="29" spans="1:63" ht="15" customHeight="1">
      <c r="A29" s="1"/>
      <c r="B29" s="171" t="s">
        <v>217</v>
      </c>
      <c r="BK29" s="7"/>
    </row>
    <row r="30" spans="1:63" ht="15" customHeight="1">
      <c r="A30" s="1"/>
      <c r="B30" t="s">
        <v>202</v>
      </c>
      <c r="BK30" s="7"/>
    </row>
    <row r="31" spans="1:63" ht="15" customHeight="1">
      <c r="A31" s="1"/>
      <c r="B31" t="s">
        <v>238</v>
      </c>
      <c r="BK31" s="7"/>
    </row>
    <row r="32" spans="1:63" ht="15" customHeight="1">
      <c r="A32" s="1"/>
      <c r="B32" t="s">
        <v>239</v>
      </c>
      <c r="BK32" s="7"/>
    </row>
    <row r="33" spans="1:63" ht="15" customHeight="1">
      <c r="A33" s="1"/>
      <c r="B33" t="s">
        <v>203</v>
      </c>
      <c r="BK33" s="7"/>
    </row>
    <row r="34" spans="1:63" ht="15" customHeight="1">
      <c r="A34" s="1"/>
      <c r="B34" t="s">
        <v>204</v>
      </c>
      <c r="BK34" s="7"/>
    </row>
    <row r="35" spans="1:63" ht="15" customHeight="1">
      <c r="A35" s="1"/>
      <c r="B35" t="s">
        <v>227</v>
      </c>
      <c r="BK35" s="7"/>
    </row>
    <row r="36" spans="1:63" ht="15" customHeight="1">
      <c r="A36" s="1"/>
      <c r="B36" t="s">
        <v>228</v>
      </c>
      <c r="BK36" s="7"/>
    </row>
    <row r="37" spans="1:63" ht="15" customHeight="1">
      <c r="A37" s="1"/>
      <c r="B37" t="s">
        <v>229</v>
      </c>
      <c r="BK37" s="7"/>
    </row>
    <row r="38" spans="1:63" ht="15" customHeight="1">
      <c r="A38" s="1"/>
      <c r="B38" t="s">
        <v>240</v>
      </c>
      <c r="BK38" s="7"/>
    </row>
    <row r="39" spans="1:63" ht="15" customHeight="1">
      <c r="A39" s="1"/>
      <c r="BK39" s="7"/>
    </row>
    <row r="40" spans="1:63" ht="15" customHeight="1">
      <c r="A40" s="1"/>
      <c r="B40" s="171" t="s">
        <v>218</v>
      </c>
      <c r="BK40" s="7"/>
    </row>
    <row r="41" spans="1:63" ht="15" customHeight="1">
      <c r="A41" s="1"/>
      <c r="B41" t="s">
        <v>205</v>
      </c>
      <c r="BK41" s="7"/>
    </row>
    <row r="42" spans="1:63" ht="15" customHeight="1">
      <c r="A42" s="1"/>
      <c r="B42" t="s">
        <v>206</v>
      </c>
      <c r="BK42" s="7"/>
    </row>
    <row r="43" spans="1:63" ht="15" customHeight="1">
      <c r="A43" s="1"/>
      <c r="B43" t="s">
        <v>207</v>
      </c>
      <c r="BK43" s="7"/>
    </row>
    <row r="44" spans="1:63" ht="15" customHeight="1">
      <c r="A44" s="1"/>
      <c r="B44" t="s">
        <v>208</v>
      </c>
      <c r="BK44" s="7"/>
    </row>
    <row r="45" spans="1:63" ht="15" customHeight="1">
      <c r="A45" s="1"/>
      <c r="BK45" s="7"/>
    </row>
    <row r="46" spans="1:63" ht="15" customHeight="1">
      <c r="A46" s="1"/>
      <c r="B46" s="171" t="s">
        <v>219</v>
      </c>
      <c r="BK46" s="7"/>
    </row>
    <row r="47" spans="1:63" ht="15" customHeight="1">
      <c r="A47" s="1"/>
      <c r="B47" t="s">
        <v>209</v>
      </c>
      <c r="BK47" s="7"/>
    </row>
    <row r="48" spans="1:63" ht="15" customHeight="1">
      <c r="A48" s="1"/>
      <c r="BK48" s="7"/>
    </row>
    <row r="49" spans="1:63" ht="15" customHeight="1">
      <c r="A49" s="1"/>
      <c r="B49" s="171" t="s">
        <v>220</v>
      </c>
      <c r="BK49" s="7"/>
    </row>
    <row r="50" spans="1:63" ht="15" customHeight="1">
      <c r="A50" s="1"/>
      <c r="B50" t="s">
        <v>202</v>
      </c>
      <c r="BK50" s="7"/>
    </row>
    <row r="51" spans="1:63" ht="15" customHeight="1">
      <c r="A51" s="1"/>
      <c r="B51" t="s">
        <v>241</v>
      </c>
      <c r="BK51" s="7"/>
    </row>
    <row r="52" spans="1:63" ht="15" customHeight="1">
      <c r="A52" s="1"/>
      <c r="B52" t="s">
        <v>242</v>
      </c>
      <c r="BK52" s="7"/>
    </row>
    <row r="53" spans="1:63" ht="15" customHeight="1">
      <c r="A53" s="1"/>
      <c r="B53" t="s">
        <v>243</v>
      </c>
      <c r="BK53" s="7"/>
    </row>
    <row r="54" spans="1:63" ht="15" customHeight="1">
      <c r="A54" s="1"/>
      <c r="B54" t="s">
        <v>210</v>
      </c>
      <c r="BK54" s="7"/>
    </row>
    <row r="55" spans="1:63" ht="15" customHeight="1">
      <c r="A55" s="4"/>
      <c r="B55" s="5" t="s">
        <v>204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8"/>
    </row>
    <row r="56" spans="1:63">
      <c r="B56" t="s">
        <v>234</v>
      </c>
    </row>
    <row r="57" spans="1:63">
      <c r="B57" t="s">
        <v>235</v>
      </c>
    </row>
    <row r="58" spans="1:63">
      <c r="B58" t="s">
        <v>236</v>
      </c>
    </row>
    <row r="59" spans="1:63">
      <c r="B59" t="s">
        <v>244</v>
      </c>
    </row>
    <row r="60" spans="1:63">
      <c r="B60" t="s">
        <v>211</v>
      </c>
    </row>
    <row r="61" spans="1:63">
      <c r="B61" t="s">
        <v>245</v>
      </c>
    </row>
    <row r="63" spans="1:63">
      <c r="B63" s="171" t="s">
        <v>221</v>
      </c>
    </row>
    <row r="64" spans="1:63">
      <c r="B64" t="s">
        <v>202</v>
      </c>
    </row>
    <row r="65" spans="2:2">
      <c r="B65" t="s">
        <v>246</v>
      </c>
    </row>
    <row r="66" spans="2:2">
      <c r="B66" t="s">
        <v>212</v>
      </c>
    </row>
    <row r="67" spans="2:2">
      <c r="B67" t="s">
        <v>204</v>
      </c>
    </row>
    <row r="68" spans="2:2">
      <c r="B68" t="s">
        <v>234</v>
      </c>
    </row>
    <row r="69" spans="2:2">
      <c r="B69" t="s">
        <v>235</v>
      </c>
    </row>
    <row r="70" spans="2:2">
      <c r="B70" t="s">
        <v>247</v>
      </c>
    </row>
    <row r="72" spans="2:2">
      <c r="B72" s="171" t="s">
        <v>222</v>
      </c>
    </row>
    <row r="73" spans="2:2">
      <c r="B73" t="s">
        <v>213</v>
      </c>
    </row>
    <row r="74" spans="2:2">
      <c r="B74" t="s">
        <v>204</v>
      </c>
    </row>
    <row r="75" spans="2:2">
      <c r="B75" t="s">
        <v>234</v>
      </c>
    </row>
    <row r="76" spans="2:2">
      <c r="B76" t="s">
        <v>235</v>
      </c>
    </row>
    <row r="77" spans="2:2">
      <c r="B77" t="s">
        <v>247</v>
      </c>
    </row>
    <row r="78" spans="2:2">
      <c r="B78" t="s">
        <v>232</v>
      </c>
    </row>
    <row r="79" spans="2:2">
      <c r="B79" s="171" t="s">
        <v>223</v>
      </c>
    </row>
    <row r="80" spans="2:2">
      <c r="B80" t="s">
        <v>214</v>
      </c>
    </row>
    <row r="81" spans="2:2">
      <c r="B81" t="s">
        <v>204</v>
      </c>
    </row>
    <row r="82" spans="2:2">
      <c r="B82" t="s">
        <v>234</v>
      </c>
    </row>
    <row r="83" spans="2:2">
      <c r="B83" t="s">
        <v>235</v>
      </c>
    </row>
    <row r="84" spans="2:2">
      <c r="B84" t="s">
        <v>247</v>
      </c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honeticPr fontId="3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5CF11-B6A2-49E0-9B85-8A40ED204E96}">
  <dimension ref="A1:BK55"/>
  <sheetViews>
    <sheetView view="pageBreakPreview" zoomScale="75" zoomScaleNormal="75" zoomScaleSheetLayoutView="75" workbookViewId="0">
      <selection activeCell="A6" sqref="A6:BK55"/>
    </sheetView>
  </sheetViews>
  <sheetFormatPr defaultRowHeight="15.75"/>
  <cols>
    <col min="1" max="63" width="2.77734375" customWidth="1"/>
  </cols>
  <sheetData>
    <row r="1" spans="1:63" ht="24.95" customHeight="1">
      <c r="A1" s="190" t="s">
        <v>0</v>
      </c>
      <c r="B1" s="191"/>
      <c r="C1" s="191"/>
      <c r="D1" s="191"/>
      <c r="E1" s="191"/>
      <c r="F1" s="191"/>
      <c r="G1" s="191"/>
      <c r="H1" s="191"/>
      <c r="I1" s="191"/>
      <c r="J1" s="192"/>
      <c r="K1" s="190" t="s">
        <v>2</v>
      </c>
      <c r="L1" s="191"/>
      <c r="M1" s="191"/>
      <c r="N1" s="191"/>
      <c r="O1" s="191"/>
      <c r="P1" s="191"/>
      <c r="Q1" s="191"/>
      <c r="R1" s="191"/>
      <c r="S1" s="191"/>
      <c r="T1" s="191"/>
      <c r="U1" s="191"/>
      <c r="V1" s="192"/>
      <c r="W1" s="193" t="str">
        <f>IF(表紙!W1="","",表紙!W1)</f>
        <v/>
      </c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  <c r="AM1" s="194"/>
      <c r="AN1" s="194"/>
      <c r="AO1" s="195"/>
      <c r="AP1" s="190" t="s">
        <v>3</v>
      </c>
      <c r="AQ1" s="191"/>
      <c r="AR1" s="191"/>
      <c r="AS1" s="192"/>
      <c r="AT1" s="190" t="s">
        <v>4</v>
      </c>
      <c r="AU1" s="191"/>
      <c r="AV1" s="191"/>
      <c r="AW1" s="191"/>
      <c r="AX1" s="192"/>
      <c r="AY1" s="190" t="s">
        <v>5</v>
      </c>
      <c r="AZ1" s="191"/>
      <c r="BA1" s="191"/>
      <c r="BB1" s="192"/>
      <c r="BC1" s="190" t="s">
        <v>6</v>
      </c>
      <c r="BD1" s="191"/>
      <c r="BE1" s="191"/>
      <c r="BF1" s="191"/>
      <c r="BG1" s="192"/>
      <c r="BH1" s="190" t="s">
        <v>7</v>
      </c>
      <c r="BI1" s="191"/>
      <c r="BJ1" s="191"/>
      <c r="BK1" s="192"/>
    </row>
    <row r="2" spans="1:63" ht="15" customHeight="1">
      <c r="A2" s="175" t="str">
        <f>IF(表紙!A2="","",表紙!A2)</f>
        <v>現金専用簡易セルフPOS</v>
      </c>
      <c r="B2" s="176"/>
      <c r="C2" s="176"/>
      <c r="D2" s="176"/>
      <c r="E2" s="176"/>
      <c r="F2" s="176"/>
      <c r="G2" s="176"/>
      <c r="H2" s="176"/>
      <c r="I2" s="176"/>
      <c r="J2" s="177"/>
      <c r="K2" s="175" t="str">
        <f>IF(表紙!K2="","",表紙!K2)</f>
        <v/>
      </c>
      <c r="L2" s="176"/>
      <c r="M2" s="176"/>
      <c r="N2" s="176"/>
      <c r="O2" s="176"/>
      <c r="P2" s="176"/>
      <c r="Q2" s="176"/>
      <c r="R2" s="176"/>
      <c r="S2" s="176"/>
      <c r="T2" s="176"/>
      <c r="U2" s="176"/>
      <c r="V2" s="177"/>
      <c r="W2" s="196"/>
      <c r="X2" s="197"/>
      <c r="Y2" s="197"/>
      <c r="Z2" s="197"/>
      <c r="AA2" s="197"/>
      <c r="AB2" s="197"/>
      <c r="AC2" s="197"/>
      <c r="AD2" s="197"/>
      <c r="AE2" s="197"/>
      <c r="AF2" s="197"/>
      <c r="AG2" s="197"/>
      <c r="AH2" s="197"/>
      <c r="AI2" s="197"/>
      <c r="AJ2" s="197"/>
      <c r="AK2" s="197"/>
      <c r="AL2" s="197"/>
      <c r="AM2" s="197"/>
      <c r="AN2" s="197"/>
      <c r="AO2" s="198"/>
      <c r="AP2" s="175" t="str">
        <f>IF(表紙!AP2="","",表紙!AP2)</f>
        <v>Thanh Nguyên</v>
      </c>
      <c r="AQ2" s="176"/>
      <c r="AR2" s="176"/>
      <c r="AS2" s="177"/>
      <c r="AT2" s="208">
        <f>IF(表紙!AT2="","",表紙!AT2)</f>
        <v>45153</v>
      </c>
      <c r="AU2" s="209"/>
      <c r="AV2" s="209"/>
      <c r="AW2" s="209"/>
      <c r="AX2" s="210"/>
      <c r="AY2" s="175" t="str">
        <f>IF(表紙!AY2="","",表紙!AY2)</f>
        <v>Thanh Nguyên</v>
      </c>
      <c r="AZ2" s="176"/>
      <c r="BA2" s="176"/>
      <c r="BB2" s="177"/>
      <c r="BC2" s="208">
        <f>IF(表紙!BC2="","",表紙!BC2)</f>
        <v>45153</v>
      </c>
      <c r="BD2" s="209"/>
      <c r="BE2" s="209"/>
      <c r="BF2" s="209"/>
      <c r="BG2" s="210"/>
      <c r="BH2" s="175">
        <f>IF(表紙!BH2="","",表紙!BH2)</f>
        <v>0.5</v>
      </c>
      <c r="BI2" s="176"/>
      <c r="BJ2" s="176"/>
      <c r="BK2" s="177"/>
    </row>
    <row r="3" spans="1:63" ht="15" customHeight="1">
      <c r="A3" s="181"/>
      <c r="B3" s="182"/>
      <c r="C3" s="182"/>
      <c r="D3" s="182"/>
      <c r="E3" s="182"/>
      <c r="F3" s="182"/>
      <c r="G3" s="182"/>
      <c r="H3" s="182"/>
      <c r="I3" s="182"/>
      <c r="J3" s="183"/>
      <c r="K3" s="181"/>
      <c r="L3" s="182"/>
      <c r="M3" s="182"/>
      <c r="N3" s="182"/>
      <c r="O3" s="182"/>
      <c r="P3" s="182"/>
      <c r="Q3" s="182"/>
      <c r="R3" s="182"/>
      <c r="S3" s="182"/>
      <c r="T3" s="182"/>
      <c r="U3" s="182"/>
      <c r="V3" s="183"/>
      <c r="W3" s="199"/>
      <c r="X3" s="200"/>
      <c r="Y3" s="200"/>
      <c r="Z3" s="200"/>
      <c r="AA3" s="200"/>
      <c r="AB3" s="200"/>
      <c r="AC3" s="200"/>
      <c r="AD3" s="200"/>
      <c r="AE3" s="200"/>
      <c r="AF3" s="200"/>
      <c r="AG3" s="200"/>
      <c r="AH3" s="200"/>
      <c r="AI3" s="200"/>
      <c r="AJ3" s="200"/>
      <c r="AK3" s="200"/>
      <c r="AL3" s="200"/>
      <c r="AM3" s="200"/>
      <c r="AN3" s="200"/>
      <c r="AO3" s="201"/>
      <c r="AP3" s="181"/>
      <c r="AQ3" s="182"/>
      <c r="AR3" s="182"/>
      <c r="AS3" s="183"/>
      <c r="AT3" s="211"/>
      <c r="AU3" s="212"/>
      <c r="AV3" s="212"/>
      <c r="AW3" s="212"/>
      <c r="AX3" s="213"/>
      <c r="AY3" s="181"/>
      <c r="AZ3" s="182"/>
      <c r="BA3" s="182"/>
      <c r="BB3" s="183"/>
      <c r="BC3" s="211"/>
      <c r="BD3" s="212"/>
      <c r="BE3" s="212"/>
      <c r="BF3" s="212"/>
      <c r="BG3" s="213"/>
      <c r="BH3" s="181"/>
      <c r="BI3" s="182"/>
      <c r="BJ3" s="182"/>
      <c r="BK3" s="183"/>
    </row>
    <row r="4" spans="1:63" ht="24.95" customHeight="1">
      <c r="A4" s="190" t="s">
        <v>1</v>
      </c>
      <c r="B4" s="191"/>
      <c r="C4" s="191"/>
      <c r="D4" s="191"/>
      <c r="E4" s="191"/>
      <c r="F4" s="191"/>
      <c r="G4" s="192"/>
      <c r="H4" s="214" t="str">
        <f>IF(表紙!H4="","",表紙!H4)</f>
        <v/>
      </c>
      <c r="I4" s="215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  <c r="U4" s="190" t="s">
        <v>8</v>
      </c>
      <c r="V4" s="191"/>
      <c r="W4" s="191"/>
      <c r="X4" s="191"/>
      <c r="Y4" s="192"/>
      <c r="Z4" s="214" t="str">
        <f>IF(表紙!Z4="","",表紙!Z4)</f>
        <v/>
      </c>
      <c r="AA4" s="215"/>
      <c r="AB4" s="215"/>
      <c r="AC4" s="215"/>
      <c r="AD4" s="215"/>
      <c r="AE4" s="215"/>
      <c r="AF4" s="215"/>
      <c r="AG4" s="215"/>
      <c r="AH4" s="215"/>
      <c r="AI4" s="215"/>
      <c r="AJ4" s="215"/>
      <c r="AK4" s="215"/>
      <c r="AL4" s="215"/>
      <c r="AM4" s="215"/>
      <c r="AN4" s="215"/>
      <c r="AO4" s="216"/>
      <c r="AP4" s="214" t="str" cm="1">
        <f t="array" aca="1" ref="AP4" ca="1">RIGHT(CELL("filename",$A$1),LEN(CELL("filename",$A$1))-FIND("]",CELL("filename",$A$1)))</f>
        <v>テンプレート</v>
      </c>
      <c r="AQ4" s="215"/>
      <c r="AR4" s="215"/>
      <c r="AS4" s="215"/>
      <c r="AT4" s="215"/>
      <c r="AU4" s="215"/>
      <c r="AV4" s="215"/>
      <c r="AW4" s="215"/>
      <c r="AX4" s="215"/>
      <c r="AY4" s="215"/>
      <c r="AZ4" s="215"/>
      <c r="BA4" s="215"/>
      <c r="BB4" s="215"/>
      <c r="BC4" s="215"/>
      <c r="BD4" s="215"/>
      <c r="BE4" s="215"/>
      <c r="BF4" s="215"/>
      <c r="BG4" s="215"/>
      <c r="BH4" s="215"/>
      <c r="BI4" s="215"/>
      <c r="BJ4" s="215"/>
      <c r="BK4" s="216"/>
    </row>
    <row r="5" spans="1:63" ht="5.0999999999999996" customHeight="1">
      <c r="A5" s="4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8"/>
    </row>
    <row r="6" spans="1:63" ht="15" customHeight="1">
      <c r="A6" s="1"/>
      <c r="BK6" s="7"/>
    </row>
    <row r="7" spans="1:63" ht="15" customHeight="1">
      <c r="A7" s="1"/>
      <c r="BK7" s="7"/>
    </row>
    <row r="8" spans="1:63" ht="15" customHeight="1">
      <c r="A8" s="1"/>
      <c r="BK8" s="7"/>
    </row>
    <row r="9" spans="1:63" ht="15" customHeight="1">
      <c r="A9" s="1"/>
      <c r="BK9" s="7"/>
    </row>
    <row r="10" spans="1:63" ht="15" customHeight="1">
      <c r="A10" s="1"/>
      <c r="BK10" s="7"/>
    </row>
    <row r="11" spans="1:63" ht="15" customHeight="1">
      <c r="A11" s="1"/>
      <c r="BK11" s="7"/>
    </row>
    <row r="12" spans="1:63" ht="15" customHeight="1">
      <c r="A12" s="1"/>
      <c r="BK12" s="7"/>
    </row>
    <row r="13" spans="1:63" ht="15" customHeight="1">
      <c r="A13" s="1"/>
      <c r="BK13" s="7"/>
    </row>
    <row r="14" spans="1:63" ht="15" customHeight="1">
      <c r="A14" s="1"/>
      <c r="BK14" s="7"/>
    </row>
    <row r="15" spans="1:63" ht="15" customHeight="1">
      <c r="A15" s="1"/>
      <c r="BK15" s="7"/>
    </row>
    <row r="16" spans="1:63" ht="15" customHeight="1">
      <c r="A16" s="1"/>
      <c r="BK16" s="7"/>
    </row>
    <row r="17" spans="1:63" ht="15" customHeight="1">
      <c r="A17" s="1"/>
      <c r="BK17" s="7"/>
    </row>
    <row r="18" spans="1:63" ht="15" customHeight="1">
      <c r="A18" s="1"/>
      <c r="BK18" s="7"/>
    </row>
    <row r="19" spans="1:63" ht="15" customHeight="1">
      <c r="A19" s="1"/>
      <c r="BK19" s="7"/>
    </row>
    <row r="20" spans="1:63" ht="15" customHeight="1">
      <c r="A20" s="1"/>
      <c r="BK20" s="7"/>
    </row>
    <row r="21" spans="1:63" ht="15" customHeight="1">
      <c r="A21" s="1"/>
      <c r="BK21" s="7"/>
    </row>
    <row r="22" spans="1:63" ht="15" customHeight="1">
      <c r="A22" s="1"/>
      <c r="BK22" s="7"/>
    </row>
    <row r="23" spans="1:63" ht="15" customHeight="1">
      <c r="A23" s="1"/>
      <c r="BK23" s="7"/>
    </row>
    <row r="24" spans="1:63" ht="15" customHeight="1">
      <c r="A24" s="1"/>
      <c r="BK24" s="7"/>
    </row>
    <row r="25" spans="1:63" ht="15" customHeight="1">
      <c r="A25" s="1"/>
      <c r="BK25" s="7"/>
    </row>
    <row r="26" spans="1:63" ht="15" customHeight="1">
      <c r="A26" s="1"/>
      <c r="BK26" s="7"/>
    </row>
    <row r="27" spans="1:63" ht="15" customHeight="1">
      <c r="A27" s="1"/>
      <c r="BK27" s="7"/>
    </row>
    <row r="28" spans="1:63" ht="15" customHeight="1">
      <c r="A28" s="1"/>
      <c r="BK28" s="7"/>
    </row>
    <row r="29" spans="1:63" ht="15" customHeight="1">
      <c r="A29" s="1"/>
      <c r="BK29" s="7"/>
    </row>
    <row r="30" spans="1:63" ht="15" customHeight="1">
      <c r="A30" s="1"/>
      <c r="BK30" s="7"/>
    </row>
    <row r="31" spans="1:63" ht="15" customHeight="1">
      <c r="A31" s="1"/>
      <c r="BK31" s="7"/>
    </row>
    <row r="32" spans="1:63" ht="15" customHeight="1">
      <c r="A32" s="1"/>
      <c r="BK32" s="7"/>
    </row>
    <row r="33" spans="1:63" ht="15" customHeight="1">
      <c r="A33" s="1"/>
      <c r="BK33" s="7"/>
    </row>
    <row r="34" spans="1:63" ht="15" customHeight="1">
      <c r="A34" s="1"/>
      <c r="BK34" s="7"/>
    </row>
    <row r="35" spans="1:63" ht="15" customHeight="1">
      <c r="A35" s="1"/>
      <c r="BK35" s="7"/>
    </row>
    <row r="36" spans="1:63" ht="15" customHeight="1">
      <c r="A36" s="1"/>
      <c r="BK36" s="7"/>
    </row>
    <row r="37" spans="1:63" ht="15" customHeight="1">
      <c r="A37" s="1"/>
      <c r="BK37" s="7"/>
    </row>
    <row r="38" spans="1:63" ht="15" customHeight="1">
      <c r="A38" s="1"/>
      <c r="BK38" s="7"/>
    </row>
    <row r="39" spans="1:63" ht="15" customHeight="1">
      <c r="A39" s="1"/>
      <c r="BK39" s="7"/>
    </row>
    <row r="40" spans="1:63" ht="15" customHeight="1">
      <c r="A40" s="1"/>
      <c r="BK40" s="7"/>
    </row>
    <row r="41" spans="1:63" ht="15" customHeight="1">
      <c r="A41" s="1"/>
      <c r="BK41" s="7"/>
    </row>
    <row r="42" spans="1:63" ht="15" customHeight="1">
      <c r="A42" s="1"/>
      <c r="BK42" s="7"/>
    </row>
    <row r="43" spans="1:63" ht="15" customHeight="1">
      <c r="A43" s="1"/>
      <c r="BK43" s="7"/>
    </row>
    <row r="44" spans="1:63" ht="15" customHeight="1">
      <c r="A44" s="1"/>
      <c r="BK44" s="7"/>
    </row>
    <row r="45" spans="1:63" ht="15" customHeight="1">
      <c r="A45" s="1"/>
      <c r="BK45" s="7"/>
    </row>
    <row r="46" spans="1:63" ht="15" customHeight="1">
      <c r="A46" s="1"/>
      <c r="BK46" s="7"/>
    </row>
    <row r="47" spans="1:63" ht="15" customHeight="1">
      <c r="A47" s="1"/>
      <c r="BK47" s="7"/>
    </row>
    <row r="48" spans="1:63" ht="15" customHeight="1">
      <c r="A48" s="1"/>
      <c r="BK48" s="7"/>
    </row>
    <row r="49" spans="1:63" ht="15" customHeight="1">
      <c r="A49" s="1"/>
      <c r="BK49" s="7"/>
    </row>
    <row r="50" spans="1:63" ht="15" customHeight="1">
      <c r="A50" s="1"/>
      <c r="BK50" s="7"/>
    </row>
    <row r="51" spans="1:63" ht="15" customHeight="1">
      <c r="A51" s="1"/>
      <c r="BK51" s="7"/>
    </row>
    <row r="52" spans="1:63" ht="15" customHeight="1">
      <c r="A52" s="1"/>
      <c r="BK52" s="7"/>
    </row>
    <row r="53" spans="1:63" ht="15" customHeight="1">
      <c r="A53" s="1"/>
      <c r="BK53" s="7"/>
    </row>
    <row r="54" spans="1:63" ht="15" customHeight="1">
      <c r="A54" s="1"/>
      <c r="BK54" s="7"/>
    </row>
    <row r="55" spans="1:63" ht="15" customHeight="1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8"/>
    </row>
  </sheetData>
  <mergeCells count="20">
    <mergeCell ref="BC1:BG1"/>
    <mergeCell ref="BH1:BK1"/>
    <mergeCell ref="A2:J3"/>
    <mergeCell ref="K2:V3"/>
    <mergeCell ref="AP2:AS3"/>
    <mergeCell ref="AT2:AX3"/>
    <mergeCell ref="AY2:BB3"/>
    <mergeCell ref="BC2:BG3"/>
    <mergeCell ref="BH2:BK3"/>
    <mergeCell ref="A1:J1"/>
    <mergeCell ref="K1:V1"/>
    <mergeCell ref="W1:AO3"/>
    <mergeCell ref="AP1:AS1"/>
    <mergeCell ref="AT1:AX1"/>
    <mergeCell ref="AY1:BB1"/>
    <mergeCell ref="A4:G4"/>
    <mergeCell ref="H4:T4"/>
    <mergeCell ref="U4:Y4"/>
    <mergeCell ref="Z4:AO4"/>
    <mergeCell ref="AP4:BK4"/>
  </mergeCells>
  <phoneticPr fontId="3"/>
  <printOptions horizontalCentered="1" verticalCentered="1"/>
  <pageMargins left="0.59055118110236204" right="0.59055118110236204" top="0.39370078740157499" bottom="0.39370078740157499" header="0.31496062992126" footer="0.31496062992126"/>
  <pageSetup paperSize="9" scale="60" orientation="landscape" r:id="rId1"/>
  <headerFooter>
    <oddHeader>&amp;R&amp;F</oddHeader>
    <oddFooter>&amp;C&amp;P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20</vt:i4>
      </vt:variant>
    </vt:vector>
  </HeadingPairs>
  <TitlesOfParts>
    <vt:vector size="32" baseType="lpstr">
      <vt:lpstr>表紙</vt:lpstr>
      <vt:lpstr>改廃履歴</vt:lpstr>
      <vt:lpstr>概要</vt:lpstr>
      <vt:lpstr>DB仕様(charge_info)</vt:lpstr>
      <vt:lpstr>DB仕様(charger_receipt_no)</vt:lpstr>
      <vt:lpstr>API仕様(Charge_Log)</vt:lpstr>
      <vt:lpstr>API仕様(Charge_CHK) </vt:lpstr>
      <vt:lpstr>API仕様(Charge_journal)</vt:lpstr>
      <vt:lpstr>API仕様(Charge_CHK_finish)</vt:lpstr>
      <vt:lpstr>テストデータ</vt:lpstr>
      <vt:lpstr>SQLサンプル</vt:lpstr>
      <vt:lpstr>テンプレート</vt:lpstr>
      <vt:lpstr>'API仕様(Charge_CHK) '!Print_Area</vt:lpstr>
      <vt:lpstr>'API仕様(Charge_CHK_finish)'!Print_Area</vt:lpstr>
      <vt:lpstr>'API仕様(Charge_journal)'!Print_Area</vt:lpstr>
      <vt:lpstr>'API仕様(Charge_Log)'!Print_Area</vt:lpstr>
      <vt:lpstr>'DB仕様(charge_info)'!Print_Area</vt:lpstr>
      <vt:lpstr>'DB仕様(charger_receipt_no)'!Print_Area</vt:lpstr>
      <vt:lpstr>改廃履歴!Print_Area</vt:lpstr>
      <vt:lpstr>表紙!Print_Area</vt:lpstr>
      <vt:lpstr>'API仕様(Charge_CHK) '!Print_Titles</vt:lpstr>
      <vt:lpstr>'API仕様(Charge_CHK_finish)'!Print_Titles</vt:lpstr>
      <vt:lpstr>'API仕様(Charge_journal)'!Print_Titles</vt:lpstr>
      <vt:lpstr>'API仕様(Charge_Log)'!Print_Titles</vt:lpstr>
      <vt:lpstr>'DB仕様(charge_info)'!Print_Titles</vt:lpstr>
      <vt:lpstr>'DB仕様(charger_receipt_no)'!Print_Titles</vt:lpstr>
      <vt:lpstr>SQLサンプル!Print_Titles</vt:lpstr>
      <vt:lpstr>テストデータ!Print_Titles</vt:lpstr>
      <vt:lpstr>テンプレート!Print_Titles</vt:lpstr>
      <vt:lpstr>改廃履歴!Print_Titles</vt:lpstr>
      <vt:lpstr>概要!Print_Titles</vt:lpstr>
      <vt:lpstr>表紙!Print_Titles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Crux03_Luvina</dc:creator>
  <cp:lastModifiedBy>Crux03_Luvina</cp:lastModifiedBy>
  <dcterms:created xsi:type="dcterms:W3CDTF">2023-08-15T11:33:46Z</dcterms:created>
  <dcterms:modified xsi:type="dcterms:W3CDTF">2023-10-03T10:37:51Z</dcterms:modified>
</cp:coreProperties>
</file>