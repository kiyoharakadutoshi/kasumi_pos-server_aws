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10_機能概要_画面遷移\"/>
    </mc:Choice>
  </mc:AlternateContent>
  <xr:revisionPtr revIDLastSave="0" documentId="13_ncr:1_{C4452661-B37D-40AC-B92D-F338311076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2">業務フロー凡例!$A$1:$BK$61</definedName>
    <definedName name="_xlnm.Print_Area" localSheetId="4">機能概要!$A$1:$BK$94</definedName>
    <definedName name="_xlnm.Print_Area" localSheetId="3">機能概要説明!$A$1:$BK$56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" i="8" l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AP4" i="2"/>
  <c r="Z4" i="2"/>
  <c r="H4" i="2"/>
  <c r="K2" i="2"/>
  <c r="A2" i="2"/>
  <c r="W1" i="2"/>
  <c r="AP4" i="7"/>
  <c r="Z4" i="7"/>
  <c r="H4" i="7"/>
  <c r="AT2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AP4" i="5" a="1"/>
  <c r="AP4" i="5" s="1"/>
  <c r="Z4" i="5"/>
  <c r="H4" i="5"/>
  <c r="K2" i="5"/>
  <c r="A2" i="5"/>
  <c r="W1" i="5"/>
  <c r="BM7" i="8"/>
  <c r="AP4" i="8" a="1"/>
  <c r="AP4" i="8" s="1"/>
  <c r="Z4" i="8"/>
  <c r="H4" i="8"/>
  <c r="AT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3" s="1"/>
  <c r="BC2" i="4"/>
  <c r="BC2" i="2" s="1"/>
  <c r="AY2" i="4"/>
  <c r="AY2" i="2" s="1"/>
  <c r="AT2" i="4"/>
  <c r="AT2" i="2" s="1"/>
  <c r="AP2" i="4"/>
  <c r="AP2" i="6" s="1"/>
  <c r="AY2" i="6" l="1"/>
  <c r="AY2" i="8"/>
  <c r="AP2" i="5"/>
  <c r="BH2" i="5"/>
  <c r="AY2" i="7"/>
  <c r="AY2" i="3"/>
  <c r="BC2" i="6"/>
  <c r="BC2" i="8"/>
  <c r="AT2" i="5"/>
  <c r="BC2" i="7"/>
  <c r="AP2" i="2"/>
  <c r="BH2" i="2"/>
  <c r="BC2" i="3"/>
  <c r="BH2" i="6"/>
  <c r="AP2" i="8"/>
  <c r="BH2" i="8"/>
  <c r="AY2" i="5"/>
  <c r="AP2" i="7"/>
  <c r="BH2" i="7"/>
  <c r="AP2" i="3"/>
  <c r="BC2" i="5"/>
</calcChain>
</file>

<file path=xl/sharedStrings.xml><?xml version="1.0" encoding="utf-8"?>
<sst xmlns="http://schemas.openxmlformats.org/spreadsheetml/2006/main" count="193" uniqueCount="74">
  <si>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</si>
  <si>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</si>
  <si>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</si>
  <si>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</si>
  <si>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</si>
  <si>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</si>
  <si>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</si>
  <si>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</si>
  <si>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</si>
  <si>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</si>
  <si>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</si>
  <si>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</si>
  <si>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</si>
  <si>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</si>
  <si>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</si>
  <si>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</si>
  <si>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</si>
  <si>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</si>
  <si>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</si>
  <si>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</si>
  <si>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</si>
  <si>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</si>
  <si>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</si>
  <si>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</si>
  <si>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</si>
  <si>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</si>
  <si>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</si>
  <si>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</si>
  <si>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</si>
  <si>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</si>
  <si>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</si>
  <si>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04_商品採用店舗確認</t>
    </r>
  </si>
  <si>
    <r>
      <rPr>
        <sz val="11"/>
        <color rgb="FF000000"/>
        <rFont val="Meiryo UI"/>
        <family val="2"/>
      </rPr>
      <t>商品採用店舗確認機能では次のことが可能になる。</t>
    </r>
  </si>
  <si>
    <r>
      <rPr>
        <sz val="11"/>
        <color rgb="FF000000"/>
        <rFont val="Meiryo UI"/>
        <family val="2"/>
      </rPr>
      <t>・PLUコード*を入力して、どのスーパーに商品があるか確認する。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</si>
  <si>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</si>
  <si>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</si>
  <si>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</si>
  <si>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</si>
  <si>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</si>
  <si>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</si>
  <si>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</si>
  <si>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</si>
  <si>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</si>
  <si>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</si>
  <si>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</si>
  <si>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</si>
  <si>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</si>
  <si>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</si>
  <si>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</si>
  <si>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</si>
  <si>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2024年5月17日のコメントによる更新</t>
  </si>
  <si>
    <t>・スーパーマーケット「カスミ」又は「ウエルシア」の売上計算が必要な情報は編集可能。</t>
  </si>
  <si>
    <t>変更後のレイアウト</t>
  </si>
  <si>
    <t>古いレイアウト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</si>
  <si>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</si>
  <si>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</si>
  <si>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</si>
  <si>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</si>
  <si>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</si>
  <si>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</si>
  <si>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</si>
  <si>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</si>
  <si>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</si>
  <si>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</si>
  <si>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</si>
  <si>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</si>
  <si>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</si>
  <si>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</si>
  <si>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</si>
  <si>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</si>
  <si>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</si>
  <si>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</si>
  <si>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</si>
  <si>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04_商品採用店舗確認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</si>
</sst>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08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0" xfId="7" applyFont="1">
      <alignment vertical="center"/>
    </xf>
    <xf numFmtId="0" fontId="17" fillId="0" borderId="0" xfId="0" applyFont="1"/>
    <xf numFmtId="0" fontId="14" fillId="0" borderId="1" xfId="7" applyFont="1" applyBorder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7" fillId="0" borderId="0" xfId="7" applyFont="1">
      <alignment vertical="center"/>
    </xf>
    <xf numFmtId="0" fontId="14" fillId="0" borderId="20" xfId="7" applyFont="1" applyBorder="1">
      <alignment vertical="center"/>
    </xf>
    <xf numFmtId="0" fontId="14" fillId="0" borderId="21" xfId="7" applyFont="1" applyBorder="1">
      <alignment vertical="center"/>
    </xf>
    <xf numFmtId="0" fontId="14" fillId="0" borderId="0" xfId="6" applyFont="1" applyAlignment="1">
      <alignment vertical="center"/>
    </xf>
    <xf numFmtId="0" fontId="14" fillId="0" borderId="20" xfId="0" applyFont="1" applyBorder="1"/>
    <xf numFmtId="0" fontId="14" fillId="0" borderId="21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 vertical="center"/>
    </xf>
    <xf numFmtId="14" fontId="14" fillId="0" borderId="3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17" fillId="0" borderId="30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3" xfId="0" applyFont="1" applyBorder="1"/>
    <xf numFmtId="0" fontId="17" fillId="0" borderId="34" xfId="0" applyFont="1" applyBorder="1"/>
    <xf numFmtId="0" fontId="17" fillId="0" borderId="22" xfId="0" applyFont="1" applyBorder="1"/>
    <xf numFmtId="0" fontId="17" fillId="0" borderId="31" xfId="0" applyFont="1" applyBorder="1"/>
    <xf numFmtId="0" fontId="17" fillId="0" borderId="32" xfId="0" applyFont="1" applyBorder="1"/>
    <xf numFmtId="0" fontId="17" fillId="0" borderId="3" xfId="0" applyFont="1" applyBorder="1"/>
    <xf numFmtId="0" fontId="17" fillId="0" borderId="5" xfId="0" applyFont="1" applyBorder="1"/>
    <xf numFmtId="0" fontId="14" fillId="0" borderId="30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0" fillId="2" borderId="0" xfId="0" applyFont="1" applyFill="1"/>
    <xf numFmtId="0" fontId="17" fillId="0" borderId="30" xfId="0" applyFont="1" applyBorder="1"/>
    <xf numFmtId="0" fontId="17" fillId="0" borderId="2" xfId="0" applyFont="1" applyBorder="1"/>
    <xf numFmtId="0" fontId="17" fillId="0" borderId="35" xfId="0" applyFont="1" applyBorder="1"/>
    <xf numFmtId="0" fontId="17" fillId="0" borderId="36" xfId="0" applyFont="1" applyBorder="1"/>
    <xf numFmtId="0" fontId="17" fillId="0" borderId="37" xfId="0" applyFont="1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38" xfId="6" quotePrefix="1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14" fillId="0" borderId="38" xfId="6" applyFont="1" applyBorder="1" applyAlignment="1">
      <alignment vertical="center"/>
    </xf>
    <xf numFmtId="0" fontId="14" fillId="0" borderId="39" xfId="6" applyFont="1" applyBorder="1" applyAlignment="1">
      <alignment vertical="center"/>
    </xf>
    <xf numFmtId="0" fontId="14" fillId="0" borderId="40" xfId="6" applyFont="1" applyBorder="1" applyAlignment="1">
      <alignment vertical="center"/>
    </xf>
    <xf numFmtId="0" fontId="14" fillId="0" borderId="41" xfId="6" applyFont="1" applyBorder="1" applyAlignment="1">
      <alignment vertical="center"/>
    </xf>
    <xf numFmtId="0" fontId="14" fillId="0" borderId="42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14" fillId="0" borderId="41" xfId="6" quotePrefix="1" applyFont="1" applyBorder="1" applyAlignment="1">
      <alignment vertical="center"/>
    </xf>
    <xf numFmtId="0" fontId="14" fillId="0" borderId="42" xfId="6" quotePrefix="1" applyFont="1" applyBorder="1" applyAlignment="1">
      <alignment vertical="center"/>
    </xf>
    <xf numFmtId="0" fontId="14" fillId="0" borderId="43" xfId="6" quotePrefix="1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29" xfId="6" applyFont="1" applyFill="1" applyBorder="1" applyAlignment="1">
      <alignment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6" fillId="5" borderId="1" xfId="6" applyFont="1" applyFill="1" applyBorder="1" applyAlignment="1">
      <alignment vertical="center"/>
    </xf>
    <xf numFmtId="0" fontId="6" fillId="5" borderId="0" xfId="6" applyFont="1" applyFill="1" applyAlignment="1">
      <alignment vertical="center"/>
    </xf>
    <xf numFmtId="0" fontId="6" fillId="5" borderId="4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7" fillId="3" borderId="27" xfId="6" applyFont="1" applyFill="1" applyBorder="1"/>
    <xf numFmtId="0" fontId="7" fillId="3" borderId="28" xfId="6" applyFont="1" applyFill="1" applyBorder="1"/>
    <xf numFmtId="0" fontId="7" fillId="3" borderId="29" xfId="6" applyFont="1" applyFill="1" applyBorder="1"/>
    <xf numFmtId="0" fontId="7" fillId="3" borderId="30" xfId="6" applyFont="1" applyFill="1" applyBorder="1" applyAlignment="1">
      <alignment vertical="center"/>
    </xf>
    <xf numFmtId="0" fontId="6" fillId="3" borderId="31" xfId="6" applyFont="1" applyFill="1" applyBorder="1" applyAlignment="1">
      <alignment vertical="center"/>
    </xf>
    <xf numFmtId="0" fontId="6" fillId="3" borderId="32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6" fillId="4" borderId="30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44" xfId="6" applyFont="1" applyFill="1" applyBorder="1" applyAlignment="1">
      <alignment vertical="center" wrapText="1"/>
    </xf>
    <xf numFmtId="0" fontId="7" fillId="4" borderId="45" xfId="6" applyFont="1" applyFill="1" applyBorder="1" applyAlignment="1">
      <alignment vertical="center" wrapText="1"/>
    </xf>
    <xf numFmtId="0" fontId="7" fillId="4" borderId="32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0" fillId="2" borderId="27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6" borderId="30" xfId="6" applyFont="1" applyFill="1" applyBorder="1" applyAlignment="1">
      <alignment vertical="center" wrapText="1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44" xfId="6" applyFont="1" applyFill="1" applyBorder="1" applyAlignment="1">
      <alignment vertical="center" shrinkToFit="1"/>
    </xf>
    <xf numFmtId="0" fontId="6" fillId="6" borderId="46" xfId="6" applyFont="1" applyFill="1" applyBorder="1" applyAlignment="1">
      <alignment vertical="center" shrinkToFit="1"/>
    </xf>
    <xf numFmtId="0" fontId="6" fillId="6" borderId="45" xfId="6" applyFont="1" applyFill="1" applyBorder="1" applyAlignment="1">
      <alignment vertical="center" shrinkToFit="1"/>
    </xf>
    <xf numFmtId="0" fontId="7" fillId="6" borderId="44" xfId="6" applyFont="1" applyFill="1" applyBorder="1" applyAlignment="1">
      <alignment vertical="center" wrapText="1"/>
    </xf>
    <xf numFmtId="0" fontId="7" fillId="6" borderId="46" xfId="6" applyFont="1" applyFill="1" applyBorder="1" applyAlignment="1">
      <alignment vertical="center" wrapText="1"/>
    </xf>
    <xf numFmtId="0" fontId="7" fillId="6" borderId="45" xfId="6" applyFont="1" applyFill="1" applyBorder="1" applyAlignment="1">
      <alignment vertical="center" wrapText="1"/>
    </xf>
    <xf numFmtId="0" fontId="6" fillId="4" borderId="47" xfId="6" applyFont="1" applyFill="1" applyBorder="1" applyAlignment="1">
      <alignment vertical="center"/>
    </xf>
    <xf numFmtId="0" fontId="7" fillId="4" borderId="48" xfId="6" applyFont="1" applyFill="1" applyBorder="1" applyAlignment="1">
      <alignment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2" fillId="0" borderId="30" xfId="6" applyFont="1" applyBorder="1" applyAlignment="1">
      <alignment horizontal="center" vertical="center"/>
    </xf>
    <xf numFmtId="0" fontId="12" fillId="0" borderId="31" xfId="6" applyFont="1" applyBorder="1" applyAlignment="1">
      <alignment horizontal="center" vertical="center"/>
    </xf>
    <xf numFmtId="0" fontId="12" fillId="0" borderId="32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32" name="吹き出し: 線 2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33" name="四角形: 角を丸くする 2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15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5775" y="2400300"/>
          <a:ext cx="16668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04 商品採用店舗確認</a:t>
          </a:r>
        </a:p>
      </xdr:txBody>
    </xdr:sp>
    <xdr:clientData/>
  </xdr:twoCellAnchor>
  <xdr:twoCellAnchor>
    <xdr:from>
      <xdr:col>1</xdr:col>
      <xdr:colOff>217715</xdr:colOff>
      <xdr:row>17</xdr:row>
      <xdr:rowOff>0</xdr:rowOff>
    </xdr:from>
    <xdr:to>
      <xdr:col>8</xdr:col>
      <xdr:colOff>15572</xdr:colOff>
      <xdr:row>21</xdr:row>
      <xdr:rowOff>0</xdr:rowOff>
    </xdr:to>
    <xdr:sp macro="" textlink="" fLocksText="0">
      <xdr:nvSpPr>
        <xdr:cNvPr id="27" name="正方形/長方形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85775" y="3352800"/>
          <a:ext cx="16668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SC0401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商品採用店舗確認画面（編集）</a:t>
          </a:r>
        </a:p>
      </xdr:txBody>
    </xdr:sp>
    <xdr:clientData/>
  </xdr:twoCellAnchor>
  <xdr:twoCellAnchor>
    <xdr:from>
      <xdr:col>4</xdr:col>
      <xdr:colOff>234305</xdr:colOff>
      <xdr:row>15</xdr:row>
      <xdr:rowOff>0</xdr:rowOff>
    </xdr:from>
    <xdr:to>
      <xdr:col>4</xdr:col>
      <xdr:colOff>234306</xdr:colOff>
      <xdr:row>17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1304925" y="297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35</xdr:row>
      <xdr:rowOff>1</xdr:rowOff>
    </xdr:from>
    <xdr:to>
      <xdr:col>61</xdr:col>
      <xdr:colOff>0</xdr:colOff>
      <xdr:row>39</xdr:row>
      <xdr:rowOff>33617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6781800"/>
          <a:ext cx="6134100" cy="800100"/>
        </a:xfrm>
        <a:prstGeom prst="borderCallout1">
          <a:avLst>
            <a:gd name="adj1" fmla="val 48210"/>
            <a:gd name="adj2" fmla="val 56"/>
            <a:gd name="adj3" fmla="val 48453"/>
            <a:gd name="adj4" fmla="val -1392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・「決定」ボタン：MD0101_店舗一覧モダールでユーザーが選択したstoreIdを使用してSC0401_商品採用店舗確認画面に遷移する。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・「取消」ボタン:モダールを閉じてSCX101_メインメニュー画面に戻る。</a:t>
          </a:r>
        </a:p>
      </xdr:txBody>
    </xdr:sp>
    <xdr:clientData/>
  </xdr:twoCellAnchor>
  <xdr:twoCellAnchor>
    <xdr:from>
      <xdr:col>1</xdr:col>
      <xdr:colOff>217714</xdr:colOff>
      <xdr:row>29</xdr:row>
      <xdr:rowOff>12700</xdr:rowOff>
    </xdr:from>
    <xdr:to>
      <xdr:col>8</xdr:col>
      <xdr:colOff>15572</xdr:colOff>
      <xdr:row>33</xdr:row>
      <xdr:rowOff>12700</xdr:rowOff>
    </xdr:to>
    <xdr:sp macro="" textlink="" fLocksText="0">
      <xdr:nvSpPr>
        <xdr:cNvPr id="30" name="正方形/長方形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485775" y="5648325"/>
          <a:ext cx="16668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38</xdr:col>
      <xdr:colOff>0</xdr:colOff>
      <xdr:row>28</xdr:row>
      <xdr:rowOff>1</xdr:rowOff>
    </xdr:from>
    <xdr:to>
      <xdr:col>61</xdr:col>
      <xdr:colOff>0</xdr:colOff>
      <xdr:row>34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0134600" y="5448300"/>
          <a:ext cx="6134100" cy="1143000"/>
        </a:xfrm>
        <a:prstGeom prst="borderCallout1">
          <a:avLst>
            <a:gd name="adj1" fmla="val 49730"/>
            <a:gd name="adj2" fmla="val 242"/>
            <a:gd name="adj3" fmla="val 50430"/>
            <a:gd name="adj4" fmla="val -1300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顧客が選択した店舗を保存する。SC0401_商品採用店舗確認画面に戻ると、観客が選択した店舗を表示する。SCX0101_メインメニュー画面に戻ると、顧客が選択した店舗をクリアする。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4</xdr:col>
      <xdr:colOff>239108</xdr:colOff>
      <xdr:row>21</xdr:row>
      <xdr:rowOff>0</xdr:rowOff>
    </xdr:from>
    <xdr:to>
      <xdr:col>4</xdr:col>
      <xdr:colOff>239108</xdr:colOff>
      <xdr:row>23</xdr:row>
      <xdr:rowOff>13607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7" idx="2"/>
          <a:endCxn id="38" idx="0"/>
        </xdr:cNvCxnSpPr>
      </xdr:nvCxnSpPr>
      <xdr:spPr>
        <a:xfrm>
          <a:off x="1304925" y="4114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231976</xdr:colOff>
      <xdr:row>36</xdr:row>
      <xdr:rowOff>2</xdr:rowOff>
    </xdr:from>
    <xdr:to>
      <xdr:col>6</xdr:col>
      <xdr:colOff>1310</xdr:colOff>
      <xdr:row>38</xdr:row>
      <xdr:rowOff>2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28700" y="6972300"/>
          <a:ext cx="5715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64179</xdr:colOff>
      <xdr:row>36</xdr:row>
      <xdr:rowOff>2</xdr:rowOff>
    </xdr:from>
    <xdr:to>
      <xdr:col>13</xdr:col>
      <xdr:colOff>78441</xdr:colOff>
      <xdr:row>38</xdr:row>
      <xdr:rowOff>2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3000375" y="6972300"/>
          <a:ext cx="5429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234305</xdr:colOff>
      <xdr:row>33</xdr:row>
      <xdr:rowOff>12700</xdr:rowOff>
    </xdr:from>
    <xdr:to>
      <xdr:col>4</xdr:col>
      <xdr:colOff>234305</xdr:colOff>
      <xdr:row>36</xdr:row>
      <xdr:rowOff>2</xdr:rowOff>
    </xdr:to>
    <xdr:cxnSp macro="">
      <xdr:nvCxnSpPr>
        <xdr:cNvPr id="35" name="直線矢印コネクタ 101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0" idx="2"/>
          <a:endCxn id="33" idx="0"/>
        </xdr:cNvCxnSpPr>
      </xdr:nvCxnSpPr>
      <xdr:spPr>
        <a:xfrm>
          <a:off x="1304925" y="64103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33</xdr:row>
      <xdr:rowOff>12700</xdr:rowOff>
    </xdr:from>
    <xdr:to>
      <xdr:col>12</xdr:col>
      <xdr:colOff>71311</xdr:colOff>
      <xdr:row>36</xdr:row>
      <xdr:rowOff>2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0" idx="2"/>
          <a:endCxn id="34" idx="0"/>
        </xdr:cNvCxnSpPr>
      </xdr:nvCxnSpPr>
      <xdr:spPr>
        <a:xfrm rot="16200000" flipH="1">
          <a:off x="1304925" y="6410325"/>
          <a:ext cx="196215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49918</xdr:colOff>
      <xdr:row>23</xdr:row>
      <xdr:rowOff>1</xdr:rowOff>
    </xdr:from>
    <xdr:to>
      <xdr:col>13</xdr:col>
      <xdr:colOff>78441</xdr:colOff>
      <xdr:row>25</xdr:row>
      <xdr:rowOff>0</xdr:rowOff>
    </xdr:to>
    <xdr:sp macro="" textlink="" fLocksText="0">
      <xdr:nvSpPr>
        <xdr:cNvPr id="37" name="四角形: 角を丸くする 110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447925" y="44958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2</xdr:col>
      <xdr:colOff>224846</xdr:colOff>
      <xdr:row>23</xdr:row>
      <xdr:rowOff>13607</xdr:rowOff>
    </xdr:from>
    <xdr:to>
      <xdr:col>7</xdr:col>
      <xdr:colOff>8441</xdr:colOff>
      <xdr:row>24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762000" y="45053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239109</xdr:colOff>
      <xdr:row>20</xdr:row>
      <xdr:rowOff>190499</xdr:rowOff>
    </xdr:from>
    <xdr:to>
      <xdr:col>11</xdr:col>
      <xdr:colOff>64180</xdr:colOff>
      <xdr:row>23</xdr:row>
      <xdr:rowOff>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7" idx="2"/>
          <a:endCxn id="37" idx="0"/>
        </xdr:cNvCxnSpPr>
      </xdr:nvCxnSpPr>
      <xdr:spPr>
        <a:xfrm rot="16200000" flipH="1">
          <a:off x="1304925" y="4114800"/>
          <a:ext cx="169545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3784</xdr:colOff>
      <xdr:row>25</xdr:row>
      <xdr:rowOff>0</xdr:rowOff>
    </xdr:from>
    <xdr:to>
      <xdr:col>11</xdr:col>
      <xdr:colOff>64180</xdr:colOff>
      <xdr:row>29</xdr:row>
      <xdr:rowOff>12700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7" idx="2"/>
          <a:endCxn id="30" idx="0"/>
        </xdr:cNvCxnSpPr>
      </xdr:nvCxnSpPr>
      <xdr:spPr>
        <a:xfrm rot="5400000">
          <a:off x="1333500" y="4876800"/>
          <a:ext cx="1666875" cy="771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239108</xdr:colOff>
      <xdr:row>24</xdr:row>
      <xdr:rowOff>0</xdr:rowOff>
    </xdr:from>
    <xdr:to>
      <xdr:col>4</xdr:col>
      <xdr:colOff>239108</xdr:colOff>
      <xdr:row>29</xdr:row>
      <xdr:rowOff>12700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8" idx="2"/>
          <a:endCxn id="30" idx="0"/>
        </xdr:cNvCxnSpPr>
      </xdr:nvCxnSpPr>
      <xdr:spPr>
        <a:xfrm>
          <a:off x="1304925" y="46863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22</xdr:row>
      <xdr:rowOff>3</xdr:rowOff>
    </xdr:from>
    <xdr:to>
      <xdr:col>61</xdr:col>
      <xdr:colOff>0</xdr:colOff>
      <xdr:row>26</xdr:row>
      <xdr:rowOff>2</xdr:rowOff>
    </xdr:to>
    <xdr:sp macro="" textlink="" fLocksText="0">
      <xdr:nvSpPr>
        <xdr:cNvPr id="42" name="吹き出し: 線 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134600" y="4305300"/>
          <a:ext cx="6134100" cy="762000"/>
        </a:xfrm>
        <a:prstGeom prst="borderCallout1">
          <a:avLst>
            <a:gd name="adj1" fmla="val 49927"/>
            <a:gd name="adj2" fmla="val -182"/>
            <a:gd name="adj3" fmla="val 49428"/>
            <a:gd name="adj4" fmla="val -10707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234305</xdr:colOff>
      <xdr:row>38</xdr:row>
      <xdr:rowOff>2</xdr:rowOff>
    </xdr:from>
    <xdr:to>
      <xdr:col>5</xdr:col>
      <xdr:colOff>0</xdr:colOff>
      <xdr:row>42</xdr:row>
      <xdr:rowOff>179294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3" idx="2"/>
          <a:endCxn id="54" idx="0"/>
        </xdr:cNvCxnSpPr>
      </xdr:nvCxnSpPr>
      <xdr:spPr>
        <a:xfrm>
          <a:off x="1304925" y="7353300"/>
          <a:ext cx="28575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235321</xdr:colOff>
      <xdr:row>40</xdr:row>
      <xdr:rowOff>190499</xdr:rowOff>
    </xdr:from>
    <xdr:to>
      <xdr:col>60</xdr:col>
      <xdr:colOff>235321</xdr:colOff>
      <xdr:row>92</xdr:row>
      <xdr:rowOff>0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0106025" y="7924800"/>
          <a:ext cx="6134100" cy="9715500"/>
        </a:xfrm>
        <a:prstGeom prst="borderCallout1">
          <a:avLst>
            <a:gd name="adj1" fmla="val 7935"/>
            <a:gd name="adj2" fmla="val 263"/>
            <a:gd name="adj3" fmla="val 7946"/>
            <a:gd name="adj4" fmla="val -1305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・PLUコード*：ブランク、入力可能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商品名称: ブランク、無効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状態: ブランク、無効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取扱店舗: 値が選択されておらず、無効になる。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・「F04:クリア」ボタン、「F09:確定」ボタン：無効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画面のイベント、ロジック：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・PLUコード*を入力する。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‣数値入力のみが可能で、フォーカスアウトした場合、自動的にゼロを補填し、最大13桁まで入力できる。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‣入力されたPLUコードがある場合: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●PLUコード*：入力されたPLUコード*を表示し、無効にする。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●商品名称：該当商品名称を自動的に入力し、無効にする。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●状態：該当状態を自動的に入力し、無効にする。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●取扱店舗: カスミオプション又はウエルシアオプションにチェックを入れる。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●「F04:クリア」ボタンと「F09:確定」ボタンが有効になる。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‣入力されたPLUコードがない場合、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●PLUコード*：入力されたPLUコード*を表示し、有効にする。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●商品名称：「データが見つかりませんでした。」メッセージを表示する。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●状態：「取扱なし」テキストを表示し、無効にする。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●取扱店舗: 値を選択せず、無効にする。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●「F04:クリア」ボタンが有効になり、「F09:確定」ボタンが無効になる。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‣カスミスーパー又はウエルシアスーパーのみに商品がある場合: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●カスミスーパーのみに商品がある場合、取扱店舗がカスミオプションにチェックを入れ、ウエルシアオプションが無効になる。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●ウエルシアスーパーのみに商品がある場合、取扱店舗がウエルシアオプションにチェックを入れ、カスミオプションが無効になる。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‣カスミスーパーとウエルシア/Welciaスーパーの両方に商品がある場合、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●取扱店舗は、以前に選択したオプションにによって、カスミ又はウエルシアのオプションにチェックを入れる。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●取扱店舗は選択したオプション変更可能。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‣取扱店舗はカスミ又はウエルシアのオプションで固定にする。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‣「F04:クリア」ボタンをタッチすると、入力および画面に表示された値が全てクリアされる。画面が初期表示状態で表示される。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‣「F09:確定」ボタンをタッチすると、商品売上が計算されたスーパーマーケット情報をデータベースに更新する。</a:t>
          </a:r>
        </a:p>
      </xdr:txBody>
    </xdr:sp>
    <xdr:clientData/>
  </xdr:twoCellAnchor>
  <xdr:twoCellAnchor>
    <xdr:from>
      <xdr:col>1</xdr:col>
      <xdr:colOff>224117</xdr:colOff>
      <xdr:row>42</xdr:row>
      <xdr:rowOff>179294</xdr:rowOff>
    </xdr:from>
    <xdr:to>
      <xdr:col>8</xdr:col>
      <xdr:colOff>11206</xdr:colOff>
      <xdr:row>46</xdr:row>
      <xdr:rowOff>179294</xdr:rowOff>
    </xdr:to>
    <xdr:sp macro="" textlink="" fLocksText="0">
      <xdr:nvSpPr>
        <xdr:cNvPr id="54" name="正方形/長方形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495300" y="8296275"/>
          <a:ext cx="16478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商品採用店舗確認画面（編集）</a:t>
          </a:r>
        </a:p>
      </xdr:txBody>
    </xdr:sp>
    <xdr:clientData/>
  </xdr:twoCellAnchor>
  <xdr:twoCellAnchor>
    <xdr:from>
      <xdr:col>4</xdr:col>
      <xdr:colOff>235320</xdr:colOff>
      <xdr:row>46</xdr:row>
      <xdr:rowOff>179294</xdr:rowOff>
    </xdr:from>
    <xdr:to>
      <xdr:col>5</xdr:col>
      <xdr:colOff>1</xdr:colOff>
      <xdr:row>50</xdr:row>
      <xdr:rowOff>179293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54" idx="2"/>
          <a:endCxn id="70" idx="0"/>
        </xdr:cNvCxnSpPr>
      </xdr:nvCxnSpPr>
      <xdr:spPr>
        <a:xfrm rot="5400000">
          <a:off x="1304925" y="9058275"/>
          <a:ext cx="285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112052</xdr:colOff>
      <xdr:row>50</xdr:row>
      <xdr:rowOff>179293</xdr:rowOff>
    </xdr:from>
    <xdr:to>
      <xdr:col>7</xdr:col>
      <xdr:colOff>123261</xdr:colOff>
      <xdr:row>53</xdr:row>
      <xdr:rowOff>2</xdr:rowOff>
    </xdr:to>
    <xdr:sp macro="" textlink="" fLocksText="0">
      <xdr:nvSpPr>
        <xdr:cNvPr id="70" name="四角形: 角を丸くする 110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647700" y="9820275"/>
          <a:ext cx="13430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PLUコード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21</xdr:col>
      <xdr:colOff>67232</xdr:colOff>
      <xdr:row>50</xdr:row>
      <xdr:rowOff>179297</xdr:rowOff>
    </xdr:from>
    <xdr:to>
      <xdr:col>26</xdr:col>
      <xdr:colOff>179294</xdr:colOff>
      <xdr:row>53</xdr:row>
      <xdr:rowOff>2</xdr:rowOff>
    </xdr:to>
    <xdr:sp macro="" textlink="" fLocksText="0">
      <xdr:nvSpPr>
        <xdr:cNvPr id="71" name="四角形: 角を丸くする 1101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5667375" y="9820275"/>
          <a:ext cx="1447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</xdr:colOff>
      <xdr:row>46</xdr:row>
      <xdr:rowOff>179293</xdr:rowOff>
    </xdr:from>
    <xdr:to>
      <xdr:col>24</xdr:col>
      <xdr:colOff>5602</xdr:colOff>
      <xdr:row>50</xdr:row>
      <xdr:rowOff>179296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54" idx="2"/>
          <a:endCxn id="71" idx="0"/>
        </xdr:cNvCxnSpPr>
      </xdr:nvCxnSpPr>
      <xdr:spPr>
        <a:xfrm rot="16200000" flipH="1">
          <a:off x="1333500" y="9058275"/>
          <a:ext cx="50768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46</xdr:row>
      <xdr:rowOff>179294</xdr:rowOff>
    </xdr:from>
    <xdr:to>
      <xdr:col>14</xdr:col>
      <xdr:colOff>112059</xdr:colOff>
      <xdr:row>50</xdr:row>
      <xdr:rowOff>179296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54" idx="2"/>
          <a:endCxn id="4" idx="0"/>
        </xdr:cNvCxnSpPr>
      </xdr:nvCxnSpPr>
      <xdr:spPr>
        <a:xfrm rot="16200000" flipH="1">
          <a:off x="1304925" y="9058275"/>
          <a:ext cx="25431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224116</xdr:colOff>
      <xdr:row>50</xdr:row>
      <xdr:rowOff>179296</xdr:rowOff>
    </xdr:from>
    <xdr:to>
      <xdr:col>17</xdr:col>
      <xdr:colOff>2</xdr:colOff>
      <xdr:row>53</xdr:row>
      <xdr:rowOff>2</xdr:rowOff>
    </xdr:to>
    <xdr:sp macro="" textlink="" fLocksText="0">
      <xdr:nvSpPr>
        <xdr:cNvPr id="4" name="四角形: 角を丸くする 11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162300" y="9820275"/>
          <a:ext cx="13716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F04:クリア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0</xdr:colOff>
      <xdr:row>39</xdr:row>
      <xdr:rowOff>179294</xdr:rowOff>
    </xdr:from>
    <xdr:to>
      <xdr:col>3</xdr:col>
      <xdr:colOff>0</xdr:colOff>
      <xdr:row>40</xdr:row>
      <xdr:rowOff>179294</xdr:rowOff>
    </xdr:to>
    <xdr:sp macro="" textlink="" fLocksText="0">
      <xdr:nvSpPr>
        <xdr:cNvPr id="22" name="Rectangle: Rounded Corner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66700" y="772477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04</a:t>
          </a:r>
        </a:p>
      </xdr:txBody>
    </xdr:sp>
    <xdr:clientData/>
  </xdr:twoCellAnchor>
  <xdr:twoCellAnchor>
    <xdr:from>
      <xdr:col>3</xdr:col>
      <xdr:colOff>0</xdr:colOff>
      <xdr:row>40</xdr:row>
      <xdr:rowOff>84044</xdr:rowOff>
    </xdr:from>
    <xdr:to>
      <xdr:col>5</xdr:col>
      <xdr:colOff>0</xdr:colOff>
      <xdr:row>42</xdr:row>
      <xdr:rowOff>179294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2" idx="3"/>
          <a:endCxn id="54" idx="0"/>
        </xdr:cNvCxnSpPr>
      </xdr:nvCxnSpPr>
      <xdr:spPr>
        <a:xfrm>
          <a:off x="800100" y="7820025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78</xdr:row>
      <xdr:rowOff>5</xdr:rowOff>
    </xdr:from>
    <xdr:to>
      <xdr:col>5</xdr:col>
      <xdr:colOff>235322</xdr:colOff>
      <xdr:row>79</xdr:row>
      <xdr:rowOff>5</xdr:rowOff>
    </xdr:to>
    <xdr:sp macro="" textlink="" fLocksText="0">
      <xdr:nvSpPr>
        <xdr:cNvPr id="64" name="Rectangle: Rounded Corners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1038225" y="14973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04</a:t>
          </a:r>
        </a:p>
      </xdr:txBody>
    </xdr:sp>
    <xdr:clientData/>
  </xdr:twoCellAnchor>
  <xdr:twoCellAnchor>
    <xdr:from>
      <xdr:col>24</xdr:col>
      <xdr:colOff>1</xdr:colOff>
      <xdr:row>53</xdr:row>
      <xdr:rowOff>2</xdr:rowOff>
    </xdr:from>
    <xdr:to>
      <xdr:col>24</xdr:col>
      <xdr:colOff>5601</xdr:colOff>
      <xdr:row>70</xdr:row>
      <xdr:rowOff>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71" idx="2"/>
          <a:endCxn id="68" idx="0"/>
        </xdr:cNvCxnSpPr>
      </xdr:nvCxnSpPr>
      <xdr:spPr>
        <a:xfrm flipH="1">
          <a:off x="6400800" y="10210800"/>
          <a:ext cx="9525" cy="3238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</xdr:colOff>
      <xdr:row>62</xdr:row>
      <xdr:rowOff>190494</xdr:rowOff>
    </xdr:from>
    <xdr:to>
      <xdr:col>12</xdr:col>
      <xdr:colOff>6</xdr:colOff>
      <xdr:row>66</xdr:row>
      <xdr:rowOff>190494</xdr:rowOff>
    </xdr:to>
    <xdr:sp macro="" textlink="" fLocksText="0">
      <xdr:nvSpPr>
        <xdr:cNvPr id="10" name="四角形: 角を丸くする 3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600200" y="1211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KN0401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商品採用店舗情報取得機能</a:t>
          </a:r>
        </a:p>
      </xdr:txBody>
    </xdr:sp>
    <xdr:clientData/>
  </xdr:twoCellAnchor>
  <xdr:twoCellAnchor>
    <xdr:from>
      <xdr:col>5</xdr:col>
      <xdr:colOff>235318</xdr:colOff>
      <xdr:row>56</xdr:row>
      <xdr:rowOff>0</xdr:rowOff>
    </xdr:from>
    <xdr:to>
      <xdr:col>11</xdr:col>
      <xdr:colOff>235318</xdr:colOff>
      <xdr:row>60</xdr:row>
      <xdr:rowOff>0</xdr:rowOff>
    </xdr:to>
    <xdr:sp macro="" textlink="" fLocksText="0">
      <xdr:nvSpPr>
        <xdr:cNvPr id="15" name="四角形: 角を丸くする 3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571625" y="1078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商品提案機能</a:t>
          </a:r>
        </a:p>
      </xdr:txBody>
    </xdr:sp>
    <xdr:clientData/>
  </xdr:twoCellAnchor>
  <xdr:twoCellAnchor>
    <xdr:from>
      <xdr:col>29</xdr:col>
      <xdr:colOff>0</xdr:colOff>
      <xdr:row>56</xdr:row>
      <xdr:rowOff>1</xdr:rowOff>
    </xdr:from>
    <xdr:to>
      <xdr:col>35</xdr:col>
      <xdr:colOff>0</xdr:colOff>
      <xdr:row>60</xdr:row>
      <xdr:rowOff>1</xdr:rowOff>
    </xdr:to>
    <xdr:sp macro="" textlink="" fLocksText="0">
      <xdr:nvSpPr>
        <xdr:cNvPr id="16" name="フローチャート: 磁気ディスク 19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7734300" y="10782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AP1506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product/suggest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235318</xdr:colOff>
      <xdr:row>58</xdr:row>
      <xdr:rowOff>0</xdr:rowOff>
    </xdr:from>
    <xdr:to>
      <xdr:col>29</xdr:col>
      <xdr:colOff>0</xdr:colOff>
      <xdr:row>58</xdr:row>
      <xdr:rowOff>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5" idx="3"/>
          <a:endCxn id="16" idx="2"/>
        </xdr:cNvCxnSpPr>
      </xdr:nvCxnSpPr>
      <xdr:spPr>
        <a:xfrm>
          <a:off x="3171825" y="11163300"/>
          <a:ext cx="45624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63</xdr:row>
      <xdr:rowOff>0</xdr:rowOff>
    </xdr:from>
    <xdr:to>
      <xdr:col>35</xdr:col>
      <xdr:colOff>0</xdr:colOff>
      <xdr:row>67</xdr:row>
      <xdr:rowOff>0</xdr:rowOff>
    </xdr:to>
    <xdr:sp macro="" textlink="" fLocksText="0">
      <xdr:nvSpPr>
        <xdr:cNvPr id="49" name="フローチャート: 磁気ディスク 194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7734300" y="1211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商品採用店舗情報取得API </a:t>
          </a:r>
        </a:p>
      </xdr:txBody>
    </xdr:sp>
    <xdr:clientData/>
  </xdr:twoCellAnchor>
  <xdr:twoCellAnchor>
    <xdr:from>
      <xdr:col>12</xdr:col>
      <xdr:colOff>6</xdr:colOff>
      <xdr:row>64</xdr:row>
      <xdr:rowOff>190494</xdr:rowOff>
    </xdr:from>
    <xdr:to>
      <xdr:col>29</xdr:col>
      <xdr:colOff>0</xdr:colOff>
      <xdr:row>65</xdr:row>
      <xdr:rowOff>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10" idx="3"/>
          <a:endCxn id="49" idx="2"/>
        </xdr:cNvCxnSpPr>
      </xdr:nvCxnSpPr>
      <xdr:spPr>
        <a:xfrm>
          <a:off x="3200400" y="12496800"/>
          <a:ext cx="45339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235319</xdr:colOff>
      <xdr:row>53</xdr:row>
      <xdr:rowOff>2</xdr:rowOff>
    </xdr:from>
    <xdr:to>
      <xdr:col>6</xdr:col>
      <xdr:colOff>6</xdr:colOff>
      <xdr:row>64</xdr:row>
      <xdr:rowOff>190494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70" idx="2"/>
          <a:endCxn id="10" idx="1"/>
        </xdr:cNvCxnSpPr>
      </xdr:nvCxnSpPr>
      <xdr:spPr>
        <a:xfrm rot="16200000" flipH="1">
          <a:off x="1304925" y="10210800"/>
          <a:ext cx="295275" cy="22860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235318</xdr:colOff>
      <xdr:row>53</xdr:row>
      <xdr:rowOff>2</xdr:rowOff>
    </xdr:from>
    <xdr:to>
      <xdr:col>5</xdr:col>
      <xdr:colOff>235317</xdr:colOff>
      <xdr:row>58</xdr:row>
      <xdr:rowOff>0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70" idx="2"/>
          <a:endCxn id="15" idx="1"/>
        </xdr:cNvCxnSpPr>
      </xdr:nvCxnSpPr>
      <xdr:spPr>
        <a:xfrm rot="16200000" flipH="1">
          <a:off x="1304925" y="10210800"/>
          <a:ext cx="266700" cy="952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70</xdr:row>
      <xdr:rowOff>6</xdr:rowOff>
    </xdr:from>
    <xdr:to>
      <xdr:col>27</xdr:col>
      <xdr:colOff>1</xdr:colOff>
      <xdr:row>74</xdr:row>
      <xdr:rowOff>6</xdr:rowOff>
    </xdr:to>
    <xdr:sp macro="" textlink="" fLocksText="0">
      <xdr:nvSpPr>
        <xdr:cNvPr id="68" name="四角形: 角を丸くする 3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5600700" y="1344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KN0402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商品採用店舗情報更新機能</a:t>
          </a:r>
        </a:p>
      </xdr:txBody>
    </xdr:sp>
    <xdr:clientData/>
  </xdr:twoCellAnchor>
  <xdr:twoCellAnchor>
    <xdr:from>
      <xdr:col>28</xdr:col>
      <xdr:colOff>235321</xdr:colOff>
      <xdr:row>70</xdr:row>
      <xdr:rowOff>0</xdr:rowOff>
    </xdr:from>
    <xdr:to>
      <xdr:col>34</xdr:col>
      <xdr:colOff>235322</xdr:colOff>
      <xdr:row>74</xdr:row>
      <xdr:rowOff>0</xdr:rowOff>
    </xdr:to>
    <xdr:sp macro="" textlink="" fLocksText="0">
      <xdr:nvSpPr>
        <xdr:cNvPr id="74" name="フローチャート: 磁気ディスク 194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7705725" y="1344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AP0402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商品採用店舗情報更新API </a:t>
          </a:r>
        </a:p>
      </xdr:txBody>
    </xdr:sp>
    <xdr:clientData/>
  </xdr:twoCellAnchor>
  <xdr:twoCellAnchor>
    <xdr:from>
      <xdr:col>27</xdr:col>
      <xdr:colOff>1</xdr:colOff>
      <xdr:row>72</xdr:row>
      <xdr:rowOff>0</xdr:rowOff>
    </xdr:from>
    <xdr:to>
      <xdr:col>28</xdr:col>
      <xdr:colOff>235321</xdr:colOff>
      <xdr:row>72</xdr:row>
      <xdr:rowOff>6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68" idx="3"/>
          <a:endCxn id="74" idx="2"/>
        </xdr:cNvCxnSpPr>
      </xdr:nvCxnSpPr>
      <xdr:spPr>
        <a:xfrm flipV="1">
          <a:off x="7200900" y="13830300"/>
          <a:ext cx="5048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53</xdr:row>
      <xdr:rowOff>1</xdr:rowOff>
    </xdr:from>
    <xdr:to>
      <xdr:col>14</xdr:col>
      <xdr:colOff>112061</xdr:colOff>
      <xdr:row>78</xdr:row>
      <xdr:rowOff>4</xdr:rowOff>
    </xdr:to>
    <xdr:cxnSp macro="">
      <xdr:nvCxnSpPr>
        <xdr:cNvPr id="78" name="Connector: Elbow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>
          <a:stCxn id="4" idx="2"/>
          <a:endCxn id="64" idx="0"/>
        </xdr:cNvCxnSpPr>
      </xdr:nvCxnSpPr>
      <xdr:spPr>
        <a:xfrm rot="5400000">
          <a:off x="1333500" y="10210800"/>
          <a:ext cx="2514600" cy="4762500"/>
        </a:xfrm>
        <a:prstGeom prst="bentConnector3">
          <a:avLst>
            <a:gd name="adj1" fmla="val 9188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74</xdr:row>
      <xdr:rowOff>6</xdr:rowOff>
    </xdr:from>
    <xdr:to>
      <xdr:col>24</xdr:col>
      <xdr:colOff>2</xdr:colOff>
      <xdr:row>78</xdr:row>
      <xdr:rowOff>5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68" idx="2"/>
          <a:endCxn id="64" idx="0"/>
        </xdr:cNvCxnSpPr>
      </xdr:nvCxnSpPr>
      <xdr:spPr>
        <a:xfrm rot="5400000">
          <a:off x="1333500" y="14211300"/>
          <a:ext cx="50673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66</xdr:row>
      <xdr:rowOff>190494</xdr:rowOff>
    </xdr:from>
    <xdr:to>
      <xdr:col>9</xdr:col>
      <xdr:colOff>7</xdr:colOff>
      <xdr:row>78</xdr:row>
      <xdr:rowOff>5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10" idx="2"/>
          <a:endCxn id="64" idx="0"/>
        </xdr:cNvCxnSpPr>
      </xdr:nvCxnSpPr>
      <xdr:spPr>
        <a:xfrm rot="5400000">
          <a:off x="1333500" y="12877800"/>
          <a:ext cx="1066800" cy="2095500"/>
        </a:xfrm>
        <a:prstGeom prst="bentConnector3">
          <a:avLst>
            <a:gd name="adj1" fmla="val 8155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21291</xdr:colOff>
      <xdr:row>56</xdr:row>
      <xdr:rowOff>33619</xdr:rowOff>
    </xdr:from>
    <xdr:to>
      <xdr:col>82</xdr:col>
      <xdr:colOff>134472</xdr:colOff>
      <xdr:row>66</xdr:row>
      <xdr:rowOff>145677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0" y="10820400"/>
          <a:ext cx="4381500" cy="2019300"/>
        </a:xfrm>
        <a:prstGeom prst="rect">
          <a:avLst/>
        </a:prstGeom>
      </xdr:spPr>
    </xdr:pic>
    <xdr:clientData/>
  </xdr:twoCellAnchor>
  <xdr:twoCellAnchor editAs="oneCell">
    <xdr:from>
      <xdr:col>66</xdr:col>
      <xdr:colOff>22412</xdr:colOff>
      <xdr:row>67</xdr:row>
      <xdr:rowOff>89647</xdr:rowOff>
    </xdr:from>
    <xdr:to>
      <xdr:col>82</xdr:col>
      <xdr:colOff>168090</xdr:colOff>
      <xdr:row>78</xdr:row>
      <xdr:rowOff>28105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1250" y="12963525"/>
          <a:ext cx="4410075" cy="2038350"/>
        </a:xfrm>
        <a:prstGeom prst="rect">
          <a:avLst/>
        </a:prstGeom>
      </xdr:spPr>
    </xdr:pic>
    <xdr:clientData/>
  </xdr:twoCellAnchor>
  <xdr:twoCellAnchor editAs="oneCell">
    <xdr:from>
      <xdr:col>66</xdr:col>
      <xdr:colOff>22413</xdr:colOff>
      <xdr:row>78</xdr:row>
      <xdr:rowOff>179295</xdr:rowOff>
    </xdr:from>
    <xdr:to>
      <xdr:col>82</xdr:col>
      <xdr:colOff>168090</xdr:colOff>
      <xdr:row>89</xdr:row>
      <xdr:rowOff>117753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21250" y="15154275"/>
          <a:ext cx="4410075" cy="2038350"/>
        </a:xfrm>
        <a:prstGeom prst="rect">
          <a:avLst/>
        </a:prstGeom>
      </xdr:spPr>
    </xdr:pic>
    <xdr:clientData/>
  </xdr:twoCellAnchor>
  <xdr:twoCellAnchor editAs="oneCell">
    <xdr:from>
      <xdr:col>83</xdr:col>
      <xdr:colOff>56031</xdr:colOff>
      <xdr:row>78</xdr:row>
      <xdr:rowOff>190498</xdr:rowOff>
    </xdr:from>
    <xdr:to>
      <xdr:col>99</xdr:col>
      <xdr:colOff>212307</xdr:colOff>
      <xdr:row>89</xdr:row>
      <xdr:rowOff>134468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0" y="15163800"/>
          <a:ext cx="4419600" cy="2038350"/>
        </a:xfrm>
        <a:prstGeom prst="rect">
          <a:avLst/>
        </a:prstGeom>
      </xdr:spPr>
    </xdr:pic>
    <xdr:clientData/>
  </xdr:twoCellAnchor>
  <xdr:twoCellAnchor editAs="oneCell">
    <xdr:from>
      <xdr:col>66</xdr:col>
      <xdr:colOff>1</xdr:colOff>
      <xdr:row>41</xdr:row>
      <xdr:rowOff>0</xdr:rowOff>
    </xdr:from>
    <xdr:to>
      <xdr:col>82</xdr:col>
      <xdr:colOff>158869</xdr:colOff>
      <xdr:row>51</xdr:row>
      <xdr:rowOff>134470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02200" y="7924800"/>
          <a:ext cx="4429125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67" t="s">
        <v>34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35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">
        <v>36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3" ht="15" customHeight="1" x14ac:dyDescent="0.25">
      <c r="A2" s="76" t="s">
        <v>42</v>
      </c>
      <c r="B2" s="71"/>
      <c r="C2" s="71"/>
      <c r="D2" s="71"/>
      <c r="E2" s="71"/>
      <c r="F2" s="71"/>
      <c r="G2" s="71"/>
      <c r="H2" s="71"/>
      <c r="I2" s="71"/>
      <c r="J2" s="72"/>
      <c r="K2" s="70" t="s">
        <v>10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改訂履歴!$H$11</f>
        <v>TuyenNH</v>
      </c>
      <c r="AQ2" s="71"/>
      <c r="AR2" s="71"/>
      <c r="AS2" s="72"/>
      <c r="AT2" s="97">
        <f>改訂履歴!$B$11</f>
        <v>45425</v>
      </c>
      <c r="AU2" s="98"/>
      <c r="AV2" s="98"/>
      <c r="AW2" s="98"/>
      <c r="AX2" s="99"/>
      <c r="AY2" s="70" t="str">
        <f>LOOKUP(2,1/(改訂履歴!H11:H30000&lt;&gt;""),改訂履歴!H11:H30000)</f>
        <v>TuyenNH</v>
      </c>
      <c r="AZ2" s="71"/>
      <c r="BA2" s="71"/>
      <c r="BB2" s="72"/>
      <c r="BC2" s="97">
        <f>LOOKUP(2,1/(改訂履歴!B11:B30000&lt;&gt;""),改訂履歴!B11:B30000)</f>
        <v>45432</v>
      </c>
      <c r="BD2" s="98"/>
      <c r="BE2" s="98"/>
      <c r="BF2" s="98"/>
      <c r="BG2" s="99"/>
      <c r="BH2" s="91">
        <f>LOOKUP(2,1/(改訂履歴!O11:O30000&lt;&gt;""),改訂履歴!O11:O30000)</f>
        <v>0.11</v>
      </c>
      <c r="BI2" s="92"/>
      <c r="BJ2" s="92"/>
      <c r="BK2" s="93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94"/>
      <c r="BI3" s="95"/>
      <c r="BJ3" s="95"/>
      <c r="BK3" s="96"/>
    </row>
    <row r="4" spans="1:63" ht="24.95" customHeight="1" x14ac:dyDescent="0.25">
      <c r="A4" s="67" t="s">
        <v>43</v>
      </c>
      <c r="B4" s="68"/>
      <c r="C4" s="68"/>
      <c r="D4" s="68"/>
      <c r="E4" s="68"/>
      <c r="F4" s="68"/>
      <c r="G4" s="69"/>
      <c r="H4" s="88" t="s">
        <v>31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44</v>
      </c>
      <c r="V4" s="68"/>
      <c r="W4" s="68"/>
      <c r="X4" s="68"/>
      <c r="Y4" s="69"/>
      <c r="Z4" s="88" t="s">
        <v>11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表紙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K10" s="23"/>
    </row>
    <row r="11" spans="1:63" ht="15" customHeight="1" x14ac:dyDescent="0.25">
      <c r="A11" s="22"/>
      <c r="BK11" s="23"/>
    </row>
    <row r="12" spans="1:63" ht="15" customHeight="1" x14ac:dyDescent="0.25">
      <c r="A12" s="22"/>
      <c r="BK12" s="23"/>
    </row>
    <row r="13" spans="1:63" ht="15" customHeight="1" x14ac:dyDescent="0.25">
      <c r="A13" s="22"/>
      <c r="BK13" s="23"/>
    </row>
    <row r="14" spans="1:63" ht="15" customHeight="1" thickBot="1" x14ac:dyDescent="0.3">
      <c r="A14" s="22"/>
      <c r="BK14" s="23"/>
    </row>
    <row r="15" spans="1:63" ht="15" customHeight="1" thickTop="1" x14ac:dyDescent="0.25">
      <c r="A15" s="22"/>
      <c r="K15" s="2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6"/>
      <c r="BK15" s="23"/>
    </row>
    <row r="16" spans="1:63" ht="15" customHeight="1" x14ac:dyDescent="0.25">
      <c r="A16" s="22"/>
      <c r="K16" s="27"/>
      <c r="L16" s="86" t="s">
        <v>45</v>
      </c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28"/>
      <c r="BK16" s="23"/>
    </row>
    <row r="17" spans="1:63" ht="15" customHeight="1" x14ac:dyDescent="0.25">
      <c r="A17" s="22"/>
      <c r="K17" s="2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28"/>
      <c r="BK17" s="23"/>
    </row>
    <row r="18" spans="1:63" ht="15" customHeight="1" x14ac:dyDescent="0.25">
      <c r="A18" s="22"/>
      <c r="K18" s="2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28"/>
      <c r="BK18" s="23"/>
    </row>
    <row r="19" spans="1:63" ht="15" customHeight="1" x14ac:dyDescent="0.25">
      <c r="A19" s="22"/>
      <c r="K19" s="2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28"/>
      <c r="BK19" s="23"/>
    </row>
    <row r="20" spans="1:63" ht="15" customHeight="1" x14ac:dyDescent="0.25">
      <c r="A20" s="22"/>
      <c r="K20" s="2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28"/>
      <c r="BK20" s="23"/>
    </row>
    <row r="21" spans="1:63" ht="15" customHeight="1" x14ac:dyDescent="0.25">
      <c r="A21" s="22"/>
      <c r="K21" s="2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28"/>
      <c r="BK21" s="23"/>
    </row>
    <row r="22" spans="1:63" ht="15" customHeight="1" thickBot="1" x14ac:dyDescent="0.3">
      <c r="A22" s="22"/>
      <c r="K22" s="27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8"/>
      <c r="BK22" s="23"/>
    </row>
    <row r="23" spans="1:63" ht="15" customHeight="1" x14ac:dyDescent="0.25">
      <c r="A23" s="22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28"/>
      <c r="BK23" s="23"/>
    </row>
    <row r="24" spans="1:63" ht="15" customHeight="1" x14ac:dyDescent="0.25">
      <c r="A24" s="22"/>
      <c r="K24" s="27"/>
      <c r="L24" s="87" t="str">
        <f>K2&amp;"/"&amp;H4&amp;"/"&amp;Z4</f>
        <v>POSサーバー/04_商品採用店舗確認/概要設計書</v>
      </c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28"/>
      <c r="BK24" s="23"/>
    </row>
    <row r="25" spans="1:63" ht="15" customHeight="1" x14ac:dyDescent="0.25">
      <c r="A25" s="22"/>
      <c r="K25" s="2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28"/>
      <c r="BK25" s="23"/>
    </row>
    <row r="26" spans="1:63" ht="15" customHeight="1" x14ac:dyDescent="0.25">
      <c r="A26" s="22"/>
      <c r="K26" s="2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28"/>
      <c r="BK26" s="23"/>
    </row>
    <row r="27" spans="1:63" ht="15" customHeight="1" x14ac:dyDescent="0.25">
      <c r="A27" s="22"/>
      <c r="K27" s="2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28"/>
      <c r="BK27" s="23"/>
    </row>
    <row r="28" spans="1:63" ht="15" customHeight="1" x14ac:dyDescent="0.25">
      <c r="A28" s="22"/>
      <c r="K28" s="2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28"/>
      <c r="BK28" s="23"/>
    </row>
    <row r="29" spans="1:63" ht="15" customHeight="1" x14ac:dyDescent="0.25">
      <c r="A29" s="22"/>
      <c r="K29" s="2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28"/>
      <c r="BK29" s="23"/>
    </row>
    <row r="30" spans="1:63" ht="15" customHeight="1" x14ac:dyDescent="0.25">
      <c r="A30" s="22"/>
      <c r="K30" s="2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28"/>
      <c r="BK30" s="23"/>
    </row>
    <row r="31" spans="1:63" ht="15" customHeight="1" x14ac:dyDescent="0.25">
      <c r="A31" s="22"/>
      <c r="K31" s="2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28"/>
      <c r="BK31" s="23"/>
    </row>
    <row r="32" spans="1:63" ht="15" customHeight="1" x14ac:dyDescent="0.25">
      <c r="A32" s="22"/>
      <c r="K32" s="2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28"/>
      <c r="BK32" s="23"/>
    </row>
    <row r="33" spans="1:63" ht="15" customHeight="1" x14ac:dyDescent="0.25">
      <c r="A33" s="22"/>
      <c r="K33" s="2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28"/>
      <c r="BK33" s="23"/>
    </row>
    <row r="34" spans="1:63" ht="15" customHeight="1" x14ac:dyDescent="0.25">
      <c r="A34" s="22"/>
      <c r="K34" s="2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28"/>
      <c r="BK34" s="23"/>
    </row>
    <row r="35" spans="1:63" ht="15" customHeight="1" x14ac:dyDescent="0.25">
      <c r="A35" s="22"/>
      <c r="K35" s="2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28"/>
      <c r="BK35" s="23"/>
    </row>
    <row r="36" spans="1:63" ht="15" customHeight="1" x14ac:dyDescent="0.25">
      <c r="A36" s="22"/>
      <c r="K36" s="2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28"/>
      <c r="BK36" s="23"/>
    </row>
    <row r="37" spans="1:63" ht="15" customHeight="1" thickBot="1" x14ac:dyDescent="0.3">
      <c r="A37" s="22"/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3"/>
      <c r="BK37" s="23"/>
    </row>
    <row r="38" spans="1:63" ht="15" customHeight="1" thickTop="1" x14ac:dyDescent="0.25">
      <c r="A38" s="22"/>
      <c r="BK38" s="23"/>
    </row>
    <row r="39" spans="1:63" ht="15" customHeight="1" x14ac:dyDescent="0.25">
      <c r="A39" s="22"/>
      <c r="BK39" s="23"/>
    </row>
    <row r="40" spans="1:63" ht="15" customHeight="1" x14ac:dyDescent="0.25">
      <c r="A40" s="22"/>
      <c r="BK40" s="23"/>
    </row>
    <row r="41" spans="1:63" ht="15" customHeight="1" x14ac:dyDescent="0.25">
      <c r="A41" s="22"/>
      <c r="BK41" s="23"/>
    </row>
    <row r="42" spans="1:63" ht="15" customHeight="1" x14ac:dyDescent="0.25">
      <c r="A42" s="22"/>
      <c r="BK42" s="23"/>
    </row>
    <row r="43" spans="1:63" ht="15" customHeight="1" x14ac:dyDescent="0.25">
      <c r="A43" s="22"/>
      <c r="BK43" s="23"/>
    </row>
    <row r="44" spans="1:63" ht="15" customHeight="1" x14ac:dyDescent="0.25">
      <c r="A44" s="22"/>
      <c r="Q44" s="106" t="s">
        <v>46</v>
      </c>
      <c r="R44" s="107"/>
      <c r="S44" s="107"/>
      <c r="T44" s="107"/>
      <c r="U44" s="107"/>
      <c r="V44" s="107"/>
      <c r="W44" s="107"/>
      <c r="X44" s="107"/>
      <c r="Y44" s="107"/>
      <c r="Z44" s="108"/>
      <c r="AA44" s="106" t="s">
        <v>47</v>
      </c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8"/>
      <c r="AQ44" s="106" t="s">
        <v>41</v>
      </c>
      <c r="AR44" s="107"/>
      <c r="AS44" s="107"/>
      <c r="AT44" s="107"/>
      <c r="AU44" s="108"/>
      <c r="BK44" s="23"/>
    </row>
    <row r="45" spans="1:63" ht="15" customHeight="1" x14ac:dyDescent="0.25">
      <c r="A45" s="22"/>
      <c r="Q45" s="109"/>
      <c r="R45" s="110"/>
      <c r="S45" s="110"/>
      <c r="T45" s="110"/>
      <c r="U45" s="110"/>
      <c r="V45" s="110"/>
      <c r="W45" s="110"/>
      <c r="X45" s="110"/>
      <c r="Y45" s="110"/>
      <c r="Z45" s="111"/>
      <c r="AA45" s="109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1"/>
      <c r="AQ45" s="109"/>
      <c r="AR45" s="110"/>
      <c r="AS45" s="110"/>
      <c r="AT45" s="110"/>
      <c r="AU45" s="111"/>
      <c r="BK45" s="23"/>
    </row>
    <row r="46" spans="1:63" ht="15" customHeight="1" x14ac:dyDescent="0.25">
      <c r="A46" s="22"/>
      <c r="Q46" s="70"/>
      <c r="R46" s="71"/>
      <c r="S46" s="71"/>
      <c r="T46" s="71"/>
      <c r="U46" s="71"/>
      <c r="V46" s="71"/>
      <c r="W46" s="71"/>
      <c r="X46" s="71"/>
      <c r="Y46" s="71"/>
      <c r="Z46" s="72"/>
      <c r="AA46" s="70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2"/>
      <c r="AQ46" s="70"/>
      <c r="AR46" s="71"/>
      <c r="AS46" s="71"/>
      <c r="AT46" s="71"/>
      <c r="AU46" s="72"/>
      <c r="BK46" s="23"/>
    </row>
    <row r="47" spans="1:63" ht="15" customHeight="1" x14ac:dyDescent="0.25">
      <c r="A47" s="22"/>
      <c r="Q47" s="103"/>
      <c r="R47" s="104"/>
      <c r="S47" s="104"/>
      <c r="T47" s="104"/>
      <c r="U47" s="104"/>
      <c r="V47" s="104"/>
      <c r="W47" s="104"/>
      <c r="X47" s="104"/>
      <c r="Y47" s="104"/>
      <c r="Z47" s="105"/>
      <c r="AA47" s="103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5"/>
      <c r="AQ47" s="103"/>
      <c r="AR47" s="104"/>
      <c r="AS47" s="104"/>
      <c r="AT47" s="104"/>
      <c r="AU47" s="105"/>
      <c r="BK47" s="23"/>
    </row>
    <row r="48" spans="1:63" ht="15" customHeight="1" x14ac:dyDescent="0.25">
      <c r="A48" s="22"/>
      <c r="Q48" s="103"/>
      <c r="R48" s="104"/>
      <c r="S48" s="104"/>
      <c r="T48" s="104"/>
      <c r="U48" s="104"/>
      <c r="V48" s="104"/>
      <c r="W48" s="104"/>
      <c r="X48" s="104"/>
      <c r="Y48" s="104"/>
      <c r="Z48" s="105"/>
      <c r="AA48" s="103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5"/>
      <c r="AQ48" s="103"/>
      <c r="AR48" s="104"/>
      <c r="AS48" s="104"/>
      <c r="AT48" s="104"/>
      <c r="AU48" s="105"/>
      <c r="BK48" s="23"/>
    </row>
    <row r="49" spans="1:63" ht="15" customHeight="1" x14ac:dyDescent="0.25">
      <c r="A49" s="22"/>
      <c r="Q49" s="73"/>
      <c r="R49" s="74"/>
      <c r="S49" s="74"/>
      <c r="T49" s="74"/>
      <c r="U49" s="74"/>
      <c r="V49" s="74"/>
      <c r="W49" s="74"/>
      <c r="X49" s="74"/>
      <c r="Y49" s="74"/>
      <c r="Z49" s="75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5"/>
      <c r="AQ49" s="73"/>
      <c r="AR49" s="74"/>
      <c r="AS49" s="74"/>
      <c r="AT49" s="74"/>
      <c r="AU49" s="75"/>
      <c r="BK49" s="23"/>
    </row>
    <row r="50" spans="1:63" ht="15" customHeight="1" x14ac:dyDescent="0.25">
      <c r="A50" s="22"/>
      <c r="BK50" s="23"/>
    </row>
    <row r="51" spans="1:63" ht="15" customHeight="1" x14ac:dyDescent="0.25">
      <c r="A51" s="22"/>
      <c r="BK51" s="23"/>
    </row>
    <row r="52" spans="1:63" ht="15" customHeight="1" x14ac:dyDescent="0.25">
      <c r="A52" s="22"/>
      <c r="BK52" s="23"/>
    </row>
    <row r="53" spans="1:63" ht="15" customHeight="1" x14ac:dyDescent="0.25">
      <c r="A53" s="22"/>
      <c r="BK53" s="23"/>
    </row>
    <row r="54" spans="1:63" ht="15" customHeight="1" x14ac:dyDescent="0.25">
      <c r="A54" s="22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67" t="s">
        <v>34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35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tr">
        <f>IF(表紙!W1="","",表紙!W1)</f>
        <v>基本設計書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3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POSサーバー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3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3" ht="24.95" customHeight="1" x14ac:dyDescent="0.25">
      <c r="A4" s="67" t="s">
        <v>43</v>
      </c>
      <c r="B4" s="68"/>
      <c r="C4" s="68"/>
      <c r="D4" s="68"/>
      <c r="E4" s="68"/>
      <c r="F4" s="68"/>
      <c r="G4" s="69"/>
      <c r="H4" s="88" t="str">
        <f>IF(表紙!H4="","",表紙!H4)</f>
        <v>04_商品採用店舗確認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44</v>
      </c>
      <c r="V4" s="68"/>
      <c r="W4" s="68"/>
      <c r="X4" s="68"/>
      <c r="Y4" s="69"/>
      <c r="Z4" s="88" t="str">
        <f>IF(表紙!Z4="","",表紙!Z4)</f>
        <v>概要設計書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改訂履歴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8" s="18" t="s">
        <v>9</v>
      </c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10" s="138" t="s">
        <v>40</v>
      </c>
      <c r="C10" s="138"/>
      <c r="D10" s="138"/>
      <c r="E10" s="138"/>
      <c r="F10" s="138"/>
      <c r="G10" s="138"/>
      <c r="H10" s="138" t="s">
        <v>39</v>
      </c>
      <c r="I10" s="138"/>
      <c r="J10" s="138"/>
      <c r="K10" s="138"/>
      <c r="L10" s="138"/>
      <c r="M10" s="138"/>
      <c r="N10" s="138"/>
      <c r="O10" s="138" t="s">
        <v>41</v>
      </c>
      <c r="P10" s="138"/>
      <c r="Q10" s="138"/>
      <c r="R10" s="138"/>
      <c r="S10" s="138" t="s">
        <v>48</v>
      </c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 t="s">
        <v>46</v>
      </c>
      <c r="AY10" s="138"/>
      <c r="AZ10" s="138"/>
      <c r="BA10" s="138"/>
      <c r="BB10" s="138"/>
      <c r="BC10" s="138"/>
      <c r="BD10" s="138" t="s">
        <v>47</v>
      </c>
      <c r="BE10" s="138"/>
      <c r="BF10" s="138"/>
      <c r="BG10" s="138"/>
      <c r="BH10" s="138"/>
      <c r="BI10" s="138"/>
      <c r="BJ10" s="138"/>
      <c r="BK10" s="23"/>
    </row>
    <row r="11" spans="1:63" ht="15" customHeight="1" x14ac:dyDescent="0.25">
      <c r="A11" s="22"/>
      <c r="B11" s="97">
        <v>45425</v>
      </c>
      <c r="C11" s="71"/>
      <c r="D11" s="71"/>
      <c r="E11" s="71"/>
      <c r="F11" s="71"/>
      <c r="G11" s="72"/>
      <c r="H11" s="76" t="s">
        <v>49</v>
      </c>
      <c r="I11" s="71"/>
      <c r="J11" s="71"/>
      <c r="K11" s="71"/>
      <c r="L11" s="71"/>
      <c r="M11" s="71"/>
      <c r="N11" s="72"/>
      <c r="O11" s="70">
        <v>0.1</v>
      </c>
      <c r="P11" s="71"/>
      <c r="Q11" s="71"/>
      <c r="R11" s="71"/>
      <c r="S11" s="135" t="s">
        <v>15</v>
      </c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7"/>
      <c r="AX11" s="127"/>
      <c r="AY11" s="127"/>
      <c r="AZ11" s="127"/>
      <c r="BA11" s="127"/>
      <c r="BB11" s="127"/>
      <c r="BC11" s="128"/>
      <c r="BD11" s="126"/>
      <c r="BE11" s="127"/>
      <c r="BF11" s="127"/>
      <c r="BG11" s="127"/>
      <c r="BH11" s="127"/>
      <c r="BI11" s="127"/>
      <c r="BJ11" s="128"/>
      <c r="BK11" s="23"/>
    </row>
    <row r="12" spans="1:63" ht="15" customHeight="1" x14ac:dyDescent="0.25">
      <c r="A12" s="22"/>
      <c r="B12" s="73"/>
      <c r="C12" s="74"/>
      <c r="D12" s="74"/>
      <c r="E12" s="74"/>
      <c r="F12" s="74"/>
      <c r="G12" s="75"/>
      <c r="H12" s="73"/>
      <c r="I12" s="74"/>
      <c r="J12" s="74"/>
      <c r="K12" s="74"/>
      <c r="L12" s="74"/>
      <c r="M12" s="74"/>
      <c r="N12" s="75"/>
      <c r="O12" s="73"/>
      <c r="P12" s="74"/>
      <c r="Q12" s="74"/>
      <c r="R12" s="74"/>
      <c r="S12" s="132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4"/>
      <c r="AX12" s="130"/>
      <c r="AY12" s="130"/>
      <c r="AZ12" s="130"/>
      <c r="BA12" s="130"/>
      <c r="BB12" s="130"/>
      <c r="BC12" s="131"/>
      <c r="BD12" s="129"/>
      <c r="BE12" s="130"/>
      <c r="BF12" s="130"/>
      <c r="BG12" s="130"/>
      <c r="BH12" s="130"/>
      <c r="BI12" s="130"/>
      <c r="BJ12" s="131"/>
      <c r="BK12" s="23"/>
    </row>
    <row r="13" spans="1:63" ht="15" customHeight="1" x14ac:dyDescent="0.25">
      <c r="A13" s="22"/>
      <c r="B13" s="112">
        <v>45432</v>
      </c>
      <c r="C13" s="113"/>
      <c r="D13" s="113"/>
      <c r="E13" s="113"/>
      <c r="F13" s="113"/>
      <c r="G13" s="114"/>
      <c r="H13" s="118" t="s">
        <v>49</v>
      </c>
      <c r="I13" s="113"/>
      <c r="J13" s="113"/>
      <c r="K13" s="113"/>
      <c r="L13" s="113"/>
      <c r="M13" s="113"/>
      <c r="N13" s="114"/>
      <c r="O13" s="118">
        <v>0.11</v>
      </c>
      <c r="P13" s="113"/>
      <c r="Q13" s="113"/>
      <c r="R13" s="113"/>
      <c r="S13" s="119" t="s">
        <v>50</v>
      </c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1"/>
      <c r="AX13" s="122"/>
      <c r="AY13" s="122"/>
      <c r="AZ13" s="122"/>
      <c r="BA13" s="122"/>
      <c r="BB13" s="122"/>
      <c r="BC13" s="123"/>
      <c r="BD13" s="139"/>
      <c r="BE13" s="122"/>
      <c r="BF13" s="122"/>
      <c r="BG13" s="122"/>
      <c r="BH13" s="122"/>
      <c r="BI13" s="122"/>
      <c r="BJ13" s="123"/>
      <c r="BK13" s="23"/>
    </row>
    <row r="14" spans="1:63" ht="15" customHeight="1" x14ac:dyDescent="0.25">
      <c r="A14" s="22"/>
      <c r="B14" s="115"/>
      <c r="C14" s="116"/>
      <c r="D14" s="116"/>
      <c r="E14" s="116"/>
      <c r="F14" s="116"/>
      <c r="G14" s="117"/>
      <c r="H14" s="115"/>
      <c r="I14" s="116"/>
      <c r="J14" s="116"/>
      <c r="K14" s="116"/>
      <c r="L14" s="116"/>
      <c r="M14" s="116"/>
      <c r="N14" s="117"/>
      <c r="O14" s="115"/>
      <c r="P14" s="116"/>
      <c r="Q14" s="116"/>
      <c r="R14" s="116"/>
      <c r="S14" s="141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3"/>
      <c r="AX14" s="124"/>
      <c r="AY14" s="124"/>
      <c r="AZ14" s="124"/>
      <c r="BA14" s="124"/>
      <c r="BB14" s="124"/>
      <c r="BC14" s="125"/>
      <c r="BD14" s="140"/>
      <c r="BE14" s="124"/>
      <c r="BF14" s="124"/>
      <c r="BG14" s="124"/>
      <c r="BH14" s="124"/>
      <c r="BI14" s="124"/>
      <c r="BJ14" s="125"/>
      <c r="BK14" s="23"/>
    </row>
    <row r="15" spans="1:63" ht="15" customHeight="1" x14ac:dyDescent="0.25">
      <c r="A15" s="22"/>
      <c r="B15" s="70"/>
      <c r="C15" s="71"/>
      <c r="D15" s="71"/>
      <c r="E15" s="71"/>
      <c r="F15" s="71"/>
      <c r="G15" s="72"/>
      <c r="H15" s="70"/>
      <c r="I15" s="71"/>
      <c r="J15" s="71"/>
      <c r="K15" s="71"/>
      <c r="L15" s="71"/>
      <c r="M15" s="71"/>
      <c r="N15" s="72"/>
      <c r="O15" s="70"/>
      <c r="P15" s="71"/>
      <c r="Q15" s="71"/>
      <c r="R15" s="71"/>
      <c r="S15" s="135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7"/>
      <c r="AX15" s="127"/>
      <c r="AY15" s="127"/>
      <c r="AZ15" s="127"/>
      <c r="BA15" s="127"/>
      <c r="BB15" s="127"/>
      <c r="BC15" s="128"/>
      <c r="BD15" s="126"/>
      <c r="BE15" s="127"/>
      <c r="BF15" s="127"/>
      <c r="BG15" s="127"/>
      <c r="BH15" s="127"/>
      <c r="BI15" s="127"/>
      <c r="BJ15" s="128"/>
      <c r="BK15" s="23"/>
    </row>
    <row r="16" spans="1:63" ht="15" customHeight="1" x14ac:dyDescent="0.25">
      <c r="A16" s="22"/>
      <c r="B16" s="73"/>
      <c r="C16" s="74"/>
      <c r="D16" s="74"/>
      <c r="E16" s="74"/>
      <c r="F16" s="74"/>
      <c r="G16" s="75"/>
      <c r="H16" s="73"/>
      <c r="I16" s="74"/>
      <c r="J16" s="74"/>
      <c r="K16" s="74"/>
      <c r="L16" s="74"/>
      <c r="M16" s="74"/>
      <c r="N16" s="75"/>
      <c r="O16" s="73"/>
      <c r="P16" s="74"/>
      <c r="Q16" s="74"/>
      <c r="R16" s="74"/>
      <c r="S16" s="132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4"/>
      <c r="AX16" s="130"/>
      <c r="AY16" s="130"/>
      <c r="AZ16" s="130"/>
      <c r="BA16" s="130"/>
      <c r="BB16" s="130"/>
      <c r="BC16" s="131"/>
      <c r="BD16" s="129"/>
      <c r="BE16" s="130"/>
      <c r="BF16" s="130"/>
      <c r="BG16" s="130"/>
      <c r="BH16" s="130"/>
      <c r="BI16" s="130"/>
      <c r="BJ16" s="131"/>
      <c r="BK16" s="23"/>
    </row>
    <row r="17" spans="1:63" ht="15" customHeight="1" x14ac:dyDescent="0.25">
      <c r="A17" s="22"/>
      <c r="B17" s="70"/>
      <c r="C17" s="71"/>
      <c r="D17" s="71"/>
      <c r="E17" s="71"/>
      <c r="F17" s="71"/>
      <c r="G17" s="72"/>
      <c r="H17" s="70"/>
      <c r="I17" s="71"/>
      <c r="J17" s="71"/>
      <c r="K17" s="71"/>
      <c r="L17" s="71"/>
      <c r="M17" s="71"/>
      <c r="N17" s="72"/>
      <c r="O17" s="70"/>
      <c r="P17" s="71"/>
      <c r="Q17" s="71"/>
      <c r="R17" s="71"/>
      <c r="S17" s="135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7"/>
      <c r="AX17" s="127"/>
      <c r="AY17" s="127"/>
      <c r="AZ17" s="127"/>
      <c r="BA17" s="127"/>
      <c r="BB17" s="127"/>
      <c r="BC17" s="128"/>
      <c r="BD17" s="126"/>
      <c r="BE17" s="127"/>
      <c r="BF17" s="127"/>
      <c r="BG17" s="127"/>
      <c r="BH17" s="127"/>
      <c r="BI17" s="127"/>
      <c r="BJ17" s="128"/>
      <c r="BK17" s="23"/>
    </row>
    <row r="18" spans="1:63" ht="15" customHeight="1" x14ac:dyDescent="0.25">
      <c r="A18" s="22"/>
      <c r="B18" s="73"/>
      <c r="C18" s="74"/>
      <c r="D18" s="74"/>
      <c r="E18" s="74"/>
      <c r="F18" s="74"/>
      <c r="G18" s="75"/>
      <c r="H18" s="73"/>
      <c r="I18" s="74"/>
      <c r="J18" s="74"/>
      <c r="K18" s="74"/>
      <c r="L18" s="74"/>
      <c r="M18" s="74"/>
      <c r="N18" s="75"/>
      <c r="O18" s="73"/>
      <c r="P18" s="74"/>
      <c r="Q18" s="74"/>
      <c r="R18" s="74"/>
      <c r="S18" s="132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4"/>
      <c r="AX18" s="130"/>
      <c r="AY18" s="130"/>
      <c r="AZ18" s="130"/>
      <c r="BA18" s="130"/>
      <c r="BB18" s="130"/>
      <c r="BC18" s="131"/>
      <c r="BD18" s="129"/>
      <c r="BE18" s="130"/>
      <c r="BF18" s="130"/>
      <c r="BG18" s="130"/>
      <c r="BH18" s="130"/>
      <c r="BI18" s="130"/>
      <c r="BJ18" s="131"/>
      <c r="BK18" s="23"/>
    </row>
    <row r="19" spans="1:63" ht="15" customHeight="1" x14ac:dyDescent="0.25">
      <c r="A19" s="22"/>
      <c r="B19" s="70"/>
      <c r="C19" s="71"/>
      <c r="D19" s="71"/>
      <c r="E19" s="71"/>
      <c r="F19" s="71"/>
      <c r="G19" s="72"/>
      <c r="H19" s="70"/>
      <c r="I19" s="71"/>
      <c r="J19" s="71"/>
      <c r="K19" s="71"/>
      <c r="L19" s="71"/>
      <c r="M19" s="71"/>
      <c r="N19" s="72"/>
      <c r="O19" s="70"/>
      <c r="P19" s="71"/>
      <c r="Q19" s="71"/>
      <c r="R19" s="71"/>
      <c r="S19" s="135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7"/>
      <c r="AX19" s="127"/>
      <c r="AY19" s="127"/>
      <c r="AZ19" s="127"/>
      <c r="BA19" s="127"/>
      <c r="BB19" s="127"/>
      <c r="BC19" s="128"/>
      <c r="BD19" s="126"/>
      <c r="BE19" s="127"/>
      <c r="BF19" s="127"/>
      <c r="BG19" s="127"/>
      <c r="BH19" s="127"/>
      <c r="BI19" s="127"/>
      <c r="BJ19" s="128"/>
      <c r="BK19" s="23"/>
    </row>
    <row r="20" spans="1:63" ht="15" customHeight="1" x14ac:dyDescent="0.25">
      <c r="A20" s="22"/>
      <c r="B20" s="73"/>
      <c r="C20" s="74"/>
      <c r="D20" s="74"/>
      <c r="E20" s="74"/>
      <c r="F20" s="74"/>
      <c r="G20" s="75"/>
      <c r="H20" s="73"/>
      <c r="I20" s="74"/>
      <c r="J20" s="74"/>
      <c r="K20" s="74"/>
      <c r="L20" s="74"/>
      <c r="M20" s="74"/>
      <c r="N20" s="75"/>
      <c r="O20" s="73"/>
      <c r="P20" s="74"/>
      <c r="Q20" s="74"/>
      <c r="R20" s="74"/>
      <c r="S20" s="132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4"/>
      <c r="AX20" s="130"/>
      <c r="AY20" s="130"/>
      <c r="AZ20" s="130"/>
      <c r="BA20" s="130"/>
      <c r="BB20" s="130"/>
      <c r="BC20" s="131"/>
      <c r="BD20" s="129"/>
      <c r="BE20" s="130"/>
      <c r="BF20" s="130"/>
      <c r="BG20" s="130"/>
      <c r="BH20" s="130"/>
      <c r="BI20" s="130"/>
      <c r="BJ20" s="131"/>
      <c r="BK20" s="23"/>
    </row>
    <row r="21" spans="1:63" ht="15" customHeight="1" x14ac:dyDescent="0.25">
      <c r="A21" s="22"/>
      <c r="B21" s="70"/>
      <c r="C21" s="71"/>
      <c r="D21" s="71"/>
      <c r="E21" s="71"/>
      <c r="F21" s="71"/>
      <c r="G21" s="72"/>
      <c r="H21" s="70"/>
      <c r="I21" s="71"/>
      <c r="J21" s="71"/>
      <c r="K21" s="71"/>
      <c r="L21" s="71"/>
      <c r="M21" s="71"/>
      <c r="N21" s="72"/>
      <c r="O21" s="70"/>
      <c r="P21" s="71"/>
      <c r="Q21" s="71"/>
      <c r="R21" s="71"/>
      <c r="S21" s="135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7"/>
      <c r="AX21" s="127"/>
      <c r="AY21" s="127"/>
      <c r="AZ21" s="127"/>
      <c r="BA21" s="127"/>
      <c r="BB21" s="127"/>
      <c r="BC21" s="128"/>
      <c r="BD21" s="126"/>
      <c r="BE21" s="127"/>
      <c r="BF21" s="127"/>
      <c r="BG21" s="127"/>
      <c r="BH21" s="127"/>
      <c r="BI21" s="127"/>
      <c r="BJ21" s="128"/>
      <c r="BK21" s="23"/>
    </row>
    <row r="22" spans="1:63" ht="15" customHeight="1" x14ac:dyDescent="0.25">
      <c r="A22" s="22"/>
      <c r="B22" s="73"/>
      <c r="C22" s="74"/>
      <c r="D22" s="74"/>
      <c r="E22" s="74"/>
      <c r="F22" s="74"/>
      <c r="G22" s="75"/>
      <c r="H22" s="73"/>
      <c r="I22" s="74"/>
      <c r="J22" s="74"/>
      <c r="K22" s="74"/>
      <c r="L22" s="74"/>
      <c r="M22" s="74"/>
      <c r="N22" s="75"/>
      <c r="O22" s="73"/>
      <c r="P22" s="74"/>
      <c r="Q22" s="74"/>
      <c r="R22" s="74"/>
      <c r="S22" s="132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4"/>
      <c r="AX22" s="130"/>
      <c r="AY22" s="130"/>
      <c r="AZ22" s="130"/>
      <c r="BA22" s="130"/>
      <c r="BB22" s="130"/>
      <c r="BC22" s="131"/>
      <c r="BD22" s="129"/>
      <c r="BE22" s="130"/>
      <c r="BF22" s="130"/>
      <c r="BG22" s="130"/>
      <c r="BH22" s="130"/>
      <c r="BI22" s="130"/>
      <c r="BJ22" s="131"/>
      <c r="BK22" s="23"/>
    </row>
    <row r="23" spans="1:63" ht="15" customHeight="1" x14ac:dyDescent="0.25">
      <c r="A23" s="22"/>
      <c r="B23" s="70"/>
      <c r="C23" s="71"/>
      <c r="D23" s="71"/>
      <c r="E23" s="71"/>
      <c r="F23" s="71"/>
      <c r="G23" s="72"/>
      <c r="H23" s="70"/>
      <c r="I23" s="71"/>
      <c r="J23" s="71"/>
      <c r="K23" s="71"/>
      <c r="L23" s="71"/>
      <c r="M23" s="71"/>
      <c r="N23" s="72"/>
      <c r="O23" s="70"/>
      <c r="P23" s="71"/>
      <c r="Q23" s="71"/>
      <c r="R23" s="71"/>
      <c r="S23" s="135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7"/>
      <c r="AX23" s="127"/>
      <c r="AY23" s="127"/>
      <c r="AZ23" s="127"/>
      <c r="BA23" s="127"/>
      <c r="BB23" s="127"/>
      <c r="BC23" s="128"/>
      <c r="BD23" s="126"/>
      <c r="BE23" s="127"/>
      <c r="BF23" s="127"/>
      <c r="BG23" s="127"/>
      <c r="BH23" s="127"/>
      <c r="BI23" s="127"/>
      <c r="BJ23" s="128"/>
      <c r="BK23" s="23"/>
    </row>
    <row r="24" spans="1:63" ht="15" customHeight="1" x14ac:dyDescent="0.25">
      <c r="A24" s="22"/>
      <c r="B24" s="73"/>
      <c r="C24" s="74"/>
      <c r="D24" s="74"/>
      <c r="E24" s="74"/>
      <c r="F24" s="74"/>
      <c r="G24" s="75"/>
      <c r="H24" s="73"/>
      <c r="I24" s="74"/>
      <c r="J24" s="74"/>
      <c r="K24" s="74"/>
      <c r="L24" s="74"/>
      <c r="M24" s="74"/>
      <c r="N24" s="75"/>
      <c r="O24" s="73"/>
      <c r="P24" s="74"/>
      <c r="Q24" s="74"/>
      <c r="R24" s="74"/>
      <c r="S24" s="132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4"/>
      <c r="AX24" s="130"/>
      <c r="AY24" s="130"/>
      <c r="AZ24" s="130"/>
      <c r="BA24" s="130"/>
      <c r="BB24" s="130"/>
      <c r="BC24" s="131"/>
      <c r="BD24" s="129"/>
      <c r="BE24" s="130"/>
      <c r="BF24" s="130"/>
      <c r="BG24" s="130"/>
      <c r="BH24" s="130"/>
      <c r="BI24" s="130"/>
      <c r="BJ24" s="131"/>
      <c r="BK24" s="23"/>
    </row>
    <row r="25" spans="1:63" ht="15" customHeight="1" x14ac:dyDescent="0.25">
      <c r="A25" s="22"/>
      <c r="B25" s="70"/>
      <c r="C25" s="71"/>
      <c r="D25" s="71"/>
      <c r="E25" s="71"/>
      <c r="F25" s="71"/>
      <c r="G25" s="72"/>
      <c r="H25" s="70"/>
      <c r="I25" s="71"/>
      <c r="J25" s="71"/>
      <c r="K25" s="71"/>
      <c r="L25" s="71"/>
      <c r="M25" s="71"/>
      <c r="N25" s="72"/>
      <c r="O25" s="70"/>
      <c r="P25" s="71"/>
      <c r="Q25" s="71"/>
      <c r="R25" s="71"/>
      <c r="S25" s="135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7"/>
      <c r="AX25" s="127"/>
      <c r="AY25" s="127"/>
      <c r="AZ25" s="127"/>
      <c r="BA25" s="127"/>
      <c r="BB25" s="127"/>
      <c r="BC25" s="128"/>
      <c r="BD25" s="126"/>
      <c r="BE25" s="127"/>
      <c r="BF25" s="127"/>
      <c r="BG25" s="127"/>
      <c r="BH25" s="127"/>
      <c r="BI25" s="127"/>
      <c r="BJ25" s="128"/>
      <c r="BK25" s="23"/>
    </row>
    <row r="26" spans="1:63" ht="15" customHeight="1" x14ac:dyDescent="0.25">
      <c r="A26" s="22"/>
      <c r="B26" s="73"/>
      <c r="C26" s="74"/>
      <c r="D26" s="74"/>
      <c r="E26" s="74"/>
      <c r="F26" s="74"/>
      <c r="G26" s="75"/>
      <c r="H26" s="73"/>
      <c r="I26" s="74"/>
      <c r="J26" s="74"/>
      <c r="K26" s="74"/>
      <c r="L26" s="74"/>
      <c r="M26" s="74"/>
      <c r="N26" s="75"/>
      <c r="O26" s="73"/>
      <c r="P26" s="74"/>
      <c r="Q26" s="74"/>
      <c r="R26" s="74"/>
      <c r="S26" s="132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4"/>
      <c r="AX26" s="130"/>
      <c r="AY26" s="130"/>
      <c r="AZ26" s="130"/>
      <c r="BA26" s="130"/>
      <c r="BB26" s="130"/>
      <c r="BC26" s="131"/>
      <c r="BD26" s="129"/>
      <c r="BE26" s="130"/>
      <c r="BF26" s="130"/>
      <c r="BG26" s="130"/>
      <c r="BH26" s="130"/>
      <c r="BI26" s="130"/>
      <c r="BJ26" s="131"/>
      <c r="BK26" s="23"/>
    </row>
    <row r="27" spans="1:63" ht="15" customHeight="1" x14ac:dyDescent="0.25">
      <c r="A27" s="22"/>
      <c r="B27" s="70"/>
      <c r="C27" s="71"/>
      <c r="D27" s="71"/>
      <c r="E27" s="71"/>
      <c r="F27" s="71"/>
      <c r="G27" s="72"/>
      <c r="H27" s="70"/>
      <c r="I27" s="71"/>
      <c r="J27" s="71"/>
      <c r="K27" s="71"/>
      <c r="L27" s="71"/>
      <c r="M27" s="71"/>
      <c r="N27" s="72"/>
      <c r="O27" s="70"/>
      <c r="P27" s="71"/>
      <c r="Q27" s="71"/>
      <c r="R27" s="71"/>
      <c r="S27" s="135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7"/>
      <c r="AX27" s="127"/>
      <c r="AY27" s="127"/>
      <c r="AZ27" s="127"/>
      <c r="BA27" s="127"/>
      <c r="BB27" s="127"/>
      <c r="BC27" s="128"/>
      <c r="BD27" s="126"/>
      <c r="BE27" s="127"/>
      <c r="BF27" s="127"/>
      <c r="BG27" s="127"/>
      <c r="BH27" s="127"/>
      <c r="BI27" s="127"/>
      <c r="BJ27" s="128"/>
      <c r="BK27" s="23"/>
    </row>
    <row r="28" spans="1:63" ht="15" customHeight="1" x14ac:dyDescent="0.25">
      <c r="A28" s="22"/>
      <c r="B28" s="73"/>
      <c r="C28" s="74"/>
      <c r="D28" s="74"/>
      <c r="E28" s="74"/>
      <c r="F28" s="74"/>
      <c r="G28" s="75"/>
      <c r="H28" s="73"/>
      <c r="I28" s="74"/>
      <c r="J28" s="74"/>
      <c r="K28" s="74"/>
      <c r="L28" s="74"/>
      <c r="M28" s="74"/>
      <c r="N28" s="75"/>
      <c r="O28" s="73"/>
      <c r="P28" s="74"/>
      <c r="Q28" s="74"/>
      <c r="R28" s="74"/>
      <c r="S28" s="132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4"/>
      <c r="AX28" s="130"/>
      <c r="AY28" s="130"/>
      <c r="AZ28" s="130"/>
      <c r="BA28" s="130"/>
      <c r="BB28" s="130"/>
      <c r="BC28" s="131"/>
      <c r="BD28" s="129"/>
      <c r="BE28" s="130"/>
      <c r="BF28" s="130"/>
      <c r="BG28" s="130"/>
      <c r="BH28" s="130"/>
      <c r="BI28" s="130"/>
      <c r="BJ28" s="131"/>
      <c r="BK28" s="23"/>
    </row>
    <row r="29" spans="1:63" ht="15" customHeight="1" x14ac:dyDescent="0.25">
      <c r="A29" s="22"/>
      <c r="B29" s="70"/>
      <c r="C29" s="71"/>
      <c r="D29" s="71"/>
      <c r="E29" s="71"/>
      <c r="F29" s="71"/>
      <c r="G29" s="72"/>
      <c r="H29" s="70"/>
      <c r="I29" s="71"/>
      <c r="J29" s="71"/>
      <c r="K29" s="71"/>
      <c r="L29" s="71"/>
      <c r="M29" s="71"/>
      <c r="N29" s="72"/>
      <c r="O29" s="70"/>
      <c r="P29" s="71"/>
      <c r="Q29" s="71"/>
      <c r="R29" s="71"/>
      <c r="S29" s="135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7"/>
      <c r="AX29" s="127"/>
      <c r="AY29" s="127"/>
      <c r="AZ29" s="127"/>
      <c r="BA29" s="127"/>
      <c r="BB29" s="127"/>
      <c r="BC29" s="128"/>
      <c r="BD29" s="126"/>
      <c r="BE29" s="127"/>
      <c r="BF29" s="127"/>
      <c r="BG29" s="127"/>
      <c r="BH29" s="127"/>
      <c r="BI29" s="127"/>
      <c r="BJ29" s="128"/>
      <c r="BK29" s="23"/>
    </row>
    <row r="30" spans="1:63" ht="15" customHeight="1" x14ac:dyDescent="0.25">
      <c r="A30" s="22"/>
      <c r="B30" s="73"/>
      <c r="C30" s="74"/>
      <c r="D30" s="74"/>
      <c r="E30" s="74"/>
      <c r="F30" s="74"/>
      <c r="G30" s="75"/>
      <c r="H30" s="73"/>
      <c r="I30" s="74"/>
      <c r="J30" s="74"/>
      <c r="K30" s="74"/>
      <c r="L30" s="74"/>
      <c r="M30" s="74"/>
      <c r="N30" s="75"/>
      <c r="O30" s="73"/>
      <c r="P30" s="74"/>
      <c r="Q30" s="74"/>
      <c r="R30" s="74"/>
      <c r="S30" s="132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4"/>
      <c r="AX30" s="130"/>
      <c r="AY30" s="130"/>
      <c r="AZ30" s="130"/>
      <c r="BA30" s="130"/>
      <c r="BB30" s="130"/>
      <c r="BC30" s="131"/>
      <c r="BD30" s="129"/>
      <c r="BE30" s="130"/>
      <c r="BF30" s="130"/>
      <c r="BG30" s="130"/>
      <c r="BH30" s="130"/>
      <c r="BI30" s="130"/>
      <c r="BJ30" s="131"/>
      <c r="BK30" s="23"/>
    </row>
    <row r="31" spans="1:63" ht="15" customHeight="1" x14ac:dyDescent="0.25">
      <c r="A31" s="22"/>
      <c r="B31" s="70"/>
      <c r="C31" s="71"/>
      <c r="D31" s="71"/>
      <c r="E31" s="71"/>
      <c r="F31" s="71"/>
      <c r="G31" s="72"/>
      <c r="H31" s="70"/>
      <c r="I31" s="71"/>
      <c r="J31" s="71"/>
      <c r="K31" s="71"/>
      <c r="L31" s="71"/>
      <c r="M31" s="71"/>
      <c r="N31" s="72"/>
      <c r="O31" s="70"/>
      <c r="P31" s="71"/>
      <c r="Q31" s="71"/>
      <c r="R31" s="71"/>
      <c r="S31" s="135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7"/>
      <c r="AX31" s="127"/>
      <c r="AY31" s="127"/>
      <c r="AZ31" s="127"/>
      <c r="BA31" s="127"/>
      <c r="BB31" s="127"/>
      <c r="BC31" s="128"/>
      <c r="BD31" s="126"/>
      <c r="BE31" s="127"/>
      <c r="BF31" s="127"/>
      <c r="BG31" s="127"/>
      <c r="BH31" s="127"/>
      <c r="BI31" s="127"/>
      <c r="BJ31" s="128"/>
      <c r="BK31" s="23"/>
    </row>
    <row r="32" spans="1:63" ht="15" customHeight="1" x14ac:dyDescent="0.25">
      <c r="A32" s="22"/>
      <c r="B32" s="73"/>
      <c r="C32" s="74"/>
      <c r="D32" s="74"/>
      <c r="E32" s="74"/>
      <c r="F32" s="74"/>
      <c r="G32" s="75"/>
      <c r="H32" s="73"/>
      <c r="I32" s="74"/>
      <c r="J32" s="74"/>
      <c r="K32" s="74"/>
      <c r="L32" s="74"/>
      <c r="M32" s="74"/>
      <c r="N32" s="75"/>
      <c r="O32" s="73"/>
      <c r="P32" s="74"/>
      <c r="Q32" s="74"/>
      <c r="R32" s="74"/>
      <c r="S32" s="132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4"/>
      <c r="AX32" s="130"/>
      <c r="AY32" s="130"/>
      <c r="AZ32" s="130"/>
      <c r="BA32" s="130"/>
      <c r="BB32" s="130"/>
      <c r="BC32" s="131"/>
      <c r="BD32" s="129"/>
      <c r="BE32" s="130"/>
      <c r="BF32" s="130"/>
      <c r="BG32" s="130"/>
      <c r="BH32" s="130"/>
      <c r="BI32" s="130"/>
      <c r="BJ32" s="131"/>
      <c r="BK32" s="23"/>
    </row>
    <row r="33" spans="1:63" ht="15" customHeight="1" x14ac:dyDescent="0.25">
      <c r="A33" s="22"/>
      <c r="B33" s="70"/>
      <c r="C33" s="71"/>
      <c r="D33" s="71"/>
      <c r="E33" s="71"/>
      <c r="F33" s="71"/>
      <c r="G33" s="72"/>
      <c r="H33" s="70"/>
      <c r="I33" s="71"/>
      <c r="J33" s="71"/>
      <c r="K33" s="71"/>
      <c r="L33" s="71"/>
      <c r="M33" s="71"/>
      <c r="N33" s="72"/>
      <c r="O33" s="70"/>
      <c r="P33" s="71"/>
      <c r="Q33" s="71"/>
      <c r="R33" s="71"/>
      <c r="S33" s="135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7"/>
      <c r="AX33" s="127"/>
      <c r="AY33" s="127"/>
      <c r="AZ33" s="127"/>
      <c r="BA33" s="127"/>
      <c r="BB33" s="127"/>
      <c r="BC33" s="128"/>
      <c r="BD33" s="126"/>
      <c r="BE33" s="127"/>
      <c r="BF33" s="127"/>
      <c r="BG33" s="127"/>
      <c r="BH33" s="127"/>
      <c r="BI33" s="127"/>
      <c r="BJ33" s="128"/>
      <c r="BK33" s="23"/>
    </row>
    <row r="34" spans="1:63" ht="15" customHeight="1" x14ac:dyDescent="0.25">
      <c r="A34" s="22"/>
      <c r="B34" s="73"/>
      <c r="C34" s="74"/>
      <c r="D34" s="74"/>
      <c r="E34" s="74"/>
      <c r="F34" s="74"/>
      <c r="G34" s="75"/>
      <c r="H34" s="73"/>
      <c r="I34" s="74"/>
      <c r="J34" s="74"/>
      <c r="K34" s="74"/>
      <c r="L34" s="74"/>
      <c r="M34" s="74"/>
      <c r="N34" s="75"/>
      <c r="O34" s="73"/>
      <c r="P34" s="74"/>
      <c r="Q34" s="74"/>
      <c r="R34" s="74"/>
      <c r="S34" s="132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4"/>
      <c r="AX34" s="130"/>
      <c r="AY34" s="130"/>
      <c r="AZ34" s="130"/>
      <c r="BA34" s="130"/>
      <c r="BB34" s="130"/>
      <c r="BC34" s="131"/>
      <c r="BD34" s="129"/>
      <c r="BE34" s="130"/>
      <c r="BF34" s="130"/>
      <c r="BG34" s="130"/>
      <c r="BH34" s="130"/>
      <c r="BI34" s="130"/>
      <c r="BJ34" s="131"/>
      <c r="BK34" s="23"/>
    </row>
    <row r="35" spans="1:63" ht="15" customHeight="1" x14ac:dyDescent="0.25">
      <c r="A35" s="22"/>
      <c r="B35" s="70"/>
      <c r="C35" s="71"/>
      <c r="D35" s="71"/>
      <c r="E35" s="71"/>
      <c r="F35" s="71"/>
      <c r="G35" s="72"/>
      <c r="H35" s="70"/>
      <c r="I35" s="71"/>
      <c r="J35" s="71"/>
      <c r="K35" s="71"/>
      <c r="L35" s="71"/>
      <c r="M35" s="71"/>
      <c r="N35" s="72"/>
      <c r="O35" s="70"/>
      <c r="P35" s="71"/>
      <c r="Q35" s="71"/>
      <c r="R35" s="71"/>
      <c r="S35" s="135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7"/>
      <c r="AX35" s="127"/>
      <c r="AY35" s="127"/>
      <c r="AZ35" s="127"/>
      <c r="BA35" s="127"/>
      <c r="BB35" s="127"/>
      <c r="BC35" s="128"/>
      <c r="BD35" s="126"/>
      <c r="BE35" s="127"/>
      <c r="BF35" s="127"/>
      <c r="BG35" s="127"/>
      <c r="BH35" s="127"/>
      <c r="BI35" s="127"/>
      <c r="BJ35" s="128"/>
      <c r="BK35" s="23"/>
    </row>
    <row r="36" spans="1:63" ht="15" customHeight="1" x14ac:dyDescent="0.25">
      <c r="A36" s="22"/>
      <c r="B36" s="73"/>
      <c r="C36" s="74"/>
      <c r="D36" s="74"/>
      <c r="E36" s="74"/>
      <c r="F36" s="74"/>
      <c r="G36" s="75"/>
      <c r="H36" s="73"/>
      <c r="I36" s="74"/>
      <c r="J36" s="74"/>
      <c r="K36" s="74"/>
      <c r="L36" s="74"/>
      <c r="M36" s="74"/>
      <c r="N36" s="75"/>
      <c r="O36" s="73"/>
      <c r="P36" s="74"/>
      <c r="Q36" s="74"/>
      <c r="R36" s="74"/>
      <c r="S36" s="132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4"/>
      <c r="AX36" s="130"/>
      <c r="AY36" s="130"/>
      <c r="AZ36" s="130"/>
      <c r="BA36" s="130"/>
      <c r="BB36" s="130"/>
      <c r="BC36" s="131"/>
      <c r="BD36" s="129"/>
      <c r="BE36" s="130"/>
      <c r="BF36" s="130"/>
      <c r="BG36" s="130"/>
      <c r="BH36" s="130"/>
      <c r="BI36" s="130"/>
      <c r="BJ36" s="131"/>
      <c r="BK36" s="23"/>
    </row>
    <row r="37" spans="1:63" ht="15" customHeight="1" x14ac:dyDescent="0.25">
      <c r="A37" s="22"/>
      <c r="B37" s="70"/>
      <c r="C37" s="71"/>
      <c r="D37" s="71"/>
      <c r="E37" s="71"/>
      <c r="F37" s="71"/>
      <c r="G37" s="72"/>
      <c r="H37" s="70"/>
      <c r="I37" s="71"/>
      <c r="J37" s="71"/>
      <c r="K37" s="71"/>
      <c r="L37" s="71"/>
      <c r="M37" s="71"/>
      <c r="N37" s="72"/>
      <c r="O37" s="70"/>
      <c r="P37" s="71"/>
      <c r="Q37" s="71"/>
      <c r="R37" s="71"/>
      <c r="S37" s="135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7"/>
      <c r="AX37" s="127"/>
      <c r="AY37" s="127"/>
      <c r="AZ37" s="127"/>
      <c r="BA37" s="127"/>
      <c r="BB37" s="127"/>
      <c r="BC37" s="128"/>
      <c r="BD37" s="126"/>
      <c r="BE37" s="127"/>
      <c r="BF37" s="127"/>
      <c r="BG37" s="127"/>
      <c r="BH37" s="127"/>
      <c r="BI37" s="127"/>
      <c r="BJ37" s="128"/>
      <c r="BK37" s="23"/>
    </row>
    <row r="38" spans="1:63" ht="15" customHeight="1" x14ac:dyDescent="0.25">
      <c r="A38" s="22"/>
      <c r="B38" s="73"/>
      <c r="C38" s="74"/>
      <c r="D38" s="74"/>
      <c r="E38" s="74"/>
      <c r="F38" s="74"/>
      <c r="G38" s="75"/>
      <c r="H38" s="73"/>
      <c r="I38" s="74"/>
      <c r="J38" s="74"/>
      <c r="K38" s="74"/>
      <c r="L38" s="74"/>
      <c r="M38" s="74"/>
      <c r="N38" s="75"/>
      <c r="O38" s="73"/>
      <c r="P38" s="74"/>
      <c r="Q38" s="74"/>
      <c r="R38" s="74"/>
      <c r="S38" s="132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4"/>
      <c r="AX38" s="130"/>
      <c r="AY38" s="130"/>
      <c r="AZ38" s="130"/>
      <c r="BA38" s="130"/>
      <c r="BB38" s="130"/>
      <c r="BC38" s="131"/>
      <c r="BD38" s="129"/>
      <c r="BE38" s="130"/>
      <c r="BF38" s="130"/>
      <c r="BG38" s="130"/>
      <c r="BH38" s="130"/>
      <c r="BI38" s="130"/>
      <c r="BJ38" s="131"/>
      <c r="BK38" s="23"/>
    </row>
    <row r="39" spans="1:63" ht="15" customHeight="1" x14ac:dyDescent="0.25">
      <c r="A39" s="22"/>
      <c r="B39" s="70"/>
      <c r="C39" s="71"/>
      <c r="D39" s="71"/>
      <c r="E39" s="71"/>
      <c r="F39" s="71"/>
      <c r="G39" s="72"/>
      <c r="H39" s="70"/>
      <c r="I39" s="71"/>
      <c r="J39" s="71"/>
      <c r="K39" s="71"/>
      <c r="L39" s="71"/>
      <c r="M39" s="71"/>
      <c r="N39" s="72"/>
      <c r="O39" s="70"/>
      <c r="P39" s="71"/>
      <c r="Q39" s="71"/>
      <c r="R39" s="71"/>
      <c r="S39" s="135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7"/>
      <c r="AX39" s="127"/>
      <c r="AY39" s="127"/>
      <c r="AZ39" s="127"/>
      <c r="BA39" s="127"/>
      <c r="BB39" s="127"/>
      <c r="BC39" s="128"/>
      <c r="BD39" s="126"/>
      <c r="BE39" s="127"/>
      <c r="BF39" s="127"/>
      <c r="BG39" s="127"/>
      <c r="BH39" s="127"/>
      <c r="BI39" s="127"/>
      <c r="BJ39" s="128"/>
      <c r="BK39" s="23"/>
    </row>
    <row r="40" spans="1:63" ht="15" customHeight="1" x14ac:dyDescent="0.25">
      <c r="A40" s="22"/>
      <c r="B40" s="73"/>
      <c r="C40" s="74"/>
      <c r="D40" s="74"/>
      <c r="E40" s="74"/>
      <c r="F40" s="74"/>
      <c r="G40" s="75"/>
      <c r="H40" s="73"/>
      <c r="I40" s="74"/>
      <c r="J40" s="74"/>
      <c r="K40" s="74"/>
      <c r="L40" s="74"/>
      <c r="M40" s="74"/>
      <c r="N40" s="75"/>
      <c r="O40" s="73"/>
      <c r="P40" s="74"/>
      <c r="Q40" s="74"/>
      <c r="R40" s="74"/>
      <c r="S40" s="132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4"/>
      <c r="AX40" s="130"/>
      <c r="AY40" s="130"/>
      <c r="AZ40" s="130"/>
      <c r="BA40" s="130"/>
      <c r="BB40" s="130"/>
      <c r="BC40" s="131"/>
      <c r="BD40" s="129"/>
      <c r="BE40" s="130"/>
      <c r="BF40" s="130"/>
      <c r="BG40" s="130"/>
      <c r="BH40" s="130"/>
      <c r="BI40" s="130"/>
      <c r="BJ40" s="131"/>
      <c r="BK40" s="23"/>
    </row>
    <row r="41" spans="1:63" ht="15" customHeight="1" x14ac:dyDescent="0.25">
      <c r="A41" s="22"/>
      <c r="B41" s="70"/>
      <c r="C41" s="71"/>
      <c r="D41" s="71"/>
      <c r="E41" s="71"/>
      <c r="F41" s="71"/>
      <c r="G41" s="72"/>
      <c r="H41" s="70"/>
      <c r="I41" s="71"/>
      <c r="J41" s="71"/>
      <c r="K41" s="71"/>
      <c r="L41" s="71"/>
      <c r="M41" s="71"/>
      <c r="N41" s="72"/>
      <c r="O41" s="70"/>
      <c r="P41" s="71"/>
      <c r="Q41" s="71"/>
      <c r="R41" s="71"/>
      <c r="S41" s="135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7"/>
      <c r="AX41" s="127"/>
      <c r="AY41" s="127"/>
      <c r="AZ41" s="127"/>
      <c r="BA41" s="127"/>
      <c r="BB41" s="127"/>
      <c r="BC41" s="128"/>
      <c r="BD41" s="126"/>
      <c r="BE41" s="127"/>
      <c r="BF41" s="127"/>
      <c r="BG41" s="127"/>
      <c r="BH41" s="127"/>
      <c r="BI41" s="127"/>
      <c r="BJ41" s="128"/>
      <c r="BK41" s="23"/>
    </row>
    <row r="42" spans="1:63" ht="15" customHeight="1" x14ac:dyDescent="0.25">
      <c r="A42" s="22"/>
      <c r="B42" s="73"/>
      <c r="C42" s="74"/>
      <c r="D42" s="74"/>
      <c r="E42" s="74"/>
      <c r="F42" s="74"/>
      <c r="G42" s="75"/>
      <c r="H42" s="73"/>
      <c r="I42" s="74"/>
      <c r="J42" s="74"/>
      <c r="K42" s="74"/>
      <c r="L42" s="74"/>
      <c r="M42" s="74"/>
      <c r="N42" s="75"/>
      <c r="O42" s="73"/>
      <c r="P42" s="74"/>
      <c r="Q42" s="74"/>
      <c r="R42" s="74"/>
      <c r="S42" s="132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4"/>
      <c r="AX42" s="130"/>
      <c r="AY42" s="130"/>
      <c r="AZ42" s="130"/>
      <c r="BA42" s="130"/>
      <c r="BB42" s="130"/>
      <c r="BC42" s="131"/>
      <c r="BD42" s="129"/>
      <c r="BE42" s="130"/>
      <c r="BF42" s="130"/>
      <c r="BG42" s="130"/>
      <c r="BH42" s="130"/>
      <c r="BI42" s="130"/>
      <c r="BJ42" s="131"/>
      <c r="BK42" s="23"/>
    </row>
    <row r="43" spans="1:63" ht="15" customHeight="1" x14ac:dyDescent="0.25">
      <c r="A43" s="22"/>
      <c r="B43" s="70"/>
      <c r="C43" s="71"/>
      <c r="D43" s="71"/>
      <c r="E43" s="71"/>
      <c r="F43" s="71"/>
      <c r="G43" s="72"/>
      <c r="H43" s="70"/>
      <c r="I43" s="71"/>
      <c r="J43" s="71"/>
      <c r="K43" s="71"/>
      <c r="L43" s="71"/>
      <c r="M43" s="71"/>
      <c r="N43" s="72"/>
      <c r="O43" s="70"/>
      <c r="P43" s="71"/>
      <c r="Q43" s="71"/>
      <c r="R43" s="71"/>
      <c r="S43" s="135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7"/>
      <c r="AX43" s="127"/>
      <c r="AY43" s="127"/>
      <c r="AZ43" s="127"/>
      <c r="BA43" s="127"/>
      <c r="BB43" s="127"/>
      <c r="BC43" s="128"/>
      <c r="BD43" s="126"/>
      <c r="BE43" s="127"/>
      <c r="BF43" s="127"/>
      <c r="BG43" s="127"/>
      <c r="BH43" s="127"/>
      <c r="BI43" s="127"/>
      <c r="BJ43" s="128"/>
      <c r="BK43" s="23"/>
    </row>
    <row r="44" spans="1:63" ht="15" customHeight="1" x14ac:dyDescent="0.25">
      <c r="A44" s="22"/>
      <c r="B44" s="73"/>
      <c r="C44" s="74"/>
      <c r="D44" s="74"/>
      <c r="E44" s="74"/>
      <c r="F44" s="74"/>
      <c r="G44" s="75"/>
      <c r="H44" s="73"/>
      <c r="I44" s="74"/>
      <c r="J44" s="74"/>
      <c r="K44" s="74"/>
      <c r="L44" s="74"/>
      <c r="M44" s="74"/>
      <c r="N44" s="75"/>
      <c r="O44" s="73"/>
      <c r="P44" s="74"/>
      <c r="Q44" s="74"/>
      <c r="R44" s="74"/>
      <c r="S44" s="132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4"/>
      <c r="AX44" s="130"/>
      <c r="AY44" s="130"/>
      <c r="AZ44" s="130"/>
      <c r="BA44" s="130"/>
      <c r="BB44" s="130"/>
      <c r="BC44" s="131"/>
      <c r="BD44" s="129"/>
      <c r="BE44" s="130"/>
      <c r="BF44" s="130"/>
      <c r="BG44" s="130"/>
      <c r="BH44" s="130"/>
      <c r="BI44" s="130"/>
      <c r="BJ44" s="131"/>
      <c r="BK44" s="23"/>
    </row>
    <row r="45" spans="1:63" ht="15" customHeight="1" x14ac:dyDescent="0.25">
      <c r="A45" s="22"/>
      <c r="B45" s="70"/>
      <c r="C45" s="71"/>
      <c r="D45" s="71"/>
      <c r="E45" s="71"/>
      <c r="F45" s="71"/>
      <c r="G45" s="72"/>
      <c r="H45" s="70"/>
      <c r="I45" s="71"/>
      <c r="J45" s="71"/>
      <c r="K45" s="71"/>
      <c r="L45" s="71"/>
      <c r="M45" s="71"/>
      <c r="N45" s="72"/>
      <c r="O45" s="70"/>
      <c r="P45" s="71"/>
      <c r="Q45" s="71"/>
      <c r="R45" s="71"/>
      <c r="S45" s="135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7"/>
      <c r="AX45" s="127"/>
      <c r="AY45" s="127"/>
      <c r="AZ45" s="127"/>
      <c r="BA45" s="127"/>
      <c r="BB45" s="127"/>
      <c r="BC45" s="128"/>
      <c r="BD45" s="126"/>
      <c r="BE45" s="127"/>
      <c r="BF45" s="127"/>
      <c r="BG45" s="127"/>
      <c r="BH45" s="127"/>
      <c r="BI45" s="127"/>
      <c r="BJ45" s="128"/>
      <c r="BK45" s="23"/>
    </row>
    <row r="46" spans="1:63" ht="15" customHeight="1" x14ac:dyDescent="0.25">
      <c r="A46" s="22"/>
      <c r="B46" s="73"/>
      <c r="C46" s="74"/>
      <c r="D46" s="74"/>
      <c r="E46" s="74"/>
      <c r="F46" s="74"/>
      <c r="G46" s="75"/>
      <c r="H46" s="73"/>
      <c r="I46" s="74"/>
      <c r="J46" s="74"/>
      <c r="K46" s="74"/>
      <c r="L46" s="74"/>
      <c r="M46" s="74"/>
      <c r="N46" s="75"/>
      <c r="O46" s="73"/>
      <c r="P46" s="74"/>
      <c r="Q46" s="74"/>
      <c r="R46" s="74"/>
      <c r="S46" s="132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4"/>
      <c r="AX46" s="130"/>
      <c r="AY46" s="130"/>
      <c r="AZ46" s="130"/>
      <c r="BA46" s="130"/>
      <c r="BB46" s="130"/>
      <c r="BC46" s="131"/>
      <c r="BD46" s="129"/>
      <c r="BE46" s="130"/>
      <c r="BF46" s="130"/>
      <c r="BG46" s="130"/>
      <c r="BH46" s="130"/>
      <c r="BI46" s="130"/>
      <c r="BJ46" s="131"/>
      <c r="BK46" s="23"/>
    </row>
    <row r="47" spans="1:63" ht="15" customHeight="1" x14ac:dyDescent="0.25">
      <c r="A47" s="22"/>
      <c r="B47" s="70"/>
      <c r="C47" s="71"/>
      <c r="D47" s="71"/>
      <c r="E47" s="71"/>
      <c r="F47" s="71"/>
      <c r="G47" s="72"/>
      <c r="H47" s="70"/>
      <c r="I47" s="71"/>
      <c r="J47" s="71"/>
      <c r="K47" s="71"/>
      <c r="L47" s="71"/>
      <c r="M47" s="71"/>
      <c r="N47" s="72"/>
      <c r="O47" s="70"/>
      <c r="P47" s="71"/>
      <c r="Q47" s="71"/>
      <c r="R47" s="71"/>
      <c r="S47" s="135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7"/>
      <c r="AX47" s="127"/>
      <c r="AY47" s="127"/>
      <c r="AZ47" s="127"/>
      <c r="BA47" s="127"/>
      <c r="BB47" s="127"/>
      <c r="BC47" s="128"/>
      <c r="BD47" s="126"/>
      <c r="BE47" s="127"/>
      <c r="BF47" s="127"/>
      <c r="BG47" s="127"/>
      <c r="BH47" s="127"/>
      <c r="BI47" s="127"/>
      <c r="BJ47" s="128"/>
      <c r="BK47" s="23"/>
    </row>
    <row r="48" spans="1:63" ht="15" customHeight="1" x14ac:dyDescent="0.25">
      <c r="A48" s="22"/>
      <c r="B48" s="73"/>
      <c r="C48" s="74"/>
      <c r="D48" s="74"/>
      <c r="E48" s="74"/>
      <c r="F48" s="74"/>
      <c r="G48" s="75"/>
      <c r="H48" s="73"/>
      <c r="I48" s="74"/>
      <c r="J48" s="74"/>
      <c r="K48" s="74"/>
      <c r="L48" s="74"/>
      <c r="M48" s="74"/>
      <c r="N48" s="75"/>
      <c r="O48" s="73"/>
      <c r="P48" s="74"/>
      <c r="Q48" s="74"/>
      <c r="R48" s="74"/>
      <c r="S48" s="132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4"/>
      <c r="AX48" s="130"/>
      <c r="AY48" s="130"/>
      <c r="AZ48" s="130"/>
      <c r="BA48" s="130"/>
      <c r="BB48" s="130"/>
      <c r="BC48" s="131"/>
      <c r="BD48" s="129"/>
      <c r="BE48" s="130"/>
      <c r="BF48" s="130"/>
      <c r="BG48" s="130"/>
      <c r="BH48" s="130"/>
      <c r="BI48" s="130"/>
      <c r="BJ48" s="131"/>
      <c r="BK48" s="23"/>
    </row>
    <row r="49" spans="1:63" ht="15" customHeight="1" x14ac:dyDescent="0.25">
      <c r="A49" s="22"/>
      <c r="B49" s="70"/>
      <c r="C49" s="71"/>
      <c r="D49" s="71"/>
      <c r="E49" s="71"/>
      <c r="F49" s="71"/>
      <c r="G49" s="72"/>
      <c r="H49" s="70"/>
      <c r="I49" s="71"/>
      <c r="J49" s="71"/>
      <c r="K49" s="71"/>
      <c r="L49" s="71"/>
      <c r="M49" s="71"/>
      <c r="N49" s="72"/>
      <c r="O49" s="70"/>
      <c r="P49" s="71"/>
      <c r="Q49" s="71"/>
      <c r="R49" s="71"/>
      <c r="S49" s="135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7"/>
      <c r="AX49" s="127"/>
      <c r="AY49" s="127"/>
      <c r="AZ49" s="127"/>
      <c r="BA49" s="127"/>
      <c r="BB49" s="127"/>
      <c r="BC49" s="128"/>
      <c r="BD49" s="126"/>
      <c r="BE49" s="127"/>
      <c r="BF49" s="127"/>
      <c r="BG49" s="127"/>
      <c r="BH49" s="127"/>
      <c r="BI49" s="127"/>
      <c r="BJ49" s="128"/>
      <c r="BK49" s="23"/>
    </row>
    <row r="50" spans="1:63" ht="15" customHeight="1" x14ac:dyDescent="0.25">
      <c r="A50" s="22"/>
      <c r="B50" s="73"/>
      <c r="C50" s="74"/>
      <c r="D50" s="74"/>
      <c r="E50" s="74"/>
      <c r="F50" s="74"/>
      <c r="G50" s="75"/>
      <c r="H50" s="73"/>
      <c r="I50" s="74"/>
      <c r="J50" s="74"/>
      <c r="K50" s="74"/>
      <c r="L50" s="74"/>
      <c r="M50" s="74"/>
      <c r="N50" s="75"/>
      <c r="O50" s="73"/>
      <c r="P50" s="74"/>
      <c r="Q50" s="74"/>
      <c r="R50" s="74"/>
      <c r="S50" s="132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4"/>
      <c r="AX50" s="130"/>
      <c r="AY50" s="130"/>
      <c r="AZ50" s="130"/>
      <c r="BA50" s="130"/>
      <c r="BB50" s="130"/>
      <c r="BC50" s="131"/>
      <c r="BD50" s="129"/>
      <c r="BE50" s="130"/>
      <c r="BF50" s="130"/>
      <c r="BG50" s="130"/>
      <c r="BH50" s="130"/>
      <c r="BI50" s="130"/>
      <c r="BJ50" s="131"/>
      <c r="BK50" s="23"/>
    </row>
    <row r="51" spans="1:63" ht="15" customHeight="1" x14ac:dyDescent="0.25">
      <c r="A51" s="22"/>
      <c r="B51" s="70"/>
      <c r="C51" s="71"/>
      <c r="D51" s="71"/>
      <c r="E51" s="71"/>
      <c r="F51" s="71"/>
      <c r="G51" s="72"/>
      <c r="H51" s="70"/>
      <c r="I51" s="71"/>
      <c r="J51" s="71"/>
      <c r="K51" s="71"/>
      <c r="L51" s="71"/>
      <c r="M51" s="71"/>
      <c r="N51" s="72"/>
      <c r="O51" s="70"/>
      <c r="P51" s="71"/>
      <c r="Q51" s="71"/>
      <c r="R51" s="71"/>
      <c r="S51" s="135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7"/>
      <c r="AX51" s="127"/>
      <c r="AY51" s="127"/>
      <c r="AZ51" s="127"/>
      <c r="BA51" s="127"/>
      <c r="BB51" s="127"/>
      <c r="BC51" s="128"/>
      <c r="BD51" s="126"/>
      <c r="BE51" s="127"/>
      <c r="BF51" s="127"/>
      <c r="BG51" s="127"/>
      <c r="BH51" s="127"/>
      <c r="BI51" s="127"/>
      <c r="BJ51" s="128"/>
      <c r="BK51" s="23"/>
    </row>
    <row r="52" spans="1:63" ht="15" customHeight="1" x14ac:dyDescent="0.25">
      <c r="A52" s="22"/>
      <c r="B52" s="73"/>
      <c r="C52" s="74"/>
      <c r="D52" s="74"/>
      <c r="E52" s="74"/>
      <c r="F52" s="74"/>
      <c r="G52" s="75"/>
      <c r="H52" s="73"/>
      <c r="I52" s="74"/>
      <c r="J52" s="74"/>
      <c r="K52" s="74"/>
      <c r="L52" s="74"/>
      <c r="M52" s="74"/>
      <c r="N52" s="75"/>
      <c r="O52" s="73"/>
      <c r="P52" s="74"/>
      <c r="Q52" s="74"/>
      <c r="R52" s="74"/>
      <c r="S52" s="132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4"/>
      <c r="AX52" s="130"/>
      <c r="AY52" s="130"/>
      <c r="AZ52" s="130"/>
      <c r="BA52" s="130"/>
      <c r="BB52" s="130"/>
      <c r="BC52" s="131"/>
      <c r="BD52" s="129"/>
      <c r="BE52" s="130"/>
      <c r="BF52" s="130"/>
      <c r="BG52" s="130"/>
      <c r="BH52" s="130"/>
      <c r="BI52" s="130"/>
      <c r="BJ52" s="131"/>
      <c r="BK52" s="23"/>
    </row>
    <row r="53" spans="1:63" ht="15" customHeight="1" x14ac:dyDescent="0.25">
      <c r="A53" s="22"/>
      <c r="B53" s="70"/>
      <c r="C53" s="71"/>
      <c r="D53" s="71"/>
      <c r="E53" s="71"/>
      <c r="F53" s="71"/>
      <c r="G53" s="72"/>
      <c r="H53" s="70"/>
      <c r="I53" s="71"/>
      <c r="J53" s="71"/>
      <c r="K53" s="71"/>
      <c r="L53" s="71"/>
      <c r="M53" s="71"/>
      <c r="N53" s="72"/>
      <c r="O53" s="70"/>
      <c r="P53" s="71"/>
      <c r="Q53" s="71"/>
      <c r="R53" s="71"/>
      <c r="S53" s="135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7"/>
      <c r="AX53" s="127"/>
      <c r="AY53" s="127"/>
      <c r="AZ53" s="127"/>
      <c r="BA53" s="127"/>
      <c r="BB53" s="127"/>
      <c r="BC53" s="128"/>
      <c r="BD53" s="126"/>
      <c r="BE53" s="127"/>
      <c r="BF53" s="127"/>
      <c r="BG53" s="127"/>
      <c r="BH53" s="127"/>
      <c r="BI53" s="127"/>
      <c r="BJ53" s="128"/>
      <c r="BK53" s="23"/>
    </row>
    <row r="54" spans="1:63" ht="15" customHeight="1" x14ac:dyDescent="0.25">
      <c r="A54" s="22"/>
      <c r="B54" s="73"/>
      <c r="C54" s="74"/>
      <c r="D54" s="74"/>
      <c r="E54" s="74"/>
      <c r="F54" s="74"/>
      <c r="G54" s="75"/>
      <c r="H54" s="73"/>
      <c r="I54" s="74"/>
      <c r="J54" s="74"/>
      <c r="K54" s="74"/>
      <c r="L54" s="74"/>
      <c r="M54" s="74"/>
      <c r="N54" s="75"/>
      <c r="O54" s="73"/>
      <c r="P54" s="74"/>
      <c r="Q54" s="74"/>
      <c r="R54" s="74"/>
      <c r="S54" s="132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4"/>
      <c r="AX54" s="130"/>
      <c r="AY54" s="130"/>
      <c r="AZ54" s="130"/>
      <c r="BA54" s="130"/>
      <c r="BB54" s="130"/>
      <c r="BC54" s="131"/>
      <c r="BD54" s="129"/>
      <c r="BE54" s="130"/>
      <c r="BF54" s="130"/>
      <c r="BG54" s="130"/>
      <c r="BH54" s="130"/>
      <c r="BI54" s="130"/>
      <c r="BJ54" s="131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62" t="str">
        <f>IF(表紙!W1="","",表紙!W1)</f>
        <v>基本設計書</v>
      </c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4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 x14ac:dyDescent="0.25">
      <c r="A2" s="150" t="str">
        <f>IF(表紙!A2="","",表紙!A2)</f>
        <v>POSサーバー</v>
      </c>
      <c r="B2" s="151"/>
      <c r="C2" s="151"/>
      <c r="D2" s="151"/>
      <c r="E2" s="151"/>
      <c r="F2" s="151"/>
      <c r="G2" s="151"/>
      <c r="H2" s="151"/>
      <c r="I2" s="151"/>
      <c r="J2" s="152"/>
      <c r="K2" s="150" t="str">
        <f>IF(表紙!K2="","",表紙!K2)</f>
        <v>POSサーバー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65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7"/>
      <c r="AP2" s="150" t="str">
        <f>IF(表紙!AP2="","",表紙!AP2)</f>
        <v>TuyenNH</v>
      </c>
      <c r="AQ2" s="151"/>
      <c r="AR2" s="151"/>
      <c r="AS2" s="152"/>
      <c r="AT2" s="156">
        <v>45084</v>
      </c>
      <c r="AU2" s="157"/>
      <c r="AV2" s="157"/>
      <c r="AW2" s="157"/>
      <c r="AX2" s="158"/>
      <c r="AY2" s="150" t="str">
        <f>IF(表紙!AY2="","",表紙!AY2)</f>
        <v>TuyenNH</v>
      </c>
      <c r="AZ2" s="151"/>
      <c r="BA2" s="151"/>
      <c r="BB2" s="152"/>
      <c r="BC2" s="156">
        <f>IF(表紙!BC2="","",表紙!BC2)</f>
        <v>45432</v>
      </c>
      <c r="BD2" s="157"/>
      <c r="BE2" s="157"/>
      <c r="BF2" s="157"/>
      <c r="BG2" s="158"/>
      <c r="BH2" s="150">
        <f>IF(表紙!BH2="","",表紙!BH2)</f>
        <v>0.11</v>
      </c>
      <c r="BI2" s="151"/>
      <c r="BJ2" s="151"/>
      <c r="BK2" s="152"/>
    </row>
    <row r="3" spans="1:63" ht="15" customHeight="1" x14ac:dyDescent="0.25">
      <c r="A3" s="153"/>
      <c r="B3" s="154"/>
      <c r="C3" s="154"/>
      <c r="D3" s="154"/>
      <c r="E3" s="154"/>
      <c r="F3" s="154"/>
      <c r="G3" s="154"/>
      <c r="H3" s="154"/>
      <c r="I3" s="154"/>
      <c r="J3" s="155"/>
      <c r="K3" s="153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5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153"/>
      <c r="AQ3" s="154"/>
      <c r="AR3" s="154"/>
      <c r="AS3" s="155"/>
      <c r="AT3" s="159"/>
      <c r="AU3" s="160"/>
      <c r="AV3" s="160"/>
      <c r="AW3" s="160"/>
      <c r="AX3" s="161"/>
      <c r="AY3" s="153"/>
      <c r="AZ3" s="154"/>
      <c r="BA3" s="154"/>
      <c r="BB3" s="155"/>
      <c r="BC3" s="159"/>
      <c r="BD3" s="160"/>
      <c r="BE3" s="160"/>
      <c r="BF3" s="160"/>
      <c r="BG3" s="161"/>
      <c r="BH3" s="153"/>
      <c r="BI3" s="154"/>
      <c r="BJ3" s="154"/>
      <c r="BK3" s="155"/>
    </row>
    <row r="4" spans="1:63" ht="24.95" customHeight="1" x14ac:dyDescent="0.25">
      <c r="A4" s="144" t="s">
        <v>1</v>
      </c>
      <c r="B4" s="145"/>
      <c r="C4" s="145"/>
      <c r="D4" s="145"/>
      <c r="E4" s="145"/>
      <c r="F4" s="145"/>
      <c r="G4" s="146"/>
      <c r="H4" s="147" t="str">
        <f>IF(表紙!H4="","",表紙!H4)</f>
        <v>04_商品採用店舗確認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44" t="s">
        <v>8</v>
      </c>
      <c r="V4" s="145"/>
      <c r="W4" s="145"/>
      <c r="X4" s="145"/>
      <c r="Y4" s="146"/>
      <c r="Z4" s="147" t="str">
        <f>IF(表紙!Z4="","",表紙!Z4)</f>
        <v>概要設計書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t="array" aca="1" ref="AP4" ca="1">RIGHT(CELL("filename",$A$1),LEN(CELL("filename",$A$1))-FIND("]",CELL("filename",$A$1)))</f>
        <v>業務フロー凡例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6"/>
    </row>
    <row r="6" spans="1:63" ht="15" customHeight="1" x14ac:dyDescent="0.25">
      <c r="A6" s="37"/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/>
      <c r="AF6" s="38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  <c r="BJ6" s="39"/>
      <c r="BK6" s="41"/>
    </row>
    <row r="7" spans="1:63" ht="15" customHeight="1" x14ac:dyDescent="0.25">
      <c r="A7" s="37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1"/>
    </row>
    <row r="8" spans="1:63" ht="15" customHeight="1" x14ac:dyDescent="0.25">
      <c r="A8" s="37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40"/>
      <c r="AF8" s="38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40"/>
      <c r="BJ8" s="39"/>
      <c r="BK8" s="41"/>
    </row>
    <row r="9" spans="1:63" ht="15" customHeight="1" x14ac:dyDescent="0.25">
      <c r="A9" s="37"/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40"/>
      <c r="AF9" s="38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40"/>
      <c r="BJ9" s="39"/>
      <c r="BK9" s="41"/>
    </row>
    <row r="10" spans="1:63" ht="15" customHeight="1" x14ac:dyDescent="0.25">
      <c r="A10" s="37"/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40"/>
      <c r="AF10" s="38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40"/>
      <c r="BJ10" s="39"/>
      <c r="BK10" s="41"/>
    </row>
    <row r="11" spans="1:63" ht="15" customHeight="1" x14ac:dyDescent="0.25">
      <c r="A11" s="37"/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40"/>
      <c r="AF11" s="38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40"/>
      <c r="BJ11" s="39"/>
      <c r="BK11" s="41"/>
    </row>
    <row r="12" spans="1:63" ht="15" customHeight="1" x14ac:dyDescent="0.25">
      <c r="A12" s="37"/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40"/>
      <c r="AF12" s="38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40"/>
      <c r="BJ12" s="39"/>
      <c r="BK12" s="41"/>
    </row>
    <row r="13" spans="1:63" ht="15" customHeight="1" x14ac:dyDescent="0.25">
      <c r="A13" s="37"/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40"/>
      <c r="AF13" s="38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40"/>
      <c r="BJ13" s="39"/>
      <c r="BK13" s="41"/>
    </row>
    <row r="14" spans="1:63" ht="15" customHeight="1" x14ac:dyDescent="0.25">
      <c r="A14" s="37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40"/>
      <c r="AF14" s="38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40"/>
      <c r="BJ14" s="39"/>
      <c r="BK14" s="41"/>
    </row>
    <row r="15" spans="1:63" ht="15" customHeight="1" x14ac:dyDescent="0.25">
      <c r="A15" s="37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40"/>
      <c r="AF15" s="38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40"/>
      <c r="BJ15" s="39"/>
      <c r="BK15" s="41"/>
    </row>
    <row r="16" spans="1:63" ht="15" customHeight="1" x14ac:dyDescent="0.25">
      <c r="A16" s="37"/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40"/>
      <c r="AF16" s="38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40"/>
      <c r="BJ16" s="39"/>
      <c r="BK16" s="41"/>
    </row>
    <row r="17" spans="1:63" ht="15" customHeight="1" x14ac:dyDescent="0.25">
      <c r="A17" s="37"/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40"/>
      <c r="AF17" s="38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40"/>
      <c r="BJ17" s="39"/>
      <c r="BK17" s="41"/>
    </row>
    <row r="18" spans="1:63" ht="15" customHeight="1" x14ac:dyDescent="0.25">
      <c r="A18" s="37"/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40"/>
      <c r="AF18" s="38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40"/>
      <c r="BJ18" s="39"/>
      <c r="BK18" s="41"/>
    </row>
    <row r="19" spans="1:63" ht="15" customHeight="1" x14ac:dyDescent="0.25">
      <c r="A19" s="37"/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40"/>
      <c r="AF19" s="38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40"/>
      <c r="BJ19" s="39"/>
      <c r="BK19" s="41"/>
    </row>
    <row r="20" spans="1:63" ht="15" customHeight="1" x14ac:dyDescent="0.25">
      <c r="A20" s="37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40"/>
      <c r="AF20" s="38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40"/>
      <c r="BJ20" s="39"/>
      <c r="BK20" s="41"/>
    </row>
    <row r="21" spans="1:63" ht="15" customHeight="1" x14ac:dyDescent="0.25">
      <c r="A21" s="37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40"/>
      <c r="AF21" s="38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40"/>
      <c r="BJ21" s="39"/>
      <c r="BK21" s="41"/>
    </row>
    <row r="22" spans="1:63" ht="15" customHeight="1" x14ac:dyDescent="0.25">
      <c r="A22" s="37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1"/>
    </row>
    <row r="23" spans="1:63" ht="15" customHeight="1" x14ac:dyDescent="0.25">
      <c r="A23" s="37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40"/>
      <c r="AF23" s="38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40"/>
      <c r="BJ23" s="39"/>
      <c r="BK23" s="41"/>
    </row>
    <row r="24" spans="1:63" ht="15" customHeight="1" x14ac:dyDescent="0.25">
      <c r="A24" s="37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40"/>
      <c r="AF24" s="38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40"/>
      <c r="BJ24" s="39"/>
      <c r="BK24" s="41"/>
    </row>
    <row r="25" spans="1:63" ht="15" customHeight="1" x14ac:dyDescent="0.25">
      <c r="A25" s="37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40"/>
      <c r="AF25" s="38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0"/>
      <c r="BJ25" s="39"/>
      <c r="BK25" s="41"/>
    </row>
    <row r="26" spans="1:63" ht="15" customHeight="1" x14ac:dyDescent="0.25">
      <c r="A26" s="37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40"/>
      <c r="AF26" s="38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39"/>
      <c r="BK26" s="41"/>
    </row>
    <row r="27" spans="1:63" ht="15" customHeight="1" x14ac:dyDescent="0.25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40"/>
      <c r="AF27" s="38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39"/>
      <c r="BK27" s="41"/>
    </row>
    <row r="28" spans="1:63" ht="15" customHeight="1" x14ac:dyDescent="0.25">
      <c r="A28" s="3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40"/>
      <c r="AF28" s="38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40"/>
      <c r="BJ28" s="39"/>
      <c r="BK28" s="41"/>
    </row>
    <row r="29" spans="1:63" ht="15" customHeight="1" x14ac:dyDescent="0.25">
      <c r="A29" s="37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40"/>
      <c r="AF29" s="38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40"/>
      <c r="BJ29" s="39"/>
      <c r="BK29" s="41"/>
    </row>
    <row r="30" spans="1:63" ht="15" customHeight="1" x14ac:dyDescent="0.25">
      <c r="A30" s="37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40"/>
      <c r="AF30" s="38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40"/>
      <c r="BJ30" s="39"/>
      <c r="BK30" s="41"/>
    </row>
    <row r="31" spans="1:63" ht="15" customHeight="1" x14ac:dyDescent="0.25">
      <c r="A31" s="37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40"/>
      <c r="AF31" s="38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40"/>
      <c r="BJ31" s="39"/>
      <c r="BK31" s="41"/>
    </row>
    <row r="32" spans="1:63" ht="15" customHeight="1" x14ac:dyDescent="0.25">
      <c r="A32" s="37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40"/>
      <c r="AF32" s="38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40"/>
      <c r="BJ32" s="39"/>
      <c r="BK32" s="41"/>
    </row>
    <row r="33" spans="1:63" ht="15" customHeight="1" x14ac:dyDescent="0.25">
      <c r="A33" s="37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40"/>
      <c r="AF33" s="38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0"/>
      <c r="BJ33" s="39"/>
      <c r="BK33" s="41"/>
    </row>
    <row r="34" spans="1:63" ht="15" customHeight="1" x14ac:dyDescent="0.25">
      <c r="A34" s="37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40"/>
      <c r="AF34" s="38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0"/>
      <c r="BJ34" s="39"/>
      <c r="BK34" s="41"/>
    </row>
    <row r="35" spans="1:63" ht="15" customHeight="1" x14ac:dyDescent="0.25">
      <c r="A35" s="37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40"/>
      <c r="AF35" s="38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39"/>
      <c r="BK35" s="41"/>
    </row>
    <row r="36" spans="1:63" ht="15" customHeight="1" x14ac:dyDescent="0.25">
      <c r="A36" s="37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40"/>
      <c r="AF36" s="38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39"/>
      <c r="BK36" s="41"/>
    </row>
    <row r="37" spans="1:63" ht="15" customHeight="1" x14ac:dyDescent="0.25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8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40"/>
      <c r="BJ37" s="39"/>
      <c r="BK37" s="41"/>
    </row>
    <row r="38" spans="1:63" ht="15" customHeight="1" x14ac:dyDescent="0.25">
      <c r="A38" s="37"/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8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39"/>
      <c r="BK38" s="41"/>
    </row>
    <row r="39" spans="1:63" ht="15" customHeight="1" x14ac:dyDescent="0.25">
      <c r="A39" s="37"/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8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0"/>
      <c r="BJ39" s="39"/>
      <c r="BK39" s="41"/>
    </row>
    <row r="40" spans="1:63" ht="15" customHeight="1" x14ac:dyDescent="0.25">
      <c r="A40" s="37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8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0"/>
      <c r="BJ40" s="39"/>
      <c r="BK40" s="41"/>
    </row>
    <row r="41" spans="1:63" ht="15" customHeight="1" x14ac:dyDescent="0.25">
      <c r="A41" s="37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8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40"/>
      <c r="BJ41" s="39"/>
      <c r="BK41" s="41"/>
    </row>
    <row r="42" spans="1:63" ht="15" customHeight="1" x14ac:dyDescent="0.25">
      <c r="A42" s="37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1"/>
    </row>
    <row r="43" spans="1:63" ht="15" customHeight="1" x14ac:dyDescent="0.25">
      <c r="A43" s="37"/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40"/>
      <c r="AF43" s="38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40"/>
      <c r="BJ43" s="39"/>
      <c r="BK43" s="41"/>
    </row>
    <row r="44" spans="1:63" ht="15" customHeight="1" x14ac:dyDescent="0.25">
      <c r="A44" s="37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40"/>
      <c r="AF44" s="38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40"/>
      <c r="BJ44" s="39"/>
      <c r="BK44" s="41"/>
    </row>
    <row r="45" spans="1:63" ht="15" customHeight="1" x14ac:dyDescent="0.25">
      <c r="A45" s="37"/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40"/>
      <c r="AF45" s="38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40"/>
      <c r="BJ45" s="39"/>
      <c r="BK45" s="41"/>
    </row>
    <row r="46" spans="1:63" ht="15" customHeight="1" x14ac:dyDescent="0.25">
      <c r="A46" s="37"/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40"/>
      <c r="AF46" s="38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40"/>
      <c r="BJ46" s="39"/>
      <c r="BK46" s="41"/>
    </row>
    <row r="47" spans="1:63" ht="15" customHeight="1" x14ac:dyDescent="0.25">
      <c r="A47" s="37"/>
      <c r="B47" s="38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40"/>
      <c r="AF47" s="38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40"/>
      <c r="BJ47" s="39"/>
      <c r="BK47" s="41"/>
    </row>
    <row r="48" spans="1:63" ht="15" customHeight="1" x14ac:dyDescent="0.25">
      <c r="A48" s="37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40"/>
      <c r="AF48" s="38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40"/>
      <c r="BJ48" s="39"/>
      <c r="BK48" s="41"/>
    </row>
    <row r="49" spans="1:63" ht="15" customHeight="1" x14ac:dyDescent="0.25">
      <c r="A49" s="37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8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40"/>
      <c r="BJ49" s="39"/>
      <c r="BK49" s="41"/>
    </row>
    <row r="50" spans="1:63" ht="15" customHeight="1" x14ac:dyDescent="0.25">
      <c r="A50" s="37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8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40"/>
      <c r="BJ50" s="39"/>
      <c r="BK50" s="41"/>
    </row>
    <row r="51" spans="1:63" ht="15" customHeight="1" x14ac:dyDescent="0.25">
      <c r="A51" s="37"/>
      <c r="B51" s="38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8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39"/>
      <c r="BK51" s="41"/>
    </row>
    <row r="52" spans="1:63" ht="15" customHeight="1" x14ac:dyDescent="0.25">
      <c r="A52" s="37"/>
      <c r="B52" s="38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8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40"/>
      <c r="BJ52" s="39"/>
      <c r="BK52" s="41"/>
    </row>
    <row r="53" spans="1:63" ht="15" customHeight="1" x14ac:dyDescent="0.25">
      <c r="A53" s="37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8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39"/>
      <c r="BK53" s="41"/>
    </row>
    <row r="54" spans="1:63" ht="15" customHeight="1" x14ac:dyDescent="0.25">
      <c r="A54" s="37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8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40"/>
      <c r="BJ54" s="39"/>
      <c r="BK54" s="41"/>
    </row>
    <row r="55" spans="1:63" ht="15" customHeight="1" x14ac:dyDescent="0.25">
      <c r="A55" s="39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40"/>
      <c r="AF55" s="38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39"/>
      <c r="BK55" s="41"/>
    </row>
    <row r="56" spans="1:63" x14ac:dyDescent="0.25">
      <c r="A56" s="39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40"/>
      <c r="AF56" s="38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40"/>
      <c r="BJ56" s="39"/>
      <c r="BK56" s="41"/>
    </row>
    <row r="57" spans="1:63" x14ac:dyDescent="0.25">
      <c r="A57" s="39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40"/>
      <c r="AF57" s="38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39"/>
      <c r="BK57" s="41"/>
    </row>
    <row r="58" spans="1:63" x14ac:dyDescent="0.25">
      <c r="A58" s="39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40"/>
      <c r="AF58" s="38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40"/>
      <c r="BJ58" s="39"/>
      <c r="BK58" s="41"/>
    </row>
    <row r="59" spans="1:63" x14ac:dyDescent="0.25">
      <c r="A59" s="39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40"/>
      <c r="AF59" s="38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39"/>
      <c r="BK59" s="41"/>
    </row>
    <row r="60" spans="1:63" x14ac:dyDescent="0.25">
      <c r="A60" s="39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40"/>
      <c r="AF60" s="38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40"/>
      <c r="BJ60" s="39"/>
      <c r="BK60" s="41"/>
    </row>
    <row r="61" spans="1:63" x14ac:dyDescent="0.25">
      <c r="A61" s="42"/>
      <c r="B61" s="43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4"/>
      <c r="AF61" s="43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4"/>
      <c r="BJ61" s="42"/>
      <c r="BK61" s="4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tabColor rgb="FFFF0000"/>
    <pageSetUpPr fitToPage="1"/>
  </sheetPr>
  <dimension ref="A1:BM56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8" customWidth="1"/>
    <col min="66" max="16384" width="2.77734375" style="18"/>
  </cols>
  <sheetData>
    <row r="1" spans="1:65" ht="24.95" customHeight="1" x14ac:dyDescent="0.25">
      <c r="A1" s="67" t="s">
        <v>34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35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tr">
        <f>IF(表紙!W1="","",表紙!W1)</f>
        <v>基本設計書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5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POSサーバー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5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5" ht="24.95" customHeight="1" x14ac:dyDescent="0.25">
      <c r="A4" s="67" t="s">
        <v>43</v>
      </c>
      <c r="B4" s="68"/>
      <c r="C4" s="68"/>
      <c r="D4" s="68"/>
      <c r="E4" s="68"/>
      <c r="F4" s="68"/>
      <c r="G4" s="69"/>
      <c r="H4" s="88" t="str">
        <f>IF(表紙!H4="","",表紙!H4)</f>
        <v>04_商品採用店舗確認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44</v>
      </c>
      <c r="V4" s="68"/>
      <c r="W4" s="68"/>
      <c r="X4" s="68"/>
      <c r="Y4" s="69"/>
      <c r="Z4" s="88" t="str">
        <f>IF(表紙!Z4="","",表紙!Z4)</f>
        <v>概要設計書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機能概要説明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5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5" ht="15" customHeight="1" x14ac:dyDescent="0.25">
      <c r="A6" s="22"/>
      <c r="BK6" s="23"/>
    </row>
    <row r="7" spans="1:65" ht="15" customHeight="1" x14ac:dyDescent="0.25">
      <c r="A7" s="22"/>
      <c r="C7" s="18" t="s">
        <v>32</v>
      </c>
      <c r="K7" s="46"/>
      <c r="BK7" s="23"/>
      <c r="BM7" s="4">
        <f>IF(BM6=50,1,BM6+1)</f>
        <v>1</v>
      </c>
    </row>
    <row r="8" spans="1:65" ht="15" customHeight="1" x14ac:dyDescent="0.25">
      <c r="A8" s="22"/>
      <c r="D8" s="18" t="s">
        <v>33</v>
      </c>
      <c r="K8" s="46"/>
      <c r="BK8" s="23"/>
      <c r="BM8" s="4">
        <f t="shared" ref="BM8:BM11" si="0">IF(BM7=50,1,BM7+1)</f>
        <v>2</v>
      </c>
    </row>
    <row r="9" spans="1:65" ht="15" customHeight="1" x14ac:dyDescent="0.25">
      <c r="A9" s="22"/>
      <c r="D9" s="47" t="s">
        <v>51</v>
      </c>
      <c r="K9" s="46"/>
      <c r="BK9" s="23"/>
      <c r="BM9" s="4">
        <f t="shared" si="0"/>
        <v>3</v>
      </c>
    </row>
    <row r="10" spans="1:65" ht="15" customHeight="1" x14ac:dyDescent="0.25">
      <c r="A10" s="22"/>
      <c r="K10" s="46"/>
      <c r="BK10" s="23"/>
      <c r="BM10" s="4">
        <f t="shared" si="0"/>
        <v>4</v>
      </c>
    </row>
    <row r="11" spans="1:65" s="46" customFormat="1" ht="15" customHeight="1" x14ac:dyDescent="0.25">
      <c r="A11" s="48"/>
      <c r="D11" s="18"/>
      <c r="BK11" s="49"/>
      <c r="BM11" s="4">
        <f t="shared" si="0"/>
        <v>5</v>
      </c>
    </row>
    <row r="12" spans="1:65" s="46" customFormat="1" ht="15" customHeight="1" x14ac:dyDescent="0.25">
      <c r="A12" s="48"/>
      <c r="BK12" s="49"/>
      <c r="BM12" s="4">
        <f t="shared" ref="BM12:BM13" si="1">IF(BM11=50,1,BM11+1)</f>
        <v>6</v>
      </c>
    </row>
    <row r="13" spans="1:65" s="46" customFormat="1" ht="15" customHeight="1" x14ac:dyDescent="0.25">
      <c r="A13" s="48"/>
      <c r="BK13" s="49"/>
      <c r="BM13" s="4">
        <f t="shared" si="1"/>
        <v>7</v>
      </c>
    </row>
    <row r="14" spans="1:65" s="46" customFormat="1" ht="15" customHeight="1" x14ac:dyDescent="0.25">
      <c r="A14" s="48"/>
      <c r="BK14" s="49"/>
      <c r="BM14" s="4">
        <f t="shared" ref="BM14:BM43" si="2">IF(BM13=50,1,BM13+1)</f>
        <v>8</v>
      </c>
    </row>
    <row r="15" spans="1:65" s="46" customFormat="1" ht="15" customHeight="1" x14ac:dyDescent="0.25">
      <c r="A15" s="48"/>
      <c r="BK15" s="49"/>
      <c r="BM15" s="4">
        <f t="shared" si="2"/>
        <v>9</v>
      </c>
    </row>
    <row r="16" spans="1:65" s="46" customFormat="1" ht="15" customHeight="1" x14ac:dyDescent="0.25">
      <c r="A16" s="48"/>
      <c r="BK16" s="49"/>
      <c r="BM16" s="4">
        <f t="shared" si="2"/>
        <v>10</v>
      </c>
    </row>
    <row r="17" spans="1:65" s="46" customFormat="1" ht="15" customHeight="1" x14ac:dyDescent="0.25">
      <c r="A17" s="48"/>
      <c r="BK17" s="49"/>
      <c r="BM17" s="4">
        <f t="shared" si="2"/>
        <v>11</v>
      </c>
    </row>
    <row r="18" spans="1:65" s="46" customFormat="1" ht="15" customHeight="1" x14ac:dyDescent="0.25">
      <c r="A18" s="48"/>
      <c r="BK18" s="49"/>
      <c r="BM18" s="4">
        <f t="shared" si="2"/>
        <v>12</v>
      </c>
    </row>
    <row r="19" spans="1:65" s="46" customFormat="1" ht="15" customHeight="1" x14ac:dyDescent="0.25">
      <c r="A19" s="48"/>
      <c r="BK19" s="49"/>
      <c r="BM19" s="4">
        <f t="shared" si="2"/>
        <v>13</v>
      </c>
    </row>
    <row r="20" spans="1:65" s="46" customFormat="1" ht="15" customHeight="1" x14ac:dyDescent="0.25">
      <c r="A20" s="48"/>
      <c r="BK20" s="49"/>
      <c r="BM20" s="4">
        <f t="shared" si="2"/>
        <v>14</v>
      </c>
    </row>
    <row r="21" spans="1:65" s="46" customFormat="1" ht="15" customHeight="1" x14ac:dyDescent="0.25">
      <c r="A21" s="48"/>
      <c r="BK21" s="49"/>
      <c r="BM21" s="4">
        <f t="shared" si="2"/>
        <v>15</v>
      </c>
    </row>
    <row r="22" spans="1:65" s="46" customFormat="1" ht="15" customHeight="1" x14ac:dyDescent="0.25">
      <c r="A22" s="48"/>
      <c r="BK22" s="49"/>
      <c r="BM22" s="4">
        <f t="shared" si="2"/>
        <v>16</v>
      </c>
    </row>
    <row r="23" spans="1:65" s="46" customFormat="1" ht="15" customHeight="1" x14ac:dyDescent="0.25">
      <c r="A23" s="48"/>
      <c r="BK23" s="49"/>
      <c r="BM23" s="4">
        <f t="shared" si="2"/>
        <v>17</v>
      </c>
    </row>
    <row r="24" spans="1:65" s="46" customFormat="1" ht="15" customHeight="1" x14ac:dyDescent="0.25">
      <c r="A24" s="48"/>
      <c r="BK24" s="49"/>
      <c r="BM24" s="4">
        <f t="shared" si="2"/>
        <v>18</v>
      </c>
    </row>
    <row r="25" spans="1:65" s="46" customFormat="1" ht="15" customHeight="1" x14ac:dyDescent="0.25">
      <c r="A25" s="48"/>
      <c r="BK25" s="49"/>
      <c r="BM25" s="4">
        <f t="shared" si="2"/>
        <v>19</v>
      </c>
    </row>
    <row r="26" spans="1:65" s="46" customFormat="1" ht="15" customHeight="1" x14ac:dyDescent="0.25">
      <c r="A26" s="48"/>
      <c r="BK26" s="49"/>
      <c r="BM26" s="4">
        <f t="shared" si="2"/>
        <v>20</v>
      </c>
    </row>
    <row r="27" spans="1:65" s="46" customFormat="1" ht="15" customHeight="1" x14ac:dyDescent="0.25">
      <c r="A27" s="48"/>
      <c r="BK27" s="49"/>
      <c r="BM27" s="4">
        <f t="shared" si="2"/>
        <v>21</v>
      </c>
    </row>
    <row r="28" spans="1:65" s="46" customFormat="1" ht="15" customHeight="1" x14ac:dyDescent="0.25">
      <c r="A28" s="48"/>
      <c r="BK28" s="49"/>
      <c r="BM28" s="4">
        <f t="shared" si="2"/>
        <v>22</v>
      </c>
    </row>
    <row r="29" spans="1:65" s="46" customFormat="1" ht="15" customHeight="1" x14ac:dyDescent="0.25">
      <c r="A29" s="48"/>
      <c r="BK29" s="49"/>
      <c r="BM29" s="4">
        <f t="shared" si="2"/>
        <v>23</v>
      </c>
    </row>
    <row r="30" spans="1:65" s="46" customFormat="1" ht="15" customHeight="1" x14ac:dyDescent="0.25">
      <c r="A30" s="48"/>
      <c r="BK30" s="49"/>
      <c r="BM30" s="4">
        <f t="shared" si="2"/>
        <v>24</v>
      </c>
    </row>
    <row r="31" spans="1:65" s="46" customFormat="1" ht="15" customHeight="1" x14ac:dyDescent="0.25">
      <c r="A31" s="48"/>
      <c r="BK31" s="49"/>
      <c r="BM31" s="4">
        <f t="shared" si="2"/>
        <v>25</v>
      </c>
    </row>
    <row r="32" spans="1:65" s="46" customFormat="1" ht="15" customHeight="1" x14ac:dyDescent="0.25">
      <c r="A32" s="48"/>
      <c r="BK32" s="49"/>
      <c r="BM32" s="4">
        <f t="shared" si="2"/>
        <v>26</v>
      </c>
    </row>
    <row r="33" spans="1:65" s="46" customFormat="1" ht="15" customHeight="1" x14ac:dyDescent="0.25">
      <c r="A33" s="48"/>
      <c r="BK33" s="49"/>
      <c r="BM33" s="4">
        <f t="shared" si="2"/>
        <v>27</v>
      </c>
    </row>
    <row r="34" spans="1:65" s="46" customFormat="1" ht="15" customHeight="1" x14ac:dyDescent="0.25">
      <c r="A34" s="48"/>
      <c r="BK34" s="49"/>
      <c r="BM34" s="4">
        <f t="shared" si="2"/>
        <v>28</v>
      </c>
    </row>
    <row r="35" spans="1:65" s="46" customFormat="1" ht="15" customHeight="1" x14ac:dyDescent="0.25">
      <c r="A35" s="48"/>
      <c r="BK35" s="49"/>
      <c r="BM35" s="4">
        <f t="shared" si="2"/>
        <v>29</v>
      </c>
    </row>
    <row r="36" spans="1:65" s="46" customFormat="1" ht="15" customHeight="1" x14ac:dyDescent="0.25">
      <c r="A36" s="48"/>
      <c r="BK36" s="49"/>
      <c r="BM36" s="4">
        <f t="shared" si="2"/>
        <v>30</v>
      </c>
    </row>
    <row r="37" spans="1:65" s="46" customFormat="1" ht="15" customHeight="1" x14ac:dyDescent="0.25">
      <c r="A37" s="48"/>
      <c r="BK37" s="49"/>
      <c r="BM37" s="4">
        <f t="shared" si="2"/>
        <v>31</v>
      </c>
    </row>
    <row r="38" spans="1:65" s="46" customFormat="1" ht="15" customHeight="1" x14ac:dyDescent="0.25">
      <c r="A38" s="48"/>
      <c r="BK38" s="49"/>
      <c r="BM38" s="4">
        <f t="shared" si="2"/>
        <v>32</v>
      </c>
    </row>
    <row r="39" spans="1:65" s="46" customFormat="1" ht="15" customHeight="1" x14ac:dyDescent="0.25">
      <c r="A39" s="48"/>
      <c r="BK39" s="49"/>
      <c r="BM39" s="4">
        <f t="shared" si="2"/>
        <v>33</v>
      </c>
    </row>
    <row r="40" spans="1:65" s="46" customFormat="1" ht="15" customHeight="1" x14ac:dyDescent="0.25">
      <c r="A40" s="48"/>
      <c r="BK40" s="49"/>
      <c r="BM40" s="4">
        <f t="shared" si="2"/>
        <v>34</v>
      </c>
    </row>
    <row r="41" spans="1:65" s="46" customFormat="1" ht="15" customHeight="1" x14ac:dyDescent="0.25">
      <c r="A41" s="48"/>
      <c r="BK41" s="49"/>
      <c r="BM41" s="4">
        <f t="shared" si="2"/>
        <v>35</v>
      </c>
    </row>
    <row r="42" spans="1:65" s="46" customFormat="1" ht="15" customHeight="1" x14ac:dyDescent="0.25">
      <c r="A42" s="48"/>
      <c r="BK42" s="49"/>
      <c r="BM42" s="4">
        <f t="shared" si="2"/>
        <v>36</v>
      </c>
    </row>
    <row r="43" spans="1:65" s="46" customFormat="1" ht="15" customHeight="1" x14ac:dyDescent="0.25">
      <c r="A43" s="48"/>
      <c r="BK43" s="49"/>
      <c r="BM43" s="4">
        <f t="shared" si="2"/>
        <v>37</v>
      </c>
    </row>
    <row r="44" spans="1:65" s="46" customFormat="1" ht="15" customHeight="1" x14ac:dyDescent="0.25">
      <c r="A44" s="48"/>
      <c r="BK44" s="49"/>
      <c r="BM44" s="4">
        <f t="shared" ref="BM44:BM56" si="3">IF(BM43=50,1,BM43+1)</f>
        <v>38</v>
      </c>
    </row>
    <row r="45" spans="1:65" s="46" customFormat="1" ht="15" customHeight="1" x14ac:dyDescent="0.25">
      <c r="A45" s="48"/>
      <c r="BK45" s="49"/>
      <c r="BM45" s="4">
        <f t="shared" si="3"/>
        <v>39</v>
      </c>
    </row>
    <row r="46" spans="1:65" s="46" customFormat="1" ht="15" customHeight="1" x14ac:dyDescent="0.25">
      <c r="A46" s="48"/>
      <c r="BK46" s="49"/>
      <c r="BM46" s="4">
        <f t="shared" si="3"/>
        <v>40</v>
      </c>
    </row>
    <row r="47" spans="1:65" s="46" customFormat="1" ht="15" customHeight="1" x14ac:dyDescent="0.25">
      <c r="A47" s="48"/>
      <c r="BK47" s="49"/>
      <c r="BM47" s="4">
        <f t="shared" si="3"/>
        <v>41</v>
      </c>
    </row>
    <row r="48" spans="1:65" s="46" customFormat="1" ht="15" customHeight="1" x14ac:dyDescent="0.25">
      <c r="A48" s="48"/>
      <c r="BK48" s="49"/>
      <c r="BM48" s="4">
        <f t="shared" si="3"/>
        <v>42</v>
      </c>
    </row>
    <row r="49" spans="1:65" s="46" customFormat="1" ht="15" customHeight="1" x14ac:dyDescent="0.25">
      <c r="A49" s="48"/>
      <c r="BK49" s="49"/>
      <c r="BM49" s="4">
        <f t="shared" si="3"/>
        <v>43</v>
      </c>
    </row>
    <row r="50" spans="1:65" s="46" customFormat="1" ht="15" customHeight="1" x14ac:dyDescent="0.25">
      <c r="A50" s="48"/>
      <c r="BK50" s="49"/>
      <c r="BM50" s="4">
        <f t="shared" si="3"/>
        <v>44</v>
      </c>
    </row>
    <row r="51" spans="1:65" s="46" customFormat="1" ht="15" customHeight="1" x14ac:dyDescent="0.25">
      <c r="A51" s="48"/>
      <c r="BK51" s="49"/>
      <c r="BM51" s="4">
        <f t="shared" si="3"/>
        <v>45</v>
      </c>
    </row>
    <row r="52" spans="1:65" s="46" customFormat="1" ht="15" customHeight="1" x14ac:dyDescent="0.25">
      <c r="A52" s="48"/>
      <c r="BK52" s="49"/>
      <c r="BM52" s="4">
        <f t="shared" si="3"/>
        <v>46</v>
      </c>
    </row>
    <row r="53" spans="1:65" s="46" customFormat="1" ht="15" customHeight="1" x14ac:dyDescent="0.25">
      <c r="A53" s="48"/>
      <c r="BK53" s="49"/>
      <c r="BM53" s="4">
        <f t="shared" si="3"/>
        <v>47</v>
      </c>
    </row>
    <row r="54" spans="1:65" s="46" customFormat="1" ht="15" customHeight="1" x14ac:dyDescent="0.25">
      <c r="A54" s="48"/>
      <c r="BK54" s="49"/>
      <c r="BM54" s="4">
        <f t="shared" si="3"/>
        <v>48</v>
      </c>
    </row>
    <row r="55" spans="1:65" s="46" customFormat="1" ht="15" customHeight="1" x14ac:dyDescent="0.25">
      <c r="A55" s="48"/>
      <c r="BK55" s="49"/>
      <c r="BM55" s="4">
        <f t="shared" si="3"/>
        <v>49</v>
      </c>
    </row>
    <row r="56" spans="1:65" s="46" customFormat="1" ht="15" customHeight="1" x14ac:dyDescent="0.25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2"/>
      <c r="BM56" s="4">
        <f t="shared" si="3"/>
        <v>50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FF0000"/>
    <pageSetUpPr fitToPage="1"/>
  </sheetPr>
  <dimension ref="A1:BO94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7" width="2.77734375" style="18" customWidth="1"/>
    <col min="68" max="16384" width="2.77734375" style="18"/>
  </cols>
  <sheetData>
    <row r="1" spans="1:65" ht="24.95" customHeight="1" x14ac:dyDescent="0.25">
      <c r="A1" s="67" t="s">
        <v>34</v>
      </c>
      <c r="B1" s="68"/>
      <c r="C1" s="68"/>
      <c r="D1" s="68"/>
      <c r="E1" s="68"/>
      <c r="F1" s="68"/>
      <c r="G1" s="68"/>
      <c r="H1" s="68"/>
      <c r="I1" s="68"/>
      <c r="J1" s="69"/>
      <c r="K1" s="67" t="s">
        <v>35</v>
      </c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7" t="str">
        <f>IF(表紙!W1="","",表紙!W1)</f>
        <v>基本設計書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5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POSサーバー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5" ht="15" customHeight="1" x14ac:dyDescent="0.25">
      <c r="A3" s="73"/>
      <c r="B3" s="74"/>
      <c r="C3" s="74"/>
      <c r="D3" s="74"/>
      <c r="E3" s="74"/>
      <c r="F3" s="74"/>
      <c r="G3" s="74"/>
      <c r="H3" s="74"/>
      <c r="I3" s="74"/>
      <c r="J3" s="75"/>
      <c r="K3" s="73"/>
      <c r="L3" s="74"/>
      <c r="M3" s="74"/>
      <c r="N3" s="74"/>
      <c r="O3" s="74"/>
      <c r="P3" s="74"/>
      <c r="Q3" s="74"/>
      <c r="R3" s="74"/>
      <c r="S3" s="74"/>
      <c r="T3" s="74"/>
      <c r="U3" s="74"/>
      <c r="V3" s="75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5" ht="24.95" customHeight="1" x14ac:dyDescent="0.25">
      <c r="A4" s="67" t="s">
        <v>43</v>
      </c>
      <c r="B4" s="68"/>
      <c r="C4" s="68"/>
      <c r="D4" s="68"/>
      <c r="E4" s="68"/>
      <c r="F4" s="68"/>
      <c r="G4" s="69"/>
      <c r="H4" s="88" t="str">
        <f>IF(表紙!H4="","",表紙!H4)</f>
        <v>04_商品採用店舗確認</v>
      </c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  <c r="U4" s="67" t="s">
        <v>44</v>
      </c>
      <c r="V4" s="68"/>
      <c r="W4" s="68"/>
      <c r="X4" s="68"/>
      <c r="Y4" s="69"/>
      <c r="Z4" s="88" t="str">
        <f>IF(表紙!Z4="","",表紙!Z4)</f>
        <v>概要設計書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90"/>
      <c r="AP4" s="88" t="str">
        <f t="array" aca="1" ref="AP4" ca="1">RIGHT(CELL("filename",$A$1),LEN(CELL("filename",$A$1))-FIND("]",CELL("filename",$A$1)))</f>
        <v>機能概要</v>
      </c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90"/>
    </row>
    <row r="5" spans="1:65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5" ht="15" customHeight="1" x14ac:dyDescent="0.25">
      <c r="A6" s="22"/>
      <c r="BK6" s="23"/>
    </row>
    <row r="7" spans="1:65" ht="15" customHeight="1" x14ac:dyDescent="0.25">
      <c r="A7" s="22"/>
      <c r="B7" s="53" t="s">
        <v>73</v>
      </c>
      <c r="C7" s="54"/>
      <c r="D7" s="55"/>
      <c r="E7" s="55"/>
      <c r="F7" s="55"/>
      <c r="G7" s="55"/>
      <c r="H7" s="55"/>
      <c r="I7" s="55"/>
      <c r="J7" s="55"/>
      <c r="K7" s="56"/>
      <c r="L7" s="55"/>
      <c r="M7" s="55"/>
      <c r="N7" s="55"/>
      <c r="O7" s="55"/>
      <c r="P7" s="55"/>
      <c r="Q7" s="55"/>
      <c r="R7" s="55"/>
      <c r="S7" s="55"/>
      <c r="T7" s="56"/>
      <c r="U7" s="54"/>
      <c r="V7" s="55"/>
      <c r="W7" s="55"/>
      <c r="X7" s="55"/>
      <c r="Y7" s="55"/>
      <c r="Z7" s="55"/>
      <c r="AA7" s="55"/>
      <c r="AB7" s="55"/>
      <c r="AC7" s="56"/>
      <c r="AD7" s="54"/>
      <c r="AE7" s="55"/>
      <c r="AF7" s="55"/>
      <c r="AG7" s="55"/>
      <c r="AH7" s="55"/>
      <c r="AI7" s="55"/>
      <c r="AJ7" s="55"/>
      <c r="AK7" s="55"/>
      <c r="AL7" s="56"/>
      <c r="AM7" s="54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6"/>
      <c r="BJ7" s="55"/>
      <c r="BK7" s="23"/>
    </row>
    <row r="8" spans="1:65" ht="15" customHeight="1" x14ac:dyDescent="0.25">
      <c r="A8" s="22"/>
      <c r="B8" s="57"/>
      <c r="K8" s="58"/>
      <c r="U8" s="57"/>
      <c r="AD8" s="57"/>
      <c r="AM8" s="57"/>
      <c r="BI8" s="59"/>
      <c r="BK8" s="23"/>
      <c r="BM8" s="4">
        <f t="shared" ref="BM8:BM71" si="0">IF(BM7=50,1,BM7+1)</f>
        <v>1</v>
      </c>
    </row>
    <row r="9" spans="1:65" ht="15" customHeight="1" x14ac:dyDescent="0.25">
      <c r="A9" s="22"/>
      <c r="B9" s="57"/>
      <c r="K9" s="58"/>
      <c r="U9" s="57"/>
      <c r="AD9" s="57"/>
      <c r="AM9" s="57"/>
      <c r="BI9" s="59"/>
      <c r="BK9" s="23"/>
      <c r="BM9" s="4">
        <f t="shared" si="0"/>
        <v>2</v>
      </c>
    </row>
    <row r="10" spans="1:65" ht="15" customHeight="1" x14ac:dyDescent="0.25">
      <c r="A10" s="22"/>
      <c r="B10" s="57"/>
      <c r="K10" s="58"/>
      <c r="U10" s="57"/>
      <c r="AD10" s="57"/>
      <c r="AM10" s="57"/>
      <c r="BI10" s="59"/>
      <c r="BK10" s="23"/>
      <c r="BM10" s="4">
        <f t="shared" si="0"/>
        <v>3</v>
      </c>
    </row>
    <row r="11" spans="1:65" ht="15" customHeight="1" x14ac:dyDescent="0.25">
      <c r="A11" s="22"/>
      <c r="B11" s="57"/>
      <c r="K11" s="58"/>
      <c r="U11" s="57"/>
      <c r="AD11" s="57"/>
      <c r="AM11" s="57"/>
      <c r="BI11" s="59"/>
      <c r="BK11" s="23"/>
      <c r="BM11" s="4">
        <f t="shared" si="0"/>
        <v>4</v>
      </c>
    </row>
    <row r="12" spans="1:65" ht="15" customHeight="1" x14ac:dyDescent="0.25">
      <c r="A12" s="22"/>
      <c r="B12" s="57"/>
      <c r="K12" s="58"/>
      <c r="U12" s="57"/>
      <c r="AD12" s="57"/>
      <c r="AM12" s="57"/>
      <c r="BI12" s="59"/>
      <c r="BK12" s="23"/>
      <c r="BM12" s="4">
        <f t="shared" si="0"/>
        <v>5</v>
      </c>
    </row>
    <row r="13" spans="1:65" ht="15" customHeight="1" x14ac:dyDescent="0.25">
      <c r="A13" s="22"/>
      <c r="B13" s="57"/>
      <c r="K13" s="58"/>
      <c r="U13" s="57"/>
      <c r="AD13" s="57"/>
      <c r="AM13" s="57"/>
      <c r="BI13" s="59"/>
      <c r="BK13" s="23"/>
      <c r="BM13" s="4">
        <f t="shared" si="0"/>
        <v>6</v>
      </c>
    </row>
    <row r="14" spans="1:65" ht="15" customHeight="1" x14ac:dyDescent="0.25">
      <c r="A14" s="22"/>
      <c r="B14" s="57"/>
      <c r="K14" s="58"/>
      <c r="U14" s="57"/>
      <c r="AD14" s="57"/>
      <c r="AM14" s="57"/>
      <c r="BI14" s="59"/>
      <c r="BK14" s="23"/>
      <c r="BM14" s="4">
        <f t="shared" si="0"/>
        <v>7</v>
      </c>
    </row>
    <row r="15" spans="1:65" ht="15" customHeight="1" x14ac:dyDescent="0.25">
      <c r="A15" s="22"/>
      <c r="B15" s="57"/>
      <c r="K15" s="58"/>
      <c r="U15" s="57"/>
      <c r="AD15" s="57"/>
      <c r="AM15" s="57"/>
      <c r="BI15" s="59"/>
      <c r="BK15" s="23"/>
      <c r="BM15" s="4">
        <f t="shared" si="0"/>
        <v>8</v>
      </c>
    </row>
    <row r="16" spans="1:65" ht="15" customHeight="1" x14ac:dyDescent="0.25">
      <c r="A16" s="22"/>
      <c r="B16" s="57"/>
      <c r="K16" s="58"/>
      <c r="U16" s="57"/>
      <c r="AD16" s="57"/>
      <c r="AM16" s="57"/>
      <c r="BI16" s="59"/>
      <c r="BK16" s="23"/>
      <c r="BM16" s="4">
        <f t="shared" si="0"/>
        <v>9</v>
      </c>
    </row>
    <row r="17" spans="1:65" ht="15" customHeight="1" x14ac:dyDescent="0.25">
      <c r="A17" s="22"/>
      <c r="B17" s="57"/>
      <c r="K17" s="58"/>
      <c r="U17" s="57"/>
      <c r="AD17" s="57"/>
      <c r="AM17" s="57"/>
      <c r="BI17" s="59"/>
      <c r="BK17" s="23"/>
      <c r="BM17" s="4">
        <f t="shared" si="0"/>
        <v>10</v>
      </c>
    </row>
    <row r="18" spans="1:65" ht="15" customHeight="1" x14ac:dyDescent="0.25">
      <c r="A18" s="22"/>
      <c r="B18" s="57"/>
      <c r="K18" s="58"/>
      <c r="U18" s="57"/>
      <c r="AD18" s="57"/>
      <c r="AM18" s="57"/>
      <c r="BI18" s="59"/>
      <c r="BK18" s="23"/>
      <c r="BM18" s="4">
        <f t="shared" si="0"/>
        <v>11</v>
      </c>
    </row>
    <row r="19" spans="1:65" ht="15" customHeight="1" x14ac:dyDescent="0.25">
      <c r="A19" s="22"/>
      <c r="B19" s="57"/>
      <c r="K19" s="58"/>
      <c r="U19" s="57"/>
      <c r="AD19" s="57"/>
      <c r="AM19" s="57"/>
      <c r="BI19" s="59"/>
      <c r="BK19" s="23"/>
      <c r="BM19" s="4">
        <f t="shared" si="0"/>
        <v>12</v>
      </c>
    </row>
    <row r="20" spans="1:65" ht="15" customHeight="1" x14ac:dyDescent="0.25">
      <c r="A20" s="22"/>
      <c r="B20" s="57"/>
      <c r="K20" s="58"/>
      <c r="U20" s="57"/>
      <c r="AD20" s="57"/>
      <c r="AM20" s="57"/>
      <c r="BI20" s="59"/>
      <c r="BK20" s="23"/>
      <c r="BM20" s="4">
        <f t="shared" si="0"/>
        <v>13</v>
      </c>
    </row>
    <row r="21" spans="1:65" ht="15" customHeight="1" x14ac:dyDescent="0.25">
      <c r="A21" s="22"/>
      <c r="B21" s="57"/>
      <c r="K21" s="58"/>
      <c r="U21" s="57"/>
      <c r="AD21" s="57"/>
      <c r="AM21" s="57"/>
      <c r="BI21" s="59"/>
      <c r="BK21" s="23"/>
      <c r="BM21" s="4">
        <f t="shared" si="0"/>
        <v>14</v>
      </c>
    </row>
    <row r="22" spans="1:65" s="46" customFormat="1" ht="15" customHeight="1" x14ac:dyDescent="0.25">
      <c r="A22" s="48"/>
      <c r="B22" s="57"/>
      <c r="K22" s="58"/>
      <c r="L22" s="60"/>
      <c r="T22" s="58"/>
      <c r="U22" s="60"/>
      <c r="AC22" s="58"/>
      <c r="AD22" s="60"/>
      <c r="AL22" s="58"/>
      <c r="AM22" s="60"/>
      <c r="BI22" s="58"/>
      <c r="BK22" s="49"/>
      <c r="BM22" s="4">
        <f t="shared" si="0"/>
        <v>15</v>
      </c>
    </row>
    <row r="23" spans="1:65" s="46" customFormat="1" ht="15" customHeight="1" x14ac:dyDescent="0.25">
      <c r="A23" s="48"/>
      <c r="B23" s="57"/>
      <c r="K23" s="58"/>
      <c r="L23" s="60"/>
      <c r="T23" s="58"/>
      <c r="U23" s="60"/>
      <c r="AC23" s="58"/>
      <c r="AD23" s="60"/>
      <c r="AL23" s="58"/>
      <c r="AM23" s="60"/>
      <c r="BI23" s="58"/>
      <c r="BK23" s="49"/>
      <c r="BM23" s="4">
        <f t="shared" si="0"/>
        <v>16</v>
      </c>
    </row>
    <row r="24" spans="1:65" s="46" customFormat="1" ht="15" customHeight="1" x14ac:dyDescent="0.25">
      <c r="A24" s="48"/>
      <c r="B24" s="57"/>
      <c r="K24" s="58"/>
      <c r="L24" s="60"/>
      <c r="T24" s="58"/>
      <c r="U24" s="60"/>
      <c r="AC24" s="58"/>
      <c r="AD24" s="60"/>
      <c r="AL24" s="58"/>
      <c r="AM24" s="60"/>
      <c r="BI24" s="58"/>
      <c r="BK24" s="49"/>
      <c r="BM24" s="4">
        <f t="shared" si="0"/>
        <v>17</v>
      </c>
    </row>
    <row r="25" spans="1:65" s="46" customFormat="1" ht="15" customHeight="1" x14ac:dyDescent="0.25">
      <c r="A25" s="48"/>
      <c r="B25" s="57"/>
      <c r="K25" s="58"/>
      <c r="L25" s="60"/>
      <c r="T25" s="58"/>
      <c r="U25" s="60"/>
      <c r="AC25" s="58"/>
      <c r="AD25" s="60"/>
      <c r="AL25" s="58"/>
      <c r="AM25" s="60"/>
      <c r="BI25" s="58"/>
      <c r="BK25" s="49"/>
      <c r="BM25" s="4">
        <f t="shared" si="0"/>
        <v>18</v>
      </c>
    </row>
    <row r="26" spans="1:65" s="46" customFormat="1" ht="15" customHeight="1" x14ac:dyDescent="0.25">
      <c r="A26" s="48"/>
      <c r="B26" s="57"/>
      <c r="K26" s="58"/>
      <c r="L26" s="60"/>
      <c r="T26" s="58"/>
      <c r="U26" s="60"/>
      <c r="AC26" s="58"/>
      <c r="AD26" s="60"/>
      <c r="AL26" s="58"/>
      <c r="AM26" s="60"/>
      <c r="BI26" s="58"/>
      <c r="BK26" s="49"/>
      <c r="BM26" s="4">
        <f t="shared" si="0"/>
        <v>19</v>
      </c>
    </row>
    <row r="27" spans="1:65" s="46" customFormat="1" ht="15" customHeight="1" x14ac:dyDescent="0.25">
      <c r="A27" s="48"/>
      <c r="B27" s="57"/>
      <c r="K27" s="58"/>
      <c r="L27" s="60"/>
      <c r="T27" s="58"/>
      <c r="U27" s="60"/>
      <c r="AC27" s="58"/>
      <c r="AD27" s="60"/>
      <c r="AL27" s="58"/>
      <c r="AM27" s="60"/>
      <c r="BI27" s="58"/>
      <c r="BK27" s="49"/>
      <c r="BM27" s="4">
        <f t="shared" si="0"/>
        <v>20</v>
      </c>
    </row>
    <row r="28" spans="1:65" s="46" customFormat="1" ht="15" customHeight="1" x14ac:dyDescent="0.25">
      <c r="A28" s="48"/>
      <c r="B28" s="57"/>
      <c r="K28" s="58"/>
      <c r="L28" s="60"/>
      <c r="T28" s="58"/>
      <c r="U28" s="60"/>
      <c r="AC28" s="58"/>
      <c r="AD28" s="60"/>
      <c r="AL28" s="58"/>
      <c r="AM28" s="60"/>
      <c r="BI28" s="58"/>
      <c r="BK28" s="49"/>
      <c r="BM28" s="4">
        <f t="shared" si="0"/>
        <v>21</v>
      </c>
    </row>
    <row r="29" spans="1:65" s="46" customFormat="1" ht="15" customHeight="1" x14ac:dyDescent="0.25">
      <c r="A29" s="48"/>
      <c r="B29" s="57"/>
      <c r="K29" s="58"/>
      <c r="L29" s="60"/>
      <c r="T29" s="58"/>
      <c r="U29" s="60"/>
      <c r="AC29" s="58"/>
      <c r="AD29" s="60"/>
      <c r="AL29" s="58"/>
      <c r="AM29" s="60"/>
      <c r="BI29" s="58"/>
      <c r="BK29" s="49"/>
      <c r="BM29" s="4">
        <f t="shared" si="0"/>
        <v>22</v>
      </c>
    </row>
    <row r="30" spans="1:65" s="46" customFormat="1" ht="15" customHeight="1" x14ac:dyDescent="0.25">
      <c r="A30" s="48"/>
      <c r="B30" s="57"/>
      <c r="K30" s="58"/>
      <c r="L30" s="60"/>
      <c r="T30" s="58"/>
      <c r="U30" s="60"/>
      <c r="AC30" s="58"/>
      <c r="AD30" s="60"/>
      <c r="AL30" s="58"/>
      <c r="AM30" s="60"/>
      <c r="BI30" s="58"/>
      <c r="BK30" s="49"/>
      <c r="BM30" s="4">
        <f t="shared" si="0"/>
        <v>23</v>
      </c>
    </row>
    <row r="31" spans="1:65" s="46" customFormat="1" ht="15" customHeight="1" x14ac:dyDescent="0.25">
      <c r="A31" s="48"/>
      <c r="B31" s="57"/>
      <c r="K31" s="58"/>
      <c r="L31" s="60"/>
      <c r="T31" s="58"/>
      <c r="U31" s="60"/>
      <c r="AC31" s="58"/>
      <c r="AD31" s="60"/>
      <c r="AL31" s="58"/>
      <c r="AM31" s="60"/>
      <c r="BI31" s="58"/>
      <c r="BK31" s="49"/>
      <c r="BM31" s="4">
        <f t="shared" si="0"/>
        <v>24</v>
      </c>
    </row>
    <row r="32" spans="1:65" s="46" customFormat="1" ht="15" customHeight="1" x14ac:dyDescent="0.25">
      <c r="A32" s="48"/>
      <c r="B32" s="57"/>
      <c r="K32" s="58"/>
      <c r="L32" s="60"/>
      <c r="T32" s="58"/>
      <c r="U32" s="60"/>
      <c r="AC32" s="58"/>
      <c r="AD32" s="60"/>
      <c r="AL32" s="58"/>
      <c r="AM32" s="60"/>
      <c r="BI32" s="58"/>
      <c r="BK32" s="49"/>
      <c r="BM32" s="4">
        <f t="shared" si="0"/>
        <v>25</v>
      </c>
    </row>
    <row r="33" spans="1:67" s="46" customFormat="1" ht="15" customHeight="1" x14ac:dyDescent="0.25">
      <c r="A33" s="48"/>
      <c r="B33" s="57"/>
      <c r="K33" s="58"/>
      <c r="L33" s="60"/>
      <c r="T33" s="58"/>
      <c r="U33" s="60"/>
      <c r="AC33" s="58"/>
      <c r="AD33" s="60"/>
      <c r="AL33" s="58"/>
      <c r="AM33" s="60"/>
      <c r="BI33" s="58"/>
      <c r="BK33" s="49"/>
      <c r="BM33" s="4">
        <f t="shared" si="0"/>
        <v>26</v>
      </c>
    </row>
    <row r="34" spans="1:67" s="46" customFormat="1" ht="15" customHeight="1" x14ac:dyDescent="0.25">
      <c r="A34" s="48"/>
      <c r="B34" s="57"/>
      <c r="K34" s="58"/>
      <c r="L34" s="60"/>
      <c r="T34" s="58"/>
      <c r="U34" s="60"/>
      <c r="AC34" s="58"/>
      <c r="AD34" s="60"/>
      <c r="AL34" s="58"/>
      <c r="AM34" s="60"/>
      <c r="BI34" s="58"/>
      <c r="BK34" s="49"/>
      <c r="BM34" s="4">
        <f t="shared" si="0"/>
        <v>27</v>
      </c>
    </row>
    <row r="35" spans="1:67" s="46" customFormat="1" ht="15" customHeight="1" x14ac:dyDescent="0.25">
      <c r="A35" s="48"/>
      <c r="B35" s="57"/>
      <c r="K35" s="58"/>
      <c r="L35" s="60"/>
      <c r="T35" s="58"/>
      <c r="U35" s="60"/>
      <c r="AC35" s="58"/>
      <c r="AD35" s="60"/>
      <c r="AL35" s="58"/>
      <c r="AM35" s="60"/>
      <c r="BI35" s="58"/>
      <c r="BK35" s="49"/>
      <c r="BM35" s="4">
        <f t="shared" si="0"/>
        <v>28</v>
      </c>
    </row>
    <row r="36" spans="1:67" s="46" customFormat="1" ht="15" customHeight="1" x14ac:dyDescent="0.25">
      <c r="A36" s="48"/>
      <c r="B36" s="57"/>
      <c r="K36" s="58"/>
      <c r="L36" s="60"/>
      <c r="T36" s="58"/>
      <c r="U36" s="60"/>
      <c r="AC36" s="58"/>
      <c r="AD36" s="60"/>
      <c r="AL36" s="58"/>
      <c r="AM36" s="60"/>
      <c r="BI36" s="58"/>
      <c r="BK36" s="49"/>
      <c r="BM36" s="4">
        <f t="shared" si="0"/>
        <v>29</v>
      </c>
    </row>
    <row r="37" spans="1:67" s="46" customFormat="1" ht="15" customHeight="1" x14ac:dyDescent="0.25">
      <c r="A37" s="48"/>
      <c r="B37" s="57"/>
      <c r="K37" s="58"/>
      <c r="L37" s="60"/>
      <c r="T37" s="58"/>
      <c r="U37" s="60"/>
      <c r="AC37" s="58"/>
      <c r="AD37" s="60"/>
      <c r="AL37" s="58"/>
      <c r="AM37" s="60"/>
      <c r="BI37" s="58"/>
      <c r="BK37" s="49"/>
      <c r="BM37" s="4">
        <f t="shared" si="0"/>
        <v>30</v>
      </c>
    </row>
    <row r="38" spans="1:67" s="46" customFormat="1" ht="15" customHeight="1" x14ac:dyDescent="0.25">
      <c r="A38" s="48"/>
      <c r="B38" s="57"/>
      <c r="K38" s="58"/>
      <c r="L38" s="60"/>
      <c r="T38" s="58"/>
      <c r="U38" s="60"/>
      <c r="AC38" s="58"/>
      <c r="AD38" s="60"/>
      <c r="AL38" s="58"/>
      <c r="AM38" s="60"/>
      <c r="BI38" s="58"/>
      <c r="BK38" s="49"/>
      <c r="BM38" s="4">
        <f t="shared" si="0"/>
        <v>31</v>
      </c>
    </row>
    <row r="39" spans="1:67" s="46" customFormat="1" ht="15" customHeight="1" x14ac:dyDescent="0.25">
      <c r="A39" s="48"/>
      <c r="B39" s="57"/>
      <c r="K39" s="58"/>
      <c r="L39" s="60"/>
      <c r="T39" s="58"/>
      <c r="U39" s="60"/>
      <c r="AC39" s="58"/>
      <c r="AD39" s="60"/>
      <c r="AL39" s="58"/>
      <c r="AM39" s="60"/>
      <c r="BI39" s="58"/>
      <c r="BK39" s="49"/>
      <c r="BM39" s="4">
        <f t="shared" si="0"/>
        <v>32</v>
      </c>
    </row>
    <row r="40" spans="1:67" s="46" customFormat="1" ht="15" customHeight="1" x14ac:dyDescent="0.25">
      <c r="A40" s="48"/>
      <c r="B40" s="57"/>
      <c r="K40" s="58"/>
      <c r="L40" s="60"/>
      <c r="T40" s="58"/>
      <c r="U40" s="60"/>
      <c r="AC40" s="58"/>
      <c r="AD40" s="60"/>
      <c r="AL40" s="58"/>
      <c r="AM40" s="60"/>
      <c r="BI40" s="58"/>
      <c r="BK40" s="49"/>
      <c r="BM40" s="4">
        <f t="shared" si="0"/>
        <v>33</v>
      </c>
    </row>
    <row r="41" spans="1:67" s="46" customFormat="1" ht="15" customHeight="1" x14ac:dyDescent="0.25">
      <c r="A41" s="48"/>
      <c r="B41" s="57"/>
      <c r="K41" s="58"/>
      <c r="L41" s="60"/>
      <c r="T41" s="58"/>
      <c r="U41" s="60"/>
      <c r="AC41" s="58"/>
      <c r="AD41" s="60"/>
      <c r="AL41" s="58"/>
      <c r="AM41" s="60"/>
      <c r="BI41" s="58"/>
      <c r="BK41" s="49"/>
      <c r="BM41" s="4">
        <f t="shared" si="0"/>
        <v>34</v>
      </c>
      <c r="BO41" s="61" t="s">
        <v>52</v>
      </c>
    </row>
    <row r="42" spans="1:67" s="46" customFormat="1" ht="15" customHeight="1" x14ac:dyDescent="0.25">
      <c r="A42" s="48"/>
      <c r="B42" s="57"/>
      <c r="K42" s="58"/>
      <c r="L42" s="60"/>
      <c r="T42" s="58"/>
      <c r="U42" s="60"/>
      <c r="AC42" s="58"/>
      <c r="AD42" s="60"/>
      <c r="AL42" s="58"/>
      <c r="AM42" s="60"/>
      <c r="BI42" s="58"/>
      <c r="BK42" s="49"/>
      <c r="BM42" s="4">
        <f t="shared" si="0"/>
        <v>35</v>
      </c>
    </row>
    <row r="43" spans="1:67" s="46" customFormat="1" ht="15" customHeight="1" x14ac:dyDescent="0.25">
      <c r="A43" s="48"/>
      <c r="B43" s="57"/>
      <c r="K43" s="58"/>
      <c r="L43" s="60"/>
      <c r="T43" s="58"/>
      <c r="U43" s="60"/>
      <c r="AC43" s="58"/>
      <c r="AD43" s="60"/>
      <c r="AL43" s="58"/>
      <c r="AM43" s="60"/>
      <c r="BI43" s="58"/>
      <c r="BK43" s="49"/>
      <c r="BM43" s="4">
        <f t="shared" si="0"/>
        <v>36</v>
      </c>
    </row>
    <row r="44" spans="1:67" s="46" customFormat="1" ht="15" customHeight="1" x14ac:dyDescent="0.25">
      <c r="A44" s="48"/>
      <c r="B44" s="57"/>
      <c r="K44" s="58"/>
      <c r="L44" s="60"/>
      <c r="T44" s="58"/>
      <c r="U44" s="60"/>
      <c r="AC44" s="58"/>
      <c r="AD44" s="60"/>
      <c r="AL44" s="58"/>
      <c r="AM44" s="60"/>
      <c r="BI44" s="58"/>
      <c r="BK44" s="49"/>
      <c r="BM44" s="4">
        <f t="shared" si="0"/>
        <v>37</v>
      </c>
    </row>
    <row r="45" spans="1:67" s="46" customFormat="1" ht="15" customHeight="1" x14ac:dyDescent="0.25">
      <c r="A45" s="48"/>
      <c r="B45" s="60"/>
      <c r="K45" s="58"/>
      <c r="L45" s="60"/>
      <c r="T45" s="58"/>
      <c r="U45" s="60"/>
      <c r="AC45" s="58"/>
      <c r="AD45" s="60"/>
      <c r="AL45" s="58"/>
      <c r="AM45" s="60"/>
      <c r="BI45" s="58"/>
      <c r="BK45" s="49"/>
      <c r="BM45" s="4">
        <f t="shared" si="0"/>
        <v>38</v>
      </c>
    </row>
    <row r="46" spans="1:67" s="46" customFormat="1" ht="15" customHeight="1" x14ac:dyDescent="0.25">
      <c r="A46" s="48"/>
      <c r="B46" s="60"/>
      <c r="K46" s="58"/>
      <c r="L46" s="60"/>
      <c r="T46" s="58"/>
      <c r="U46" s="60"/>
      <c r="AC46" s="58"/>
      <c r="AD46" s="60"/>
      <c r="AL46" s="58"/>
      <c r="AM46" s="60"/>
      <c r="BI46" s="58"/>
      <c r="BK46" s="49"/>
      <c r="BM46" s="4">
        <f t="shared" si="0"/>
        <v>39</v>
      </c>
    </row>
    <row r="47" spans="1:67" s="46" customFormat="1" ht="15" customHeight="1" x14ac:dyDescent="0.25">
      <c r="A47" s="48"/>
      <c r="B47" s="60"/>
      <c r="K47" s="58"/>
      <c r="L47" s="60"/>
      <c r="T47" s="58"/>
      <c r="U47" s="60"/>
      <c r="AC47" s="58"/>
      <c r="AL47" s="58"/>
      <c r="AM47" s="60"/>
      <c r="BI47" s="58"/>
      <c r="BK47" s="49"/>
      <c r="BM47" s="4">
        <f t="shared" si="0"/>
        <v>40</v>
      </c>
    </row>
    <row r="48" spans="1:67" s="46" customFormat="1" ht="15" customHeight="1" x14ac:dyDescent="0.25">
      <c r="A48" s="48"/>
      <c r="B48" s="60"/>
      <c r="K48" s="58"/>
      <c r="L48" s="60"/>
      <c r="T48" s="58"/>
      <c r="U48" s="60"/>
      <c r="AC48" s="58"/>
      <c r="AD48" s="60"/>
      <c r="AL48" s="58"/>
      <c r="AM48" s="60"/>
      <c r="BI48" s="58"/>
      <c r="BK48" s="49"/>
      <c r="BM48" s="4">
        <f t="shared" si="0"/>
        <v>41</v>
      </c>
    </row>
    <row r="49" spans="1:67" s="46" customFormat="1" ht="15" customHeight="1" x14ac:dyDescent="0.25">
      <c r="A49" s="48"/>
      <c r="B49" s="60"/>
      <c r="K49" s="58"/>
      <c r="L49" s="60"/>
      <c r="T49" s="58"/>
      <c r="U49" s="60"/>
      <c r="AC49" s="58"/>
      <c r="AD49" s="60"/>
      <c r="AL49" s="58"/>
      <c r="AM49" s="60"/>
      <c r="BI49" s="58"/>
      <c r="BK49" s="49"/>
      <c r="BM49" s="4">
        <f t="shared" si="0"/>
        <v>42</v>
      </c>
    </row>
    <row r="50" spans="1:67" s="46" customFormat="1" ht="15" customHeight="1" x14ac:dyDescent="0.25">
      <c r="A50" s="48"/>
      <c r="B50" s="60"/>
      <c r="K50" s="58"/>
      <c r="L50" s="60"/>
      <c r="T50" s="58"/>
      <c r="U50" s="60"/>
      <c r="AC50" s="58"/>
      <c r="AD50" s="60"/>
      <c r="AL50" s="58"/>
      <c r="AM50" s="60"/>
      <c r="BI50" s="58"/>
      <c r="BK50" s="49"/>
      <c r="BM50" s="4">
        <f t="shared" si="0"/>
        <v>43</v>
      </c>
    </row>
    <row r="51" spans="1:67" s="46" customFormat="1" ht="15" customHeight="1" x14ac:dyDescent="0.25">
      <c r="A51" s="48"/>
      <c r="B51" s="60"/>
      <c r="K51" s="58"/>
      <c r="L51" s="60"/>
      <c r="T51" s="58"/>
      <c r="U51" s="60"/>
      <c r="AC51" s="58"/>
      <c r="AD51" s="60"/>
      <c r="AL51" s="58"/>
      <c r="AM51" s="60"/>
      <c r="BI51" s="58"/>
      <c r="BK51" s="49"/>
      <c r="BM51" s="4">
        <f t="shared" si="0"/>
        <v>44</v>
      </c>
    </row>
    <row r="52" spans="1:67" s="46" customFormat="1" ht="15" customHeight="1" x14ac:dyDescent="0.25">
      <c r="A52" s="48"/>
      <c r="B52" s="60"/>
      <c r="K52" s="58"/>
      <c r="L52" s="60"/>
      <c r="T52" s="58"/>
      <c r="U52" s="60"/>
      <c r="AC52" s="58"/>
      <c r="AD52" s="60"/>
      <c r="AL52" s="58"/>
      <c r="AM52" s="60"/>
      <c r="BI52" s="58"/>
      <c r="BK52" s="49"/>
      <c r="BM52" s="4">
        <f t="shared" si="0"/>
        <v>45</v>
      </c>
    </row>
    <row r="53" spans="1:67" s="46" customFormat="1" ht="15" customHeight="1" x14ac:dyDescent="0.25">
      <c r="A53" s="48"/>
      <c r="B53" s="60"/>
      <c r="K53" s="58"/>
      <c r="L53" s="60"/>
      <c r="T53" s="58"/>
      <c r="U53" s="60"/>
      <c r="AC53" s="58"/>
      <c r="AD53" s="60"/>
      <c r="AL53" s="58"/>
      <c r="AM53" s="60"/>
      <c r="BI53" s="58"/>
      <c r="BK53" s="49"/>
      <c r="BM53" s="4">
        <f t="shared" si="0"/>
        <v>46</v>
      </c>
    </row>
    <row r="54" spans="1:67" s="46" customFormat="1" ht="15" customHeight="1" x14ac:dyDescent="0.25">
      <c r="A54" s="48"/>
      <c r="B54" s="60"/>
      <c r="K54" s="58"/>
      <c r="L54" s="60"/>
      <c r="T54" s="58"/>
      <c r="U54" s="60"/>
      <c r="AC54" s="58"/>
      <c r="AD54" s="60"/>
      <c r="AL54" s="58"/>
      <c r="AM54" s="60"/>
      <c r="BI54" s="58"/>
      <c r="BK54" s="49"/>
      <c r="BM54" s="4">
        <f t="shared" si="0"/>
        <v>47</v>
      </c>
    </row>
    <row r="55" spans="1:67" s="46" customFormat="1" ht="15" customHeight="1" x14ac:dyDescent="0.25">
      <c r="A55" s="48"/>
      <c r="B55" s="60"/>
      <c r="K55" s="58"/>
      <c r="L55" s="60"/>
      <c r="T55" s="58"/>
      <c r="U55" s="60"/>
      <c r="AC55" s="58"/>
      <c r="AD55" s="60"/>
      <c r="AL55" s="58"/>
      <c r="AM55" s="60"/>
      <c r="BI55" s="58"/>
      <c r="BK55" s="49"/>
      <c r="BM55" s="4">
        <f t="shared" si="0"/>
        <v>48</v>
      </c>
    </row>
    <row r="56" spans="1:67" s="46" customFormat="1" ht="15" customHeight="1" x14ac:dyDescent="0.25">
      <c r="A56" s="48"/>
      <c r="B56" s="60"/>
      <c r="K56" s="58"/>
      <c r="L56" s="60"/>
      <c r="T56" s="58"/>
      <c r="U56" s="60"/>
      <c r="AC56" s="58"/>
      <c r="AD56" s="60"/>
      <c r="AL56" s="58"/>
      <c r="AM56" s="60"/>
      <c r="BI56" s="58"/>
      <c r="BK56" s="49"/>
      <c r="BM56" s="4">
        <f t="shared" si="0"/>
        <v>49</v>
      </c>
      <c r="BO56" s="61" t="s">
        <v>53</v>
      </c>
    </row>
    <row r="57" spans="1:67" s="46" customFormat="1" ht="15" customHeight="1" x14ac:dyDescent="0.25">
      <c r="A57" s="48"/>
      <c r="B57" s="60"/>
      <c r="K57" s="58"/>
      <c r="L57" s="60"/>
      <c r="T57" s="58"/>
      <c r="U57" s="60"/>
      <c r="AC57" s="58"/>
      <c r="AD57" s="60"/>
      <c r="AL57" s="58"/>
      <c r="AM57" s="60"/>
      <c r="BI57" s="58"/>
      <c r="BK57" s="49"/>
      <c r="BM57" s="4">
        <f t="shared" si="0"/>
        <v>50</v>
      </c>
    </row>
    <row r="58" spans="1:67" s="46" customFormat="1" ht="15" customHeight="1" x14ac:dyDescent="0.25">
      <c r="A58" s="48"/>
      <c r="B58" s="60"/>
      <c r="K58" s="58"/>
      <c r="L58" s="60"/>
      <c r="T58" s="58"/>
      <c r="U58" s="60"/>
      <c r="AC58" s="58"/>
      <c r="AD58" s="60"/>
      <c r="AL58" s="58"/>
      <c r="AM58" s="60"/>
      <c r="BI58" s="58"/>
      <c r="BK58" s="49"/>
      <c r="BM58" s="4">
        <f t="shared" si="0"/>
        <v>1</v>
      </c>
    </row>
    <row r="59" spans="1:67" s="46" customFormat="1" ht="15" customHeight="1" x14ac:dyDescent="0.25">
      <c r="A59" s="48"/>
      <c r="B59" s="60"/>
      <c r="K59" s="58"/>
      <c r="L59" s="60"/>
      <c r="T59" s="58"/>
      <c r="U59" s="60"/>
      <c r="AC59" s="58"/>
      <c r="AD59" s="60"/>
      <c r="AL59" s="58"/>
      <c r="AM59" s="60"/>
      <c r="BI59" s="58"/>
      <c r="BK59" s="49"/>
      <c r="BM59" s="4">
        <f t="shared" si="0"/>
        <v>2</v>
      </c>
    </row>
    <row r="60" spans="1:67" s="46" customFormat="1" ht="15" customHeight="1" x14ac:dyDescent="0.25">
      <c r="A60" s="48"/>
      <c r="B60" s="60"/>
      <c r="K60" s="58"/>
      <c r="L60" s="60"/>
      <c r="T60" s="58"/>
      <c r="U60" s="60"/>
      <c r="AC60" s="58"/>
      <c r="AD60" s="60"/>
      <c r="AL60" s="58"/>
      <c r="AM60" s="60"/>
      <c r="BI60" s="58"/>
      <c r="BK60" s="49"/>
      <c r="BM60" s="4">
        <f t="shared" si="0"/>
        <v>3</v>
      </c>
    </row>
    <row r="61" spans="1:67" s="46" customFormat="1" ht="15" customHeight="1" x14ac:dyDescent="0.25">
      <c r="A61" s="48"/>
      <c r="B61" s="60"/>
      <c r="K61" s="58"/>
      <c r="L61" s="60"/>
      <c r="T61" s="58"/>
      <c r="U61" s="60"/>
      <c r="AC61" s="58"/>
      <c r="AD61" s="60"/>
      <c r="AL61" s="58"/>
      <c r="AM61" s="60"/>
      <c r="BI61" s="58"/>
      <c r="BK61" s="49"/>
      <c r="BM61" s="4">
        <f t="shared" si="0"/>
        <v>4</v>
      </c>
    </row>
    <row r="62" spans="1:67" ht="15" customHeight="1" x14ac:dyDescent="0.25">
      <c r="A62" s="48"/>
      <c r="B62" s="60"/>
      <c r="C62" s="46"/>
      <c r="D62" s="46"/>
      <c r="E62" s="46"/>
      <c r="F62" s="46"/>
      <c r="G62" s="46"/>
      <c r="H62" s="46"/>
      <c r="I62" s="46"/>
      <c r="J62" s="46"/>
      <c r="K62" s="58"/>
      <c r="L62" s="60"/>
      <c r="M62" s="46"/>
      <c r="N62" s="46"/>
      <c r="O62" s="46"/>
      <c r="P62" s="46"/>
      <c r="Q62" s="46"/>
      <c r="R62" s="46"/>
      <c r="S62" s="46"/>
      <c r="T62" s="58"/>
      <c r="U62" s="60"/>
      <c r="V62" s="46"/>
      <c r="W62" s="46"/>
      <c r="X62" s="46"/>
      <c r="Y62" s="46"/>
      <c r="Z62" s="46"/>
      <c r="AA62" s="46"/>
      <c r="AB62" s="46"/>
      <c r="AC62" s="58"/>
      <c r="AD62" s="60"/>
      <c r="AE62" s="46"/>
      <c r="AF62" s="46"/>
      <c r="AG62" s="46"/>
      <c r="AH62" s="46"/>
      <c r="AI62" s="46"/>
      <c r="AJ62" s="46"/>
      <c r="AK62" s="46"/>
      <c r="AL62" s="58"/>
      <c r="AM62" s="60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58"/>
      <c r="BJ62" s="46"/>
      <c r="BK62" s="49"/>
      <c r="BM62" s="4">
        <f t="shared" si="0"/>
        <v>5</v>
      </c>
    </row>
    <row r="63" spans="1:67" ht="15" customHeight="1" x14ac:dyDescent="0.25">
      <c r="A63" s="48"/>
      <c r="B63" s="60"/>
      <c r="C63" s="46"/>
      <c r="D63" s="46"/>
      <c r="E63" s="46"/>
      <c r="F63" s="46"/>
      <c r="G63" s="46"/>
      <c r="H63" s="46"/>
      <c r="I63" s="46"/>
      <c r="J63" s="46"/>
      <c r="K63" s="58"/>
      <c r="L63" s="60"/>
      <c r="M63" s="46"/>
      <c r="N63" s="46"/>
      <c r="O63" s="46"/>
      <c r="P63" s="46"/>
      <c r="Q63" s="46"/>
      <c r="R63" s="46"/>
      <c r="S63" s="46"/>
      <c r="T63" s="58"/>
      <c r="U63" s="60"/>
      <c r="V63" s="46"/>
      <c r="W63" s="46"/>
      <c r="X63" s="46"/>
      <c r="Y63" s="46"/>
      <c r="Z63" s="46"/>
      <c r="AA63" s="46"/>
      <c r="AB63" s="46"/>
      <c r="AC63" s="58"/>
      <c r="AD63" s="60"/>
      <c r="AE63" s="46"/>
      <c r="AF63" s="46"/>
      <c r="AG63" s="46"/>
      <c r="AH63" s="46"/>
      <c r="AI63" s="46"/>
      <c r="AJ63" s="46"/>
      <c r="AK63" s="46"/>
      <c r="AL63" s="58"/>
      <c r="AM63" s="60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58"/>
      <c r="BJ63" s="46"/>
      <c r="BK63" s="49"/>
      <c r="BM63" s="4">
        <f t="shared" si="0"/>
        <v>6</v>
      </c>
    </row>
    <row r="64" spans="1:67" ht="15" customHeight="1" x14ac:dyDescent="0.25">
      <c r="A64" s="48"/>
      <c r="B64" s="60"/>
      <c r="C64" s="46"/>
      <c r="D64" s="46"/>
      <c r="E64" s="46"/>
      <c r="F64" s="46"/>
      <c r="G64" s="46"/>
      <c r="H64" s="46"/>
      <c r="I64" s="46"/>
      <c r="J64" s="46"/>
      <c r="K64" s="58"/>
      <c r="L64" s="60"/>
      <c r="M64" s="46"/>
      <c r="N64" s="46"/>
      <c r="O64" s="46"/>
      <c r="P64" s="46"/>
      <c r="Q64" s="46"/>
      <c r="R64" s="46"/>
      <c r="S64" s="46"/>
      <c r="T64" s="58"/>
      <c r="U64" s="60"/>
      <c r="V64" s="46"/>
      <c r="W64" s="46"/>
      <c r="X64" s="46"/>
      <c r="Y64" s="46"/>
      <c r="Z64" s="46"/>
      <c r="AA64" s="46"/>
      <c r="AB64" s="46"/>
      <c r="AC64" s="58"/>
      <c r="AD64" s="60"/>
      <c r="AE64" s="46"/>
      <c r="AF64" s="46"/>
      <c r="AG64" s="46"/>
      <c r="AH64" s="46"/>
      <c r="AI64" s="46"/>
      <c r="AJ64" s="46"/>
      <c r="AK64" s="46"/>
      <c r="AL64" s="58"/>
      <c r="AM64" s="60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58"/>
      <c r="BJ64" s="46"/>
      <c r="BK64" s="49"/>
      <c r="BM64" s="4">
        <f t="shared" si="0"/>
        <v>7</v>
      </c>
    </row>
    <row r="65" spans="1:65" ht="15" customHeight="1" x14ac:dyDescent="0.25">
      <c r="A65" s="48"/>
      <c r="B65" s="60"/>
      <c r="C65" s="46"/>
      <c r="D65" s="46"/>
      <c r="E65" s="46"/>
      <c r="F65" s="46"/>
      <c r="G65" s="46"/>
      <c r="H65" s="46"/>
      <c r="I65" s="46"/>
      <c r="J65" s="46"/>
      <c r="K65" s="58"/>
      <c r="L65" s="60"/>
      <c r="M65" s="46"/>
      <c r="N65" s="46"/>
      <c r="O65" s="46"/>
      <c r="P65" s="46"/>
      <c r="Q65" s="46"/>
      <c r="R65" s="46"/>
      <c r="S65" s="46"/>
      <c r="T65" s="58"/>
      <c r="U65" s="60"/>
      <c r="V65" s="46"/>
      <c r="W65" s="46"/>
      <c r="X65" s="46"/>
      <c r="Y65" s="46"/>
      <c r="Z65" s="46"/>
      <c r="AA65" s="46"/>
      <c r="AB65" s="46"/>
      <c r="AC65" s="58"/>
      <c r="AD65" s="60"/>
      <c r="AE65" s="46"/>
      <c r="AF65" s="46"/>
      <c r="AG65" s="46"/>
      <c r="AH65" s="46"/>
      <c r="AI65" s="46"/>
      <c r="AJ65" s="46"/>
      <c r="AK65" s="46"/>
      <c r="AL65" s="58"/>
      <c r="AM65" s="60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58"/>
      <c r="BJ65" s="46"/>
      <c r="BK65" s="49"/>
      <c r="BM65" s="4">
        <f t="shared" si="0"/>
        <v>8</v>
      </c>
    </row>
    <row r="66" spans="1:65" ht="15" customHeight="1" x14ac:dyDescent="0.25">
      <c r="A66" s="48"/>
      <c r="B66" s="60"/>
      <c r="C66" s="46"/>
      <c r="D66" s="46"/>
      <c r="E66" s="46"/>
      <c r="F66" s="46"/>
      <c r="G66" s="46"/>
      <c r="H66" s="46"/>
      <c r="I66" s="46"/>
      <c r="J66" s="46"/>
      <c r="K66" s="58"/>
      <c r="L66" s="60"/>
      <c r="M66" s="46"/>
      <c r="N66" s="46"/>
      <c r="O66" s="46"/>
      <c r="P66" s="46"/>
      <c r="Q66" s="46"/>
      <c r="R66" s="46"/>
      <c r="S66" s="46"/>
      <c r="T66" s="58"/>
      <c r="U66" s="60"/>
      <c r="V66" s="46"/>
      <c r="W66" s="46"/>
      <c r="X66" s="46"/>
      <c r="Y66" s="46"/>
      <c r="Z66" s="46"/>
      <c r="AA66" s="46"/>
      <c r="AB66" s="46"/>
      <c r="AC66" s="58"/>
      <c r="AD66" s="60"/>
      <c r="AE66" s="46"/>
      <c r="AF66" s="46"/>
      <c r="AG66" s="46"/>
      <c r="AH66" s="46"/>
      <c r="AI66" s="46"/>
      <c r="AJ66" s="46"/>
      <c r="AK66" s="46"/>
      <c r="AL66" s="58"/>
      <c r="AM66" s="60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58"/>
      <c r="BJ66" s="46"/>
      <c r="BK66" s="49"/>
      <c r="BM66" s="4">
        <f t="shared" si="0"/>
        <v>9</v>
      </c>
    </row>
    <row r="67" spans="1:65" ht="15" customHeight="1" x14ac:dyDescent="0.25">
      <c r="A67" s="48"/>
      <c r="B67" s="60"/>
      <c r="C67" s="46"/>
      <c r="D67" s="46"/>
      <c r="E67" s="46"/>
      <c r="F67" s="46"/>
      <c r="G67" s="46"/>
      <c r="H67" s="46"/>
      <c r="I67" s="46"/>
      <c r="J67" s="46"/>
      <c r="K67" s="58"/>
      <c r="L67" s="60"/>
      <c r="M67" s="46"/>
      <c r="N67" s="46"/>
      <c r="O67" s="46"/>
      <c r="P67" s="46"/>
      <c r="Q67" s="46"/>
      <c r="R67" s="46"/>
      <c r="S67" s="46"/>
      <c r="T67" s="58"/>
      <c r="U67" s="60"/>
      <c r="V67" s="46"/>
      <c r="W67" s="46"/>
      <c r="X67" s="46"/>
      <c r="Y67" s="46"/>
      <c r="Z67" s="46"/>
      <c r="AA67" s="46"/>
      <c r="AB67" s="46"/>
      <c r="AC67" s="58"/>
      <c r="AD67" s="60"/>
      <c r="AE67" s="46"/>
      <c r="AF67" s="46"/>
      <c r="AG67" s="46"/>
      <c r="AH67" s="46"/>
      <c r="AI67" s="46"/>
      <c r="AJ67" s="46"/>
      <c r="AK67" s="46"/>
      <c r="AL67" s="58"/>
      <c r="AM67" s="60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58"/>
      <c r="BJ67" s="46"/>
      <c r="BK67" s="49"/>
      <c r="BM67" s="4">
        <f t="shared" si="0"/>
        <v>10</v>
      </c>
    </row>
    <row r="68" spans="1:65" ht="15" customHeight="1" x14ac:dyDescent="0.25">
      <c r="A68" s="48"/>
      <c r="B68" s="60"/>
      <c r="C68" s="46"/>
      <c r="D68" s="46"/>
      <c r="E68" s="46"/>
      <c r="F68" s="46"/>
      <c r="G68" s="46"/>
      <c r="H68" s="46"/>
      <c r="I68" s="46"/>
      <c r="J68" s="46"/>
      <c r="K68" s="58"/>
      <c r="L68" s="60"/>
      <c r="M68" s="46"/>
      <c r="N68" s="46"/>
      <c r="O68" s="46"/>
      <c r="P68" s="46"/>
      <c r="Q68" s="46"/>
      <c r="R68" s="46"/>
      <c r="S68" s="46"/>
      <c r="T68" s="58"/>
      <c r="U68" s="60"/>
      <c r="V68" s="46"/>
      <c r="W68" s="46"/>
      <c r="X68" s="46"/>
      <c r="Y68" s="46"/>
      <c r="Z68" s="46"/>
      <c r="AA68" s="46"/>
      <c r="AB68" s="46"/>
      <c r="AC68" s="58"/>
      <c r="AD68" s="60"/>
      <c r="AE68" s="46"/>
      <c r="AF68" s="46"/>
      <c r="AG68" s="46"/>
      <c r="AH68" s="46"/>
      <c r="AI68" s="46"/>
      <c r="AJ68" s="46"/>
      <c r="AK68" s="46"/>
      <c r="AL68" s="58"/>
      <c r="AM68" s="60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58"/>
      <c r="BJ68" s="46"/>
      <c r="BK68" s="49"/>
      <c r="BM68" s="4">
        <f t="shared" si="0"/>
        <v>11</v>
      </c>
    </row>
    <row r="69" spans="1:65" ht="15" customHeight="1" x14ac:dyDescent="0.25">
      <c r="A69" s="48"/>
      <c r="B69" s="60"/>
      <c r="C69" s="46"/>
      <c r="D69" s="46"/>
      <c r="E69" s="46"/>
      <c r="F69" s="46"/>
      <c r="G69" s="46"/>
      <c r="H69" s="46"/>
      <c r="I69" s="46"/>
      <c r="J69" s="46"/>
      <c r="K69" s="58"/>
      <c r="L69" s="60"/>
      <c r="M69" s="46"/>
      <c r="N69" s="46"/>
      <c r="O69" s="46"/>
      <c r="P69" s="46"/>
      <c r="Q69" s="46"/>
      <c r="R69" s="46"/>
      <c r="S69" s="46"/>
      <c r="T69" s="58"/>
      <c r="U69" s="60"/>
      <c r="V69" s="46"/>
      <c r="W69" s="46"/>
      <c r="X69" s="46"/>
      <c r="Y69" s="46"/>
      <c r="Z69" s="46"/>
      <c r="AA69" s="46"/>
      <c r="AB69" s="46"/>
      <c r="AC69" s="58"/>
      <c r="AD69" s="60"/>
      <c r="AE69" s="46"/>
      <c r="AF69" s="46"/>
      <c r="AG69" s="46"/>
      <c r="AH69" s="46"/>
      <c r="AI69" s="46"/>
      <c r="AJ69" s="46"/>
      <c r="AK69" s="46"/>
      <c r="AL69" s="58"/>
      <c r="AM69" s="60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58"/>
      <c r="BJ69" s="46"/>
      <c r="BK69" s="49"/>
      <c r="BM69" s="4">
        <f t="shared" si="0"/>
        <v>12</v>
      </c>
    </row>
    <row r="70" spans="1:65" ht="15" customHeight="1" x14ac:dyDescent="0.25">
      <c r="A70" s="48"/>
      <c r="B70" s="60"/>
      <c r="C70" s="46"/>
      <c r="D70" s="46"/>
      <c r="E70" s="46"/>
      <c r="F70" s="46"/>
      <c r="G70" s="46"/>
      <c r="H70" s="46"/>
      <c r="I70" s="46"/>
      <c r="J70" s="46"/>
      <c r="K70" s="58"/>
      <c r="L70" s="60"/>
      <c r="M70" s="46"/>
      <c r="N70" s="46"/>
      <c r="O70" s="46"/>
      <c r="P70" s="46"/>
      <c r="Q70" s="46"/>
      <c r="R70" s="46"/>
      <c r="S70" s="46"/>
      <c r="T70" s="58"/>
      <c r="U70" s="60"/>
      <c r="V70" s="46"/>
      <c r="W70" s="46"/>
      <c r="X70" s="46"/>
      <c r="Y70" s="46"/>
      <c r="Z70" s="46"/>
      <c r="AA70" s="46"/>
      <c r="AB70" s="46"/>
      <c r="AC70" s="58"/>
      <c r="AD70" s="60"/>
      <c r="AE70" s="46"/>
      <c r="AF70" s="46"/>
      <c r="AG70" s="46"/>
      <c r="AH70" s="46"/>
      <c r="AI70" s="46"/>
      <c r="AJ70" s="46"/>
      <c r="AK70" s="46"/>
      <c r="AL70" s="58"/>
      <c r="AM70" s="60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58"/>
      <c r="BJ70" s="46"/>
      <c r="BK70" s="49"/>
      <c r="BM70" s="4">
        <f t="shared" si="0"/>
        <v>13</v>
      </c>
    </row>
    <row r="71" spans="1:65" ht="15" customHeight="1" x14ac:dyDescent="0.25">
      <c r="A71" s="48"/>
      <c r="B71" s="60"/>
      <c r="C71" s="46"/>
      <c r="D71" s="46"/>
      <c r="E71" s="46"/>
      <c r="F71" s="46"/>
      <c r="G71" s="46"/>
      <c r="H71" s="46"/>
      <c r="I71" s="46"/>
      <c r="J71" s="46"/>
      <c r="K71" s="58"/>
      <c r="L71" s="60"/>
      <c r="M71" s="46"/>
      <c r="N71" s="46"/>
      <c r="O71" s="46"/>
      <c r="P71" s="46"/>
      <c r="Q71" s="46"/>
      <c r="R71" s="46"/>
      <c r="S71" s="46"/>
      <c r="T71" s="58"/>
      <c r="U71" s="60"/>
      <c r="V71" s="46"/>
      <c r="W71" s="46"/>
      <c r="X71" s="46"/>
      <c r="Y71" s="46"/>
      <c r="Z71" s="46"/>
      <c r="AA71" s="46"/>
      <c r="AB71" s="46"/>
      <c r="AC71" s="58"/>
      <c r="AD71" s="60"/>
      <c r="AE71" s="46"/>
      <c r="AF71" s="46"/>
      <c r="AG71" s="46"/>
      <c r="AH71" s="46"/>
      <c r="AI71" s="46"/>
      <c r="AJ71" s="46"/>
      <c r="AK71" s="46"/>
      <c r="AL71" s="58"/>
      <c r="AM71" s="60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58"/>
      <c r="BJ71" s="46"/>
      <c r="BK71" s="49"/>
      <c r="BM71" s="4">
        <f t="shared" si="0"/>
        <v>14</v>
      </c>
    </row>
    <row r="72" spans="1:65" ht="15" customHeight="1" x14ac:dyDescent="0.25">
      <c r="A72" s="48"/>
      <c r="B72" s="60"/>
      <c r="C72" s="46"/>
      <c r="D72" s="46"/>
      <c r="E72" s="46"/>
      <c r="F72" s="46"/>
      <c r="G72" s="46"/>
      <c r="H72" s="46"/>
      <c r="I72" s="46"/>
      <c r="J72" s="46"/>
      <c r="K72" s="58"/>
      <c r="L72" s="60"/>
      <c r="M72" s="46"/>
      <c r="N72" s="46"/>
      <c r="O72" s="46"/>
      <c r="P72" s="46"/>
      <c r="Q72" s="46"/>
      <c r="R72" s="46"/>
      <c r="S72" s="46"/>
      <c r="T72" s="58"/>
      <c r="U72" s="60"/>
      <c r="V72" s="46"/>
      <c r="W72" s="46"/>
      <c r="X72" s="46"/>
      <c r="Y72" s="46"/>
      <c r="Z72" s="46"/>
      <c r="AA72" s="46"/>
      <c r="AB72" s="46"/>
      <c r="AC72" s="58"/>
      <c r="AD72" s="60"/>
      <c r="AE72" s="46"/>
      <c r="AF72" s="46"/>
      <c r="AG72" s="46"/>
      <c r="AH72" s="46"/>
      <c r="AI72" s="46"/>
      <c r="AJ72" s="46"/>
      <c r="AK72" s="46"/>
      <c r="AL72" s="58"/>
      <c r="AM72" s="60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58"/>
      <c r="BJ72" s="46"/>
      <c r="BK72" s="49"/>
      <c r="BM72" s="4">
        <f t="shared" ref="BM72:BM93" si="1">IF(BM71=50,1,BM71+1)</f>
        <v>15</v>
      </c>
    </row>
    <row r="73" spans="1:65" ht="15" customHeight="1" x14ac:dyDescent="0.25">
      <c r="A73" s="48"/>
      <c r="B73" s="60"/>
      <c r="C73" s="46"/>
      <c r="D73" s="46"/>
      <c r="E73" s="46"/>
      <c r="F73" s="46"/>
      <c r="G73" s="46"/>
      <c r="H73" s="46"/>
      <c r="I73" s="46"/>
      <c r="J73" s="46"/>
      <c r="K73" s="58"/>
      <c r="L73" s="60"/>
      <c r="M73" s="46"/>
      <c r="N73" s="46"/>
      <c r="O73" s="46"/>
      <c r="P73" s="46"/>
      <c r="Q73" s="46"/>
      <c r="R73" s="46"/>
      <c r="S73" s="46"/>
      <c r="T73" s="58"/>
      <c r="U73" s="60"/>
      <c r="V73" s="46"/>
      <c r="W73" s="46"/>
      <c r="X73" s="46"/>
      <c r="Y73" s="46"/>
      <c r="Z73" s="46"/>
      <c r="AA73" s="46"/>
      <c r="AB73" s="46"/>
      <c r="AC73" s="58"/>
      <c r="AD73" s="60"/>
      <c r="AE73" s="46"/>
      <c r="AF73" s="46"/>
      <c r="AG73" s="46"/>
      <c r="AH73" s="46"/>
      <c r="AI73" s="46"/>
      <c r="AJ73" s="46"/>
      <c r="AK73" s="46"/>
      <c r="AL73" s="58"/>
      <c r="AM73" s="60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58"/>
      <c r="BJ73" s="46"/>
      <c r="BK73" s="49"/>
      <c r="BM73" s="4">
        <f t="shared" si="1"/>
        <v>16</v>
      </c>
    </row>
    <row r="74" spans="1:65" ht="15" customHeight="1" x14ac:dyDescent="0.25">
      <c r="A74" s="48"/>
      <c r="B74" s="60"/>
      <c r="C74" s="46"/>
      <c r="D74" s="46"/>
      <c r="E74" s="46"/>
      <c r="F74" s="46"/>
      <c r="G74" s="46"/>
      <c r="H74" s="46"/>
      <c r="I74" s="46"/>
      <c r="J74" s="46"/>
      <c r="K74" s="58"/>
      <c r="L74" s="60"/>
      <c r="M74" s="46"/>
      <c r="N74" s="46"/>
      <c r="O74" s="46"/>
      <c r="P74" s="46"/>
      <c r="Q74" s="46"/>
      <c r="R74" s="46"/>
      <c r="S74" s="46"/>
      <c r="T74" s="58"/>
      <c r="U74" s="60"/>
      <c r="V74" s="46"/>
      <c r="W74" s="46"/>
      <c r="X74" s="46"/>
      <c r="Y74" s="46"/>
      <c r="Z74" s="46"/>
      <c r="AA74" s="46"/>
      <c r="AB74" s="46"/>
      <c r="AC74" s="58"/>
      <c r="AD74" s="60"/>
      <c r="AE74" s="46"/>
      <c r="AF74" s="46"/>
      <c r="AG74" s="46"/>
      <c r="AH74" s="46"/>
      <c r="AI74" s="46"/>
      <c r="AJ74" s="46"/>
      <c r="AK74" s="46"/>
      <c r="AL74" s="58"/>
      <c r="AM74" s="60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58"/>
      <c r="BJ74" s="46"/>
      <c r="BK74" s="49"/>
      <c r="BM74" s="4">
        <f t="shared" si="1"/>
        <v>17</v>
      </c>
    </row>
    <row r="75" spans="1:65" ht="15" customHeight="1" x14ac:dyDescent="0.25">
      <c r="A75" s="48"/>
      <c r="B75" s="60"/>
      <c r="C75" s="46"/>
      <c r="D75" s="46"/>
      <c r="E75" s="46"/>
      <c r="F75" s="46"/>
      <c r="G75" s="46"/>
      <c r="H75" s="46"/>
      <c r="I75" s="46"/>
      <c r="J75" s="46"/>
      <c r="K75" s="58"/>
      <c r="L75" s="60"/>
      <c r="M75" s="46"/>
      <c r="N75" s="46"/>
      <c r="O75" s="46"/>
      <c r="P75" s="46"/>
      <c r="Q75" s="46"/>
      <c r="R75" s="46"/>
      <c r="S75" s="46"/>
      <c r="T75" s="58"/>
      <c r="U75" s="60"/>
      <c r="V75" s="46"/>
      <c r="W75" s="46"/>
      <c r="X75" s="46"/>
      <c r="Y75" s="46"/>
      <c r="Z75" s="46"/>
      <c r="AA75" s="46"/>
      <c r="AB75" s="46"/>
      <c r="AC75" s="58"/>
      <c r="AD75" s="60"/>
      <c r="AE75" s="46"/>
      <c r="AF75" s="46"/>
      <c r="AG75" s="46"/>
      <c r="AH75" s="46"/>
      <c r="AI75" s="46"/>
      <c r="AJ75" s="46"/>
      <c r="AK75" s="46"/>
      <c r="AL75" s="58"/>
      <c r="AM75" s="60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58"/>
      <c r="BJ75" s="46"/>
      <c r="BK75" s="49"/>
      <c r="BM75" s="4">
        <f t="shared" si="1"/>
        <v>18</v>
      </c>
    </row>
    <row r="76" spans="1:65" ht="15" customHeight="1" x14ac:dyDescent="0.25">
      <c r="A76" s="48"/>
      <c r="B76" s="60"/>
      <c r="C76" s="46"/>
      <c r="D76" s="46"/>
      <c r="E76" s="46"/>
      <c r="F76" s="46"/>
      <c r="G76" s="46"/>
      <c r="H76" s="46"/>
      <c r="I76" s="46"/>
      <c r="J76" s="46"/>
      <c r="K76" s="58"/>
      <c r="L76" s="60"/>
      <c r="M76" s="46"/>
      <c r="N76" s="46"/>
      <c r="O76" s="46"/>
      <c r="P76" s="46"/>
      <c r="Q76" s="46"/>
      <c r="R76" s="46"/>
      <c r="S76" s="46"/>
      <c r="T76" s="58"/>
      <c r="U76" s="60"/>
      <c r="V76" s="46"/>
      <c r="W76" s="46"/>
      <c r="X76" s="46"/>
      <c r="Y76" s="46"/>
      <c r="Z76" s="46"/>
      <c r="AA76" s="46"/>
      <c r="AB76" s="46"/>
      <c r="AC76" s="58"/>
      <c r="AD76" s="60"/>
      <c r="AE76" s="46"/>
      <c r="AF76" s="46"/>
      <c r="AG76" s="46"/>
      <c r="AH76" s="46"/>
      <c r="AI76" s="46"/>
      <c r="AJ76" s="46"/>
      <c r="AK76" s="46"/>
      <c r="AL76" s="58"/>
      <c r="AM76" s="60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58"/>
      <c r="BJ76" s="46"/>
      <c r="BK76" s="49"/>
      <c r="BM76" s="4">
        <f t="shared" si="1"/>
        <v>19</v>
      </c>
    </row>
    <row r="77" spans="1:65" ht="15" customHeight="1" x14ac:dyDescent="0.25">
      <c r="A77" s="48"/>
      <c r="B77" s="60"/>
      <c r="C77" s="46"/>
      <c r="D77" s="46"/>
      <c r="E77" s="46"/>
      <c r="F77" s="46"/>
      <c r="G77" s="46"/>
      <c r="H77" s="46"/>
      <c r="I77" s="46"/>
      <c r="J77" s="46"/>
      <c r="K77" s="58"/>
      <c r="L77" s="60"/>
      <c r="M77" s="46"/>
      <c r="N77" s="46"/>
      <c r="O77" s="46"/>
      <c r="P77" s="46"/>
      <c r="Q77" s="46"/>
      <c r="R77" s="46"/>
      <c r="S77" s="46"/>
      <c r="T77" s="58"/>
      <c r="U77" s="60"/>
      <c r="V77" s="46"/>
      <c r="W77" s="46"/>
      <c r="X77" s="46"/>
      <c r="Y77" s="46"/>
      <c r="Z77" s="46"/>
      <c r="AA77" s="46"/>
      <c r="AB77" s="46"/>
      <c r="AC77" s="58"/>
      <c r="AD77" s="60"/>
      <c r="AE77" s="46"/>
      <c r="AF77" s="46"/>
      <c r="AG77" s="46"/>
      <c r="AH77" s="46"/>
      <c r="AI77" s="46"/>
      <c r="AJ77" s="46"/>
      <c r="AK77" s="46"/>
      <c r="AL77" s="58"/>
      <c r="AM77" s="60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58"/>
      <c r="BJ77" s="46"/>
      <c r="BK77" s="49"/>
      <c r="BM77" s="4">
        <f t="shared" si="1"/>
        <v>20</v>
      </c>
    </row>
    <row r="78" spans="1:65" ht="15" customHeight="1" x14ac:dyDescent="0.25">
      <c r="A78" s="48"/>
      <c r="B78" s="60"/>
      <c r="C78" s="46"/>
      <c r="D78" s="46"/>
      <c r="E78" s="46"/>
      <c r="F78" s="46"/>
      <c r="G78" s="46"/>
      <c r="H78" s="46"/>
      <c r="I78" s="46"/>
      <c r="J78" s="46"/>
      <c r="K78" s="58"/>
      <c r="L78" s="60"/>
      <c r="M78" s="46"/>
      <c r="N78" s="46"/>
      <c r="O78" s="46"/>
      <c r="P78" s="46"/>
      <c r="Q78" s="46"/>
      <c r="R78" s="46"/>
      <c r="S78" s="46"/>
      <c r="T78" s="58"/>
      <c r="U78" s="60"/>
      <c r="V78" s="46"/>
      <c r="W78" s="46"/>
      <c r="X78" s="46"/>
      <c r="Y78" s="46"/>
      <c r="Z78" s="46"/>
      <c r="AA78" s="46"/>
      <c r="AB78" s="46"/>
      <c r="AC78" s="58"/>
      <c r="AD78" s="60"/>
      <c r="AE78" s="46"/>
      <c r="AF78" s="46"/>
      <c r="AG78" s="46"/>
      <c r="AH78" s="46"/>
      <c r="AI78" s="46"/>
      <c r="AJ78" s="46"/>
      <c r="AK78" s="46"/>
      <c r="AL78" s="58"/>
      <c r="AM78" s="60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58"/>
      <c r="BJ78" s="46"/>
      <c r="BK78" s="49"/>
      <c r="BM78" s="4">
        <f t="shared" si="1"/>
        <v>21</v>
      </c>
    </row>
    <row r="79" spans="1:65" ht="15" customHeight="1" x14ac:dyDescent="0.25">
      <c r="A79" s="48"/>
      <c r="B79" s="60"/>
      <c r="C79" s="46"/>
      <c r="D79" s="46"/>
      <c r="E79" s="46"/>
      <c r="F79" s="46"/>
      <c r="G79" s="46"/>
      <c r="H79" s="46"/>
      <c r="I79" s="46"/>
      <c r="J79" s="46"/>
      <c r="K79" s="58"/>
      <c r="L79" s="60"/>
      <c r="M79" s="46"/>
      <c r="N79" s="46"/>
      <c r="O79" s="46"/>
      <c r="P79" s="46"/>
      <c r="Q79" s="46"/>
      <c r="R79" s="46"/>
      <c r="S79" s="46"/>
      <c r="T79" s="58"/>
      <c r="U79" s="60"/>
      <c r="V79" s="46"/>
      <c r="W79" s="46"/>
      <c r="X79" s="46"/>
      <c r="Y79" s="46"/>
      <c r="Z79" s="46"/>
      <c r="AA79" s="46"/>
      <c r="AB79" s="46"/>
      <c r="AC79" s="58"/>
      <c r="AD79" s="60"/>
      <c r="AE79" s="46"/>
      <c r="AF79" s="46"/>
      <c r="AG79" s="46"/>
      <c r="AH79" s="46"/>
      <c r="AI79" s="46"/>
      <c r="AJ79" s="46"/>
      <c r="AK79" s="46"/>
      <c r="AL79" s="58"/>
      <c r="AM79" s="60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58"/>
      <c r="BJ79" s="46"/>
      <c r="BK79" s="49"/>
      <c r="BM79" s="4">
        <f t="shared" si="1"/>
        <v>22</v>
      </c>
    </row>
    <row r="80" spans="1:65" ht="15" customHeight="1" x14ac:dyDescent="0.25">
      <c r="A80" s="48"/>
      <c r="B80" s="60"/>
      <c r="C80" s="46"/>
      <c r="D80" s="46"/>
      <c r="E80" s="46"/>
      <c r="F80" s="46"/>
      <c r="G80" s="46"/>
      <c r="H80" s="46"/>
      <c r="I80" s="46"/>
      <c r="J80" s="46"/>
      <c r="K80" s="58"/>
      <c r="L80" s="60"/>
      <c r="M80" s="46"/>
      <c r="N80" s="46"/>
      <c r="O80" s="46"/>
      <c r="P80" s="46"/>
      <c r="Q80" s="46"/>
      <c r="R80" s="46"/>
      <c r="S80" s="46"/>
      <c r="T80" s="58"/>
      <c r="U80" s="60"/>
      <c r="V80" s="46"/>
      <c r="W80" s="46"/>
      <c r="X80" s="46"/>
      <c r="Y80" s="46"/>
      <c r="Z80" s="46"/>
      <c r="AA80" s="46"/>
      <c r="AB80" s="46"/>
      <c r="AC80" s="58"/>
      <c r="AD80" s="60"/>
      <c r="AE80" s="46"/>
      <c r="AF80" s="46"/>
      <c r="AG80" s="46"/>
      <c r="AH80" s="46"/>
      <c r="AI80" s="46"/>
      <c r="AJ80" s="46"/>
      <c r="AK80" s="46"/>
      <c r="AL80" s="58"/>
      <c r="AM80" s="60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58"/>
      <c r="BJ80" s="46"/>
      <c r="BK80" s="49"/>
      <c r="BM80" s="4">
        <f t="shared" si="1"/>
        <v>23</v>
      </c>
    </row>
    <row r="81" spans="1:65" ht="15" customHeight="1" x14ac:dyDescent="0.25">
      <c r="A81" s="48"/>
      <c r="B81" s="60"/>
      <c r="C81" s="46"/>
      <c r="D81" s="46"/>
      <c r="E81" s="46"/>
      <c r="F81" s="46"/>
      <c r="G81" s="46"/>
      <c r="H81" s="46"/>
      <c r="I81" s="46"/>
      <c r="J81" s="46"/>
      <c r="K81" s="58"/>
      <c r="L81" s="60"/>
      <c r="M81" s="46"/>
      <c r="N81" s="46"/>
      <c r="O81" s="46"/>
      <c r="P81" s="46"/>
      <c r="Q81" s="46"/>
      <c r="R81" s="46"/>
      <c r="S81" s="46"/>
      <c r="T81" s="58"/>
      <c r="U81" s="60"/>
      <c r="V81" s="46"/>
      <c r="W81" s="46"/>
      <c r="X81" s="46"/>
      <c r="Y81" s="46"/>
      <c r="Z81" s="46"/>
      <c r="AA81" s="46"/>
      <c r="AB81" s="46"/>
      <c r="AC81" s="58"/>
      <c r="AD81" s="60"/>
      <c r="AE81" s="46"/>
      <c r="AF81" s="46"/>
      <c r="AG81" s="46"/>
      <c r="AH81" s="46"/>
      <c r="AI81" s="46"/>
      <c r="AJ81" s="46"/>
      <c r="AK81" s="46"/>
      <c r="AL81" s="58"/>
      <c r="AM81" s="60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58"/>
      <c r="BJ81" s="46"/>
      <c r="BK81" s="49"/>
      <c r="BM81" s="4">
        <f t="shared" si="1"/>
        <v>24</v>
      </c>
    </row>
    <row r="82" spans="1:65" ht="15" customHeight="1" x14ac:dyDescent="0.25">
      <c r="A82" s="48"/>
      <c r="B82" s="60"/>
      <c r="C82" s="46"/>
      <c r="D82" s="46"/>
      <c r="E82" s="46"/>
      <c r="F82" s="46"/>
      <c r="G82" s="46"/>
      <c r="H82" s="46"/>
      <c r="I82" s="46"/>
      <c r="J82" s="46"/>
      <c r="K82" s="58"/>
      <c r="L82" s="60"/>
      <c r="M82" s="46"/>
      <c r="N82" s="46"/>
      <c r="O82" s="46"/>
      <c r="P82" s="46"/>
      <c r="Q82" s="46"/>
      <c r="R82" s="46"/>
      <c r="S82" s="46"/>
      <c r="T82" s="58"/>
      <c r="U82" s="60"/>
      <c r="V82" s="46"/>
      <c r="W82" s="46"/>
      <c r="X82" s="46"/>
      <c r="Y82" s="46"/>
      <c r="Z82" s="46"/>
      <c r="AA82" s="46"/>
      <c r="AB82" s="46"/>
      <c r="AC82" s="58"/>
      <c r="AD82" s="60"/>
      <c r="AE82" s="46"/>
      <c r="AF82" s="46"/>
      <c r="AG82" s="46"/>
      <c r="AH82" s="46"/>
      <c r="AI82" s="46"/>
      <c r="AJ82" s="46"/>
      <c r="AK82" s="46"/>
      <c r="AL82" s="58"/>
      <c r="AM82" s="60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58"/>
      <c r="BJ82" s="46"/>
      <c r="BK82" s="49"/>
      <c r="BM82" s="4">
        <f t="shared" si="1"/>
        <v>25</v>
      </c>
    </row>
    <row r="83" spans="1:65" ht="15" customHeight="1" x14ac:dyDescent="0.25">
      <c r="A83" s="48"/>
      <c r="B83" s="60"/>
      <c r="C83" s="46"/>
      <c r="D83" s="46"/>
      <c r="E83" s="46"/>
      <c r="F83" s="46"/>
      <c r="G83" s="46"/>
      <c r="H83" s="46"/>
      <c r="I83" s="46"/>
      <c r="J83" s="46"/>
      <c r="K83" s="58"/>
      <c r="L83" s="60"/>
      <c r="M83" s="46"/>
      <c r="N83" s="46"/>
      <c r="O83" s="46"/>
      <c r="P83" s="46"/>
      <c r="Q83" s="46"/>
      <c r="R83" s="46"/>
      <c r="S83" s="46"/>
      <c r="T83" s="58"/>
      <c r="U83" s="60"/>
      <c r="V83" s="46"/>
      <c r="W83" s="46"/>
      <c r="X83" s="46"/>
      <c r="Y83" s="46"/>
      <c r="Z83" s="46"/>
      <c r="AA83" s="46"/>
      <c r="AB83" s="46"/>
      <c r="AC83" s="58"/>
      <c r="AD83" s="60"/>
      <c r="AE83" s="46"/>
      <c r="AF83" s="46"/>
      <c r="AG83" s="46"/>
      <c r="AH83" s="46"/>
      <c r="AI83" s="46"/>
      <c r="AJ83" s="46"/>
      <c r="AK83" s="46"/>
      <c r="AL83" s="58"/>
      <c r="AM83" s="60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58"/>
      <c r="BJ83" s="46"/>
      <c r="BK83" s="49"/>
      <c r="BM83" s="4">
        <f t="shared" si="1"/>
        <v>26</v>
      </c>
    </row>
    <row r="84" spans="1:65" ht="15" customHeight="1" x14ac:dyDescent="0.25">
      <c r="A84" s="48"/>
      <c r="B84" s="60"/>
      <c r="C84" s="46"/>
      <c r="D84" s="46"/>
      <c r="E84" s="46"/>
      <c r="F84" s="46"/>
      <c r="G84" s="46"/>
      <c r="H84" s="46"/>
      <c r="I84" s="46"/>
      <c r="J84" s="46"/>
      <c r="K84" s="58"/>
      <c r="L84" s="60"/>
      <c r="M84" s="46"/>
      <c r="N84" s="46"/>
      <c r="O84" s="46"/>
      <c r="P84" s="46"/>
      <c r="Q84" s="46"/>
      <c r="R84" s="46"/>
      <c r="S84" s="46"/>
      <c r="T84" s="58"/>
      <c r="U84" s="60"/>
      <c r="V84" s="46"/>
      <c r="W84" s="46"/>
      <c r="X84" s="46"/>
      <c r="Y84" s="46"/>
      <c r="Z84" s="46"/>
      <c r="AA84" s="46"/>
      <c r="AB84" s="46"/>
      <c r="AC84" s="58"/>
      <c r="AD84" s="60"/>
      <c r="AE84" s="46"/>
      <c r="AF84" s="46"/>
      <c r="AG84" s="46"/>
      <c r="AH84" s="46"/>
      <c r="AI84" s="46"/>
      <c r="AJ84" s="46"/>
      <c r="AK84" s="46"/>
      <c r="AL84" s="58"/>
      <c r="AM84" s="60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58"/>
      <c r="BJ84" s="46"/>
      <c r="BK84" s="49"/>
      <c r="BM84" s="4">
        <f t="shared" si="1"/>
        <v>27</v>
      </c>
    </row>
    <row r="85" spans="1:65" ht="15" customHeight="1" x14ac:dyDescent="0.25">
      <c r="A85" s="48"/>
      <c r="B85" s="60"/>
      <c r="C85" s="46"/>
      <c r="D85" s="46"/>
      <c r="E85" s="46"/>
      <c r="F85" s="46"/>
      <c r="G85" s="46"/>
      <c r="H85" s="46"/>
      <c r="I85" s="46"/>
      <c r="J85" s="46"/>
      <c r="K85" s="58"/>
      <c r="L85" s="60"/>
      <c r="M85" s="46"/>
      <c r="N85" s="46"/>
      <c r="O85" s="46"/>
      <c r="P85" s="46"/>
      <c r="Q85" s="46"/>
      <c r="R85" s="46"/>
      <c r="S85" s="46"/>
      <c r="T85" s="58"/>
      <c r="U85" s="60"/>
      <c r="V85" s="46"/>
      <c r="W85" s="46"/>
      <c r="X85" s="46"/>
      <c r="Y85" s="46"/>
      <c r="Z85" s="46"/>
      <c r="AA85" s="46"/>
      <c r="AB85" s="46"/>
      <c r="AC85" s="58"/>
      <c r="AD85" s="60"/>
      <c r="AE85" s="46"/>
      <c r="AF85" s="46"/>
      <c r="AG85" s="46"/>
      <c r="AH85" s="46"/>
      <c r="AI85" s="46"/>
      <c r="AJ85" s="46"/>
      <c r="AK85" s="46"/>
      <c r="AL85" s="58"/>
      <c r="AM85" s="60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58"/>
      <c r="BJ85" s="46"/>
      <c r="BK85" s="49"/>
      <c r="BM85" s="4">
        <f t="shared" si="1"/>
        <v>28</v>
      </c>
    </row>
    <row r="86" spans="1:65" ht="15" customHeight="1" x14ac:dyDescent="0.25">
      <c r="A86" s="48"/>
      <c r="B86" s="60"/>
      <c r="C86" s="46"/>
      <c r="D86" s="46"/>
      <c r="E86" s="46"/>
      <c r="F86" s="46"/>
      <c r="G86" s="46"/>
      <c r="H86" s="46"/>
      <c r="I86" s="46"/>
      <c r="J86" s="46"/>
      <c r="K86" s="58"/>
      <c r="L86" s="60"/>
      <c r="M86" s="46"/>
      <c r="N86" s="46"/>
      <c r="O86" s="46"/>
      <c r="P86" s="46"/>
      <c r="Q86" s="46"/>
      <c r="R86" s="46"/>
      <c r="S86" s="46"/>
      <c r="T86" s="58"/>
      <c r="U86" s="60"/>
      <c r="V86" s="46"/>
      <c r="W86" s="46"/>
      <c r="X86" s="46"/>
      <c r="Y86" s="46"/>
      <c r="Z86" s="46"/>
      <c r="AA86" s="46"/>
      <c r="AB86" s="46"/>
      <c r="AC86" s="58"/>
      <c r="AD86" s="60"/>
      <c r="AE86" s="46"/>
      <c r="AF86" s="46"/>
      <c r="AG86" s="46"/>
      <c r="AH86" s="46"/>
      <c r="AI86" s="46"/>
      <c r="AJ86" s="46"/>
      <c r="AK86" s="46"/>
      <c r="AL86" s="58"/>
      <c r="AM86" s="60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58"/>
      <c r="BJ86" s="46"/>
      <c r="BK86" s="49"/>
      <c r="BM86" s="4">
        <f t="shared" si="1"/>
        <v>29</v>
      </c>
    </row>
    <row r="87" spans="1:65" ht="15" customHeight="1" x14ac:dyDescent="0.25">
      <c r="A87" s="48"/>
      <c r="B87" s="60"/>
      <c r="C87" s="46"/>
      <c r="D87" s="46"/>
      <c r="E87" s="46"/>
      <c r="F87" s="46"/>
      <c r="G87" s="46"/>
      <c r="H87" s="46"/>
      <c r="I87" s="46"/>
      <c r="J87" s="46"/>
      <c r="K87" s="58"/>
      <c r="L87" s="60"/>
      <c r="M87" s="46"/>
      <c r="N87" s="46"/>
      <c r="O87" s="46"/>
      <c r="P87" s="46"/>
      <c r="Q87" s="46"/>
      <c r="R87" s="46"/>
      <c r="S87" s="46"/>
      <c r="T87" s="58"/>
      <c r="U87" s="60"/>
      <c r="V87" s="46"/>
      <c r="W87" s="46"/>
      <c r="X87" s="46"/>
      <c r="Y87" s="46"/>
      <c r="Z87" s="46"/>
      <c r="AA87" s="46"/>
      <c r="AB87" s="46"/>
      <c r="AC87" s="58"/>
      <c r="AD87" s="60"/>
      <c r="AE87" s="46"/>
      <c r="AF87" s="46"/>
      <c r="AG87" s="46"/>
      <c r="AH87" s="46"/>
      <c r="AI87" s="46"/>
      <c r="AJ87" s="46"/>
      <c r="AK87" s="46"/>
      <c r="AL87" s="58"/>
      <c r="AM87" s="60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8"/>
      <c r="BJ87" s="46"/>
      <c r="BK87" s="49"/>
      <c r="BM87" s="4">
        <f t="shared" si="1"/>
        <v>30</v>
      </c>
    </row>
    <row r="88" spans="1:65" ht="15" customHeight="1" x14ac:dyDescent="0.25">
      <c r="A88" s="48"/>
      <c r="B88" s="60"/>
      <c r="C88" s="46"/>
      <c r="D88" s="46"/>
      <c r="E88" s="46"/>
      <c r="F88" s="46"/>
      <c r="G88" s="46"/>
      <c r="H88" s="46"/>
      <c r="I88" s="46"/>
      <c r="J88" s="46"/>
      <c r="K88" s="58"/>
      <c r="L88" s="60"/>
      <c r="M88" s="46"/>
      <c r="N88" s="46"/>
      <c r="O88" s="46"/>
      <c r="P88" s="46"/>
      <c r="Q88" s="46"/>
      <c r="R88" s="46"/>
      <c r="S88" s="46"/>
      <c r="T88" s="58"/>
      <c r="U88" s="60"/>
      <c r="V88" s="46"/>
      <c r="W88" s="46"/>
      <c r="X88" s="46"/>
      <c r="Y88" s="46"/>
      <c r="Z88" s="46"/>
      <c r="AA88" s="46"/>
      <c r="AB88" s="46"/>
      <c r="AC88" s="58"/>
      <c r="AD88" s="60"/>
      <c r="AE88" s="46"/>
      <c r="AF88" s="46"/>
      <c r="AG88" s="46"/>
      <c r="AH88" s="46"/>
      <c r="AI88" s="46"/>
      <c r="AJ88" s="46"/>
      <c r="AK88" s="46"/>
      <c r="AL88" s="58"/>
      <c r="AM88" s="60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58"/>
      <c r="BJ88" s="46"/>
      <c r="BK88" s="49"/>
      <c r="BM88" s="4">
        <f t="shared" si="1"/>
        <v>31</v>
      </c>
    </row>
    <row r="89" spans="1:65" ht="15" customHeight="1" x14ac:dyDescent="0.25">
      <c r="A89" s="48"/>
      <c r="B89" s="60"/>
      <c r="C89" s="46"/>
      <c r="D89" s="46"/>
      <c r="E89" s="46"/>
      <c r="F89" s="46"/>
      <c r="G89" s="46"/>
      <c r="H89" s="46"/>
      <c r="I89" s="46"/>
      <c r="J89" s="46"/>
      <c r="K89" s="58"/>
      <c r="L89" s="60"/>
      <c r="M89" s="46"/>
      <c r="N89" s="46"/>
      <c r="O89" s="46"/>
      <c r="P89" s="46"/>
      <c r="Q89" s="46"/>
      <c r="R89" s="46"/>
      <c r="S89" s="46"/>
      <c r="T89" s="58"/>
      <c r="U89" s="60"/>
      <c r="V89" s="46"/>
      <c r="W89" s="46"/>
      <c r="X89" s="46"/>
      <c r="Y89" s="46"/>
      <c r="Z89" s="46"/>
      <c r="AA89" s="46"/>
      <c r="AB89" s="46"/>
      <c r="AC89" s="58"/>
      <c r="AD89" s="60"/>
      <c r="AE89" s="46"/>
      <c r="AF89" s="46"/>
      <c r="AG89" s="46"/>
      <c r="AH89" s="46"/>
      <c r="AI89" s="46"/>
      <c r="AJ89" s="46"/>
      <c r="AK89" s="46"/>
      <c r="AL89" s="58"/>
      <c r="AM89" s="60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58"/>
      <c r="BJ89" s="46"/>
      <c r="BK89" s="49"/>
      <c r="BM89" s="4">
        <f t="shared" si="1"/>
        <v>32</v>
      </c>
    </row>
    <row r="90" spans="1:65" ht="15" customHeight="1" x14ac:dyDescent="0.25">
      <c r="A90" s="48"/>
      <c r="B90" s="60"/>
      <c r="C90" s="46"/>
      <c r="D90" s="46"/>
      <c r="E90" s="46"/>
      <c r="F90" s="46"/>
      <c r="G90" s="46"/>
      <c r="H90" s="46"/>
      <c r="I90" s="46"/>
      <c r="J90" s="46"/>
      <c r="K90" s="58"/>
      <c r="L90" s="60"/>
      <c r="M90" s="46"/>
      <c r="N90" s="46"/>
      <c r="O90" s="46"/>
      <c r="P90" s="46"/>
      <c r="Q90" s="46"/>
      <c r="R90" s="46"/>
      <c r="S90" s="46"/>
      <c r="T90" s="58"/>
      <c r="U90" s="60"/>
      <c r="V90" s="46"/>
      <c r="W90" s="46"/>
      <c r="X90" s="46"/>
      <c r="Y90" s="46"/>
      <c r="Z90" s="46"/>
      <c r="AA90" s="46"/>
      <c r="AB90" s="46"/>
      <c r="AC90" s="58"/>
      <c r="AD90" s="60"/>
      <c r="AE90" s="46"/>
      <c r="AF90" s="46"/>
      <c r="AG90" s="46"/>
      <c r="AH90" s="46"/>
      <c r="AI90" s="46"/>
      <c r="AJ90" s="46"/>
      <c r="AK90" s="46"/>
      <c r="AL90" s="58"/>
      <c r="AM90" s="60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58"/>
      <c r="BJ90" s="46"/>
      <c r="BK90" s="49"/>
      <c r="BM90" s="4">
        <f t="shared" si="1"/>
        <v>33</v>
      </c>
    </row>
    <row r="91" spans="1:65" ht="15" customHeight="1" x14ac:dyDescent="0.25">
      <c r="A91" s="48"/>
      <c r="B91" s="60"/>
      <c r="C91" s="46"/>
      <c r="D91" s="46"/>
      <c r="E91" s="46"/>
      <c r="F91" s="46"/>
      <c r="G91" s="46"/>
      <c r="H91" s="46"/>
      <c r="I91" s="46"/>
      <c r="J91" s="46"/>
      <c r="K91" s="58"/>
      <c r="L91" s="60"/>
      <c r="M91" s="46"/>
      <c r="N91" s="46"/>
      <c r="O91" s="46"/>
      <c r="P91" s="46"/>
      <c r="Q91" s="46"/>
      <c r="R91" s="46"/>
      <c r="S91" s="46"/>
      <c r="T91" s="58"/>
      <c r="U91" s="60"/>
      <c r="V91" s="46"/>
      <c r="W91" s="46"/>
      <c r="X91" s="46"/>
      <c r="Y91" s="46"/>
      <c r="Z91" s="46"/>
      <c r="AA91" s="46"/>
      <c r="AB91" s="46"/>
      <c r="AC91" s="58"/>
      <c r="AD91" s="60"/>
      <c r="AE91" s="46"/>
      <c r="AF91" s="46"/>
      <c r="AG91" s="46"/>
      <c r="AH91" s="46"/>
      <c r="AI91" s="46"/>
      <c r="AJ91" s="46"/>
      <c r="AK91" s="46"/>
      <c r="AL91" s="58"/>
      <c r="AM91" s="60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58"/>
      <c r="BJ91" s="46"/>
      <c r="BK91" s="49"/>
      <c r="BM91" s="4">
        <f t="shared" si="1"/>
        <v>34</v>
      </c>
    </row>
    <row r="92" spans="1:65" ht="15" customHeight="1" x14ac:dyDescent="0.25">
      <c r="A92" s="48"/>
      <c r="B92" s="60"/>
      <c r="C92" s="46"/>
      <c r="D92" s="46"/>
      <c r="E92" s="46"/>
      <c r="F92" s="46"/>
      <c r="G92" s="46"/>
      <c r="H92" s="46"/>
      <c r="I92" s="46"/>
      <c r="J92" s="46"/>
      <c r="K92" s="58"/>
      <c r="L92" s="60"/>
      <c r="M92" s="46"/>
      <c r="N92" s="46"/>
      <c r="O92" s="46"/>
      <c r="P92" s="46"/>
      <c r="Q92" s="46"/>
      <c r="R92" s="46"/>
      <c r="S92" s="46"/>
      <c r="T92" s="58"/>
      <c r="U92" s="60"/>
      <c r="V92" s="46"/>
      <c r="W92" s="46"/>
      <c r="X92" s="46"/>
      <c r="Y92" s="46"/>
      <c r="Z92" s="46"/>
      <c r="AA92" s="46"/>
      <c r="AB92" s="46"/>
      <c r="AC92" s="58"/>
      <c r="AD92" s="60"/>
      <c r="AE92" s="46"/>
      <c r="AF92" s="46"/>
      <c r="AG92" s="46"/>
      <c r="AH92" s="46"/>
      <c r="AI92" s="46"/>
      <c r="AJ92" s="46"/>
      <c r="AK92" s="46"/>
      <c r="AL92" s="58"/>
      <c r="AM92" s="60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58"/>
      <c r="BJ92" s="46"/>
      <c r="BK92" s="49"/>
      <c r="BM92" s="4">
        <f t="shared" si="1"/>
        <v>35</v>
      </c>
    </row>
    <row r="93" spans="1:65" ht="15" customHeight="1" x14ac:dyDescent="0.25">
      <c r="A93" s="48"/>
      <c r="B93" s="60"/>
      <c r="C93" s="46"/>
      <c r="D93" s="46"/>
      <c r="E93" s="46"/>
      <c r="F93" s="46"/>
      <c r="G93" s="46"/>
      <c r="H93" s="46"/>
      <c r="I93" s="46"/>
      <c r="J93" s="46"/>
      <c r="K93" s="58"/>
      <c r="L93" s="60"/>
      <c r="M93" s="46"/>
      <c r="N93" s="46"/>
      <c r="O93" s="46"/>
      <c r="P93" s="46"/>
      <c r="Q93" s="46"/>
      <c r="R93" s="46"/>
      <c r="S93" s="46"/>
      <c r="T93" s="58"/>
      <c r="U93" s="60"/>
      <c r="V93" s="46"/>
      <c r="W93" s="46"/>
      <c r="X93" s="46"/>
      <c r="Y93" s="46"/>
      <c r="Z93" s="46"/>
      <c r="AA93" s="46"/>
      <c r="AB93" s="46"/>
      <c r="AC93" s="58"/>
      <c r="AD93" s="60"/>
      <c r="AE93" s="46"/>
      <c r="AF93" s="46"/>
      <c r="AG93" s="46"/>
      <c r="AH93" s="46"/>
      <c r="AI93" s="46"/>
      <c r="AJ93" s="46"/>
      <c r="AK93" s="46"/>
      <c r="AL93" s="58"/>
      <c r="AM93" s="60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58"/>
      <c r="BJ93" s="46"/>
      <c r="BK93" s="49"/>
      <c r="BM93" s="4">
        <f t="shared" si="1"/>
        <v>36</v>
      </c>
    </row>
    <row r="94" spans="1:65" ht="15" customHeight="1" x14ac:dyDescent="0.25">
      <c r="A94" s="50"/>
      <c r="B94" s="62"/>
      <c r="C94" s="51"/>
      <c r="D94" s="51"/>
      <c r="E94" s="51"/>
      <c r="F94" s="51"/>
      <c r="G94" s="51"/>
      <c r="H94" s="51"/>
      <c r="I94" s="51"/>
      <c r="J94" s="51"/>
      <c r="K94" s="63"/>
      <c r="L94" s="62"/>
      <c r="M94" s="51"/>
      <c r="N94" s="51"/>
      <c r="O94" s="51"/>
      <c r="P94" s="51"/>
      <c r="Q94" s="51"/>
      <c r="R94" s="51"/>
      <c r="S94" s="51"/>
      <c r="T94" s="63"/>
      <c r="U94" s="62"/>
      <c r="V94" s="51"/>
      <c r="W94" s="51"/>
      <c r="X94" s="51"/>
      <c r="Y94" s="51"/>
      <c r="Z94" s="51"/>
      <c r="AA94" s="51"/>
      <c r="AB94" s="51"/>
      <c r="AC94" s="63"/>
      <c r="AD94" s="62"/>
      <c r="AE94" s="51"/>
      <c r="AF94" s="51"/>
      <c r="AG94" s="51"/>
      <c r="AH94" s="51"/>
      <c r="AI94" s="51"/>
      <c r="AJ94" s="51"/>
      <c r="AK94" s="51"/>
      <c r="AL94" s="63"/>
      <c r="AM94" s="62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63"/>
      <c r="BJ94" s="51"/>
      <c r="BK94" s="52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5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268" t="s">
        <v>34</v>
      </c>
      <c r="B1" s="269"/>
      <c r="C1" s="269"/>
      <c r="D1" s="269"/>
      <c r="E1" s="269"/>
      <c r="F1" s="269"/>
      <c r="G1" s="269"/>
      <c r="H1" s="269"/>
      <c r="I1" s="269"/>
      <c r="J1" s="270"/>
      <c r="K1" s="268" t="s">
        <v>35</v>
      </c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70"/>
      <c r="W1" s="299" t="str">
        <f>IF(表紙!W1="","",表紙!W1)</f>
        <v>基本設計書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3" ht="15" customHeight="1" x14ac:dyDescent="0.25">
      <c r="A2" s="293" t="str">
        <f>IF(表紙!A2="","",表紙!A2)</f>
        <v>POSサーバー</v>
      </c>
      <c r="B2" s="294"/>
      <c r="C2" s="294"/>
      <c r="D2" s="294"/>
      <c r="E2" s="294"/>
      <c r="F2" s="294"/>
      <c r="G2" s="294"/>
      <c r="H2" s="294"/>
      <c r="I2" s="294"/>
      <c r="J2" s="295"/>
      <c r="K2" s="293" t="str">
        <f>IF(表紙!K2="","",表紙!K2)</f>
        <v>POSサーバー</v>
      </c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3" ht="15" customHeight="1" x14ac:dyDescent="0.25">
      <c r="A3" s="296"/>
      <c r="B3" s="297"/>
      <c r="C3" s="297"/>
      <c r="D3" s="297"/>
      <c r="E3" s="297"/>
      <c r="F3" s="297"/>
      <c r="G3" s="297"/>
      <c r="H3" s="297"/>
      <c r="I3" s="297"/>
      <c r="J3" s="298"/>
      <c r="K3" s="296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8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3" ht="24.95" customHeight="1" x14ac:dyDescent="0.25">
      <c r="A4" s="268" t="s">
        <v>43</v>
      </c>
      <c r="B4" s="269"/>
      <c r="C4" s="269"/>
      <c r="D4" s="269"/>
      <c r="E4" s="269"/>
      <c r="F4" s="269"/>
      <c r="G4" s="270"/>
      <c r="H4" s="271" t="str">
        <f>IF(表紙!H4="","",表紙!H4)</f>
        <v>04_商品採用店舗確認</v>
      </c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3"/>
      <c r="U4" s="268" t="s">
        <v>44</v>
      </c>
      <c r="V4" s="269"/>
      <c r="W4" s="269"/>
      <c r="X4" s="269"/>
      <c r="Y4" s="270"/>
      <c r="Z4" s="271" t="str">
        <f>IF(表紙!Z4="","",表紙!Z4)</f>
        <v>概要設計書</v>
      </c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3"/>
      <c r="AP4" s="274" t="str">
        <f ca="1">MID(CELL("filename",A1),FIND("]",CELL("filename",A1))+1,255)</f>
        <v>画面設計書</v>
      </c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3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64" t="s">
        <v>16</v>
      </c>
      <c r="C7" s="64"/>
      <c r="D7" s="64"/>
      <c r="E7" s="64"/>
      <c r="F7" s="64"/>
      <c r="G7" s="64"/>
      <c r="H7" s="64"/>
      <c r="I7" s="64"/>
      <c r="J7" s="64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56</v>
      </c>
      <c r="BK35" s="9"/>
    </row>
    <row r="36" spans="1:63" x14ac:dyDescent="0.25">
      <c r="BK36" s="9"/>
    </row>
    <row r="37" spans="1:63" ht="15.75" customHeight="1" x14ac:dyDescent="0.25">
      <c r="B37" s="275" t="s">
        <v>57</v>
      </c>
      <c r="C37" s="276"/>
      <c r="D37" s="281" t="s">
        <v>58</v>
      </c>
      <c r="E37" s="282"/>
      <c r="F37" s="282"/>
      <c r="G37" s="282"/>
      <c r="H37" s="282"/>
      <c r="I37" s="282"/>
      <c r="J37" s="276"/>
      <c r="K37" s="281" t="s">
        <v>59</v>
      </c>
      <c r="L37" s="282"/>
      <c r="M37" s="276"/>
      <c r="N37" s="285" t="s">
        <v>17</v>
      </c>
      <c r="O37" s="288" t="s">
        <v>60</v>
      </c>
      <c r="P37" s="229" t="s">
        <v>61</v>
      </c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1"/>
      <c r="AR37" s="232" t="s">
        <v>62</v>
      </c>
      <c r="AS37" s="233"/>
      <c r="AT37" s="233"/>
      <c r="AU37" s="233"/>
      <c r="AV37" s="233"/>
      <c r="AW37" s="233"/>
      <c r="AX37" s="233"/>
      <c r="AY37" s="233"/>
      <c r="AZ37" s="233"/>
      <c r="BA37" s="233"/>
      <c r="BB37" s="234"/>
      <c r="BC37" s="235" t="s">
        <v>63</v>
      </c>
      <c r="BD37" s="236"/>
      <c r="BE37" s="236"/>
      <c r="BF37" s="236"/>
      <c r="BG37" s="236"/>
      <c r="BH37" s="236"/>
      <c r="BI37" s="236"/>
      <c r="BJ37" s="237"/>
      <c r="BK37" s="9"/>
    </row>
    <row r="38" spans="1:63" ht="15.75" customHeight="1" x14ac:dyDescent="0.25">
      <c r="B38" s="277"/>
      <c r="C38" s="278"/>
      <c r="D38" s="277"/>
      <c r="E38" s="283"/>
      <c r="F38" s="283"/>
      <c r="G38" s="283"/>
      <c r="H38" s="283"/>
      <c r="I38" s="283"/>
      <c r="J38" s="278"/>
      <c r="K38" s="277"/>
      <c r="L38" s="283"/>
      <c r="M38" s="278"/>
      <c r="N38" s="286"/>
      <c r="O38" s="289"/>
      <c r="P38" s="244" t="s">
        <v>64</v>
      </c>
      <c r="Q38" s="245"/>
      <c r="R38" s="245"/>
      <c r="S38" s="245"/>
      <c r="T38" s="245"/>
      <c r="U38" s="245"/>
      <c r="V38" s="245"/>
      <c r="W38" s="246"/>
      <c r="X38" s="247" t="s">
        <v>65</v>
      </c>
      <c r="Y38" s="248"/>
      <c r="Z38" s="249"/>
      <c r="AA38" s="247" t="s">
        <v>66</v>
      </c>
      <c r="AB38" s="248"/>
      <c r="AC38" s="248"/>
      <c r="AD38" s="248"/>
      <c r="AE38" s="248"/>
      <c r="AF38" s="248"/>
      <c r="AG38" s="248"/>
      <c r="AH38" s="249"/>
      <c r="AI38" s="247" t="s">
        <v>67</v>
      </c>
      <c r="AJ38" s="248"/>
      <c r="AK38" s="248"/>
      <c r="AL38" s="248"/>
      <c r="AM38" s="248"/>
      <c r="AN38" s="248"/>
      <c r="AO38" s="248"/>
      <c r="AP38" s="248"/>
      <c r="AQ38" s="249"/>
      <c r="AR38" s="253" t="s">
        <v>18</v>
      </c>
      <c r="AS38" s="255" t="s">
        <v>68</v>
      </c>
      <c r="AT38" s="257" t="s">
        <v>69</v>
      </c>
      <c r="AU38" s="232" t="s">
        <v>64</v>
      </c>
      <c r="AV38" s="233"/>
      <c r="AW38" s="233"/>
      <c r="AX38" s="233"/>
      <c r="AY38" s="233"/>
      <c r="AZ38" s="233"/>
      <c r="BA38" s="233"/>
      <c r="BB38" s="234"/>
      <c r="BC38" s="238"/>
      <c r="BD38" s="239"/>
      <c r="BE38" s="239"/>
      <c r="BF38" s="239"/>
      <c r="BG38" s="239"/>
      <c r="BH38" s="239"/>
      <c r="BI38" s="239"/>
      <c r="BJ38" s="240"/>
      <c r="BK38" s="9"/>
    </row>
    <row r="39" spans="1:63" x14ac:dyDescent="0.25">
      <c r="B39" s="279"/>
      <c r="C39" s="280"/>
      <c r="D39" s="279"/>
      <c r="E39" s="284"/>
      <c r="F39" s="284"/>
      <c r="G39" s="284"/>
      <c r="H39" s="284"/>
      <c r="I39" s="284"/>
      <c r="J39" s="280"/>
      <c r="K39" s="279"/>
      <c r="L39" s="284"/>
      <c r="M39" s="280"/>
      <c r="N39" s="287"/>
      <c r="O39" s="290"/>
      <c r="P39" s="229" t="s">
        <v>70</v>
      </c>
      <c r="Q39" s="230"/>
      <c r="R39" s="230"/>
      <c r="S39" s="231"/>
      <c r="T39" s="229" t="s">
        <v>58</v>
      </c>
      <c r="U39" s="230"/>
      <c r="V39" s="230"/>
      <c r="W39" s="231"/>
      <c r="X39" s="250"/>
      <c r="Y39" s="251"/>
      <c r="Z39" s="252"/>
      <c r="AA39" s="250"/>
      <c r="AB39" s="251"/>
      <c r="AC39" s="251"/>
      <c r="AD39" s="251"/>
      <c r="AE39" s="251"/>
      <c r="AF39" s="251"/>
      <c r="AG39" s="251"/>
      <c r="AH39" s="252"/>
      <c r="AI39" s="250"/>
      <c r="AJ39" s="251"/>
      <c r="AK39" s="251"/>
      <c r="AL39" s="251"/>
      <c r="AM39" s="251"/>
      <c r="AN39" s="251"/>
      <c r="AO39" s="251"/>
      <c r="AP39" s="251"/>
      <c r="AQ39" s="252"/>
      <c r="AR39" s="254"/>
      <c r="AS39" s="256"/>
      <c r="AT39" s="258"/>
      <c r="AU39" s="232" t="s">
        <v>70</v>
      </c>
      <c r="AV39" s="233"/>
      <c r="AW39" s="233"/>
      <c r="AX39" s="291"/>
      <c r="AY39" s="292" t="s">
        <v>58</v>
      </c>
      <c r="AZ39" s="233"/>
      <c r="BA39" s="233"/>
      <c r="BB39" s="234"/>
      <c r="BC39" s="241"/>
      <c r="BD39" s="242"/>
      <c r="BE39" s="242"/>
      <c r="BF39" s="242"/>
      <c r="BG39" s="242"/>
      <c r="BH39" s="242"/>
      <c r="BI39" s="242"/>
      <c r="BJ39" s="243"/>
      <c r="BK39" s="9"/>
    </row>
    <row r="40" spans="1:63" ht="15.75" customHeight="1" x14ac:dyDescent="0.25">
      <c r="B40" s="222">
        <v>1</v>
      </c>
      <c r="C40" s="223"/>
      <c r="D40" s="224"/>
      <c r="E40" s="225"/>
      <c r="F40" s="225"/>
      <c r="G40" s="225"/>
      <c r="H40" s="225"/>
      <c r="I40" s="225"/>
      <c r="J40" s="226"/>
      <c r="K40" s="205" t="s">
        <v>19</v>
      </c>
      <c r="L40" s="206"/>
      <c r="M40" s="207"/>
      <c r="N40" s="11" t="s">
        <v>20</v>
      </c>
      <c r="O40" s="12" t="s">
        <v>21</v>
      </c>
      <c r="P40" s="227" t="s">
        <v>20</v>
      </c>
      <c r="Q40" s="228"/>
      <c r="R40" s="228"/>
      <c r="S40" s="223"/>
      <c r="T40" s="227" t="s">
        <v>20</v>
      </c>
      <c r="U40" s="228"/>
      <c r="V40" s="228"/>
      <c r="W40" s="223"/>
      <c r="X40" s="259" t="s">
        <v>54</v>
      </c>
      <c r="Y40" s="260"/>
      <c r="Z40" s="261"/>
      <c r="AA40" s="222" t="s">
        <v>22</v>
      </c>
      <c r="AB40" s="228"/>
      <c r="AC40" s="228"/>
      <c r="AD40" s="228"/>
      <c r="AE40" s="228"/>
      <c r="AF40" s="228"/>
      <c r="AG40" s="228"/>
      <c r="AH40" s="223"/>
      <c r="AI40" s="262" t="s">
        <v>20</v>
      </c>
      <c r="AJ40" s="263"/>
      <c r="AK40" s="263"/>
      <c r="AL40" s="263"/>
      <c r="AM40" s="263"/>
      <c r="AN40" s="263"/>
      <c r="AO40" s="263"/>
      <c r="AP40" s="263"/>
      <c r="AQ40" s="264"/>
      <c r="AR40" s="13" t="s">
        <v>20</v>
      </c>
      <c r="AS40" s="13" t="s">
        <v>22</v>
      </c>
      <c r="AT40" s="13" t="s">
        <v>22</v>
      </c>
      <c r="AU40" s="222" t="s">
        <v>23</v>
      </c>
      <c r="AV40" s="228"/>
      <c r="AW40" s="228"/>
      <c r="AX40" s="223"/>
      <c r="AY40" s="222" t="s">
        <v>22</v>
      </c>
      <c r="AZ40" s="228"/>
      <c r="BA40" s="228"/>
      <c r="BB40" s="223"/>
      <c r="BC40" s="265"/>
      <c r="BD40" s="266"/>
      <c r="BE40" s="266"/>
      <c r="BF40" s="266"/>
      <c r="BG40" s="266"/>
      <c r="BH40" s="266"/>
      <c r="BI40" s="266"/>
      <c r="BJ40" s="267"/>
      <c r="BK40" s="9"/>
    </row>
    <row r="41" spans="1:63" x14ac:dyDescent="0.25">
      <c r="B41" s="192">
        <v>2</v>
      </c>
      <c r="C41" s="191"/>
      <c r="D41" s="219"/>
      <c r="E41" s="220"/>
      <c r="F41" s="220"/>
      <c r="G41" s="220"/>
      <c r="H41" s="220"/>
      <c r="I41" s="220"/>
      <c r="J41" s="221"/>
      <c r="K41" s="205" t="s">
        <v>19</v>
      </c>
      <c r="L41" s="206"/>
      <c r="M41" s="207"/>
      <c r="N41" s="12" t="s">
        <v>24</v>
      </c>
      <c r="O41" s="12" t="s">
        <v>21</v>
      </c>
      <c r="P41" s="192" t="s">
        <v>23</v>
      </c>
      <c r="Q41" s="190"/>
      <c r="R41" s="190"/>
      <c r="S41" s="191"/>
      <c r="T41" s="192" t="s">
        <v>23</v>
      </c>
      <c r="U41" s="190"/>
      <c r="V41" s="190"/>
      <c r="W41" s="191"/>
      <c r="X41" s="215" t="s">
        <v>71</v>
      </c>
      <c r="Y41" s="216"/>
      <c r="Z41" s="217"/>
      <c r="AA41" s="192" t="s">
        <v>22</v>
      </c>
      <c r="AB41" s="190"/>
      <c r="AC41" s="190"/>
      <c r="AD41" s="190"/>
      <c r="AE41" s="190"/>
      <c r="AF41" s="190"/>
      <c r="AG41" s="190"/>
      <c r="AH41" s="191"/>
      <c r="AI41" s="193" t="s">
        <v>22</v>
      </c>
      <c r="AJ41" s="194"/>
      <c r="AK41" s="194"/>
      <c r="AL41" s="194"/>
      <c r="AM41" s="194"/>
      <c r="AN41" s="194"/>
      <c r="AO41" s="194"/>
      <c r="AP41" s="194"/>
      <c r="AQ41" s="195"/>
      <c r="AR41" s="14" t="s">
        <v>20</v>
      </c>
      <c r="AS41" s="14" t="s">
        <v>22</v>
      </c>
      <c r="AT41" s="14" t="s">
        <v>22</v>
      </c>
      <c r="AU41" s="192" t="s">
        <v>23</v>
      </c>
      <c r="AV41" s="190"/>
      <c r="AW41" s="190"/>
      <c r="AX41" s="191"/>
      <c r="AY41" s="192" t="s">
        <v>22</v>
      </c>
      <c r="AZ41" s="190"/>
      <c r="BA41" s="190"/>
      <c r="BB41" s="191"/>
      <c r="BC41" s="214"/>
      <c r="BD41" s="197"/>
      <c r="BE41" s="197"/>
      <c r="BF41" s="197"/>
      <c r="BG41" s="197"/>
      <c r="BH41" s="197"/>
      <c r="BI41" s="197"/>
      <c r="BJ41" s="198"/>
      <c r="BK41" s="9"/>
    </row>
    <row r="42" spans="1:63" x14ac:dyDescent="0.25">
      <c r="B42" s="192">
        <v>3</v>
      </c>
      <c r="C42" s="191"/>
      <c r="D42" s="202"/>
      <c r="E42" s="203"/>
      <c r="F42" s="203"/>
      <c r="G42" s="203"/>
      <c r="H42" s="203"/>
      <c r="I42" s="203"/>
      <c r="J42" s="204"/>
      <c r="K42" s="205" t="s">
        <v>19</v>
      </c>
      <c r="L42" s="206"/>
      <c r="M42" s="207"/>
      <c r="N42" s="12" t="s">
        <v>25</v>
      </c>
      <c r="O42" s="12" t="s">
        <v>20</v>
      </c>
      <c r="P42" s="218" t="s">
        <v>20</v>
      </c>
      <c r="Q42" s="190"/>
      <c r="R42" s="190"/>
      <c r="S42" s="191"/>
      <c r="T42" s="192"/>
      <c r="U42" s="190"/>
      <c r="V42" s="190"/>
      <c r="W42" s="191"/>
      <c r="X42" s="211" t="s">
        <v>20</v>
      </c>
      <c r="Y42" s="212"/>
      <c r="Z42" s="213"/>
      <c r="AA42" s="192" t="s">
        <v>22</v>
      </c>
      <c r="AB42" s="190"/>
      <c r="AC42" s="190"/>
      <c r="AD42" s="190"/>
      <c r="AE42" s="190"/>
      <c r="AF42" s="190"/>
      <c r="AG42" s="190"/>
      <c r="AH42" s="191"/>
      <c r="AI42" s="193" t="s">
        <v>22</v>
      </c>
      <c r="AJ42" s="194"/>
      <c r="AK42" s="194"/>
      <c r="AL42" s="194"/>
      <c r="AM42" s="194"/>
      <c r="AN42" s="194"/>
      <c r="AO42" s="194"/>
      <c r="AP42" s="194"/>
      <c r="AQ42" s="195"/>
      <c r="AR42" s="14" t="s">
        <v>20</v>
      </c>
      <c r="AS42" s="14" t="s">
        <v>22</v>
      </c>
      <c r="AT42" s="14" t="s">
        <v>22</v>
      </c>
      <c r="AU42" s="192" t="s">
        <v>23</v>
      </c>
      <c r="AV42" s="190"/>
      <c r="AW42" s="190"/>
      <c r="AX42" s="191"/>
      <c r="AY42" s="192" t="s">
        <v>22</v>
      </c>
      <c r="AZ42" s="190"/>
      <c r="BA42" s="190"/>
      <c r="BB42" s="191"/>
      <c r="BC42" s="196"/>
      <c r="BD42" s="197"/>
      <c r="BE42" s="197"/>
      <c r="BF42" s="197"/>
      <c r="BG42" s="197"/>
      <c r="BH42" s="197"/>
      <c r="BI42" s="197"/>
      <c r="BJ42" s="198"/>
      <c r="BK42" s="9"/>
    </row>
    <row r="43" spans="1:63" x14ac:dyDescent="0.25">
      <c r="B43" s="192">
        <v>4</v>
      </c>
      <c r="C43" s="191"/>
      <c r="D43" s="208"/>
      <c r="E43" s="209"/>
      <c r="F43" s="209"/>
      <c r="G43" s="209"/>
      <c r="H43" s="209"/>
      <c r="I43" s="209"/>
      <c r="J43" s="210"/>
      <c r="K43" s="205" t="s">
        <v>19</v>
      </c>
      <c r="L43" s="206"/>
      <c r="M43" s="207"/>
      <c r="N43" s="15" t="s">
        <v>24</v>
      </c>
      <c r="O43" s="12" t="s">
        <v>21</v>
      </c>
      <c r="P43" s="192" t="s">
        <v>23</v>
      </c>
      <c r="Q43" s="190"/>
      <c r="R43" s="190"/>
      <c r="S43" s="191"/>
      <c r="T43" s="192" t="s">
        <v>23</v>
      </c>
      <c r="U43" s="190"/>
      <c r="V43" s="190"/>
      <c r="W43" s="191"/>
      <c r="X43" s="189" t="s">
        <v>55</v>
      </c>
      <c r="Y43" s="190"/>
      <c r="Z43" s="191"/>
      <c r="AA43" s="192" t="s">
        <v>22</v>
      </c>
      <c r="AB43" s="190"/>
      <c r="AC43" s="190"/>
      <c r="AD43" s="190"/>
      <c r="AE43" s="190"/>
      <c r="AF43" s="190"/>
      <c r="AG43" s="190"/>
      <c r="AH43" s="191"/>
      <c r="AI43" s="193" t="s">
        <v>22</v>
      </c>
      <c r="AJ43" s="194"/>
      <c r="AK43" s="194"/>
      <c r="AL43" s="194"/>
      <c r="AM43" s="194"/>
      <c r="AN43" s="194"/>
      <c r="AO43" s="194"/>
      <c r="AP43" s="194"/>
      <c r="AQ43" s="195"/>
      <c r="AR43" s="14" t="s">
        <v>20</v>
      </c>
      <c r="AS43" s="14" t="s">
        <v>22</v>
      </c>
      <c r="AT43" s="14" t="s">
        <v>22</v>
      </c>
      <c r="AU43" s="192" t="s">
        <v>23</v>
      </c>
      <c r="AV43" s="190"/>
      <c r="AW43" s="190"/>
      <c r="AX43" s="191"/>
      <c r="AY43" s="192" t="s">
        <v>22</v>
      </c>
      <c r="AZ43" s="190"/>
      <c r="BA43" s="190"/>
      <c r="BB43" s="191"/>
      <c r="BC43" s="199"/>
      <c r="BD43" s="200"/>
      <c r="BE43" s="200"/>
      <c r="BF43" s="200"/>
      <c r="BG43" s="200"/>
      <c r="BH43" s="200"/>
      <c r="BI43" s="200"/>
      <c r="BJ43" s="201"/>
      <c r="BK43" s="9"/>
    </row>
    <row r="44" spans="1:63" x14ac:dyDescent="0.25">
      <c r="B44" s="192">
        <v>5</v>
      </c>
      <c r="C44" s="191"/>
      <c r="D44" s="202"/>
      <c r="E44" s="203"/>
      <c r="F44" s="203"/>
      <c r="G44" s="203"/>
      <c r="H44" s="203"/>
      <c r="I44" s="203"/>
      <c r="J44" s="204"/>
      <c r="K44" s="205" t="s">
        <v>26</v>
      </c>
      <c r="L44" s="206"/>
      <c r="M44" s="207"/>
      <c r="N44" s="15" t="s">
        <v>25</v>
      </c>
      <c r="O44" s="12" t="s">
        <v>20</v>
      </c>
      <c r="P44" s="192" t="s">
        <v>23</v>
      </c>
      <c r="Q44" s="190"/>
      <c r="R44" s="190"/>
      <c r="S44" s="191"/>
      <c r="T44" s="192" t="s">
        <v>23</v>
      </c>
      <c r="U44" s="190"/>
      <c r="V44" s="190"/>
      <c r="W44" s="191"/>
      <c r="X44" s="189" t="s">
        <v>20</v>
      </c>
      <c r="Y44" s="190"/>
      <c r="Z44" s="191"/>
      <c r="AA44" s="192" t="s">
        <v>22</v>
      </c>
      <c r="AB44" s="190"/>
      <c r="AC44" s="190"/>
      <c r="AD44" s="190"/>
      <c r="AE44" s="190"/>
      <c r="AF44" s="190"/>
      <c r="AG44" s="190"/>
      <c r="AH44" s="191"/>
      <c r="AI44" s="193" t="s">
        <v>22</v>
      </c>
      <c r="AJ44" s="194"/>
      <c r="AK44" s="194"/>
      <c r="AL44" s="194"/>
      <c r="AM44" s="194"/>
      <c r="AN44" s="194"/>
      <c r="AO44" s="194"/>
      <c r="AP44" s="194"/>
      <c r="AQ44" s="195"/>
      <c r="AR44" s="14" t="s">
        <v>20</v>
      </c>
      <c r="AS44" s="14" t="s">
        <v>22</v>
      </c>
      <c r="AT44" s="14" t="s">
        <v>22</v>
      </c>
      <c r="AU44" s="192" t="s">
        <v>23</v>
      </c>
      <c r="AV44" s="190"/>
      <c r="AW44" s="190"/>
      <c r="AX44" s="191"/>
      <c r="AY44" s="192" t="s">
        <v>22</v>
      </c>
      <c r="AZ44" s="190"/>
      <c r="BA44" s="190"/>
      <c r="BB44" s="191"/>
      <c r="BC44" s="196"/>
      <c r="BD44" s="197"/>
      <c r="BE44" s="197"/>
      <c r="BF44" s="197"/>
      <c r="BG44" s="197"/>
      <c r="BH44" s="197"/>
      <c r="BI44" s="197"/>
      <c r="BJ44" s="198"/>
      <c r="BK44" s="9"/>
    </row>
    <row r="45" spans="1:63" x14ac:dyDescent="0.25">
      <c r="B45" s="171">
        <v>6</v>
      </c>
      <c r="C45" s="173"/>
      <c r="D45" s="180"/>
      <c r="E45" s="181"/>
      <c r="F45" s="181"/>
      <c r="G45" s="181"/>
      <c r="H45" s="181"/>
      <c r="I45" s="181"/>
      <c r="J45" s="182"/>
      <c r="K45" s="183" t="s">
        <v>27</v>
      </c>
      <c r="L45" s="184"/>
      <c r="M45" s="185"/>
      <c r="N45" s="16" t="s">
        <v>25</v>
      </c>
      <c r="O45" s="16" t="s">
        <v>21</v>
      </c>
      <c r="P45" s="171" t="s">
        <v>23</v>
      </c>
      <c r="Q45" s="172"/>
      <c r="R45" s="172"/>
      <c r="S45" s="173"/>
      <c r="T45" s="171" t="s">
        <v>23</v>
      </c>
      <c r="U45" s="172"/>
      <c r="V45" s="172"/>
      <c r="W45" s="173"/>
      <c r="X45" s="186" t="s">
        <v>72</v>
      </c>
      <c r="Y45" s="187"/>
      <c r="Z45" s="188"/>
      <c r="AA45" s="171" t="s">
        <v>22</v>
      </c>
      <c r="AB45" s="172"/>
      <c r="AC45" s="172"/>
      <c r="AD45" s="172"/>
      <c r="AE45" s="172"/>
      <c r="AF45" s="172"/>
      <c r="AG45" s="172"/>
      <c r="AH45" s="173"/>
      <c r="AI45" s="174" t="s">
        <v>28</v>
      </c>
      <c r="AJ45" s="175"/>
      <c r="AK45" s="175"/>
      <c r="AL45" s="175"/>
      <c r="AM45" s="175"/>
      <c r="AN45" s="175"/>
      <c r="AO45" s="175"/>
      <c r="AP45" s="175"/>
      <c r="AQ45" s="176"/>
      <c r="AR45" s="17" t="s">
        <v>20</v>
      </c>
      <c r="AS45" s="17" t="s">
        <v>22</v>
      </c>
      <c r="AT45" s="17" t="s">
        <v>22</v>
      </c>
      <c r="AU45" s="171" t="s">
        <v>23</v>
      </c>
      <c r="AV45" s="172"/>
      <c r="AW45" s="172"/>
      <c r="AX45" s="173"/>
      <c r="AY45" s="171" t="s">
        <v>22</v>
      </c>
      <c r="AZ45" s="172"/>
      <c r="BA45" s="172"/>
      <c r="BB45" s="173"/>
      <c r="BC45" s="177" t="s">
        <v>29</v>
      </c>
      <c r="BD45" s="178"/>
      <c r="BE45" s="178"/>
      <c r="BF45" s="178"/>
      <c r="BG45" s="178"/>
      <c r="BH45" s="178"/>
      <c r="BI45" s="178"/>
      <c r="BJ45" s="179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268" t="s">
        <v>34</v>
      </c>
      <c r="B1" s="269"/>
      <c r="C1" s="269"/>
      <c r="D1" s="269"/>
      <c r="E1" s="269"/>
      <c r="F1" s="269"/>
      <c r="G1" s="269"/>
      <c r="H1" s="269"/>
      <c r="I1" s="269"/>
      <c r="J1" s="270"/>
      <c r="K1" s="268" t="s">
        <v>35</v>
      </c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70"/>
      <c r="W1" s="299" t="str">
        <f>IF(表紙!W1="","",表紙!W1)</f>
        <v>基本設計書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67" t="s">
        <v>37</v>
      </c>
      <c r="AQ1" s="68"/>
      <c r="AR1" s="68"/>
      <c r="AS1" s="69"/>
      <c r="AT1" s="67" t="s">
        <v>38</v>
      </c>
      <c r="AU1" s="68"/>
      <c r="AV1" s="68"/>
      <c r="AW1" s="68"/>
      <c r="AX1" s="69"/>
      <c r="AY1" s="67" t="s">
        <v>39</v>
      </c>
      <c r="AZ1" s="68"/>
      <c r="BA1" s="68"/>
      <c r="BB1" s="69"/>
      <c r="BC1" s="67" t="s">
        <v>40</v>
      </c>
      <c r="BD1" s="68"/>
      <c r="BE1" s="68"/>
      <c r="BF1" s="68"/>
      <c r="BG1" s="69"/>
      <c r="BH1" s="67" t="s">
        <v>41</v>
      </c>
      <c r="BI1" s="68"/>
      <c r="BJ1" s="68"/>
      <c r="BK1" s="69"/>
    </row>
    <row r="2" spans="1:63" ht="15" customHeight="1" x14ac:dyDescent="0.25">
      <c r="A2" s="293" t="str">
        <f>IF(表紙!A2="","",表紙!A2)</f>
        <v>POSサーバー</v>
      </c>
      <c r="B2" s="294"/>
      <c r="C2" s="294"/>
      <c r="D2" s="294"/>
      <c r="E2" s="294"/>
      <c r="F2" s="294"/>
      <c r="G2" s="294"/>
      <c r="H2" s="294"/>
      <c r="I2" s="294"/>
      <c r="J2" s="295"/>
      <c r="K2" s="293" t="str">
        <f>IF(表紙!K2="","",表紙!K2)</f>
        <v>POSサーバー</v>
      </c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70" t="str">
        <f>IF(表紙!AP2="","",表紙!AP2)</f>
        <v>TuyenNH</v>
      </c>
      <c r="AQ2" s="71"/>
      <c r="AR2" s="71"/>
      <c r="AS2" s="72"/>
      <c r="AT2" s="97">
        <f>IF(表紙!AT2="","",表紙!AT2)</f>
        <v>45425</v>
      </c>
      <c r="AU2" s="98"/>
      <c r="AV2" s="98"/>
      <c r="AW2" s="98"/>
      <c r="AX2" s="99"/>
      <c r="AY2" s="70" t="str">
        <f>IF(表紙!AY2="","",表紙!AY2)</f>
        <v>TuyenNH</v>
      </c>
      <c r="AZ2" s="71"/>
      <c r="BA2" s="71"/>
      <c r="BB2" s="72"/>
      <c r="BC2" s="97">
        <f>IF(表紙!BC2="","",表紙!BC2)</f>
        <v>45432</v>
      </c>
      <c r="BD2" s="98"/>
      <c r="BE2" s="98"/>
      <c r="BF2" s="98"/>
      <c r="BG2" s="99"/>
      <c r="BH2" s="70">
        <f>IF(表紙!BH2="","",表紙!BH2)</f>
        <v>0.11</v>
      </c>
      <c r="BI2" s="71"/>
      <c r="BJ2" s="71"/>
      <c r="BK2" s="72"/>
    </row>
    <row r="3" spans="1:63" ht="15" customHeight="1" x14ac:dyDescent="0.25">
      <c r="A3" s="296"/>
      <c r="B3" s="297"/>
      <c r="C3" s="297"/>
      <c r="D3" s="297"/>
      <c r="E3" s="297"/>
      <c r="F3" s="297"/>
      <c r="G3" s="297"/>
      <c r="H3" s="297"/>
      <c r="I3" s="297"/>
      <c r="J3" s="298"/>
      <c r="K3" s="296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8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73"/>
      <c r="AQ3" s="74"/>
      <c r="AR3" s="74"/>
      <c r="AS3" s="75"/>
      <c r="AT3" s="100"/>
      <c r="AU3" s="101"/>
      <c r="AV3" s="101"/>
      <c r="AW3" s="101"/>
      <c r="AX3" s="102"/>
      <c r="AY3" s="73"/>
      <c r="AZ3" s="74"/>
      <c r="BA3" s="74"/>
      <c r="BB3" s="75"/>
      <c r="BC3" s="100"/>
      <c r="BD3" s="101"/>
      <c r="BE3" s="101"/>
      <c r="BF3" s="101"/>
      <c r="BG3" s="102"/>
      <c r="BH3" s="73"/>
      <c r="BI3" s="74"/>
      <c r="BJ3" s="74"/>
      <c r="BK3" s="75"/>
    </row>
    <row r="4" spans="1:63" ht="24.95" customHeight="1" x14ac:dyDescent="0.25">
      <c r="A4" s="268" t="s">
        <v>43</v>
      </c>
      <c r="B4" s="269"/>
      <c r="C4" s="269"/>
      <c r="D4" s="269"/>
      <c r="E4" s="269"/>
      <c r="F4" s="269"/>
      <c r="G4" s="270"/>
      <c r="H4" s="271" t="str">
        <f>IF(表紙!H4="","",表紙!H4)</f>
        <v>04_商品採用店舗確認</v>
      </c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3"/>
      <c r="U4" s="268" t="s">
        <v>44</v>
      </c>
      <c r="V4" s="269"/>
      <c r="W4" s="269"/>
      <c r="X4" s="269"/>
      <c r="Y4" s="270"/>
      <c r="Z4" s="271" t="str">
        <f>IF(表紙!Z4="","",表紙!Z4)</f>
        <v>概要設計書</v>
      </c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3"/>
      <c r="AP4" s="274" t="str">
        <f ca="1">MID(CELL("filename",A1),FIND("]",CELL("filename",A1))+1,255)</f>
        <v>テンプレート</v>
      </c>
      <c r="AQ4" s="272"/>
      <c r="AR4" s="272"/>
      <c r="AS4" s="272"/>
      <c r="AT4" s="272"/>
      <c r="AU4" s="272"/>
      <c r="AV4" s="272"/>
      <c r="AW4" s="272"/>
      <c r="AX4" s="272"/>
      <c r="AY4" s="272"/>
      <c r="AZ4" s="272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3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7" s="53"/>
      <c r="C7" s="54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6"/>
      <c r="U7" s="54"/>
      <c r="V7" s="55"/>
      <c r="W7" s="55"/>
      <c r="X7" s="55"/>
      <c r="Y7" s="55"/>
      <c r="Z7" s="55"/>
      <c r="AA7" s="55"/>
      <c r="AB7" s="55"/>
      <c r="AC7" s="56"/>
      <c r="AD7" s="54"/>
      <c r="AE7" s="55"/>
      <c r="AF7" s="55"/>
      <c r="AG7" s="55"/>
      <c r="AH7" s="55"/>
      <c r="AI7" s="55"/>
      <c r="AJ7" s="55"/>
      <c r="AK7" s="55"/>
      <c r="AL7" s="56"/>
      <c r="AM7" s="54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6"/>
      <c r="BJ7" s="55"/>
      <c r="BK7" s="23"/>
    </row>
    <row r="8" spans="1:63" ht="15" customHeight="1" x14ac:dyDescent="0.25">
      <c r="A8" s="22"/>
      <c r="C8" s="57"/>
      <c r="U8" s="57"/>
      <c r="AD8" s="57"/>
      <c r="AM8" s="57"/>
      <c r="BI8" s="59"/>
    </row>
    <row r="9" spans="1:63" ht="15" customHeight="1" x14ac:dyDescent="0.25">
      <c r="A9" s="22"/>
      <c r="C9" s="57"/>
      <c r="U9" s="57"/>
      <c r="AD9" s="57"/>
      <c r="AM9" s="57"/>
      <c r="BI9" s="59"/>
    </row>
    <row r="10" spans="1:63" ht="15" customHeight="1" x14ac:dyDescent="0.25">
      <c r="A10" s="22"/>
      <c r="C10" s="57"/>
      <c r="U10" s="57"/>
      <c r="AD10" s="57"/>
      <c r="AM10" s="57"/>
      <c r="BI10" s="59"/>
    </row>
    <row r="11" spans="1:63" ht="15" customHeight="1" x14ac:dyDescent="0.25">
      <c r="A11" s="22"/>
      <c r="C11" s="57"/>
      <c r="U11" s="57"/>
      <c r="AD11" s="57"/>
      <c r="AM11" s="57"/>
      <c r="BI11" s="59"/>
    </row>
    <row r="12" spans="1:63" ht="15" customHeight="1" x14ac:dyDescent="0.25">
      <c r="A12" s="22"/>
      <c r="C12" s="57"/>
      <c r="U12" s="57"/>
      <c r="AD12" s="57"/>
      <c r="AM12" s="57"/>
      <c r="AX12" s="18" t="s">
        <v>30</v>
      </c>
      <c r="BI12" s="59"/>
    </row>
    <row r="13" spans="1:63" ht="15" customHeight="1" x14ac:dyDescent="0.25">
      <c r="A13" s="22"/>
      <c r="C13" s="57"/>
      <c r="U13" s="57"/>
      <c r="AD13" s="57"/>
      <c r="AM13" s="57"/>
      <c r="BI13" s="59"/>
    </row>
    <row r="14" spans="1:63" ht="15" customHeight="1" x14ac:dyDescent="0.25">
      <c r="A14" s="22"/>
      <c r="C14" s="57"/>
      <c r="U14" s="57"/>
      <c r="AD14" s="57"/>
      <c r="AM14" s="57"/>
      <c r="BI14" s="59"/>
    </row>
    <row r="15" spans="1:63" ht="15" customHeight="1" x14ac:dyDescent="0.25">
      <c r="A15" s="22"/>
      <c r="C15" s="57"/>
      <c r="U15" s="57"/>
      <c r="AD15" s="57"/>
      <c r="AM15" s="57"/>
      <c r="BI15" s="59"/>
    </row>
    <row r="16" spans="1:63" ht="15" customHeight="1" x14ac:dyDescent="0.25">
      <c r="A16" s="22"/>
      <c r="C16" s="57"/>
      <c r="U16" s="57"/>
      <c r="AD16" s="57"/>
      <c r="AM16" s="57"/>
      <c r="BI16" s="59"/>
    </row>
    <row r="17" spans="1:61" ht="15" customHeight="1" x14ac:dyDescent="0.25">
      <c r="A17" s="22"/>
      <c r="C17" s="57"/>
      <c r="U17" s="57"/>
      <c r="AD17" s="57"/>
      <c r="AM17" s="57"/>
      <c r="BI17" s="59"/>
    </row>
    <row r="18" spans="1:61" ht="15" customHeight="1" x14ac:dyDescent="0.25">
      <c r="A18" s="22"/>
      <c r="C18" s="57"/>
      <c r="U18" s="57"/>
      <c r="AD18" s="57"/>
      <c r="AM18" s="57"/>
      <c r="BI18" s="59"/>
    </row>
    <row r="19" spans="1:61" ht="15" customHeight="1" x14ac:dyDescent="0.25">
      <c r="A19" s="22"/>
      <c r="C19" s="57"/>
      <c r="U19" s="57"/>
      <c r="AD19" s="57"/>
      <c r="AM19" s="57"/>
      <c r="BI19" s="59"/>
    </row>
    <row r="20" spans="1:61" ht="15" customHeight="1" x14ac:dyDescent="0.25">
      <c r="A20" s="22"/>
      <c r="C20" s="57"/>
      <c r="U20" s="57"/>
      <c r="AD20" s="57"/>
      <c r="AM20" s="57"/>
      <c r="BI20" s="59"/>
    </row>
    <row r="21" spans="1:61" ht="15" customHeight="1" x14ac:dyDescent="0.25">
      <c r="A21" s="22"/>
      <c r="C21" s="57"/>
      <c r="U21" s="57"/>
      <c r="AD21" s="57"/>
      <c r="AM21" s="57"/>
      <c r="BI21" s="59"/>
    </row>
    <row r="22" spans="1:61" ht="15" customHeight="1" x14ac:dyDescent="0.25">
      <c r="A22" s="22"/>
      <c r="C22" s="57"/>
      <c r="U22" s="57"/>
      <c r="AD22" s="57"/>
      <c r="AM22" s="57"/>
      <c r="BI22" s="59"/>
    </row>
    <row r="23" spans="1:61" ht="15" customHeight="1" x14ac:dyDescent="0.25">
      <c r="A23" s="22"/>
      <c r="C23" s="57"/>
      <c r="U23" s="57"/>
      <c r="AD23" s="57"/>
      <c r="AM23" s="57"/>
      <c r="BI23" s="59"/>
    </row>
    <row r="24" spans="1:61" ht="15" customHeight="1" x14ac:dyDescent="0.25">
      <c r="A24" s="22"/>
      <c r="C24" s="57"/>
      <c r="U24" s="57"/>
      <c r="AD24" s="57"/>
      <c r="AM24" s="57"/>
      <c r="BI24" s="59"/>
    </row>
    <row r="25" spans="1:61" ht="15" customHeight="1" x14ac:dyDescent="0.25">
      <c r="A25" s="22"/>
      <c r="C25" s="57"/>
      <c r="U25" s="57"/>
      <c r="AD25" s="57"/>
      <c r="AM25" s="57"/>
      <c r="BI25" s="59"/>
    </row>
    <row r="26" spans="1:61" ht="15" customHeight="1" x14ac:dyDescent="0.25">
      <c r="A26" s="22"/>
      <c r="C26" s="57"/>
      <c r="U26" s="57"/>
      <c r="AD26" s="57"/>
      <c r="AM26" s="57"/>
      <c r="BI26" s="59"/>
    </row>
    <row r="27" spans="1:61" ht="15" customHeight="1" x14ac:dyDescent="0.25">
      <c r="A27" s="22"/>
      <c r="C27" s="57"/>
      <c r="U27" s="57"/>
      <c r="AD27" s="57"/>
      <c r="AM27" s="57"/>
      <c r="BI27" s="59"/>
    </row>
    <row r="28" spans="1:61" ht="15" customHeight="1" x14ac:dyDescent="0.25">
      <c r="A28" s="22"/>
      <c r="C28" s="57"/>
      <c r="U28" s="57"/>
      <c r="AD28" s="57"/>
      <c r="AM28" s="57"/>
      <c r="BI28" s="59"/>
    </row>
    <row r="29" spans="1:61" ht="15" customHeight="1" x14ac:dyDescent="0.25">
      <c r="A29" s="22"/>
      <c r="C29" s="57"/>
      <c r="U29" s="57"/>
      <c r="AD29" s="57"/>
      <c r="AM29" s="57"/>
      <c r="BI29" s="59"/>
    </row>
    <row r="30" spans="1:61" ht="15" customHeight="1" x14ac:dyDescent="0.25">
      <c r="A30" s="22"/>
      <c r="C30" s="57"/>
      <c r="U30" s="57"/>
      <c r="AD30" s="57"/>
      <c r="AM30" s="57"/>
      <c r="BI30" s="59"/>
    </row>
    <row r="31" spans="1:61" ht="15" customHeight="1" x14ac:dyDescent="0.25">
      <c r="A31" s="22"/>
      <c r="C31" s="57"/>
      <c r="U31" s="57"/>
      <c r="AD31" s="57"/>
      <c r="AM31" s="57"/>
      <c r="BI31" s="59"/>
    </row>
    <row r="32" spans="1:61" ht="15" customHeight="1" x14ac:dyDescent="0.25">
      <c r="A32" s="22"/>
      <c r="C32" s="57"/>
      <c r="U32" s="57"/>
      <c r="AD32" s="57"/>
      <c r="AM32" s="57"/>
      <c r="BI32" s="59"/>
    </row>
    <row r="33" spans="1:61" ht="15" customHeight="1" x14ac:dyDescent="0.25">
      <c r="A33" s="22"/>
      <c r="C33" s="57"/>
      <c r="U33" s="57"/>
      <c r="AD33" s="57"/>
      <c r="AM33" s="57"/>
      <c r="BI33" s="59"/>
    </row>
    <row r="34" spans="1:61" ht="15" customHeight="1" x14ac:dyDescent="0.25">
      <c r="A34" s="22"/>
      <c r="C34" s="57"/>
      <c r="U34" s="57"/>
      <c r="AD34" s="57"/>
      <c r="AM34" s="57"/>
      <c r="BI34" s="59"/>
    </row>
    <row r="35" spans="1:61" ht="15" customHeight="1" x14ac:dyDescent="0.25">
      <c r="A35" s="22"/>
      <c r="C35" s="57"/>
      <c r="U35" s="57"/>
      <c r="AD35" s="57"/>
      <c r="AM35" s="57"/>
      <c r="BI35" s="59"/>
    </row>
    <row r="36" spans="1:61" ht="15" customHeight="1" x14ac:dyDescent="0.25">
      <c r="A36" s="22"/>
      <c r="C36" s="57"/>
      <c r="U36" s="57"/>
      <c r="AD36" s="57"/>
      <c r="AM36" s="57"/>
      <c r="BI36" s="59"/>
    </row>
    <row r="37" spans="1:61" ht="15" customHeight="1" x14ac:dyDescent="0.25">
      <c r="A37" s="22"/>
      <c r="C37" s="57"/>
      <c r="U37" s="57"/>
      <c r="AD37" s="57"/>
      <c r="AM37" s="57"/>
      <c r="BI37" s="59"/>
    </row>
    <row r="38" spans="1:61" ht="15" customHeight="1" x14ac:dyDescent="0.25">
      <c r="A38" s="22"/>
      <c r="C38" s="57"/>
      <c r="U38" s="57"/>
      <c r="AD38" s="57"/>
      <c r="AM38" s="57"/>
      <c r="BI38" s="59"/>
    </row>
    <row r="39" spans="1:61" ht="15" customHeight="1" x14ac:dyDescent="0.25">
      <c r="A39" s="22"/>
      <c r="C39" s="57"/>
      <c r="U39" s="57"/>
      <c r="AD39" s="57"/>
      <c r="AM39" s="57"/>
      <c r="BI39" s="59"/>
    </row>
    <row r="40" spans="1:61" ht="15" customHeight="1" x14ac:dyDescent="0.25">
      <c r="A40" s="22"/>
      <c r="C40" s="57"/>
      <c r="U40" s="57"/>
      <c r="AD40" s="57"/>
      <c r="AM40" s="57"/>
      <c r="BI40" s="59"/>
    </row>
    <row r="41" spans="1:61" ht="15" customHeight="1" x14ac:dyDescent="0.25">
      <c r="A41" s="22"/>
      <c r="C41" s="57"/>
      <c r="U41" s="57"/>
      <c r="AD41" s="57"/>
      <c r="AM41" s="57"/>
      <c r="BI41" s="59"/>
    </row>
    <row r="42" spans="1:61" ht="15" customHeight="1" x14ac:dyDescent="0.25">
      <c r="A42" s="22"/>
      <c r="C42" s="57"/>
      <c r="U42" s="57"/>
      <c r="AD42" s="57"/>
      <c r="AM42" s="57"/>
      <c r="BI42" s="59"/>
    </row>
    <row r="43" spans="1:61" ht="15" customHeight="1" x14ac:dyDescent="0.25">
      <c r="A43" s="22"/>
      <c r="C43" s="57"/>
      <c r="U43" s="57"/>
      <c r="AD43" s="57"/>
      <c r="AM43" s="57"/>
      <c r="BI43" s="59"/>
    </row>
    <row r="44" spans="1:61" ht="15" customHeight="1" x14ac:dyDescent="0.25">
      <c r="A44" s="22"/>
      <c r="C44" s="57"/>
      <c r="U44" s="57"/>
      <c r="AD44" s="57"/>
      <c r="AM44" s="57"/>
      <c r="BI44" s="59"/>
    </row>
    <row r="45" spans="1:61" ht="15" customHeight="1" x14ac:dyDescent="0.25">
      <c r="A45" s="22"/>
      <c r="C45" s="57"/>
      <c r="U45" s="57"/>
      <c r="AD45" s="57"/>
      <c r="AM45" s="57"/>
      <c r="BI45" s="59"/>
    </row>
    <row r="46" spans="1:61" ht="15" customHeight="1" x14ac:dyDescent="0.25">
      <c r="A46" s="22"/>
      <c r="C46" s="57"/>
      <c r="U46" s="57"/>
      <c r="AD46" s="57"/>
      <c r="AM46" s="57"/>
      <c r="BI46" s="59"/>
    </row>
    <row r="47" spans="1:61" ht="15" customHeight="1" x14ac:dyDescent="0.25">
      <c r="A47" s="22"/>
      <c r="C47" s="57"/>
      <c r="U47" s="57"/>
      <c r="AD47" s="57"/>
      <c r="AM47" s="57"/>
      <c r="BI47" s="59"/>
    </row>
    <row r="48" spans="1:61" ht="15" customHeight="1" x14ac:dyDescent="0.25">
      <c r="A48" s="22"/>
      <c r="C48" s="57"/>
      <c r="U48" s="57"/>
      <c r="AD48" s="57"/>
      <c r="AM48" s="57"/>
      <c r="BI48" s="59"/>
    </row>
    <row r="49" spans="1:63" ht="15" customHeight="1" x14ac:dyDescent="0.25">
      <c r="A49" s="22"/>
      <c r="C49" s="57"/>
      <c r="U49" s="57"/>
      <c r="AD49" s="57"/>
      <c r="AM49" s="57"/>
      <c r="BI49" s="59"/>
    </row>
    <row r="50" spans="1:63" ht="15" customHeight="1" x14ac:dyDescent="0.25">
      <c r="A50" s="22"/>
      <c r="C50" s="57"/>
      <c r="U50" s="57"/>
      <c r="AD50" s="57"/>
      <c r="AM50" s="57"/>
      <c r="BI50" s="59"/>
    </row>
    <row r="51" spans="1:63" ht="15" customHeight="1" x14ac:dyDescent="0.25">
      <c r="A51" s="22"/>
      <c r="C51" s="57"/>
      <c r="U51" s="57"/>
      <c r="AD51" s="57"/>
      <c r="AM51" s="57"/>
      <c r="BI51" s="59"/>
    </row>
    <row r="52" spans="1:63" ht="15" customHeight="1" x14ac:dyDescent="0.25">
      <c r="A52" s="22"/>
      <c r="C52" s="57"/>
      <c r="U52" s="57"/>
      <c r="AD52" s="57"/>
      <c r="AM52" s="57"/>
      <c r="BI52" s="59"/>
    </row>
    <row r="53" spans="1:63" ht="15" customHeight="1" x14ac:dyDescent="0.25">
      <c r="A53" s="22"/>
      <c r="C53" s="57"/>
      <c r="U53" s="57"/>
      <c r="AD53" s="57"/>
      <c r="AM53" s="57"/>
      <c r="BI53" s="59"/>
    </row>
    <row r="54" spans="1:63" ht="15" customHeight="1" x14ac:dyDescent="0.25">
      <c r="A54" s="22"/>
      <c r="C54" s="57"/>
      <c r="U54" s="57"/>
      <c r="AD54" s="57"/>
      <c r="AM54" s="57"/>
      <c r="BI54" s="59"/>
    </row>
    <row r="55" spans="1:63" ht="15" customHeight="1" x14ac:dyDescent="0.25">
      <c r="A55" s="19"/>
      <c r="B55" s="65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65"/>
      <c r="V55" s="20"/>
      <c r="W55" s="20"/>
      <c r="X55" s="20"/>
      <c r="Y55" s="20"/>
      <c r="Z55" s="20"/>
      <c r="AA55" s="20"/>
      <c r="AB55" s="20"/>
      <c r="AC55" s="20"/>
      <c r="AD55" s="65"/>
      <c r="AE55" s="20"/>
      <c r="AF55" s="20"/>
      <c r="AG55" s="20"/>
      <c r="AH55" s="20"/>
      <c r="AI55" s="20"/>
      <c r="AJ55" s="20"/>
      <c r="AK55" s="20"/>
      <c r="AL55" s="20"/>
      <c r="AM55" s="65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66"/>
      <c r="BJ55" s="20"/>
      <c r="BK55" s="21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79EA9F-0D30-43F8-BD4C-2E65903A73BD}"/>
</file>

<file path=customXml/itemProps2.xml><?xml version="1.0" encoding="utf-8"?>
<ds:datastoreItem xmlns:ds="http://schemas.openxmlformats.org/officeDocument/2006/customXml" ds:itemID="{D83FF61F-3134-49FF-A905-DCC14C29C0BD}"/>
</file>

<file path=customXml/itemProps3.xml><?xml version="1.0" encoding="utf-8"?>
<ds:datastoreItem xmlns:ds="http://schemas.openxmlformats.org/officeDocument/2006/customXml" ds:itemID="{A4622C98-DC11-4B8A-A8E2-C52A625CA5E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業務フロー凡例!Print_Area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2024-05-22T04:16:56Z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