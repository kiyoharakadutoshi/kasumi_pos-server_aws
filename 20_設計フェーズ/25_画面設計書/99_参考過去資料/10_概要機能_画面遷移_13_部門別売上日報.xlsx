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30"/>
  <workbookPr/>
  <mc:AlternateContent xmlns:mc="http://schemas.openxmlformats.org/markup-compatibility/2006">
    <mc:Choice Requires="x15">
      <x15ac:absPath xmlns:x15ac="http://schemas.microsoft.com/office/spreadsheetml/2010/11/ac" url="D:\POS\30_implementation\32_design\JP\30_POSサーバー\10_機能概要_画面遷移\"/>
    </mc:Choice>
  </mc:AlternateContent>
  <xr:revisionPtr revIDLastSave="0" documentId="13_ncr:1_{6B22BD8B-083E-442F-A520-F220439A9ABF}" xr6:coauthVersionLast="47" xr6:coauthVersionMax="47" xr10:uidLastSave="{00000000-0000-0000-0000-000000000000}"/>
  <bookViews>
    <workbookView xWindow="-120" yWindow="-120" windowWidth="29040" windowHeight="15720" firstSheet="4" activeTab="4" xr2:uid="{00000000-000D-0000-FFFF-FFFF00000000}"/>
  </bookViews>
  <sheets>
    <sheet name="表紙" sheetId="4" r:id="rId1"/>
    <sheet name="改訂履歴" sheetId="3" r:id="rId2"/>
    <sheet name="業務フロー凡例" sheetId="6" r:id="rId3"/>
    <sheet name="機能概要説明" sheetId="8" r:id="rId4"/>
    <sheet name="機能概要" sheetId="9" r:id="rId5"/>
    <sheet name="画面設計書" sheetId="7" r:id="rId6"/>
    <sheet name="テンプレート" sheetId="2" r:id="rId7"/>
  </sheets>
  <definedNames>
    <definedName name="_xlnm.Print_Area" localSheetId="6">テンプレート!$A$1:$BK$55</definedName>
    <definedName name="_xlnm.Print_Area" localSheetId="1">改訂履歴!$A$1:$BK$55</definedName>
    <definedName name="_xlnm.Print_Area" localSheetId="4">機能概要!$A$1:$BK$134</definedName>
    <definedName name="_xlnm.Print_Area" localSheetId="3">機能概要説明!$A$1:$BK$55</definedName>
    <definedName name="_xlnm.Print_Area" localSheetId="0">表紙!$A$1:$BK$55</definedName>
    <definedName name="_xlnm.Print_Titles" localSheetId="6">テンプレート!$1:$5</definedName>
    <definedName name="_xlnm.Print_Titles" localSheetId="1">改訂履歴!$1:$5</definedName>
    <definedName name="_xlnm.Print_Titles" localSheetId="2">業務フロー凡例!$1:$5</definedName>
    <definedName name="_xlnm.Print_Titles" localSheetId="4">機能概要!$1:$5</definedName>
    <definedName name="_xlnm.Print_Titles" localSheetId="3">機能概要説明!$1:$5</definedName>
    <definedName name="_xlnm.Print_Titles" localSheetId="0">表紙!$1:$5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4" i="2" l="1"/>
  <c r="Z4" i="2"/>
  <c r="H4" i="2"/>
  <c r="K2" i="2"/>
  <c r="A2" i="2"/>
  <c r="W1" i="2"/>
  <c r="AP4" i="7"/>
  <c r="Z4" i="7"/>
  <c r="H4" i="7"/>
  <c r="K2" i="7"/>
  <c r="A2" i="7"/>
  <c r="W1" i="7"/>
  <c r="BM7" i="9"/>
  <c r="BM8" i="9" s="1"/>
  <c r="BM9" i="9" s="1"/>
  <c r="BM10" i="9" s="1"/>
  <c r="BM11" i="9" s="1"/>
  <c r="BM12" i="9" s="1"/>
  <c r="BM13" i="9" s="1"/>
  <c r="BM14" i="9" s="1"/>
  <c r="BM15" i="9" s="1"/>
  <c r="BM16" i="9" s="1"/>
  <c r="BM17" i="9" s="1"/>
  <c r="BM18" i="9" s="1"/>
  <c r="BM19" i="9" s="1"/>
  <c r="BM20" i="9" s="1"/>
  <c r="BM21" i="9" s="1"/>
  <c r="BM22" i="9" s="1"/>
  <c r="BM23" i="9" s="1"/>
  <c r="BM24" i="9" s="1"/>
  <c r="BM25" i="9" s="1"/>
  <c r="BM26" i="9" s="1"/>
  <c r="BM27" i="9" s="1"/>
  <c r="BM28" i="9" s="1"/>
  <c r="BM29" i="9" s="1"/>
  <c r="BM30" i="9" s="1"/>
  <c r="BM31" i="9" s="1"/>
  <c r="BM32" i="9" s="1"/>
  <c r="BM33" i="9" s="1"/>
  <c r="BM34" i="9" s="1"/>
  <c r="BM35" i="9" s="1"/>
  <c r="BM36" i="9" s="1"/>
  <c r="BM37" i="9" s="1"/>
  <c r="BM38" i="9" s="1"/>
  <c r="BM39" i="9" s="1"/>
  <c r="BM40" i="9" s="1"/>
  <c r="BM41" i="9" s="1"/>
  <c r="BM42" i="9" s="1"/>
  <c r="BM43" i="9" s="1"/>
  <c r="BM44" i="9" s="1"/>
  <c r="BM45" i="9" s="1"/>
  <c r="BM46" i="9" s="1"/>
  <c r="BM47" i="9" s="1"/>
  <c r="BM48" i="9" s="1"/>
  <c r="BM49" i="9" s="1"/>
  <c r="BM50" i="9" s="1"/>
  <c r="BM51" i="9" s="1"/>
  <c r="BM52" i="9" s="1"/>
  <c r="BM53" i="9" s="1"/>
  <c r="BM54" i="9" s="1"/>
  <c r="BM55" i="9" s="1"/>
  <c r="BM56" i="9" s="1"/>
  <c r="BM57" i="9" s="1"/>
  <c r="BM58" i="9" s="1"/>
  <c r="BM59" i="9" s="1"/>
  <c r="BM60" i="9" s="1"/>
  <c r="BM61" i="9" s="1"/>
  <c r="BM62" i="9" s="1"/>
  <c r="BM63" i="9" s="1"/>
  <c r="BM64" i="9" s="1"/>
  <c r="BM65" i="9" s="1"/>
  <c r="BM66" i="9" s="1"/>
  <c r="BM67" i="9" s="1"/>
  <c r="BM68" i="9" s="1"/>
  <c r="BM69" i="9" s="1"/>
  <c r="BM70" i="9" s="1"/>
  <c r="BM71" i="9" s="1"/>
  <c r="BM72" i="9" s="1"/>
  <c r="BM73" i="9" s="1"/>
  <c r="BM74" i="9" s="1"/>
  <c r="BM75" i="9" s="1"/>
  <c r="BM76" i="9" s="1"/>
  <c r="BM77" i="9" s="1"/>
  <c r="BM78" i="9" s="1"/>
  <c r="BM79" i="9" s="1"/>
  <c r="BM80" i="9" s="1"/>
  <c r="BM81" i="9" s="1"/>
  <c r="BM82" i="9" s="1"/>
  <c r="BM83" i="9" s="1"/>
  <c r="BM84" i="9" s="1"/>
  <c r="BM85" i="9" s="1"/>
  <c r="BM86" i="9" s="1"/>
  <c r="BM87" i="9" s="1"/>
  <c r="BM88" i="9" s="1"/>
  <c r="BM89" i="9" s="1"/>
  <c r="BM90" i="9" s="1"/>
  <c r="BM91" i="9" s="1"/>
  <c r="BM92" i="9" s="1"/>
  <c r="BM93" i="9" s="1"/>
  <c r="BM94" i="9" s="1"/>
  <c r="BM95" i="9" s="1"/>
  <c r="BM96" i="9" s="1"/>
  <c r="BM97" i="9" s="1"/>
  <c r="BM98" i="9" s="1"/>
  <c r="BM99" i="9" s="1"/>
  <c r="BM100" i="9" s="1"/>
  <c r="BM101" i="9" s="1"/>
  <c r="BM102" i="9" s="1"/>
  <c r="BM103" i="9" s="1"/>
  <c r="BM104" i="9" s="1"/>
  <c r="BM105" i="9" s="1"/>
  <c r="BM106" i="9" s="1"/>
  <c r="BM107" i="9" s="1"/>
  <c r="BM108" i="9" s="1"/>
  <c r="BM109" i="9" s="1"/>
  <c r="BM110" i="9" s="1"/>
  <c r="BM111" i="9" s="1"/>
  <c r="BM112" i="9" s="1"/>
  <c r="BM113" i="9" s="1"/>
  <c r="BM114" i="9" s="1"/>
  <c r="BM115" i="9" s="1"/>
  <c r="BM116" i="9" s="1"/>
  <c r="BM117" i="9" s="1"/>
  <c r="BM118" i="9" s="1"/>
  <c r="BM119" i="9" s="1"/>
  <c r="BM120" i="9" s="1"/>
  <c r="BM121" i="9" s="1"/>
  <c r="BM122" i="9" s="1"/>
  <c r="BM123" i="9" s="1"/>
  <c r="BM124" i="9" s="1"/>
  <c r="BM125" i="9" s="1"/>
  <c r="BM126" i="9" s="1"/>
  <c r="BM127" i="9" s="1"/>
  <c r="BM128" i="9" s="1"/>
  <c r="BM129" i="9" s="1"/>
  <c r="BM130" i="9" s="1"/>
  <c r="BM131" i="9" s="1"/>
  <c r="BM132" i="9" s="1"/>
  <c r="AP4" i="9" a="1"/>
  <c r="AP4" i="9" s="1"/>
  <c r="Z4" i="9"/>
  <c r="H4" i="9"/>
  <c r="K2" i="9"/>
  <c r="A2" i="9"/>
  <c r="W1" i="9"/>
  <c r="BM8" i="8"/>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7" i="8"/>
  <c r="AP4" i="8" a="1"/>
  <c r="AP4" i="8" s="1"/>
  <c r="Z4" i="8"/>
  <c r="H4" i="8"/>
  <c r="K2" i="8"/>
  <c r="A2" i="8"/>
  <c r="W1" i="8"/>
  <c r="AP4" i="6" a="1"/>
  <c r="AP4" i="6" s="1"/>
  <c r="Z4" i="6"/>
  <c r="H4" i="6"/>
  <c r="K2" i="6"/>
  <c r="A2" i="6"/>
  <c r="W1" i="6"/>
  <c r="AP4" i="3" a="1"/>
  <c r="AP4" i="3" s="1"/>
  <c r="Z4" i="3"/>
  <c r="H4" i="3"/>
  <c r="K2" i="3"/>
  <c r="A2" i="3"/>
  <c r="W1" i="3"/>
  <c r="L24" i="4"/>
  <c r="AP4" i="4" a="1"/>
  <c r="AP4" i="4" s="1"/>
  <c r="BH2" i="4"/>
  <c r="BH2" i="9" s="1"/>
  <c r="BC2" i="4"/>
  <c r="BC2" i="2" s="1"/>
  <c r="AY2" i="4"/>
  <c r="AY2" i="7" s="1"/>
  <c r="AT2" i="4"/>
  <c r="AT2" i="8" s="1"/>
  <c r="AP2" i="4"/>
  <c r="AP2" i="9" s="1"/>
  <c r="AT2" i="3" l="1"/>
  <c r="AT2" i="9"/>
  <c r="BC2" i="7"/>
  <c r="AP2" i="2"/>
  <c r="BH2" i="2"/>
  <c r="AY2" i="6"/>
  <c r="AY2" i="8"/>
  <c r="AY2" i="3"/>
  <c r="BC2" i="6"/>
  <c r="BC2" i="8"/>
  <c r="AY2" i="9"/>
  <c r="AP2" i="7"/>
  <c r="BH2" i="7"/>
  <c r="AT2" i="2"/>
  <c r="BC2" i="3"/>
  <c r="BH2" i="6"/>
  <c r="AP2" i="8"/>
  <c r="BH2" i="8"/>
  <c r="BC2" i="9"/>
  <c r="AT2" i="7"/>
  <c r="AY2" i="2"/>
  <c r="AP2" i="3"/>
  <c r="BH2" i="3"/>
  <c r="AP2" i="6"/>
</calcChain>
</file>

<file path=xl/sharedStrings.xml><?xml version="1.0" encoding="utf-8"?>
<sst xmlns="http://schemas.openxmlformats.org/spreadsheetml/2006/main" count="204" uniqueCount="86">
  <si>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</si>
  <si>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</si>
  <si>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</si>
  <si>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</si>
  <si>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</si>
  <si>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</si>
  <si>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</si>
  <si>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</si>
  <si>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</si>
  <si>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000000"/>
        <rFont val="Meiryo UI"/>
        <family val="2"/>
      </rPr>
      <t>POSサーバー</t>
    </r>
  </si>
  <si>
    <r>
      <rPr>
        <sz val="11"/>
        <color rgb="FFFFFFFF"/>
        <rFont val="Meiryo UI"/>
        <family val="2"/>
      </rPr>
      <t>機能カテゴリ</t>
    </r>
  </si>
  <si>
    <r>
      <rPr>
        <sz val="11"/>
        <color rgb="FF000000"/>
        <rFont val="Meiryo UI"/>
        <family val="2"/>
      </rPr>
      <t>13_部門別売上日報</t>
    </r>
  </si>
  <si>
    <r>
      <rPr>
        <sz val="11"/>
        <color rgb="FFFFFFFF"/>
        <rFont val="Meiryo UI"/>
        <family val="2"/>
      </rPr>
      <t>項目</t>
    </r>
  </si>
  <si>
    <r>
      <rPr>
        <sz val="11"/>
        <color rgb="FF000000"/>
        <rFont val="Meiryo UI"/>
        <family val="2"/>
      </rPr>
      <t>概要設計書</t>
    </r>
  </si>
  <si>
    <t>POSサーバーの基本設計書</t>
  </si>
  <si>
    <r>
      <rPr>
        <sz val="11"/>
        <color rgb="FFFFFFFF"/>
        <rFont val="Meiryo UI"/>
        <family val="2"/>
      </rPr>
      <t>承認日</t>
    </r>
  </si>
  <si>
    <r>
      <rPr>
        <sz val="11"/>
        <color rgb="FFFFFFFF"/>
        <rFont val="Meiryo UI"/>
        <family val="2"/>
      </rPr>
      <t>承認者</t>
    </r>
  </si>
  <si>
    <r>
      <rPr>
        <sz val="11"/>
        <color rgb="FF000000"/>
        <rFont val="Meiryo UI"/>
        <family val="2"/>
      </rPr>
      <t>■改訂履歴</t>
    </r>
  </si>
  <si>
    <r>
      <rPr>
        <sz val="11"/>
        <color rgb="FFFFFFFF"/>
        <rFont val="Meiryo UI"/>
        <family val="2"/>
      </rPr>
      <t>更新内容</t>
    </r>
  </si>
  <si>
    <t>AnhDD</t>
  </si>
  <si>
    <r>
      <rPr>
        <sz val="11"/>
        <color rgb="FF000000"/>
        <rFont val="Meiryo UI"/>
        <family val="2"/>
      </rPr>
      <t>新規作成</t>
    </r>
  </si>
  <si>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</si>
  <si>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</si>
  <si>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</si>
  <si>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</si>
  <si>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</si>
  <si>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</si>
  <si>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</si>
  <si>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</si>
  <si>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</si>
  <si>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sz val="11"/>
        <color rgb="FFFFFFFF"/>
        <rFont val="Meiryo UI"/>
        <family val="3"/>
        <charset val="128"/>
      </rPr>
      <t>●1_レジ内</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</si>
  <si>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</si>
  <si>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</si>
  <si>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部門別売上日報機能により、次のことが可能になる。</t>
    </r>
  </si>
  <si>
    <r>
      <rPr>
        <sz val="11"/>
        <color rgb="FF000000"/>
        <rFont val="Meiryo UI"/>
        <family val="2"/>
      </rPr>
      <t>・商品部門と日報のオプションにより売上日報を作成する。</t>
    </r>
  </si>
  <si>
    <r>
      <rPr>
        <sz val="11"/>
        <color rgb="FF000000"/>
        <rFont val="Meiryo UI"/>
        <family val="2"/>
      </rPr>
      <t>・売上日報を印刷する。</t>
    </r>
  </si>
  <si>
    <r>
      <rPr>
        <sz val="11"/>
        <color rgb="FF000000"/>
        <rFont val="Meiryo UI"/>
        <family val="2"/>
      </rPr>
      <t>・商品部門レベルの拡大と絞り込みを行う。</t>
    </r>
  </si>
  <si>
    <t>・時間別の売上時間帯をさらに表示する。</t>
  </si>
  <si>
    <t>・時間帯と日報のオプションにより売上日報を作成する。</t>
  </si>
  <si>
    <t>・売上日報を印刷する。</t>
  </si>
  <si>
    <t>●13_部門別売上日報</t>
  </si>
  <si>
    <r>
      <rPr>
        <sz val="11"/>
        <color rgb="FF000000"/>
        <rFont val="Meiryo UI"/>
        <family val="2"/>
      </rPr>
      <t>名称</t>
    </r>
  </si>
  <si>
    <r>
      <rPr>
        <sz val="11"/>
        <color rgb="FF000000"/>
        <rFont val="Meiryo UI"/>
        <family val="2"/>
      </rPr>
      <t>売上</t>
    </r>
  </si>
  <si>
    <r>
      <rPr>
        <sz val="11"/>
        <color rgb="FF000000"/>
        <rFont val="Meiryo UI"/>
        <family val="2"/>
      </rPr>
      <t>予算(千)</t>
    </r>
  </si>
  <si>
    <r>
      <rPr>
        <sz val="11"/>
        <color rgb="FF000000"/>
        <rFont val="Meiryo UI"/>
        <family val="2"/>
      </rPr>
      <t>達成率</t>
    </r>
  </si>
  <si>
    <r>
      <rPr>
        <sz val="11"/>
        <color rgb="FF000000"/>
        <rFont val="Meiryo UI"/>
        <family val="2"/>
      </rPr>
      <t>構成比</t>
    </r>
  </si>
  <si>
    <r>
      <rPr>
        <sz val="11"/>
        <color rgb="FF000000"/>
        <rFont val="Meiryo UI"/>
        <family val="2"/>
      </rPr>
      <t>客数</t>
    </r>
  </si>
  <si>
    <r>
      <rPr>
        <sz val="11"/>
        <color rgb="FF000000"/>
        <rFont val="Meiryo UI"/>
        <family val="2"/>
      </rPr>
      <t>点数</t>
    </r>
  </si>
  <si>
    <r>
      <rPr>
        <sz val="11"/>
        <color rgb="FF000000"/>
        <rFont val="Meiryo UI"/>
        <family val="2"/>
      </rPr>
      <t>値引金額</t>
    </r>
  </si>
  <si>
    <r>
      <rPr>
        <sz val="11"/>
        <color rgb="FF000000"/>
        <rFont val="Meiryo UI"/>
        <family val="2"/>
      </rPr>
      <t>Q&amp;A:</t>
    </r>
  </si>
  <si>
    <r>
      <rPr>
        <sz val="11"/>
        <color rgb="FF000000"/>
        <rFont val="Meiryo UI"/>
        <family val="2"/>
      </rPr>
      <t>マニュアルには部門別の売上日報と品群別の売上日報がありますので、</t>
    </r>
  </si>
  <si>
    <r>
      <rPr>
        <sz val="11"/>
        <color rgb="FF000000"/>
        <rFont val="Meiryo UI"/>
        <family val="2"/>
      </rPr>
      <t>品種と分類別売上日報を出力するケースはあるのでしょうか。</t>
    </r>
  </si>
  <si>
    <r>
      <rPr>
        <sz val="11"/>
        <color rgb="FF000000"/>
        <rFont val="Meiryo UI"/>
        <family val="2"/>
      </rPr>
      <t>■ログイン画面のイメージ</t>
    </r>
  </si>
  <si>
    <t>■画面項目定義</t>
  </si>
  <si>
    <t>画面項目ID</t>
  </si>
  <si>
    <t>項目</t>
  </si>
  <si>
    <t>タイプ</t>
  </si>
  <si>
    <r>
      <rPr>
        <sz val="11"/>
        <color rgb="FF000000"/>
        <rFont val="Meiryo UI"/>
        <family val="2"/>
      </rPr>
      <t>I/O</t>
    </r>
  </si>
  <si>
    <t>多言語対象</t>
  </si>
  <si>
    <t>アウトプット</t>
  </si>
  <si>
    <t>インプット</t>
  </si>
  <si>
    <t>備考</t>
  </si>
  <si>
    <t>マッピングデータ</t>
  </si>
  <si>
    <t>初期値</t>
  </si>
  <si>
    <t>表示コントロール</t>
  </si>
  <si>
    <t>Control enable</t>
  </si>
  <si>
    <r>
      <rPr>
        <sz val="11"/>
        <color rgb="FF000000"/>
        <rFont val="Meiryo UI"/>
        <family val="2"/>
      </rPr>
      <t>必須</t>
    </r>
  </si>
  <si>
    <t>数字</t>
  </si>
  <si>
    <t>文字</t>
  </si>
  <si>
    <t>API名</t>
  </si>
  <si>
    <r>
      <rPr>
        <sz val="11"/>
        <color rgb="FF000000"/>
        <rFont val="Meiryo UI"/>
        <family val="2"/>
      </rPr>
      <t>テキスト</t>
    </r>
  </si>
  <si>
    <t>－</t>
  </si>
  <si>
    <t>●</t>
  </si>
  <si>
    <t>Android POS Control</t>
  </si>
  <si>
    <r>
      <rPr>
        <sz val="11"/>
        <color rgb="FF000000"/>
        <rFont val="Meiryo UI"/>
        <family val="2"/>
      </rPr>
      <t>ー</t>
    </r>
  </si>
  <si>
    <r>
      <rPr>
        <sz val="11"/>
        <color rgb="FF000000"/>
        <rFont val="Meiryo UI"/>
        <family val="2"/>
      </rPr>
      <t>－</t>
    </r>
  </si>
  <si>
    <r>
      <rPr>
        <sz val="11"/>
        <color rgb="FF000000"/>
        <rFont val="Meiryo UI"/>
        <family val="2"/>
      </rPr>
      <t>O</t>
    </r>
  </si>
  <si>
    <t>User ID</t>
  </si>
  <si>
    <r>
      <rPr>
        <sz val="11"/>
        <color rgb="FF000000"/>
        <rFont val="Meiryo UI"/>
        <family val="2"/>
      </rPr>
      <t>I</t>
    </r>
  </si>
  <si>
    <r>
      <rPr>
        <sz val="11"/>
        <color rgb="FF000000"/>
        <rFont val="Meiryo UI"/>
        <family val="2"/>
      </rPr>
      <t>Password</t>
    </r>
  </si>
  <si>
    <r>
      <rPr>
        <sz val="11"/>
        <color rgb="FF000000"/>
        <rFont val="Meiryo UI"/>
        <family val="2"/>
      </rPr>
      <t>EditText</t>
    </r>
  </si>
  <si>
    <r>
      <rPr>
        <sz val="11"/>
        <color rgb="FF000000"/>
        <rFont val="Meiryo UI"/>
        <family val="2"/>
      </rPr>
      <t>ボタン</t>
    </r>
  </si>
  <si>
    <t>Login</t>
  </si>
  <si>
    <r>
      <rPr>
        <sz val="11"/>
        <color rgb="FF000000"/>
        <rFont val="Meiryo UI"/>
        <family val="2"/>
      </rPr>
      <t>Enable</t>
    </r>
  </si>
  <si>
    <r>
      <rPr>
        <sz val="11"/>
        <color rgb="FF000000"/>
        <rFont val="Meiryo UI"/>
        <family val="2"/>
      </rPr>
      <t>Login-01/EmployeeMaster</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</si>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</sst>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_-&quot;¥&quot;* #,##0_-;\-&quot;¥&quot;* #,##0_-;_-&quot;¥&quot;* &quot;-&quot;_-;_-@_-"/>
    <numFmt numFmtId="177" formatCode="_-* #,##0_-;\-* #,##0_-;_-* &quot;-&quot;_-;_-@_-"/>
    <numFmt numFmtId="178" formatCode="_-&quot;¥&quot;* #,##0.00_-;\-&quot;¥&quot;* #,##0.00_-;_-&quot;¥&quot;* &quot;-&quot;??_-;_-@_-"/>
    <numFmt numFmtId="179" formatCode="_-* #,##0.00_-;\-* #,##0.00_-;_-* &quot;-&quot;??_-;_-@_-"/>
  </numFmts>
  <fonts count="19">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trike/>
      <sz val="11"/>
      <color rgb="FFFF0000"/>
      <name val="Meiryo UI"/>
      <family val="2"/>
    </font>
    <font>
      <sz val="11"/>
      <color rgb="FFFF0000"/>
      <name val="Meiryo UI"/>
      <family val="2"/>
    </font>
  </fonts>
  <fills count="8">
    <fill>
      <patternFill patternType="none"/>
    </fill>
    <fill>
      <patternFill patternType="gray125"/>
    </fill>
    <fill>
      <patternFill patternType="solid">
        <fgColor rgb="FF333399"/>
        <bgColor indexed="64"/>
      </patternFill>
    </fill>
    <fill>
      <patternFill patternType="solid">
        <fgColor rgb="FFFF0000"/>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4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78" fontId="1" fillId="0" borderId="0" applyFont="0" applyFill="0" applyBorder="0" applyAlignment="0" applyProtection="0"/>
    <xf numFmtId="176" fontId="1" fillId="0" borderId="0" applyFont="0" applyFill="0" applyBorder="0" applyAlignment="0" applyProtection="0"/>
    <xf numFmtId="179" fontId="1" fillId="0" borderId="0" applyFont="0" applyFill="0" applyBorder="0" applyAlignment="0" applyProtection="0"/>
    <xf numFmtId="177" fontId="1" fillId="0" borderId="0" applyFont="0" applyFill="0" applyBorder="0" applyAlignment="0" applyProtection="0"/>
    <xf numFmtId="0" fontId="5" fillId="0" borderId="0"/>
    <xf numFmtId="0" fontId="9" fillId="0" borderId="0">
      <alignment vertical="center"/>
    </xf>
  </cellStyleXfs>
  <cellXfs count="302">
    <xf numFmtId="0" fontId="0" fillId="0" borderId="0" xfId="0"/>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7" fillId="0" borderId="18" xfId="7" applyFont="1" applyBorder="1">
      <alignment vertical="center"/>
    </xf>
    <xf numFmtId="0" fontId="7" fillId="0" borderId="20" xfId="7" applyFont="1" applyBorder="1">
      <alignment vertical="center"/>
    </xf>
    <xf numFmtId="0" fontId="14" fillId="0" borderId="0" xfId="0" applyFont="1"/>
    <xf numFmtId="0" fontId="14" fillId="0" borderId="2" xfId="0" applyFont="1" applyBorder="1"/>
    <xf numFmtId="0" fontId="14" fillId="0" borderId="3" xfId="0" applyFont="1" applyBorder="1"/>
    <xf numFmtId="0" fontId="14" fillId="0" borderId="5" xfId="0" applyFont="1" applyBorder="1"/>
    <xf numFmtId="0" fontId="14" fillId="0" borderId="1" xfId="0" applyFont="1" applyBorder="1"/>
    <xf numFmtId="0" fontId="14" fillId="0" borderId="4" xfId="0" applyFont="1" applyBorder="1"/>
    <xf numFmtId="0" fontId="14" fillId="0" borderId="7" xfId="0" applyFont="1" applyBorder="1"/>
    <xf numFmtId="0" fontId="14" fillId="0" borderId="8" xfId="0" applyFont="1" applyBorder="1"/>
    <xf numFmtId="0" fontId="14" fillId="0" borderId="11" xfId="0" applyFont="1" applyBorder="1"/>
    <xf numFmtId="0" fontId="14" fillId="0" borderId="6" xfId="0" applyFont="1" applyBorder="1"/>
    <xf numFmtId="0" fontId="14" fillId="0" borderId="12" xfId="0" applyFont="1" applyBorder="1"/>
    <xf numFmtId="0" fontId="14" fillId="0" borderId="14" xfId="0" applyFont="1" applyBorder="1"/>
    <xf numFmtId="0" fontId="14" fillId="0" borderId="15" xfId="0" applyFont="1" applyBorder="1"/>
    <xf numFmtId="0" fontId="14" fillId="0" borderId="9" xfId="0" applyFont="1" applyBorder="1"/>
    <xf numFmtId="0" fontId="14" fillId="0" borderId="10" xfId="0" applyFont="1" applyBorder="1"/>
    <xf numFmtId="0" fontId="14" fillId="0" borderId="13" xfId="0" applyFont="1" applyBorder="1"/>
    <xf numFmtId="0" fontId="0" fillId="0" borderId="2" xfId="0" applyBorder="1"/>
    <xf numFmtId="0" fontId="0" fillId="0" borderId="3" xfId="0" applyBorder="1"/>
    <xf numFmtId="0" fontId="0" fillId="0" borderId="5" xfId="0"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0" fillId="0" borderId="0" xfId="7" applyFont="1">
      <alignment vertical="center"/>
    </xf>
    <xf numFmtId="0" fontId="10" fillId="0" borderId="19" xfId="7" applyFont="1" applyBorder="1">
      <alignment vertical="center"/>
    </xf>
    <xf numFmtId="0" fontId="10" fillId="0" borderId="18" xfId="7" applyFont="1" applyBorder="1">
      <alignment vertical="center"/>
    </xf>
    <xf numFmtId="0" fontId="14" fillId="0" borderId="0" xfId="0" quotePrefix="1" applyFont="1"/>
    <xf numFmtId="0" fontId="14" fillId="0" borderId="0" xfId="7" applyFont="1">
      <alignment vertical="center"/>
    </xf>
    <xf numFmtId="0" fontId="14" fillId="0" borderId="1" xfId="7" applyFont="1" applyBorder="1">
      <alignment vertical="center"/>
    </xf>
    <xf numFmtId="0" fontId="17" fillId="0" borderId="0" xfId="0" quotePrefix="1" applyFont="1"/>
    <xf numFmtId="0" fontId="14" fillId="0" borderId="4" xfId="7" applyFont="1" applyBorder="1">
      <alignment vertical="center"/>
    </xf>
    <xf numFmtId="0" fontId="18" fillId="0" borderId="0" xfId="0" quotePrefix="1" applyFont="1"/>
    <xf numFmtId="0" fontId="14" fillId="0" borderId="2" xfId="7" applyFont="1" applyBorder="1">
      <alignment vertical="center"/>
    </xf>
    <xf numFmtId="0" fontId="14" fillId="0" borderId="3" xfId="7" applyFont="1" applyBorder="1">
      <alignment vertical="center"/>
    </xf>
    <xf numFmtId="0" fontId="14" fillId="0" borderId="5" xfId="7" applyFont="1" applyBorder="1">
      <alignment vertical="center"/>
    </xf>
    <xf numFmtId="0" fontId="11" fillId="2" borderId="0" xfId="7" applyFont="1" applyFill="1">
      <alignment vertical="center"/>
    </xf>
    <xf numFmtId="0" fontId="10" fillId="2" borderId="18" xfId="7" applyFont="1" applyFill="1" applyBorder="1">
      <alignment vertical="center"/>
    </xf>
    <xf numFmtId="0" fontId="10" fillId="2" borderId="0" xfId="7" applyFont="1" applyFill="1">
      <alignment vertical="center"/>
    </xf>
    <xf numFmtId="0" fontId="10" fillId="2" borderId="19" xfId="7" applyFont="1" applyFill="1" applyBorder="1">
      <alignment vertical="center"/>
    </xf>
    <xf numFmtId="0" fontId="14" fillId="0" borderId="19" xfId="7" applyFont="1" applyBorder="1">
      <alignment vertical="center"/>
    </xf>
    <xf numFmtId="0" fontId="14" fillId="0" borderId="18" xfId="7" applyFont="1" applyBorder="1">
      <alignment vertical="center"/>
    </xf>
    <xf numFmtId="0" fontId="14" fillId="3" borderId="0" xfId="7" applyFont="1" applyFill="1">
      <alignment vertical="center"/>
    </xf>
    <xf numFmtId="0" fontId="14" fillId="3" borderId="19" xfId="7" applyFont="1" applyFill="1" applyBorder="1">
      <alignment vertical="center"/>
    </xf>
    <xf numFmtId="0" fontId="14" fillId="3" borderId="18" xfId="7" applyFont="1" applyFill="1" applyBorder="1">
      <alignment vertical="center"/>
    </xf>
    <xf numFmtId="0" fontId="14" fillId="0" borderId="21" xfId="7" applyFont="1" applyBorder="1">
      <alignment vertical="center"/>
    </xf>
    <xf numFmtId="0" fontId="14" fillId="0" borderId="20" xfId="7" applyFont="1" applyBorder="1">
      <alignment vertical="center"/>
    </xf>
    <xf numFmtId="0" fontId="14" fillId="0" borderId="0" xfId="6" applyFont="1" applyAlignment="1">
      <alignment vertical="center"/>
    </xf>
    <xf numFmtId="0" fontId="11" fillId="2" borderId="0" xfId="0" applyFont="1" applyFill="1" applyAlignment="1">
      <alignment vertical="center"/>
    </xf>
    <xf numFmtId="0" fontId="10" fillId="2" borderId="16" xfId="0" applyFont="1" applyFill="1" applyBorder="1" applyAlignment="1">
      <alignment vertical="center"/>
    </xf>
    <xf numFmtId="0" fontId="10" fillId="2" borderId="0" xfId="0" applyFont="1" applyFill="1" applyAlignment="1">
      <alignment vertical="center"/>
    </xf>
    <xf numFmtId="0" fontId="10" fillId="2" borderId="17" xfId="0" applyFont="1" applyFill="1" applyBorder="1" applyAlignment="1">
      <alignment vertical="center"/>
    </xf>
    <xf numFmtId="0" fontId="14" fillId="0" borderId="18" xfId="0" applyFont="1" applyBorder="1"/>
    <xf numFmtId="0" fontId="14" fillId="0" borderId="19" xfId="0" applyFont="1" applyBorder="1"/>
    <xf numFmtId="0" fontId="14" fillId="0" borderId="20" xfId="0" applyFont="1" applyBorder="1"/>
    <xf numFmtId="0" fontId="14" fillId="0" borderId="21" xfId="0" applyFont="1" applyBorder="1"/>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2" xfId="0"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0" fillId="2" borderId="30" xfId="0" applyFont="1" applyFill="1" applyBorder="1" applyAlignment="1">
      <alignment horizontal="center" vertical="center"/>
    </xf>
    <xf numFmtId="0" fontId="10" fillId="2" borderId="31" xfId="0" applyFont="1" applyFill="1" applyBorder="1" applyAlignment="1">
      <alignment horizontal="center" vertical="center"/>
    </xf>
    <xf numFmtId="0" fontId="10" fillId="2" borderId="32"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5" xfId="0" applyFont="1" applyFill="1" applyBorder="1" applyAlignment="1">
      <alignment horizontal="center" vertical="center"/>
    </xf>
    <xf numFmtId="0" fontId="10" fillId="2" borderId="27" xfId="0" applyFont="1" applyFill="1" applyBorder="1" applyAlignment="1">
      <alignment horizontal="center" vertical="center"/>
    </xf>
    <xf numFmtId="0" fontId="10" fillId="2" borderId="28" xfId="0" applyFont="1" applyFill="1" applyBorder="1" applyAlignment="1">
      <alignment horizontal="center" vertical="center"/>
    </xf>
    <xf numFmtId="0" fontId="10" fillId="2" borderId="29" xfId="0" applyFont="1"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2" fontId="14" fillId="0" borderId="30" xfId="0" applyNumberFormat="1" applyFont="1" applyBorder="1" applyAlignment="1">
      <alignment horizontal="center" vertical="center"/>
    </xf>
    <xf numFmtId="2" fontId="14" fillId="0" borderId="31" xfId="0" applyNumberFormat="1" applyFont="1" applyBorder="1" applyAlignment="1">
      <alignment horizontal="center" vertical="center"/>
    </xf>
    <xf numFmtId="2" fontId="14" fillId="0" borderId="32" xfId="0" applyNumberFormat="1" applyFont="1" applyBorder="1" applyAlignment="1">
      <alignment horizontal="center" vertical="center"/>
    </xf>
    <xf numFmtId="2" fontId="14" fillId="0" borderId="2" xfId="0" applyNumberFormat="1" applyFont="1" applyBorder="1" applyAlignment="1">
      <alignment horizontal="center" vertical="center"/>
    </xf>
    <xf numFmtId="2" fontId="14" fillId="0" borderId="3" xfId="0" applyNumberFormat="1" applyFont="1" applyBorder="1" applyAlignment="1">
      <alignment horizontal="center" vertical="center"/>
    </xf>
    <xf numFmtId="2" fontId="14" fillId="0" borderId="5" xfId="0" applyNumberFormat="1" applyFont="1" applyBorder="1" applyAlignment="1">
      <alignment horizontal="center" vertical="center"/>
    </xf>
    <xf numFmtId="14" fontId="14" fillId="0" borderId="30" xfId="0" applyNumberFormat="1" applyFont="1" applyBorder="1" applyAlignment="1">
      <alignment horizontal="center" vertical="center"/>
    </xf>
    <xf numFmtId="14" fontId="14" fillId="0" borderId="31" xfId="0" applyNumberFormat="1" applyFont="1" applyBorder="1" applyAlignment="1">
      <alignment horizontal="center" vertical="center"/>
    </xf>
    <xf numFmtId="14" fontId="14" fillId="0" borderId="32" xfId="0" applyNumberFormat="1" applyFont="1" applyBorder="1" applyAlignment="1">
      <alignment horizontal="center" vertical="center"/>
    </xf>
    <xf numFmtId="14" fontId="14" fillId="0" borderId="2" xfId="0" applyNumberFormat="1" applyFont="1" applyBorder="1" applyAlignment="1">
      <alignment horizontal="center" vertical="center"/>
    </xf>
    <xf numFmtId="14" fontId="14" fillId="0" borderId="3" xfId="0" applyNumberFormat="1" applyFont="1" applyBorder="1" applyAlignment="1">
      <alignment horizontal="center" vertical="center"/>
    </xf>
    <xf numFmtId="14" fontId="14" fillId="0" borderId="5" xfId="0" applyNumberFormat="1" applyFont="1" applyBorder="1" applyAlignment="1">
      <alignment horizontal="center" vertical="center"/>
    </xf>
    <xf numFmtId="0" fontId="7" fillId="0" borderId="30" xfId="0" applyFont="1" applyBorder="1" applyAlignment="1">
      <alignment horizontal="center" vertical="center"/>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12" fillId="0" borderId="32"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5" xfId="0" applyFont="1" applyBorder="1" applyAlignment="1">
      <alignment horizontal="center"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30" xfId="0" applyNumberFormat="1" applyBorder="1" applyAlignment="1">
      <alignment horizontal="center" vertical="center"/>
    </xf>
    <xf numFmtId="14" fontId="0" fillId="0" borderId="31" xfId="0" applyNumberFormat="1" applyBorder="1" applyAlignment="1">
      <alignment horizontal="center" vertical="center"/>
    </xf>
    <xf numFmtId="14" fontId="0" fillId="0" borderId="32"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6" fillId="0" borderId="30"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0" fillId="2" borderId="27" xfId="6" applyFont="1" applyFill="1" applyBorder="1" applyAlignment="1">
      <alignment horizontal="center" vertical="center"/>
    </xf>
    <xf numFmtId="0" fontId="10" fillId="2" borderId="28" xfId="6" applyFont="1" applyFill="1" applyBorder="1" applyAlignment="1">
      <alignment horizontal="center" vertical="center"/>
    </xf>
    <xf numFmtId="0" fontId="10" fillId="2" borderId="29" xfId="6" applyFont="1" applyFill="1" applyBorder="1" applyAlignment="1">
      <alignment horizontal="center" vertical="center"/>
    </xf>
    <xf numFmtId="0" fontId="12" fillId="0" borderId="30" xfId="6" applyFont="1" applyBorder="1" applyAlignment="1">
      <alignment horizontal="center" vertical="center"/>
    </xf>
    <xf numFmtId="0" fontId="12" fillId="0" borderId="31" xfId="6" applyFont="1" applyBorder="1" applyAlignment="1">
      <alignment horizontal="center" vertical="center"/>
    </xf>
    <xf numFmtId="0" fontId="12" fillId="0" borderId="32" xfId="6" applyFont="1" applyBorder="1" applyAlignment="1">
      <alignment horizontal="center" vertical="center"/>
    </xf>
    <xf numFmtId="0" fontId="12" fillId="0" borderId="1" xfId="6" applyFont="1" applyBorder="1" applyAlignment="1">
      <alignment horizontal="center" vertical="center"/>
    </xf>
    <xf numFmtId="0" fontId="12" fillId="0" borderId="0" xfId="6" applyFont="1" applyAlignment="1">
      <alignment horizontal="center" vertical="center"/>
    </xf>
    <xf numFmtId="0" fontId="12" fillId="0" borderId="4" xfId="6" applyFont="1" applyBorder="1" applyAlignment="1">
      <alignment horizontal="center" vertical="center"/>
    </xf>
    <xf numFmtId="0" fontId="12" fillId="0" borderId="2" xfId="6" applyFont="1" applyBorder="1" applyAlignment="1">
      <alignment horizontal="center" vertical="center"/>
    </xf>
    <xf numFmtId="0" fontId="12" fillId="0" borderId="3" xfId="6" applyFont="1" applyBorder="1" applyAlignment="1">
      <alignment horizontal="center" vertical="center"/>
    </xf>
    <xf numFmtId="0" fontId="12" fillId="0" borderId="5" xfId="6" applyFont="1" applyBorder="1" applyAlignment="1">
      <alignment horizontal="center" vertical="center"/>
    </xf>
    <xf numFmtId="0" fontId="6" fillId="0" borderId="27" xfId="6" applyFont="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7" fillId="0" borderId="27" xfId="6" applyFont="1" applyBorder="1" applyAlignment="1">
      <alignment horizontal="center" vertical="center"/>
    </xf>
    <xf numFmtId="0" fontId="7" fillId="7" borderId="30" xfId="6" applyFont="1" applyFill="1" applyBorder="1" applyAlignment="1">
      <alignment vertical="center" wrapText="1"/>
    </xf>
    <xf numFmtId="0" fontId="6" fillId="7" borderId="32" xfId="6" applyFont="1" applyFill="1" applyBorder="1" applyAlignment="1">
      <alignment vertical="center"/>
    </xf>
    <xf numFmtId="0" fontId="6" fillId="7" borderId="1" xfId="6" applyFont="1" applyFill="1" applyBorder="1" applyAlignment="1">
      <alignment vertical="center"/>
    </xf>
    <xf numFmtId="0" fontId="6" fillId="7" borderId="4" xfId="6" applyFont="1" applyFill="1" applyBorder="1" applyAlignment="1">
      <alignment vertical="center"/>
    </xf>
    <xf numFmtId="0" fontId="6" fillId="7" borderId="2" xfId="6" applyFont="1" applyFill="1" applyBorder="1" applyAlignment="1">
      <alignment vertical="center"/>
    </xf>
    <xf numFmtId="0" fontId="6" fillId="7" borderId="5" xfId="6" applyFont="1" applyFill="1" applyBorder="1" applyAlignment="1">
      <alignment vertical="center"/>
    </xf>
    <xf numFmtId="0" fontId="7" fillId="7" borderId="30" xfId="6" applyFont="1" applyFill="1" applyBorder="1" applyAlignment="1">
      <alignment vertical="center"/>
    </xf>
    <xf numFmtId="0" fontId="6" fillId="7" borderId="31" xfId="6" applyFont="1" applyFill="1" applyBorder="1" applyAlignment="1">
      <alignment vertical="center"/>
    </xf>
    <xf numFmtId="0" fontId="6" fillId="7" borderId="0" xfId="6" applyFont="1" applyFill="1" applyAlignment="1">
      <alignment vertical="center"/>
    </xf>
    <xf numFmtId="0" fontId="6" fillId="7" borderId="3" xfId="6" applyFont="1" applyFill="1" applyBorder="1" applyAlignment="1">
      <alignment vertical="center"/>
    </xf>
    <xf numFmtId="0" fontId="6" fillId="7" borderId="44" xfId="6" applyFont="1" applyFill="1" applyBorder="1" applyAlignment="1">
      <alignment vertical="center" shrinkToFit="1"/>
    </xf>
    <xf numFmtId="0" fontId="6" fillId="7" borderId="46" xfId="6" applyFont="1" applyFill="1" applyBorder="1" applyAlignment="1">
      <alignment vertical="center" shrinkToFit="1"/>
    </xf>
    <xf numFmtId="0" fontId="6" fillId="7" borderId="45" xfId="6" applyFont="1" applyFill="1" applyBorder="1" applyAlignment="1">
      <alignment vertical="center" shrinkToFit="1"/>
    </xf>
    <xf numFmtId="0" fontId="7" fillId="7" borderId="44" xfId="6" applyFont="1" applyFill="1" applyBorder="1" applyAlignment="1">
      <alignment vertical="center" wrapText="1"/>
    </xf>
    <xf numFmtId="0" fontId="7" fillId="7" borderId="46" xfId="6" applyFont="1" applyFill="1" applyBorder="1" applyAlignment="1">
      <alignment vertical="center" wrapText="1"/>
    </xf>
    <xf numFmtId="0" fontId="7" fillId="7" borderId="45" xfId="6" applyFont="1" applyFill="1" applyBorder="1" applyAlignment="1">
      <alignment vertical="center" wrapText="1"/>
    </xf>
    <xf numFmtId="0" fontId="7" fillId="5" borderId="27" xfId="6" applyFont="1" applyFill="1" applyBorder="1" applyAlignment="1">
      <alignment vertical="center"/>
    </xf>
    <xf numFmtId="0" fontId="6" fillId="5" borderId="28" xfId="6" applyFont="1" applyFill="1" applyBorder="1" applyAlignment="1">
      <alignment vertical="center"/>
    </xf>
    <xf numFmtId="0" fontId="6" fillId="5" borderId="47" xfId="6" applyFont="1" applyFill="1" applyBorder="1" applyAlignment="1">
      <alignment vertical="center"/>
    </xf>
    <xf numFmtId="0" fontId="7" fillId="5" borderId="48" xfId="6" applyFont="1" applyFill="1" applyBorder="1" applyAlignment="1">
      <alignment vertical="center"/>
    </xf>
    <xf numFmtId="0" fontId="6" fillId="5" borderId="29" xfId="6" applyFont="1" applyFill="1" applyBorder="1" applyAlignment="1">
      <alignment vertical="center"/>
    </xf>
    <xf numFmtId="0" fontId="6" fillId="0" borderId="33" xfId="6" applyFont="1" applyBorder="1" applyAlignment="1">
      <alignment horizontal="center" vertical="center"/>
    </xf>
    <xf numFmtId="0" fontId="6" fillId="0" borderId="22" xfId="6" applyFont="1" applyBorder="1" applyAlignment="1">
      <alignment horizontal="center" vertical="center"/>
    </xf>
    <xf numFmtId="0" fontId="6" fillId="0" borderId="33" xfId="6" applyFont="1" applyBorder="1" applyAlignment="1">
      <alignment vertical="center"/>
    </xf>
    <xf numFmtId="0" fontId="6" fillId="0" borderId="34" xfId="6" applyFont="1" applyBorder="1" applyAlignment="1">
      <alignment vertical="center"/>
    </xf>
    <xf numFmtId="0" fontId="6" fillId="0" borderId="22" xfId="6" applyFont="1" applyBorder="1" applyAlignment="1">
      <alignment vertical="center"/>
    </xf>
    <xf numFmtId="0" fontId="6" fillId="0" borderId="38" xfId="6" applyFont="1" applyBorder="1" applyAlignment="1">
      <alignment vertical="center"/>
    </xf>
    <xf numFmtId="0" fontId="6" fillId="0" borderId="39" xfId="6" applyFont="1" applyBorder="1" applyAlignment="1">
      <alignment vertical="center"/>
    </xf>
    <xf numFmtId="0" fontId="6" fillId="0" borderId="40" xfId="6" applyFont="1" applyBorder="1" applyAlignment="1">
      <alignment vertical="center"/>
    </xf>
    <xf numFmtId="0" fontId="7" fillId="0" borderId="33" xfId="6" applyFont="1" applyBorder="1" applyAlignment="1">
      <alignment horizontal="center" vertical="center"/>
    </xf>
    <xf numFmtId="0" fontId="6" fillId="0" borderId="34" xfId="6" applyFont="1" applyBorder="1" applyAlignment="1">
      <alignment horizontal="center" vertical="center"/>
    </xf>
    <xf numFmtId="0" fontId="7" fillId="4" borderId="27" xfId="6" applyFont="1" applyFill="1" applyBorder="1" applyAlignment="1">
      <alignment vertical="center"/>
    </xf>
    <xf numFmtId="0" fontId="6" fillId="4" borderId="28" xfId="6" applyFont="1" applyFill="1" applyBorder="1" applyAlignment="1">
      <alignment vertical="center"/>
    </xf>
    <xf numFmtId="0" fontId="6" fillId="4" borderId="29" xfId="6" applyFont="1" applyFill="1" applyBorder="1" applyAlignment="1">
      <alignment vertical="center"/>
    </xf>
    <xf numFmtId="0" fontId="7" fillId="6" borderId="30" xfId="6" applyFont="1" applyFill="1" applyBorder="1" applyAlignment="1">
      <alignment vertical="center"/>
    </xf>
    <xf numFmtId="0" fontId="6" fillId="6" borderId="31" xfId="6" applyFont="1" applyFill="1" applyBorder="1" applyAlignment="1">
      <alignment vertical="center"/>
    </xf>
    <xf numFmtId="0" fontId="6" fillId="6" borderId="32" xfId="6" applyFont="1" applyFill="1" applyBorder="1" applyAlignment="1">
      <alignment vertical="center"/>
    </xf>
    <xf numFmtId="0" fontId="6" fillId="6" borderId="1" xfId="6" applyFont="1" applyFill="1" applyBorder="1" applyAlignment="1">
      <alignment vertical="center"/>
    </xf>
    <xf numFmtId="0" fontId="6" fillId="6" borderId="0" xfId="6" applyFont="1" applyFill="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7" fillId="4" borderId="30" xfId="6" applyFont="1" applyFill="1" applyBorder="1" applyAlignment="1">
      <alignment vertical="center"/>
    </xf>
    <xf numFmtId="0" fontId="6" fillId="4" borderId="31" xfId="6" applyFont="1" applyFill="1" applyBorder="1" applyAlignment="1">
      <alignment vertical="center"/>
    </xf>
    <xf numFmtId="0" fontId="6" fillId="4" borderId="32" xfId="6" applyFont="1" applyFill="1" applyBorder="1" applyAlignment="1">
      <alignment vertical="center"/>
    </xf>
    <xf numFmtId="0" fontId="6" fillId="4" borderId="2" xfId="6" applyFont="1" applyFill="1" applyBorder="1" applyAlignment="1">
      <alignment vertical="center"/>
    </xf>
    <xf numFmtId="0" fontId="6" fillId="4" borderId="3" xfId="6" applyFont="1" applyFill="1" applyBorder="1" applyAlignment="1">
      <alignment vertical="center"/>
    </xf>
    <xf numFmtId="0" fontId="6" fillId="4" borderId="5" xfId="6" applyFont="1" applyFill="1" applyBorder="1" applyAlignment="1">
      <alignment vertical="center"/>
    </xf>
    <xf numFmtId="0" fontId="6" fillId="5" borderId="30" xfId="6" applyFont="1" applyFill="1" applyBorder="1" applyAlignment="1">
      <alignment vertical="center" wrapText="1"/>
    </xf>
    <xf numFmtId="0" fontId="6" fillId="5" borderId="2" xfId="6" applyFont="1" applyFill="1" applyBorder="1" applyAlignment="1">
      <alignment vertical="center" wrapText="1"/>
    </xf>
    <xf numFmtId="0" fontId="7" fillId="5" borderId="44" xfId="6" applyFont="1" applyFill="1" applyBorder="1" applyAlignment="1">
      <alignment vertical="center" wrapText="1"/>
    </xf>
    <xf numFmtId="0" fontId="7" fillId="5" borderId="45" xfId="6" applyFont="1" applyFill="1" applyBorder="1" applyAlignment="1">
      <alignment vertical="center" wrapText="1"/>
    </xf>
    <xf numFmtId="0" fontId="7" fillId="5" borderId="32" xfId="6" applyFont="1" applyFill="1" applyBorder="1" applyAlignment="1">
      <alignment vertical="center" wrapText="1"/>
    </xf>
    <xf numFmtId="0" fontId="7" fillId="5" borderId="5" xfId="6" applyFont="1" applyFill="1" applyBorder="1" applyAlignment="1">
      <alignment vertical="center" wrapText="1"/>
    </xf>
    <xf numFmtId="0" fontId="7" fillId="0" borderId="33" xfId="6" applyFont="1" applyBorder="1" applyAlignment="1">
      <alignment horizontal="center" vertical="center" wrapText="1"/>
    </xf>
    <xf numFmtId="0" fontId="7" fillId="0" borderId="34"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3" xfId="6" applyFont="1" applyBorder="1" applyAlignment="1">
      <alignment horizontal="left" vertical="center"/>
    </xf>
    <xf numFmtId="0" fontId="6" fillId="0" borderId="34" xfId="6" applyFont="1" applyBorder="1" applyAlignment="1">
      <alignment horizontal="left" vertical="center"/>
    </xf>
    <xf numFmtId="0" fontId="6" fillId="0" borderId="22" xfId="6" applyFont="1" applyBorder="1" applyAlignment="1">
      <alignment horizontal="left" vertical="center"/>
    </xf>
    <xf numFmtId="0" fontId="14" fillId="0" borderId="33" xfId="6" applyFont="1" applyBorder="1" applyAlignment="1">
      <alignment vertical="center" wrapText="1"/>
    </xf>
    <xf numFmtId="0" fontId="14" fillId="0" borderId="34" xfId="6" applyFont="1" applyBorder="1" applyAlignment="1">
      <alignment vertical="center" wrapText="1"/>
    </xf>
    <xf numFmtId="0" fontId="14" fillId="0" borderId="22" xfId="6" applyFont="1" applyBorder="1" applyAlignment="1">
      <alignment vertical="center" wrapText="1"/>
    </xf>
    <xf numFmtId="0" fontId="6" fillId="0" borderId="38" xfId="6" applyFont="1" applyBorder="1" applyAlignment="1">
      <alignment horizontal="center" vertical="center"/>
    </xf>
    <xf numFmtId="0" fontId="6" fillId="0" borderId="40" xfId="6" applyFont="1" applyBorder="1" applyAlignment="1">
      <alignment horizontal="center" vertical="center"/>
    </xf>
    <xf numFmtId="0" fontId="6" fillId="0" borderId="38" xfId="6" quotePrefix="1" applyFont="1" applyBorder="1" applyAlignment="1">
      <alignment vertical="center" wrapText="1"/>
    </xf>
    <xf numFmtId="0" fontId="6" fillId="0" borderId="39" xfId="6" quotePrefix="1" applyFont="1" applyBorder="1" applyAlignment="1">
      <alignment vertical="center" wrapText="1"/>
    </xf>
    <xf numFmtId="0" fontId="6" fillId="0" borderId="40" xfId="6" quotePrefix="1" applyFont="1" applyBorder="1" applyAlignment="1">
      <alignment vertical="center" wrapText="1"/>
    </xf>
    <xf numFmtId="0" fontId="7" fillId="0" borderId="38" xfId="6" applyFont="1" applyBorder="1" applyAlignment="1">
      <alignment horizontal="center" vertical="center"/>
    </xf>
    <xf numFmtId="0" fontId="6" fillId="0" borderId="39" xfId="6" applyFont="1" applyBorder="1" applyAlignment="1">
      <alignment horizontal="center" vertical="center"/>
    </xf>
    <xf numFmtId="0" fontId="6" fillId="0" borderId="38" xfId="6" quotePrefix="1" applyFont="1" applyBorder="1" applyAlignment="1">
      <alignment vertical="center"/>
    </xf>
    <xf numFmtId="0" fontId="6" fillId="0" borderId="39" xfId="6" quotePrefix="1" applyFont="1" applyBorder="1" applyAlignment="1">
      <alignment vertical="center"/>
    </xf>
    <xf numFmtId="0" fontId="6" fillId="0" borderId="40" xfId="6" quotePrefix="1" applyFont="1" applyBorder="1" applyAlignment="1">
      <alignment vertical="center"/>
    </xf>
    <xf numFmtId="0" fontId="7" fillId="0" borderId="38" xfId="6" quotePrefix="1" applyFont="1" applyBorder="1" applyAlignment="1">
      <alignment horizontal="center" vertical="center" wrapText="1"/>
    </xf>
    <xf numFmtId="0" fontId="7" fillId="0" borderId="39" xfId="6" applyFont="1" applyBorder="1" applyAlignment="1">
      <alignment horizontal="center" vertical="center" wrapText="1"/>
    </xf>
    <xf numFmtId="0" fontId="7" fillId="0" borderId="40" xfId="6" applyFont="1" applyBorder="1" applyAlignment="1">
      <alignment horizontal="center" vertical="center" wrapText="1"/>
    </xf>
    <xf numFmtId="0" fontId="6" fillId="0" borderId="38" xfId="6" applyFont="1" applyBorder="1" applyAlignment="1">
      <alignment horizontal="left" vertical="center"/>
    </xf>
    <xf numFmtId="0" fontId="6" fillId="0" borderId="39" xfId="6" applyFont="1" applyBorder="1" applyAlignment="1">
      <alignment horizontal="left" vertical="center"/>
    </xf>
    <xf numFmtId="0" fontId="6" fillId="0" borderId="40" xfId="6" applyFont="1" applyBorder="1" applyAlignment="1">
      <alignment horizontal="left" vertical="center"/>
    </xf>
    <xf numFmtId="0" fontId="14" fillId="0" borderId="38" xfId="6" applyFont="1" applyBorder="1" applyAlignment="1">
      <alignment vertical="center"/>
    </xf>
    <xf numFmtId="0" fontId="14" fillId="0" borderId="39" xfId="6" applyFont="1" applyBorder="1" applyAlignment="1">
      <alignment vertical="center"/>
    </xf>
    <xf numFmtId="0" fontId="14" fillId="0" borderId="40" xfId="6" applyFont="1" applyBorder="1" applyAlignment="1">
      <alignment vertical="center"/>
    </xf>
    <xf numFmtId="0" fontId="8" fillId="0" borderId="38" xfId="6" applyFont="1" applyBorder="1" applyAlignment="1">
      <alignment vertical="center" wrapText="1"/>
    </xf>
    <xf numFmtId="0" fontId="7" fillId="0" borderId="38" xfId="6" quotePrefix="1" applyFont="1" applyBorder="1" applyAlignment="1">
      <alignment horizontal="center" vertical="center"/>
    </xf>
    <xf numFmtId="0" fontId="7" fillId="0" borderId="39" xfId="6" applyFont="1" applyBorder="1" applyAlignment="1">
      <alignment horizontal="center" vertical="center"/>
    </xf>
    <xf numFmtId="0" fontId="7" fillId="0" borderId="40" xfId="6" applyFont="1" applyBorder="1" applyAlignment="1">
      <alignment horizontal="center" vertical="center"/>
    </xf>
    <xf numFmtId="0" fontId="14" fillId="0" borderId="41" xfId="6" quotePrefix="1" applyFont="1" applyBorder="1" applyAlignment="1">
      <alignment vertical="center"/>
    </xf>
    <xf numFmtId="0" fontId="14" fillId="0" borderId="42" xfId="6" quotePrefix="1" applyFont="1" applyBorder="1" applyAlignment="1">
      <alignment vertical="center"/>
    </xf>
    <xf numFmtId="0" fontId="14" fillId="0" borderId="43" xfId="6" quotePrefix="1" applyFont="1" applyBorder="1" applyAlignment="1">
      <alignment vertical="center"/>
    </xf>
    <xf numFmtId="0" fontId="6" fillId="0" borderId="38" xfId="6" quotePrefix="1" applyFont="1" applyBorder="1" applyAlignment="1">
      <alignment horizontal="center" vertical="center"/>
    </xf>
    <xf numFmtId="0" fontId="14" fillId="0" borderId="41" xfId="6" applyFont="1" applyBorder="1" applyAlignment="1">
      <alignment vertical="center"/>
    </xf>
    <xf numFmtId="0" fontId="14" fillId="0" borderId="42" xfId="6" applyFont="1" applyBorder="1" applyAlignment="1">
      <alignment vertical="center"/>
    </xf>
    <xf numFmtId="0" fontId="14" fillId="0" borderId="43" xfId="6" applyFont="1" applyBorder="1" applyAlignment="1">
      <alignment vertical="center"/>
    </xf>
    <xf numFmtId="0" fontId="6" fillId="0" borderId="35" xfId="6"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5" xfId="6" applyFont="1" applyBorder="1" applyAlignment="1">
      <alignment horizontal="left"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14" fillId="0" borderId="35" xfId="6" applyFont="1" applyBorder="1" applyAlignment="1">
      <alignment vertical="center"/>
    </xf>
    <xf numFmtId="0" fontId="14" fillId="0" borderId="36" xfId="6" applyFont="1" applyBorder="1" applyAlignment="1">
      <alignment vertical="center"/>
    </xf>
    <xf numFmtId="0" fontId="14" fillId="0" borderId="37" xfId="6" applyFont="1" applyBorder="1" applyAlignment="1">
      <alignment vertical="center"/>
    </xf>
    <xf numFmtId="0" fontId="6" fillId="0" borderId="35" xfId="6" quotePrefix="1"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5" xfId="6"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7" fillId="0" borderId="35" xfId="6" quotePrefix="1"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10" fillId="2" borderId="0" xfId="0" applyFont="1" applyFill="1" applyAlignment="1"/>
    <xf numFmtId="0" fontId="14" fillId="0" borderId="33" xfId="0" applyFont="1" applyBorder="1" applyAlignment="1"/>
    <xf numFmtId="0" fontId="14" fillId="0" borderId="34" xfId="0" applyFont="1" applyBorder="1" applyAlignment="1"/>
    <xf numFmtId="0" fontId="14" fillId="0" borderId="22" xfId="0" applyFont="1" applyBorder="1" applyAlignment="1"/>
    <xf numFmtId="0" fontId="14" fillId="0" borderId="31" xfId="0" applyFont="1" applyBorder="1" applyAlignment="1"/>
    <xf numFmtId="0" fontId="14" fillId="0" borderId="32" xfId="0" applyFont="1" applyBorder="1" applyAlignment="1"/>
    <xf numFmtId="0" fontId="14" fillId="0" borderId="30" xfId="0" applyFont="1" applyBorder="1" applyAlignment="1"/>
    <xf numFmtId="0" fontId="14" fillId="0" borderId="35" xfId="0" applyFont="1" applyBorder="1" applyAlignment="1"/>
    <xf numFmtId="0" fontId="14" fillId="0" borderId="36" xfId="0" applyFont="1" applyBorder="1" applyAlignment="1"/>
    <xf numFmtId="0" fontId="14" fillId="0" borderId="37" xfId="0" applyFont="1" applyBorder="1" applyAlignment="1"/>
    <xf numFmtId="0" fontId="14" fillId="0" borderId="3" xfId="0" applyFont="1" applyBorder="1" applyAlignment="1"/>
    <xf numFmtId="0" fontId="14" fillId="0" borderId="5" xfId="0" applyFont="1" applyBorder="1" applyAlignment="1"/>
    <xf numFmtId="0" fontId="14" fillId="0" borderId="2" xfId="0" applyFont="1" applyBorder="1" applyAlignment="1"/>
    <xf numFmtId="0" fontId="7" fillId="4" borderId="27" xfId="6" applyFont="1" applyFill="1" applyBorder="1" applyAlignment="1"/>
    <xf numFmtId="0" fontId="7" fillId="4" borderId="28" xfId="6" applyFont="1" applyFill="1" applyBorder="1" applyAlignment="1"/>
    <xf numFmtId="0" fontId="7" fillId="4" borderId="29" xfId="6" applyFont="1" applyFill="1" applyBorder="1" applyAlignment="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11941</xdr:colOff>
      <xdr:row>8</xdr:row>
      <xdr:rowOff>0</xdr:rowOff>
    </xdr:from>
    <xdr:to>
      <xdr:col>8</xdr:col>
      <xdr:colOff>12392</xdr:colOff>
      <xdr:row>12</xdr:row>
      <xdr:rowOff>1200</xdr:rowOff>
    </xdr:to>
    <xdr:sp macro="" textlink="" fLocksText="0">
      <xdr:nvSpPr>
        <xdr:cNvPr id="2" name="四角形: 角を丸くする 21">
          <a:extLst>
            <a:ext uri="{FF2B5EF4-FFF2-40B4-BE49-F238E27FC236}">
              <a16:creationId xmlns:a16="http://schemas.microsoft.com/office/drawing/2014/main" id="{00000000-0008-0000-0400-000002000000}"/>
            </a:ext>
          </a:extLst>
        </xdr:cNvPr>
        <xdr:cNvSpPr/>
      </xdr:nvSpPr>
      <xdr:spPr>
        <a:xfrm>
          <a:off x="542925" y="16383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12166</xdr:colOff>
      <xdr:row>14</xdr:row>
      <xdr:rowOff>11207</xdr:rowOff>
    </xdr:from>
    <xdr:to>
      <xdr:col>8</xdr:col>
      <xdr:colOff>12166</xdr:colOff>
      <xdr:row>16</xdr:row>
      <xdr:rowOff>22414</xdr:rowOff>
    </xdr:to>
    <xdr:sp macro="" textlink="" fLocksText="0">
      <xdr:nvSpPr>
        <xdr:cNvPr id="3" name="四角形: 角を丸くする 1101">
          <a:extLst>
            <a:ext uri="{FF2B5EF4-FFF2-40B4-BE49-F238E27FC236}">
              <a16:creationId xmlns:a16="http://schemas.microsoft.com/office/drawing/2014/main" id="{00000000-0008-0000-0400-000003000000}"/>
            </a:ext>
          </a:extLst>
        </xdr:cNvPr>
        <xdr:cNvSpPr/>
      </xdr:nvSpPr>
      <xdr:spPr>
        <a:xfrm>
          <a:off x="542925" y="2790825"/>
          <a:ext cx="160020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13: 部門別売上日報</a:t>
          </a:r>
        </a:p>
      </xdr:txBody>
    </xdr:sp>
    <xdr:clientData/>
  </xdr:twoCellAnchor>
  <xdr:twoCellAnchor>
    <xdr:from>
      <xdr:col>5</xdr:col>
      <xdr:colOff>12166</xdr:colOff>
      <xdr:row>12</xdr:row>
      <xdr:rowOff>1200</xdr:rowOff>
    </xdr:from>
    <xdr:to>
      <xdr:col>5</xdr:col>
      <xdr:colOff>12167</xdr:colOff>
      <xdr:row>14</xdr:row>
      <xdr:rowOff>11207</xdr:rowOff>
    </xdr:to>
    <xdr:cxnSp macro="">
      <xdr:nvCxnSpPr>
        <xdr:cNvPr id="4" name="直線矢印コネクタ 1010">
          <a:extLst>
            <a:ext uri="{FF2B5EF4-FFF2-40B4-BE49-F238E27FC236}">
              <a16:creationId xmlns:a16="http://schemas.microsoft.com/office/drawing/2014/main" id="{00000000-0008-0000-0400-000004000000}"/>
            </a:ext>
          </a:extLst>
        </xdr:cNvPr>
        <xdr:cNvCxnSpPr>
          <a:stCxn id="2" idx="2"/>
          <a:endCxn id="3" idx="0"/>
        </xdr:cNvCxnSpPr>
      </xdr:nvCxnSpPr>
      <xdr:spPr>
        <a:xfrm flipH="1">
          <a:off x="1343025" y="2400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12166</xdr:colOff>
      <xdr:row>20</xdr:row>
      <xdr:rowOff>3</xdr:rowOff>
    </xdr:from>
    <xdr:to>
      <xdr:col>8</xdr:col>
      <xdr:colOff>12166</xdr:colOff>
      <xdr:row>24</xdr:row>
      <xdr:rowOff>3</xdr:rowOff>
    </xdr:to>
    <xdr:sp macro="" textlink="" fLocksText="0">
      <xdr:nvSpPr>
        <xdr:cNvPr id="5" name="正方形/長方形 1">
          <a:extLst>
            <a:ext uri="{FF2B5EF4-FFF2-40B4-BE49-F238E27FC236}">
              <a16:creationId xmlns:a16="http://schemas.microsoft.com/office/drawing/2014/main" id="{00000000-0008-0000-0400-000005000000}"/>
            </a:ext>
          </a:extLst>
        </xdr:cNvPr>
        <xdr:cNvSpPr/>
      </xdr:nvSpPr>
      <xdr:spPr>
        <a:xfrm>
          <a:off x="542925" y="3924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SC1301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部門別売上日報画面</a:t>
          </a:r>
        </a:p>
      </xdr:txBody>
    </xdr:sp>
    <xdr:clientData/>
  </xdr:twoCellAnchor>
  <xdr:twoCellAnchor>
    <xdr:from>
      <xdr:col>8</xdr:col>
      <xdr:colOff>224118</xdr:colOff>
      <xdr:row>26</xdr:row>
      <xdr:rowOff>2</xdr:rowOff>
    </xdr:from>
    <xdr:to>
      <xdr:col>12</xdr:col>
      <xdr:colOff>224117</xdr:colOff>
      <xdr:row>28</xdr:row>
      <xdr:rowOff>1</xdr:rowOff>
    </xdr:to>
    <xdr:sp macro="" textlink="" fLocksText="0">
      <xdr:nvSpPr>
        <xdr:cNvPr id="6" name="四角形: 角を丸くする 1101">
          <a:extLst>
            <a:ext uri="{FF2B5EF4-FFF2-40B4-BE49-F238E27FC236}">
              <a16:creationId xmlns:a16="http://schemas.microsoft.com/office/drawing/2014/main" id="{00000000-0008-0000-0400-000006000000}"/>
            </a:ext>
          </a:extLst>
        </xdr:cNvPr>
        <xdr:cNvSpPr/>
      </xdr:nvSpPr>
      <xdr:spPr>
        <a:xfrm>
          <a:off x="2362200" y="5067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b"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店舗情報（ヘッダー）</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12166</xdr:colOff>
      <xdr:row>26</xdr:row>
      <xdr:rowOff>13608</xdr:rowOff>
    </xdr:from>
    <xdr:to>
      <xdr:col>7</xdr:col>
      <xdr:colOff>12166</xdr:colOff>
      <xdr:row>27</xdr:row>
      <xdr:rowOff>1</xdr:rowOff>
    </xdr:to>
    <xdr:sp macro="" textlink="" fLocksText="0">
      <xdr:nvSpPr>
        <xdr:cNvPr id="7" name="四角形: 角を丸くする 1101">
          <a:extLst>
            <a:ext uri="{FF2B5EF4-FFF2-40B4-BE49-F238E27FC236}">
              <a16:creationId xmlns:a16="http://schemas.microsoft.com/office/drawing/2014/main" id="{00000000-0008-0000-0400-000007000000}"/>
            </a:ext>
          </a:extLst>
        </xdr:cNvPr>
        <xdr:cNvSpPr/>
      </xdr:nvSpPr>
      <xdr:spPr>
        <a:xfrm>
          <a:off x="809625" y="5076825"/>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xdr:col>
      <xdr:colOff>233701</xdr:colOff>
      <xdr:row>32</xdr:row>
      <xdr:rowOff>11206</xdr:rowOff>
    </xdr:from>
    <xdr:to>
      <xdr:col>8</xdr:col>
      <xdr:colOff>28757</xdr:colOff>
      <xdr:row>36</xdr:row>
      <xdr:rowOff>11206</xdr:rowOff>
    </xdr:to>
    <xdr:sp macro="" textlink="" fLocksText="0">
      <xdr:nvSpPr>
        <xdr:cNvPr id="8" name="正方形/長方形 19">
          <a:extLst>
            <a:ext uri="{FF2B5EF4-FFF2-40B4-BE49-F238E27FC236}">
              <a16:creationId xmlns:a16="http://schemas.microsoft.com/office/drawing/2014/main" id="{00000000-0008-0000-0400-000008000000}"/>
            </a:ext>
          </a:extLst>
        </xdr:cNvPr>
        <xdr:cNvSpPr/>
      </xdr:nvSpPr>
      <xdr:spPr>
        <a:xfrm>
          <a:off x="504825" y="6219825"/>
          <a:ext cx="165735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MD0101</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店舗一覧モダール</a:t>
          </a:r>
        </a:p>
      </xdr:txBody>
    </xdr:sp>
    <xdr:clientData/>
  </xdr:twoCellAnchor>
  <xdr:twoCellAnchor>
    <xdr:from>
      <xdr:col>5</xdr:col>
      <xdr:colOff>12166</xdr:colOff>
      <xdr:row>16</xdr:row>
      <xdr:rowOff>22414</xdr:rowOff>
    </xdr:from>
    <xdr:to>
      <xdr:col>5</xdr:col>
      <xdr:colOff>12166</xdr:colOff>
      <xdr:row>20</xdr:row>
      <xdr:rowOff>3</xdr:rowOff>
    </xdr:to>
    <xdr:cxnSp macro="">
      <xdr:nvCxnSpPr>
        <xdr:cNvPr id="9" name="直線矢印コネクタ 1010">
          <a:extLst>
            <a:ext uri="{FF2B5EF4-FFF2-40B4-BE49-F238E27FC236}">
              <a16:creationId xmlns:a16="http://schemas.microsoft.com/office/drawing/2014/main" id="{00000000-0008-0000-0400-000009000000}"/>
            </a:ext>
          </a:extLst>
        </xdr:cNvPr>
        <xdr:cNvCxnSpPr>
          <a:stCxn id="3" idx="2"/>
          <a:endCxn id="5" idx="0"/>
        </xdr:cNvCxnSpPr>
      </xdr:nvCxnSpPr>
      <xdr:spPr>
        <a:xfrm>
          <a:off x="1343025" y="3181350"/>
          <a:ext cx="0" cy="7429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12166</xdr:colOff>
      <xdr:row>24</xdr:row>
      <xdr:rowOff>3</xdr:rowOff>
    </xdr:from>
    <xdr:to>
      <xdr:col>5</xdr:col>
      <xdr:colOff>12166</xdr:colOff>
      <xdr:row>26</xdr:row>
      <xdr:rowOff>13608</xdr:rowOff>
    </xdr:to>
    <xdr:cxnSp macro="">
      <xdr:nvCxnSpPr>
        <xdr:cNvPr id="10" name="直線矢印コネクタ 1010">
          <a:extLst>
            <a:ext uri="{FF2B5EF4-FFF2-40B4-BE49-F238E27FC236}">
              <a16:creationId xmlns:a16="http://schemas.microsoft.com/office/drawing/2014/main" id="{00000000-0008-0000-0400-00000A000000}"/>
            </a:ext>
          </a:extLst>
        </xdr:cNvPr>
        <xdr:cNvCxnSpPr>
          <a:stCxn id="5" idx="2"/>
          <a:endCxn id="7" idx="0"/>
        </xdr:cNvCxnSpPr>
      </xdr:nvCxnSpPr>
      <xdr:spPr>
        <a:xfrm>
          <a:off x="1343025" y="4686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12166</xdr:colOff>
      <xdr:row>24</xdr:row>
      <xdr:rowOff>2</xdr:rowOff>
    </xdr:from>
    <xdr:to>
      <xdr:col>10</xdr:col>
      <xdr:colOff>224118</xdr:colOff>
      <xdr:row>26</xdr:row>
      <xdr:rowOff>1</xdr:rowOff>
    </xdr:to>
    <xdr:cxnSp macro="">
      <xdr:nvCxnSpPr>
        <xdr:cNvPr id="11" name="Connector: Elbow 10">
          <a:extLst>
            <a:ext uri="{FF2B5EF4-FFF2-40B4-BE49-F238E27FC236}">
              <a16:creationId xmlns:a16="http://schemas.microsoft.com/office/drawing/2014/main" id="{00000000-0008-0000-0400-00000B000000}"/>
            </a:ext>
          </a:extLst>
        </xdr:cNvPr>
        <xdr:cNvCxnSpPr>
          <a:stCxn id="5" idx="2"/>
          <a:endCxn id="6" idx="0"/>
        </xdr:cNvCxnSpPr>
      </xdr:nvCxnSpPr>
      <xdr:spPr>
        <a:xfrm rot="16200000" flipH="1">
          <a:off x="1343025" y="4686300"/>
          <a:ext cx="15525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12168</xdr:colOff>
      <xdr:row>28</xdr:row>
      <xdr:rowOff>0</xdr:rowOff>
    </xdr:from>
    <xdr:to>
      <xdr:col>10</xdr:col>
      <xdr:colOff>224119</xdr:colOff>
      <xdr:row>32</xdr:row>
      <xdr:rowOff>11205</xdr:rowOff>
    </xdr:to>
    <xdr:cxnSp macro="">
      <xdr:nvCxnSpPr>
        <xdr:cNvPr id="12" name="Connector: Elbow 11">
          <a:extLst>
            <a:ext uri="{FF2B5EF4-FFF2-40B4-BE49-F238E27FC236}">
              <a16:creationId xmlns:a16="http://schemas.microsoft.com/office/drawing/2014/main" id="{00000000-0008-0000-0400-00000C000000}"/>
            </a:ext>
          </a:extLst>
        </xdr:cNvPr>
        <xdr:cNvCxnSpPr>
          <a:stCxn id="6" idx="2"/>
          <a:endCxn id="8" idx="0"/>
        </xdr:cNvCxnSpPr>
      </xdr:nvCxnSpPr>
      <xdr:spPr>
        <a:xfrm rot="5400000">
          <a:off x="1343025" y="5448300"/>
          <a:ext cx="1552575" cy="771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12166</xdr:colOff>
      <xdr:row>27</xdr:row>
      <xdr:rowOff>1</xdr:rowOff>
    </xdr:from>
    <xdr:to>
      <xdr:col>5</xdr:col>
      <xdr:colOff>12167</xdr:colOff>
      <xdr:row>32</xdr:row>
      <xdr:rowOff>11206</xdr:rowOff>
    </xdr:to>
    <xdr:cxnSp macro="">
      <xdr:nvCxnSpPr>
        <xdr:cNvPr id="13" name="Connector: Elbow 26">
          <a:extLst>
            <a:ext uri="{FF2B5EF4-FFF2-40B4-BE49-F238E27FC236}">
              <a16:creationId xmlns:a16="http://schemas.microsoft.com/office/drawing/2014/main" id="{00000000-0008-0000-0400-00000D000000}"/>
            </a:ext>
          </a:extLst>
        </xdr:cNvPr>
        <xdr:cNvCxnSpPr>
          <a:stCxn id="7" idx="2"/>
          <a:endCxn id="8" idx="0"/>
        </xdr:cNvCxnSpPr>
      </xdr:nvCxnSpPr>
      <xdr:spPr>
        <a:xfrm>
          <a:off x="1343025" y="5257800"/>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31</xdr:row>
      <xdr:rowOff>11204</xdr:rowOff>
    </xdr:from>
    <xdr:to>
      <xdr:col>61</xdr:col>
      <xdr:colOff>0</xdr:colOff>
      <xdr:row>37</xdr:row>
      <xdr:rowOff>11203</xdr:rowOff>
    </xdr:to>
    <xdr:sp macro="" textlink="" fLocksText="0">
      <xdr:nvSpPr>
        <xdr:cNvPr id="14" name="吹き出し: 線 2">
          <a:extLst>
            <a:ext uri="{FF2B5EF4-FFF2-40B4-BE49-F238E27FC236}">
              <a16:creationId xmlns:a16="http://schemas.microsoft.com/office/drawing/2014/main" id="{00000000-0008-0000-0400-00000E000000}"/>
            </a:ext>
          </a:extLst>
        </xdr:cNvPr>
        <xdr:cNvSpPr/>
      </xdr:nvSpPr>
      <xdr:spPr>
        <a:xfrm>
          <a:off x="10134600" y="6029325"/>
          <a:ext cx="6134100" cy="1143000"/>
        </a:xfrm>
        <a:prstGeom prst="borderCallout1">
          <a:avLst>
            <a:gd name="adj1" fmla="val 49730"/>
            <a:gd name="adj2" fmla="val 242"/>
            <a:gd name="adj3" fmla="val 49450"/>
            <a:gd name="adj4" fmla="val -12987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店舗一覧表示モダール</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1つの店舗のみ選択可能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顧客が選択した店舗を保存する。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SCX0101_メインメニュー画面に戻ると、顧客が選択した店舗をクリアする。</a:t>
          </a:r>
        </a:p>
      </xdr:txBody>
    </xdr:sp>
    <xdr:clientData/>
  </xdr:twoCellAnchor>
  <xdr:twoCellAnchor>
    <xdr:from>
      <xdr:col>38</xdr:col>
      <xdr:colOff>1681</xdr:colOff>
      <xdr:row>25</xdr:row>
      <xdr:rowOff>1</xdr:rowOff>
    </xdr:from>
    <xdr:to>
      <xdr:col>61</xdr:col>
      <xdr:colOff>1681</xdr:colOff>
      <xdr:row>29</xdr:row>
      <xdr:rowOff>0</xdr:rowOff>
    </xdr:to>
    <xdr:sp macro="" textlink="" fLocksText="0">
      <xdr:nvSpPr>
        <xdr:cNvPr id="15" name="吹き出し: 線 2">
          <a:extLst>
            <a:ext uri="{FF2B5EF4-FFF2-40B4-BE49-F238E27FC236}">
              <a16:creationId xmlns:a16="http://schemas.microsoft.com/office/drawing/2014/main" id="{00000000-0008-0000-0400-00000F000000}"/>
            </a:ext>
          </a:extLst>
        </xdr:cNvPr>
        <xdr:cNvSpPr/>
      </xdr:nvSpPr>
      <xdr:spPr>
        <a:xfrm>
          <a:off x="10134600" y="4876800"/>
          <a:ext cx="6134100" cy="762000"/>
        </a:xfrm>
        <a:prstGeom prst="borderCallout1">
          <a:avLst>
            <a:gd name="adj1" fmla="val 49927"/>
            <a:gd name="adj2" fmla="val -182"/>
            <a:gd name="adj3" fmla="val 47957"/>
            <a:gd name="adj4" fmla="val -10852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店舗情報をクリックすると共通機能を実行する。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各ユーザーのstoreIdに基づいて、各店舗に該当する店舗一覧を取得する。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storeId = 09999の場合、全ての店舗一覧を取得する。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4</xdr:col>
      <xdr:colOff>12166</xdr:colOff>
      <xdr:row>38</xdr:row>
      <xdr:rowOff>33617</xdr:rowOff>
    </xdr:from>
    <xdr:to>
      <xdr:col>6</xdr:col>
      <xdr:colOff>12166</xdr:colOff>
      <xdr:row>40</xdr:row>
      <xdr:rowOff>33617</xdr:rowOff>
    </xdr:to>
    <xdr:sp macro="" textlink="" fLocksText="0">
      <xdr:nvSpPr>
        <xdr:cNvPr id="16" name="四角形: 角を丸くする 1101">
          <a:extLst>
            <a:ext uri="{FF2B5EF4-FFF2-40B4-BE49-F238E27FC236}">
              <a16:creationId xmlns:a16="http://schemas.microsoft.com/office/drawing/2014/main" id="{00000000-0008-0000-0400-000010000000}"/>
            </a:ext>
          </a:extLst>
        </xdr:cNvPr>
        <xdr:cNvSpPr/>
      </xdr:nvSpPr>
      <xdr:spPr>
        <a:xfrm>
          <a:off x="1076325" y="73914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33619</xdr:colOff>
      <xdr:row>38</xdr:row>
      <xdr:rowOff>33617</xdr:rowOff>
    </xdr:from>
    <xdr:to>
      <xdr:col>13</xdr:col>
      <xdr:colOff>33619</xdr:colOff>
      <xdr:row>40</xdr:row>
      <xdr:rowOff>33617</xdr:rowOff>
    </xdr:to>
    <xdr:sp macro="" textlink="" fLocksText="0">
      <xdr:nvSpPr>
        <xdr:cNvPr id="17" name="四角形: 角を丸くする 1101">
          <a:extLst>
            <a:ext uri="{FF2B5EF4-FFF2-40B4-BE49-F238E27FC236}">
              <a16:creationId xmlns:a16="http://schemas.microsoft.com/office/drawing/2014/main" id="{00000000-0008-0000-0400-000011000000}"/>
            </a:ext>
          </a:extLst>
        </xdr:cNvPr>
        <xdr:cNvSpPr/>
      </xdr:nvSpPr>
      <xdr:spPr>
        <a:xfrm>
          <a:off x="2971800" y="73914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5</xdr:col>
      <xdr:colOff>12167</xdr:colOff>
      <xdr:row>36</xdr:row>
      <xdr:rowOff>11206</xdr:rowOff>
    </xdr:from>
    <xdr:to>
      <xdr:col>5</xdr:col>
      <xdr:colOff>12168</xdr:colOff>
      <xdr:row>38</xdr:row>
      <xdr:rowOff>33617</xdr:rowOff>
    </xdr:to>
    <xdr:cxnSp macro="">
      <xdr:nvCxnSpPr>
        <xdr:cNvPr id="18" name="Connector: Elbow 17">
          <a:extLst>
            <a:ext uri="{FF2B5EF4-FFF2-40B4-BE49-F238E27FC236}">
              <a16:creationId xmlns:a16="http://schemas.microsoft.com/office/drawing/2014/main" id="{00000000-0008-0000-0400-000012000000}"/>
            </a:ext>
          </a:extLst>
        </xdr:cNvPr>
        <xdr:cNvCxnSpPr>
          <a:stCxn id="8" idx="2"/>
          <a:endCxn id="16" idx="0"/>
        </xdr:cNvCxnSpPr>
      </xdr:nvCxnSpPr>
      <xdr:spPr>
        <a:xfrm rot="5400000">
          <a:off x="1343025" y="6981825"/>
          <a:ext cx="0" cy="4095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12167</xdr:colOff>
      <xdr:row>36</xdr:row>
      <xdr:rowOff>11205</xdr:rowOff>
    </xdr:from>
    <xdr:to>
      <xdr:col>12</xdr:col>
      <xdr:colOff>33619</xdr:colOff>
      <xdr:row>38</xdr:row>
      <xdr:rowOff>33616</xdr:rowOff>
    </xdr:to>
    <xdr:cxnSp macro="">
      <xdr:nvCxnSpPr>
        <xdr:cNvPr id="19" name="Connector: Elbow 18">
          <a:extLst>
            <a:ext uri="{FF2B5EF4-FFF2-40B4-BE49-F238E27FC236}">
              <a16:creationId xmlns:a16="http://schemas.microsoft.com/office/drawing/2014/main" id="{00000000-0008-0000-0400-000013000000}"/>
            </a:ext>
          </a:extLst>
        </xdr:cNvPr>
        <xdr:cNvCxnSpPr>
          <a:stCxn id="8" idx="2"/>
          <a:endCxn id="17" idx="0"/>
        </xdr:cNvCxnSpPr>
      </xdr:nvCxnSpPr>
      <xdr:spPr>
        <a:xfrm rot="16200000" flipH="1">
          <a:off x="1343025" y="6981825"/>
          <a:ext cx="1895475" cy="4095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37</xdr:row>
      <xdr:rowOff>173131</xdr:rowOff>
    </xdr:from>
    <xdr:to>
      <xdr:col>61</xdr:col>
      <xdr:colOff>0</xdr:colOff>
      <xdr:row>41</xdr:row>
      <xdr:rowOff>161925</xdr:rowOff>
    </xdr:to>
    <xdr:sp macro="" textlink="" fLocksText="0">
      <xdr:nvSpPr>
        <xdr:cNvPr id="20" name="吹き出し: 線 2">
          <a:extLst>
            <a:ext uri="{FF2B5EF4-FFF2-40B4-BE49-F238E27FC236}">
              <a16:creationId xmlns:a16="http://schemas.microsoft.com/office/drawing/2014/main" id="{00000000-0008-0000-0400-000014000000}"/>
            </a:ext>
          </a:extLst>
        </xdr:cNvPr>
        <xdr:cNvSpPr/>
      </xdr:nvSpPr>
      <xdr:spPr>
        <a:xfrm>
          <a:off x="10134600" y="7334250"/>
          <a:ext cx="6134100" cy="752475"/>
        </a:xfrm>
        <a:prstGeom prst="borderCallout1">
          <a:avLst>
            <a:gd name="adj1" fmla="val 27912"/>
            <a:gd name="adj2" fmla="val 362"/>
            <a:gd name="adj3" fmla="val 28903"/>
            <a:gd name="adj4" fmla="val -13775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・決定ボタン：MD0101_店舗一覧モダールでユーザーが選択したstoreIdを使用してKN1301 機能を実行する。</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・取消ボタン：モーダルを閉じて、SCX101_メインメニュー画面に戻る。</a:t>
          </a:r>
        </a:p>
      </xdr:txBody>
    </xdr:sp>
    <xdr:clientData/>
  </xdr:twoCellAnchor>
  <xdr:twoCellAnchor>
    <xdr:from>
      <xdr:col>2</xdr:col>
      <xdr:colOff>21691</xdr:colOff>
      <xdr:row>56</xdr:row>
      <xdr:rowOff>11204</xdr:rowOff>
    </xdr:from>
    <xdr:to>
      <xdr:col>8</xdr:col>
      <xdr:colOff>21691</xdr:colOff>
      <xdr:row>60</xdr:row>
      <xdr:rowOff>0</xdr:rowOff>
    </xdr:to>
    <xdr:sp macro="" textlink="" fLocksText="0">
      <xdr:nvSpPr>
        <xdr:cNvPr id="21" name="正方形/長方形 1">
          <a:extLst>
            <a:ext uri="{FF2B5EF4-FFF2-40B4-BE49-F238E27FC236}">
              <a16:creationId xmlns:a16="http://schemas.microsoft.com/office/drawing/2014/main" id="{00000000-0008-0000-0400-000015000000}"/>
            </a:ext>
          </a:extLst>
        </xdr:cNvPr>
        <xdr:cNvSpPr/>
      </xdr:nvSpPr>
      <xdr:spPr>
        <a:xfrm>
          <a:off x="552450" y="10791825"/>
          <a:ext cx="1600200" cy="75247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SC1301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部門別売上日報画面</a:t>
          </a:r>
        </a:p>
      </xdr:txBody>
    </xdr:sp>
    <xdr:clientData/>
  </xdr:twoCellAnchor>
  <xdr:twoCellAnchor>
    <xdr:from>
      <xdr:col>1</xdr:col>
      <xdr:colOff>0</xdr:colOff>
      <xdr:row>41</xdr:row>
      <xdr:rowOff>0</xdr:rowOff>
    </xdr:from>
    <xdr:to>
      <xdr:col>3</xdr:col>
      <xdr:colOff>0</xdr:colOff>
      <xdr:row>42</xdr:row>
      <xdr:rowOff>0</xdr:rowOff>
    </xdr:to>
    <xdr:sp macro="" textlink="" fLocksText="0">
      <xdr:nvSpPr>
        <xdr:cNvPr id="22" name="Rectangle: Rounded Corners 21">
          <a:extLst>
            <a:ext uri="{FF2B5EF4-FFF2-40B4-BE49-F238E27FC236}">
              <a16:creationId xmlns:a16="http://schemas.microsoft.com/office/drawing/2014/main" id="{00000000-0008-0000-0400-000016000000}"/>
            </a:ext>
          </a:extLst>
        </xdr:cNvPr>
        <xdr:cNvSpPr/>
      </xdr:nvSpPr>
      <xdr:spPr>
        <a:xfrm>
          <a:off x="235324" y="7922559"/>
          <a:ext cx="470647"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13</a:t>
          </a:r>
        </a:p>
      </xdr:txBody>
    </xdr:sp>
    <xdr:clientData/>
  </xdr:twoCellAnchor>
  <xdr:twoCellAnchor>
    <xdr:from>
      <xdr:col>3</xdr:col>
      <xdr:colOff>0</xdr:colOff>
      <xdr:row>41</xdr:row>
      <xdr:rowOff>95250</xdr:rowOff>
    </xdr:from>
    <xdr:to>
      <xdr:col>5</xdr:col>
      <xdr:colOff>10846</xdr:colOff>
      <xdr:row>44</xdr:row>
      <xdr:rowOff>1</xdr:rowOff>
    </xdr:to>
    <xdr:cxnSp macro="">
      <xdr:nvCxnSpPr>
        <xdr:cNvPr id="23" name="Connector: Elbow 22">
          <a:extLst>
            <a:ext uri="{FF2B5EF4-FFF2-40B4-BE49-F238E27FC236}">
              <a16:creationId xmlns:a16="http://schemas.microsoft.com/office/drawing/2014/main" id="{00000000-0008-0000-0400-000017000000}"/>
            </a:ext>
          </a:extLst>
        </xdr:cNvPr>
        <xdr:cNvCxnSpPr>
          <a:stCxn id="22" idx="3"/>
          <a:endCxn id="25" idx="0"/>
        </xdr:cNvCxnSpPr>
      </xdr:nvCxnSpPr>
      <xdr:spPr>
        <a:xfrm>
          <a:off x="705971" y="8017809"/>
          <a:ext cx="481493" cy="476251"/>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10846</xdr:colOff>
      <xdr:row>40</xdr:row>
      <xdr:rowOff>33617</xdr:rowOff>
    </xdr:from>
    <xdr:to>
      <xdr:col>5</xdr:col>
      <xdr:colOff>12166</xdr:colOff>
      <xdr:row>44</xdr:row>
      <xdr:rowOff>1</xdr:rowOff>
    </xdr:to>
    <xdr:cxnSp macro="">
      <xdr:nvCxnSpPr>
        <xdr:cNvPr id="24" name="Connector: Elbow 23">
          <a:extLst>
            <a:ext uri="{FF2B5EF4-FFF2-40B4-BE49-F238E27FC236}">
              <a16:creationId xmlns:a16="http://schemas.microsoft.com/office/drawing/2014/main" id="{00000000-0008-0000-0400-000018000000}"/>
            </a:ext>
          </a:extLst>
        </xdr:cNvPr>
        <xdr:cNvCxnSpPr>
          <a:stCxn id="16" idx="2"/>
          <a:endCxn id="25" idx="0"/>
        </xdr:cNvCxnSpPr>
      </xdr:nvCxnSpPr>
      <xdr:spPr>
        <a:xfrm rot="5400000">
          <a:off x="1343025" y="7772400"/>
          <a:ext cx="0" cy="7239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21692</xdr:colOff>
      <xdr:row>44</xdr:row>
      <xdr:rowOff>1</xdr:rowOff>
    </xdr:from>
    <xdr:to>
      <xdr:col>8</xdr:col>
      <xdr:colOff>1</xdr:colOff>
      <xdr:row>48</xdr:row>
      <xdr:rowOff>0</xdr:rowOff>
    </xdr:to>
    <xdr:sp macro="" textlink="" fLocksText="0">
      <xdr:nvSpPr>
        <xdr:cNvPr id="25" name="四角形: 角を丸くする 3">
          <a:extLst>
            <a:ext uri="{FF2B5EF4-FFF2-40B4-BE49-F238E27FC236}">
              <a16:creationId xmlns:a16="http://schemas.microsoft.com/office/drawing/2014/main" id="{00000000-0008-0000-0400-000019000000}"/>
            </a:ext>
          </a:extLst>
        </xdr:cNvPr>
        <xdr:cNvSpPr/>
      </xdr:nvSpPr>
      <xdr:spPr>
        <a:xfrm>
          <a:off x="552450" y="8496300"/>
          <a:ext cx="158115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KN1301</a:t>
          </a:r>
        </a:p>
        <a:p>
          <a:pPr algn="ctr">
            <a:defRPr lang="en-US" altLang="ja-JP" sz="1100">
              <a:solidFill>
                <a:srgbClr val="000000"/>
              </a:solidFill>
              <a:latin typeface="Meiryo UI" panose="020B0604030504040204" pitchFamily="50" charset="-128"/>
              <a:ea typeface="Meiryo UI" panose="020B0604030504040204" pitchFamily="50"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売上日報情報取得機能</a:t>
          </a:r>
        </a:p>
      </xdr:txBody>
    </xdr:sp>
    <xdr:clientData/>
  </xdr:twoCellAnchor>
  <xdr:twoCellAnchor>
    <xdr:from>
      <xdr:col>8</xdr:col>
      <xdr:colOff>1</xdr:colOff>
      <xdr:row>46</xdr:row>
      <xdr:rowOff>0</xdr:rowOff>
    </xdr:from>
    <xdr:to>
      <xdr:col>29</xdr:col>
      <xdr:colOff>0</xdr:colOff>
      <xdr:row>46</xdr:row>
      <xdr:rowOff>1</xdr:rowOff>
    </xdr:to>
    <xdr:cxnSp macro="">
      <xdr:nvCxnSpPr>
        <xdr:cNvPr id="27" name="直線矢印コネクタ 196">
          <a:extLst>
            <a:ext uri="{FF2B5EF4-FFF2-40B4-BE49-F238E27FC236}">
              <a16:creationId xmlns:a16="http://schemas.microsoft.com/office/drawing/2014/main" id="{00000000-0008-0000-0400-00001B000000}"/>
            </a:ext>
          </a:extLst>
        </xdr:cNvPr>
        <xdr:cNvCxnSpPr>
          <a:stCxn id="25" idx="3"/>
          <a:endCxn id="29" idx="2"/>
        </xdr:cNvCxnSpPr>
      </xdr:nvCxnSpPr>
      <xdr:spPr>
        <a:xfrm flipV="1">
          <a:off x="2133600" y="8877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45</xdr:row>
      <xdr:rowOff>0</xdr:rowOff>
    </xdr:from>
    <xdr:to>
      <xdr:col>61</xdr:col>
      <xdr:colOff>0</xdr:colOff>
      <xdr:row>48</xdr:row>
      <xdr:rowOff>179294</xdr:rowOff>
    </xdr:to>
    <xdr:sp macro="" textlink="" fLocksText="0">
      <xdr:nvSpPr>
        <xdr:cNvPr id="28" name="吹き出し: 線 2">
          <a:extLst>
            <a:ext uri="{FF2B5EF4-FFF2-40B4-BE49-F238E27FC236}">
              <a16:creationId xmlns:a16="http://schemas.microsoft.com/office/drawing/2014/main" id="{00000000-0008-0000-0400-00001C000000}"/>
            </a:ext>
          </a:extLst>
        </xdr:cNvPr>
        <xdr:cNvSpPr/>
      </xdr:nvSpPr>
      <xdr:spPr>
        <a:xfrm>
          <a:off x="10134600" y="8686800"/>
          <a:ext cx="6134100" cy="752475"/>
        </a:xfrm>
        <a:prstGeom prst="borderCallout1">
          <a:avLst>
            <a:gd name="adj1" fmla="val 49703"/>
            <a:gd name="adj2" fmla="val 56"/>
            <a:gd name="adj3" fmla="val 49798"/>
            <a:gd name="adj4" fmla="val -13030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以下の条件で売上日報情報を取得する。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・対象日</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・出力単位</a:t>
          </a:r>
        </a:p>
      </xdr:txBody>
    </xdr:sp>
    <xdr:clientData/>
  </xdr:twoCellAnchor>
  <xdr:twoCellAnchor>
    <xdr:from>
      <xdr:col>29</xdr:col>
      <xdr:colOff>0</xdr:colOff>
      <xdr:row>44</xdr:row>
      <xdr:rowOff>0</xdr:rowOff>
    </xdr:from>
    <xdr:to>
      <xdr:col>35</xdr:col>
      <xdr:colOff>0</xdr:colOff>
      <xdr:row>48</xdr:row>
      <xdr:rowOff>0</xdr:rowOff>
    </xdr:to>
    <xdr:sp macro="" textlink="" fLocksText="0">
      <xdr:nvSpPr>
        <xdr:cNvPr id="29" name="フローチャート: 磁気ディスク 194">
          <a:extLst>
            <a:ext uri="{FF2B5EF4-FFF2-40B4-BE49-F238E27FC236}">
              <a16:creationId xmlns:a16="http://schemas.microsoft.com/office/drawing/2014/main" id="{00000000-0008-0000-0400-00001D000000}"/>
            </a:ext>
          </a:extLst>
        </xdr:cNvPr>
        <xdr:cNvSpPr/>
      </xdr:nvSpPr>
      <xdr:spPr>
        <a:xfrm>
          <a:off x="7734300" y="8496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レポート取得API</a:t>
          </a:r>
        </a:p>
      </xdr:txBody>
    </xdr:sp>
    <xdr:clientData/>
  </xdr:twoCellAnchor>
  <xdr:twoCellAnchor>
    <xdr:from>
      <xdr:col>14</xdr:col>
      <xdr:colOff>0</xdr:colOff>
      <xdr:row>66</xdr:row>
      <xdr:rowOff>17556</xdr:rowOff>
    </xdr:from>
    <xdr:to>
      <xdr:col>16</xdr:col>
      <xdr:colOff>230469</xdr:colOff>
      <xdr:row>68</xdr:row>
      <xdr:rowOff>0</xdr:rowOff>
    </xdr:to>
    <xdr:sp macro="" textlink="" fLocksText="0">
      <xdr:nvSpPr>
        <xdr:cNvPr id="30" name="四角形: 角を丸くする 1101">
          <a:extLst>
            <a:ext uri="{FF2B5EF4-FFF2-40B4-BE49-F238E27FC236}">
              <a16:creationId xmlns:a16="http://schemas.microsoft.com/office/drawing/2014/main" id="{00000000-0008-0000-0400-00001E000000}"/>
            </a:ext>
          </a:extLst>
        </xdr:cNvPr>
        <xdr:cNvSpPr/>
      </xdr:nvSpPr>
      <xdr:spPr>
        <a:xfrm>
          <a:off x="3733800" y="12706350"/>
          <a:ext cx="762000" cy="36195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800" b="0" i="0" u="none" baseline="0">
              <a:solidFill>
                <a:srgbClr val="FFFFFF"/>
              </a:solidFill>
              <a:latin typeface="Meiryo UI" panose="020B0604030504040204" pitchFamily="34" charset="-128"/>
              <a:ea typeface="Meiryo UI" panose="020B0604030504040204" pitchFamily="34" charset="-128"/>
              <a:cs typeface="+mn-cs"/>
            </a:defRPr>
          </a:pPr>
          <a:r>
            <a:rPr lang="en-US" sz="800" b="0" i="0" u="none" baseline="0">
              <a:solidFill>
                <a:srgbClr val="FFFFFF"/>
              </a:solidFill>
              <a:latin typeface="Meiryo UI" panose="020B0604030504040204" pitchFamily="34" charset="-128"/>
              <a:ea typeface="Meiryo UI" panose="020B0604030504040204" pitchFamily="34" charset="-128"/>
            </a:rPr>
            <a:t>↑上階層</a:t>
          </a:r>
        </a:p>
      </xdr:txBody>
    </xdr:sp>
    <xdr:clientData/>
  </xdr:twoCellAnchor>
  <xdr:twoCellAnchor>
    <xdr:from>
      <xdr:col>8</xdr:col>
      <xdr:colOff>16063</xdr:colOff>
      <xdr:row>65</xdr:row>
      <xdr:rowOff>185644</xdr:rowOff>
    </xdr:from>
    <xdr:to>
      <xdr:col>12</xdr:col>
      <xdr:colOff>224119</xdr:colOff>
      <xdr:row>68</xdr:row>
      <xdr:rowOff>0</xdr:rowOff>
    </xdr:to>
    <xdr:sp macro="" textlink="" fLocksText="0">
      <xdr:nvSpPr>
        <xdr:cNvPr id="31" name="四角形: 角を丸くする 1101">
          <a:extLst>
            <a:ext uri="{FF2B5EF4-FFF2-40B4-BE49-F238E27FC236}">
              <a16:creationId xmlns:a16="http://schemas.microsoft.com/office/drawing/2014/main" id="{00000000-0008-0000-0400-00001F000000}"/>
            </a:ext>
          </a:extLst>
        </xdr:cNvPr>
        <xdr:cNvSpPr/>
      </xdr:nvSpPr>
      <xdr:spPr>
        <a:xfrm>
          <a:off x="2152650" y="12677775"/>
          <a:ext cx="127635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800" b="0" i="0" u="none" baseline="0">
              <a:solidFill>
                <a:srgbClr val="FFFFFF"/>
              </a:solidFill>
              <a:latin typeface="Meiryo UI" panose="020B0604030504040204" pitchFamily="34" charset="-128"/>
              <a:ea typeface="Meiryo UI" panose="020B0604030504040204" pitchFamily="34" charset="-128"/>
              <a:cs typeface="+mn-cs"/>
            </a:defRPr>
          </a:pPr>
          <a:r>
            <a:rPr lang="en-US" altLang="ja-JP" sz="800" b="0" i="0" u="none" baseline="0">
              <a:solidFill>
                <a:srgbClr val="FFFFFF"/>
              </a:solidFill>
              <a:latin typeface="Meiryo UI" panose="020B0604030504040204" pitchFamily="34" charset="-128"/>
              <a:ea typeface="Meiryo UI" panose="020B0604030504040204" pitchFamily="34" charset="-128"/>
            </a:rPr>
            <a:t>時間帯別</a:t>
          </a:r>
        </a:p>
      </xdr:txBody>
    </xdr:sp>
    <xdr:clientData/>
  </xdr:twoCellAnchor>
  <xdr:twoCellAnchor>
    <xdr:from>
      <xdr:col>2</xdr:col>
      <xdr:colOff>200892</xdr:colOff>
      <xdr:row>66</xdr:row>
      <xdr:rowOff>6350</xdr:rowOff>
    </xdr:from>
    <xdr:to>
      <xdr:col>7</xdr:col>
      <xdr:colOff>61566</xdr:colOff>
      <xdr:row>68</xdr:row>
      <xdr:rowOff>0</xdr:rowOff>
    </xdr:to>
    <xdr:sp macro="" textlink="" fLocksText="0">
      <xdr:nvSpPr>
        <xdr:cNvPr id="32" name="四角形: 角を丸くする 1101">
          <a:extLst>
            <a:ext uri="{FF2B5EF4-FFF2-40B4-BE49-F238E27FC236}">
              <a16:creationId xmlns:a16="http://schemas.microsoft.com/office/drawing/2014/main" id="{00000000-0008-0000-0400-000020000000}"/>
            </a:ext>
          </a:extLst>
        </xdr:cNvPr>
        <xdr:cNvSpPr/>
      </xdr:nvSpPr>
      <xdr:spPr>
        <a:xfrm>
          <a:off x="733425" y="12696825"/>
          <a:ext cx="1190625"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F12:検索</a:t>
          </a:r>
        </a:p>
      </xdr:txBody>
    </xdr:sp>
    <xdr:clientData/>
  </xdr:twoCellAnchor>
  <xdr:twoCellAnchor>
    <xdr:from>
      <xdr:col>5</xdr:col>
      <xdr:colOff>13567</xdr:colOff>
      <xdr:row>63</xdr:row>
      <xdr:rowOff>0</xdr:rowOff>
    </xdr:from>
    <xdr:to>
      <xdr:col>5</xdr:col>
      <xdr:colOff>21691</xdr:colOff>
      <xdr:row>66</xdr:row>
      <xdr:rowOff>6350</xdr:rowOff>
    </xdr:to>
    <xdr:cxnSp macro="">
      <xdr:nvCxnSpPr>
        <xdr:cNvPr id="33" name="Connector: Elbow 32">
          <a:extLst>
            <a:ext uri="{FF2B5EF4-FFF2-40B4-BE49-F238E27FC236}">
              <a16:creationId xmlns:a16="http://schemas.microsoft.com/office/drawing/2014/main" id="{00000000-0008-0000-0400-000021000000}"/>
            </a:ext>
          </a:extLst>
        </xdr:cNvPr>
        <xdr:cNvCxnSpPr>
          <a:stCxn id="21" idx="2"/>
          <a:endCxn id="32" idx="0"/>
        </xdr:cNvCxnSpPr>
      </xdr:nvCxnSpPr>
      <xdr:spPr>
        <a:xfrm flipH="1">
          <a:off x="1343025" y="12115800"/>
          <a:ext cx="9525" cy="581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21691</xdr:colOff>
      <xdr:row>63</xdr:row>
      <xdr:rowOff>0</xdr:rowOff>
    </xdr:from>
    <xdr:to>
      <xdr:col>15</xdr:col>
      <xdr:colOff>115234</xdr:colOff>
      <xdr:row>66</xdr:row>
      <xdr:rowOff>17556</xdr:rowOff>
    </xdr:to>
    <xdr:cxnSp macro="">
      <xdr:nvCxnSpPr>
        <xdr:cNvPr id="34" name="Connector: Elbow 33">
          <a:extLst>
            <a:ext uri="{FF2B5EF4-FFF2-40B4-BE49-F238E27FC236}">
              <a16:creationId xmlns:a16="http://schemas.microsoft.com/office/drawing/2014/main" id="{00000000-0008-0000-0400-000022000000}"/>
            </a:ext>
          </a:extLst>
        </xdr:cNvPr>
        <xdr:cNvCxnSpPr>
          <a:stCxn id="21" idx="2"/>
          <a:endCxn id="30" idx="0"/>
        </xdr:cNvCxnSpPr>
      </xdr:nvCxnSpPr>
      <xdr:spPr>
        <a:xfrm rot="16200000" flipH="1">
          <a:off x="1352550" y="12115800"/>
          <a:ext cx="2762250" cy="5905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370</xdr:colOff>
      <xdr:row>66</xdr:row>
      <xdr:rowOff>13073</xdr:rowOff>
    </xdr:from>
    <xdr:to>
      <xdr:col>21</xdr:col>
      <xdr:colOff>212912</xdr:colOff>
      <xdr:row>68</xdr:row>
      <xdr:rowOff>1</xdr:rowOff>
    </xdr:to>
    <xdr:sp macro="" textlink="" fLocksText="0">
      <xdr:nvSpPr>
        <xdr:cNvPr id="35" name="四角形: 角を丸くする 1101">
          <a:extLst>
            <a:ext uri="{FF2B5EF4-FFF2-40B4-BE49-F238E27FC236}">
              <a16:creationId xmlns:a16="http://schemas.microsoft.com/office/drawing/2014/main" id="{00000000-0008-0000-0400-000023000000}"/>
            </a:ext>
          </a:extLst>
        </xdr:cNvPr>
        <xdr:cNvSpPr/>
      </xdr:nvSpPr>
      <xdr:spPr>
        <a:xfrm>
          <a:off x="4236194" y="12698132"/>
          <a:ext cx="918512" cy="367928"/>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800" b="0" i="0" u="none" baseline="0">
              <a:solidFill>
                <a:srgbClr val="FFFFFF"/>
              </a:solidFill>
              <a:latin typeface="Meiryo UI" panose="020B0604030504040204" pitchFamily="34" charset="-128"/>
              <a:ea typeface="Meiryo UI" panose="020B0604030504040204" pitchFamily="34" charset="-128"/>
              <a:cs typeface="+mn-cs"/>
            </a:defRPr>
          </a:pPr>
          <a:r>
            <a:rPr lang="en-US" sz="800" b="0" i="0" u="none" baseline="0">
              <a:solidFill>
                <a:srgbClr val="FFFFFF"/>
              </a:solidFill>
              <a:latin typeface="Meiryo UI" panose="020B0604030504040204" pitchFamily="34" charset="-128"/>
              <a:ea typeface="Meiryo UI" panose="020B0604030504040204" pitchFamily="34" charset="-128"/>
            </a:rPr>
            <a:t>↓下階層</a:t>
          </a:r>
        </a:p>
      </xdr:txBody>
    </xdr:sp>
    <xdr:clientData/>
  </xdr:twoCellAnchor>
  <xdr:twoCellAnchor>
    <xdr:from>
      <xdr:col>5</xdr:col>
      <xdr:colOff>21691</xdr:colOff>
      <xdr:row>59</xdr:row>
      <xdr:rowOff>190499</xdr:rowOff>
    </xdr:from>
    <xdr:to>
      <xdr:col>19</xdr:col>
      <xdr:colOff>224303</xdr:colOff>
      <xdr:row>66</xdr:row>
      <xdr:rowOff>13072</xdr:rowOff>
    </xdr:to>
    <xdr:cxnSp macro="">
      <xdr:nvCxnSpPr>
        <xdr:cNvPr id="36" name="Connector: Elbow 35">
          <a:extLst>
            <a:ext uri="{FF2B5EF4-FFF2-40B4-BE49-F238E27FC236}">
              <a16:creationId xmlns:a16="http://schemas.microsoft.com/office/drawing/2014/main" id="{00000000-0008-0000-0400-000024000000}"/>
            </a:ext>
          </a:extLst>
        </xdr:cNvPr>
        <xdr:cNvCxnSpPr>
          <a:stCxn id="21" idx="2"/>
          <a:endCxn id="35" idx="0"/>
        </xdr:cNvCxnSpPr>
      </xdr:nvCxnSpPr>
      <xdr:spPr>
        <a:xfrm rot="16200000" flipH="1">
          <a:off x="2368843" y="10371524"/>
          <a:ext cx="1156073" cy="3497141"/>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21690</xdr:colOff>
      <xdr:row>63</xdr:row>
      <xdr:rowOff>0</xdr:rowOff>
    </xdr:from>
    <xdr:to>
      <xdr:col>10</xdr:col>
      <xdr:colOff>120090</xdr:colOff>
      <xdr:row>65</xdr:row>
      <xdr:rowOff>185644</xdr:rowOff>
    </xdr:to>
    <xdr:cxnSp macro="">
      <xdr:nvCxnSpPr>
        <xdr:cNvPr id="37" name="Connector: Elbow 36">
          <a:extLst>
            <a:ext uri="{FF2B5EF4-FFF2-40B4-BE49-F238E27FC236}">
              <a16:creationId xmlns:a16="http://schemas.microsoft.com/office/drawing/2014/main" id="{00000000-0008-0000-0400-000025000000}"/>
            </a:ext>
          </a:extLst>
        </xdr:cNvPr>
        <xdr:cNvCxnSpPr>
          <a:stCxn id="21" idx="2"/>
          <a:endCxn id="31" idx="0"/>
        </xdr:cNvCxnSpPr>
      </xdr:nvCxnSpPr>
      <xdr:spPr>
        <a:xfrm rot="16200000" flipH="1">
          <a:off x="1352550" y="12115800"/>
          <a:ext cx="1438275" cy="561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56</xdr:row>
      <xdr:rowOff>22412</xdr:rowOff>
    </xdr:from>
    <xdr:to>
      <xdr:col>61</xdr:col>
      <xdr:colOff>0</xdr:colOff>
      <xdr:row>112</xdr:row>
      <xdr:rowOff>0</xdr:rowOff>
    </xdr:to>
    <xdr:sp macro="" textlink="" fLocksText="0">
      <xdr:nvSpPr>
        <xdr:cNvPr id="38" name="吹き出し: 線 2">
          <a:extLst>
            <a:ext uri="{FF2B5EF4-FFF2-40B4-BE49-F238E27FC236}">
              <a16:creationId xmlns:a16="http://schemas.microsoft.com/office/drawing/2014/main" id="{00000000-0008-0000-0400-000026000000}"/>
            </a:ext>
          </a:extLst>
        </xdr:cNvPr>
        <xdr:cNvSpPr/>
      </xdr:nvSpPr>
      <xdr:spPr>
        <a:xfrm>
          <a:off x="8942294" y="10802471"/>
          <a:ext cx="5412441" cy="10645588"/>
        </a:xfrm>
        <a:prstGeom prst="borderCallout1">
          <a:avLst>
            <a:gd name="adj1" fmla="val 4135"/>
            <a:gd name="adj2" fmla="val 56"/>
            <a:gd name="adj3" fmla="val 4113"/>
            <a:gd name="adj4" fmla="val -1295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defRPr lang="vi-VN" altLang="ja-JP" sz="1000" b="0" i="0" u="none" baseline="0">
              <a:solidFill>
                <a:srgbClr val="000000"/>
              </a:solidFill>
              <a:latin typeface="Meiryo UI"/>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初期表示状態：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・出力種別: 日報。他の値を選択できない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・出力単位：1 : 部門</a:t>
          </a:r>
          <a:r>
            <a:rPr lang="ja-JP" altLang="en-US" sz="1000" b="0"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他の値を選択できない。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・対象日: 現在日</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表示欄</a:t>
          </a:r>
          <a:r>
            <a:rPr lang="en-US" altLang="ja-JP" sz="1000" b="1" i="0" u="none" baseline="0">
              <a:solidFill>
                <a:sysClr val="windowText" lastClr="000000"/>
              </a:solidFill>
              <a:latin typeface="Meiryo UI" panose="020B0604030504040204" pitchFamily="34" charset="-128"/>
              <a:ea typeface="Meiryo UI" panose="020B0604030504040204" pitchFamily="34" charset="-128"/>
            </a:rPr>
            <a:t>:</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 日付別のレポート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コード: 部門、品群、品種、分類のコード(部門、品群、品種又は分類ではない場合、表示：****)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・名称：部門、品群、品種、分類の名刺 (部門、品群、品種又は分類ではない場合、表示：*店合計*)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・売上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・予算(千)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・達成率</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・構成比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・客数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・点数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・値引金額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 時間帯別のレポート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 No(最初の行の表示: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時間帯</a:t>
          </a:r>
          <a:r>
            <a:rPr lang="ja-JP" altLang="en-US" sz="1000" b="0"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表示値は店舗の営業範囲内となる。各時間帯は1時間間隔である。例：時間帯：08:00、時間帯：09:00</a:t>
          </a:r>
          <a:r>
            <a:rPr lang="ja-JP" altLang="en-US" sz="1000" b="0" i="0" u="none" baseline="0">
              <a:solidFill>
                <a:sysClr val="windowText" lastClr="000000"/>
              </a:solidFill>
              <a:latin typeface="Meiryo UI" panose="020B0604030504040204" pitchFamily="34" charset="-128"/>
              <a:ea typeface="Meiryo UI" panose="020B0604030504040204" pitchFamily="34" charset="-128"/>
            </a:rPr>
            <a:t>）</a:t>
          </a:r>
          <a:endParaRPr lang="en-US" altLang="ja-JP" sz="1000" b="0" i="0" u="none" baseline="0">
            <a:solidFill>
              <a:sysClr val="windowText" lastClr="00000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売上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達成率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値引金額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点数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点単価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客数</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客単価</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時間の経過とともに累積された売上である。 (例: 時間帯：10:00の累積売上は 「時間帯：8:00の売上 + 時間帯：9:00 の売上」に等しくなる)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ボタン</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 [F12: 検索]ボタンを押下すると、以下の条件を満たす売上日報をロードする。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‣出力種別: 日報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‣出力単位：: 1 : 部門</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‣報告日：[対象日]の入力値</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・[時間帯別]ボタン: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‣データがない場合、無効になる。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ysClr val="windowText" lastClr="000000"/>
              </a:solidFill>
              <a:latin typeface="Meiryo UI" panose="020B0604030504040204" pitchFamily="34" charset="-128"/>
              <a:ea typeface="Meiryo UI" panose="020B0604030504040204" pitchFamily="34" charset="-128"/>
            </a:rPr>
            <a:t>　</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‣押下すると、時間帯別のレポートが表示されている場合、商品部門別のレポートに切り替える。上記以外の場合、同様に行う。</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strike="noStrike" baseline="0">
              <a:solidFill>
                <a:sysClr val="windowText" lastClr="000000"/>
              </a:solidFill>
              <a:latin typeface="Meiryo UI" panose="020B0604030504040204" pitchFamily="34" charset="-128"/>
              <a:ea typeface="Meiryo UI" panose="020B0604030504040204" pitchFamily="34" charset="-128"/>
            </a:rPr>
            <a:t>      --&gt; [↑上階層]ボタン、[↓下階層]ボタンを表示する。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strike="noStrike" baseline="0">
              <a:solidFill>
                <a:sysClr val="windowText" lastClr="000000"/>
              </a:solidFill>
              <a:latin typeface="Meiryo UI" panose="020B0604030504040204" pitchFamily="34" charset="-128"/>
              <a:ea typeface="Meiryo UI" panose="020B0604030504040204" pitchFamily="34" charset="-128"/>
            </a:rPr>
            <a:t>    [時間帯別]モードが表示されていない場合、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strike="noStrike" baseline="0">
              <a:solidFill>
                <a:sysClr val="windowText" lastClr="000000"/>
              </a:solidFill>
              <a:latin typeface="Meiryo UI" panose="020B0604030504040204" pitchFamily="34" charset="-128"/>
              <a:ea typeface="Meiryo UI" panose="020B0604030504040204" pitchFamily="34" charset="-128"/>
            </a:rPr>
            <a:t>--&gt; [↑上階層]ボタン、[↓下階層]ボタンを非表示する。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・[↓下階層]ボタン:</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‣部門、品群又は品種の行を選択すると、有効になる。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‣ボタンを押下すると、選択した部門・品群・品種・分類とその下位レベルの部門・品群・品種・分類の日別売上を表示する。(例えば：部門の↓下階層を選択すると、部門と品群の日別売上を表示する。）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[↑上階層]ボタン:</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‣より高いレベルの部門・品群・品種・分類の行を選択すると、ボタンが有効になる（最上位：店合計）  </a:t>
          </a:r>
          <a:r>
            <a:rPr lang="ja-JP" altLang="en-US" sz="1000" b="0" i="0" u="none" baseline="0">
              <a:solidFill>
                <a:sysClr val="windowText" lastClr="000000"/>
              </a:solidFill>
              <a:latin typeface="Meiryo UI" panose="020B0604030504040204" pitchFamily="34" charset="-128"/>
              <a:ea typeface="Meiryo UI" panose="020B0604030504040204" pitchFamily="34" charset="-128"/>
            </a:rPr>
            <a:t>　　　　</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‣ボタンを押下すると、より高いレベルの部門・品群・品種・分類の売上日報が表示される。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・[↓下階層]ボタンまたは[↑上階層]ボタンを押下すると、出力単位に表示中の最下位の部門・品群・品種・分類が表示される。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レポートにフィールドが表示される。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solidFill>
              <a:sysClr val="windowText" lastClr="000000"/>
            </a:solidFill>
            <a:latin typeface="Meiryo UI" panose="020B0604030504040204" pitchFamily="34" charset="-128"/>
            <a:ea typeface="Meiryo UI" panose="020B0604030504040204" pitchFamily="34" charset="-128"/>
          </a:endParaRPr>
        </a:p>
      </xdr:txBody>
    </xdr:sp>
    <xdr:clientData/>
  </xdr:twoCellAnchor>
  <xdr:twoCellAnchor>
    <xdr:from>
      <xdr:col>16</xdr:col>
      <xdr:colOff>12890</xdr:colOff>
      <xdr:row>74</xdr:row>
      <xdr:rowOff>187693</xdr:rowOff>
    </xdr:from>
    <xdr:to>
      <xdr:col>22</xdr:col>
      <xdr:colOff>11206</xdr:colOff>
      <xdr:row>78</xdr:row>
      <xdr:rowOff>179295</xdr:rowOff>
    </xdr:to>
    <xdr:sp macro="" textlink="" fLocksText="0">
      <xdr:nvSpPr>
        <xdr:cNvPr id="44" name="フローチャート: 書類 11">
          <a:extLst>
            <a:ext uri="{FF2B5EF4-FFF2-40B4-BE49-F238E27FC236}">
              <a16:creationId xmlns:a16="http://schemas.microsoft.com/office/drawing/2014/main" id="{00000000-0008-0000-0400-00002C000000}"/>
            </a:ext>
          </a:extLst>
        </xdr:cNvPr>
        <xdr:cNvSpPr/>
      </xdr:nvSpPr>
      <xdr:spPr>
        <a:xfrm>
          <a:off x="3778066" y="14396752"/>
          <a:ext cx="1410258" cy="753602"/>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defRPr lang="ja-JP" altLang="en-US" sz="1100">
              <a:solidFill>
                <a:srgbClr val="000000"/>
              </a:solidFill>
              <a:latin typeface="Meiryo UI" panose="020B0604030504040204" pitchFamily="50" charset="-128"/>
              <a:ea typeface="Meiryo UI" panose="020B0604030504040204" pitchFamily="50" charset="-128"/>
              <a:cs typeface="+mn-cs"/>
            </a:defRPr>
          </a:pPr>
          <a:r>
            <a:rPr lang="en-US" altLang="ja-JP" sz="800" b="0" i="0" u="none" baseline="0">
              <a:solidFill>
                <a:srgbClr val="000000"/>
              </a:solidFill>
              <a:latin typeface="Meiryo UI" panose="020B0604030504040204" pitchFamily="34" charset="-128"/>
              <a:ea typeface="Meiryo UI" panose="020B0604030504040204" pitchFamily="34" charset="-128"/>
            </a:rPr>
            <a:t>PR1301</a:t>
          </a:r>
        </a:p>
        <a:p>
          <a:pPr algn="ctr">
            <a:defRPr lang="en-US" altLang="ja-JP" sz="800" b="0" i="0" u="none" baseline="0">
              <a:solidFill>
                <a:srgbClr val="000000"/>
              </a:solidFill>
              <a:latin typeface="Meiryo UI"/>
              <a:ea typeface="Meiryo UI"/>
            </a:defRPr>
          </a:pPr>
          <a:r>
            <a:rPr lang="en-US" altLang="ja-JP" sz="800" b="0" i="0" u="none" baseline="0">
              <a:solidFill>
                <a:srgbClr val="000000"/>
              </a:solidFill>
              <a:latin typeface="Meiryo UI" panose="020B0604030504040204" pitchFamily="34" charset="-128"/>
              <a:ea typeface="Meiryo UI" panose="020B0604030504040204" pitchFamily="34" charset="-128"/>
            </a:rPr>
            <a:t>部門別売上日報印刷帳票</a:t>
          </a:r>
        </a:p>
      </xdr:txBody>
    </xdr:sp>
    <xdr:clientData/>
  </xdr:twoCellAnchor>
  <xdr:twoCellAnchor>
    <xdr:from>
      <xdr:col>23</xdr:col>
      <xdr:colOff>0</xdr:colOff>
      <xdr:row>65</xdr:row>
      <xdr:rowOff>187884</xdr:rowOff>
    </xdr:from>
    <xdr:to>
      <xdr:col>27</xdr:col>
      <xdr:colOff>0</xdr:colOff>
      <xdr:row>68</xdr:row>
      <xdr:rowOff>0</xdr:rowOff>
    </xdr:to>
    <xdr:sp macro="" textlink="" fLocksText="0">
      <xdr:nvSpPr>
        <xdr:cNvPr id="45" name="四角形: 角を丸くする 1101">
          <a:extLst>
            <a:ext uri="{FF2B5EF4-FFF2-40B4-BE49-F238E27FC236}">
              <a16:creationId xmlns:a16="http://schemas.microsoft.com/office/drawing/2014/main" id="{00000000-0008-0000-0400-00002D000000}"/>
            </a:ext>
          </a:extLst>
        </xdr:cNvPr>
        <xdr:cNvSpPr/>
      </xdr:nvSpPr>
      <xdr:spPr>
        <a:xfrm>
          <a:off x="5412441" y="12682443"/>
          <a:ext cx="941294" cy="383616"/>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印刷</a:t>
          </a:r>
        </a:p>
        <a:p>
          <a:pPr algn="ctr">
            <a:defRPr lang="en-US" altLang="ja-JP" sz="800" b="0" i="0" u="none" baseline="0">
              <a:solidFill>
                <a:srgbClr val="FFFFFF"/>
              </a:solidFill>
              <a:latin typeface="Meiryo UI" panose="020B0604030504040204" pitchFamily="34" charset="-128"/>
              <a:ea typeface="Meiryo UI" panose="020B0604030504040204" pitchFamily="34" charset="-128"/>
              <a:cs typeface="+mn-cs"/>
            </a:defRPr>
          </a:pPr>
          <a:r>
            <a:rPr lang="en-US" altLang="ja-JP" sz="800" b="0" i="0" u="none" baseline="0">
              <a:solidFill>
                <a:srgbClr val="FFFFFF"/>
              </a:solidFill>
              <a:latin typeface="Meiryo UI" panose="020B0604030504040204" pitchFamily="34" charset="-128"/>
              <a:ea typeface="Meiryo UI" panose="020B0604030504040204" pitchFamily="34" charset="-128"/>
            </a:rPr>
            <a:t>（ヘッダー）</a:t>
          </a:r>
        </a:p>
      </xdr:txBody>
    </xdr:sp>
    <xdr:clientData/>
  </xdr:twoCellAnchor>
  <xdr:twoCellAnchor>
    <xdr:from>
      <xdr:col>5</xdr:col>
      <xdr:colOff>21690</xdr:colOff>
      <xdr:row>60</xdr:row>
      <xdr:rowOff>0</xdr:rowOff>
    </xdr:from>
    <xdr:to>
      <xdr:col>24</xdr:col>
      <xdr:colOff>235322</xdr:colOff>
      <xdr:row>65</xdr:row>
      <xdr:rowOff>187884</xdr:rowOff>
    </xdr:to>
    <xdr:cxnSp macro="">
      <xdr:nvCxnSpPr>
        <xdr:cNvPr id="46" name="Connector: Elbow 45">
          <a:extLst>
            <a:ext uri="{FF2B5EF4-FFF2-40B4-BE49-F238E27FC236}">
              <a16:creationId xmlns:a16="http://schemas.microsoft.com/office/drawing/2014/main" id="{00000000-0008-0000-0400-00002E000000}"/>
            </a:ext>
          </a:extLst>
        </xdr:cNvPr>
        <xdr:cNvCxnSpPr>
          <a:stCxn id="21" idx="2"/>
          <a:endCxn id="45" idx="0"/>
        </xdr:cNvCxnSpPr>
      </xdr:nvCxnSpPr>
      <xdr:spPr>
        <a:xfrm rot="16200000" flipH="1">
          <a:off x="2970506" y="9769861"/>
          <a:ext cx="1140384" cy="4684779"/>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12049</xdr:colOff>
      <xdr:row>68</xdr:row>
      <xdr:rowOff>0</xdr:rowOff>
    </xdr:from>
    <xdr:to>
      <xdr:col>25</xdr:col>
      <xdr:colOff>1</xdr:colOff>
      <xdr:row>74</xdr:row>
      <xdr:rowOff>187693</xdr:rowOff>
    </xdr:to>
    <xdr:cxnSp macro="">
      <xdr:nvCxnSpPr>
        <xdr:cNvPr id="47" name="Connector: Elbow 46">
          <a:extLst>
            <a:ext uri="{FF2B5EF4-FFF2-40B4-BE49-F238E27FC236}">
              <a16:creationId xmlns:a16="http://schemas.microsoft.com/office/drawing/2014/main" id="{00000000-0008-0000-0400-00002F000000}"/>
            </a:ext>
          </a:extLst>
        </xdr:cNvPr>
        <xdr:cNvCxnSpPr>
          <a:stCxn id="45" idx="2"/>
          <a:endCxn id="44" idx="0"/>
        </xdr:cNvCxnSpPr>
      </xdr:nvCxnSpPr>
      <xdr:spPr>
        <a:xfrm rot="5400000">
          <a:off x="4517796" y="13031459"/>
          <a:ext cx="1330693" cy="1399893"/>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65</xdr:col>
      <xdr:colOff>0</xdr:colOff>
      <xdr:row>54</xdr:row>
      <xdr:rowOff>49886</xdr:rowOff>
    </xdr:from>
    <xdr:to>
      <xdr:col>86</xdr:col>
      <xdr:colOff>14026</xdr:colOff>
      <xdr:row>76</xdr:row>
      <xdr:rowOff>182256</xdr:rowOff>
    </xdr:to>
    <xdr:grpSp>
      <xdr:nvGrpSpPr>
        <xdr:cNvPr id="48" name="Group 47">
          <a:extLst>
            <a:ext uri="{FF2B5EF4-FFF2-40B4-BE49-F238E27FC236}">
              <a16:creationId xmlns:a16="http://schemas.microsoft.com/office/drawing/2014/main" id="{00000000-0008-0000-0400-000030000000}"/>
            </a:ext>
          </a:extLst>
        </xdr:cNvPr>
        <xdr:cNvGrpSpPr>
          <a:grpSpLocks/>
        </xdr:cNvGrpSpPr>
      </xdr:nvGrpSpPr>
      <xdr:grpSpPr>
        <a:xfrm>
          <a:off x="15478125" y="10451186"/>
          <a:ext cx="5014651" cy="4323370"/>
          <a:chOff x="15740466" y="10800382"/>
          <a:chExt cx="5099407" cy="3619489"/>
        </a:xfrm>
      </xdr:grpSpPr>
      <xdr:pic>
        <xdr:nvPicPr>
          <xdr:cNvPr id="49" name="図 38">
            <a:extLst>
              <a:ext uri="{FF2B5EF4-FFF2-40B4-BE49-F238E27FC236}">
                <a16:creationId xmlns:a16="http://schemas.microsoft.com/office/drawing/2014/main" id="{00000000-0008-0000-0400-00003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208337" y="12610127"/>
            <a:ext cx="4315373" cy="1809745"/>
          </a:xfrm>
          <a:prstGeom prst="rect">
            <a:avLst/>
          </a:prstGeom>
          <a:ln w="15875">
            <a:solidFill>
              <a:schemeClr val="tx1"/>
            </a:solidFill>
          </a:ln>
        </xdr:spPr>
      </xdr:pic>
      <xdr:grpSp>
        <xdr:nvGrpSpPr>
          <xdr:cNvPr id="50" name="グループ化 4">
            <a:extLst>
              <a:ext uri="{FF2B5EF4-FFF2-40B4-BE49-F238E27FC236}">
                <a16:creationId xmlns:a16="http://schemas.microsoft.com/office/drawing/2014/main" id="{00000000-0008-0000-0400-000032000000}"/>
              </a:ext>
            </a:extLst>
          </xdr:cNvPr>
          <xdr:cNvGrpSpPr>
            <a:grpSpLocks/>
          </xdr:cNvGrpSpPr>
        </xdr:nvGrpSpPr>
        <xdr:grpSpPr>
          <a:xfrm>
            <a:off x="15740466" y="10800382"/>
            <a:ext cx="5099407" cy="1809745"/>
            <a:chOff x="2312988" y="15735300"/>
            <a:chExt cx="5105400" cy="1800000"/>
          </a:xfrm>
        </xdr:grpSpPr>
        <xdr:pic>
          <xdr:nvPicPr>
            <xdr:cNvPr id="51" name="図 35">
              <a:extLst>
                <a:ext uri="{FF2B5EF4-FFF2-40B4-BE49-F238E27FC236}">
                  <a16:creationId xmlns:a16="http://schemas.microsoft.com/office/drawing/2014/main" id="{00000000-0008-0000-0400-00003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71198" y="15735300"/>
              <a:ext cx="4320445" cy="1800000"/>
            </a:xfrm>
            <a:prstGeom prst="rect">
              <a:avLst/>
            </a:prstGeom>
            <a:ln w="15875">
              <a:solidFill>
                <a:schemeClr val="tx1"/>
              </a:solidFill>
            </a:ln>
          </xdr:spPr>
        </xdr:pic>
        <xdr:sp macro="" textlink="">
          <xdr:nvSpPr>
            <xdr:cNvPr id="52" name="Oval 121">
              <a:extLst>
                <a:ext uri="{FF2B5EF4-FFF2-40B4-BE49-F238E27FC236}">
                  <a16:creationId xmlns:a16="http://schemas.microsoft.com/office/drawing/2014/main" id="{00000000-0008-0000-0400-000034000000}"/>
                </a:ext>
              </a:extLst>
            </xdr:cNvPr>
            <xdr:cNvSpPr>
              <a:spLocks noChangeArrowheads="1"/>
            </xdr:cNvSpPr>
          </xdr:nvSpPr>
          <xdr:spPr bwMode="auto">
            <a:xfrm>
              <a:off x="2312988" y="16735650"/>
              <a:ext cx="5105400" cy="193050"/>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sp macro="" textlink="">
          <xdr:nvSpPr>
            <xdr:cNvPr id="53" name="Oval 121">
              <a:extLst>
                <a:ext uri="{FF2B5EF4-FFF2-40B4-BE49-F238E27FC236}">
                  <a16:creationId xmlns:a16="http://schemas.microsoft.com/office/drawing/2014/main" id="{00000000-0008-0000-0400-000035000000}"/>
                </a:ext>
              </a:extLst>
            </xdr:cNvPr>
            <xdr:cNvSpPr>
              <a:spLocks noChangeArrowheads="1"/>
            </xdr:cNvSpPr>
          </xdr:nvSpPr>
          <xdr:spPr bwMode="auto">
            <a:xfrm>
              <a:off x="6602800" y="16208250"/>
              <a:ext cx="389287" cy="270000"/>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grpSp>
    </xdr:grpSp>
    <xdr:clientData/>
  </xdr:twoCellAnchor>
  <xdr:twoCellAnchor>
    <xdr:from>
      <xdr:col>67</xdr:col>
      <xdr:colOff>0</xdr:colOff>
      <xdr:row>79</xdr:row>
      <xdr:rowOff>0</xdr:rowOff>
    </xdr:from>
    <xdr:to>
      <xdr:col>84</xdr:col>
      <xdr:colOff>230891</xdr:colOff>
      <xdr:row>107</xdr:row>
      <xdr:rowOff>0</xdr:rowOff>
    </xdr:to>
    <xdr:grpSp>
      <xdr:nvGrpSpPr>
        <xdr:cNvPr id="54" name="Group 53">
          <a:extLst>
            <a:ext uri="{FF2B5EF4-FFF2-40B4-BE49-F238E27FC236}">
              <a16:creationId xmlns:a16="http://schemas.microsoft.com/office/drawing/2014/main" id="{00000000-0008-0000-0400-000036000000}"/>
            </a:ext>
          </a:extLst>
        </xdr:cNvPr>
        <xdr:cNvGrpSpPr>
          <a:grpSpLocks/>
        </xdr:cNvGrpSpPr>
      </xdr:nvGrpSpPr>
      <xdr:grpSpPr>
        <a:xfrm>
          <a:off x="15954375" y="15163800"/>
          <a:ext cx="4279016" cy="5334000"/>
          <a:chOff x="16160211" y="15183495"/>
          <a:chExt cx="4354466" cy="3101137"/>
        </a:xfrm>
      </xdr:grpSpPr>
      <xdr:pic>
        <xdr:nvPicPr>
          <xdr:cNvPr id="55" name="図 40">
            <a:extLst>
              <a:ext uri="{FF2B5EF4-FFF2-40B4-BE49-F238E27FC236}">
                <a16:creationId xmlns:a16="http://schemas.microsoft.com/office/drawing/2014/main" id="{00000000-0008-0000-0400-00003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00490" y="15183495"/>
            <a:ext cx="4314187" cy="1809513"/>
          </a:xfrm>
          <a:prstGeom prst="rect">
            <a:avLst/>
          </a:prstGeom>
          <a:ln w="15875">
            <a:solidFill>
              <a:schemeClr val="tx1"/>
            </a:solidFill>
          </a:ln>
        </xdr:spPr>
      </xdr:pic>
      <xdr:pic>
        <xdr:nvPicPr>
          <xdr:cNvPr id="56" name="図 43">
            <a:extLst>
              <a:ext uri="{FF2B5EF4-FFF2-40B4-BE49-F238E27FC236}">
                <a16:creationId xmlns:a16="http://schemas.microsoft.com/office/drawing/2014/main" id="{00000000-0008-0000-0400-00003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200490" y="16475119"/>
            <a:ext cx="4314187" cy="1809513"/>
          </a:xfrm>
          <a:prstGeom prst="rect">
            <a:avLst/>
          </a:prstGeom>
          <a:ln w="15875">
            <a:solidFill>
              <a:schemeClr val="tx1"/>
            </a:solidFill>
          </a:ln>
        </xdr:spPr>
      </xdr:pic>
      <xdr:sp macro="" textlink="">
        <xdr:nvSpPr>
          <xdr:cNvPr id="57" name="Oval 121">
            <a:extLst>
              <a:ext uri="{FF2B5EF4-FFF2-40B4-BE49-F238E27FC236}">
                <a16:creationId xmlns:a16="http://schemas.microsoft.com/office/drawing/2014/main" id="{00000000-0008-0000-0400-000039000000}"/>
              </a:ext>
            </a:extLst>
          </xdr:cNvPr>
          <xdr:cNvSpPr>
            <a:spLocks noChangeArrowheads="1"/>
          </xdr:cNvSpPr>
        </xdr:nvSpPr>
        <xdr:spPr bwMode="auto">
          <a:xfrm>
            <a:off x="16160211" y="15732396"/>
            <a:ext cx="435447" cy="169787"/>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grpSp>
    <xdr:clientData/>
  </xdr:twoCellAnchor>
  <xdr:twoCellAnchor>
    <xdr:from>
      <xdr:col>24</xdr:col>
      <xdr:colOff>0</xdr:colOff>
      <xdr:row>74</xdr:row>
      <xdr:rowOff>187693</xdr:rowOff>
    </xdr:from>
    <xdr:to>
      <xdr:col>29</xdr:col>
      <xdr:colOff>224116</xdr:colOff>
      <xdr:row>78</xdr:row>
      <xdr:rowOff>179294</xdr:rowOff>
    </xdr:to>
    <xdr:sp macro="" textlink="" fLocksText="0">
      <xdr:nvSpPr>
        <xdr:cNvPr id="66" name="フローチャート: 書類 11">
          <a:extLst>
            <a:ext uri="{FF2B5EF4-FFF2-40B4-BE49-F238E27FC236}">
              <a16:creationId xmlns:a16="http://schemas.microsoft.com/office/drawing/2014/main" id="{00000000-0008-0000-0400-000042000000}"/>
            </a:ext>
          </a:extLst>
        </xdr:cNvPr>
        <xdr:cNvSpPr/>
      </xdr:nvSpPr>
      <xdr:spPr>
        <a:xfrm>
          <a:off x="5647765" y="14396752"/>
          <a:ext cx="1400733" cy="753601"/>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defRPr lang="ja-JP" altLang="en-US" sz="1100">
              <a:solidFill>
                <a:srgbClr val="000000"/>
              </a:solidFill>
              <a:latin typeface="Meiryo UI" panose="020B0604030504040204" pitchFamily="50" charset="-128"/>
              <a:ea typeface="Meiryo UI" panose="020B0604030504040204" pitchFamily="50" charset="-128"/>
              <a:cs typeface="+mn-cs"/>
            </a:defRPr>
          </a:pPr>
          <a:r>
            <a:rPr lang="en-US" altLang="ja-JP" sz="800" b="0" i="0" u="none" baseline="0">
              <a:solidFill>
                <a:srgbClr val="000000"/>
              </a:solidFill>
              <a:latin typeface="Meiryo UI" panose="020B0604030504040204" pitchFamily="34" charset="-128"/>
              <a:ea typeface="Meiryo UI" panose="020B0604030504040204" pitchFamily="34" charset="-128"/>
            </a:rPr>
            <a:t>PR1302</a:t>
          </a:r>
        </a:p>
        <a:p>
          <a:pPr algn="ctr">
            <a:defRPr lang="en-US" altLang="ja-JP" sz="800" b="0" i="0" u="none" baseline="0">
              <a:solidFill>
                <a:srgbClr val="000000"/>
              </a:solidFill>
              <a:latin typeface="Meiryo UI"/>
              <a:ea typeface="Meiryo UI"/>
            </a:defRPr>
          </a:pPr>
          <a:r>
            <a:rPr lang="en-US" altLang="ja-JP" sz="800" b="0" i="0" u="none" baseline="0">
              <a:solidFill>
                <a:srgbClr val="000000"/>
              </a:solidFill>
              <a:latin typeface="Meiryo UI" panose="020B0604030504040204" pitchFamily="34" charset="-128"/>
              <a:ea typeface="Meiryo UI" panose="020B0604030504040204" pitchFamily="34" charset="-128"/>
            </a:rPr>
            <a:t>時間帯別売上日報印刷帳票</a:t>
          </a:r>
        </a:p>
      </xdr:txBody>
    </xdr:sp>
    <xdr:clientData/>
  </xdr:twoCellAnchor>
  <xdr:twoCellAnchor>
    <xdr:from>
      <xdr:col>66</xdr:col>
      <xdr:colOff>209512</xdr:colOff>
      <xdr:row>41</xdr:row>
      <xdr:rowOff>0</xdr:rowOff>
    </xdr:from>
    <xdr:to>
      <xdr:col>85</xdr:col>
      <xdr:colOff>0</xdr:colOff>
      <xdr:row>52</xdr:row>
      <xdr:rowOff>76058</xdr:rowOff>
    </xdr:to>
    <xdr:grpSp>
      <xdr:nvGrpSpPr>
        <xdr:cNvPr id="68" name="グループ化 1">
          <a:extLst>
            <a:ext uri="{FF2B5EF4-FFF2-40B4-BE49-F238E27FC236}">
              <a16:creationId xmlns:a16="http://schemas.microsoft.com/office/drawing/2014/main" id="{00000000-0008-0000-0400-000044000000}"/>
            </a:ext>
          </a:extLst>
        </xdr:cNvPr>
        <xdr:cNvGrpSpPr>
          <a:grpSpLocks/>
        </xdr:cNvGrpSpPr>
      </xdr:nvGrpSpPr>
      <xdr:grpSpPr>
        <a:xfrm>
          <a:off x="15925762" y="7924800"/>
          <a:ext cx="4314863" cy="2171558"/>
          <a:chOff x="2743199" y="4105275"/>
          <a:chExt cx="4324350" cy="1800000"/>
        </a:xfrm>
      </xdr:grpSpPr>
      <xdr:pic>
        <xdr:nvPicPr>
          <xdr:cNvPr id="69" name="図 30">
            <a:extLst>
              <a:ext uri="{FF2B5EF4-FFF2-40B4-BE49-F238E27FC236}">
                <a16:creationId xmlns:a16="http://schemas.microsoft.com/office/drawing/2014/main" id="{00000000-0008-0000-0400-00004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43199" y="4105275"/>
            <a:ext cx="4320026" cy="1800000"/>
          </a:xfrm>
          <a:prstGeom prst="rect">
            <a:avLst/>
          </a:prstGeom>
          <a:ln w="15875">
            <a:solidFill>
              <a:schemeClr val="tx1"/>
            </a:solidFill>
          </a:ln>
        </xdr:spPr>
      </xdr:pic>
      <xdr:sp macro="" textlink="">
        <xdr:nvSpPr>
          <xdr:cNvPr id="70" name="Oval 121">
            <a:extLst>
              <a:ext uri="{FF2B5EF4-FFF2-40B4-BE49-F238E27FC236}">
                <a16:creationId xmlns:a16="http://schemas.microsoft.com/office/drawing/2014/main" id="{00000000-0008-0000-0400-000046000000}"/>
              </a:ext>
            </a:extLst>
          </xdr:cNvPr>
          <xdr:cNvSpPr>
            <a:spLocks noChangeArrowheads="1"/>
          </xdr:cNvSpPr>
        </xdr:nvSpPr>
        <xdr:spPr bwMode="auto">
          <a:xfrm>
            <a:off x="6510789" y="4405425"/>
            <a:ext cx="556760" cy="347850"/>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grpSp>
    <xdr:clientData/>
  </xdr:twoCellAnchor>
  <xdr:twoCellAnchor>
    <xdr:from>
      <xdr:col>25</xdr:col>
      <xdr:colOff>1</xdr:colOff>
      <xdr:row>67</xdr:row>
      <xdr:rowOff>190499</xdr:rowOff>
    </xdr:from>
    <xdr:to>
      <xdr:col>26</xdr:col>
      <xdr:colOff>229721</xdr:colOff>
      <xdr:row>74</xdr:row>
      <xdr:rowOff>187692</xdr:rowOff>
    </xdr:to>
    <xdr:cxnSp macro="">
      <xdr:nvCxnSpPr>
        <xdr:cNvPr id="72" name="Connector: Elbow 71">
          <a:extLst>
            <a:ext uri="{FF2B5EF4-FFF2-40B4-BE49-F238E27FC236}">
              <a16:creationId xmlns:a16="http://schemas.microsoft.com/office/drawing/2014/main" id="{00000000-0008-0000-0400-000048000000}"/>
            </a:ext>
          </a:extLst>
        </xdr:cNvPr>
        <xdr:cNvCxnSpPr>
          <a:stCxn id="45" idx="2"/>
          <a:endCxn id="66" idx="0"/>
        </xdr:cNvCxnSpPr>
      </xdr:nvCxnSpPr>
      <xdr:spPr>
        <a:xfrm rot="16200000" flipH="1">
          <a:off x="5450264" y="13498883"/>
          <a:ext cx="1330693" cy="465044"/>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48</xdr:row>
      <xdr:rowOff>0</xdr:rowOff>
    </xdr:from>
    <xdr:to>
      <xdr:col>5</xdr:col>
      <xdr:colOff>10846</xdr:colOff>
      <xdr:row>50</xdr:row>
      <xdr:rowOff>0</xdr:rowOff>
    </xdr:to>
    <xdr:cxnSp macro="">
      <xdr:nvCxnSpPr>
        <xdr:cNvPr id="85" name="Connector: Elbow 84">
          <a:extLst>
            <a:ext uri="{FF2B5EF4-FFF2-40B4-BE49-F238E27FC236}">
              <a16:creationId xmlns:a16="http://schemas.microsoft.com/office/drawing/2014/main" id="{00000000-0008-0000-0400-000055000000}"/>
            </a:ext>
          </a:extLst>
        </xdr:cNvPr>
        <xdr:cNvCxnSpPr>
          <a:stCxn id="25" idx="2"/>
          <a:endCxn id="61" idx="0"/>
        </xdr:cNvCxnSpPr>
      </xdr:nvCxnSpPr>
      <xdr:spPr>
        <a:xfrm flipH="1">
          <a:off x="1333500" y="9258300"/>
          <a:ext cx="952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67</xdr:col>
      <xdr:colOff>0</xdr:colOff>
      <xdr:row>108</xdr:row>
      <xdr:rowOff>0</xdr:rowOff>
    </xdr:from>
    <xdr:to>
      <xdr:col>85</xdr:col>
      <xdr:colOff>30063</xdr:colOff>
      <xdr:row>131</xdr:row>
      <xdr:rowOff>0</xdr:rowOff>
    </xdr:to>
    <xdr:grpSp>
      <xdr:nvGrpSpPr>
        <xdr:cNvPr id="60" name="Group 59">
          <a:extLst>
            <a:ext uri="{FF2B5EF4-FFF2-40B4-BE49-F238E27FC236}">
              <a16:creationId xmlns:a16="http://schemas.microsoft.com/office/drawing/2014/main" id="{00000000-0008-0000-0400-00003C000000}"/>
            </a:ext>
          </a:extLst>
        </xdr:cNvPr>
        <xdr:cNvGrpSpPr>
          <a:grpSpLocks/>
        </xdr:cNvGrpSpPr>
      </xdr:nvGrpSpPr>
      <xdr:grpSpPr>
        <a:xfrm>
          <a:off x="15954375" y="20688300"/>
          <a:ext cx="4316313" cy="4381500"/>
          <a:chOff x="15716250" y="19926300"/>
          <a:chExt cx="4316313" cy="4381500"/>
        </a:xfrm>
      </xdr:grpSpPr>
      <xdr:pic>
        <xdr:nvPicPr>
          <xdr:cNvPr id="26" name="Picture 25">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4"/>
          <a:srcRect b="49211"/>
          <a:stretch>
            <a:fillRect/>
          </a:stretch>
        </xdr:blipFill>
        <xdr:spPr>
          <a:xfrm>
            <a:off x="15716250" y="22157579"/>
            <a:ext cx="4286099" cy="2150221"/>
          </a:xfrm>
          <a:prstGeom prst="rect">
            <a:avLst/>
          </a:prstGeom>
        </xdr:spPr>
      </xdr:pic>
      <xdr:grpSp>
        <xdr:nvGrpSpPr>
          <xdr:cNvPr id="39" name="グループ化 2">
            <a:extLst>
              <a:ext uri="{FF2B5EF4-FFF2-40B4-BE49-F238E27FC236}">
                <a16:creationId xmlns:a16="http://schemas.microsoft.com/office/drawing/2014/main" id="{00000000-0008-0000-0400-000027000000}"/>
              </a:ext>
            </a:extLst>
          </xdr:cNvPr>
          <xdr:cNvGrpSpPr>
            <a:grpSpLocks/>
          </xdr:cNvGrpSpPr>
        </xdr:nvGrpSpPr>
        <xdr:grpSpPr>
          <a:xfrm>
            <a:off x="15716250" y="19926300"/>
            <a:ext cx="4316313" cy="2163366"/>
            <a:chOff x="2743200" y="6210300"/>
            <a:chExt cx="4320000" cy="1866675"/>
          </a:xfrm>
        </xdr:grpSpPr>
        <xdr:pic>
          <xdr:nvPicPr>
            <xdr:cNvPr id="58" name="図 31">
              <a:extLst>
                <a:ext uri="{FF2B5EF4-FFF2-40B4-BE49-F238E27FC236}">
                  <a16:creationId xmlns:a16="http://schemas.microsoft.com/office/drawing/2014/main" id="{00000000-0008-0000-0400-00003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43200" y="6277034"/>
              <a:ext cx="4320000" cy="1799941"/>
            </a:xfrm>
            <a:prstGeom prst="rect">
              <a:avLst/>
            </a:prstGeom>
            <a:ln w="15875">
              <a:solidFill>
                <a:schemeClr val="tx1"/>
              </a:solidFill>
            </a:ln>
          </xdr:spPr>
        </xdr:pic>
        <xdr:sp macro="" textlink="">
          <xdr:nvSpPr>
            <xdr:cNvPr id="59" name="Oval 121">
              <a:extLst>
                <a:ext uri="{FF2B5EF4-FFF2-40B4-BE49-F238E27FC236}">
                  <a16:creationId xmlns:a16="http://schemas.microsoft.com/office/drawing/2014/main" id="{00000000-0008-0000-0400-00003B000000}"/>
                </a:ext>
              </a:extLst>
            </xdr:cNvPr>
            <xdr:cNvSpPr>
              <a:spLocks noChangeArrowheads="1"/>
            </xdr:cNvSpPr>
          </xdr:nvSpPr>
          <xdr:spPr bwMode="auto">
            <a:xfrm>
              <a:off x="6019920" y="6210300"/>
              <a:ext cx="360720" cy="387335"/>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grpSp>
    </xdr:grpSp>
    <xdr:clientData/>
  </xdr:twoCellAnchor>
  <xdr:twoCellAnchor>
    <xdr:from>
      <xdr:col>3</xdr:col>
      <xdr:colOff>0</xdr:colOff>
      <xdr:row>50</xdr:row>
      <xdr:rowOff>0</xdr:rowOff>
    </xdr:from>
    <xdr:to>
      <xdr:col>7</xdr:col>
      <xdr:colOff>0</xdr:colOff>
      <xdr:row>50</xdr:row>
      <xdr:rowOff>176893</xdr:rowOff>
    </xdr:to>
    <xdr:sp macro="" textlink="" fLocksText="0">
      <xdr:nvSpPr>
        <xdr:cNvPr id="61" name="四角形: 角を丸くする 1101">
          <a:extLst>
            <a:ext uri="{FF2B5EF4-FFF2-40B4-BE49-F238E27FC236}">
              <a16:creationId xmlns:a16="http://schemas.microsoft.com/office/drawing/2014/main" id="{00000000-0008-0000-0400-00003D000000}"/>
            </a:ext>
          </a:extLst>
        </xdr:cNvPr>
        <xdr:cNvSpPr/>
      </xdr:nvSpPr>
      <xdr:spPr>
        <a:xfrm>
          <a:off x="800100" y="9639300"/>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FF0000"/>
              </a:solidFill>
              <a:latin typeface="Meiryo UI" panose="020B0604030504040204" pitchFamily="34" charset="-128"/>
              <a:ea typeface="Meiryo UI" panose="020B0604030504040204" pitchFamily="34" charset="-128"/>
            </a:rPr>
            <a:t>データあり</a:t>
          </a:r>
          <a:endParaRPr lang="ja-JP" altLang="en-US" sz="900">
            <a:solidFill>
              <a:srgbClr val="FF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50</xdr:row>
      <xdr:rowOff>176893</xdr:rowOff>
    </xdr:from>
    <xdr:to>
      <xdr:col>5</xdr:col>
      <xdr:colOff>21691</xdr:colOff>
      <xdr:row>56</xdr:row>
      <xdr:rowOff>11204</xdr:rowOff>
    </xdr:to>
    <xdr:cxnSp macro="">
      <xdr:nvCxnSpPr>
        <xdr:cNvPr id="63" name="Connector: Elbow 84">
          <a:extLst>
            <a:ext uri="{FF2B5EF4-FFF2-40B4-BE49-F238E27FC236}">
              <a16:creationId xmlns:a16="http://schemas.microsoft.com/office/drawing/2014/main" id="{00000000-0008-0000-0400-00003F000000}"/>
            </a:ext>
          </a:extLst>
        </xdr:cNvPr>
        <xdr:cNvCxnSpPr>
          <a:stCxn id="61" idx="2"/>
          <a:endCxn id="21" idx="0"/>
        </xdr:cNvCxnSpPr>
      </xdr:nvCxnSpPr>
      <xdr:spPr>
        <a:xfrm>
          <a:off x="1333500" y="9820275"/>
          <a:ext cx="19050" cy="9715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56</xdr:row>
      <xdr:rowOff>0</xdr:rowOff>
    </xdr:from>
    <xdr:to>
      <xdr:col>21</xdr:col>
      <xdr:colOff>0</xdr:colOff>
      <xdr:row>60</xdr:row>
      <xdr:rowOff>0</xdr:rowOff>
    </xdr:to>
    <xdr:sp macro="" textlink="" fLocksText="0">
      <xdr:nvSpPr>
        <xdr:cNvPr id="73" name="正方形/長方形 1">
          <a:extLst>
            <a:ext uri="{FF2B5EF4-FFF2-40B4-BE49-F238E27FC236}">
              <a16:creationId xmlns:a16="http://schemas.microsoft.com/office/drawing/2014/main" id="{00000000-0008-0000-0400-000049000000}"/>
            </a:ext>
          </a:extLst>
        </xdr:cNvPr>
        <xdr:cNvSpPr/>
      </xdr:nvSpPr>
      <xdr:spPr>
        <a:xfrm>
          <a:off x="4000500" y="10782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FF0000"/>
              </a:solidFill>
              <a:latin typeface="Meiryo UI" panose="020B0604030504040204" pitchFamily="34" charset="-128"/>
              <a:ea typeface="Meiryo UI" panose="020B0604030504040204" pitchFamily="34" charset="-128"/>
            </a:rPr>
            <a:t>MD_ERROR</a:t>
          </a:r>
          <a:endParaRPr lang="en-US" altLang="ja-JP" sz="1100" b="0" i="0" u="none">
            <a:solidFill>
              <a:srgbClr val="FF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FF0000"/>
              </a:solidFill>
              <a:latin typeface="Meiryo UI" panose="020B0604030504040204" pitchFamily="34" charset="-128"/>
              <a:ea typeface="Meiryo UI" panose="020B0604030504040204" pitchFamily="34" charset="-128"/>
              <a:cs typeface="+mn-cs"/>
            </a:defRPr>
          </a:pPr>
          <a:r>
            <a:rPr lang="en-US" altLang="ja-JP" sz="1100" b="0" i="0" u="none" baseline="0">
              <a:solidFill>
                <a:srgbClr val="FF0000"/>
              </a:solidFill>
              <a:latin typeface="Meiryo UI" panose="020B0604030504040204" pitchFamily="34" charset="-128"/>
              <a:ea typeface="Meiryo UI" panose="020B0604030504040204" pitchFamily="34" charset="-128"/>
            </a:rPr>
            <a:t>検索条件バリデーションチェック</a:t>
          </a:r>
        </a:p>
        <a:p>
          <a:pPr algn="ctr">
            <a:defRPr lang="en-US" altLang="ja-JP" sz="1100" b="0" i="0" u="none">
              <a:solidFill>
                <a:srgbClr val="FF0000"/>
              </a:solidFill>
              <a:latin typeface="Meiryo UI" panose="020B0604030504040204" pitchFamily="34" charset="-128"/>
              <a:ea typeface="Meiryo UI" panose="020B0604030504040204" pitchFamily="34" charset="-128"/>
              <a:cs typeface="+mn-cs"/>
            </a:defRPr>
          </a:pPr>
          <a:r>
            <a:rPr lang="en-US" altLang="ja-JP" sz="1100" b="0" i="0" u="none" baseline="0">
              <a:solidFill>
                <a:srgbClr val="FF0000"/>
              </a:solidFill>
              <a:latin typeface="Meiryo UI" panose="020B0604030504040204" pitchFamily="34" charset="-128"/>
              <a:ea typeface="Meiryo UI" panose="020B0604030504040204" pitchFamily="34" charset="-128"/>
            </a:rPr>
            <a:t>データが見つかりませんでした。</a:t>
          </a:r>
        </a:p>
      </xdr:txBody>
    </xdr:sp>
    <xdr:clientData/>
  </xdr:twoCellAnchor>
  <xdr:twoCellAnchor>
    <xdr:from>
      <xdr:col>5</xdr:col>
      <xdr:colOff>10845</xdr:colOff>
      <xdr:row>48</xdr:row>
      <xdr:rowOff>0</xdr:rowOff>
    </xdr:from>
    <xdr:to>
      <xdr:col>17</xdr:col>
      <xdr:colOff>235322</xdr:colOff>
      <xdr:row>50</xdr:row>
      <xdr:rowOff>0</xdr:rowOff>
    </xdr:to>
    <xdr:cxnSp macro="">
      <xdr:nvCxnSpPr>
        <xdr:cNvPr id="74" name="Connector: Elbow 84">
          <a:extLst>
            <a:ext uri="{FF2B5EF4-FFF2-40B4-BE49-F238E27FC236}">
              <a16:creationId xmlns:a16="http://schemas.microsoft.com/office/drawing/2014/main" id="{00000000-0008-0000-0400-00004A000000}"/>
            </a:ext>
          </a:extLst>
        </xdr:cNvPr>
        <xdr:cNvCxnSpPr>
          <a:stCxn id="25" idx="2"/>
          <a:endCxn id="77" idx="0"/>
        </xdr:cNvCxnSpPr>
      </xdr:nvCxnSpPr>
      <xdr:spPr>
        <a:xfrm rot="16200000" flipH="1">
          <a:off x="1343025" y="9258300"/>
          <a:ext cx="34290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0</xdr:colOff>
      <xdr:row>50</xdr:row>
      <xdr:rowOff>0</xdr:rowOff>
    </xdr:from>
    <xdr:to>
      <xdr:col>20</xdr:col>
      <xdr:colOff>0</xdr:colOff>
      <xdr:row>50</xdr:row>
      <xdr:rowOff>176893</xdr:rowOff>
    </xdr:to>
    <xdr:sp macro="" textlink="" fLocksText="0">
      <xdr:nvSpPr>
        <xdr:cNvPr id="77" name="四角形: 角を丸くする 1101">
          <a:extLst>
            <a:ext uri="{FF2B5EF4-FFF2-40B4-BE49-F238E27FC236}">
              <a16:creationId xmlns:a16="http://schemas.microsoft.com/office/drawing/2014/main" id="{00000000-0008-0000-0400-00004D000000}"/>
            </a:ext>
          </a:extLst>
        </xdr:cNvPr>
        <xdr:cNvSpPr/>
      </xdr:nvSpPr>
      <xdr:spPr>
        <a:xfrm>
          <a:off x="4267200" y="9639300"/>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FF0000"/>
              </a:solidFill>
              <a:latin typeface="Meiryo UI" panose="020B0604030504040204" pitchFamily="34" charset="-128"/>
              <a:ea typeface="Meiryo UI" panose="020B0604030504040204" pitchFamily="34" charset="-128"/>
            </a:rPr>
            <a:t>データなし</a:t>
          </a:r>
          <a:endParaRPr lang="ja-JP" altLang="en-US" sz="900">
            <a:solidFill>
              <a:srgbClr val="FF0000"/>
            </a:solidFill>
            <a:latin typeface="Meiryo UI" panose="020B0604030504040204" pitchFamily="34" charset="-128"/>
            <a:ea typeface="Meiryo UI" panose="020B0604030504040204" pitchFamily="34" charset="-128"/>
            <a:cs typeface="+mn-cs"/>
          </a:endParaRPr>
        </a:p>
      </xdr:txBody>
    </xdr:sp>
    <xdr:clientData/>
  </xdr:twoCellAnchor>
  <xdr:twoCellAnchor>
    <xdr:from>
      <xdr:col>18</xdr:col>
      <xdr:colOff>0</xdr:colOff>
      <xdr:row>50</xdr:row>
      <xdr:rowOff>176892</xdr:rowOff>
    </xdr:from>
    <xdr:to>
      <xdr:col>18</xdr:col>
      <xdr:colOff>0</xdr:colOff>
      <xdr:row>55</xdr:row>
      <xdr:rowOff>190499</xdr:rowOff>
    </xdr:to>
    <xdr:cxnSp macro="">
      <xdr:nvCxnSpPr>
        <xdr:cNvPr id="81" name="Connector: Elbow 84">
          <a:extLst>
            <a:ext uri="{FF2B5EF4-FFF2-40B4-BE49-F238E27FC236}">
              <a16:creationId xmlns:a16="http://schemas.microsoft.com/office/drawing/2014/main" id="{00000000-0008-0000-0400-000051000000}"/>
            </a:ext>
          </a:extLst>
        </xdr:cNvPr>
        <xdr:cNvCxnSpPr>
          <a:stCxn id="77" idx="2"/>
          <a:endCxn id="73" idx="0"/>
        </xdr:cNvCxnSpPr>
      </xdr:nvCxnSpPr>
      <xdr:spPr>
        <a:xfrm rot="16200000" flipH="1">
          <a:off x="4800600" y="9820275"/>
          <a:ext cx="0" cy="9620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54</xdr:row>
      <xdr:rowOff>0</xdr:rowOff>
    </xdr:from>
    <xdr:to>
      <xdr:col>61</xdr:col>
      <xdr:colOff>0</xdr:colOff>
      <xdr:row>55</xdr:row>
      <xdr:rowOff>0</xdr:rowOff>
    </xdr:to>
    <xdr:sp macro="" textlink="" fLocksText="0">
      <xdr:nvSpPr>
        <xdr:cNvPr id="98" name="吹き出し: 線 2">
          <a:extLst>
            <a:ext uri="{FF2B5EF4-FFF2-40B4-BE49-F238E27FC236}">
              <a16:creationId xmlns:a16="http://schemas.microsoft.com/office/drawing/2014/main" id="{00000000-0008-0000-0400-000062000000}"/>
            </a:ext>
          </a:extLst>
        </xdr:cNvPr>
        <xdr:cNvSpPr/>
      </xdr:nvSpPr>
      <xdr:spPr>
        <a:xfrm>
          <a:off x="10134600" y="10401300"/>
          <a:ext cx="6134100" cy="190500"/>
        </a:xfrm>
        <a:prstGeom prst="borderCallout1">
          <a:avLst>
            <a:gd name="adj1" fmla="val 51151"/>
            <a:gd name="adj2" fmla="val 232"/>
            <a:gd name="adj3" fmla="val 299454"/>
            <a:gd name="adj4" fmla="val -7378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FF0000"/>
              </a:solidFill>
              <a:latin typeface="Meiryo UI"/>
              <a:ea typeface="Meiryo UI" panose="020B0604030504040204" pitchFamily="34" charset="-128"/>
            </a:rPr>
            <a:t>▪条件を満たすデータがない場合、「データが見つかりませんでした。」が表示される。</a:t>
          </a:r>
        </a:p>
      </xdr:txBody>
    </xdr:sp>
    <xdr:clientData/>
  </xdr:twoCellAnchor>
  <xdr:twoCellAnchor>
    <xdr:from>
      <xdr:col>17</xdr:col>
      <xdr:colOff>0</xdr:colOff>
      <xdr:row>60</xdr:row>
      <xdr:rowOff>13072</xdr:rowOff>
    </xdr:from>
    <xdr:to>
      <xdr:col>19</xdr:col>
      <xdr:colOff>0</xdr:colOff>
      <xdr:row>61</xdr:row>
      <xdr:rowOff>0</xdr:rowOff>
    </xdr:to>
    <xdr:sp macro="" textlink="" fLocksText="0">
      <xdr:nvSpPr>
        <xdr:cNvPr id="103" name="四角形: 角を丸くする 1101">
          <a:extLst>
            <a:ext uri="{FF2B5EF4-FFF2-40B4-BE49-F238E27FC236}">
              <a16:creationId xmlns:a16="http://schemas.microsoft.com/office/drawing/2014/main" id="{00000000-0008-0000-0400-000067000000}"/>
            </a:ext>
          </a:extLst>
        </xdr:cNvPr>
        <xdr:cNvSpPr/>
      </xdr:nvSpPr>
      <xdr:spPr>
        <a:xfrm>
          <a:off x="4000500" y="11555131"/>
          <a:ext cx="470647" cy="177428"/>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800" b="0" i="0" u="none" baseline="0">
              <a:solidFill>
                <a:srgbClr val="FFFFFF"/>
              </a:solidFill>
              <a:latin typeface="Meiryo UI" panose="020B0604030504040204" pitchFamily="34" charset="-128"/>
              <a:ea typeface="Meiryo UI" panose="020B0604030504040204" pitchFamily="34" charset="-128"/>
            </a:rPr>
            <a:t>OK</a:t>
          </a:r>
          <a:endParaRPr lang="ja-JP" altLang="en-US" sz="800" b="0" i="0" u="none" baseline="0">
            <a:solidFill>
              <a:srgbClr val="FFFFFF"/>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0</xdr:colOff>
      <xdr:row>73</xdr:row>
      <xdr:rowOff>0</xdr:rowOff>
    </xdr:from>
    <xdr:to>
      <xdr:col>6</xdr:col>
      <xdr:colOff>0</xdr:colOff>
      <xdr:row>74</xdr:row>
      <xdr:rowOff>0</xdr:rowOff>
    </xdr:to>
    <xdr:sp macro="" textlink="" fLocksText="0">
      <xdr:nvSpPr>
        <xdr:cNvPr id="65" name="Rectangle: Rounded Corners 64">
          <a:extLst>
            <a:ext uri="{FF2B5EF4-FFF2-40B4-BE49-F238E27FC236}">
              <a16:creationId xmlns:a16="http://schemas.microsoft.com/office/drawing/2014/main" id="{4DCA21BF-4E8C-432A-B260-10FB03DD7CA1}"/>
            </a:ext>
          </a:extLst>
        </xdr:cNvPr>
        <xdr:cNvSpPr/>
      </xdr:nvSpPr>
      <xdr:spPr>
        <a:xfrm>
          <a:off x="941294" y="14018559"/>
          <a:ext cx="470647"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13</a:t>
          </a:r>
        </a:p>
      </xdr:txBody>
    </xdr:sp>
    <xdr:clientData/>
  </xdr:twoCellAnchor>
  <xdr:twoCellAnchor>
    <xdr:from>
      <xdr:col>5</xdr:col>
      <xdr:colOff>0</xdr:colOff>
      <xdr:row>68</xdr:row>
      <xdr:rowOff>0</xdr:rowOff>
    </xdr:from>
    <xdr:to>
      <xdr:col>10</xdr:col>
      <xdr:colOff>120091</xdr:colOff>
      <xdr:row>73</xdr:row>
      <xdr:rowOff>0</xdr:rowOff>
    </xdr:to>
    <xdr:cxnSp macro="">
      <xdr:nvCxnSpPr>
        <xdr:cNvPr id="76" name="Connector: Elbow 75">
          <a:extLst>
            <a:ext uri="{FF2B5EF4-FFF2-40B4-BE49-F238E27FC236}">
              <a16:creationId xmlns:a16="http://schemas.microsoft.com/office/drawing/2014/main" id="{CC97F297-9B4F-CE63-C44D-BD8591BBDF08}"/>
            </a:ext>
          </a:extLst>
        </xdr:cNvPr>
        <xdr:cNvCxnSpPr>
          <a:stCxn id="31" idx="2"/>
          <a:endCxn id="65" idx="0"/>
        </xdr:cNvCxnSpPr>
      </xdr:nvCxnSpPr>
      <xdr:spPr>
        <a:xfrm rot="5400000">
          <a:off x="1348722" y="12893955"/>
          <a:ext cx="952500" cy="1296708"/>
        </a:xfrm>
        <a:prstGeom prst="bentConnector3">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68</xdr:row>
      <xdr:rowOff>1</xdr:rowOff>
    </xdr:from>
    <xdr:to>
      <xdr:col>15</xdr:col>
      <xdr:colOff>115234</xdr:colOff>
      <xdr:row>73</xdr:row>
      <xdr:rowOff>1</xdr:rowOff>
    </xdr:to>
    <xdr:cxnSp macro="">
      <xdr:nvCxnSpPr>
        <xdr:cNvPr id="78" name="Connector: Elbow 77">
          <a:extLst>
            <a:ext uri="{FF2B5EF4-FFF2-40B4-BE49-F238E27FC236}">
              <a16:creationId xmlns:a16="http://schemas.microsoft.com/office/drawing/2014/main" id="{DED965DB-F9B9-4B64-94B4-C75165AAE72E}"/>
            </a:ext>
          </a:extLst>
        </xdr:cNvPr>
        <xdr:cNvCxnSpPr>
          <a:stCxn id="30" idx="2"/>
          <a:endCxn id="65" idx="0"/>
        </xdr:cNvCxnSpPr>
      </xdr:nvCxnSpPr>
      <xdr:spPr>
        <a:xfrm rot="5400000">
          <a:off x="1934603" y="12308075"/>
          <a:ext cx="952500" cy="2468469"/>
        </a:xfrm>
        <a:prstGeom prst="bentConnector3">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68</xdr:row>
      <xdr:rowOff>0</xdr:rowOff>
    </xdr:from>
    <xdr:to>
      <xdr:col>19</xdr:col>
      <xdr:colOff>224304</xdr:colOff>
      <xdr:row>72</xdr:row>
      <xdr:rowOff>190499</xdr:rowOff>
    </xdr:to>
    <xdr:cxnSp macro="">
      <xdr:nvCxnSpPr>
        <xdr:cNvPr id="82" name="Connector: Elbow 81">
          <a:extLst>
            <a:ext uri="{FF2B5EF4-FFF2-40B4-BE49-F238E27FC236}">
              <a16:creationId xmlns:a16="http://schemas.microsoft.com/office/drawing/2014/main" id="{5CD3EFF3-CDF1-4509-B751-5577B325D184}"/>
            </a:ext>
          </a:extLst>
        </xdr:cNvPr>
        <xdr:cNvCxnSpPr>
          <a:stCxn id="35" idx="2"/>
          <a:endCxn id="65" idx="0"/>
        </xdr:cNvCxnSpPr>
      </xdr:nvCxnSpPr>
      <xdr:spPr>
        <a:xfrm rot="5400000">
          <a:off x="2459785" y="11782893"/>
          <a:ext cx="952499" cy="3518832"/>
        </a:xfrm>
        <a:prstGeom prst="bentConnector3">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68</xdr:row>
      <xdr:rowOff>0</xdr:rowOff>
    </xdr:from>
    <xdr:to>
      <xdr:col>5</xdr:col>
      <xdr:colOff>13567</xdr:colOff>
      <xdr:row>73</xdr:row>
      <xdr:rowOff>0</xdr:rowOff>
    </xdr:to>
    <xdr:cxnSp macro="">
      <xdr:nvCxnSpPr>
        <xdr:cNvPr id="92" name="Straight Arrow Connector 91">
          <a:extLst>
            <a:ext uri="{FF2B5EF4-FFF2-40B4-BE49-F238E27FC236}">
              <a16:creationId xmlns:a16="http://schemas.microsoft.com/office/drawing/2014/main" id="{C8055570-F813-B532-ADFA-AA676D4E7936}"/>
            </a:ext>
          </a:extLst>
        </xdr:cNvPr>
        <xdr:cNvCxnSpPr>
          <a:stCxn id="32" idx="2"/>
          <a:endCxn id="65" idx="0"/>
        </xdr:cNvCxnSpPr>
      </xdr:nvCxnSpPr>
      <xdr:spPr>
        <a:xfrm flipH="1">
          <a:off x="1176618" y="13066059"/>
          <a:ext cx="13567" cy="95250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cols>
    <col min="1" max="60" width="2.77734375" style="20" customWidth="1"/>
    <col min="61" max="16384" width="2.77734375" style="20"/>
  </cols>
  <sheetData>
    <row r="1" spans="1:63" ht="24.95" customHeight="1">
      <c r="A1" s="95" t="s">
        <v>0</v>
      </c>
      <c r="B1" s="96"/>
      <c r="C1" s="96"/>
      <c r="D1" s="96"/>
      <c r="E1" s="96"/>
      <c r="F1" s="96"/>
      <c r="G1" s="96"/>
      <c r="H1" s="96"/>
      <c r="I1" s="96"/>
      <c r="J1" s="97"/>
      <c r="K1" s="95" t="s">
        <v>1</v>
      </c>
      <c r="L1" s="96"/>
      <c r="M1" s="96"/>
      <c r="N1" s="96"/>
      <c r="O1" s="96"/>
      <c r="P1" s="96"/>
      <c r="Q1" s="96"/>
      <c r="R1" s="96"/>
      <c r="S1" s="96"/>
      <c r="T1" s="96"/>
      <c r="U1" s="96"/>
      <c r="V1" s="97"/>
      <c r="W1" s="116" t="s">
        <v>2</v>
      </c>
      <c r="X1" s="117"/>
      <c r="Y1" s="117"/>
      <c r="Z1" s="117"/>
      <c r="AA1" s="117"/>
      <c r="AB1" s="117"/>
      <c r="AC1" s="117"/>
      <c r="AD1" s="117"/>
      <c r="AE1" s="117"/>
      <c r="AF1" s="117"/>
      <c r="AG1" s="117"/>
      <c r="AH1" s="117"/>
      <c r="AI1" s="117"/>
      <c r="AJ1" s="117"/>
      <c r="AK1" s="117"/>
      <c r="AL1" s="117"/>
      <c r="AM1" s="117"/>
      <c r="AN1" s="117"/>
      <c r="AO1" s="118"/>
      <c r="AP1" s="95" t="s">
        <v>3</v>
      </c>
      <c r="AQ1" s="96"/>
      <c r="AR1" s="96"/>
      <c r="AS1" s="97"/>
      <c r="AT1" s="95" t="s">
        <v>4</v>
      </c>
      <c r="AU1" s="96"/>
      <c r="AV1" s="96"/>
      <c r="AW1" s="96"/>
      <c r="AX1" s="97"/>
      <c r="AY1" s="95" t="s">
        <v>5</v>
      </c>
      <c r="AZ1" s="96"/>
      <c r="BA1" s="96"/>
      <c r="BB1" s="97"/>
      <c r="BC1" s="95" t="s">
        <v>6</v>
      </c>
      <c r="BD1" s="96"/>
      <c r="BE1" s="96"/>
      <c r="BF1" s="96"/>
      <c r="BG1" s="97"/>
      <c r="BH1" s="95" t="s">
        <v>7</v>
      </c>
      <c r="BI1" s="96"/>
      <c r="BJ1" s="96"/>
      <c r="BK1" s="97"/>
    </row>
    <row r="2" spans="1:63" ht="15" customHeight="1">
      <c r="A2" s="115" t="s">
        <v>8</v>
      </c>
      <c r="B2" s="81"/>
      <c r="C2" s="81"/>
      <c r="D2" s="81"/>
      <c r="E2" s="81"/>
      <c r="F2" s="81"/>
      <c r="G2" s="81"/>
      <c r="H2" s="81"/>
      <c r="I2" s="81"/>
      <c r="J2" s="82"/>
      <c r="K2" s="80" t="s">
        <v>9</v>
      </c>
      <c r="L2" s="81"/>
      <c r="M2" s="81"/>
      <c r="N2" s="81"/>
      <c r="O2" s="81"/>
      <c r="P2" s="81"/>
      <c r="Q2" s="81"/>
      <c r="R2" s="81"/>
      <c r="S2" s="81"/>
      <c r="T2" s="81"/>
      <c r="U2" s="81"/>
      <c r="V2" s="82"/>
      <c r="W2" s="119"/>
      <c r="X2" s="120"/>
      <c r="Y2" s="120"/>
      <c r="Z2" s="120"/>
      <c r="AA2" s="120"/>
      <c r="AB2" s="120"/>
      <c r="AC2" s="120"/>
      <c r="AD2" s="120"/>
      <c r="AE2" s="120"/>
      <c r="AF2" s="120"/>
      <c r="AG2" s="120"/>
      <c r="AH2" s="120"/>
      <c r="AI2" s="120"/>
      <c r="AJ2" s="120"/>
      <c r="AK2" s="120"/>
      <c r="AL2" s="120"/>
      <c r="AM2" s="120"/>
      <c r="AN2" s="120"/>
      <c r="AO2" s="121"/>
      <c r="AP2" s="80" t="str">
        <f>改訂履歴!$H$11</f>
        <v>AnhDD</v>
      </c>
      <c r="AQ2" s="81"/>
      <c r="AR2" s="81"/>
      <c r="AS2" s="82"/>
      <c r="AT2" s="109">
        <f>改訂履歴!$B$11</f>
        <v>45416</v>
      </c>
      <c r="AU2" s="110"/>
      <c r="AV2" s="110"/>
      <c r="AW2" s="110"/>
      <c r="AX2" s="111"/>
      <c r="AY2" s="80" t="str">
        <f>LOOKUP(2,1/(改訂履歴!H11:H30000&lt;&gt;""),改訂履歴!H11:H30000)</f>
        <v>AnhDD</v>
      </c>
      <c r="AZ2" s="81"/>
      <c r="BA2" s="81"/>
      <c r="BB2" s="82"/>
      <c r="BC2" s="109">
        <f>LOOKUP(2,1/(改訂履歴!B11:B30000&lt;&gt;""),改訂履歴!B11:B30000)</f>
        <v>45416</v>
      </c>
      <c r="BD2" s="110"/>
      <c r="BE2" s="110"/>
      <c r="BF2" s="110"/>
      <c r="BG2" s="111"/>
      <c r="BH2" s="103">
        <f>LOOKUP(2,1/(改訂履歴!O11:O30000&lt;&gt;""),改訂履歴!O11:O30000)</f>
        <v>0.1</v>
      </c>
      <c r="BI2" s="104"/>
      <c r="BJ2" s="104"/>
      <c r="BK2" s="105"/>
    </row>
    <row r="3" spans="1:63" ht="15" customHeight="1">
      <c r="A3" s="86"/>
      <c r="B3" s="87"/>
      <c r="C3" s="87"/>
      <c r="D3" s="87"/>
      <c r="E3" s="87"/>
      <c r="F3" s="87"/>
      <c r="G3" s="87"/>
      <c r="H3" s="87"/>
      <c r="I3" s="87"/>
      <c r="J3" s="88"/>
      <c r="K3" s="86"/>
      <c r="L3" s="87"/>
      <c r="M3" s="87"/>
      <c r="N3" s="87"/>
      <c r="O3" s="87"/>
      <c r="P3" s="87"/>
      <c r="Q3" s="87"/>
      <c r="R3" s="87"/>
      <c r="S3" s="87"/>
      <c r="T3" s="87"/>
      <c r="U3" s="87"/>
      <c r="V3" s="88"/>
      <c r="W3" s="122"/>
      <c r="X3" s="123"/>
      <c r="Y3" s="123"/>
      <c r="Z3" s="123"/>
      <c r="AA3" s="123"/>
      <c r="AB3" s="123"/>
      <c r="AC3" s="123"/>
      <c r="AD3" s="123"/>
      <c r="AE3" s="123"/>
      <c r="AF3" s="123"/>
      <c r="AG3" s="123"/>
      <c r="AH3" s="123"/>
      <c r="AI3" s="123"/>
      <c r="AJ3" s="123"/>
      <c r="AK3" s="123"/>
      <c r="AL3" s="123"/>
      <c r="AM3" s="123"/>
      <c r="AN3" s="123"/>
      <c r="AO3" s="124"/>
      <c r="AP3" s="86"/>
      <c r="AQ3" s="87"/>
      <c r="AR3" s="87"/>
      <c r="AS3" s="88"/>
      <c r="AT3" s="112"/>
      <c r="AU3" s="113"/>
      <c r="AV3" s="113"/>
      <c r="AW3" s="113"/>
      <c r="AX3" s="114"/>
      <c r="AY3" s="86"/>
      <c r="AZ3" s="87"/>
      <c r="BA3" s="87"/>
      <c r="BB3" s="88"/>
      <c r="BC3" s="112"/>
      <c r="BD3" s="113"/>
      <c r="BE3" s="113"/>
      <c r="BF3" s="113"/>
      <c r="BG3" s="114"/>
      <c r="BH3" s="106"/>
      <c r="BI3" s="107"/>
      <c r="BJ3" s="107"/>
      <c r="BK3" s="108"/>
    </row>
    <row r="4" spans="1:63" ht="24.95" customHeight="1">
      <c r="A4" s="95" t="s">
        <v>10</v>
      </c>
      <c r="B4" s="96"/>
      <c r="C4" s="96"/>
      <c r="D4" s="96"/>
      <c r="E4" s="96"/>
      <c r="F4" s="96"/>
      <c r="G4" s="97"/>
      <c r="H4" s="100" t="s">
        <v>11</v>
      </c>
      <c r="I4" s="101"/>
      <c r="J4" s="101"/>
      <c r="K4" s="101"/>
      <c r="L4" s="101"/>
      <c r="M4" s="101"/>
      <c r="N4" s="101"/>
      <c r="O4" s="101"/>
      <c r="P4" s="101"/>
      <c r="Q4" s="101"/>
      <c r="R4" s="101"/>
      <c r="S4" s="101"/>
      <c r="T4" s="102"/>
      <c r="U4" s="95" t="s">
        <v>12</v>
      </c>
      <c r="V4" s="96"/>
      <c r="W4" s="96"/>
      <c r="X4" s="96"/>
      <c r="Y4" s="97"/>
      <c r="Z4" s="100" t="s">
        <v>13</v>
      </c>
      <c r="AA4" s="101"/>
      <c r="AB4" s="101"/>
      <c r="AC4" s="101"/>
      <c r="AD4" s="101"/>
      <c r="AE4" s="101"/>
      <c r="AF4" s="101"/>
      <c r="AG4" s="101"/>
      <c r="AH4" s="101"/>
      <c r="AI4" s="101"/>
      <c r="AJ4" s="101"/>
      <c r="AK4" s="101"/>
      <c r="AL4" s="101"/>
      <c r="AM4" s="101"/>
      <c r="AN4" s="101"/>
      <c r="AO4" s="102"/>
      <c r="AP4" s="100" t="e">
        <f t="array" aca="1" ref="AP4" ca="1">RIGHT(CELL("filename",$A$1),LEN(CELL("filename",$A$1))-FIND("]",CELL("filename",$A$1)))</f>
        <v>#VALUE!</v>
      </c>
      <c r="AQ4" s="101"/>
      <c r="AR4" s="101"/>
      <c r="AS4" s="101"/>
      <c r="AT4" s="101"/>
      <c r="AU4" s="101"/>
      <c r="AV4" s="101"/>
      <c r="AW4" s="101"/>
      <c r="AX4" s="101"/>
      <c r="AY4" s="101"/>
      <c r="AZ4" s="101"/>
      <c r="BA4" s="101"/>
      <c r="BB4" s="101"/>
      <c r="BC4" s="101"/>
      <c r="BD4" s="101"/>
      <c r="BE4" s="101"/>
      <c r="BF4" s="101"/>
      <c r="BG4" s="101"/>
      <c r="BH4" s="101"/>
      <c r="BI4" s="101"/>
      <c r="BJ4" s="101"/>
      <c r="BK4" s="102"/>
    </row>
    <row r="5" spans="1:63" ht="5.0999999999999996" customHeight="1">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c r="A6" s="24"/>
      <c r="BK6" s="25"/>
    </row>
    <row r="7" spans="1:63" ht="15" customHeight="1">
      <c r="A7" s="24"/>
      <c r="BK7" s="25"/>
    </row>
    <row r="8" spans="1:63" ht="15" customHeight="1">
      <c r="A8" s="24"/>
      <c r="BK8" s="25"/>
    </row>
    <row r="9" spans="1:63" ht="15" customHeight="1">
      <c r="A9" s="24"/>
      <c r="BK9" s="25"/>
    </row>
    <row r="10" spans="1:63" ht="15" customHeight="1">
      <c r="A10" s="24"/>
      <c r="BK10" s="25"/>
    </row>
    <row r="11" spans="1:63" ht="15" customHeight="1">
      <c r="A11" s="24"/>
      <c r="BK11" s="25"/>
    </row>
    <row r="12" spans="1:63" ht="15" customHeight="1">
      <c r="A12" s="24"/>
      <c r="BK12" s="25"/>
    </row>
    <row r="13" spans="1:63" ht="15" customHeight="1">
      <c r="A13" s="24"/>
      <c r="BK13" s="25"/>
    </row>
    <row r="14" spans="1:63" ht="15" customHeight="1" thickBot="1">
      <c r="A14" s="24"/>
      <c r="BK14" s="25"/>
    </row>
    <row r="15" spans="1:63" ht="15" customHeight="1" thickTop="1">
      <c r="A15" s="24"/>
      <c r="K15" s="26"/>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8"/>
      <c r="BK15" s="25"/>
    </row>
    <row r="16" spans="1:63" ht="15" customHeight="1">
      <c r="A16" s="24"/>
      <c r="K16" s="29"/>
      <c r="L16" s="98" t="s">
        <v>14</v>
      </c>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30"/>
      <c r="BK16" s="25"/>
    </row>
    <row r="17" spans="1:63" ht="15" customHeight="1">
      <c r="A17" s="24"/>
      <c r="K17" s="29"/>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30"/>
      <c r="BK17" s="25"/>
    </row>
    <row r="18" spans="1:63" ht="15" customHeight="1">
      <c r="A18" s="24"/>
      <c r="K18" s="2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30"/>
      <c r="BK18" s="25"/>
    </row>
    <row r="19" spans="1:63" ht="15" customHeight="1">
      <c r="A19" s="24"/>
      <c r="K19" s="29"/>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30"/>
      <c r="BK19" s="25"/>
    </row>
    <row r="20" spans="1:63" ht="15" customHeight="1">
      <c r="A20" s="24"/>
      <c r="K20" s="29"/>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30"/>
      <c r="BK20" s="25"/>
    </row>
    <row r="21" spans="1:63" ht="15" customHeight="1">
      <c r="A21" s="24"/>
      <c r="K21" s="2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30"/>
      <c r="BK21" s="25"/>
    </row>
    <row r="22" spans="1:63" ht="15" customHeight="1" thickBot="1">
      <c r="A22" s="24"/>
      <c r="K22" s="29"/>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0"/>
      <c r="BK22" s="25"/>
    </row>
    <row r="23" spans="1:63" ht="15" customHeight="1">
      <c r="A23" s="24"/>
      <c r="K23" s="29"/>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0"/>
      <c r="BK23" s="25"/>
    </row>
    <row r="24" spans="1:63" ht="15" customHeight="1">
      <c r="A24" s="24"/>
      <c r="K24" s="29"/>
      <c r="L24" s="99" t="str">
        <f>K2&amp;"/"&amp;H4&amp;"/"&amp;Z4</f>
        <v>POSサーバー/13_部門別売上日報/概要設計書</v>
      </c>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30"/>
      <c r="BK24" s="25"/>
    </row>
    <row r="25" spans="1:63" ht="15" customHeight="1">
      <c r="A25" s="24"/>
      <c r="K25" s="29"/>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30"/>
      <c r="BK25" s="25"/>
    </row>
    <row r="26" spans="1:63" ht="15" customHeight="1">
      <c r="A26" s="24"/>
      <c r="K26" s="29"/>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30"/>
      <c r="BK26" s="25"/>
    </row>
    <row r="27" spans="1:63" ht="15" customHeight="1">
      <c r="A27" s="24"/>
      <c r="K27" s="29"/>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30"/>
      <c r="BK27" s="25"/>
    </row>
    <row r="28" spans="1:63" ht="15" customHeight="1">
      <c r="A28" s="24"/>
      <c r="K28" s="29"/>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99"/>
      <c r="AW28" s="99"/>
      <c r="AX28" s="99"/>
      <c r="AY28" s="99"/>
      <c r="AZ28" s="99"/>
      <c r="BA28" s="30"/>
      <c r="BK28" s="25"/>
    </row>
    <row r="29" spans="1:63" ht="15" customHeight="1">
      <c r="A29" s="24"/>
      <c r="K29" s="29"/>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30"/>
      <c r="BK29" s="25"/>
    </row>
    <row r="30" spans="1:63" ht="15" customHeight="1">
      <c r="A30" s="24"/>
      <c r="K30" s="29"/>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30"/>
      <c r="BK30" s="25"/>
    </row>
    <row r="31" spans="1:63" ht="15" customHeight="1">
      <c r="A31" s="24"/>
      <c r="K31" s="29"/>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30"/>
      <c r="BK31" s="25"/>
    </row>
    <row r="32" spans="1:63" ht="15" customHeight="1">
      <c r="A32" s="24"/>
      <c r="K32" s="29"/>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c r="AU32" s="99"/>
      <c r="AV32" s="99"/>
      <c r="AW32" s="99"/>
      <c r="AX32" s="99"/>
      <c r="AY32" s="99"/>
      <c r="AZ32" s="99"/>
      <c r="BA32" s="30"/>
      <c r="BK32" s="25"/>
    </row>
    <row r="33" spans="1:63" ht="15" customHeight="1">
      <c r="A33" s="24"/>
      <c r="K33" s="29"/>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30"/>
      <c r="BK33" s="25"/>
    </row>
    <row r="34" spans="1:63" ht="15" customHeight="1">
      <c r="A34" s="24"/>
      <c r="K34" s="29"/>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30"/>
      <c r="BK34" s="25"/>
    </row>
    <row r="35" spans="1:63" ht="15" customHeight="1">
      <c r="A35" s="24"/>
      <c r="K35" s="29"/>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30"/>
      <c r="BK35" s="25"/>
    </row>
    <row r="36" spans="1:63" ht="15" customHeight="1">
      <c r="A36" s="24"/>
      <c r="K36" s="29"/>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30"/>
      <c r="BK36" s="25"/>
    </row>
    <row r="37" spans="1:63" ht="15" customHeight="1" thickBot="1">
      <c r="A37" s="24"/>
      <c r="K37" s="33"/>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5"/>
      <c r="BK37" s="25"/>
    </row>
    <row r="38" spans="1:63" ht="15" customHeight="1" thickTop="1">
      <c r="A38" s="24"/>
      <c r="BK38" s="25"/>
    </row>
    <row r="39" spans="1:63" ht="15" customHeight="1">
      <c r="A39" s="24"/>
      <c r="BK39" s="25"/>
    </row>
    <row r="40" spans="1:63" ht="15" customHeight="1">
      <c r="A40" s="24"/>
      <c r="BK40" s="25"/>
    </row>
    <row r="41" spans="1:63" ht="15" customHeight="1">
      <c r="A41" s="24"/>
      <c r="BK41" s="25"/>
    </row>
    <row r="42" spans="1:63" ht="15" customHeight="1">
      <c r="A42" s="24"/>
      <c r="BK42" s="25"/>
    </row>
    <row r="43" spans="1:63" ht="15" customHeight="1">
      <c r="A43" s="24"/>
      <c r="BK43" s="25"/>
    </row>
    <row r="44" spans="1:63" ht="15" customHeight="1">
      <c r="A44" s="24"/>
      <c r="Q44" s="89" t="s">
        <v>15</v>
      </c>
      <c r="R44" s="90"/>
      <c r="S44" s="90"/>
      <c r="T44" s="90"/>
      <c r="U44" s="90"/>
      <c r="V44" s="90"/>
      <c r="W44" s="90"/>
      <c r="X44" s="90"/>
      <c r="Y44" s="90"/>
      <c r="Z44" s="91"/>
      <c r="AA44" s="89" t="s">
        <v>16</v>
      </c>
      <c r="AB44" s="90"/>
      <c r="AC44" s="90"/>
      <c r="AD44" s="90"/>
      <c r="AE44" s="90"/>
      <c r="AF44" s="90"/>
      <c r="AG44" s="90"/>
      <c r="AH44" s="90"/>
      <c r="AI44" s="90"/>
      <c r="AJ44" s="90"/>
      <c r="AK44" s="90"/>
      <c r="AL44" s="90"/>
      <c r="AM44" s="90"/>
      <c r="AN44" s="90"/>
      <c r="AO44" s="90"/>
      <c r="AP44" s="91"/>
      <c r="AQ44" s="89" t="s">
        <v>7</v>
      </c>
      <c r="AR44" s="90"/>
      <c r="AS44" s="90"/>
      <c r="AT44" s="90"/>
      <c r="AU44" s="91"/>
      <c r="BK44" s="25"/>
    </row>
    <row r="45" spans="1:63" ht="15" customHeight="1">
      <c r="A45" s="24"/>
      <c r="Q45" s="92"/>
      <c r="R45" s="93"/>
      <c r="S45" s="93"/>
      <c r="T45" s="93"/>
      <c r="U45" s="93"/>
      <c r="V45" s="93"/>
      <c r="W45" s="93"/>
      <c r="X45" s="93"/>
      <c r="Y45" s="93"/>
      <c r="Z45" s="94"/>
      <c r="AA45" s="92"/>
      <c r="AB45" s="93"/>
      <c r="AC45" s="93"/>
      <c r="AD45" s="93"/>
      <c r="AE45" s="93"/>
      <c r="AF45" s="93"/>
      <c r="AG45" s="93"/>
      <c r="AH45" s="93"/>
      <c r="AI45" s="93"/>
      <c r="AJ45" s="93"/>
      <c r="AK45" s="93"/>
      <c r="AL45" s="93"/>
      <c r="AM45" s="93"/>
      <c r="AN45" s="93"/>
      <c r="AO45" s="93"/>
      <c r="AP45" s="94"/>
      <c r="AQ45" s="92"/>
      <c r="AR45" s="93"/>
      <c r="AS45" s="93"/>
      <c r="AT45" s="93"/>
      <c r="AU45" s="94"/>
      <c r="BK45" s="25"/>
    </row>
    <row r="46" spans="1:63" ht="15" customHeight="1">
      <c r="A46" s="24"/>
      <c r="Q46" s="80"/>
      <c r="R46" s="81"/>
      <c r="S46" s="81"/>
      <c r="T46" s="81"/>
      <c r="U46" s="81"/>
      <c r="V46" s="81"/>
      <c r="W46" s="81"/>
      <c r="X46" s="81"/>
      <c r="Y46" s="81"/>
      <c r="Z46" s="82"/>
      <c r="AA46" s="80"/>
      <c r="AB46" s="81"/>
      <c r="AC46" s="81"/>
      <c r="AD46" s="81"/>
      <c r="AE46" s="81"/>
      <c r="AF46" s="81"/>
      <c r="AG46" s="81"/>
      <c r="AH46" s="81"/>
      <c r="AI46" s="81"/>
      <c r="AJ46" s="81"/>
      <c r="AK46" s="81"/>
      <c r="AL46" s="81"/>
      <c r="AM46" s="81"/>
      <c r="AN46" s="81"/>
      <c r="AO46" s="81"/>
      <c r="AP46" s="82"/>
      <c r="AQ46" s="80"/>
      <c r="AR46" s="81"/>
      <c r="AS46" s="81"/>
      <c r="AT46" s="81"/>
      <c r="AU46" s="82"/>
      <c r="BK46" s="25"/>
    </row>
    <row r="47" spans="1:63" ht="15" customHeight="1">
      <c r="A47" s="24"/>
      <c r="Q47" s="83"/>
      <c r="R47" s="84"/>
      <c r="S47" s="84"/>
      <c r="T47" s="84"/>
      <c r="U47" s="84"/>
      <c r="V47" s="84"/>
      <c r="W47" s="84"/>
      <c r="X47" s="84"/>
      <c r="Y47" s="84"/>
      <c r="Z47" s="85"/>
      <c r="AA47" s="83"/>
      <c r="AB47" s="84"/>
      <c r="AC47" s="84"/>
      <c r="AD47" s="84"/>
      <c r="AE47" s="84"/>
      <c r="AF47" s="84"/>
      <c r="AG47" s="84"/>
      <c r="AH47" s="84"/>
      <c r="AI47" s="84"/>
      <c r="AJ47" s="84"/>
      <c r="AK47" s="84"/>
      <c r="AL47" s="84"/>
      <c r="AM47" s="84"/>
      <c r="AN47" s="84"/>
      <c r="AO47" s="84"/>
      <c r="AP47" s="85"/>
      <c r="AQ47" s="83"/>
      <c r="AR47" s="84"/>
      <c r="AS47" s="84"/>
      <c r="AT47" s="84"/>
      <c r="AU47" s="85"/>
      <c r="BK47" s="25"/>
    </row>
    <row r="48" spans="1:63" ht="15" customHeight="1">
      <c r="A48" s="24"/>
      <c r="Q48" s="83"/>
      <c r="R48" s="84"/>
      <c r="S48" s="84"/>
      <c r="T48" s="84"/>
      <c r="U48" s="84"/>
      <c r="V48" s="84"/>
      <c r="W48" s="84"/>
      <c r="X48" s="84"/>
      <c r="Y48" s="84"/>
      <c r="Z48" s="85"/>
      <c r="AA48" s="83"/>
      <c r="AB48" s="84"/>
      <c r="AC48" s="84"/>
      <c r="AD48" s="84"/>
      <c r="AE48" s="84"/>
      <c r="AF48" s="84"/>
      <c r="AG48" s="84"/>
      <c r="AH48" s="84"/>
      <c r="AI48" s="84"/>
      <c r="AJ48" s="84"/>
      <c r="AK48" s="84"/>
      <c r="AL48" s="84"/>
      <c r="AM48" s="84"/>
      <c r="AN48" s="84"/>
      <c r="AO48" s="84"/>
      <c r="AP48" s="85"/>
      <c r="AQ48" s="83"/>
      <c r="AR48" s="84"/>
      <c r="AS48" s="84"/>
      <c r="AT48" s="84"/>
      <c r="AU48" s="85"/>
      <c r="BK48" s="25"/>
    </row>
    <row r="49" spans="1:63" ht="15" customHeight="1">
      <c r="A49" s="24"/>
      <c r="Q49" s="86"/>
      <c r="R49" s="87"/>
      <c r="S49" s="87"/>
      <c r="T49" s="87"/>
      <c r="U49" s="87"/>
      <c r="V49" s="87"/>
      <c r="W49" s="87"/>
      <c r="X49" s="87"/>
      <c r="Y49" s="87"/>
      <c r="Z49" s="88"/>
      <c r="AA49" s="86"/>
      <c r="AB49" s="87"/>
      <c r="AC49" s="87"/>
      <c r="AD49" s="87"/>
      <c r="AE49" s="87"/>
      <c r="AF49" s="87"/>
      <c r="AG49" s="87"/>
      <c r="AH49" s="87"/>
      <c r="AI49" s="87"/>
      <c r="AJ49" s="87"/>
      <c r="AK49" s="87"/>
      <c r="AL49" s="87"/>
      <c r="AM49" s="87"/>
      <c r="AN49" s="87"/>
      <c r="AO49" s="87"/>
      <c r="AP49" s="88"/>
      <c r="AQ49" s="86"/>
      <c r="AR49" s="87"/>
      <c r="AS49" s="87"/>
      <c r="AT49" s="87"/>
      <c r="AU49" s="88"/>
      <c r="BK49" s="25"/>
    </row>
    <row r="50" spans="1:63" ht="15" customHeight="1">
      <c r="A50" s="24"/>
      <c r="BK50" s="25"/>
    </row>
    <row r="51" spans="1:63" ht="15" customHeight="1">
      <c r="A51" s="24"/>
      <c r="BK51" s="25"/>
    </row>
    <row r="52" spans="1:63" ht="15" customHeight="1">
      <c r="A52" s="24"/>
      <c r="BK52" s="25"/>
    </row>
    <row r="53" spans="1:63" ht="15" customHeight="1">
      <c r="A53" s="24"/>
      <c r="BK53" s="25"/>
    </row>
    <row r="54" spans="1:63" ht="15" customHeight="1">
      <c r="A54" s="24"/>
      <c r="BK54" s="25"/>
    </row>
    <row r="55" spans="1:63" ht="15" customHeight="1">
      <c r="A55" s="21"/>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3"/>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cols>
    <col min="1" max="60" width="2.77734375" style="20" customWidth="1"/>
    <col min="61" max="16384" width="2.77734375" style="20"/>
  </cols>
  <sheetData>
    <row r="1" spans="1:63" ht="24.95" customHeight="1">
      <c r="A1" s="95" t="s">
        <v>0</v>
      </c>
      <c r="B1" s="96"/>
      <c r="C1" s="96"/>
      <c r="D1" s="96"/>
      <c r="E1" s="96"/>
      <c r="F1" s="96"/>
      <c r="G1" s="96"/>
      <c r="H1" s="96"/>
      <c r="I1" s="96"/>
      <c r="J1" s="97"/>
      <c r="K1" s="95" t="s">
        <v>1</v>
      </c>
      <c r="L1" s="96"/>
      <c r="M1" s="96"/>
      <c r="N1" s="96"/>
      <c r="O1" s="96"/>
      <c r="P1" s="96"/>
      <c r="Q1" s="96"/>
      <c r="R1" s="96"/>
      <c r="S1" s="96"/>
      <c r="T1" s="96"/>
      <c r="U1" s="96"/>
      <c r="V1" s="97"/>
      <c r="W1" s="116" t="str">
        <f>IF(表紙!W1="","",表紙!W1)</f>
        <v>基本設計書</v>
      </c>
      <c r="X1" s="117"/>
      <c r="Y1" s="117"/>
      <c r="Z1" s="117"/>
      <c r="AA1" s="117"/>
      <c r="AB1" s="117"/>
      <c r="AC1" s="117"/>
      <c r="AD1" s="117"/>
      <c r="AE1" s="117"/>
      <c r="AF1" s="117"/>
      <c r="AG1" s="117"/>
      <c r="AH1" s="117"/>
      <c r="AI1" s="117"/>
      <c r="AJ1" s="117"/>
      <c r="AK1" s="117"/>
      <c r="AL1" s="117"/>
      <c r="AM1" s="117"/>
      <c r="AN1" s="117"/>
      <c r="AO1" s="118"/>
      <c r="AP1" s="95" t="s">
        <v>3</v>
      </c>
      <c r="AQ1" s="96"/>
      <c r="AR1" s="96"/>
      <c r="AS1" s="97"/>
      <c r="AT1" s="95" t="s">
        <v>4</v>
      </c>
      <c r="AU1" s="96"/>
      <c r="AV1" s="96"/>
      <c r="AW1" s="96"/>
      <c r="AX1" s="97"/>
      <c r="AY1" s="95" t="s">
        <v>5</v>
      </c>
      <c r="AZ1" s="96"/>
      <c r="BA1" s="96"/>
      <c r="BB1" s="97"/>
      <c r="BC1" s="95" t="s">
        <v>6</v>
      </c>
      <c r="BD1" s="96"/>
      <c r="BE1" s="96"/>
      <c r="BF1" s="96"/>
      <c r="BG1" s="97"/>
      <c r="BH1" s="95" t="s">
        <v>7</v>
      </c>
      <c r="BI1" s="96"/>
      <c r="BJ1" s="96"/>
      <c r="BK1" s="97"/>
    </row>
    <row r="2" spans="1:63" ht="15" customHeight="1">
      <c r="A2" s="80" t="str">
        <f>IF(表紙!A2="","",表紙!A2)</f>
        <v>POSサーバー</v>
      </c>
      <c r="B2" s="81"/>
      <c r="C2" s="81"/>
      <c r="D2" s="81"/>
      <c r="E2" s="81"/>
      <c r="F2" s="81"/>
      <c r="G2" s="81"/>
      <c r="H2" s="81"/>
      <c r="I2" s="81"/>
      <c r="J2" s="82"/>
      <c r="K2" s="80" t="str">
        <f>IF(表紙!K2="","",表紙!K2)</f>
        <v>POSサーバー</v>
      </c>
      <c r="L2" s="81"/>
      <c r="M2" s="81"/>
      <c r="N2" s="81"/>
      <c r="O2" s="81"/>
      <c r="P2" s="81"/>
      <c r="Q2" s="81"/>
      <c r="R2" s="81"/>
      <c r="S2" s="81"/>
      <c r="T2" s="81"/>
      <c r="U2" s="81"/>
      <c r="V2" s="82"/>
      <c r="W2" s="119"/>
      <c r="X2" s="120"/>
      <c r="Y2" s="120"/>
      <c r="Z2" s="120"/>
      <c r="AA2" s="120"/>
      <c r="AB2" s="120"/>
      <c r="AC2" s="120"/>
      <c r="AD2" s="120"/>
      <c r="AE2" s="120"/>
      <c r="AF2" s="120"/>
      <c r="AG2" s="120"/>
      <c r="AH2" s="120"/>
      <c r="AI2" s="120"/>
      <c r="AJ2" s="120"/>
      <c r="AK2" s="120"/>
      <c r="AL2" s="120"/>
      <c r="AM2" s="120"/>
      <c r="AN2" s="120"/>
      <c r="AO2" s="121"/>
      <c r="AP2" s="80" t="str">
        <f>IF(表紙!AP2="","",表紙!AP2)</f>
        <v>AnhDD</v>
      </c>
      <c r="AQ2" s="81"/>
      <c r="AR2" s="81"/>
      <c r="AS2" s="82"/>
      <c r="AT2" s="109">
        <f>IF(表紙!AT2="","",表紙!AT2)</f>
        <v>45416</v>
      </c>
      <c r="AU2" s="110"/>
      <c r="AV2" s="110"/>
      <c r="AW2" s="110"/>
      <c r="AX2" s="111"/>
      <c r="AY2" s="80" t="str">
        <f>IF(表紙!AY2="","",表紙!AY2)</f>
        <v>AnhDD</v>
      </c>
      <c r="AZ2" s="81"/>
      <c r="BA2" s="81"/>
      <c r="BB2" s="82"/>
      <c r="BC2" s="109">
        <f>IF(表紙!BC2="","",表紙!BC2)</f>
        <v>45416</v>
      </c>
      <c r="BD2" s="110"/>
      <c r="BE2" s="110"/>
      <c r="BF2" s="110"/>
      <c r="BG2" s="111"/>
      <c r="BH2" s="80">
        <f>IF(表紙!BH2="","",表紙!BH2)</f>
        <v>0.1</v>
      </c>
      <c r="BI2" s="81"/>
      <c r="BJ2" s="81"/>
      <c r="BK2" s="82"/>
    </row>
    <row r="3" spans="1:63" ht="15" customHeight="1">
      <c r="A3" s="86"/>
      <c r="B3" s="87"/>
      <c r="C3" s="87"/>
      <c r="D3" s="87"/>
      <c r="E3" s="87"/>
      <c r="F3" s="87"/>
      <c r="G3" s="87"/>
      <c r="H3" s="87"/>
      <c r="I3" s="87"/>
      <c r="J3" s="88"/>
      <c r="K3" s="86"/>
      <c r="L3" s="87"/>
      <c r="M3" s="87"/>
      <c r="N3" s="87"/>
      <c r="O3" s="87"/>
      <c r="P3" s="87"/>
      <c r="Q3" s="87"/>
      <c r="R3" s="87"/>
      <c r="S3" s="87"/>
      <c r="T3" s="87"/>
      <c r="U3" s="87"/>
      <c r="V3" s="88"/>
      <c r="W3" s="122"/>
      <c r="X3" s="123"/>
      <c r="Y3" s="123"/>
      <c r="Z3" s="123"/>
      <c r="AA3" s="123"/>
      <c r="AB3" s="123"/>
      <c r="AC3" s="123"/>
      <c r="AD3" s="123"/>
      <c r="AE3" s="123"/>
      <c r="AF3" s="123"/>
      <c r="AG3" s="123"/>
      <c r="AH3" s="123"/>
      <c r="AI3" s="123"/>
      <c r="AJ3" s="123"/>
      <c r="AK3" s="123"/>
      <c r="AL3" s="123"/>
      <c r="AM3" s="123"/>
      <c r="AN3" s="123"/>
      <c r="AO3" s="124"/>
      <c r="AP3" s="86"/>
      <c r="AQ3" s="87"/>
      <c r="AR3" s="87"/>
      <c r="AS3" s="88"/>
      <c r="AT3" s="112"/>
      <c r="AU3" s="113"/>
      <c r="AV3" s="113"/>
      <c r="AW3" s="113"/>
      <c r="AX3" s="114"/>
      <c r="AY3" s="86"/>
      <c r="AZ3" s="87"/>
      <c r="BA3" s="87"/>
      <c r="BB3" s="88"/>
      <c r="BC3" s="112"/>
      <c r="BD3" s="113"/>
      <c r="BE3" s="113"/>
      <c r="BF3" s="113"/>
      <c r="BG3" s="114"/>
      <c r="BH3" s="86"/>
      <c r="BI3" s="87"/>
      <c r="BJ3" s="87"/>
      <c r="BK3" s="88"/>
    </row>
    <row r="4" spans="1:63" ht="24.95" customHeight="1">
      <c r="A4" s="95" t="s">
        <v>10</v>
      </c>
      <c r="B4" s="96"/>
      <c r="C4" s="96"/>
      <c r="D4" s="96"/>
      <c r="E4" s="96"/>
      <c r="F4" s="96"/>
      <c r="G4" s="97"/>
      <c r="H4" s="100" t="str">
        <f>IF(表紙!H4="","",表紙!H4)</f>
        <v>13_部門別売上日報</v>
      </c>
      <c r="I4" s="101"/>
      <c r="J4" s="101"/>
      <c r="K4" s="101"/>
      <c r="L4" s="101"/>
      <c r="M4" s="101"/>
      <c r="N4" s="101"/>
      <c r="O4" s="101"/>
      <c r="P4" s="101"/>
      <c r="Q4" s="101"/>
      <c r="R4" s="101"/>
      <c r="S4" s="101"/>
      <c r="T4" s="102"/>
      <c r="U4" s="95" t="s">
        <v>12</v>
      </c>
      <c r="V4" s="96"/>
      <c r="W4" s="96"/>
      <c r="X4" s="96"/>
      <c r="Y4" s="97"/>
      <c r="Z4" s="100" t="str">
        <f>IF(表紙!Z4="","",表紙!Z4)</f>
        <v>概要設計書</v>
      </c>
      <c r="AA4" s="101"/>
      <c r="AB4" s="101"/>
      <c r="AC4" s="101"/>
      <c r="AD4" s="101"/>
      <c r="AE4" s="101"/>
      <c r="AF4" s="101"/>
      <c r="AG4" s="101"/>
      <c r="AH4" s="101"/>
      <c r="AI4" s="101"/>
      <c r="AJ4" s="101"/>
      <c r="AK4" s="101"/>
      <c r="AL4" s="101"/>
      <c r="AM4" s="101"/>
      <c r="AN4" s="101"/>
      <c r="AO4" s="102"/>
      <c r="AP4" s="100" t="e">
        <f t="array" aca="1" ref="AP4" ca="1">RIGHT(CELL("filename",$A$1),LEN(CELL("filename",$A$1))-FIND("]",CELL("filename",$A$1)))</f>
        <v>#VALUE!</v>
      </c>
      <c r="AQ4" s="101"/>
      <c r="AR4" s="101"/>
      <c r="AS4" s="101"/>
      <c r="AT4" s="101"/>
      <c r="AU4" s="101"/>
      <c r="AV4" s="101"/>
      <c r="AW4" s="101"/>
      <c r="AX4" s="101"/>
      <c r="AY4" s="101"/>
      <c r="AZ4" s="101"/>
      <c r="BA4" s="101"/>
      <c r="BB4" s="101"/>
      <c r="BC4" s="101"/>
      <c r="BD4" s="101"/>
      <c r="BE4" s="101"/>
      <c r="BF4" s="101"/>
      <c r="BG4" s="101"/>
      <c r="BH4" s="101"/>
      <c r="BI4" s="101"/>
      <c r="BJ4" s="101"/>
      <c r="BK4" s="102"/>
    </row>
    <row r="5" spans="1:63" ht="5.0999999999999996" customHeight="1">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c r="A6" s="24"/>
      <c r="BK6" s="25"/>
    </row>
    <row r="7" spans="1:63" ht="15" customHeight="1">
      <c r="A7" s="24"/>
      <c r="BK7" s="25"/>
    </row>
    <row r="8" spans="1:63" ht="15" customHeight="1">
      <c r="A8" s="24"/>
      <c r="B8" s="20" t="s">
        <v>17</v>
      </c>
      <c r="BK8" s="25"/>
    </row>
    <row r="9" spans="1:63" ht="15" customHeight="1">
      <c r="A9" s="24"/>
      <c r="BK9" s="25"/>
    </row>
    <row r="10" spans="1:63" ht="15" customHeight="1">
      <c r="A10" s="24"/>
      <c r="B10" s="286" t="s">
        <v>6</v>
      </c>
      <c r="C10" s="286"/>
      <c r="D10" s="286"/>
      <c r="E10" s="286"/>
      <c r="F10" s="286"/>
      <c r="G10" s="286"/>
      <c r="H10" s="286" t="s">
        <v>5</v>
      </c>
      <c r="I10" s="286"/>
      <c r="J10" s="286"/>
      <c r="K10" s="286"/>
      <c r="L10" s="286"/>
      <c r="M10" s="286"/>
      <c r="N10" s="286"/>
      <c r="O10" s="286" t="s">
        <v>7</v>
      </c>
      <c r="P10" s="286"/>
      <c r="Q10" s="286"/>
      <c r="R10" s="286"/>
      <c r="S10" s="286" t="s">
        <v>18</v>
      </c>
      <c r="T10" s="286"/>
      <c r="U10" s="286"/>
      <c r="V10" s="286"/>
      <c r="W10" s="286"/>
      <c r="X10" s="286"/>
      <c r="Y10" s="286"/>
      <c r="Z10" s="286"/>
      <c r="AA10" s="286"/>
      <c r="AB10" s="286"/>
      <c r="AC10" s="286"/>
      <c r="AD10" s="286"/>
      <c r="AE10" s="286"/>
      <c r="AF10" s="286"/>
      <c r="AG10" s="286"/>
      <c r="AH10" s="286"/>
      <c r="AI10" s="286"/>
      <c r="AJ10" s="286"/>
      <c r="AK10" s="286"/>
      <c r="AL10" s="286"/>
      <c r="AM10" s="286"/>
      <c r="AN10" s="286"/>
      <c r="AO10" s="286"/>
      <c r="AP10" s="286"/>
      <c r="AQ10" s="286"/>
      <c r="AR10" s="286"/>
      <c r="AS10" s="286"/>
      <c r="AT10" s="286"/>
      <c r="AU10" s="286"/>
      <c r="AV10" s="286"/>
      <c r="AW10" s="286"/>
      <c r="AX10" s="286" t="s">
        <v>15</v>
      </c>
      <c r="AY10" s="286"/>
      <c r="AZ10" s="286"/>
      <c r="BA10" s="286"/>
      <c r="BB10" s="286"/>
      <c r="BC10" s="286"/>
      <c r="BD10" s="286" t="s">
        <v>16</v>
      </c>
      <c r="BE10" s="286"/>
      <c r="BF10" s="286"/>
      <c r="BG10" s="286"/>
      <c r="BH10" s="286"/>
      <c r="BI10" s="286"/>
      <c r="BJ10" s="286"/>
      <c r="BK10" s="25"/>
    </row>
    <row r="11" spans="1:63" ht="15" customHeight="1">
      <c r="A11" s="24"/>
      <c r="B11" s="109">
        <v>45416</v>
      </c>
      <c r="C11" s="81"/>
      <c r="D11" s="81"/>
      <c r="E11" s="81"/>
      <c r="F11" s="81"/>
      <c r="G11" s="82"/>
      <c r="H11" s="115" t="s">
        <v>19</v>
      </c>
      <c r="I11" s="81"/>
      <c r="J11" s="81"/>
      <c r="K11" s="81"/>
      <c r="L11" s="81"/>
      <c r="M11" s="81"/>
      <c r="N11" s="82"/>
      <c r="O11" s="80">
        <v>0.1</v>
      </c>
      <c r="P11" s="81"/>
      <c r="Q11" s="81"/>
      <c r="R11" s="81"/>
      <c r="S11" s="287" t="s">
        <v>20</v>
      </c>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9"/>
      <c r="AX11" s="290"/>
      <c r="AY11" s="290"/>
      <c r="AZ11" s="290"/>
      <c r="BA11" s="290"/>
      <c r="BB11" s="290"/>
      <c r="BC11" s="291"/>
      <c r="BD11" s="292"/>
      <c r="BE11" s="290"/>
      <c r="BF11" s="290"/>
      <c r="BG11" s="290"/>
      <c r="BH11" s="290"/>
      <c r="BI11" s="290"/>
      <c r="BJ11" s="291"/>
      <c r="BK11" s="25"/>
    </row>
    <row r="12" spans="1:63" ht="15" customHeight="1">
      <c r="A12" s="24"/>
      <c r="B12" s="86"/>
      <c r="C12" s="87"/>
      <c r="D12" s="87"/>
      <c r="E12" s="87"/>
      <c r="F12" s="87"/>
      <c r="G12" s="88"/>
      <c r="H12" s="86"/>
      <c r="I12" s="87"/>
      <c r="J12" s="87"/>
      <c r="K12" s="87"/>
      <c r="L12" s="87"/>
      <c r="M12" s="87"/>
      <c r="N12" s="88"/>
      <c r="O12" s="86"/>
      <c r="P12" s="87"/>
      <c r="Q12" s="87"/>
      <c r="R12" s="87"/>
      <c r="S12" s="293"/>
      <c r="T12" s="294"/>
      <c r="U12" s="294"/>
      <c r="V12" s="294"/>
      <c r="W12" s="294"/>
      <c r="X12" s="294"/>
      <c r="Y12" s="294"/>
      <c r="Z12" s="294"/>
      <c r="AA12" s="294"/>
      <c r="AB12" s="294"/>
      <c r="AC12" s="294"/>
      <c r="AD12" s="294"/>
      <c r="AE12" s="294"/>
      <c r="AF12" s="294"/>
      <c r="AG12" s="294"/>
      <c r="AH12" s="294"/>
      <c r="AI12" s="294"/>
      <c r="AJ12" s="294"/>
      <c r="AK12" s="294"/>
      <c r="AL12" s="294"/>
      <c r="AM12" s="294"/>
      <c r="AN12" s="294"/>
      <c r="AO12" s="294"/>
      <c r="AP12" s="294"/>
      <c r="AQ12" s="294"/>
      <c r="AR12" s="294"/>
      <c r="AS12" s="294"/>
      <c r="AT12" s="294"/>
      <c r="AU12" s="294"/>
      <c r="AV12" s="294"/>
      <c r="AW12" s="295"/>
      <c r="AX12" s="296"/>
      <c r="AY12" s="296"/>
      <c r="AZ12" s="296"/>
      <c r="BA12" s="296"/>
      <c r="BB12" s="296"/>
      <c r="BC12" s="297"/>
      <c r="BD12" s="298"/>
      <c r="BE12" s="296"/>
      <c r="BF12" s="296"/>
      <c r="BG12" s="296"/>
      <c r="BH12" s="296"/>
      <c r="BI12" s="296"/>
      <c r="BJ12" s="297"/>
      <c r="BK12" s="25"/>
    </row>
    <row r="13" spans="1:63" ht="15" customHeight="1">
      <c r="A13" s="24"/>
      <c r="B13" s="109"/>
      <c r="C13" s="81"/>
      <c r="D13" s="81"/>
      <c r="E13" s="81"/>
      <c r="F13" s="81"/>
      <c r="G13" s="82"/>
      <c r="H13" s="80"/>
      <c r="I13" s="81"/>
      <c r="J13" s="81"/>
      <c r="K13" s="81"/>
      <c r="L13" s="81"/>
      <c r="M13" s="81"/>
      <c r="N13" s="82"/>
      <c r="O13" s="80"/>
      <c r="P13" s="81"/>
      <c r="Q13" s="81"/>
      <c r="R13" s="81"/>
      <c r="S13" s="287"/>
      <c r="T13" s="288"/>
      <c r="U13" s="288"/>
      <c r="V13" s="288"/>
      <c r="W13" s="288"/>
      <c r="X13" s="288"/>
      <c r="Y13" s="288"/>
      <c r="Z13" s="288"/>
      <c r="AA13" s="288"/>
      <c r="AB13" s="288"/>
      <c r="AC13" s="288"/>
      <c r="AD13" s="288"/>
      <c r="AE13" s="288"/>
      <c r="AF13" s="288"/>
      <c r="AG13" s="288"/>
      <c r="AH13" s="288"/>
      <c r="AI13" s="288"/>
      <c r="AJ13" s="288"/>
      <c r="AK13" s="288"/>
      <c r="AL13" s="288"/>
      <c r="AM13" s="288"/>
      <c r="AN13" s="288"/>
      <c r="AO13" s="288"/>
      <c r="AP13" s="288"/>
      <c r="AQ13" s="288"/>
      <c r="AR13" s="288"/>
      <c r="AS13" s="288"/>
      <c r="AT13" s="288"/>
      <c r="AU13" s="288"/>
      <c r="AV13" s="288"/>
      <c r="AW13" s="289"/>
      <c r="AX13" s="290"/>
      <c r="AY13" s="290"/>
      <c r="AZ13" s="290"/>
      <c r="BA13" s="290"/>
      <c r="BB13" s="290"/>
      <c r="BC13" s="291"/>
      <c r="BD13" s="292"/>
      <c r="BE13" s="290"/>
      <c r="BF13" s="290"/>
      <c r="BG13" s="290"/>
      <c r="BH13" s="290"/>
      <c r="BI13" s="290"/>
      <c r="BJ13" s="291"/>
      <c r="BK13" s="25"/>
    </row>
    <row r="14" spans="1:63" ht="15" customHeight="1">
      <c r="A14" s="24"/>
      <c r="B14" s="86"/>
      <c r="C14" s="87"/>
      <c r="D14" s="87"/>
      <c r="E14" s="87"/>
      <c r="F14" s="87"/>
      <c r="G14" s="88"/>
      <c r="H14" s="86"/>
      <c r="I14" s="87"/>
      <c r="J14" s="87"/>
      <c r="K14" s="87"/>
      <c r="L14" s="87"/>
      <c r="M14" s="87"/>
      <c r="N14" s="88"/>
      <c r="O14" s="86"/>
      <c r="P14" s="87"/>
      <c r="Q14" s="87"/>
      <c r="R14" s="87"/>
      <c r="S14" s="293"/>
      <c r="T14" s="294"/>
      <c r="U14" s="294"/>
      <c r="V14" s="294"/>
      <c r="W14" s="294"/>
      <c r="X14" s="294"/>
      <c r="Y14" s="294"/>
      <c r="Z14" s="294"/>
      <c r="AA14" s="294"/>
      <c r="AB14" s="294"/>
      <c r="AC14" s="294"/>
      <c r="AD14" s="294"/>
      <c r="AE14" s="294"/>
      <c r="AF14" s="294"/>
      <c r="AG14" s="294"/>
      <c r="AH14" s="294"/>
      <c r="AI14" s="294"/>
      <c r="AJ14" s="294"/>
      <c r="AK14" s="294"/>
      <c r="AL14" s="294"/>
      <c r="AM14" s="294"/>
      <c r="AN14" s="294"/>
      <c r="AO14" s="294"/>
      <c r="AP14" s="294"/>
      <c r="AQ14" s="294"/>
      <c r="AR14" s="294"/>
      <c r="AS14" s="294"/>
      <c r="AT14" s="294"/>
      <c r="AU14" s="294"/>
      <c r="AV14" s="294"/>
      <c r="AW14" s="295"/>
      <c r="AX14" s="296"/>
      <c r="AY14" s="296"/>
      <c r="AZ14" s="296"/>
      <c r="BA14" s="296"/>
      <c r="BB14" s="296"/>
      <c r="BC14" s="297"/>
      <c r="BD14" s="298"/>
      <c r="BE14" s="296"/>
      <c r="BF14" s="296"/>
      <c r="BG14" s="296"/>
      <c r="BH14" s="296"/>
      <c r="BI14" s="296"/>
      <c r="BJ14" s="297"/>
      <c r="BK14" s="25"/>
    </row>
    <row r="15" spans="1:63" ht="15" customHeight="1">
      <c r="A15" s="24"/>
      <c r="B15" s="80"/>
      <c r="C15" s="81"/>
      <c r="D15" s="81"/>
      <c r="E15" s="81"/>
      <c r="F15" s="81"/>
      <c r="G15" s="82"/>
      <c r="H15" s="80"/>
      <c r="I15" s="81"/>
      <c r="J15" s="81"/>
      <c r="K15" s="81"/>
      <c r="L15" s="81"/>
      <c r="M15" s="81"/>
      <c r="N15" s="82"/>
      <c r="O15" s="80"/>
      <c r="P15" s="81"/>
      <c r="Q15" s="81"/>
      <c r="R15" s="81"/>
      <c r="S15" s="287"/>
      <c r="T15" s="288"/>
      <c r="U15" s="288"/>
      <c r="V15" s="288"/>
      <c r="W15" s="288"/>
      <c r="X15" s="288"/>
      <c r="Y15" s="288"/>
      <c r="Z15" s="288"/>
      <c r="AA15" s="288"/>
      <c r="AB15" s="288"/>
      <c r="AC15" s="288"/>
      <c r="AD15" s="288"/>
      <c r="AE15" s="288"/>
      <c r="AF15" s="288"/>
      <c r="AG15" s="288"/>
      <c r="AH15" s="288"/>
      <c r="AI15" s="288"/>
      <c r="AJ15" s="288"/>
      <c r="AK15" s="288"/>
      <c r="AL15" s="288"/>
      <c r="AM15" s="288"/>
      <c r="AN15" s="288"/>
      <c r="AO15" s="288"/>
      <c r="AP15" s="288"/>
      <c r="AQ15" s="288"/>
      <c r="AR15" s="288"/>
      <c r="AS15" s="288"/>
      <c r="AT15" s="288"/>
      <c r="AU15" s="288"/>
      <c r="AV15" s="288"/>
      <c r="AW15" s="289"/>
      <c r="AX15" s="290"/>
      <c r="AY15" s="290"/>
      <c r="AZ15" s="290"/>
      <c r="BA15" s="290"/>
      <c r="BB15" s="290"/>
      <c r="BC15" s="291"/>
      <c r="BD15" s="292"/>
      <c r="BE15" s="290"/>
      <c r="BF15" s="290"/>
      <c r="BG15" s="290"/>
      <c r="BH15" s="290"/>
      <c r="BI15" s="290"/>
      <c r="BJ15" s="291"/>
      <c r="BK15" s="25"/>
    </row>
    <row r="16" spans="1:63" ht="15" customHeight="1">
      <c r="A16" s="24"/>
      <c r="B16" s="86"/>
      <c r="C16" s="87"/>
      <c r="D16" s="87"/>
      <c r="E16" s="87"/>
      <c r="F16" s="87"/>
      <c r="G16" s="88"/>
      <c r="H16" s="86"/>
      <c r="I16" s="87"/>
      <c r="J16" s="87"/>
      <c r="K16" s="87"/>
      <c r="L16" s="87"/>
      <c r="M16" s="87"/>
      <c r="N16" s="88"/>
      <c r="O16" s="86"/>
      <c r="P16" s="87"/>
      <c r="Q16" s="87"/>
      <c r="R16" s="87"/>
      <c r="S16" s="293"/>
      <c r="T16" s="294"/>
      <c r="U16" s="294"/>
      <c r="V16" s="294"/>
      <c r="W16" s="294"/>
      <c r="X16" s="294"/>
      <c r="Y16" s="294"/>
      <c r="Z16" s="294"/>
      <c r="AA16" s="294"/>
      <c r="AB16" s="294"/>
      <c r="AC16" s="294"/>
      <c r="AD16" s="294"/>
      <c r="AE16" s="294"/>
      <c r="AF16" s="294"/>
      <c r="AG16" s="294"/>
      <c r="AH16" s="294"/>
      <c r="AI16" s="294"/>
      <c r="AJ16" s="294"/>
      <c r="AK16" s="294"/>
      <c r="AL16" s="294"/>
      <c r="AM16" s="294"/>
      <c r="AN16" s="294"/>
      <c r="AO16" s="294"/>
      <c r="AP16" s="294"/>
      <c r="AQ16" s="294"/>
      <c r="AR16" s="294"/>
      <c r="AS16" s="294"/>
      <c r="AT16" s="294"/>
      <c r="AU16" s="294"/>
      <c r="AV16" s="294"/>
      <c r="AW16" s="295"/>
      <c r="AX16" s="296"/>
      <c r="AY16" s="296"/>
      <c r="AZ16" s="296"/>
      <c r="BA16" s="296"/>
      <c r="BB16" s="296"/>
      <c r="BC16" s="297"/>
      <c r="BD16" s="298"/>
      <c r="BE16" s="296"/>
      <c r="BF16" s="296"/>
      <c r="BG16" s="296"/>
      <c r="BH16" s="296"/>
      <c r="BI16" s="296"/>
      <c r="BJ16" s="297"/>
      <c r="BK16" s="25"/>
    </row>
    <row r="17" spans="1:63" ht="15" customHeight="1">
      <c r="A17" s="24"/>
      <c r="B17" s="80"/>
      <c r="C17" s="81"/>
      <c r="D17" s="81"/>
      <c r="E17" s="81"/>
      <c r="F17" s="81"/>
      <c r="G17" s="82"/>
      <c r="H17" s="80"/>
      <c r="I17" s="81"/>
      <c r="J17" s="81"/>
      <c r="K17" s="81"/>
      <c r="L17" s="81"/>
      <c r="M17" s="81"/>
      <c r="N17" s="82"/>
      <c r="O17" s="80"/>
      <c r="P17" s="81"/>
      <c r="Q17" s="81"/>
      <c r="R17" s="81"/>
      <c r="S17" s="287"/>
      <c r="T17" s="288"/>
      <c r="U17" s="288"/>
      <c r="V17" s="288"/>
      <c r="W17" s="288"/>
      <c r="X17" s="288"/>
      <c r="Y17" s="288"/>
      <c r="Z17" s="288"/>
      <c r="AA17" s="288"/>
      <c r="AB17" s="288"/>
      <c r="AC17" s="288"/>
      <c r="AD17" s="288"/>
      <c r="AE17" s="288"/>
      <c r="AF17" s="288"/>
      <c r="AG17" s="288"/>
      <c r="AH17" s="288"/>
      <c r="AI17" s="288"/>
      <c r="AJ17" s="288"/>
      <c r="AK17" s="288"/>
      <c r="AL17" s="288"/>
      <c r="AM17" s="288"/>
      <c r="AN17" s="288"/>
      <c r="AO17" s="288"/>
      <c r="AP17" s="288"/>
      <c r="AQ17" s="288"/>
      <c r="AR17" s="288"/>
      <c r="AS17" s="288"/>
      <c r="AT17" s="288"/>
      <c r="AU17" s="288"/>
      <c r="AV17" s="288"/>
      <c r="AW17" s="289"/>
      <c r="AX17" s="290"/>
      <c r="AY17" s="290"/>
      <c r="AZ17" s="290"/>
      <c r="BA17" s="290"/>
      <c r="BB17" s="290"/>
      <c r="BC17" s="291"/>
      <c r="BD17" s="292"/>
      <c r="BE17" s="290"/>
      <c r="BF17" s="290"/>
      <c r="BG17" s="290"/>
      <c r="BH17" s="290"/>
      <c r="BI17" s="290"/>
      <c r="BJ17" s="291"/>
      <c r="BK17" s="25"/>
    </row>
    <row r="18" spans="1:63" ht="15" customHeight="1">
      <c r="A18" s="24"/>
      <c r="B18" s="86"/>
      <c r="C18" s="87"/>
      <c r="D18" s="87"/>
      <c r="E18" s="87"/>
      <c r="F18" s="87"/>
      <c r="G18" s="88"/>
      <c r="H18" s="86"/>
      <c r="I18" s="87"/>
      <c r="J18" s="87"/>
      <c r="K18" s="87"/>
      <c r="L18" s="87"/>
      <c r="M18" s="87"/>
      <c r="N18" s="88"/>
      <c r="O18" s="86"/>
      <c r="P18" s="87"/>
      <c r="Q18" s="87"/>
      <c r="R18" s="87"/>
      <c r="S18" s="293"/>
      <c r="T18" s="294"/>
      <c r="U18" s="294"/>
      <c r="V18" s="294"/>
      <c r="W18" s="294"/>
      <c r="X18" s="294"/>
      <c r="Y18" s="294"/>
      <c r="Z18" s="294"/>
      <c r="AA18" s="294"/>
      <c r="AB18" s="294"/>
      <c r="AC18" s="294"/>
      <c r="AD18" s="294"/>
      <c r="AE18" s="294"/>
      <c r="AF18" s="294"/>
      <c r="AG18" s="294"/>
      <c r="AH18" s="294"/>
      <c r="AI18" s="294"/>
      <c r="AJ18" s="294"/>
      <c r="AK18" s="294"/>
      <c r="AL18" s="294"/>
      <c r="AM18" s="294"/>
      <c r="AN18" s="294"/>
      <c r="AO18" s="294"/>
      <c r="AP18" s="294"/>
      <c r="AQ18" s="294"/>
      <c r="AR18" s="294"/>
      <c r="AS18" s="294"/>
      <c r="AT18" s="294"/>
      <c r="AU18" s="294"/>
      <c r="AV18" s="294"/>
      <c r="AW18" s="295"/>
      <c r="AX18" s="296"/>
      <c r="AY18" s="296"/>
      <c r="AZ18" s="296"/>
      <c r="BA18" s="296"/>
      <c r="BB18" s="296"/>
      <c r="BC18" s="297"/>
      <c r="BD18" s="298"/>
      <c r="BE18" s="296"/>
      <c r="BF18" s="296"/>
      <c r="BG18" s="296"/>
      <c r="BH18" s="296"/>
      <c r="BI18" s="296"/>
      <c r="BJ18" s="297"/>
      <c r="BK18" s="25"/>
    </row>
    <row r="19" spans="1:63" ht="15" customHeight="1">
      <c r="A19" s="24"/>
      <c r="B19" s="80"/>
      <c r="C19" s="81"/>
      <c r="D19" s="81"/>
      <c r="E19" s="81"/>
      <c r="F19" s="81"/>
      <c r="G19" s="82"/>
      <c r="H19" s="80"/>
      <c r="I19" s="81"/>
      <c r="J19" s="81"/>
      <c r="K19" s="81"/>
      <c r="L19" s="81"/>
      <c r="M19" s="81"/>
      <c r="N19" s="82"/>
      <c r="O19" s="80"/>
      <c r="P19" s="81"/>
      <c r="Q19" s="81"/>
      <c r="R19" s="81"/>
      <c r="S19" s="287"/>
      <c r="T19" s="288"/>
      <c r="U19" s="288"/>
      <c r="V19" s="288"/>
      <c r="W19" s="288"/>
      <c r="X19" s="288"/>
      <c r="Y19" s="288"/>
      <c r="Z19" s="288"/>
      <c r="AA19" s="288"/>
      <c r="AB19" s="288"/>
      <c r="AC19" s="288"/>
      <c r="AD19" s="288"/>
      <c r="AE19" s="288"/>
      <c r="AF19" s="288"/>
      <c r="AG19" s="288"/>
      <c r="AH19" s="288"/>
      <c r="AI19" s="288"/>
      <c r="AJ19" s="288"/>
      <c r="AK19" s="288"/>
      <c r="AL19" s="288"/>
      <c r="AM19" s="288"/>
      <c r="AN19" s="288"/>
      <c r="AO19" s="288"/>
      <c r="AP19" s="288"/>
      <c r="AQ19" s="288"/>
      <c r="AR19" s="288"/>
      <c r="AS19" s="288"/>
      <c r="AT19" s="288"/>
      <c r="AU19" s="288"/>
      <c r="AV19" s="288"/>
      <c r="AW19" s="289"/>
      <c r="AX19" s="290"/>
      <c r="AY19" s="290"/>
      <c r="AZ19" s="290"/>
      <c r="BA19" s="290"/>
      <c r="BB19" s="290"/>
      <c r="BC19" s="291"/>
      <c r="BD19" s="292"/>
      <c r="BE19" s="290"/>
      <c r="BF19" s="290"/>
      <c r="BG19" s="290"/>
      <c r="BH19" s="290"/>
      <c r="BI19" s="290"/>
      <c r="BJ19" s="291"/>
      <c r="BK19" s="25"/>
    </row>
    <row r="20" spans="1:63" ht="15" customHeight="1">
      <c r="A20" s="24"/>
      <c r="B20" s="86"/>
      <c r="C20" s="87"/>
      <c r="D20" s="87"/>
      <c r="E20" s="87"/>
      <c r="F20" s="87"/>
      <c r="G20" s="88"/>
      <c r="H20" s="86"/>
      <c r="I20" s="87"/>
      <c r="J20" s="87"/>
      <c r="K20" s="87"/>
      <c r="L20" s="87"/>
      <c r="M20" s="87"/>
      <c r="N20" s="88"/>
      <c r="O20" s="86"/>
      <c r="P20" s="87"/>
      <c r="Q20" s="87"/>
      <c r="R20" s="87"/>
      <c r="S20" s="293"/>
      <c r="T20" s="294"/>
      <c r="U20" s="294"/>
      <c r="V20" s="294"/>
      <c r="W20" s="294"/>
      <c r="X20" s="294"/>
      <c r="Y20" s="294"/>
      <c r="Z20" s="294"/>
      <c r="AA20" s="294"/>
      <c r="AB20" s="294"/>
      <c r="AC20" s="294"/>
      <c r="AD20" s="294"/>
      <c r="AE20" s="294"/>
      <c r="AF20" s="294"/>
      <c r="AG20" s="294"/>
      <c r="AH20" s="294"/>
      <c r="AI20" s="294"/>
      <c r="AJ20" s="294"/>
      <c r="AK20" s="294"/>
      <c r="AL20" s="294"/>
      <c r="AM20" s="294"/>
      <c r="AN20" s="294"/>
      <c r="AO20" s="294"/>
      <c r="AP20" s="294"/>
      <c r="AQ20" s="294"/>
      <c r="AR20" s="294"/>
      <c r="AS20" s="294"/>
      <c r="AT20" s="294"/>
      <c r="AU20" s="294"/>
      <c r="AV20" s="294"/>
      <c r="AW20" s="295"/>
      <c r="AX20" s="296"/>
      <c r="AY20" s="296"/>
      <c r="AZ20" s="296"/>
      <c r="BA20" s="296"/>
      <c r="BB20" s="296"/>
      <c r="BC20" s="297"/>
      <c r="BD20" s="298"/>
      <c r="BE20" s="296"/>
      <c r="BF20" s="296"/>
      <c r="BG20" s="296"/>
      <c r="BH20" s="296"/>
      <c r="BI20" s="296"/>
      <c r="BJ20" s="297"/>
      <c r="BK20" s="25"/>
    </row>
    <row r="21" spans="1:63" ht="15" customHeight="1">
      <c r="A21" s="24"/>
      <c r="B21" s="80"/>
      <c r="C21" s="81"/>
      <c r="D21" s="81"/>
      <c r="E21" s="81"/>
      <c r="F21" s="81"/>
      <c r="G21" s="82"/>
      <c r="H21" s="80"/>
      <c r="I21" s="81"/>
      <c r="J21" s="81"/>
      <c r="K21" s="81"/>
      <c r="L21" s="81"/>
      <c r="M21" s="81"/>
      <c r="N21" s="82"/>
      <c r="O21" s="80"/>
      <c r="P21" s="81"/>
      <c r="Q21" s="81"/>
      <c r="R21" s="81"/>
      <c r="S21" s="287"/>
      <c r="T21" s="288"/>
      <c r="U21" s="288"/>
      <c r="V21" s="288"/>
      <c r="W21" s="288"/>
      <c r="X21" s="288"/>
      <c r="Y21" s="288"/>
      <c r="Z21" s="288"/>
      <c r="AA21" s="288"/>
      <c r="AB21" s="288"/>
      <c r="AC21" s="288"/>
      <c r="AD21" s="288"/>
      <c r="AE21" s="288"/>
      <c r="AF21" s="288"/>
      <c r="AG21" s="288"/>
      <c r="AH21" s="288"/>
      <c r="AI21" s="288"/>
      <c r="AJ21" s="288"/>
      <c r="AK21" s="288"/>
      <c r="AL21" s="288"/>
      <c r="AM21" s="288"/>
      <c r="AN21" s="288"/>
      <c r="AO21" s="288"/>
      <c r="AP21" s="288"/>
      <c r="AQ21" s="288"/>
      <c r="AR21" s="288"/>
      <c r="AS21" s="288"/>
      <c r="AT21" s="288"/>
      <c r="AU21" s="288"/>
      <c r="AV21" s="288"/>
      <c r="AW21" s="289"/>
      <c r="AX21" s="290"/>
      <c r="AY21" s="290"/>
      <c r="AZ21" s="290"/>
      <c r="BA21" s="290"/>
      <c r="BB21" s="290"/>
      <c r="BC21" s="291"/>
      <c r="BD21" s="292"/>
      <c r="BE21" s="290"/>
      <c r="BF21" s="290"/>
      <c r="BG21" s="290"/>
      <c r="BH21" s="290"/>
      <c r="BI21" s="290"/>
      <c r="BJ21" s="291"/>
      <c r="BK21" s="25"/>
    </row>
    <row r="22" spans="1:63" ht="15" customHeight="1">
      <c r="A22" s="24"/>
      <c r="B22" s="86"/>
      <c r="C22" s="87"/>
      <c r="D22" s="87"/>
      <c r="E22" s="87"/>
      <c r="F22" s="87"/>
      <c r="G22" s="88"/>
      <c r="H22" s="86"/>
      <c r="I22" s="87"/>
      <c r="J22" s="87"/>
      <c r="K22" s="87"/>
      <c r="L22" s="87"/>
      <c r="M22" s="87"/>
      <c r="N22" s="88"/>
      <c r="O22" s="86"/>
      <c r="P22" s="87"/>
      <c r="Q22" s="87"/>
      <c r="R22" s="87"/>
      <c r="S22" s="293"/>
      <c r="T22" s="294"/>
      <c r="U22" s="294"/>
      <c r="V22" s="294"/>
      <c r="W22" s="294"/>
      <c r="X22" s="294"/>
      <c r="Y22" s="294"/>
      <c r="Z22" s="294"/>
      <c r="AA22" s="294"/>
      <c r="AB22" s="294"/>
      <c r="AC22" s="294"/>
      <c r="AD22" s="294"/>
      <c r="AE22" s="294"/>
      <c r="AF22" s="294"/>
      <c r="AG22" s="294"/>
      <c r="AH22" s="294"/>
      <c r="AI22" s="294"/>
      <c r="AJ22" s="294"/>
      <c r="AK22" s="294"/>
      <c r="AL22" s="294"/>
      <c r="AM22" s="294"/>
      <c r="AN22" s="294"/>
      <c r="AO22" s="294"/>
      <c r="AP22" s="294"/>
      <c r="AQ22" s="294"/>
      <c r="AR22" s="294"/>
      <c r="AS22" s="294"/>
      <c r="AT22" s="294"/>
      <c r="AU22" s="294"/>
      <c r="AV22" s="294"/>
      <c r="AW22" s="295"/>
      <c r="AX22" s="296"/>
      <c r="AY22" s="296"/>
      <c r="AZ22" s="296"/>
      <c r="BA22" s="296"/>
      <c r="BB22" s="296"/>
      <c r="BC22" s="297"/>
      <c r="BD22" s="298"/>
      <c r="BE22" s="296"/>
      <c r="BF22" s="296"/>
      <c r="BG22" s="296"/>
      <c r="BH22" s="296"/>
      <c r="BI22" s="296"/>
      <c r="BJ22" s="297"/>
      <c r="BK22" s="25"/>
    </row>
    <row r="23" spans="1:63" ht="15" customHeight="1">
      <c r="A23" s="24"/>
      <c r="B23" s="80"/>
      <c r="C23" s="81"/>
      <c r="D23" s="81"/>
      <c r="E23" s="81"/>
      <c r="F23" s="81"/>
      <c r="G23" s="82"/>
      <c r="H23" s="80"/>
      <c r="I23" s="81"/>
      <c r="J23" s="81"/>
      <c r="K23" s="81"/>
      <c r="L23" s="81"/>
      <c r="M23" s="81"/>
      <c r="N23" s="82"/>
      <c r="O23" s="80"/>
      <c r="P23" s="81"/>
      <c r="Q23" s="81"/>
      <c r="R23" s="81"/>
      <c r="S23" s="287"/>
      <c r="T23" s="288"/>
      <c r="U23" s="288"/>
      <c r="V23" s="288"/>
      <c r="W23" s="288"/>
      <c r="X23" s="288"/>
      <c r="Y23" s="288"/>
      <c r="Z23" s="288"/>
      <c r="AA23" s="288"/>
      <c r="AB23" s="288"/>
      <c r="AC23" s="288"/>
      <c r="AD23" s="288"/>
      <c r="AE23" s="288"/>
      <c r="AF23" s="288"/>
      <c r="AG23" s="288"/>
      <c r="AH23" s="288"/>
      <c r="AI23" s="288"/>
      <c r="AJ23" s="288"/>
      <c r="AK23" s="288"/>
      <c r="AL23" s="288"/>
      <c r="AM23" s="288"/>
      <c r="AN23" s="288"/>
      <c r="AO23" s="288"/>
      <c r="AP23" s="288"/>
      <c r="AQ23" s="288"/>
      <c r="AR23" s="288"/>
      <c r="AS23" s="288"/>
      <c r="AT23" s="288"/>
      <c r="AU23" s="288"/>
      <c r="AV23" s="288"/>
      <c r="AW23" s="289"/>
      <c r="AX23" s="290"/>
      <c r="AY23" s="290"/>
      <c r="AZ23" s="290"/>
      <c r="BA23" s="290"/>
      <c r="BB23" s="290"/>
      <c r="BC23" s="291"/>
      <c r="BD23" s="292"/>
      <c r="BE23" s="290"/>
      <c r="BF23" s="290"/>
      <c r="BG23" s="290"/>
      <c r="BH23" s="290"/>
      <c r="BI23" s="290"/>
      <c r="BJ23" s="291"/>
      <c r="BK23" s="25"/>
    </row>
    <row r="24" spans="1:63" ht="15" customHeight="1">
      <c r="A24" s="24"/>
      <c r="B24" s="86"/>
      <c r="C24" s="87"/>
      <c r="D24" s="87"/>
      <c r="E24" s="87"/>
      <c r="F24" s="87"/>
      <c r="G24" s="88"/>
      <c r="H24" s="86"/>
      <c r="I24" s="87"/>
      <c r="J24" s="87"/>
      <c r="K24" s="87"/>
      <c r="L24" s="87"/>
      <c r="M24" s="87"/>
      <c r="N24" s="88"/>
      <c r="O24" s="86"/>
      <c r="P24" s="87"/>
      <c r="Q24" s="87"/>
      <c r="R24" s="87"/>
      <c r="S24" s="293"/>
      <c r="T24" s="294"/>
      <c r="U24" s="294"/>
      <c r="V24" s="294"/>
      <c r="W24" s="294"/>
      <c r="X24" s="294"/>
      <c r="Y24" s="294"/>
      <c r="Z24" s="294"/>
      <c r="AA24" s="294"/>
      <c r="AB24" s="294"/>
      <c r="AC24" s="294"/>
      <c r="AD24" s="294"/>
      <c r="AE24" s="294"/>
      <c r="AF24" s="294"/>
      <c r="AG24" s="294"/>
      <c r="AH24" s="294"/>
      <c r="AI24" s="294"/>
      <c r="AJ24" s="294"/>
      <c r="AK24" s="294"/>
      <c r="AL24" s="294"/>
      <c r="AM24" s="294"/>
      <c r="AN24" s="294"/>
      <c r="AO24" s="294"/>
      <c r="AP24" s="294"/>
      <c r="AQ24" s="294"/>
      <c r="AR24" s="294"/>
      <c r="AS24" s="294"/>
      <c r="AT24" s="294"/>
      <c r="AU24" s="294"/>
      <c r="AV24" s="294"/>
      <c r="AW24" s="295"/>
      <c r="AX24" s="296"/>
      <c r="AY24" s="296"/>
      <c r="AZ24" s="296"/>
      <c r="BA24" s="296"/>
      <c r="BB24" s="296"/>
      <c r="BC24" s="297"/>
      <c r="BD24" s="298"/>
      <c r="BE24" s="296"/>
      <c r="BF24" s="296"/>
      <c r="BG24" s="296"/>
      <c r="BH24" s="296"/>
      <c r="BI24" s="296"/>
      <c r="BJ24" s="297"/>
      <c r="BK24" s="25"/>
    </row>
    <row r="25" spans="1:63" ht="15" customHeight="1">
      <c r="A25" s="24"/>
      <c r="B25" s="80"/>
      <c r="C25" s="81"/>
      <c r="D25" s="81"/>
      <c r="E25" s="81"/>
      <c r="F25" s="81"/>
      <c r="G25" s="82"/>
      <c r="H25" s="80"/>
      <c r="I25" s="81"/>
      <c r="J25" s="81"/>
      <c r="K25" s="81"/>
      <c r="L25" s="81"/>
      <c r="M25" s="81"/>
      <c r="N25" s="82"/>
      <c r="O25" s="80"/>
      <c r="P25" s="81"/>
      <c r="Q25" s="81"/>
      <c r="R25" s="81"/>
      <c r="S25" s="287"/>
      <c r="T25" s="288"/>
      <c r="U25" s="288"/>
      <c r="V25" s="288"/>
      <c r="W25" s="288"/>
      <c r="X25" s="288"/>
      <c r="Y25" s="288"/>
      <c r="Z25" s="288"/>
      <c r="AA25" s="288"/>
      <c r="AB25" s="288"/>
      <c r="AC25" s="288"/>
      <c r="AD25" s="288"/>
      <c r="AE25" s="288"/>
      <c r="AF25" s="288"/>
      <c r="AG25" s="288"/>
      <c r="AH25" s="288"/>
      <c r="AI25" s="288"/>
      <c r="AJ25" s="288"/>
      <c r="AK25" s="288"/>
      <c r="AL25" s="288"/>
      <c r="AM25" s="288"/>
      <c r="AN25" s="288"/>
      <c r="AO25" s="288"/>
      <c r="AP25" s="288"/>
      <c r="AQ25" s="288"/>
      <c r="AR25" s="288"/>
      <c r="AS25" s="288"/>
      <c r="AT25" s="288"/>
      <c r="AU25" s="288"/>
      <c r="AV25" s="288"/>
      <c r="AW25" s="289"/>
      <c r="AX25" s="290"/>
      <c r="AY25" s="290"/>
      <c r="AZ25" s="290"/>
      <c r="BA25" s="290"/>
      <c r="BB25" s="290"/>
      <c r="BC25" s="291"/>
      <c r="BD25" s="292"/>
      <c r="BE25" s="290"/>
      <c r="BF25" s="290"/>
      <c r="BG25" s="290"/>
      <c r="BH25" s="290"/>
      <c r="BI25" s="290"/>
      <c r="BJ25" s="291"/>
      <c r="BK25" s="25"/>
    </row>
    <row r="26" spans="1:63" ht="15" customHeight="1">
      <c r="A26" s="24"/>
      <c r="B26" s="86"/>
      <c r="C26" s="87"/>
      <c r="D26" s="87"/>
      <c r="E26" s="87"/>
      <c r="F26" s="87"/>
      <c r="G26" s="88"/>
      <c r="H26" s="86"/>
      <c r="I26" s="87"/>
      <c r="J26" s="87"/>
      <c r="K26" s="87"/>
      <c r="L26" s="87"/>
      <c r="M26" s="87"/>
      <c r="N26" s="88"/>
      <c r="O26" s="86"/>
      <c r="P26" s="87"/>
      <c r="Q26" s="87"/>
      <c r="R26" s="87"/>
      <c r="S26" s="293"/>
      <c r="T26" s="294"/>
      <c r="U26" s="294"/>
      <c r="V26" s="294"/>
      <c r="W26" s="294"/>
      <c r="X26" s="294"/>
      <c r="Y26" s="294"/>
      <c r="Z26" s="294"/>
      <c r="AA26" s="294"/>
      <c r="AB26" s="294"/>
      <c r="AC26" s="294"/>
      <c r="AD26" s="294"/>
      <c r="AE26" s="294"/>
      <c r="AF26" s="294"/>
      <c r="AG26" s="294"/>
      <c r="AH26" s="294"/>
      <c r="AI26" s="294"/>
      <c r="AJ26" s="294"/>
      <c r="AK26" s="294"/>
      <c r="AL26" s="294"/>
      <c r="AM26" s="294"/>
      <c r="AN26" s="294"/>
      <c r="AO26" s="294"/>
      <c r="AP26" s="294"/>
      <c r="AQ26" s="294"/>
      <c r="AR26" s="294"/>
      <c r="AS26" s="294"/>
      <c r="AT26" s="294"/>
      <c r="AU26" s="294"/>
      <c r="AV26" s="294"/>
      <c r="AW26" s="295"/>
      <c r="AX26" s="296"/>
      <c r="AY26" s="296"/>
      <c r="AZ26" s="296"/>
      <c r="BA26" s="296"/>
      <c r="BB26" s="296"/>
      <c r="BC26" s="297"/>
      <c r="BD26" s="298"/>
      <c r="BE26" s="296"/>
      <c r="BF26" s="296"/>
      <c r="BG26" s="296"/>
      <c r="BH26" s="296"/>
      <c r="BI26" s="296"/>
      <c r="BJ26" s="297"/>
      <c r="BK26" s="25"/>
    </row>
    <row r="27" spans="1:63" ht="15" customHeight="1">
      <c r="A27" s="24"/>
      <c r="B27" s="80"/>
      <c r="C27" s="81"/>
      <c r="D27" s="81"/>
      <c r="E27" s="81"/>
      <c r="F27" s="81"/>
      <c r="G27" s="82"/>
      <c r="H27" s="80"/>
      <c r="I27" s="81"/>
      <c r="J27" s="81"/>
      <c r="K27" s="81"/>
      <c r="L27" s="81"/>
      <c r="M27" s="81"/>
      <c r="N27" s="82"/>
      <c r="O27" s="80"/>
      <c r="P27" s="81"/>
      <c r="Q27" s="81"/>
      <c r="R27" s="81"/>
      <c r="S27" s="287"/>
      <c r="T27" s="288"/>
      <c r="U27" s="288"/>
      <c r="V27" s="288"/>
      <c r="W27" s="288"/>
      <c r="X27" s="288"/>
      <c r="Y27" s="288"/>
      <c r="Z27" s="288"/>
      <c r="AA27" s="288"/>
      <c r="AB27" s="288"/>
      <c r="AC27" s="288"/>
      <c r="AD27" s="288"/>
      <c r="AE27" s="288"/>
      <c r="AF27" s="288"/>
      <c r="AG27" s="288"/>
      <c r="AH27" s="288"/>
      <c r="AI27" s="288"/>
      <c r="AJ27" s="288"/>
      <c r="AK27" s="288"/>
      <c r="AL27" s="288"/>
      <c r="AM27" s="288"/>
      <c r="AN27" s="288"/>
      <c r="AO27" s="288"/>
      <c r="AP27" s="288"/>
      <c r="AQ27" s="288"/>
      <c r="AR27" s="288"/>
      <c r="AS27" s="288"/>
      <c r="AT27" s="288"/>
      <c r="AU27" s="288"/>
      <c r="AV27" s="288"/>
      <c r="AW27" s="289"/>
      <c r="AX27" s="290"/>
      <c r="AY27" s="290"/>
      <c r="AZ27" s="290"/>
      <c r="BA27" s="290"/>
      <c r="BB27" s="290"/>
      <c r="BC27" s="291"/>
      <c r="BD27" s="292"/>
      <c r="BE27" s="290"/>
      <c r="BF27" s="290"/>
      <c r="BG27" s="290"/>
      <c r="BH27" s="290"/>
      <c r="BI27" s="290"/>
      <c r="BJ27" s="291"/>
      <c r="BK27" s="25"/>
    </row>
    <row r="28" spans="1:63" ht="15" customHeight="1">
      <c r="A28" s="24"/>
      <c r="B28" s="86"/>
      <c r="C28" s="87"/>
      <c r="D28" s="87"/>
      <c r="E28" s="87"/>
      <c r="F28" s="87"/>
      <c r="G28" s="88"/>
      <c r="H28" s="86"/>
      <c r="I28" s="87"/>
      <c r="J28" s="87"/>
      <c r="K28" s="87"/>
      <c r="L28" s="87"/>
      <c r="M28" s="87"/>
      <c r="N28" s="88"/>
      <c r="O28" s="86"/>
      <c r="P28" s="87"/>
      <c r="Q28" s="87"/>
      <c r="R28" s="87"/>
      <c r="S28" s="293"/>
      <c r="T28" s="294"/>
      <c r="U28" s="294"/>
      <c r="V28" s="294"/>
      <c r="W28" s="294"/>
      <c r="X28" s="294"/>
      <c r="Y28" s="294"/>
      <c r="Z28" s="294"/>
      <c r="AA28" s="294"/>
      <c r="AB28" s="294"/>
      <c r="AC28" s="294"/>
      <c r="AD28" s="294"/>
      <c r="AE28" s="294"/>
      <c r="AF28" s="294"/>
      <c r="AG28" s="294"/>
      <c r="AH28" s="294"/>
      <c r="AI28" s="294"/>
      <c r="AJ28" s="294"/>
      <c r="AK28" s="294"/>
      <c r="AL28" s="294"/>
      <c r="AM28" s="294"/>
      <c r="AN28" s="294"/>
      <c r="AO28" s="294"/>
      <c r="AP28" s="294"/>
      <c r="AQ28" s="294"/>
      <c r="AR28" s="294"/>
      <c r="AS28" s="294"/>
      <c r="AT28" s="294"/>
      <c r="AU28" s="294"/>
      <c r="AV28" s="294"/>
      <c r="AW28" s="295"/>
      <c r="AX28" s="296"/>
      <c r="AY28" s="296"/>
      <c r="AZ28" s="296"/>
      <c r="BA28" s="296"/>
      <c r="BB28" s="296"/>
      <c r="BC28" s="297"/>
      <c r="BD28" s="298"/>
      <c r="BE28" s="296"/>
      <c r="BF28" s="296"/>
      <c r="BG28" s="296"/>
      <c r="BH28" s="296"/>
      <c r="BI28" s="296"/>
      <c r="BJ28" s="297"/>
      <c r="BK28" s="25"/>
    </row>
    <row r="29" spans="1:63" ht="15" customHeight="1">
      <c r="A29" s="24"/>
      <c r="B29" s="80"/>
      <c r="C29" s="81"/>
      <c r="D29" s="81"/>
      <c r="E29" s="81"/>
      <c r="F29" s="81"/>
      <c r="G29" s="82"/>
      <c r="H29" s="80"/>
      <c r="I29" s="81"/>
      <c r="J29" s="81"/>
      <c r="K29" s="81"/>
      <c r="L29" s="81"/>
      <c r="M29" s="81"/>
      <c r="N29" s="82"/>
      <c r="O29" s="80"/>
      <c r="P29" s="81"/>
      <c r="Q29" s="81"/>
      <c r="R29" s="81"/>
      <c r="S29" s="287"/>
      <c r="T29" s="288"/>
      <c r="U29" s="288"/>
      <c r="V29" s="288"/>
      <c r="W29" s="288"/>
      <c r="X29" s="288"/>
      <c r="Y29" s="288"/>
      <c r="Z29" s="288"/>
      <c r="AA29" s="288"/>
      <c r="AB29" s="288"/>
      <c r="AC29" s="288"/>
      <c r="AD29" s="288"/>
      <c r="AE29" s="288"/>
      <c r="AF29" s="288"/>
      <c r="AG29" s="288"/>
      <c r="AH29" s="288"/>
      <c r="AI29" s="288"/>
      <c r="AJ29" s="288"/>
      <c r="AK29" s="288"/>
      <c r="AL29" s="288"/>
      <c r="AM29" s="288"/>
      <c r="AN29" s="288"/>
      <c r="AO29" s="288"/>
      <c r="AP29" s="288"/>
      <c r="AQ29" s="288"/>
      <c r="AR29" s="288"/>
      <c r="AS29" s="288"/>
      <c r="AT29" s="288"/>
      <c r="AU29" s="288"/>
      <c r="AV29" s="288"/>
      <c r="AW29" s="289"/>
      <c r="AX29" s="290"/>
      <c r="AY29" s="290"/>
      <c r="AZ29" s="290"/>
      <c r="BA29" s="290"/>
      <c r="BB29" s="290"/>
      <c r="BC29" s="291"/>
      <c r="BD29" s="292"/>
      <c r="BE29" s="290"/>
      <c r="BF29" s="290"/>
      <c r="BG29" s="290"/>
      <c r="BH29" s="290"/>
      <c r="BI29" s="290"/>
      <c r="BJ29" s="291"/>
      <c r="BK29" s="25"/>
    </row>
    <row r="30" spans="1:63" ht="15" customHeight="1">
      <c r="A30" s="24"/>
      <c r="B30" s="86"/>
      <c r="C30" s="87"/>
      <c r="D30" s="87"/>
      <c r="E30" s="87"/>
      <c r="F30" s="87"/>
      <c r="G30" s="88"/>
      <c r="H30" s="86"/>
      <c r="I30" s="87"/>
      <c r="J30" s="87"/>
      <c r="K30" s="87"/>
      <c r="L30" s="87"/>
      <c r="M30" s="87"/>
      <c r="N30" s="88"/>
      <c r="O30" s="86"/>
      <c r="P30" s="87"/>
      <c r="Q30" s="87"/>
      <c r="R30" s="87"/>
      <c r="S30" s="293"/>
      <c r="T30" s="294"/>
      <c r="U30" s="294"/>
      <c r="V30" s="294"/>
      <c r="W30" s="294"/>
      <c r="X30" s="294"/>
      <c r="Y30" s="294"/>
      <c r="Z30" s="294"/>
      <c r="AA30" s="294"/>
      <c r="AB30" s="294"/>
      <c r="AC30" s="294"/>
      <c r="AD30" s="294"/>
      <c r="AE30" s="294"/>
      <c r="AF30" s="294"/>
      <c r="AG30" s="294"/>
      <c r="AH30" s="294"/>
      <c r="AI30" s="294"/>
      <c r="AJ30" s="294"/>
      <c r="AK30" s="294"/>
      <c r="AL30" s="294"/>
      <c r="AM30" s="294"/>
      <c r="AN30" s="294"/>
      <c r="AO30" s="294"/>
      <c r="AP30" s="294"/>
      <c r="AQ30" s="294"/>
      <c r="AR30" s="294"/>
      <c r="AS30" s="294"/>
      <c r="AT30" s="294"/>
      <c r="AU30" s="294"/>
      <c r="AV30" s="294"/>
      <c r="AW30" s="295"/>
      <c r="AX30" s="296"/>
      <c r="AY30" s="296"/>
      <c r="AZ30" s="296"/>
      <c r="BA30" s="296"/>
      <c r="BB30" s="296"/>
      <c r="BC30" s="297"/>
      <c r="BD30" s="298"/>
      <c r="BE30" s="296"/>
      <c r="BF30" s="296"/>
      <c r="BG30" s="296"/>
      <c r="BH30" s="296"/>
      <c r="BI30" s="296"/>
      <c r="BJ30" s="297"/>
      <c r="BK30" s="25"/>
    </row>
    <row r="31" spans="1:63" ht="15" customHeight="1">
      <c r="A31" s="24"/>
      <c r="B31" s="80"/>
      <c r="C31" s="81"/>
      <c r="D31" s="81"/>
      <c r="E31" s="81"/>
      <c r="F31" s="81"/>
      <c r="G31" s="82"/>
      <c r="H31" s="80"/>
      <c r="I31" s="81"/>
      <c r="J31" s="81"/>
      <c r="K31" s="81"/>
      <c r="L31" s="81"/>
      <c r="M31" s="81"/>
      <c r="N31" s="82"/>
      <c r="O31" s="80"/>
      <c r="P31" s="81"/>
      <c r="Q31" s="81"/>
      <c r="R31" s="81"/>
      <c r="S31" s="287"/>
      <c r="T31" s="288"/>
      <c r="U31" s="288"/>
      <c r="V31" s="288"/>
      <c r="W31" s="288"/>
      <c r="X31" s="288"/>
      <c r="Y31" s="288"/>
      <c r="Z31" s="288"/>
      <c r="AA31" s="288"/>
      <c r="AB31" s="288"/>
      <c r="AC31" s="288"/>
      <c r="AD31" s="288"/>
      <c r="AE31" s="288"/>
      <c r="AF31" s="288"/>
      <c r="AG31" s="288"/>
      <c r="AH31" s="288"/>
      <c r="AI31" s="288"/>
      <c r="AJ31" s="288"/>
      <c r="AK31" s="288"/>
      <c r="AL31" s="288"/>
      <c r="AM31" s="288"/>
      <c r="AN31" s="288"/>
      <c r="AO31" s="288"/>
      <c r="AP31" s="288"/>
      <c r="AQ31" s="288"/>
      <c r="AR31" s="288"/>
      <c r="AS31" s="288"/>
      <c r="AT31" s="288"/>
      <c r="AU31" s="288"/>
      <c r="AV31" s="288"/>
      <c r="AW31" s="289"/>
      <c r="AX31" s="290"/>
      <c r="AY31" s="290"/>
      <c r="AZ31" s="290"/>
      <c r="BA31" s="290"/>
      <c r="BB31" s="290"/>
      <c r="BC31" s="291"/>
      <c r="BD31" s="292"/>
      <c r="BE31" s="290"/>
      <c r="BF31" s="290"/>
      <c r="BG31" s="290"/>
      <c r="BH31" s="290"/>
      <c r="BI31" s="290"/>
      <c r="BJ31" s="291"/>
      <c r="BK31" s="25"/>
    </row>
    <row r="32" spans="1:63" ht="15" customHeight="1">
      <c r="A32" s="24"/>
      <c r="B32" s="86"/>
      <c r="C32" s="87"/>
      <c r="D32" s="87"/>
      <c r="E32" s="87"/>
      <c r="F32" s="87"/>
      <c r="G32" s="88"/>
      <c r="H32" s="86"/>
      <c r="I32" s="87"/>
      <c r="J32" s="87"/>
      <c r="K32" s="87"/>
      <c r="L32" s="87"/>
      <c r="M32" s="87"/>
      <c r="N32" s="88"/>
      <c r="O32" s="86"/>
      <c r="P32" s="87"/>
      <c r="Q32" s="87"/>
      <c r="R32" s="87"/>
      <c r="S32" s="293"/>
      <c r="T32" s="294"/>
      <c r="U32" s="294"/>
      <c r="V32" s="294"/>
      <c r="W32" s="294"/>
      <c r="X32" s="294"/>
      <c r="Y32" s="294"/>
      <c r="Z32" s="294"/>
      <c r="AA32" s="294"/>
      <c r="AB32" s="294"/>
      <c r="AC32" s="294"/>
      <c r="AD32" s="294"/>
      <c r="AE32" s="294"/>
      <c r="AF32" s="294"/>
      <c r="AG32" s="294"/>
      <c r="AH32" s="294"/>
      <c r="AI32" s="294"/>
      <c r="AJ32" s="294"/>
      <c r="AK32" s="294"/>
      <c r="AL32" s="294"/>
      <c r="AM32" s="294"/>
      <c r="AN32" s="294"/>
      <c r="AO32" s="294"/>
      <c r="AP32" s="294"/>
      <c r="AQ32" s="294"/>
      <c r="AR32" s="294"/>
      <c r="AS32" s="294"/>
      <c r="AT32" s="294"/>
      <c r="AU32" s="294"/>
      <c r="AV32" s="294"/>
      <c r="AW32" s="295"/>
      <c r="AX32" s="296"/>
      <c r="AY32" s="296"/>
      <c r="AZ32" s="296"/>
      <c r="BA32" s="296"/>
      <c r="BB32" s="296"/>
      <c r="BC32" s="297"/>
      <c r="BD32" s="298"/>
      <c r="BE32" s="296"/>
      <c r="BF32" s="296"/>
      <c r="BG32" s="296"/>
      <c r="BH32" s="296"/>
      <c r="BI32" s="296"/>
      <c r="BJ32" s="297"/>
      <c r="BK32" s="25"/>
    </row>
    <row r="33" spans="1:63" ht="15" customHeight="1">
      <c r="A33" s="24"/>
      <c r="B33" s="80"/>
      <c r="C33" s="81"/>
      <c r="D33" s="81"/>
      <c r="E33" s="81"/>
      <c r="F33" s="81"/>
      <c r="G33" s="82"/>
      <c r="H33" s="80"/>
      <c r="I33" s="81"/>
      <c r="J33" s="81"/>
      <c r="K33" s="81"/>
      <c r="L33" s="81"/>
      <c r="M33" s="81"/>
      <c r="N33" s="82"/>
      <c r="O33" s="80"/>
      <c r="P33" s="81"/>
      <c r="Q33" s="81"/>
      <c r="R33" s="81"/>
      <c r="S33" s="287"/>
      <c r="T33" s="288"/>
      <c r="U33" s="288"/>
      <c r="V33" s="288"/>
      <c r="W33" s="288"/>
      <c r="X33" s="288"/>
      <c r="Y33" s="288"/>
      <c r="Z33" s="288"/>
      <c r="AA33" s="288"/>
      <c r="AB33" s="288"/>
      <c r="AC33" s="288"/>
      <c r="AD33" s="288"/>
      <c r="AE33" s="288"/>
      <c r="AF33" s="288"/>
      <c r="AG33" s="288"/>
      <c r="AH33" s="288"/>
      <c r="AI33" s="288"/>
      <c r="AJ33" s="288"/>
      <c r="AK33" s="288"/>
      <c r="AL33" s="288"/>
      <c r="AM33" s="288"/>
      <c r="AN33" s="288"/>
      <c r="AO33" s="288"/>
      <c r="AP33" s="288"/>
      <c r="AQ33" s="288"/>
      <c r="AR33" s="288"/>
      <c r="AS33" s="288"/>
      <c r="AT33" s="288"/>
      <c r="AU33" s="288"/>
      <c r="AV33" s="288"/>
      <c r="AW33" s="289"/>
      <c r="AX33" s="290"/>
      <c r="AY33" s="290"/>
      <c r="AZ33" s="290"/>
      <c r="BA33" s="290"/>
      <c r="BB33" s="290"/>
      <c r="BC33" s="291"/>
      <c r="BD33" s="292"/>
      <c r="BE33" s="290"/>
      <c r="BF33" s="290"/>
      <c r="BG33" s="290"/>
      <c r="BH33" s="290"/>
      <c r="BI33" s="290"/>
      <c r="BJ33" s="291"/>
      <c r="BK33" s="25"/>
    </row>
    <row r="34" spans="1:63" ht="15" customHeight="1">
      <c r="A34" s="24"/>
      <c r="B34" s="86"/>
      <c r="C34" s="87"/>
      <c r="D34" s="87"/>
      <c r="E34" s="87"/>
      <c r="F34" s="87"/>
      <c r="G34" s="88"/>
      <c r="H34" s="86"/>
      <c r="I34" s="87"/>
      <c r="J34" s="87"/>
      <c r="K34" s="87"/>
      <c r="L34" s="87"/>
      <c r="M34" s="87"/>
      <c r="N34" s="88"/>
      <c r="O34" s="86"/>
      <c r="P34" s="87"/>
      <c r="Q34" s="87"/>
      <c r="R34" s="87"/>
      <c r="S34" s="293"/>
      <c r="T34" s="294"/>
      <c r="U34" s="294"/>
      <c r="V34" s="294"/>
      <c r="W34" s="294"/>
      <c r="X34" s="294"/>
      <c r="Y34" s="294"/>
      <c r="Z34" s="294"/>
      <c r="AA34" s="294"/>
      <c r="AB34" s="294"/>
      <c r="AC34" s="294"/>
      <c r="AD34" s="294"/>
      <c r="AE34" s="294"/>
      <c r="AF34" s="294"/>
      <c r="AG34" s="294"/>
      <c r="AH34" s="294"/>
      <c r="AI34" s="294"/>
      <c r="AJ34" s="294"/>
      <c r="AK34" s="294"/>
      <c r="AL34" s="294"/>
      <c r="AM34" s="294"/>
      <c r="AN34" s="294"/>
      <c r="AO34" s="294"/>
      <c r="AP34" s="294"/>
      <c r="AQ34" s="294"/>
      <c r="AR34" s="294"/>
      <c r="AS34" s="294"/>
      <c r="AT34" s="294"/>
      <c r="AU34" s="294"/>
      <c r="AV34" s="294"/>
      <c r="AW34" s="295"/>
      <c r="AX34" s="296"/>
      <c r="AY34" s="296"/>
      <c r="AZ34" s="296"/>
      <c r="BA34" s="296"/>
      <c r="BB34" s="296"/>
      <c r="BC34" s="297"/>
      <c r="BD34" s="298"/>
      <c r="BE34" s="296"/>
      <c r="BF34" s="296"/>
      <c r="BG34" s="296"/>
      <c r="BH34" s="296"/>
      <c r="BI34" s="296"/>
      <c r="BJ34" s="297"/>
      <c r="BK34" s="25"/>
    </row>
    <row r="35" spans="1:63" ht="15" customHeight="1">
      <c r="A35" s="24"/>
      <c r="B35" s="80"/>
      <c r="C35" s="81"/>
      <c r="D35" s="81"/>
      <c r="E35" s="81"/>
      <c r="F35" s="81"/>
      <c r="G35" s="82"/>
      <c r="H35" s="80"/>
      <c r="I35" s="81"/>
      <c r="J35" s="81"/>
      <c r="K35" s="81"/>
      <c r="L35" s="81"/>
      <c r="M35" s="81"/>
      <c r="N35" s="82"/>
      <c r="O35" s="80"/>
      <c r="P35" s="81"/>
      <c r="Q35" s="81"/>
      <c r="R35" s="81"/>
      <c r="S35" s="287"/>
      <c r="T35" s="288"/>
      <c r="U35" s="288"/>
      <c r="V35" s="288"/>
      <c r="W35" s="288"/>
      <c r="X35" s="288"/>
      <c r="Y35" s="288"/>
      <c r="Z35" s="288"/>
      <c r="AA35" s="288"/>
      <c r="AB35" s="288"/>
      <c r="AC35" s="288"/>
      <c r="AD35" s="288"/>
      <c r="AE35" s="288"/>
      <c r="AF35" s="288"/>
      <c r="AG35" s="288"/>
      <c r="AH35" s="288"/>
      <c r="AI35" s="288"/>
      <c r="AJ35" s="288"/>
      <c r="AK35" s="288"/>
      <c r="AL35" s="288"/>
      <c r="AM35" s="288"/>
      <c r="AN35" s="288"/>
      <c r="AO35" s="288"/>
      <c r="AP35" s="288"/>
      <c r="AQ35" s="288"/>
      <c r="AR35" s="288"/>
      <c r="AS35" s="288"/>
      <c r="AT35" s="288"/>
      <c r="AU35" s="288"/>
      <c r="AV35" s="288"/>
      <c r="AW35" s="289"/>
      <c r="AX35" s="290"/>
      <c r="AY35" s="290"/>
      <c r="AZ35" s="290"/>
      <c r="BA35" s="290"/>
      <c r="BB35" s="290"/>
      <c r="BC35" s="291"/>
      <c r="BD35" s="292"/>
      <c r="BE35" s="290"/>
      <c r="BF35" s="290"/>
      <c r="BG35" s="290"/>
      <c r="BH35" s="290"/>
      <c r="BI35" s="290"/>
      <c r="BJ35" s="291"/>
      <c r="BK35" s="25"/>
    </row>
    <row r="36" spans="1:63" ht="15" customHeight="1">
      <c r="A36" s="24"/>
      <c r="B36" s="86"/>
      <c r="C36" s="87"/>
      <c r="D36" s="87"/>
      <c r="E36" s="87"/>
      <c r="F36" s="87"/>
      <c r="G36" s="88"/>
      <c r="H36" s="86"/>
      <c r="I36" s="87"/>
      <c r="J36" s="87"/>
      <c r="K36" s="87"/>
      <c r="L36" s="87"/>
      <c r="M36" s="87"/>
      <c r="N36" s="88"/>
      <c r="O36" s="86"/>
      <c r="P36" s="87"/>
      <c r="Q36" s="87"/>
      <c r="R36" s="87"/>
      <c r="S36" s="293"/>
      <c r="T36" s="294"/>
      <c r="U36" s="294"/>
      <c r="V36" s="294"/>
      <c r="W36" s="294"/>
      <c r="X36" s="294"/>
      <c r="Y36" s="294"/>
      <c r="Z36" s="294"/>
      <c r="AA36" s="294"/>
      <c r="AB36" s="294"/>
      <c r="AC36" s="294"/>
      <c r="AD36" s="294"/>
      <c r="AE36" s="294"/>
      <c r="AF36" s="294"/>
      <c r="AG36" s="294"/>
      <c r="AH36" s="294"/>
      <c r="AI36" s="294"/>
      <c r="AJ36" s="294"/>
      <c r="AK36" s="294"/>
      <c r="AL36" s="294"/>
      <c r="AM36" s="294"/>
      <c r="AN36" s="294"/>
      <c r="AO36" s="294"/>
      <c r="AP36" s="294"/>
      <c r="AQ36" s="294"/>
      <c r="AR36" s="294"/>
      <c r="AS36" s="294"/>
      <c r="AT36" s="294"/>
      <c r="AU36" s="294"/>
      <c r="AV36" s="294"/>
      <c r="AW36" s="295"/>
      <c r="AX36" s="296"/>
      <c r="AY36" s="296"/>
      <c r="AZ36" s="296"/>
      <c r="BA36" s="296"/>
      <c r="BB36" s="296"/>
      <c r="BC36" s="297"/>
      <c r="BD36" s="298"/>
      <c r="BE36" s="296"/>
      <c r="BF36" s="296"/>
      <c r="BG36" s="296"/>
      <c r="BH36" s="296"/>
      <c r="BI36" s="296"/>
      <c r="BJ36" s="297"/>
      <c r="BK36" s="25"/>
    </row>
    <row r="37" spans="1:63" ht="15" customHeight="1">
      <c r="A37" s="24"/>
      <c r="B37" s="80"/>
      <c r="C37" s="81"/>
      <c r="D37" s="81"/>
      <c r="E37" s="81"/>
      <c r="F37" s="81"/>
      <c r="G37" s="82"/>
      <c r="H37" s="80"/>
      <c r="I37" s="81"/>
      <c r="J37" s="81"/>
      <c r="K37" s="81"/>
      <c r="L37" s="81"/>
      <c r="M37" s="81"/>
      <c r="N37" s="82"/>
      <c r="O37" s="80"/>
      <c r="P37" s="81"/>
      <c r="Q37" s="81"/>
      <c r="R37" s="81"/>
      <c r="S37" s="287"/>
      <c r="T37" s="288"/>
      <c r="U37" s="288"/>
      <c r="V37" s="288"/>
      <c r="W37" s="288"/>
      <c r="X37" s="288"/>
      <c r="Y37" s="288"/>
      <c r="Z37" s="288"/>
      <c r="AA37" s="288"/>
      <c r="AB37" s="288"/>
      <c r="AC37" s="288"/>
      <c r="AD37" s="288"/>
      <c r="AE37" s="288"/>
      <c r="AF37" s="288"/>
      <c r="AG37" s="288"/>
      <c r="AH37" s="288"/>
      <c r="AI37" s="288"/>
      <c r="AJ37" s="288"/>
      <c r="AK37" s="288"/>
      <c r="AL37" s="288"/>
      <c r="AM37" s="288"/>
      <c r="AN37" s="288"/>
      <c r="AO37" s="288"/>
      <c r="AP37" s="288"/>
      <c r="AQ37" s="288"/>
      <c r="AR37" s="288"/>
      <c r="AS37" s="288"/>
      <c r="AT37" s="288"/>
      <c r="AU37" s="288"/>
      <c r="AV37" s="288"/>
      <c r="AW37" s="289"/>
      <c r="AX37" s="290"/>
      <c r="AY37" s="290"/>
      <c r="AZ37" s="290"/>
      <c r="BA37" s="290"/>
      <c r="BB37" s="290"/>
      <c r="BC37" s="291"/>
      <c r="BD37" s="292"/>
      <c r="BE37" s="290"/>
      <c r="BF37" s="290"/>
      <c r="BG37" s="290"/>
      <c r="BH37" s="290"/>
      <c r="BI37" s="290"/>
      <c r="BJ37" s="291"/>
      <c r="BK37" s="25"/>
    </row>
    <row r="38" spans="1:63" ht="15" customHeight="1">
      <c r="A38" s="24"/>
      <c r="B38" s="86"/>
      <c r="C38" s="87"/>
      <c r="D38" s="87"/>
      <c r="E38" s="87"/>
      <c r="F38" s="87"/>
      <c r="G38" s="88"/>
      <c r="H38" s="86"/>
      <c r="I38" s="87"/>
      <c r="J38" s="87"/>
      <c r="K38" s="87"/>
      <c r="L38" s="87"/>
      <c r="M38" s="87"/>
      <c r="N38" s="88"/>
      <c r="O38" s="86"/>
      <c r="P38" s="87"/>
      <c r="Q38" s="87"/>
      <c r="R38" s="87"/>
      <c r="S38" s="293"/>
      <c r="T38" s="294"/>
      <c r="U38" s="294"/>
      <c r="V38" s="294"/>
      <c r="W38" s="294"/>
      <c r="X38" s="294"/>
      <c r="Y38" s="294"/>
      <c r="Z38" s="294"/>
      <c r="AA38" s="294"/>
      <c r="AB38" s="294"/>
      <c r="AC38" s="294"/>
      <c r="AD38" s="294"/>
      <c r="AE38" s="294"/>
      <c r="AF38" s="294"/>
      <c r="AG38" s="294"/>
      <c r="AH38" s="294"/>
      <c r="AI38" s="294"/>
      <c r="AJ38" s="294"/>
      <c r="AK38" s="294"/>
      <c r="AL38" s="294"/>
      <c r="AM38" s="294"/>
      <c r="AN38" s="294"/>
      <c r="AO38" s="294"/>
      <c r="AP38" s="294"/>
      <c r="AQ38" s="294"/>
      <c r="AR38" s="294"/>
      <c r="AS38" s="294"/>
      <c r="AT38" s="294"/>
      <c r="AU38" s="294"/>
      <c r="AV38" s="294"/>
      <c r="AW38" s="295"/>
      <c r="AX38" s="296"/>
      <c r="AY38" s="296"/>
      <c r="AZ38" s="296"/>
      <c r="BA38" s="296"/>
      <c r="BB38" s="296"/>
      <c r="BC38" s="297"/>
      <c r="BD38" s="298"/>
      <c r="BE38" s="296"/>
      <c r="BF38" s="296"/>
      <c r="BG38" s="296"/>
      <c r="BH38" s="296"/>
      <c r="BI38" s="296"/>
      <c r="BJ38" s="297"/>
      <c r="BK38" s="25"/>
    </row>
    <row r="39" spans="1:63" ht="15" customHeight="1">
      <c r="A39" s="24"/>
      <c r="B39" s="80"/>
      <c r="C39" s="81"/>
      <c r="D39" s="81"/>
      <c r="E39" s="81"/>
      <c r="F39" s="81"/>
      <c r="G39" s="82"/>
      <c r="H39" s="80"/>
      <c r="I39" s="81"/>
      <c r="J39" s="81"/>
      <c r="K39" s="81"/>
      <c r="L39" s="81"/>
      <c r="M39" s="81"/>
      <c r="N39" s="82"/>
      <c r="O39" s="80"/>
      <c r="P39" s="81"/>
      <c r="Q39" s="81"/>
      <c r="R39" s="81"/>
      <c r="S39" s="287"/>
      <c r="T39" s="288"/>
      <c r="U39" s="288"/>
      <c r="V39" s="288"/>
      <c r="W39" s="288"/>
      <c r="X39" s="288"/>
      <c r="Y39" s="288"/>
      <c r="Z39" s="288"/>
      <c r="AA39" s="288"/>
      <c r="AB39" s="288"/>
      <c r="AC39" s="288"/>
      <c r="AD39" s="288"/>
      <c r="AE39" s="288"/>
      <c r="AF39" s="288"/>
      <c r="AG39" s="288"/>
      <c r="AH39" s="288"/>
      <c r="AI39" s="288"/>
      <c r="AJ39" s="288"/>
      <c r="AK39" s="288"/>
      <c r="AL39" s="288"/>
      <c r="AM39" s="288"/>
      <c r="AN39" s="288"/>
      <c r="AO39" s="288"/>
      <c r="AP39" s="288"/>
      <c r="AQ39" s="288"/>
      <c r="AR39" s="288"/>
      <c r="AS39" s="288"/>
      <c r="AT39" s="288"/>
      <c r="AU39" s="288"/>
      <c r="AV39" s="288"/>
      <c r="AW39" s="289"/>
      <c r="AX39" s="290"/>
      <c r="AY39" s="290"/>
      <c r="AZ39" s="290"/>
      <c r="BA39" s="290"/>
      <c r="BB39" s="290"/>
      <c r="BC39" s="291"/>
      <c r="BD39" s="292"/>
      <c r="BE39" s="290"/>
      <c r="BF39" s="290"/>
      <c r="BG39" s="290"/>
      <c r="BH39" s="290"/>
      <c r="BI39" s="290"/>
      <c r="BJ39" s="291"/>
      <c r="BK39" s="25"/>
    </row>
    <row r="40" spans="1:63" ht="15" customHeight="1">
      <c r="A40" s="24"/>
      <c r="B40" s="86"/>
      <c r="C40" s="87"/>
      <c r="D40" s="87"/>
      <c r="E40" s="87"/>
      <c r="F40" s="87"/>
      <c r="G40" s="88"/>
      <c r="H40" s="86"/>
      <c r="I40" s="87"/>
      <c r="J40" s="87"/>
      <c r="K40" s="87"/>
      <c r="L40" s="87"/>
      <c r="M40" s="87"/>
      <c r="N40" s="88"/>
      <c r="O40" s="86"/>
      <c r="P40" s="87"/>
      <c r="Q40" s="87"/>
      <c r="R40" s="87"/>
      <c r="S40" s="293"/>
      <c r="T40" s="294"/>
      <c r="U40" s="294"/>
      <c r="V40" s="294"/>
      <c r="W40" s="294"/>
      <c r="X40" s="294"/>
      <c r="Y40" s="294"/>
      <c r="Z40" s="294"/>
      <c r="AA40" s="294"/>
      <c r="AB40" s="294"/>
      <c r="AC40" s="294"/>
      <c r="AD40" s="294"/>
      <c r="AE40" s="294"/>
      <c r="AF40" s="294"/>
      <c r="AG40" s="294"/>
      <c r="AH40" s="294"/>
      <c r="AI40" s="294"/>
      <c r="AJ40" s="294"/>
      <c r="AK40" s="294"/>
      <c r="AL40" s="294"/>
      <c r="AM40" s="294"/>
      <c r="AN40" s="294"/>
      <c r="AO40" s="294"/>
      <c r="AP40" s="294"/>
      <c r="AQ40" s="294"/>
      <c r="AR40" s="294"/>
      <c r="AS40" s="294"/>
      <c r="AT40" s="294"/>
      <c r="AU40" s="294"/>
      <c r="AV40" s="294"/>
      <c r="AW40" s="295"/>
      <c r="AX40" s="296"/>
      <c r="AY40" s="296"/>
      <c r="AZ40" s="296"/>
      <c r="BA40" s="296"/>
      <c r="BB40" s="296"/>
      <c r="BC40" s="297"/>
      <c r="BD40" s="298"/>
      <c r="BE40" s="296"/>
      <c r="BF40" s="296"/>
      <c r="BG40" s="296"/>
      <c r="BH40" s="296"/>
      <c r="BI40" s="296"/>
      <c r="BJ40" s="297"/>
      <c r="BK40" s="25"/>
    </row>
    <row r="41" spans="1:63" ht="15" customHeight="1">
      <c r="A41" s="24"/>
      <c r="B41" s="80"/>
      <c r="C41" s="81"/>
      <c r="D41" s="81"/>
      <c r="E41" s="81"/>
      <c r="F41" s="81"/>
      <c r="G41" s="82"/>
      <c r="H41" s="80"/>
      <c r="I41" s="81"/>
      <c r="J41" s="81"/>
      <c r="K41" s="81"/>
      <c r="L41" s="81"/>
      <c r="M41" s="81"/>
      <c r="N41" s="82"/>
      <c r="O41" s="80"/>
      <c r="P41" s="81"/>
      <c r="Q41" s="81"/>
      <c r="R41" s="81"/>
      <c r="S41" s="287"/>
      <c r="T41" s="288"/>
      <c r="U41" s="288"/>
      <c r="V41" s="288"/>
      <c r="W41" s="288"/>
      <c r="X41" s="288"/>
      <c r="Y41" s="288"/>
      <c r="Z41" s="288"/>
      <c r="AA41" s="288"/>
      <c r="AB41" s="288"/>
      <c r="AC41" s="288"/>
      <c r="AD41" s="288"/>
      <c r="AE41" s="288"/>
      <c r="AF41" s="288"/>
      <c r="AG41" s="288"/>
      <c r="AH41" s="288"/>
      <c r="AI41" s="288"/>
      <c r="AJ41" s="288"/>
      <c r="AK41" s="288"/>
      <c r="AL41" s="288"/>
      <c r="AM41" s="288"/>
      <c r="AN41" s="288"/>
      <c r="AO41" s="288"/>
      <c r="AP41" s="288"/>
      <c r="AQ41" s="288"/>
      <c r="AR41" s="288"/>
      <c r="AS41" s="288"/>
      <c r="AT41" s="288"/>
      <c r="AU41" s="288"/>
      <c r="AV41" s="288"/>
      <c r="AW41" s="289"/>
      <c r="AX41" s="290"/>
      <c r="AY41" s="290"/>
      <c r="AZ41" s="290"/>
      <c r="BA41" s="290"/>
      <c r="BB41" s="290"/>
      <c r="BC41" s="291"/>
      <c r="BD41" s="292"/>
      <c r="BE41" s="290"/>
      <c r="BF41" s="290"/>
      <c r="BG41" s="290"/>
      <c r="BH41" s="290"/>
      <c r="BI41" s="290"/>
      <c r="BJ41" s="291"/>
      <c r="BK41" s="25"/>
    </row>
    <row r="42" spans="1:63" ht="15" customHeight="1">
      <c r="A42" s="24"/>
      <c r="B42" s="86"/>
      <c r="C42" s="87"/>
      <c r="D42" s="87"/>
      <c r="E42" s="87"/>
      <c r="F42" s="87"/>
      <c r="G42" s="88"/>
      <c r="H42" s="86"/>
      <c r="I42" s="87"/>
      <c r="J42" s="87"/>
      <c r="K42" s="87"/>
      <c r="L42" s="87"/>
      <c r="M42" s="87"/>
      <c r="N42" s="88"/>
      <c r="O42" s="86"/>
      <c r="P42" s="87"/>
      <c r="Q42" s="87"/>
      <c r="R42" s="87"/>
      <c r="S42" s="293"/>
      <c r="T42" s="294"/>
      <c r="U42" s="294"/>
      <c r="V42" s="294"/>
      <c r="W42" s="294"/>
      <c r="X42" s="294"/>
      <c r="Y42" s="294"/>
      <c r="Z42" s="294"/>
      <c r="AA42" s="294"/>
      <c r="AB42" s="294"/>
      <c r="AC42" s="294"/>
      <c r="AD42" s="294"/>
      <c r="AE42" s="294"/>
      <c r="AF42" s="294"/>
      <c r="AG42" s="294"/>
      <c r="AH42" s="294"/>
      <c r="AI42" s="294"/>
      <c r="AJ42" s="294"/>
      <c r="AK42" s="294"/>
      <c r="AL42" s="294"/>
      <c r="AM42" s="294"/>
      <c r="AN42" s="294"/>
      <c r="AO42" s="294"/>
      <c r="AP42" s="294"/>
      <c r="AQ42" s="294"/>
      <c r="AR42" s="294"/>
      <c r="AS42" s="294"/>
      <c r="AT42" s="294"/>
      <c r="AU42" s="294"/>
      <c r="AV42" s="294"/>
      <c r="AW42" s="295"/>
      <c r="AX42" s="296"/>
      <c r="AY42" s="296"/>
      <c r="AZ42" s="296"/>
      <c r="BA42" s="296"/>
      <c r="BB42" s="296"/>
      <c r="BC42" s="297"/>
      <c r="BD42" s="298"/>
      <c r="BE42" s="296"/>
      <c r="BF42" s="296"/>
      <c r="BG42" s="296"/>
      <c r="BH42" s="296"/>
      <c r="BI42" s="296"/>
      <c r="BJ42" s="297"/>
      <c r="BK42" s="25"/>
    </row>
    <row r="43" spans="1:63" ht="15" customHeight="1">
      <c r="A43" s="24"/>
      <c r="B43" s="80"/>
      <c r="C43" s="81"/>
      <c r="D43" s="81"/>
      <c r="E43" s="81"/>
      <c r="F43" s="81"/>
      <c r="G43" s="82"/>
      <c r="H43" s="80"/>
      <c r="I43" s="81"/>
      <c r="J43" s="81"/>
      <c r="K43" s="81"/>
      <c r="L43" s="81"/>
      <c r="M43" s="81"/>
      <c r="N43" s="82"/>
      <c r="O43" s="80"/>
      <c r="P43" s="81"/>
      <c r="Q43" s="81"/>
      <c r="R43" s="81"/>
      <c r="S43" s="287"/>
      <c r="T43" s="288"/>
      <c r="U43" s="288"/>
      <c r="V43" s="288"/>
      <c r="W43" s="288"/>
      <c r="X43" s="288"/>
      <c r="Y43" s="288"/>
      <c r="Z43" s="288"/>
      <c r="AA43" s="288"/>
      <c r="AB43" s="288"/>
      <c r="AC43" s="288"/>
      <c r="AD43" s="288"/>
      <c r="AE43" s="288"/>
      <c r="AF43" s="288"/>
      <c r="AG43" s="288"/>
      <c r="AH43" s="288"/>
      <c r="AI43" s="288"/>
      <c r="AJ43" s="288"/>
      <c r="AK43" s="288"/>
      <c r="AL43" s="288"/>
      <c r="AM43" s="288"/>
      <c r="AN43" s="288"/>
      <c r="AO43" s="288"/>
      <c r="AP43" s="288"/>
      <c r="AQ43" s="288"/>
      <c r="AR43" s="288"/>
      <c r="AS43" s="288"/>
      <c r="AT43" s="288"/>
      <c r="AU43" s="288"/>
      <c r="AV43" s="288"/>
      <c r="AW43" s="289"/>
      <c r="AX43" s="290"/>
      <c r="AY43" s="290"/>
      <c r="AZ43" s="290"/>
      <c r="BA43" s="290"/>
      <c r="BB43" s="290"/>
      <c r="BC43" s="291"/>
      <c r="BD43" s="292"/>
      <c r="BE43" s="290"/>
      <c r="BF43" s="290"/>
      <c r="BG43" s="290"/>
      <c r="BH43" s="290"/>
      <c r="BI43" s="290"/>
      <c r="BJ43" s="291"/>
      <c r="BK43" s="25"/>
    </row>
    <row r="44" spans="1:63" ht="15" customHeight="1">
      <c r="A44" s="24"/>
      <c r="B44" s="86"/>
      <c r="C44" s="87"/>
      <c r="D44" s="87"/>
      <c r="E44" s="87"/>
      <c r="F44" s="87"/>
      <c r="G44" s="88"/>
      <c r="H44" s="86"/>
      <c r="I44" s="87"/>
      <c r="J44" s="87"/>
      <c r="K44" s="87"/>
      <c r="L44" s="87"/>
      <c r="M44" s="87"/>
      <c r="N44" s="88"/>
      <c r="O44" s="86"/>
      <c r="P44" s="87"/>
      <c r="Q44" s="87"/>
      <c r="R44" s="87"/>
      <c r="S44" s="293"/>
      <c r="T44" s="294"/>
      <c r="U44" s="294"/>
      <c r="V44" s="294"/>
      <c r="W44" s="294"/>
      <c r="X44" s="294"/>
      <c r="Y44" s="294"/>
      <c r="Z44" s="294"/>
      <c r="AA44" s="294"/>
      <c r="AB44" s="294"/>
      <c r="AC44" s="294"/>
      <c r="AD44" s="294"/>
      <c r="AE44" s="294"/>
      <c r="AF44" s="294"/>
      <c r="AG44" s="294"/>
      <c r="AH44" s="294"/>
      <c r="AI44" s="294"/>
      <c r="AJ44" s="294"/>
      <c r="AK44" s="294"/>
      <c r="AL44" s="294"/>
      <c r="AM44" s="294"/>
      <c r="AN44" s="294"/>
      <c r="AO44" s="294"/>
      <c r="AP44" s="294"/>
      <c r="AQ44" s="294"/>
      <c r="AR44" s="294"/>
      <c r="AS44" s="294"/>
      <c r="AT44" s="294"/>
      <c r="AU44" s="294"/>
      <c r="AV44" s="294"/>
      <c r="AW44" s="295"/>
      <c r="AX44" s="296"/>
      <c r="AY44" s="296"/>
      <c r="AZ44" s="296"/>
      <c r="BA44" s="296"/>
      <c r="BB44" s="296"/>
      <c r="BC44" s="297"/>
      <c r="BD44" s="298"/>
      <c r="BE44" s="296"/>
      <c r="BF44" s="296"/>
      <c r="BG44" s="296"/>
      <c r="BH44" s="296"/>
      <c r="BI44" s="296"/>
      <c r="BJ44" s="297"/>
      <c r="BK44" s="25"/>
    </row>
    <row r="45" spans="1:63" ht="15" customHeight="1">
      <c r="A45" s="24"/>
      <c r="B45" s="80"/>
      <c r="C45" s="81"/>
      <c r="D45" s="81"/>
      <c r="E45" s="81"/>
      <c r="F45" s="81"/>
      <c r="G45" s="82"/>
      <c r="H45" s="80"/>
      <c r="I45" s="81"/>
      <c r="J45" s="81"/>
      <c r="K45" s="81"/>
      <c r="L45" s="81"/>
      <c r="M45" s="81"/>
      <c r="N45" s="82"/>
      <c r="O45" s="80"/>
      <c r="P45" s="81"/>
      <c r="Q45" s="81"/>
      <c r="R45" s="81"/>
      <c r="S45" s="287"/>
      <c r="T45" s="288"/>
      <c r="U45" s="288"/>
      <c r="V45" s="288"/>
      <c r="W45" s="288"/>
      <c r="X45" s="288"/>
      <c r="Y45" s="288"/>
      <c r="Z45" s="288"/>
      <c r="AA45" s="288"/>
      <c r="AB45" s="288"/>
      <c r="AC45" s="288"/>
      <c r="AD45" s="288"/>
      <c r="AE45" s="288"/>
      <c r="AF45" s="288"/>
      <c r="AG45" s="288"/>
      <c r="AH45" s="288"/>
      <c r="AI45" s="288"/>
      <c r="AJ45" s="288"/>
      <c r="AK45" s="288"/>
      <c r="AL45" s="288"/>
      <c r="AM45" s="288"/>
      <c r="AN45" s="288"/>
      <c r="AO45" s="288"/>
      <c r="AP45" s="288"/>
      <c r="AQ45" s="288"/>
      <c r="AR45" s="288"/>
      <c r="AS45" s="288"/>
      <c r="AT45" s="288"/>
      <c r="AU45" s="288"/>
      <c r="AV45" s="288"/>
      <c r="AW45" s="289"/>
      <c r="AX45" s="290"/>
      <c r="AY45" s="290"/>
      <c r="AZ45" s="290"/>
      <c r="BA45" s="290"/>
      <c r="BB45" s="290"/>
      <c r="BC45" s="291"/>
      <c r="BD45" s="292"/>
      <c r="BE45" s="290"/>
      <c r="BF45" s="290"/>
      <c r="BG45" s="290"/>
      <c r="BH45" s="290"/>
      <c r="BI45" s="290"/>
      <c r="BJ45" s="291"/>
      <c r="BK45" s="25"/>
    </row>
    <row r="46" spans="1:63" ht="15" customHeight="1">
      <c r="A46" s="24"/>
      <c r="B46" s="86"/>
      <c r="C46" s="87"/>
      <c r="D46" s="87"/>
      <c r="E46" s="87"/>
      <c r="F46" s="87"/>
      <c r="G46" s="88"/>
      <c r="H46" s="86"/>
      <c r="I46" s="87"/>
      <c r="J46" s="87"/>
      <c r="K46" s="87"/>
      <c r="L46" s="87"/>
      <c r="M46" s="87"/>
      <c r="N46" s="88"/>
      <c r="O46" s="86"/>
      <c r="P46" s="87"/>
      <c r="Q46" s="87"/>
      <c r="R46" s="87"/>
      <c r="S46" s="293"/>
      <c r="T46" s="294"/>
      <c r="U46" s="294"/>
      <c r="V46" s="294"/>
      <c r="W46" s="294"/>
      <c r="X46" s="294"/>
      <c r="Y46" s="294"/>
      <c r="Z46" s="294"/>
      <c r="AA46" s="294"/>
      <c r="AB46" s="294"/>
      <c r="AC46" s="294"/>
      <c r="AD46" s="294"/>
      <c r="AE46" s="294"/>
      <c r="AF46" s="294"/>
      <c r="AG46" s="294"/>
      <c r="AH46" s="294"/>
      <c r="AI46" s="294"/>
      <c r="AJ46" s="294"/>
      <c r="AK46" s="294"/>
      <c r="AL46" s="294"/>
      <c r="AM46" s="294"/>
      <c r="AN46" s="294"/>
      <c r="AO46" s="294"/>
      <c r="AP46" s="294"/>
      <c r="AQ46" s="294"/>
      <c r="AR46" s="294"/>
      <c r="AS46" s="294"/>
      <c r="AT46" s="294"/>
      <c r="AU46" s="294"/>
      <c r="AV46" s="294"/>
      <c r="AW46" s="295"/>
      <c r="AX46" s="296"/>
      <c r="AY46" s="296"/>
      <c r="AZ46" s="296"/>
      <c r="BA46" s="296"/>
      <c r="BB46" s="296"/>
      <c r="BC46" s="297"/>
      <c r="BD46" s="298"/>
      <c r="BE46" s="296"/>
      <c r="BF46" s="296"/>
      <c r="BG46" s="296"/>
      <c r="BH46" s="296"/>
      <c r="BI46" s="296"/>
      <c r="BJ46" s="297"/>
      <c r="BK46" s="25"/>
    </row>
    <row r="47" spans="1:63" ht="15" customHeight="1">
      <c r="A47" s="24"/>
      <c r="B47" s="80"/>
      <c r="C47" s="81"/>
      <c r="D47" s="81"/>
      <c r="E47" s="81"/>
      <c r="F47" s="81"/>
      <c r="G47" s="82"/>
      <c r="H47" s="80"/>
      <c r="I47" s="81"/>
      <c r="J47" s="81"/>
      <c r="K47" s="81"/>
      <c r="L47" s="81"/>
      <c r="M47" s="81"/>
      <c r="N47" s="82"/>
      <c r="O47" s="80"/>
      <c r="P47" s="81"/>
      <c r="Q47" s="81"/>
      <c r="R47" s="81"/>
      <c r="S47" s="287"/>
      <c r="T47" s="288"/>
      <c r="U47" s="288"/>
      <c r="V47" s="288"/>
      <c r="W47" s="288"/>
      <c r="X47" s="288"/>
      <c r="Y47" s="288"/>
      <c r="Z47" s="288"/>
      <c r="AA47" s="288"/>
      <c r="AB47" s="288"/>
      <c r="AC47" s="288"/>
      <c r="AD47" s="288"/>
      <c r="AE47" s="288"/>
      <c r="AF47" s="288"/>
      <c r="AG47" s="288"/>
      <c r="AH47" s="288"/>
      <c r="AI47" s="288"/>
      <c r="AJ47" s="288"/>
      <c r="AK47" s="288"/>
      <c r="AL47" s="288"/>
      <c r="AM47" s="288"/>
      <c r="AN47" s="288"/>
      <c r="AO47" s="288"/>
      <c r="AP47" s="288"/>
      <c r="AQ47" s="288"/>
      <c r="AR47" s="288"/>
      <c r="AS47" s="288"/>
      <c r="AT47" s="288"/>
      <c r="AU47" s="288"/>
      <c r="AV47" s="288"/>
      <c r="AW47" s="289"/>
      <c r="AX47" s="290"/>
      <c r="AY47" s="290"/>
      <c r="AZ47" s="290"/>
      <c r="BA47" s="290"/>
      <c r="BB47" s="290"/>
      <c r="BC47" s="291"/>
      <c r="BD47" s="292"/>
      <c r="BE47" s="290"/>
      <c r="BF47" s="290"/>
      <c r="BG47" s="290"/>
      <c r="BH47" s="290"/>
      <c r="BI47" s="290"/>
      <c r="BJ47" s="291"/>
      <c r="BK47" s="25"/>
    </row>
    <row r="48" spans="1:63" ht="15" customHeight="1">
      <c r="A48" s="24"/>
      <c r="B48" s="86"/>
      <c r="C48" s="87"/>
      <c r="D48" s="87"/>
      <c r="E48" s="87"/>
      <c r="F48" s="87"/>
      <c r="G48" s="88"/>
      <c r="H48" s="86"/>
      <c r="I48" s="87"/>
      <c r="J48" s="87"/>
      <c r="K48" s="87"/>
      <c r="L48" s="87"/>
      <c r="M48" s="87"/>
      <c r="N48" s="88"/>
      <c r="O48" s="86"/>
      <c r="P48" s="87"/>
      <c r="Q48" s="87"/>
      <c r="R48" s="87"/>
      <c r="S48" s="293"/>
      <c r="T48" s="294"/>
      <c r="U48" s="294"/>
      <c r="V48" s="294"/>
      <c r="W48" s="294"/>
      <c r="X48" s="294"/>
      <c r="Y48" s="294"/>
      <c r="Z48" s="294"/>
      <c r="AA48" s="294"/>
      <c r="AB48" s="294"/>
      <c r="AC48" s="294"/>
      <c r="AD48" s="294"/>
      <c r="AE48" s="294"/>
      <c r="AF48" s="294"/>
      <c r="AG48" s="294"/>
      <c r="AH48" s="294"/>
      <c r="AI48" s="294"/>
      <c r="AJ48" s="294"/>
      <c r="AK48" s="294"/>
      <c r="AL48" s="294"/>
      <c r="AM48" s="294"/>
      <c r="AN48" s="294"/>
      <c r="AO48" s="294"/>
      <c r="AP48" s="294"/>
      <c r="AQ48" s="294"/>
      <c r="AR48" s="294"/>
      <c r="AS48" s="294"/>
      <c r="AT48" s="294"/>
      <c r="AU48" s="294"/>
      <c r="AV48" s="294"/>
      <c r="AW48" s="295"/>
      <c r="AX48" s="296"/>
      <c r="AY48" s="296"/>
      <c r="AZ48" s="296"/>
      <c r="BA48" s="296"/>
      <c r="BB48" s="296"/>
      <c r="BC48" s="297"/>
      <c r="BD48" s="298"/>
      <c r="BE48" s="296"/>
      <c r="BF48" s="296"/>
      <c r="BG48" s="296"/>
      <c r="BH48" s="296"/>
      <c r="BI48" s="296"/>
      <c r="BJ48" s="297"/>
      <c r="BK48" s="25"/>
    </row>
    <row r="49" spans="1:63" ht="15" customHeight="1">
      <c r="A49" s="24"/>
      <c r="B49" s="80"/>
      <c r="C49" s="81"/>
      <c r="D49" s="81"/>
      <c r="E49" s="81"/>
      <c r="F49" s="81"/>
      <c r="G49" s="82"/>
      <c r="H49" s="80"/>
      <c r="I49" s="81"/>
      <c r="J49" s="81"/>
      <c r="K49" s="81"/>
      <c r="L49" s="81"/>
      <c r="M49" s="81"/>
      <c r="N49" s="82"/>
      <c r="O49" s="80"/>
      <c r="P49" s="81"/>
      <c r="Q49" s="81"/>
      <c r="R49" s="81"/>
      <c r="S49" s="287"/>
      <c r="T49" s="288"/>
      <c r="U49" s="288"/>
      <c r="V49" s="288"/>
      <c r="W49" s="288"/>
      <c r="X49" s="288"/>
      <c r="Y49" s="288"/>
      <c r="Z49" s="288"/>
      <c r="AA49" s="288"/>
      <c r="AB49" s="288"/>
      <c r="AC49" s="288"/>
      <c r="AD49" s="288"/>
      <c r="AE49" s="288"/>
      <c r="AF49" s="288"/>
      <c r="AG49" s="288"/>
      <c r="AH49" s="288"/>
      <c r="AI49" s="288"/>
      <c r="AJ49" s="288"/>
      <c r="AK49" s="288"/>
      <c r="AL49" s="288"/>
      <c r="AM49" s="288"/>
      <c r="AN49" s="288"/>
      <c r="AO49" s="288"/>
      <c r="AP49" s="288"/>
      <c r="AQ49" s="288"/>
      <c r="AR49" s="288"/>
      <c r="AS49" s="288"/>
      <c r="AT49" s="288"/>
      <c r="AU49" s="288"/>
      <c r="AV49" s="288"/>
      <c r="AW49" s="289"/>
      <c r="AX49" s="290"/>
      <c r="AY49" s="290"/>
      <c r="AZ49" s="290"/>
      <c r="BA49" s="290"/>
      <c r="BB49" s="290"/>
      <c r="BC49" s="291"/>
      <c r="BD49" s="292"/>
      <c r="BE49" s="290"/>
      <c r="BF49" s="290"/>
      <c r="BG49" s="290"/>
      <c r="BH49" s="290"/>
      <c r="BI49" s="290"/>
      <c r="BJ49" s="291"/>
      <c r="BK49" s="25"/>
    </row>
    <row r="50" spans="1:63" ht="15" customHeight="1">
      <c r="A50" s="24"/>
      <c r="B50" s="86"/>
      <c r="C50" s="87"/>
      <c r="D50" s="87"/>
      <c r="E50" s="87"/>
      <c r="F50" s="87"/>
      <c r="G50" s="88"/>
      <c r="H50" s="86"/>
      <c r="I50" s="87"/>
      <c r="J50" s="87"/>
      <c r="K50" s="87"/>
      <c r="L50" s="87"/>
      <c r="M50" s="87"/>
      <c r="N50" s="88"/>
      <c r="O50" s="86"/>
      <c r="P50" s="87"/>
      <c r="Q50" s="87"/>
      <c r="R50" s="87"/>
      <c r="S50" s="293"/>
      <c r="T50" s="294"/>
      <c r="U50" s="294"/>
      <c r="V50" s="294"/>
      <c r="W50" s="294"/>
      <c r="X50" s="294"/>
      <c r="Y50" s="294"/>
      <c r="Z50" s="294"/>
      <c r="AA50" s="294"/>
      <c r="AB50" s="294"/>
      <c r="AC50" s="294"/>
      <c r="AD50" s="294"/>
      <c r="AE50" s="294"/>
      <c r="AF50" s="294"/>
      <c r="AG50" s="294"/>
      <c r="AH50" s="294"/>
      <c r="AI50" s="294"/>
      <c r="AJ50" s="294"/>
      <c r="AK50" s="294"/>
      <c r="AL50" s="294"/>
      <c r="AM50" s="294"/>
      <c r="AN50" s="294"/>
      <c r="AO50" s="294"/>
      <c r="AP50" s="294"/>
      <c r="AQ50" s="294"/>
      <c r="AR50" s="294"/>
      <c r="AS50" s="294"/>
      <c r="AT50" s="294"/>
      <c r="AU50" s="294"/>
      <c r="AV50" s="294"/>
      <c r="AW50" s="295"/>
      <c r="AX50" s="296"/>
      <c r="AY50" s="296"/>
      <c r="AZ50" s="296"/>
      <c r="BA50" s="296"/>
      <c r="BB50" s="296"/>
      <c r="BC50" s="297"/>
      <c r="BD50" s="298"/>
      <c r="BE50" s="296"/>
      <c r="BF50" s="296"/>
      <c r="BG50" s="296"/>
      <c r="BH50" s="296"/>
      <c r="BI50" s="296"/>
      <c r="BJ50" s="297"/>
      <c r="BK50" s="25"/>
    </row>
    <row r="51" spans="1:63" ht="15" customHeight="1">
      <c r="A51" s="24"/>
      <c r="B51" s="80"/>
      <c r="C51" s="81"/>
      <c r="D51" s="81"/>
      <c r="E51" s="81"/>
      <c r="F51" s="81"/>
      <c r="G51" s="82"/>
      <c r="H51" s="80"/>
      <c r="I51" s="81"/>
      <c r="J51" s="81"/>
      <c r="K51" s="81"/>
      <c r="L51" s="81"/>
      <c r="M51" s="81"/>
      <c r="N51" s="82"/>
      <c r="O51" s="80"/>
      <c r="P51" s="81"/>
      <c r="Q51" s="81"/>
      <c r="R51" s="81"/>
      <c r="S51" s="287"/>
      <c r="T51" s="288"/>
      <c r="U51" s="288"/>
      <c r="V51" s="288"/>
      <c r="W51" s="288"/>
      <c r="X51" s="288"/>
      <c r="Y51" s="288"/>
      <c r="Z51" s="288"/>
      <c r="AA51" s="288"/>
      <c r="AB51" s="288"/>
      <c r="AC51" s="288"/>
      <c r="AD51" s="288"/>
      <c r="AE51" s="288"/>
      <c r="AF51" s="288"/>
      <c r="AG51" s="288"/>
      <c r="AH51" s="288"/>
      <c r="AI51" s="288"/>
      <c r="AJ51" s="288"/>
      <c r="AK51" s="288"/>
      <c r="AL51" s="288"/>
      <c r="AM51" s="288"/>
      <c r="AN51" s="288"/>
      <c r="AO51" s="288"/>
      <c r="AP51" s="288"/>
      <c r="AQ51" s="288"/>
      <c r="AR51" s="288"/>
      <c r="AS51" s="288"/>
      <c r="AT51" s="288"/>
      <c r="AU51" s="288"/>
      <c r="AV51" s="288"/>
      <c r="AW51" s="289"/>
      <c r="AX51" s="290"/>
      <c r="AY51" s="290"/>
      <c r="AZ51" s="290"/>
      <c r="BA51" s="290"/>
      <c r="BB51" s="290"/>
      <c r="BC51" s="291"/>
      <c r="BD51" s="292"/>
      <c r="BE51" s="290"/>
      <c r="BF51" s="290"/>
      <c r="BG51" s="290"/>
      <c r="BH51" s="290"/>
      <c r="BI51" s="290"/>
      <c r="BJ51" s="291"/>
      <c r="BK51" s="25"/>
    </row>
    <row r="52" spans="1:63" ht="15" customHeight="1">
      <c r="A52" s="24"/>
      <c r="B52" s="86"/>
      <c r="C52" s="87"/>
      <c r="D52" s="87"/>
      <c r="E52" s="87"/>
      <c r="F52" s="87"/>
      <c r="G52" s="88"/>
      <c r="H52" s="86"/>
      <c r="I52" s="87"/>
      <c r="J52" s="87"/>
      <c r="K52" s="87"/>
      <c r="L52" s="87"/>
      <c r="M52" s="87"/>
      <c r="N52" s="88"/>
      <c r="O52" s="86"/>
      <c r="P52" s="87"/>
      <c r="Q52" s="87"/>
      <c r="R52" s="87"/>
      <c r="S52" s="293"/>
      <c r="T52" s="294"/>
      <c r="U52" s="294"/>
      <c r="V52" s="294"/>
      <c r="W52" s="294"/>
      <c r="X52" s="294"/>
      <c r="Y52" s="294"/>
      <c r="Z52" s="294"/>
      <c r="AA52" s="294"/>
      <c r="AB52" s="294"/>
      <c r="AC52" s="294"/>
      <c r="AD52" s="294"/>
      <c r="AE52" s="294"/>
      <c r="AF52" s="294"/>
      <c r="AG52" s="294"/>
      <c r="AH52" s="294"/>
      <c r="AI52" s="294"/>
      <c r="AJ52" s="294"/>
      <c r="AK52" s="294"/>
      <c r="AL52" s="294"/>
      <c r="AM52" s="294"/>
      <c r="AN52" s="294"/>
      <c r="AO52" s="294"/>
      <c r="AP52" s="294"/>
      <c r="AQ52" s="294"/>
      <c r="AR52" s="294"/>
      <c r="AS52" s="294"/>
      <c r="AT52" s="294"/>
      <c r="AU52" s="294"/>
      <c r="AV52" s="294"/>
      <c r="AW52" s="295"/>
      <c r="AX52" s="296"/>
      <c r="AY52" s="296"/>
      <c r="AZ52" s="296"/>
      <c r="BA52" s="296"/>
      <c r="BB52" s="296"/>
      <c r="BC52" s="297"/>
      <c r="BD52" s="298"/>
      <c r="BE52" s="296"/>
      <c r="BF52" s="296"/>
      <c r="BG52" s="296"/>
      <c r="BH52" s="296"/>
      <c r="BI52" s="296"/>
      <c r="BJ52" s="297"/>
      <c r="BK52" s="25"/>
    </row>
    <row r="53" spans="1:63" ht="15" customHeight="1">
      <c r="A53" s="24"/>
      <c r="B53" s="80"/>
      <c r="C53" s="81"/>
      <c r="D53" s="81"/>
      <c r="E53" s="81"/>
      <c r="F53" s="81"/>
      <c r="G53" s="82"/>
      <c r="H53" s="80"/>
      <c r="I53" s="81"/>
      <c r="J53" s="81"/>
      <c r="K53" s="81"/>
      <c r="L53" s="81"/>
      <c r="M53" s="81"/>
      <c r="N53" s="82"/>
      <c r="O53" s="80"/>
      <c r="P53" s="81"/>
      <c r="Q53" s="81"/>
      <c r="R53" s="81"/>
      <c r="S53" s="287"/>
      <c r="T53" s="288"/>
      <c r="U53" s="288"/>
      <c r="V53" s="288"/>
      <c r="W53" s="288"/>
      <c r="X53" s="288"/>
      <c r="Y53" s="288"/>
      <c r="Z53" s="288"/>
      <c r="AA53" s="288"/>
      <c r="AB53" s="288"/>
      <c r="AC53" s="288"/>
      <c r="AD53" s="288"/>
      <c r="AE53" s="288"/>
      <c r="AF53" s="288"/>
      <c r="AG53" s="288"/>
      <c r="AH53" s="288"/>
      <c r="AI53" s="288"/>
      <c r="AJ53" s="288"/>
      <c r="AK53" s="288"/>
      <c r="AL53" s="288"/>
      <c r="AM53" s="288"/>
      <c r="AN53" s="288"/>
      <c r="AO53" s="288"/>
      <c r="AP53" s="288"/>
      <c r="AQ53" s="288"/>
      <c r="AR53" s="288"/>
      <c r="AS53" s="288"/>
      <c r="AT53" s="288"/>
      <c r="AU53" s="288"/>
      <c r="AV53" s="288"/>
      <c r="AW53" s="289"/>
      <c r="AX53" s="290"/>
      <c r="AY53" s="290"/>
      <c r="AZ53" s="290"/>
      <c r="BA53" s="290"/>
      <c r="BB53" s="290"/>
      <c r="BC53" s="291"/>
      <c r="BD53" s="292"/>
      <c r="BE53" s="290"/>
      <c r="BF53" s="290"/>
      <c r="BG53" s="290"/>
      <c r="BH53" s="290"/>
      <c r="BI53" s="290"/>
      <c r="BJ53" s="291"/>
      <c r="BK53" s="25"/>
    </row>
    <row r="54" spans="1:63" ht="15" customHeight="1">
      <c r="A54" s="24"/>
      <c r="B54" s="86"/>
      <c r="C54" s="87"/>
      <c r="D54" s="87"/>
      <c r="E54" s="87"/>
      <c r="F54" s="87"/>
      <c r="G54" s="88"/>
      <c r="H54" s="86"/>
      <c r="I54" s="87"/>
      <c r="J54" s="87"/>
      <c r="K54" s="87"/>
      <c r="L54" s="87"/>
      <c r="M54" s="87"/>
      <c r="N54" s="88"/>
      <c r="O54" s="86"/>
      <c r="P54" s="87"/>
      <c r="Q54" s="87"/>
      <c r="R54" s="87"/>
      <c r="S54" s="293"/>
      <c r="T54" s="294"/>
      <c r="U54" s="294"/>
      <c r="V54" s="294"/>
      <c r="W54" s="294"/>
      <c r="X54" s="294"/>
      <c r="Y54" s="294"/>
      <c r="Z54" s="294"/>
      <c r="AA54" s="294"/>
      <c r="AB54" s="294"/>
      <c r="AC54" s="294"/>
      <c r="AD54" s="294"/>
      <c r="AE54" s="294"/>
      <c r="AF54" s="294"/>
      <c r="AG54" s="294"/>
      <c r="AH54" s="294"/>
      <c r="AI54" s="294"/>
      <c r="AJ54" s="294"/>
      <c r="AK54" s="294"/>
      <c r="AL54" s="294"/>
      <c r="AM54" s="294"/>
      <c r="AN54" s="294"/>
      <c r="AO54" s="294"/>
      <c r="AP54" s="294"/>
      <c r="AQ54" s="294"/>
      <c r="AR54" s="294"/>
      <c r="AS54" s="294"/>
      <c r="AT54" s="294"/>
      <c r="AU54" s="294"/>
      <c r="AV54" s="294"/>
      <c r="AW54" s="295"/>
      <c r="AX54" s="296"/>
      <c r="AY54" s="296"/>
      <c r="AZ54" s="296"/>
      <c r="BA54" s="296"/>
      <c r="BB54" s="296"/>
      <c r="BC54" s="297"/>
      <c r="BD54" s="298"/>
      <c r="BE54" s="296"/>
      <c r="BF54" s="296"/>
      <c r="BG54" s="296"/>
      <c r="BH54" s="296"/>
      <c r="BI54" s="296"/>
      <c r="BJ54" s="297"/>
      <c r="BK54" s="25"/>
    </row>
    <row r="55" spans="1:63" ht="15" customHeight="1">
      <c r="A55" s="21"/>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3"/>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cols>
    <col min="1" max="63" width="2.77734375" customWidth="1"/>
  </cols>
  <sheetData>
    <row r="1" spans="1:63" ht="24.95" customHeight="1">
      <c r="A1" s="125" t="s">
        <v>21</v>
      </c>
      <c r="B1" s="126"/>
      <c r="C1" s="126"/>
      <c r="D1" s="126"/>
      <c r="E1" s="126"/>
      <c r="F1" s="126"/>
      <c r="G1" s="126"/>
      <c r="H1" s="126"/>
      <c r="I1" s="126"/>
      <c r="J1" s="127"/>
      <c r="K1" s="125" t="s">
        <v>22</v>
      </c>
      <c r="L1" s="126"/>
      <c r="M1" s="126"/>
      <c r="N1" s="126"/>
      <c r="O1" s="126"/>
      <c r="P1" s="126"/>
      <c r="Q1" s="126"/>
      <c r="R1" s="126"/>
      <c r="S1" s="126"/>
      <c r="T1" s="126"/>
      <c r="U1" s="126"/>
      <c r="V1" s="127"/>
      <c r="W1" s="140" t="str">
        <f>IF(表紙!W1="","",表紙!W1)</f>
        <v>基本設計書</v>
      </c>
      <c r="X1" s="141"/>
      <c r="Y1" s="141"/>
      <c r="Z1" s="141"/>
      <c r="AA1" s="141"/>
      <c r="AB1" s="141"/>
      <c r="AC1" s="141"/>
      <c r="AD1" s="141"/>
      <c r="AE1" s="141"/>
      <c r="AF1" s="141"/>
      <c r="AG1" s="141"/>
      <c r="AH1" s="141"/>
      <c r="AI1" s="141"/>
      <c r="AJ1" s="141"/>
      <c r="AK1" s="141"/>
      <c r="AL1" s="141"/>
      <c r="AM1" s="141"/>
      <c r="AN1" s="141"/>
      <c r="AO1" s="142"/>
      <c r="AP1" s="125" t="s">
        <v>23</v>
      </c>
      <c r="AQ1" s="126"/>
      <c r="AR1" s="126"/>
      <c r="AS1" s="127"/>
      <c r="AT1" s="125" t="s">
        <v>24</v>
      </c>
      <c r="AU1" s="126"/>
      <c r="AV1" s="126"/>
      <c r="AW1" s="126"/>
      <c r="AX1" s="127"/>
      <c r="AY1" s="125" t="s">
        <v>25</v>
      </c>
      <c r="AZ1" s="126"/>
      <c r="BA1" s="126"/>
      <c r="BB1" s="127"/>
      <c r="BC1" s="125" t="s">
        <v>26</v>
      </c>
      <c r="BD1" s="126"/>
      <c r="BE1" s="126"/>
      <c r="BF1" s="126"/>
      <c r="BG1" s="127"/>
      <c r="BH1" s="125" t="s">
        <v>27</v>
      </c>
      <c r="BI1" s="126"/>
      <c r="BJ1" s="126"/>
      <c r="BK1" s="127"/>
    </row>
    <row r="2" spans="1:63" ht="15" customHeight="1">
      <c r="A2" s="128" t="str">
        <f>IF(表紙!A2="","",表紙!A2)</f>
        <v>POSサーバー</v>
      </c>
      <c r="B2" s="129"/>
      <c r="C2" s="129"/>
      <c r="D2" s="129"/>
      <c r="E2" s="129"/>
      <c r="F2" s="129"/>
      <c r="G2" s="129"/>
      <c r="H2" s="129"/>
      <c r="I2" s="129"/>
      <c r="J2" s="130"/>
      <c r="K2" s="128" t="str">
        <f>IF(表紙!K2="","",表紙!K2)</f>
        <v>POSサーバー</v>
      </c>
      <c r="L2" s="129"/>
      <c r="M2" s="129"/>
      <c r="N2" s="129"/>
      <c r="O2" s="129"/>
      <c r="P2" s="129"/>
      <c r="Q2" s="129"/>
      <c r="R2" s="129"/>
      <c r="S2" s="129"/>
      <c r="T2" s="129"/>
      <c r="U2" s="129"/>
      <c r="V2" s="130"/>
      <c r="W2" s="143"/>
      <c r="X2" s="144"/>
      <c r="Y2" s="144"/>
      <c r="Z2" s="144"/>
      <c r="AA2" s="144"/>
      <c r="AB2" s="144"/>
      <c r="AC2" s="144"/>
      <c r="AD2" s="144"/>
      <c r="AE2" s="144"/>
      <c r="AF2" s="144"/>
      <c r="AG2" s="144"/>
      <c r="AH2" s="144"/>
      <c r="AI2" s="144"/>
      <c r="AJ2" s="144"/>
      <c r="AK2" s="144"/>
      <c r="AL2" s="144"/>
      <c r="AM2" s="144"/>
      <c r="AN2" s="144"/>
      <c r="AO2" s="145"/>
      <c r="AP2" s="128" t="str">
        <f>IF(表紙!AP2="","",表紙!AP2)</f>
        <v>AnhDD</v>
      </c>
      <c r="AQ2" s="129"/>
      <c r="AR2" s="129"/>
      <c r="AS2" s="130"/>
      <c r="AT2" s="134">
        <v>45084</v>
      </c>
      <c r="AU2" s="135"/>
      <c r="AV2" s="135"/>
      <c r="AW2" s="135"/>
      <c r="AX2" s="136"/>
      <c r="AY2" s="128" t="str">
        <f>IF(表紙!AY2="","",表紙!AY2)</f>
        <v>AnhDD</v>
      </c>
      <c r="AZ2" s="129"/>
      <c r="BA2" s="129"/>
      <c r="BB2" s="130"/>
      <c r="BC2" s="134">
        <f>IF(表紙!BC2="","",表紙!BC2)</f>
        <v>45416</v>
      </c>
      <c r="BD2" s="135"/>
      <c r="BE2" s="135"/>
      <c r="BF2" s="135"/>
      <c r="BG2" s="136"/>
      <c r="BH2" s="128">
        <f>IF(表紙!BH2="","",表紙!BH2)</f>
        <v>0.1</v>
      </c>
      <c r="BI2" s="129"/>
      <c r="BJ2" s="129"/>
      <c r="BK2" s="130"/>
    </row>
    <row r="3" spans="1:63" ht="15" customHeight="1">
      <c r="A3" s="131"/>
      <c r="B3" s="132"/>
      <c r="C3" s="132"/>
      <c r="D3" s="132"/>
      <c r="E3" s="132"/>
      <c r="F3" s="132"/>
      <c r="G3" s="132"/>
      <c r="H3" s="132"/>
      <c r="I3" s="132"/>
      <c r="J3" s="133"/>
      <c r="K3" s="131"/>
      <c r="L3" s="132"/>
      <c r="M3" s="132"/>
      <c r="N3" s="132"/>
      <c r="O3" s="132"/>
      <c r="P3" s="132"/>
      <c r="Q3" s="132"/>
      <c r="R3" s="132"/>
      <c r="S3" s="132"/>
      <c r="T3" s="132"/>
      <c r="U3" s="132"/>
      <c r="V3" s="133"/>
      <c r="W3" s="146"/>
      <c r="X3" s="147"/>
      <c r="Y3" s="147"/>
      <c r="Z3" s="147"/>
      <c r="AA3" s="147"/>
      <c r="AB3" s="147"/>
      <c r="AC3" s="147"/>
      <c r="AD3" s="147"/>
      <c r="AE3" s="147"/>
      <c r="AF3" s="147"/>
      <c r="AG3" s="147"/>
      <c r="AH3" s="147"/>
      <c r="AI3" s="147"/>
      <c r="AJ3" s="147"/>
      <c r="AK3" s="147"/>
      <c r="AL3" s="147"/>
      <c r="AM3" s="147"/>
      <c r="AN3" s="147"/>
      <c r="AO3" s="148"/>
      <c r="AP3" s="131"/>
      <c r="AQ3" s="132"/>
      <c r="AR3" s="132"/>
      <c r="AS3" s="133"/>
      <c r="AT3" s="137"/>
      <c r="AU3" s="138"/>
      <c r="AV3" s="138"/>
      <c r="AW3" s="138"/>
      <c r="AX3" s="139"/>
      <c r="AY3" s="131"/>
      <c r="AZ3" s="132"/>
      <c r="BA3" s="132"/>
      <c r="BB3" s="133"/>
      <c r="BC3" s="137"/>
      <c r="BD3" s="138"/>
      <c r="BE3" s="138"/>
      <c r="BF3" s="138"/>
      <c r="BG3" s="139"/>
      <c r="BH3" s="131"/>
      <c r="BI3" s="132"/>
      <c r="BJ3" s="132"/>
      <c r="BK3" s="133"/>
    </row>
    <row r="4" spans="1:63" ht="24.95" customHeight="1">
      <c r="A4" s="125" t="s">
        <v>28</v>
      </c>
      <c r="B4" s="126"/>
      <c r="C4" s="126"/>
      <c r="D4" s="126"/>
      <c r="E4" s="126"/>
      <c r="F4" s="126"/>
      <c r="G4" s="127"/>
      <c r="H4" s="149" t="str">
        <f>IF(表紙!H4="","",表紙!H4)</f>
        <v>13_部門別売上日報</v>
      </c>
      <c r="I4" s="150"/>
      <c r="J4" s="150"/>
      <c r="K4" s="150"/>
      <c r="L4" s="150"/>
      <c r="M4" s="150"/>
      <c r="N4" s="150"/>
      <c r="O4" s="150"/>
      <c r="P4" s="150"/>
      <c r="Q4" s="150"/>
      <c r="R4" s="150"/>
      <c r="S4" s="150"/>
      <c r="T4" s="151"/>
      <c r="U4" s="125" t="s">
        <v>29</v>
      </c>
      <c r="V4" s="126"/>
      <c r="W4" s="126"/>
      <c r="X4" s="126"/>
      <c r="Y4" s="127"/>
      <c r="Z4" s="149" t="str">
        <f>IF(表紙!Z4="","",表紙!Z4)</f>
        <v>概要設計書</v>
      </c>
      <c r="AA4" s="150"/>
      <c r="AB4" s="150"/>
      <c r="AC4" s="150"/>
      <c r="AD4" s="150"/>
      <c r="AE4" s="150"/>
      <c r="AF4" s="150"/>
      <c r="AG4" s="150"/>
      <c r="AH4" s="150"/>
      <c r="AI4" s="150"/>
      <c r="AJ4" s="150"/>
      <c r="AK4" s="150"/>
      <c r="AL4" s="150"/>
      <c r="AM4" s="150"/>
      <c r="AN4" s="150"/>
      <c r="AO4" s="151"/>
      <c r="AP4" s="149" t="e">
        <f t="array" aca="1" ref="AP4" ca="1">RIGHT(CELL("filename",$A$1),LEN(CELL("filename",$A$1))-FIND("]",CELL("filename",$A$1)))</f>
        <v>#VALUE!</v>
      </c>
      <c r="AQ4" s="150"/>
      <c r="AR4" s="150"/>
      <c r="AS4" s="150"/>
      <c r="AT4" s="150"/>
      <c r="AU4" s="150"/>
      <c r="AV4" s="150"/>
      <c r="AW4" s="150"/>
      <c r="AX4" s="150"/>
      <c r="AY4" s="150"/>
      <c r="AZ4" s="150"/>
      <c r="BA4" s="150"/>
      <c r="BB4" s="150"/>
      <c r="BC4" s="150"/>
      <c r="BD4" s="150"/>
      <c r="BE4" s="150"/>
      <c r="BF4" s="150"/>
      <c r="BG4" s="150"/>
      <c r="BH4" s="150"/>
      <c r="BI4" s="150"/>
      <c r="BJ4" s="150"/>
      <c r="BK4" s="151"/>
    </row>
    <row r="5" spans="1:63" ht="5.0999999999999996" customHeight="1">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8"/>
    </row>
    <row r="6" spans="1:63" ht="15" customHeight="1">
      <c r="A6" s="39"/>
      <c r="B6" s="40"/>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2"/>
      <c r="AF6" s="40"/>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2"/>
      <c r="BJ6" s="41"/>
      <c r="BK6" s="43"/>
    </row>
    <row r="7" spans="1:63" ht="15" customHeight="1">
      <c r="A7" s="39"/>
      <c r="B7" s="2" t="s">
        <v>30</v>
      </c>
      <c r="C7" s="1"/>
      <c r="D7" s="1"/>
      <c r="E7" s="1"/>
      <c r="F7" s="1"/>
      <c r="G7" s="1"/>
      <c r="H7" s="1"/>
      <c r="I7" s="1"/>
      <c r="J7" s="1"/>
      <c r="K7" s="1"/>
      <c r="L7" s="1"/>
      <c r="M7" s="1"/>
      <c r="N7" s="1"/>
      <c r="O7" s="1"/>
      <c r="P7" s="1"/>
      <c r="Q7" s="1"/>
      <c r="R7" s="1"/>
      <c r="S7" s="1"/>
      <c r="T7" s="1"/>
      <c r="U7" s="1"/>
      <c r="V7" s="1"/>
      <c r="W7" s="1"/>
      <c r="X7" s="1"/>
      <c r="Y7" s="1"/>
      <c r="Z7" s="1"/>
      <c r="AA7" s="1"/>
      <c r="AB7" s="1"/>
      <c r="AC7" s="1"/>
      <c r="AD7" s="1"/>
      <c r="AE7" s="3"/>
      <c r="AF7" s="2"/>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3"/>
      <c r="BJ7" s="1"/>
      <c r="BK7" s="43"/>
    </row>
    <row r="8" spans="1:63" ht="15" customHeight="1">
      <c r="A8" s="39"/>
      <c r="B8" s="40"/>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2"/>
      <c r="AF8" s="40"/>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2"/>
      <c r="BJ8" s="41"/>
      <c r="BK8" s="43"/>
    </row>
    <row r="9" spans="1:63" ht="15" customHeight="1">
      <c r="A9" s="39"/>
      <c r="B9" s="40"/>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2"/>
      <c r="AF9" s="40"/>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2"/>
      <c r="BJ9" s="41"/>
      <c r="BK9" s="43"/>
    </row>
    <row r="10" spans="1:63" ht="15" customHeight="1">
      <c r="A10" s="39"/>
      <c r="B10" s="40"/>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2"/>
      <c r="AF10" s="40"/>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2"/>
      <c r="BJ10" s="41"/>
      <c r="BK10" s="43"/>
    </row>
    <row r="11" spans="1:63" ht="15" customHeight="1">
      <c r="A11" s="39"/>
      <c r="B11" s="40"/>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2"/>
      <c r="AF11" s="40"/>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2"/>
      <c r="BJ11" s="41"/>
      <c r="BK11" s="43"/>
    </row>
    <row r="12" spans="1:63" ht="15" customHeight="1">
      <c r="A12" s="39"/>
      <c r="B12" s="40"/>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2"/>
      <c r="AF12" s="40"/>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2"/>
      <c r="BJ12" s="41"/>
      <c r="BK12" s="43"/>
    </row>
    <row r="13" spans="1:63" ht="15" customHeight="1">
      <c r="A13" s="39"/>
      <c r="B13" s="40"/>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2"/>
      <c r="AF13" s="40"/>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2"/>
      <c r="BJ13" s="41"/>
      <c r="BK13" s="43"/>
    </row>
    <row r="14" spans="1:63" ht="15" customHeight="1">
      <c r="A14" s="39"/>
      <c r="B14" s="40"/>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2"/>
      <c r="AF14" s="40"/>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2"/>
      <c r="BJ14" s="41"/>
      <c r="BK14" s="43"/>
    </row>
    <row r="15" spans="1:63" ht="15" customHeight="1">
      <c r="A15" s="39"/>
      <c r="B15" s="40"/>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2"/>
      <c r="AF15" s="40"/>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2"/>
      <c r="BJ15" s="41"/>
      <c r="BK15" s="43"/>
    </row>
    <row r="16" spans="1:63" ht="15" customHeight="1">
      <c r="A16" s="39"/>
      <c r="B16" s="40"/>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2"/>
      <c r="AF16" s="40"/>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2"/>
      <c r="BJ16" s="41"/>
      <c r="BK16" s="43"/>
    </row>
    <row r="17" spans="1:63" ht="15" customHeight="1">
      <c r="A17" s="39"/>
      <c r="B17" s="40"/>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2"/>
      <c r="AF17" s="40"/>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2"/>
      <c r="BJ17" s="41"/>
      <c r="BK17" s="43"/>
    </row>
    <row r="18" spans="1:63" ht="15" customHeight="1">
      <c r="A18" s="39"/>
      <c r="B18" s="40"/>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2"/>
      <c r="AF18" s="40"/>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2"/>
      <c r="BJ18" s="41"/>
      <c r="BK18" s="43"/>
    </row>
    <row r="19" spans="1:63" ht="15" customHeight="1">
      <c r="A19" s="39"/>
      <c r="B19" s="40"/>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2"/>
      <c r="AF19" s="40"/>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2"/>
      <c r="BJ19" s="41"/>
      <c r="BK19" s="43"/>
    </row>
    <row r="20" spans="1:63" ht="15" customHeight="1">
      <c r="A20" s="39"/>
      <c r="B20" s="40"/>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2"/>
      <c r="AF20" s="40"/>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2"/>
      <c r="BJ20" s="41"/>
      <c r="BK20" s="43"/>
    </row>
    <row r="21" spans="1:63" ht="15" customHeight="1">
      <c r="A21" s="39"/>
      <c r="B21" s="40"/>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2"/>
      <c r="AF21" s="40"/>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2"/>
      <c r="BJ21" s="41"/>
      <c r="BK21" s="43"/>
    </row>
    <row r="22" spans="1:63" ht="15" customHeight="1">
      <c r="A22" s="39"/>
      <c r="B22" s="2" t="s">
        <v>31</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3"/>
      <c r="AF22" s="2"/>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3"/>
      <c r="BJ22" s="1"/>
      <c r="BK22" s="43"/>
    </row>
    <row r="23" spans="1:63" ht="15" customHeight="1">
      <c r="A23" s="39"/>
      <c r="B23" s="40"/>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2"/>
      <c r="AF23" s="40"/>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2"/>
      <c r="BJ23" s="41"/>
      <c r="BK23" s="43"/>
    </row>
    <row r="24" spans="1:63" ht="15" customHeight="1">
      <c r="A24" s="39"/>
      <c r="B24" s="40"/>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2"/>
      <c r="AF24" s="40"/>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2"/>
      <c r="BJ24" s="41"/>
      <c r="BK24" s="43"/>
    </row>
    <row r="25" spans="1:63" ht="15" customHeight="1">
      <c r="A25" s="39"/>
      <c r="B25" s="40"/>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2"/>
      <c r="AF25" s="40"/>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2"/>
      <c r="BJ25" s="41"/>
      <c r="BK25" s="43"/>
    </row>
    <row r="26" spans="1:63" ht="15" customHeight="1">
      <c r="A26" s="39"/>
      <c r="B26" s="40"/>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2"/>
      <c r="AF26" s="40"/>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2"/>
      <c r="BJ26" s="41"/>
      <c r="BK26" s="43"/>
    </row>
    <row r="27" spans="1:63" ht="15" customHeight="1">
      <c r="A27" s="39"/>
      <c r="B27" s="40"/>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2"/>
      <c r="AF27" s="40"/>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2"/>
      <c r="BJ27" s="41"/>
      <c r="BK27" s="43"/>
    </row>
    <row r="28" spans="1:63" ht="15" customHeight="1">
      <c r="A28" s="39"/>
      <c r="B28" s="40"/>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2"/>
      <c r="AF28" s="40"/>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2"/>
      <c r="BJ28" s="41"/>
      <c r="BK28" s="43"/>
    </row>
    <row r="29" spans="1:63" ht="15" customHeight="1">
      <c r="A29" s="39"/>
      <c r="B29" s="40"/>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2"/>
      <c r="AF29" s="40"/>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2"/>
      <c r="BJ29" s="41"/>
      <c r="BK29" s="43"/>
    </row>
    <row r="30" spans="1:63" ht="15" customHeight="1">
      <c r="A30" s="39"/>
      <c r="B30" s="40"/>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2"/>
      <c r="AF30" s="40"/>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2"/>
      <c r="BJ30" s="41"/>
      <c r="BK30" s="43"/>
    </row>
    <row r="31" spans="1:63" ht="15" customHeight="1">
      <c r="A31" s="39"/>
      <c r="B31" s="40"/>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2"/>
      <c r="AF31" s="40"/>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2"/>
      <c r="BJ31" s="41"/>
      <c r="BK31" s="43"/>
    </row>
    <row r="32" spans="1:63" ht="15" customHeight="1">
      <c r="A32" s="39"/>
      <c r="B32" s="40"/>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2"/>
      <c r="AF32" s="40"/>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2"/>
      <c r="BJ32" s="41"/>
      <c r="BK32" s="43"/>
    </row>
    <row r="33" spans="1:63" ht="15" customHeight="1">
      <c r="A33" s="39"/>
      <c r="B33" s="40"/>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2"/>
      <c r="AF33" s="40"/>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2"/>
      <c r="BJ33" s="41"/>
      <c r="BK33" s="43"/>
    </row>
    <row r="34" spans="1:63" ht="15" customHeight="1">
      <c r="A34" s="39"/>
      <c r="B34" s="40"/>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2"/>
      <c r="AF34" s="40"/>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2"/>
      <c r="BJ34" s="41"/>
      <c r="BK34" s="43"/>
    </row>
    <row r="35" spans="1:63" ht="15" customHeight="1">
      <c r="A35" s="39"/>
      <c r="B35" s="40"/>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2"/>
      <c r="AF35" s="40"/>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2"/>
      <c r="BJ35" s="41"/>
      <c r="BK35" s="43"/>
    </row>
    <row r="36" spans="1:63" ht="15" customHeight="1">
      <c r="A36" s="39"/>
      <c r="B36" s="40"/>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2"/>
      <c r="AF36" s="40"/>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2"/>
      <c r="BJ36" s="41"/>
      <c r="BK36" s="43"/>
    </row>
    <row r="37" spans="1:63" ht="15" customHeight="1">
      <c r="A37" s="39"/>
      <c r="B37" s="40"/>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0"/>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2"/>
      <c r="BJ37" s="41"/>
      <c r="BK37" s="43"/>
    </row>
    <row r="38" spans="1:63" ht="15" customHeight="1">
      <c r="A38" s="39"/>
      <c r="B38" s="40"/>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0"/>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2"/>
      <c r="BJ38" s="41"/>
      <c r="BK38" s="43"/>
    </row>
    <row r="39" spans="1:63" ht="15" customHeight="1">
      <c r="A39" s="39"/>
      <c r="B39" s="40"/>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0"/>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2"/>
      <c r="BJ39" s="41"/>
      <c r="BK39" s="43"/>
    </row>
    <row r="40" spans="1:63" ht="15" customHeight="1">
      <c r="A40" s="39"/>
      <c r="B40" s="40"/>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0"/>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2"/>
      <c r="BJ40" s="41"/>
      <c r="BK40" s="43"/>
    </row>
    <row r="41" spans="1:63" ht="15" customHeight="1">
      <c r="A41" s="39"/>
      <c r="B41" s="40"/>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0"/>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2"/>
      <c r="BJ41" s="41"/>
      <c r="BK41" s="43"/>
    </row>
    <row r="42" spans="1:63" ht="15" customHeight="1">
      <c r="A42" s="39"/>
      <c r="B42" s="2" t="s">
        <v>32</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3"/>
      <c r="AF42" s="2"/>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3"/>
      <c r="BJ42" s="1"/>
      <c r="BK42" s="43"/>
    </row>
    <row r="43" spans="1:63" ht="15" customHeight="1">
      <c r="A43" s="39"/>
      <c r="B43" s="40"/>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2"/>
      <c r="AF43" s="40"/>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2"/>
      <c r="BJ43" s="41"/>
      <c r="BK43" s="43"/>
    </row>
    <row r="44" spans="1:63" ht="15" customHeight="1">
      <c r="A44" s="39"/>
      <c r="B44" s="40"/>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2"/>
      <c r="AF44" s="40"/>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2"/>
      <c r="BJ44" s="41"/>
      <c r="BK44" s="43"/>
    </row>
    <row r="45" spans="1:63" ht="15" customHeight="1">
      <c r="A45" s="39"/>
      <c r="B45" s="40"/>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2"/>
      <c r="AF45" s="40"/>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2"/>
      <c r="BJ45" s="41"/>
      <c r="BK45" s="43"/>
    </row>
    <row r="46" spans="1:63" ht="15" customHeight="1">
      <c r="A46" s="39"/>
      <c r="B46" s="40"/>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2"/>
      <c r="AF46" s="40"/>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2"/>
      <c r="BJ46" s="41"/>
      <c r="BK46" s="43"/>
    </row>
    <row r="47" spans="1:63" ht="15" customHeight="1">
      <c r="A47" s="39"/>
      <c r="B47" s="40"/>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2"/>
      <c r="AF47" s="40"/>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2"/>
      <c r="BJ47" s="41"/>
      <c r="BK47" s="43"/>
    </row>
    <row r="48" spans="1:63" ht="15" customHeight="1">
      <c r="A48" s="39"/>
      <c r="B48" s="40"/>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2"/>
      <c r="AF48" s="40"/>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2"/>
      <c r="BJ48" s="41"/>
      <c r="BK48" s="43"/>
    </row>
    <row r="49" spans="1:63" ht="15" customHeight="1">
      <c r="A49" s="39"/>
      <c r="B49" s="40"/>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0"/>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2"/>
      <c r="BJ49" s="41"/>
      <c r="BK49" s="43"/>
    </row>
    <row r="50" spans="1:63" ht="15" customHeight="1">
      <c r="A50" s="39"/>
      <c r="B50" s="40"/>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0"/>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2"/>
      <c r="BJ50" s="41"/>
      <c r="BK50" s="43"/>
    </row>
    <row r="51" spans="1:63" ht="15" customHeight="1">
      <c r="A51" s="39"/>
      <c r="B51" s="40"/>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0"/>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2"/>
      <c r="BJ51" s="41"/>
      <c r="BK51" s="43"/>
    </row>
    <row r="52" spans="1:63" ht="15" customHeight="1">
      <c r="A52" s="39"/>
      <c r="B52" s="40"/>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0"/>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2"/>
      <c r="BJ52" s="41"/>
      <c r="BK52" s="43"/>
    </row>
    <row r="53" spans="1:63" ht="15" customHeight="1">
      <c r="A53" s="39"/>
      <c r="B53" s="40"/>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0"/>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2"/>
      <c r="BJ53" s="41"/>
      <c r="BK53" s="43"/>
    </row>
    <row r="54" spans="1:63" ht="15" customHeight="1">
      <c r="A54" s="39"/>
      <c r="B54" s="40"/>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0"/>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2"/>
      <c r="BJ54" s="41"/>
      <c r="BK54" s="43"/>
    </row>
    <row r="55" spans="1:63" ht="15" customHeight="1">
      <c r="A55" s="39"/>
      <c r="B55" s="40"/>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0"/>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2"/>
      <c r="BJ55" s="41"/>
      <c r="BK55" s="43"/>
    </row>
    <row r="56" spans="1:63" ht="15" customHeight="1">
      <c r="A56" s="39"/>
      <c r="B56" s="40"/>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0"/>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2"/>
      <c r="BJ56" s="41"/>
      <c r="BK56" s="43"/>
    </row>
    <row r="57" spans="1:63" ht="15" customHeight="1">
      <c r="A57" s="39"/>
      <c r="B57" s="40"/>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0"/>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2"/>
      <c r="BJ57" s="41"/>
      <c r="BK57" s="43"/>
    </row>
    <row r="58" spans="1:63" ht="15" customHeight="1">
      <c r="A58" s="39"/>
      <c r="B58" s="40"/>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0"/>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2"/>
      <c r="BJ58" s="41"/>
      <c r="BK58" s="43"/>
    </row>
    <row r="59" spans="1:63" ht="15" customHeight="1">
      <c r="A59" s="39"/>
      <c r="B59" s="40"/>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0"/>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2"/>
      <c r="BJ59" s="41"/>
      <c r="BK59" s="43"/>
    </row>
    <row r="60" spans="1:63" ht="15" customHeight="1">
      <c r="A60" s="39"/>
      <c r="B60" s="40"/>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0"/>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2"/>
      <c r="BJ60" s="41"/>
      <c r="BK60" s="43"/>
    </row>
    <row r="61" spans="1:63" ht="15" customHeight="1">
      <c r="A61" s="39"/>
      <c r="B61" s="40"/>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0"/>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2"/>
      <c r="BJ61" s="41"/>
      <c r="BK61" s="43"/>
    </row>
    <row r="62" spans="1:63" ht="15" customHeight="1">
      <c r="A62" s="44"/>
      <c r="B62" s="45"/>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6"/>
      <c r="AF62" s="45"/>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6"/>
      <c r="BJ62" s="44"/>
      <c r="BK62" s="47"/>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tabColor rgb="FFFFFF00"/>
    <pageSetUpPr fitToPage="1"/>
  </sheetPr>
  <dimension ref="A1:BM55"/>
  <sheetViews>
    <sheetView view="pageBreakPreview" zoomScale="85" zoomScaleNormal="75" zoomScaleSheetLayoutView="85" workbookViewId="0">
      <selection sqref="A1:J1"/>
    </sheetView>
  </sheetViews>
  <sheetFormatPr defaultColWidth="2.77734375" defaultRowHeight="15" customHeight="1"/>
  <cols>
    <col min="1" max="65" width="2.77734375" style="20" customWidth="1"/>
    <col min="66" max="16384" width="2.77734375" style="20"/>
  </cols>
  <sheetData>
    <row r="1" spans="1:65" ht="24.95" customHeight="1">
      <c r="A1" s="95" t="s">
        <v>0</v>
      </c>
      <c r="B1" s="96"/>
      <c r="C1" s="96"/>
      <c r="D1" s="96"/>
      <c r="E1" s="96"/>
      <c r="F1" s="96"/>
      <c r="G1" s="96"/>
      <c r="H1" s="96"/>
      <c r="I1" s="96"/>
      <c r="J1" s="97"/>
      <c r="K1" s="95" t="s">
        <v>1</v>
      </c>
      <c r="L1" s="96"/>
      <c r="M1" s="96"/>
      <c r="N1" s="96"/>
      <c r="O1" s="96"/>
      <c r="P1" s="96"/>
      <c r="Q1" s="96"/>
      <c r="R1" s="96"/>
      <c r="S1" s="96"/>
      <c r="T1" s="96"/>
      <c r="U1" s="96"/>
      <c r="V1" s="97"/>
      <c r="W1" s="116" t="str">
        <f>IF(表紙!W1="","",表紙!W1)</f>
        <v>基本設計書</v>
      </c>
      <c r="X1" s="117"/>
      <c r="Y1" s="117"/>
      <c r="Z1" s="117"/>
      <c r="AA1" s="117"/>
      <c r="AB1" s="117"/>
      <c r="AC1" s="117"/>
      <c r="AD1" s="117"/>
      <c r="AE1" s="117"/>
      <c r="AF1" s="117"/>
      <c r="AG1" s="117"/>
      <c r="AH1" s="117"/>
      <c r="AI1" s="117"/>
      <c r="AJ1" s="117"/>
      <c r="AK1" s="117"/>
      <c r="AL1" s="117"/>
      <c r="AM1" s="117"/>
      <c r="AN1" s="117"/>
      <c r="AO1" s="118"/>
      <c r="AP1" s="95" t="s">
        <v>3</v>
      </c>
      <c r="AQ1" s="96"/>
      <c r="AR1" s="96"/>
      <c r="AS1" s="97"/>
      <c r="AT1" s="95" t="s">
        <v>4</v>
      </c>
      <c r="AU1" s="96"/>
      <c r="AV1" s="96"/>
      <c r="AW1" s="96"/>
      <c r="AX1" s="97"/>
      <c r="AY1" s="95" t="s">
        <v>5</v>
      </c>
      <c r="AZ1" s="96"/>
      <c r="BA1" s="96"/>
      <c r="BB1" s="97"/>
      <c r="BC1" s="95" t="s">
        <v>6</v>
      </c>
      <c r="BD1" s="96"/>
      <c r="BE1" s="96"/>
      <c r="BF1" s="96"/>
      <c r="BG1" s="97"/>
      <c r="BH1" s="95" t="s">
        <v>7</v>
      </c>
      <c r="BI1" s="96"/>
      <c r="BJ1" s="96"/>
      <c r="BK1" s="97"/>
    </row>
    <row r="2" spans="1:65" ht="15" customHeight="1">
      <c r="A2" s="80" t="str">
        <f>IF(表紙!A2="","",表紙!A2)</f>
        <v>POSサーバー</v>
      </c>
      <c r="B2" s="81"/>
      <c r="C2" s="81"/>
      <c r="D2" s="81"/>
      <c r="E2" s="81"/>
      <c r="F2" s="81"/>
      <c r="G2" s="81"/>
      <c r="H2" s="81"/>
      <c r="I2" s="81"/>
      <c r="J2" s="82"/>
      <c r="K2" s="80" t="str">
        <f>IF(表紙!K2="","",表紙!K2)</f>
        <v>POSサーバー</v>
      </c>
      <c r="L2" s="81"/>
      <c r="M2" s="81"/>
      <c r="N2" s="81"/>
      <c r="O2" s="81"/>
      <c r="P2" s="81"/>
      <c r="Q2" s="81"/>
      <c r="R2" s="81"/>
      <c r="S2" s="81"/>
      <c r="T2" s="81"/>
      <c r="U2" s="81"/>
      <c r="V2" s="82"/>
      <c r="W2" s="119"/>
      <c r="X2" s="120"/>
      <c r="Y2" s="120"/>
      <c r="Z2" s="120"/>
      <c r="AA2" s="120"/>
      <c r="AB2" s="120"/>
      <c r="AC2" s="120"/>
      <c r="AD2" s="120"/>
      <c r="AE2" s="120"/>
      <c r="AF2" s="120"/>
      <c r="AG2" s="120"/>
      <c r="AH2" s="120"/>
      <c r="AI2" s="120"/>
      <c r="AJ2" s="120"/>
      <c r="AK2" s="120"/>
      <c r="AL2" s="120"/>
      <c r="AM2" s="120"/>
      <c r="AN2" s="120"/>
      <c r="AO2" s="121"/>
      <c r="AP2" s="80" t="str">
        <f>IF(表紙!AP2="","",表紙!AP2)</f>
        <v>AnhDD</v>
      </c>
      <c r="AQ2" s="81"/>
      <c r="AR2" s="81"/>
      <c r="AS2" s="82"/>
      <c r="AT2" s="109">
        <f>IF(表紙!AT2="","",表紙!AT2)</f>
        <v>45416</v>
      </c>
      <c r="AU2" s="110"/>
      <c r="AV2" s="110"/>
      <c r="AW2" s="110"/>
      <c r="AX2" s="111"/>
      <c r="AY2" s="80" t="str">
        <f>IF(表紙!AY2="","",表紙!AY2)</f>
        <v>AnhDD</v>
      </c>
      <c r="AZ2" s="81"/>
      <c r="BA2" s="81"/>
      <c r="BB2" s="82"/>
      <c r="BC2" s="109">
        <f>IF(表紙!BC2="","",表紙!BC2)</f>
        <v>45416</v>
      </c>
      <c r="BD2" s="110"/>
      <c r="BE2" s="110"/>
      <c r="BF2" s="110"/>
      <c r="BG2" s="111"/>
      <c r="BH2" s="80">
        <f>IF(表紙!BH2="","",表紙!BH2)</f>
        <v>0.1</v>
      </c>
      <c r="BI2" s="81"/>
      <c r="BJ2" s="81"/>
      <c r="BK2" s="82"/>
    </row>
    <row r="3" spans="1:65" ht="15" customHeight="1">
      <c r="A3" s="86"/>
      <c r="B3" s="87"/>
      <c r="C3" s="87"/>
      <c r="D3" s="87"/>
      <c r="E3" s="87"/>
      <c r="F3" s="87"/>
      <c r="G3" s="87"/>
      <c r="H3" s="87"/>
      <c r="I3" s="87"/>
      <c r="J3" s="88"/>
      <c r="K3" s="86"/>
      <c r="L3" s="87"/>
      <c r="M3" s="87"/>
      <c r="N3" s="87"/>
      <c r="O3" s="87"/>
      <c r="P3" s="87"/>
      <c r="Q3" s="87"/>
      <c r="R3" s="87"/>
      <c r="S3" s="87"/>
      <c r="T3" s="87"/>
      <c r="U3" s="87"/>
      <c r="V3" s="88"/>
      <c r="W3" s="122"/>
      <c r="X3" s="123"/>
      <c r="Y3" s="123"/>
      <c r="Z3" s="123"/>
      <c r="AA3" s="123"/>
      <c r="AB3" s="123"/>
      <c r="AC3" s="123"/>
      <c r="AD3" s="123"/>
      <c r="AE3" s="123"/>
      <c r="AF3" s="123"/>
      <c r="AG3" s="123"/>
      <c r="AH3" s="123"/>
      <c r="AI3" s="123"/>
      <c r="AJ3" s="123"/>
      <c r="AK3" s="123"/>
      <c r="AL3" s="123"/>
      <c r="AM3" s="123"/>
      <c r="AN3" s="123"/>
      <c r="AO3" s="124"/>
      <c r="AP3" s="86"/>
      <c r="AQ3" s="87"/>
      <c r="AR3" s="87"/>
      <c r="AS3" s="88"/>
      <c r="AT3" s="112"/>
      <c r="AU3" s="113"/>
      <c r="AV3" s="113"/>
      <c r="AW3" s="113"/>
      <c r="AX3" s="114"/>
      <c r="AY3" s="86"/>
      <c r="AZ3" s="87"/>
      <c r="BA3" s="87"/>
      <c r="BB3" s="88"/>
      <c r="BC3" s="112"/>
      <c r="BD3" s="113"/>
      <c r="BE3" s="113"/>
      <c r="BF3" s="113"/>
      <c r="BG3" s="114"/>
      <c r="BH3" s="86"/>
      <c r="BI3" s="87"/>
      <c r="BJ3" s="87"/>
      <c r="BK3" s="88"/>
    </row>
    <row r="4" spans="1:65" ht="24.95" customHeight="1">
      <c r="A4" s="95" t="s">
        <v>10</v>
      </c>
      <c r="B4" s="96"/>
      <c r="C4" s="96"/>
      <c r="D4" s="96"/>
      <c r="E4" s="96"/>
      <c r="F4" s="96"/>
      <c r="G4" s="97"/>
      <c r="H4" s="100" t="str">
        <f>IF(表紙!H4="","",表紙!H4)</f>
        <v>13_部門別売上日報</v>
      </c>
      <c r="I4" s="101"/>
      <c r="J4" s="101"/>
      <c r="K4" s="101"/>
      <c r="L4" s="101"/>
      <c r="M4" s="101"/>
      <c r="N4" s="101"/>
      <c r="O4" s="101"/>
      <c r="P4" s="101"/>
      <c r="Q4" s="101"/>
      <c r="R4" s="101"/>
      <c r="S4" s="101"/>
      <c r="T4" s="102"/>
      <c r="U4" s="95" t="s">
        <v>12</v>
      </c>
      <c r="V4" s="96"/>
      <c r="W4" s="96"/>
      <c r="X4" s="96"/>
      <c r="Y4" s="97"/>
      <c r="Z4" s="100" t="str">
        <f>IF(表紙!Z4="","",表紙!Z4)</f>
        <v>概要設計書</v>
      </c>
      <c r="AA4" s="101"/>
      <c r="AB4" s="101"/>
      <c r="AC4" s="101"/>
      <c r="AD4" s="101"/>
      <c r="AE4" s="101"/>
      <c r="AF4" s="101"/>
      <c r="AG4" s="101"/>
      <c r="AH4" s="101"/>
      <c r="AI4" s="101"/>
      <c r="AJ4" s="101"/>
      <c r="AK4" s="101"/>
      <c r="AL4" s="101"/>
      <c r="AM4" s="101"/>
      <c r="AN4" s="101"/>
      <c r="AO4" s="102"/>
      <c r="AP4" s="100" t="e">
        <f t="array" aca="1" ref="AP4" ca="1">RIGHT(CELL("filename",$A$1),LEN(CELL("filename",$A$1))-FIND("]",CELL("filename",$A$1)))</f>
        <v>#VALUE!</v>
      </c>
      <c r="AQ4" s="101"/>
      <c r="AR4" s="101"/>
      <c r="AS4" s="101"/>
      <c r="AT4" s="101"/>
      <c r="AU4" s="101"/>
      <c r="AV4" s="101"/>
      <c r="AW4" s="101"/>
      <c r="AX4" s="101"/>
      <c r="AY4" s="101"/>
      <c r="AZ4" s="101"/>
      <c r="BA4" s="101"/>
      <c r="BB4" s="101"/>
      <c r="BC4" s="101"/>
      <c r="BD4" s="101"/>
      <c r="BE4" s="101"/>
      <c r="BF4" s="101"/>
      <c r="BG4" s="101"/>
      <c r="BH4" s="101"/>
      <c r="BI4" s="101"/>
      <c r="BJ4" s="101"/>
      <c r="BK4" s="102"/>
    </row>
    <row r="5" spans="1:65" ht="5.0999999999999996" customHeight="1">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5" ht="15" customHeight="1">
      <c r="A6" s="24"/>
      <c r="BK6" s="25"/>
    </row>
    <row r="7" spans="1:65" ht="15" customHeight="1">
      <c r="A7" s="24"/>
      <c r="B7" s="20" t="s">
        <v>33</v>
      </c>
      <c r="F7" s="48"/>
      <c r="G7" s="48"/>
      <c r="H7" s="48"/>
      <c r="I7" s="48"/>
      <c r="J7" s="48"/>
      <c r="K7" s="49"/>
      <c r="L7" s="50"/>
      <c r="M7" s="48"/>
      <c r="N7" s="48"/>
      <c r="O7" s="48"/>
      <c r="P7" s="48"/>
      <c r="Q7" s="48"/>
      <c r="R7" s="48"/>
      <c r="S7" s="48"/>
      <c r="T7" s="49"/>
      <c r="U7" s="50"/>
      <c r="V7" s="48"/>
      <c r="W7" s="48"/>
      <c r="X7" s="48"/>
      <c r="Y7" s="48"/>
      <c r="Z7" s="48"/>
      <c r="AA7" s="48"/>
      <c r="AB7" s="48"/>
      <c r="AC7" s="49"/>
      <c r="AD7" s="50"/>
      <c r="AE7" s="48"/>
      <c r="AF7" s="48"/>
      <c r="AG7" s="48"/>
      <c r="AH7" s="48"/>
      <c r="AI7" s="48"/>
      <c r="AJ7" s="48"/>
      <c r="AK7" s="48"/>
      <c r="AL7" s="49"/>
      <c r="AM7" s="50"/>
      <c r="AN7" s="48"/>
      <c r="AO7" s="48"/>
      <c r="AP7" s="48"/>
      <c r="AQ7" s="48"/>
      <c r="AR7" s="48"/>
      <c r="AS7" s="48"/>
      <c r="AT7" s="48"/>
      <c r="AU7" s="48"/>
      <c r="AV7" s="48"/>
      <c r="AW7" s="48"/>
      <c r="AX7" s="48"/>
      <c r="AY7" s="48"/>
      <c r="AZ7" s="48"/>
      <c r="BA7" s="48"/>
      <c r="BB7" s="48"/>
      <c r="BC7" s="48"/>
      <c r="BD7" s="48"/>
      <c r="BE7" s="48"/>
      <c r="BF7" s="48"/>
      <c r="BG7" s="48"/>
      <c r="BH7" s="48"/>
      <c r="BI7" s="49"/>
      <c r="BJ7" s="48"/>
      <c r="BK7" s="25"/>
      <c r="BM7" s="4">
        <f t="shared" ref="BM7:BM55" si="0">IF(BM6=50,1,BM6+1)</f>
        <v>1</v>
      </c>
    </row>
    <row r="8" spans="1:65" ht="15" customHeight="1">
      <c r="A8" s="24"/>
      <c r="C8" s="51" t="s">
        <v>34</v>
      </c>
      <c r="K8" s="52"/>
      <c r="BK8" s="25"/>
      <c r="BM8" s="4">
        <f t="shared" si="0"/>
        <v>2</v>
      </c>
    </row>
    <row r="9" spans="1:65" ht="15" customHeight="1">
      <c r="A9" s="24"/>
      <c r="D9" s="51" t="s">
        <v>35</v>
      </c>
      <c r="K9" s="52"/>
      <c r="BK9" s="25"/>
      <c r="BM9" s="4">
        <f t="shared" si="0"/>
        <v>3</v>
      </c>
    </row>
    <row r="10" spans="1:65" ht="15" customHeight="1">
      <c r="A10" s="24"/>
      <c r="D10" s="51" t="s">
        <v>36</v>
      </c>
      <c r="K10" s="52"/>
      <c r="BK10" s="25"/>
      <c r="BM10" s="4">
        <f t="shared" si="0"/>
        <v>4</v>
      </c>
    </row>
    <row r="11" spans="1:65" s="52" customFormat="1" ht="15" customHeight="1">
      <c r="A11" s="53"/>
      <c r="B11" s="20"/>
      <c r="C11" s="20"/>
      <c r="D11" s="54" t="s">
        <v>37</v>
      </c>
      <c r="E11" s="20"/>
      <c r="BK11" s="55"/>
      <c r="BM11" s="4">
        <f t="shared" si="0"/>
        <v>5</v>
      </c>
    </row>
    <row r="12" spans="1:65" s="52" customFormat="1" ht="15" customHeight="1">
      <c r="A12" s="53"/>
      <c r="B12" s="20"/>
      <c r="C12" s="56" t="s">
        <v>38</v>
      </c>
      <c r="D12" s="20"/>
      <c r="E12" s="20"/>
      <c r="BK12" s="55"/>
      <c r="BM12" s="4">
        <f t="shared" si="0"/>
        <v>6</v>
      </c>
    </row>
    <row r="13" spans="1:65" s="52" customFormat="1" ht="15" customHeight="1">
      <c r="A13" s="53"/>
      <c r="B13" s="20"/>
      <c r="C13" s="20"/>
      <c r="D13" s="56" t="s">
        <v>39</v>
      </c>
      <c r="E13" s="20"/>
      <c r="BK13" s="55"/>
      <c r="BM13" s="4">
        <f t="shared" si="0"/>
        <v>7</v>
      </c>
    </row>
    <row r="14" spans="1:65" s="52" customFormat="1" ht="15" customHeight="1">
      <c r="A14" s="53"/>
      <c r="B14" s="20"/>
      <c r="C14" s="20"/>
      <c r="D14" s="51"/>
      <c r="E14" s="20"/>
      <c r="BK14" s="55"/>
      <c r="BM14" s="4">
        <f t="shared" si="0"/>
        <v>8</v>
      </c>
    </row>
    <row r="15" spans="1:65" s="52" customFormat="1" ht="15" customHeight="1">
      <c r="A15" s="53"/>
      <c r="B15" s="20"/>
      <c r="C15" s="20"/>
      <c r="D15" s="51"/>
      <c r="E15" s="20"/>
      <c r="BK15" s="55"/>
      <c r="BM15" s="4">
        <f t="shared" si="0"/>
        <v>9</v>
      </c>
    </row>
    <row r="16" spans="1:65" s="52" customFormat="1" ht="15" customHeight="1">
      <c r="A16" s="53"/>
      <c r="B16" s="20"/>
      <c r="C16" s="20"/>
      <c r="D16" s="20"/>
      <c r="E16" s="20"/>
      <c r="BK16" s="55"/>
      <c r="BM16" s="4">
        <f t="shared" si="0"/>
        <v>10</v>
      </c>
    </row>
    <row r="17" spans="1:65" s="52" customFormat="1" ht="15" customHeight="1">
      <c r="A17" s="53"/>
      <c r="B17" s="20"/>
      <c r="C17" s="20"/>
      <c r="D17" s="51"/>
      <c r="E17" s="20"/>
      <c r="BK17" s="55"/>
      <c r="BM17" s="4">
        <f t="shared" si="0"/>
        <v>11</v>
      </c>
    </row>
    <row r="18" spans="1:65" s="52" customFormat="1" ht="15" customHeight="1">
      <c r="A18" s="53"/>
      <c r="B18" s="20"/>
      <c r="C18" s="20"/>
      <c r="D18" s="51"/>
      <c r="E18" s="20"/>
      <c r="BK18" s="55"/>
      <c r="BM18" s="4">
        <f t="shared" si="0"/>
        <v>12</v>
      </c>
    </row>
    <row r="19" spans="1:65" s="52" customFormat="1" ht="15" customHeight="1">
      <c r="A19" s="53"/>
      <c r="B19" s="20"/>
      <c r="C19" s="20"/>
      <c r="D19" s="20"/>
      <c r="E19" s="51"/>
      <c r="BK19" s="55"/>
      <c r="BM19" s="4">
        <f t="shared" si="0"/>
        <v>13</v>
      </c>
    </row>
    <row r="20" spans="1:65" s="52" customFormat="1" ht="15" customHeight="1">
      <c r="A20" s="53"/>
      <c r="B20" s="20"/>
      <c r="C20" s="20"/>
      <c r="D20" s="20"/>
      <c r="E20" s="51"/>
      <c r="BK20" s="55"/>
      <c r="BM20" s="4">
        <f t="shared" si="0"/>
        <v>14</v>
      </c>
    </row>
    <row r="21" spans="1:65" s="52" customFormat="1" ht="15" customHeight="1">
      <c r="A21" s="53"/>
      <c r="BK21" s="55"/>
      <c r="BM21" s="4">
        <f t="shared" si="0"/>
        <v>15</v>
      </c>
    </row>
    <row r="22" spans="1:65" s="52" customFormat="1" ht="15" customHeight="1">
      <c r="A22" s="53"/>
      <c r="BK22" s="55"/>
      <c r="BM22" s="4">
        <f t="shared" si="0"/>
        <v>16</v>
      </c>
    </row>
    <row r="23" spans="1:65" s="52" customFormat="1" ht="15" customHeight="1">
      <c r="A23" s="53"/>
      <c r="BK23" s="55"/>
      <c r="BM23" s="4">
        <f t="shared" si="0"/>
        <v>17</v>
      </c>
    </row>
    <row r="24" spans="1:65" s="52" customFormat="1" ht="15" customHeight="1">
      <c r="A24" s="53"/>
      <c r="BK24" s="55"/>
      <c r="BM24" s="4">
        <f t="shared" si="0"/>
        <v>18</v>
      </c>
    </row>
    <row r="25" spans="1:65" s="52" customFormat="1" ht="15" customHeight="1">
      <c r="A25" s="53"/>
      <c r="BK25" s="55"/>
      <c r="BM25" s="4">
        <f t="shared" si="0"/>
        <v>19</v>
      </c>
    </row>
    <row r="26" spans="1:65" s="52" customFormat="1" ht="15" customHeight="1">
      <c r="A26" s="53"/>
      <c r="BK26" s="55"/>
      <c r="BM26" s="4">
        <f t="shared" si="0"/>
        <v>20</v>
      </c>
    </row>
    <row r="27" spans="1:65" s="52" customFormat="1" ht="15" customHeight="1">
      <c r="A27" s="53"/>
      <c r="BK27" s="55"/>
      <c r="BM27" s="4">
        <f t="shared" si="0"/>
        <v>21</v>
      </c>
    </row>
    <row r="28" spans="1:65" s="52" customFormat="1" ht="15" customHeight="1">
      <c r="A28" s="53"/>
      <c r="BK28" s="55"/>
      <c r="BM28" s="4">
        <f t="shared" si="0"/>
        <v>22</v>
      </c>
    </row>
    <row r="29" spans="1:65" s="52" customFormat="1" ht="15" customHeight="1">
      <c r="A29" s="53"/>
      <c r="BK29" s="55"/>
      <c r="BM29" s="4">
        <f t="shared" si="0"/>
        <v>23</v>
      </c>
    </row>
    <row r="30" spans="1:65" s="52" customFormat="1" ht="15" customHeight="1">
      <c r="A30" s="53"/>
      <c r="BK30" s="55"/>
      <c r="BM30" s="4">
        <f t="shared" si="0"/>
        <v>24</v>
      </c>
    </row>
    <row r="31" spans="1:65" s="52" customFormat="1" ht="15" customHeight="1">
      <c r="A31" s="53"/>
      <c r="BK31" s="55"/>
      <c r="BM31" s="4">
        <f t="shared" si="0"/>
        <v>25</v>
      </c>
    </row>
    <row r="32" spans="1:65" s="52" customFormat="1" ht="15" customHeight="1">
      <c r="A32" s="53"/>
      <c r="BK32" s="55"/>
      <c r="BM32" s="4">
        <f t="shared" si="0"/>
        <v>26</v>
      </c>
    </row>
    <row r="33" spans="1:65" s="52" customFormat="1" ht="15" customHeight="1">
      <c r="A33" s="53"/>
      <c r="BK33" s="55"/>
      <c r="BM33" s="4">
        <f t="shared" si="0"/>
        <v>27</v>
      </c>
    </row>
    <row r="34" spans="1:65" s="52" customFormat="1" ht="15" customHeight="1">
      <c r="A34" s="53"/>
      <c r="BK34" s="55"/>
      <c r="BM34" s="4">
        <f t="shared" si="0"/>
        <v>28</v>
      </c>
    </row>
    <row r="35" spans="1:65" s="52" customFormat="1" ht="15" customHeight="1">
      <c r="A35" s="53"/>
      <c r="BK35" s="55"/>
      <c r="BM35" s="4">
        <f t="shared" si="0"/>
        <v>29</v>
      </c>
    </row>
    <row r="36" spans="1:65" s="52" customFormat="1" ht="15" customHeight="1">
      <c r="A36" s="53"/>
      <c r="BK36" s="55"/>
      <c r="BM36" s="4">
        <f t="shared" si="0"/>
        <v>30</v>
      </c>
    </row>
    <row r="37" spans="1:65" s="52" customFormat="1" ht="15" customHeight="1">
      <c r="A37" s="53"/>
      <c r="BK37" s="55"/>
      <c r="BM37" s="4">
        <f t="shared" si="0"/>
        <v>31</v>
      </c>
    </row>
    <row r="38" spans="1:65" s="52" customFormat="1" ht="15" customHeight="1">
      <c r="A38" s="53"/>
      <c r="BK38" s="55"/>
      <c r="BM38" s="4">
        <f t="shared" si="0"/>
        <v>32</v>
      </c>
    </row>
    <row r="39" spans="1:65" s="52" customFormat="1" ht="15" customHeight="1">
      <c r="A39" s="53"/>
      <c r="BK39" s="55"/>
      <c r="BM39" s="4">
        <f t="shared" si="0"/>
        <v>33</v>
      </c>
    </row>
    <row r="40" spans="1:65" s="52" customFormat="1" ht="15" customHeight="1">
      <c r="A40" s="53"/>
      <c r="BK40" s="55"/>
      <c r="BM40" s="4">
        <f t="shared" si="0"/>
        <v>34</v>
      </c>
    </row>
    <row r="41" spans="1:65" s="52" customFormat="1" ht="15" customHeight="1">
      <c r="A41" s="53"/>
      <c r="BK41" s="55"/>
      <c r="BM41" s="4">
        <f t="shared" si="0"/>
        <v>35</v>
      </c>
    </row>
    <row r="42" spans="1:65" s="52" customFormat="1" ht="15" customHeight="1">
      <c r="A42" s="53"/>
      <c r="BK42" s="55"/>
      <c r="BM42" s="4">
        <f t="shared" si="0"/>
        <v>36</v>
      </c>
    </row>
    <row r="43" spans="1:65" s="52" customFormat="1" ht="15" customHeight="1">
      <c r="A43" s="53"/>
      <c r="BK43" s="55"/>
      <c r="BM43" s="4">
        <f t="shared" si="0"/>
        <v>37</v>
      </c>
    </row>
    <row r="44" spans="1:65" s="52" customFormat="1" ht="15" customHeight="1">
      <c r="A44" s="53"/>
      <c r="BK44" s="55"/>
      <c r="BM44" s="4">
        <f t="shared" si="0"/>
        <v>38</v>
      </c>
    </row>
    <row r="45" spans="1:65" s="52" customFormat="1" ht="15" customHeight="1">
      <c r="A45" s="53"/>
      <c r="BK45" s="55"/>
      <c r="BM45" s="4">
        <f t="shared" si="0"/>
        <v>39</v>
      </c>
    </row>
    <row r="46" spans="1:65" s="52" customFormat="1" ht="15" customHeight="1">
      <c r="A46" s="53"/>
      <c r="BK46" s="55"/>
      <c r="BM46" s="4">
        <f t="shared" si="0"/>
        <v>40</v>
      </c>
    </row>
    <row r="47" spans="1:65" s="52" customFormat="1" ht="15" customHeight="1">
      <c r="A47" s="53"/>
      <c r="BK47" s="55"/>
      <c r="BM47" s="4">
        <f t="shared" si="0"/>
        <v>41</v>
      </c>
    </row>
    <row r="48" spans="1:65" s="52" customFormat="1" ht="15" customHeight="1">
      <c r="A48" s="53"/>
      <c r="BK48" s="55"/>
      <c r="BM48" s="4">
        <f t="shared" si="0"/>
        <v>42</v>
      </c>
    </row>
    <row r="49" spans="1:65" s="52" customFormat="1" ht="15" customHeight="1">
      <c r="A49" s="53"/>
      <c r="BK49" s="55"/>
      <c r="BM49" s="4">
        <f t="shared" si="0"/>
        <v>43</v>
      </c>
    </row>
    <row r="50" spans="1:65" s="52" customFormat="1" ht="15" customHeight="1">
      <c r="A50" s="53"/>
      <c r="BK50" s="55"/>
      <c r="BM50" s="4">
        <f t="shared" si="0"/>
        <v>44</v>
      </c>
    </row>
    <row r="51" spans="1:65" s="52" customFormat="1" ht="15" customHeight="1">
      <c r="A51" s="53"/>
      <c r="BK51" s="55"/>
      <c r="BM51" s="4">
        <f t="shared" si="0"/>
        <v>45</v>
      </c>
    </row>
    <row r="52" spans="1:65" s="52" customFormat="1" ht="15" customHeight="1">
      <c r="A52" s="53"/>
      <c r="BK52" s="55"/>
      <c r="BM52" s="4">
        <f t="shared" si="0"/>
        <v>46</v>
      </c>
    </row>
    <row r="53" spans="1:65" s="52" customFormat="1" ht="15" customHeight="1">
      <c r="A53" s="53"/>
      <c r="BK53" s="55"/>
      <c r="BM53" s="4">
        <f t="shared" si="0"/>
        <v>47</v>
      </c>
    </row>
    <row r="54" spans="1:65" s="52" customFormat="1" ht="15" customHeight="1">
      <c r="A54" s="53"/>
      <c r="BK54" s="55"/>
      <c r="BM54" s="4">
        <f t="shared" si="0"/>
        <v>48</v>
      </c>
    </row>
    <row r="55" spans="1:65" s="52" customFormat="1" ht="15" customHeight="1">
      <c r="A55" s="57"/>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9"/>
      <c r="BM55" s="4">
        <f t="shared" si="0"/>
        <v>49</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37232-D969-49C4-874E-3831A458F2E0}">
  <sheetPr>
    <tabColor rgb="FFFFFF00"/>
    <pageSetUpPr fitToPage="1"/>
  </sheetPr>
  <dimension ref="A1:CI132"/>
  <sheetViews>
    <sheetView tabSelected="1" view="pageBreakPreview" topLeftCell="A25" zoomScale="85" zoomScaleNormal="75" zoomScaleSheetLayoutView="85" workbookViewId="0">
      <selection activeCell="AH32" sqref="AH32"/>
    </sheetView>
  </sheetViews>
  <sheetFormatPr defaultColWidth="2.77734375" defaultRowHeight="15" customHeight="1"/>
  <cols>
    <col min="1" max="87" width="2.77734375" style="20" customWidth="1"/>
    <col min="88" max="16384" width="2.77734375" style="20"/>
  </cols>
  <sheetData>
    <row r="1" spans="1:65" ht="24.95" customHeight="1">
      <c r="A1" s="95" t="s">
        <v>0</v>
      </c>
      <c r="B1" s="96"/>
      <c r="C1" s="96"/>
      <c r="D1" s="96"/>
      <c r="E1" s="96"/>
      <c r="F1" s="96"/>
      <c r="G1" s="96"/>
      <c r="H1" s="96"/>
      <c r="I1" s="96"/>
      <c r="J1" s="97"/>
      <c r="K1" s="95" t="s">
        <v>1</v>
      </c>
      <c r="L1" s="96"/>
      <c r="M1" s="96"/>
      <c r="N1" s="96"/>
      <c r="O1" s="96"/>
      <c r="P1" s="96"/>
      <c r="Q1" s="96"/>
      <c r="R1" s="96"/>
      <c r="S1" s="96"/>
      <c r="T1" s="96"/>
      <c r="U1" s="96"/>
      <c r="V1" s="97"/>
      <c r="W1" s="116" t="str">
        <f>IF(表紙!W1="","",表紙!W1)</f>
        <v>基本設計書</v>
      </c>
      <c r="X1" s="117"/>
      <c r="Y1" s="117"/>
      <c r="Z1" s="117"/>
      <c r="AA1" s="117"/>
      <c r="AB1" s="117"/>
      <c r="AC1" s="117"/>
      <c r="AD1" s="117"/>
      <c r="AE1" s="117"/>
      <c r="AF1" s="117"/>
      <c r="AG1" s="117"/>
      <c r="AH1" s="117"/>
      <c r="AI1" s="117"/>
      <c r="AJ1" s="117"/>
      <c r="AK1" s="117"/>
      <c r="AL1" s="117"/>
      <c r="AM1" s="117"/>
      <c r="AN1" s="117"/>
      <c r="AO1" s="118"/>
      <c r="AP1" s="95" t="s">
        <v>3</v>
      </c>
      <c r="AQ1" s="96"/>
      <c r="AR1" s="96"/>
      <c r="AS1" s="97"/>
      <c r="AT1" s="95" t="s">
        <v>4</v>
      </c>
      <c r="AU1" s="96"/>
      <c r="AV1" s="96"/>
      <c r="AW1" s="96"/>
      <c r="AX1" s="97"/>
      <c r="AY1" s="95" t="s">
        <v>5</v>
      </c>
      <c r="AZ1" s="96"/>
      <c r="BA1" s="96"/>
      <c r="BB1" s="97"/>
      <c r="BC1" s="95" t="s">
        <v>6</v>
      </c>
      <c r="BD1" s="96"/>
      <c r="BE1" s="96"/>
      <c r="BF1" s="96"/>
      <c r="BG1" s="97"/>
      <c r="BH1" s="95" t="s">
        <v>7</v>
      </c>
      <c r="BI1" s="96"/>
      <c r="BJ1" s="96"/>
      <c r="BK1" s="97"/>
    </row>
    <row r="2" spans="1:65" ht="15" customHeight="1">
      <c r="A2" s="80" t="str">
        <f>IF(表紙!A2="","",表紙!A2)</f>
        <v>POSサーバー</v>
      </c>
      <c r="B2" s="81"/>
      <c r="C2" s="81"/>
      <c r="D2" s="81"/>
      <c r="E2" s="81"/>
      <c r="F2" s="81"/>
      <c r="G2" s="81"/>
      <c r="H2" s="81"/>
      <c r="I2" s="81"/>
      <c r="J2" s="82"/>
      <c r="K2" s="80" t="str">
        <f>IF(表紙!K2="","",表紙!K2)</f>
        <v>POSサーバー</v>
      </c>
      <c r="L2" s="81"/>
      <c r="M2" s="81"/>
      <c r="N2" s="81"/>
      <c r="O2" s="81"/>
      <c r="P2" s="81"/>
      <c r="Q2" s="81"/>
      <c r="R2" s="81"/>
      <c r="S2" s="81"/>
      <c r="T2" s="81"/>
      <c r="U2" s="81"/>
      <c r="V2" s="82"/>
      <c r="W2" s="119"/>
      <c r="X2" s="120"/>
      <c r="Y2" s="120"/>
      <c r="Z2" s="120"/>
      <c r="AA2" s="120"/>
      <c r="AB2" s="120"/>
      <c r="AC2" s="120"/>
      <c r="AD2" s="120"/>
      <c r="AE2" s="120"/>
      <c r="AF2" s="120"/>
      <c r="AG2" s="120"/>
      <c r="AH2" s="120"/>
      <c r="AI2" s="120"/>
      <c r="AJ2" s="120"/>
      <c r="AK2" s="120"/>
      <c r="AL2" s="120"/>
      <c r="AM2" s="120"/>
      <c r="AN2" s="120"/>
      <c r="AO2" s="121"/>
      <c r="AP2" s="80" t="str">
        <f>IF(表紙!AP2="","",表紙!AP2)</f>
        <v>AnhDD</v>
      </c>
      <c r="AQ2" s="81"/>
      <c r="AR2" s="81"/>
      <c r="AS2" s="82"/>
      <c r="AT2" s="109">
        <f>IF(表紙!AT2="","",表紙!AT2)</f>
        <v>45416</v>
      </c>
      <c r="AU2" s="110"/>
      <c r="AV2" s="110"/>
      <c r="AW2" s="110"/>
      <c r="AX2" s="111"/>
      <c r="AY2" s="80" t="str">
        <f>IF(表紙!AY2="","",表紙!AY2)</f>
        <v>AnhDD</v>
      </c>
      <c r="AZ2" s="81"/>
      <c r="BA2" s="81"/>
      <c r="BB2" s="82"/>
      <c r="BC2" s="109">
        <f>IF(表紙!BC2="","",表紙!BC2)</f>
        <v>45416</v>
      </c>
      <c r="BD2" s="110"/>
      <c r="BE2" s="110"/>
      <c r="BF2" s="110"/>
      <c r="BG2" s="111"/>
      <c r="BH2" s="80">
        <f>IF(表紙!BH2="","",表紙!BH2)</f>
        <v>0.1</v>
      </c>
      <c r="BI2" s="81"/>
      <c r="BJ2" s="81"/>
      <c r="BK2" s="82"/>
    </row>
    <row r="3" spans="1:65" ht="15" customHeight="1">
      <c r="A3" s="86"/>
      <c r="B3" s="87"/>
      <c r="C3" s="87"/>
      <c r="D3" s="87"/>
      <c r="E3" s="87"/>
      <c r="F3" s="87"/>
      <c r="G3" s="87"/>
      <c r="H3" s="87"/>
      <c r="I3" s="87"/>
      <c r="J3" s="88"/>
      <c r="K3" s="86"/>
      <c r="L3" s="87"/>
      <c r="M3" s="87"/>
      <c r="N3" s="87"/>
      <c r="O3" s="87"/>
      <c r="P3" s="87"/>
      <c r="Q3" s="87"/>
      <c r="R3" s="87"/>
      <c r="S3" s="87"/>
      <c r="T3" s="87"/>
      <c r="U3" s="87"/>
      <c r="V3" s="88"/>
      <c r="W3" s="122"/>
      <c r="X3" s="123"/>
      <c r="Y3" s="123"/>
      <c r="Z3" s="123"/>
      <c r="AA3" s="123"/>
      <c r="AB3" s="123"/>
      <c r="AC3" s="123"/>
      <c r="AD3" s="123"/>
      <c r="AE3" s="123"/>
      <c r="AF3" s="123"/>
      <c r="AG3" s="123"/>
      <c r="AH3" s="123"/>
      <c r="AI3" s="123"/>
      <c r="AJ3" s="123"/>
      <c r="AK3" s="123"/>
      <c r="AL3" s="123"/>
      <c r="AM3" s="123"/>
      <c r="AN3" s="123"/>
      <c r="AO3" s="124"/>
      <c r="AP3" s="86"/>
      <c r="AQ3" s="87"/>
      <c r="AR3" s="87"/>
      <c r="AS3" s="88"/>
      <c r="AT3" s="112"/>
      <c r="AU3" s="113"/>
      <c r="AV3" s="113"/>
      <c r="AW3" s="113"/>
      <c r="AX3" s="114"/>
      <c r="AY3" s="86"/>
      <c r="AZ3" s="87"/>
      <c r="BA3" s="87"/>
      <c r="BB3" s="88"/>
      <c r="BC3" s="112"/>
      <c r="BD3" s="113"/>
      <c r="BE3" s="113"/>
      <c r="BF3" s="113"/>
      <c r="BG3" s="114"/>
      <c r="BH3" s="86"/>
      <c r="BI3" s="87"/>
      <c r="BJ3" s="87"/>
      <c r="BK3" s="88"/>
    </row>
    <row r="4" spans="1:65" ht="24.95" customHeight="1">
      <c r="A4" s="95" t="s">
        <v>10</v>
      </c>
      <c r="B4" s="96"/>
      <c r="C4" s="96"/>
      <c r="D4" s="96"/>
      <c r="E4" s="96"/>
      <c r="F4" s="96"/>
      <c r="G4" s="97"/>
      <c r="H4" s="100" t="str">
        <f>IF(表紙!H4="","",表紙!H4)</f>
        <v>13_部門別売上日報</v>
      </c>
      <c r="I4" s="101"/>
      <c r="J4" s="101"/>
      <c r="K4" s="101"/>
      <c r="L4" s="101"/>
      <c r="M4" s="101"/>
      <c r="N4" s="101"/>
      <c r="O4" s="101"/>
      <c r="P4" s="101"/>
      <c r="Q4" s="101"/>
      <c r="R4" s="101"/>
      <c r="S4" s="101"/>
      <c r="T4" s="102"/>
      <c r="U4" s="95" t="s">
        <v>12</v>
      </c>
      <c r="V4" s="96"/>
      <c r="W4" s="96"/>
      <c r="X4" s="96"/>
      <c r="Y4" s="97"/>
      <c r="Z4" s="100" t="str">
        <f>IF(表紙!Z4="","",表紙!Z4)</f>
        <v>概要設計書</v>
      </c>
      <c r="AA4" s="101"/>
      <c r="AB4" s="101"/>
      <c r="AC4" s="101"/>
      <c r="AD4" s="101"/>
      <c r="AE4" s="101"/>
      <c r="AF4" s="101"/>
      <c r="AG4" s="101"/>
      <c r="AH4" s="101"/>
      <c r="AI4" s="101"/>
      <c r="AJ4" s="101"/>
      <c r="AK4" s="101"/>
      <c r="AL4" s="101"/>
      <c r="AM4" s="101"/>
      <c r="AN4" s="101"/>
      <c r="AO4" s="102"/>
      <c r="AP4" s="100" t="e">
        <f t="array" aca="1" ref="AP4" ca="1">RIGHT(CELL("filename",$A$1),LEN(CELL("filename",$A$1))-FIND("]",CELL("filename",$A$1)))</f>
        <v>#VALUE!</v>
      </c>
      <c r="AQ4" s="101"/>
      <c r="AR4" s="101"/>
      <c r="AS4" s="101"/>
      <c r="AT4" s="101"/>
      <c r="AU4" s="101"/>
      <c r="AV4" s="101"/>
      <c r="AW4" s="101"/>
      <c r="AX4" s="101"/>
      <c r="AY4" s="101"/>
      <c r="AZ4" s="101"/>
      <c r="BA4" s="101"/>
      <c r="BB4" s="101"/>
      <c r="BC4" s="101"/>
      <c r="BD4" s="101"/>
      <c r="BE4" s="101"/>
      <c r="BF4" s="101"/>
      <c r="BG4" s="101"/>
      <c r="BH4" s="101"/>
      <c r="BI4" s="101"/>
      <c r="BJ4" s="101"/>
      <c r="BK4" s="102"/>
    </row>
    <row r="5" spans="1:65" ht="5.0999999999999996" customHeight="1">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5" ht="15" customHeight="1">
      <c r="A6" s="24"/>
      <c r="BK6" s="25"/>
    </row>
    <row r="7" spans="1:65" ht="15" customHeight="1">
      <c r="A7" s="24"/>
      <c r="B7" s="60" t="s">
        <v>40</v>
      </c>
      <c r="C7" s="61"/>
      <c r="D7" s="62"/>
      <c r="E7" s="62"/>
      <c r="F7" s="62"/>
      <c r="G7" s="62"/>
      <c r="H7" s="62"/>
      <c r="I7" s="62"/>
      <c r="J7" s="62"/>
      <c r="K7" s="63"/>
      <c r="L7" s="61"/>
      <c r="M7" s="62"/>
      <c r="N7" s="62"/>
      <c r="O7" s="62"/>
      <c r="P7" s="62"/>
      <c r="Q7" s="62"/>
      <c r="R7" s="62"/>
      <c r="S7" s="62"/>
      <c r="T7" s="63"/>
      <c r="U7" s="61"/>
      <c r="V7" s="62"/>
      <c r="W7" s="62"/>
      <c r="X7" s="62"/>
      <c r="Y7" s="62"/>
      <c r="Z7" s="62"/>
      <c r="AA7" s="62"/>
      <c r="AB7" s="62"/>
      <c r="AC7" s="63"/>
      <c r="AD7" s="61"/>
      <c r="AE7" s="62"/>
      <c r="AF7" s="62"/>
      <c r="AG7" s="62"/>
      <c r="AH7" s="62"/>
      <c r="AI7" s="62"/>
      <c r="AJ7" s="62"/>
      <c r="AK7" s="62"/>
      <c r="AL7" s="63"/>
      <c r="AM7" s="61"/>
      <c r="AN7" s="62"/>
      <c r="AO7" s="62"/>
      <c r="AP7" s="62"/>
      <c r="AQ7" s="62"/>
      <c r="AR7" s="62"/>
      <c r="AS7" s="62"/>
      <c r="AT7" s="62"/>
      <c r="AU7" s="62"/>
      <c r="AV7" s="62"/>
      <c r="AW7" s="62"/>
      <c r="AX7" s="62"/>
      <c r="AY7" s="62"/>
      <c r="AZ7" s="62"/>
      <c r="BA7" s="62"/>
      <c r="BB7" s="62"/>
      <c r="BC7" s="62"/>
      <c r="BD7" s="62"/>
      <c r="BE7" s="62"/>
      <c r="BF7" s="62"/>
      <c r="BG7" s="62"/>
      <c r="BH7" s="62"/>
      <c r="BI7" s="63"/>
      <c r="BJ7" s="62"/>
      <c r="BK7" s="25"/>
      <c r="BM7" s="4">
        <f t="shared" ref="BM7:BM74" si="0">IF(BM6=50,1,BM6+1)</f>
        <v>1</v>
      </c>
    </row>
    <row r="8" spans="1:65" s="52" customFormat="1" ht="15" customHeight="1">
      <c r="A8" s="53"/>
      <c r="B8" s="18"/>
      <c r="K8" s="64"/>
      <c r="L8" s="65"/>
      <c r="T8" s="64"/>
      <c r="U8" s="65"/>
      <c r="AC8" s="64"/>
      <c r="AD8" s="65"/>
      <c r="AL8" s="64"/>
      <c r="AM8" s="65"/>
      <c r="BI8" s="64"/>
      <c r="BK8" s="55"/>
      <c r="BM8" s="4">
        <f t="shared" si="0"/>
        <v>2</v>
      </c>
    </row>
    <row r="9" spans="1:65" s="52" customFormat="1" ht="15" customHeight="1">
      <c r="A9" s="53"/>
      <c r="B9" s="18"/>
      <c r="K9" s="64"/>
      <c r="L9" s="65"/>
      <c r="T9" s="64"/>
      <c r="U9" s="65"/>
      <c r="AC9" s="64"/>
      <c r="AD9" s="65"/>
      <c r="AL9" s="64"/>
      <c r="AM9" s="65"/>
      <c r="BI9" s="64"/>
      <c r="BK9" s="55"/>
      <c r="BM9" s="4">
        <f t="shared" si="0"/>
        <v>3</v>
      </c>
    </row>
    <row r="10" spans="1:65" s="52" customFormat="1" ht="15" customHeight="1">
      <c r="A10" s="53"/>
      <c r="B10" s="18"/>
      <c r="K10" s="64"/>
      <c r="L10" s="65"/>
      <c r="T10" s="64"/>
      <c r="U10" s="65"/>
      <c r="AC10" s="64"/>
      <c r="AD10" s="65"/>
      <c r="AL10" s="64"/>
      <c r="AM10" s="65"/>
      <c r="BI10" s="64"/>
      <c r="BK10" s="55"/>
      <c r="BM10" s="4">
        <f t="shared" si="0"/>
        <v>4</v>
      </c>
    </row>
    <row r="11" spans="1:65" s="52" customFormat="1" ht="15" customHeight="1">
      <c r="A11" s="53"/>
      <c r="B11" s="18"/>
      <c r="K11" s="64"/>
      <c r="L11" s="65"/>
      <c r="T11" s="64"/>
      <c r="U11" s="65"/>
      <c r="AC11" s="64"/>
      <c r="AD11" s="65"/>
      <c r="AL11" s="64"/>
      <c r="AM11" s="65"/>
      <c r="BI11" s="64"/>
      <c r="BK11" s="55"/>
      <c r="BM11" s="4">
        <f t="shared" si="0"/>
        <v>5</v>
      </c>
    </row>
    <row r="12" spans="1:65" s="52" customFormat="1" ht="15" customHeight="1">
      <c r="A12" s="53"/>
      <c r="B12" s="18"/>
      <c r="K12" s="64"/>
      <c r="L12" s="65"/>
      <c r="T12" s="64"/>
      <c r="U12" s="65"/>
      <c r="AC12" s="64"/>
      <c r="AD12" s="65"/>
      <c r="AL12" s="64"/>
      <c r="AM12" s="65"/>
      <c r="BI12" s="64"/>
      <c r="BK12" s="55"/>
      <c r="BM12" s="4">
        <f t="shared" si="0"/>
        <v>6</v>
      </c>
    </row>
    <row r="13" spans="1:65" s="52" customFormat="1" ht="15" customHeight="1">
      <c r="A13" s="53"/>
      <c r="B13" s="18"/>
      <c r="K13" s="64"/>
      <c r="L13" s="65"/>
      <c r="T13" s="64"/>
      <c r="U13" s="65"/>
      <c r="AC13" s="64"/>
      <c r="AD13" s="65"/>
      <c r="AL13" s="64"/>
      <c r="AM13" s="65"/>
      <c r="BI13" s="64"/>
      <c r="BK13" s="55"/>
      <c r="BM13" s="4">
        <f t="shared" si="0"/>
        <v>7</v>
      </c>
    </row>
    <row r="14" spans="1:65" s="52" customFormat="1" ht="15" customHeight="1">
      <c r="A14" s="53"/>
      <c r="B14" s="18"/>
      <c r="K14" s="64"/>
      <c r="L14" s="65"/>
      <c r="T14" s="64"/>
      <c r="U14" s="65"/>
      <c r="AC14" s="64"/>
      <c r="AD14" s="65"/>
      <c r="AL14" s="64"/>
      <c r="AM14" s="65"/>
      <c r="BI14" s="64"/>
      <c r="BK14" s="55"/>
      <c r="BM14" s="4">
        <f t="shared" si="0"/>
        <v>8</v>
      </c>
    </row>
    <row r="15" spans="1:65" s="52" customFormat="1" ht="15" customHeight="1">
      <c r="A15" s="53"/>
      <c r="B15" s="18"/>
      <c r="K15" s="64"/>
      <c r="L15" s="65"/>
      <c r="T15" s="64"/>
      <c r="U15" s="65"/>
      <c r="AC15" s="64"/>
      <c r="AD15" s="65"/>
      <c r="AL15" s="64"/>
      <c r="AM15" s="65"/>
      <c r="BI15" s="64"/>
      <c r="BK15" s="55"/>
      <c r="BM15" s="4">
        <f t="shared" si="0"/>
        <v>9</v>
      </c>
    </row>
    <row r="16" spans="1:65" s="52" customFormat="1" ht="15" customHeight="1">
      <c r="A16" s="53"/>
      <c r="B16" s="18"/>
      <c r="K16" s="64"/>
      <c r="L16" s="65"/>
      <c r="T16" s="64"/>
      <c r="U16" s="65"/>
      <c r="AC16" s="64"/>
      <c r="AD16" s="65"/>
      <c r="AL16" s="64"/>
      <c r="AM16" s="65"/>
      <c r="BI16" s="64"/>
      <c r="BK16" s="55"/>
      <c r="BM16" s="4">
        <f t="shared" si="0"/>
        <v>10</v>
      </c>
    </row>
    <row r="17" spans="1:65" s="52" customFormat="1" ht="15" customHeight="1">
      <c r="A17" s="53"/>
      <c r="B17" s="18"/>
      <c r="K17" s="64"/>
      <c r="L17" s="65"/>
      <c r="T17" s="64"/>
      <c r="U17" s="65"/>
      <c r="AC17" s="64"/>
      <c r="AD17" s="65"/>
      <c r="AL17" s="64"/>
      <c r="AM17" s="65"/>
      <c r="BI17" s="64"/>
      <c r="BK17" s="55"/>
      <c r="BM17" s="4">
        <f t="shared" si="0"/>
        <v>11</v>
      </c>
    </row>
    <row r="18" spans="1:65" s="52" customFormat="1" ht="15" customHeight="1">
      <c r="A18" s="53"/>
      <c r="B18" s="18"/>
      <c r="K18" s="64"/>
      <c r="L18" s="65"/>
      <c r="T18" s="64"/>
      <c r="U18" s="65"/>
      <c r="AC18" s="64"/>
      <c r="AD18" s="65"/>
      <c r="AL18" s="64"/>
      <c r="AM18" s="65"/>
      <c r="BI18" s="64"/>
      <c r="BK18" s="55"/>
      <c r="BM18" s="4">
        <f t="shared" si="0"/>
        <v>12</v>
      </c>
    </row>
    <row r="19" spans="1:65" s="52" customFormat="1" ht="15" customHeight="1">
      <c r="A19" s="53"/>
      <c r="B19" s="18"/>
      <c r="K19" s="64"/>
      <c r="L19" s="65"/>
      <c r="T19" s="64"/>
      <c r="U19" s="65"/>
      <c r="AC19" s="64"/>
      <c r="AD19" s="65"/>
      <c r="AL19" s="64"/>
      <c r="AM19" s="65"/>
      <c r="BI19" s="64"/>
      <c r="BK19" s="55"/>
      <c r="BM19" s="4">
        <f t="shared" si="0"/>
        <v>13</v>
      </c>
    </row>
    <row r="20" spans="1:65" s="52" customFormat="1" ht="15" customHeight="1">
      <c r="A20" s="53"/>
      <c r="B20" s="18"/>
      <c r="K20" s="64"/>
      <c r="L20" s="65"/>
      <c r="T20" s="64"/>
      <c r="U20" s="65"/>
      <c r="AC20" s="64"/>
      <c r="AD20" s="65"/>
      <c r="AL20" s="64"/>
      <c r="AM20" s="65"/>
      <c r="BI20" s="64"/>
      <c r="BK20" s="55"/>
      <c r="BM20" s="4">
        <f t="shared" si="0"/>
        <v>14</v>
      </c>
    </row>
    <row r="21" spans="1:65" s="52" customFormat="1" ht="15" customHeight="1">
      <c r="A21" s="53"/>
      <c r="B21" s="18"/>
      <c r="K21" s="64"/>
      <c r="L21" s="65"/>
      <c r="T21" s="64"/>
      <c r="U21" s="65"/>
      <c r="AC21" s="64"/>
      <c r="AD21" s="65"/>
      <c r="AL21" s="64"/>
      <c r="AM21" s="65"/>
      <c r="BI21" s="64"/>
      <c r="BK21" s="55"/>
      <c r="BM21" s="4">
        <f t="shared" si="0"/>
        <v>15</v>
      </c>
    </row>
    <row r="22" spans="1:65" s="52" customFormat="1" ht="15" customHeight="1">
      <c r="A22" s="53"/>
      <c r="B22" s="18"/>
      <c r="K22" s="64"/>
      <c r="L22" s="65"/>
      <c r="T22" s="64"/>
      <c r="U22" s="65"/>
      <c r="AC22" s="64"/>
      <c r="AD22" s="65"/>
      <c r="AL22" s="64"/>
      <c r="AM22" s="65"/>
      <c r="BI22" s="64"/>
      <c r="BK22" s="55"/>
      <c r="BM22" s="4">
        <f t="shared" si="0"/>
        <v>16</v>
      </c>
    </row>
    <row r="23" spans="1:65" s="52" customFormat="1" ht="15" customHeight="1">
      <c r="A23" s="53"/>
      <c r="B23" s="18"/>
      <c r="K23" s="64"/>
      <c r="L23" s="65"/>
      <c r="T23" s="64"/>
      <c r="U23" s="65"/>
      <c r="AC23" s="64"/>
      <c r="AD23" s="65"/>
      <c r="AL23" s="64"/>
      <c r="AM23" s="65"/>
      <c r="BI23" s="64"/>
      <c r="BK23" s="55"/>
      <c r="BM23" s="4">
        <f t="shared" si="0"/>
        <v>17</v>
      </c>
    </row>
    <row r="24" spans="1:65" s="52" customFormat="1" ht="15" customHeight="1">
      <c r="A24" s="53"/>
      <c r="B24" s="18"/>
      <c r="K24" s="64"/>
      <c r="L24" s="65"/>
      <c r="T24" s="64"/>
      <c r="U24" s="65"/>
      <c r="AC24" s="64"/>
      <c r="AD24" s="65"/>
      <c r="AL24" s="64"/>
      <c r="AM24" s="65"/>
      <c r="BI24" s="64"/>
      <c r="BK24" s="55"/>
      <c r="BM24" s="4">
        <f t="shared" si="0"/>
        <v>18</v>
      </c>
    </row>
    <row r="25" spans="1:65" s="52" customFormat="1" ht="15" customHeight="1">
      <c r="A25" s="53"/>
      <c r="B25" s="18"/>
      <c r="K25" s="64"/>
      <c r="L25" s="65"/>
      <c r="T25" s="64"/>
      <c r="U25" s="65"/>
      <c r="AC25" s="64"/>
      <c r="AD25" s="65"/>
      <c r="AL25" s="64"/>
      <c r="AM25" s="65"/>
      <c r="BI25" s="64"/>
      <c r="BK25" s="55"/>
      <c r="BM25" s="4">
        <f t="shared" si="0"/>
        <v>19</v>
      </c>
    </row>
    <row r="26" spans="1:65" s="52" customFormat="1" ht="15" customHeight="1">
      <c r="A26" s="53"/>
      <c r="B26" s="18"/>
      <c r="K26" s="64"/>
      <c r="L26" s="65"/>
      <c r="T26" s="64"/>
      <c r="U26" s="65"/>
      <c r="AC26" s="64"/>
      <c r="AD26" s="65"/>
      <c r="AL26" s="64"/>
      <c r="AM26" s="65"/>
      <c r="BI26" s="64"/>
      <c r="BK26" s="55"/>
      <c r="BM26" s="4">
        <f t="shared" si="0"/>
        <v>20</v>
      </c>
    </row>
    <row r="27" spans="1:65" s="52" customFormat="1" ht="15" customHeight="1">
      <c r="A27" s="53"/>
      <c r="B27" s="18"/>
      <c r="K27" s="64"/>
      <c r="L27" s="65"/>
      <c r="T27" s="64"/>
      <c r="U27" s="65"/>
      <c r="AC27" s="64"/>
      <c r="AD27" s="65"/>
      <c r="AL27" s="64"/>
      <c r="AM27" s="65"/>
      <c r="BI27" s="64"/>
      <c r="BK27" s="55"/>
      <c r="BM27" s="4">
        <f t="shared" si="0"/>
        <v>21</v>
      </c>
    </row>
    <row r="28" spans="1:65" s="52" customFormat="1" ht="15" customHeight="1">
      <c r="A28" s="53"/>
      <c r="B28" s="18"/>
      <c r="K28" s="64"/>
      <c r="L28" s="65"/>
      <c r="T28" s="64"/>
      <c r="U28" s="65"/>
      <c r="AC28" s="64"/>
      <c r="AD28" s="65"/>
      <c r="AL28" s="64"/>
      <c r="AM28" s="65"/>
      <c r="BI28" s="64"/>
      <c r="BK28" s="55"/>
      <c r="BM28" s="4">
        <f t="shared" si="0"/>
        <v>22</v>
      </c>
    </row>
    <row r="29" spans="1:65" s="52" customFormat="1" ht="15" customHeight="1">
      <c r="A29" s="53"/>
      <c r="B29" s="18"/>
      <c r="K29" s="64"/>
      <c r="L29" s="65"/>
      <c r="T29" s="64"/>
      <c r="U29" s="65"/>
      <c r="AC29" s="64"/>
      <c r="AD29" s="65"/>
      <c r="AL29" s="64"/>
      <c r="AM29" s="65"/>
      <c r="BI29" s="64"/>
      <c r="BK29" s="55"/>
      <c r="BM29" s="4">
        <f t="shared" si="0"/>
        <v>23</v>
      </c>
    </row>
    <row r="30" spans="1:65" s="52" customFormat="1" ht="15" customHeight="1">
      <c r="A30" s="53"/>
      <c r="B30" s="18"/>
      <c r="K30" s="64"/>
      <c r="L30" s="65"/>
      <c r="T30" s="64"/>
      <c r="U30" s="65"/>
      <c r="AC30" s="64"/>
      <c r="AD30" s="65"/>
      <c r="AL30" s="64"/>
      <c r="AM30" s="65"/>
      <c r="BI30" s="64"/>
      <c r="BK30" s="55"/>
      <c r="BM30" s="4">
        <f t="shared" si="0"/>
        <v>24</v>
      </c>
    </row>
    <row r="31" spans="1:65" s="52" customFormat="1" ht="15" customHeight="1">
      <c r="A31" s="53"/>
      <c r="B31" s="18"/>
      <c r="K31" s="64"/>
      <c r="L31" s="65"/>
      <c r="T31" s="64"/>
      <c r="U31" s="65"/>
      <c r="AC31" s="64"/>
      <c r="AD31" s="65"/>
      <c r="AL31" s="64"/>
      <c r="AM31" s="65"/>
      <c r="BI31" s="64"/>
      <c r="BK31" s="55"/>
      <c r="BM31" s="4">
        <f t="shared" si="0"/>
        <v>25</v>
      </c>
    </row>
    <row r="32" spans="1:65" s="52" customFormat="1" ht="15" customHeight="1">
      <c r="A32" s="53"/>
      <c r="B32" s="18"/>
      <c r="K32" s="64"/>
      <c r="L32" s="65"/>
      <c r="T32" s="64"/>
      <c r="U32" s="65"/>
      <c r="AC32" s="64"/>
      <c r="AD32" s="65"/>
      <c r="AL32" s="64"/>
      <c r="AM32" s="65"/>
      <c r="BI32" s="64"/>
      <c r="BK32" s="55"/>
      <c r="BM32" s="4">
        <f t="shared" si="0"/>
        <v>26</v>
      </c>
    </row>
    <row r="33" spans="1:65" s="52" customFormat="1" ht="15" customHeight="1">
      <c r="A33" s="53"/>
      <c r="B33" s="18"/>
      <c r="K33" s="64"/>
      <c r="L33" s="65"/>
      <c r="T33" s="64"/>
      <c r="U33" s="65"/>
      <c r="AC33" s="64"/>
      <c r="AD33" s="65"/>
      <c r="AL33" s="64"/>
      <c r="AM33" s="65"/>
      <c r="BI33" s="64"/>
      <c r="BK33" s="55"/>
      <c r="BM33" s="4">
        <f t="shared" si="0"/>
        <v>27</v>
      </c>
    </row>
    <row r="34" spans="1:65" s="52" customFormat="1" ht="15" customHeight="1">
      <c r="A34" s="53"/>
      <c r="B34" s="18"/>
      <c r="K34" s="64"/>
      <c r="L34" s="65"/>
      <c r="T34" s="64"/>
      <c r="U34" s="65"/>
      <c r="AC34" s="64"/>
      <c r="AD34" s="65"/>
      <c r="AL34" s="64"/>
      <c r="AM34" s="65"/>
      <c r="BI34" s="64"/>
      <c r="BK34" s="55"/>
      <c r="BM34" s="4">
        <f t="shared" si="0"/>
        <v>28</v>
      </c>
    </row>
    <row r="35" spans="1:65" s="52" customFormat="1" ht="15" customHeight="1">
      <c r="A35" s="53"/>
      <c r="B35" s="18"/>
      <c r="K35" s="64"/>
      <c r="L35" s="65"/>
      <c r="T35" s="64"/>
      <c r="U35" s="65"/>
      <c r="AC35" s="64"/>
      <c r="AD35" s="65"/>
      <c r="AL35" s="64"/>
      <c r="AM35" s="65"/>
      <c r="BI35" s="64"/>
      <c r="BK35" s="55"/>
      <c r="BM35" s="4">
        <f t="shared" si="0"/>
        <v>29</v>
      </c>
    </row>
    <row r="36" spans="1:65" s="52" customFormat="1" ht="15" customHeight="1">
      <c r="A36" s="53"/>
      <c r="B36" s="18"/>
      <c r="K36" s="64"/>
      <c r="L36" s="65"/>
      <c r="T36" s="64"/>
      <c r="U36" s="65"/>
      <c r="AC36" s="64"/>
      <c r="AD36" s="65"/>
      <c r="AL36" s="64"/>
      <c r="AM36" s="65"/>
      <c r="BI36" s="64"/>
      <c r="BK36" s="55"/>
      <c r="BM36" s="4">
        <f t="shared" si="0"/>
        <v>30</v>
      </c>
    </row>
    <row r="37" spans="1:65" s="52" customFormat="1" ht="15" customHeight="1">
      <c r="A37" s="53"/>
      <c r="B37" s="18"/>
      <c r="K37" s="64"/>
      <c r="L37" s="65"/>
      <c r="T37" s="64"/>
      <c r="U37" s="65"/>
      <c r="AC37" s="64"/>
      <c r="AD37" s="65"/>
      <c r="AL37" s="64"/>
      <c r="AM37" s="65"/>
      <c r="BI37" s="64"/>
      <c r="BK37" s="55"/>
      <c r="BM37" s="4">
        <f t="shared" si="0"/>
        <v>31</v>
      </c>
    </row>
    <row r="38" spans="1:65" s="52" customFormat="1" ht="15" customHeight="1">
      <c r="A38" s="53"/>
      <c r="B38" s="18"/>
      <c r="K38" s="64"/>
      <c r="L38" s="65"/>
      <c r="T38" s="64"/>
      <c r="U38" s="65"/>
      <c r="AC38" s="64"/>
      <c r="AD38" s="65"/>
      <c r="AL38" s="64"/>
      <c r="AM38" s="65"/>
      <c r="BI38" s="64"/>
      <c r="BK38" s="55"/>
      <c r="BM38" s="4">
        <f t="shared" si="0"/>
        <v>32</v>
      </c>
    </row>
    <row r="39" spans="1:65" s="52" customFormat="1" ht="15" customHeight="1">
      <c r="A39" s="53"/>
      <c r="B39" s="18"/>
      <c r="K39" s="64"/>
      <c r="L39" s="65"/>
      <c r="T39" s="64"/>
      <c r="U39" s="65"/>
      <c r="AC39" s="64"/>
      <c r="AD39" s="65"/>
      <c r="AL39" s="64"/>
      <c r="AM39" s="65"/>
      <c r="BI39" s="64"/>
      <c r="BK39" s="55"/>
      <c r="BM39" s="4">
        <f t="shared" si="0"/>
        <v>33</v>
      </c>
    </row>
    <row r="40" spans="1:65" s="52" customFormat="1" ht="15" customHeight="1">
      <c r="A40" s="53"/>
      <c r="B40" s="18"/>
      <c r="K40" s="64"/>
      <c r="L40" s="65"/>
      <c r="T40" s="64"/>
      <c r="U40" s="65"/>
      <c r="AC40" s="64"/>
      <c r="AD40" s="65"/>
      <c r="AL40" s="64"/>
      <c r="AM40" s="65"/>
      <c r="BI40" s="64"/>
      <c r="BK40" s="55"/>
      <c r="BM40" s="4">
        <f t="shared" si="0"/>
        <v>34</v>
      </c>
    </row>
    <row r="41" spans="1:65" s="52" customFormat="1" ht="15" customHeight="1">
      <c r="A41" s="53"/>
      <c r="B41" s="18"/>
      <c r="K41" s="64"/>
      <c r="L41" s="65"/>
      <c r="T41" s="64"/>
      <c r="U41" s="65"/>
      <c r="AC41" s="64"/>
      <c r="AD41" s="65"/>
      <c r="AL41" s="64"/>
      <c r="AM41" s="65"/>
      <c r="BI41" s="64"/>
      <c r="BK41" s="55"/>
      <c r="BM41" s="4">
        <f t="shared" si="0"/>
        <v>35</v>
      </c>
    </row>
    <row r="42" spans="1:65" s="52" customFormat="1" ht="15" customHeight="1">
      <c r="A42" s="53"/>
      <c r="B42" s="18"/>
      <c r="K42" s="64"/>
      <c r="L42" s="65"/>
      <c r="T42" s="64"/>
      <c r="U42" s="65"/>
      <c r="AC42" s="64"/>
      <c r="AD42" s="65"/>
      <c r="AL42" s="64"/>
      <c r="AM42" s="65"/>
      <c r="BI42" s="64"/>
      <c r="BK42" s="55"/>
      <c r="BM42" s="4">
        <f t="shared" si="0"/>
        <v>36</v>
      </c>
    </row>
    <row r="43" spans="1:65" s="52" customFormat="1" ht="15" customHeight="1">
      <c r="A43" s="53"/>
      <c r="B43" s="18"/>
      <c r="K43" s="64"/>
      <c r="L43" s="65"/>
      <c r="T43" s="64"/>
      <c r="U43" s="65"/>
      <c r="AC43" s="64"/>
      <c r="AD43" s="65"/>
      <c r="AL43" s="64"/>
      <c r="AM43" s="65"/>
      <c r="BI43" s="64"/>
      <c r="BK43" s="55"/>
      <c r="BM43" s="4">
        <f t="shared" si="0"/>
        <v>37</v>
      </c>
    </row>
    <row r="44" spans="1:65" s="52" customFormat="1" ht="15" customHeight="1">
      <c r="A44" s="53"/>
      <c r="B44" s="18"/>
      <c r="K44" s="64"/>
      <c r="L44" s="65"/>
      <c r="T44" s="64"/>
      <c r="U44" s="65"/>
      <c r="AC44" s="64"/>
      <c r="AD44" s="65"/>
      <c r="AL44" s="64"/>
      <c r="AM44" s="65"/>
      <c r="BI44" s="64"/>
      <c r="BK44" s="55"/>
      <c r="BM44" s="4">
        <f t="shared" si="0"/>
        <v>38</v>
      </c>
    </row>
    <row r="45" spans="1:65" s="52" customFormat="1" ht="15" customHeight="1">
      <c r="A45" s="53"/>
      <c r="B45" s="18"/>
      <c r="K45" s="64"/>
      <c r="L45" s="65"/>
      <c r="T45" s="64"/>
      <c r="U45" s="65"/>
      <c r="AC45" s="64"/>
      <c r="AD45" s="65"/>
      <c r="AL45" s="64"/>
      <c r="AM45" s="65"/>
      <c r="BI45" s="64"/>
      <c r="BK45" s="55"/>
      <c r="BM45" s="4">
        <f t="shared" si="0"/>
        <v>39</v>
      </c>
    </row>
    <row r="46" spans="1:65" s="52" customFormat="1" ht="15" customHeight="1">
      <c r="A46" s="53"/>
      <c r="B46" s="18"/>
      <c r="K46" s="64"/>
      <c r="L46" s="65"/>
      <c r="T46" s="64"/>
      <c r="U46" s="65"/>
      <c r="AC46" s="64"/>
      <c r="AD46" s="65"/>
      <c r="AL46" s="64"/>
      <c r="AM46" s="65"/>
      <c r="BI46" s="64"/>
      <c r="BK46" s="55"/>
      <c r="BM46" s="4">
        <f t="shared" si="0"/>
        <v>40</v>
      </c>
    </row>
    <row r="47" spans="1:65" s="52" customFormat="1" ht="15" customHeight="1">
      <c r="A47" s="53"/>
      <c r="B47" s="18"/>
      <c r="K47" s="64"/>
      <c r="L47" s="65"/>
      <c r="T47" s="64"/>
      <c r="U47" s="65"/>
      <c r="AC47" s="64"/>
      <c r="AD47" s="65"/>
      <c r="AL47" s="64"/>
      <c r="AM47" s="65"/>
      <c r="BI47" s="64"/>
      <c r="BK47" s="55"/>
      <c r="BM47" s="4">
        <f t="shared" si="0"/>
        <v>41</v>
      </c>
    </row>
    <row r="48" spans="1:65" s="52" customFormat="1" ht="15" customHeight="1">
      <c r="A48" s="53"/>
      <c r="B48" s="18"/>
      <c r="K48" s="64"/>
      <c r="L48" s="65"/>
      <c r="T48" s="64"/>
      <c r="U48" s="65"/>
      <c r="AC48" s="64"/>
      <c r="AD48" s="65"/>
      <c r="AL48" s="64"/>
      <c r="AM48" s="65"/>
      <c r="BI48" s="64"/>
      <c r="BK48" s="55"/>
      <c r="BM48" s="4">
        <f t="shared" si="0"/>
        <v>42</v>
      </c>
    </row>
    <row r="49" spans="1:87" s="52" customFormat="1" ht="15" customHeight="1">
      <c r="A49" s="53"/>
      <c r="B49" s="18"/>
      <c r="K49" s="64"/>
      <c r="L49" s="65"/>
      <c r="T49" s="64"/>
      <c r="U49" s="65"/>
      <c r="AC49" s="64"/>
      <c r="AD49" s="65"/>
      <c r="AL49" s="64"/>
      <c r="AM49" s="65"/>
      <c r="BI49" s="64"/>
      <c r="BK49" s="55"/>
      <c r="BM49" s="4">
        <f t="shared" si="0"/>
        <v>43</v>
      </c>
    </row>
    <row r="50" spans="1:87" s="52" customFormat="1" ht="15" customHeight="1">
      <c r="A50" s="53"/>
      <c r="B50" s="18"/>
      <c r="K50" s="64"/>
      <c r="L50" s="65"/>
      <c r="T50" s="64"/>
      <c r="U50" s="65"/>
      <c r="AC50" s="64"/>
      <c r="AD50" s="65"/>
      <c r="AL50" s="64"/>
      <c r="AM50" s="65"/>
      <c r="BI50" s="64"/>
      <c r="BK50" s="55"/>
      <c r="BM50" s="4">
        <f t="shared" si="0"/>
        <v>44</v>
      </c>
    </row>
    <row r="51" spans="1:87" s="52" customFormat="1" ht="15" customHeight="1">
      <c r="A51" s="53"/>
      <c r="B51" s="18"/>
      <c r="K51" s="64"/>
      <c r="L51" s="65"/>
      <c r="T51" s="64"/>
      <c r="U51" s="65"/>
      <c r="AC51" s="64"/>
      <c r="AD51" s="65"/>
      <c r="AL51" s="64"/>
      <c r="AM51" s="65"/>
      <c r="BI51" s="64"/>
      <c r="BK51" s="55"/>
      <c r="BM51" s="4">
        <f t="shared" si="0"/>
        <v>45</v>
      </c>
    </row>
    <row r="52" spans="1:87" s="52" customFormat="1" ht="15" customHeight="1">
      <c r="A52" s="53"/>
      <c r="B52" s="18"/>
      <c r="K52" s="64"/>
      <c r="L52" s="65"/>
      <c r="T52" s="64"/>
      <c r="U52" s="65"/>
      <c r="AC52" s="64"/>
      <c r="AD52" s="65"/>
      <c r="AL52" s="64"/>
      <c r="AM52" s="65"/>
      <c r="BI52" s="64"/>
      <c r="BK52" s="55"/>
      <c r="BM52" s="4">
        <f t="shared" si="0"/>
        <v>46</v>
      </c>
    </row>
    <row r="53" spans="1:87" s="52" customFormat="1" ht="15" customHeight="1">
      <c r="A53" s="53"/>
      <c r="B53" s="18"/>
      <c r="K53" s="64"/>
      <c r="L53" s="65"/>
      <c r="T53" s="64"/>
      <c r="U53" s="65"/>
      <c r="AC53" s="64"/>
      <c r="AD53" s="65"/>
      <c r="AL53" s="64"/>
      <c r="AM53" s="65"/>
      <c r="BI53" s="64"/>
      <c r="BK53" s="55"/>
      <c r="BM53" s="4">
        <f t="shared" si="0"/>
        <v>47</v>
      </c>
    </row>
    <row r="54" spans="1:87" s="52" customFormat="1" ht="15" customHeight="1">
      <c r="A54" s="53"/>
      <c r="B54" s="18"/>
      <c r="K54" s="64"/>
      <c r="L54" s="65"/>
      <c r="T54" s="64"/>
      <c r="U54" s="65"/>
      <c r="AC54" s="64"/>
      <c r="AD54" s="65"/>
      <c r="AL54" s="64"/>
      <c r="AM54" s="65"/>
      <c r="BI54" s="64"/>
      <c r="BK54" s="55"/>
      <c r="BM54" s="4">
        <f t="shared" si="0"/>
        <v>48</v>
      </c>
    </row>
    <row r="55" spans="1:87" s="52" customFormat="1" ht="15" customHeight="1">
      <c r="A55" s="53"/>
      <c r="B55" s="18"/>
      <c r="K55" s="64"/>
      <c r="L55" s="65"/>
      <c r="T55" s="64"/>
      <c r="U55" s="65"/>
      <c r="AC55" s="64"/>
      <c r="AD55" s="65"/>
      <c r="AL55" s="64"/>
      <c r="AM55" s="65"/>
      <c r="BI55" s="64"/>
      <c r="BK55" s="55"/>
      <c r="BM55" s="4">
        <f t="shared" si="0"/>
        <v>49</v>
      </c>
    </row>
    <row r="56" spans="1:87" s="52" customFormat="1" ht="15" customHeight="1">
      <c r="A56" s="53"/>
      <c r="B56" s="18"/>
      <c r="K56" s="64"/>
      <c r="L56" s="65"/>
      <c r="T56" s="64"/>
      <c r="U56" s="65"/>
      <c r="AC56" s="64"/>
      <c r="AD56" s="65"/>
      <c r="AL56" s="64"/>
      <c r="AM56" s="65"/>
      <c r="BI56" s="64"/>
      <c r="BK56" s="55"/>
      <c r="BM56" s="4">
        <f t="shared" si="0"/>
        <v>50</v>
      </c>
    </row>
    <row r="57" spans="1:87" s="52" customFormat="1" ht="15" customHeight="1">
      <c r="A57" s="53"/>
      <c r="B57" s="18"/>
      <c r="K57" s="64"/>
      <c r="L57" s="65"/>
      <c r="T57" s="64"/>
      <c r="U57" s="65"/>
      <c r="AC57" s="64"/>
      <c r="AD57" s="65"/>
      <c r="AL57" s="64"/>
      <c r="AM57" s="65"/>
      <c r="BI57" s="64"/>
      <c r="BK57" s="55"/>
      <c r="BM57" s="4">
        <f t="shared" si="0"/>
        <v>1</v>
      </c>
      <c r="CI57" s="52" t="s">
        <v>41</v>
      </c>
    </row>
    <row r="58" spans="1:87" s="52" customFormat="1" ht="15" customHeight="1">
      <c r="A58" s="53"/>
      <c r="B58" s="18"/>
      <c r="K58" s="64"/>
      <c r="L58" s="65"/>
      <c r="T58" s="64"/>
      <c r="U58" s="65"/>
      <c r="AC58" s="64"/>
      <c r="AD58" s="65"/>
      <c r="AL58" s="64"/>
      <c r="AM58" s="65"/>
      <c r="BI58" s="64"/>
      <c r="BK58" s="55"/>
      <c r="BM58" s="4">
        <f t="shared" si="0"/>
        <v>2</v>
      </c>
      <c r="CI58" s="52" t="s">
        <v>42</v>
      </c>
    </row>
    <row r="59" spans="1:87" s="52" customFormat="1" ht="15" customHeight="1">
      <c r="A59" s="53"/>
      <c r="B59" s="18"/>
      <c r="K59" s="64"/>
      <c r="L59" s="65"/>
      <c r="T59" s="64"/>
      <c r="U59" s="65"/>
      <c r="AC59" s="64"/>
      <c r="AD59" s="65"/>
      <c r="AL59" s="64"/>
      <c r="AM59" s="65"/>
      <c r="BI59" s="64"/>
      <c r="BK59" s="55"/>
      <c r="BM59" s="4">
        <f t="shared" si="0"/>
        <v>3</v>
      </c>
      <c r="CI59" s="52" t="s">
        <v>43</v>
      </c>
    </row>
    <row r="60" spans="1:87" s="52" customFormat="1" ht="15" customHeight="1">
      <c r="A60" s="53"/>
      <c r="B60" s="18"/>
      <c r="K60" s="64"/>
      <c r="L60" s="65"/>
      <c r="T60" s="64"/>
      <c r="U60" s="65"/>
      <c r="AC60" s="64"/>
      <c r="AD60" s="65"/>
      <c r="AL60" s="64"/>
      <c r="AM60" s="65"/>
      <c r="BI60" s="64"/>
      <c r="BK60" s="55"/>
      <c r="BM60" s="4">
        <f t="shared" si="0"/>
        <v>4</v>
      </c>
      <c r="CI60" s="52" t="s">
        <v>44</v>
      </c>
    </row>
    <row r="61" spans="1:87" s="52" customFormat="1" ht="15" customHeight="1">
      <c r="A61" s="53"/>
      <c r="B61" s="18"/>
      <c r="K61" s="64"/>
      <c r="L61" s="65"/>
      <c r="T61" s="64"/>
      <c r="U61" s="65"/>
      <c r="AC61" s="64"/>
      <c r="AD61" s="65"/>
      <c r="AL61" s="64"/>
      <c r="AM61" s="65"/>
      <c r="BI61" s="64"/>
      <c r="BK61" s="55"/>
      <c r="BM61" s="4">
        <f t="shared" si="0"/>
        <v>5</v>
      </c>
    </row>
    <row r="62" spans="1:87" s="52" customFormat="1" ht="15" customHeight="1">
      <c r="A62" s="53"/>
      <c r="B62" s="18"/>
      <c r="K62" s="64"/>
      <c r="L62" s="65"/>
      <c r="T62" s="64"/>
      <c r="U62" s="65"/>
      <c r="AC62" s="64"/>
      <c r="AD62" s="65"/>
      <c r="AL62" s="64"/>
      <c r="AM62" s="65"/>
      <c r="BI62" s="64"/>
      <c r="BK62" s="55"/>
      <c r="BM62" s="4">
        <f t="shared" si="0"/>
        <v>6</v>
      </c>
    </row>
    <row r="63" spans="1:87" s="52" customFormat="1" ht="15" customHeight="1">
      <c r="A63" s="53"/>
      <c r="B63" s="18"/>
      <c r="K63" s="64"/>
      <c r="L63" s="65"/>
      <c r="T63" s="64"/>
      <c r="U63" s="65"/>
      <c r="AC63" s="64"/>
      <c r="AD63" s="65"/>
      <c r="AL63" s="64"/>
      <c r="AM63" s="65"/>
      <c r="BI63" s="64"/>
      <c r="BK63" s="55"/>
      <c r="BM63" s="4">
        <f t="shared" si="0"/>
        <v>7</v>
      </c>
    </row>
    <row r="64" spans="1:87" s="52" customFormat="1" ht="15" customHeight="1">
      <c r="A64" s="53"/>
      <c r="B64" s="18"/>
      <c r="K64" s="64"/>
      <c r="L64" s="65"/>
      <c r="T64" s="64"/>
      <c r="U64" s="65"/>
      <c r="AC64" s="64"/>
      <c r="AD64" s="65"/>
      <c r="AL64" s="64"/>
      <c r="AM64" s="65"/>
      <c r="BI64" s="64"/>
      <c r="BK64" s="55"/>
      <c r="BM64" s="4">
        <f t="shared" si="0"/>
        <v>8</v>
      </c>
    </row>
    <row r="65" spans="1:87" s="52" customFormat="1" ht="15" customHeight="1">
      <c r="A65" s="53"/>
      <c r="B65" s="18"/>
      <c r="K65" s="64"/>
      <c r="L65" s="65"/>
      <c r="T65" s="64"/>
      <c r="U65" s="65"/>
      <c r="AC65" s="64"/>
      <c r="AD65" s="65"/>
      <c r="AL65" s="64"/>
      <c r="AM65" s="65"/>
      <c r="BI65" s="64"/>
      <c r="BK65" s="55"/>
      <c r="BM65" s="4">
        <f t="shared" si="0"/>
        <v>9</v>
      </c>
      <c r="CI65" s="52" t="s">
        <v>45</v>
      </c>
    </row>
    <row r="66" spans="1:87" s="52" customFormat="1" ht="15" customHeight="1">
      <c r="A66" s="53"/>
      <c r="B66" s="18"/>
      <c r="K66" s="64"/>
      <c r="L66" s="65"/>
      <c r="T66" s="64"/>
      <c r="U66" s="65"/>
      <c r="AC66" s="64"/>
      <c r="AD66" s="65"/>
      <c r="AL66" s="64"/>
      <c r="AM66" s="65"/>
      <c r="BI66" s="64"/>
      <c r="BK66" s="55"/>
      <c r="BM66" s="4">
        <f t="shared" si="0"/>
        <v>10</v>
      </c>
      <c r="CI66" s="52" t="s">
        <v>46</v>
      </c>
    </row>
    <row r="67" spans="1:87" s="52" customFormat="1" ht="15" customHeight="1">
      <c r="A67" s="53"/>
      <c r="B67" s="18"/>
      <c r="K67" s="64"/>
      <c r="L67" s="65"/>
      <c r="T67" s="64"/>
      <c r="U67" s="65"/>
      <c r="AC67" s="64"/>
      <c r="AD67" s="65"/>
      <c r="AL67" s="64"/>
      <c r="AM67" s="65"/>
      <c r="BI67" s="64"/>
      <c r="BK67" s="55"/>
      <c r="BM67" s="4">
        <f t="shared" si="0"/>
        <v>11</v>
      </c>
      <c r="CI67" s="52" t="s">
        <v>47</v>
      </c>
    </row>
    <row r="68" spans="1:87" s="52" customFormat="1" ht="15" customHeight="1">
      <c r="A68" s="53"/>
      <c r="B68" s="18"/>
      <c r="K68" s="64"/>
      <c r="L68" s="65"/>
      <c r="T68" s="64"/>
      <c r="U68" s="65"/>
      <c r="AC68" s="64"/>
      <c r="AD68" s="65"/>
      <c r="AL68" s="64"/>
      <c r="AM68" s="65"/>
      <c r="BI68" s="64"/>
      <c r="BK68" s="55"/>
      <c r="BM68" s="4">
        <f t="shared" si="0"/>
        <v>12</v>
      </c>
      <c r="CI68" s="52" t="s">
        <v>48</v>
      </c>
    </row>
    <row r="69" spans="1:87" s="52" customFormat="1" ht="15" customHeight="1">
      <c r="A69" s="53"/>
      <c r="B69" s="18"/>
      <c r="K69" s="64"/>
      <c r="L69" s="65"/>
      <c r="T69" s="64"/>
      <c r="U69" s="65"/>
      <c r="AC69" s="64"/>
      <c r="AD69" s="65"/>
      <c r="AL69" s="64"/>
      <c r="AM69" s="65"/>
      <c r="BI69" s="64"/>
      <c r="BK69" s="55"/>
      <c r="BM69" s="4">
        <f t="shared" si="0"/>
        <v>13</v>
      </c>
    </row>
    <row r="70" spans="1:87" s="52" customFormat="1" ht="15" customHeight="1">
      <c r="A70" s="53"/>
      <c r="B70" s="18"/>
      <c r="K70" s="64"/>
      <c r="L70" s="65"/>
      <c r="T70" s="64"/>
      <c r="U70" s="65"/>
      <c r="AC70" s="64"/>
      <c r="AD70" s="65"/>
      <c r="AL70" s="64"/>
      <c r="AM70" s="65"/>
      <c r="BI70" s="64"/>
      <c r="BK70" s="55"/>
      <c r="BM70" s="4">
        <f t="shared" si="0"/>
        <v>14</v>
      </c>
    </row>
    <row r="71" spans="1:87" s="52" customFormat="1" ht="15" customHeight="1">
      <c r="A71" s="53"/>
      <c r="B71" s="18"/>
      <c r="K71" s="64"/>
      <c r="L71" s="65"/>
      <c r="T71" s="64"/>
      <c r="U71" s="65"/>
      <c r="AC71" s="64"/>
      <c r="AD71" s="65"/>
      <c r="AL71" s="64"/>
      <c r="AM71" s="65"/>
      <c r="BI71" s="64"/>
      <c r="BK71" s="55"/>
      <c r="BM71" s="4">
        <f t="shared" si="0"/>
        <v>15</v>
      </c>
    </row>
    <row r="72" spans="1:87" s="52" customFormat="1" ht="15" customHeight="1">
      <c r="A72" s="53"/>
      <c r="B72" s="18"/>
      <c r="K72" s="64"/>
      <c r="L72" s="65"/>
      <c r="T72" s="64"/>
      <c r="U72" s="65"/>
      <c r="AC72" s="64"/>
      <c r="AD72" s="65"/>
      <c r="AL72" s="64"/>
      <c r="AM72" s="65"/>
      <c r="BI72" s="64"/>
      <c r="BK72" s="55"/>
      <c r="BM72" s="4">
        <f t="shared" si="0"/>
        <v>16</v>
      </c>
    </row>
    <row r="73" spans="1:87" s="52" customFormat="1" ht="15" customHeight="1">
      <c r="A73" s="53"/>
      <c r="B73" s="18"/>
      <c r="K73" s="64"/>
      <c r="L73" s="65"/>
      <c r="T73" s="64"/>
      <c r="U73" s="65"/>
      <c r="AC73" s="64"/>
      <c r="AD73" s="65"/>
      <c r="AL73" s="64"/>
      <c r="AM73" s="65"/>
      <c r="BI73" s="64"/>
      <c r="BK73" s="55"/>
      <c r="BM73" s="4">
        <f t="shared" si="0"/>
        <v>17</v>
      </c>
    </row>
    <row r="74" spans="1:87" s="52" customFormat="1" ht="15" customHeight="1">
      <c r="A74" s="53"/>
      <c r="B74" s="18"/>
      <c r="K74" s="64"/>
      <c r="L74" s="65"/>
      <c r="T74" s="64"/>
      <c r="U74" s="65"/>
      <c r="AC74" s="64"/>
      <c r="AD74" s="65"/>
      <c r="AL74" s="64"/>
      <c r="AM74" s="65"/>
      <c r="BI74" s="64"/>
      <c r="BK74" s="55"/>
      <c r="BM74" s="4">
        <f t="shared" si="0"/>
        <v>18</v>
      </c>
    </row>
    <row r="75" spans="1:87" s="52" customFormat="1" ht="15" customHeight="1">
      <c r="A75" s="53"/>
      <c r="B75" s="18"/>
      <c r="K75" s="64"/>
      <c r="L75" s="65"/>
      <c r="T75" s="64"/>
      <c r="U75" s="65"/>
      <c r="AC75" s="64"/>
      <c r="AD75" s="65"/>
      <c r="AL75" s="64"/>
      <c r="AM75" s="65"/>
      <c r="BI75" s="64"/>
      <c r="BK75" s="55"/>
      <c r="BM75" s="4">
        <f t="shared" ref="BM75:BM132" si="1">IF(BM74=50,1,BM74+1)</f>
        <v>19</v>
      </c>
    </row>
    <row r="76" spans="1:87" s="52" customFormat="1" ht="15" customHeight="1">
      <c r="A76" s="53"/>
      <c r="B76" s="18"/>
      <c r="K76" s="64"/>
      <c r="L76" s="65"/>
      <c r="T76" s="64"/>
      <c r="U76" s="65"/>
      <c r="AC76" s="64"/>
      <c r="AD76" s="65"/>
      <c r="AL76" s="64"/>
      <c r="AM76" s="65"/>
      <c r="BI76" s="64"/>
      <c r="BK76" s="55"/>
      <c r="BM76" s="4">
        <f t="shared" si="1"/>
        <v>20</v>
      </c>
    </row>
    <row r="77" spans="1:87" s="52" customFormat="1" ht="15" customHeight="1">
      <c r="A77" s="53"/>
      <c r="B77" s="18"/>
      <c r="K77" s="64"/>
      <c r="L77" s="65"/>
      <c r="T77" s="64"/>
      <c r="U77" s="65"/>
      <c r="AC77" s="64"/>
      <c r="AD77" s="65"/>
      <c r="AL77" s="64"/>
      <c r="AM77" s="65"/>
      <c r="BI77" s="64"/>
      <c r="BK77" s="55"/>
      <c r="BM77" s="4">
        <f t="shared" si="1"/>
        <v>21</v>
      </c>
    </row>
    <row r="78" spans="1:87" s="52" customFormat="1" ht="15" customHeight="1">
      <c r="A78" s="53"/>
      <c r="B78" s="18"/>
      <c r="K78" s="64"/>
      <c r="L78" s="65"/>
      <c r="T78" s="64"/>
      <c r="U78" s="65"/>
      <c r="AC78" s="64"/>
      <c r="AD78" s="65"/>
      <c r="AL78" s="64"/>
      <c r="AM78" s="65"/>
      <c r="BI78" s="64"/>
      <c r="BK78" s="55"/>
      <c r="BM78" s="4">
        <f t="shared" si="1"/>
        <v>22</v>
      </c>
    </row>
    <row r="79" spans="1:87" s="52" customFormat="1" ht="15" customHeight="1">
      <c r="A79" s="53"/>
      <c r="B79" s="18"/>
      <c r="AL79" s="64"/>
      <c r="AM79" s="65"/>
      <c r="BI79" s="64"/>
      <c r="BK79" s="55"/>
      <c r="BM79" s="4">
        <f t="shared" si="1"/>
        <v>23</v>
      </c>
    </row>
    <row r="80" spans="1:87" s="52" customFormat="1" ht="15" customHeight="1">
      <c r="A80" s="53"/>
      <c r="B80" s="18"/>
      <c r="AL80" s="64"/>
      <c r="AM80" s="65"/>
      <c r="BI80" s="64"/>
      <c r="BK80" s="55"/>
      <c r="BM80" s="4">
        <f t="shared" si="1"/>
        <v>24</v>
      </c>
    </row>
    <row r="81" spans="1:65" s="52" customFormat="1" ht="15" customHeight="1">
      <c r="A81" s="53"/>
      <c r="B81" s="18"/>
      <c r="K81" s="64"/>
      <c r="L81" s="65"/>
      <c r="T81" s="64"/>
      <c r="U81" s="65"/>
      <c r="AC81" s="64"/>
      <c r="AD81" s="65"/>
      <c r="AL81" s="64"/>
      <c r="AM81" s="65"/>
      <c r="BI81" s="64"/>
      <c r="BK81" s="55"/>
      <c r="BM81" s="4">
        <f t="shared" si="1"/>
        <v>25</v>
      </c>
    </row>
    <row r="82" spans="1:65" s="52" customFormat="1" ht="15" customHeight="1">
      <c r="A82" s="53"/>
      <c r="B82" s="18"/>
      <c r="K82" s="64"/>
      <c r="L82" s="65"/>
      <c r="T82" s="64"/>
      <c r="U82" s="65"/>
      <c r="AC82" s="64"/>
      <c r="AD82" s="65"/>
      <c r="AL82" s="64"/>
      <c r="AM82" s="65"/>
      <c r="BI82" s="64"/>
      <c r="BK82" s="55"/>
      <c r="BM82" s="4">
        <f t="shared" si="1"/>
        <v>26</v>
      </c>
    </row>
    <row r="83" spans="1:65" s="52" customFormat="1" ht="15" customHeight="1">
      <c r="A83" s="53"/>
      <c r="B83" s="18"/>
      <c r="K83" s="64"/>
      <c r="L83" s="65"/>
      <c r="T83" s="64"/>
      <c r="U83" s="65"/>
      <c r="AC83" s="64"/>
      <c r="AD83" s="65"/>
      <c r="AL83" s="64"/>
      <c r="AM83" s="65"/>
      <c r="BI83" s="64"/>
      <c r="BK83" s="55"/>
      <c r="BM83" s="4">
        <f t="shared" si="1"/>
        <v>27</v>
      </c>
    </row>
    <row r="84" spans="1:65" s="52" customFormat="1" ht="15" customHeight="1">
      <c r="A84" s="53"/>
      <c r="B84" s="18"/>
      <c r="J84" s="66" t="s">
        <v>49</v>
      </c>
      <c r="K84" s="67"/>
      <c r="L84" s="68" t="s">
        <v>50</v>
      </c>
      <c r="M84" s="66"/>
      <c r="N84" s="66"/>
      <c r="O84" s="66"/>
      <c r="P84" s="66"/>
      <c r="Q84" s="66"/>
      <c r="R84" s="66"/>
      <c r="S84" s="66"/>
      <c r="T84" s="67"/>
      <c r="U84" s="68"/>
      <c r="V84" s="66"/>
      <c r="W84" s="66"/>
      <c r="X84" s="66"/>
      <c r="Y84" s="66"/>
      <c r="Z84" s="66"/>
      <c r="AA84" s="66"/>
      <c r="AB84" s="66"/>
      <c r="AC84" s="67"/>
      <c r="AD84" s="68"/>
      <c r="AE84" s="66"/>
      <c r="AF84" s="66"/>
      <c r="AG84" s="66"/>
      <c r="AL84" s="64"/>
      <c r="AM84" s="65"/>
      <c r="BI84" s="64"/>
      <c r="BK84" s="55"/>
      <c r="BM84" s="4">
        <f t="shared" si="1"/>
        <v>28</v>
      </c>
    </row>
    <row r="85" spans="1:65" s="52" customFormat="1" ht="15" customHeight="1">
      <c r="A85" s="53"/>
      <c r="B85" s="18"/>
      <c r="J85" s="66"/>
      <c r="K85" s="67"/>
      <c r="L85" s="68" t="s">
        <v>51</v>
      </c>
      <c r="M85" s="66"/>
      <c r="N85" s="66"/>
      <c r="O85" s="66"/>
      <c r="P85" s="66"/>
      <c r="Q85" s="66"/>
      <c r="R85" s="66"/>
      <c r="S85" s="66"/>
      <c r="T85" s="67"/>
      <c r="U85" s="68"/>
      <c r="V85" s="66"/>
      <c r="W85" s="66"/>
      <c r="X85" s="66"/>
      <c r="Y85" s="66"/>
      <c r="Z85" s="66"/>
      <c r="AA85" s="66"/>
      <c r="AB85" s="66"/>
      <c r="AC85" s="67"/>
      <c r="AD85" s="68"/>
      <c r="AE85" s="66"/>
      <c r="AF85" s="66"/>
      <c r="AG85" s="66"/>
      <c r="AL85" s="64"/>
      <c r="AM85" s="65"/>
      <c r="BI85" s="64"/>
      <c r="BK85" s="55"/>
      <c r="BM85" s="4">
        <f t="shared" si="1"/>
        <v>29</v>
      </c>
    </row>
    <row r="86" spans="1:65" s="52" customFormat="1" ht="15" customHeight="1">
      <c r="A86" s="53"/>
      <c r="B86" s="18"/>
      <c r="K86" s="64"/>
      <c r="L86" s="65"/>
      <c r="T86" s="64"/>
      <c r="U86" s="65"/>
      <c r="AC86" s="64"/>
      <c r="AD86" s="65"/>
      <c r="AL86" s="64"/>
      <c r="AM86" s="65"/>
      <c r="BI86" s="64"/>
      <c r="BK86" s="55"/>
      <c r="BM86" s="4">
        <f t="shared" si="1"/>
        <v>30</v>
      </c>
    </row>
    <row r="87" spans="1:65" s="52" customFormat="1" ht="15" customHeight="1">
      <c r="A87" s="53"/>
      <c r="B87" s="18"/>
      <c r="K87" s="64"/>
      <c r="L87" s="65"/>
      <c r="T87" s="64"/>
      <c r="U87" s="65"/>
      <c r="AC87" s="64"/>
      <c r="AD87" s="65"/>
      <c r="AL87" s="64"/>
      <c r="AM87" s="65"/>
      <c r="BI87" s="64"/>
      <c r="BK87" s="55"/>
      <c r="BM87" s="4">
        <f t="shared" si="1"/>
        <v>31</v>
      </c>
    </row>
    <row r="88" spans="1:65" s="52" customFormat="1" ht="15" customHeight="1">
      <c r="A88" s="53"/>
      <c r="B88" s="18"/>
      <c r="K88" s="64"/>
      <c r="L88" s="65"/>
      <c r="T88" s="64"/>
      <c r="U88" s="65"/>
      <c r="AC88" s="64"/>
      <c r="AD88" s="65"/>
      <c r="AL88" s="64"/>
      <c r="AM88" s="65"/>
      <c r="BI88" s="64"/>
      <c r="BK88" s="55"/>
      <c r="BM88" s="4">
        <f t="shared" si="1"/>
        <v>32</v>
      </c>
    </row>
    <row r="89" spans="1:65" s="52" customFormat="1" ht="15" customHeight="1">
      <c r="A89" s="53"/>
      <c r="B89" s="18"/>
      <c r="K89" s="64"/>
      <c r="L89" s="65"/>
      <c r="T89" s="64"/>
      <c r="U89" s="65"/>
      <c r="AC89" s="64"/>
      <c r="AD89" s="65"/>
      <c r="AL89" s="64"/>
      <c r="AM89" s="65"/>
      <c r="BI89" s="64"/>
      <c r="BK89" s="55"/>
      <c r="BM89" s="4">
        <f t="shared" si="1"/>
        <v>33</v>
      </c>
    </row>
    <row r="90" spans="1:65" s="52" customFormat="1" ht="15" customHeight="1">
      <c r="A90" s="53"/>
      <c r="B90" s="18"/>
      <c r="K90" s="64"/>
      <c r="L90" s="65"/>
      <c r="T90" s="64"/>
      <c r="U90" s="65"/>
      <c r="AC90" s="64"/>
      <c r="AD90" s="65"/>
      <c r="AL90" s="64"/>
      <c r="AM90" s="65"/>
      <c r="BI90" s="64"/>
      <c r="BK90" s="55"/>
      <c r="BM90" s="4">
        <f t="shared" si="1"/>
        <v>34</v>
      </c>
    </row>
    <row r="91" spans="1:65" s="52" customFormat="1" ht="15" customHeight="1">
      <c r="A91" s="53"/>
      <c r="B91" s="18"/>
      <c r="K91" s="64"/>
      <c r="L91" s="65"/>
      <c r="T91" s="64"/>
      <c r="U91" s="65"/>
      <c r="AC91" s="64"/>
      <c r="AD91" s="65"/>
      <c r="AL91" s="64"/>
      <c r="AM91" s="65"/>
      <c r="BI91" s="64"/>
      <c r="BK91" s="55"/>
      <c r="BM91" s="4">
        <f t="shared" si="1"/>
        <v>35</v>
      </c>
    </row>
    <row r="92" spans="1:65" s="52" customFormat="1" ht="15" customHeight="1">
      <c r="A92" s="53"/>
      <c r="B92" s="18"/>
      <c r="K92" s="64"/>
      <c r="L92" s="65"/>
      <c r="T92" s="64"/>
      <c r="U92" s="65"/>
      <c r="AC92" s="64"/>
      <c r="AD92" s="65"/>
      <c r="AL92" s="64"/>
      <c r="AM92" s="65"/>
      <c r="BI92" s="64"/>
      <c r="BK92" s="55"/>
      <c r="BM92" s="4">
        <f t="shared" si="1"/>
        <v>36</v>
      </c>
    </row>
    <row r="93" spans="1:65" s="52" customFormat="1" ht="15" customHeight="1">
      <c r="A93" s="53"/>
      <c r="B93" s="18"/>
      <c r="K93" s="64"/>
      <c r="L93" s="65"/>
      <c r="T93" s="64"/>
      <c r="U93" s="65"/>
      <c r="AC93" s="64"/>
      <c r="AD93" s="65"/>
      <c r="AL93" s="64"/>
      <c r="AM93" s="65"/>
      <c r="BI93" s="64"/>
      <c r="BK93" s="55"/>
      <c r="BM93" s="4">
        <f t="shared" si="1"/>
        <v>37</v>
      </c>
    </row>
    <row r="94" spans="1:65" s="52" customFormat="1" ht="15" customHeight="1">
      <c r="A94" s="53"/>
      <c r="B94" s="18"/>
      <c r="K94" s="64"/>
      <c r="L94" s="65"/>
      <c r="T94" s="64"/>
      <c r="U94" s="65"/>
      <c r="AC94" s="64"/>
      <c r="AD94" s="65"/>
      <c r="AL94" s="64"/>
      <c r="AM94" s="65"/>
      <c r="BI94" s="64"/>
      <c r="BK94" s="55"/>
      <c r="BM94" s="4">
        <f t="shared" si="1"/>
        <v>38</v>
      </c>
    </row>
    <row r="95" spans="1:65" s="52" customFormat="1" ht="15" customHeight="1">
      <c r="A95" s="53"/>
      <c r="B95" s="18"/>
      <c r="K95" s="64"/>
      <c r="L95" s="65"/>
      <c r="T95" s="64"/>
      <c r="U95" s="65"/>
      <c r="AC95" s="64"/>
      <c r="AD95" s="65"/>
      <c r="AL95" s="64"/>
      <c r="AM95" s="65"/>
      <c r="BI95" s="64"/>
      <c r="BK95" s="55"/>
      <c r="BM95" s="4">
        <f t="shared" si="1"/>
        <v>39</v>
      </c>
    </row>
    <row r="96" spans="1:65" s="52" customFormat="1" ht="15" customHeight="1">
      <c r="A96" s="53"/>
      <c r="B96" s="18"/>
      <c r="K96" s="64"/>
      <c r="L96" s="65"/>
      <c r="T96" s="64"/>
      <c r="U96" s="65"/>
      <c r="AC96" s="64"/>
      <c r="AD96" s="65"/>
      <c r="AL96" s="64"/>
      <c r="AM96" s="65"/>
      <c r="BI96" s="64"/>
      <c r="BK96" s="55"/>
      <c r="BM96" s="4">
        <f t="shared" si="1"/>
        <v>40</v>
      </c>
    </row>
    <row r="97" spans="1:65" s="52" customFormat="1" ht="15" customHeight="1">
      <c r="A97" s="53"/>
      <c r="B97" s="18"/>
      <c r="K97" s="64"/>
      <c r="L97" s="65"/>
      <c r="T97" s="64"/>
      <c r="U97" s="65"/>
      <c r="AC97" s="64"/>
      <c r="AD97" s="65"/>
      <c r="AL97" s="64"/>
      <c r="AM97" s="65"/>
      <c r="BI97" s="64"/>
      <c r="BK97" s="55"/>
      <c r="BM97" s="4">
        <f t="shared" si="1"/>
        <v>41</v>
      </c>
    </row>
    <row r="98" spans="1:65" s="52" customFormat="1" ht="15" customHeight="1">
      <c r="A98" s="53"/>
      <c r="B98" s="18"/>
      <c r="K98" s="64"/>
      <c r="L98" s="65"/>
      <c r="T98" s="64"/>
      <c r="U98" s="65"/>
      <c r="AC98" s="64"/>
      <c r="AD98" s="65"/>
      <c r="AL98" s="64"/>
      <c r="AM98" s="65"/>
      <c r="BI98" s="64"/>
      <c r="BK98" s="55"/>
      <c r="BM98" s="4">
        <f t="shared" si="1"/>
        <v>42</v>
      </c>
    </row>
    <row r="99" spans="1:65" s="52" customFormat="1" ht="15" customHeight="1">
      <c r="A99" s="53"/>
      <c r="B99" s="18"/>
      <c r="K99" s="64"/>
      <c r="L99" s="65"/>
      <c r="T99" s="64"/>
      <c r="U99" s="65"/>
      <c r="AC99" s="64"/>
      <c r="AD99" s="65"/>
      <c r="AL99" s="64"/>
      <c r="AM99" s="65"/>
      <c r="BI99" s="64"/>
      <c r="BK99" s="55"/>
      <c r="BM99" s="4">
        <f t="shared" si="1"/>
        <v>43</v>
      </c>
    </row>
    <row r="100" spans="1:65" s="52" customFormat="1" ht="15" customHeight="1">
      <c r="A100" s="53"/>
      <c r="B100" s="18"/>
      <c r="K100" s="64"/>
      <c r="L100" s="65"/>
      <c r="T100" s="64"/>
      <c r="U100" s="65"/>
      <c r="AC100" s="64"/>
      <c r="AD100" s="65"/>
      <c r="AL100" s="64"/>
      <c r="AM100" s="65"/>
      <c r="BI100" s="64"/>
      <c r="BK100" s="55"/>
      <c r="BM100" s="4">
        <f t="shared" si="1"/>
        <v>44</v>
      </c>
    </row>
    <row r="101" spans="1:65" s="52" customFormat="1" ht="15" customHeight="1">
      <c r="A101" s="53"/>
      <c r="B101" s="18"/>
      <c r="K101" s="64"/>
      <c r="L101" s="65"/>
      <c r="T101" s="64"/>
      <c r="U101" s="65"/>
      <c r="AC101" s="64"/>
      <c r="AD101" s="65"/>
      <c r="AL101" s="64"/>
      <c r="AM101" s="65"/>
      <c r="BI101" s="64"/>
      <c r="BK101" s="55"/>
      <c r="BM101" s="4">
        <f t="shared" si="1"/>
        <v>45</v>
      </c>
    </row>
    <row r="102" spans="1:65" s="52" customFormat="1" ht="15" customHeight="1">
      <c r="A102" s="53"/>
      <c r="B102" s="18"/>
      <c r="K102" s="64"/>
      <c r="L102" s="65"/>
      <c r="T102" s="64"/>
      <c r="U102" s="65"/>
      <c r="AC102" s="64"/>
      <c r="AD102" s="65"/>
      <c r="AL102" s="64"/>
      <c r="AM102" s="65"/>
      <c r="BI102" s="64"/>
      <c r="BK102" s="55"/>
      <c r="BM102" s="4">
        <f t="shared" si="1"/>
        <v>46</v>
      </c>
    </row>
    <row r="103" spans="1:65" s="52" customFormat="1" ht="15" customHeight="1">
      <c r="A103" s="53"/>
      <c r="B103" s="18"/>
      <c r="K103" s="64"/>
      <c r="L103" s="65"/>
      <c r="T103" s="64"/>
      <c r="U103" s="65"/>
      <c r="AC103" s="64"/>
      <c r="AD103" s="65"/>
      <c r="AL103" s="64"/>
      <c r="AM103" s="65"/>
      <c r="BI103" s="64"/>
      <c r="BK103" s="55"/>
      <c r="BM103" s="4">
        <f t="shared" si="1"/>
        <v>47</v>
      </c>
    </row>
    <row r="104" spans="1:65" s="52" customFormat="1" ht="15" customHeight="1">
      <c r="A104" s="53"/>
      <c r="B104" s="18"/>
      <c r="K104" s="64"/>
      <c r="L104" s="65"/>
      <c r="T104" s="64"/>
      <c r="U104" s="65"/>
      <c r="AC104" s="64"/>
      <c r="AD104" s="65"/>
      <c r="AL104" s="64"/>
      <c r="AM104" s="65"/>
      <c r="BI104" s="64"/>
      <c r="BK104" s="55"/>
      <c r="BM104" s="4">
        <f t="shared" si="1"/>
        <v>48</v>
      </c>
    </row>
    <row r="105" spans="1:65" s="52" customFormat="1" ht="15" customHeight="1">
      <c r="A105" s="53"/>
      <c r="B105" s="18"/>
      <c r="K105" s="64"/>
      <c r="L105" s="65"/>
      <c r="T105" s="64"/>
      <c r="U105" s="65"/>
      <c r="AC105" s="64"/>
      <c r="AD105" s="65"/>
      <c r="AL105" s="64"/>
      <c r="AM105" s="65"/>
      <c r="BI105" s="64"/>
      <c r="BK105" s="55"/>
      <c r="BM105" s="4">
        <f t="shared" si="1"/>
        <v>49</v>
      </c>
    </row>
    <row r="106" spans="1:65" s="52" customFormat="1" ht="15" customHeight="1">
      <c r="A106" s="53"/>
      <c r="B106" s="18"/>
      <c r="K106" s="64"/>
      <c r="L106" s="65"/>
      <c r="T106" s="64"/>
      <c r="U106" s="65"/>
      <c r="AC106" s="64"/>
      <c r="AD106" s="65"/>
      <c r="AL106" s="64"/>
      <c r="AM106" s="65"/>
      <c r="BI106" s="64"/>
      <c r="BK106" s="55"/>
      <c r="BM106" s="4">
        <f t="shared" si="1"/>
        <v>50</v>
      </c>
    </row>
    <row r="107" spans="1:65" s="52" customFormat="1" ht="15" customHeight="1">
      <c r="A107" s="53"/>
      <c r="B107" s="18"/>
      <c r="K107" s="64"/>
      <c r="L107" s="65"/>
      <c r="T107" s="64"/>
      <c r="U107" s="65"/>
      <c r="AC107" s="64"/>
      <c r="AD107" s="65"/>
      <c r="AL107" s="64"/>
      <c r="AM107" s="65"/>
      <c r="BI107" s="64"/>
      <c r="BK107" s="55"/>
      <c r="BM107" s="4">
        <f t="shared" si="1"/>
        <v>1</v>
      </c>
    </row>
    <row r="108" spans="1:65" s="52" customFormat="1" ht="15" customHeight="1">
      <c r="A108" s="53"/>
      <c r="B108" s="18"/>
      <c r="K108" s="64"/>
      <c r="L108" s="65"/>
      <c r="T108" s="64"/>
      <c r="U108" s="65"/>
      <c r="AC108" s="64"/>
      <c r="AD108" s="65"/>
      <c r="AL108" s="64"/>
      <c r="AM108" s="65"/>
      <c r="BI108" s="64"/>
      <c r="BK108" s="55"/>
      <c r="BM108" s="4">
        <f t="shared" si="1"/>
        <v>2</v>
      </c>
    </row>
    <row r="109" spans="1:65" s="52" customFormat="1" ht="15" customHeight="1">
      <c r="A109" s="53"/>
      <c r="B109" s="18"/>
      <c r="K109" s="64"/>
      <c r="L109" s="65"/>
      <c r="T109" s="64"/>
      <c r="U109" s="65"/>
      <c r="AC109" s="64"/>
      <c r="AD109" s="65"/>
      <c r="AL109" s="64"/>
      <c r="AM109" s="65"/>
      <c r="BI109" s="64"/>
      <c r="BK109" s="55"/>
      <c r="BM109" s="4">
        <f t="shared" si="1"/>
        <v>3</v>
      </c>
    </row>
    <row r="110" spans="1:65" s="52" customFormat="1" ht="15" customHeight="1">
      <c r="A110" s="53"/>
      <c r="B110" s="18"/>
      <c r="K110" s="64"/>
      <c r="L110" s="65"/>
      <c r="T110" s="64"/>
      <c r="U110" s="65"/>
      <c r="AC110" s="64"/>
      <c r="AD110" s="65"/>
      <c r="AL110" s="64"/>
      <c r="AM110" s="65"/>
      <c r="BI110" s="64"/>
      <c r="BK110" s="55"/>
      <c r="BM110" s="4">
        <f t="shared" si="1"/>
        <v>4</v>
      </c>
    </row>
    <row r="111" spans="1:65" s="52" customFormat="1" ht="15" customHeight="1">
      <c r="A111" s="53"/>
      <c r="B111" s="18"/>
      <c r="K111" s="64"/>
      <c r="L111" s="65"/>
      <c r="T111" s="64"/>
      <c r="U111" s="65"/>
      <c r="AC111" s="64"/>
      <c r="AD111" s="65"/>
      <c r="AL111" s="64"/>
      <c r="AM111" s="65"/>
      <c r="BI111" s="64"/>
      <c r="BK111" s="55"/>
      <c r="BM111" s="4">
        <f t="shared" si="1"/>
        <v>5</v>
      </c>
    </row>
    <row r="112" spans="1:65" s="52" customFormat="1" ht="15" customHeight="1">
      <c r="A112" s="53"/>
      <c r="B112" s="18"/>
      <c r="K112" s="64"/>
      <c r="L112" s="65"/>
      <c r="T112" s="64"/>
      <c r="U112" s="65"/>
      <c r="AC112" s="64"/>
      <c r="AD112" s="65"/>
      <c r="AL112" s="64"/>
      <c r="AM112" s="65"/>
      <c r="BI112" s="64"/>
      <c r="BK112" s="55"/>
      <c r="BM112" s="4">
        <f t="shared" si="1"/>
        <v>6</v>
      </c>
    </row>
    <row r="113" spans="1:65" s="52" customFormat="1" ht="15" customHeight="1">
      <c r="A113" s="53"/>
      <c r="B113" s="18"/>
      <c r="K113" s="64"/>
      <c r="L113" s="65"/>
      <c r="T113" s="64"/>
      <c r="U113" s="65"/>
      <c r="AC113" s="64"/>
      <c r="AD113" s="65"/>
      <c r="AL113" s="64"/>
      <c r="AM113" s="65"/>
      <c r="BI113" s="64"/>
      <c r="BK113" s="55"/>
      <c r="BM113" s="4">
        <f t="shared" si="1"/>
        <v>7</v>
      </c>
    </row>
    <row r="114" spans="1:65" s="52" customFormat="1" ht="15" customHeight="1">
      <c r="A114" s="53"/>
      <c r="B114" s="18"/>
      <c r="K114" s="64"/>
      <c r="L114" s="65"/>
      <c r="T114" s="64"/>
      <c r="U114" s="65"/>
      <c r="AC114" s="64"/>
      <c r="AD114" s="65"/>
      <c r="AL114" s="64"/>
      <c r="AM114" s="65"/>
      <c r="BI114" s="64"/>
      <c r="BK114" s="55"/>
      <c r="BM114" s="4">
        <f t="shared" si="1"/>
        <v>8</v>
      </c>
    </row>
    <row r="115" spans="1:65" s="52" customFormat="1" ht="15" customHeight="1">
      <c r="A115" s="53"/>
      <c r="B115" s="18"/>
      <c r="K115" s="64"/>
      <c r="L115" s="65"/>
      <c r="T115" s="64"/>
      <c r="U115" s="65"/>
      <c r="AC115" s="64"/>
      <c r="AD115" s="65"/>
      <c r="AL115" s="64"/>
      <c r="AM115" s="65"/>
      <c r="BI115" s="64"/>
      <c r="BK115" s="55"/>
      <c r="BM115" s="4">
        <f t="shared" si="1"/>
        <v>9</v>
      </c>
    </row>
    <row r="116" spans="1:65" s="52" customFormat="1" ht="15" customHeight="1">
      <c r="A116" s="53"/>
      <c r="B116" s="18"/>
      <c r="K116" s="64"/>
      <c r="L116" s="65"/>
      <c r="T116" s="64"/>
      <c r="U116" s="65"/>
      <c r="AC116" s="64"/>
      <c r="AD116" s="65"/>
      <c r="AL116" s="64"/>
      <c r="AM116" s="65"/>
      <c r="BI116" s="64"/>
      <c r="BK116" s="55"/>
      <c r="BM116" s="4">
        <f t="shared" si="1"/>
        <v>10</v>
      </c>
    </row>
    <row r="117" spans="1:65" s="52" customFormat="1" ht="15" customHeight="1">
      <c r="A117" s="53"/>
      <c r="B117" s="18"/>
      <c r="K117" s="64"/>
      <c r="L117" s="65"/>
      <c r="T117" s="64"/>
      <c r="U117" s="65"/>
      <c r="AC117" s="64"/>
      <c r="AD117" s="65"/>
      <c r="AL117" s="64"/>
      <c r="AM117" s="65"/>
      <c r="BI117" s="64"/>
      <c r="BK117" s="55"/>
      <c r="BM117" s="4">
        <f t="shared" si="1"/>
        <v>11</v>
      </c>
    </row>
    <row r="118" spans="1:65" s="52" customFormat="1" ht="15" customHeight="1">
      <c r="A118" s="53"/>
      <c r="B118" s="18"/>
      <c r="K118" s="64"/>
      <c r="L118" s="65"/>
      <c r="T118" s="64"/>
      <c r="U118" s="65"/>
      <c r="AC118" s="64"/>
      <c r="AD118" s="65"/>
      <c r="AL118" s="64"/>
      <c r="AM118" s="65"/>
      <c r="BI118" s="64"/>
      <c r="BK118" s="55"/>
      <c r="BM118" s="4">
        <f t="shared" si="1"/>
        <v>12</v>
      </c>
    </row>
    <row r="119" spans="1:65" s="52" customFormat="1" ht="15" customHeight="1">
      <c r="A119" s="53"/>
      <c r="B119" s="18"/>
      <c r="K119" s="64"/>
      <c r="L119" s="65"/>
      <c r="T119" s="64"/>
      <c r="U119" s="65"/>
      <c r="AC119" s="64"/>
      <c r="AD119" s="65"/>
      <c r="AL119" s="64"/>
      <c r="AM119" s="65"/>
      <c r="BI119" s="64"/>
      <c r="BK119" s="55"/>
      <c r="BM119" s="4">
        <f t="shared" si="1"/>
        <v>13</v>
      </c>
    </row>
    <row r="120" spans="1:65" s="52" customFormat="1" ht="15" customHeight="1">
      <c r="A120" s="53"/>
      <c r="B120" s="18"/>
      <c r="K120" s="64"/>
      <c r="L120" s="65"/>
      <c r="T120" s="64"/>
      <c r="U120" s="65"/>
      <c r="AC120" s="64"/>
      <c r="AD120" s="65"/>
      <c r="AL120" s="64"/>
      <c r="AM120" s="65"/>
      <c r="BI120" s="64"/>
      <c r="BK120" s="55"/>
      <c r="BM120" s="4">
        <f t="shared" si="1"/>
        <v>14</v>
      </c>
    </row>
    <row r="121" spans="1:65" s="52" customFormat="1" ht="15" customHeight="1">
      <c r="A121" s="53"/>
      <c r="B121" s="18"/>
      <c r="K121" s="64"/>
      <c r="L121" s="65"/>
      <c r="T121" s="64"/>
      <c r="U121" s="65"/>
      <c r="AC121" s="64"/>
      <c r="AD121" s="65"/>
      <c r="AL121" s="64"/>
      <c r="AM121" s="65"/>
      <c r="BI121" s="64"/>
      <c r="BK121" s="55"/>
      <c r="BM121" s="4">
        <f t="shared" si="1"/>
        <v>15</v>
      </c>
    </row>
    <row r="122" spans="1:65" s="52" customFormat="1" ht="15" customHeight="1">
      <c r="A122" s="53"/>
      <c r="B122" s="18"/>
      <c r="K122" s="64"/>
      <c r="L122" s="65"/>
      <c r="T122" s="64"/>
      <c r="U122" s="65"/>
      <c r="AC122" s="64"/>
      <c r="AD122" s="65"/>
      <c r="AL122" s="64"/>
      <c r="AM122" s="65"/>
      <c r="BI122" s="64"/>
      <c r="BK122" s="55"/>
      <c r="BM122" s="4">
        <f t="shared" si="1"/>
        <v>16</v>
      </c>
    </row>
    <row r="123" spans="1:65" s="52" customFormat="1" ht="15" customHeight="1">
      <c r="A123" s="53"/>
      <c r="B123" s="18"/>
      <c r="K123" s="64"/>
      <c r="L123" s="65"/>
      <c r="T123" s="64"/>
      <c r="U123" s="65"/>
      <c r="AC123" s="64"/>
      <c r="AD123" s="65"/>
      <c r="AL123" s="64"/>
      <c r="AM123" s="65"/>
      <c r="BI123" s="64"/>
      <c r="BK123" s="55"/>
      <c r="BM123" s="4">
        <f t="shared" si="1"/>
        <v>17</v>
      </c>
    </row>
    <row r="124" spans="1:65" s="52" customFormat="1" ht="15" customHeight="1">
      <c r="A124" s="53"/>
      <c r="B124" s="18"/>
      <c r="K124" s="64"/>
      <c r="L124" s="65"/>
      <c r="T124" s="64"/>
      <c r="U124" s="65"/>
      <c r="AC124" s="64"/>
      <c r="AD124" s="65"/>
      <c r="AL124" s="64"/>
      <c r="AM124" s="65"/>
      <c r="BI124" s="64"/>
      <c r="BK124" s="55"/>
      <c r="BM124" s="4">
        <f t="shared" si="1"/>
        <v>18</v>
      </c>
    </row>
    <row r="125" spans="1:65" s="52" customFormat="1" ht="15" customHeight="1">
      <c r="A125" s="53"/>
      <c r="B125" s="18"/>
      <c r="K125" s="64"/>
      <c r="L125" s="65"/>
      <c r="T125" s="64"/>
      <c r="U125" s="65"/>
      <c r="AC125" s="64"/>
      <c r="AD125" s="65"/>
      <c r="AL125" s="64"/>
      <c r="AM125" s="65"/>
      <c r="BI125" s="64"/>
      <c r="BK125" s="55"/>
      <c r="BM125" s="4">
        <f t="shared" si="1"/>
        <v>19</v>
      </c>
    </row>
    <row r="126" spans="1:65" s="52" customFormat="1" ht="15" customHeight="1">
      <c r="A126" s="53"/>
      <c r="B126" s="18"/>
      <c r="K126" s="64"/>
      <c r="L126" s="65"/>
      <c r="T126" s="64"/>
      <c r="U126" s="65"/>
      <c r="AC126" s="64"/>
      <c r="AD126" s="65"/>
      <c r="AL126" s="64"/>
      <c r="AM126" s="65"/>
      <c r="BI126" s="64"/>
      <c r="BK126" s="55"/>
      <c r="BM126" s="4">
        <f t="shared" si="1"/>
        <v>20</v>
      </c>
    </row>
    <row r="127" spans="1:65" s="52" customFormat="1" ht="15" customHeight="1">
      <c r="A127" s="53"/>
      <c r="B127" s="18"/>
      <c r="K127" s="64"/>
      <c r="L127" s="65"/>
      <c r="T127" s="64"/>
      <c r="U127" s="65"/>
      <c r="AC127" s="64"/>
      <c r="AD127" s="65"/>
      <c r="AL127" s="64"/>
      <c r="AM127" s="65"/>
      <c r="BI127" s="64"/>
      <c r="BK127" s="55"/>
      <c r="BM127" s="4">
        <f t="shared" si="1"/>
        <v>21</v>
      </c>
    </row>
    <row r="128" spans="1:65" s="52" customFormat="1" ht="15" customHeight="1">
      <c r="A128" s="53"/>
      <c r="B128" s="18"/>
      <c r="K128" s="64"/>
      <c r="L128" s="65"/>
      <c r="T128" s="64"/>
      <c r="U128" s="65"/>
      <c r="AC128" s="64"/>
      <c r="AD128" s="65"/>
      <c r="AL128" s="64"/>
      <c r="AM128" s="65"/>
      <c r="BI128" s="64"/>
      <c r="BK128" s="55"/>
      <c r="BM128" s="4">
        <f t="shared" si="1"/>
        <v>22</v>
      </c>
    </row>
    <row r="129" spans="1:65" s="52" customFormat="1" ht="15" customHeight="1">
      <c r="A129" s="53"/>
      <c r="B129" s="18"/>
      <c r="K129" s="64"/>
      <c r="L129" s="65"/>
      <c r="T129" s="64"/>
      <c r="U129" s="65"/>
      <c r="AC129" s="64"/>
      <c r="AD129" s="65"/>
      <c r="AL129" s="64"/>
      <c r="AM129" s="65"/>
      <c r="BI129" s="64"/>
      <c r="BK129" s="55"/>
      <c r="BM129" s="4">
        <f t="shared" si="1"/>
        <v>23</v>
      </c>
    </row>
    <row r="130" spans="1:65" s="52" customFormat="1" ht="15" customHeight="1">
      <c r="A130" s="53"/>
      <c r="B130" s="18"/>
      <c r="K130" s="64"/>
      <c r="L130" s="65"/>
      <c r="T130" s="64"/>
      <c r="U130" s="65"/>
      <c r="AC130" s="64"/>
      <c r="AD130" s="65"/>
      <c r="AL130" s="64"/>
      <c r="AM130" s="65"/>
      <c r="BI130" s="64"/>
      <c r="BK130" s="55"/>
      <c r="BM130" s="4">
        <f t="shared" si="1"/>
        <v>24</v>
      </c>
    </row>
    <row r="131" spans="1:65" s="52" customFormat="1" ht="15" customHeight="1">
      <c r="A131" s="53"/>
      <c r="B131" s="18"/>
      <c r="K131" s="64"/>
      <c r="L131" s="65"/>
      <c r="T131" s="64"/>
      <c r="U131" s="65"/>
      <c r="AC131" s="64"/>
      <c r="AD131" s="65"/>
      <c r="AL131" s="64"/>
      <c r="AM131" s="65"/>
      <c r="BI131" s="64"/>
      <c r="BK131" s="55"/>
      <c r="BM131" s="4">
        <f t="shared" si="1"/>
        <v>25</v>
      </c>
    </row>
    <row r="132" spans="1:65" s="52" customFormat="1" ht="15" customHeight="1">
      <c r="A132" s="57"/>
      <c r="B132" s="19"/>
      <c r="C132" s="58"/>
      <c r="D132" s="58"/>
      <c r="E132" s="58"/>
      <c r="F132" s="58"/>
      <c r="G132" s="58"/>
      <c r="H132" s="58"/>
      <c r="I132" s="58"/>
      <c r="J132" s="58"/>
      <c r="K132" s="69"/>
      <c r="L132" s="70"/>
      <c r="M132" s="58"/>
      <c r="N132" s="58"/>
      <c r="O132" s="58"/>
      <c r="P132" s="58"/>
      <c r="Q132" s="58"/>
      <c r="R132" s="58"/>
      <c r="S132" s="58"/>
      <c r="T132" s="69"/>
      <c r="U132" s="70"/>
      <c r="V132" s="58"/>
      <c r="W132" s="58"/>
      <c r="X132" s="58"/>
      <c r="Y132" s="58"/>
      <c r="Z132" s="58"/>
      <c r="AA132" s="58"/>
      <c r="AB132" s="58"/>
      <c r="AC132" s="69"/>
      <c r="AD132" s="70"/>
      <c r="AE132" s="58"/>
      <c r="AF132" s="58"/>
      <c r="AG132" s="58"/>
      <c r="AH132" s="58"/>
      <c r="AI132" s="58"/>
      <c r="AJ132" s="58"/>
      <c r="AK132" s="58"/>
      <c r="AL132" s="69"/>
      <c r="AM132" s="70"/>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69"/>
      <c r="BJ132" s="58"/>
      <c r="BK132" s="59"/>
      <c r="BM132" s="4">
        <f t="shared" si="1"/>
        <v>26</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25"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cols>
    <col min="1" max="63" width="3.21875" style="4" customWidth="1"/>
    <col min="64" max="16384" width="10.109375" style="4"/>
  </cols>
  <sheetData>
    <row r="1" spans="1:63" ht="24.95" customHeight="1">
      <c r="A1" s="158" t="s">
        <v>0</v>
      </c>
      <c r="B1" s="159"/>
      <c r="C1" s="159"/>
      <c r="D1" s="159"/>
      <c r="E1" s="159"/>
      <c r="F1" s="159"/>
      <c r="G1" s="159"/>
      <c r="H1" s="159"/>
      <c r="I1" s="159"/>
      <c r="J1" s="160"/>
      <c r="K1" s="158" t="s">
        <v>1</v>
      </c>
      <c r="L1" s="159"/>
      <c r="M1" s="159"/>
      <c r="N1" s="159"/>
      <c r="O1" s="159"/>
      <c r="P1" s="159"/>
      <c r="Q1" s="159"/>
      <c r="R1" s="159"/>
      <c r="S1" s="159"/>
      <c r="T1" s="159"/>
      <c r="U1" s="159"/>
      <c r="V1" s="160"/>
      <c r="W1" s="161" t="str">
        <f>IF(表紙!W1="","",表紙!W1)</f>
        <v>基本設計書</v>
      </c>
      <c r="X1" s="162"/>
      <c r="Y1" s="162"/>
      <c r="Z1" s="162"/>
      <c r="AA1" s="162"/>
      <c r="AB1" s="162"/>
      <c r="AC1" s="162"/>
      <c r="AD1" s="162"/>
      <c r="AE1" s="162"/>
      <c r="AF1" s="162"/>
      <c r="AG1" s="162"/>
      <c r="AH1" s="162"/>
      <c r="AI1" s="162"/>
      <c r="AJ1" s="162"/>
      <c r="AK1" s="162"/>
      <c r="AL1" s="162"/>
      <c r="AM1" s="162"/>
      <c r="AN1" s="162"/>
      <c r="AO1" s="163"/>
      <c r="AP1" s="95" t="s">
        <v>3</v>
      </c>
      <c r="AQ1" s="96"/>
      <c r="AR1" s="96"/>
      <c r="AS1" s="97"/>
      <c r="AT1" s="95" t="s">
        <v>4</v>
      </c>
      <c r="AU1" s="96"/>
      <c r="AV1" s="96"/>
      <c r="AW1" s="96"/>
      <c r="AX1" s="97"/>
      <c r="AY1" s="95" t="s">
        <v>5</v>
      </c>
      <c r="AZ1" s="96"/>
      <c r="BA1" s="96"/>
      <c r="BB1" s="97"/>
      <c r="BC1" s="95" t="s">
        <v>6</v>
      </c>
      <c r="BD1" s="96"/>
      <c r="BE1" s="96"/>
      <c r="BF1" s="96"/>
      <c r="BG1" s="97"/>
      <c r="BH1" s="95" t="s">
        <v>7</v>
      </c>
      <c r="BI1" s="96"/>
      <c r="BJ1" s="96"/>
      <c r="BK1" s="97"/>
    </row>
    <row r="2" spans="1:63" ht="15" customHeight="1">
      <c r="A2" s="152" t="str">
        <f>IF(表紙!A2="","",表紙!A2)</f>
        <v>POSサーバー</v>
      </c>
      <c r="B2" s="153"/>
      <c r="C2" s="153"/>
      <c r="D2" s="153"/>
      <c r="E2" s="153"/>
      <c r="F2" s="153"/>
      <c r="G2" s="153"/>
      <c r="H2" s="153"/>
      <c r="I2" s="153"/>
      <c r="J2" s="154"/>
      <c r="K2" s="152" t="str">
        <f>IF(表紙!K2="","",表紙!K2)</f>
        <v>POSサーバー</v>
      </c>
      <c r="L2" s="153"/>
      <c r="M2" s="153"/>
      <c r="N2" s="153"/>
      <c r="O2" s="153"/>
      <c r="P2" s="153"/>
      <c r="Q2" s="153"/>
      <c r="R2" s="153"/>
      <c r="S2" s="153"/>
      <c r="T2" s="153"/>
      <c r="U2" s="153"/>
      <c r="V2" s="154"/>
      <c r="W2" s="164"/>
      <c r="X2" s="165"/>
      <c r="Y2" s="165"/>
      <c r="Z2" s="165"/>
      <c r="AA2" s="165"/>
      <c r="AB2" s="165"/>
      <c r="AC2" s="165"/>
      <c r="AD2" s="165"/>
      <c r="AE2" s="165"/>
      <c r="AF2" s="165"/>
      <c r="AG2" s="165"/>
      <c r="AH2" s="165"/>
      <c r="AI2" s="165"/>
      <c r="AJ2" s="165"/>
      <c r="AK2" s="165"/>
      <c r="AL2" s="165"/>
      <c r="AM2" s="165"/>
      <c r="AN2" s="165"/>
      <c r="AO2" s="166"/>
      <c r="AP2" s="80" t="str">
        <f>IF(表紙!AP2="","",表紙!AP2)</f>
        <v>AnhDD</v>
      </c>
      <c r="AQ2" s="81"/>
      <c r="AR2" s="81"/>
      <c r="AS2" s="82"/>
      <c r="AT2" s="109">
        <f>IF(表紙!AT2="","",表紙!AT2)</f>
        <v>45416</v>
      </c>
      <c r="AU2" s="110"/>
      <c r="AV2" s="110"/>
      <c r="AW2" s="110"/>
      <c r="AX2" s="111"/>
      <c r="AY2" s="80" t="str">
        <f>IF(表紙!AY2="","",表紙!AY2)</f>
        <v>AnhDD</v>
      </c>
      <c r="AZ2" s="81"/>
      <c r="BA2" s="81"/>
      <c r="BB2" s="82"/>
      <c r="BC2" s="109">
        <f>IF(表紙!BC2="","",表紙!BC2)</f>
        <v>45416</v>
      </c>
      <c r="BD2" s="110"/>
      <c r="BE2" s="110"/>
      <c r="BF2" s="110"/>
      <c r="BG2" s="111"/>
      <c r="BH2" s="80">
        <f>IF(表紙!BH2="","",表紙!BH2)</f>
        <v>0.1</v>
      </c>
      <c r="BI2" s="81"/>
      <c r="BJ2" s="81"/>
      <c r="BK2" s="82"/>
    </row>
    <row r="3" spans="1:63" ht="15" customHeight="1">
      <c r="A3" s="155"/>
      <c r="B3" s="156"/>
      <c r="C3" s="156"/>
      <c r="D3" s="156"/>
      <c r="E3" s="156"/>
      <c r="F3" s="156"/>
      <c r="G3" s="156"/>
      <c r="H3" s="156"/>
      <c r="I3" s="156"/>
      <c r="J3" s="157"/>
      <c r="K3" s="155"/>
      <c r="L3" s="156"/>
      <c r="M3" s="156"/>
      <c r="N3" s="156"/>
      <c r="O3" s="156"/>
      <c r="P3" s="156"/>
      <c r="Q3" s="156"/>
      <c r="R3" s="156"/>
      <c r="S3" s="156"/>
      <c r="T3" s="156"/>
      <c r="U3" s="156"/>
      <c r="V3" s="157"/>
      <c r="W3" s="167"/>
      <c r="X3" s="168"/>
      <c r="Y3" s="168"/>
      <c r="Z3" s="168"/>
      <c r="AA3" s="168"/>
      <c r="AB3" s="168"/>
      <c r="AC3" s="168"/>
      <c r="AD3" s="168"/>
      <c r="AE3" s="168"/>
      <c r="AF3" s="168"/>
      <c r="AG3" s="168"/>
      <c r="AH3" s="168"/>
      <c r="AI3" s="168"/>
      <c r="AJ3" s="168"/>
      <c r="AK3" s="168"/>
      <c r="AL3" s="168"/>
      <c r="AM3" s="168"/>
      <c r="AN3" s="168"/>
      <c r="AO3" s="169"/>
      <c r="AP3" s="86"/>
      <c r="AQ3" s="87"/>
      <c r="AR3" s="87"/>
      <c r="AS3" s="88"/>
      <c r="AT3" s="112"/>
      <c r="AU3" s="113"/>
      <c r="AV3" s="113"/>
      <c r="AW3" s="113"/>
      <c r="AX3" s="114"/>
      <c r="AY3" s="86"/>
      <c r="AZ3" s="87"/>
      <c r="BA3" s="87"/>
      <c r="BB3" s="88"/>
      <c r="BC3" s="112"/>
      <c r="BD3" s="113"/>
      <c r="BE3" s="113"/>
      <c r="BF3" s="113"/>
      <c r="BG3" s="114"/>
      <c r="BH3" s="86"/>
      <c r="BI3" s="87"/>
      <c r="BJ3" s="87"/>
      <c r="BK3" s="88"/>
    </row>
    <row r="4" spans="1:63" ht="24.95" customHeight="1">
      <c r="A4" s="158" t="s">
        <v>10</v>
      </c>
      <c r="B4" s="159"/>
      <c r="C4" s="159"/>
      <c r="D4" s="159"/>
      <c r="E4" s="159"/>
      <c r="F4" s="159"/>
      <c r="G4" s="160"/>
      <c r="H4" s="170" t="str">
        <f>IF(表紙!H4="","",表紙!H4)</f>
        <v>13_部門別売上日報</v>
      </c>
      <c r="I4" s="171"/>
      <c r="J4" s="171"/>
      <c r="K4" s="171"/>
      <c r="L4" s="171"/>
      <c r="M4" s="171"/>
      <c r="N4" s="171"/>
      <c r="O4" s="171"/>
      <c r="P4" s="171"/>
      <c r="Q4" s="171"/>
      <c r="R4" s="171"/>
      <c r="S4" s="171"/>
      <c r="T4" s="172"/>
      <c r="U4" s="158" t="s">
        <v>12</v>
      </c>
      <c r="V4" s="159"/>
      <c r="W4" s="159"/>
      <c r="X4" s="159"/>
      <c r="Y4" s="160"/>
      <c r="Z4" s="170" t="str">
        <f>IF(表紙!Z4="","",表紙!Z4)</f>
        <v>概要設計書</v>
      </c>
      <c r="AA4" s="171"/>
      <c r="AB4" s="171"/>
      <c r="AC4" s="171"/>
      <c r="AD4" s="171"/>
      <c r="AE4" s="171"/>
      <c r="AF4" s="171"/>
      <c r="AG4" s="171"/>
      <c r="AH4" s="171"/>
      <c r="AI4" s="171"/>
      <c r="AJ4" s="171"/>
      <c r="AK4" s="171"/>
      <c r="AL4" s="171"/>
      <c r="AM4" s="171"/>
      <c r="AN4" s="171"/>
      <c r="AO4" s="172"/>
      <c r="AP4" s="173" t="e">
        <f ca="1">MID(CELL("filename",A1),FIND("]",CELL("filename",A1))+1,255)</f>
        <v>#VALUE!</v>
      </c>
      <c r="AQ4" s="171"/>
      <c r="AR4" s="171"/>
      <c r="AS4" s="171"/>
      <c r="AT4" s="171"/>
      <c r="AU4" s="171"/>
      <c r="AV4" s="171"/>
      <c r="AW4" s="171"/>
      <c r="AX4" s="171"/>
      <c r="AY4" s="171"/>
      <c r="AZ4" s="171"/>
      <c r="BA4" s="171"/>
      <c r="BB4" s="171"/>
      <c r="BC4" s="171"/>
      <c r="BD4" s="171"/>
      <c r="BE4" s="171"/>
      <c r="BF4" s="171"/>
      <c r="BG4" s="171"/>
      <c r="BH4" s="171"/>
      <c r="BI4" s="171"/>
      <c r="BJ4" s="171"/>
      <c r="BK4" s="172"/>
    </row>
    <row r="5" spans="1:63" ht="5.0999999999999996" customHeight="1">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7"/>
    </row>
    <row r="6" spans="1:63" ht="15" customHeight="1">
      <c r="A6" s="8"/>
      <c r="BK6" s="9"/>
    </row>
    <row r="7" spans="1:63" ht="15" customHeight="1">
      <c r="A7" s="8"/>
      <c r="B7" s="71" t="s">
        <v>52</v>
      </c>
      <c r="C7" s="71"/>
      <c r="D7" s="71"/>
      <c r="E7" s="71"/>
      <c r="F7" s="71"/>
      <c r="G7" s="71"/>
      <c r="H7" s="71"/>
      <c r="I7" s="71"/>
      <c r="J7" s="71"/>
      <c r="AE7" s="10"/>
      <c r="BK7" s="9"/>
    </row>
    <row r="8" spans="1:63" ht="15" customHeight="1">
      <c r="A8" s="8"/>
      <c r="BK8" s="9"/>
    </row>
    <row r="9" spans="1:63" ht="15" customHeight="1">
      <c r="A9" s="8"/>
      <c r="BK9" s="9"/>
    </row>
    <row r="10" spans="1:63" ht="15" customHeight="1">
      <c r="A10" s="8"/>
      <c r="BK10" s="9"/>
    </row>
    <row r="11" spans="1:63" ht="15" customHeight="1">
      <c r="A11" s="8"/>
      <c r="BK11" s="9"/>
    </row>
    <row r="12" spans="1:63" ht="15" customHeight="1">
      <c r="A12" s="8"/>
      <c r="BK12" s="9"/>
    </row>
    <row r="13" spans="1:63" ht="15" customHeight="1">
      <c r="A13" s="8"/>
      <c r="BK13" s="9"/>
    </row>
    <row r="14" spans="1:63" ht="15" customHeight="1">
      <c r="A14" s="8"/>
      <c r="BK14" s="9"/>
    </row>
    <row r="15" spans="1:63" ht="15" customHeight="1">
      <c r="A15" s="8"/>
      <c r="BK15" s="9"/>
    </row>
    <row r="16" spans="1:63" ht="15" customHeight="1">
      <c r="A16" s="8"/>
      <c r="BK16" s="9"/>
    </row>
    <row r="17" spans="1:63" ht="15" customHeight="1">
      <c r="A17" s="8"/>
      <c r="BK17" s="9"/>
    </row>
    <row r="18" spans="1:63" ht="15" customHeight="1">
      <c r="A18" s="8"/>
      <c r="BK18" s="9"/>
    </row>
    <row r="19" spans="1:63" ht="15" customHeight="1">
      <c r="A19" s="8"/>
      <c r="BK19" s="9"/>
    </row>
    <row r="20" spans="1:63" ht="15" customHeight="1">
      <c r="A20" s="8"/>
      <c r="BK20" s="9"/>
    </row>
    <row r="21" spans="1:63" ht="15" customHeight="1">
      <c r="A21" s="8"/>
      <c r="BK21" s="9"/>
    </row>
    <row r="22" spans="1:63" ht="15" customHeight="1">
      <c r="A22" s="8"/>
      <c r="BK22" s="9"/>
    </row>
    <row r="23" spans="1:63" ht="15" customHeight="1">
      <c r="A23" s="8"/>
      <c r="BK23" s="9"/>
    </row>
    <row r="24" spans="1:63" ht="15" customHeight="1">
      <c r="A24" s="8"/>
      <c r="BK24" s="9"/>
    </row>
    <row r="25" spans="1:63" ht="14.25" customHeight="1">
      <c r="A25" s="8"/>
      <c r="BK25" s="9"/>
    </row>
    <row r="26" spans="1:63" ht="15" customHeight="1">
      <c r="A26" s="8"/>
      <c r="BK26" s="9"/>
    </row>
    <row r="27" spans="1:63" ht="15" customHeight="1">
      <c r="A27" s="8"/>
      <c r="BK27" s="9"/>
    </row>
    <row r="28" spans="1:63">
      <c r="BK28" s="9"/>
    </row>
    <row r="29" spans="1:63">
      <c r="BK29" s="9"/>
    </row>
    <row r="30" spans="1:63">
      <c r="BK30" s="9"/>
    </row>
    <row r="31" spans="1:63">
      <c r="BK31" s="9"/>
    </row>
    <row r="32" spans="1:63">
      <c r="BK32" s="9"/>
    </row>
    <row r="33" spans="1:63">
      <c r="BK33" s="9"/>
    </row>
    <row r="34" spans="1:63">
      <c r="BK34" s="9"/>
    </row>
    <row r="35" spans="1:63" ht="15" customHeight="1">
      <c r="A35" s="8"/>
      <c r="B35" s="10" t="s">
        <v>53</v>
      </c>
      <c r="BK35" s="9"/>
    </row>
    <row r="36" spans="1:63">
      <c r="BK36" s="9"/>
    </row>
    <row r="37" spans="1:63" ht="15.75" customHeight="1">
      <c r="B37" s="174" t="s">
        <v>54</v>
      </c>
      <c r="C37" s="175"/>
      <c r="D37" s="180" t="s">
        <v>55</v>
      </c>
      <c r="E37" s="181"/>
      <c r="F37" s="181"/>
      <c r="G37" s="181"/>
      <c r="H37" s="181"/>
      <c r="I37" s="181"/>
      <c r="J37" s="175"/>
      <c r="K37" s="180" t="s">
        <v>56</v>
      </c>
      <c r="L37" s="181"/>
      <c r="M37" s="175"/>
      <c r="N37" s="184" t="s">
        <v>57</v>
      </c>
      <c r="O37" s="187" t="s">
        <v>58</v>
      </c>
      <c r="P37" s="205" t="s">
        <v>59</v>
      </c>
      <c r="Q37" s="206"/>
      <c r="R37" s="206"/>
      <c r="S37" s="206"/>
      <c r="T37" s="206"/>
      <c r="U37" s="206"/>
      <c r="V37" s="206"/>
      <c r="W37" s="206"/>
      <c r="X37" s="206"/>
      <c r="Y37" s="206"/>
      <c r="Z37" s="206"/>
      <c r="AA37" s="206"/>
      <c r="AB37" s="206"/>
      <c r="AC37" s="206"/>
      <c r="AD37" s="206"/>
      <c r="AE37" s="206"/>
      <c r="AF37" s="206"/>
      <c r="AG37" s="206"/>
      <c r="AH37" s="206"/>
      <c r="AI37" s="206"/>
      <c r="AJ37" s="206"/>
      <c r="AK37" s="206"/>
      <c r="AL37" s="206"/>
      <c r="AM37" s="206"/>
      <c r="AN37" s="206"/>
      <c r="AO37" s="206"/>
      <c r="AP37" s="206"/>
      <c r="AQ37" s="207"/>
      <c r="AR37" s="190" t="s">
        <v>60</v>
      </c>
      <c r="AS37" s="191"/>
      <c r="AT37" s="191"/>
      <c r="AU37" s="191"/>
      <c r="AV37" s="191"/>
      <c r="AW37" s="191"/>
      <c r="AX37" s="191"/>
      <c r="AY37" s="191"/>
      <c r="AZ37" s="191"/>
      <c r="BA37" s="191"/>
      <c r="BB37" s="194"/>
      <c r="BC37" s="208" t="s">
        <v>61</v>
      </c>
      <c r="BD37" s="209"/>
      <c r="BE37" s="209"/>
      <c r="BF37" s="209"/>
      <c r="BG37" s="209"/>
      <c r="BH37" s="209"/>
      <c r="BI37" s="209"/>
      <c r="BJ37" s="210"/>
      <c r="BK37" s="9"/>
    </row>
    <row r="38" spans="1:63" ht="15.75" customHeight="1">
      <c r="B38" s="176"/>
      <c r="C38" s="177"/>
      <c r="D38" s="176"/>
      <c r="E38" s="182"/>
      <c r="F38" s="182"/>
      <c r="G38" s="182"/>
      <c r="H38" s="182"/>
      <c r="I38" s="182"/>
      <c r="J38" s="177"/>
      <c r="K38" s="176"/>
      <c r="L38" s="182"/>
      <c r="M38" s="177"/>
      <c r="N38" s="185"/>
      <c r="O38" s="188"/>
      <c r="P38" s="299" t="s">
        <v>62</v>
      </c>
      <c r="Q38" s="300"/>
      <c r="R38" s="300"/>
      <c r="S38" s="300"/>
      <c r="T38" s="300"/>
      <c r="U38" s="300"/>
      <c r="V38" s="300"/>
      <c r="W38" s="301"/>
      <c r="X38" s="217" t="s">
        <v>63</v>
      </c>
      <c r="Y38" s="218"/>
      <c r="Z38" s="219"/>
      <c r="AA38" s="217" t="s">
        <v>64</v>
      </c>
      <c r="AB38" s="218"/>
      <c r="AC38" s="218"/>
      <c r="AD38" s="218"/>
      <c r="AE38" s="218"/>
      <c r="AF38" s="218"/>
      <c r="AG38" s="218"/>
      <c r="AH38" s="219"/>
      <c r="AI38" s="217" t="s">
        <v>65</v>
      </c>
      <c r="AJ38" s="218"/>
      <c r="AK38" s="218"/>
      <c r="AL38" s="218"/>
      <c r="AM38" s="218"/>
      <c r="AN38" s="218"/>
      <c r="AO38" s="218"/>
      <c r="AP38" s="218"/>
      <c r="AQ38" s="219"/>
      <c r="AR38" s="223" t="s">
        <v>66</v>
      </c>
      <c r="AS38" s="225" t="s">
        <v>67</v>
      </c>
      <c r="AT38" s="227" t="s">
        <v>68</v>
      </c>
      <c r="AU38" s="190" t="s">
        <v>62</v>
      </c>
      <c r="AV38" s="191"/>
      <c r="AW38" s="191"/>
      <c r="AX38" s="191"/>
      <c r="AY38" s="191"/>
      <c r="AZ38" s="191"/>
      <c r="BA38" s="191"/>
      <c r="BB38" s="194"/>
      <c r="BC38" s="211"/>
      <c r="BD38" s="212"/>
      <c r="BE38" s="212"/>
      <c r="BF38" s="212"/>
      <c r="BG38" s="212"/>
      <c r="BH38" s="212"/>
      <c r="BI38" s="212"/>
      <c r="BJ38" s="213"/>
      <c r="BK38" s="9"/>
    </row>
    <row r="39" spans="1:63">
      <c r="B39" s="178"/>
      <c r="C39" s="179"/>
      <c r="D39" s="178"/>
      <c r="E39" s="183"/>
      <c r="F39" s="183"/>
      <c r="G39" s="183"/>
      <c r="H39" s="183"/>
      <c r="I39" s="183"/>
      <c r="J39" s="179"/>
      <c r="K39" s="178"/>
      <c r="L39" s="183"/>
      <c r="M39" s="179"/>
      <c r="N39" s="186"/>
      <c r="O39" s="189"/>
      <c r="P39" s="205" t="s">
        <v>69</v>
      </c>
      <c r="Q39" s="206"/>
      <c r="R39" s="206"/>
      <c r="S39" s="207"/>
      <c r="T39" s="205" t="s">
        <v>55</v>
      </c>
      <c r="U39" s="206"/>
      <c r="V39" s="206"/>
      <c r="W39" s="207"/>
      <c r="X39" s="220"/>
      <c r="Y39" s="221"/>
      <c r="Z39" s="222"/>
      <c r="AA39" s="220"/>
      <c r="AB39" s="221"/>
      <c r="AC39" s="221"/>
      <c r="AD39" s="221"/>
      <c r="AE39" s="221"/>
      <c r="AF39" s="221"/>
      <c r="AG39" s="221"/>
      <c r="AH39" s="222"/>
      <c r="AI39" s="220"/>
      <c r="AJ39" s="221"/>
      <c r="AK39" s="221"/>
      <c r="AL39" s="221"/>
      <c r="AM39" s="221"/>
      <c r="AN39" s="221"/>
      <c r="AO39" s="221"/>
      <c r="AP39" s="221"/>
      <c r="AQ39" s="222"/>
      <c r="AR39" s="224"/>
      <c r="AS39" s="226"/>
      <c r="AT39" s="228"/>
      <c r="AU39" s="190" t="s">
        <v>69</v>
      </c>
      <c r="AV39" s="191"/>
      <c r="AW39" s="191"/>
      <c r="AX39" s="192"/>
      <c r="AY39" s="193" t="s">
        <v>55</v>
      </c>
      <c r="AZ39" s="191"/>
      <c r="BA39" s="191"/>
      <c r="BB39" s="194"/>
      <c r="BC39" s="214"/>
      <c r="BD39" s="215"/>
      <c r="BE39" s="215"/>
      <c r="BF39" s="215"/>
      <c r="BG39" s="215"/>
      <c r="BH39" s="215"/>
      <c r="BI39" s="215"/>
      <c r="BJ39" s="216"/>
      <c r="BK39" s="9"/>
    </row>
    <row r="40" spans="1:63" ht="15.75" customHeight="1">
      <c r="B40" s="195">
        <v>1</v>
      </c>
      <c r="C40" s="196"/>
      <c r="D40" s="197"/>
      <c r="E40" s="198"/>
      <c r="F40" s="198"/>
      <c r="G40" s="198"/>
      <c r="H40" s="198"/>
      <c r="I40" s="198"/>
      <c r="J40" s="199"/>
      <c r="K40" s="200" t="s">
        <v>70</v>
      </c>
      <c r="L40" s="201"/>
      <c r="M40" s="202"/>
      <c r="N40" s="11" t="s">
        <v>71</v>
      </c>
      <c r="O40" s="12" t="s">
        <v>72</v>
      </c>
      <c r="P40" s="203" t="s">
        <v>71</v>
      </c>
      <c r="Q40" s="204"/>
      <c r="R40" s="204"/>
      <c r="S40" s="196"/>
      <c r="T40" s="203" t="s">
        <v>71</v>
      </c>
      <c r="U40" s="204"/>
      <c r="V40" s="204"/>
      <c r="W40" s="196"/>
      <c r="X40" s="229" t="s">
        <v>73</v>
      </c>
      <c r="Y40" s="230"/>
      <c r="Z40" s="231"/>
      <c r="AA40" s="195" t="s">
        <v>74</v>
      </c>
      <c r="AB40" s="204"/>
      <c r="AC40" s="204"/>
      <c r="AD40" s="204"/>
      <c r="AE40" s="204"/>
      <c r="AF40" s="204"/>
      <c r="AG40" s="204"/>
      <c r="AH40" s="196"/>
      <c r="AI40" s="232" t="s">
        <v>71</v>
      </c>
      <c r="AJ40" s="233"/>
      <c r="AK40" s="233"/>
      <c r="AL40" s="233"/>
      <c r="AM40" s="233"/>
      <c r="AN40" s="233"/>
      <c r="AO40" s="233"/>
      <c r="AP40" s="233"/>
      <c r="AQ40" s="234"/>
      <c r="AR40" s="13" t="s">
        <v>71</v>
      </c>
      <c r="AS40" s="13" t="s">
        <v>74</v>
      </c>
      <c r="AT40" s="13" t="s">
        <v>74</v>
      </c>
      <c r="AU40" s="195" t="s">
        <v>75</v>
      </c>
      <c r="AV40" s="204"/>
      <c r="AW40" s="204"/>
      <c r="AX40" s="196"/>
      <c r="AY40" s="195" t="s">
        <v>74</v>
      </c>
      <c r="AZ40" s="204"/>
      <c r="BA40" s="204"/>
      <c r="BB40" s="196"/>
      <c r="BC40" s="235"/>
      <c r="BD40" s="236"/>
      <c r="BE40" s="236"/>
      <c r="BF40" s="236"/>
      <c r="BG40" s="236"/>
      <c r="BH40" s="236"/>
      <c r="BI40" s="236"/>
      <c r="BJ40" s="237"/>
      <c r="BK40" s="9"/>
    </row>
    <row r="41" spans="1:63">
      <c r="B41" s="238">
        <v>2</v>
      </c>
      <c r="C41" s="239"/>
      <c r="D41" s="245"/>
      <c r="E41" s="246"/>
      <c r="F41" s="246"/>
      <c r="G41" s="246"/>
      <c r="H41" s="246"/>
      <c r="I41" s="246"/>
      <c r="J41" s="247"/>
      <c r="K41" s="200" t="s">
        <v>70</v>
      </c>
      <c r="L41" s="201"/>
      <c r="M41" s="202"/>
      <c r="N41" s="12" t="s">
        <v>76</v>
      </c>
      <c r="O41" s="12" t="s">
        <v>72</v>
      </c>
      <c r="P41" s="238" t="s">
        <v>75</v>
      </c>
      <c r="Q41" s="244"/>
      <c r="R41" s="244"/>
      <c r="S41" s="239"/>
      <c r="T41" s="238" t="s">
        <v>75</v>
      </c>
      <c r="U41" s="244"/>
      <c r="V41" s="244"/>
      <c r="W41" s="239"/>
      <c r="X41" s="258" t="s">
        <v>77</v>
      </c>
      <c r="Y41" s="259"/>
      <c r="Z41" s="260"/>
      <c r="AA41" s="238" t="s">
        <v>74</v>
      </c>
      <c r="AB41" s="244"/>
      <c r="AC41" s="244"/>
      <c r="AD41" s="244"/>
      <c r="AE41" s="244"/>
      <c r="AF41" s="244"/>
      <c r="AG41" s="244"/>
      <c r="AH41" s="239"/>
      <c r="AI41" s="251" t="s">
        <v>74</v>
      </c>
      <c r="AJ41" s="252"/>
      <c r="AK41" s="252"/>
      <c r="AL41" s="252"/>
      <c r="AM41" s="252"/>
      <c r="AN41" s="252"/>
      <c r="AO41" s="252"/>
      <c r="AP41" s="252"/>
      <c r="AQ41" s="253"/>
      <c r="AR41" s="14" t="s">
        <v>71</v>
      </c>
      <c r="AS41" s="14" t="s">
        <v>74</v>
      </c>
      <c r="AT41" s="14" t="s">
        <v>74</v>
      </c>
      <c r="AU41" s="238" t="s">
        <v>75</v>
      </c>
      <c r="AV41" s="244"/>
      <c r="AW41" s="244"/>
      <c r="AX41" s="239"/>
      <c r="AY41" s="238" t="s">
        <v>74</v>
      </c>
      <c r="AZ41" s="244"/>
      <c r="BA41" s="244"/>
      <c r="BB41" s="239"/>
      <c r="BC41" s="257"/>
      <c r="BD41" s="255"/>
      <c r="BE41" s="255"/>
      <c r="BF41" s="255"/>
      <c r="BG41" s="255"/>
      <c r="BH41" s="255"/>
      <c r="BI41" s="255"/>
      <c r="BJ41" s="256"/>
      <c r="BK41" s="9"/>
    </row>
    <row r="42" spans="1:63">
      <c r="B42" s="238">
        <v>3</v>
      </c>
      <c r="C42" s="239"/>
      <c r="D42" s="240"/>
      <c r="E42" s="241"/>
      <c r="F42" s="241"/>
      <c r="G42" s="241"/>
      <c r="H42" s="241"/>
      <c r="I42" s="241"/>
      <c r="J42" s="242"/>
      <c r="K42" s="200" t="s">
        <v>70</v>
      </c>
      <c r="L42" s="201"/>
      <c r="M42" s="202"/>
      <c r="N42" s="12" t="s">
        <v>78</v>
      </c>
      <c r="O42" s="12" t="s">
        <v>71</v>
      </c>
      <c r="P42" s="243" t="s">
        <v>71</v>
      </c>
      <c r="Q42" s="244"/>
      <c r="R42" s="244"/>
      <c r="S42" s="239"/>
      <c r="T42" s="238"/>
      <c r="U42" s="244"/>
      <c r="V42" s="244"/>
      <c r="W42" s="239"/>
      <c r="X42" s="248" t="s">
        <v>71</v>
      </c>
      <c r="Y42" s="249"/>
      <c r="Z42" s="250"/>
      <c r="AA42" s="238" t="s">
        <v>74</v>
      </c>
      <c r="AB42" s="244"/>
      <c r="AC42" s="244"/>
      <c r="AD42" s="244"/>
      <c r="AE42" s="244"/>
      <c r="AF42" s="244"/>
      <c r="AG42" s="244"/>
      <c r="AH42" s="239"/>
      <c r="AI42" s="251" t="s">
        <v>74</v>
      </c>
      <c r="AJ42" s="252"/>
      <c r="AK42" s="252"/>
      <c r="AL42" s="252"/>
      <c r="AM42" s="252"/>
      <c r="AN42" s="252"/>
      <c r="AO42" s="252"/>
      <c r="AP42" s="252"/>
      <c r="AQ42" s="253"/>
      <c r="AR42" s="14" t="s">
        <v>71</v>
      </c>
      <c r="AS42" s="14" t="s">
        <v>74</v>
      </c>
      <c r="AT42" s="14" t="s">
        <v>74</v>
      </c>
      <c r="AU42" s="238" t="s">
        <v>75</v>
      </c>
      <c r="AV42" s="244"/>
      <c r="AW42" s="244"/>
      <c r="AX42" s="239"/>
      <c r="AY42" s="238" t="s">
        <v>74</v>
      </c>
      <c r="AZ42" s="244"/>
      <c r="BA42" s="244"/>
      <c r="BB42" s="239"/>
      <c r="BC42" s="254"/>
      <c r="BD42" s="255"/>
      <c r="BE42" s="255"/>
      <c r="BF42" s="255"/>
      <c r="BG42" s="255"/>
      <c r="BH42" s="255"/>
      <c r="BI42" s="255"/>
      <c r="BJ42" s="256"/>
      <c r="BK42" s="9"/>
    </row>
    <row r="43" spans="1:63">
      <c r="B43" s="238">
        <v>4</v>
      </c>
      <c r="C43" s="239"/>
      <c r="D43" s="261"/>
      <c r="E43" s="262"/>
      <c r="F43" s="262"/>
      <c r="G43" s="262"/>
      <c r="H43" s="262"/>
      <c r="I43" s="262"/>
      <c r="J43" s="263"/>
      <c r="K43" s="200" t="s">
        <v>70</v>
      </c>
      <c r="L43" s="201"/>
      <c r="M43" s="202"/>
      <c r="N43" s="15" t="s">
        <v>76</v>
      </c>
      <c r="O43" s="12" t="s">
        <v>72</v>
      </c>
      <c r="P43" s="238" t="s">
        <v>75</v>
      </c>
      <c r="Q43" s="244"/>
      <c r="R43" s="244"/>
      <c r="S43" s="239"/>
      <c r="T43" s="238" t="s">
        <v>75</v>
      </c>
      <c r="U43" s="244"/>
      <c r="V43" s="244"/>
      <c r="W43" s="239"/>
      <c r="X43" s="264" t="s">
        <v>79</v>
      </c>
      <c r="Y43" s="244"/>
      <c r="Z43" s="239"/>
      <c r="AA43" s="238" t="s">
        <v>74</v>
      </c>
      <c r="AB43" s="244"/>
      <c r="AC43" s="244"/>
      <c r="AD43" s="244"/>
      <c r="AE43" s="244"/>
      <c r="AF43" s="244"/>
      <c r="AG43" s="244"/>
      <c r="AH43" s="239"/>
      <c r="AI43" s="251" t="s">
        <v>74</v>
      </c>
      <c r="AJ43" s="252"/>
      <c r="AK43" s="252"/>
      <c r="AL43" s="252"/>
      <c r="AM43" s="252"/>
      <c r="AN43" s="252"/>
      <c r="AO43" s="252"/>
      <c r="AP43" s="252"/>
      <c r="AQ43" s="253"/>
      <c r="AR43" s="14" t="s">
        <v>71</v>
      </c>
      <c r="AS43" s="14" t="s">
        <v>74</v>
      </c>
      <c r="AT43" s="14" t="s">
        <v>74</v>
      </c>
      <c r="AU43" s="238" t="s">
        <v>75</v>
      </c>
      <c r="AV43" s="244"/>
      <c r="AW43" s="244"/>
      <c r="AX43" s="239"/>
      <c r="AY43" s="238" t="s">
        <v>74</v>
      </c>
      <c r="AZ43" s="244"/>
      <c r="BA43" s="244"/>
      <c r="BB43" s="239"/>
      <c r="BC43" s="265"/>
      <c r="BD43" s="266"/>
      <c r="BE43" s="266"/>
      <c r="BF43" s="266"/>
      <c r="BG43" s="266"/>
      <c r="BH43" s="266"/>
      <c r="BI43" s="266"/>
      <c r="BJ43" s="267"/>
      <c r="BK43" s="9"/>
    </row>
    <row r="44" spans="1:63">
      <c r="B44" s="238">
        <v>5</v>
      </c>
      <c r="C44" s="239"/>
      <c r="D44" s="240"/>
      <c r="E44" s="241"/>
      <c r="F44" s="241"/>
      <c r="G44" s="241"/>
      <c r="H44" s="241"/>
      <c r="I44" s="241"/>
      <c r="J44" s="242"/>
      <c r="K44" s="200" t="s">
        <v>80</v>
      </c>
      <c r="L44" s="201"/>
      <c r="M44" s="202"/>
      <c r="N44" s="15" t="s">
        <v>78</v>
      </c>
      <c r="O44" s="12" t="s">
        <v>71</v>
      </c>
      <c r="P44" s="238" t="s">
        <v>75</v>
      </c>
      <c r="Q44" s="244"/>
      <c r="R44" s="244"/>
      <c r="S44" s="239"/>
      <c r="T44" s="238" t="s">
        <v>75</v>
      </c>
      <c r="U44" s="244"/>
      <c r="V44" s="244"/>
      <c r="W44" s="239"/>
      <c r="X44" s="264" t="s">
        <v>71</v>
      </c>
      <c r="Y44" s="244"/>
      <c r="Z44" s="239"/>
      <c r="AA44" s="238" t="s">
        <v>74</v>
      </c>
      <c r="AB44" s="244"/>
      <c r="AC44" s="244"/>
      <c r="AD44" s="244"/>
      <c r="AE44" s="244"/>
      <c r="AF44" s="244"/>
      <c r="AG44" s="244"/>
      <c r="AH44" s="239"/>
      <c r="AI44" s="251" t="s">
        <v>74</v>
      </c>
      <c r="AJ44" s="252"/>
      <c r="AK44" s="252"/>
      <c r="AL44" s="252"/>
      <c r="AM44" s="252"/>
      <c r="AN44" s="252"/>
      <c r="AO44" s="252"/>
      <c r="AP44" s="252"/>
      <c r="AQ44" s="253"/>
      <c r="AR44" s="14" t="s">
        <v>71</v>
      </c>
      <c r="AS44" s="14" t="s">
        <v>74</v>
      </c>
      <c r="AT44" s="14" t="s">
        <v>74</v>
      </c>
      <c r="AU44" s="238" t="s">
        <v>75</v>
      </c>
      <c r="AV44" s="244"/>
      <c r="AW44" s="244"/>
      <c r="AX44" s="239"/>
      <c r="AY44" s="238" t="s">
        <v>74</v>
      </c>
      <c r="AZ44" s="244"/>
      <c r="BA44" s="244"/>
      <c r="BB44" s="239"/>
      <c r="BC44" s="254"/>
      <c r="BD44" s="255"/>
      <c r="BE44" s="255"/>
      <c r="BF44" s="255"/>
      <c r="BG44" s="255"/>
      <c r="BH44" s="255"/>
      <c r="BI44" s="255"/>
      <c r="BJ44" s="256"/>
      <c r="BK44" s="9"/>
    </row>
    <row r="45" spans="1:63">
      <c r="B45" s="268">
        <v>6</v>
      </c>
      <c r="C45" s="270"/>
      <c r="D45" s="277"/>
      <c r="E45" s="278"/>
      <c r="F45" s="278"/>
      <c r="G45" s="278"/>
      <c r="H45" s="278"/>
      <c r="I45" s="278"/>
      <c r="J45" s="279"/>
      <c r="K45" s="280" t="s">
        <v>81</v>
      </c>
      <c r="L45" s="281"/>
      <c r="M45" s="282"/>
      <c r="N45" s="16" t="s">
        <v>78</v>
      </c>
      <c r="O45" s="16" t="s">
        <v>72</v>
      </c>
      <c r="P45" s="268" t="s">
        <v>75</v>
      </c>
      <c r="Q45" s="269"/>
      <c r="R45" s="269"/>
      <c r="S45" s="270"/>
      <c r="T45" s="268" t="s">
        <v>75</v>
      </c>
      <c r="U45" s="269"/>
      <c r="V45" s="269"/>
      <c r="W45" s="270"/>
      <c r="X45" s="283" t="s">
        <v>82</v>
      </c>
      <c r="Y45" s="284"/>
      <c r="Z45" s="285"/>
      <c r="AA45" s="268" t="s">
        <v>74</v>
      </c>
      <c r="AB45" s="269"/>
      <c r="AC45" s="269"/>
      <c r="AD45" s="269"/>
      <c r="AE45" s="269"/>
      <c r="AF45" s="269"/>
      <c r="AG45" s="269"/>
      <c r="AH45" s="270"/>
      <c r="AI45" s="271" t="s">
        <v>83</v>
      </c>
      <c r="AJ45" s="272"/>
      <c r="AK45" s="272"/>
      <c r="AL45" s="272"/>
      <c r="AM45" s="272"/>
      <c r="AN45" s="272"/>
      <c r="AO45" s="272"/>
      <c r="AP45" s="272"/>
      <c r="AQ45" s="273"/>
      <c r="AR45" s="17" t="s">
        <v>71</v>
      </c>
      <c r="AS45" s="17" t="s">
        <v>74</v>
      </c>
      <c r="AT45" s="17" t="s">
        <v>74</v>
      </c>
      <c r="AU45" s="268" t="s">
        <v>75</v>
      </c>
      <c r="AV45" s="269"/>
      <c r="AW45" s="269"/>
      <c r="AX45" s="270"/>
      <c r="AY45" s="268" t="s">
        <v>74</v>
      </c>
      <c r="AZ45" s="269"/>
      <c r="BA45" s="269"/>
      <c r="BB45" s="270"/>
      <c r="BC45" s="274" t="s">
        <v>84</v>
      </c>
      <c r="BD45" s="275"/>
      <c r="BE45" s="275"/>
      <c r="BF45" s="275"/>
      <c r="BG45" s="275"/>
      <c r="BH45" s="275"/>
      <c r="BI45" s="275"/>
      <c r="BJ45" s="276"/>
      <c r="BK45" s="9"/>
    </row>
    <row r="46" spans="1:63">
      <c r="BK46" s="9"/>
    </row>
    <row r="47" spans="1:63">
      <c r="BK47" s="9"/>
    </row>
    <row r="48" spans="1:63">
      <c r="BK48" s="9"/>
    </row>
    <row r="49" spans="1:63">
      <c r="BK49" s="9"/>
    </row>
    <row r="50" spans="1:63">
      <c r="BK50" s="9"/>
    </row>
    <row r="51" spans="1:63">
      <c r="BK51" s="9"/>
    </row>
    <row r="52" spans="1:63">
      <c r="BK52" s="9"/>
    </row>
    <row r="53" spans="1:63">
      <c r="BK53" s="9"/>
    </row>
    <row r="54" spans="1:63">
      <c r="BK54" s="9"/>
    </row>
    <row r="55" spans="1:6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7"/>
    </row>
  </sheetData>
  <mergeCells count="106">
    <mergeCell ref="AA45:AH45"/>
    <mergeCell ref="AI45:AQ45"/>
    <mergeCell ref="AU45:AX45"/>
    <mergeCell ref="AY45:BB45"/>
    <mergeCell ref="BC45:BJ45"/>
    <mergeCell ref="B45:C45"/>
    <mergeCell ref="D45:J45"/>
    <mergeCell ref="K45:M45"/>
    <mergeCell ref="P45:S45"/>
    <mergeCell ref="T45:W45"/>
    <mergeCell ref="X45:Z45"/>
    <mergeCell ref="X44:Z44"/>
    <mergeCell ref="AA44:AH44"/>
    <mergeCell ref="AI44:AQ44"/>
    <mergeCell ref="AU44:AX44"/>
    <mergeCell ref="AY44:BB44"/>
    <mergeCell ref="BC44:BJ44"/>
    <mergeCell ref="AA43:AH43"/>
    <mergeCell ref="AI43:AQ43"/>
    <mergeCell ref="AU43:AX43"/>
    <mergeCell ref="AY43:BB43"/>
    <mergeCell ref="BC43:BJ43"/>
    <mergeCell ref="X43:Z43"/>
    <mergeCell ref="B44:C44"/>
    <mergeCell ref="D44:J44"/>
    <mergeCell ref="K44:M44"/>
    <mergeCell ref="P44:S44"/>
    <mergeCell ref="T44:W44"/>
    <mergeCell ref="B43:C43"/>
    <mergeCell ref="D43:J43"/>
    <mergeCell ref="K43:M43"/>
    <mergeCell ref="P43:S43"/>
    <mergeCell ref="T43:W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cols>
    <col min="1" max="60" width="2.77734375" style="20" customWidth="1"/>
    <col min="61" max="16384" width="2.77734375" style="20"/>
  </cols>
  <sheetData>
    <row r="1" spans="1:63" ht="24.95" customHeight="1">
      <c r="A1" s="158" t="s">
        <v>0</v>
      </c>
      <c r="B1" s="159"/>
      <c r="C1" s="159"/>
      <c r="D1" s="159"/>
      <c r="E1" s="159"/>
      <c r="F1" s="159"/>
      <c r="G1" s="159"/>
      <c r="H1" s="159"/>
      <c r="I1" s="159"/>
      <c r="J1" s="160"/>
      <c r="K1" s="158" t="s">
        <v>1</v>
      </c>
      <c r="L1" s="159"/>
      <c r="M1" s="159"/>
      <c r="N1" s="159"/>
      <c r="O1" s="159"/>
      <c r="P1" s="159"/>
      <c r="Q1" s="159"/>
      <c r="R1" s="159"/>
      <c r="S1" s="159"/>
      <c r="T1" s="159"/>
      <c r="U1" s="159"/>
      <c r="V1" s="160"/>
      <c r="W1" s="161" t="str">
        <f>IF(表紙!W1="","",表紙!W1)</f>
        <v>基本設計書</v>
      </c>
      <c r="X1" s="162"/>
      <c r="Y1" s="162"/>
      <c r="Z1" s="162"/>
      <c r="AA1" s="162"/>
      <c r="AB1" s="162"/>
      <c r="AC1" s="162"/>
      <c r="AD1" s="162"/>
      <c r="AE1" s="162"/>
      <c r="AF1" s="162"/>
      <c r="AG1" s="162"/>
      <c r="AH1" s="162"/>
      <c r="AI1" s="162"/>
      <c r="AJ1" s="162"/>
      <c r="AK1" s="162"/>
      <c r="AL1" s="162"/>
      <c r="AM1" s="162"/>
      <c r="AN1" s="162"/>
      <c r="AO1" s="163"/>
      <c r="AP1" s="95" t="s">
        <v>3</v>
      </c>
      <c r="AQ1" s="96"/>
      <c r="AR1" s="96"/>
      <c r="AS1" s="97"/>
      <c r="AT1" s="95" t="s">
        <v>4</v>
      </c>
      <c r="AU1" s="96"/>
      <c r="AV1" s="96"/>
      <c r="AW1" s="96"/>
      <c r="AX1" s="97"/>
      <c r="AY1" s="95" t="s">
        <v>5</v>
      </c>
      <c r="AZ1" s="96"/>
      <c r="BA1" s="96"/>
      <c r="BB1" s="97"/>
      <c r="BC1" s="95" t="s">
        <v>6</v>
      </c>
      <c r="BD1" s="96"/>
      <c r="BE1" s="96"/>
      <c r="BF1" s="96"/>
      <c r="BG1" s="97"/>
      <c r="BH1" s="95" t="s">
        <v>7</v>
      </c>
      <c r="BI1" s="96"/>
      <c r="BJ1" s="96"/>
      <c r="BK1" s="97"/>
    </row>
    <row r="2" spans="1:63" ht="15" customHeight="1">
      <c r="A2" s="152" t="str">
        <f>IF(表紙!A2="","",表紙!A2)</f>
        <v>POSサーバー</v>
      </c>
      <c r="B2" s="153"/>
      <c r="C2" s="153"/>
      <c r="D2" s="153"/>
      <c r="E2" s="153"/>
      <c r="F2" s="153"/>
      <c r="G2" s="153"/>
      <c r="H2" s="153"/>
      <c r="I2" s="153"/>
      <c r="J2" s="154"/>
      <c r="K2" s="152" t="str">
        <f>IF(表紙!K2="","",表紙!K2)</f>
        <v>POSサーバー</v>
      </c>
      <c r="L2" s="153"/>
      <c r="M2" s="153"/>
      <c r="N2" s="153"/>
      <c r="O2" s="153"/>
      <c r="P2" s="153"/>
      <c r="Q2" s="153"/>
      <c r="R2" s="153"/>
      <c r="S2" s="153"/>
      <c r="T2" s="153"/>
      <c r="U2" s="153"/>
      <c r="V2" s="154"/>
      <c r="W2" s="164"/>
      <c r="X2" s="165"/>
      <c r="Y2" s="165"/>
      <c r="Z2" s="165"/>
      <c r="AA2" s="165"/>
      <c r="AB2" s="165"/>
      <c r="AC2" s="165"/>
      <c r="AD2" s="165"/>
      <c r="AE2" s="165"/>
      <c r="AF2" s="165"/>
      <c r="AG2" s="165"/>
      <c r="AH2" s="165"/>
      <c r="AI2" s="165"/>
      <c r="AJ2" s="165"/>
      <c r="AK2" s="165"/>
      <c r="AL2" s="165"/>
      <c r="AM2" s="165"/>
      <c r="AN2" s="165"/>
      <c r="AO2" s="166"/>
      <c r="AP2" s="80" t="str">
        <f>IF(表紙!AP2="","",表紙!AP2)</f>
        <v>AnhDD</v>
      </c>
      <c r="AQ2" s="81"/>
      <c r="AR2" s="81"/>
      <c r="AS2" s="82"/>
      <c r="AT2" s="109">
        <f>IF(表紙!AT2="","",表紙!AT2)</f>
        <v>45416</v>
      </c>
      <c r="AU2" s="110"/>
      <c r="AV2" s="110"/>
      <c r="AW2" s="110"/>
      <c r="AX2" s="111"/>
      <c r="AY2" s="80" t="str">
        <f>IF(表紙!AY2="","",表紙!AY2)</f>
        <v>AnhDD</v>
      </c>
      <c r="AZ2" s="81"/>
      <c r="BA2" s="81"/>
      <c r="BB2" s="82"/>
      <c r="BC2" s="109">
        <f>IF(表紙!BC2="","",表紙!BC2)</f>
        <v>45416</v>
      </c>
      <c r="BD2" s="110"/>
      <c r="BE2" s="110"/>
      <c r="BF2" s="110"/>
      <c r="BG2" s="111"/>
      <c r="BH2" s="80">
        <f>IF(表紙!BH2="","",表紙!BH2)</f>
        <v>0.1</v>
      </c>
      <c r="BI2" s="81"/>
      <c r="BJ2" s="81"/>
      <c r="BK2" s="82"/>
    </row>
    <row r="3" spans="1:63" ht="15" customHeight="1">
      <c r="A3" s="155"/>
      <c r="B3" s="156"/>
      <c r="C3" s="156"/>
      <c r="D3" s="156"/>
      <c r="E3" s="156"/>
      <c r="F3" s="156"/>
      <c r="G3" s="156"/>
      <c r="H3" s="156"/>
      <c r="I3" s="156"/>
      <c r="J3" s="157"/>
      <c r="K3" s="155"/>
      <c r="L3" s="156"/>
      <c r="M3" s="156"/>
      <c r="N3" s="156"/>
      <c r="O3" s="156"/>
      <c r="P3" s="156"/>
      <c r="Q3" s="156"/>
      <c r="R3" s="156"/>
      <c r="S3" s="156"/>
      <c r="T3" s="156"/>
      <c r="U3" s="156"/>
      <c r="V3" s="157"/>
      <c r="W3" s="167"/>
      <c r="X3" s="168"/>
      <c r="Y3" s="168"/>
      <c r="Z3" s="168"/>
      <c r="AA3" s="168"/>
      <c r="AB3" s="168"/>
      <c r="AC3" s="168"/>
      <c r="AD3" s="168"/>
      <c r="AE3" s="168"/>
      <c r="AF3" s="168"/>
      <c r="AG3" s="168"/>
      <c r="AH3" s="168"/>
      <c r="AI3" s="168"/>
      <c r="AJ3" s="168"/>
      <c r="AK3" s="168"/>
      <c r="AL3" s="168"/>
      <c r="AM3" s="168"/>
      <c r="AN3" s="168"/>
      <c r="AO3" s="169"/>
      <c r="AP3" s="86"/>
      <c r="AQ3" s="87"/>
      <c r="AR3" s="87"/>
      <c r="AS3" s="88"/>
      <c r="AT3" s="112"/>
      <c r="AU3" s="113"/>
      <c r="AV3" s="113"/>
      <c r="AW3" s="113"/>
      <c r="AX3" s="114"/>
      <c r="AY3" s="86"/>
      <c r="AZ3" s="87"/>
      <c r="BA3" s="87"/>
      <c r="BB3" s="88"/>
      <c r="BC3" s="112"/>
      <c r="BD3" s="113"/>
      <c r="BE3" s="113"/>
      <c r="BF3" s="113"/>
      <c r="BG3" s="114"/>
      <c r="BH3" s="86"/>
      <c r="BI3" s="87"/>
      <c r="BJ3" s="87"/>
      <c r="BK3" s="88"/>
    </row>
    <row r="4" spans="1:63" ht="24.95" customHeight="1">
      <c r="A4" s="158" t="s">
        <v>10</v>
      </c>
      <c r="B4" s="159"/>
      <c r="C4" s="159"/>
      <c r="D4" s="159"/>
      <c r="E4" s="159"/>
      <c r="F4" s="159"/>
      <c r="G4" s="160"/>
      <c r="H4" s="170" t="str">
        <f>IF(表紙!H4="","",表紙!H4)</f>
        <v>13_部門別売上日報</v>
      </c>
      <c r="I4" s="171"/>
      <c r="J4" s="171"/>
      <c r="K4" s="171"/>
      <c r="L4" s="171"/>
      <c r="M4" s="171"/>
      <c r="N4" s="171"/>
      <c r="O4" s="171"/>
      <c r="P4" s="171"/>
      <c r="Q4" s="171"/>
      <c r="R4" s="171"/>
      <c r="S4" s="171"/>
      <c r="T4" s="172"/>
      <c r="U4" s="158" t="s">
        <v>12</v>
      </c>
      <c r="V4" s="159"/>
      <c r="W4" s="159"/>
      <c r="X4" s="159"/>
      <c r="Y4" s="160"/>
      <c r="Z4" s="170" t="str">
        <f>IF(表紙!Z4="","",表紙!Z4)</f>
        <v>概要設計書</v>
      </c>
      <c r="AA4" s="171"/>
      <c r="AB4" s="171"/>
      <c r="AC4" s="171"/>
      <c r="AD4" s="171"/>
      <c r="AE4" s="171"/>
      <c r="AF4" s="171"/>
      <c r="AG4" s="171"/>
      <c r="AH4" s="171"/>
      <c r="AI4" s="171"/>
      <c r="AJ4" s="171"/>
      <c r="AK4" s="171"/>
      <c r="AL4" s="171"/>
      <c r="AM4" s="171"/>
      <c r="AN4" s="171"/>
      <c r="AO4" s="172"/>
      <c r="AP4" s="173" t="e">
        <f ca="1">MID(CELL("filename",A1),FIND("]",CELL("filename",A1))+1,255)</f>
        <v>#VALUE!</v>
      </c>
      <c r="AQ4" s="171"/>
      <c r="AR4" s="171"/>
      <c r="AS4" s="171"/>
      <c r="AT4" s="171"/>
      <c r="AU4" s="171"/>
      <c r="AV4" s="171"/>
      <c r="AW4" s="171"/>
      <c r="AX4" s="171"/>
      <c r="AY4" s="171"/>
      <c r="AZ4" s="171"/>
      <c r="BA4" s="171"/>
      <c r="BB4" s="171"/>
      <c r="BC4" s="171"/>
      <c r="BD4" s="171"/>
      <c r="BE4" s="171"/>
      <c r="BF4" s="171"/>
      <c r="BG4" s="171"/>
      <c r="BH4" s="171"/>
      <c r="BI4" s="171"/>
      <c r="BJ4" s="171"/>
      <c r="BK4" s="172"/>
    </row>
    <row r="5" spans="1:63" ht="5.0999999999999996" customHeight="1">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c r="A6" s="24"/>
      <c r="BK6" s="25"/>
    </row>
    <row r="7" spans="1:63" ht="15" customHeight="1">
      <c r="A7" s="24"/>
      <c r="B7" s="72"/>
      <c r="C7" s="73"/>
      <c r="D7" s="74"/>
      <c r="E7" s="74"/>
      <c r="F7" s="74"/>
      <c r="G7" s="74"/>
      <c r="H7" s="74"/>
      <c r="I7" s="74"/>
      <c r="J7" s="74"/>
      <c r="K7" s="74"/>
      <c r="L7" s="74"/>
      <c r="M7" s="74"/>
      <c r="N7" s="74"/>
      <c r="O7" s="74"/>
      <c r="P7" s="74"/>
      <c r="Q7" s="74"/>
      <c r="R7" s="74"/>
      <c r="S7" s="74"/>
      <c r="T7" s="75"/>
      <c r="U7" s="73"/>
      <c r="V7" s="74"/>
      <c r="W7" s="74"/>
      <c r="X7" s="74"/>
      <c r="Y7" s="74"/>
      <c r="Z7" s="74"/>
      <c r="AA7" s="74"/>
      <c r="AB7" s="74"/>
      <c r="AC7" s="75"/>
      <c r="AD7" s="73"/>
      <c r="AE7" s="74"/>
      <c r="AF7" s="74"/>
      <c r="AG7" s="74"/>
      <c r="AH7" s="74"/>
      <c r="AI7" s="74"/>
      <c r="AJ7" s="74"/>
      <c r="AK7" s="74"/>
      <c r="AL7" s="75"/>
      <c r="AM7" s="73"/>
      <c r="AN7" s="74"/>
      <c r="AO7" s="74"/>
      <c r="AP7" s="74"/>
      <c r="AQ7" s="74"/>
      <c r="AR7" s="74"/>
      <c r="AS7" s="74"/>
      <c r="AT7" s="74"/>
      <c r="AU7" s="74"/>
      <c r="AV7" s="74"/>
      <c r="AW7" s="74"/>
      <c r="AX7" s="74"/>
      <c r="AY7" s="74"/>
      <c r="AZ7" s="74"/>
      <c r="BA7" s="74"/>
      <c r="BB7" s="74"/>
      <c r="BC7" s="74"/>
      <c r="BD7" s="74"/>
      <c r="BE7" s="74"/>
      <c r="BF7" s="74"/>
      <c r="BG7" s="74"/>
      <c r="BH7" s="74"/>
      <c r="BI7" s="75"/>
      <c r="BJ7" s="74"/>
      <c r="BK7" s="25"/>
    </row>
    <row r="8" spans="1:63" ht="15" customHeight="1">
      <c r="A8" s="24"/>
      <c r="C8" s="76"/>
      <c r="U8" s="76"/>
      <c r="AD8" s="76"/>
      <c r="AM8" s="76"/>
      <c r="BI8" s="77"/>
    </row>
    <row r="9" spans="1:63" ht="15" customHeight="1">
      <c r="A9" s="24"/>
      <c r="C9" s="76"/>
      <c r="U9" s="76"/>
      <c r="AD9" s="76"/>
      <c r="AM9" s="76"/>
      <c r="BI9" s="77"/>
    </row>
    <row r="10" spans="1:63" ht="15" customHeight="1">
      <c r="A10" s="24"/>
      <c r="C10" s="76"/>
      <c r="U10" s="76"/>
      <c r="AD10" s="76"/>
      <c r="AM10" s="76"/>
      <c r="BI10" s="77"/>
    </row>
    <row r="11" spans="1:63" ht="15" customHeight="1">
      <c r="A11" s="24"/>
      <c r="C11" s="76"/>
      <c r="U11" s="76"/>
      <c r="AD11" s="76"/>
      <c r="AM11" s="76"/>
      <c r="BI11" s="77"/>
    </row>
    <row r="12" spans="1:63" ht="15" customHeight="1">
      <c r="A12" s="24"/>
      <c r="C12" s="76"/>
      <c r="U12" s="76"/>
      <c r="AD12" s="76"/>
      <c r="AM12" s="76"/>
      <c r="AX12" s="20" t="s">
        <v>85</v>
      </c>
      <c r="BI12" s="77"/>
    </row>
    <row r="13" spans="1:63" ht="15" customHeight="1">
      <c r="A13" s="24"/>
      <c r="C13" s="76"/>
      <c r="U13" s="76"/>
      <c r="AD13" s="76"/>
      <c r="AM13" s="76"/>
      <c r="BI13" s="77"/>
    </row>
    <row r="14" spans="1:63" ht="15" customHeight="1">
      <c r="A14" s="24"/>
      <c r="C14" s="76"/>
      <c r="U14" s="76"/>
      <c r="AD14" s="76"/>
      <c r="AM14" s="76"/>
      <c r="BI14" s="77"/>
    </row>
    <row r="15" spans="1:63" ht="15" customHeight="1">
      <c r="A15" s="24"/>
      <c r="C15" s="76"/>
      <c r="U15" s="76"/>
      <c r="AD15" s="76"/>
      <c r="AM15" s="76"/>
      <c r="BI15" s="77"/>
    </row>
    <row r="16" spans="1:63" ht="15" customHeight="1">
      <c r="A16" s="24"/>
      <c r="C16" s="76"/>
      <c r="U16" s="76"/>
      <c r="AD16" s="76"/>
      <c r="AM16" s="76"/>
      <c r="BI16" s="77"/>
    </row>
    <row r="17" spans="1:61" ht="15" customHeight="1">
      <c r="A17" s="24"/>
      <c r="C17" s="76"/>
      <c r="U17" s="76"/>
      <c r="AD17" s="76"/>
      <c r="AM17" s="76"/>
      <c r="BI17" s="77"/>
    </row>
    <row r="18" spans="1:61" ht="15" customHeight="1">
      <c r="A18" s="24"/>
      <c r="C18" s="76"/>
      <c r="U18" s="76"/>
      <c r="AD18" s="76"/>
      <c r="AM18" s="76"/>
      <c r="BI18" s="77"/>
    </row>
    <row r="19" spans="1:61" ht="15" customHeight="1">
      <c r="A19" s="24"/>
      <c r="C19" s="76"/>
      <c r="U19" s="76"/>
      <c r="AD19" s="76"/>
      <c r="AM19" s="76"/>
      <c r="BI19" s="77"/>
    </row>
    <row r="20" spans="1:61" ht="15" customHeight="1">
      <c r="A20" s="24"/>
      <c r="C20" s="76"/>
      <c r="U20" s="76"/>
      <c r="AD20" s="76"/>
      <c r="AM20" s="76"/>
      <c r="BI20" s="77"/>
    </row>
    <row r="21" spans="1:61" ht="15" customHeight="1">
      <c r="A21" s="24"/>
      <c r="C21" s="76"/>
      <c r="U21" s="76"/>
      <c r="AD21" s="76"/>
      <c r="AM21" s="76"/>
      <c r="BI21" s="77"/>
    </row>
    <row r="22" spans="1:61" ht="15" customHeight="1">
      <c r="A22" s="24"/>
      <c r="C22" s="76"/>
      <c r="U22" s="76"/>
      <c r="AD22" s="76"/>
      <c r="AM22" s="76"/>
      <c r="BI22" s="77"/>
    </row>
    <row r="23" spans="1:61" ht="15" customHeight="1">
      <c r="A23" s="24"/>
      <c r="C23" s="76"/>
      <c r="U23" s="76"/>
      <c r="AD23" s="76"/>
      <c r="AM23" s="76"/>
      <c r="BI23" s="77"/>
    </row>
    <row r="24" spans="1:61" ht="15" customHeight="1">
      <c r="A24" s="24"/>
      <c r="C24" s="76"/>
      <c r="U24" s="76"/>
      <c r="AD24" s="76"/>
      <c r="AM24" s="76"/>
      <c r="BI24" s="77"/>
    </row>
    <row r="25" spans="1:61" ht="15" customHeight="1">
      <c r="A25" s="24"/>
      <c r="C25" s="76"/>
      <c r="U25" s="76"/>
      <c r="AD25" s="76"/>
      <c r="AM25" s="76"/>
      <c r="BI25" s="77"/>
    </row>
    <row r="26" spans="1:61" ht="15" customHeight="1">
      <c r="A26" s="24"/>
      <c r="C26" s="76"/>
      <c r="U26" s="76"/>
      <c r="AD26" s="76"/>
      <c r="AM26" s="76"/>
      <c r="BI26" s="77"/>
    </row>
    <row r="27" spans="1:61" ht="15" customHeight="1">
      <c r="A27" s="24"/>
      <c r="C27" s="76"/>
      <c r="U27" s="76"/>
      <c r="AD27" s="76"/>
      <c r="AM27" s="76"/>
      <c r="BI27" s="77"/>
    </row>
    <row r="28" spans="1:61" ht="15" customHeight="1">
      <c r="A28" s="24"/>
      <c r="C28" s="76"/>
      <c r="U28" s="76"/>
      <c r="AD28" s="76"/>
      <c r="AM28" s="76"/>
      <c r="BI28" s="77"/>
    </row>
    <row r="29" spans="1:61" ht="15" customHeight="1">
      <c r="A29" s="24"/>
      <c r="C29" s="76"/>
      <c r="U29" s="76"/>
      <c r="AD29" s="76"/>
      <c r="AM29" s="76"/>
      <c r="BI29" s="77"/>
    </row>
    <row r="30" spans="1:61" ht="15" customHeight="1">
      <c r="A30" s="24"/>
      <c r="C30" s="76"/>
      <c r="U30" s="76"/>
      <c r="AD30" s="76"/>
      <c r="AM30" s="76"/>
      <c r="BI30" s="77"/>
    </row>
    <row r="31" spans="1:61" ht="15" customHeight="1">
      <c r="A31" s="24"/>
      <c r="C31" s="76"/>
      <c r="U31" s="76"/>
      <c r="AD31" s="76"/>
      <c r="AM31" s="76"/>
      <c r="BI31" s="77"/>
    </row>
    <row r="32" spans="1:61" ht="15" customHeight="1">
      <c r="A32" s="24"/>
      <c r="C32" s="76"/>
      <c r="U32" s="76"/>
      <c r="AD32" s="76"/>
      <c r="AM32" s="76"/>
      <c r="BI32" s="77"/>
    </row>
    <row r="33" spans="1:61" ht="15" customHeight="1">
      <c r="A33" s="24"/>
      <c r="C33" s="76"/>
      <c r="U33" s="76"/>
      <c r="AD33" s="76"/>
      <c r="AM33" s="76"/>
      <c r="BI33" s="77"/>
    </row>
    <row r="34" spans="1:61" ht="15" customHeight="1">
      <c r="A34" s="24"/>
      <c r="C34" s="76"/>
      <c r="U34" s="76"/>
      <c r="AD34" s="76"/>
      <c r="AM34" s="76"/>
      <c r="BI34" s="77"/>
    </row>
    <row r="35" spans="1:61" ht="15" customHeight="1">
      <c r="A35" s="24"/>
      <c r="C35" s="76"/>
      <c r="U35" s="76"/>
      <c r="AD35" s="76"/>
      <c r="AM35" s="76"/>
      <c r="BI35" s="77"/>
    </row>
    <row r="36" spans="1:61" ht="15" customHeight="1">
      <c r="A36" s="24"/>
      <c r="C36" s="76"/>
      <c r="U36" s="76"/>
      <c r="AD36" s="76"/>
      <c r="AM36" s="76"/>
      <c r="BI36" s="77"/>
    </row>
    <row r="37" spans="1:61" ht="15" customHeight="1">
      <c r="A37" s="24"/>
      <c r="C37" s="76"/>
      <c r="U37" s="76"/>
      <c r="AD37" s="76"/>
      <c r="AM37" s="76"/>
      <c r="BI37" s="77"/>
    </row>
    <row r="38" spans="1:61" ht="15" customHeight="1">
      <c r="A38" s="24"/>
      <c r="C38" s="76"/>
      <c r="U38" s="76"/>
      <c r="AD38" s="76"/>
      <c r="AM38" s="76"/>
      <c r="BI38" s="77"/>
    </row>
    <row r="39" spans="1:61" ht="15" customHeight="1">
      <c r="A39" s="24"/>
      <c r="C39" s="76"/>
      <c r="U39" s="76"/>
      <c r="AD39" s="76"/>
      <c r="AM39" s="76"/>
      <c r="BI39" s="77"/>
    </row>
    <row r="40" spans="1:61" ht="15" customHeight="1">
      <c r="A40" s="24"/>
      <c r="C40" s="76"/>
      <c r="U40" s="76"/>
      <c r="AD40" s="76"/>
      <c r="AM40" s="76"/>
      <c r="BI40" s="77"/>
    </row>
    <row r="41" spans="1:61" ht="15" customHeight="1">
      <c r="A41" s="24"/>
      <c r="C41" s="76"/>
      <c r="U41" s="76"/>
      <c r="AD41" s="76"/>
      <c r="AM41" s="76"/>
      <c r="BI41" s="77"/>
    </row>
    <row r="42" spans="1:61" ht="15" customHeight="1">
      <c r="A42" s="24"/>
      <c r="C42" s="76"/>
      <c r="U42" s="76"/>
      <c r="AD42" s="76"/>
      <c r="AM42" s="76"/>
      <c r="BI42" s="77"/>
    </row>
    <row r="43" spans="1:61" ht="15" customHeight="1">
      <c r="A43" s="24"/>
      <c r="C43" s="76"/>
      <c r="U43" s="76"/>
      <c r="AD43" s="76"/>
      <c r="AM43" s="76"/>
      <c r="BI43" s="77"/>
    </row>
    <row r="44" spans="1:61" ht="15" customHeight="1">
      <c r="A44" s="24"/>
      <c r="C44" s="76"/>
      <c r="U44" s="76"/>
      <c r="AD44" s="76"/>
      <c r="AM44" s="76"/>
      <c r="BI44" s="77"/>
    </row>
    <row r="45" spans="1:61" ht="15" customHeight="1">
      <c r="A45" s="24"/>
      <c r="C45" s="76"/>
      <c r="U45" s="76"/>
      <c r="AD45" s="76"/>
      <c r="AM45" s="76"/>
      <c r="BI45" s="77"/>
    </row>
    <row r="46" spans="1:61" ht="15" customHeight="1">
      <c r="A46" s="24"/>
      <c r="C46" s="76"/>
      <c r="U46" s="76"/>
      <c r="AD46" s="76"/>
      <c r="AM46" s="76"/>
      <c r="BI46" s="77"/>
    </row>
    <row r="47" spans="1:61" ht="15" customHeight="1">
      <c r="A47" s="24"/>
      <c r="C47" s="76"/>
      <c r="U47" s="76"/>
      <c r="AD47" s="76"/>
      <c r="AM47" s="76"/>
      <c r="BI47" s="77"/>
    </row>
    <row r="48" spans="1:61" ht="15" customHeight="1">
      <c r="A48" s="24"/>
      <c r="C48" s="76"/>
      <c r="U48" s="76"/>
      <c r="AD48" s="76"/>
      <c r="AM48" s="76"/>
      <c r="BI48" s="77"/>
    </row>
    <row r="49" spans="1:63" ht="15" customHeight="1">
      <c r="A49" s="24"/>
      <c r="C49" s="76"/>
      <c r="U49" s="76"/>
      <c r="AD49" s="76"/>
      <c r="AM49" s="76"/>
      <c r="BI49" s="77"/>
    </row>
    <row r="50" spans="1:63" ht="15" customHeight="1">
      <c r="A50" s="24"/>
      <c r="C50" s="76"/>
      <c r="U50" s="76"/>
      <c r="AD50" s="76"/>
      <c r="AM50" s="76"/>
      <c r="BI50" s="77"/>
    </row>
    <row r="51" spans="1:63" ht="15" customHeight="1">
      <c r="A51" s="24"/>
      <c r="C51" s="76"/>
      <c r="U51" s="76"/>
      <c r="AD51" s="76"/>
      <c r="AM51" s="76"/>
      <c r="BI51" s="77"/>
    </row>
    <row r="52" spans="1:63" ht="15" customHeight="1">
      <c r="A52" s="24"/>
      <c r="C52" s="76"/>
      <c r="U52" s="76"/>
      <c r="AD52" s="76"/>
      <c r="AM52" s="76"/>
      <c r="BI52" s="77"/>
    </row>
    <row r="53" spans="1:63" ht="15" customHeight="1">
      <c r="A53" s="24"/>
      <c r="C53" s="76"/>
      <c r="U53" s="76"/>
      <c r="AD53" s="76"/>
      <c r="AM53" s="76"/>
      <c r="BI53" s="77"/>
    </row>
    <row r="54" spans="1:63" ht="15" customHeight="1">
      <c r="A54" s="24"/>
      <c r="C54" s="76"/>
      <c r="U54" s="76"/>
      <c r="AD54" s="76"/>
      <c r="AM54" s="76"/>
      <c r="BI54" s="77"/>
    </row>
    <row r="55" spans="1:63" ht="15" customHeight="1">
      <c r="A55" s="21"/>
      <c r="B55" s="78"/>
      <c r="C55" s="22"/>
      <c r="D55" s="22"/>
      <c r="E55" s="22"/>
      <c r="F55" s="22"/>
      <c r="G55" s="22"/>
      <c r="H55" s="22"/>
      <c r="I55" s="22"/>
      <c r="J55" s="22"/>
      <c r="K55" s="22"/>
      <c r="L55" s="22"/>
      <c r="M55" s="22"/>
      <c r="N55" s="22"/>
      <c r="O55" s="22"/>
      <c r="P55" s="22"/>
      <c r="Q55" s="22"/>
      <c r="R55" s="22"/>
      <c r="S55" s="22"/>
      <c r="T55" s="22"/>
      <c r="U55" s="78"/>
      <c r="V55" s="22"/>
      <c r="W55" s="22"/>
      <c r="X55" s="22"/>
      <c r="Y55" s="22"/>
      <c r="Z55" s="22"/>
      <c r="AA55" s="22"/>
      <c r="AB55" s="22"/>
      <c r="AC55" s="22"/>
      <c r="AD55" s="78"/>
      <c r="AE55" s="22"/>
      <c r="AF55" s="22"/>
      <c r="AG55" s="22"/>
      <c r="AH55" s="22"/>
      <c r="AI55" s="22"/>
      <c r="AJ55" s="22"/>
      <c r="AK55" s="22"/>
      <c r="AL55" s="22"/>
      <c r="AM55" s="78"/>
      <c r="AN55" s="22"/>
      <c r="AO55" s="22"/>
      <c r="AP55" s="22"/>
      <c r="AQ55" s="22"/>
      <c r="AR55" s="22"/>
      <c r="AS55" s="22"/>
      <c r="AT55" s="22"/>
      <c r="AU55" s="22"/>
      <c r="AV55" s="22"/>
      <c r="AW55" s="22"/>
      <c r="AX55" s="22"/>
      <c r="AY55" s="22"/>
      <c r="AZ55" s="22"/>
      <c r="BA55" s="22"/>
      <c r="BB55" s="22"/>
      <c r="BC55" s="22"/>
      <c r="BD55" s="22"/>
      <c r="BE55" s="22"/>
      <c r="BF55" s="22"/>
      <c r="BG55" s="22"/>
      <c r="BH55" s="22"/>
      <c r="BI55" s="79"/>
      <c r="BJ55" s="22"/>
      <c r="BK55" s="23"/>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61D5EC-F13E-4999-A838-A6E3C78C122B}"/>
</file>

<file path=customXml/itemProps2.xml><?xml version="1.0" encoding="utf-8"?>
<ds:datastoreItem xmlns:ds="http://schemas.openxmlformats.org/officeDocument/2006/customXml" ds:itemID="{5285999A-E893-420C-B0A0-18C7DBCD58F1}"/>
</file>

<file path=customXml/itemProps3.xml><?xml version="1.0" encoding="utf-8"?>
<ds:datastoreItem xmlns:ds="http://schemas.openxmlformats.org/officeDocument/2006/customXml" ds:itemID="{CAA647A5-7787-4070-9535-4098383696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Vu Quang Huy 2</cp:lastModifiedBy>
  <cp:revision/>
  <dcterms:created xsi:type="dcterms:W3CDTF">2015-06-05T18:19:34Z</dcterms:created>
  <dcterms:modified xsi:type="dcterms:W3CDTF">2024-05-08T05:48:06Z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