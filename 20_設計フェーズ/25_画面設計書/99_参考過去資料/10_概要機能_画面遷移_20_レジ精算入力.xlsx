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88951122-0AB0-4050-B504-4D4141553FCF}" xr6:coauthVersionLast="47" xr6:coauthVersionMax="47" xr10:uidLastSave="{00000000-0000-0000-0000-000000000000}"/>
  <bookViews>
    <workbookView xWindow="-120" yWindow="-120" windowWidth="29040" windowHeight="15840" activeTab="7" xr2:uid="{00000000-000D-0000-FFFF-FFFF00000000}"/>
  </bookViews>
  <sheets>
    <sheet name="表紙" sheetId="4" r:id="rId1"/>
    <sheet name="改訂履歴" sheetId="3" r:id="rId2"/>
    <sheet name="業務フロー凡例" sheetId="6" r:id="rId3"/>
    <sheet name="機能概要説明" sheetId="8" r:id="rId4"/>
    <sheet name="機能概要" sheetId="5" r:id="rId5"/>
    <sheet name="自動精算バッチ" sheetId="10" r:id="rId6"/>
    <sheet name="画面設計書" sheetId="7" r:id="rId7"/>
    <sheet name="レジ精算実" sheetId="12" r:id="rId8"/>
    <sheet name="サンプル" sheetId="11" r:id="rId9"/>
    <sheet name="テンプレート" sheetId="2" r:id="rId10"/>
  </sheets>
  <definedNames>
    <definedName name="_xlnm.Print_Area" localSheetId="8">サンプル!$A$1:$BK$56</definedName>
    <definedName name="_xlnm.Print_Area" localSheetId="9">テンプレート!$A$1:$BK$55</definedName>
    <definedName name="_xlnm.Print_Area" localSheetId="7">レジ精算実!$A$1:$BK$59</definedName>
    <definedName name="_xlnm.Print_Area" localSheetId="1">改訂履歴!$A$1:$BK$55</definedName>
    <definedName name="_xlnm.Print_Area" localSheetId="2">業務フロー凡例!$A$1:$BK$61</definedName>
    <definedName name="_xlnm.Print_Area" localSheetId="4">機能概要!$A$1:$BK$159</definedName>
    <definedName name="_xlnm.Print_Area" localSheetId="3">機能概要説明!$A$1:$BK$59</definedName>
    <definedName name="_xlnm.Print_Area" localSheetId="5">自動精算バッチ!$A$1:$BK$57</definedName>
    <definedName name="_xlnm.Print_Area" localSheetId="0">表紙!$A$1:$BK$55</definedName>
    <definedName name="_xlnm.Print_Titles" localSheetId="8">サンプル!$1:$5</definedName>
    <definedName name="_xlnm.Print_Titles" localSheetId="9">テンプレート!$1:$5</definedName>
    <definedName name="_xlnm.Print_Titles" localSheetId="7">レジ精算実!$1:$5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5">自動精算バッチ!$1:$5</definedName>
    <definedName name="_xlnm.Print_Titles" localSheetId="0">表紙!$1:$5</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8" i="5" l="1"/>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7" i="8"/>
  <c r="BM8" i="8" s="1"/>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58" i="8" s="1"/>
  <c r="AP4" i="2"/>
  <c r="Z4" i="2"/>
  <c r="H4" i="2"/>
  <c r="K2" i="2"/>
  <c r="A2" i="2"/>
  <c r="W1" i="2"/>
  <c r="AP4" i="11"/>
  <c r="Z4" i="11"/>
  <c r="H4" i="11"/>
  <c r="K2" i="11"/>
  <c r="A2" i="11"/>
  <c r="W1" i="11"/>
  <c r="AP4" i="12"/>
  <c r="AA4" i="12"/>
  <c r="I4" i="12"/>
  <c r="L2" i="12"/>
  <c r="A2" i="12"/>
  <c r="X1" i="12"/>
  <c r="AP4" i="7"/>
  <c r="Z4" i="7"/>
  <c r="H4" i="7"/>
  <c r="K2" i="7"/>
  <c r="A2" i="7"/>
  <c r="W1" i="7"/>
  <c r="AP4" i="10"/>
  <c r="Z4" i="10"/>
  <c r="H4" i="10"/>
  <c r="K2" i="10"/>
  <c r="A2" i="10"/>
  <c r="W1" i="10"/>
  <c r="AP4" i="5" a="1"/>
  <c r="AP4" i="5" s="1"/>
  <c r="Z4" i="5"/>
  <c r="H4" i="5"/>
  <c r="K2" i="5"/>
  <c r="A2" i="5"/>
  <c r="W1" i="5"/>
  <c r="AP4" i="8" a="1"/>
  <c r="AP4" i="8" s="1"/>
  <c r="Z4" i="8"/>
  <c r="H4" i="8"/>
  <c r="K2" i="8"/>
  <c r="A2" i="8"/>
  <c r="W1" i="8"/>
  <c r="AP4" i="6" a="1"/>
  <c r="AP4" i="6" s="1"/>
  <c r="Z4" i="6"/>
  <c r="H4" i="6"/>
  <c r="K2" i="6"/>
  <c r="A2" i="6"/>
  <c r="W1" i="6"/>
  <c r="AP4" i="3" a="1"/>
  <c r="AP4" i="3" s="1"/>
  <c r="Z4" i="3"/>
  <c r="H4" i="3"/>
  <c r="K2" i="3"/>
  <c r="A2" i="3"/>
  <c r="W1" i="3"/>
  <c r="L24" i="4"/>
  <c r="AP4" i="4" a="1"/>
  <c r="AP4" i="4" s="1"/>
  <c r="BH2" i="4"/>
  <c r="BH2" i="7" s="1"/>
  <c r="BC2" i="4"/>
  <c r="BC2" i="2" s="1"/>
  <c r="AY2" i="4"/>
  <c r="AY2" i="11" s="1"/>
  <c r="AT2" i="4"/>
  <c r="AP2" i="4"/>
  <c r="AP2" i="2" l="1"/>
  <c r="AP2" i="11"/>
  <c r="AP2" i="12"/>
  <c r="AP2" i="7"/>
  <c r="AP2" i="10"/>
  <c r="AP2" i="5"/>
  <c r="AP2" i="8"/>
  <c r="AP2" i="6"/>
  <c r="AP2" i="3"/>
  <c r="AT2" i="2"/>
  <c r="AT2" i="11"/>
  <c r="AT2" i="12"/>
  <c r="AT2" i="7"/>
  <c r="AT2" i="10"/>
  <c r="AT2" i="5"/>
  <c r="AT2" i="8"/>
  <c r="AT2" i="3"/>
  <c r="BC2" i="3"/>
  <c r="AY2" i="8"/>
  <c r="BC2" i="5"/>
  <c r="BH2" i="10"/>
  <c r="AY2" i="12"/>
  <c r="BC2" i="11"/>
  <c r="BH2" i="2"/>
  <c r="BH2" i="3"/>
  <c r="AY2" i="6"/>
  <c r="BC2" i="8"/>
  <c r="BH2" i="5"/>
  <c r="AY2" i="7"/>
  <c r="BC2" i="12"/>
  <c r="BH2" i="11"/>
  <c r="BC2" i="6"/>
  <c r="BH2" i="8"/>
  <c r="AY2" i="10"/>
  <c r="BC2" i="7"/>
  <c r="BH2" i="12"/>
  <c r="AY2" i="2"/>
  <c r="AY2" i="3"/>
  <c r="BH2" i="6"/>
  <c r="AY2" i="5"/>
  <c r="BC2" i="10"/>
</calcChain>
</file>

<file path=xl/sharedStrings.xml><?xml version="1.0" encoding="utf-8"?>
<sst xmlns="http://schemas.openxmlformats.org/spreadsheetml/2006/main" count="480" uniqueCount="280">
  <si>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</si>
  <si>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</si>
  <si>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</si>
  <si>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</si>
  <si>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</si>
  <si>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</si>
  <si>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</si>
  <si>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</si>
  <si>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</si>
  <si>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000000"/>
        <rFont val="Meiryo UI"/>
        <family val="2"/>
      </rPr>
      <t>POSサーバー</t>
    </r>
  </si>
  <si>
    <r>
      <rPr>
        <sz val="11"/>
        <color rgb="FFFFFFFF"/>
        <rFont val="Meiryo UI"/>
        <family val="2"/>
      </rPr>
      <t>機能カテゴリ</t>
    </r>
  </si>
  <si>
    <t>20_レジ精算入力</t>
  </si>
  <si>
    <r>
      <rPr>
        <sz val="11"/>
        <color rgb="FFFFFFFF"/>
        <rFont val="Meiryo UI"/>
        <family val="2"/>
      </rPr>
      <t>項目</t>
    </r>
  </si>
  <si>
    <r>
      <rPr>
        <sz val="11"/>
        <color rgb="FF000000"/>
        <rFont val="Meiryo UI"/>
        <family val="2"/>
      </rPr>
      <t>概要設計書</t>
    </r>
  </si>
  <si>
    <t>POSサーバーの基本設計書</t>
  </si>
  <si>
    <r>
      <rPr>
        <sz val="11"/>
        <color rgb="FFFFFFFF"/>
        <rFont val="Meiryo UI"/>
        <family val="2"/>
      </rPr>
      <t>承認日</t>
    </r>
  </si>
  <si>
    <r>
      <rPr>
        <sz val="11"/>
        <color rgb="FFFFFFFF"/>
        <rFont val="Meiryo UI"/>
        <family val="2"/>
      </rPr>
      <t>承認者</t>
    </r>
  </si>
  <si>
    <r>
      <rPr>
        <sz val="11"/>
        <color rgb="FF000000"/>
        <rFont val="Meiryo UI"/>
        <family val="2"/>
      </rPr>
      <t>■改訂履歴</t>
    </r>
  </si>
  <si>
    <r>
      <rPr>
        <sz val="11"/>
        <color rgb="FFFFFFFF"/>
        <rFont val="Meiryo UI"/>
        <family val="2"/>
      </rPr>
      <t>更新内容</t>
    </r>
  </si>
  <si>
    <t>TuyenNH</t>
  </si>
  <si>
    <t>新規作成</t>
  </si>
  <si>
    <t>2024年5月17日のコメントによる更新</t>
  </si>
  <si>
    <t>2024年5月23日のコメントによる更新</t>
  </si>
  <si>
    <t>DuNT</t>
  </si>
  <si>
    <t>機能概要説明： テナントレジ入力機能を追加で記載する。</t>
  </si>
  <si>
    <t>機能概要：店舗選択モーダルを削除する</t>
  </si>
  <si>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</si>
  <si>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</si>
  <si>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</si>
  <si>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</si>
  <si>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</si>
  <si>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</si>
  <si>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</si>
  <si>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</si>
  <si>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</si>
  <si>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</si>
  <si>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</si>
  <si>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</si>
  <si>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レジ精算入力機能では次のことが可能になる。</t>
    </r>
  </si>
  <si>
    <r>
      <rPr>
        <sz val="11"/>
        <color rgb="FF000000"/>
        <rFont val="Meiryo UI"/>
        <family val="2"/>
      </rPr>
      <t>・店舗のレジの状態を表示する。</t>
    </r>
  </si>
  <si>
    <r>
      <rPr>
        <sz val="11"/>
        <color rgb="FF000000"/>
        <rFont val="Meiryo UI"/>
        <family val="2"/>
      </rPr>
      <t>・選択した日付ごとにより店舗全体の売上が出力可能</t>
    </r>
  </si>
  <si>
    <t>‣ログインユーザーが管理者ユーザーの場合、62日以内選択可能</t>
  </si>
  <si>
    <t>‣ログインユーザーが管理者ユーザーではない場合、当日から直近3日選択可能</t>
  </si>
  <si>
    <t>・レジごとの詳細売上を表示して実際で金額が編集可能</t>
  </si>
  <si>
    <t>テナントレジの売上があがらないため、この機能はテナント機の売上を手動で入力するために使用される。</t>
  </si>
  <si>
    <t>・レジが精算を忘れた場合、POSサーバーがバッチを使用して自動的に精算する。</t>
  </si>
  <si>
    <r>
      <rPr>
        <sz val="11"/>
        <color rgb="FF000000"/>
        <rFont val="Meiryo UI"/>
        <family val="2"/>
      </rPr>
      <t>FC2001_レジ精算日付検索機能</t>
    </r>
  </si>
  <si>
    <r>
      <rPr>
        <sz val="11"/>
        <color rgb="FF000000"/>
        <rFont val="Meiryo UI"/>
        <family val="2"/>
      </rPr>
      <t>FC2002_レジ精算訂正機能</t>
    </r>
  </si>
  <si>
    <t>レジの自動精算バッチ</t>
  </si>
  <si>
    <r>
      <rPr>
        <sz val="11"/>
        <color rgb="FF000000"/>
        <rFont val="Meiryo UI"/>
        <family val="2"/>
      </rPr>
      <t>概要説明</t>
    </r>
  </si>
  <si>
    <t>▪営業日終了時に精算を忘れた場合、レジの自動精算を行う。</t>
  </si>
  <si>
    <t>(各店舗の営業日は異なるため、各店舗の設定に応じて、バッチを毎日24時に固定で実行するか、営業日終了時に実行する。)</t>
  </si>
  <si>
    <t>▪ 関係者に精算を促すメールを送信する。</t>
  </si>
  <si>
    <t>・メールを3回送信する。各送信時間は1時間間隔である。</t>
  </si>
  <si>
    <t>`</t>
  </si>
  <si>
    <r>
      <rPr>
        <sz val="11"/>
        <color rgb="FF000000"/>
        <rFont val="Meiryo UI"/>
        <family val="2"/>
      </rPr>
      <t>▪ レジの自動精算を行う。</t>
    </r>
  </si>
  <si>
    <r>
      <rPr>
        <sz val="11"/>
        <color rgb="FF000000"/>
        <rFont val="Meiryo UI"/>
        <family val="2"/>
      </rPr>
      <t>・3回目のメール送信でもレジで精算されていない場合は、自動精算を行う。</t>
    </r>
  </si>
  <si>
    <r>
      <rPr>
        <sz val="11"/>
        <color rgb="FF000000"/>
        <rFont val="Meiryo UI"/>
        <family val="2"/>
      </rPr>
      <t>・自動精算完了後：</t>
    </r>
  </si>
  <si>
    <r>
      <rPr>
        <sz val="11"/>
        <color rgb="FF000000"/>
        <rFont val="Meiryo UI"/>
        <family val="2"/>
      </rPr>
      <t>+「状態」を「自動精算済」に更新する。</t>
    </r>
  </si>
  <si>
    <r>
      <rPr>
        <sz val="11"/>
        <color rgb="FF000000"/>
        <rFont val="Meiryo UI"/>
        <family val="2"/>
      </rPr>
      <t>+レジの自動精算完了について関係者にメールを送信する。</t>
    </r>
  </si>
  <si>
    <r>
      <rPr>
        <sz val="11"/>
        <color rgb="FF000000"/>
        <rFont val="Meiryo UI"/>
        <family val="2"/>
      </rPr>
      <t>+ レジに自動精算済通知を表示する。自動精算確認を行い、レジがお金を出して請求書や精算レポートなどを印刷する。</t>
    </r>
  </si>
  <si>
    <r>
      <rPr>
        <sz val="11"/>
        <color rgb="FF000000"/>
        <rFont val="Meiryo UI"/>
        <family val="2"/>
      </rPr>
      <t>■ログイン画面のイメージ</t>
    </r>
  </si>
  <si>
    <t>■画面項目定義</t>
  </si>
  <si>
    <t>画面項目ID</t>
  </si>
  <si>
    <t>項目</t>
  </si>
  <si>
    <t>タイプ</t>
  </si>
  <si>
    <r>
      <rPr>
        <sz val="11"/>
        <color rgb="FF000000"/>
        <rFont val="Meiryo UI"/>
        <family val="2"/>
      </rPr>
      <t>I/O</t>
    </r>
  </si>
  <si>
    <t>多言語対象</t>
  </si>
  <si>
    <t>アウトプット</t>
  </si>
  <si>
    <t>インプット</t>
  </si>
  <si>
    <t>備考</t>
  </si>
  <si>
    <t>マッピングデータ</t>
  </si>
  <si>
    <t>初期値</t>
  </si>
  <si>
    <t>表示コントロール</t>
  </si>
  <si>
    <t>Control enable</t>
  </si>
  <si>
    <r>
      <rPr>
        <sz val="11"/>
        <color rgb="FF000000"/>
        <rFont val="Meiryo UI"/>
        <family val="2"/>
      </rPr>
      <t>必須</t>
    </r>
  </si>
  <si>
    <t>数字</t>
  </si>
  <si>
    <t>文字</t>
  </si>
  <si>
    <t>API名</t>
  </si>
  <si>
    <r>
      <rPr>
        <sz val="11"/>
        <color rgb="FF000000"/>
        <rFont val="Meiryo UI"/>
        <family val="2"/>
      </rPr>
      <t>テキスト</t>
    </r>
  </si>
  <si>
    <t>－</t>
  </si>
  <si>
    <t>●</t>
  </si>
  <si>
    <t>Android POS Control</t>
  </si>
  <si>
    <r>
      <rPr>
        <sz val="11"/>
        <color rgb="FF000000"/>
        <rFont val="Meiryo UI"/>
        <family val="2"/>
      </rPr>
      <t>ー</t>
    </r>
  </si>
  <si>
    <r>
      <rPr>
        <sz val="11"/>
        <color rgb="FF000000"/>
        <rFont val="Meiryo UI"/>
        <family val="2"/>
      </rPr>
      <t>－</t>
    </r>
  </si>
  <si>
    <r>
      <rPr>
        <sz val="11"/>
        <color rgb="FF000000"/>
        <rFont val="Meiryo UI"/>
        <family val="2"/>
      </rPr>
      <t>O</t>
    </r>
  </si>
  <si>
    <t>User ID</t>
  </si>
  <si>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</si>
  <si>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</si>
  <si>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</si>
  <si>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</si>
  <si>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t>Login</t>
  </si>
  <si>
    <r>
      <rPr>
        <sz val="11"/>
        <color rgb="FF000000"/>
        <rFont val="Meiryo UI"/>
        <family val="2"/>
      </rPr>
      <t>Enable</t>
    </r>
  </si>
  <si>
    <r>
      <rPr>
        <sz val="11"/>
        <color rgb="FF000000"/>
        <rFont val="Meiryo UI"/>
        <family val="2"/>
      </rPr>
      <t>Login-01/EmployeeMaster</t>
    </r>
  </si>
  <si>
    <r>
      <rPr>
        <sz val="11"/>
        <color rgb="FF000000"/>
        <rFont val="Meiryo UI"/>
        <family val="2"/>
      </rPr>
      <t>No</t>
    </r>
  </si>
  <si>
    <r>
      <rPr>
        <b/>
        <sz val="11"/>
        <color rgb="FF000000"/>
        <rFont val="Meiryo UI"/>
        <family val="2"/>
      </rPr>
      <t>項目名</t>
    </r>
  </si>
  <si>
    <r>
      <rPr>
        <b/>
        <sz val="11"/>
        <color rgb="FF000000"/>
        <rFont val="Meiryo UI"/>
        <family val="2"/>
      </rPr>
      <t>説明</t>
    </r>
  </si>
  <si>
    <r>
      <rPr>
        <sz val="11"/>
        <color rgb="FF000000"/>
        <rFont val="Meiryo UI"/>
        <family val="2"/>
      </rPr>
      <t>+売上8%</t>
    </r>
  </si>
  <si>
    <r>
      <rPr>
        <sz val="11"/>
        <color rgb="FF000000"/>
        <rFont val="Meiryo UI"/>
        <family val="2"/>
      </rPr>
      <t>・消費税8%対象商品の販売金額
・消費税8%が含まれていない。
・非課税商品の金額は含まれていない。</t>
    </r>
  </si>
  <si>
    <r>
      <rPr>
        <sz val="11"/>
        <color rgb="FF000000"/>
        <rFont val="Meiryo UI"/>
        <family val="2"/>
      </rPr>
      <t>+消費税8%</t>
    </r>
  </si>
  <si>
    <r>
      <rPr>
        <sz val="11"/>
        <color rgb="FF000000"/>
        <rFont val="Meiryo UI"/>
        <family val="2"/>
      </rPr>
      <t>・消費税8%の金額</t>
    </r>
  </si>
  <si>
    <r>
      <rPr>
        <sz val="11"/>
        <color rgb="FF000000"/>
        <rFont val="Meiryo UI"/>
        <family val="2"/>
      </rPr>
      <t>+売上10%</t>
    </r>
  </si>
  <si>
    <r>
      <rPr>
        <sz val="11"/>
        <color rgb="FF000000"/>
        <rFont val="Meiryo UI"/>
        <family val="2"/>
      </rPr>
      <t>・消費税10%対象商品の販売金額
・消費税10%が含まれていない。
・非課税商品の金額は含まれていない。</t>
    </r>
  </si>
  <si>
    <r>
      <rPr>
        <sz val="11"/>
        <color rgb="FF000000"/>
        <rFont val="Meiryo UI"/>
        <family val="2"/>
      </rPr>
      <t>+消費税10%</t>
    </r>
  </si>
  <si>
    <r>
      <rPr>
        <sz val="11"/>
        <color rgb="FF000000"/>
        <rFont val="Meiryo UI"/>
        <family val="2"/>
      </rPr>
      <t>・消費税10%の金額</t>
    </r>
  </si>
  <si>
    <r>
      <rPr>
        <sz val="11"/>
        <color rgb="FF000000"/>
        <rFont val="Meiryo UI"/>
        <family val="2"/>
      </rPr>
      <t>+非課税額</t>
    </r>
  </si>
  <si>
    <r>
      <rPr>
        <sz val="11"/>
        <color rgb="FF000000"/>
        <rFont val="Meiryo UI"/>
        <family val="2"/>
      </rPr>
      <t>消費税が非課税になる販売金額</t>
    </r>
  </si>
  <si>
    <r>
      <rPr>
        <sz val="11"/>
        <color rgb="FF000000"/>
        <rFont val="Meiryo UI"/>
        <family val="2"/>
      </rPr>
      <t>+入金合計</t>
    </r>
  </si>
  <si>
    <r>
      <rPr>
        <sz val="11"/>
        <color rgb="FF000000"/>
        <rFont val="Meiryo UI"/>
        <family val="2"/>
      </rPr>
      <t>・No7 ~ No14から金額合計</t>
    </r>
  </si>
  <si>
    <r>
      <rPr>
        <sz val="11"/>
        <color rgb="FF000000"/>
        <rFont val="Meiryo UI"/>
        <family val="2"/>
      </rPr>
      <t>践平備金</t>
    </r>
  </si>
  <si>
    <r>
      <rPr>
        <sz val="11"/>
        <color rgb="FF000000"/>
        <rFont val="Meiryo UI"/>
        <family val="2"/>
      </rPr>
      <t>商品券1000円</t>
    </r>
  </si>
  <si>
    <t>商品券1000円の販売額</t>
  </si>
  <si>
    <r>
      <rPr>
        <sz val="11"/>
        <color rgb="FF000000"/>
        <rFont val="Meiryo UI"/>
        <family val="2"/>
      </rPr>
      <t>商品券500円</t>
    </r>
  </si>
  <si>
    <t>商品券500円の販売額</t>
  </si>
  <si>
    <r>
      <rPr>
        <sz val="11"/>
        <color rgb="FF000000"/>
        <rFont val="Meiryo UI"/>
        <family val="2"/>
      </rPr>
      <t>配送料(カスミ使)</t>
    </r>
  </si>
  <si>
    <r>
      <rPr>
        <sz val="11"/>
        <color rgb="FF000000"/>
        <rFont val="Meiryo UI"/>
        <family val="2"/>
      </rPr>
      <t>配送料</t>
    </r>
  </si>
  <si>
    <r>
      <rPr>
        <sz val="11"/>
        <color rgb="FF000000"/>
        <rFont val="Meiryo UI"/>
        <family val="2"/>
      </rPr>
      <t>WAONチャージ</t>
    </r>
  </si>
  <si>
    <t>WAONカードにチャージした金額</t>
  </si>
  <si>
    <r>
      <rPr>
        <sz val="11"/>
        <color rgb="FF000000"/>
        <rFont val="Meiryo UI"/>
        <family val="2"/>
      </rPr>
      <t>ignica moneyチャージ</t>
    </r>
  </si>
  <si>
    <t>ignica moneyシステムにチャージした金額</t>
  </si>
  <si>
    <r>
      <rPr>
        <sz val="11"/>
        <color rgb="FF000000"/>
        <rFont val="Meiryo UI"/>
        <family val="2"/>
      </rPr>
      <t>-出金合計</t>
    </r>
  </si>
  <si>
    <r>
      <rPr>
        <sz val="11"/>
        <color rgb="FF000000"/>
        <rFont val="Meiryo UI"/>
        <family val="2"/>
      </rPr>
      <t>配送料支払</t>
    </r>
  </si>
  <si>
    <t>・スーパーマーケットが配送業者に支払った金額</t>
  </si>
  <si>
    <r>
      <rPr>
        <sz val="11"/>
        <color rgb="FF000000"/>
        <rFont val="Meiryo UI"/>
        <family val="2"/>
      </rPr>
      <t>-WAON売上</t>
    </r>
  </si>
  <si>
    <t>・WAONカードで支払った金額</t>
  </si>
  <si>
    <r>
      <rPr>
        <sz val="11"/>
        <color rgb="FF000000"/>
        <rFont val="Meiryo UI"/>
        <family val="2"/>
      </rPr>
      <t>-オフWAON売上</t>
    </r>
  </si>
  <si>
    <r>
      <rPr>
        <sz val="11"/>
        <color rgb="FF000000"/>
        <rFont val="Meiryo UI"/>
        <family val="2"/>
      </rPr>
      <t>-カスミイオン</t>
    </r>
  </si>
  <si>
    <r>
      <rPr>
        <sz val="11"/>
        <color rgb="FF000000"/>
        <rFont val="Meiryo UI"/>
        <family val="2"/>
      </rPr>
      <t>-カード売</t>
    </r>
  </si>
  <si>
    <t>・WAONカード以外のカード販売額：
  +/ カード会社  AEON（ジャーナル表記）
  +/ カード会社  JCBｸﾞﾙｰﾌ（ジャーナル表記）
  +/ カード会社  AMEX（ジャーナル表記）</t>
  </si>
  <si>
    <r>
      <rPr>
        <sz val="11"/>
        <color rgb="FF000000"/>
        <rFont val="Meiryo UI"/>
        <family val="2"/>
      </rPr>
      <t>+カード返品</t>
    </r>
  </si>
  <si>
    <t>・WAONカードを除く販売済みカードの返金額：
  +/ カード会社  AEON（ジャーナル表記）
  +/ カード会社  JCBｸﾞﾙｰﾌ（ジャーナル表記）
  +/ カード会社  AMEX（ジャーナル表記）</t>
  </si>
  <si>
    <r>
      <rPr>
        <sz val="11"/>
        <color rgb="FF000000"/>
        <rFont val="Meiryo UI"/>
        <family val="2"/>
      </rPr>
      <t>返品/訂正</t>
    </r>
  </si>
  <si>
    <r>
      <rPr>
        <sz val="11"/>
        <color rgb="FF000000"/>
        <rFont val="Meiryo UI"/>
        <family val="2"/>
      </rPr>
      <t>-券支払合計</t>
    </r>
  </si>
  <si>
    <t>・No25 ~ No31のクーポン券、商品券等の支払金額合計</t>
  </si>
  <si>
    <r>
      <rPr>
        <sz val="11"/>
        <color rgb="FF000000"/>
        <rFont val="Meiryo UI"/>
        <family val="2"/>
      </rPr>
      <t>カスミ商品券</t>
    </r>
  </si>
  <si>
    <t>・カスミ商品券で支払金額</t>
  </si>
  <si>
    <r>
      <rPr>
        <sz val="11"/>
        <color rgb="FF000000"/>
        <rFont val="Meiryo UI"/>
        <family val="2"/>
      </rPr>
      <t>商品券</t>
    </r>
  </si>
  <si>
    <t>・他の商品券（カスミ商品券とさくらもーる商品券を含まない）で支払金額</t>
  </si>
  <si>
    <r>
      <rPr>
        <sz val="11"/>
        <color rgb="FF000000"/>
        <rFont val="Meiryo UI"/>
        <family val="2"/>
      </rPr>
      <t>GoToクーポン</t>
    </r>
  </si>
  <si>
    <t>・GoToクーポンで支払金額</t>
  </si>
  <si>
    <r>
      <rPr>
        <sz val="11"/>
        <color rgb="FF000000"/>
        <rFont val="Meiryo UI"/>
        <family val="2"/>
      </rPr>
      <t>クーポン券</t>
    </r>
  </si>
  <si>
    <r>
      <rPr>
        <sz val="11"/>
        <color rgb="FF000000"/>
        <rFont val="Meiryo UI"/>
        <family val="2"/>
      </rPr>
      <t>株主優待券</t>
    </r>
  </si>
  <si>
    <t>・USMH株主向け優待券で支払金額</t>
  </si>
  <si>
    <t>・さくらもーる商品券で支払金額</t>
  </si>
  <si>
    <r>
      <rPr>
        <sz val="11"/>
        <color rgb="FF000000"/>
        <rFont val="Meiryo UI"/>
        <family val="2"/>
      </rPr>
      <t>ギフト券</t>
    </r>
  </si>
  <si>
    <t>・ギフト券で支払金額</t>
  </si>
  <si>
    <r>
      <rPr>
        <sz val="11"/>
        <color rgb="FF000000"/>
        <rFont val="Meiryo UI"/>
        <family val="2"/>
      </rPr>
      <t>-その他支払合計</t>
    </r>
  </si>
  <si>
    <t>・No33 ~ No35からその他支払金額合計</t>
  </si>
  <si>
    <r>
      <rPr>
        <sz val="11"/>
        <color rgb="FF000000"/>
        <rFont val="Meiryo UI"/>
        <family val="2"/>
      </rPr>
      <t>ignicaポイント</t>
    </r>
  </si>
  <si>
    <t>・ignicaポイントで支払金額</t>
  </si>
  <si>
    <r>
      <rPr>
        <sz val="11"/>
        <color rgb="FF000000"/>
        <rFont val="Meiryo UI"/>
        <family val="2"/>
      </rPr>
      <t>ignica money利用</t>
    </r>
  </si>
  <si>
    <t>・ignicaシステムから支払金額 (ポイントでの支払いを含まない)</t>
  </si>
  <si>
    <r>
      <rPr>
        <sz val="11"/>
        <color rgb="FF000000"/>
        <rFont val="Meiryo UI"/>
        <family val="2"/>
      </rPr>
      <t>Mクーポン</t>
    </r>
  </si>
  <si>
    <t>・Mクーポンで支払金額</t>
  </si>
  <si>
    <r>
      <rPr>
        <sz val="11"/>
        <color rgb="FF000000"/>
        <rFont val="Meiryo UI"/>
        <family val="2"/>
      </rPr>
      <t>-QR決済(アプリ)</t>
    </r>
  </si>
  <si>
    <t>・PayPayアプリのQRから支払金額（購入者のPayPayアプリからQRスキャン）</t>
  </si>
  <si>
    <r>
      <rPr>
        <sz val="11"/>
        <color rgb="FF000000"/>
        <rFont val="Meiryo UI"/>
        <family val="2"/>
      </rPr>
      <t>-QR決済(レジ)</t>
    </r>
  </si>
  <si>
    <t>・レジの QR からの支払金額 (購入者はレジのQR をスキャンして支払う） 
・支払方法：
  +/ paypay
  +/ aupay
  +/ d払い
  +/ メルペイ
  +/ ALIPAY
  +/ WeChatPay</t>
  </si>
  <si>
    <r>
      <rPr>
        <sz val="11"/>
        <color rgb="FF000000"/>
        <rFont val="Meiryo UI"/>
        <family val="2"/>
      </rPr>
      <t>-みんなの銀行</t>
    </r>
  </si>
  <si>
    <t>・みんなの銀行で支払金額</t>
  </si>
  <si>
    <r>
      <rPr>
        <sz val="11"/>
        <color rgb="FF000000"/>
        <rFont val="Meiryo UI"/>
        <family val="2"/>
      </rPr>
      <t>カスミ管理外レジ</t>
    </r>
  </si>
  <si>
    <r>
      <rPr>
        <sz val="11"/>
        <color rgb="FF000000"/>
        <rFont val="Meiryo UI"/>
        <family val="2"/>
      </rPr>
      <t>収入印紙200</t>
    </r>
  </si>
  <si>
    <t>・領収書の金額が5万円以上100万円以下の場合は、収入印紙200が発行される。
・収入印紙200で集めた合計金額を表示する。
・この金額は店舗の合計売上に加算または減算されない。</t>
  </si>
  <si>
    <r>
      <rPr>
        <sz val="11"/>
        <color rgb="FF000000"/>
        <rFont val="Meiryo UI"/>
        <family val="2"/>
      </rPr>
      <t>収入印紙400</t>
    </r>
  </si>
  <si>
    <t>・領収書の金額が100万円を超え200万円未満の場合は、収入印紙400が発行される。
・収入印紙400で集めた合計金額を表示する。
・この金額は店舗の合計売上に加算または減算されない。</t>
  </si>
  <si>
    <r>
      <rPr>
        <sz val="11"/>
        <color rgb="FF000000"/>
        <rFont val="Meiryo UI"/>
        <family val="2"/>
      </rPr>
      <t>収入印紙600</t>
    </r>
  </si>
  <si>
    <t>・領収書の金額が200万円を超え300万円未満の場合は、収入印紙600が発行される。
・収入印紙600で集めた合計金額を表示する。
・この金額は店舗の合計売上に加算または減算されない。</t>
  </si>
  <si>
    <r>
      <rPr>
        <sz val="11"/>
        <color rgb="FF000000"/>
        <rFont val="Meiryo UI"/>
        <family val="2"/>
      </rPr>
      <t>あるべき現金在高</t>
    </r>
  </si>
  <si>
    <t>・訂正前の表示データ
  　‣新しい日のレジ業務を開始するためにレジが開いたときの最初のレジ内の金額
  　‣レジごとに固定されている初期金額
・POSサーバーから精算した場合：・訂正後欄で訂正後の実際の合計金額を表示する：No1+No2+No3+No4+No5+No6-No15-No17-No18-No19-No20-No21+No22-No24-No32-No36-No37-No38</t>
  </si>
  <si>
    <r>
      <rPr>
        <sz val="11"/>
        <color rgb="FF000000"/>
        <rFont val="Meiryo UI"/>
        <family val="2"/>
      </rPr>
      <t>精算時現金在高</t>
    </r>
  </si>
  <si>
    <r>
      <rPr>
        <sz val="11"/>
        <color rgb="FF000000"/>
        <rFont val="Meiryo UI"/>
        <family val="2"/>
      </rPr>
      <t>現金過不足</t>
    </r>
  </si>
  <si>
    <t>= NO45 - NO44
‣計算した上、正数の場合、レジに投入された最初の金額と比較して、レジには余剰が生じる。
‣計算した上、負数の場合、レジに投入された最初の金額と比較して、レジが不足している。</t>
  </si>
  <si>
    <r>
      <rPr>
        <b/>
        <sz val="11"/>
        <color rgb="FF000000"/>
        <rFont val="Meiryo UI"/>
        <family val="2"/>
      </rPr>
      <t>日報出力順</t>
    </r>
  </si>
  <si>
    <r>
      <rPr>
        <b/>
        <sz val="11"/>
        <color rgb="FF000000"/>
        <rFont val="Meiryo UI"/>
        <family val="2"/>
      </rPr>
      <t>日報種別</t>
    </r>
  </si>
  <si>
    <r>
      <rPr>
        <b/>
        <sz val="11"/>
        <color rgb="FF000000"/>
        <rFont val="Meiryo UI"/>
        <family val="2"/>
      </rPr>
      <t>日報名称</t>
    </r>
  </si>
  <si>
    <r>
      <rPr>
        <b/>
        <sz val="11"/>
        <color rgb="FF000000"/>
        <rFont val="Meiryo UI"/>
        <family val="2"/>
      </rPr>
      <t>符号</t>
    </r>
  </si>
  <si>
    <r>
      <rPr>
        <b/>
        <sz val="11"/>
        <color rgb="FF000000"/>
        <rFont val="Meiryo UI"/>
        <family val="2"/>
      </rPr>
      <t>金額</t>
    </r>
  </si>
  <si>
    <r>
      <rPr>
        <b/>
        <sz val="11"/>
        <color rgb="FF000000"/>
        <rFont val="Meiryo UI"/>
        <family val="2"/>
      </rPr>
      <t>レジ内金額符号</t>
    </r>
  </si>
  <si>
    <r>
      <rPr>
        <b/>
        <sz val="11"/>
        <color rgb="FF000000"/>
        <rFont val="Meiryo UI"/>
        <family val="2"/>
      </rPr>
      <t>あるべき現金有高</t>
    </r>
  </si>
  <si>
    <r>
      <rPr>
        <b/>
        <sz val="11"/>
        <color rgb="FF000000"/>
        <rFont val="Meiryo UI"/>
        <family val="2"/>
      </rPr>
      <t>差額</t>
    </r>
  </si>
  <si>
    <r>
      <rPr>
        <b/>
        <sz val="11"/>
        <color rgb="FF000000"/>
        <rFont val="Meiryo UI"/>
        <family val="2"/>
      </rPr>
      <t>訂正額</t>
    </r>
  </si>
  <si>
    <r>
      <rPr>
        <sz val="11"/>
        <color rgb="FF000000"/>
        <rFont val="Meiryo UI"/>
        <family val="2"/>
      </rPr>
      <t>01</t>
    </r>
  </si>
  <si>
    <r>
      <rPr>
        <sz val="11"/>
        <color rgb="FF000000"/>
        <rFont val="Meiryo UI"/>
        <family val="2"/>
      </rPr>
      <t>売上8％</t>
    </r>
  </si>
  <si>
    <t>+</t>
  </si>
  <si>
    <r>
      <rPr>
        <sz val="11"/>
        <color rgb="FF000000"/>
        <rFont val="Meiryo UI"/>
        <family val="2"/>
      </rPr>
      <t>08</t>
    </r>
  </si>
  <si>
    <r>
      <rPr>
        <sz val="11"/>
        <color rgb="FF000000"/>
        <rFont val="Meiryo UI"/>
        <family val="2"/>
      </rPr>
      <t>売上10％</t>
    </r>
  </si>
  <si>
    <r>
      <rPr>
        <sz val="11"/>
        <color rgb="FF000000"/>
        <rFont val="Meiryo UI"/>
        <family val="2"/>
      </rPr>
      <t>12</t>
    </r>
  </si>
  <si>
    <r>
      <rPr>
        <sz val="11"/>
        <color rgb="FF000000"/>
        <rFont val="Meiryo UI"/>
        <family val="2"/>
      </rPr>
      <t>非課税売上</t>
    </r>
  </si>
  <si>
    <r>
      <rPr>
        <sz val="11"/>
        <color rgb="FF000000"/>
        <rFont val="Meiryo UI"/>
        <family val="2"/>
      </rPr>
      <t>03</t>
    </r>
  </si>
  <si>
    <r>
      <rPr>
        <sz val="11"/>
        <color rgb="FF000000"/>
        <rFont val="Meiryo UI"/>
        <family val="2"/>
      </rPr>
      <t>WAON現金チャージ</t>
    </r>
  </si>
  <si>
    <r>
      <rPr>
        <sz val="11"/>
        <color rgb="FF000000"/>
        <rFont val="Meiryo UI"/>
        <family val="2"/>
      </rPr>
      <t>44</t>
    </r>
  </si>
  <si>
    <r>
      <rPr>
        <sz val="11"/>
        <color rgb="FF000000"/>
        <rFont val="Meiryo UI"/>
        <family val="2"/>
      </rPr>
      <t>02</t>
    </r>
  </si>
  <si>
    <r>
      <rPr>
        <sz val="11"/>
        <color rgb="FF000000"/>
        <rFont val="Meiryo UI"/>
        <family val="2"/>
      </rPr>
      <t>《レジ》釣銭準備金</t>
    </r>
  </si>
  <si>
    <r>
      <rPr>
        <sz val="11"/>
        <color rgb="FF000000"/>
        <rFont val="Meiryo UI"/>
        <family val="2"/>
      </rPr>
      <t>04</t>
    </r>
  </si>
  <si>
    <r>
      <rPr>
        <sz val="11"/>
        <color rgb="FF000000"/>
        <rFont val="Meiryo UI"/>
        <family val="2"/>
      </rPr>
      <t>商品券発行千円</t>
    </r>
  </si>
  <si>
    <r>
      <rPr>
        <sz val="11"/>
        <color rgb="FF000000"/>
        <rFont val="Meiryo UI"/>
        <family val="2"/>
      </rPr>
      <t xml:space="preserve">10 </t>
    </r>
  </si>
  <si>
    <r>
      <rPr>
        <sz val="11"/>
        <color rgb="FF000000"/>
        <rFont val="Meiryo UI"/>
        <family val="2"/>
      </rPr>
      <t>商品券発行五百円</t>
    </r>
  </si>
  <si>
    <r>
      <rPr>
        <sz val="11"/>
        <color rgb="FF000000"/>
        <rFont val="Meiryo UI"/>
        <family val="2"/>
      </rPr>
      <t>06</t>
    </r>
  </si>
  <si>
    <r>
      <rPr>
        <sz val="11"/>
        <color rgb="FF000000"/>
        <rFont val="Meiryo UI"/>
        <family val="2"/>
      </rPr>
      <t>配送料（カスミ便）</t>
    </r>
  </si>
  <si>
    <r>
      <rPr>
        <sz val="11"/>
        <color rgb="FF000000"/>
        <rFont val="Meiryo UI"/>
        <family val="2"/>
      </rPr>
      <t>05</t>
    </r>
  </si>
  <si>
    <r>
      <rPr>
        <sz val="11"/>
        <color rgb="FF000000"/>
        <rFont val="Meiryo UI"/>
        <family val="2"/>
      </rPr>
      <t>11</t>
    </r>
  </si>
  <si>
    <r>
      <rPr>
        <sz val="11"/>
        <color rgb="FF000000"/>
        <rFont val="Meiryo UI"/>
        <family val="2"/>
      </rPr>
      <t>WAONカード販売（内税）</t>
    </r>
  </si>
  <si>
    <r>
      <rPr>
        <sz val="11"/>
        <color rgb="FF000000"/>
        <rFont val="Meiryo UI"/>
        <family val="2"/>
      </rPr>
      <t>07</t>
    </r>
  </si>
  <si>
    <r>
      <rPr>
        <sz val="11"/>
        <color rgb="FF000000"/>
        <rFont val="Meiryo UI"/>
        <family val="2"/>
      </rPr>
      <t>仮受消費税8％</t>
    </r>
  </si>
  <si>
    <r>
      <rPr>
        <sz val="11"/>
        <color rgb="FF000000"/>
        <rFont val="Meiryo UI"/>
        <family val="2"/>
      </rPr>
      <t>09</t>
    </r>
  </si>
  <si>
    <r>
      <rPr>
        <sz val="11"/>
        <color rgb="FF000000"/>
        <rFont val="Meiryo UI"/>
        <family val="2"/>
      </rPr>
      <t>仮受消費税10％</t>
    </r>
  </si>
  <si>
    <r>
      <rPr>
        <sz val="11"/>
        <color rgb="FF000000"/>
        <rFont val="Meiryo UI"/>
        <family val="2"/>
      </rPr>
      <t>17</t>
    </r>
  </si>
  <si>
    <r>
      <rPr>
        <sz val="11"/>
        <color rgb="FF000000"/>
        <rFont val="Meiryo UI"/>
        <family val="2"/>
      </rPr>
      <t>レジ預金</t>
    </r>
  </si>
  <si>
    <r>
      <rPr>
        <sz val="11"/>
        <color rgb="FF000000"/>
        <rFont val="Meiryo UI"/>
        <family val="2"/>
      </rPr>
      <t>23</t>
    </r>
  </si>
  <si>
    <r>
      <rPr>
        <sz val="11"/>
        <color rgb="FF000000"/>
        <rFont val="Meiryo UI"/>
        <family val="2"/>
      </rPr>
      <t xml:space="preserve">24 </t>
    </r>
  </si>
  <si>
    <r>
      <rPr>
        <sz val="11"/>
        <color rgb="FF000000"/>
        <rFont val="Meiryo UI"/>
        <family val="2"/>
      </rPr>
      <t>カスミ商品券千円回収</t>
    </r>
  </si>
  <si>
    <t>-</t>
  </si>
  <si>
    <r>
      <rPr>
        <sz val="11"/>
        <color rgb="FF000000"/>
        <rFont val="Meiryo UI"/>
        <family val="2"/>
      </rPr>
      <t xml:space="preserve">18 </t>
    </r>
  </si>
  <si>
    <r>
      <rPr>
        <sz val="11"/>
        <color rgb="FF000000"/>
        <rFont val="Meiryo UI"/>
        <family val="2"/>
      </rPr>
      <t>カスミ商品券五百円回収</t>
    </r>
  </si>
  <si>
    <r>
      <rPr>
        <sz val="11"/>
        <color rgb="FF000000"/>
        <rFont val="Meiryo UI"/>
        <family val="2"/>
      </rPr>
      <t xml:space="preserve">20 </t>
    </r>
  </si>
  <si>
    <r>
      <rPr>
        <sz val="11"/>
        <color rgb="FF000000"/>
        <rFont val="Meiryo UI"/>
        <family val="2"/>
      </rPr>
      <t>16</t>
    </r>
  </si>
  <si>
    <r>
      <rPr>
        <sz val="11"/>
        <color rgb="FF000000"/>
        <rFont val="Meiryo UI"/>
        <family val="2"/>
      </rPr>
      <t>古紙ﾘｻｲｸﾙ</t>
    </r>
  </si>
  <si>
    <r>
      <rPr>
        <sz val="11"/>
        <color rgb="FF000000"/>
        <rFont val="Meiryo UI"/>
        <family val="2"/>
      </rPr>
      <t xml:space="preserve">22 </t>
    </r>
  </si>
  <si>
    <r>
      <rPr>
        <sz val="11"/>
        <color rgb="FF000000"/>
        <rFont val="Meiryo UI"/>
        <family val="2"/>
      </rPr>
      <t>株主優待券回収</t>
    </r>
  </si>
  <si>
    <r>
      <rPr>
        <sz val="11"/>
        <color rgb="FF000000"/>
        <rFont val="Meiryo UI"/>
        <family val="2"/>
      </rPr>
      <t xml:space="preserve">21 </t>
    </r>
  </si>
  <si>
    <r>
      <rPr>
        <sz val="11"/>
        <color rgb="FF000000"/>
        <rFont val="Meiryo UI"/>
        <family val="2"/>
      </rPr>
      <t xml:space="preserve">19 </t>
    </r>
  </si>
  <si>
    <r>
      <rPr>
        <sz val="11"/>
        <color rgb="FF000000"/>
        <rFont val="Meiryo UI"/>
        <family val="2"/>
      </rPr>
      <t>ギフト券回収</t>
    </r>
  </si>
  <si>
    <r>
      <rPr>
        <sz val="11"/>
        <color rgb="FF000000"/>
        <rFont val="Meiryo UI"/>
        <family val="2"/>
      </rPr>
      <t>26</t>
    </r>
  </si>
  <si>
    <r>
      <rPr>
        <sz val="11"/>
        <color rgb="FF000000"/>
        <rFont val="Meiryo UI"/>
        <family val="2"/>
      </rPr>
      <t>QR決済（アプリ）</t>
    </r>
  </si>
  <si>
    <r>
      <rPr>
        <sz val="11"/>
        <color rgb="FF000000"/>
        <rFont val="Meiryo UI"/>
        <family val="2"/>
      </rPr>
      <t>41</t>
    </r>
  </si>
  <si>
    <r>
      <rPr>
        <sz val="11"/>
        <color rgb="FF000000"/>
        <rFont val="Meiryo UI"/>
        <family val="2"/>
      </rPr>
      <t>QR決済（レジ）</t>
    </r>
  </si>
  <si>
    <r>
      <rPr>
        <sz val="11"/>
        <color rgb="FF000000"/>
        <rFont val="Meiryo UI"/>
        <family val="2"/>
      </rPr>
      <t xml:space="preserve">54 </t>
    </r>
  </si>
  <si>
    <r>
      <rPr>
        <sz val="11"/>
        <color rgb="FF000000"/>
        <rFont val="Meiryo UI"/>
        <family val="2"/>
      </rPr>
      <t>スマートPOSポイント</t>
    </r>
  </si>
  <si>
    <r>
      <rPr>
        <sz val="11"/>
        <color rgb="FF000000"/>
        <rFont val="Meiryo UI"/>
        <family val="2"/>
      </rPr>
      <t>45</t>
    </r>
  </si>
  <si>
    <r>
      <rPr>
        <sz val="11"/>
        <color rgb="FF000000"/>
        <rFont val="Meiryo UI"/>
        <family val="2"/>
      </rPr>
      <t>ignica money 支払</t>
    </r>
  </si>
  <si>
    <r>
      <rPr>
        <sz val="11"/>
        <color rgb="FF000000"/>
        <rFont val="Meiryo UI"/>
        <family val="2"/>
      </rPr>
      <t>46</t>
    </r>
  </si>
  <si>
    <r>
      <rPr>
        <sz val="11"/>
        <color rgb="FF000000"/>
        <rFont val="Meiryo UI"/>
        <family val="2"/>
      </rPr>
      <t>みんなの銀行</t>
    </r>
  </si>
  <si>
    <r>
      <rPr>
        <sz val="11"/>
        <color rgb="FF000000"/>
        <rFont val="Meiryo UI"/>
        <family val="2"/>
      </rPr>
      <t xml:space="preserve">55 </t>
    </r>
  </si>
  <si>
    <r>
      <rPr>
        <sz val="11"/>
        <color rgb="FF000000"/>
        <rFont val="Meiryo UI"/>
        <family val="2"/>
      </rPr>
      <t>メーカークーポン券回収</t>
    </r>
  </si>
  <si>
    <r>
      <rPr>
        <sz val="11"/>
        <color rgb="FF000000"/>
        <rFont val="Meiryo UI"/>
        <family val="2"/>
      </rPr>
      <t>14</t>
    </r>
  </si>
  <si>
    <r>
      <rPr>
        <sz val="11"/>
        <color rgb="FF000000"/>
        <rFont val="Meiryo UI"/>
        <family val="2"/>
      </rPr>
      <t>手書きクレジット（イオン）</t>
    </r>
  </si>
  <si>
    <r>
      <rPr>
        <sz val="11"/>
        <color rgb="FF000000"/>
        <rFont val="Meiryo UI"/>
        <family val="2"/>
      </rPr>
      <t xml:space="preserve">58 </t>
    </r>
  </si>
  <si>
    <r>
      <rPr>
        <sz val="11"/>
        <color rgb="FF000000"/>
        <rFont val="Meiryo UI"/>
        <family val="2"/>
      </rPr>
      <t>イオンクレジット</t>
    </r>
  </si>
  <si>
    <r>
      <rPr>
        <sz val="11"/>
        <color rgb="FF000000"/>
        <rFont val="Meiryo UI"/>
        <family val="2"/>
      </rPr>
      <t xml:space="preserve">40 </t>
    </r>
  </si>
  <si>
    <r>
      <rPr>
        <sz val="11"/>
        <color rgb="FF000000"/>
        <rFont val="Meiryo UI"/>
        <family val="2"/>
      </rPr>
      <t>常陽クレジット</t>
    </r>
  </si>
  <si>
    <r>
      <rPr>
        <sz val="11"/>
        <color rgb="FF000000"/>
        <rFont val="Meiryo UI"/>
        <family val="2"/>
      </rPr>
      <t xml:space="preserve">47 </t>
    </r>
  </si>
  <si>
    <r>
      <rPr>
        <sz val="11"/>
        <color rgb="FF000000"/>
        <rFont val="Meiryo UI"/>
        <family val="2"/>
      </rPr>
      <t>アメックスクレジット</t>
    </r>
  </si>
  <si>
    <r>
      <rPr>
        <sz val="11"/>
        <color rgb="FF000000"/>
        <rFont val="Meiryo UI"/>
        <family val="2"/>
      </rPr>
      <t>15</t>
    </r>
  </si>
  <si>
    <r>
      <rPr>
        <sz val="11"/>
        <color rgb="FF000000"/>
        <rFont val="Meiryo UI"/>
        <family val="2"/>
      </rPr>
      <t>ＷＡＯＮ</t>
    </r>
  </si>
  <si>
    <r>
      <rPr>
        <sz val="11"/>
        <color rgb="FF000000"/>
        <rFont val="Meiryo UI"/>
        <family val="2"/>
      </rPr>
      <t xml:space="preserve">25 </t>
    </r>
  </si>
  <si>
    <r>
      <rPr>
        <sz val="11"/>
        <color rgb="FF000000"/>
        <rFont val="Meiryo UI"/>
        <family val="2"/>
      </rPr>
      <t>オフＷＡＯＮ</t>
    </r>
  </si>
  <si>
    <r>
      <rPr>
        <sz val="11"/>
        <color rgb="FF000000"/>
        <rFont val="Meiryo UI"/>
        <family val="2"/>
      </rPr>
      <t>27</t>
    </r>
  </si>
  <si>
    <r>
      <rPr>
        <sz val="11"/>
        <color rgb="FF000000"/>
        <rFont val="Meiryo UI"/>
        <family val="2"/>
      </rPr>
      <t>◆あるべき現金有高◆</t>
    </r>
  </si>
  <si>
    <r>
      <rPr>
        <sz val="11"/>
        <color rgb="FF000000"/>
        <rFont val="Meiryo UI"/>
        <family val="2"/>
      </rPr>
      <t xml:space="preserve">28 </t>
    </r>
  </si>
  <si>
    <r>
      <rPr>
        <sz val="11"/>
        <color rgb="FF000000"/>
        <rFont val="Meiryo UI"/>
        <family val="2"/>
      </rPr>
      <t>《要入力》精算時現金在高</t>
    </r>
  </si>
  <si>
    <r>
      <rPr>
        <sz val="11"/>
        <color rgb="FF000000"/>
        <rFont val="Meiryo UI"/>
        <family val="2"/>
      </rPr>
      <t xml:space="preserve">36 </t>
    </r>
  </si>
  <si>
    <r>
      <rPr>
        <sz val="11"/>
        <color rgb="FF000000"/>
        <rFont val="Meiryo UI"/>
        <family val="2"/>
      </rPr>
      <t>収入印紙２００円</t>
    </r>
  </si>
  <si>
    <r>
      <rPr>
        <sz val="11"/>
        <color rgb="FF000000"/>
        <rFont val="Meiryo UI"/>
        <family val="2"/>
      </rPr>
      <t xml:space="preserve">37 </t>
    </r>
  </si>
  <si>
    <r>
      <rPr>
        <sz val="11"/>
        <color rgb="FF000000"/>
        <rFont val="Meiryo UI"/>
        <family val="2"/>
      </rPr>
      <t>収入印紙４００円</t>
    </r>
  </si>
  <si>
    <r>
      <rPr>
        <sz val="11"/>
        <color rgb="FF000000"/>
        <rFont val="Meiryo UI"/>
        <family val="2"/>
      </rPr>
      <t xml:space="preserve">38 </t>
    </r>
  </si>
  <si>
    <r>
      <rPr>
        <sz val="11"/>
        <color rgb="FF000000"/>
        <rFont val="Meiryo UI"/>
        <family val="2"/>
      </rPr>
      <t>収入印紙６００円</t>
    </r>
  </si>
  <si>
    <r>
      <rPr>
        <sz val="11"/>
        <color rgb="FF000000"/>
        <rFont val="Meiryo UI"/>
        <family val="2"/>
      </rPr>
      <t>13</t>
    </r>
  </si>
  <si>
    <r>
      <rPr>
        <sz val="11"/>
        <color rgb="FF000000"/>
        <rFont val="Meiryo UI"/>
        <family val="2"/>
      </rPr>
      <t>売掛</t>
    </r>
  </si>
  <si>
    <t>AnhDD</t>
  </si>
  <si>
    <t>レジ精算実</t>
  </si>
  <si>
    <t>・精算テナント情報を追加する
2024年9月12日のコメントによる更新</t>
  </si>
  <si>
    <r>
      <t>・</t>
    </r>
    <r>
      <rPr>
        <sz val="11"/>
        <color rgb="FF0000FF"/>
        <rFont val="Meiryo UI"/>
        <family val="2"/>
      </rPr>
      <t>つり銭準備金：オープン時に用意しておくつり銭用のお金。</t>
    </r>
  </si>
  <si>
    <t>配送料（カスミ）：委託料金</t>
  </si>
  <si>
    <t>配送料：ヤマト代行</t>
  </si>
  <si>
    <t>WAONカード発行売上（内税）</t>
  </si>
  <si>
    <t>WAONカード販売(内税)</t>
  </si>
  <si>
    <t>・NO16の手金総額</t>
  </si>
  <si>
    <t>得意先などに使用。代金の後払い。</t>
  </si>
  <si>
    <t>-売掛金</t>
  </si>
  <si>
    <t>・WAON決済ＯＫでレジ側がNGの場合レジに決済金額登録</t>
  </si>
  <si>
    <r>
      <t xml:space="preserve">・クレジットカードからの支払い金額
  +/ イオンカード、VISA、master
  +/ JCB、ダイナース
  +/ AMEX
</t>
    </r>
    <r>
      <rPr>
        <sz val="11"/>
        <color rgb="FF0000FF"/>
        <rFont val="Meiryo UI"/>
        <family val="2"/>
      </rPr>
      <t>・(190レジ：スマートPOS）＋（421レジ：ネットスーパー）のクレジット支払</t>
    </r>
  </si>
  <si>
    <r>
      <rPr>
        <sz val="11"/>
        <color rgb="FF0000FF"/>
        <rFont val="Meiryo UI"/>
        <family val="2"/>
      </rPr>
      <t>・お客様から返品の申し出があった場合返品、数量訂正。</t>
    </r>
  </si>
  <si>
    <t>古紙リサイクル券</t>
  </si>
  <si>
    <t>・古紙リサイクル券</t>
  </si>
  <si>
    <t>さくらもーる商品券</t>
  </si>
  <si>
    <t>クーポン券</t>
  </si>
  <si>
    <t>・クーポン券</t>
  </si>
  <si>
    <t>カスミ管理外レジ</t>
  </si>
  <si>
    <r>
      <t xml:space="preserve">・訂正前の表示データ
  　‣精算時の上記項目の合計金額: NO1+NO2+NO3+NO4+NO5+NO6-NO15-NO17-NO18-NO19-NO20-NO21+NO22-NO24-NO32-NO36-NO37-NO38
・訂正後項目では、入金機レポートに入金合計を入力できる。
</t>
    </r>
    <r>
      <rPr>
        <sz val="11"/>
        <color rgb="FF0000FF"/>
        <rFont val="Meiryo UI"/>
        <family val="2"/>
      </rPr>
      <t>・入力項目（初期値：０）　</t>
    </r>
  </si>
  <si>
    <r>
      <rPr>
        <sz val="11"/>
        <color rgb="FF0000FF"/>
        <rFont val="Meiryo UI"/>
        <family val="2"/>
      </rPr>
      <t>・「カスミ管理レジ」は項目ではなく、レジマスタ設定画面で管理する。
レジ精算画面も通常入力する。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</si>
</sst>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b/>
      <sz val="11"/>
      <name val="Meiryo UI"/>
      <family val="2"/>
    </font>
    <font>
      <sz val="11"/>
      <color rgb="FFFF0000"/>
      <name val="Meiryo UI"/>
      <family val="2"/>
    </font>
    <font>
      <sz val="11"/>
      <color rgb="FF00B050"/>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00FF"/>
      <name val="Meiryo UI"/>
      <family val="3"/>
      <charset val="128"/>
    </font>
    <font>
      <sz val="11"/>
      <color theme="1"/>
      <name val="Meiryo UI"/>
      <family val="3"/>
      <charset val="128"/>
    </font>
    <font>
      <sz val="11"/>
      <color rgb="FF0000FF"/>
      <name val="Meiryo UI"/>
      <family val="2"/>
    </font>
    <font>
      <strike/>
      <sz val="11"/>
      <color rgb="FF0000FF"/>
      <name val="Meiryo UI"/>
      <family val="2"/>
    </font>
  </fonts>
  <fills count="10">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
      <patternFill patternType="solid">
        <fgColor theme="5" tint="0.59996337778862885"/>
        <bgColor indexed="64"/>
      </patternFill>
    </fill>
    <fill>
      <patternFill patternType="solid">
        <fgColor theme="7" tint="0.79995117038483843"/>
        <bgColor indexed="64"/>
      </patternFill>
    </fill>
  </fills>
  <borders count="6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3" fillId="0" borderId="0">
      <alignment vertical="center"/>
    </xf>
  </cellStyleXfs>
  <cellXfs count="42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3" fillId="0" borderId="1" xfId="7" applyBorder="1">
      <alignment vertical="center"/>
    </xf>
    <xf numFmtId="0" fontId="13" fillId="0" borderId="0" xfId="7">
      <alignment vertical="center"/>
    </xf>
    <xf numFmtId="0" fontId="13" fillId="0" borderId="4" xfId="7" applyBorder="1">
      <alignment vertical="center"/>
    </xf>
    <xf numFmtId="0" fontId="13" fillId="0" borderId="2" xfId="7" applyBorder="1">
      <alignment vertical="center"/>
    </xf>
    <xf numFmtId="0" fontId="13" fillId="0" borderId="3" xfId="7" applyBorder="1">
      <alignment vertical="center"/>
    </xf>
    <xf numFmtId="0" fontId="13" fillId="0" borderId="5" xfId="7" applyBorder="1">
      <alignment vertical="center"/>
    </xf>
    <xf numFmtId="0" fontId="0" fillId="0" borderId="0" xfId="0" quotePrefix="1"/>
    <xf numFmtId="0" fontId="9" fillId="0" borderId="18" xfId="0" applyFont="1" applyBorder="1"/>
    <xf numFmtId="0" fontId="18" fillId="0" borderId="0" xfId="0" applyFont="1"/>
    <xf numFmtId="0" fontId="18" fillId="0" borderId="2" xfId="0" applyFont="1" applyBorder="1"/>
    <xf numFmtId="0" fontId="18" fillId="0" borderId="3" xfId="0" applyFont="1" applyBorder="1"/>
    <xf numFmtId="0" fontId="18" fillId="0" borderId="5" xfId="0" applyFont="1" applyBorder="1"/>
    <xf numFmtId="0" fontId="18" fillId="0" borderId="1" xfId="0" applyFont="1" applyBorder="1"/>
    <xf numFmtId="0" fontId="18" fillId="0" borderId="4" xfId="0" applyFont="1" applyBorder="1"/>
    <xf numFmtId="0" fontId="18" fillId="0" borderId="7" xfId="0" applyFont="1" applyBorder="1"/>
    <xf numFmtId="0" fontId="18" fillId="0" borderId="8" xfId="0" applyFont="1" applyBorder="1"/>
    <xf numFmtId="0" fontId="18" fillId="0" borderId="11" xfId="0" applyFont="1" applyBorder="1"/>
    <xf numFmtId="0" fontId="18" fillId="0" borderId="6" xfId="0" applyFont="1" applyBorder="1"/>
    <xf numFmtId="0" fontId="18" fillId="0" borderId="12" xfId="0" applyFont="1" applyBorder="1"/>
    <xf numFmtId="0" fontId="18" fillId="0" borderId="14" xfId="0" applyFont="1" applyBorder="1"/>
    <xf numFmtId="0" fontId="18" fillId="0" borderId="15" xfId="0" applyFont="1" applyBorder="1"/>
    <xf numFmtId="0" fontId="18" fillId="0" borderId="9" xfId="0" applyFont="1" applyBorder="1"/>
    <xf numFmtId="0" fontId="18" fillId="0" borderId="10" xfId="0" applyFont="1" applyBorder="1"/>
    <xf numFmtId="0" fontId="18" fillId="0" borderId="13"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5" fillId="2" borderId="0" xfId="0" applyFont="1" applyFill="1" applyAlignment="1">
      <alignment vertical="center"/>
    </xf>
    <xf numFmtId="0" fontId="14" fillId="2" borderId="16" xfId="0" applyFont="1" applyFill="1" applyBorder="1" applyAlignment="1">
      <alignment vertical="center"/>
    </xf>
    <xf numFmtId="0" fontId="14" fillId="2" borderId="0" xfId="0" applyFont="1" applyFill="1" applyAlignment="1">
      <alignment vertical="center"/>
    </xf>
    <xf numFmtId="0" fontId="14" fillId="2" borderId="17" xfId="0" applyFont="1" applyFill="1" applyBorder="1" applyAlignment="1">
      <alignment vertical="center"/>
    </xf>
    <xf numFmtId="0" fontId="18" fillId="0" borderId="18" xfId="0" applyFont="1" applyBorder="1"/>
    <xf numFmtId="0" fontId="18" fillId="0" borderId="19" xfId="7" applyFont="1" applyBorder="1">
      <alignment vertical="center"/>
    </xf>
    <xf numFmtId="0" fontId="18" fillId="0" borderId="19" xfId="0" applyFont="1" applyBorder="1"/>
    <xf numFmtId="0" fontId="18" fillId="3" borderId="18" xfId="7" applyFont="1" applyFill="1" applyBorder="1">
      <alignment vertical="center"/>
    </xf>
    <xf numFmtId="0" fontId="18" fillId="3" borderId="0" xfId="7" applyFont="1" applyFill="1">
      <alignment vertical="center"/>
    </xf>
    <xf numFmtId="0" fontId="18" fillId="3" borderId="19" xfId="7" applyFont="1" applyFill="1" applyBorder="1">
      <alignment vertical="center"/>
    </xf>
    <xf numFmtId="0" fontId="18" fillId="0" borderId="1" xfId="7" applyFont="1" applyBorder="1">
      <alignment vertical="center"/>
    </xf>
    <xf numFmtId="0" fontId="18" fillId="0" borderId="0" xfId="7" applyFont="1">
      <alignment vertical="center"/>
    </xf>
    <xf numFmtId="0" fontId="18" fillId="0" borderId="18" xfId="7" applyFont="1" applyBorder="1">
      <alignment vertical="center"/>
    </xf>
    <xf numFmtId="0" fontId="18" fillId="0" borderId="4" xfId="7" applyFont="1" applyBorder="1">
      <alignment vertical="center"/>
    </xf>
    <xf numFmtId="0" fontId="18" fillId="0" borderId="2" xfId="7" applyFont="1" applyBorder="1">
      <alignment vertical="center"/>
    </xf>
    <xf numFmtId="0" fontId="18" fillId="0" borderId="20" xfId="7" applyFont="1" applyBorder="1">
      <alignment vertical="center"/>
    </xf>
    <xf numFmtId="0" fontId="18" fillId="0" borderId="3" xfId="7" applyFont="1" applyBorder="1">
      <alignment vertical="center"/>
    </xf>
    <xf numFmtId="0" fontId="18" fillId="0" borderId="21" xfId="7" applyFont="1" applyBorder="1">
      <alignment vertical="center"/>
    </xf>
    <xf numFmtId="0" fontId="18" fillId="0" borderId="5" xfId="7" applyFont="1" applyBorder="1">
      <alignment vertical="center"/>
    </xf>
    <xf numFmtId="0" fontId="18" fillId="0" borderId="0" xfId="0" quotePrefix="1" applyFont="1"/>
    <xf numFmtId="0" fontId="18" fillId="0" borderId="20" xfId="0" applyFont="1" applyBorder="1"/>
    <xf numFmtId="0" fontId="18" fillId="0" borderId="21" xfId="0" applyFont="1" applyBorder="1"/>
    <xf numFmtId="0" fontId="18" fillId="0" borderId="0" xfId="6" applyFont="1" applyAlignment="1">
      <alignment vertical="center"/>
    </xf>
    <xf numFmtId="0" fontId="6" fillId="0" borderId="0" xfId="0" applyFont="1"/>
    <xf numFmtId="0" fontId="6" fillId="0" borderId="0" xfId="0" quotePrefix="1" applyFont="1"/>
    <xf numFmtId="0" fontId="6" fillId="0" borderId="0" xfId="7" applyFont="1">
      <alignment vertical="center"/>
    </xf>
    <xf numFmtId="0" fontId="6" fillId="0" borderId="18" xfId="0" applyFont="1" applyBorder="1"/>
    <xf numFmtId="0" fontId="21" fillId="0" borderId="0" xfId="0" applyFont="1"/>
    <xf numFmtId="0" fontId="0" fillId="0" borderId="18" xfId="0" applyBorder="1"/>
    <xf numFmtId="0" fontId="13" fillId="0" borderId="19" xfId="7" applyBorder="1">
      <alignment vertical="center"/>
    </xf>
    <xf numFmtId="0" fontId="13" fillId="0" borderId="18" xfId="7" applyBorder="1">
      <alignment vertical="center"/>
    </xf>
    <xf numFmtId="0" fontId="22" fillId="0" borderId="0" xfId="0" applyFont="1"/>
    <xf numFmtId="0" fontId="22" fillId="0" borderId="0" xfId="7" applyFont="1">
      <alignment vertical="center"/>
    </xf>
    <xf numFmtId="0" fontId="23" fillId="0" borderId="1" xfId="0" applyFont="1" applyBorder="1"/>
    <xf numFmtId="0" fontId="23" fillId="0" borderId="0" xfId="0" applyFont="1"/>
    <xf numFmtId="0" fontId="23" fillId="0" borderId="19" xfId="0" applyFont="1" applyBorder="1"/>
    <xf numFmtId="0" fontId="14" fillId="2" borderId="30" xfId="0" applyFont="1" applyFill="1" applyBorder="1" applyAlignment="1">
      <alignment horizontal="center" vertical="center"/>
    </xf>
    <xf numFmtId="0" fontId="14" fillId="2" borderId="31" xfId="0" applyFont="1" applyFill="1" applyBorder="1" applyAlignment="1">
      <alignment horizontal="center" vertical="center"/>
    </xf>
    <xf numFmtId="0" fontId="14" fillId="2" borderId="32" xfId="0" applyFont="1" applyFill="1" applyBorder="1" applyAlignment="1">
      <alignment horizontal="center" vertical="center"/>
    </xf>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8" fillId="0" borderId="29"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7" fillId="0" borderId="27" xfId="0" applyFont="1" applyBorder="1" applyAlignment="1">
      <alignment horizontal="center" vertical="center"/>
    </xf>
    <xf numFmtId="0" fontId="16" fillId="0" borderId="27"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2" fontId="18" fillId="0" borderId="27" xfId="0" applyNumberFormat="1" applyFont="1" applyBorder="1" applyAlignment="1">
      <alignment horizontal="center" vertical="center"/>
    </xf>
    <xf numFmtId="2" fontId="18" fillId="0" borderId="28" xfId="0" applyNumberFormat="1" applyFont="1" applyBorder="1" applyAlignment="1">
      <alignment horizontal="center" vertical="center"/>
    </xf>
    <xf numFmtId="2" fontId="18" fillId="0" borderId="29" xfId="0" applyNumberFormat="1" applyFont="1" applyBorder="1" applyAlignment="1">
      <alignment horizontal="center" vertical="center"/>
    </xf>
    <xf numFmtId="2" fontId="18" fillId="0" borderId="2" xfId="0" applyNumberFormat="1" applyFont="1" applyBorder="1" applyAlignment="1">
      <alignment horizontal="center" vertical="center"/>
    </xf>
    <xf numFmtId="2" fontId="18" fillId="0" borderId="3" xfId="0" applyNumberFormat="1" applyFont="1" applyBorder="1" applyAlignment="1">
      <alignment horizontal="center" vertical="center"/>
    </xf>
    <xf numFmtId="2" fontId="18" fillId="0" borderId="5" xfId="0" applyNumberFormat="1" applyFont="1" applyBorder="1" applyAlignment="1">
      <alignment horizontal="center" vertical="center"/>
    </xf>
    <xf numFmtId="14" fontId="18" fillId="0" borderId="27" xfId="0" applyNumberFormat="1" applyFont="1" applyBorder="1" applyAlignment="1">
      <alignment horizontal="center" vertical="center"/>
    </xf>
    <xf numFmtId="14" fontId="18" fillId="0" borderId="28" xfId="0" applyNumberFormat="1" applyFont="1" applyBorder="1" applyAlignment="1">
      <alignment horizontal="center" vertical="center"/>
    </xf>
    <xf numFmtId="14" fontId="18" fillId="0" borderId="29" xfId="0" applyNumberFormat="1" applyFont="1" applyBorder="1" applyAlignment="1">
      <alignment horizontal="center" vertical="center"/>
    </xf>
    <xf numFmtId="14" fontId="18" fillId="0" borderId="2" xfId="0" applyNumberFormat="1" applyFont="1" applyBorder="1" applyAlignment="1">
      <alignment horizontal="center" vertical="center"/>
    </xf>
    <xf numFmtId="14" fontId="18" fillId="0" borderId="3" xfId="0" applyNumberFormat="1" applyFont="1" applyBorder="1" applyAlignment="1">
      <alignment horizontal="center" vertical="center"/>
    </xf>
    <xf numFmtId="14" fontId="18" fillId="0" borderId="5" xfId="0" applyNumberFormat="1"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18" fillId="0" borderId="1" xfId="0" applyFont="1" applyBorder="1" applyAlignment="1">
      <alignment horizontal="center" vertical="center"/>
    </xf>
    <xf numFmtId="0" fontId="18" fillId="0" borderId="0" xfId="0" applyFont="1" applyAlignment="1">
      <alignment horizontal="center" vertical="center"/>
    </xf>
    <xf numFmtId="0" fontId="18" fillId="0" borderId="4" xfId="0" applyFont="1" applyBorder="1" applyAlignment="1">
      <alignment horizontal="center" vertical="center"/>
    </xf>
    <xf numFmtId="0" fontId="14" fillId="2" borderId="27"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29"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14" fontId="6" fillId="0" borderId="27" xfId="0" applyNumberFormat="1"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27" xfId="0" applyFont="1" applyBorder="1" applyAlignment="1">
      <alignment horizontal="center" vertical="center"/>
    </xf>
    <xf numFmtId="0" fontId="6" fillId="0" borderId="33" xfId="0" applyFont="1" applyBorder="1"/>
    <xf numFmtId="0" fontId="6" fillId="0" borderId="34" xfId="0" applyFont="1" applyBorder="1"/>
    <xf numFmtId="0" fontId="6" fillId="0" borderId="22" xfId="0" applyFont="1" applyBorder="1"/>
    <xf numFmtId="0" fontId="11" fillId="0" borderId="28" xfId="0" applyFont="1" applyBorder="1"/>
    <xf numFmtId="0" fontId="11" fillId="0" borderId="29" xfId="0" applyFont="1" applyBorder="1"/>
    <xf numFmtId="0" fontId="11" fillId="0" borderId="3" xfId="0" applyFont="1" applyBorder="1"/>
    <xf numFmtId="0" fontId="11" fillId="0" borderId="5" xfId="0" applyFont="1" applyBorder="1"/>
    <xf numFmtId="0" fontId="18" fillId="0" borderId="27" xfId="0" applyFont="1" applyBorder="1"/>
    <xf numFmtId="0" fontId="18" fillId="0" borderId="28" xfId="0" applyFont="1" applyBorder="1"/>
    <xf numFmtId="0" fontId="18" fillId="0" borderId="29" xfId="0" applyFont="1" applyBorder="1"/>
    <xf numFmtId="0" fontId="18" fillId="0" borderId="2" xfId="0" applyFont="1" applyBorder="1"/>
    <xf numFmtId="0" fontId="18" fillId="0" borderId="3" xfId="0" applyFont="1" applyBorder="1"/>
    <xf numFmtId="0" fontId="18" fillId="0" borderId="5" xfId="0" applyFont="1" applyBorder="1"/>
    <xf numFmtId="0" fontId="6" fillId="0" borderId="35" xfId="0" applyFont="1" applyBorder="1"/>
    <xf numFmtId="0" fontId="6" fillId="0" borderId="36" xfId="0" applyFont="1" applyBorder="1"/>
    <xf numFmtId="0" fontId="6" fillId="0" borderId="37" xfId="0" applyFont="1" applyBorder="1"/>
    <xf numFmtId="0" fontId="14" fillId="2" borderId="0" xfId="0" applyFont="1" applyFill="1"/>
    <xf numFmtId="14"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0" fontId="22" fillId="0" borderId="29"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22" fillId="0" borderId="27" xfId="0" applyFont="1" applyBorder="1" applyAlignment="1">
      <alignment horizontal="center" vertical="center"/>
    </xf>
    <xf numFmtId="0" fontId="22" fillId="0" borderId="33" xfId="0" applyFont="1" applyBorder="1"/>
    <xf numFmtId="0" fontId="22" fillId="0" borderId="34" xfId="0" applyFont="1" applyBorder="1"/>
    <xf numFmtId="0" fontId="22" fillId="0" borderId="22" xfId="0" applyFont="1" applyBorder="1"/>
    <xf numFmtId="0" fontId="22" fillId="0" borderId="35" xfId="0" applyFont="1" applyBorder="1"/>
    <xf numFmtId="0" fontId="22" fillId="0" borderId="36" xfId="0" applyFont="1" applyBorder="1"/>
    <xf numFmtId="0" fontId="22" fillId="0" borderId="37" xfId="0" applyFont="1" applyBorder="1"/>
    <xf numFmtId="0" fontId="11" fillId="0" borderId="27" xfId="0" applyFont="1" applyBorder="1"/>
    <xf numFmtId="0" fontId="11" fillId="0" borderId="2" xfId="0" applyFont="1" applyBorder="1"/>
    <xf numFmtId="0" fontId="10" fillId="0" borderId="28" xfId="0" applyFont="1" applyBorder="1"/>
    <xf numFmtId="0" fontId="10" fillId="0" borderId="29" xfId="0" applyFont="1" applyBorder="1"/>
    <xf numFmtId="0" fontId="10" fillId="0" borderId="3" xfId="0" applyFont="1" applyBorder="1"/>
    <xf numFmtId="0" fontId="10" fillId="0" borderId="5" xfId="0" applyFont="1" applyBorder="1"/>
    <xf numFmtId="0" fontId="10" fillId="0" borderId="27" xfId="0" applyFont="1" applyBorder="1"/>
    <xf numFmtId="0" fontId="10" fillId="0" borderId="2" xfId="0" applyFont="1" applyBorder="1"/>
    <xf numFmtId="0" fontId="18" fillId="0" borderId="33" xfId="0" applyFont="1" applyBorder="1"/>
    <xf numFmtId="0" fontId="18" fillId="0" borderId="34" xfId="0" applyFont="1" applyBorder="1"/>
    <xf numFmtId="0" fontId="18" fillId="0" borderId="22" xfId="0" applyFont="1" applyBorder="1"/>
    <xf numFmtId="0" fontId="18" fillId="0" borderId="35" xfId="0" applyFont="1" applyBorder="1"/>
    <xf numFmtId="0" fontId="18" fillId="0" borderId="36" xfId="0" applyFont="1" applyBorder="1"/>
    <xf numFmtId="0" fontId="18" fillId="0" borderId="37" xfId="0" applyFont="1" applyBorder="1"/>
    <xf numFmtId="14" fontId="21" fillId="0" borderId="27" xfId="0" applyNumberFormat="1" applyFont="1" applyBorder="1" applyAlignment="1">
      <alignment horizontal="center" vertical="center"/>
    </xf>
    <xf numFmtId="0" fontId="21" fillId="0" borderId="28" xfId="0" applyFont="1" applyBorder="1" applyAlignment="1">
      <alignment horizontal="center" vertical="center"/>
    </xf>
    <xf numFmtId="0" fontId="21" fillId="0" borderId="29"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1" fillId="0" borderId="27" xfId="0" applyFont="1" applyBorder="1" applyAlignment="1">
      <alignment horizontal="center" vertical="center"/>
    </xf>
    <xf numFmtId="0" fontId="21" fillId="0" borderId="33" xfId="0" applyFont="1" applyBorder="1"/>
    <xf numFmtId="0" fontId="21" fillId="0" borderId="34" xfId="0" applyFont="1" applyBorder="1"/>
    <xf numFmtId="0" fontId="21" fillId="0" borderId="22" xfId="0" applyFont="1" applyBorder="1"/>
    <xf numFmtId="0" fontId="21" fillId="0" borderId="35" xfId="0" applyFont="1" applyBorder="1" applyAlignment="1">
      <alignment vertical="top" wrapText="1"/>
    </xf>
    <xf numFmtId="0" fontId="21" fillId="0" borderId="36" xfId="0" applyFont="1" applyBorder="1" applyAlignment="1">
      <alignment vertical="top"/>
    </xf>
    <xf numFmtId="0" fontId="21" fillId="0" borderId="37" xfId="0" applyFont="1" applyBorder="1" applyAlignment="1">
      <alignment vertical="top"/>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27" xfId="0" applyNumberFormat="1" applyBorder="1" applyAlignment="1">
      <alignment horizontal="center" vertical="center"/>
    </xf>
    <xf numFmtId="14" fontId="0" fillId="0" borderId="28" xfId="0" applyNumberFormat="1" applyBorder="1" applyAlignment="1">
      <alignment horizontal="center" vertical="center"/>
    </xf>
    <xf numFmtId="14" fontId="0" fillId="0" borderId="2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4" fillId="2" borderId="30" xfId="6" applyFont="1" applyFill="1" applyBorder="1" applyAlignment="1">
      <alignment horizontal="center" vertical="center"/>
    </xf>
    <xf numFmtId="0" fontId="14" fillId="2" borderId="31" xfId="6" applyFont="1" applyFill="1" applyBorder="1" applyAlignment="1">
      <alignment horizontal="center" vertical="center"/>
    </xf>
    <xf numFmtId="0" fontId="14" fillId="2" borderId="32" xfId="6" applyFont="1" applyFill="1"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7" fillId="0" borderId="30" xfId="6" applyFont="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6" fillId="0" borderId="27" xfId="6" applyFont="1" applyBorder="1" applyAlignment="1">
      <alignment horizontal="center" vertical="center"/>
    </xf>
    <xf numFmtId="0" fontId="16" fillId="0" borderId="28" xfId="6" applyFont="1" applyBorder="1" applyAlignment="1">
      <alignment horizontal="center" vertical="center"/>
    </xf>
    <xf numFmtId="0" fontId="16" fillId="0" borderId="29" xfId="6" applyFont="1" applyBorder="1" applyAlignment="1">
      <alignment horizontal="center" vertical="center"/>
    </xf>
    <xf numFmtId="0" fontId="16" fillId="0" borderId="1" xfId="6" applyFont="1" applyBorder="1" applyAlignment="1">
      <alignment horizontal="center" vertical="center"/>
    </xf>
    <xf numFmtId="0" fontId="16" fillId="0" borderId="0" xfId="6" applyFont="1" applyAlignment="1">
      <alignment horizontal="center" vertical="center"/>
    </xf>
    <xf numFmtId="0" fontId="16" fillId="0" borderId="4" xfId="6" applyFont="1" applyBorder="1" applyAlignment="1">
      <alignment horizontal="center" vertical="center"/>
    </xf>
    <xf numFmtId="0" fontId="16" fillId="0" borderId="2" xfId="6" applyFont="1" applyBorder="1" applyAlignment="1">
      <alignment horizontal="center" vertical="center"/>
    </xf>
    <xf numFmtId="0" fontId="16" fillId="0" borderId="3" xfId="6" applyFont="1" applyBorder="1" applyAlignment="1">
      <alignment horizontal="center" vertical="center"/>
    </xf>
    <xf numFmtId="0" fontId="16" fillId="0" borderId="5" xfId="6"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8" fillId="0" borderId="35" xfId="6" applyFont="1" applyBorder="1" applyAlignment="1">
      <alignment vertical="center"/>
    </xf>
    <xf numFmtId="0" fontId="18" fillId="0" borderId="36" xfId="6" applyFont="1" applyBorder="1" applyAlignment="1">
      <alignment vertical="center"/>
    </xf>
    <xf numFmtId="0" fontId="18"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43" xfId="6" quotePrefix="1" applyFont="1" applyBorder="1" applyAlignment="1">
      <alignment horizontal="center" vertical="center"/>
    </xf>
    <xf numFmtId="0" fontId="6" fillId="0" borderId="44" xfId="6" applyFont="1" applyBorder="1" applyAlignment="1">
      <alignment horizontal="center" vertical="center"/>
    </xf>
    <xf numFmtId="0" fontId="6" fillId="0" borderId="45" xfId="6" applyFont="1" applyBorder="1" applyAlignment="1">
      <alignment horizontal="center" vertical="center"/>
    </xf>
    <xf numFmtId="0" fontId="6" fillId="0" borderId="43" xfId="6" applyFont="1" applyBorder="1" applyAlignment="1">
      <alignment horizontal="center" vertical="center"/>
    </xf>
    <xf numFmtId="0" fontId="6" fillId="0" borderId="43" xfId="6" applyFont="1" applyBorder="1" applyAlignment="1">
      <alignment horizontal="left" vertical="center"/>
    </xf>
    <xf numFmtId="0" fontId="6" fillId="0" borderId="44" xfId="6" applyFont="1" applyBorder="1" applyAlignment="1">
      <alignment horizontal="left" vertical="center"/>
    </xf>
    <xf numFmtId="0" fontId="6" fillId="0" borderId="45" xfId="6" applyFont="1" applyBorder="1" applyAlignment="1">
      <alignment horizontal="left" vertical="center"/>
    </xf>
    <xf numFmtId="0" fontId="18" fillId="0" borderId="43" xfId="6" applyFont="1" applyBorder="1" applyAlignment="1">
      <alignment vertical="center"/>
    </xf>
    <xf numFmtId="0" fontId="18" fillId="0" borderId="44" xfId="6" applyFont="1" applyBorder="1" applyAlignment="1">
      <alignment vertical="center"/>
    </xf>
    <xf numFmtId="0" fontId="18" fillId="0" borderId="45" xfId="6" applyFont="1" applyBorder="1" applyAlignment="1">
      <alignment vertical="center"/>
    </xf>
    <xf numFmtId="0" fontId="18" fillId="0" borderId="46" xfId="6" applyFont="1" applyBorder="1" applyAlignment="1">
      <alignment vertical="center"/>
    </xf>
    <xf numFmtId="0" fontId="18" fillId="0" borderId="47" xfId="6" applyFont="1" applyBorder="1" applyAlignment="1">
      <alignment vertical="center"/>
    </xf>
    <xf numFmtId="0" fontId="18" fillId="0" borderId="48" xfId="6" applyFont="1" applyBorder="1" applyAlignment="1">
      <alignment vertical="center"/>
    </xf>
    <xf numFmtId="0" fontId="6" fillId="0" borderId="43" xfId="6" quotePrefix="1" applyFont="1" applyBorder="1" applyAlignment="1">
      <alignment vertical="center" wrapText="1"/>
    </xf>
    <xf numFmtId="0" fontId="6" fillId="0" borderId="44" xfId="6" quotePrefix="1" applyFont="1" applyBorder="1" applyAlignment="1">
      <alignment vertical="center" wrapText="1"/>
    </xf>
    <xf numFmtId="0" fontId="6" fillId="0" borderId="45" xfId="6" quotePrefix="1" applyFont="1" applyBorder="1" applyAlignment="1">
      <alignment vertical="center" wrapText="1"/>
    </xf>
    <xf numFmtId="0" fontId="6" fillId="0" borderId="43" xfId="6" applyFont="1" applyBorder="1" applyAlignment="1">
      <alignment vertical="center"/>
    </xf>
    <xf numFmtId="0" fontId="6" fillId="0" borderId="44" xfId="6" applyFont="1" applyBorder="1" applyAlignment="1">
      <alignment vertical="center"/>
    </xf>
    <xf numFmtId="0" fontId="6" fillId="0" borderId="45" xfId="6" applyFont="1" applyBorder="1" applyAlignment="1">
      <alignment vertical="center"/>
    </xf>
    <xf numFmtId="0" fontId="18" fillId="0" borderId="46" xfId="6" quotePrefix="1" applyFont="1" applyBorder="1" applyAlignment="1">
      <alignment vertical="center"/>
    </xf>
    <xf numFmtId="0" fontId="18" fillId="0" borderId="47" xfId="6" quotePrefix="1" applyFont="1" applyBorder="1" applyAlignment="1">
      <alignment vertical="center"/>
    </xf>
    <xf numFmtId="0" fontId="18" fillId="0" borderId="48" xfId="6" quotePrefix="1" applyFont="1" applyBorder="1" applyAlignment="1">
      <alignment vertical="center"/>
    </xf>
    <xf numFmtId="0" fontId="7" fillId="0" borderId="43" xfId="6" quotePrefix="1" applyFont="1" applyBorder="1" applyAlignment="1">
      <alignment horizontal="center" vertical="center" wrapText="1"/>
    </xf>
    <xf numFmtId="0" fontId="7" fillId="0" borderId="44" xfId="6" applyFont="1" applyBorder="1" applyAlignment="1">
      <alignment horizontal="center" vertical="center" wrapText="1"/>
    </xf>
    <xf numFmtId="0" fontId="7" fillId="0" borderId="45" xfId="6" applyFont="1" applyBorder="1" applyAlignment="1">
      <alignment horizontal="center" vertical="center" wrapText="1"/>
    </xf>
    <xf numFmtId="0" fontId="8" fillId="0" borderId="43" xfId="6" applyFont="1" applyBorder="1" applyAlignment="1">
      <alignment vertical="center" wrapText="1"/>
    </xf>
    <xf numFmtId="0" fontId="7" fillId="0" borderId="43" xfId="6" quotePrefix="1" applyFont="1" applyBorder="1" applyAlignment="1">
      <alignment horizontal="center" vertical="center"/>
    </xf>
    <xf numFmtId="0" fontId="7" fillId="0" borderId="44" xfId="6" applyFont="1" applyBorder="1" applyAlignment="1">
      <alignment horizontal="center" vertical="center"/>
    </xf>
    <xf numFmtId="0" fontId="7" fillId="0" borderId="45" xfId="6" applyFont="1" applyBorder="1" applyAlignment="1">
      <alignment horizontal="center" vertical="center"/>
    </xf>
    <xf numFmtId="0" fontId="7" fillId="0" borderId="43" xfId="6" applyFont="1" applyBorder="1" applyAlignment="1">
      <alignment horizontal="center" vertical="center"/>
    </xf>
    <xf numFmtId="0" fontId="6" fillId="0" borderId="43" xfId="6" quotePrefix="1" applyFont="1" applyBorder="1" applyAlignment="1">
      <alignment vertical="center"/>
    </xf>
    <xf numFmtId="0" fontId="6" fillId="0" borderId="44" xfId="6" quotePrefix="1" applyFont="1" applyBorder="1" applyAlignment="1">
      <alignment vertical="center"/>
    </xf>
    <xf numFmtId="0" fontId="6" fillId="0" borderId="45"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7" fillId="5" borderId="30" xfId="6" applyFont="1" applyFill="1" applyBorder="1" applyAlignment="1">
      <alignment vertical="center"/>
    </xf>
    <xf numFmtId="0" fontId="6" fillId="5" borderId="31" xfId="6" applyFont="1" applyFill="1" applyBorder="1" applyAlignment="1">
      <alignment vertical="center"/>
    </xf>
    <xf numFmtId="0" fontId="6" fillId="5" borderId="32" xfId="6" applyFont="1" applyFill="1" applyBorder="1" applyAlignment="1">
      <alignment vertical="center"/>
    </xf>
    <xf numFmtId="0" fontId="7" fillId="7" borderId="27" xfId="6" applyFont="1" applyFill="1" applyBorder="1" applyAlignment="1">
      <alignment vertical="center"/>
    </xf>
    <xf numFmtId="0" fontId="6" fillId="7" borderId="28" xfId="6" applyFont="1" applyFill="1" applyBorder="1" applyAlignment="1">
      <alignment vertical="center"/>
    </xf>
    <xf numFmtId="0" fontId="6" fillId="7" borderId="29" xfId="6" applyFont="1" applyFill="1" applyBorder="1" applyAlignment="1">
      <alignment vertical="center"/>
    </xf>
    <xf numFmtId="0" fontId="6" fillId="7" borderId="1" xfId="6" applyFont="1" applyFill="1" applyBorder="1" applyAlignment="1">
      <alignment vertical="center"/>
    </xf>
    <xf numFmtId="0" fontId="6" fillId="7" borderId="0" xfId="6" applyFont="1" applyFill="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3" xfId="6" applyFont="1" applyFill="1" applyBorder="1" applyAlignment="1">
      <alignment vertical="center"/>
    </xf>
    <xf numFmtId="0" fontId="6" fillId="7" borderId="5" xfId="6" applyFont="1" applyFill="1" applyBorder="1" applyAlignment="1">
      <alignment vertical="center"/>
    </xf>
    <xf numFmtId="0" fontId="7" fillId="6" borderId="30" xfId="6" applyFont="1" applyFill="1" applyBorder="1"/>
    <xf numFmtId="0" fontId="7" fillId="6" borderId="31" xfId="6" applyFont="1" applyFill="1" applyBorder="1"/>
    <xf numFmtId="0" fontId="7" fillId="6" borderId="32" xfId="6" applyFont="1" applyFill="1" applyBorder="1"/>
    <xf numFmtId="0" fontId="7" fillId="6" borderId="27" xfId="6" applyFont="1" applyFill="1" applyBorder="1" applyAlignment="1">
      <alignment vertical="center"/>
    </xf>
    <xf numFmtId="0" fontId="6" fillId="6" borderId="28" xfId="6" applyFont="1" applyFill="1" applyBorder="1" applyAlignment="1">
      <alignment vertical="center"/>
    </xf>
    <xf numFmtId="0" fontId="6" fillId="6" borderId="29"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6" fillId="5" borderId="27" xfId="6" applyFont="1" applyFill="1" applyBorder="1" applyAlignment="1">
      <alignment vertical="center" wrapText="1"/>
    </xf>
    <xf numFmtId="0" fontId="6" fillId="5" borderId="2" xfId="6" applyFont="1" applyFill="1" applyBorder="1" applyAlignment="1">
      <alignment vertical="center" wrapText="1"/>
    </xf>
    <xf numFmtId="0" fontId="7" fillId="5" borderId="38" xfId="6" applyFont="1" applyFill="1" applyBorder="1" applyAlignment="1">
      <alignment vertical="center" wrapText="1"/>
    </xf>
    <xf numFmtId="0" fontId="7" fillId="5" borderId="40" xfId="6" applyFont="1" applyFill="1" applyBorder="1" applyAlignment="1">
      <alignment vertical="center" wrapText="1"/>
    </xf>
    <xf numFmtId="0" fontId="7" fillId="5" borderId="29"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8" fillId="0" borderId="33" xfId="6" applyFont="1" applyBorder="1" applyAlignment="1">
      <alignment vertical="center" wrapText="1"/>
    </xf>
    <xf numFmtId="0" fontId="18" fillId="0" borderId="34" xfId="6" applyFont="1" applyBorder="1" applyAlignment="1">
      <alignment vertical="center" wrapText="1"/>
    </xf>
    <xf numFmtId="0" fontId="18" fillId="0" borderId="22" xfId="6" applyFont="1" applyBorder="1" applyAlignment="1">
      <alignment vertical="center" wrapText="1"/>
    </xf>
    <xf numFmtId="0" fontId="7" fillId="4" borderId="27" xfId="6" applyFont="1" applyFill="1" applyBorder="1" applyAlignment="1">
      <alignment vertical="center" wrapText="1"/>
    </xf>
    <xf numFmtId="0" fontId="6" fillId="4" borderId="29" xfId="6" applyFont="1" applyFill="1" applyBorder="1" applyAlignment="1">
      <alignment vertical="center"/>
    </xf>
    <xf numFmtId="0" fontId="6" fillId="4" borderId="1" xfId="6" applyFont="1" applyFill="1" applyBorder="1" applyAlignment="1">
      <alignment vertical="center"/>
    </xf>
    <xf numFmtId="0" fontId="6" fillId="4" borderId="4" xfId="6" applyFont="1" applyFill="1" applyBorder="1" applyAlignment="1">
      <alignment vertical="center"/>
    </xf>
    <xf numFmtId="0" fontId="6" fillId="4" borderId="2" xfId="6" applyFont="1" applyFill="1" applyBorder="1" applyAlignment="1">
      <alignment vertical="center"/>
    </xf>
    <xf numFmtId="0" fontId="6" fillId="4" borderId="5" xfId="6" applyFont="1" applyFill="1" applyBorder="1" applyAlignment="1">
      <alignment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0" xfId="6" applyFont="1" applyFill="1" applyAlignment="1">
      <alignment vertical="center"/>
    </xf>
    <xf numFmtId="0" fontId="6" fillId="4" borderId="3" xfId="6" applyFont="1" applyFill="1" applyBorder="1" applyAlignment="1">
      <alignment vertical="center"/>
    </xf>
    <xf numFmtId="0" fontId="6" fillId="4" borderId="38" xfId="6" applyFont="1" applyFill="1" applyBorder="1" applyAlignment="1">
      <alignment vertical="center" shrinkToFit="1"/>
    </xf>
    <xf numFmtId="0" fontId="6" fillId="4" borderId="39" xfId="6" applyFont="1" applyFill="1" applyBorder="1" applyAlignment="1">
      <alignment vertical="center" shrinkToFit="1"/>
    </xf>
    <xf numFmtId="0" fontId="6" fillId="4" borderId="40" xfId="6" applyFont="1" applyFill="1" applyBorder="1" applyAlignment="1">
      <alignment vertical="center" shrinkToFit="1"/>
    </xf>
    <xf numFmtId="0" fontId="7" fillId="4" borderId="38" xfId="6" applyFont="1" applyFill="1" applyBorder="1" applyAlignment="1">
      <alignment vertical="center" wrapText="1"/>
    </xf>
    <xf numFmtId="0" fontId="7" fillId="4" borderId="39" xfId="6" applyFont="1" applyFill="1" applyBorder="1" applyAlignment="1">
      <alignment vertical="center" wrapText="1"/>
    </xf>
    <xf numFmtId="0" fontId="7" fillId="4" borderId="40" xfId="6" applyFont="1" applyFill="1" applyBorder="1" applyAlignment="1">
      <alignment vertical="center" wrapText="1"/>
    </xf>
    <xf numFmtId="0" fontId="6" fillId="5" borderId="41" xfId="6" applyFont="1" applyFill="1" applyBorder="1" applyAlignment="1">
      <alignment vertical="center"/>
    </xf>
    <xf numFmtId="0" fontId="7" fillId="5" borderId="42" xfId="6" applyFont="1" applyFill="1" applyBorder="1" applyAlignment="1">
      <alignment vertical="center"/>
    </xf>
    <xf numFmtId="0" fontId="23" fillId="0" borderId="49" xfId="0" applyFont="1" applyBorder="1" applyAlignment="1">
      <alignment horizontal="center" vertical="center"/>
    </xf>
    <xf numFmtId="0" fontId="23" fillId="0" borderId="49" xfId="0" applyFont="1" applyBorder="1" applyAlignment="1">
      <alignment horizontal="left" vertical="top" wrapText="1"/>
    </xf>
    <xf numFmtId="0" fontId="23" fillId="0" borderId="49" xfId="0" quotePrefix="1" applyFont="1" applyBorder="1" applyAlignment="1">
      <alignment horizontal="left" vertical="top" wrapText="1"/>
    </xf>
    <xf numFmtId="0" fontId="18" fillId="0" borderId="49" xfId="0" applyFont="1" applyBorder="1" applyAlignment="1">
      <alignment horizontal="center" vertical="center"/>
    </xf>
    <xf numFmtId="0" fontId="18" fillId="0" borderId="49" xfId="0" applyFont="1" applyBorder="1" applyAlignment="1">
      <alignment horizontal="left" vertical="top" wrapText="1"/>
    </xf>
    <xf numFmtId="0" fontId="6" fillId="0" borderId="49" xfId="0" quotePrefix="1" applyFont="1" applyBorder="1" applyAlignment="1">
      <alignment horizontal="left" vertical="top" wrapText="1"/>
    </xf>
    <xf numFmtId="0" fontId="6" fillId="0" borderId="49" xfId="0" applyFont="1" applyBorder="1" applyAlignment="1">
      <alignment horizontal="left" vertical="top" wrapText="1"/>
    </xf>
    <xf numFmtId="0" fontId="6" fillId="0" borderId="49" xfId="0" applyFont="1" applyBorder="1" applyAlignment="1">
      <alignment horizontal="center" vertical="center"/>
    </xf>
    <xf numFmtId="0" fontId="24" fillId="0" borderId="49" xfId="0" applyFont="1" applyBorder="1" applyAlignment="1">
      <alignment horizontal="center" vertical="center"/>
    </xf>
    <xf numFmtId="0" fontId="24" fillId="0" borderId="49" xfId="0" applyFont="1" applyBorder="1" applyAlignment="1">
      <alignment horizontal="left" vertical="top" wrapText="1"/>
    </xf>
    <xf numFmtId="0" fontId="7" fillId="0" borderId="49" xfId="0" applyFont="1" applyBorder="1" applyAlignment="1">
      <alignment horizontal="left" vertical="top" wrapText="1"/>
    </xf>
    <xf numFmtId="0" fontId="23" fillId="0" borderId="30" xfId="0" applyFont="1" applyBorder="1" applyAlignment="1">
      <alignment horizontal="center" vertical="center"/>
    </xf>
    <xf numFmtId="0" fontId="23" fillId="0" borderId="32" xfId="0" applyFont="1" applyBorder="1" applyAlignment="1">
      <alignment horizontal="center" vertical="center"/>
    </xf>
    <xf numFmtId="0" fontId="23" fillId="0" borderId="30" xfId="0" applyFont="1" applyBorder="1" applyAlignment="1">
      <alignment horizontal="left" vertical="top" wrapText="1"/>
    </xf>
    <xf numFmtId="0" fontId="23" fillId="0" borderId="31" xfId="0" applyFont="1" applyBorder="1" applyAlignment="1">
      <alignment horizontal="left" vertical="top" wrapText="1"/>
    </xf>
    <xf numFmtId="0" fontId="23" fillId="0" borderId="32" xfId="0" applyFont="1" applyBorder="1" applyAlignment="1">
      <alignment horizontal="left" vertical="top" wrapText="1"/>
    </xf>
    <xf numFmtId="0" fontId="23" fillId="0" borderId="30" xfId="0" quotePrefix="1" applyFont="1" applyBorder="1" applyAlignment="1">
      <alignment horizontal="left" vertical="top" wrapText="1"/>
    </xf>
    <xf numFmtId="0" fontId="23" fillId="0" borderId="31" xfId="0" quotePrefix="1" applyFont="1" applyBorder="1" applyAlignment="1">
      <alignment horizontal="left" vertical="top" wrapText="1"/>
    </xf>
    <xf numFmtId="0" fontId="23" fillId="0" borderId="32" xfId="0" quotePrefix="1" applyFont="1" applyBorder="1" applyAlignment="1">
      <alignment horizontal="left" vertical="top" wrapText="1"/>
    </xf>
    <xf numFmtId="0" fontId="18" fillId="0" borderId="49" xfId="0" quotePrefix="1" applyFont="1" applyBorder="1" applyAlignment="1">
      <alignment horizontal="left" vertical="top" wrapText="1"/>
    </xf>
    <xf numFmtId="0" fontId="9" fillId="8" borderId="49" xfId="0" applyFont="1" applyFill="1" applyBorder="1" applyAlignment="1">
      <alignment horizontal="center" vertical="center" wrapText="1"/>
    </xf>
    <xf numFmtId="0" fontId="9" fillId="8" borderId="49" xfId="0" applyFont="1" applyFill="1" applyBorder="1" applyAlignment="1">
      <alignment horizontal="center" vertical="center"/>
    </xf>
    <xf numFmtId="3" fontId="18" fillId="9" borderId="30" xfId="0" applyNumberFormat="1" applyFont="1" applyFill="1" applyBorder="1" applyAlignment="1">
      <alignment horizontal="right"/>
    </xf>
    <xf numFmtId="3" fontId="18" fillId="9" borderId="31" xfId="0" applyNumberFormat="1" applyFont="1" applyFill="1" applyBorder="1" applyAlignment="1">
      <alignment horizontal="right"/>
    </xf>
    <xf numFmtId="3" fontId="18" fillId="9" borderId="55" xfId="0" applyNumberFormat="1" applyFont="1" applyFill="1" applyBorder="1" applyAlignment="1">
      <alignment horizontal="right"/>
    </xf>
    <xf numFmtId="3" fontId="18" fillId="0" borderId="31" xfId="0" applyNumberFormat="1" applyFont="1" applyBorder="1" applyAlignment="1">
      <alignment horizontal="right"/>
    </xf>
    <xf numFmtId="3" fontId="18" fillId="0" borderId="32" xfId="0" applyNumberFormat="1" applyFont="1" applyBorder="1" applyAlignment="1">
      <alignment horizontal="right"/>
    </xf>
    <xf numFmtId="3" fontId="18" fillId="0" borderId="30" xfId="0" applyNumberFormat="1" applyFont="1" applyBorder="1" applyAlignment="1">
      <alignment horizontal="right"/>
    </xf>
    <xf numFmtId="0" fontId="18" fillId="0" borderId="30" xfId="0" applyFont="1" applyBorder="1" applyAlignment="1">
      <alignment horizontal="center"/>
    </xf>
    <xf numFmtId="0" fontId="18" fillId="0" borderId="31" xfId="0" applyFont="1" applyBorder="1" applyAlignment="1">
      <alignment horizontal="center"/>
    </xf>
    <xf numFmtId="0" fontId="18" fillId="0" borderId="32" xfId="0" applyFont="1" applyBorder="1" applyAlignment="1">
      <alignment horizontal="center"/>
    </xf>
    <xf numFmtId="0" fontId="18" fillId="0" borderId="30" xfId="0" applyFont="1" applyBorder="1" applyAlignment="1">
      <alignment horizontal="left"/>
    </xf>
    <xf numFmtId="0" fontId="18" fillId="0" borderId="31" xfId="0" applyFont="1" applyBorder="1" applyAlignment="1">
      <alignment horizontal="left"/>
    </xf>
    <xf numFmtId="0" fontId="18" fillId="0" borderId="32" xfId="0" applyFont="1" applyBorder="1" applyAlignment="1">
      <alignment horizontal="left"/>
    </xf>
    <xf numFmtId="0" fontId="9" fillId="9" borderId="56" xfId="0" applyFont="1" applyFill="1" applyBorder="1" applyAlignment="1">
      <alignment horizontal="center"/>
    </xf>
    <xf numFmtId="0" fontId="9" fillId="9" borderId="31" xfId="0" applyFont="1" applyFill="1" applyBorder="1" applyAlignment="1">
      <alignment horizontal="center"/>
    </xf>
    <xf numFmtId="0" fontId="9" fillId="9" borderId="32" xfId="0" applyFont="1" applyFill="1" applyBorder="1" applyAlignment="1">
      <alignment horizontal="center"/>
    </xf>
    <xf numFmtId="0" fontId="9" fillId="9" borderId="57" xfId="0" applyFont="1" applyFill="1" applyBorder="1" applyAlignment="1">
      <alignment horizontal="center"/>
    </xf>
    <xf numFmtId="0" fontId="9" fillId="9" borderId="58" xfId="0" applyFont="1" applyFill="1" applyBorder="1" applyAlignment="1">
      <alignment horizontal="center"/>
    </xf>
    <xf numFmtId="0" fontId="9" fillId="9" borderId="59" xfId="0" applyFont="1" applyFill="1" applyBorder="1" applyAlignment="1">
      <alignment horizontal="center"/>
    </xf>
    <xf numFmtId="3" fontId="18" fillId="9" borderId="60" xfId="0" applyNumberFormat="1" applyFont="1" applyFill="1" applyBorder="1" applyAlignment="1">
      <alignment horizontal="right"/>
    </xf>
    <xf numFmtId="3" fontId="18" fillId="9" borderId="58" xfId="0" applyNumberFormat="1" applyFont="1" applyFill="1" applyBorder="1" applyAlignment="1">
      <alignment horizontal="right"/>
    </xf>
    <xf numFmtId="3" fontId="18" fillId="9" borderId="61" xfId="0" applyNumberFormat="1" applyFont="1" applyFill="1" applyBorder="1" applyAlignment="1">
      <alignment horizontal="right"/>
    </xf>
    <xf numFmtId="0" fontId="9" fillId="9" borderId="50" xfId="0" applyFont="1" applyFill="1" applyBorder="1" applyAlignment="1">
      <alignment horizontal="center"/>
    </xf>
    <xf numFmtId="0" fontId="9" fillId="9" borderId="51" xfId="0" applyFont="1" applyFill="1" applyBorder="1" applyAlignment="1">
      <alignment horizontal="center"/>
    </xf>
    <xf numFmtId="0" fontId="9" fillId="9" borderId="52" xfId="0" applyFont="1" applyFill="1" applyBorder="1" applyAlignment="1">
      <alignment horizontal="center"/>
    </xf>
    <xf numFmtId="0" fontId="9" fillId="9" borderId="53" xfId="0" applyFont="1" applyFill="1" applyBorder="1" applyAlignment="1">
      <alignment horizontal="center"/>
    </xf>
    <xf numFmtId="0" fontId="9" fillId="9" borderId="54" xfId="0" applyFont="1" applyFill="1" applyBorder="1" applyAlignment="1">
      <alignment horizontal="center"/>
    </xf>
    <xf numFmtId="0" fontId="9" fillId="0" borderId="31" xfId="0" applyFont="1" applyBorder="1" applyAlignment="1">
      <alignment horizontal="center"/>
    </xf>
    <xf numFmtId="0" fontId="9" fillId="0" borderId="32" xfId="0" applyFont="1" applyBorder="1" applyAlignment="1">
      <alignment horizontal="center"/>
    </xf>
    <xf numFmtId="0" fontId="9" fillId="0" borderId="30" xfId="0" applyFont="1" applyBorder="1" applyAlignment="1">
      <alignment horizontal="center"/>
    </xf>
    <xf numFmtId="0" fontId="9" fillId="0" borderId="49" xfId="0" applyFont="1" applyBorder="1" applyAlignment="1">
      <alignment horizont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tmp"/><Relationship Id="rId7" Type="http://schemas.openxmlformats.org/officeDocument/2006/relationships/image" Target="../media/image7.png"/><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15</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20 レジ精算入力</a:t>
          </a:r>
        </a:p>
      </xdr:txBody>
    </xdr:sp>
    <xdr:clientData/>
  </xdr:twoCellAnchor>
  <xdr:twoCellAnchor>
    <xdr:from>
      <xdr:col>1</xdr:col>
      <xdr:colOff>217715</xdr:colOff>
      <xdr:row>19</xdr:row>
      <xdr:rowOff>0</xdr:rowOff>
    </xdr:from>
    <xdr:to>
      <xdr:col>8</xdr:col>
      <xdr:colOff>15572</xdr:colOff>
      <xdr:row>23</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7338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SC2001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レジ精算日付検索画面</a:t>
          </a:r>
        </a:p>
      </xdr:txBody>
    </xdr:sp>
    <xdr:clientData/>
  </xdr:twoCellAnchor>
  <xdr:twoCellAnchor>
    <xdr:from>
      <xdr:col>4</xdr:col>
      <xdr:colOff>239108</xdr:colOff>
      <xdr:row>15</xdr:row>
      <xdr:rowOff>0</xdr:rowOff>
    </xdr:from>
    <xdr:to>
      <xdr:col>4</xdr:col>
      <xdr:colOff>239108</xdr:colOff>
      <xdr:row>19</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971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234305</xdr:colOff>
      <xdr:row>23</xdr:row>
      <xdr:rowOff>2</xdr:rowOff>
    </xdr:from>
    <xdr:to>
      <xdr:col>5</xdr:col>
      <xdr:colOff>0</xdr:colOff>
      <xdr:row>31</xdr:row>
      <xdr:rowOff>179294</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cxnSpLocks/>
          <a:endCxn id="54" idx="0"/>
        </xdr:cNvCxnSpPr>
      </xdr:nvCxnSpPr>
      <xdr:spPr>
        <a:xfrm>
          <a:off x="1304925" y="7734300"/>
          <a:ext cx="28575" cy="942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235322</xdr:colOff>
      <xdr:row>30</xdr:row>
      <xdr:rowOff>190485</xdr:rowOff>
    </xdr:from>
    <xdr:to>
      <xdr:col>60</xdr:col>
      <xdr:colOff>235322</xdr:colOff>
      <xdr:row>48</xdr:row>
      <xdr:rowOff>0</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10106025" y="8496300"/>
          <a:ext cx="6134100" cy="3238500"/>
        </a:xfrm>
        <a:prstGeom prst="borderCallout1">
          <a:avLst>
            <a:gd name="adj1" fmla="val 27088"/>
            <a:gd name="adj2" fmla="val -151"/>
            <a:gd name="adj3" fmla="val 26962"/>
            <a:gd name="adj4" fmla="val -1303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chemeClr val="tx1"/>
              </a:solidFill>
              <a:latin typeface="Meiryo UI" panose="020B0604030504040204" pitchFamily="34" charset="-128"/>
              <a:ea typeface="Meiryo UI" panose="020B0604030504040204" pitchFamily="34" charset="-128"/>
            </a:rPr>
            <a:t>初期表示：</a:t>
          </a:r>
        </a:p>
        <a:p>
          <a:pPr algn="l"/>
          <a:r>
            <a:rPr lang="ja-JP" altLang="en-US" sz="1000" b="1" i="0" u="none" baseline="0">
              <a:solidFill>
                <a:schemeClr val="tx1"/>
              </a:solidFill>
              <a:latin typeface="Meiryo UI" panose="020B0604030504040204" pitchFamily="34" charset="-128"/>
              <a:ea typeface="Meiryo UI" panose="020B0604030504040204" pitchFamily="34" charset="-128"/>
            </a:rPr>
            <a:t>検索条件エリア：</a:t>
          </a:r>
          <a:endParaRPr lang="en-US" altLang="ja-JP" sz="1000" b="1" i="0" u="none" baseline="0">
            <a:solidFill>
              <a:schemeClr val="tx1"/>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訂正日付：現在日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・「F12:検索」：有効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a:t>
          </a:r>
          <a:r>
            <a:rPr lang="en-US" altLang="ja-JP" sz="1000" b="1" i="0" u="none" baseline="0">
              <a:solidFill>
                <a:schemeClr val="tx1"/>
              </a:solidFill>
              <a:latin typeface="Meiryo UI" panose="020B0604030504040204" pitchFamily="34" charset="-128"/>
              <a:ea typeface="Meiryo UI" panose="020B0604030504040204" pitchFamily="34" charset="-128"/>
            </a:rPr>
            <a:t>・</a:t>
          </a:r>
          <a:r>
            <a:rPr lang="ja-JP" altLang="en-US" sz="1000" b="1" i="0" u="none" baseline="0">
              <a:solidFill>
                <a:schemeClr val="tx1"/>
              </a:solidFill>
              <a:latin typeface="Meiryo UI" panose="020B0604030504040204" pitchFamily="34" charset="-128"/>
              <a:ea typeface="Meiryo UI" panose="020B0604030504040204" pitchFamily="34" charset="-128"/>
            </a:rPr>
            <a:t>レジ一覧エリア：</a:t>
          </a:r>
          <a:r>
            <a:rPr lang="en-US" altLang="ja-JP" sz="1000" b="0" i="0" u="none" baseline="0">
              <a:solidFill>
                <a:schemeClr val="tx1"/>
              </a:solidFill>
              <a:latin typeface="Meiryo UI" panose="020B0604030504040204" pitchFamily="34" charset="-128"/>
              <a:ea typeface="Meiryo UI" panose="020B0604030504040204" pitchFamily="34" charset="-128"/>
            </a:rPr>
            <a:t>データがない</a:t>
          </a: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chemeClr val="tx1"/>
              </a:solidFill>
              <a:latin typeface="Meiryo UI" panose="020B0604030504040204" pitchFamily="34" charset="-128"/>
              <a:ea typeface="Meiryo UI" panose="020B0604030504040204" pitchFamily="34" charset="-128"/>
            </a:rPr>
            <a:t>ヘッダーエリアのみが表示される。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画面のロジック: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・訂正日付プルダウン項目:</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‣デフォルトで現在日が選択される。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‣プルダウンの値：</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+ログインユーザーが管理者ユーザーの場合、プルダウンには当日から62日前が表示される。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+ログインユーザーが管理者ユーザーではない場合、プルダウンには当日から直近3日(当日、当日- 1、当日- 2）が表示される。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‣値は曜日も表示する。例：2024/02/11(日)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・「設定」ボタンをタッチすると、SC2002_レジ精算訂正画面に遷移する。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1</xdr:col>
      <xdr:colOff>224117</xdr:colOff>
      <xdr:row>31</xdr:row>
      <xdr:rowOff>179294</xdr:rowOff>
    </xdr:from>
    <xdr:to>
      <xdr:col>8</xdr:col>
      <xdr:colOff>11206</xdr:colOff>
      <xdr:row>35</xdr:row>
      <xdr:rowOff>179294</xdr:rowOff>
    </xdr:to>
    <xdr:sp macro="" textlink="" fLocksText="0">
      <xdr:nvSpPr>
        <xdr:cNvPr id="54" name="正方形/長方形 1">
          <a:extLst>
            <a:ext uri="{FF2B5EF4-FFF2-40B4-BE49-F238E27FC236}">
              <a16:creationId xmlns:a16="http://schemas.microsoft.com/office/drawing/2014/main" id="{00000000-0008-0000-0400-000036000000}"/>
            </a:ext>
          </a:extLst>
        </xdr:cNvPr>
        <xdr:cNvSpPr/>
      </xdr:nvSpPr>
      <xdr:spPr>
        <a:xfrm>
          <a:off x="495300" y="8677275"/>
          <a:ext cx="16478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SC2001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レジ精算日付検索画面 </a:t>
          </a:r>
        </a:p>
      </xdr:txBody>
    </xdr:sp>
    <xdr:clientData/>
  </xdr:twoCellAnchor>
  <xdr:twoCellAnchor>
    <xdr:from>
      <xdr:col>9</xdr:col>
      <xdr:colOff>123273</xdr:colOff>
      <xdr:row>38</xdr:row>
      <xdr:rowOff>11208</xdr:rowOff>
    </xdr:from>
    <xdr:to>
      <xdr:col>14</xdr:col>
      <xdr:colOff>134483</xdr:colOff>
      <xdr:row>40</xdr:row>
      <xdr:rowOff>22414</xdr:rowOff>
    </xdr:to>
    <xdr:sp macro="" textlink="" fLocksText="0">
      <xdr:nvSpPr>
        <xdr:cNvPr id="4" name="四角形: 角を丸くする 1101">
          <a:extLst>
            <a:ext uri="{FF2B5EF4-FFF2-40B4-BE49-F238E27FC236}">
              <a16:creationId xmlns:a16="http://schemas.microsoft.com/office/drawing/2014/main" id="{00000000-0008-0000-0400-000004000000}"/>
            </a:ext>
          </a:extLst>
        </xdr:cNvPr>
        <xdr:cNvSpPr/>
      </xdr:nvSpPr>
      <xdr:spPr>
        <a:xfrm>
          <a:off x="2524125" y="9839325"/>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ヘッダー上の印刷アイコン</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35</xdr:row>
      <xdr:rowOff>179294</xdr:rowOff>
    </xdr:from>
    <xdr:to>
      <xdr:col>12</xdr:col>
      <xdr:colOff>11216</xdr:colOff>
      <xdr:row>38</xdr:row>
      <xdr:rowOff>11208</xdr:rowOff>
    </xdr:to>
    <xdr:cxnSp macro="">
      <xdr:nvCxnSpPr>
        <xdr:cNvPr id="110" name="Connector: Elbow 109">
          <a:extLst>
            <a:ext uri="{FF2B5EF4-FFF2-40B4-BE49-F238E27FC236}">
              <a16:creationId xmlns:a16="http://schemas.microsoft.com/office/drawing/2014/main" id="{00000000-0008-0000-0400-00006E000000}"/>
            </a:ext>
          </a:extLst>
        </xdr:cNvPr>
        <xdr:cNvCxnSpPr>
          <a:stCxn id="54" idx="2"/>
          <a:endCxn id="4" idx="0"/>
        </xdr:cNvCxnSpPr>
      </xdr:nvCxnSpPr>
      <xdr:spPr>
        <a:xfrm rot="16200000" flipH="1">
          <a:off x="1304925" y="9439275"/>
          <a:ext cx="1905000" cy="400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xdr:row>
      <xdr:rowOff>179294</xdr:rowOff>
    </xdr:from>
    <xdr:to>
      <xdr:col>5</xdr:col>
      <xdr:colOff>3</xdr:colOff>
      <xdr:row>38</xdr:row>
      <xdr:rowOff>0</xdr:rowOff>
    </xdr:to>
    <xdr:cxnSp macro="">
      <xdr:nvCxnSpPr>
        <xdr:cNvPr id="111" name="Straight Arrow Connector 110">
          <a:extLst>
            <a:ext uri="{FF2B5EF4-FFF2-40B4-BE49-F238E27FC236}">
              <a16:creationId xmlns:a16="http://schemas.microsoft.com/office/drawing/2014/main" id="{00000000-0008-0000-0400-00006F000000}"/>
            </a:ext>
          </a:extLst>
        </xdr:cNvPr>
        <xdr:cNvCxnSpPr>
          <a:stCxn id="54" idx="2"/>
          <a:endCxn id="7" idx="0"/>
        </xdr:cNvCxnSpPr>
      </xdr:nvCxnSpPr>
      <xdr:spPr>
        <a:xfrm>
          <a:off x="1333500" y="9439275"/>
          <a:ext cx="0" cy="3905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xdr:colOff>
      <xdr:row>62</xdr:row>
      <xdr:rowOff>17</xdr:rowOff>
    </xdr:from>
    <xdr:to>
      <xdr:col>18</xdr:col>
      <xdr:colOff>14</xdr:colOff>
      <xdr:row>66</xdr:row>
      <xdr:rowOff>17</xdr:rowOff>
    </xdr:to>
    <xdr:sp macro="" textlink="" fLocksText="0">
      <xdr:nvSpPr>
        <xdr:cNvPr id="15" name="フローチャート: 書類 11">
          <a:extLst>
            <a:ext uri="{FF2B5EF4-FFF2-40B4-BE49-F238E27FC236}">
              <a16:creationId xmlns:a16="http://schemas.microsoft.com/office/drawing/2014/main" id="{00000000-0008-0000-0400-00000F000000}"/>
            </a:ext>
          </a:extLst>
        </xdr:cNvPr>
        <xdr:cNvSpPr/>
      </xdr:nvSpPr>
      <xdr:spPr>
        <a:xfrm>
          <a:off x="3200400" y="14401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PR2001</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精算一覧</a:t>
          </a:r>
        </a:p>
      </xdr:txBody>
    </xdr:sp>
    <xdr:clientData/>
  </xdr:twoCellAnchor>
  <xdr:twoCellAnchor>
    <xdr:from>
      <xdr:col>12</xdr:col>
      <xdr:colOff>11205</xdr:colOff>
      <xdr:row>40</xdr:row>
      <xdr:rowOff>22414</xdr:rowOff>
    </xdr:from>
    <xdr:to>
      <xdr:col>12</xdr:col>
      <xdr:colOff>11217</xdr:colOff>
      <xdr:row>52</xdr:row>
      <xdr:rowOff>0</xdr:rowOff>
    </xdr:to>
    <xdr:cxnSp macro="">
      <xdr:nvCxnSpPr>
        <xdr:cNvPr id="16" name="Straight Arrow Connector 15">
          <a:extLst>
            <a:ext uri="{FF2B5EF4-FFF2-40B4-BE49-F238E27FC236}">
              <a16:creationId xmlns:a16="http://schemas.microsoft.com/office/drawing/2014/main" id="{00000000-0008-0000-0400-000010000000}"/>
            </a:ext>
          </a:extLst>
        </xdr:cNvPr>
        <xdr:cNvCxnSpPr>
          <a:stCxn id="4" idx="2"/>
          <a:endCxn id="21" idx="0"/>
        </xdr:cNvCxnSpPr>
      </xdr:nvCxnSpPr>
      <xdr:spPr>
        <a:xfrm flipH="1">
          <a:off x="3209925" y="10229850"/>
          <a:ext cx="0" cy="22669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112060</xdr:colOff>
      <xdr:row>38</xdr:row>
      <xdr:rowOff>0</xdr:rowOff>
    </xdr:from>
    <xdr:to>
      <xdr:col>7</xdr:col>
      <xdr:colOff>123269</xdr:colOff>
      <xdr:row>40</xdr:row>
      <xdr:rowOff>11209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647700" y="9829800"/>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F12:検索</a:t>
          </a:r>
        </a:p>
      </xdr:txBody>
    </xdr:sp>
    <xdr:clientData/>
  </xdr:twoCellAnchor>
  <xdr:twoCellAnchor>
    <xdr:from>
      <xdr:col>16</xdr:col>
      <xdr:colOff>112064</xdr:colOff>
      <xdr:row>38</xdr:row>
      <xdr:rowOff>11206</xdr:rowOff>
    </xdr:from>
    <xdr:to>
      <xdr:col>21</xdr:col>
      <xdr:colOff>123273</xdr:colOff>
      <xdr:row>40</xdr:row>
      <xdr:rowOff>22415</xdr:rowOff>
    </xdr:to>
    <xdr:sp macro="" textlink="" fLocksText="0">
      <xdr:nvSpPr>
        <xdr:cNvPr id="8" name="四角形: 角を丸くする 1101">
          <a:extLst>
            <a:ext uri="{FF2B5EF4-FFF2-40B4-BE49-F238E27FC236}">
              <a16:creationId xmlns:a16="http://schemas.microsoft.com/office/drawing/2014/main" id="{00000000-0008-0000-0400-000008000000}"/>
            </a:ext>
          </a:extLst>
        </xdr:cNvPr>
        <xdr:cNvSpPr/>
      </xdr:nvSpPr>
      <xdr:spPr>
        <a:xfrm>
          <a:off x="4381500" y="9839325"/>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設定</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35</xdr:row>
      <xdr:rowOff>179294</xdr:rowOff>
    </xdr:from>
    <xdr:to>
      <xdr:col>19</xdr:col>
      <xdr:colOff>7</xdr:colOff>
      <xdr:row>38</xdr:row>
      <xdr:rowOff>11206</xdr:rowOff>
    </xdr:to>
    <xdr:cxnSp macro="">
      <xdr:nvCxnSpPr>
        <xdr:cNvPr id="18" name="Connector: Elbow 17">
          <a:extLst>
            <a:ext uri="{FF2B5EF4-FFF2-40B4-BE49-F238E27FC236}">
              <a16:creationId xmlns:a16="http://schemas.microsoft.com/office/drawing/2014/main" id="{00000000-0008-0000-0400-000012000000}"/>
            </a:ext>
          </a:extLst>
        </xdr:cNvPr>
        <xdr:cNvCxnSpPr>
          <a:stCxn id="54" idx="2"/>
          <a:endCxn id="8" idx="0"/>
        </xdr:cNvCxnSpPr>
      </xdr:nvCxnSpPr>
      <xdr:spPr>
        <a:xfrm rot="16200000" flipH="1">
          <a:off x="1333500" y="9439275"/>
          <a:ext cx="3733800" cy="400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40</xdr:row>
      <xdr:rowOff>11209</xdr:rowOff>
    </xdr:from>
    <xdr:to>
      <xdr:col>5</xdr:col>
      <xdr:colOff>3</xdr:colOff>
      <xdr:row>44</xdr:row>
      <xdr:rowOff>7</xdr:rowOff>
    </xdr:to>
    <xdr:cxnSp macro="">
      <xdr:nvCxnSpPr>
        <xdr:cNvPr id="49" name="Straight Arrow Connector 48">
          <a:extLst>
            <a:ext uri="{FF2B5EF4-FFF2-40B4-BE49-F238E27FC236}">
              <a16:creationId xmlns:a16="http://schemas.microsoft.com/office/drawing/2014/main" id="{00000000-0008-0000-0400-000031000000}"/>
            </a:ext>
          </a:extLst>
        </xdr:cNvPr>
        <xdr:cNvCxnSpPr>
          <a:stCxn id="7" idx="2"/>
          <a:endCxn id="67" idx="0"/>
        </xdr:cNvCxnSpPr>
      </xdr:nvCxnSpPr>
      <xdr:spPr>
        <a:xfrm flipH="1">
          <a:off x="1333500" y="10220325"/>
          <a:ext cx="0" cy="752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xdr:colOff>
      <xdr:row>40</xdr:row>
      <xdr:rowOff>22415</xdr:rowOff>
    </xdr:from>
    <xdr:to>
      <xdr:col>19</xdr:col>
      <xdr:colOff>7</xdr:colOff>
      <xdr:row>68</xdr:row>
      <xdr:rowOff>7</xdr:rowOff>
    </xdr:to>
    <xdr:cxnSp macro="">
      <xdr:nvCxnSpPr>
        <xdr:cNvPr id="50" name="Straight Arrow Connector 49">
          <a:extLst>
            <a:ext uri="{FF2B5EF4-FFF2-40B4-BE49-F238E27FC236}">
              <a16:creationId xmlns:a16="http://schemas.microsoft.com/office/drawing/2014/main" id="{00000000-0008-0000-0400-000032000000}"/>
            </a:ext>
          </a:extLst>
        </xdr:cNvPr>
        <xdr:cNvCxnSpPr>
          <a:stCxn id="8" idx="2"/>
          <a:endCxn id="13" idx="0"/>
        </xdr:cNvCxnSpPr>
      </xdr:nvCxnSpPr>
      <xdr:spPr>
        <a:xfrm flipH="1">
          <a:off x="5067300" y="10229850"/>
          <a:ext cx="0" cy="53149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44</xdr:row>
      <xdr:rowOff>7</xdr:rowOff>
    </xdr:from>
    <xdr:to>
      <xdr:col>8</xdr:col>
      <xdr:colOff>0</xdr:colOff>
      <xdr:row>48</xdr:row>
      <xdr:rowOff>7</xdr:rowOff>
    </xdr:to>
    <xdr:sp macro="" textlink="" fLocksText="0">
      <xdr:nvSpPr>
        <xdr:cNvPr id="67" name="四角形: 角を丸くする 3">
          <a:extLst>
            <a:ext uri="{FF2B5EF4-FFF2-40B4-BE49-F238E27FC236}">
              <a16:creationId xmlns:a16="http://schemas.microsoft.com/office/drawing/2014/main" id="{00000000-0008-0000-0400-000043000000}"/>
            </a:ext>
          </a:extLst>
        </xdr:cNvPr>
        <xdr:cNvSpPr/>
      </xdr:nvSpPr>
      <xdr:spPr>
        <a:xfrm>
          <a:off x="533400" y="1097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レジ一覧取得機能</a:t>
          </a:r>
        </a:p>
      </xdr:txBody>
    </xdr:sp>
    <xdr:clientData/>
  </xdr:twoCellAnchor>
  <xdr:twoCellAnchor>
    <xdr:from>
      <xdr:col>28</xdr:col>
      <xdr:colOff>224120</xdr:colOff>
      <xdr:row>44</xdr:row>
      <xdr:rowOff>1</xdr:rowOff>
    </xdr:from>
    <xdr:to>
      <xdr:col>34</xdr:col>
      <xdr:colOff>224121</xdr:colOff>
      <xdr:row>48</xdr:row>
      <xdr:rowOff>1</xdr:rowOff>
    </xdr:to>
    <xdr:sp macro="" textlink="" fLocksText="0">
      <xdr:nvSpPr>
        <xdr:cNvPr id="68" name="フローチャート: 磁気ディスク 194">
          <a:extLst>
            <a:ext uri="{FF2B5EF4-FFF2-40B4-BE49-F238E27FC236}">
              <a16:creationId xmlns:a16="http://schemas.microsoft.com/office/drawing/2014/main" id="{00000000-0008-0000-0400-000044000000}"/>
            </a:ext>
          </a:extLst>
        </xdr:cNvPr>
        <xdr:cNvSpPr/>
      </xdr:nvSpPr>
      <xdr:spPr>
        <a:xfrm>
          <a:off x="7696200" y="10972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AP2001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日付別レジ一覧取得機能</a:t>
          </a:r>
        </a:p>
      </xdr:txBody>
    </xdr:sp>
    <xdr:clientData/>
  </xdr:twoCellAnchor>
  <xdr:twoCellAnchor>
    <xdr:from>
      <xdr:col>8</xdr:col>
      <xdr:colOff>0</xdr:colOff>
      <xdr:row>46</xdr:row>
      <xdr:rowOff>1</xdr:rowOff>
    </xdr:from>
    <xdr:to>
      <xdr:col>28</xdr:col>
      <xdr:colOff>224120</xdr:colOff>
      <xdr:row>46</xdr:row>
      <xdr:rowOff>7</xdr:rowOff>
    </xdr:to>
    <xdr:cxnSp macro="">
      <xdr:nvCxnSpPr>
        <xdr:cNvPr id="69" name="Straight Arrow Connector 68">
          <a:extLst>
            <a:ext uri="{FF2B5EF4-FFF2-40B4-BE49-F238E27FC236}">
              <a16:creationId xmlns:a16="http://schemas.microsoft.com/office/drawing/2014/main" id="{00000000-0008-0000-0400-000045000000}"/>
            </a:ext>
          </a:extLst>
        </xdr:cNvPr>
        <xdr:cNvCxnSpPr>
          <a:stCxn id="67" idx="3"/>
          <a:endCxn id="68" idx="2"/>
        </xdr:cNvCxnSpPr>
      </xdr:nvCxnSpPr>
      <xdr:spPr>
        <a:xfrm flipV="1">
          <a:off x="2133600" y="11353800"/>
          <a:ext cx="55626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29</xdr:row>
      <xdr:rowOff>0</xdr:rowOff>
    </xdr:from>
    <xdr:to>
      <xdr:col>3</xdr:col>
      <xdr:colOff>0</xdr:colOff>
      <xdr:row>30</xdr:row>
      <xdr:rowOff>0</xdr:rowOff>
    </xdr:to>
    <xdr:sp macro="" textlink="" fLocksText="0">
      <xdr:nvSpPr>
        <xdr:cNvPr id="120" name="Rectangle: Rounded Corners 119">
          <a:extLst>
            <a:ext uri="{FF2B5EF4-FFF2-40B4-BE49-F238E27FC236}">
              <a16:creationId xmlns:a16="http://schemas.microsoft.com/office/drawing/2014/main" id="{00000000-0008-0000-0400-000078000000}"/>
            </a:ext>
          </a:extLst>
        </xdr:cNvPr>
        <xdr:cNvSpPr/>
      </xdr:nvSpPr>
      <xdr:spPr>
        <a:xfrm>
          <a:off x="266700" y="811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a:t>
          </a:r>
        </a:p>
      </xdr:txBody>
    </xdr:sp>
    <xdr:clientData/>
  </xdr:twoCellAnchor>
  <xdr:twoCellAnchor>
    <xdr:from>
      <xdr:col>3</xdr:col>
      <xdr:colOff>0</xdr:colOff>
      <xdr:row>29</xdr:row>
      <xdr:rowOff>95250</xdr:rowOff>
    </xdr:from>
    <xdr:to>
      <xdr:col>5</xdr:col>
      <xdr:colOff>0</xdr:colOff>
      <xdr:row>32</xdr:row>
      <xdr:rowOff>0</xdr:rowOff>
    </xdr:to>
    <xdr:cxnSp macro="">
      <xdr:nvCxnSpPr>
        <xdr:cNvPr id="121" name="Connector: Elbow 120">
          <a:extLst>
            <a:ext uri="{FF2B5EF4-FFF2-40B4-BE49-F238E27FC236}">
              <a16:creationId xmlns:a16="http://schemas.microsoft.com/office/drawing/2014/main" id="{00000000-0008-0000-0400-000079000000}"/>
            </a:ext>
          </a:extLst>
        </xdr:cNvPr>
        <xdr:cNvCxnSpPr>
          <a:stCxn id="120" idx="3"/>
        </xdr:cNvCxnSpPr>
      </xdr:nvCxnSpPr>
      <xdr:spPr>
        <a:xfrm>
          <a:off x="800100" y="8210550"/>
          <a:ext cx="5334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71</xdr:row>
      <xdr:rowOff>10</xdr:rowOff>
    </xdr:from>
    <xdr:to>
      <xdr:col>5</xdr:col>
      <xdr:colOff>235322</xdr:colOff>
      <xdr:row>72</xdr:row>
      <xdr:rowOff>10</xdr:rowOff>
    </xdr:to>
    <xdr:sp macro="" textlink="" fLocksText="0">
      <xdr:nvSpPr>
        <xdr:cNvPr id="122" name="Rectangle: Rounded Corners 121">
          <a:extLst>
            <a:ext uri="{FF2B5EF4-FFF2-40B4-BE49-F238E27FC236}">
              <a16:creationId xmlns:a16="http://schemas.microsoft.com/office/drawing/2014/main" id="{00000000-0008-0000-0400-00007A000000}"/>
            </a:ext>
          </a:extLst>
        </xdr:cNvPr>
        <xdr:cNvSpPr/>
      </xdr:nvSpPr>
      <xdr:spPr>
        <a:xfrm>
          <a:off x="1038225" y="1611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a:t>
          </a:r>
        </a:p>
      </xdr:txBody>
    </xdr:sp>
    <xdr:clientData/>
  </xdr:twoCellAnchor>
  <xdr:twoCellAnchor>
    <xdr:from>
      <xdr:col>4</xdr:col>
      <xdr:colOff>235323</xdr:colOff>
      <xdr:row>48</xdr:row>
      <xdr:rowOff>7</xdr:rowOff>
    </xdr:from>
    <xdr:to>
      <xdr:col>5</xdr:col>
      <xdr:colOff>0</xdr:colOff>
      <xdr:row>71</xdr:row>
      <xdr:rowOff>10</xdr:rowOff>
    </xdr:to>
    <xdr:cxnSp macro="">
      <xdr:nvCxnSpPr>
        <xdr:cNvPr id="123" name="Straight Arrow Connector 122">
          <a:extLst>
            <a:ext uri="{FF2B5EF4-FFF2-40B4-BE49-F238E27FC236}">
              <a16:creationId xmlns:a16="http://schemas.microsoft.com/office/drawing/2014/main" id="{00000000-0008-0000-0400-00007B000000}"/>
            </a:ext>
          </a:extLst>
        </xdr:cNvPr>
        <xdr:cNvCxnSpPr>
          <a:stCxn id="67" idx="2"/>
          <a:endCxn id="122" idx="0"/>
        </xdr:cNvCxnSpPr>
      </xdr:nvCxnSpPr>
      <xdr:spPr>
        <a:xfrm flipH="1">
          <a:off x="1304925" y="11734800"/>
          <a:ext cx="28575" cy="438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68</xdr:row>
      <xdr:rowOff>7</xdr:rowOff>
    </xdr:from>
    <xdr:to>
      <xdr:col>20</xdr:col>
      <xdr:colOff>1</xdr:colOff>
      <xdr:row>69</xdr:row>
      <xdr:rowOff>7</xdr:rowOff>
    </xdr:to>
    <xdr:sp macro="" textlink="" fLocksText="0">
      <xdr:nvSpPr>
        <xdr:cNvPr id="13" name="Rectangle: Rounded Corners 12">
          <a:extLst>
            <a:ext uri="{FF2B5EF4-FFF2-40B4-BE49-F238E27FC236}">
              <a16:creationId xmlns:a16="http://schemas.microsoft.com/office/drawing/2014/main" id="{00000000-0008-0000-0400-00000D000000}"/>
            </a:ext>
          </a:extLst>
        </xdr:cNvPr>
        <xdr:cNvSpPr/>
      </xdr:nvSpPr>
      <xdr:spPr>
        <a:xfrm>
          <a:off x="4800600" y="1554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20.1</a:t>
          </a:r>
        </a:p>
      </xdr:txBody>
    </xdr:sp>
    <xdr:clientData/>
  </xdr:twoCellAnchor>
  <xdr:twoCellAnchor>
    <xdr:from>
      <xdr:col>9</xdr:col>
      <xdr:colOff>11204</xdr:colOff>
      <xdr:row>52</xdr:row>
      <xdr:rowOff>0</xdr:rowOff>
    </xdr:from>
    <xdr:to>
      <xdr:col>15</xdr:col>
      <xdr:colOff>11204</xdr:colOff>
      <xdr:row>56</xdr:row>
      <xdr:rowOff>0</xdr:rowOff>
    </xdr:to>
    <xdr:sp macro="" textlink="" fLocksText="0">
      <xdr:nvSpPr>
        <xdr:cNvPr id="21" name="正方形/長方形 1">
          <a:extLst>
            <a:ext uri="{FF2B5EF4-FFF2-40B4-BE49-F238E27FC236}">
              <a16:creationId xmlns:a16="http://schemas.microsoft.com/office/drawing/2014/main" id="{00000000-0008-0000-0400-000015000000}"/>
            </a:ext>
          </a:extLst>
        </xdr:cNvPr>
        <xdr:cNvSpPr/>
      </xdr:nvSpPr>
      <xdr:spPr>
        <a:xfrm>
          <a:off x="2409825" y="12496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MD2001</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精算書の日付設定 </a:t>
          </a:r>
        </a:p>
      </xdr:txBody>
    </xdr:sp>
    <xdr:clientData/>
  </xdr:twoCellAnchor>
  <xdr:twoCellAnchor>
    <xdr:from>
      <xdr:col>12</xdr:col>
      <xdr:colOff>11205</xdr:colOff>
      <xdr:row>56</xdr:row>
      <xdr:rowOff>0</xdr:rowOff>
    </xdr:from>
    <xdr:to>
      <xdr:col>14</xdr:col>
      <xdr:colOff>229722</xdr:colOff>
      <xdr:row>57</xdr:row>
      <xdr:rowOff>168088</xdr:rowOff>
    </xdr:to>
    <xdr:cxnSp macro="">
      <xdr:nvCxnSpPr>
        <xdr:cNvPr id="24" name="Connector: Elbow 23">
          <a:extLst>
            <a:ext uri="{FF2B5EF4-FFF2-40B4-BE49-F238E27FC236}">
              <a16:creationId xmlns:a16="http://schemas.microsoft.com/office/drawing/2014/main" id="{00000000-0008-0000-0400-000018000000}"/>
            </a:ext>
          </a:extLst>
        </xdr:cNvPr>
        <xdr:cNvCxnSpPr>
          <a:stCxn id="21" idx="2"/>
          <a:endCxn id="47" idx="0"/>
        </xdr:cNvCxnSpPr>
      </xdr:nvCxnSpPr>
      <xdr:spPr>
        <a:xfrm rot="16200000" flipH="1">
          <a:off x="3209925" y="13258800"/>
          <a:ext cx="752475" cy="3619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235323</xdr:colOff>
      <xdr:row>57</xdr:row>
      <xdr:rowOff>168090</xdr:rowOff>
    </xdr:from>
    <xdr:to>
      <xdr:col>10</xdr:col>
      <xdr:colOff>224118</xdr:colOff>
      <xdr:row>58</xdr:row>
      <xdr:rowOff>179296</xdr:rowOff>
    </xdr:to>
    <xdr:sp macro="" textlink="" fLocksText="0">
      <xdr:nvSpPr>
        <xdr:cNvPr id="45" name="四角形: 角を丸くする 1101">
          <a:extLst>
            <a:ext uri="{FF2B5EF4-FFF2-40B4-BE49-F238E27FC236}">
              <a16:creationId xmlns:a16="http://schemas.microsoft.com/office/drawing/2014/main" id="{00000000-0008-0000-0400-00002D000000}"/>
            </a:ext>
          </a:extLst>
        </xdr:cNvPr>
        <xdr:cNvSpPr/>
      </xdr:nvSpPr>
      <xdr:spPr>
        <a:xfrm>
          <a:off x="1838325" y="13620750"/>
          <a:ext cx="10572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1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13</xdr:col>
      <xdr:colOff>0</xdr:colOff>
      <xdr:row>57</xdr:row>
      <xdr:rowOff>168088</xdr:rowOff>
    </xdr:from>
    <xdr:to>
      <xdr:col>16</xdr:col>
      <xdr:colOff>224119</xdr:colOff>
      <xdr:row>58</xdr:row>
      <xdr:rowOff>179294</xdr:rowOff>
    </xdr:to>
    <xdr:sp macro="" textlink="" fLocksText="0">
      <xdr:nvSpPr>
        <xdr:cNvPr id="47" name="四角形: 角を丸くする 1101">
          <a:extLst>
            <a:ext uri="{FF2B5EF4-FFF2-40B4-BE49-F238E27FC236}">
              <a16:creationId xmlns:a16="http://schemas.microsoft.com/office/drawing/2014/main" id="{00000000-0008-0000-0400-00002F000000}"/>
            </a:ext>
          </a:extLst>
        </xdr:cNvPr>
        <xdr:cNvSpPr/>
      </xdr:nvSpPr>
      <xdr:spPr>
        <a:xfrm>
          <a:off x="3467100" y="13620750"/>
          <a:ext cx="1028700"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229721</xdr:colOff>
      <xdr:row>56</xdr:row>
      <xdr:rowOff>0</xdr:rowOff>
    </xdr:from>
    <xdr:to>
      <xdr:col>12</xdr:col>
      <xdr:colOff>11205</xdr:colOff>
      <xdr:row>57</xdr:row>
      <xdr:rowOff>168090</xdr:rowOff>
    </xdr:to>
    <xdr:cxnSp macro="">
      <xdr:nvCxnSpPr>
        <xdr:cNvPr id="52" name="Connector: Elbow 51">
          <a:extLst>
            <a:ext uri="{FF2B5EF4-FFF2-40B4-BE49-F238E27FC236}">
              <a16:creationId xmlns:a16="http://schemas.microsoft.com/office/drawing/2014/main" id="{00000000-0008-0000-0400-000034000000}"/>
            </a:ext>
          </a:extLst>
        </xdr:cNvPr>
        <xdr:cNvCxnSpPr>
          <a:stCxn id="21" idx="2"/>
          <a:endCxn id="45" idx="0"/>
        </xdr:cNvCxnSpPr>
      </xdr:nvCxnSpPr>
      <xdr:spPr>
        <a:xfrm rot="5400000">
          <a:off x="2362200" y="13258800"/>
          <a:ext cx="847725" cy="3619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229722</xdr:colOff>
      <xdr:row>58</xdr:row>
      <xdr:rowOff>179294</xdr:rowOff>
    </xdr:from>
    <xdr:to>
      <xdr:col>15</xdr:col>
      <xdr:colOff>15</xdr:colOff>
      <xdr:row>62</xdr:row>
      <xdr:rowOff>17</xdr:rowOff>
    </xdr:to>
    <xdr:cxnSp macro="">
      <xdr:nvCxnSpPr>
        <xdr:cNvPr id="57" name="Straight Arrow Connector 56">
          <a:extLst>
            <a:ext uri="{FF2B5EF4-FFF2-40B4-BE49-F238E27FC236}">
              <a16:creationId xmlns:a16="http://schemas.microsoft.com/office/drawing/2014/main" id="{00000000-0008-0000-0400-000039000000}"/>
            </a:ext>
          </a:extLst>
        </xdr:cNvPr>
        <xdr:cNvCxnSpPr>
          <a:stCxn id="47" idx="2"/>
          <a:endCxn id="15" idx="0"/>
        </xdr:cNvCxnSpPr>
      </xdr:nvCxnSpPr>
      <xdr:spPr>
        <a:xfrm>
          <a:off x="3962400" y="13820775"/>
          <a:ext cx="38100" cy="5810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114</xdr:row>
      <xdr:rowOff>0</xdr:rowOff>
    </xdr:from>
    <xdr:to>
      <xdr:col>5</xdr:col>
      <xdr:colOff>0</xdr:colOff>
      <xdr:row>115</xdr:row>
      <xdr:rowOff>0</xdr:rowOff>
    </xdr:to>
    <xdr:sp macro="" textlink="" fLocksText="0">
      <xdr:nvSpPr>
        <xdr:cNvPr id="63" name="Rectangle: Rounded Corners 62">
          <a:extLst>
            <a:ext uri="{FF2B5EF4-FFF2-40B4-BE49-F238E27FC236}">
              <a16:creationId xmlns:a16="http://schemas.microsoft.com/office/drawing/2014/main" id="{00000000-0008-0000-0400-00003F000000}"/>
            </a:ext>
          </a:extLst>
        </xdr:cNvPr>
        <xdr:cNvSpPr/>
      </xdr:nvSpPr>
      <xdr:spPr>
        <a:xfrm>
          <a:off x="800100" y="2430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20.1</a:t>
          </a:r>
        </a:p>
      </xdr:txBody>
    </xdr:sp>
    <xdr:clientData/>
  </xdr:twoCellAnchor>
  <xdr:twoCellAnchor>
    <xdr:from>
      <xdr:col>1</xdr:col>
      <xdr:colOff>0</xdr:colOff>
      <xdr:row>125</xdr:row>
      <xdr:rowOff>0</xdr:rowOff>
    </xdr:from>
    <xdr:to>
      <xdr:col>7</xdr:col>
      <xdr:colOff>0</xdr:colOff>
      <xdr:row>129</xdr:row>
      <xdr:rowOff>0</xdr:rowOff>
    </xdr:to>
    <xdr:sp macro="" textlink="" fLocksText="0">
      <xdr:nvSpPr>
        <xdr:cNvPr id="64" name="正方形/長方形 1">
          <a:extLst>
            <a:ext uri="{FF2B5EF4-FFF2-40B4-BE49-F238E27FC236}">
              <a16:creationId xmlns:a16="http://schemas.microsoft.com/office/drawing/2014/main" id="{00000000-0008-0000-0400-000040000000}"/>
            </a:ext>
          </a:extLst>
        </xdr:cNvPr>
        <xdr:cNvSpPr/>
      </xdr:nvSpPr>
      <xdr:spPr>
        <a:xfrm>
          <a:off x="266700" y="2640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SC2002</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レジ精算訂正画面</a:t>
          </a:r>
        </a:p>
      </xdr:txBody>
    </xdr:sp>
    <xdr:clientData/>
  </xdr:twoCellAnchor>
  <xdr:twoCellAnchor>
    <xdr:from>
      <xdr:col>1</xdr:col>
      <xdr:colOff>0</xdr:colOff>
      <xdr:row>118</xdr:row>
      <xdr:rowOff>2</xdr:rowOff>
    </xdr:from>
    <xdr:to>
      <xdr:col>6</xdr:col>
      <xdr:colOff>235323</xdr:colOff>
      <xdr:row>122</xdr:row>
      <xdr:rowOff>2</xdr:rowOff>
    </xdr:to>
    <xdr:sp macro="" textlink="" fLocksText="0">
      <xdr:nvSpPr>
        <xdr:cNvPr id="3" name="四角形: 角を丸くする 3">
          <a:extLst>
            <a:ext uri="{FF2B5EF4-FFF2-40B4-BE49-F238E27FC236}">
              <a16:creationId xmlns:a16="http://schemas.microsoft.com/office/drawing/2014/main" id="{00000000-0008-0000-0400-000003000000}"/>
            </a:ext>
          </a:extLst>
        </xdr:cNvPr>
        <xdr:cNvSpPr/>
      </xdr:nvSpPr>
      <xdr:spPr>
        <a:xfrm>
          <a:off x="266700" y="25069800"/>
          <a:ext cx="157162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レジ精算情報取得機能</a:t>
          </a:r>
        </a:p>
      </xdr:txBody>
    </xdr:sp>
    <xdr:clientData/>
  </xdr:twoCellAnchor>
  <xdr:twoCellAnchor>
    <xdr:from>
      <xdr:col>1</xdr:col>
      <xdr:colOff>112058</xdr:colOff>
      <xdr:row>131</xdr:row>
      <xdr:rowOff>11207</xdr:rowOff>
    </xdr:from>
    <xdr:to>
      <xdr:col>6</xdr:col>
      <xdr:colOff>123268</xdr:colOff>
      <xdr:row>133</xdr:row>
      <xdr:rowOff>1</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381000" y="27555825"/>
          <a:ext cx="134302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F04:クリア</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78442</xdr:colOff>
      <xdr:row>131</xdr:row>
      <xdr:rowOff>11206</xdr:rowOff>
    </xdr:from>
    <xdr:to>
      <xdr:col>13</xdr:col>
      <xdr:colOff>168090</xdr:colOff>
      <xdr:row>133</xdr:row>
      <xdr:rowOff>0</xdr:rowOff>
    </xdr:to>
    <xdr:sp macro="" textlink="" fLocksText="0">
      <xdr:nvSpPr>
        <xdr:cNvPr id="9" name="四角形: 角を丸くする 1101">
          <a:extLst>
            <a:ext uri="{FF2B5EF4-FFF2-40B4-BE49-F238E27FC236}">
              <a16:creationId xmlns:a16="http://schemas.microsoft.com/office/drawing/2014/main" id="{00000000-0008-0000-0400-000009000000}"/>
            </a:ext>
          </a:extLst>
        </xdr:cNvPr>
        <xdr:cNvSpPr/>
      </xdr:nvSpPr>
      <xdr:spPr>
        <a:xfrm>
          <a:off x="2209800" y="27555825"/>
          <a:ext cx="142875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F09:確定</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122</xdr:row>
      <xdr:rowOff>2</xdr:rowOff>
    </xdr:from>
    <xdr:to>
      <xdr:col>4</xdr:col>
      <xdr:colOff>1</xdr:colOff>
      <xdr:row>125</xdr:row>
      <xdr:rowOff>0</xdr:rowOff>
    </xdr:to>
    <xdr:cxnSp macro="">
      <xdr:nvCxnSpPr>
        <xdr:cNvPr id="10" name="Straight Arrow Connector 9">
          <a:extLst>
            <a:ext uri="{FF2B5EF4-FFF2-40B4-BE49-F238E27FC236}">
              <a16:creationId xmlns:a16="http://schemas.microsoft.com/office/drawing/2014/main" id="{00000000-0008-0000-0400-00000A000000}"/>
            </a:ext>
          </a:extLst>
        </xdr:cNvPr>
        <xdr:cNvCxnSpPr>
          <a:stCxn id="3" idx="2"/>
          <a:endCxn id="64" idx="0"/>
        </xdr:cNvCxnSpPr>
      </xdr:nvCxnSpPr>
      <xdr:spPr>
        <a:xfrm>
          <a:off x="1066800" y="25831800"/>
          <a:ext cx="0" cy="57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xdr:colOff>
      <xdr:row>129</xdr:row>
      <xdr:rowOff>0</xdr:rowOff>
    </xdr:from>
    <xdr:to>
      <xdr:col>4</xdr:col>
      <xdr:colOff>2</xdr:colOff>
      <xdr:row>131</xdr:row>
      <xdr:rowOff>11207</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64" idx="2"/>
          <a:endCxn id="6" idx="0"/>
        </xdr:cNvCxnSpPr>
      </xdr:nvCxnSpPr>
      <xdr:spPr>
        <a:xfrm>
          <a:off x="1066800" y="27165300"/>
          <a:ext cx="0" cy="3905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xdr:colOff>
      <xdr:row>129</xdr:row>
      <xdr:rowOff>0</xdr:rowOff>
    </xdr:from>
    <xdr:to>
      <xdr:col>11</xdr:col>
      <xdr:colOff>5604</xdr:colOff>
      <xdr:row>131</xdr:row>
      <xdr:rowOff>11206</xdr:rowOff>
    </xdr:to>
    <xdr:cxnSp macro="">
      <xdr:nvCxnSpPr>
        <xdr:cNvPr id="20" name="Connector: Elbow 19">
          <a:extLst>
            <a:ext uri="{FF2B5EF4-FFF2-40B4-BE49-F238E27FC236}">
              <a16:creationId xmlns:a16="http://schemas.microsoft.com/office/drawing/2014/main" id="{00000000-0008-0000-0400-000014000000}"/>
            </a:ext>
          </a:extLst>
        </xdr:cNvPr>
        <xdr:cNvCxnSpPr>
          <a:stCxn id="64" idx="2"/>
          <a:endCxn id="9" idx="0"/>
        </xdr:cNvCxnSpPr>
      </xdr:nvCxnSpPr>
      <xdr:spPr>
        <a:xfrm rot="16200000" flipH="1">
          <a:off x="1066800" y="27165300"/>
          <a:ext cx="1876425" cy="390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115</xdr:row>
      <xdr:rowOff>0</xdr:rowOff>
    </xdr:from>
    <xdr:to>
      <xdr:col>4</xdr:col>
      <xdr:colOff>1</xdr:colOff>
      <xdr:row>118</xdr:row>
      <xdr:rowOff>2</xdr:rowOff>
    </xdr:to>
    <xdr:cxnSp macro="">
      <xdr:nvCxnSpPr>
        <xdr:cNvPr id="31" name="Straight Arrow Connector 30">
          <a:extLst>
            <a:ext uri="{FF2B5EF4-FFF2-40B4-BE49-F238E27FC236}">
              <a16:creationId xmlns:a16="http://schemas.microsoft.com/office/drawing/2014/main" id="{00000000-0008-0000-0400-00001F000000}"/>
            </a:ext>
          </a:extLst>
        </xdr:cNvPr>
        <xdr:cNvCxnSpPr>
          <a:stCxn id="63" idx="2"/>
          <a:endCxn id="3" idx="0"/>
        </xdr:cNvCxnSpPr>
      </xdr:nvCxnSpPr>
      <xdr:spPr>
        <a:xfrm flipH="1">
          <a:off x="1066800" y="24498300"/>
          <a:ext cx="0" cy="57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137</xdr:row>
      <xdr:rowOff>0</xdr:rowOff>
    </xdr:from>
    <xdr:to>
      <xdr:col>14</xdr:col>
      <xdr:colOff>0</xdr:colOff>
      <xdr:row>141</xdr:row>
      <xdr:rowOff>0</xdr:rowOff>
    </xdr:to>
    <xdr:sp macro="" textlink="" fLocksText="0">
      <xdr:nvSpPr>
        <xdr:cNvPr id="48" name="四角形: 角を丸くする 3">
          <a:extLst>
            <a:ext uri="{FF2B5EF4-FFF2-40B4-BE49-F238E27FC236}">
              <a16:creationId xmlns:a16="http://schemas.microsoft.com/office/drawing/2014/main" id="{00000000-0008-0000-0400-000030000000}"/>
            </a:ext>
          </a:extLst>
        </xdr:cNvPr>
        <xdr:cNvSpPr/>
      </xdr:nvSpPr>
      <xdr:spPr>
        <a:xfrm>
          <a:off x="2133600" y="2868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レジ精算更新機能</a:t>
          </a:r>
        </a:p>
      </xdr:txBody>
    </xdr:sp>
    <xdr:clientData/>
  </xdr:twoCellAnchor>
  <xdr:twoCellAnchor>
    <xdr:from>
      <xdr:col>11</xdr:col>
      <xdr:colOff>0</xdr:colOff>
      <xdr:row>133</xdr:row>
      <xdr:rowOff>0</xdr:rowOff>
    </xdr:from>
    <xdr:to>
      <xdr:col>11</xdr:col>
      <xdr:colOff>5604</xdr:colOff>
      <xdr:row>137</xdr:row>
      <xdr:rowOff>0</xdr:rowOff>
    </xdr:to>
    <xdr:cxnSp macro="">
      <xdr:nvCxnSpPr>
        <xdr:cNvPr id="51" name="Straight Arrow Connector 50">
          <a:extLst>
            <a:ext uri="{FF2B5EF4-FFF2-40B4-BE49-F238E27FC236}">
              <a16:creationId xmlns:a16="http://schemas.microsoft.com/office/drawing/2014/main" id="{00000000-0008-0000-0400-000033000000}"/>
            </a:ext>
          </a:extLst>
        </xdr:cNvPr>
        <xdr:cNvCxnSpPr>
          <a:stCxn id="9" idx="2"/>
          <a:endCxn id="48" idx="0"/>
        </xdr:cNvCxnSpPr>
      </xdr:nvCxnSpPr>
      <xdr:spPr>
        <a:xfrm flipH="1">
          <a:off x="2933700" y="27927300"/>
          <a:ext cx="9525" cy="762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118</xdr:row>
      <xdr:rowOff>1</xdr:rowOff>
    </xdr:from>
    <xdr:to>
      <xdr:col>35</xdr:col>
      <xdr:colOff>0</xdr:colOff>
      <xdr:row>122</xdr:row>
      <xdr:rowOff>1</xdr:rowOff>
    </xdr:to>
    <xdr:sp macro="" textlink="" fLocksText="0">
      <xdr:nvSpPr>
        <xdr:cNvPr id="56" name="フローチャート: 磁気ディスク 194">
          <a:extLst>
            <a:ext uri="{FF2B5EF4-FFF2-40B4-BE49-F238E27FC236}">
              <a16:creationId xmlns:a16="http://schemas.microsoft.com/office/drawing/2014/main" id="{00000000-0008-0000-0400-000038000000}"/>
            </a:ext>
          </a:extLst>
        </xdr:cNvPr>
        <xdr:cNvSpPr/>
      </xdr:nvSpPr>
      <xdr:spPr>
        <a:xfrm>
          <a:off x="7734300" y="2506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AP2002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レジ精算情報取得API</a:t>
          </a:r>
        </a:p>
      </xdr:txBody>
    </xdr:sp>
    <xdr:clientData/>
  </xdr:twoCellAnchor>
  <xdr:twoCellAnchor>
    <xdr:from>
      <xdr:col>6</xdr:col>
      <xdr:colOff>235323</xdr:colOff>
      <xdr:row>120</xdr:row>
      <xdr:rowOff>1</xdr:rowOff>
    </xdr:from>
    <xdr:to>
      <xdr:col>29</xdr:col>
      <xdr:colOff>0</xdr:colOff>
      <xdr:row>120</xdr:row>
      <xdr:rowOff>2</xdr:rowOff>
    </xdr:to>
    <xdr:cxnSp macro="">
      <xdr:nvCxnSpPr>
        <xdr:cNvPr id="58" name="Straight Arrow Connector 57">
          <a:extLst>
            <a:ext uri="{FF2B5EF4-FFF2-40B4-BE49-F238E27FC236}">
              <a16:creationId xmlns:a16="http://schemas.microsoft.com/office/drawing/2014/main" id="{00000000-0008-0000-0400-00003A000000}"/>
            </a:ext>
          </a:extLst>
        </xdr:cNvPr>
        <xdr:cNvCxnSpPr>
          <a:stCxn id="3" idx="3"/>
          <a:endCxn id="56" idx="2"/>
        </xdr:cNvCxnSpPr>
      </xdr:nvCxnSpPr>
      <xdr:spPr>
        <a:xfrm flipV="1">
          <a:off x="1838325" y="25450800"/>
          <a:ext cx="589597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139</xdr:row>
      <xdr:rowOff>0</xdr:rowOff>
    </xdr:from>
    <xdr:to>
      <xdr:col>29</xdr:col>
      <xdr:colOff>0</xdr:colOff>
      <xdr:row>139</xdr:row>
      <xdr:rowOff>1</xdr:rowOff>
    </xdr:to>
    <xdr:cxnSp macro="">
      <xdr:nvCxnSpPr>
        <xdr:cNvPr id="59" name="Straight Arrow Connector 58">
          <a:extLst>
            <a:ext uri="{FF2B5EF4-FFF2-40B4-BE49-F238E27FC236}">
              <a16:creationId xmlns:a16="http://schemas.microsoft.com/office/drawing/2014/main" id="{00000000-0008-0000-0400-00003B000000}"/>
            </a:ext>
          </a:extLst>
        </xdr:cNvPr>
        <xdr:cNvCxnSpPr>
          <a:stCxn id="48" idx="3"/>
          <a:endCxn id="61" idx="2"/>
        </xdr:cNvCxnSpPr>
      </xdr:nvCxnSpPr>
      <xdr:spPr>
        <a:xfrm>
          <a:off x="3733800" y="29070300"/>
          <a:ext cx="40005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137</xdr:row>
      <xdr:rowOff>1</xdr:rowOff>
    </xdr:from>
    <xdr:to>
      <xdr:col>35</xdr:col>
      <xdr:colOff>0</xdr:colOff>
      <xdr:row>141</xdr:row>
      <xdr:rowOff>1</xdr:rowOff>
    </xdr:to>
    <xdr:sp macro="" textlink="" fLocksText="0">
      <xdr:nvSpPr>
        <xdr:cNvPr id="61" name="フローチャート: 磁気ディスク 194">
          <a:extLst>
            <a:ext uri="{FF2B5EF4-FFF2-40B4-BE49-F238E27FC236}">
              <a16:creationId xmlns:a16="http://schemas.microsoft.com/office/drawing/2014/main" id="{00000000-0008-0000-0400-00003D000000}"/>
            </a:ext>
          </a:extLst>
        </xdr:cNvPr>
        <xdr:cNvSpPr/>
      </xdr:nvSpPr>
      <xdr:spPr>
        <a:xfrm>
          <a:off x="7734300" y="2868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AP2003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レジ精算更新API</a:t>
          </a:r>
        </a:p>
      </xdr:txBody>
    </xdr:sp>
    <xdr:clientData/>
  </xdr:twoCellAnchor>
  <xdr:twoCellAnchor>
    <xdr:from>
      <xdr:col>37</xdr:col>
      <xdr:colOff>235321</xdr:colOff>
      <xdr:row>114</xdr:row>
      <xdr:rowOff>190497</xdr:rowOff>
    </xdr:from>
    <xdr:to>
      <xdr:col>60</xdr:col>
      <xdr:colOff>235321</xdr:colOff>
      <xdr:row>117</xdr:row>
      <xdr:rowOff>179294</xdr:rowOff>
    </xdr:to>
    <xdr:sp macro="" textlink="" fLocksText="0">
      <xdr:nvSpPr>
        <xdr:cNvPr id="71" name="吹き出し: 線 2">
          <a:extLst>
            <a:ext uri="{FF2B5EF4-FFF2-40B4-BE49-F238E27FC236}">
              <a16:creationId xmlns:a16="http://schemas.microsoft.com/office/drawing/2014/main" id="{00000000-0008-0000-0400-000047000000}"/>
            </a:ext>
          </a:extLst>
        </xdr:cNvPr>
        <xdr:cNvSpPr/>
      </xdr:nvSpPr>
      <xdr:spPr>
        <a:xfrm>
          <a:off x="10106025" y="24498300"/>
          <a:ext cx="6134100" cy="561975"/>
        </a:xfrm>
        <a:prstGeom prst="borderCallout1">
          <a:avLst>
            <a:gd name="adj1" fmla="val 48277"/>
            <a:gd name="adj2" fmla="val 56"/>
            <a:gd name="adj3" fmla="val 136740"/>
            <a:gd name="adj4" fmla="val -13465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000000"/>
              </a:solidFill>
              <a:latin typeface="Meiryo UI"/>
              <a:ea typeface="Meiryo UI" panose="020B0604030504040204" pitchFamily="34" charset="-128"/>
            </a:rPr>
            <a:t>▪各項目のレジ精算情報を取得する。</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▪詳細は「レジ精算実」シートをご参照ください。</a:t>
          </a:r>
        </a:p>
      </xdr:txBody>
    </xdr:sp>
    <xdr:clientData/>
  </xdr:twoCellAnchor>
  <xdr:twoCellAnchor>
    <xdr:from>
      <xdr:col>37</xdr:col>
      <xdr:colOff>235322</xdr:colOff>
      <xdr:row>119</xdr:row>
      <xdr:rowOff>190490</xdr:rowOff>
    </xdr:from>
    <xdr:to>
      <xdr:col>60</xdr:col>
      <xdr:colOff>235322</xdr:colOff>
      <xdr:row>156</xdr:row>
      <xdr:rowOff>179294</xdr:rowOff>
    </xdr:to>
    <xdr:sp macro="" textlink="" fLocksText="0">
      <xdr:nvSpPr>
        <xdr:cNvPr id="72" name="吹き出し: 線 2">
          <a:extLst>
            <a:ext uri="{FF2B5EF4-FFF2-40B4-BE49-F238E27FC236}">
              <a16:creationId xmlns:a16="http://schemas.microsoft.com/office/drawing/2014/main" id="{00000000-0008-0000-0400-000048000000}"/>
            </a:ext>
          </a:extLst>
        </xdr:cNvPr>
        <xdr:cNvSpPr/>
      </xdr:nvSpPr>
      <xdr:spPr>
        <a:xfrm>
          <a:off x="10106025" y="25450800"/>
          <a:ext cx="6134100" cy="7038975"/>
        </a:xfrm>
        <a:prstGeom prst="borderCallout1">
          <a:avLst>
            <a:gd name="adj1" fmla="val 20067"/>
            <a:gd name="adj2" fmla="val 263"/>
            <a:gd name="adj3" fmla="val 20061"/>
            <a:gd name="adj4" fmla="val -13485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chemeClr val="tx1"/>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訂正日付：SC2001_レジ精算日付検索画面で選択した日付を無効状態で表示する。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レジ: SC2001_レジ精算日付検索画面で選択したレジ名称を表示する。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項目名: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‣レジの精算項目を表示する。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‣画面の表示項目数は「レジ精算実」シートのように固定されている</a:t>
          </a:r>
          <a:r>
            <a:rPr lang="ja-JP" altLang="en-US" sz="1000" b="0" i="0" u="none" baseline="0">
              <a:solidFill>
                <a:schemeClr val="tx1"/>
              </a:solidFill>
              <a:latin typeface="Meiryo UI" panose="020B0604030504040204" pitchFamily="34" charset="-128"/>
              <a:ea typeface="Meiryo UI" panose="020B0604030504040204" pitchFamily="34" charset="-128"/>
            </a:rPr>
            <a:t>。</a:t>
          </a:r>
          <a:r>
            <a:rPr lang="en-US" altLang="ja-JP" sz="1000" b="0" i="0" u="none" strike="sngStrike" baseline="0">
              <a:solidFill>
                <a:srgbClr val="0000FF"/>
              </a:solidFill>
              <a:latin typeface="Meiryo UI" panose="020B0604030504040204" pitchFamily="34" charset="-128"/>
              <a:ea typeface="Meiryo UI" panose="020B0604030504040204" pitchFamily="34" charset="-128"/>
            </a:rPr>
            <a:t>か、それとも変更できるかをご確認お願い致します。変更がある場合、どこで変更するでしょうか。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訂正後：</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‣各項目のレジ精算実際情報を表示する。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‣表示状態が無効になる。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‣精算情報がない場合、「0」と表示する。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訂正前:</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‣各項目の訂正済みレジ精算情報を表示する。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‣表示状態が有効になる。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‣精算編集情報がない場合、「0」と表示する。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・「F04:クリア」ボタンと「F09:確定」が有効になる。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画面のイベント、ロジック：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 訂正後:</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‣各項目の訂正前の精算金額が正しいかを確認する。不正の場合、正しい金額を再入力する。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‣数字のみ入力可能。負数も入力可能。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・項目の詳細説明と精算サンプルデータは「レジ精算実」シートと「サンプル」シートをご参照ください。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・「F04:クリア」ボタンをタッチすると、画面上の入力データを全てクリアする。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・「F09:確定」ボタンを初回タッチすると、</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a:t>
          </a: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‣「F04:クリア」ボタンを無効にし、「F09:確定」ボタンを有効にする。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a:t>
          </a: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‣訂正後の精算金額を無効にする。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‣「F09:確定」ボタンを再度タッチする：訂正後の精算金額をデータベースに挿入・更新する。</a:t>
          </a:r>
          <a:r>
            <a:rPr lang="ja-JP" altLang="en-US" sz="1000" b="0" i="0" u="none" baseline="0">
              <a:solidFill>
                <a:srgbClr val="0000FF"/>
              </a:solidFill>
              <a:latin typeface="Meiryo UI" panose="020B0604030504040204" pitchFamily="34" charset="-128"/>
              <a:ea typeface="Meiryo UI" panose="020B0604030504040204" pitchFamily="34" charset="-128"/>
            </a:rPr>
            <a:t>更新後、前の画面に戻る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69</xdr:row>
      <xdr:rowOff>7</xdr:rowOff>
    </xdr:from>
    <xdr:to>
      <xdr:col>19</xdr:col>
      <xdr:colOff>2</xdr:colOff>
      <xdr:row>71</xdr:row>
      <xdr:rowOff>10</xdr:rowOff>
    </xdr:to>
    <xdr:cxnSp macro="">
      <xdr:nvCxnSpPr>
        <xdr:cNvPr id="73" name="Connector: Elbow 72">
          <a:extLst>
            <a:ext uri="{FF2B5EF4-FFF2-40B4-BE49-F238E27FC236}">
              <a16:creationId xmlns:a16="http://schemas.microsoft.com/office/drawing/2014/main" id="{00000000-0008-0000-0400-000049000000}"/>
            </a:ext>
          </a:extLst>
        </xdr:cNvPr>
        <xdr:cNvCxnSpPr>
          <a:stCxn id="13" idx="2"/>
          <a:endCxn id="122" idx="0"/>
        </xdr:cNvCxnSpPr>
      </xdr:nvCxnSpPr>
      <xdr:spPr>
        <a:xfrm rot="5400000">
          <a:off x="1333500" y="157353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49</xdr:row>
      <xdr:rowOff>168086</xdr:rowOff>
    </xdr:from>
    <xdr:to>
      <xdr:col>61</xdr:col>
      <xdr:colOff>0</xdr:colOff>
      <xdr:row>75</xdr:row>
      <xdr:rowOff>0</xdr:rowOff>
    </xdr:to>
    <xdr:sp macro="" textlink="" fLocksText="0">
      <xdr:nvSpPr>
        <xdr:cNvPr id="82" name="吹き出し: 線 2">
          <a:extLst>
            <a:ext uri="{FF2B5EF4-FFF2-40B4-BE49-F238E27FC236}">
              <a16:creationId xmlns:a16="http://schemas.microsoft.com/office/drawing/2014/main" id="{00000000-0008-0000-0400-000052000000}"/>
            </a:ext>
          </a:extLst>
        </xdr:cNvPr>
        <xdr:cNvSpPr/>
      </xdr:nvSpPr>
      <xdr:spPr>
        <a:xfrm>
          <a:off x="10134600" y="12096750"/>
          <a:ext cx="6134100" cy="4781550"/>
        </a:xfrm>
        <a:prstGeom prst="borderCallout1">
          <a:avLst>
            <a:gd name="adj1" fmla="val 49792"/>
            <a:gd name="adj2" fmla="val -151"/>
            <a:gd name="adj3" fmla="val -11636"/>
            <a:gd name="adj4" fmla="val -13051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chemeClr val="tx1"/>
              </a:solidFill>
              <a:latin typeface="Meiryo UI"/>
              <a:ea typeface="Meiryo UI" panose="020B0604030504040204" pitchFamily="34" charset="-128"/>
            </a:rPr>
            <a:t>▪ 検索を実行して、選択した日付でレジ一覧を表示する。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・レジ: 「コード + レジ名称」を表示する。(192: スマートPOS)</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・状態: 稼働中、精算済み</a:t>
          </a:r>
          <a:r>
            <a:rPr lang="ja-JP" altLang="en-US" sz="1000" b="0" i="0" u="none" baseline="0">
              <a:solidFill>
                <a:schemeClr val="tx1"/>
              </a:solidFill>
              <a:latin typeface="Meiryo UI"/>
              <a:ea typeface="Meiryo UI" panose="020B0604030504040204" pitchFamily="34" charset="-128"/>
            </a:rPr>
            <a:t>、</a:t>
          </a:r>
          <a:r>
            <a:rPr lang="vi-VN" altLang="ja-JP" sz="1000" b="0" i="0" u="none" baseline="0">
              <a:solidFill>
                <a:schemeClr val="tx1"/>
              </a:solidFill>
              <a:latin typeface="Meiryo UI"/>
              <a:ea typeface="Meiryo UI" panose="020B0604030504040204" pitchFamily="34" charset="-128"/>
            </a:rPr>
            <a:t>自動</a:t>
          </a:r>
          <a:r>
            <a:rPr lang="ja-JP" altLang="en-US" sz="1000" b="0" i="0" u="none" baseline="0">
              <a:solidFill>
                <a:schemeClr val="tx1"/>
              </a:solidFill>
              <a:latin typeface="Meiryo UI"/>
              <a:ea typeface="Meiryo UI" panose="020B0604030504040204" pitchFamily="34" charset="-128"/>
            </a:rPr>
            <a:t>精算</a:t>
          </a:r>
          <a:r>
            <a:rPr lang="vi-VN" altLang="ja-JP" sz="1000" b="0" i="0" u="none" baseline="0">
              <a:solidFill>
                <a:schemeClr val="tx1"/>
              </a:solidFill>
              <a:latin typeface="Meiryo UI"/>
              <a:ea typeface="Meiryo UI" panose="020B0604030504040204" pitchFamily="34" charset="-128"/>
            </a:rPr>
            <a:t>済</a:t>
          </a:r>
          <a:r>
            <a:rPr lang="ja-JP" altLang="en-US" sz="1000" b="0" i="0" u="none" baseline="0">
              <a:solidFill>
                <a:schemeClr val="tx1"/>
              </a:solidFill>
              <a:latin typeface="Meiryo UI"/>
              <a:ea typeface="Meiryo UI" panose="020B0604030504040204" pitchFamily="34" charset="-128"/>
            </a:rPr>
            <a:t>、</a:t>
          </a:r>
          <a:r>
            <a:rPr lang="vi-VN" altLang="ja-JP" sz="1000" b="0" i="0" u="none" baseline="0">
              <a:solidFill>
                <a:schemeClr val="tx1"/>
              </a:solidFill>
              <a:latin typeface="Meiryo UI"/>
              <a:ea typeface="Meiryo UI" panose="020B0604030504040204" pitchFamily="34" charset="-128"/>
            </a:rPr>
            <a:t>-</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精算状態: 未処理、済 サーバーで処理済</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精算時現金在高</a:t>
          </a:r>
          <a:r>
            <a:rPr lang="ja-JP" altLang="en-US" sz="1000" b="0" i="0" u="none" baseline="0">
              <a:solidFill>
                <a:schemeClr val="tx1"/>
              </a:solidFill>
              <a:latin typeface="Meiryo UI"/>
              <a:ea typeface="Meiryo UI" panose="020B0604030504040204" pitchFamily="34" charset="-128"/>
            </a:rPr>
            <a:t>：レジ精算時の現金残高を表示する。</a:t>
          </a:r>
          <a:endParaRPr lang="vi-VN" altLang="ja-JP" sz="1000" b="0" i="0" u="none" baseline="0">
            <a:solidFill>
              <a:schemeClr val="tx1"/>
            </a:solidFill>
            <a:latin typeface="Meiryo UI"/>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・「設定」ボタン:</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+状態が「精算済み」、「-」の場合、 ボタンを有効にし、サーバーで精算した後、精算状態が「済」に変更される。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+状態が「自動精算済」の場合、ボタンを有効にする。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&gt; サーバーで精算した後、「精算状態」が「サーバーで処理済</a:t>
          </a:r>
          <a:r>
            <a:rPr lang="ja-JP" altLang="en-US" sz="1000" b="0" i="0" u="none" baseline="0">
              <a:solidFill>
                <a:schemeClr val="tx1"/>
              </a:solidFill>
              <a:latin typeface="Meiryo UI"/>
              <a:ea typeface="Meiryo UI" panose="020B0604030504040204" pitchFamily="34" charset="-128"/>
            </a:rPr>
            <a:t>」</a:t>
          </a:r>
          <a:r>
            <a:rPr lang="vi-VN" altLang="ja-JP" sz="1000" b="0" i="0" u="none" baseline="0">
              <a:solidFill>
                <a:schemeClr val="tx1"/>
              </a:solidFill>
              <a:latin typeface="Meiryo UI"/>
              <a:ea typeface="Meiryo UI" panose="020B0604030504040204" pitchFamily="34" charset="-128"/>
            </a:rPr>
            <a:t>に変更される。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&gt; サーバーで精算してレジで自動精算を確認した後、状態が「精算済み」になり、精算状態が「済」になる。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+状態が「稼働中」の場合、ボタンを無効にする。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▪画面にはページングがない。</a:t>
          </a:r>
        </a:p>
      </xdr:txBody>
    </xdr:sp>
    <xdr:clientData/>
  </xdr:twoCellAnchor>
  <xdr:twoCellAnchor>
    <xdr:from>
      <xdr:col>38</xdr:col>
      <xdr:colOff>0</xdr:colOff>
      <xdr:row>76</xdr:row>
      <xdr:rowOff>179293</xdr:rowOff>
    </xdr:from>
    <xdr:to>
      <xdr:col>61</xdr:col>
      <xdr:colOff>0</xdr:colOff>
      <xdr:row>87</xdr:row>
      <xdr:rowOff>179292</xdr:rowOff>
    </xdr:to>
    <xdr:sp macro="" textlink="" fLocksText="0">
      <xdr:nvSpPr>
        <xdr:cNvPr id="83" name="吹き出し: 線 2">
          <a:extLst>
            <a:ext uri="{FF2B5EF4-FFF2-40B4-BE49-F238E27FC236}">
              <a16:creationId xmlns:a16="http://schemas.microsoft.com/office/drawing/2014/main" id="{00000000-0008-0000-0400-000053000000}"/>
            </a:ext>
          </a:extLst>
        </xdr:cNvPr>
        <xdr:cNvSpPr/>
      </xdr:nvSpPr>
      <xdr:spPr>
        <a:xfrm>
          <a:off x="10134600" y="17249775"/>
          <a:ext cx="6134100" cy="2095500"/>
        </a:xfrm>
        <a:prstGeom prst="borderCallout1">
          <a:avLst>
            <a:gd name="adj1" fmla="val 51271"/>
            <a:gd name="adj2" fmla="val 263"/>
            <a:gd name="adj3" fmla="val -208451"/>
            <a:gd name="adj4" fmla="val -998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chemeClr val="tx1"/>
              </a:solidFill>
              <a:latin typeface="Meiryo UI"/>
              <a:ea typeface="Meiryo UI" panose="020B0604030504040204" pitchFamily="34" charset="-128"/>
            </a:rPr>
            <a:t>▪精算書の日付設定モダール</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・日付*: </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‣デフォルトで現在日が選択される。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‣プルダウンの値： </a:t>
          </a:r>
          <a:r>
            <a:rPr lang="vi-VN" altLang="ja-JP" sz="1100" b="0" i="0" u="none" baseline="0">
              <a:solidFill>
                <a:schemeClr val="tx1"/>
              </a:solidFill>
              <a:latin typeface="Calibri"/>
              <a:ea typeface="Meiryo UI" panose="020B0604030504040204" pitchFamily="34" charset="-128"/>
            </a:rPr>
            <a:t>SC2001_レジ精算日付検索画面の訂正日付と同様</a:t>
          </a:r>
          <a:r>
            <a:rPr lang="vi-VN" altLang="ja-JP" sz="1000" b="0" i="0" u="none" baseline="0">
              <a:solidFill>
                <a:schemeClr val="tx1"/>
              </a:solidFill>
              <a:latin typeface="Calibri"/>
              <a:ea typeface="Meiryo UI" panose="020B0604030504040204" pitchFamily="34" charset="-128"/>
            </a:rPr>
            <a:t>.</a:t>
          </a:r>
          <a:endParaRPr lang="vi-VN" altLang="ja-JP" sz="1000" b="0" i="0" u="none" baseline="0">
            <a:solidFill>
              <a:schemeClr val="tx1"/>
            </a:solidFill>
            <a:latin typeface="Meiryo UI"/>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‣値は曜日も表示する。 例: 2024/02/11(日)</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・以下のメッセージが表示される。    </a:t>
          </a:r>
          <a:endParaRPr lang="en-US" altLang="ja-JP" sz="1000" b="0" i="0" u="none" baseline="0">
            <a:solidFill>
              <a:schemeClr val="tx1"/>
            </a:solidFill>
            <a:latin typeface="Meiryo UI"/>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この内容で、レジ精算一覧表を出力します。                     </a:t>
          </a:r>
          <a:endParaRPr lang="en-US" altLang="ja-JP" sz="1000" b="0" i="0" u="none" baseline="0">
            <a:solidFill>
              <a:schemeClr val="tx1"/>
            </a:solidFill>
            <a:latin typeface="Meiryo UI"/>
            <a:ea typeface="Meiryo UI" panose="020B0604030504040204" pitchFamily="34" charset="-128"/>
          </a:endParaRP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よろしいですか?</a:t>
          </a:r>
        </a:p>
      </xdr:txBody>
    </xdr:sp>
    <xdr:clientData/>
  </xdr:twoCellAnchor>
  <xdr:twoCellAnchor>
    <xdr:from>
      <xdr:col>38</xdr:col>
      <xdr:colOff>0</xdr:colOff>
      <xdr:row>90</xdr:row>
      <xdr:rowOff>11205</xdr:rowOff>
    </xdr:from>
    <xdr:to>
      <xdr:col>61</xdr:col>
      <xdr:colOff>0</xdr:colOff>
      <xdr:row>110</xdr:row>
      <xdr:rowOff>1</xdr:rowOff>
    </xdr:to>
    <xdr:sp macro="" textlink="" fLocksText="0">
      <xdr:nvSpPr>
        <xdr:cNvPr id="89" name="吹き出し: 線 2">
          <a:extLst>
            <a:ext uri="{FF2B5EF4-FFF2-40B4-BE49-F238E27FC236}">
              <a16:creationId xmlns:a16="http://schemas.microsoft.com/office/drawing/2014/main" id="{00000000-0008-0000-0400-000059000000}"/>
            </a:ext>
          </a:extLst>
        </xdr:cNvPr>
        <xdr:cNvSpPr/>
      </xdr:nvSpPr>
      <xdr:spPr>
        <a:xfrm>
          <a:off x="10134600" y="19745325"/>
          <a:ext cx="6134100" cy="3800475"/>
        </a:xfrm>
        <a:prstGeom prst="borderCallout1">
          <a:avLst>
            <a:gd name="adj1" fmla="val 44396"/>
            <a:gd name="adj2" fmla="val -151"/>
            <a:gd name="adj3" fmla="val -121110"/>
            <a:gd name="adj4" fmla="val -10339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vi-VN" altLang="ja-JP" sz="1000" b="0" i="0" u="none" baseline="0">
              <a:solidFill>
                <a:schemeClr val="tx1"/>
              </a:solidFill>
              <a:latin typeface="Meiryo UI"/>
              <a:ea typeface="Meiryo UI" panose="020B0604030504040204" pitchFamily="34" charset="-128"/>
            </a:rPr>
            <a:t>▪選択した日付でレジ精算一覧表を出力する。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帳票の日付設定モダールで選択した日付に従って店舗の全てレジの精算情報を出力する。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▪帳票の出力内容：</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・「レジ精算実」シートの項目に従って店舗の全てレジの精算情報を出力する。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・1ページ目には以下の情報を出力する。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店舗の全てレジの売上数と売上高</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取引があった各部門の売上数と売上高</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・2 ページ目以降には以下のように情報を出力する。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+レジごとの精算金額</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+レジごとの精算情報が縦に表示される。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a:ea typeface="Meiryo UI" panose="020B0604030504040204" pitchFamily="34" charset="-128"/>
            </a:rPr>
            <a:t>　　</a:t>
          </a:r>
          <a:r>
            <a:rPr lang="vi-VN" altLang="ja-JP" sz="1000" b="0" i="0" u="none" baseline="0">
              <a:solidFill>
                <a:schemeClr val="tx1"/>
              </a:solidFill>
              <a:latin typeface="Meiryo UI"/>
              <a:ea typeface="Meiryo UI" panose="020B0604030504040204" pitchFamily="34" charset="-128"/>
            </a:rPr>
            <a:t>+最大11つのレジの精算情報を1ページに表示できる。11つのレジより大きい場合、ページネーションを行う。11つのレジ未満の場合は全てのレジを表示し、残りは空白で表示する。</a:t>
          </a:r>
        </a:p>
        <a:p>
          <a:pP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chemeClr val="tx1"/>
              </a:solidFill>
              <a:latin typeface="Meiryo UI"/>
              <a:ea typeface="Meiryo UI" panose="020B0604030504040204" pitchFamily="34" charset="-128"/>
            </a:rPr>
            <a:t>    + レジの精算時間</a:t>
          </a:r>
        </a:p>
      </xdr:txBody>
    </xdr:sp>
    <xdr:clientData/>
  </xdr:twoCellAnchor>
  <xdr:twoCellAnchor>
    <xdr:from>
      <xdr:col>11</xdr:col>
      <xdr:colOff>0</xdr:colOff>
      <xdr:row>141</xdr:row>
      <xdr:rowOff>0</xdr:rowOff>
    </xdr:from>
    <xdr:to>
      <xdr:col>11</xdr:col>
      <xdr:colOff>1</xdr:colOff>
      <xdr:row>143</xdr:row>
      <xdr:rowOff>0</xdr:rowOff>
    </xdr:to>
    <xdr:cxnSp macro="">
      <xdr:nvCxnSpPr>
        <xdr:cNvPr id="11" name="Straight Arrow Connector 10">
          <a:extLst>
            <a:ext uri="{FF2B5EF4-FFF2-40B4-BE49-F238E27FC236}">
              <a16:creationId xmlns:a16="http://schemas.microsoft.com/office/drawing/2014/main" id="{00000000-0008-0000-0400-00000B000000}"/>
            </a:ext>
          </a:extLst>
        </xdr:cNvPr>
        <xdr:cNvCxnSpPr>
          <a:stCxn id="48" idx="2"/>
          <a:endCxn id="12" idx="0"/>
        </xdr:cNvCxnSpPr>
      </xdr:nvCxnSpPr>
      <xdr:spPr>
        <a:xfrm>
          <a:off x="2933700" y="29451300"/>
          <a:ext cx="0" cy="381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xdr:colOff>
      <xdr:row>143</xdr:row>
      <xdr:rowOff>0</xdr:rowOff>
    </xdr:from>
    <xdr:to>
      <xdr:col>12</xdr:col>
      <xdr:colOff>1</xdr:colOff>
      <xdr:row>144</xdr:row>
      <xdr:rowOff>0</xdr:rowOff>
    </xdr:to>
    <xdr:sp macro="" textlink="" fLocksText="0">
      <xdr:nvSpPr>
        <xdr:cNvPr id="12" name="Rectangle: Rounded Corners 11">
          <a:extLst>
            <a:ext uri="{FF2B5EF4-FFF2-40B4-BE49-F238E27FC236}">
              <a16:creationId xmlns:a16="http://schemas.microsoft.com/office/drawing/2014/main" id="{00000000-0008-0000-0400-00000C000000}"/>
            </a:ext>
          </a:extLst>
        </xdr:cNvPr>
        <xdr:cNvSpPr/>
      </xdr:nvSpPr>
      <xdr:spPr>
        <a:xfrm>
          <a:off x="2667000" y="2983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20</a:t>
          </a:r>
        </a:p>
      </xdr:txBody>
    </xdr:sp>
    <xdr:clientData/>
  </xdr:twoCellAnchor>
  <xdr:twoCellAnchor>
    <xdr:from>
      <xdr:col>1</xdr:col>
      <xdr:colOff>0</xdr:colOff>
      <xdr:row>127</xdr:row>
      <xdr:rowOff>0</xdr:rowOff>
    </xdr:from>
    <xdr:to>
      <xdr:col>4</xdr:col>
      <xdr:colOff>2</xdr:colOff>
      <xdr:row>133</xdr:row>
      <xdr:rowOff>1</xdr:rowOff>
    </xdr:to>
    <xdr:cxnSp macro="">
      <xdr:nvCxnSpPr>
        <xdr:cNvPr id="22" name="Connector: Elbow 21">
          <a:extLst>
            <a:ext uri="{FF2B5EF4-FFF2-40B4-BE49-F238E27FC236}">
              <a16:creationId xmlns:a16="http://schemas.microsoft.com/office/drawing/2014/main" id="{00000000-0008-0000-0400-000016000000}"/>
            </a:ext>
          </a:extLst>
        </xdr:cNvPr>
        <xdr:cNvCxnSpPr>
          <a:stCxn id="6" idx="2"/>
          <a:endCxn id="64" idx="1"/>
        </xdr:cNvCxnSpPr>
      </xdr:nvCxnSpPr>
      <xdr:spPr>
        <a:xfrm rot="5400000" flipH="1">
          <a:off x="266700" y="26784300"/>
          <a:ext cx="800100" cy="1143000"/>
        </a:xfrm>
        <a:prstGeom prst="bentConnector4">
          <a:avLst>
            <a:gd name="adj1" fmla="val -17059"/>
            <a:gd name="adj2" fmla="val 12285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3</xdr:colOff>
      <xdr:row>61</xdr:row>
      <xdr:rowOff>190498</xdr:rowOff>
    </xdr:from>
    <xdr:to>
      <xdr:col>35</xdr:col>
      <xdr:colOff>3</xdr:colOff>
      <xdr:row>65</xdr:row>
      <xdr:rowOff>190498</xdr:rowOff>
    </xdr:to>
    <xdr:sp macro="" textlink="" fLocksText="0">
      <xdr:nvSpPr>
        <xdr:cNvPr id="19" name="フローチャート: 磁気ディスク 194">
          <a:extLst>
            <a:ext uri="{FF2B5EF4-FFF2-40B4-BE49-F238E27FC236}">
              <a16:creationId xmlns:a16="http://schemas.microsoft.com/office/drawing/2014/main" id="{00000000-0008-0000-0400-000013000000}"/>
            </a:ext>
          </a:extLst>
        </xdr:cNvPr>
        <xdr:cNvSpPr/>
      </xdr:nvSpPr>
      <xdr:spPr>
        <a:xfrm>
          <a:off x="7734300" y="14401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AP2004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精算一覧出力</a:t>
          </a:r>
        </a:p>
      </xdr:txBody>
    </xdr:sp>
    <xdr:clientData/>
  </xdr:twoCellAnchor>
  <xdr:twoCellAnchor>
    <xdr:from>
      <xdr:col>18</xdr:col>
      <xdr:colOff>14</xdr:colOff>
      <xdr:row>63</xdr:row>
      <xdr:rowOff>190498</xdr:rowOff>
    </xdr:from>
    <xdr:to>
      <xdr:col>29</xdr:col>
      <xdr:colOff>3</xdr:colOff>
      <xdr:row>64</xdr:row>
      <xdr:rowOff>17</xdr:rowOff>
    </xdr:to>
    <xdr:cxnSp macro="">
      <xdr:nvCxnSpPr>
        <xdr:cNvPr id="23" name="Straight Arrow Connector 22">
          <a:extLst>
            <a:ext uri="{FF2B5EF4-FFF2-40B4-BE49-F238E27FC236}">
              <a16:creationId xmlns:a16="http://schemas.microsoft.com/office/drawing/2014/main" id="{00000000-0008-0000-0400-000017000000}"/>
            </a:ext>
          </a:extLst>
        </xdr:cNvPr>
        <xdr:cNvCxnSpPr>
          <a:stCxn id="15" idx="3"/>
          <a:endCxn id="19" idx="2"/>
        </xdr:cNvCxnSpPr>
      </xdr:nvCxnSpPr>
      <xdr:spPr>
        <a:xfrm flipV="1">
          <a:off x="4800600" y="14782800"/>
          <a:ext cx="2933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239108</xdr:colOff>
      <xdr:row>23</xdr:row>
      <xdr:rowOff>0</xdr:rowOff>
    </xdr:from>
    <xdr:to>
      <xdr:col>4</xdr:col>
      <xdr:colOff>239108</xdr:colOff>
      <xdr:row>25</xdr:row>
      <xdr:rowOff>13607</xdr:rowOff>
    </xdr:to>
    <xdr:cxnSp macro="">
      <xdr:nvCxnSpPr>
        <xdr:cNvPr id="60" name="直線矢印コネクタ 1010">
          <a:extLst>
            <a:ext uri="{FF2B5EF4-FFF2-40B4-BE49-F238E27FC236}">
              <a16:creationId xmlns:a16="http://schemas.microsoft.com/office/drawing/2014/main" id="{BCB9D86C-6221-4550-82EA-EC657F05FF23}"/>
            </a:ext>
          </a:extLst>
        </xdr:cNvPr>
        <xdr:cNvCxnSpPr>
          <a:cxnSpLocks/>
          <a:endCxn id="62" idx="0"/>
        </xdr:cNvCxnSpPr>
      </xdr:nvCxnSpPr>
      <xdr:spPr>
        <a:xfrm>
          <a:off x="1191608" y="4495800"/>
          <a:ext cx="0" cy="394607"/>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224846</xdr:colOff>
      <xdr:row>25</xdr:row>
      <xdr:rowOff>13607</xdr:rowOff>
    </xdr:from>
    <xdr:to>
      <xdr:col>7</xdr:col>
      <xdr:colOff>8441</xdr:colOff>
      <xdr:row>26</xdr:row>
      <xdr:rowOff>0</xdr:rowOff>
    </xdr:to>
    <xdr:sp macro="" textlink="" fLocksText="0">
      <xdr:nvSpPr>
        <xdr:cNvPr id="62" name="四角形: 角を丸くする 1101">
          <a:extLst>
            <a:ext uri="{FF2B5EF4-FFF2-40B4-BE49-F238E27FC236}">
              <a16:creationId xmlns:a16="http://schemas.microsoft.com/office/drawing/2014/main" id="{8B2B9116-4FC4-40C5-A4FB-362F2FF5D397}"/>
            </a:ext>
          </a:extLst>
        </xdr:cNvPr>
        <xdr:cNvSpPr/>
      </xdr:nvSpPr>
      <xdr:spPr>
        <a:xfrm>
          <a:off x="701096" y="4890407"/>
          <a:ext cx="974220" cy="176893"/>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ja-JP" altLang="en-US" sz="900">
              <a:solidFill>
                <a:sysClr val="windowText" lastClr="000000"/>
              </a:solidFill>
              <a:latin typeface="Meiryo UI" panose="020B0604030504040204" pitchFamily="34" charset="-128"/>
              <a:ea typeface="Meiryo UI" panose="020B0604030504040204" pitchFamily="34" charset="-128"/>
              <a:cs typeface="+mn-cs"/>
            </a:rPr>
            <a:t>画面初期化</a:t>
          </a:r>
        </a:p>
      </xdr:txBody>
    </xdr:sp>
    <xdr:clientData/>
  </xdr:twoCellAnchor>
  <xdr:twoCellAnchor>
    <xdr:from>
      <xdr:col>37</xdr:col>
      <xdr:colOff>235314</xdr:colOff>
      <xdr:row>24</xdr:row>
      <xdr:rowOff>1</xdr:rowOff>
    </xdr:from>
    <xdr:to>
      <xdr:col>60</xdr:col>
      <xdr:colOff>235314</xdr:colOff>
      <xdr:row>28</xdr:row>
      <xdr:rowOff>0</xdr:rowOff>
    </xdr:to>
    <xdr:sp macro="" textlink="" fLocksText="0">
      <xdr:nvSpPr>
        <xdr:cNvPr id="65" name="吹き出し: 線 2">
          <a:extLst>
            <a:ext uri="{FF2B5EF4-FFF2-40B4-BE49-F238E27FC236}">
              <a16:creationId xmlns:a16="http://schemas.microsoft.com/office/drawing/2014/main" id="{6D633D9B-3024-4FBE-9655-9B2301434358}"/>
            </a:ext>
          </a:extLst>
        </xdr:cNvPr>
        <xdr:cNvSpPr/>
      </xdr:nvSpPr>
      <xdr:spPr>
        <a:xfrm>
          <a:off x="9045939" y="4686301"/>
          <a:ext cx="5476875" cy="761999"/>
        </a:xfrm>
        <a:prstGeom prst="borderCallout1">
          <a:avLst>
            <a:gd name="adj1" fmla="val 49927"/>
            <a:gd name="adj2" fmla="val -182"/>
            <a:gd name="adj3" fmla="val 51389"/>
            <a:gd name="adj4" fmla="val -13709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chemeClr val="tx1"/>
              </a:solidFill>
              <a:latin typeface="Meiryo UI"/>
              <a:ea typeface="Meiryo UI" panose="020B0604030504040204" pitchFamily="34" charset="-128"/>
            </a:rPr>
            <a:t>共通機能を実行する。</a:t>
          </a:r>
          <a:br>
            <a:rPr lang="ja-JP" altLang="en-US" sz="1000" b="0" i="0" u="none" baseline="0">
              <a:solidFill>
                <a:schemeClr val="tx1"/>
              </a:solidFill>
              <a:latin typeface="Meiryo UI"/>
              <a:ea typeface="Meiryo UI" panose="020B0604030504040204" pitchFamily="34" charset="-128"/>
            </a:rPr>
          </a:br>
          <a:r>
            <a:rPr lang="en-US" altLang="ja-JP" sz="1000" b="0" i="0" u="none" baseline="0">
              <a:solidFill>
                <a:schemeClr val="tx1"/>
              </a:solidFill>
              <a:latin typeface="Meiryo UI"/>
              <a:ea typeface="Meiryo UI" panose="020B0604030504040204" pitchFamily="34" charset="-128"/>
            </a:rPr>
            <a:t>1</a:t>
          </a:r>
          <a:r>
            <a:rPr lang="ja-JP" altLang="en-US" sz="1000" b="0" i="0" u="none" baseline="0">
              <a:solidFill>
                <a:schemeClr val="tx1"/>
              </a:solidFill>
              <a:latin typeface="Meiryo UI"/>
              <a:ea typeface="Meiryo UI" panose="020B0604030504040204" pitchFamily="34" charset="-128"/>
            </a:rPr>
            <a:t>つの店舗のみ選択可能とする。</a:t>
          </a:r>
          <a:br>
            <a:rPr lang="ja-JP" altLang="en-US" sz="1000" b="0" i="0" u="none" baseline="0">
              <a:solidFill>
                <a:schemeClr val="tx1"/>
              </a:solidFill>
              <a:latin typeface="Meiryo UI"/>
              <a:ea typeface="Meiryo UI" panose="020B0604030504040204" pitchFamily="34" charset="-128"/>
            </a:rPr>
          </a:br>
          <a:r>
            <a:rPr lang="ja-JP" altLang="en-US" sz="1000" b="0" i="0" u="none" baseline="0">
              <a:solidFill>
                <a:schemeClr val="tx1"/>
              </a:solidFill>
              <a:latin typeface="Meiryo UI"/>
              <a:ea typeface="Meiryo UI" panose="020B0604030504040204" pitchFamily="34" charset="-128"/>
            </a:rPr>
            <a:t>店舗を選択した場合にのみ検索エリアを有効にする。</a:t>
          </a:r>
          <a:endParaRPr lang="vi-VN" altLang="ja-JP" sz="1000" b="0" i="0" u="none" baseline="0">
            <a:solidFill>
              <a:schemeClr val="tx1"/>
            </a:solidFill>
            <a:latin typeface="Meiryo UI"/>
            <a:ea typeface="Meiryo UI" panose="020B0604030504040204" pitchFamily="34" charset="-128"/>
          </a:endParaRPr>
        </a:p>
      </xdr:txBody>
    </xdr:sp>
    <xdr:clientData/>
  </xdr:twoCellAnchor>
  <xdr:twoCellAnchor>
    <xdr:from>
      <xdr:col>66</xdr:col>
      <xdr:colOff>0</xdr:colOff>
      <xdr:row>31</xdr:row>
      <xdr:rowOff>0</xdr:rowOff>
    </xdr:from>
    <xdr:to>
      <xdr:col>87</xdr:col>
      <xdr:colOff>224117</xdr:colOff>
      <xdr:row>40</xdr:row>
      <xdr:rowOff>168088</xdr:rowOff>
    </xdr:to>
    <xdr:pic>
      <xdr:nvPicPr>
        <xdr:cNvPr id="66" name="図 41">
          <a:extLst>
            <a:ext uri="{FF2B5EF4-FFF2-40B4-BE49-F238E27FC236}">
              <a16:creationId xmlns:a16="http://schemas.microsoft.com/office/drawing/2014/main" id="{8E03EFB9-425D-4E70-B68C-29D54890ECB9}"/>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31353" y="6017559"/>
          <a:ext cx="5165911" cy="1882588"/>
        </a:xfrm>
        <a:prstGeom prst="rect">
          <a:avLst/>
        </a:prstGeom>
        <a:ln w="15875">
          <a:solidFill>
            <a:schemeClr val="tx1"/>
          </a:solidFill>
        </a:ln>
      </xdr:spPr>
    </xdr:pic>
    <xdr:clientData/>
  </xdr:twoCellAnchor>
  <xdr:twoCellAnchor>
    <xdr:from>
      <xdr:col>65</xdr:col>
      <xdr:colOff>156883</xdr:colOff>
      <xdr:row>50</xdr:row>
      <xdr:rowOff>0</xdr:rowOff>
    </xdr:from>
    <xdr:to>
      <xdr:col>87</xdr:col>
      <xdr:colOff>100853</xdr:colOff>
      <xdr:row>60</xdr:row>
      <xdr:rowOff>33618</xdr:rowOff>
    </xdr:to>
    <xdr:pic>
      <xdr:nvPicPr>
        <xdr:cNvPr id="70" name="図 29">
          <a:extLst>
            <a:ext uri="{FF2B5EF4-FFF2-40B4-BE49-F238E27FC236}">
              <a16:creationId xmlns:a16="http://schemas.microsoft.com/office/drawing/2014/main" id="{FC48173C-A252-417A-BB1F-00DF03D51AD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452912" y="9637059"/>
          <a:ext cx="5121088" cy="1938618"/>
        </a:xfrm>
        <a:prstGeom prst="rect">
          <a:avLst/>
        </a:prstGeom>
        <a:ln w="15875">
          <a:solidFill>
            <a:schemeClr val="tx1"/>
          </a:solidFill>
        </a:ln>
      </xdr:spPr>
    </xdr:pic>
    <xdr:clientData/>
  </xdr:twoCellAnchor>
  <xdr:twoCellAnchor>
    <xdr:from>
      <xdr:col>66</xdr:col>
      <xdr:colOff>0</xdr:colOff>
      <xdr:row>77</xdr:row>
      <xdr:rowOff>0</xdr:rowOff>
    </xdr:from>
    <xdr:to>
      <xdr:col>84</xdr:col>
      <xdr:colOff>179295</xdr:colOff>
      <xdr:row>85</xdr:row>
      <xdr:rowOff>156882</xdr:rowOff>
    </xdr:to>
    <xdr:pic>
      <xdr:nvPicPr>
        <xdr:cNvPr id="74" name="図 36">
          <a:extLst>
            <a:ext uri="{FF2B5EF4-FFF2-40B4-BE49-F238E27FC236}">
              <a16:creationId xmlns:a16="http://schemas.microsoft.com/office/drawing/2014/main" id="{495F6E8F-9FD5-4675-B69E-3BD28F7F5024}"/>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531353" y="14780559"/>
          <a:ext cx="4415118" cy="1680882"/>
        </a:xfrm>
        <a:prstGeom prst="rect">
          <a:avLst/>
        </a:prstGeom>
        <a:ln w="15875">
          <a:solidFill>
            <a:schemeClr val="tx1"/>
          </a:solidFill>
        </a:ln>
      </xdr:spPr>
    </xdr:pic>
    <xdr:clientData/>
  </xdr:twoCellAnchor>
  <xdr:twoCellAnchor editAs="oneCell">
    <xdr:from>
      <xdr:col>66</xdr:col>
      <xdr:colOff>0</xdr:colOff>
      <xdr:row>90</xdr:row>
      <xdr:rowOff>0</xdr:rowOff>
    </xdr:from>
    <xdr:to>
      <xdr:col>81</xdr:col>
      <xdr:colOff>89647</xdr:colOff>
      <xdr:row>103</xdr:row>
      <xdr:rowOff>77115</xdr:rowOff>
    </xdr:to>
    <xdr:pic>
      <xdr:nvPicPr>
        <xdr:cNvPr id="75" name="Picture 74">
          <a:extLst>
            <a:ext uri="{FF2B5EF4-FFF2-40B4-BE49-F238E27FC236}">
              <a16:creationId xmlns:a16="http://schemas.microsoft.com/office/drawing/2014/main" id="{0FEBD13A-E164-483C-9E7B-C1EEE47182F7}"/>
            </a:ext>
          </a:extLst>
        </xdr:cNvPr>
        <xdr:cNvPicPr>
          <a:picLocks noChangeAspect="1"/>
        </xdr:cNvPicPr>
      </xdr:nvPicPr>
      <xdr:blipFill>
        <a:blip xmlns:r="http://schemas.openxmlformats.org/officeDocument/2006/relationships" r:embed="rId4"/>
        <a:stretch>
          <a:fillRect/>
        </a:stretch>
      </xdr:blipFill>
      <xdr:spPr>
        <a:xfrm>
          <a:off x="15531353" y="17257059"/>
          <a:ext cx="3619500" cy="2553615"/>
        </a:xfrm>
        <a:prstGeom prst="rect">
          <a:avLst/>
        </a:prstGeom>
      </xdr:spPr>
    </xdr:pic>
    <xdr:clientData/>
  </xdr:twoCellAnchor>
  <xdr:twoCellAnchor editAs="oneCell">
    <xdr:from>
      <xdr:col>83</xdr:col>
      <xdr:colOff>0</xdr:colOff>
      <xdr:row>90</xdr:row>
      <xdr:rowOff>1</xdr:rowOff>
    </xdr:from>
    <xdr:to>
      <xdr:col>98</xdr:col>
      <xdr:colOff>100853</xdr:colOff>
      <xdr:row>103</xdr:row>
      <xdr:rowOff>91877</xdr:rowOff>
    </xdr:to>
    <xdr:pic>
      <xdr:nvPicPr>
        <xdr:cNvPr id="76" name="Picture 75">
          <a:extLst>
            <a:ext uri="{FF2B5EF4-FFF2-40B4-BE49-F238E27FC236}">
              <a16:creationId xmlns:a16="http://schemas.microsoft.com/office/drawing/2014/main" id="{86410CD7-7F71-42A5-8043-C317F4CC5AC2}"/>
            </a:ext>
          </a:extLst>
        </xdr:cNvPr>
        <xdr:cNvPicPr>
          <a:picLocks noChangeAspect="1"/>
        </xdr:cNvPicPr>
      </xdr:nvPicPr>
      <xdr:blipFill>
        <a:blip xmlns:r="http://schemas.openxmlformats.org/officeDocument/2006/relationships" r:embed="rId5"/>
        <a:stretch>
          <a:fillRect/>
        </a:stretch>
      </xdr:blipFill>
      <xdr:spPr>
        <a:xfrm>
          <a:off x="19531853" y="17257060"/>
          <a:ext cx="3630706" cy="2568376"/>
        </a:xfrm>
        <a:prstGeom prst="rect">
          <a:avLst/>
        </a:prstGeom>
      </xdr:spPr>
    </xdr:pic>
    <xdr:clientData/>
  </xdr:twoCellAnchor>
  <xdr:twoCellAnchor editAs="oneCell">
    <xdr:from>
      <xdr:col>100</xdr:col>
      <xdr:colOff>0</xdr:colOff>
      <xdr:row>90</xdr:row>
      <xdr:rowOff>1</xdr:rowOff>
    </xdr:from>
    <xdr:to>
      <xdr:col>115</xdr:col>
      <xdr:colOff>123265</xdr:colOff>
      <xdr:row>103</xdr:row>
      <xdr:rowOff>96623</xdr:rowOff>
    </xdr:to>
    <xdr:pic>
      <xdr:nvPicPr>
        <xdr:cNvPr id="77" name="Picture 76">
          <a:extLst>
            <a:ext uri="{FF2B5EF4-FFF2-40B4-BE49-F238E27FC236}">
              <a16:creationId xmlns:a16="http://schemas.microsoft.com/office/drawing/2014/main" id="{4B8C0567-C62D-4171-A90F-B4EB45696EF7}"/>
            </a:ext>
          </a:extLst>
        </xdr:cNvPr>
        <xdr:cNvPicPr>
          <a:picLocks noChangeAspect="1"/>
        </xdr:cNvPicPr>
      </xdr:nvPicPr>
      <xdr:blipFill>
        <a:blip xmlns:r="http://schemas.openxmlformats.org/officeDocument/2006/relationships" r:embed="rId6"/>
        <a:stretch>
          <a:fillRect/>
        </a:stretch>
      </xdr:blipFill>
      <xdr:spPr>
        <a:xfrm>
          <a:off x="23532353" y="17257060"/>
          <a:ext cx="3653118" cy="2573122"/>
        </a:xfrm>
        <a:prstGeom prst="rect">
          <a:avLst/>
        </a:prstGeom>
      </xdr:spPr>
    </xdr:pic>
    <xdr:clientData/>
  </xdr:twoCellAnchor>
  <xdr:twoCellAnchor editAs="oneCell">
    <xdr:from>
      <xdr:col>65</xdr:col>
      <xdr:colOff>145676</xdr:colOff>
      <xdr:row>139</xdr:row>
      <xdr:rowOff>100852</xdr:rowOff>
    </xdr:from>
    <xdr:to>
      <xdr:col>83</xdr:col>
      <xdr:colOff>56028</xdr:colOff>
      <xdr:row>157</xdr:row>
      <xdr:rowOff>46927</xdr:rowOff>
    </xdr:to>
    <xdr:pic>
      <xdr:nvPicPr>
        <xdr:cNvPr id="78" name="Picture 77">
          <a:extLst>
            <a:ext uri="{FF2B5EF4-FFF2-40B4-BE49-F238E27FC236}">
              <a16:creationId xmlns:a16="http://schemas.microsoft.com/office/drawing/2014/main" id="{E4B39884-5881-4C05-8FB6-7F78E90CDD0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5441705" y="26692411"/>
          <a:ext cx="4146176" cy="3375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123265</xdr:colOff>
      <xdr:row>120</xdr:row>
      <xdr:rowOff>0</xdr:rowOff>
    </xdr:from>
    <xdr:to>
      <xdr:col>102</xdr:col>
      <xdr:colOff>56030</xdr:colOff>
      <xdr:row>138</xdr:row>
      <xdr:rowOff>110421</xdr:rowOff>
    </xdr:to>
    <xdr:pic>
      <xdr:nvPicPr>
        <xdr:cNvPr id="79" name="Picture 78">
          <a:extLst>
            <a:ext uri="{FF2B5EF4-FFF2-40B4-BE49-F238E27FC236}">
              <a16:creationId xmlns:a16="http://schemas.microsoft.com/office/drawing/2014/main" id="{32A966D7-91F3-4AEA-9482-E28877779B24}"/>
            </a:ext>
          </a:extLst>
        </xdr:cNvPr>
        <xdr:cNvPicPr>
          <a:picLocks noChangeAspect="1"/>
        </xdr:cNvPicPr>
      </xdr:nvPicPr>
      <xdr:blipFill>
        <a:blip xmlns:r="http://schemas.openxmlformats.org/officeDocument/2006/relationships" r:embed="rId8"/>
        <a:stretch>
          <a:fillRect/>
        </a:stretch>
      </xdr:blipFill>
      <xdr:spPr>
        <a:xfrm>
          <a:off x="15419294" y="22972059"/>
          <a:ext cx="8639736" cy="35394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50</xdr:col>
      <xdr:colOff>0</xdr:colOff>
      <xdr:row>8</xdr:row>
      <xdr:rowOff>0</xdr:rowOff>
    </xdr:from>
    <xdr:to>
      <xdr:col>87</xdr:col>
      <xdr:colOff>206748</xdr:colOff>
      <xdr:row>11</xdr:row>
      <xdr:rowOff>657225</xdr:rowOff>
    </xdr:to>
    <xdr:sp macro="" textlink="">
      <xdr:nvSpPr>
        <xdr:cNvPr id="2" name="テキスト ボックス 12">
          <a:extLst>
            <a:ext uri="{FF2B5EF4-FFF2-40B4-BE49-F238E27FC236}">
              <a16:creationId xmlns:a16="http://schemas.microsoft.com/office/drawing/2014/main" id="{1531276C-BF19-49E9-93B1-DE737A9CF53F}"/>
            </a:ext>
            <a:ext uri="{147F2762-F138-4A5C-976F-8EAC2B608ADB}">
              <a16:predDERef xmlns:a16="http://schemas.microsoft.com/office/drawing/2014/main" pred="{6CA85EA9-2E81-323A-B019-52F676F436D7}"/>
            </a:ext>
          </a:extLst>
        </xdr:cNvPr>
        <xdr:cNvSpPr txBox="1"/>
      </xdr:nvSpPr>
      <xdr:spPr>
        <a:xfrm>
          <a:off x="11766176" y="1636059"/>
          <a:ext cx="8913719" cy="1699372"/>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ja-JP" altLang="en-US" sz="2600" b="1" i="0" u="none" strike="noStrike">
              <a:solidFill>
                <a:srgbClr val="000000"/>
              </a:solidFill>
              <a:latin typeface="Calibri" panose="020F0502020204030204" pitchFamily="34" charset="0"/>
              <a:cs typeface="Calibri" panose="020F0502020204030204" pitchFamily="34" charset="0"/>
            </a:rPr>
            <a:t>年内</a:t>
          </a:r>
          <a:r>
            <a:rPr lang="ja-JP" altLang="en-US" sz="2600" b="1" i="0" u="none" strike="noStrike">
              <a:solidFill>
                <a:srgbClr val="000000"/>
              </a:solidFill>
              <a:latin typeface="+mn-lt"/>
              <a:ea typeface="+mn-lt"/>
              <a:cs typeface="+mn-lt"/>
            </a:rPr>
            <a:t>で作成できれば</a:t>
          </a:r>
          <a:r>
            <a:rPr lang="ja-JP" altLang="en-US" sz="2600" b="1" i="0" u="none" strike="noStrike">
              <a:solidFill>
                <a:srgbClr val="000000"/>
              </a:solidFill>
              <a:latin typeface="Calibri" panose="020F0502020204030204" pitchFamily="34" charset="0"/>
              <a:cs typeface="Calibri" panose="020F0502020204030204" pitchFamily="34" charset="0"/>
            </a:rPr>
            <a:t>良い。　２０２４０９１２</a:t>
          </a:r>
        </a:p>
      </xdr:txBody>
    </xdr:sp>
    <xdr:clientData/>
  </xdr:twoCellAnchor>
  <xdr:twoCellAnchor editAs="oneCell">
    <xdr:from>
      <xdr:col>65</xdr:col>
      <xdr:colOff>0</xdr:colOff>
      <xdr:row>29</xdr:row>
      <xdr:rowOff>0</xdr:rowOff>
    </xdr:from>
    <xdr:to>
      <xdr:col>101</xdr:col>
      <xdr:colOff>168089</xdr:colOff>
      <xdr:row>35</xdr:row>
      <xdr:rowOff>54391</xdr:rowOff>
    </xdr:to>
    <xdr:pic>
      <xdr:nvPicPr>
        <xdr:cNvPr id="3" name="Picture 2">
          <a:extLst>
            <a:ext uri="{FF2B5EF4-FFF2-40B4-BE49-F238E27FC236}">
              <a16:creationId xmlns:a16="http://schemas.microsoft.com/office/drawing/2014/main" id="{D4C8D5DB-99E1-4206-9CCA-5D5700E21005}"/>
            </a:ext>
          </a:extLst>
        </xdr:cNvPr>
        <xdr:cNvPicPr>
          <a:picLocks noChangeAspect="1"/>
        </xdr:cNvPicPr>
      </xdr:nvPicPr>
      <xdr:blipFill>
        <a:blip xmlns:r="http://schemas.openxmlformats.org/officeDocument/2006/relationships" r:embed="rId1"/>
        <a:stretch>
          <a:fillRect/>
        </a:stretch>
      </xdr:blipFill>
      <xdr:spPr>
        <a:xfrm>
          <a:off x="15296029" y="9020735"/>
          <a:ext cx="8639736" cy="35394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92" t="s">
        <v>0</v>
      </c>
      <c r="B1" s="93"/>
      <c r="C1" s="93"/>
      <c r="D1" s="93"/>
      <c r="E1" s="93"/>
      <c r="F1" s="93"/>
      <c r="G1" s="93"/>
      <c r="H1" s="93"/>
      <c r="I1" s="93"/>
      <c r="J1" s="94"/>
      <c r="K1" s="92" t="s">
        <v>1</v>
      </c>
      <c r="L1" s="93"/>
      <c r="M1" s="93"/>
      <c r="N1" s="93"/>
      <c r="O1" s="93"/>
      <c r="P1" s="93"/>
      <c r="Q1" s="93"/>
      <c r="R1" s="93"/>
      <c r="S1" s="93"/>
      <c r="T1" s="93"/>
      <c r="U1" s="93"/>
      <c r="V1" s="94"/>
      <c r="W1" s="102" t="s">
        <v>2</v>
      </c>
      <c r="X1" s="103"/>
      <c r="Y1" s="103"/>
      <c r="Z1" s="103"/>
      <c r="AA1" s="103"/>
      <c r="AB1" s="103"/>
      <c r="AC1" s="103"/>
      <c r="AD1" s="103"/>
      <c r="AE1" s="103"/>
      <c r="AF1" s="103"/>
      <c r="AG1" s="103"/>
      <c r="AH1" s="103"/>
      <c r="AI1" s="103"/>
      <c r="AJ1" s="103"/>
      <c r="AK1" s="103"/>
      <c r="AL1" s="103"/>
      <c r="AM1" s="103"/>
      <c r="AN1" s="103"/>
      <c r="AO1" s="104"/>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101" t="s">
        <v>8</v>
      </c>
      <c r="B2" s="96"/>
      <c r="C2" s="96"/>
      <c r="D2" s="96"/>
      <c r="E2" s="96"/>
      <c r="F2" s="96"/>
      <c r="G2" s="96"/>
      <c r="H2" s="96"/>
      <c r="I2" s="96"/>
      <c r="J2" s="97"/>
      <c r="K2" s="95" t="s">
        <v>9</v>
      </c>
      <c r="L2" s="96"/>
      <c r="M2" s="96"/>
      <c r="N2" s="96"/>
      <c r="O2" s="96"/>
      <c r="P2" s="96"/>
      <c r="Q2" s="96"/>
      <c r="R2" s="96"/>
      <c r="S2" s="96"/>
      <c r="T2" s="96"/>
      <c r="U2" s="96"/>
      <c r="V2" s="97"/>
      <c r="W2" s="105"/>
      <c r="X2" s="106"/>
      <c r="Y2" s="106"/>
      <c r="Z2" s="106"/>
      <c r="AA2" s="106"/>
      <c r="AB2" s="106"/>
      <c r="AC2" s="106"/>
      <c r="AD2" s="106"/>
      <c r="AE2" s="106"/>
      <c r="AF2" s="106"/>
      <c r="AG2" s="106"/>
      <c r="AH2" s="106"/>
      <c r="AI2" s="106"/>
      <c r="AJ2" s="106"/>
      <c r="AK2" s="106"/>
      <c r="AL2" s="106"/>
      <c r="AM2" s="106"/>
      <c r="AN2" s="106"/>
      <c r="AO2" s="107"/>
      <c r="AP2" s="95" t="str">
        <f>改訂履歴!$H$11</f>
        <v>TuyenNH</v>
      </c>
      <c r="AQ2" s="96"/>
      <c r="AR2" s="96"/>
      <c r="AS2" s="97"/>
      <c r="AT2" s="122">
        <f>改訂履歴!$B$11</f>
        <v>45420</v>
      </c>
      <c r="AU2" s="123"/>
      <c r="AV2" s="123"/>
      <c r="AW2" s="123"/>
      <c r="AX2" s="124"/>
      <c r="AY2" s="95" t="str">
        <f>LOOKUP(2,1/(改訂履歴!H11:H30000&lt;&gt;""),改訂履歴!H11:H30000)</f>
        <v>AnhDD</v>
      </c>
      <c r="AZ2" s="96"/>
      <c r="BA2" s="96"/>
      <c r="BB2" s="97"/>
      <c r="BC2" s="122">
        <f>LOOKUP(2,1/(改訂履歴!B11:B30000&lt;&gt;""),改訂履歴!B11:B30000)</f>
        <v>45558</v>
      </c>
      <c r="BD2" s="123"/>
      <c r="BE2" s="123"/>
      <c r="BF2" s="123"/>
      <c r="BG2" s="124"/>
      <c r="BH2" s="116">
        <f>LOOKUP(2,1/(改訂履歴!O11:O30000&lt;&gt;""),改訂履歴!O11:O30000)</f>
        <v>0.14000000000000001</v>
      </c>
      <c r="BI2" s="117"/>
      <c r="BJ2" s="117"/>
      <c r="BK2" s="118"/>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108"/>
      <c r="X3" s="109"/>
      <c r="Y3" s="109"/>
      <c r="Z3" s="109"/>
      <c r="AA3" s="109"/>
      <c r="AB3" s="109"/>
      <c r="AC3" s="109"/>
      <c r="AD3" s="109"/>
      <c r="AE3" s="109"/>
      <c r="AF3" s="109"/>
      <c r="AG3" s="109"/>
      <c r="AH3" s="109"/>
      <c r="AI3" s="109"/>
      <c r="AJ3" s="109"/>
      <c r="AK3" s="109"/>
      <c r="AL3" s="109"/>
      <c r="AM3" s="109"/>
      <c r="AN3" s="109"/>
      <c r="AO3" s="110"/>
      <c r="AP3" s="98"/>
      <c r="AQ3" s="99"/>
      <c r="AR3" s="99"/>
      <c r="AS3" s="100"/>
      <c r="AT3" s="125"/>
      <c r="AU3" s="126"/>
      <c r="AV3" s="126"/>
      <c r="AW3" s="126"/>
      <c r="AX3" s="127"/>
      <c r="AY3" s="98"/>
      <c r="AZ3" s="99"/>
      <c r="BA3" s="99"/>
      <c r="BB3" s="100"/>
      <c r="BC3" s="125"/>
      <c r="BD3" s="126"/>
      <c r="BE3" s="126"/>
      <c r="BF3" s="126"/>
      <c r="BG3" s="127"/>
      <c r="BH3" s="119"/>
      <c r="BI3" s="120"/>
      <c r="BJ3" s="120"/>
      <c r="BK3" s="121"/>
    </row>
    <row r="4" spans="1:63" ht="24.95" customHeight="1" x14ac:dyDescent="0.25">
      <c r="A4" s="92" t="s">
        <v>10</v>
      </c>
      <c r="B4" s="93"/>
      <c r="C4" s="93"/>
      <c r="D4" s="93"/>
      <c r="E4" s="93"/>
      <c r="F4" s="93"/>
      <c r="G4" s="94"/>
      <c r="H4" s="128" t="s">
        <v>11</v>
      </c>
      <c r="I4" s="129"/>
      <c r="J4" s="129"/>
      <c r="K4" s="129"/>
      <c r="L4" s="129"/>
      <c r="M4" s="129"/>
      <c r="N4" s="129"/>
      <c r="O4" s="129"/>
      <c r="P4" s="129"/>
      <c r="Q4" s="129"/>
      <c r="R4" s="129"/>
      <c r="S4" s="129"/>
      <c r="T4" s="130"/>
      <c r="U4" s="92" t="s">
        <v>12</v>
      </c>
      <c r="V4" s="93"/>
      <c r="W4" s="93"/>
      <c r="X4" s="93"/>
      <c r="Y4" s="94"/>
      <c r="Z4" s="113" t="s">
        <v>13</v>
      </c>
      <c r="AA4" s="114"/>
      <c r="AB4" s="114"/>
      <c r="AC4" s="114"/>
      <c r="AD4" s="114"/>
      <c r="AE4" s="114"/>
      <c r="AF4" s="114"/>
      <c r="AG4" s="114"/>
      <c r="AH4" s="114"/>
      <c r="AI4" s="114"/>
      <c r="AJ4" s="114"/>
      <c r="AK4" s="114"/>
      <c r="AL4" s="114"/>
      <c r="AM4" s="114"/>
      <c r="AN4" s="114"/>
      <c r="AO4" s="115"/>
      <c r="AP4" s="113" t="str">
        <f t="array" aca="1" ref="AP4" ca="1">RIGHT(CELL("filename",$A$1),LEN(CELL("filename",$A$1))-FIND("]",CELL("filename",$A$1)))</f>
        <v>表紙</v>
      </c>
      <c r="AQ4" s="114"/>
      <c r="AR4" s="114"/>
      <c r="AS4" s="114"/>
      <c r="AT4" s="114"/>
      <c r="AU4" s="114"/>
      <c r="AV4" s="114"/>
      <c r="AW4" s="114"/>
      <c r="AX4" s="114"/>
      <c r="AY4" s="114"/>
      <c r="AZ4" s="114"/>
      <c r="BA4" s="114"/>
      <c r="BB4" s="114"/>
      <c r="BC4" s="114"/>
      <c r="BD4" s="114"/>
      <c r="BE4" s="114"/>
      <c r="BF4" s="114"/>
      <c r="BG4" s="114"/>
      <c r="BH4" s="114"/>
      <c r="BI4" s="114"/>
      <c r="BJ4" s="114"/>
      <c r="BK4" s="115"/>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K7" s="36"/>
    </row>
    <row r="8" spans="1:63" ht="15" customHeight="1" x14ac:dyDescent="0.25">
      <c r="A8" s="35"/>
      <c r="BK8" s="36"/>
    </row>
    <row r="9" spans="1:63" ht="15" customHeight="1" x14ac:dyDescent="0.25">
      <c r="A9" s="35"/>
      <c r="BK9" s="36"/>
    </row>
    <row r="10" spans="1:63" ht="15" customHeight="1" x14ac:dyDescent="0.25">
      <c r="A10" s="35"/>
      <c r="BK10" s="36"/>
    </row>
    <row r="11" spans="1:63" ht="15" customHeight="1" x14ac:dyDescent="0.25">
      <c r="A11" s="35"/>
      <c r="BK11" s="36"/>
    </row>
    <row r="12" spans="1:63" ht="15" customHeight="1" x14ac:dyDescent="0.25">
      <c r="A12" s="35"/>
      <c r="BK12" s="36"/>
    </row>
    <row r="13" spans="1:63" ht="15" customHeight="1" x14ac:dyDescent="0.25">
      <c r="A13" s="35"/>
      <c r="BK13" s="36"/>
    </row>
    <row r="14" spans="1:63" ht="15" customHeight="1" thickBot="1" x14ac:dyDescent="0.3">
      <c r="A14" s="35"/>
      <c r="BK14" s="36"/>
    </row>
    <row r="15" spans="1:63" ht="15" customHeight="1" thickTop="1" x14ac:dyDescent="0.25">
      <c r="A15" s="35"/>
      <c r="K15" s="37"/>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9"/>
      <c r="BK15" s="36"/>
    </row>
    <row r="16" spans="1:63" ht="15" customHeight="1" x14ac:dyDescent="0.25">
      <c r="A16" s="35"/>
      <c r="K16" s="40"/>
      <c r="L16" s="111" t="s">
        <v>14</v>
      </c>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41"/>
      <c r="BK16" s="36"/>
    </row>
    <row r="17" spans="1:63" ht="15" customHeight="1" x14ac:dyDescent="0.25">
      <c r="A17" s="35"/>
      <c r="K17" s="40"/>
      <c r="L17" s="112"/>
      <c r="M17" s="112"/>
      <c r="N17" s="112"/>
      <c r="O17" s="112"/>
      <c r="P17" s="112"/>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41"/>
      <c r="BK17" s="36"/>
    </row>
    <row r="18" spans="1:63" ht="15" customHeight="1" x14ac:dyDescent="0.25">
      <c r="A18" s="35"/>
      <c r="K18" s="40"/>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41"/>
      <c r="BK18" s="36"/>
    </row>
    <row r="19" spans="1:63" ht="15" customHeight="1" x14ac:dyDescent="0.25">
      <c r="A19" s="35"/>
      <c r="K19" s="40"/>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41"/>
      <c r="BK19" s="36"/>
    </row>
    <row r="20" spans="1:63" ht="15" customHeight="1" x14ac:dyDescent="0.25">
      <c r="A20" s="35"/>
      <c r="K20" s="40"/>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41"/>
      <c r="BK20" s="36"/>
    </row>
    <row r="21" spans="1:63" ht="15" customHeight="1" x14ac:dyDescent="0.25">
      <c r="A21" s="35"/>
      <c r="K21" s="40"/>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41"/>
      <c r="BK21" s="36"/>
    </row>
    <row r="22" spans="1:63" ht="15" customHeight="1" thickBot="1" x14ac:dyDescent="0.3">
      <c r="A22" s="35"/>
      <c r="K22" s="40"/>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1"/>
      <c r="BK22" s="36"/>
    </row>
    <row r="23" spans="1:63" ht="15" customHeight="1" x14ac:dyDescent="0.25">
      <c r="A23" s="35"/>
      <c r="K23" s="40"/>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1"/>
      <c r="BK23" s="36"/>
    </row>
    <row r="24" spans="1:63" ht="15" customHeight="1" x14ac:dyDescent="0.25">
      <c r="A24" s="35"/>
      <c r="K24" s="40"/>
      <c r="L24" s="112" t="str">
        <f>K2&amp;"/"&amp;H4&amp;"/"&amp;Z4</f>
        <v>POSサーバー/20_レジ精算入力/概要設計書</v>
      </c>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41"/>
      <c r="BK24" s="36"/>
    </row>
    <row r="25" spans="1:63" ht="15" customHeight="1" x14ac:dyDescent="0.25">
      <c r="A25" s="35"/>
      <c r="K25" s="40"/>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41"/>
      <c r="BK25" s="36"/>
    </row>
    <row r="26" spans="1:63" ht="15" customHeight="1" x14ac:dyDescent="0.25">
      <c r="A26" s="35"/>
      <c r="K26" s="40"/>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41"/>
      <c r="BK26" s="36"/>
    </row>
    <row r="27" spans="1:63" ht="15" customHeight="1" x14ac:dyDescent="0.25">
      <c r="A27" s="35"/>
      <c r="K27" s="40"/>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41"/>
      <c r="BK27" s="36"/>
    </row>
    <row r="28" spans="1:63" ht="15" customHeight="1" x14ac:dyDescent="0.25">
      <c r="A28" s="35"/>
      <c r="K28" s="40"/>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41"/>
      <c r="BK28" s="36"/>
    </row>
    <row r="29" spans="1:63" ht="15" customHeight="1" x14ac:dyDescent="0.25">
      <c r="A29" s="35"/>
      <c r="K29" s="40"/>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41"/>
      <c r="BK29" s="36"/>
    </row>
    <row r="30" spans="1:63" ht="15" customHeight="1" x14ac:dyDescent="0.25">
      <c r="A30" s="35"/>
      <c r="K30" s="40"/>
      <c r="L30" s="112"/>
      <c r="M30" s="112"/>
      <c r="N30" s="112"/>
      <c r="O30" s="112"/>
      <c r="P30" s="112"/>
      <c r="Q30" s="112"/>
      <c r="R30" s="112"/>
      <c r="S30" s="112"/>
      <c r="T30" s="112"/>
      <c r="U30" s="112"/>
      <c r="V30" s="112"/>
      <c r="W30" s="112"/>
      <c r="X30" s="112"/>
      <c r="Y30" s="112"/>
      <c r="Z30" s="112"/>
      <c r="AA30" s="112"/>
      <c r="AB30" s="112"/>
      <c r="AC30" s="112"/>
      <c r="AD30" s="112"/>
      <c r="AE30" s="112"/>
      <c r="AF30" s="112"/>
      <c r="AG30" s="112"/>
      <c r="AH30" s="112"/>
      <c r="AI30" s="112"/>
      <c r="AJ30" s="112"/>
      <c r="AK30" s="112"/>
      <c r="AL30" s="112"/>
      <c r="AM30" s="112"/>
      <c r="AN30" s="112"/>
      <c r="AO30" s="112"/>
      <c r="AP30" s="112"/>
      <c r="AQ30" s="112"/>
      <c r="AR30" s="112"/>
      <c r="AS30" s="112"/>
      <c r="AT30" s="112"/>
      <c r="AU30" s="112"/>
      <c r="AV30" s="112"/>
      <c r="AW30" s="112"/>
      <c r="AX30" s="112"/>
      <c r="AY30" s="112"/>
      <c r="AZ30" s="112"/>
      <c r="BA30" s="41"/>
      <c r="BK30" s="36"/>
    </row>
    <row r="31" spans="1:63" ht="15" customHeight="1" x14ac:dyDescent="0.25">
      <c r="A31" s="35"/>
      <c r="K31" s="40"/>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41"/>
      <c r="BK31" s="36"/>
    </row>
    <row r="32" spans="1:63" ht="15" customHeight="1" x14ac:dyDescent="0.25">
      <c r="A32" s="35"/>
      <c r="K32" s="40"/>
      <c r="L32" s="112"/>
      <c r="M32" s="112"/>
      <c r="N32" s="112"/>
      <c r="O32" s="112"/>
      <c r="P32" s="112"/>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41"/>
      <c r="BK32" s="36"/>
    </row>
    <row r="33" spans="1:63" ht="15" customHeight="1" x14ac:dyDescent="0.25">
      <c r="A33" s="35"/>
      <c r="K33" s="40"/>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41"/>
      <c r="BK33" s="36"/>
    </row>
    <row r="34" spans="1:63" ht="15" customHeight="1" x14ac:dyDescent="0.25">
      <c r="A34" s="35"/>
      <c r="K34" s="40"/>
      <c r="L34" s="112"/>
      <c r="M34" s="112"/>
      <c r="N34" s="112"/>
      <c r="O34" s="112"/>
      <c r="P34" s="112"/>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41"/>
      <c r="BK34" s="36"/>
    </row>
    <row r="35" spans="1:63" ht="15" customHeight="1" x14ac:dyDescent="0.25">
      <c r="A35" s="35"/>
      <c r="K35" s="40"/>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41"/>
      <c r="BK35" s="36"/>
    </row>
    <row r="36" spans="1:63" ht="15" customHeight="1" x14ac:dyDescent="0.25">
      <c r="A36" s="35"/>
      <c r="K36" s="40"/>
      <c r="L36" s="112"/>
      <c r="M36" s="112"/>
      <c r="N36" s="112"/>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41"/>
      <c r="BK36" s="36"/>
    </row>
    <row r="37" spans="1:63" ht="15" customHeight="1" thickBot="1" x14ac:dyDescent="0.3">
      <c r="A37" s="35"/>
      <c r="K37" s="44"/>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6"/>
      <c r="BK37" s="36"/>
    </row>
    <row r="38" spans="1:63" ht="15" customHeight="1" thickTop="1" x14ac:dyDescent="0.25">
      <c r="A38" s="35"/>
      <c r="BK38" s="36"/>
    </row>
    <row r="39" spans="1:63" ht="15" customHeight="1" x14ac:dyDescent="0.25">
      <c r="A39" s="35"/>
      <c r="BK39" s="36"/>
    </row>
    <row r="40" spans="1:63" ht="15" customHeight="1" x14ac:dyDescent="0.25">
      <c r="A40" s="35"/>
      <c r="BK40" s="36"/>
    </row>
    <row r="41" spans="1:63" ht="15" customHeight="1" x14ac:dyDescent="0.25">
      <c r="A41" s="35"/>
      <c r="BK41" s="36"/>
    </row>
    <row r="42" spans="1:63" ht="15" customHeight="1" x14ac:dyDescent="0.25">
      <c r="A42" s="35"/>
      <c r="BK42" s="36"/>
    </row>
    <row r="43" spans="1:63" ht="15" customHeight="1" x14ac:dyDescent="0.25">
      <c r="A43" s="35"/>
      <c r="BK43" s="36"/>
    </row>
    <row r="44" spans="1:63" ht="15" customHeight="1" x14ac:dyDescent="0.25">
      <c r="A44" s="35"/>
      <c r="Q44" s="134" t="s">
        <v>15</v>
      </c>
      <c r="R44" s="135"/>
      <c r="S44" s="135"/>
      <c r="T44" s="135"/>
      <c r="U44" s="135"/>
      <c r="V44" s="135"/>
      <c r="W44" s="135"/>
      <c r="X44" s="135"/>
      <c r="Y44" s="135"/>
      <c r="Z44" s="136"/>
      <c r="AA44" s="134" t="s">
        <v>16</v>
      </c>
      <c r="AB44" s="135"/>
      <c r="AC44" s="135"/>
      <c r="AD44" s="135"/>
      <c r="AE44" s="135"/>
      <c r="AF44" s="135"/>
      <c r="AG44" s="135"/>
      <c r="AH44" s="135"/>
      <c r="AI44" s="135"/>
      <c r="AJ44" s="135"/>
      <c r="AK44" s="135"/>
      <c r="AL44" s="135"/>
      <c r="AM44" s="135"/>
      <c r="AN44" s="135"/>
      <c r="AO44" s="135"/>
      <c r="AP44" s="136"/>
      <c r="AQ44" s="134" t="s">
        <v>7</v>
      </c>
      <c r="AR44" s="135"/>
      <c r="AS44" s="135"/>
      <c r="AT44" s="135"/>
      <c r="AU44" s="136"/>
      <c r="BK44" s="36"/>
    </row>
    <row r="45" spans="1:63" ht="15" customHeight="1" x14ac:dyDescent="0.25">
      <c r="A45" s="35"/>
      <c r="Q45" s="137"/>
      <c r="R45" s="138"/>
      <c r="S45" s="138"/>
      <c r="T45" s="138"/>
      <c r="U45" s="138"/>
      <c r="V45" s="138"/>
      <c r="W45" s="138"/>
      <c r="X45" s="138"/>
      <c r="Y45" s="138"/>
      <c r="Z45" s="139"/>
      <c r="AA45" s="137"/>
      <c r="AB45" s="138"/>
      <c r="AC45" s="138"/>
      <c r="AD45" s="138"/>
      <c r="AE45" s="138"/>
      <c r="AF45" s="138"/>
      <c r="AG45" s="138"/>
      <c r="AH45" s="138"/>
      <c r="AI45" s="138"/>
      <c r="AJ45" s="138"/>
      <c r="AK45" s="138"/>
      <c r="AL45" s="138"/>
      <c r="AM45" s="138"/>
      <c r="AN45" s="138"/>
      <c r="AO45" s="138"/>
      <c r="AP45" s="139"/>
      <c r="AQ45" s="137"/>
      <c r="AR45" s="138"/>
      <c r="AS45" s="138"/>
      <c r="AT45" s="138"/>
      <c r="AU45" s="139"/>
      <c r="BK45" s="36"/>
    </row>
    <row r="46" spans="1:63" ht="15" customHeight="1" x14ac:dyDescent="0.25">
      <c r="A46" s="35"/>
      <c r="Q46" s="95"/>
      <c r="R46" s="96"/>
      <c r="S46" s="96"/>
      <c r="T46" s="96"/>
      <c r="U46" s="96"/>
      <c r="V46" s="96"/>
      <c r="W46" s="96"/>
      <c r="X46" s="96"/>
      <c r="Y46" s="96"/>
      <c r="Z46" s="97"/>
      <c r="AA46" s="95"/>
      <c r="AB46" s="96"/>
      <c r="AC46" s="96"/>
      <c r="AD46" s="96"/>
      <c r="AE46" s="96"/>
      <c r="AF46" s="96"/>
      <c r="AG46" s="96"/>
      <c r="AH46" s="96"/>
      <c r="AI46" s="96"/>
      <c r="AJ46" s="96"/>
      <c r="AK46" s="96"/>
      <c r="AL46" s="96"/>
      <c r="AM46" s="96"/>
      <c r="AN46" s="96"/>
      <c r="AO46" s="96"/>
      <c r="AP46" s="97"/>
      <c r="AQ46" s="95"/>
      <c r="AR46" s="96"/>
      <c r="AS46" s="96"/>
      <c r="AT46" s="96"/>
      <c r="AU46" s="97"/>
      <c r="BK46" s="36"/>
    </row>
    <row r="47" spans="1:63" ht="15" customHeight="1" x14ac:dyDescent="0.25">
      <c r="A47" s="35"/>
      <c r="Q47" s="131"/>
      <c r="R47" s="132"/>
      <c r="S47" s="132"/>
      <c r="T47" s="132"/>
      <c r="U47" s="132"/>
      <c r="V47" s="132"/>
      <c r="W47" s="132"/>
      <c r="X47" s="132"/>
      <c r="Y47" s="132"/>
      <c r="Z47" s="133"/>
      <c r="AA47" s="131"/>
      <c r="AB47" s="132"/>
      <c r="AC47" s="132"/>
      <c r="AD47" s="132"/>
      <c r="AE47" s="132"/>
      <c r="AF47" s="132"/>
      <c r="AG47" s="132"/>
      <c r="AH47" s="132"/>
      <c r="AI47" s="132"/>
      <c r="AJ47" s="132"/>
      <c r="AK47" s="132"/>
      <c r="AL47" s="132"/>
      <c r="AM47" s="132"/>
      <c r="AN47" s="132"/>
      <c r="AO47" s="132"/>
      <c r="AP47" s="133"/>
      <c r="AQ47" s="131"/>
      <c r="AR47" s="132"/>
      <c r="AS47" s="132"/>
      <c r="AT47" s="132"/>
      <c r="AU47" s="133"/>
      <c r="BK47" s="36"/>
    </row>
    <row r="48" spans="1:63" ht="15" customHeight="1" x14ac:dyDescent="0.25">
      <c r="A48" s="35"/>
      <c r="Q48" s="131"/>
      <c r="R48" s="132"/>
      <c r="S48" s="132"/>
      <c r="T48" s="132"/>
      <c r="U48" s="132"/>
      <c r="V48" s="132"/>
      <c r="W48" s="132"/>
      <c r="X48" s="132"/>
      <c r="Y48" s="132"/>
      <c r="Z48" s="133"/>
      <c r="AA48" s="131"/>
      <c r="AB48" s="132"/>
      <c r="AC48" s="132"/>
      <c r="AD48" s="132"/>
      <c r="AE48" s="132"/>
      <c r="AF48" s="132"/>
      <c r="AG48" s="132"/>
      <c r="AH48" s="132"/>
      <c r="AI48" s="132"/>
      <c r="AJ48" s="132"/>
      <c r="AK48" s="132"/>
      <c r="AL48" s="132"/>
      <c r="AM48" s="132"/>
      <c r="AN48" s="132"/>
      <c r="AO48" s="132"/>
      <c r="AP48" s="133"/>
      <c r="AQ48" s="131"/>
      <c r="AR48" s="132"/>
      <c r="AS48" s="132"/>
      <c r="AT48" s="132"/>
      <c r="AU48" s="133"/>
      <c r="BK48" s="36"/>
    </row>
    <row r="49" spans="1:63" ht="15" customHeight="1" x14ac:dyDescent="0.25">
      <c r="A49" s="35"/>
      <c r="Q49" s="98"/>
      <c r="R49" s="99"/>
      <c r="S49" s="99"/>
      <c r="T49" s="99"/>
      <c r="U49" s="99"/>
      <c r="V49" s="99"/>
      <c r="W49" s="99"/>
      <c r="X49" s="99"/>
      <c r="Y49" s="99"/>
      <c r="Z49" s="100"/>
      <c r="AA49" s="98"/>
      <c r="AB49" s="99"/>
      <c r="AC49" s="99"/>
      <c r="AD49" s="99"/>
      <c r="AE49" s="99"/>
      <c r="AF49" s="99"/>
      <c r="AG49" s="99"/>
      <c r="AH49" s="99"/>
      <c r="AI49" s="99"/>
      <c r="AJ49" s="99"/>
      <c r="AK49" s="99"/>
      <c r="AL49" s="99"/>
      <c r="AM49" s="99"/>
      <c r="AN49" s="99"/>
      <c r="AO49" s="99"/>
      <c r="AP49" s="100"/>
      <c r="AQ49" s="98"/>
      <c r="AR49" s="99"/>
      <c r="AS49" s="99"/>
      <c r="AT49" s="99"/>
      <c r="AU49" s="100"/>
      <c r="BK49" s="36"/>
    </row>
    <row r="50" spans="1:63" ht="15" customHeight="1" x14ac:dyDescent="0.25">
      <c r="A50" s="35"/>
      <c r="BK50" s="36"/>
    </row>
    <row r="51" spans="1:63" ht="15" customHeight="1" x14ac:dyDescent="0.25">
      <c r="A51" s="35"/>
      <c r="BK51" s="36"/>
    </row>
    <row r="52" spans="1:63" ht="15" customHeight="1" x14ac:dyDescent="0.25">
      <c r="A52" s="35"/>
      <c r="BK52" s="36"/>
    </row>
    <row r="53" spans="1:63" ht="15" customHeight="1" x14ac:dyDescent="0.25">
      <c r="A53" s="35"/>
      <c r="BK53" s="36"/>
    </row>
    <row r="54" spans="1:63" ht="15" customHeight="1" x14ac:dyDescent="0.25">
      <c r="A54" s="35"/>
      <c r="BK54" s="36"/>
    </row>
    <row r="55" spans="1:63" ht="15" customHeight="1" x14ac:dyDescent="0.25">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31" customWidth="1"/>
    <col min="61" max="16384" width="2.77734375" style="31"/>
  </cols>
  <sheetData>
    <row r="1" spans="1:63" ht="24.95" customHeight="1" x14ac:dyDescent="0.25">
      <c r="A1" s="92" t="s">
        <v>0</v>
      </c>
      <c r="B1" s="93"/>
      <c r="C1" s="93"/>
      <c r="D1" s="93"/>
      <c r="E1" s="93"/>
      <c r="F1" s="93"/>
      <c r="G1" s="93"/>
      <c r="H1" s="93"/>
      <c r="I1" s="93"/>
      <c r="J1" s="94"/>
      <c r="K1" s="92" t="s">
        <v>1</v>
      </c>
      <c r="L1" s="93"/>
      <c r="M1" s="93"/>
      <c r="N1" s="93"/>
      <c r="O1" s="93"/>
      <c r="P1" s="93"/>
      <c r="Q1" s="93"/>
      <c r="R1" s="93"/>
      <c r="S1" s="93"/>
      <c r="T1" s="93"/>
      <c r="U1" s="93"/>
      <c r="V1" s="94"/>
      <c r="W1" s="102" t="str">
        <f>IF(表紙!W1="","",表紙!W1)</f>
        <v>基本設計書</v>
      </c>
      <c r="X1" s="103"/>
      <c r="Y1" s="103"/>
      <c r="Z1" s="103"/>
      <c r="AA1" s="103"/>
      <c r="AB1" s="103"/>
      <c r="AC1" s="103"/>
      <c r="AD1" s="103"/>
      <c r="AE1" s="103"/>
      <c r="AF1" s="103"/>
      <c r="AG1" s="103"/>
      <c r="AH1" s="103"/>
      <c r="AI1" s="103"/>
      <c r="AJ1" s="103"/>
      <c r="AK1" s="103"/>
      <c r="AL1" s="103"/>
      <c r="AM1" s="103"/>
      <c r="AN1" s="103"/>
      <c r="AO1" s="104"/>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95" t="str">
        <f>IF(表紙!A2="","",表紙!A2)</f>
        <v>POSサーバー</v>
      </c>
      <c r="B2" s="96"/>
      <c r="C2" s="96"/>
      <c r="D2" s="96"/>
      <c r="E2" s="96"/>
      <c r="F2" s="96"/>
      <c r="G2" s="96"/>
      <c r="H2" s="96"/>
      <c r="I2" s="96"/>
      <c r="J2" s="97"/>
      <c r="K2" s="95" t="str">
        <f>IF(表紙!K2="","",表紙!K2)</f>
        <v>POSサーバー</v>
      </c>
      <c r="L2" s="96"/>
      <c r="M2" s="96"/>
      <c r="N2" s="96"/>
      <c r="O2" s="96"/>
      <c r="P2" s="96"/>
      <c r="Q2" s="96"/>
      <c r="R2" s="96"/>
      <c r="S2" s="96"/>
      <c r="T2" s="96"/>
      <c r="U2" s="96"/>
      <c r="V2" s="97"/>
      <c r="W2" s="105"/>
      <c r="X2" s="106"/>
      <c r="Y2" s="106"/>
      <c r="Z2" s="106"/>
      <c r="AA2" s="106"/>
      <c r="AB2" s="106"/>
      <c r="AC2" s="106"/>
      <c r="AD2" s="106"/>
      <c r="AE2" s="106"/>
      <c r="AF2" s="106"/>
      <c r="AG2" s="106"/>
      <c r="AH2" s="106"/>
      <c r="AI2" s="106"/>
      <c r="AJ2" s="106"/>
      <c r="AK2" s="106"/>
      <c r="AL2" s="106"/>
      <c r="AM2" s="106"/>
      <c r="AN2" s="106"/>
      <c r="AO2" s="107"/>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108"/>
      <c r="X3" s="109"/>
      <c r="Y3" s="109"/>
      <c r="Z3" s="109"/>
      <c r="AA3" s="109"/>
      <c r="AB3" s="109"/>
      <c r="AC3" s="109"/>
      <c r="AD3" s="109"/>
      <c r="AE3" s="109"/>
      <c r="AF3" s="109"/>
      <c r="AG3" s="109"/>
      <c r="AH3" s="109"/>
      <c r="AI3" s="109"/>
      <c r="AJ3" s="109"/>
      <c r="AK3" s="109"/>
      <c r="AL3" s="109"/>
      <c r="AM3" s="109"/>
      <c r="AN3" s="109"/>
      <c r="AO3" s="110"/>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92" t="s">
        <v>10</v>
      </c>
      <c r="B4" s="93"/>
      <c r="C4" s="93"/>
      <c r="D4" s="93"/>
      <c r="E4" s="93"/>
      <c r="F4" s="93"/>
      <c r="G4" s="94"/>
      <c r="H4" s="113" t="str">
        <f>IF(表紙!H4="","",表紙!H4)</f>
        <v>20_レジ精算入力</v>
      </c>
      <c r="I4" s="114"/>
      <c r="J4" s="114"/>
      <c r="K4" s="114"/>
      <c r="L4" s="114"/>
      <c r="M4" s="114"/>
      <c r="N4" s="114"/>
      <c r="O4" s="114"/>
      <c r="P4" s="114"/>
      <c r="Q4" s="114"/>
      <c r="R4" s="114"/>
      <c r="S4" s="114"/>
      <c r="T4" s="115"/>
      <c r="U4" s="92" t="s">
        <v>12</v>
      </c>
      <c r="V4" s="93"/>
      <c r="W4" s="93"/>
      <c r="X4" s="93"/>
      <c r="Y4" s="94"/>
      <c r="Z4" s="113" t="str">
        <f>IF(表紙!Z4="","",表紙!Z4)</f>
        <v>概要設計書</v>
      </c>
      <c r="AA4" s="114"/>
      <c r="AB4" s="114"/>
      <c r="AC4" s="114"/>
      <c r="AD4" s="114"/>
      <c r="AE4" s="114"/>
      <c r="AF4" s="114"/>
      <c r="AG4" s="114"/>
      <c r="AH4" s="114"/>
      <c r="AI4" s="114"/>
      <c r="AJ4" s="114"/>
      <c r="AK4" s="114"/>
      <c r="AL4" s="114"/>
      <c r="AM4" s="114"/>
      <c r="AN4" s="114"/>
      <c r="AO4" s="115"/>
      <c r="AP4" s="113" t="str">
        <f t="array" aca="1" ref="AP4" ca="1">RIGHT(CELL("filename",$A$1),LEN(CELL("filename",$A$1))-FIND("]",CELL("filename",$A$1)))</f>
        <v>改訂履歴</v>
      </c>
      <c r="AQ4" s="114"/>
      <c r="AR4" s="114"/>
      <c r="AS4" s="114"/>
      <c r="AT4" s="114"/>
      <c r="AU4" s="114"/>
      <c r="AV4" s="114"/>
      <c r="AW4" s="114"/>
      <c r="AX4" s="114"/>
      <c r="AY4" s="114"/>
      <c r="AZ4" s="114"/>
      <c r="BA4" s="114"/>
      <c r="BB4" s="114"/>
      <c r="BC4" s="114"/>
      <c r="BD4" s="114"/>
      <c r="BE4" s="114"/>
      <c r="BF4" s="114"/>
      <c r="BG4" s="114"/>
      <c r="BH4" s="114"/>
      <c r="BI4" s="114"/>
      <c r="BJ4" s="114"/>
      <c r="BK4" s="115"/>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K7" s="36"/>
    </row>
    <row r="8" spans="1:63" ht="15" customHeight="1" x14ac:dyDescent="0.25">
      <c r="A8" s="35"/>
      <c r="B8" s="31" t="s">
        <v>17</v>
      </c>
      <c r="BK8" s="36"/>
    </row>
    <row r="9" spans="1:63" ht="15" customHeight="1" x14ac:dyDescent="0.25">
      <c r="A9" s="35"/>
      <c r="BK9" s="36"/>
    </row>
    <row r="10" spans="1:63" ht="15" customHeight="1" x14ac:dyDescent="0.25">
      <c r="A10" s="35"/>
      <c r="B10" s="163" t="s">
        <v>6</v>
      </c>
      <c r="C10" s="163"/>
      <c r="D10" s="163"/>
      <c r="E10" s="163"/>
      <c r="F10" s="163"/>
      <c r="G10" s="163"/>
      <c r="H10" s="163" t="s">
        <v>5</v>
      </c>
      <c r="I10" s="163"/>
      <c r="J10" s="163"/>
      <c r="K10" s="163"/>
      <c r="L10" s="163"/>
      <c r="M10" s="163"/>
      <c r="N10" s="163"/>
      <c r="O10" s="163" t="s">
        <v>7</v>
      </c>
      <c r="P10" s="163"/>
      <c r="Q10" s="163"/>
      <c r="R10" s="163"/>
      <c r="S10" s="163" t="s">
        <v>18</v>
      </c>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t="s">
        <v>15</v>
      </c>
      <c r="AY10" s="163"/>
      <c r="AZ10" s="163"/>
      <c r="BA10" s="163"/>
      <c r="BB10" s="163"/>
      <c r="BC10" s="163"/>
      <c r="BD10" s="163" t="s">
        <v>16</v>
      </c>
      <c r="BE10" s="163"/>
      <c r="BF10" s="163"/>
      <c r="BG10" s="163"/>
      <c r="BH10" s="163"/>
      <c r="BI10" s="163"/>
      <c r="BJ10" s="163"/>
      <c r="BK10" s="36"/>
    </row>
    <row r="11" spans="1:63" ht="15" customHeight="1" x14ac:dyDescent="0.25">
      <c r="A11" s="35"/>
      <c r="B11" s="140">
        <v>45420</v>
      </c>
      <c r="C11" s="141"/>
      <c r="D11" s="141"/>
      <c r="E11" s="141"/>
      <c r="F11" s="141"/>
      <c r="G11" s="142"/>
      <c r="H11" s="146" t="s">
        <v>19</v>
      </c>
      <c r="I11" s="141"/>
      <c r="J11" s="141"/>
      <c r="K11" s="141"/>
      <c r="L11" s="141"/>
      <c r="M11" s="141"/>
      <c r="N11" s="142"/>
      <c r="O11" s="146">
        <v>0.1</v>
      </c>
      <c r="P11" s="141"/>
      <c r="Q11" s="141"/>
      <c r="R11" s="141"/>
      <c r="S11" s="147" t="s">
        <v>20</v>
      </c>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9"/>
      <c r="AX11" s="155"/>
      <c r="AY11" s="155"/>
      <c r="AZ11" s="155"/>
      <c r="BA11" s="155"/>
      <c r="BB11" s="155"/>
      <c r="BC11" s="156"/>
      <c r="BD11" s="154"/>
      <c r="BE11" s="155"/>
      <c r="BF11" s="155"/>
      <c r="BG11" s="155"/>
      <c r="BH11" s="155"/>
      <c r="BI11" s="155"/>
      <c r="BJ11" s="156"/>
      <c r="BK11" s="36"/>
    </row>
    <row r="12" spans="1:63" ht="15" customHeight="1" x14ac:dyDescent="0.25">
      <c r="A12" s="35"/>
      <c r="B12" s="143"/>
      <c r="C12" s="144"/>
      <c r="D12" s="144"/>
      <c r="E12" s="144"/>
      <c r="F12" s="144"/>
      <c r="G12" s="145"/>
      <c r="H12" s="143"/>
      <c r="I12" s="144"/>
      <c r="J12" s="144"/>
      <c r="K12" s="144"/>
      <c r="L12" s="144"/>
      <c r="M12" s="144"/>
      <c r="N12" s="145"/>
      <c r="O12" s="143"/>
      <c r="P12" s="144"/>
      <c r="Q12" s="144"/>
      <c r="R12" s="144"/>
      <c r="S12" s="160"/>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c r="AT12" s="161"/>
      <c r="AU12" s="161"/>
      <c r="AV12" s="161"/>
      <c r="AW12" s="162"/>
      <c r="AX12" s="158"/>
      <c r="AY12" s="158"/>
      <c r="AZ12" s="158"/>
      <c r="BA12" s="158"/>
      <c r="BB12" s="158"/>
      <c r="BC12" s="159"/>
      <c r="BD12" s="157"/>
      <c r="BE12" s="158"/>
      <c r="BF12" s="158"/>
      <c r="BG12" s="158"/>
      <c r="BH12" s="158"/>
      <c r="BI12" s="158"/>
      <c r="BJ12" s="159"/>
      <c r="BK12" s="36"/>
    </row>
    <row r="13" spans="1:63" ht="15" customHeight="1" x14ac:dyDescent="0.25">
      <c r="A13" s="35"/>
      <c r="B13" s="140">
        <v>45432</v>
      </c>
      <c r="C13" s="141"/>
      <c r="D13" s="141"/>
      <c r="E13" s="141"/>
      <c r="F13" s="141"/>
      <c r="G13" s="142"/>
      <c r="H13" s="146" t="s">
        <v>19</v>
      </c>
      <c r="I13" s="141"/>
      <c r="J13" s="141"/>
      <c r="K13" s="141"/>
      <c r="L13" s="141"/>
      <c r="M13" s="141"/>
      <c r="N13" s="142"/>
      <c r="O13" s="146">
        <v>0.11</v>
      </c>
      <c r="P13" s="141"/>
      <c r="Q13" s="141"/>
      <c r="R13" s="141"/>
      <c r="S13" s="147" t="s">
        <v>21</v>
      </c>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9"/>
      <c r="AX13" s="150"/>
      <c r="AY13" s="150"/>
      <c r="AZ13" s="150"/>
      <c r="BA13" s="150"/>
      <c r="BB13" s="150"/>
      <c r="BC13" s="151"/>
      <c r="BD13" s="177"/>
      <c r="BE13" s="150"/>
      <c r="BF13" s="150"/>
      <c r="BG13" s="150"/>
      <c r="BH13" s="150"/>
      <c r="BI13" s="150"/>
      <c r="BJ13" s="151"/>
      <c r="BK13" s="36"/>
    </row>
    <row r="14" spans="1:63" ht="15" customHeight="1" x14ac:dyDescent="0.25">
      <c r="A14" s="35"/>
      <c r="B14" s="143"/>
      <c r="C14" s="144"/>
      <c r="D14" s="144"/>
      <c r="E14" s="144"/>
      <c r="F14" s="144"/>
      <c r="G14" s="145"/>
      <c r="H14" s="143"/>
      <c r="I14" s="144"/>
      <c r="J14" s="144"/>
      <c r="K14" s="144"/>
      <c r="L14" s="144"/>
      <c r="M14" s="144"/>
      <c r="N14" s="145"/>
      <c r="O14" s="143"/>
      <c r="P14" s="144"/>
      <c r="Q14" s="144"/>
      <c r="R14" s="144"/>
      <c r="S14" s="160"/>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2"/>
      <c r="AX14" s="152"/>
      <c r="AY14" s="152"/>
      <c r="AZ14" s="152"/>
      <c r="BA14" s="152"/>
      <c r="BB14" s="152"/>
      <c r="BC14" s="153"/>
      <c r="BD14" s="178"/>
      <c r="BE14" s="152"/>
      <c r="BF14" s="152"/>
      <c r="BG14" s="152"/>
      <c r="BH14" s="152"/>
      <c r="BI14" s="152"/>
      <c r="BJ14" s="153"/>
      <c r="BK14" s="36"/>
    </row>
    <row r="15" spans="1:63" ht="15" customHeight="1" x14ac:dyDescent="0.25">
      <c r="A15" s="35"/>
      <c r="B15" s="140">
        <v>45436</v>
      </c>
      <c r="C15" s="141"/>
      <c r="D15" s="141"/>
      <c r="E15" s="141"/>
      <c r="F15" s="141"/>
      <c r="G15" s="142"/>
      <c r="H15" s="146" t="s">
        <v>19</v>
      </c>
      <c r="I15" s="141"/>
      <c r="J15" s="141"/>
      <c r="K15" s="141"/>
      <c r="L15" s="141"/>
      <c r="M15" s="141"/>
      <c r="N15" s="142"/>
      <c r="O15" s="146">
        <v>0.12</v>
      </c>
      <c r="P15" s="141"/>
      <c r="Q15" s="141"/>
      <c r="R15" s="141"/>
      <c r="S15" s="147" t="s">
        <v>22</v>
      </c>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9"/>
      <c r="AX15" s="179"/>
      <c r="AY15" s="179"/>
      <c r="AZ15" s="179"/>
      <c r="BA15" s="179"/>
      <c r="BB15" s="179"/>
      <c r="BC15" s="180"/>
      <c r="BD15" s="183"/>
      <c r="BE15" s="179"/>
      <c r="BF15" s="179"/>
      <c r="BG15" s="179"/>
      <c r="BH15" s="179"/>
      <c r="BI15" s="179"/>
      <c r="BJ15" s="180"/>
      <c r="BK15" s="36"/>
    </row>
    <row r="16" spans="1:63" ht="15" customHeight="1" x14ac:dyDescent="0.25">
      <c r="A16" s="35"/>
      <c r="B16" s="143"/>
      <c r="C16" s="144"/>
      <c r="D16" s="144"/>
      <c r="E16" s="144"/>
      <c r="F16" s="144"/>
      <c r="G16" s="145"/>
      <c r="H16" s="143"/>
      <c r="I16" s="144"/>
      <c r="J16" s="144"/>
      <c r="K16" s="144"/>
      <c r="L16" s="144"/>
      <c r="M16" s="144"/>
      <c r="N16" s="145"/>
      <c r="O16" s="143"/>
      <c r="P16" s="144"/>
      <c r="Q16" s="144"/>
      <c r="R16" s="144"/>
      <c r="S16" s="160"/>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c r="AU16" s="161"/>
      <c r="AV16" s="161"/>
      <c r="AW16" s="162"/>
      <c r="AX16" s="181"/>
      <c r="AY16" s="181"/>
      <c r="AZ16" s="181"/>
      <c r="BA16" s="181"/>
      <c r="BB16" s="181"/>
      <c r="BC16" s="182"/>
      <c r="BD16" s="184"/>
      <c r="BE16" s="181"/>
      <c r="BF16" s="181"/>
      <c r="BG16" s="181"/>
      <c r="BH16" s="181"/>
      <c r="BI16" s="181"/>
      <c r="BJ16" s="182"/>
      <c r="BK16" s="36"/>
    </row>
    <row r="17" spans="1:63" ht="15" customHeight="1" x14ac:dyDescent="0.25">
      <c r="A17" s="35"/>
      <c r="B17" s="164">
        <v>45524</v>
      </c>
      <c r="C17" s="165"/>
      <c r="D17" s="165"/>
      <c r="E17" s="165"/>
      <c r="F17" s="165"/>
      <c r="G17" s="166"/>
      <c r="H17" s="170" t="s">
        <v>23</v>
      </c>
      <c r="I17" s="165"/>
      <c r="J17" s="165"/>
      <c r="K17" s="165"/>
      <c r="L17" s="165"/>
      <c r="M17" s="165"/>
      <c r="N17" s="166"/>
      <c r="O17" s="170">
        <v>0.13</v>
      </c>
      <c r="P17" s="165"/>
      <c r="Q17" s="165"/>
      <c r="R17" s="165"/>
      <c r="S17" s="171" t="s">
        <v>24</v>
      </c>
      <c r="T17" s="172"/>
      <c r="U17" s="172"/>
      <c r="V17" s="172"/>
      <c r="W17" s="172"/>
      <c r="X17" s="172"/>
      <c r="Y17" s="172"/>
      <c r="Z17" s="172"/>
      <c r="AA17" s="172"/>
      <c r="AB17" s="172"/>
      <c r="AC17" s="172"/>
      <c r="AD17" s="172"/>
      <c r="AE17" s="172"/>
      <c r="AF17" s="172"/>
      <c r="AG17" s="172"/>
      <c r="AH17" s="172"/>
      <c r="AI17" s="172"/>
      <c r="AJ17" s="172"/>
      <c r="AK17" s="172"/>
      <c r="AL17" s="172"/>
      <c r="AM17" s="172"/>
      <c r="AN17" s="172"/>
      <c r="AO17" s="172"/>
      <c r="AP17" s="172"/>
      <c r="AQ17" s="172"/>
      <c r="AR17" s="172"/>
      <c r="AS17" s="172"/>
      <c r="AT17" s="172"/>
      <c r="AU17" s="172"/>
      <c r="AV17" s="172"/>
      <c r="AW17" s="173"/>
      <c r="AX17" s="155"/>
      <c r="AY17" s="155"/>
      <c r="AZ17" s="155"/>
      <c r="BA17" s="155"/>
      <c r="BB17" s="155"/>
      <c r="BC17" s="156"/>
      <c r="BD17" s="154"/>
      <c r="BE17" s="155"/>
      <c r="BF17" s="155"/>
      <c r="BG17" s="155"/>
      <c r="BH17" s="155"/>
      <c r="BI17" s="155"/>
      <c r="BJ17" s="156"/>
      <c r="BK17" s="36"/>
    </row>
    <row r="18" spans="1:63" ht="15" customHeight="1" x14ac:dyDescent="0.25">
      <c r="A18" s="35"/>
      <c r="B18" s="167"/>
      <c r="C18" s="168"/>
      <c r="D18" s="168"/>
      <c r="E18" s="168"/>
      <c r="F18" s="168"/>
      <c r="G18" s="169"/>
      <c r="H18" s="167"/>
      <c r="I18" s="168"/>
      <c r="J18" s="168"/>
      <c r="K18" s="168"/>
      <c r="L18" s="168"/>
      <c r="M18" s="168"/>
      <c r="N18" s="169"/>
      <c r="O18" s="167"/>
      <c r="P18" s="168"/>
      <c r="Q18" s="168"/>
      <c r="R18" s="168"/>
      <c r="S18" s="174" t="s">
        <v>25</v>
      </c>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c r="AQ18" s="175"/>
      <c r="AR18" s="175"/>
      <c r="AS18" s="175"/>
      <c r="AT18" s="175"/>
      <c r="AU18" s="175"/>
      <c r="AV18" s="175"/>
      <c r="AW18" s="176"/>
      <c r="AX18" s="158"/>
      <c r="AY18" s="158"/>
      <c r="AZ18" s="158"/>
      <c r="BA18" s="158"/>
      <c r="BB18" s="158"/>
      <c r="BC18" s="159"/>
      <c r="BD18" s="157"/>
      <c r="BE18" s="158"/>
      <c r="BF18" s="158"/>
      <c r="BG18" s="158"/>
      <c r="BH18" s="158"/>
      <c r="BI18" s="158"/>
      <c r="BJ18" s="159"/>
      <c r="BK18" s="36"/>
    </row>
    <row r="19" spans="1:63" ht="15" customHeight="1" x14ac:dyDescent="0.25">
      <c r="A19" s="35"/>
      <c r="B19" s="191">
        <v>45558</v>
      </c>
      <c r="C19" s="192"/>
      <c r="D19" s="192"/>
      <c r="E19" s="192"/>
      <c r="F19" s="192"/>
      <c r="G19" s="193"/>
      <c r="H19" s="197" t="s">
        <v>258</v>
      </c>
      <c r="I19" s="192"/>
      <c r="J19" s="192"/>
      <c r="K19" s="192"/>
      <c r="L19" s="192"/>
      <c r="M19" s="192"/>
      <c r="N19" s="193"/>
      <c r="O19" s="197">
        <v>0.14000000000000001</v>
      </c>
      <c r="P19" s="192"/>
      <c r="Q19" s="192"/>
      <c r="R19" s="192"/>
      <c r="S19" s="198" t="s">
        <v>259</v>
      </c>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200"/>
      <c r="AX19" s="155"/>
      <c r="AY19" s="155"/>
      <c r="AZ19" s="155"/>
      <c r="BA19" s="155"/>
      <c r="BB19" s="155"/>
      <c r="BC19" s="156"/>
      <c r="BD19" s="154"/>
      <c r="BE19" s="155"/>
      <c r="BF19" s="155"/>
      <c r="BG19" s="155"/>
      <c r="BH19" s="155"/>
      <c r="BI19" s="155"/>
      <c r="BJ19" s="156"/>
      <c r="BK19" s="36"/>
    </row>
    <row r="20" spans="1:63" ht="34.5" customHeight="1" x14ac:dyDescent="0.25">
      <c r="A20" s="35"/>
      <c r="B20" s="194"/>
      <c r="C20" s="195"/>
      <c r="D20" s="195"/>
      <c r="E20" s="195"/>
      <c r="F20" s="195"/>
      <c r="G20" s="196"/>
      <c r="H20" s="194"/>
      <c r="I20" s="195"/>
      <c r="J20" s="195"/>
      <c r="K20" s="195"/>
      <c r="L20" s="195"/>
      <c r="M20" s="195"/>
      <c r="N20" s="196"/>
      <c r="O20" s="194"/>
      <c r="P20" s="195"/>
      <c r="Q20" s="195"/>
      <c r="R20" s="195"/>
      <c r="S20" s="201" t="s">
        <v>260</v>
      </c>
      <c r="T20" s="202"/>
      <c r="U20" s="202"/>
      <c r="V20" s="202"/>
      <c r="W20" s="202"/>
      <c r="X20" s="202"/>
      <c r="Y20" s="202"/>
      <c r="Z20" s="202"/>
      <c r="AA20" s="202"/>
      <c r="AB20" s="202"/>
      <c r="AC20" s="202"/>
      <c r="AD20" s="202"/>
      <c r="AE20" s="202"/>
      <c r="AF20" s="202"/>
      <c r="AG20" s="202"/>
      <c r="AH20" s="202"/>
      <c r="AI20" s="202"/>
      <c r="AJ20" s="202"/>
      <c r="AK20" s="202"/>
      <c r="AL20" s="202"/>
      <c r="AM20" s="202"/>
      <c r="AN20" s="202"/>
      <c r="AO20" s="202"/>
      <c r="AP20" s="202"/>
      <c r="AQ20" s="202"/>
      <c r="AR20" s="202"/>
      <c r="AS20" s="202"/>
      <c r="AT20" s="202"/>
      <c r="AU20" s="202"/>
      <c r="AV20" s="202"/>
      <c r="AW20" s="203"/>
      <c r="AX20" s="158"/>
      <c r="AY20" s="158"/>
      <c r="AZ20" s="158"/>
      <c r="BA20" s="158"/>
      <c r="BB20" s="158"/>
      <c r="BC20" s="159"/>
      <c r="BD20" s="157"/>
      <c r="BE20" s="158"/>
      <c r="BF20" s="158"/>
      <c r="BG20" s="158"/>
      <c r="BH20" s="158"/>
      <c r="BI20" s="158"/>
      <c r="BJ20" s="159"/>
      <c r="BK20" s="36"/>
    </row>
    <row r="21" spans="1:63" ht="15" customHeight="1" x14ac:dyDescent="0.25">
      <c r="A21" s="35"/>
      <c r="B21" s="95"/>
      <c r="C21" s="96"/>
      <c r="D21" s="96"/>
      <c r="E21" s="96"/>
      <c r="F21" s="96"/>
      <c r="G21" s="97"/>
      <c r="H21" s="95"/>
      <c r="I21" s="96"/>
      <c r="J21" s="96"/>
      <c r="K21" s="96"/>
      <c r="L21" s="96"/>
      <c r="M21" s="96"/>
      <c r="N21" s="97"/>
      <c r="O21" s="95"/>
      <c r="P21" s="96"/>
      <c r="Q21" s="96"/>
      <c r="R21" s="96"/>
      <c r="S21" s="185"/>
      <c r="T21" s="186"/>
      <c r="U21" s="186"/>
      <c r="V21" s="186"/>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6"/>
      <c r="AT21" s="186"/>
      <c r="AU21" s="186"/>
      <c r="AV21" s="186"/>
      <c r="AW21" s="187"/>
      <c r="AX21" s="155"/>
      <c r="AY21" s="155"/>
      <c r="AZ21" s="155"/>
      <c r="BA21" s="155"/>
      <c r="BB21" s="155"/>
      <c r="BC21" s="156"/>
      <c r="BD21" s="154"/>
      <c r="BE21" s="155"/>
      <c r="BF21" s="155"/>
      <c r="BG21" s="155"/>
      <c r="BH21" s="155"/>
      <c r="BI21" s="155"/>
      <c r="BJ21" s="156"/>
      <c r="BK21" s="36"/>
    </row>
    <row r="22" spans="1:63" ht="15" customHeight="1" x14ac:dyDescent="0.25">
      <c r="A22" s="35"/>
      <c r="B22" s="98"/>
      <c r="C22" s="99"/>
      <c r="D22" s="99"/>
      <c r="E22" s="99"/>
      <c r="F22" s="99"/>
      <c r="G22" s="100"/>
      <c r="H22" s="98"/>
      <c r="I22" s="99"/>
      <c r="J22" s="99"/>
      <c r="K22" s="99"/>
      <c r="L22" s="99"/>
      <c r="M22" s="99"/>
      <c r="N22" s="100"/>
      <c r="O22" s="98"/>
      <c r="P22" s="99"/>
      <c r="Q22" s="99"/>
      <c r="R22" s="99"/>
      <c r="S22" s="188"/>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c r="AV22" s="189"/>
      <c r="AW22" s="190"/>
      <c r="AX22" s="158"/>
      <c r="AY22" s="158"/>
      <c r="AZ22" s="158"/>
      <c r="BA22" s="158"/>
      <c r="BB22" s="158"/>
      <c r="BC22" s="159"/>
      <c r="BD22" s="157"/>
      <c r="BE22" s="158"/>
      <c r="BF22" s="158"/>
      <c r="BG22" s="158"/>
      <c r="BH22" s="158"/>
      <c r="BI22" s="158"/>
      <c r="BJ22" s="159"/>
      <c r="BK22" s="36"/>
    </row>
    <row r="23" spans="1:63" ht="15" customHeight="1" x14ac:dyDescent="0.25">
      <c r="A23" s="35"/>
      <c r="B23" s="95"/>
      <c r="C23" s="96"/>
      <c r="D23" s="96"/>
      <c r="E23" s="96"/>
      <c r="F23" s="96"/>
      <c r="G23" s="97"/>
      <c r="H23" s="95"/>
      <c r="I23" s="96"/>
      <c r="J23" s="96"/>
      <c r="K23" s="96"/>
      <c r="L23" s="96"/>
      <c r="M23" s="96"/>
      <c r="N23" s="97"/>
      <c r="O23" s="95"/>
      <c r="P23" s="96"/>
      <c r="Q23" s="96"/>
      <c r="R23" s="96"/>
      <c r="S23" s="185"/>
      <c r="T23" s="186"/>
      <c r="U23" s="186"/>
      <c r="V23" s="186"/>
      <c r="W23" s="186"/>
      <c r="X23" s="186"/>
      <c r="Y23" s="186"/>
      <c r="Z23" s="186"/>
      <c r="AA23" s="186"/>
      <c r="AB23" s="186"/>
      <c r="AC23" s="186"/>
      <c r="AD23" s="186"/>
      <c r="AE23" s="186"/>
      <c r="AF23" s="186"/>
      <c r="AG23" s="186"/>
      <c r="AH23" s="186"/>
      <c r="AI23" s="186"/>
      <c r="AJ23" s="186"/>
      <c r="AK23" s="186"/>
      <c r="AL23" s="186"/>
      <c r="AM23" s="186"/>
      <c r="AN23" s="186"/>
      <c r="AO23" s="186"/>
      <c r="AP23" s="186"/>
      <c r="AQ23" s="186"/>
      <c r="AR23" s="186"/>
      <c r="AS23" s="186"/>
      <c r="AT23" s="186"/>
      <c r="AU23" s="186"/>
      <c r="AV23" s="186"/>
      <c r="AW23" s="187"/>
      <c r="AX23" s="155"/>
      <c r="AY23" s="155"/>
      <c r="AZ23" s="155"/>
      <c r="BA23" s="155"/>
      <c r="BB23" s="155"/>
      <c r="BC23" s="156"/>
      <c r="BD23" s="154"/>
      <c r="BE23" s="155"/>
      <c r="BF23" s="155"/>
      <c r="BG23" s="155"/>
      <c r="BH23" s="155"/>
      <c r="BI23" s="155"/>
      <c r="BJ23" s="156"/>
      <c r="BK23" s="36"/>
    </row>
    <row r="24" spans="1:63" ht="15" customHeight="1" x14ac:dyDescent="0.25">
      <c r="A24" s="35"/>
      <c r="B24" s="98"/>
      <c r="C24" s="99"/>
      <c r="D24" s="99"/>
      <c r="E24" s="99"/>
      <c r="F24" s="99"/>
      <c r="G24" s="100"/>
      <c r="H24" s="98"/>
      <c r="I24" s="99"/>
      <c r="J24" s="99"/>
      <c r="K24" s="99"/>
      <c r="L24" s="99"/>
      <c r="M24" s="99"/>
      <c r="N24" s="100"/>
      <c r="O24" s="98"/>
      <c r="P24" s="99"/>
      <c r="Q24" s="99"/>
      <c r="R24" s="99"/>
      <c r="S24" s="188"/>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c r="AV24" s="189"/>
      <c r="AW24" s="190"/>
      <c r="AX24" s="158"/>
      <c r="AY24" s="158"/>
      <c r="AZ24" s="158"/>
      <c r="BA24" s="158"/>
      <c r="BB24" s="158"/>
      <c r="BC24" s="159"/>
      <c r="BD24" s="157"/>
      <c r="BE24" s="158"/>
      <c r="BF24" s="158"/>
      <c r="BG24" s="158"/>
      <c r="BH24" s="158"/>
      <c r="BI24" s="158"/>
      <c r="BJ24" s="159"/>
      <c r="BK24" s="36"/>
    </row>
    <row r="25" spans="1:63" ht="15" customHeight="1" x14ac:dyDescent="0.25">
      <c r="A25" s="35"/>
      <c r="B25" s="95"/>
      <c r="C25" s="96"/>
      <c r="D25" s="96"/>
      <c r="E25" s="96"/>
      <c r="F25" s="96"/>
      <c r="G25" s="97"/>
      <c r="H25" s="95"/>
      <c r="I25" s="96"/>
      <c r="J25" s="96"/>
      <c r="K25" s="96"/>
      <c r="L25" s="96"/>
      <c r="M25" s="96"/>
      <c r="N25" s="97"/>
      <c r="O25" s="95"/>
      <c r="P25" s="96"/>
      <c r="Q25" s="96"/>
      <c r="R25" s="96"/>
      <c r="S25" s="185"/>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7"/>
      <c r="AX25" s="155"/>
      <c r="AY25" s="155"/>
      <c r="AZ25" s="155"/>
      <c r="BA25" s="155"/>
      <c r="BB25" s="155"/>
      <c r="BC25" s="156"/>
      <c r="BD25" s="154"/>
      <c r="BE25" s="155"/>
      <c r="BF25" s="155"/>
      <c r="BG25" s="155"/>
      <c r="BH25" s="155"/>
      <c r="BI25" s="155"/>
      <c r="BJ25" s="156"/>
      <c r="BK25" s="36"/>
    </row>
    <row r="26" spans="1:63" ht="15" customHeight="1" x14ac:dyDescent="0.25">
      <c r="A26" s="35"/>
      <c r="B26" s="98"/>
      <c r="C26" s="99"/>
      <c r="D26" s="99"/>
      <c r="E26" s="99"/>
      <c r="F26" s="99"/>
      <c r="G26" s="100"/>
      <c r="H26" s="98"/>
      <c r="I26" s="99"/>
      <c r="J26" s="99"/>
      <c r="K26" s="99"/>
      <c r="L26" s="99"/>
      <c r="M26" s="99"/>
      <c r="N26" s="100"/>
      <c r="O26" s="98"/>
      <c r="P26" s="99"/>
      <c r="Q26" s="99"/>
      <c r="R26" s="99"/>
      <c r="S26" s="188"/>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90"/>
      <c r="AX26" s="158"/>
      <c r="AY26" s="158"/>
      <c r="AZ26" s="158"/>
      <c r="BA26" s="158"/>
      <c r="BB26" s="158"/>
      <c r="BC26" s="159"/>
      <c r="BD26" s="157"/>
      <c r="BE26" s="158"/>
      <c r="BF26" s="158"/>
      <c r="BG26" s="158"/>
      <c r="BH26" s="158"/>
      <c r="BI26" s="158"/>
      <c r="BJ26" s="159"/>
      <c r="BK26" s="36"/>
    </row>
    <row r="27" spans="1:63" ht="15" customHeight="1" x14ac:dyDescent="0.25">
      <c r="A27" s="35"/>
      <c r="B27" s="95"/>
      <c r="C27" s="96"/>
      <c r="D27" s="96"/>
      <c r="E27" s="96"/>
      <c r="F27" s="96"/>
      <c r="G27" s="97"/>
      <c r="H27" s="95"/>
      <c r="I27" s="96"/>
      <c r="J27" s="96"/>
      <c r="K27" s="96"/>
      <c r="L27" s="96"/>
      <c r="M27" s="96"/>
      <c r="N27" s="97"/>
      <c r="O27" s="95"/>
      <c r="P27" s="96"/>
      <c r="Q27" s="96"/>
      <c r="R27" s="96"/>
      <c r="S27" s="185"/>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7"/>
      <c r="AX27" s="155"/>
      <c r="AY27" s="155"/>
      <c r="AZ27" s="155"/>
      <c r="BA27" s="155"/>
      <c r="BB27" s="155"/>
      <c r="BC27" s="156"/>
      <c r="BD27" s="154"/>
      <c r="BE27" s="155"/>
      <c r="BF27" s="155"/>
      <c r="BG27" s="155"/>
      <c r="BH27" s="155"/>
      <c r="BI27" s="155"/>
      <c r="BJ27" s="156"/>
      <c r="BK27" s="36"/>
    </row>
    <row r="28" spans="1:63" ht="15" customHeight="1" x14ac:dyDescent="0.25">
      <c r="A28" s="35"/>
      <c r="B28" s="98"/>
      <c r="C28" s="99"/>
      <c r="D28" s="99"/>
      <c r="E28" s="99"/>
      <c r="F28" s="99"/>
      <c r="G28" s="100"/>
      <c r="H28" s="98"/>
      <c r="I28" s="99"/>
      <c r="J28" s="99"/>
      <c r="K28" s="99"/>
      <c r="L28" s="99"/>
      <c r="M28" s="99"/>
      <c r="N28" s="100"/>
      <c r="O28" s="98"/>
      <c r="P28" s="99"/>
      <c r="Q28" s="99"/>
      <c r="R28" s="99"/>
      <c r="S28" s="188"/>
      <c r="T28" s="189"/>
      <c r="U28" s="189"/>
      <c r="V28" s="189"/>
      <c r="W28" s="189"/>
      <c r="X28" s="189"/>
      <c r="Y28" s="189"/>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c r="AV28" s="189"/>
      <c r="AW28" s="190"/>
      <c r="AX28" s="158"/>
      <c r="AY28" s="158"/>
      <c r="AZ28" s="158"/>
      <c r="BA28" s="158"/>
      <c r="BB28" s="158"/>
      <c r="BC28" s="159"/>
      <c r="BD28" s="157"/>
      <c r="BE28" s="158"/>
      <c r="BF28" s="158"/>
      <c r="BG28" s="158"/>
      <c r="BH28" s="158"/>
      <c r="BI28" s="158"/>
      <c r="BJ28" s="159"/>
      <c r="BK28" s="36"/>
    </row>
    <row r="29" spans="1:63" ht="15" customHeight="1" x14ac:dyDescent="0.25">
      <c r="A29" s="35"/>
      <c r="B29" s="95"/>
      <c r="C29" s="96"/>
      <c r="D29" s="96"/>
      <c r="E29" s="96"/>
      <c r="F29" s="96"/>
      <c r="G29" s="97"/>
      <c r="H29" s="95"/>
      <c r="I29" s="96"/>
      <c r="J29" s="96"/>
      <c r="K29" s="96"/>
      <c r="L29" s="96"/>
      <c r="M29" s="96"/>
      <c r="N29" s="97"/>
      <c r="O29" s="95"/>
      <c r="P29" s="96"/>
      <c r="Q29" s="96"/>
      <c r="R29" s="96"/>
      <c r="S29" s="185"/>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7"/>
      <c r="AX29" s="155"/>
      <c r="AY29" s="155"/>
      <c r="AZ29" s="155"/>
      <c r="BA29" s="155"/>
      <c r="BB29" s="155"/>
      <c r="BC29" s="156"/>
      <c r="BD29" s="154"/>
      <c r="BE29" s="155"/>
      <c r="BF29" s="155"/>
      <c r="BG29" s="155"/>
      <c r="BH29" s="155"/>
      <c r="BI29" s="155"/>
      <c r="BJ29" s="156"/>
      <c r="BK29" s="36"/>
    </row>
    <row r="30" spans="1:63" ht="15" customHeight="1" x14ac:dyDescent="0.25">
      <c r="A30" s="35"/>
      <c r="B30" s="98"/>
      <c r="C30" s="99"/>
      <c r="D30" s="99"/>
      <c r="E30" s="99"/>
      <c r="F30" s="99"/>
      <c r="G30" s="100"/>
      <c r="H30" s="98"/>
      <c r="I30" s="99"/>
      <c r="J30" s="99"/>
      <c r="K30" s="99"/>
      <c r="L30" s="99"/>
      <c r="M30" s="99"/>
      <c r="N30" s="100"/>
      <c r="O30" s="98"/>
      <c r="P30" s="99"/>
      <c r="Q30" s="99"/>
      <c r="R30" s="99"/>
      <c r="S30" s="188"/>
      <c r="T30" s="189"/>
      <c r="U30" s="189"/>
      <c r="V30" s="189"/>
      <c r="W30" s="189"/>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90"/>
      <c r="AX30" s="158"/>
      <c r="AY30" s="158"/>
      <c r="AZ30" s="158"/>
      <c r="BA30" s="158"/>
      <c r="BB30" s="158"/>
      <c r="BC30" s="159"/>
      <c r="BD30" s="157"/>
      <c r="BE30" s="158"/>
      <c r="BF30" s="158"/>
      <c r="BG30" s="158"/>
      <c r="BH30" s="158"/>
      <c r="BI30" s="158"/>
      <c r="BJ30" s="159"/>
      <c r="BK30" s="36"/>
    </row>
    <row r="31" spans="1:63" ht="15" customHeight="1" x14ac:dyDescent="0.25">
      <c r="A31" s="35"/>
      <c r="B31" s="95"/>
      <c r="C31" s="96"/>
      <c r="D31" s="96"/>
      <c r="E31" s="96"/>
      <c r="F31" s="96"/>
      <c r="G31" s="97"/>
      <c r="H31" s="95"/>
      <c r="I31" s="96"/>
      <c r="J31" s="96"/>
      <c r="K31" s="96"/>
      <c r="L31" s="96"/>
      <c r="M31" s="96"/>
      <c r="N31" s="97"/>
      <c r="O31" s="95"/>
      <c r="P31" s="96"/>
      <c r="Q31" s="96"/>
      <c r="R31" s="96"/>
      <c r="S31" s="185"/>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7"/>
      <c r="AX31" s="155"/>
      <c r="AY31" s="155"/>
      <c r="AZ31" s="155"/>
      <c r="BA31" s="155"/>
      <c r="BB31" s="155"/>
      <c r="BC31" s="156"/>
      <c r="BD31" s="154"/>
      <c r="BE31" s="155"/>
      <c r="BF31" s="155"/>
      <c r="BG31" s="155"/>
      <c r="BH31" s="155"/>
      <c r="BI31" s="155"/>
      <c r="BJ31" s="156"/>
      <c r="BK31" s="36"/>
    </row>
    <row r="32" spans="1:63" ht="15" customHeight="1" x14ac:dyDescent="0.25">
      <c r="A32" s="35"/>
      <c r="B32" s="98"/>
      <c r="C32" s="99"/>
      <c r="D32" s="99"/>
      <c r="E32" s="99"/>
      <c r="F32" s="99"/>
      <c r="G32" s="100"/>
      <c r="H32" s="98"/>
      <c r="I32" s="99"/>
      <c r="J32" s="99"/>
      <c r="K32" s="99"/>
      <c r="L32" s="99"/>
      <c r="M32" s="99"/>
      <c r="N32" s="100"/>
      <c r="O32" s="98"/>
      <c r="P32" s="99"/>
      <c r="Q32" s="99"/>
      <c r="R32" s="99"/>
      <c r="S32" s="188"/>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90"/>
      <c r="AX32" s="158"/>
      <c r="AY32" s="158"/>
      <c r="AZ32" s="158"/>
      <c r="BA32" s="158"/>
      <c r="BB32" s="158"/>
      <c r="BC32" s="159"/>
      <c r="BD32" s="157"/>
      <c r="BE32" s="158"/>
      <c r="BF32" s="158"/>
      <c r="BG32" s="158"/>
      <c r="BH32" s="158"/>
      <c r="BI32" s="158"/>
      <c r="BJ32" s="159"/>
      <c r="BK32" s="36"/>
    </row>
    <row r="33" spans="1:63" ht="15" customHeight="1" x14ac:dyDescent="0.25">
      <c r="A33" s="35"/>
      <c r="B33" s="95"/>
      <c r="C33" s="96"/>
      <c r="D33" s="96"/>
      <c r="E33" s="96"/>
      <c r="F33" s="96"/>
      <c r="G33" s="97"/>
      <c r="H33" s="95"/>
      <c r="I33" s="96"/>
      <c r="J33" s="96"/>
      <c r="K33" s="96"/>
      <c r="L33" s="96"/>
      <c r="M33" s="96"/>
      <c r="N33" s="97"/>
      <c r="O33" s="95"/>
      <c r="P33" s="96"/>
      <c r="Q33" s="96"/>
      <c r="R33" s="96"/>
      <c r="S33" s="185"/>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7"/>
      <c r="AX33" s="155"/>
      <c r="AY33" s="155"/>
      <c r="AZ33" s="155"/>
      <c r="BA33" s="155"/>
      <c r="BB33" s="155"/>
      <c r="BC33" s="156"/>
      <c r="BD33" s="154"/>
      <c r="BE33" s="155"/>
      <c r="BF33" s="155"/>
      <c r="BG33" s="155"/>
      <c r="BH33" s="155"/>
      <c r="BI33" s="155"/>
      <c r="BJ33" s="156"/>
      <c r="BK33" s="36"/>
    </row>
    <row r="34" spans="1:63" ht="15" customHeight="1" x14ac:dyDescent="0.25">
      <c r="A34" s="35"/>
      <c r="B34" s="98"/>
      <c r="C34" s="99"/>
      <c r="D34" s="99"/>
      <c r="E34" s="99"/>
      <c r="F34" s="99"/>
      <c r="G34" s="100"/>
      <c r="H34" s="98"/>
      <c r="I34" s="99"/>
      <c r="J34" s="99"/>
      <c r="K34" s="99"/>
      <c r="L34" s="99"/>
      <c r="M34" s="99"/>
      <c r="N34" s="100"/>
      <c r="O34" s="98"/>
      <c r="P34" s="99"/>
      <c r="Q34" s="99"/>
      <c r="R34" s="99"/>
      <c r="S34" s="188"/>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90"/>
      <c r="AX34" s="158"/>
      <c r="AY34" s="158"/>
      <c r="AZ34" s="158"/>
      <c r="BA34" s="158"/>
      <c r="BB34" s="158"/>
      <c r="BC34" s="159"/>
      <c r="BD34" s="157"/>
      <c r="BE34" s="158"/>
      <c r="BF34" s="158"/>
      <c r="BG34" s="158"/>
      <c r="BH34" s="158"/>
      <c r="BI34" s="158"/>
      <c r="BJ34" s="159"/>
      <c r="BK34" s="36"/>
    </row>
    <row r="35" spans="1:63" ht="15" customHeight="1" x14ac:dyDescent="0.25">
      <c r="A35" s="35"/>
      <c r="B35" s="95"/>
      <c r="C35" s="96"/>
      <c r="D35" s="96"/>
      <c r="E35" s="96"/>
      <c r="F35" s="96"/>
      <c r="G35" s="97"/>
      <c r="H35" s="95"/>
      <c r="I35" s="96"/>
      <c r="J35" s="96"/>
      <c r="K35" s="96"/>
      <c r="L35" s="96"/>
      <c r="M35" s="96"/>
      <c r="N35" s="97"/>
      <c r="O35" s="95"/>
      <c r="P35" s="96"/>
      <c r="Q35" s="96"/>
      <c r="R35" s="96"/>
      <c r="S35" s="185"/>
      <c r="T35" s="186"/>
      <c r="U35" s="186"/>
      <c r="V35" s="186"/>
      <c r="W35" s="186"/>
      <c r="X35" s="186"/>
      <c r="Y35" s="186"/>
      <c r="Z35" s="186"/>
      <c r="AA35" s="186"/>
      <c r="AB35" s="186"/>
      <c r="AC35" s="186"/>
      <c r="AD35" s="186"/>
      <c r="AE35" s="186"/>
      <c r="AF35" s="186"/>
      <c r="AG35" s="186"/>
      <c r="AH35" s="186"/>
      <c r="AI35" s="186"/>
      <c r="AJ35" s="186"/>
      <c r="AK35" s="186"/>
      <c r="AL35" s="186"/>
      <c r="AM35" s="186"/>
      <c r="AN35" s="186"/>
      <c r="AO35" s="186"/>
      <c r="AP35" s="186"/>
      <c r="AQ35" s="186"/>
      <c r="AR35" s="186"/>
      <c r="AS35" s="186"/>
      <c r="AT35" s="186"/>
      <c r="AU35" s="186"/>
      <c r="AV35" s="186"/>
      <c r="AW35" s="187"/>
      <c r="AX35" s="155"/>
      <c r="AY35" s="155"/>
      <c r="AZ35" s="155"/>
      <c r="BA35" s="155"/>
      <c r="BB35" s="155"/>
      <c r="BC35" s="156"/>
      <c r="BD35" s="154"/>
      <c r="BE35" s="155"/>
      <c r="BF35" s="155"/>
      <c r="BG35" s="155"/>
      <c r="BH35" s="155"/>
      <c r="BI35" s="155"/>
      <c r="BJ35" s="156"/>
      <c r="BK35" s="36"/>
    </row>
    <row r="36" spans="1:63" ht="15" customHeight="1" x14ac:dyDescent="0.25">
      <c r="A36" s="35"/>
      <c r="B36" s="98"/>
      <c r="C36" s="99"/>
      <c r="D36" s="99"/>
      <c r="E36" s="99"/>
      <c r="F36" s="99"/>
      <c r="G36" s="100"/>
      <c r="H36" s="98"/>
      <c r="I36" s="99"/>
      <c r="J36" s="99"/>
      <c r="K36" s="99"/>
      <c r="L36" s="99"/>
      <c r="M36" s="99"/>
      <c r="N36" s="100"/>
      <c r="O36" s="98"/>
      <c r="P36" s="99"/>
      <c r="Q36" s="99"/>
      <c r="R36" s="99"/>
      <c r="S36" s="188"/>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c r="AV36" s="189"/>
      <c r="AW36" s="190"/>
      <c r="AX36" s="158"/>
      <c r="AY36" s="158"/>
      <c r="AZ36" s="158"/>
      <c r="BA36" s="158"/>
      <c r="BB36" s="158"/>
      <c r="BC36" s="159"/>
      <c r="BD36" s="157"/>
      <c r="BE36" s="158"/>
      <c r="BF36" s="158"/>
      <c r="BG36" s="158"/>
      <c r="BH36" s="158"/>
      <c r="BI36" s="158"/>
      <c r="BJ36" s="159"/>
      <c r="BK36" s="36"/>
    </row>
    <row r="37" spans="1:63" ht="15" customHeight="1" x14ac:dyDescent="0.25">
      <c r="A37" s="35"/>
      <c r="B37" s="95"/>
      <c r="C37" s="96"/>
      <c r="D37" s="96"/>
      <c r="E37" s="96"/>
      <c r="F37" s="96"/>
      <c r="G37" s="97"/>
      <c r="H37" s="95"/>
      <c r="I37" s="96"/>
      <c r="J37" s="96"/>
      <c r="K37" s="96"/>
      <c r="L37" s="96"/>
      <c r="M37" s="96"/>
      <c r="N37" s="97"/>
      <c r="O37" s="95"/>
      <c r="P37" s="96"/>
      <c r="Q37" s="96"/>
      <c r="R37" s="96"/>
      <c r="S37" s="185"/>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7"/>
      <c r="AX37" s="155"/>
      <c r="AY37" s="155"/>
      <c r="AZ37" s="155"/>
      <c r="BA37" s="155"/>
      <c r="BB37" s="155"/>
      <c r="BC37" s="156"/>
      <c r="BD37" s="154"/>
      <c r="BE37" s="155"/>
      <c r="BF37" s="155"/>
      <c r="BG37" s="155"/>
      <c r="BH37" s="155"/>
      <c r="BI37" s="155"/>
      <c r="BJ37" s="156"/>
      <c r="BK37" s="36"/>
    </row>
    <row r="38" spans="1:63" ht="15" customHeight="1" x14ac:dyDescent="0.25">
      <c r="A38" s="35"/>
      <c r="B38" s="98"/>
      <c r="C38" s="99"/>
      <c r="D38" s="99"/>
      <c r="E38" s="99"/>
      <c r="F38" s="99"/>
      <c r="G38" s="100"/>
      <c r="H38" s="98"/>
      <c r="I38" s="99"/>
      <c r="J38" s="99"/>
      <c r="K38" s="99"/>
      <c r="L38" s="99"/>
      <c r="M38" s="99"/>
      <c r="N38" s="100"/>
      <c r="O38" s="98"/>
      <c r="P38" s="99"/>
      <c r="Q38" s="99"/>
      <c r="R38" s="99"/>
      <c r="S38" s="188"/>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90"/>
      <c r="AX38" s="158"/>
      <c r="AY38" s="158"/>
      <c r="AZ38" s="158"/>
      <c r="BA38" s="158"/>
      <c r="BB38" s="158"/>
      <c r="BC38" s="159"/>
      <c r="BD38" s="157"/>
      <c r="BE38" s="158"/>
      <c r="BF38" s="158"/>
      <c r="BG38" s="158"/>
      <c r="BH38" s="158"/>
      <c r="BI38" s="158"/>
      <c r="BJ38" s="159"/>
      <c r="BK38" s="36"/>
    </row>
    <row r="39" spans="1:63" ht="15" customHeight="1" x14ac:dyDescent="0.25">
      <c r="A39" s="35"/>
      <c r="B39" s="95"/>
      <c r="C39" s="96"/>
      <c r="D39" s="96"/>
      <c r="E39" s="96"/>
      <c r="F39" s="96"/>
      <c r="G39" s="97"/>
      <c r="H39" s="95"/>
      <c r="I39" s="96"/>
      <c r="J39" s="96"/>
      <c r="K39" s="96"/>
      <c r="L39" s="96"/>
      <c r="M39" s="96"/>
      <c r="N39" s="97"/>
      <c r="O39" s="95"/>
      <c r="P39" s="96"/>
      <c r="Q39" s="96"/>
      <c r="R39" s="96"/>
      <c r="S39" s="185"/>
      <c r="T39" s="186"/>
      <c r="U39" s="186"/>
      <c r="V39" s="186"/>
      <c r="W39" s="186"/>
      <c r="X39" s="186"/>
      <c r="Y39" s="186"/>
      <c r="Z39" s="186"/>
      <c r="AA39" s="186"/>
      <c r="AB39" s="186"/>
      <c r="AC39" s="186"/>
      <c r="AD39" s="186"/>
      <c r="AE39" s="186"/>
      <c r="AF39" s="186"/>
      <c r="AG39" s="186"/>
      <c r="AH39" s="186"/>
      <c r="AI39" s="186"/>
      <c r="AJ39" s="186"/>
      <c r="AK39" s="186"/>
      <c r="AL39" s="186"/>
      <c r="AM39" s="186"/>
      <c r="AN39" s="186"/>
      <c r="AO39" s="186"/>
      <c r="AP39" s="186"/>
      <c r="AQ39" s="186"/>
      <c r="AR39" s="186"/>
      <c r="AS39" s="186"/>
      <c r="AT39" s="186"/>
      <c r="AU39" s="186"/>
      <c r="AV39" s="186"/>
      <c r="AW39" s="187"/>
      <c r="AX39" s="155"/>
      <c r="AY39" s="155"/>
      <c r="AZ39" s="155"/>
      <c r="BA39" s="155"/>
      <c r="BB39" s="155"/>
      <c r="BC39" s="156"/>
      <c r="BD39" s="154"/>
      <c r="BE39" s="155"/>
      <c r="BF39" s="155"/>
      <c r="BG39" s="155"/>
      <c r="BH39" s="155"/>
      <c r="BI39" s="155"/>
      <c r="BJ39" s="156"/>
      <c r="BK39" s="36"/>
    </row>
    <row r="40" spans="1:63" ht="15" customHeight="1" x14ac:dyDescent="0.25">
      <c r="A40" s="35"/>
      <c r="B40" s="98"/>
      <c r="C40" s="99"/>
      <c r="D40" s="99"/>
      <c r="E40" s="99"/>
      <c r="F40" s="99"/>
      <c r="G40" s="100"/>
      <c r="H40" s="98"/>
      <c r="I40" s="99"/>
      <c r="J40" s="99"/>
      <c r="K40" s="99"/>
      <c r="L40" s="99"/>
      <c r="M40" s="99"/>
      <c r="N40" s="100"/>
      <c r="O40" s="98"/>
      <c r="P40" s="99"/>
      <c r="Q40" s="99"/>
      <c r="R40" s="99"/>
      <c r="S40" s="188"/>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c r="AV40" s="189"/>
      <c r="AW40" s="190"/>
      <c r="AX40" s="158"/>
      <c r="AY40" s="158"/>
      <c r="AZ40" s="158"/>
      <c r="BA40" s="158"/>
      <c r="BB40" s="158"/>
      <c r="BC40" s="159"/>
      <c r="BD40" s="157"/>
      <c r="BE40" s="158"/>
      <c r="BF40" s="158"/>
      <c r="BG40" s="158"/>
      <c r="BH40" s="158"/>
      <c r="BI40" s="158"/>
      <c r="BJ40" s="159"/>
      <c r="BK40" s="36"/>
    </row>
    <row r="41" spans="1:63" ht="15" customHeight="1" x14ac:dyDescent="0.25">
      <c r="A41" s="35"/>
      <c r="B41" s="95"/>
      <c r="C41" s="96"/>
      <c r="D41" s="96"/>
      <c r="E41" s="96"/>
      <c r="F41" s="96"/>
      <c r="G41" s="97"/>
      <c r="H41" s="95"/>
      <c r="I41" s="96"/>
      <c r="J41" s="96"/>
      <c r="K41" s="96"/>
      <c r="L41" s="96"/>
      <c r="M41" s="96"/>
      <c r="N41" s="97"/>
      <c r="O41" s="95"/>
      <c r="P41" s="96"/>
      <c r="Q41" s="96"/>
      <c r="R41" s="96"/>
      <c r="S41" s="185"/>
      <c r="T41" s="186"/>
      <c r="U41" s="186"/>
      <c r="V41" s="186"/>
      <c r="W41" s="186"/>
      <c r="X41" s="186"/>
      <c r="Y41" s="186"/>
      <c r="Z41" s="186"/>
      <c r="AA41" s="186"/>
      <c r="AB41" s="186"/>
      <c r="AC41" s="186"/>
      <c r="AD41" s="186"/>
      <c r="AE41" s="186"/>
      <c r="AF41" s="186"/>
      <c r="AG41" s="186"/>
      <c r="AH41" s="186"/>
      <c r="AI41" s="186"/>
      <c r="AJ41" s="186"/>
      <c r="AK41" s="186"/>
      <c r="AL41" s="186"/>
      <c r="AM41" s="186"/>
      <c r="AN41" s="186"/>
      <c r="AO41" s="186"/>
      <c r="AP41" s="186"/>
      <c r="AQ41" s="186"/>
      <c r="AR41" s="186"/>
      <c r="AS41" s="186"/>
      <c r="AT41" s="186"/>
      <c r="AU41" s="186"/>
      <c r="AV41" s="186"/>
      <c r="AW41" s="187"/>
      <c r="AX41" s="155"/>
      <c r="AY41" s="155"/>
      <c r="AZ41" s="155"/>
      <c r="BA41" s="155"/>
      <c r="BB41" s="155"/>
      <c r="BC41" s="156"/>
      <c r="BD41" s="154"/>
      <c r="BE41" s="155"/>
      <c r="BF41" s="155"/>
      <c r="BG41" s="155"/>
      <c r="BH41" s="155"/>
      <c r="BI41" s="155"/>
      <c r="BJ41" s="156"/>
      <c r="BK41" s="36"/>
    </row>
    <row r="42" spans="1:63" ht="15" customHeight="1" x14ac:dyDescent="0.25">
      <c r="A42" s="35"/>
      <c r="B42" s="98"/>
      <c r="C42" s="99"/>
      <c r="D42" s="99"/>
      <c r="E42" s="99"/>
      <c r="F42" s="99"/>
      <c r="G42" s="100"/>
      <c r="H42" s="98"/>
      <c r="I42" s="99"/>
      <c r="J42" s="99"/>
      <c r="K42" s="99"/>
      <c r="L42" s="99"/>
      <c r="M42" s="99"/>
      <c r="N42" s="100"/>
      <c r="O42" s="98"/>
      <c r="P42" s="99"/>
      <c r="Q42" s="99"/>
      <c r="R42" s="99"/>
      <c r="S42" s="188"/>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c r="AV42" s="189"/>
      <c r="AW42" s="190"/>
      <c r="AX42" s="158"/>
      <c r="AY42" s="158"/>
      <c r="AZ42" s="158"/>
      <c r="BA42" s="158"/>
      <c r="BB42" s="158"/>
      <c r="BC42" s="159"/>
      <c r="BD42" s="157"/>
      <c r="BE42" s="158"/>
      <c r="BF42" s="158"/>
      <c r="BG42" s="158"/>
      <c r="BH42" s="158"/>
      <c r="BI42" s="158"/>
      <c r="BJ42" s="159"/>
      <c r="BK42" s="36"/>
    </row>
    <row r="43" spans="1:63" ht="15" customHeight="1" x14ac:dyDescent="0.25">
      <c r="A43" s="35"/>
      <c r="B43" s="95"/>
      <c r="C43" s="96"/>
      <c r="D43" s="96"/>
      <c r="E43" s="96"/>
      <c r="F43" s="96"/>
      <c r="G43" s="97"/>
      <c r="H43" s="95"/>
      <c r="I43" s="96"/>
      <c r="J43" s="96"/>
      <c r="K43" s="96"/>
      <c r="L43" s="96"/>
      <c r="M43" s="96"/>
      <c r="N43" s="97"/>
      <c r="O43" s="95"/>
      <c r="P43" s="96"/>
      <c r="Q43" s="96"/>
      <c r="R43" s="96"/>
      <c r="S43" s="185"/>
      <c r="T43" s="186"/>
      <c r="U43" s="186"/>
      <c r="V43" s="186"/>
      <c r="W43" s="186"/>
      <c r="X43" s="186"/>
      <c r="Y43" s="186"/>
      <c r="Z43" s="186"/>
      <c r="AA43" s="186"/>
      <c r="AB43" s="186"/>
      <c r="AC43" s="186"/>
      <c r="AD43" s="186"/>
      <c r="AE43" s="186"/>
      <c r="AF43" s="186"/>
      <c r="AG43" s="186"/>
      <c r="AH43" s="186"/>
      <c r="AI43" s="186"/>
      <c r="AJ43" s="186"/>
      <c r="AK43" s="186"/>
      <c r="AL43" s="186"/>
      <c r="AM43" s="186"/>
      <c r="AN43" s="186"/>
      <c r="AO43" s="186"/>
      <c r="AP43" s="186"/>
      <c r="AQ43" s="186"/>
      <c r="AR43" s="186"/>
      <c r="AS43" s="186"/>
      <c r="AT43" s="186"/>
      <c r="AU43" s="186"/>
      <c r="AV43" s="186"/>
      <c r="AW43" s="187"/>
      <c r="AX43" s="155"/>
      <c r="AY43" s="155"/>
      <c r="AZ43" s="155"/>
      <c r="BA43" s="155"/>
      <c r="BB43" s="155"/>
      <c r="BC43" s="156"/>
      <c r="BD43" s="154"/>
      <c r="BE43" s="155"/>
      <c r="BF43" s="155"/>
      <c r="BG43" s="155"/>
      <c r="BH43" s="155"/>
      <c r="BI43" s="155"/>
      <c r="BJ43" s="156"/>
      <c r="BK43" s="36"/>
    </row>
    <row r="44" spans="1:63" ht="15" customHeight="1" x14ac:dyDescent="0.25">
      <c r="A44" s="35"/>
      <c r="B44" s="98"/>
      <c r="C44" s="99"/>
      <c r="D44" s="99"/>
      <c r="E44" s="99"/>
      <c r="F44" s="99"/>
      <c r="G44" s="100"/>
      <c r="H44" s="98"/>
      <c r="I44" s="99"/>
      <c r="J44" s="99"/>
      <c r="K44" s="99"/>
      <c r="L44" s="99"/>
      <c r="M44" s="99"/>
      <c r="N44" s="100"/>
      <c r="O44" s="98"/>
      <c r="P44" s="99"/>
      <c r="Q44" s="99"/>
      <c r="R44" s="99"/>
      <c r="S44" s="188"/>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c r="AV44" s="189"/>
      <c r="AW44" s="190"/>
      <c r="AX44" s="158"/>
      <c r="AY44" s="158"/>
      <c r="AZ44" s="158"/>
      <c r="BA44" s="158"/>
      <c r="BB44" s="158"/>
      <c r="BC44" s="159"/>
      <c r="BD44" s="157"/>
      <c r="BE44" s="158"/>
      <c r="BF44" s="158"/>
      <c r="BG44" s="158"/>
      <c r="BH44" s="158"/>
      <c r="BI44" s="158"/>
      <c r="BJ44" s="159"/>
      <c r="BK44" s="36"/>
    </row>
    <row r="45" spans="1:63" ht="15" customHeight="1" x14ac:dyDescent="0.25">
      <c r="A45" s="35"/>
      <c r="B45" s="95"/>
      <c r="C45" s="96"/>
      <c r="D45" s="96"/>
      <c r="E45" s="96"/>
      <c r="F45" s="96"/>
      <c r="G45" s="97"/>
      <c r="H45" s="95"/>
      <c r="I45" s="96"/>
      <c r="J45" s="96"/>
      <c r="K45" s="96"/>
      <c r="L45" s="96"/>
      <c r="M45" s="96"/>
      <c r="N45" s="97"/>
      <c r="O45" s="95"/>
      <c r="P45" s="96"/>
      <c r="Q45" s="96"/>
      <c r="R45" s="96"/>
      <c r="S45" s="185"/>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7"/>
      <c r="AX45" s="155"/>
      <c r="AY45" s="155"/>
      <c r="AZ45" s="155"/>
      <c r="BA45" s="155"/>
      <c r="BB45" s="155"/>
      <c r="BC45" s="156"/>
      <c r="BD45" s="154"/>
      <c r="BE45" s="155"/>
      <c r="BF45" s="155"/>
      <c r="BG45" s="155"/>
      <c r="BH45" s="155"/>
      <c r="BI45" s="155"/>
      <c r="BJ45" s="156"/>
      <c r="BK45" s="36"/>
    </row>
    <row r="46" spans="1:63" ht="15" customHeight="1" x14ac:dyDescent="0.25">
      <c r="A46" s="35"/>
      <c r="B46" s="98"/>
      <c r="C46" s="99"/>
      <c r="D46" s="99"/>
      <c r="E46" s="99"/>
      <c r="F46" s="99"/>
      <c r="G46" s="100"/>
      <c r="H46" s="98"/>
      <c r="I46" s="99"/>
      <c r="J46" s="99"/>
      <c r="K46" s="99"/>
      <c r="L46" s="99"/>
      <c r="M46" s="99"/>
      <c r="N46" s="100"/>
      <c r="O46" s="98"/>
      <c r="P46" s="99"/>
      <c r="Q46" s="99"/>
      <c r="R46" s="99"/>
      <c r="S46" s="188"/>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89"/>
      <c r="AS46" s="189"/>
      <c r="AT46" s="189"/>
      <c r="AU46" s="189"/>
      <c r="AV46" s="189"/>
      <c r="AW46" s="190"/>
      <c r="AX46" s="158"/>
      <c r="AY46" s="158"/>
      <c r="AZ46" s="158"/>
      <c r="BA46" s="158"/>
      <c r="BB46" s="158"/>
      <c r="BC46" s="159"/>
      <c r="BD46" s="157"/>
      <c r="BE46" s="158"/>
      <c r="BF46" s="158"/>
      <c r="BG46" s="158"/>
      <c r="BH46" s="158"/>
      <c r="BI46" s="158"/>
      <c r="BJ46" s="159"/>
      <c r="BK46" s="36"/>
    </row>
    <row r="47" spans="1:63" ht="15" customHeight="1" x14ac:dyDescent="0.25">
      <c r="A47" s="35"/>
      <c r="B47" s="95"/>
      <c r="C47" s="96"/>
      <c r="D47" s="96"/>
      <c r="E47" s="96"/>
      <c r="F47" s="96"/>
      <c r="G47" s="97"/>
      <c r="H47" s="95"/>
      <c r="I47" s="96"/>
      <c r="J47" s="96"/>
      <c r="K47" s="96"/>
      <c r="L47" s="96"/>
      <c r="M47" s="96"/>
      <c r="N47" s="97"/>
      <c r="O47" s="95"/>
      <c r="P47" s="96"/>
      <c r="Q47" s="96"/>
      <c r="R47" s="96"/>
      <c r="S47" s="185"/>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7"/>
      <c r="AX47" s="155"/>
      <c r="AY47" s="155"/>
      <c r="AZ47" s="155"/>
      <c r="BA47" s="155"/>
      <c r="BB47" s="155"/>
      <c r="BC47" s="156"/>
      <c r="BD47" s="154"/>
      <c r="BE47" s="155"/>
      <c r="BF47" s="155"/>
      <c r="BG47" s="155"/>
      <c r="BH47" s="155"/>
      <c r="BI47" s="155"/>
      <c r="BJ47" s="156"/>
      <c r="BK47" s="36"/>
    </row>
    <row r="48" spans="1:63" ht="15" customHeight="1" x14ac:dyDescent="0.25">
      <c r="A48" s="35"/>
      <c r="B48" s="98"/>
      <c r="C48" s="99"/>
      <c r="D48" s="99"/>
      <c r="E48" s="99"/>
      <c r="F48" s="99"/>
      <c r="G48" s="100"/>
      <c r="H48" s="98"/>
      <c r="I48" s="99"/>
      <c r="J48" s="99"/>
      <c r="K48" s="99"/>
      <c r="L48" s="99"/>
      <c r="M48" s="99"/>
      <c r="N48" s="100"/>
      <c r="O48" s="98"/>
      <c r="P48" s="99"/>
      <c r="Q48" s="99"/>
      <c r="R48" s="99"/>
      <c r="S48" s="188"/>
      <c r="T48" s="189"/>
      <c r="U48" s="189"/>
      <c r="V48" s="189"/>
      <c r="W48" s="189"/>
      <c r="X48" s="189"/>
      <c r="Y48" s="189"/>
      <c r="Z48" s="189"/>
      <c r="AA48" s="189"/>
      <c r="AB48" s="189"/>
      <c r="AC48" s="189"/>
      <c r="AD48" s="189"/>
      <c r="AE48" s="189"/>
      <c r="AF48" s="189"/>
      <c r="AG48" s="189"/>
      <c r="AH48" s="189"/>
      <c r="AI48" s="189"/>
      <c r="AJ48" s="189"/>
      <c r="AK48" s="189"/>
      <c r="AL48" s="189"/>
      <c r="AM48" s="189"/>
      <c r="AN48" s="189"/>
      <c r="AO48" s="189"/>
      <c r="AP48" s="189"/>
      <c r="AQ48" s="189"/>
      <c r="AR48" s="189"/>
      <c r="AS48" s="189"/>
      <c r="AT48" s="189"/>
      <c r="AU48" s="189"/>
      <c r="AV48" s="189"/>
      <c r="AW48" s="190"/>
      <c r="AX48" s="158"/>
      <c r="AY48" s="158"/>
      <c r="AZ48" s="158"/>
      <c r="BA48" s="158"/>
      <c r="BB48" s="158"/>
      <c r="BC48" s="159"/>
      <c r="BD48" s="157"/>
      <c r="BE48" s="158"/>
      <c r="BF48" s="158"/>
      <c r="BG48" s="158"/>
      <c r="BH48" s="158"/>
      <c r="BI48" s="158"/>
      <c r="BJ48" s="159"/>
      <c r="BK48" s="36"/>
    </row>
    <row r="49" spans="1:63" ht="15" customHeight="1" x14ac:dyDescent="0.25">
      <c r="A49" s="35"/>
      <c r="B49" s="95"/>
      <c r="C49" s="96"/>
      <c r="D49" s="96"/>
      <c r="E49" s="96"/>
      <c r="F49" s="96"/>
      <c r="G49" s="97"/>
      <c r="H49" s="95"/>
      <c r="I49" s="96"/>
      <c r="J49" s="96"/>
      <c r="K49" s="96"/>
      <c r="L49" s="96"/>
      <c r="M49" s="96"/>
      <c r="N49" s="97"/>
      <c r="O49" s="95"/>
      <c r="P49" s="96"/>
      <c r="Q49" s="96"/>
      <c r="R49" s="96"/>
      <c r="S49" s="185"/>
      <c r="T49" s="186"/>
      <c r="U49" s="186"/>
      <c r="V49" s="186"/>
      <c r="W49" s="186"/>
      <c r="X49" s="186"/>
      <c r="Y49" s="186"/>
      <c r="Z49" s="186"/>
      <c r="AA49" s="186"/>
      <c r="AB49" s="186"/>
      <c r="AC49" s="186"/>
      <c r="AD49" s="186"/>
      <c r="AE49" s="186"/>
      <c r="AF49" s="186"/>
      <c r="AG49" s="186"/>
      <c r="AH49" s="186"/>
      <c r="AI49" s="186"/>
      <c r="AJ49" s="186"/>
      <c r="AK49" s="186"/>
      <c r="AL49" s="186"/>
      <c r="AM49" s="186"/>
      <c r="AN49" s="186"/>
      <c r="AO49" s="186"/>
      <c r="AP49" s="186"/>
      <c r="AQ49" s="186"/>
      <c r="AR49" s="186"/>
      <c r="AS49" s="186"/>
      <c r="AT49" s="186"/>
      <c r="AU49" s="186"/>
      <c r="AV49" s="186"/>
      <c r="AW49" s="187"/>
      <c r="AX49" s="155"/>
      <c r="AY49" s="155"/>
      <c r="AZ49" s="155"/>
      <c r="BA49" s="155"/>
      <c r="BB49" s="155"/>
      <c r="BC49" s="156"/>
      <c r="BD49" s="154"/>
      <c r="BE49" s="155"/>
      <c r="BF49" s="155"/>
      <c r="BG49" s="155"/>
      <c r="BH49" s="155"/>
      <c r="BI49" s="155"/>
      <c r="BJ49" s="156"/>
      <c r="BK49" s="36"/>
    </row>
    <row r="50" spans="1:63" ht="15" customHeight="1" x14ac:dyDescent="0.25">
      <c r="A50" s="35"/>
      <c r="B50" s="98"/>
      <c r="C50" s="99"/>
      <c r="D50" s="99"/>
      <c r="E50" s="99"/>
      <c r="F50" s="99"/>
      <c r="G50" s="100"/>
      <c r="H50" s="98"/>
      <c r="I50" s="99"/>
      <c r="J50" s="99"/>
      <c r="K50" s="99"/>
      <c r="L50" s="99"/>
      <c r="M50" s="99"/>
      <c r="N50" s="100"/>
      <c r="O50" s="98"/>
      <c r="P50" s="99"/>
      <c r="Q50" s="99"/>
      <c r="R50" s="99"/>
      <c r="S50" s="188"/>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89"/>
      <c r="AS50" s="189"/>
      <c r="AT50" s="189"/>
      <c r="AU50" s="189"/>
      <c r="AV50" s="189"/>
      <c r="AW50" s="190"/>
      <c r="AX50" s="158"/>
      <c r="AY50" s="158"/>
      <c r="AZ50" s="158"/>
      <c r="BA50" s="158"/>
      <c r="BB50" s="158"/>
      <c r="BC50" s="159"/>
      <c r="BD50" s="157"/>
      <c r="BE50" s="158"/>
      <c r="BF50" s="158"/>
      <c r="BG50" s="158"/>
      <c r="BH50" s="158"/>
      <c r="BI50" s="158"/>
      <c r="BJ50" s="159"/>
      <c r="BK50" s="36"/>
    </row>
    <row r="51" spans="1:63" ht="15" customHeight="1" x14ac:dyDescent="0.25">
      <c r="A51" s="35"/>
      <c r="B51" s="95"/>
      <c r="C51" s="96"/>
      <c r="D51" s="96"/>
      <c r="E51" s="96"/>
      <c r="F51" s="96"/>
      <c r="G51" s="97"/>
      <c r="H51" s="95"/>
      <c r="I51" s="96"/>
      <c r="J51" s="96"/>
      <c r="K51" s="96"/>
      <c r="L51" s="96"/>
      <c r="M51" s="96"/>
      <c r="N51" s="97"/>
      <c r="O51" s="95"/>
      <c r="P51" s="96"/>
      <c r="Q51" s="96"/>
      <c r="R51" s="96"/>
      <c r="S51" s="185"/>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6"/>
      <c r="AV51" s="186"/>
      <c r="AW51" s="187"/>
      <c r="AX51" s="155"/>
      <c r="AY51" s="155"/>
      <c r="AZ51" s="155"/>
      <c r="BA51" s="155"/>
      <c r="BB51" s="155"/>
      <c r="BC51" s="156"/>
      <c r="BD51" s="154"/>
      <c r="BE51" s="155"/>
      <c r="BF51" s="155"/>
      <c r="BG51" s="155"/>
      <c r="BH51" s="155"/>
      <c r="BI51" s="155"/>
      <c r="BJ51" s="156"/>
      <c r="BK51" s="36"/>
    </row>
    <row r="52" spans="1:63" ht="15" customHeight="1" x14ac:dyDescent="0.25">
      <c r="A52" s="35"/>
      <c r="B52" s="98"/>
      <c r="C52" s="99"/>
      <c r="D52" s="99"/>
      <c r="E52" s="99"/>
      <c r="F52" s="99"/>
      <c r="G52" s="100"/>
      <c r="H52" s="98"/>
      <c r="I52" s="99"/>
      <c r="J52" s="99"/>
      <c r="K52" s="99"/>
      <c r="L52" s="99"/>
      <c r="M52" s="99"/>
      <c r="N52" s="100"/>
      <c r="O52" s="98"/>
      <c r="P52" s="99"/>
      <c r="Q52" s="99"/>
      <c r="R52" s="99"/>
      <c r="S52" s="188"/>
      <c r="T52" s="189"/>
      <c r="U52" s="189"/>
      <c r="V52" s="189"/>
      <c r="W52" s="189"/>
      <c r="X52" s="189"/>
      <c r="Y52" s="189"/>
      <c r="Z52" s="189"/>
      <c r="AA52" s="189"/>
      <c r="AB52" s="189"/>
      <c r="AC52" s="189"/>
      <c r="AD52" s="189"/>
      <c r="AE52" s="189"/>
      <c r="AF52" s="189"/>
      <c r="AG52" s="189"/>
      <c r="AH52" s="189"/>
      <c r="AI52" s="189"/>
      <c r="AJ52" s="189"/>
      <c r="AK52" s="189"/>
      <c r="AL52" s="189"/>
      <c r="AM52" s="189"/>
      <c r="AN52" s="189"/>
      <c r="AO52" s="189"/>
      <c r="AP52" s="189"/>
      <c r="AQ52" s="189"/>
      <c r="AR52" s="189"/>
      <c r="AS52" s="189"/>
      <c r="AT52" s="189"/>
      <c r="AU52" s="189"/>
      <c r="AV52" s="189"/>
      <c r="AW52" s="190"/>
      <c r="AX52" s="158"/>
      <c r="AY52" s="158"/>
      <c r="AZ52" s="158"/>
      <c r="BA52" s="158"/>
      <c r="BB52" s="158"/>
      <c r="BC52" s="159"/>
      <c r="BD52" s="157"/>
      <c r="BE52" s="158"/>
      <c r="BF52" s="158"/>
      <c r="BG52" s="158"/>
      <c r="BH52" s="158"/>
      <c r="BI52" s="158"/>
      <c r="BJ52" s="159"/>
      <c r="BK52" s="36"/>
    </row>
    <row r="53" spans="1:63" ht="15" customHeight="1" x14ac:dyDescent="0.25">
      <c r="A53" s="35"/>
      <c r="B53" s="95"/>
      <c r="C53" s="96"/>
      <c r="D53" s="96"/>
      <c r="E53" s="96"/>
      <c r="F53" s="96"/>
      <c r="G53" s="97"/>
      <c r="H53" s="95"/>
      <c r="I53" s="96"/>
      <c r="J53" s="96"/>
      <c r="K53" s="96"/>
      <c r="L53" s="96"/>
      <c r="M53" s="96"/>
      <c r="N53" s="97"/>
      <c r="O53" s="95"/>
      <c r="P53" s="96"/>
      <c r="Q53" s="96"/>
      <c r="R53" s="96"/>
      <c r="S53" s="185"/>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6"/>
      <c r="AU53" s="186"/>
      <c r="AV53" s="186"/>
      <c r="AW53" s="187"/>
      <c r="AX53" s="155"/>
      <c r="AY53" s="155"/>
      <c r="AZ53" s="155"/>
      <c r="BA53" s="155"/>
      <c r="BB53" s="155"/>
      <c r="BC53" s="156"/>
      <c r="BD53" s="154"/>
      <c r="BE53" s="155"/>
      <c r="BF53" s="155"/>
      <c r="BG53" s="155"/>
      <c r="BH53" s="155"/>
      <c r="BI53" s="155"/>
      <c r="BJ53" s="156"/>
      <c r="BK53" s="36"/>
    </row>
    <row r="54" spans="1:63" ht="15" customHeight="1" x14ac:dyDescent="0.25">
      <c r="A54" s="35"/>
      <c r="B54" s="98"/>
      <c r="C54" s="99"/>
      <c r="D54" s="99"/>
      <c r="E54" s="99"/>
      <c r="F54" s="99"/>
      <c r="G54" s="100"/>
      <c r="H54" s="98"/>
      <c r="I54" s="99"/>
      <c r="J54" s="99"/>
      <c r="K54" s="99"/>
      <c r="L54" s="99"/>
      <c r="M54" s="99"/>
      <c r="N54" s="100"/>
      <c r="O54" s="98"/>
      <c r="P54" s="99"/>
      <c r="Q54" s="99"/>
      <c r="R54" s="99"/>
      <c r="S54" s="188"/>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c r="AR54" s="189"/>
      <c r="AS54" s="189"/>
      <c r="AT54" s="189"/>
      <c r="AU54" s="189"/>
      <c r="AV54" s="189"/>
      <c r="AW54" s="190"/>
      <c r="AX54" s="158"/>
      <c r="AY54" s="158"/>
      <c r="AZ54" s="158"/>
      <c r="BA54" s="158"/>
      <c r="BB54" s="158"/>
      <c r="BC54" s="159"/>
      <c r="BD54" s="157"/>
      <c r="BE54" s="158"/>
      <c r="BF54" s="158"/>
      <c r="BG54" s="158"/>
      <c r="BH54" s="158"/>
      <c r="BI54" s="158"/>
      <c r="BJ54" s="159"/>
      <c r="BK54" s="36"/>
    </row>
    <row r="55" spans="1:63" ht="15" customHeight="1" x14ac:dyDescent="0.25">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204" t="s">
        <v>26</v>
      </c>
      <c r="B1" s="205"/>
      <c r="C1" s="205"/>
      <c r="D1" s="205"/>
      <c r="E1" s="205"/>
      <c r="F1" s="205"/>
      <c r="G1" s="205"/>
      <c r="H1" s="205"/>
      <c r="I1" s="205"/>
      <c r="J1" s="206"/>
      <c r="K1" s="204" t="s">
        <v>27</v>
      </c>
      <c r="L1" s="205"/>
      <c r="M1" s="205"/>
      <c r="N1" s="205"/>
      <c r="O1" s="205"/>
      <c r="P1" s="205"/>
      <c r="Q1" s="205"/>
      <c r="R1" s="205"/>
      <c r="S1" s="205"/>
      <c r="T1" s="205"/>
      <c r="U1" s="205"/>
      <c r="V1" s="206"/>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04" t="s">
        <v>28</v>
      </c>
      <c r="AQ1" s="205"/>
      <c r="AR1" s="205"/>
      <c r="AS1" s="206"/>
      <c r="AT1" s="204" t="s">
        <v>29</v>
      </c>
      <c r="AU1" s="205"/>
      <c r="AV1" s="205"/>
      <c r="AW1" s="205"/>
      <c r="AX1" s="206"/>
      <c r="AY1" s="204" t="s">
        <v>30</v>
      </c>
      <c r="AZ1" s="205"/>
      <c r="BA1" s="205"/>
      <c r="BB1" s="206"/>
      <c r="BC1" s="204" t="s">
        <v>31</v>
      </c>
      <c r="BD1" s="205"/>
      <c r="BE1" s="205"/>
      <c r="BF1" s="205"/>
      <c r="BG1" s="206"/>
      <c r="BH1" s="204" t="s">
        <v>32</v>
      </c>
      <c r="BI1" s="205"/>
      <c r="BJ1" s="205"/>
      <c r="BK1" s="206"/>
    </row>
    <row r="2" spans="1:63" ht="15" customHeight="1" x14ac:dyDescent="0.25">
      <c r="A2" s="210" t="str">
        <f>IF(表紙!A2="","",表紙!A2)</f>
        <v>POSサーバー</v>
      </c>
      <c r="B2" s="211"/>
      <c r="C2" s="211"/>
      <c r="D2" s="211"/>
      <c r="E2" s="211"/>
      <c r="F2" s="211"/>
      <c r="G2" s="211"/>
      <c r="H2" s="211"/>
      <c r="I2" s="211"/>
      <c r="J2" s="212"/>
      <c r="K2" s="210" t="str">
        <f>IF(表紙!K2="","",表紙!K2)</f>
        <v>POSサーバー</v>
      </c>
      <c r="L2" s="211"/>
      <c r="M2" s="211"/>
      <c r="N2" s="211"/>
      <c r="O2" s="211"/>
      <c r="P2" s="211"/>
      <c r="Q2" s="211"/>
      <c r="R2" s="211"/>
      <c r="S2" s="211"/>
      <c r="T2" s="211"/>
      <c r="U2" s="211"/>
      <c r="V2" s="212"/>
      <c r="W2" s="225"/>
      <c r="X2" s="226"/>
      <c r="Y2" s="226"/>
      <c r="Z2" s="226"/>
      <c r="AA2" s="226"/>
      <c r="AB2" s="226"/>
      <c r="AC2" s="226"/>
      <c r="AD2" s="226"/>
      <c r="AE2" s="226"/>
      <c r="AF2" s="226"/>
      <c r="AG2" s="226"/>
      <c r="AH2" s="226"/>
      <c r="AI2" s="226"/>
      <c r="AJ2" s="226"/>
      <c r="AK2" s="226"/>
      <c r="AL2" s="226"/>
      <c r="AM2" s="226"/>
      <c r="AN2" s="226"/>
      <c r="AO2" s="227"/>
      <c r="AP2" s="210" t="str">
        <f>IF(表紙!AP2="","",表紙!AP2)</f>
        <v>TuyenNH</v>
      </c>
      <c r="AQ2" s="211"/>
      <c r="AR2" s="211"/>
      <c r="AS2" s="212"/>
      <c r="AT2" s="216">
        <v>45084</v>
      </c>
      <c r="AU2" s="217"/>
      <c r="AV2" s="217"/>
      <c r="AW2" s="217"/>
      <c r="AX2" s="218"/>
      <c r="AY2" s="210" t="str">
        <f>IF(表紙!AY2="","",表紙!AY2)</f>
        <v>AnhDD</v>
      </c>
      <c r="AZ2" s="211"/>
      <c r="BA2" s="211"/>
      <c r="BB2" s="212"/>
      <c r="BC2" s="216">
        <f>IF(表紙!BC2="","",表紙!BC2)</f>
        <v>45558</v>
      </c>
      <c r="BD2" s="217"/>
      <c r="BE2" s="217"/>
      <c r="BF2" s="217"/>
      <c r="BG2" s="218"/>
      <c r="BH2" s="210">
        <f>IF(表紙!BH2="","",表紙!BH2)</f>
        <v>0.14000000000000001</v>
      </c>
      <c r="BI2" s="211"/>
      <c r="BJ2" s="211"/>
      <c r="BK2" s="212"/>
    </row>
    <row r="3" spans="1:63" ht="15" customHeight="1" x14ac:dyDescent="0.25">
      <c r="A3" s="213"/>
      <c r="B3" s="214"/>
      <c r="C3" s="214"/>
      <c r="D3" s="214"/>
      <c r="E3" s="214"/>
      <c r="F3" s="214"/>
      <c r="G3" s="214"/>
      <c r="H3" s="214"/>
      <c r="I3" s="214"/>
      <c r="J3" s="215"/>
      <c r="K3" s="213"/>
      <c r="L3" s="214"/>
      <c r="M3" s="214"/>
      <c r="N3" s="214"/>
      <c r="O3" s="214"/>
      <c r="P3" s="214"/>
      <c r="Q3" s="214"/>
      <c r="R3" s="214"/>
      <c r="S3" s="214"/>
      <c r="T3" s="214"/>
      <c r="U3" s="214"/>
      <c r="V3" s="215"/>
      <c r="W3" s="228"/>
      <c r="X3" s="229"/>
      <c r="Y3" s="229"/>
      <c r="Z3" s="229"/>
      <c r="AA3" s="229"/>
      <c r="AB3" s="229"/>
      <c r="AC3" s="229"/>
      <c r="AD3" s="229"/>
      <c r="AE3" s="229"/>
      <c r="AF3" s="229"/>
      <c r="AG3" s="229"/>
      <c r="AH3" s="229"/>
      <c r="AI3" s="229"/>
      <c r="AJ3" s="229"/>
      <c r="AK3" s="229"/>
      <c r="AL3" s="229"/>
      <c r="AM3" s="229"/>
      <c r="AN3" s="229"/>
      <c r="AO3" s="230"/>
      <c r="AP3" s="213"/>
      <c r="AQ3" s="214"/>
      <c r="AR3" s="214"/>
      <c r="AS3" s="215"/>
      <c r="AT3" s="219"/>
      <c r="AU3" s="220"/>
      <c r="AV3" s="220"/>
      <c r="AW3" s="220"/>
      <c r="AX3" s="221"/>
      <c r="AY3" s="213"/>
      <c r="AZ3" s="214"/>
      <c r="BA3" s="214"/>
      <c r="BB3" s="215"/>
      <c r="BC3" s="219"/>
      <c r="BD3" s="220"/>
      <c r="BE3" s="220"/>
      <c r="BF3" s="220"/>
      <c r="BG3" s="221"/>
      <c r="BH3" s="213"/>
      <c r="BI3" s="214"/>
      <c r="BJ3" s="214"/>
      <c r="BK3" s="215"/>
    </row>
    <row r="4" spans="1:63" ht="24.95" customHeight="1" x14ac:dyDescent="0.25">
      <c r="A4" s="204" t="s">
        <v>33</v>
      </c>
      <c r="B4" s="205"/>
      <c r="C4" s="205"/>
      <c r="D4" s="205"/>
      <c r="E4" s="205"/>
      <c r="F4" s="205"/>
      <c r="G4" s="206"/>
      <c r="H4" s="207" t="str">
        <f>IF(表紙!H4="","",表紙!H4)</f>
        <v>20_レジ精算入力</v>
      </c>
      <c r="I4" s="208"/>
      <c r="J4" s="208"/>
      <c r="K4" s="208"/>
      <c r="L4" s="208"/>
      <c r="M4" s="208"/>
      <c r="N4" s="208"/>
      <c r="O4" s="208"/>
      <c r="P4" s="208"/>
      <c r="Q4" s="208"/>
      <c r="R4" s="208"/>
      <c r="S4" s="208"/>
      <c r="T4" s="209"/>
      <c r="U4" s="204" t="s">
        <v>34</v>
      </c>
      <c r="V4" s="205"/>
      <c r="W4" s="205"/>
      <c r="X4" s="205"/>
      <c r="Y4" s="206"/>
      <c r="Z4" s="207" t="str">
        <f>IF(表紙!Z4="","",表紙!Z4)</f>
        <v>概要設計書</v>
      </c>
      <c r="AA4" s="208"/>
      <c r="AB4" s="208"/>
      <c r="AC4" s="208"/>
      <c r="AD4" s="208"/>
      <c r="AE4" s="208"/>
      <c r="AF4" s="208"/>
      <c r="AG4" s="208"/>
      <c r="AH4" s="208"/>
      <c r="AI4" s="208"/>
      <c r="AJ4" s="208"/>
      <c r="AK4" s="208"/>
      <c r="AL4" s="208"/>
      <c r="AM4" s="208"/>
      <c r="AN4" s="208"/>
      <c r="AO4" s="209"/>
      <c r="AP4" s="207" t="str">
        <f t="array" aca="1" ref="AP4" ca="1">RIGHT(CELL("filename",$A$1),LEN(CELL("filename",$A$1))-FIND("]",CELL("filename",$A$1)))</f>
        <v>業務フロー凡例</v>
      </c>
      <c r="AQ4" s="208"/>
      <c r="AR4" s="208"/>
      <c r="AS4" s="208"/>
      <c r="AT4" s="208"/>
      <c r="AU4" s="208"/>
      <c r="AV4" s="208"/>
      <c r="AW4" s="208"/>
      <c r="AX4" s="208"/>
      <c r="AY4" s="208"/>
      <c r="AZ4" s="208"/>
      <c r="BA4" s="208"/>
      <c r="BB4" s="208"/>
      <c r="BC4" s="208"/>
      <c r="BD4" s="208"/>
      <c r="BE4" s="208"/>
      <c r="BF4" s="208"/>
      <c r="BG4" s="208"/>
      <c r="BH4" s="208"/>
      <c r="BI4" s="208"/>
      <c r="BJ4" s="208"/>
      <c r="BK4" s="209"/>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50"/>
      <c r="AF6" s="48"/>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50"/>
      <c r="BJ6" s="49"/>
      <c r="BK6" s="51"/>
    </row>
    <row r="7" spans="1:63" ht="15" customHeight="1" x14ac:dyDescent="0.25">
      <c r="A7" s="47"/>
      <c r="B7" s="7" t="s">
        <v>35</v>
      </c>
      <c r="C7" s="6"/>
      <c r="D7" s="6"/>
      <c r="E7" s="6"/>
      <c r="F7" s="6"/>
      <c r="G7" s="6"/>
      <c r="H7" s="6"/>
      <c r="I7" s="6"/>
      <c r="J7" s="6"/>
      <c r="K7" s="6"/>
      <c r="L7" s="6"/>
      <c r="M7" s="6"/>
      <c r="N7" s="6"/>
      <c r="O7" s="6"/>
      <c r="P7" s="6"/>
      <c r="Q7" s="6"/>
      <c r="R7" s="6"/>
      <c r="S7" s="6"/>
      <c r="T7" s="6"/>
      <c r="U7" s="6"/>
      <c r="V7" s="6"/>
      <c r="W7" s="6"/>
      <c r="X7" s="6"/>
      <c r="Y7" s="6"/>
      <c r="Z7" s="6"/>
      <c r="AA7" s="6"/>
      <c r="AB7" s="6"/>
      <c r="AC7" s="6"/>
      <c r="AD7" s="6"/>
      <c r="AE7" s="8"/>
      <c r="AF7" s="7"/>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8"/>
      <c r="BJ7" s="6"/>
      <c r="BK7" s="51"/>
    </row>
    <row r="8" spans="1:63" ht="15" customHeight="1" x14ac:dyDescent="0.25">
      <c r="A8" s="47"/>
      <c r="B8" s="48"/>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50"/>
      <c r="AF8" s="48"/>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50"/>
      <c r="BJ8" s="49"/>
      <c r="BK8" s="51"/>
    </row>
    <row r="9" spans="1:63" ht="15" customHeight="1" x14ac:dyDescent="0.25">
      <c r="A9" s="47"/>
      <c r="B9" s="48"/>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50"/>
      <c r="AF9" s="48"/>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50"/>
      <c r="BJ9" s="49"/>
      <c r="BK9" s="51"/>
    </row>
    <row r="10" spans="1:63" ht="15" customHeight="1" x14ac:dyDescent="0.25">
      <c r="A10" s="47"/>
      <c r="B10" s="48"/>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50"/>
      <c r="AF10" s="48"/>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50"/>
      <c r="BJ10" s="49"/>
      <c r="BK10" s="51"/>
    </row>
    <row r="11" spans="1:63" ht="15" customHeight="1" x14ac:dyDescent="0.25">
      <c r="A11" s="47"/>
      <c r="B11" s="48"/>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50"/>
      <c r="AF11" s="48"/>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50"/>
      <c r="BJ11" s="49"/>
      <c r="BK11" s="51"/>
    </row>
    <row r="12" spans="1:63" ht="15" customHeight="1" x14ac:dyDescent="0.25">
      <c r="A12" s="47"/>
      <c r="B12" s="48"/>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50"/>
      <c r="AF12" s="48"/>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50"/>
      <c r="BJ12" s="49"/>
      <c r="BK12" s="51"/>
    </row>
    <row r="13" spans="1:63" ht="15" customHeight="1" x14ac:dyDescent="0.25">
      <c r="A13" s="47"/>
      <c r="B13" s="48"/>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50"/>
      <c r="AF13" s="48"/>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50"/>
      <c r="BJ13" s="49"/>
      <c r="BK13" s="51"/>
    </row>
    <row r="14" spans="1:63" ht="15" customHeight="1" x14ac:dyDescent="0.25">
      <c r="A14" s="47"/>
      <c r="B14" s="48"/>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50"/>
      <c r="AF14" s="48"/>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50"/>
      <c r="BJ14" s="49"/>
      <c r="BK14" s="51"/>
    </row>
    <row r="15" spans="1:63" ht="15" customHeight="1" x14ac:dyDescent="0.25">
      <c r="A15" s="47"/>
      <c r="B15" s="48"/>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50"/>
      <c r="AF15" s="48"/>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50"/>
      <c r="BJ15" s="49"/>
      <c r="BK15" s="51"/>
    </row>
    <row r="16" spans="1:63" ht="15" customHeight="1" x14ac:dyDescent="0.25">
      <c r="A16" s="47"/>
      <c r="B16" s="48"/>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50"/>
      <c r="AF16" s="48"/>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50"/>
      <c r="BJ16" s="49"/>
      <c r="BK16" s="51"/>
    </row>
    <row r="17" spans="1:63" ht="15" customHeight="1" x14ac:dyDescent="0.25">
      <c r="A17" s="47"/>
      <c r="B17" s="48"/>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50"/>
      <c r="AF17" s="48"/>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50"/>
      <c r="BJ17" s="49"/>
      <c r="BK17" s="51"/>
    </row>
    <row r="18" spans="1:63" ht="15" customHeight="1" x14ac:dyDescent="0.25">
      <c r="A18" s="47"/>
      <c r="B18" s="48"/>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50"/>
      <c r="AF18" s="48"/>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50"/>
      <c r="BJ18" s="49"/>
      <c r="BK18" s="51"/>
    </row>
    <row r="19" spans="1:63" ht="15" customHeight="1" x14ac:dyDescent="0.25">
      <c r="A19" s="47"/>
      <c r="B19" s="48"/>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50"/>
      <c r="AF19" s="48"/>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50"/>
      <c r="BJ19" s="49"/>
      <c r="BK19" s="51"/>
    </row>
    <row r="20" spans="1:63" ht="15" customHeight="1" x14ac:dyDescent="0.25">
      <c r="A20" s="47"/>
      <c r="B20" s="48"/>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50"/>
      <c r="AF20" s="48"/>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50"/>
      <c r="BJ20" s="49"/>
      <c r="BK20" s="51"/>
    </row>
    <row r="21" spans="1:63" ht="15" customHeight="1" x14ac:dyDescent="0.25">
      <c r="A21" s="47"/>
      <c r="B21" s="48"/>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50"/>
      <c r="AF21" s="48"/>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50"/>
      <c r="BJ21" s="49"/>
      <c r="BK21" s="51"/>
    </row>
    <row r="22" spans="1:63" ht="15" customHeight="1" x14ac:dyDescent="0.25">
      <c r="A22" s="47"/>
      <c r="B22" s="7" t="s">
        <v>36</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8"/>
      <c r="AF22" s="7"/>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8"/>
      <c r="BJ22" s="6"/>
      <c r="BK22" s="51"/>
    </row>
    <row r="23" spans="1:63" ht="15" customHeight="1" x14ac:dyDescent="0.25">
      <c r="A23" s="47"/>
      <c r="B23" s="48"/>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50"/>
      <c r="AF23" s="48"/>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50"/>
      <c r="BJ23" s="49"/>
      <c r="BK23" s="51"/>
    </row>
    <row r="24" spans="1:63" ht="15" customHeight="1" x14ac:dyDescent="0.25">
      <c r="A24" s="47"/>
      <c r="B24" s="48"/>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50"/>
      <c r="AF24" s="48"/>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50"/>
      <c r="BJ24" s="49"/>
      <c r="BK24" s="51"/>
    </row>
    <row r="25" spans="1:63" ht="15" customHeight="1" x14ac:dyDescent="0.25">
      <c r="A25" s="47"/>
      <c r="B25" s="48"/>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50"/>
      <c r="AF25" s="48"/>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50"/>
      <c r="BJ25" s="49"/>
      <c r="BK25" s="51"/>
    </row>
    <row r="26" spans="1:63" ht="15" customHeight="1" x14ac:dyDescent="0.25">
      <c r="A26" s="47"/>
      <c r="B26" s="48"/>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50"/>
      <c r="AF26" s="48"/>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50"/>
      <c r="BJ26" s="49"/>
      <c r="BK26" s="51"/>
    </row>
    <row r="27" spans="1:63" ht="15" customHeight="1" x14ac:dyDescent="0.25">
      <c r="A27" s="47"/>
      <c r="B27" s="48"/>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50"/>
      <c r="AF27" s="48"/>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50"/>
      <c r="BJ27" s="49"/>
      <c r="BK27" s="51"/>
    </row>
    <row r="28" spans="1:63" ht="15" customHeight="1" x14ac:dyDescent="0.25">
      <c r="A28" s="47"/>
      <c r="B28" s="48"/>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50"/>
      <c r="AF28" s="48"/>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50"/>
      <c r="BJ28" s="49"/>
      <c r="BK28" s="51"/>
    </row>
    <row r="29" spans="1:63" ht="15" customHeight="1" x14ac:dyDescent="0.25">
      <c r="A29" s="47"/>
      <c r="B29" s="48"/>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50"/>
      <c r="AF29" s="48"/>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50"/>
      <c r="BJ29" s="49"/>
      <c r="BK29" s="51"/>
    </row>
    <row r="30" spans="1:63" ht="15" customHeight="1" x14ac:dyDescent="0.25">
      <c r="A30" s="47"/>
      <c r="B30" s="48"/>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50"/>
      <c r="AF30" s="48"/>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50"/>
      <c r="BJ30" s="49"/>
      <c r="BK30" s="51"/>
    </row>
    <row r="31" spans="1:63" ht="15" customHeight="1" x14ac:dyDescent="0.25">
      <c r="A31" s="47"/>
      <c r="B31" s="48"/>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50"/>
      <c r="AF31" s="48"/>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50"/>
      <c r="BJ31" s="49"/>
      <c r="BK31" s="51"/>
    </row>
    <row r="32" spans="1:63" ht="15" customHeight="1" x14ac:dyDescent="0.25">
      <c r="A32" s="47"/>
      <c r="B32" s="48"/>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50"/>
      <c r="AF32" s="48"/>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50"/>
      <c r="BJ32" s="49"/>
      <c r="BK32" s="51"/>
    </row>
    <row r="33" spans="1:63" ht="15" customHeight="1" x14ac:dyDescent="0.25">
      <c r="A33" s="47"/>
      <c r="B33" s="48"/>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50"/>
      <c r="AF33" s="48"/>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50"/>
      <c r="BJ33" s="49"/>
      <c r="BK33" s="51"/>
    </row>
    <row r="34" spans="1:63" ht="15" customHeight="1" x14ac:dyDescent="0.25">
      <c r="A34" s="47"/>
      <c r="B34" s="48"/>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50"/>
      <c r="AF34" s="48"/>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50"/>
      <c r="BJ34" s="49"/>
      <c r="BK34" s="51"/>
    </row>
    <row r="35" spans="1:63" ht="15" customHeight="1" x14ac:dyDescent="0.25">
      <c r="A35" s="47"/>
      <c r="B35" s="48"/>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50"/>
      <c r="AF35" s="48"/>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50"/>
      <c r="BJ35" s="49"/>
      <c r="BK35" s="51"/>
    </row>
    <row r="36" spans="1:63" ht="15" customHeight="1" x14ac:dyDescent="0.25">
      <c r="A36" s="47"/>
      <c r="B36" s="48"/>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50"/>
      <c r="AF36" s="48"/>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50"/>
      <c r="BJ36" s="49"/>
      <c r="BK36" s="51"/>
    </row>
    <row r="37" spans="1:63" ht="15" customHeight="1" x14ac:dyDescent="0.25">
      <c r="A37" s="47"/>
      <c r="B37" s="48"/>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8"/>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50"/>
      <c r="BJ37" s="49"/>
      <c r="BK37" s="51"/>
    </row>
    <row r="38" spans="1:63" ht="15" customHeight="1" x14ac:dyDescent="0.25">
      <c r="A38" s="47"/>
      <c r="B38" s="48"/>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8"/>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50"/>
      <c r="BJ38" s="49"/>
      <c r="BK38" s="51"/>
    </row>
    <row r="39" spans="1:63" ht="15" customHeight="1" x14ac:dyDescent="0.25">
      <c r="A39" s="47"/>
      <c r="B39" s="48"/>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8"/>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50"/>
      <c r="BJ39" s="49"/>
      <c r="BK39" s="51"/>
    </row>
    <row r="40" spans="1:63" ht="15" customHeight="1" x14ac:dyDescent="0.25">
      <c r="A40" s="47"/>
      <c r="B40" s="48"/>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8"/>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50"/>
      <c r="BJ40" s="49"/>
      <c r="BK40" s="51"/>
    </row>
    <row r="41" spans="1:63" ht="15" customHeight="1" x14ac:dyDescent="0.25">
      <c r="A41" s="47"/>
      <c r="B41" s="48"/>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8"/>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50"/>
      <c r="BJ41" s="49"/>
      <c r="BK41" s="51"/>
    </row>
    <row r="42" spans="1:63" ht="15" customHeight="1" x14ac:dyDescent="0.25">
      <c r="A42" s="47"/>
      <c r="B42" s="7" t="s">
        <v>37</v>
      </c>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8"/>
      <c r="AF42" s="7"/>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8"/>
      <c r="BJ42" s="6"/>
      <c r="BK42" s="51"/>
    </row>
    <row r="43" spans="1:63" ht="15" customHeight="1" x14ac:dyDescent="0.25">
      <c r="A43" s="47"/>
      <c r="B43" s="48"/>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50"/>
      <c r="AF43" s="48"/>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50"/>
      <c r="BJ43" s="49"/>
      <c r="BK43" s="51"/>
    </row>
    <row r="44" spans="1:63" ht="15" customHeight="1" x14ac:dyDescent="0.25">
      <c r="A44" s="47"/>
      <c r="B44" s="48"/>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50"/>
      <c r="AF44" s="48"/>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50"/>
      <c r="BJ44" s="49"/>
      <c r="BK44" s="51"/>
    </row>
    <row r="45" spans="1:63" ht="15" customHeight="1" x14ac:dyDescent="0.25">
      <c r="A45" s="47"/>
      <c r="B45" s="48"/>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50"/>
      <c r="AF45" s="48"/>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50"/>
      <c r="BJ45" s="49"/>
      <c r="BK45" s="51"/>
    </row>
    <row r="46" spans="1:63" ht="15" customHeight="1" x14ac:dyDescent="0.25">
      <c r="A46" s="47"/>
      <c r="B46" s="48"/>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50"/>
      <c r="AF46" s="48"/>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50"/>
      <c r="BJ46" s="49"/>
      <c r="BK46" s="51"/>
    </row>
    <row r="47" spans="1:63" ht="15" customHeight="1" x14ac:dyDescent="0.25">
      <c r="A47" s="47"/>
      <c r="B47" s="48"/>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50"/>
      <c r="AF47" s="48"/>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50"/>
      <c r="BJ47" s="49"/>
      <c r="BK47" s="51"/>
    </row>
    <row r="48" spans="1:63" ht="15" customHeight="1" x14ac:dyDescent="0.25">
      <c r="A48" s="47"/>
      <c r="B48" s="48"/>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50"/>
      <c r="AF48" s="48"/>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50"/>
      <c r="BJ48" s="49"/>
      <c r="BK48" s="51"/>
    </row>
    <row r="49" spans="1:63" ht="15" customHeight="1" x14ac:dyDescent="0.25">
      <c r="A49" s="47"/>
      <c r="B49" s="48"/>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8"/>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50"/>
      <c r="BJ49" s="49"/>
      <c r="BK49" s="51"/>
    </row>
    <row r="50" spans="1:63" ht="15" customHeight="1" x14ac:dyDescent="0.25">
      <c r="A50" s="47"/>
      <c r="B50" s="48"/>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8"/>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50"/>
      <c r="BJ50" s="49"/>
      <c r="BK50" s="51"/>
    </row>
    <row r="51" spans="1:63" ht="15" customHeight="1" x14ac:dyDescent="0.25">
      <c r="A51" s="47"/>
      <c r="B51" s="48"/>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8"/>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50"/>
      <c r="BJ51" s="49"/>
      <c r="BK51" s="51"/>
    </row>
    <row r="52" spans="1:63" ht="15" customHeight="1" x14ac:dyDescent="0.25">
      <c r="A52" s="47"/>
      <c r="B52" s="48"/>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8"/>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50"/>
      <c r="BJ52" s="49"/>
      <c r="BK52" s="51"/>
    </row>
    <row r="53" spans="1:63" ht="15" customHeight="1" x14ac:dyDescent="0.25">
      <c r="A53" s="47"/>
      <c r="B53" s="48"/>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8"/>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50"/>
      <c r="BJ53" s="49"/>
      <c r="BK53" s="51"/>
    </row>
    <row r="54" spans="1:63" ht="15" customHeight="1" x14ac:dyDescent="0.25">
      <c r="A54" s="47"/>
      <c r="B54" s="48"/>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8"/>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50"/>
      <c r="BJ54" s="49"/>
      <c r="BK54" s="51"/>
    </row>
    <row r="55" spans="1:63" ht="15" customHeight="1" x14ac:dyDescent="0.25">
      <c r="A55" s="49"/>
      <c r="B55" s="48"/>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50"/>
      <c r="AF55" s="48"/>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50"/>
      <c r="BJ55" s="49"/>
      <c r="BK55" s="51"/>
    </row>
    <row r="56" spans="1:63" x14ac:dyDescent="0.25">
      <c r="A56" s="49"/>
      <c r="B56" s="48"/>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50"/>
      <c r="AF56" s="48"/>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50"/>
      <c r="BJ56" s="49"/>
      <c r="BK56" s="51"/>
    </row>
    <row r="57" spans="1:63" x14ac:dyDescent="0.25">
      <c r="A57" s="49"/>
      <c r="B57" s="48"/>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50"/>
      <c r="AF57" s="48"/>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50"/>
      <c r="BJ57" s="49"/>
      <c r="BK57" s="51"/>
    </row>
    <row r="58" spans="1:63" x14ac:dyDescent="0.25">
      <c r="A58" s="49"/>
      <c r="B58" s="48"/>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50"/>
      <c r="AF58" s="48"/>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50"/>
      <c r="BJ58" s="49"/>
      <c r="BK58" s="51"/>
    </row>
    <row r="59" spans="1:63" x14ac:dyDescent="0.25">
      <c r="A59" s="49"/>
      <c r="B59" s="48"/>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50"/>
      <c r="AF59" s="48"/>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50"/>
      <c r="BJ59" s="49"/>
      <c r="BK59" s="51"/>
    </row>
    <row r="60" spans="1:63" x14ac:dyDescent="0.25">
      <c r="A60" s="49"/>
      <c r="B60" s="48"/>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50"/>
      <c r="AF60" s="48"/>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50"/>
      <c r="BJ60" s="49"/>
      <c r="BK60" s="51"/>
    </row>
    <row r="61" spans="1:63" x14ac:dyDescent="0.25">
      <c r="A61" s="52"/>
      <c r="B61" s="53"/>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4"/>
      <c r="AF61" s="53"/>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4"/>
      <c r="BJ61" s="52"/>
      <c r="BK61" s="5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9"/>
  <sheetViews>
    <sheetView view="pageBreakPreview" zoomScale="85" zoomScaleNormal="75" zoomScaleSheetLayoutView="85" workbookViewId="0">
      <selection activeCell="D13" sqref="D13:AB13"/>
    </sheetView>
  </sheetViews>
  <sheetFormatPr defaultColWidth="2.77734375" defaultRowHeight="15" customHeight="1" x14ac:dyDescent="0.25"/>
  <cols>
    <col min="1" max="64" width="2.77734375" customWidth="1"/>
  </cols>
  <sheetData>
    <row r="1" spans="1:65" ht="24.95" customHeight="1" x14ac:dyDescent="0.25">
      <c r="A1" s="204" t="s">
        <v>26</v>
      </c>
      <c r="B1" s="205"/>
      <c r="C1" s="205"/>
      <c r="D1" s="205"/>
      <c r="E1" s="205"/>
      <c r="F1" s="205"/>
      <c r="G1" s="205"/>
      <c r="H1" s="205"/>
      <c r="I1" s="205"/>
      <c r="J1" s="206"/>
      <c r="K1" s="204" t="s">
        <v>27</v>
      </c>
      <c r="L1" s="205"/>
      <c r="M1" s="205"/>
      <c r="N1" s="205"/>
      <c r="O1" s="205"/>
      <c r="P1" s="205"/>
      <c r="Q1" s="205"/>
      <c r="R1" s="205"/>
      <c r="S1" s="205"/>
      <c r="T1" s="205"/>
      <c r="U1" s="205"/>
      <c r="V1" s="206"/>
      <c r="W1" s="222" t="str">
        <f>IF(表紙!W1="","",表紙!W1)</f>
        <v>基本設計書</v>
      </c>
      <c r="X1" s="223"/>
      <c r="Y1" s="223"/>
      <c r="Z1" s="223"/>
      <c r="AA1" s="223"/>
      <c r="AB1" s="223"/>
      <c r="AC1" s="223"/>
      <c r="AD1" s="223"/>
      <c r="AE1" s="223"/>
      <c r="AF1" s="223"/>
      <c r="AG1" s="223"/>
      <c r="AH1" s="223"/>
      <c r="AI1" s="223"/>
      <c r="AJ1" s="223"/>
      <c r="AK1" s="223"/>
      <c r="AL1" s="223"/>
      <c r="AM1" s="223"/>
      <c r="AN1" s="223"/>
      <c r="AO1" s="224"/>
      <c r="AP1" s="204" t="s">
        <v>28</v>
      </c>
      <c r="AQ1" s="205"/>
      <c r="AR1" s="205"/>
      <c r="AS1" s="206"/>
      <c r="AT1" s="204" t="s">
        <v>29</v>
      </c>
      <c r="AU1" s="205"/>
      <c r="AV1" s="205"/>
      <c r="AW1" s="205"/>
      <c r="AX1" s="206"/>
      <c r="AY1" s="204" t="s">
        <v>30</v>
      </c>
      <c r="AZ1" s="205"/>
      <c r="BA1" s="205"/>
      <c r="BB1" s="206"/>
      <c r="BC1" s="204" t="s">
        <v>31</v>
      </c>
      <c r="BD1" s="205"/>
      <c r="BE1" s="205"/>
      <c r="BF1" s="205"/>
      <c r="BG1" s="206"/>
      <c r="BH1" s="204" t="s">
        <v>32</v>
      </c>
      <c r="BI1" s="205"/>
      <c r="BJ1" s="205"/>
      <c r="BK1" s="206"/>
    </row>
    <row r="2" spans="1:65" ht="15" customHeight="1" x14ac:dyDescent="0.25">
      <c r="A2" s="210" t="str">
        <f>IF(表紙!A2="","",表紙!A2)</f>
        <v>POSサーバー</v>
      </c>
      <c r="B2" s="211"/>
      <c r="C2" s="211"/>
      <c r="D2" s="211"/>
      <c r="E2" s="211"/>
      <c r="F2" s="211"/>
      <c r="G2" s="211"/>
      <c r="H2" s="211"/>
      <c r="I2" s="211"/>
      <c r="J2" s="212"/>
      <c r="K2" s="210" t="str">
        <f>IF(表紙!K2="","",表紙!K2)</f>
        <v>POSサーバー</v>
      </c>
      <c r="L2" s="211"/>
      <c r="M2" s="211"/>
      <c r="N2" s="211"/>
      <c r="O2" s="211"/>
      <c r="P2" s="211"/>
      <c r="Q2" s="211"/>
      <c r="R2" s="211"/>
      <c r="S2" s="211"/>
      <c r="T2" s="211"/>
      <c r="U2" s="211"/>
      <c r="V2" s="212"/>
      <c r="W2" s="225"/>
      <c r="X2" s="226"/>
      <c r="Y2" s="226"/>
      <c r="Z2" s="226"/>
      <c r="AA2" s="226"/>
      <c r="AB2" s="226"/>
      <c r="AC2" s="226"/>
      <c r="AD2" s="226"/>
      <c r="AE2" s="226"/>
      <c r="AF2" s="226"/>
      <c r="AG2" s="226"/>
      <c r="AH2" s="226"/>
      <c r="AI2" s="226"/>
      <c r="AJ2" s="226"/>
      <c r="AK2" s="226"/>
      <c r="AL2" s="226"/>
      <c r="AM2" s="226"/>
      <c r="AN2" s="226"/>
      <c r="AO2" s="227"/>
      <c r="AP2" s="210" t="str">
        <f>IF(表紙!AP2="","",表紙!AP2)</f>
        <v>TuyenNH</v>
      </c>
      <c r="AQ2" s="211"/>
      <c r="AR2" s="211"/>
      <c r="AS2" s="212"/>
      <c r="AT2" s="216">
        <f>IF(表紙!AT2="","",表紙!AT2)</f>
        <v>45420</v>
      </c>
      <c r="AU2" s="217"/>
      <c r="AV2" s="217"/>
      <c r="AW2" s="217"/>
      <c r="AX2" s="218"/>
      <c r="AY2" s="210" t="str">
        <f>IF(表紙!AY2="","",表紙!AY2)</f>
        <v>AnhDD</v>
      </c>
      <c r="AZ2" s="211"/>
      <c r="BA2" s="211"/>
      <c r="BB2" s="212"/>
      <c r="BC2" s="216">
        <f>IF(表紙!BC2="","",表紙!BC2)</f>
        <v>45558</v>
      </c>
      <c r="BD2" s="217"/>
      <c r="BE2" s="217"/>
      <c r="BF2" s="217"/>
      <c r="BG2" s="218"/>
      <c r="BH2" s="210">
        <f>IF(表紙!BH2="","",表紙!BH2)</f>
        <v>0.14000000000000001</v>
      </c>
      <c r="BI2" s="211"/>
      <c r="BJ2" s="211"/>
      <c r="BK2" s="212"/>
    </row>
    <row r="3" spans="1:65" ht="15" customHeight="1" x14ac:dyDescent="0.25">
      <c r="A3" s="213"/>
      <c r="B3" s="214"/>
      <c r="C3" s="214"/>
      <c r="D3" s="214"/>
      <c r="E3" s="214"/>
      <c r="F3" s="214"/>
      <c r="G3" s="214"/>
      <c r="H3" s="214"/>
      <c r="I3" s="214"/>
      <c r="J3" s="215"/>
      <c r="K3" s="213"/>
      <c r="L3" s="214"/>
      <c r="M3" s="214"/>
      <c r="N3" s="214"/>
      <c r="O3" s="214"/>
      <c r="P3" s="214"/>
      <c r="Q3" s="214"/>
      <c r="R3" s="214"/>
      <c r="S3" s="214"/>
      <c r="T3" s="214"/>
      <c r="U3" s="214"/>
      <c r="V3" s="215"/>
      <c r="W3" s="228"/>
      <c r="X3" s="229"/>
      <c r="Y3" s="229"/>
      <c r="Z3" s="229"/>
      <c r="AA3" s="229"/>
      <c r="AB3" s="229"/>
      <c r="AC3" s="229"/>
      <c r="AD3" s="229"/>
      <c r="AE3" s="229"/>
      <c r="AF3" s="229"/>
      <c r="AG3" s="229"/>
      <c r="AH3" s="229"/>
      <c r="AI3" s="229"/>
      <c r="AJ3" s="229"/>
      <c r="AK3" s="229"/>
      <c r="AL3" s="229"/>
      <c r="AM3" s="229"/>
      <c r="AN3" s="229"/>
      <c r="AO3" s="230"/>
      <c r="AP3" s="213"/>
      <c r="AQ3" s="214"/>
      <c r="AR3" s="214"/>
      <c r="AS3" s="215"/>
      <c r="AT3" s="219"/>
      <c r="AU3" s="220"/>
      <c r="AV3" s="220"/>
      <c r="AW3" s="220"/>
      <c r="AX3" s="221"/>
      <c r="AY3" s="213"/>
      <c r="AZ3" s="214"/>
      <c r="BA3" s="214"/>
      <c r="BB3" s="215"/>
      <c r="BC3" s="219"/>
      <c r="BD3" s="220"/>
      <c r="BE3" s="220"/>
      <c r="BF3" s="220"/>
      <c r="BG3" s="221"/>
      <c r="BH3" s="213"/>
      <c r="BI3" s="214"/>
      <c r="BJ3" s="214"/>
      <c r="BK3" s="215"/>
    </row>
    <row r="4" spans="1:65" ht="24.95" customHeight="1" x14ac:dyDescent="0.25">
      <c r="A4" s="204" t="s">
        <v>33</v>
      </c>
      <c r="B4" s="205"/>
      <c r="C4" s="205"/>
      <c r="D4" s="205"/>
      <c r="E4" s="205"/>
      <c r="F4" s="205"/>
      <c r="G4" s="206"/>
      <c r="H4" s="207" t="str">
        <f>IF(表紙!H4="","",表紙!H4)</f>
        <v>20_レジ精算入力</v>
      </c>
      <c r="I4" s="208"/>
      <c r="J4" s="208"/>
      <c r="K4" s="208"/>
      <c r="L4" s="208"/>
      <c r="M4" s="208"/>
      <c r="N4" s="208"/>
      <c r="O4" s="208"/>
      <c r="P4" s="208"/>
      <c r="Q4" s="208"/>
      <c r="R4" s="208"/>
      <c r="S4" s="208"/>
      <c r="T4" s="209"/>
      <c r="U4" s="204" t="s">
        <v>34</v>
      </c>
      <c r="V4" s="205"/>
      <c r="W4" s="205"/>
      <c r="X4" s="205"/>
      <c r="Y4" s="206"/>
      <c r="Z4" s="207" t="str">
        <f>IF(表紙!Z4="","",表紙!Z4)</f>
        <v>概要設計書</v>
      </c>
      <c r="AA4" s="208"/>
      <c r="AB4" s="208"/>
      <c r="AC4" s="208"/>
      <c r="AD4" s="208"/>
      <c r="AE4" s="208"/>
      <c r="AF4" s="208"/>
      <c r="AG4" s="208"/>
      <c r="AH4" s="208"/>
      <c r="AI4" s="208"/>
      <c r="AJ4" s="208"/>
      <c r="AK4" s="208"/>
      <c r="AL4" s="208"/>
      <c r="AM4" s="208"/>
      <c r="AN4" s="208"/>
      <c r="AO4" s="209"/>
      <c r="AP4" s="207" t="str">
        <f t="array" aca="1" ref="AP4" ca="1">RIGHT(CELL("filename",$A$1),LEN(CELL("filename",$A$1))-FIND("]",CELL("filename",$A$1)))</f>
        <v>機能概要説明</v>
      </c>
      <c r="AQ4" s="208"/>
      <c r="AR4" s="208"/>
      <c r="AS4" s="208"/>
      <c r="AT4" s="208"/>
      <c r="AU4" s="208"/>
      <c r="AV4" s="208"/>
      <c r="AW4" s="208"/>
      <c r="AX4" s="208"/>
      <c r="AY4" s="208"/>
      <c r="AZ4" s="208"/>
      <c r="BA4" s="208"/>
      <c r="BB4" s="208"/>
      <c r="BC4" s="208"/>
      <c r="BD4" s="208"/>
      <c r="BE4" s="208"/>
      <c r="BF4" s="208"/>
      <c r="BG4" s="208"/>
      <c r="BH4" s="208"/>
      <c r="BI4" s="208"/>
      <c r="BJ4" s="208"/>
      <c r="BK4" s="209"/>
    </row>
    <row r="5" spans="1:65"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5" ht="15" customHeight="1" x14ac:dyDescent="0.25">
      <c r="A6" s="1"/>
      <c r="BK6" s="4"/>
    </row>
    <row r="7" spans="1:65" ht="15" customHeight="1" x14ac:dyDescent="0.25">
      <c r="A7" s="1"/>
      <c r="C7" t="s">
        <v>38</v>
      </c>
      <c r="K7" s="24"/>
      <c r="BK7" s="4"/>
      <c r="BM7" s="9">
        <f>IF(BM6=50,1,BM6+1)</f>
        <v>1</v>
      </c>
    </row>
    <row r="8" spans="1:65" ht="15" customHeight="1" x14ac:dyDescent="0.25">
      <c r="A8" s="1"/>
      <c r="D8" t="s">
        <v>39</v>
      </c>
      <c r="K8" s="24"/>
      <c r="BK8" s="4"/>
      <c r="BM8" s="9">
        <f t="shared" ref="BM8:BM58" si="0">IF(BM7=50,1,BM7+1)</f>
        <v>2</v>
      </c>
    </row>
    <row r="9" spans="1:65" ht="15" customHeight="1" x14ac:dyDescent="0.25">
      <c r="A9" s="1"/>
      <c r="D9" t="s">
        <v>40</v>
      </c>
      <c r="K9" s="24"/>
      <c r="BK9" s="4"/>
      <c r="BM9" s="9">
        <f t="shared" si="0"/>
        <v>3</v>
      </c>
    </row>
    <row r="10" spans="1:65" ht="15" customHeight="1" x14ac:dyDescent="0.25">
      <c r="A10" s="1"/>
      <c r="D10" s="79"/>
      <c r="E10" s="80" t="s">
        <v>41</v>
      </c>
      <c r="F10" s="79"/>
      <c r="G10" s="79"/>
      <c r="H10" s="79"/>
      <c r="I10" s="79"/>
      <c r="J10" s="79"/>
      <c r="K10" s="81"/>
      <c r="L10" s="79"/>
      <c r="M10" s="79"/>
      <c r="N10" s="79"/>
      <c r="O10" s="79"/>
      <c r="P10" s="79"/>
      <c r="Q10" s="79"/>
      <c r="R10" s="79"/>
      <c r="S10" s="79"/>
      <c r="T10" s="79"/>
      <c r="U10" s="79"/>
      <c r="V10" s="79"/>
      <c r="W10" s="79"/>
      <c r="X10" s="79"/>
      <c r="BK10" s="4"/>
      <c r="BM10" s="9">
        <f t="shared" si="0"/>
        <v>4</v>
      </c>
    </row>
    <row r="11" spans="1:65" ht="15" customHeight="1" x14ac:dyDescent="0.25">
      <c r="A11" s="1"/>
      <c r="D11" s="79"/>
      <c r="E11" s="80" t="s">
        <v>42</v>
      </c>
      <c r="F11" s="79"/>
      <c r="G11" s="79"/>
      <c r="H11" s="79"/>
      <c r="I11" s="79"/>
      <c r="J11" s="79"/>
      <c r="K11" s="81"/>
      <c r="L11" s="79"/>
      <c r="M11" s="79"/>
      <c r="N11" s="79"/>
      <c r="O11" s="79"/>
      <c r="P11" s="79"/>
      <c r="Q11" s="79"/>
      <c r="R11" s="79"/>
      <c r="S11" s="79"/>
      <c r="T11" s="79"/>
      <c r="U11" s="79"/>
      <c r="V11" s="79"/>
      <c r="W11" s="79"/>
      <c r="X11" s="79"/>
      <c r="BK11" s="4"/>
      <c r="BM11" s="9">
        <f t="shared" si="0"/>
        <v>5</v>
      </c>
    </row>
    <row r="12" spans="1:65" ht="15" customHeight="1" x14ac:dyDescent="0.25">
      <c r="A12" s="1"/>
      <c r="D12" s="79" t="s">
        <v>43</v>
      </c>
      <c r="E12" s="79"/>
      <c r="F12" s="79"/>
      <c r="G12" s="79"/>
      <c r="H12" s="79"/>
      <c r="I12" s="79"/>
      <c r="J12" s="79"/>
      <c r="K12" s="81"/>
      <c r="L12" s="79"/>
      <c r="M12" s="79"/>
      <c r="N12" s="79"/>
      <c r="O12" s="79"/>
      <c r="P12" s="79"/>
      <c r="Q12" s="79"/>
      <c r="R12" s="79"/>
      <c r="S12" s="79"/>
      <c r="T12" s="79"/>
      <c r="U12" s="79"/>
      <c r="V12" s="79"/>
      <c r="W12" s="79"/>
      <c r="X12" s="79"/>
      <c r="BK12" s="4"/>
      <c r="BM12" s="9">
        <f t="shared" si="0"/>
        <v>6</v>
      </c>
    </row>
    <row r="13" spans="1:65" ht="15" customHeight="1" x14ac:dyDescent="0.25">
      <c r="A13" s="1"/>
      <c r="D13" s="87" t="s">
        <v>44</v>
      </c>
      <c r="E13" s="87"/>
      <c r="F13" s="87"/>
      <c r="G13" s="87"/>
      <c r="H13" s="87"/>
      <c r="I13" s="87"/>
      <c r="J13" s="87"/>
      <c r="K13" s="88"/>
      <c r="L13" s="87"/>
      <c r="M13" s="87"/>
      <c r="N13" s="87"/>
      <c r="O13" s="87"/>
      <c r="P13" s="87"/>
      <c r="Q13" s="87"/>
      <c r="R13" s="87"/>
      <c r="S13" s="87"/>
      <c r="T13" s="87"/>
      <c r="U13" s="87"/>
      <c r="V13" s="87"/>
      <c r="W13" s="87"/>
      <c r="X13" s="87"/>
      <c r="Y13" s="87"/>
      <c r="Z13" s="87"/>
      <c r="AA13" s="87"/>
      <c r="AB13" s="87"/>
      <c r="AC13" s="83"/>
      <c r="AD13" s="83"/>
      <c r="BK13" s="4"/>
      <c r="BM13" s="9">
        <f t="shared" si="0"/>
        <v>7</v>
      </c>
    </row>
    <row r="14" spans="1:65" ht="15" customHeight="1" x14ac:dyDescent="0.25">
      <c r="A14" s="1"/>
      <c r="D14" s="79" t="s">
        <v>45</v>
      </c>
      <c r="E14" s="79"/>
      <c r="F14" s="79"/>
      <c r="G14" s="79"/>
      <c r="H14" s="79"/>
      <c r="I14" s="79"/>
      <c r="J14" s="79"/>
      <c r="K14" s="81"/>
      <c r="L14" s="79"/>
      <c r="M14" s="79"/>
      <c r="N14" s="79"/>
      <c r="O14" s="79"/>
      <c r="P14" s="79"/>
      <c r="Q14" s="79"/>
      <c r="R14" s="79"/>
      <c r="S14" s="79"/>
      <c r="T14" s="79"/>
      <c r="U14" s="79"/>
      <c r="V14" s="79"/>
      <c r="W14" s="79"/>
      <c r="X14" s="79"/>
      <c r="BK14" s="4"/>
      <c r="BM14" s="9">
        <f t="shared" si="0"/>
        <v>8</v>
      </c>
    </row>
    <row r="15" spans="1:65" ht="15" customHeight="1" x14ac:dyDescent="0.25">
      <c r="A15" s="1"/>
      <c r="E15" s="29"/>
      <c r="K15" s="24"/>
      <c r="BK15" s="4"/>
      <c r="BM15" s="9">
        <f t="shared" si="0"/>
        <v>9</v>
      </c>
    </row>
    <row r="16" spans="1:65" ht="15" customHeight="1" x14ac:dyDescent="0.25">
      <c r="A16" s="1"/>
      <c r="E16" s="29"/>
      <c r="K16" s="24"/>
      <c r="BK16" s="4"/>
      <c r="BM16" s="9">
        <f t="shared" si="0"/>
        <v>10</v>
      </c>
    </row>
    <row r="17" spans="1:65" s="24" customFormat="1" ht="15" customHeight="1" x14ac:dyDescent="0.25">
      <c r="A17" s="23"/>
      <c r="BK17" s="25"/>
      <c r="BM17" s="9">
        <f t="shared" si="0"/>
        <v>11</v>
      </c>
    </row>
    <row r="18" spans="1:65" s="24" customFormat="1" ht="15" customHeight="1" x14ac:dyDescent="0.25">
      <c r="A18" s="23"/>
      <c r="BK18" s="25"/>
      <c r="BM18" s="9">
        <f t="shared" si="0"/>
        <v>12</v>
      </c>
    </row>
    <row r="19" spans="1:65" s="24" customFormat="1" ht="15" customHeight="1" x14ac:dyDescent="0.25">
      <c r="A19" s="23"/>
      <c r="BK19" s="25"/>
      <c r="BM19" s="9">
        <f t="shared" si="0"/>
        <v>13</v>
      </c>
    </row>
    <row r="20" spans="1:65" s="24" customFormat="1" ht="15" customHeight="1" x14ac:dyDescent="0.25">
      <c r="A20" s="23"/>
      <c r="BK20" s="25"/>
      <c r="BM20" s="9">
        <f t="shared" si="0"/>
        <v>14</v>
      </c>
    </row>
    <row r="21" spans="1:65" s="24" customFormat="1" ht="15" customHeight="1" x14ac:dyDescent="0.25">
      <c r="A21" s="23"/>
      <c r="BK21" s="25"/>
      <c r="BM21" s="9">
        <f t="shared" si="0"/>
        <v>15</v>
      </c>
    </row>
    <row r="22" spans="1:65" s="24" customFormat="1" ht="15" customHeight="1" x14ac:dyDescent="0.25">
      <c r="A22" s="23"/>
      <c r="BK22" s="25"/>
      <c r="BM22" s="9">
        <f t="shared" si="0"/>
        <v>16</v>
      </c>
    </row>
    <row r="23" spans="1:65" s="24" customFormat="1" ht="15" customHeight="1" x14ac:dyDescent="0.25">
      <c r="A23" s="23"/>
      <c r="BK23" s="25"/>
      <c r="BM23" s="9">
        <f t="shared" si="0"/>
        <v>17</v>
      </c>
    </row>
    <row r="24" spans="1:65" s="24" customFormat="1" ht="15" customHeight="1" x14ac:dyDescent="0.25">
      <c r="A24" s="23"/>
      <c r="BK24" s="25"/>
      <c r="BM24" s="9">
        <f t="shared" si="0"/>
        <v>18</v>
      </c>
    </row>
    <row r="25" spans="1:65" s="24" customFormat="1" ht="15" customHeight="1" x14ac:dyDescent="0.25">
      <c r="A25" s="23"/>
      <c r="BK25" s="25"/>
      <c r="BM25" s="9">
        <f t="shared" si="0"/>
        <v>19</v>
      </c>
    </row>
    <row r="26" spans="1:65" s="24" customFormat="1" ht="15" customHeight="1" x14ac:dyDescent="0.25">
      <c r="A26" s="23"/>
      <c r="BK26" s="25"/>
      <c r="BM26" s="9">
        <f t="shared" si="0"/>
        <v>20</v>
      </c>
    </row>
    <row r="27" spans="1:65" s="24" customFormat="1" ht="15" customHeight="1" x14ac:dyDescent="0.25">
      <c r="A27" s="23"/>
      <c r="BK27" s="25"/>
      <c r="BM27" s="9">
        <f t="shared" si="0"/>
        <v>21</v>
      </c>
    </row>
    <row r="28" spans="1:65" s="24" customFormat="1" ht="15" customHeight="1" x14ac:dyDescent="0.25">
      <c r="A28" s="23"/>
      <c r="BK28" s="25"/>
      <c r="BM28" s="9">
        <f t="shared" si="0"/>
        <v>22</v>
      </c>
    </row>
    <row r="29" spans="1:65" s="24" customFormat="1" ht="15" customHeight="1" x14ac:dyDescent="0.25">
      <c r="A29" s="23"/>
      <c r="BK29" s="25"/>
      <c r="BM29" s="9">
        <f t="shared" si="0"/>
        <v>23</v>
      </c>
    </row>
    <row r="30" spans="1:65" s="24" customFormat="1" ht="15" customHeight="1" x14ac:dyDescent="0.25">
      <c r="A30" s="23"/>
      <c r="BK30" s="25"/>
      <c r="BM30" s="9">
        <f t="shared" si="0"/>
        <v>24</v>
      </c>
    </row>
    <row r="31" spans="1:65" s="24" customFormat="1" ht="15" customHeight="1" x14ac:dyDescent="0.25">
      <c r="A31" s="23"/>
      <c r="BK31" s="25"/>
      <c r="BM31" s="9">
        <f t="shared" si="0"/>
        <v>25</v>
      </c>
    </row>
    <row r="32" spans="1:65" s="24" customFormat="1" ht="15" customHeight="1" x14ac:dyDescent="0.25">
      <c r="A32" s="23"/>
      <c r="BK32" s="25"/>
      <c r="BM32" s="9">
        <f t="shared" si="0"/>
        <v>26</v>
      </c>
    </row>
    <row r="33" spans="1:65" s="24" customFormat="1" ht="15" customHeight="1" x14ac:dyDescent="0.25">
      <c r="A33" s="23"/>
      <c r="BK33" s="25"/>
      <c r="BM33" s="9">
        <f t="shared" si="0"/>
        <v>27</v>
      </c>
    </row>
    <row r="34" spans="1:65" s="24" customFormat="1" ht="15" customHeight="1" x14ac:dyDescent="0.25">
      <c r="A34" s="23"/>
      <c r="BK34" s="25"/>
      <c r="BM34" s="9">
        <f t="shared" si="0"/>
        <v>28</v>
      </c>
    </row>
    <row r="35" spans="1:65" s="24" customFormat="1" ht="15" customHeight="1" x14ac:dyDescent="0.25">
      <c r="A35" s="23"/>
      <c r="BK35" s="25"/>
      <c r="BM35" s="9">
        <f t="shared" si="0"/>
        <v>29</v>
      </c>
    </row>
    <row r="36" spans="1:65" s="24" customFormat="1" ht="15" customHeight="1" x14ac:dyDescent="0.25">
      <c r="A36" s="23"/>
      <c r="BK36" s="25"/>
      <c r="BM36" s="9">
        <f t="shared" si="0"/>
        <v>30</v>
      </c>
    </row>
    <row r="37" spans="1:65" s="24" customFormat="1" ht="15" customHeight="1" x14ac:dyDescent="0.25">
      <c r="A37" s="23"/>
      <c r="BK37" s="25"/>
      <c r="BM37" s="9">
        <f t="shared" si="0"/>
        <v>31</v>
      </c>
    </row>
    <row r="38" spans="1:65" s="24" customFormat="1" ht="15" customHeight="1" x14ac:dyDescent="0.25">
      <c r="A38" s="23"/>
      <c r="BK38" s="25"/>
      <c r="BM38" s="9">
        <f t="shared" si="0"/>
        <v>32</v>
      </c>
    </row>
    <row r="39" spans="1:65" s="24" customFormat="1" ht="15" customHeight="1" x14ac:dyDescent="0.25">
      <c r="A39" s="23"/>
      <c r="BK39" s="25"/>
      <c r="BM39" s="9">
        <f t="shared" si="0"/>
        <v>33</v>
      </c>
    </row>
    <row r="40" spans="1:65" s="24" customFormat="1" ht="15" customHeight="1" x14ac:dyDescent="0.25">
      <c r="A40" s="23"/>
      <c r="BK40" s="25"/>
      <c r="BM40" s="9">
        <f t="shared" si="0"/>
        <v>34</v>
      </c>
    </row>
    <row r="41" spans="1:65" s="24" customFormat="1" ht="15" customHeight="1" x14ac:dyDescent="0.25">
      <c r="A41" s="23"/>
      <c r="BK41" s="25"/>
      <c r="BM41" s="9">
        <f t="shared" si="0"/>
        <v>35</v>
      </c>
    </row>
    <row r="42" spans="1:65" s="24" customFormat="1" ht="15" customHeight="1" x14ac:dyDescent="0.25">
      <c r="A42" s="23"/>
      <c r="BK42" s="25"/>
      <c r="BM42" s="9">
        <f t="shared" si="0"/>
        <v>36</v>
      </c>
    </row>
    <row r="43" spans="1:65" s="24" customFormat="1" ht="15" customHeight="1" x14ac:dyDescent="0.25">
      <c r="A43" s="23"/>
      <c r="BK43" s="25"/>
      <c r="BM43" s="9">
        <f t="shared" si="0"/>
        <v>37</v>
      </c>
    </row>
    <row r="44" spans="1:65" s="24" customFormat="1" ht="15" customHeight="1" x14ac:dyDescent="0.25">
      <c r="A44" s="23"/>
      <c r="BK44" s="25"/>
      <c r="BM44" s="9">
        <f t="shared" si="0"/>
        <v>38</v>
      </c>
    </row>
    <row r="45" spans="1:65" s="24" customFormat="1" ht="15" customHeight="1" x14ac:dyDescent="0.25">
      <c r="A45" s="23"/>
      <c r="BK45" s="25"/>
      <c r="BM45" s="9">
        <f t="shared" si="0"/>
        <v>39</v>
      </c>
    </row>
    <row r="46" spans="1:65" s="24" customFormat="1" ht="15" customHeight="1" x14ac:dyDescent="0.25">
      <c r="A46" s="23"/>
      <c r="BK46" s="25"/>
      <c r="BM46" s="9">
        <f t="shared" si="0"/>
        <v>40</v>
      </c>
    </row>
    <row r="47" spans="1:65" s="24" customFormat="1" ht="15" customHeight="1" x14ac:dyDescent="0.25">
      <c r="A47" s="23"/>
      <c r="BK47" s="25"/>
      <c r="BM47" s="9">
        <f t="shared" si="0"/>
        <v>41</v>
      </c>
    </row>
    <row r="48" spans="1:65" s="24" customFormat="1" ht="15" customHeight="1" x14ac:dyDescent="0.25">
      <c r="A48" s="23"/>
      <c r="BK48" s="25"/>
      <c r="BM48" s="9">
        <f t="shared" si="0"/>
        <v>42</v>
      </c>
    </row>
    <row r="49" spans="1:65" s="24" customFormat="1" ht="15" customHeight="1" x14ac:dyDescent="0.25">
      <c r="A49" s="23"/>
      <c r="BK49" s="25"/>
      <c r="BM49" s="9">
        <f t="shared" si="0"/>
        <v>43</v>
      </c>
    </row>
    <row r="50" spans="1:65" s="24" customFormat="1" ht="15" customHeight="1" x14ac:dyDescent="0.25">
      <c r="A50" s="23"/>
      <c r="BK50" s="25"/>
      <c r="BM50" s="9">
        <f t="shared" si="0"/>
        <v>44</v>
      </c>
    </row>
    <row r="51" spans="1:65" s="24" customFormat="1" ht="15" customHeight="1" x14ac:dyDescent="0.25">
      <c r="A51" s="23"/>
      <c r="BK51" s="25"/>
      <c r="BM51" s="9">
        <f t="shared" si="0"/>
        <v>45</v>
      </c>
    </row>
    <row r="52" spans="1:65" s="24" customFormat="1" ht="15" customHeight="1" x14ac:dyDescent="0.25">
      <c r="A52" s="23"/>
      <c r="BK52" s="25"/>
      <c r="BM52" s="9">
        <f t="shared" si="0"/>
        <v>46</v>
      </c>
    </row>
    <row r="53" spans="1:65" s="24" customFormat="1" ht="15" customHeight="1" x14ac:dyDescent="0.25">
      <c r="A53" s="23"/>
      <c r="BK53" s="25"/>
      <c r="BM53" s="9">
        <f t="shared" si="0"/>
        <v>47</v>
      </c>
    </row>
    <row r="54" spans="1:65" s="24" customFormat="1" ht="15" customHeight="1" x14ac:dyDescent="0.25">
      <c r="A54" s="23"/>
      <c r="BK54" s="25"/>
      <c r="BM54" s="9">
        <f t="shared" si="0"/>
        <v>48</v>
      </c>
    </row>
    <row r="55" spans="1:65" s="24" customFormat="1" ht="15" customHeight="1" x14ac:dyDescent="0.25">
      <c r="A55" s="23"/>
      <c r="BK55" s="25"/>
      <c r="BM55" s="9">
        <f t="shared" si="0"/>
        <v>49</v>
      </c>
    </row>
    <row r="56" spans="1:65" s="24" customFormat="1" ht="15" customHeight="1" x14ac:dyDescent="0.25">
      <c r="A56" s="23"/>
      <c r="BK56" s="25"/>
      <c r="BM56" s="9">
        <f t="shared" si="0"/>
        <v>50</v>
      </c>
    </row>
    <row r="57" spans="1:65" s="24" customFormat="1" ht="15" customHeight="1" x14ac:dyDescent="0.25">
      <c r="A57" s="23"/>
      <c r="BK57" s="25"/>
      <c r="BM57" s="9">
        <f t="shared" si="0"/>
        <v>1</v>
      </c>
    </row>
    <row r="58" spans="1:65" s="24" customFormat="1" ht="15" customHeight="1" x14ac:dyDescent="0.25">
      <c r="A58" s="23"/>
      <c r="BK58" s="25"/>
      <c r="BM58" s="9">
        <f t="shared" si="0"/>
        <v>2</v>
      </c>
    </row>
    <row r="59" spans="1:65" s="24" customFormat="1" ht="15" customHeight="1" x14ac:dyDescent="0.25">
      <c r="A59" s="26"/>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8"/>
      <c r="BM59"/>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M159"/>
  <sheetViews>
    <sheetView view="pageBreakPreview" topLeftCell="A40" zoomScale="85" zoomScaleNormal="75" zoomScaleSheetLayoutView="85" workbookViewId="0">
      <selection sqref="A1:J1"/>
    </sheetView>
  </sheetViews>
  <sheetFormatPr defaultColWidth="2.77734375" defaultRowHeight="15" customHeight="1" x14ac:dyDescent="0.25"/>
  <cols>
    <col min="1" max="64" width="2.77734375" style="31" customWidth="1"/>
    <col min="66" max="16384" width="2.77734375" style="31"/>
  </cols>
  <sheetData>
    <row r="1" spans="1:65" ht="24.95" customHeight="1" x14ac:dyDescent="0.25">
      <c r="A1" s="92" t="s">
        <v>0</v>
      </c>
      <c r="B1" s="93"/>
      <c r="C1" s="93"/>
      <c r="D1" s="93"/>
      <c r="E1" s="93"/>
      <c r="F1" s="93"/>
      <c r="G1" s="93"/>
      <c r="H1" s="93"/>
      <c r="I1" s="93"/>
      <c r="J1" s="94"/>
      <c r="K1" s="92" t="s">
        <v>1</v>
      </c>
      <c r="L1" s="93"/>
      <c r="M1" s="93"/>
      <c r="N1" s="93"/>
      <c r="O1" s="93"/>
      <c r="P1" s="93"/>
      <c r="Q1" s="93"/>
      <c r="R1" s="93"/>
      <c r="S1" s="93"/>
      <c r="T1" s="93"/>
      <c r="U1" s="93"/>
      <c r="V1" s="94"/>
      <c r="W1" s="102" t="str">
        <f>IF(表紙!W1="","",表紙!W1)</f>
        <v>基本設計書</v>
      </c>
      <c r="X1" s="103"/>
      <c r="Y1" s="103"/>
      <c r="Z1" s="103"/>
      <c r="AA1" s="103"/>
      <c r="AB1" s="103"/>
      <c r="AC1" s="103"/>
      <c r="AD1" s="103"/>
      <c r="AE1" s="103"/>
      <c r="AF1" s="103"/>
      <c r="AG1" s="103"/>
      <c r="AH1" s="103"/>
      <c r="AI1" s="103"/>
      <c r="AJ1" s="103"/>
      <c r="AK1" s="103"/>
      <c r="AL1" s="103"/>
      <c r="AM1" s="103"/>
      <c r="AN1" s="103"/>
      <c r="AO1" s="104"/>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5" ht="15" customHeight="1" x14ac:dyDescent="0.25">
      <c r="A2" s="95" t="str">
        <f>IF(表紙!A2="","",表紙!A2)</f>
        <v>POSサーバー</v>
      </c>
      <c r="B2" s="96"/>
      <c r="C2" s="96"/>
      <c r="D2" s="96"/>
      <c r="E2" s="96"/>
      <c r="F2" s="96"/>
      <c r="G2" s="96"/>
      <c r="H2" s="96"/>
      <c r="I2" s="96"/>
      <c r="J2" s="97"/>
      <c r="K2" s="95" t="str">
        <f>IF(表紙!K2="","",表紙!K2)</f>
        <v>POSサーバー</v>
      </c>
      <c r="L2" s="96"/>
      <c r="M2" s="96"/>
      <c r="N2" s="96"/>
      <c r="O2" s="96"/>
      <c r="P2" s="96"/>
      <c r="Q2" s="96"/>
      <c r="R2" s="96"/>
      <c r="S2" s="96"/>
      <c r="T2" s="96"/>
      <c r="U2" s="96"/>
      <c r="V2" s="97"/>
      <c r="W2" s="105"/>
      <c r="X2" s="106"/>
      <c r="Y2" s="106"/>
      <c r="Z2" s="106"/>
      <c r="AA2" s="106"/>
      <c r="AB2" s="106"/>
      <c r="AC2" s="106"/>
      <c r="AD2" s="106"/>
      <c r="AE2" s="106"/>
      <c r="AF2" s="106"/>
      <c r="AG2" s="106"/>
      <c r="AH2" s="106"/>
      <c r="AI2" s="106"/>
      <c r="AJ2" s="106"/>
      <c r="AK2" s="106"/>
      <c r="AL2" s="106"/>
      <c r="AM2" s="106"/>
      <c r="AN2" s="106"/>
      <c r="AO2" s="107"/>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5" ht="15" customHeight="1" x14ac:dyDescent="0.25">
      <c r="A3" s="98"/>
      <c r="B3" s="99"/>
      <c r="C3" s="99"/>
      <c r="D3" s="99"/>
      <c r="E3" s="99"/>
      <c r="F3" s="99"/>
      <c r="G3" s="99"/>
      <c r="H3" s="99"/>
      <c r="I3" s="99"/>
      <c r="J3" s="100"/>
      <c r="K3" s="98"/>
      <c r="L3" s="99"/>
      <c r="M3" s="99"/>
      <c r="N3" s="99"/>
      <c r="O3" s="99"/>
      <c r="P3" s="99"/>
      <c r="Q3" s="99"/>
      <c r="R3" s="99"/>
      <c r="S3" s="99"/>
      <c r="T3" s="99"/>
      <c r="U3" s="99"/>
      <c r="V3" s="100"/>
      <c r="W3" s="108"/>
      <c r="X3" s="109"/>
      <c r="Y3" s="109"/>
      <c r="Z3" s="109"/>
      <c r="AA3" s="109"/>
      <c r="AB3" s="109"/>
      <c r="AC3" s="109"/>
      <c r="AD3" s="109"/>
      <c r="AE3" s="109"/>
      <c r="AF3" s="109"/>
      <c r="AG3" s="109"/>
      <c r="AH3" s="109"/>
      <c r="AI3" s="109"/>
      <c r="AJ3" s="109"/>
      <c r="AK3" s="109"/>
      <c r="AL3" s="109"/>
      <c r="AM3" s="109"/>
      <c r="AN3" s="109"/>
      <c r="AO3" s="110"/>
      <c r="AP3" s="98"/>
      <c r="AQ3" s="99"/>
      <c r="AR3" s="99"/>
      <c r="AS3" s="100"/>
      <c r="AT3" s="125"/>
      <c r="AU3" s="126"/>
      <c r="AV3" s="126"/>
      <c r="AW3" s="126"/>
      <c r="AX3" s="127"/>
      <c r="AY3" s="98"/>
      <c r="AZ3" s="99"/>
      <c r="BA3" s="99"/>
      <c r="BB3" s="100"/>
      <c r="BC3" s="125"/>
      <c r="BD3" s="126"/>
      <c r="BE3" s="126"/>
      <c r="BF3" s="126"/>
      <c r="BG3" s="127"/>
      <c r="BH3" s="98"/>
      <c r="BI3" s="99"/>
      <c r="BJ3" s="99"/>
      <c r="BK3" s="100"/>
    </row>
    <row r="4" spans="1:65" ht="24.95" customHeight="1" x14ac:dyDescent="0.25">
      <c r="A4" s="92" t="s">
        <v>10</v>
      </c>
      <c r="B4" s="93"/>
      <c r="C4" s="93"/>
      <c r="D4" s="93"/>
      <c r="E4" s="93"/>
      <c r="F4" s="93"/>
      <c r="G4" s="94"/>
      <c r="H4" s="113" t="str">
        <f>IF(表紙!H4="","",表紙!H4)</f>
        <v>20_レジ精算入力</v>
      </c>
      <c r="I4" s="114"/>
      <c r="J4" s="114"/>
      <c r="K4" s="114"/>
      <c r="L4" s="114"/>
      <c r="M4" s="114"/>
      <c r="N4" s="114"/>
      <c r="O4" s="114"/>
      <c r="P4" s="114"/>
      <c r="Q4" s="114"/>
      <c r="R4" s="114"/>
      <c r="S4" s="114"/>
      <c r="T4" s="115"/>
      <c r="U4" s="92" t="s">
        <v>12</v>
      </c>
      <c r="V4" s="93"/>
      <c r="W4" s="93"/>
      <c r="X4" s="93"/>
      <c r="Y4" s="94"/>
      <c r="Z4" s="113" t="str">
        <f>IF(表紙!Z4="","",表紙!Z4)</f>
        <v>概要設計書</v>
      </c>
      <c r="AA4" s="114"/>
      <c r="AB4" s="114"/>
      <c r="AC4" s="114"/>
      <c r="AD4" s="114"/>
      <c r="AE4" s="114"/>
      <c r="AF4" s="114"/>
      <c r="AG4" s="114"/>
      <c r="AH4" s="114"/>
      <c r="AI4" s="114"/>
      <c r="AJ4" s="114"/>
      <c r="AK4" s="114"/>
      <c r="AL4" s="114"/>
      <c r="AM4" s="114"/>
      <c r="AN4" s="114"/>
      <c r="AO4" s="115"/>
      <c r="AP4" s="113" t="str">
        <f t="array" aca="1" ref="AP4" ca="1">RIGHT(CELL("filename",$A$1),LEN(CELL("filename",$A$1))-FIND("]",CELL("filename",$A$1)))</f>
        <v>機能概要</v>
      </c>
      <c r="AQ4" s="114"/>
      <c r="AR4" s="114"/>
      <c r="AS4" s="114"/>
      <c r="AT4" s="114"/>
      <c r="AU4" s="114"/>
      <c r="AV4" s="114"/>
      <c r="AW4" s="114"/>
      <c r="AX4" s="114"/>
      <c r="AY4" s="114"/>
      <c r="AZ4" s="114"/>
      <c r="BA4" s="114"/>
      <c r="BB4" s="114"/>
      <c r="BC4" s="114"/>
      <c r="BD4" s="114"/>
      <c r="BE4" s="114"/>
      <c r="BF4" s="114"/>
      <c r="BG4" s="114"/>
      <c r="BH4" s="114"/>
      <c r="BI4" s="114"/>
      <c r="BJ4" s="114"/>
      <c r="BK4" s="115"/>
    </row>
    <row r="5" spans="1:65"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5" ht="15" customHeight="1" x14ac:dyDescent="0.25">
      <c r="A6" s="35"/>
      <c r="BK6" s="36"/>
    </row>
    <row r="7" spans="1:65" ht="15" customHeight="1" x14ac:dyDescent="0.25">
      <c r="A7" s="35"/>
      <c r="B7" s="56" t="s">
        <v>11</v>
      </c>
      <c r="C7" s="57"/>
      <c r="D7" s="58"/>
      <c r="E7" s="58"/>
      <c r="F7" s="58"/>
      <c r="G7" s="58"/>
      <c r="H7" s="58"/>
      <c r="I7" s="58"/>
      <c r="J7" s="58"/>
      <c r="K7" s="59"/>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5" ht="15" customHeight="1" x14ac:dyDescent="0.25">
      <c r="A8" s="35"/>
      <c r="B8" s="60"/>
      <c r="K8" s="61"/>
      <c r="U8" s="60"/>
      <c r="AD8" s="60"/>
      <c r="AM8" s="60"/>
      <c r="BI8" s="62"/>
      <c r="BK8" s="36"/>
      <c r="BM8" s="9">
        <f t="shared" ref="BM8:BM71" si="0">IF(BM7=50,1,BM7+1)</f>
        <v>1</v>
      </c>
    </row>
    <row r="9" spans="1:65" ht="15" customHeight="1" x14ac:dyDescent="0.25">
      <c r="A9" s="35"/>
      <c r="B9" s="60"/>
      <c r="K9" s="61"/>
      <c r="U9" s="60"/>
      <c r="AD9" s="60"/>
      <c r="AM9" s="60"/>
      <c r="BI9" s="62"/>
      <c r="BK9" s="36"/>
      <c r="BM9" s="9">
        <f t="shared" si="0"/>
        <v>2</v>
      </c>
    </row>
    <row r="10" spans="1:65" ht="15" customHeight="1" x14ac:dyDescent="0.25">
      <c r="A10" s="35"/>
      <c r="B10" s="60"/>
      <c r="K10" s="61"/>
      <c r="U10" s="60"/>
      <c r="AD10" s="60"/>
      <c r="AM10" s="60"/>
      <c r="BI10" s="62"/>
      <c r="BK10" s="36"/>
      <c r="BM10" s="9">
        <f t="shared" si="0"/>
        <v>3</v>
      </c>
    </row>
    <row r="11" spans="1:65" ht="15" customHeight="1" x14ac:dyDescent="0.25">
      <c r="A11" s="35"/>
      <c r="B11" s="60"/>
      <c r="K11" s="61"/>
      <c r="U11" s="60"/>
      <c r="AD11" s="60"/>
      <c r="AM11" s="60"/>
      <c r="BI11" s="62"/>
      <c r="BK11" s="36"/>
      <c r="BM11" s="9">
        <f t="shared" si="0"/>
        <v>4</v>
      </c>
    </row>
    <row r="12" spans="1:65" ht="15" customHeight="1" x14ac:dyDescent="0.25">
      <c r="A12" s="35"/>
      <c r="B12" s="60"/>
      <c r="K12" s="61"/>
      <c r="U12" s="60"/>
      <c r="AD12" s="60"/>
      <c r="AM12" s="60"/>
      <c r="BI12" s="62"/>
      <c r="BK12" s="36"/>
      <c r="BM12" s="9">
        <f t="shared" si="0"/>
        <v>5</v>
      </c>
    </row>
    <row r="13" spans="1:65" ht="15" customHeight="1" x14ac:dyDescent="0.25">
      <c r="A13" s="35"/>
      <c r="B13" s="60"/>
      <c r="K13" s="61"/>
      <c r="U13" s="60"/>
      <c r="AD13" s="60"/>
      <c r="AM13" s="60"/>
      <c r="BI13" s="62"/>
      <c r="BK13" s="36"/>
      <c r="BM13" s="9">
        <f t="shared" si="0"/>
        <v>6</v>
      </c>
    </row>
    <row r="14" spans="1:65" ht="15" customHeight="1" x14ac:dyDescent="0.25">
      <c r="A14" s="35"/>
      <c r="B14" s="60"/>
      <c r="K14" s="61"/>
      <c r="U14" s="60"/>
      <c r="AD14" s="60"/>
      <c r="AM14" s="60"/>
      <c r="BI14" s="62"/>
      <c r="BK14" s="36"/>
      <c r="BM14" s="9">
        <f t="shared" si="0"/>
        <v>7</v>
      </c>
    </row>
    <row r="15" spans="1:65" ht="15" customHeight="1" x14ac:dyDescent="0.25">
      <c r="A15" s="35"/>
      <c r="B15" s="60"/>
      <c r="K15" s="61"/>
      <c r="U15" s="60"/>
      <c r="AD15" s="60"/>
      <c r="AM15" s="60"/>
      <c r="BI15" s="62"/>
      <c r="BK15" s="36"/>
      <c r="BM15" s="9">
        <f t="shared" si="0"/>
        <v>8</v>
      </c>
    </row>
    <row r="16" spans="1:65" ht="15" customHeight="1" x14ac:dyDescent="0.25">
      <c r="A16" s="35"/>
      <c r="B16" s="60"/>
      <c r="K16" s="61"/>
      <c r="U16" s="60"/>
      <c r="AD16" s="60"/>
      <c r="AM16" s="60"/>
      <c r="BI16" s="62"/>
      <c r="BK16" s="36"/>
      <c r="BM16" s="9">
        <f t="shared" si="0"/>
        <v>9</v>
      </c>
    </row>
    <row r="17" spans="1:65" ht="15" customHeight="1" x14ac:dyDescent="0.25">
      <c r="A17" s="35"/>
      <c r="B17" s="63" t="s">
        <v>46</v>
      </c>
      <c r="C17" s="64"/>
      <c r="D17" s="64"/>
      <c r="E17" s="64"/>
      <c r="F17" s="64"/>
      <c r="G17" s="64"/>
      <c r="H17" s="64"/>
      <c r="I17" s="64"/>
      <c r="J17" s="64"/>
      <c r="K17" s="65"/>
      <c r="L17" s="63"/>
      <c r="M17" s="64"/>
      <c r="N17" s="64"/>
      <c r="O17" s="64"/>
      <c r="P17" s="64"/>
      <c r="Q17" s="64"/>
      <c r="R17" s="64"/>
      <c r="S17" s="64"/>
      <c r="T17" s="65"/>
      <c r="U17" s="63"/>
      <c r="V17" s="64"/>
      <c r="W17" s="64"/>
      <c r="X17" s="64"/>
      <c r="Y17" s="64"/>
      <c r="Z17" s="64"/>
      <c r="AA17" s="64"/>
      <c r="AB17" s="64"/>
      <c r="AC17" s="65"/>
      <c r="AD17" s="63"/>
      <c r="AE17" s="64"/>
      <c r="AF17" s="64"/>
      <c r="AG17" s="64"/>
      <c r="AH17" s="64"/>
      <c r="AI17" s="64"/>
      <c r="AJ17" s="64"/>
      <c r="AK17" s="64"/>
      <c r="AL17" s="65"/>
      <c r="AM17" s="63"/>
      <c r="AN17" s="64"/>
      <c r="AO17" s="64"/>
      <c r="AP17" s="64"/>
      <c r="AQ17" s="64"/>
      <c r="AR17" s="64"/>
      <c r="AS17" s="64"/>
      <c r="AT17" s="64"/>
      <c r="AU17" s="64"/>
      <c r="AV17" s="64"/>
      <c r="AW17" s="64"/>
      <c r="AX17" s="64"/>
      <c r="AY17" s="64"/>
      <c r="AZ17" s="64"/>
      <c r="BA17" s="64"/>
      <c r="BB17" s="64"/>
      <c r="BC17" s="64"/>
      <c r="BD17" s="64"/>
      <c r="BE17" s="64"/>
      <c r="BF17" s="64"/>
      <c r="BG17" s="64"/>
      <c r="BH17" s="64"/>
      <c r="BI17" s="65"/>
      <c r="BJ17" s="64"/>
      <c r="BK17" s="36"/>
      <c r="BM17" s="9">
        <f t="shared" si="0"/>
        <v>10</v>
      </c>
    </row>
    <row r="18" spans="1:65" ht="15" customHeight="1" x14ac:dyDescent="0.25">
      <c r="A18" s="35"/>
      <c r="B18" s="60"/>
      <c r="K18" s="61"/>
      <c r="U18" s="60"/>
      <c r="AD18" s="60"/>
      <c r="AM18" s="60"/>
      <c r="BI18" s="62"/>
      <c r="BK18" s="36"/>
      <c r="BM18" s="9">
        <f t="shared" si="0"/>
        <v>11</v>
      </c>
    </row>
    <row r="19" spans="1:65" ht="15" customHeight="1" x14ac:dyDescent="0.25">
      <c r="A19" s="35"/>
      <c r="B19" s="60"/>
      <c r="K19" s="61"/>
      <c r="U19" s="60"/>
      <c r="AD19" s="60"/>
      <c r="AM19" s="60"/>
      <c r="BI19" s="62"/>
      <c r="BK19" s="36"/>
      <c r="BM19" s="9">
        <f t="shared" si="0"/>
        <v>12</v>
      </c>
    </row>
    <row r="20" spans="1:65" ht="15" customHeight="1" x14ac:dyDescent="0.25">
      <c r="A20" s="35"/>
      <c r="B20" s="60"/>
      <c r="K20" s="61"/>
      <c r="U20" s="60"/>
      <c r="AD20" s="60"/>
      <c r="AM20" s="60"/>
      <c r="BI20" s="62"/>
      <c r="BK20" s="36"/>
      <c r="BM20" s="9">
        <f t="shared" si="0"/>
        <v>13</v>
      </c>
    </row>
    <row r="21" spans="1:65" ht="15" customHeight="1" x14ac:dyDescent="0.25">
      <c r="A21" s="35"/>
      <c r="B21" s="60"/>
      <c r="K21" s="61"/>
      <c r="U21" s="60"/>
      <c r="AD21" s="60"/>
      <c r="AM21" s="60"/>
      <c r="BI21" s="62"/>
      <c r="BK21" s="36"/>
      <c r="BM21" s="9">
        <f t="shared" si="0"/>
        <v>14</v>
      </c>
    </row>
    <row r="22" spans="1:65" ht="15" customHeight="1" x14ac:dyDescent="0.25">
      <c r="A22" s="35"/>
      <c r="B22" s="60"/>
      <c r="K22" s="61"/>
      <c r="U22" s="60"/>
      <c r="AD22" s="60"/>
      <c r="AM22" s="60"/>
      <c r="BI22" s="62"/>
      <c r="BK22" s="36"/>
      <c r="BM22" s="9">
        <f t="shared" si="0"/>
        <v>15</v>
      </c>
    </row>
    <row r="23" spans="1:65" ht="15" customHeight="1" x14ac:dyDescent="0.25">
      <c r="A23" s="35"/>
      <c r="B23" s="60"/>
      <c r="K23" s="61"/>
      <c r="U23" s="60"/>
      <c r="AD23" s="60"/>
      <c r="AM23" s="60"/>
      <c r="BI23" s="62"/>
      <c r="BK23" s="36"/>
      <c r="BM23" s="9">
        <f t="shared" si="0"/>
        <v>16</v>
      </c>
    </row>
    <row r="24" spans="1:65" s="67" customFormat="1" ht="15" customHeight="1" x14ac:dyDescent="0.25">
      <c r="A24" s="66"/>
      <c r="B24" s="60"/>
      <c r="K24" s="61"/>
      <c r="L24" s="68"/>
      <c r="T24" s="61"/>
      <c r="U24" s="68"/>
      <c r="AC24" s="61"/>
      <c r="AD24" s="68"/>
      <c r="AL24" s="61"/>
      <c r="AM24" s="68"/>
      <c r="BI24" s="61"/>
      <c r="BK24" s="69"/>
      <c r="BM24" s="9">
        <f t="shared" si="0"/>
        <v>17</v>
      </c>
    </row>
    <row r="25" spans="1:65" s="24" customFormat="1" ht="15" customHeight="1" x14ac:dyDescent="0.25">
      <c r="A25" s="23"/>
      <c r="B25" s="84"/>
      <c r="K25" s="85"/>
      <c r="L25" s="86"/>
      <c r="T25" s="85"/>
      <c r="U25" s="86"/>
      <c r="AC25" s="85"/>
      <c r="AD25" s="86"/>
      <c r="AL25" s="85"/>
      <c r="AM25" s="86"/>
      <c r="BI25" s="85"/>
      <c r="BK25" s="25"/>
      <c r="BM25" s="9">
        <f t="shared" si="0"/>
        <v>18</v>
      </c>
    </row>
    <row r="26" spans="1:65" s="24" customFormat="1" ht="15" customHeight="1" x14ac:dyDescent="0.25">
      <c r="A26" s="23"/>
      <c r="B26" s="84"/>
      <c r="K26" s="85"/>
      <c r="L26" s="86"/>
      <c r="T26" s="85"/>
      <c r="U26" s="86"/>
      <c r="AC26" s="85"/>
      <c r="AD26" s="86"/>
      <c r="AL26" s="85"/>
      <c r="AM26" s="86"/>
      <c r="BI26" s="85"/>
      <c r="BK26" s="25"/>
      <c r="BM26" s="9">
        <f t="shared" si="0"/>
        <v>19</v>
      </c>
    </row>
    <row r="27" spans="1:65" s="24" customFormat="1" ht="15" customHeight="1" x14ac:dyDescent="0.25">
      <c r="A27" s="23"/>
      <c r="B27" s="84"/>
      <c r="K27" s="85"/>
      <c r="L27" s="86"/>
      <c r="T27" s="85"/>
      <c r="U27" s="86"/>
      <c r="AC27" s="85"/>
      <c r="AD27" s="86"/>
      <c r="AL27" s="85"/>
      <c r="AM27" s="86"/>
      <c r="BI27" s="85"/>
      <c r="BK27" s="25"/>
      <c r="BM27" s="9">
        <f t="shared" si="0"/>
        <v>20</v>
      </c>
    </row>
    <row r="28" spans="1:65" s="24" customFormat="1" ht="15" customHeight="1" x14ac:dyDescent="0.25">
      <c r="A28" s="23"/>
      <c r="B28" s="84"/>
      <c r="K28" s="85"/>
      <c r="L28" s="86"/>
      <c r="T28" s="85"/>
      <c r="U28" s="86"/>
      <c r="AC28" s="85"/>
      <c r="AD28" s="86"/>
      <c r="AL28" s="85"/>
      <c r="AM28" s="86"/>
      <c r="BI28" s="85"/>
      <c r="BK28" s="25"/>
      <c r="BM28" s="9">
        <f t="shared" si="0"/>
        <v>21</v>
      </c>
    </row>
    <row r="29" spans="1:65" s="67" customFormat="1" ht="15" customHeight="1" x14ac:dyDescent="0.25">
      <c r="A29" s="66"/>
      <c r="B29" s="60"/>
      <c r="K29" s="61"/>
      <c r="L29" s="68"/>
      <c r="T29" s="61"/>
      <c r="U29" s="68"/>
      <c r="AC29" s="61"/>
      <c r="AD29" s="68"/>
      <c r="AL29" s="61"/>
      <c r="AM29" s="68"/>
      <c r="BI29" s="61"/>
      <c r="BK29" s="69"/>
      <c r="BM29" s="9">
        <f t="shared" si="0"/>
        <v>22</v>
      </c>
    </row>
    <row r="30" spans="1:65" s="67" customFormat="1" ht="15" customHeight="1" x14ac:dyDescent="0.25">
      <c r="A30" s="66"/>
      <c r="B30" s="60"/>
      <c r="K30" s="61"/>
      <c r="L30" s="68"/>
      <c r="T30" s="61"/>
      <c r="U30" s="68"/>
      <c r="AC30" s="61"/>
      <c r="AD30" s="68"/>
      <c r="AL30" s="61"/>
      <c r="AM30" s="68"/>
      <c r="BI30" s="61"/>
      <c r="BK30" s="69"/>
      <c r="BM30" s="9">
        <f t="shared" si="0"/>
        <v>23</v>
      </c>
    </row>
    <row r="31" spans="1:65" s="67" customFormat="1" ht="15" customHeight="1" x14ac:dyDescent="0.25">
      <c r="A31" s="66"/>
      <c r="B31" s="60"/>
      <c r="K31" s="61"/>
      <c r="L31" s="68"/>
      <c r="T31" s="61"/>
      <c r="U31" s="68"/>
      <c r="AC31" s="61"/>
      <c r="AD31" s="68"/>
      <c r="AL31" s="61"/>
      <c r="AM31" s="68"/>
      <c r="BI31" s="61"/>
      <c r="BK31" s="69"/>
      <c r="BM31" s="9">
        <f t="shared" si="0"/>
        <v>24</v>
      </c>
    </row>
    <row r="32" spans="1:65" s="67" customFormat="1" ht="15" customHeight="1" x14ac:dyDescent="0.25">
      <c r="A32" s="66"/>
      <c r="B32" s="60"/>
      <c r="K32" s="61"/>
      <c r="L32" s="68"/>
      <c r="T32" s="61"/>
      <c r="U32" s="68"/>
      <c r="AC32" s="61"/>
      <c r="AD32" s="68"/>
      <c r="AL32" s="61"/>
      <c r="AM32" s="68"/>
      <c r="BI32" s="61"/>
      <c r="BK32" s="69"/>
      <c r="BM32" s="9">
        <f t="shared" si="0"/>
        <v>25</v>
      </c>
    </row>
    <row r="33" spans="1:65" s="67" customFormat="1" ht="15" customHeight="1" x14ac:dyDescent="0.25">
      <c r="A33" s="66"/>
      <c r="B33" s="60"/>
      <c r="K33" s="61"/>
      <c r="L33" s="68"/>
      <c r="T33" s="61"/>
      <c r="U33" s="68"/>
      <c r="AC33" s="61"/>
      <c r="AD33" s="68"/>
      <c r="AL33" s="61"/>
      <c r="AM33" s="68"/>
      <c r="BI33" s="61"/>
      <c r="BK33" s="69"/>
      <c r="BM33" s="9">
        <f t="shared" si="0"/>
        <v>26</v>
      </c>
    </row>
    <row r="34" spans="1:65" s="67" customFormat="1" ht="15" customHeight="1" x14ac:dyDescent="0.25">
      <c r="A34" s="66"/>
      <c r="B34" s="68"/>
      <c r="K34" s="61"/>
      <c r="L34" s="68"/>
      <c r="T34" s="61"/>
      <c r="U34" s="68"/>
      <c r="AC34" s="61"/>
      <c r="AD34" s="68"/>
      <c r="AL34" s="61"/>
      <c r="AM34" s="68"/>
      <c r="BI34" s="61"/>
      <c r="BK34" s="69"/>
      <c r="BM34" s="9">
        <f t="shared" si="0"/>
        <v>27</v>
      </c>
    </row>
    <row r="35" spans="1:65" s="67" customFormat="1" ht="15" customHeight="1" x14ac:dyDescent="0.25">
      <c r="A35" s="66"/>
      <c r="B35" s="68"/>
      <c r="K35" s="61"/>
      <c r="L35" s="68"/>
      <c r="T35" s="61"/>
      <c r="U35" s="68"/>
      <c r="AC35" s="61"/>
      <c r="AD35" s="68"/>
      <c r="AL35" s="61"/>
      <c r="AM35" s="68"/>
      <c r="BI35" s="61"/>
      <c r="BK35" s="69"/>
      <c r="BM35" s="9">
        <f t="shared" si="0"/>
        <v>28</v>
      </c>
    </row>
    <row r="36" spans="1:65" s="67" customFormat="1" ht="15" customHeight="1" x14ac:dyDescent="0.25">
      <c r="A36" s="66"/>
      <c r="B36" s="68"/>
      <c r="K36" s="61"/>
      <c r="L36" s="68"/>
      <c r="T36" s="61"/>
      <c r="U36" s="68"/>
      <c r="AC36" s="61"/>
      <c r="AL36" s="61"/>
      <c r="AM36" s="68"/>
      <c r="BI36" s="61"/>
      <c r="BK36" s="69"/>
      <c r="BM36" s="9">
        <f t="shared" si="0"/>
        <v>29</v>
      </c>
    </row>
    <row r="37" spans="1:65" s="67" customFormat="1" ht="15" customHeight="1" x14ac:dyDescent="0.25">
      <c r="A37" s="66"/>
      <c r="B37" s="68"/>
      <c r="K37" s="61"/>
      <c r="L37" s="68"/>
      <c r="T37" s="61"/>
      <c r="U37" s="68"/>
      <c r="AC37" s="61"/>
      <c r="AD37" s="68"/>
      <c r="AL37" s="61"/>
      <c r="AM37" s="68"/>
      <c r="BI37" s="61"/>
      <c r="BK37" s="69"/>
      <c r="BM37" s="9">
        <f t="shared" si="0"/>
        <v>30</v>
      </c>
    </row>
    <row r="38" spans="1:65" s="67" customFormat="1" ht="15" customHeight="1" x14ac:dyDescent="0.25">
      <c r="A38" s="66"/>
      <c r="B38" s="68"/>
      <c r="K38" s="61"/>
      <c r="L38" s="68"/>
      <c r="T38" s="61"/>
      <c r="U38" s="68"/>
      <c r="AC38" s="61"/>
      <c r="AD38" s="68"/>
      <c r="AL38" s="61"/>
      <c r="AM38" s="68"/>
      <c r="BI38" s="61"/>
      <c r="BK38" s="69"/>
      <c r="BM38" s="9">
        <f t="shared" si="0"/>
        <v>31</v>
      </c>
    </row>
    <row r="39" spans="1:65" s="67" customFormat="1" ht="15" customHeight="1" x14ac:dyDescent="0.25">
      <c r="A39" s="66"/>
      <c r="B39" s="68"/>
      <c r="K39" s="61"/>
      <c r="L39" s="68"/>
      <c r="T39" s="61"/>
      <c r="U39" s="68"/>
      <c r="AC39" s="61"/>
      <c r="AD39" s="68"/>
      <c r="AL39" s="61"/>
      <c r="AM39" s="68"/>
      <c r="BI39" s="61"/>
      <c r="BK39" s="69"/>
      <c r="BM39" s="9">
        <f t="shared" si="0"/>
        <v>32</v>
      </c>
    </row>
    <row r="40" spans="1:65" s="67" customFormat="1" ht="15" customHeight="1" x14ac:dyDescent="0.25">
      <c r="A40" s="66"/>
      <c r="B40" s="68"/>
      <c r="K40" s="61"/>
      <c r="L40" s="68"/>
      <c r="T40" s="61"/>
      <c r="U40" s="68"/>
      <c r="AC40" s="61"/>
      <c r="AD40" s="68"/>
      <c r="AL40" s="61"/>
      <c r="AM40" s="68"/>
      <c r="BI40" s="61"/>
      <c r="BK40" s="69"/>
      <c r="BM40" s="9">
        <f t="shared" si="0"/>
        <v>33</v>
      </c>
    </row>
    <row r="41" spans="1:65" s="67" customFormat="1" ht="15" customHeight="1" x14ac:dyDescent="0.25">
      <c r="A41" s="66"/>
      <c r="B41" s="68"/>
      <c r="K41" s="61"/>
      <c r="L41" s="68"/>
      <c r="T41" s="61"/>
      <c r="U41" s="68"/>
      <c r="AC41" s="61"/>
      <c r="AD41" s="68"/>
      <c r="AL41" s="61"/>
      <c r="AM41" s="68"/>
      <c r="BI41" s="61"/>
      <c r="BK41" s="69"/>
      <c r="BM41" s="9">
        <f t="shared" si="0"/>
        <v>34</v>
      </c>
    </row>
    <row r="42" spans="1:65" s="67" customFormat="1" ht="15" customHeight="1" x14ac:dyDescent="0.25">
      <c r="A42" s="66"/>
      <c r="B42" s="68"/>
      <c r="K42" s="61"/>
      <c r="L42" s="68"/>
      <c r="T42" s="61"/>
      <c r="U42" s="68"/>
      <c r="AC42" s="61"/>
      <c r="AD42" s="68"/>
      <c r="AL42" s="61"/>
      <c r="AM42" s="68"/>
      <c r="BI42" s="61"/>
      <c r="BK42" s="69"/>
      <c r="BM42" s="9">
        <f t="shared" si="0"/>
        <v>35</v>
      </c>
    </row>
    <row r="43" spans="1:65" s="67" customFormat="1" ht="15" customHeight="1" x14ac:dyDescent="0.25">
      <c r="A43" s="66"/>
      <c r="B43" s="68"/>
      <c r="K43" s="61"/>
      <c r="L43" s="68"/>
      <c r="T43" s="61"/>
      <c r="U43" s="68"/>
      <c r="AC43" s="61"/>
      <c r="AD43" s="68"/>
      <c r="AL43" s="61"/>
      <c r="AM43" s="68"/>
      <c r="BI43" s="61"/>
      <c r="BK43" s="69"/>
      <c r="BM43" s="9">
        <f t="shared" si="0"/>
        <v>36</v>
      </c>
    </row>
    <row r="44" spans="1:65" s="67" customFormat="1" ht="15" customHeight="1" x14ac:dyDescent="0.25">
      <c r="A44" s="66"/>
      <c r="B44" s="68"/>
      <c r="K44" s="61"/>
      <c r="L44" s="68"/>
      <c r="T44" s="61"/>
      <c r="U44" s="68"/>
      <c r="AC44" s="61"/>
      <c r="AD44" s="68"/>
      <c r="AL44" s="61"/>
      <c r="AM44" s="68"/>
      <c r="BI44" s="61"/>
      <c r="BK44" s="69"/>
      <c r="BM44" s="9">
        <f t="shared" si="0"/>
        <v>37</v>
      </c>
    </row>
    <row r="45" spans="1:65" s="67" customFormat="1" ht="15" customHeight="1" x14ac:dyDescent="0.25">
      <c r="A45" s="66"/>
      <c r="B45" s="68"/>
      <c r="K45" s="61"/>
      <c r="L45" s="68"/>
      <c r="T45" s="61"/>
      <c r="U45" s="68"/>
      <c r="AC45" s="61"/>
      <c r="AD45" s="68"/>
      <c r="AL45" s="61"/>
      <c r="AM45" s="68"/>
      <c r="BI45" s="61"/>
      <c r="BK45" s="69"/>
      <c r="BM45" s="9">
        <f t="shared" si="0"/>
        <v>38</v>
      </c>
    </row>
    <row r="46" spans="1:65" s="67" customFormat="1" ht="15" customHeight="1" x14ac:dyDescent="0.25">
      <c r="A46" s="66"/>
      <c r="B46" s="68"/>
      <c r="K46" s="61"/>
      <c r="L46" s="68"/>
      <c r="T46" s="61"/>
      <c r="U46" s="68"/>
      <c r="AC46" s="61"/>
      <c r="AD46" s="68"/>
      <c r="AL46" s="61"/>
      <c r="AM46" s="68"/>
      <c r="BI46" s="61"/>
      <c r="BK46" s="69"/>
      <c r="BM46" s="9">
        <f t="shared" si="0"/>
        <v>39</v>
      </c>
    </row>
    <row r="47" spans="1:65" s="67" customFormat="1" ht="15" customHeight="1" x14ac:dyDescent="0.25">
      <c r="A47" s="66"/>
      <c r="B47" s="68"/>
      <c r="K47" s="61"/>
      <c r="L47" s="68"/>
      <c r="T47" s="61"/>
      <c r="U47" s="68"/>
      <c r="AC47" s="61"/>
      <c r="AD47" s="68"/>
      <c r="AL47" s="61"/>
      <c r="AM47" s="68"/>
      <c r="BI47" s="61"/>
      <c r="BK47" s="69"/>
      <c r="BM47" s="9">
        <f t="shared" si="0"/>
        <v>40</v>
      </c>
    </row>
    <row r="48" spans="1:65" s="67" customFormat="1" ht="15" customHeight="1" x14ac:dyDescent="0.25">
      <c r="A48" s="66"/>
      <c r="B48" s="68"/>
      <c r="K48" s="61"/>
      <c r="L48" s="68"/>
      <c r="T48" s="61"/>
      <c r="U48" s="68"/>
      <c r="AC48" s="61"/>
      <c r="AD48" s="68"/>
      <c r="AL48" s="61"/>
      <c r="AM48" s="68"/>
      <c r="BI48" s="61"/>
      <c r="BK48" s="69"/>
      <c r="BM48" s="9">
        <f t="shared" si="0"/>
        <v>41</v>
      </c>
    </row>
    <row r="49" spans="1:65" s="67" customFormat="1" ht="15" customHeight="1" x14ac:dyDescent="0.25">
      <c r="A49" s="66"/>
      <c r="B49" s="68"/>
      <c r="K49" s="61"/>
      <c r="L49" s="68"/>
      <c r="T49" s="61"/>
      <c r="U49" s="68"/>
      <c r="AC49" s="61"/>
      <c r="AD49" s="68"/>
      <c r="AL49" s="61"/>
      <c r="AM49" s="68"/>
      <c r="BI49" s="61"/>
      <c r="BK49" s="69"/>
      <c r="BM49" s="9">
        <f t="shared" si="0"/>
        <v>42</v>
      </c>
    </row>
    <row r="50" spans="1:65" s="67" customFormat="1" ht="15" customHeight="1" x14ac:dyDescent="0.25">
      <c r="A50" s="66"/>
      <c r="B50" s="68"/>
      <c r="K50" s="61"/>
      <c r="L50" s="68"/>
      <c r="T50" s="61"/>
      <c r="U50" s="68"/>
      <c r="AC50" s="61"/>
      <c r="AD50" s="68"/>
      <c r="AL50" s="61"/>
      <c r="AM50" s="68"/>
      <c r="BI50" s="61"/>
      <c r="BK50" s="69"/>
      <c r="BM50" s="9">
        <f t="shared" si="0"/>
        <v>43</v>
      </c>
    </row>
    <row r="51" spans="1:65" s="67" customFormat="1" ht="15" customHeight="1" x14ac:dyDescent="0.25">
      <c r="A51" s="66"/>
      <c r="B51" s="68"/>
      <c r="K51" s="61"/>
      <c r="L51" s="68"/>
      <c r="T51" s="61"/>
      <c r="U51" s="68"/>
      <c r="AC51" s="61"/>
      <c r="AD51" s="68"/>
      <c r="AL51" s="61"/>
      <c r="AM51" s="68"/>
      <c r="BI51" s="61"/>
      <c r="BK51" s="69"/>
      <c r="BM51" s="9">
        <f t="shared" si="0"/>
        <v>44</v>
      </c>
    </row>
    <row r="52" spans="1:65" s="67" customFormat="1" ht="15" customHeight="1" x14ac:dyDescent="0.25">
      <c r="A52" s="66"/>
      <c r="B52" s="68"/>
      <c r="K52" s="61"/>
      <c r="L52" s="68"/>
      <c r="T52" s="61"/>
      <c r="U52" s="68"/>
      <c r="AC52" s="61"/>
      <c r="AD52" s="68"/>
      <c r="AL52" s="61"/>
      <c r="AM52" s="68"/>
      <c r="BI52" s="61"/>
      <c r="BK52" s="69"/>
      <c r="BM52" s="9">
        <f t="shared" si="0"/>
        <v>45</v>
      </c>
    </row>
    <row r="53" spans="1:65" ht="15" customHeight="1" x14ac:dyDescent="0.25">
      <c r="A53" s="66"/>
      <c r="B53" s="68"/>
      <c r="C53" s="67"/>
      <c r="D53" s="67"/>
      <c r="E53" s="67"/>
      <c r="F53" s="67"/>
      <c r="G53" s="67"/>
      <c r="H53" s="67"/>
      <c r="I53" s="67"/>
      <c r="J53" s="67"/>
      <c r="K53" s="61"/>
      <c r="L53" s="68"/>
      <c r="M53" s="67"/>
      <c r="N53" s="67"/>
      <c r="O53" s="67"/>
      <c r="P53" s="67"/>
      <c r="Q53" s="67"/>
      <c r="R53" s="67"/>
      <c r="S53" s="67"/>
      <c r="T53" s="61"/>
      <c r="U53" s="68"/>
      <c r="V53" s="67"/>
      <c r="W53" s="67"/>
      <c r="X53" s="67"/>
      <c r="Y53" s="67"/>
      <c r="Z53" s="67"/>
      <c r="AA53" s="67"/>
      <c r="AB53" s="67"/>
      <c r="AC53" s="61"/>
      <c r="AD53" s="68"/>
      <c r="AE53" s="67"/>
      <c r="AF53" s="67"/>
      <c r="AG53" s="67"/>
      <c r="AH53" s="67"/>
      <c r="AI53" s="67"/>
      <c r="AJ53" s="67"/>
      <c r="AK53" s="67"/>
      <c r="AL53" s="61"/>
      <c r="AM53" s="68"/>
      <c r="AN53" s="67"/>
      <c r="AO53" s="67"/>
      <c r="AP53" s="67"/>
      <c r="AQ53" s="67"/>
      <c r="AR53" s="67"/>
      <c r="AS53" s="67"/>
      <c r="AT53" s="67"/>
      <c r="AU53" s="67"/>
      <c r="AV53" s="67"/>
      <c r="AW53" s="67"/>
      <c r="AX53" s="67"/>
      <c r="AY53" s="67"/>
      <c r="AZ53" s="67"/>
      <c r="BA53" s="67"/>
      <c r="BB53" s="67"/>
      <c r="BC53" s="67"/>
      <c r="BD53" s="67"/>
      <c r="BE53" s="67"/>
      <c r="BF53" s="67"/>
      <c r="BG53" s="67"/>
      <c r="BH53" s="67"/>
      <c r="BI53" s="61"/>
      <c r="BJ53" s="67"/>
      <c r="BK53" s="69"/>
      <c r="BM53" s="9">
        <f t="shared" si="0"/>
        <v>46</v>
      </c>
    </row>
    <row r="54" spans="1:65" ht="15" customHeight="1" x14ac:dyDescent="0.25">
      <c r="A54" s="66"/>
      <c r="B54" s="68"/>
      <c r="C54" s="67"/>
      <c r="D54" s="67"/>
      <c r="E54" s="67"/>
      <c r="F54" s="67"/>
      <c r="G54" s="67"/>
      <c r="H54" s="67"/>
      <c r="I54" s="67"/>
      <c r="J54" s="67"/>
      <c r="K54" s="61"/>
      <c r="L54" s="68"/>
      <c r="M54" s="67"/>
      <c r="N54" s="67"/>
      <c r="O54" s="67"/>
      <c r="P54" s="67"/>
      <c r="Q54" s="67"/>
      <c r="R54" s="67"/>
      <c r="S54" s="67"/>
      <c r="T54" s="61"/>
      <c r="U54" s="68"/>
      <c r="V54" s="67"/>
      <c r="W54" s="67"/>
      <c r="X54" s="67"/>
      <c r="Y54" s="67"/>
      <c r="Z54" s="67"/>
      <c r="AA54" s="67"/>
      <c r="AB54" s="67"/>
      <c r="AC54" s="61"/>
      <c r="AD54" s="68"/>
      <c r="AE54" s="67"/>
      <c r="AF54" s="67"/>
      <c r="AG54" s="67"/>
      <c r="AH54" s="67"/>
      <c r="AI54" s="67"/>
      <c r="AJ54" s="67"/>
      <c r="AK54" s="67"/>
      <c r="AL54" s="61"/>
      <c r="AM54" s="68"/>
      <c r="AN54" s="67"/>
      <c r="AO54" s="67"/>
      <c r="AP54" s="67"/>
      <c r="AQ54" s="67"/>
      <c r="AR54" s="67"/>
      <c r="AS54" s="67"/>
      <c r="AT54" s="67"/>
      <c r="AU54" s="67"/>
      <c r="AV54" s="67"/>
      <c r="AW54" s="67"/>
      <c r="AX54" s="67"/>
      <c r="AY54" s="67"/>
      <c r="AZ54" s="67"/>
      <c r="BA54" s="67"/>
      <c r="BB54" s="67"/>
      <c r="BC54" s="67"/>
      <c r="BD54" s="67"/>
      <c r="BE54" s="67"/>
      <c r="BF54" s="67"/>
      <c r="BG54" s="67"/>
      <c r="BH54" s="67"/>
      <c r="BI54" s="61"/>
      <c r="BJ54" s="67"/>
      <c r="BK54" s="69"/>
      <c r="BM54" s="9">
        <f t="shared" si="0"/>
        <v>47</v>
      </c>
    </row>
    <row r="55" spans="1:65" ht="15" customHeight="1" x14ac:dyDescent="0.25">
      <c r="A55" s="66"/>
      <c r="B55" s="68"/>
      <c r="C55" s="67"/>
      <c r="D55" s="67"/>
      <c r="E55" s="67"/>
      <c r="F55" s="67"/>
      <c r="G55" s="67"/>
      <c r="H55" s="67"/>
      <c r="I55" s="67"/>
      <c r="J55" s="67"/>
      <c r="K55" s="61"/>
      <c r="L55" s="68"/>
      <c r="M55" s="67"/>
      <c r="N55" s="67"/>
      <c r="O55" s="67"/>
      <c r="P55" s="67"/>
      <c r="Q55" s="67"/>
      <c r="R55" s="67"/>
      <c r="S55" s="67"/>
      <c r="T55" s="61"/>
      <c r="U55" s="68"/>
      <c r="V55" s="67"/>
      <c r="W55" s="67"/>
      <c r="X55" s="67"/>
      <c r="Y55" s="67"/>
      <c r="Z55" s="67"/>
      <c r="AA55" s="67"/>
      <c r="AB55" s="67"/>
      <c r="AC55" s="61"/>
      <c r="AD55" s="68"/>
      <c r="AE55" s="67"/>
      <c r="AF55" s="67"/>
      <c r="AG55" s="67"/>
      <c r="AH55" s="67"/>
      <c r="AI55" s="67"/>
      <c r="AJ55" s="67"/>
      <c r="AK55" s="67"/>
      <c r="AL55" s="61"/>
      <c r="AM55" s="68"/>
      <c r="AN55" s="67"/>
      <c r="AO55" s="67"/>
      <c r="AP55" s="67"/>
      <c r="AQ55" s="67"/>
      <c r="AR55" s="67"/>
      <c r="AS55" s="67"/>
      <c r="AT55" s="67"/>
      <c r="AU55" s="67"/>
      <c r="AV55" s="67"/>
      <c r="AW55" s="67"/>
      <c r="AX55" s="67"/>
      <c r="AY55" s="67"/>
      <c r="AZ55" s="67"/>
      <c r="BA55" s="67"/>
      <c r="BB55" s="67"/>
      <c r="BC55" s="67"/>
      <c r="BD55" s="67"/>
      <c r="BE55" s="67"/>
      <c r="BF55" s="67"/>
      <c r="BG55" s="67"/>
      <c r="BH55" s="67"/>
      <c r="BI55" s="61"/>
      <c r="BJ55" s="67"/>
      <c r="BK55" s="69"/>
      <c r="BM55" s="9">
        <f t="shared" si="0"/>
        <v>48</v>
      </c>
    </row>
    <row r="56" spans="1:65" ht="15" customHeight="1" x14ac:dyDescent="0.25">
      <c r="A56" s="66"/>
      <c r="B56" s="68"/>
      <c r="C56" s="67"/>
      <c r="D56" s="67"/>
      <c r="E56" s="67"/>
      <c r="F56" s="67"/>
      <c r="G56" s="67"/>
      <c r="H56" s="67"/>
      <c r="I56" s="67"/>
      <c r="J56" s="67"/>
      <c r="K56" s="61"/>
      <c r="L56" s="68"/>
      <c r="M56" s="67"/>
      <c r="N56" s="67"/>
      <c r="O56" s="67"/>
      <c r="P56" s="67"/>
      <c r="Q56" s="67"/>
      <c r="R56" s="67"/>
      <c r="S56" s="67"/>
      <c r="T56" s="61"/>
      <c r="U56" s="68"/>
      <c r="V56" s="67"/>
      <c r="W56" s="67"/>
      <c r="X56" s="67"/>
      <c r="Y56" s="67"/>
      <c r="Z56" s="67"/>
      <c r="AA56" s="67"/>
      <c r="AB56" s="67"/>
      <c r="AC56" s="61"/>
      <c r="AD56" s="68"/>
      <c r="AE56" s="67"/>
      <c r="AF56" s="67"/>
      <c r="AG56" s="67"/>
      <c r="AH56" s="67"/>
      <c r="AI56" s="67"/>
      <c r="AJ56" s="67"/>
      <c r="AK56" s="67"/>
      <c r="AL56" s="61"/>
      <c r="AM56" s="68"/>
      <c r="AN56" s="67"/>
      <c r="AO56" s="67"/>
      <c r="AP56" s="67"/>
      <c r="AQ56" s="67"/>
      <c r="AR56" s="67"/>
      <c r="AS56" s="67"/>
      <c r="AT56" s="67"/>
      <c r="AU56" s="67"/>
      <c r="AV56" s="67"/>
      <c r="AW56" s="67"/>
      <c r="AX56" s="67"/>
      <c r="AY56" s="67"/>
      <c r="AZ56" s="67"/>
      <c r="BA56" s="67"/>
      <c r="BB56" s="67"/>
      <c r="BC56" s="67"/>
      <c r="BD56" s="67"/>
      <c r="BE56" s="67"/>
      <c r="BF56" s="67"/>
      <c r="BG56" s="67"/>
      <c r="BH56" s="67"/>
      <c r="BI56" s="61"/>
      <c r="BJ56" s="67"/>
      <c r="BK56" s="69"/>
      <c r="BM56" s="9">
        <f t="shared" si="0"/>
        <v>49</v>
      </c>
    </row>
    <row r="57" spans="1:65" ht="15" customHeight="1" x14ac:dyDescent="0.25">
      <c r="A57" s="66"/>
      <c r="B57" s="68"/>
      <c r="C57" s="67"/>
      <c r="D57" s="67"/>
      <c r="E57" s="67"/>
      <c r="F57" s="67"/>
      <c r="G57" s="67"/>
      <c r="H57" s="67"/>
      <c r="I57" s="67"/>
      <c r="J57" s="67"/>
      <c r="K57" s="61"/>
      <c r="L57" s="68"/>
      <c r="M57" s="67"/>
      <c r="N57" s="67"/>
      <c r="O57" s="67"/>
      <c r="P57" s="67"/>
      <c r="Q57" s="67"/>
      <c r="R57" s="67"/>
      <c r="S57" s="67"/>
      <c r="T57" s="61"/>
      <c r="U57" s="68"/>
      <c r="V57" s="67"/>
      <c r="W57" s="67"/>
      <c r="X57" s="67"/>
      <c r="Y57" s="67"/>
      <c r="Z57" s="67"/>
      <c r="AA57" s="67"/>
      <c r="AB57" s="67"/>
      <c r="AC57" s="61"/>
      <c r="AD57" s="68"/>
      <c r="AE57" s="67"/>
      <c r="AF57" s="67"/>
      <c r="AG57" s="67"/>
      <c r="AH57" s="67"/>
      <c r="AI57" s="67"/>
      <c r="AJ57" s="67"/>
      <c r="AK57" s="67"/>
      <c r="AL57" s="61"/>
      <c r="AM57" s="68"/>
      <c r="AN57" s="67"/>
      <c r="AO57" s="67"/>
      <c r="AP57" s="67"/>
      <c r="AQ57" s="67"/>
      <c r="AR57" s="67"/>
      <c r="AS57" s="67"/>
      <c r="AT57" s="67"/>
      <c r="AU57" s="67"/>
      <c r="AV57" s="67"/>
      <c r="AW57" s="67"/>
      <c r="AX57" s="67"/>
      <c r="AY57" s="67"/>
      <c r="AZ57" s="67"/>
      <c r="BA57" s="67"/>
      <c r="BB57" s="67"/>
      <c r="BC57" s="67"/>
      <c r="BD57" s="67"/>
      <c r="BE57" s="67"/>
      <c r="BF57" s="67"/>
      <c r="BG57" s="67"/>
      <c r="BH57" s="67"/>
      <c r="BI57" s="61"/>
      <c r="BJ57" s="67"/>
      <c r="BK57" s="69"/>
      <c r="BM57" s="9">
        <f t="shared" si="0"/>
        <v>50</v>
      </c>
    </row>
    <row r="58" spans="1:65" ht="15" customHeight="1" x14ac:dyDescent="0.25">
      <c r="A58" s="66"/>
      <c r="B58" s="68"/>
      <c r="C58" s="67"/>
      <c r="D58" s="67"/>
      <c r="E58" s="67"/>
      <c r="F58" s="67"/>
      <c r="G58" s="67"/>
      <c r="H58" s="67"/>
      <c r="I58" s="67"/>
      <c r="J58" s="67"/>
      <c r="K58" s="61"/>
      <c r="L58" s="68"/>
      <c r="M58" s="67"/>
      <c r="N58" s="67"/>
      <c r="O58" s="67"/>
      <c r="P58" s="67"/>
      <c r="Q58" s="67"/>
      <c r="R58" s="67"/>
      <c r="S58" s="67"/>
      <c r="T58" s="61"/>
      <c r="U58" s="68"/>
      <c r="V58" s="67"/>
      <c r="W58" s="67"/>
      <c r="X58" s="67"/>
      <c r="Y58" s="67"/>
      <c r="Z58" s="67"/>
      <c r="AA58" s="67"/>
      <c r="AB58" s="67"/>
      <c r="AC58" s="61"/>
      <c r="AD58" s="68"/>
      <c r="AE58" s="67"/>
      <c r="AF58" s="67"/>
      <c r="AG58" s="67"/>
      <c r="AH58" s="67"/>
      <c r="AI58" s="67"/>
      <c r="AJ58" s="67"/>
      <c r="AK58" s="67"/>
      <c r="AL58" s="61"/>
      <c r="AM58" s="68"/>
      <c r="AN58" s="67"/>
      <c r="AO58" s="67"/>
      <c r="AP58" s="67"/>
      <c r="AQ58" s="67"/>
      <c r="AR58" s="67"/>
      <c r="AS58" s="67"/>
      <c r="AT58" s="67"/>
      <c r="AU58" s="67"/>
      <c r="AV58" s="67"/>
      <c r="AW58" s="67"/>
      <c r="AX58" s="67"/>
      <c r="AY58" s="67"/>
      <c r="AZ58" s="67"/>
      <c r="BA58" s="67"/>
      <c r="BB58" s="67"/>
      <c r="BC58" s="67"/>
      <c r="BD58" s="67"/>
      <c r="BE58" s="67"/>
      <c r="BF58" s="67"/>
      <c r="BG58" s="67"/>
      <c r="BH58" s="67"/>
      <c r="BI58" s="61"/>
      <c r="BJ58" s="67"/>
      <c r="BK58" s="69"/>
      <c r="BM58" s="9">
        <f t="shared" si="0"/>
        <v>1</v>
      </c>
    </row>
    <row r="59" spans="1:65" ht="15" customHeight="1" x14ac:dyDescent="0.25">
      <c r="A59" s="66"/>
      <c r="B59" s="68"/>
      <c r="C59" s="67"/>
      <c r="D59" s="67"/>
      <c r="E59" s="67"/>
      <c r="F59" s="67"/>
      <c r="G59" s="67"/>
      <c r="H59" s="67"/>
      <c r="I59" s="67"/>
      <c r="J59" s="67"/>
      <c r="K59" s="61"/>
      <c r="L59" s="68"/>
      <c r="M59" s="67"/>
      <c r="N59" s="67"/>
      <c r="O59" s="67"/>
      <c r="P59" s="67"/>
      <c r="Q59" s="67"/>
      <c r="R59" s="67"/>
      <c r="S59" s="67"/>
      <c r="T59" s="61"/>
      <c r="U59" s="68"/>
      <c r="V59" s="67"/>
      <c r="W59" s="67"/>
      <c r="X59" s="67"/>
      <c r="Y59" s="67"/>
      <c r="Z59" s="67"/>
      <c r="AA59" s="67"/>
      <c r="AB59" s="67"/>
      <c r="AC59" s="61"/>
      <c r="AD59" s="68"/>
      <c r="AE59" s="67"/>
      <c r="AF59" s="67"/>
      <c r="AG59" s="67"/>
      <c r="AH59" s="67"/>
      <c r="AI59" s="67"/>
      <c r="AJ59" s="67"/>
      <c r="AK59" s="67"/>
      <c r="AL59" s="61"/>
      <c r="AM59" s="68"/>
      <c r="AN59" s="67"/>
      <c r="AO59" s="67"/>
      <c r="AP59" s="67"/>
      <c r="AQ59" s="67"/>
      <c r="AR59" s="67"/>
      <c r="AS59" s="67"/>
      <c r="AT59" s="67"/>
      <c r="AU59" s="67"/>
      <c r="AV59" s="67"/>
      <c r="AW59" s="67"/>
      <c r="AX59" s="67"/>
      <c r="AY59" s="67"/>
      <c r="AZ59" s="67"/>
      <c r="BA59" s="67"/>
      <c r="BB59" s="67"/>
      <c r="BC59" s="67"/>
      <c r="BD59" s="67"/>
      <c r="BE59" s="67"/>
      <c r="BF59" s="67"/>
      <c r="BG59" s="67"/>
      <c r="BH59" s="67"/>
      <c r="BI59" s="61"/>
      <c r="BJ59" s="67"/>
      <c r="BK59" s="69"/>
      <c r="BM59" s="9">
        <f t="shared" si="0"/>
        <v>2</v>
      </c>
    </row>
    <row r="60" spans="1:65" ht="15" customHeight="1" x14ac:dyDescent="0.25">
      <c r="A60" s="66"/>
      <c r="B60" s="68"/>
      <c r="C60" s="67"/>
      <c r="D60" s="67"/>
      <c r="E60" s="67"/>
      <c r="F60" s="67"/>
      <c r="G60" s="67"/>
      <c r="H60" s="67"/>
      <c r="I60" s="67"/>
      <c r="J60" s="67"/>
      <c r="K60" s="61"/>
      <c r="L60" s="68"/>
      <c r="M60" s="67"/>
      <c r="N60" s="67"/>
      <c r="O60" s="67"/>
      <c r="P60" s="67"/>
      <c r="Q60" s="67"/>
      <c r="R60" s="67"/>
      <c r="S60" s="67"/>
      <c r="T60" s="61"/>
      <c r="U60" s="68"/>
      <c r="V60" s="67"/>
      <c r="W60" s="67"/>
      <c r="X60" s="67"/>
      <c r="Y60" s="67"/>
      <c r="Z60" s="67"/>
      <c r="AA60" s="67"/>
      <c r="AB60" s="67"/>
      <c r="AC60" s="61"/>
      <c r="AD60" s="68"/>
      <c r="AE60" s="67"/>
      <c r="AF60" s="67"/>
      <c r="AG60" s="67"/>
      <c r="AH60" s="67"/>
      <c r="AI60" s="67"/>
      <c r="AJ60" s="67"/>
      <c r="AK60" s="67"/>
      <c r="AL60" s="61"/>
      <c r="AM60" s="68"/>
      <c r="AN60" s="67"/>
      <c r="AO60" s="67"/>
      <c r="AP60" s="67"/>
      <c r="AQ60" s="67"/>
      <c r="AR60" s="67"/>
      <c r="AS60" s="67"/>
      <c r="AT60" s="67"/>
      <c r="AU60" s="67"/>
      <c r="AV60" s="67"/>
      <c r="AW60" s="67"/>
      <c r="AX60" s="67"/>
      <c r="AY60" s="67"/>
      <c r="AZ60" s="67"/>
      <c r="BA60" s="67"/>
      <c r="BB60" s="67"/>
      <c r="BC60" s="67"/>
      <c r="BD60" s="67"/>
      <c r="BE60" s="67"/>
      <c r="BF60" s="67"/>
      <c r="BG60" s="67"/>
      <c r="BH60" s="67"/>
      <c r="BI60" s="61"/>
      <c r="BJ60" s="67"/>
      <c r="BK60" s="69"/>
      <c r="BM60" s="9">
        <f t="shared" si="0"/>
        <v>3</v>
      </c>
    </row>
    <row r="61" spans="1:65" ht="15" customHeight="1" x14ac:dyDescent="0.25">
      <c r="A61" s="66"/>
      <c r="B61" s="68"/>
      <c r="C61" s="67"/>
      <c r="D61" s="67"/>
      <c r="E61" s="67"/>
      <c r="F61" s="67"/>
      <c r="G61" s="67"/>
      <c r="H61" s="67"/>
      <c r="I61" s="67"/>
      <c r="J61" s="67"/>
      <c r="K61" s="61"/>
      <c r="L61" s="68"/>
      <c r="M61" s="67"/>
      <c r="N61" s="67"/>
      <c r="O61" s="67"/>
      <c r="P61" s="67"/>
      <c r="Q61" s="67"/>
      <c r="R61" s="67"/>
      <c r="S61" s="67"/>
      <c r="T61" s="61"/>
      <c r="U61" s="68"/>
      <c r="V61" s="67"/>
      <c r="W61" s="67"/>
      <c r="X61" s="67"/>
      <c r="Y61" s="67"/>
      <c r="Z61" s="67"/>
      <c r="AA61" s="67"/>
      <c r="AB61" s="67"/>
      <c r="AC61" s="61"/>
      <c r="AD61" s="68"/>
      <c r="AE61" s="67"/>
      <c r="AF61" s="67"/>
      <c r="AG61" s="67"/>
      <c r="AH61" s="67"/>
      <c r="AI61" s="67"/>
      <c r="AJ61" s="67"/>
      <c r="AK61" s="67"/>
      <c r="AL61" s="61"/>
      <c r="AM61" s="68"/>
      <c r="AN61" s="67"/>
      <c r="AO61" s="67"/>
      <c r="AP61" s="67"/>
      <c r="AQ61" s="67"/>
      <c r="AR61" s="67"/>
      <c r="AS61" s="67"/>
      <c r="AT61" s="67"/>
      <c r="AU61" s="67"/>
      <c r="AV61" s="67"/>
      <c r="AW61" s="67"/>
      <c r="AX61" s="67"/>
      <c r="AY61" s="67"/>
      <c r="AZ61" s="67"/>
      <c r="BA61" s="67"/>
      <c r="BB61" s="67"/>
      <c r="BC61" s="67"/>
      <c r="BD61" s="67"/>
      <c r="BE61" s="67"/>
      <c r="BF61" s="67"/>
      <c r="BG61" s="67"/>
      <c r="BH61" s="67"/>
      <c r="BI61" s="61"/>
      <c r="BJ61" s="67"/>
      <c r="BK61" s="69"/>
      <c r="BM61" s="9">
        <f t="shared" si="0"/>
        <v>4</v>
      </c>
    </row>
    <row r="62" spans="1:65" ht="15" customHeight="1" x14ac:dyDescent="0.25">
      <c r="A62" s="66"/>
      <c r="B62" s="68"/>
      <c r="C62" s="67"/>
      <c r="D62" s="67"/>
      <c r="E62" s="67"/>
      <c r="F62" s="67"/>
      <c r="G62" s="67"/>
      <c r="H62" s="67"/>
      <c r="I62" s="67"/>
      <c r="J62" s="67"/>
      <c r="K62" s="61"/>
      <c r="L62" s="68"/>
      <c r="M62" s="67"/>
      <c r="N62" s="67"/>
      <c r="O62" s="67"/>
      <c r="P62" s="67"/>
      <c r="Q62" s="67"/>
      <c r="R62" s="67"/>
      <c r="S62" s="67"/>
      <c r="T62" s="61"/>
      <c r="U62" s="68"/>
      <c r="V62" s="67"/>
      <c r="W62" s="67"/>
      <c r="X62" s="67"/>
      <c r="Y62" s="67"/>
      <c r="Z62" s="67"/>
      <c r="AA62" s="67"/>
      <c r="AB62" s="67"/>
      <c r="AC62" s="61"/>
      <c r="AD62" s="68"/>
      <c r="AE62" s="67"/>
      <c r="AF62" s="67"/>
      <c r="AG62" s="67"/>
      <c r="AH62" s="67"/>
      <c r="AI62" s="67"/>
      <c r="AJ62" s="67"/>
      <c r="AK62" s="67"/>
      <c r="AL62" s="61"/>
      <c r="AM62" s="68"/>
      <c r="AN62" s="67"/>
      <c r="AO62" s="67"/>
      <c r="AP62" s="67"/>
      <c r="AQ62" s="67"/>
      <c r="AR62" s="67"/>
      <c r="AS62" s="67"/>
      <c r="AT62" s="67"/>
      <c r="AU62" s="67"/>
      <c r="AV62" s="67"/>
      <c r="AW62" s="67"/>
      <c r="AX62" s="67"/>
      <c r="AY62" s="67"/>
      <c r="AZ62" s="67"/>
      <c r="BA62" s="67"/>
      <c r="BB62" s="67"/>
      <c r="BC62" s="67"/>
      <c r="BD62" s="67"/>
      <c r="BE62" s="67"/>
      <c r="BF62" s="67"/>
      <c r="BG62" s="67"/>
      <c r="BH62" s="67"/>
      <c r="BI62" s="61"/>
      <c r="BJ62" s="67"/>
      <c r="BK62" s="69"/>
      <c r="BM62" s="9">
        <f t="shared" si="0"/>
        <v>5</v>
      </c>
    </row>
    <row r="63" spans="1:65" ht="15" customHeight="1" x14ac:dyDescent="0.25">
      <c r="A63" s="66"/>
      <c r="B63" s="68"/>
      <c r="C63" s="67"/>
      <c r="D63" s="67"/>
      <c r="E63" s="67"/>
      <c r="F63" s="67"/>
      <c r="G63" s="67"/>
      <c r="H63" s="67"/>
      <c r="I63" s="67"/>
      <c r="J63" s="67"/>
      <c r="K63" s="61"/>
      <c r="L63" s="68"/>
      <c r="M63" s="67"/>
      <c r="N63" s="67"/>
      <c r="O63" s="67"/>
      <c r="P63" s="67"/>
      <c r="Q63" s="67"/>
      <c r="R63" s="67"/>
      <c r="S63" s="67"/>
      <c r="T63" s="61"/>
      <c r="U63" s="68"/>
      <c r="V63" s="67"/>
      <c r="W63" s="67"/>
      <c r="X63" s="67"/>
      <c r="Y63" s="67"/>
      <c r="Z63" s="67"/>
      <c r="AA63" s="67"/>
      <c r="AB63" s="67"/>
      <c r="AC63" s="61"/>
      <c r="AD63" s="68"/>
      <c r="AE63" s="67"/>
      <c r="AF63" s="67"/>
      <c r="AG63" s="67"/>
      <c r="AH63" s="67"/>
      <c r="AI63" s="67"/>
      <c r="AJ63" s="67"/>
      <c r="AK63" s="67"/>
      <c r="AL63" s="61"/>
      <c r="AM63" s="68"/>
      <c r="AN63" s="67"/>
      <c r="AO63" s="67"/>
      <c r="AP63" s="67"/>
      <c r="AQ63" s="67"/>
      <c r="AR63" s="67"/>
      <c r="AS63" s="67"/>
      <c r="AT63" s="67"/>
      <c r="AU63" s="67"/>
      <c r="AV63" s="67"/>
      <c r="AW63" s="67"/>
      <c r="AX63" s="67"/>
      <c r="AY63" s="67"/>
      <c r="AZ63" s="67"/>
      <c r="BA63" s="67"/>
      <c r="BB63" s="67"/>
      <c r="BC63" s="67"/>
      <c r="BD63" s="67"/>
      <c r="BE63" s="67"/>
      <c r="BF63" s="67"/>
      <c r="BG63" s="67"/>
      <c r="BH63" s="67"/>
      <c r="BI63" s="61"/>
      <c r="BJ63" s="67"/>
      <c r="BK63" s="69"/>
      <c r="BM63" s="9">
        <f t="shared" si="0"/>
        <v>6</v>
      </c>
    </row>
    <row r="64" spans="1:65" ht="15" customHeight="1" x14ac:dyDescent="0.25">
      <c r="A64" s="66"/>
      <c r="B64" s="68"/>
      <c r="C64" s="67"/>
      <c r="D64" s="67"/>
      <c r="E64" s="67"/>
      <c r="F64" s="67"/>
      <c r="G64" s="67"/>
      <c r="H64" s="67"/>
      <c r="I64" s="67"/>
      <c r="J64" s="67"/>
      <c r="K64" s="61"/>
      <c r="L64" s="68"/>
      <c r="M64" s="67"/>
      <c r="N64" s="67"/>
      <c r="O64" s="67"/>
      <c r="P64" s="67"/>
      <c r="Q64" s="67"/>
      <c r="R64" s="67"/>
      <c r="S64" s="67"/>
      <c r="T64" s="61"/>
      <c r="U64" s="68"/>
      <c r="V64" s="67"/>
      <c r="W64" s="67"/>
      <c r="X64" s="67"/>
      <c r="Y64" s="67"/>
      <c r="Z64" s="67"/>
      <c r="AA64" s="67"/>
      <c r="AB64" s="67"/>
      <c r="AC64" s="61"/>
      <c r="AD64" s="68"/>
      <c r="AE64" s="67"/>
      <c r="AF64" s="67"/>
      <c r="AG64" s="67"/>
      <c r="AH64" s="67"/>
      <c r="AI64" s="67"/>
      <c r="AJ64" s="67"/>
      <c r="AK64" s="67"/>
      <c r="AL64" s="61"/>
      <c r="AM64" s="68"/>
      <c r="AN64" s="67"/>
      <c r="AO64" s="67"/>
      <c r="AP64" s="67"/>
      <c r="AQ64" s="67"/>
      <c r="AR64" s="67"/>
      <c r="AS64" s="67"/>
      <c r="AT64" s="67"/>
      <c r="AU64" s="67"/>
      <c r="AV64" s="67"/>
      <c r="AW64" s="67"/>
      <c r="AX64" s="67"/>
      <c r="AY64" s="67"/>
      <c r="AZ64" s="67"/>
      <c r="BA64" s="67"/>
      <c r="BB64" s="67"/>
      <c r="BC64" s="67"/>
      <c r="BD64" s="67"/>
      <c r="BE64" s="67"/>
      <c r="BF64" s="67"/>
      <c r="BG64" s="67"/>
      <c r="BH64" s="67"/>
      <c r="BI64" s="61"/>
      <c r="BJ64" s="67"/>
      <c r="BK64" s="69"/>
      <c r="BM64" s="9">
        <f t="shared" si="0"/>
        <v>7</v>
      </c>
    </row>
    <row r="65" spans="1:65" ht="15" customHeight="1" x14ac:dyDescent="0.25">
      <c r="A65" s="66"/>
      <c r="B65" s="68"/>
      <c r="C65" s="67"/>
      <c r="D65" s="67"/>
      <c r="E65" s="67"/>
      <c r="F65" s="67"/>
      <c r="G65" s="67"/>
      <c r="H65" s="67"/>
      <c r="I65" s="67"/>
      <c r="J65" s="67"/>
      <c r="K65" s="61"/>
      <c r="L65" s="68"/>
      <c r="M65" s="67"/>
      <c r="N65" s="67"/>
      <c r="O65" s="67"/>
      <c r="P65" s="67"/>
      <c r="Q65" s="67"/>
      <c r="R65" s="67"/>
      <c r="S65" s="67"/>
      <c r="T65" s="61"/>
      <c r="U65" s="68"/>
      <c r="V65" s="67"/>
      <c r="W65" s="67"/>
      <c r="X65" s="67"/>
      <c r="Y65" s="67"/>
      <c r="Z65" s="67"/>
      <c r="AA65" s="67"/>
      <c r="AB65" s="67"/>
      <c r="AC65" s="61"/>
      <c r="AD65" s="68"/>
      <c r="AE65" s="67"/>
      <c r="AF65" s="67"/>
      <c r="AG65" s="67"/>
      <c r="AH65" s="67"/>
      <c r="AI65" s="67"/>
      <c r="AJ65" s="67"/>
      <c r="AK65" s="67"/>
      <c r="AL65" s="61"/>
      <c r="AM65" s="68"/>
      <c r="AN65" s="67"/>
      <c r="AO65" s="67"/>
      <c r="AP65" s="67"/>
      <c r="AQ65" s="67"/>
      <c r="AR65" s="67"/>
      <c r="AS65" s="67"/>
      <c r="AT65" s="67"/>
      <c r="AU65" s="67"/>
      <c r="AV65" s="67"/>
      <c r="AW65" s="67"/>
      <c r="AX65" s="67"/>
      <c r="AY65" s="67"/>
      <c r="AZ65" s="67"/>
      <c r="BA65" s="67"/>
      <c r="BB65" s="67"/>
      <c r="BC65" s="67"/>
      <c r="BD65" s="67"/>
      <c r="BE65" s="67"/>
      <c r="BF65" s="67"/>
      <c r="BG65" s="67"/>
      <c r="BH65" s="67"/>
      <c r="BI65" s="61"/>
      <c r="BJ65" s="67"/>
      <c r="BK65" s="69"/>
      <c r="BM65" s="9">
        <f t="shared" si="0"/>
        <v>8</v>
      </c>
    </row>
    <row r="66" spans="1:65" ht="15" customHeight="1" x14ac:dyDescent="0.25">
      <c r="A66" s="66"/>
      <c r="B66" s="68"/>
      <c r="C66" s="67"/>
      <c r="D66" s="67"/>
      <c r="E66" s="67"/>
      <c r="F66" s="67"/>
      <c r="G66" s="67"/>
      <c r="H66" s="67"/>
      <c r="I66" s="67"/>
      <c r="J66" s="67"/>
      <c r="K66" s="61"/>
      <c r="L66" s="68"/>
      <c r="M66" s="67"/>
      <c r="N66" s="67"/>
      <c r="O66" s="67"/>
      <c r="P66" s="67"/>
      <c r="Q66" s="67"/>
      <c r="R66" s="67"/>
      <c r="S66" s="67"/>
      <c r="T66" s="61"/>
      <c r="U66" s="68"/>
      <c r="V66" s="67"/>
      <c r="W66" s="67"/>
      <c r="X66" s="67"/>
      <c r="Y66" s="67"/>
      <c r="Z66" s="67"/>
      <c r="AA66" s="67"/>
      <c r="AB66" s="67"/>
      <c r="AC66" s="61"/>
      <c r="AD66" s="68"/>
      <c r="AE66" s="67"/>
      <c r="AF66" s="67"/>
      <c r="AG66" s="67"/>
      <c r="AH66" s="67"/>
      <c r="AI66" s="67"/>
      <c r="AJ66" s="67"/>
      <c r="AK66" s="67"/>
      <c r="AL66" s="61"/>
      <c r="AM66" s="68"/>
      <c r="AN66" s="67"/>
      <c r="AO66" s="67"/>
      <c r="AP66" s="67"/>
      <c r="AQ66" s="67"/>
      <c r="AR66" s="67"/>
      <c r="AS66" s="67"/>
      <c r="AT66" s="67"/>
      <c r="AU66" s="67"/>
      <c r="AV66" s="67"/>
      <c r="AW66" s="67"/>
      <c r="AX66" s="67"/>
      <c r="AY66" s="67"/>
      <c r="AZ66" s="67"/>
      <c r="BA66" s="67"/>
      <c r="BB66" s="67"/>
      <c r="BC66" s="67"/>
      <c r="BD66" s="67"/>
      <c r="BE66" s="67"/>
      <c r="BF66" s="67"/>
      <c r="BG66" s="67"/>
      <c r="BH66" s="67"/>
      <c r="BI66" s="61"/>
      <c r="BJ66" s="67"/>
      <c r="BK66" s="69"/>
      <c r="BM66" s="9">
        <f t="shared" si="0"/>
        <v>9</v>
      </c>
    </row>
    <row r="67" spans="1:65" ht="15" customHeight="1" x14ac:dyDescent="0.25">
      <c r="A67" s="66"/>
      <c r="B67" s="68"/>
      <c r="C67" s="67"/>
      <c r="D67" s="67"/>
      <c r="E67" s="67"/>
      <c r="F67" s="67"/>
      <c r="G67" s="67"/>
      <c r="H67" s="67"/>
      <c r="I67" s="67"/>
      <c r="J67" s="67"/>
      <c r="K67" s="61"/>
      <c r="L67" s="68"/>
      <c r="M67" s="67"/>
      <c r="N67" s="67"/>
      <c r="O67" s="67"/>
      <c r="P67" s="67"/>
      <c r="Q67" s="67"/>
      <c r="R67" s="67"/>
      <c r="S67" s="67"/>
      <c r="T67" s="61"/>
      <c r="U67" s="68"/>
      <c r="V67" s="67"/>
      <c r="W67" s="67"/>
      <c r="X67" s="67"/>
      <c r="Y67" s="67"/>
      <c r="Z67" s="67"/>
      <c r="AA67" s="67"/>
      <c r="AB67" s="67"/>
      <c r="AC67" s="61"/>
      <c r="AD67" s="68"/>
      <c r="AE67" s="67"/>
      <c r="AF67" s="67"/>
      <c r="AG67" s="67"/>
      <c r="AH67" s="67"/>
      <c r="AI67" s="67"/>
      <c r="AJ67" s="67"/>
      <c r="AK67" s="67"/>
      <c r="AL67" s="61"/>
      <c r="AM67" s="68"/>
      <c r="AN67" s="67"/>
      <c r="AO67" s="67"/>
      <c r="AP67" s="67"/>
      <c r="AQ67" s="67"/>
      <c r="AR67" s="67"/>
      <c r="AS67" s="67"/>
      <c r="AT67" s="67"/>
      <c r="AU67" s="67"/>
      <c r="AV67" s="67"/>
      <c r="AW67" s="67"/>
      <c r="AX67" s="67"/>
      <c r="AY67" s="67"/>
      <c r="AZ67" s="67"/>
      <c r="BA67" s="67"/>
      <c r="BB67" s="67"/>
      <c r="BC67" s="67"/>
      <c r="BD67" s="67"/>
      <c r="BE67" s="67"/>
      <c r="BF67" s="67"/>
      <c r="BG67" s="67"/>
      <c r="BH67" s="67"/>
      <c r="BI67" s="61"/>
      <c r="BJ67" s="67"/>
      <c r="BK67" s="69"/>
      <c r="BM67" s="9">
        <f t="shared" si="0"/>
        <v>10</v>
      </c>
    </row>
    <row r="68" spans="1:65" ht="15" customHeight="1" x14ac:dyDescent="0.25">
      <c r="A68" s="66"/>
      <c r="B68" s="68"/>
      <c r="C68" s="67"/>
      <c r="D68" s="67"/>
      <c r="E68" s="67"/>
      <c r="F68" s="67"/>
      <c r="G68" s="67"/>
      <c r="H68" s="67"/>
      <c r="I68" s="67"/>
      <c r="J68" s="67"/>
      <c r="K68" s="61"/>
      <c r="L68" s="68"/>
      <c r="M68" s="67"/>
      <c r="N68" s="67"/>
      <c r="O68" s="67"/>
      <c r="P68" s="67"/>
      <c r="Q68" s="67"/>
      <c r="R68" s="67"/>
      <c r="S68" s="67"/>
      <c r="T68" s="61"/>
      <c r="U68" s="68"/>
      <c r="V68" s="67"/>
      <c r="W68" s="67"/>
      <c r="X68" s="67"/>
      <c r="Y68" s="67"/>
      <c r="Z68" s="67"/>
      <c r="AA68" s="67"/>
      <c r="AB68" s="67"/>
      <c r="AC68" s="61"/>
      <c r="AD68" s="68"/>
      <c r="AE68" s="67"/>
      <c r="AF68" s="67"/>
      <c r="AG68" s="67"/>
      <c r="AH68" s="67"/>
      <c r="AI68" s="67"/>
      <c r="AJ68" s="67"/>
      <c r="AK68" s="67"/>
      <c r="AL68" s="61"/>
      <c r="AM68" s="68"/>
      <c r="AN68" s="67"/>
      <c r="AO68" s="67"/>
      <c r="AP68" s="67"/>
      <c r="AQ68" s="67"/>
      <c r="AR68" s="67"/>
      <c r="AS68" s="67"/>
      <c r="AT68" s="67"/>
      <c r="AU68" s="67"/>
      <c r="AV68" s="67"/>
      <c r="AW68" s="67"/>
      <c r="AX68" s="67"/>
      <c r="AY68" s="67"/>
      <c r="AZ68" s="67"/>
      <c r="BA68" s="67"/>
      <c r="BB68" s="67"/>
      <c r="BC68" s="67"/>
      <c r="BD68" s="67"/>
      <c r="BE68" s="67"/>
      <c r="BF68" s="67"/>
      <c r="BG68" s="67"/>
      <c r="BH68" s="67"/>
      <c r="BI68" s="61"/>
      <c r="BJ68" s="67"/>
      <c r="BK68" s="69"/>
      <c r="BM68" s="9">
        <f t="shared" si="0"/>
        <v>11</v>
      </c>
    </row>
    <row r="69" spans="1:65" ht="15" customHeight="1" x14ac:dyDescent="0.25">
      <c r="A69" s="66"/>
      <c r="B69" s="68"/>
      <c r="C69" s="67"/>
      <c r="D69" s="67"/>
      <c r="E69" s="67"/>
      <c r="F69" s="67"/>
      <c r="G69" s="67"/>
      <c r="H69" s="67"/>
      <c r="I69" s="67"/>
      <c r="J69" s="67"/>
      <c r="K69" s="61"/>
      <c r="L69" s="68"/>
      <c r="M69" s="67"/>
      <c r="N69" s="67"/>
      <c r="O69" s="67"/>
      <c r="P69" s="67"/>
      <c r="Q69" s="67"/>
      <c r="R69" s="67"/>
      <c r="S69" s="67"/>
      <c r="T69" s="61"/>
      <c r="U69" s="68"/>
      <c r="V69" s="67"/>
      <c r="W69" s="67"/>
      <c r="X69" s="67"/>
      <c r="Y69" s="67"/>
      <c r="Z69" s="67"/>
      <c r="AA69" s="67"/>
      <c r="AB69" s="67"/>
      <c r="AC69" s="61"/>
      <c r="AD69" s="68"/>
      <c r="AE69" s="67"/>
      <c r="AF69" s="67"/>
      <c r="AG69" s="67"/>
      <c r="AH69" s="67"/>
      <c r="AI69" s="67"/>
      <c r="AJ69" s="67"/>
      <c r="AK69" s="67"/>
      <c r="AL69" s="61"/>
      <c r="AM69" s="68"/>
      <c r="AN69" s="67"/>
      <c r="AO69" s="67"/>
      <c r="AP69" s="67"/>
      <c r="AQ69" s="67"/>
      <c r="AR69" s="67"/>
      <c r="AS69" s="67"/>
      <c r="AT69" s="67"/>
      <c r="AU69" s="67"/>
      <c r="AV69" s="67"/>
      <c r="AW69" s="67"/>
      <c r="AX69" s="67"/>
      <c r="AY69" s="67"/>
      <c r="AZ69" s="67"/>
      <c r="BA69" s="67"/>
      <c r="BB69" s="67"/>
      <c r="BC69" s="67"/>
      <c r="BD69" s="67"/>
      <c r="BE69" s="67"/>
      <c r="BF69" s="67"/>
      <c r="BG69" s="67"/>
      <c r="BH69" s="67"/>
      <c r="BI69" s="61"/>
      <c r="BJ69" s="67"/>
      <c r="BK69" s="69"/>
      <c r="BM69" s="9">
        <f t="shared" si="0"/>
        <v>12</v>
      </c>
    </row>
    <row r="70" spans="1:65" ht="15" customHeight="1" x14ac:dyDescent="0.25">
      <c r="A70" s="66"/>
      <c r="B70" s="68"/>
      <c r="C70" s="67"/>
      <c r="D70" s="67"/>
      <c r="E70" s="67"/>
      <c r="F70" s="67"/>
      <c r="G70" s="67"/>
      <c r="H70" s="67"/>
      <c r="I70" s="67"/>
      <c r="J70" s="67"/>
      <c r="K70" s="61"/>
      <c r="L70" s="68"/>
      <c r="M70" s="67"/>
      <c r="N70" s="67"/>
      <c r="O70" s="67"/>
      <c r="P70" s="67"/>
      <c r="Q70" s="67"/>
      <c r="R70" s="67"/>
      <c r="S70" s="67"/>
      <c r="T70" s="61"/>
      <c r="U70" s="68"/>
      <c r="V70" s="67"/>
      <c r="W70" s="67"/>
      <c r="X70" s="67"/>
      <c r="Y70" s="67"/>
      <c r="Z70" s="67"/>
      <c r="AA70" s="67"/>
      <c r="AB70" s="67"/>
      <c r="AC70" s="61"/>
      <c r="AD70" s="68"/>
      <c r="AE70" s="67"/>
      <c r="AF70" s="67"/>
      <c r="AG70" s="67"/>
      <c r="AH70" s="67"/>
      <c r="AI70" s="67"/>
      <c r="AJ70" s="67"/>
      <c r="AK70" s="67"/>
      <c r="AL70" s="61"/>
      <c r="AM70" s="68"/>
      <c r="AN70" s="67"/>
      <c r="AO70" s="67"/>
      <c r="AP70" s="67"/>
      <c r="AQ70" s="67"/>
      <c r="AR70" s="67"/>
      <c r="AS70" s="67"/>
      <c r="AT70" s="67"/>
      <c r="AU70" s="67"/>
      <c r="AV70" s="67"/>
      <c r="AW70" s="67"/>
      <c r="AX70" s="67"/>
      <c r="AY70" s="67"/>
      <c r="AZ70" s="67"/>
      <c r="BA70" s="67"/>
      <c r="BB70" s="67"/>
      <c r="BC70" s="67"/>
      <c r="BD70" s="67"/>
      <c r="BE70" s="67"/>
      <c r="BF70" s="67"/>
      <c r="BG70" s="67"/>
      <c r="BH70" s="67"/>
      <c r="BI70" s="61"/>
      <c r="BJ70" s="67"/>
      <c r="BK70" s="69"/>
      <c r="BM70" s="9">
        <f t="shared" si="0"/>
        <v>13</v>
      </c>
    </row>
    <row r="71" spans="1:65" ht="15" customHeight="1" x14ac:dyDescent="0.25">
      <c r="A71" s="66"/>
      <c r="B71" s="68"/>
      <c r="C71" s="67"/>
      <c r="D71" s="67"/>
      <c r="E71" s="67"/>
      <c r="F71" s="67"/>
      <c r="G71" s="67"/>
      <c r="H71" s="67"/>
      <c r="I71" s="67"/>
      <c r="J71" s="67"/>
      <c r="K71" s="61"/>
      <c r="L71" s="68"/>
      <c r="M71" s="67"/>
      <c r="N71" s="67"/>
      <c r="O71" s="67"/>
      <c r="P71" s="67"/>
      <c r="Q71" s="67"/>
      <c r="R71" s="67"/>
      <c r="S71" s="67"/>
      <c r="T71" s="61"/>
      <c r="U71" s="68"/>
      <c r="V71" s="67"/>
      <c r="W71" s="67"/>
      <c r="X71" s="67"/>
      <c r="Y71" s="67"/>
      <c r="Z71" s="67"/>
      <c r="AA71" s="67"/>
      <c r="AB71" s="67"/>
      <c r="AC71" s="61"/>
      <c r="AD71" s="68"/>
      <c r="AE71" s="67"/>
      <c r="AF71" s="67"/>
      <c r="AG71" s="67"/>
      <c r="AH71" s="67"/>
      <c r="AI71" s="67"/>
      <c r="AJ71" s="67"/>
      <c r="AK71" s="67"/>
      <c r="AL71" s="61"/>
      <c r="AM71" s="68"/>
      <c r="AN71" s="67"/>
      <c r="AO71" s="67"/>
      <c r="AP71" s="67"/>
      <c r="AQ71" s="67"/>
      <c r="AR71" s="67"/>
      <c r="AS71" s="67"/>
      <c r="AT71" s="67"/>
      <c r="AU71" s="67"/>
      <c r="AV71" s="67"/>
      <c r="AW71" s="67"/>
      <c r="AX71" s="67"/>
      <c r="AY71" s="67"/>
      <c r="AZ71" s="67"/>
      <c r="BA71" s="67"/>
      <c r="BB71" s="67"/>
      <c r="BC71" s="67"/>
      <c r="BD71" s="67"/>
      <c r="BE71" s="67"/>
      <c r="BF71" s="67"/>
      <c r="BG71" s="67"/>
      <c r="BH71" s="67"/>
      <c r="BI71" s="61"/>
      <c r="BJ71" s="67"/>
      <c r="BK71" s="69"/>
      <c r="BM71" s="9">
        <f t="shared" si="0"/>
        <v>14</v>
      </c>
    </row>
    <row r="72" spans="1:65" ht="15" customHeight="1" x14ac:dyDescent="0.25">
      <c r="A72" s="66"/>
      <c r="B72" s="68"/>
      <c r="C72" s="67"/>
      <c r="D72" s="67"/>
      <c r="E72" s="67"/>
      <c r="F72" s="67"/>
      <c r="G72" s="67"/>
      <c r="H72" s="67"/>
      <c r="I72" s="67"/>
      <c r="J72" s="67"/>
      <c r="K72" s="61"/>
      <c r="L72" s="68"/>
      <c r="M72" s="67"/>
      <c r="N72" s="67"/>
      <c r="O72" s="67"/>
      <c r="P72" s="67"/>
      <c r="Q72" s="67"/>
      <c r="R72" s="67"/>
      <c r="S72" s="67"/>
      <c r="T72" s="61"/>
      <c r="U72" s="68"/>
      <c r="V72" s="67"/>
      <c r="W72" s="67"/>
      <c r="X72" s="67"/>
      <c r="Y72" s="67"/>
      <c r="Z72" s="67"/>
      <c r="AA72" s="67"/>
      <c r="AB72" s="67"/>
      <c r="AC72" s="61"/>
      <c r="AD72" s="68"/>
      <c r="AE72" s="67"/>
      <c r="AF72" s="67"/>
      <c r="AG72" s="67"/>
      <c r="AH72" s="67"/>
      <c r="AI72" s="67"/>
      <c r="AJ72" s="67"/>
      <c r="AK72" s="67"/>
      <c r="AL72" s="61"/>
      <c r="AM72" s="68"/>
      <c r="AN72" s="67"/>
      <c r="AO72" s="67"/>
      <c r="AP72" s="67"/>
      <c r="AQ72" s="67"/>
      <c r="AR72" s="67"/>
      <c r="AS72" s="67"/>
      <c r="AT72" s="67"/>
      <c r="AU72" s="67"/>
      <c r="AV72" s="67"/>
      <c r="AW72" s="67"/>
      <c r="AX72" s="67"/>
      <c r="AY72" s="67"/>
      <c r="AZ72" s="67"/>
      <c r="BA72" s="67"/>
      <c r="BB72" s="67"/>
      <c r="BC72" s="67"/>
      <c r="BD72" s="67"/>
      <c r="BE72" s="67"/>
      <c r="BF72" s="67"/>
      <c r="BG72" s="67"/>
      <c r="BH72" s="67"/>
      <c r="BI72" s="61"/>
      <c r="BJ72" s="67"/>
      <c r="BK72" s="69"/>
      <c r="BM72" s="9">
        <f t="shared" ref="BM72:BM135" si="1">IF(BM71=50,1,BM71+1)</f>
        <v>15</v>
      </c>
    </row>
    <row r="73" spans="1:65" ht="15" customHeight="1" x14ac:dyDescent="0.25">
      <c r="A73" s="66"/>
      <c r="B73" s="68"/>
      <c r="C73" s="67"/>
      <c r="D73" s="67"/>
      <c r="E73" s="67"/>
      <c r="F73" s="67"/>
      <c r="G73" s="67"/>
      <c r="H73" s="67"/>
      <c r="I73" s="67"/>
      <c r="J73" s="67"/>
      <c r="K73" s="61"/>
      <c r="L73" s="68"/>
      <c r="M73" s="67"/>
      <c r="N73" s="67"/>
      <c r="O73" s="67"/>
      <c r="P73" s="67"/>
      <c r="Q73" s="67"/>
      <c r="R73" s="67"/>
      <c r="S73" s="67"/>
      <c r="T73" s="61"/>
      <c r="U73" s="68"/>
      <c r="V73" s="67"/>
      <c r="W73" s="67"/>
      <c r="X73" s="67"/>
      <c r="Y73" s="67"/>
      <c r="Z73" s="67"/>
      <c r="AA73" s="67"/>
      <c r="AB73" s="67"/>
      <c r="AC73" s="61"/>
      <c r="AD73" s="68"/>
      <c r="AE73" s="67"/>
      <c r="AF73" s="67"/>
      <c r="AG73" s="67"/>
      <c r="AH73" s="67"/>
      <c r="AI73" s="67"/>
      <c r="AJ73" s="67"/>
      <c r="AK73" s="67"/>
      <c r="AL73" s="61"/>
      <c r="AM73" s="68"/>
      <c r="AN73" s="67"/>
      <c r="AO73" s="67"/>
      <c r="AP73" s="67"/>
      <c r="AQ73" s="67"/>
      <c r="AR73" s="67"/>
      <c r="AS73" s="67"/>
      <c r="AT73" s="67"/>
      <c r="AU73" s="67"/>
      <c r="AV73" s="67"/>
      <c r="AW73" s="67"/>
      <c r="AX73" s="67"/>
      <c r="AY73" s="67"/>
      <c r="AZ73" s="67"/>
      <c r="BA73" s="67"/>
      <c r="BB73" s="67"/>
      <c r="BC73" s="67"/>
      <c r="BD73" s="67"/>
      <c r="BE73" s="67"/>
      <c r="BF73" s="67"/>
      <c r="BG73" s="67"/>
      <c r="BH73" s="67"/>
      <c r="BI73" s="61"/>
      <c r="BJ73" s="67"/>
      <c r="BK73" s="69"/>
      <c r="BM73" s="9">
        <f t="shared" si="1"/>
        <v>16</v>
      </c>
    </row>
    <row r="74" spans="1:65" ht="15" customHeight="1" x14ac:dyDescent="0.25">
      <c r="A74" s="66"/>
      <c r="B74" s="68"/>
      <c r="C74" s="67"/>
      <c r="D74" s="67"/>
      <c r="E74" s="67"/>
      <c r="F74" s="67"/>
      <c r="G74" s="67"/>
      <c r="H74" s="67"/>
      <c r="I74" s="67"/>
      <c r="J74" s="67"/>
      <c r="K74" s="61"/>
      <c r="L74" s="68"/>
      <c r="M74" s="67"/>
      <c r="N74" s="67"/>
      <c r="O74" s="67"/>
      <c r="P74" s="67"/>
      <c r="Q74" s="67"/>
      <c r="R74" s="67"/>
      <c r="S74" s="67"/>
      <c r="T74" s="61"/>
      <c r="U74" s="68"/>
      <c r="V74" s="67"/>
      <c r="W74" s="67"/>
      <c r="X74" s="67"/>
      <c r="Y74" s="67"/>
      <c r="Z74" s="67"/>
      <c r="AA74" s="67"/>
      <c r="AB74" s="67"/>
      <c r="AC74" s="61"/>
      <c r="AD74" s="68"/>
      <c r="AE74" s="67"/>
      <c r="AF74" s="67"/>
      <c r="AG74" s="67"/>
      <c r="AH74" s="67"/>
      <c r="AI74" s="67"/>
      <c r="AJ74" s="67"/>
      <c r="AK74" s="67"/>
      <c r="AL74" s="61"/>
      <c r="AM74" s="68"/>
      <c r="AN74" s="67"/>
      <c r="AO74" s="67"/>
      <c r="AP74" s="67"/>
      <c r="AQ74" s="67"/>
      <c r="AR74" s="67"/>
      <c r="AS74" s="67"/>
      <c r="AT74" s="67"/>
      <c r="AU74" s="67"/>
      <c r="AV74" s="67"/>
      <c r="AW74" s="67"/>
      <c r="AX74" s="67"/>
      <c r="AY74" s="67"/>
      <c r="AZ74" s="67"/>
      <c r="BA74" s="67"/>
      <c r="BB74" s="67"/>
      <c r="BC74" s="67"/>
      <c r="BD74" s="67"/>
      <c r="BE74" s="67"/>
      <c r="BF74" s="67"/>
      <c r="BG74" s="67"/>
      <c r="BH74" s="67"/>
      <c r="BI74" s="61"/>
      <c r="BJ74" s="67"/>
      <c r="BK74" s="69"/>
      <c r="BM74" s="9">
        <f t="shared" si="1"/>
        <v>17</v>
      </c>
    </row>
    <row r="75" spans="1:65" ht="15" customHeight="1" x14ac:dyDescent="0.25">
      <c r="A75" s="66"/>
      <c r="B75" s="68"/>
      <c r="C75" s="67"/>
      <c r="D75" s="67"/>
      <c r="E75" s="67"/>
      <c r="F75" s="67"/>
      <c r="G75" s="67"/>
      <c r="H75" s="67"/>
      <c r="I75" s="67"/>
      <c r="J75" s="67"/>
      <c r="K75" s="61"/>
      <c r="L75" s="68"/>
      <c r="M75" s="67"/>
      <c r="N75" s="67"/>
      <c r="O75" s="67"/>
      <c r="P75" s="67"/>
      <c r="Q75" s="67"/>
      <c r="R75" s="67"/>
      <c r="S75" s="67"/>
      <c r="T75" s="61"/>
      <c r="U75" s="68"/>
      <c r="V75" s="67"/>
      <c r="W75" s="67"/>
      <c r="X75" s="67"/>
      <c r="Y75" s="67"/>
      <c r="Z75" s="67"/>
      <c r="AA75" s="67"/>
      <c r="AB75" s="67"/>
      <c r="AC75" s="61"/>
      <c r="AD75" s="68"/>
      <c r="AE75" s="67"/>
      <c r="AF75" s="67"/>
      <c r="AG75" s="67"/>
      <c r="AH75" s="67"/>
      <c r="AI75" s="67"/>
      <c r="AJ75" s="67"/>
      <c r="AK75" s="67"/>
      <c r="AL75" s="61"/>
      <c r="AM75" s="68"/>
      <c r="AN75" s="67"/>
      <c r="AO75" s="67"/>
      <c r="AP75" s="67"/>
      <c r="AQ75" s="67"/>
      <c r="AR75" s="67"/>
      <c r="AS75" s="67"/>
      <c r="AT75" s="67"/>
      <c r="AU75" s="67"/>
      <c r="AV75" s="67"/>
      <c r="AW75" s="67"/>
      <c r="AX75" s="67"/>
      <c r="AY75" s="67"/>
      <c r="AZ75" s="67"/>
      <c r="BA75" s="67"/>
      <c r="BB75" s="67"/>
      <c r="BC75" s="67"/>
      <c r="BD75" s="67"/>
      <c r="BE75" s="67"/>
      <c r="BF75" s="67"/>
      <c r="BG75" s="67"/>
      <c r="BH75" s="67"/>
      <c r="BI75" s="61"/>
      <c r="BJ75" s="67"/>
      <c r="BK75" s="69"/>
      <c r="BM75" s="9">
        <f t="shared" si="1"/>
        <v>18</v>
      </c>
    </row>
    <row r="76" spans="1:65" ht="15" customHeight="1" x14ac:dyDescent="0.25">
      <c r="A76" s="66"/>
      <c r="B76" s="68"/>
      <c r="C76" s="67"/>
      <c r="D76" s="67"/>
      <c r="E76" s="67"/>
      <c r="F76" s="67"/>
      <c r="G76" s="67"/>
      <c r="H76" s="67"/>
      <c r="I76" s="67"/>
      <c r="J76" s="67"/>
      <c r="K76" s="61"/>
      <c r="L76" s="68"/>
      <c r="M76" s="67"/>
      <c r="N76" s="67"/>
      <c r="O76" s="67"/>
      <c r="P76" s="67"/>
      <c r="Q76" s="67"/>
      <c r="R76" s="67"/>
      <c r="S76" s="67"/>
      <c r="T76" s="61"/>
      <c r="U76" s="68"/>
      <c r="V76" s="67"/>
      <c r="W76" s="67"/>
      <c r="X76" s="67"/>
      <c r="Y76" s="67"/>
      <c r="Z76" s="67"/>
      <c r="AA76" s="67"/>
      <c r="AB76" s="67"/>
      <c r="AC76" s="61"/>
      <c r="AD76" s="68"/>
      <c r="AE76" s="67"/>
      <c r="AF76" s="67"/>
      <c r="AG76" s="67"/>
      <c r="AH76" s="67"/>
      <c r="AI76" s="67"/>
      <c r="AJ76" s="67"/>
      <c r="AK76" s="67"/>
      <c r="AL76" s="61"/>
      <c r="AM76" s="68"/>
      <c r="AN76" s="67"/>
      <c r="AO76" s="67"/>
      <c r="AP76" s="67"/>
      <c r="AQ76" s="67"/>
      <c r="AR76" s="67"/>
      <c r="AS76" s="67"/>
      <c r="AT76" s="67"/>
      <c r="AU76" s="67"/>
      <c r="AV76" s="67"/>
      <c r="AW76" s="67"/>
      <c r="AX76" s="67"/>
      <c r="AY76" s="67"/>
      <c r="AZ76" s="67"/>
      <c r="BA76" s="67"/>
      <c r="BB76" s="67"/>
      <c r="BC76" s="67"/>
      <c r="BD76" s="67"/>
      <c r="BE76" s="67"/>
      <c r="BF76" s="67"/>
      <c r="BG76" s="67"/>
      <c r="BH76" s="67"/>
      <c r="BI76" s="61"/>
      <c r="BJ76" s="67"/>
      <c r="BK76" s="69"/>
      <c r="BM76" s="9">
        <f t="shared" si="1"/>
        <v>19</v>
      </c>
    </row>
    <row r="77" spans="1:65" ht="15" customHeight="1" x14ac:dyDescent="0.25">
      <c r="A77" s="66"/>
      <c r="B77" s="68"/>
      <c r="C77" s="67"/>
      <c r="D77" s="67"/>
      <c r="E77" s="67"/>
      <c r="F77" s="67"/>
      <c r="G77" s="67"/>
      <c r="H77" s="67"/>
      <c r="I77" s="67"/>
      <c r="J77" s="67"/>
      <c r="K77" s="61"/>
      <c r="L77" s="68"/>
      <c r="M77" s="67"/>
      <c r="N77" s="67"/>
      <c r="O77" s="67"/>
      <c r="P77" s="67"/>
      <c r="Q77" s="67"/>
      <c r="R77" s="67"/>
      <c r="S77" s="67"/>
      <c r="T77" s="61"/>
      <c r="U77" s="68"/>
      <c r="V77" s="67"/>
      <c r="W77" s="67"/>
      <c r="X77" s="67"/>
      <c r="Y77" s="67"/>
      <c r="Z77" s="67"/>
      <c r="AA77" s="67"/>
      <c r="AB77" s="67"/>
      <c r="AC77" s="61"/>
      <c r="AD77" s="68"/>
      <c r="AE77" s="67"/>
      <c r="AF77" s="67"/>
      <c r="AG77" s="67"/>
      <c r="AH77" s="67"/>
      <c r="AI77" s="67"/>
      <c r="AJ77" s="67"/>
      <c r="AK77" s="67"/>
      <c r="AL77" s="61"/>
      <c r="AM77" s="68"/>
      <c r="AN77" s="67"/>
      <c r="AO77" s="67"/>
      <c r="AP77" s="67"/>
      <c r="AQ77" s="67"/>
      <c r="AR77" s="67"/>
      <c r="AS77" s="67"/>
      <c r="AT77" s="67"/>
      <c r="AU77" s="67"/>
      <c r="AV77" s="67"/>
      <c r="AW77" s="67"/>
      <c r="AX77" s="67"/>
      <c r="AY77" s="67"/>
      <c r="AZ77" s="67"/>
      <c r="BA77" s="67"/>
      <c r="BB77" s="67"/>
      <c r="BC77" s="67"/>
      <c r="BD77" s="67"/>
      <c r="BE77" s="67"/>
      <c r="BF77" s="67"/>
      <c r="BG77" s="67"/>
      <c r="BH77" s="67"/>
      <c r="BI77" s="61"/>
      <c r="BJ77" s="67"/>
      <c r="BK77" s="69"/>
      <c r="BM77" s="9">
        <f t="shared" si="1"/>
        <v>20</v>
      </c>
    </row>
    <row r="78" spans="1:65" ht="15" customHeight="1" x14ac:dyDescent="0.25">
      <c r="A78" s="66"/>
      <c r="B78" s="68"/>
      <c r="C78" s="67"/>
      <c r="D78" s="67"/>
      <c r="E78" s="67"/>
      <c r="F78" s="67"/>
      <c r="G78" s="67"/>
      <c r="H78" s="67"/>
      <c r="I78" s="67"/>
      <c r="J78" s="67"/>
      <c r="K78" s="61"/>
      <c r="L78" s="68"/>
      <c r="M78" s="67"/>
      <c r="N78" s="67"/>
      <c r="O78" s="67"/>
      <c r="P78" s="67"/>
      <c r="Q78" s="67"/>
      <c r="R78" s="67"/>
      <c r="S78" s="67"/>
      <c r="T78" s="61"/>
      <c r="U78" s="68"/>
      <c r="V78" s="67"/>
      <c r="W78" s="67"/>
      <c r="X78" s="67"/>
      <c r="Y78" s="67"/>
      <c r="Z78" s="67"/>
      <c r="AA78" s="67"/>
      <c r="AB78" s="67"/>
      <c r="AC78" s="61"/>
      <c r="AD78" s="68"/>
      <c r="AE78" s="67"/>
      <c r="AF78" s="67"/>
      <c r="AG78" s="67"/>
      <c r="AH78" s="67"/>
      <c r="AI78" s="67"/>
      <c r="AJ78" s="67"/>
      <c r="AK78" s="67"/>
      <c r="AL78" s="61"/>
      <c r="AM78" s="68"/>
      <c r="AN78" s="67"/>
      <c r="AO78" s="67"/>
      <c r="AP78" s="67"/>
      <c r="AQ78" s="67"/>
      <c r="AR78" s="67"/>
      <c r="AS78" s="67"/>
      <c r="AT78" s="67"/>
      <c r="AU78" s="67"/>
      <c r="AV78" s="67"/>
      <c r="AW78" s="67"/>
      <c r="AX78" s="67"/>
      <c r="AY78" s="67"/>
      <c r="AZ78" s="67"/>
      <c r="BA78" s="67"/>
      <c r="BB78" s="67"/>
      <c r="BC78" s="67"/>
      <c r="BD78" s="67"/>
      <c r="BE78" s="67"/>
      <c r="BF78" s="67"/>
      <c r="BG78" s="67"/>
      <c r="BH78" s="67"/>
      <c r="BI78" s="61"/>
      <c r="BJ78" s="67"/>
      <c r="BK78" s="69"/>
      <c r="BM78" s="9">
        <f t="shared" si="1"/>
        <v>21</v>
      </c>
    </row>
    <row r="79" spans="1:65" ht="15" customHeight="1" x14ac:dyDescent="0.25">
      <c r="A79" s="66"/>
      <c r="B79" s="68"/>
      <c r="C79" s="67"/>
      <c r="D79" s="67"/>
      <c r="E79" s="67"/>
      <c r="F79" s="67"/>
      <c r="G79" s="67"/>
      <c r="H79" s="67"/>
      <c r="I79" s="67"/>
      <c r="J79" s="67"/>
      <c r="K79" s="61"/>
      <c r="L79" s="68"/>
      <c r="M79" s="67"/>
      <c r="N79" s="67"/>
      <c r="O79" s="67"/>
      <c r="P79" s="67"/>
      <c r="Q79" s="67"/>
      <c r="R79" s="67"/>
      <c r="S79" s="67"/>
      <c r="T79" s="61"/>
      <c r="U79" s="68"/>
      <c r="V79" s="67"/>
      <c r="W79" s="67"/>
      <c r="X79" s="67"/>
      <c r="Y79" s="67"/>
      <c r="Z79" s="67"/>
      <c r="AA79" s="67"/>
      <c r="AB79" s="67"/>
      <c r="AC79" s="61"/>
      <c r="AD79" s="68"/>
      <c r="AE79" s="67"/>
      <c r="AF79" s="67"/>
      <c r="AG79" s="67"/>
      <c r="AH79" s="67"/>
      <c r="AI79" s="67"/>
      <c r="AJ79" s="67"/>
      <c r="AK79" s="67"/>
      <c r="AL79" s="61"/>
      <c r="AM79" s="68"/>
      <c r="AN79" s="67"/>
      <c r="AO79" s="67"/>
      <c r="AP79" s="67"/>
      <c r="AQ79" s="67"/>
      <c r="AR79" s="67"/>
      <c r="AS79" s="67"/>
      <c r="AT79" s="67"/>
      <c r="AU79" s="67"/>
      <c r="AV79" s="67"/>
      <c r="AW79" s="67"/>
      <c r="AX79" s="67"/>
      <c r="AY79" s="67"/>
      <c r="AZ79" s="67"/>
      <c r="BA79" s="67"/>
      <c r="BB79" s="67"/>
      <c r="BC79" s="67"/>
      <c r="BD79" s="67"/>
      <c r="BE79" s="67"/>
      <c r="BF79" s="67"/>
      <c r="BG79" s="67"/>
      <c r="BH79" s="67"/>
      <c r="BI79" s="61"/>
      <c r="BJ79" s="67"/>
      <c r="BK79" s="69"/>
      <c r="BM79" s="9">
        <f t="shared" si="1"/>
        <v>22</v>
      </c>
    </row>
    <row r="80" spans="1:65" ht="15" customHeight="1" x14ac:dyDescent="0.25">
      <c r="A80" s="66"/>
      <c r="B80" s="68"/>
      <c r="C80" s="67"/>
      <c r="D80" s="67"/>
      <c r="E80" s="67"/>
      <c r="F80" s="67"/>
      <c r="G80" s="67"/>
      <c r="H80" s="67"/>
      <c r="I80" s="67"/>
      <c r="J80" s="67"/>
      <c r="K80" s="61"/>
      <c r="L80" s="68"/>
      <c r="M80" s="67"/>
      <c r="N80" s="67"/>
      <c r="O80" s="67"/>
      <c r="P80" s="67"/>
      <c r="Q80" s="67"/>
      <c r="R80" s="67"/>
      <c r="S80" s="67"/>
      <c r="T80" s="61"/>
      <c r="U80" s="68"/>
      <c r="V80" s="67"/>
      <c r="W80" s="67"/>
      <c r="X80" s="67"/>
      <c r="Y80" s="67"/>
      <c r="Z80" s="67"/>
      <c r="AA80" s="67"/>
      <c r="AB80" s="67"/>
      <c r="AC80" s="61"/>
      <c r="AD80" s="68"/>
      <c r="AE80" s="67"/>
      <c r="AF80" s="67"/>
      <c r="AG80" s="67"/>
      <c r="AH80" s="67"/>
      <c r="AI80" s="67"/>
      <c r="AJ80" s="67"/>
      <c r="AK80" s="67"/>
      <c r="AL80" s="61"/>
      <c r="AM80" s="68"/>
      <c r="AN80" s="67"/>
      <c r="AO80" s="67"/>
      <c r="AP80" s="67"/>
      <c r="AQ80" s="67"/>
      <c r="AR80" s="67"/>
      <c r="AS80" s="67"/>
      <c r="AT80" s="67"/>
      <c r="AU80" s="67"/>
      <c r="AV80" s="67"/>
      <c r="AW80" s="67"/>
      <c r="AX80" s="67"/>
      <c r="AY80" s="67"/>
      <c r="AZ80" s="67"/>
      <c r="BA80" s="67"/>
      <c r="BB80" s="67"/>
      <c r="BC80" s="67"/>
      <c r="BD80" s="67"/>
      <c r="BE80" s="67"/>
      <c r="BF80" s="67"/>
      <c r="BG80" s="67"/>
      <c r="BH80" s="67"/>
      <c r="BI80" s="61"/>
      <c r="BJ80" s="67"/>
      <c r="BK80" s="69"/>
      <c r="BM80" s="9">
        <f t="shared" si="1"/>
        <v>23</v>
      </c>
    </row>
    <row r="81" spans="1:65" ht="15" customHeight="1" x14ac:dyDescent="0.25">
      <c r="A81" s="66"/>
      <c r="B81" s="68"/>
      <c r="C81" s="67"/>
      <c r="D81" s="67"/>
      <c r="E81" s="67"/>
      <c r="F81" s="67"/>
      <c r="G81" s="67"/>
      <c r="H81" s="67"/>
      <c r="I81" s="67"/>
      <c r="J81" s="67"/>
      <c r="K81" s="61"/>
      <c r="L81" s="68"/>
      <c r="M81" s="67"/>
      <c r="N81" s="67"/>
      <c r="O81" s="67"/>
      <c r="P81" s="67"/>
      <c r="Q81" s="67"/>
      <c r="R81" s="67"/>
      <c r="S81" s="67"/>
      <c r="T81" s="61"/>
      <c r="U81" s="68"/>
      <c r="V81" s="67"/>
      <c r="W81" s="67"/>
      <c r="X81" s="67"/>
      <c r="Y81" s="67"/>
      <c r="Z81" s="67"/>
      <c r="AA81" s="67"/>
      <c r="AB81" s="67"/>
      <c r="AC81" s="61"/>
      <c r="AD81" s="68"/>
      <c r="AE81" s="67"/>
      <c r="AF81" s="67"/>
      <c r="AG81" s="67"/>
      <c r="AH81" s="67"/>
      <c r="AI81" s="67"/>
      <c r="AJ81" s="67"/>
      <c r="AK81" s="67"/>
      <c r="AL81" s="61"/>
      <c r="AM81" s="68"/>
      <c r="AN81" s="67"/>
      <c r="AO81" s="67"/>
      <c r="AP81" s="67"/>
      <c r="AQ81" s="67"/>
      <c r="AR81" s="67"/>
      <c r="AS81" s="67"/>
      <c r="AT81" s="67"/>
      <c r="AU81" s="67"/>
      <c r="AV81" s="67"/>
      <c r="AW81" s="67"/>
      <c r="AX81" s="67"/>
      <c r="AY81" s="67"/>
      <c r="AZ81" s="67"/>
      <c r="BA81" s="67"/>
      <c r="BB81" s="67"/>
      <c r="BC81" s="67"/>
      <c r="BD81" s="67"/>
      <c r="BE81" s="67"/>
      <c r="BF81" s="67"/>
      <c r="BG81" s="67"/>
      <c r="BH81" s="67"/>
      <c r="BI81" s="61"/>
      <c r="BJ81" s="67"/>
      <c r="BK81" s="69"/>
      <c r="BM81" s="9">
        <f t="shared" si="1"/>
        <v>24</v>
      </c>
    </row>
    <row r="82" spans="1:65" ht="15" customHeight="1" x14ac:dyDescent="0.25">
      <c r="A82" s="66"/>
      <c r="B82" s="68"/>
      <c r="C82" s="67"/>
      <c r="D82" s="67"/>
      <c r="E82" s="67"/>
      <c r="F82" s="67"/>
      <c r="G82" s="67"/>
      <c r="H82" s="67"/>
      <c r="I82" s="67"/>
      <c r="J82" s="67"/>
      <c r="K82" s="61"/>
      <c r="L82" s="68"/>
      <c r="M82" s="67"/>
      <c r="N82" s="67"/>
      <c r="O82" s="67"/>
      <c r="P82" s="67"/>
      <c r="Q82" s="67"/>
      <c r="R82" s="67"/>
      <c r="S82" s="67"/>
      <c r="T82" s="61"/>
      <c r="U82" s="68"/>
      <c r="V82" s="67"/>
      <c r="W82" s="67"/>
      <c r="X82" s="67"/>
      <c r="Y82" s="67"/>
      <c r="Z82" s="67"/>
      <c r="AA82" s="67"/>
      <c r="AB82" s="67"/>
      <c r="AC82" s="61"/>
      <c r="AD82" s="68"/>
      <c r="AE82" s="67"/>
      <c r="AF82" s="67"/>
      <c r="AG82" s="67"/>
      <c r="AH82" s="67"/>
      <c r="AI82" s="67"/>
      <c r="AJ82" s="67"/>
      <c r="AK82" s="67"/>
      <c r="AL82" s="61"/>
      <c r="AM82" s="68"/>
      <c r="AN82" s="67"/>
      <c r="AO82" s="67"/>
      <c r="AP82" s="67"/>
      <c r="AQ82" s="67"/>
      <c r="AR82" s="67"/>
      <c r="AS82" s="67"/>
      <c r="AT82" s="67"/>
      <c r="AU82" s="67"/>
      <c r="AV82" s="67"/>
      <c r="AW82" s="67"/>
      <c r="AX82" s="67"/>
      <c r="AY82" s="67"/>
      <c r="AZ82" s="67"/>
      <c r="BA82" s="67"/>
      <c r="BB82" s="67"/>
      <c r="BC82" s="67"/>
      <c r="BD82" s="67"/>
      <c r="BE82" s="67"/>
      <c r="BF82" s="67"/>
      <c r="BG82" s="67"/>
      <c r="BH82" s="67"/>
      <c r="BI82" s="61"/>
      <c r="BJ82" s="67"/>
      <c r="BK82" s="69"/>
      <c r="BM82" s="9">
        <f t="shared" si="1"/>
        <v>25</v>
      </c>
    </row>
    <row r="83" spans="1:65" ht="15" customHeight="1" x14ac:dyDescent="0.25">
      <c r="A83" s="66"/>
      <c r="B83" s="68"/>
      <c r="C83" s="67"/>
      <c r="D83" s="67"/>
      <c r="E83" s="67"/>
      <c r="F83" s="67"/>
      <c r="G83" s="67"/>
      <c r="H83" s="67"/>
      <c r="I83" s="67"/>
      <c r="J83" s="67"/>
      <c r="K83" s="61"/>
      <c r="L83" s="68"/>
      <c r="M83" s="67"/>
      <c r="N83" s="67"/>
      <c r="O83" s="67"/>
      <c r="P83" s="67"/>
      <c r="Q83" s="67"/>
      <c r="R83" s="67"/>
      <c r="S83" s="67"/>
      <c r="T83" s="61"/>
      <c r="U83" s="68"/>
      <c r="V83" s="67"/>
      <c r="W83" s="67"/>
      <c r="X83" s="67"/>
      <c r="Y83" s="67"/>
      <c r="Z83" s="67"/>
      <c r="AA83" s="67"/>
      <c r="AB83" s="67"/>
      <c r="AC83" s="61"/>
      <c r="AD83" s="68"/>
      <c r="AE83" s="67"/>
      <c r="AF83" s="67"/>
      <c r="AG83" s="67"/>
      <c r="AH83" s="67"/>
      <c r="AI83" s="67"/>
      <c r="AJ83" s="67"/>
      <c r="AK83" s="67"/>
      <c r="AL83" s="61"/>
      <c r="AM83" s="68"/>
      <c r="AN83" s="67"/>
      <c r="AO83" s="67"/>
      <c r="AP83" s="67"/>
      <c r="AQ83" s="67"/>
      <c r="AR83" s="67"/>
      <c r="AS83" s="67"/>
      <c r="AT83" s="67"/>
      <c r="AU83" s="67"/>
      <c r="AV83" s="67"/>
      <c r="AW83" s="67"/>
      <c r="AX83" s="67"/>
      <c r="AY83" s="67"/>
      <c r="AZ83" s="67"/>
      <c r="BA83" s="67"/>
      <c r="BB83" s="67"/>
      <c r="BC83" s="67"/>
      <c r="BD83" s="67"/>
      <c r="BE83" s="67"/>
      <c r="BF83" s="67"/>
      <c r="BG83" s="67"/>
      <c r="BH83" s="67"/>
      <c r="BI83" s="61"/>
      <c r="BJ83" s="67"/>
      <c r="BK83" s="69"/>
      <c r="BM83" s="9">
        <f t="shared" si="1"/>
        <v>26</v>
      </c>
    </row>
    <row r="84" spans="1:65" ht="15" customHeight="1" x14ac:dyDescent="0.25">
      <c r="A84" s="66"/>
      <c r="B84" s="68"/>
      <c r="C84" s="67"/>
      <c r="D84" s="67"/>
      <c r="E84" s="67"/>
      <c r="F84" s="67"/>
      <c r="G84" s="67"/>
      <c r="H84" s="67"/>
      <c r="I84" s="67"/>
      <c r="J84" s="67"/>
      <c r="K84" s="61"/>
      <c r="L84" s="68"/>
      <c r="M84" s="67"/>
      <c r="N84" s="67"/>
      <c r="O84" s="67"/>
      <c r="P84" s="67"/>
      <c r="Q84" s="67"/>
      <c r="R84" s="67"/>
      <c r="S84" s="67"/>
      <c r="T84" s="61"/>
      <c r="U84" s="68"/>
      <c r="V84" s="67"/>
      <c r="W84" s="67"/>
      <c r="X84" s="67"/>
      <c r="Y84" s="67"/>
      <c r="Z84" s="67"/>
      <c r="AA84" s="67"/>
      <c r="AB84" s="67"/>
      <c r="AC84" s="61"/>
      <c r="AD84" s="68"/>
      <c r="AE84" s="67"/>
      <c r="AF84" s="67"/>
      <c r="AG84" s="67"/>
      <c r="AH84" s="67"/>
      <c r="AI84" s="67"/>
      <c r="AJ84" s="67"/>
      <c r="AK84" s="67"/>
      <c r="AL84" s="61"/>
      <c r="AM84" s="68"/>
      <c r="AN84" s="67"/>
      <c r="AO84" s="67"/>
      <c r="AP84" s="67"/>
      <c r="AQ84" s="67"/>
      <c r="AR84" s="67"/>
      <c r="AS84" s="67"/>
      <c r="AT84" s="67"/>
      <c r="AU84" s="67"/>
      <c r="AV84" s="67"/>
      <c r="AW84" s="67"/>
      <c r="AX84" s="67"/>
      <c r="AY84" s="67"/>
      <c r="AZ84" s="67"/>
      <c r="BA84" s="67"/>
      <c r="BB84" s="67"/>
      <c r="BC84" s="67"/>
      <c r="BD84" s="67"/>
      <c r="BE84" s="67"/>
      <c r="BF84" s="67"/>
      <c r="BG84" s="67"/>
      <c r="BH84" s="67"/>
      <c r="BI84" s="61"/>
      <c r="BJ84" s="67"/>
      <c r="BK84" s="69"/>
      <c r="BM84" s="9">
        <f t="shared" si="1"/>
        <v>27</v>
      </c>
    </row>
    <row r="85" spans="1:65" ht="15" customHeight="1" x14ac:dyDescent="0.25">
      <c r="A85" s="66"/>
      <c r="B85" s="68"/>
      <c r="C85" s="67"/>
      <c r="D85" s="67"/>
      <c r="E85" s="67"/>
      <c r="F85" s="67"/>
      <c r="G85" s="67"/>
      <c r="H85" s="67"/>
      <c r="I85" s="67"/>
      <c r="J85" s="67"/>
      <c r="K85" s="61"/>
      <c r="L85" s="68"/>
      <c r="M85" s="67"/>
      <c r="N85" s="67"/>
      <c r="O85" s="67"/>
      <c r="P85" s="67"/>
      <c r="Q85" s="67"/>
      <c r="R85" s="67"/>
      <c r="S85" s="67"/>
      <c r="T85" s="61"/>
      <c r="U85" s="68"/>
      <c r="V85" s="67"/>
      <c r="W85" s="67"/>
      <c r="X85" s="67"/>
      <c r="Y85" s="67"/>
      <c r="Z85" s="67"/>
      <c r="AA85" s="67"/>
      <c r="AB85" s="67"/>
      <c r="AC85" s="61"/>
      <c r="AD85" s="68"/>
      <c r="AE85" s="67"/>
      <c r="AF85" s="67"/>
      <c r="AG85" s="67"/>
      <c r="AH85" s="67"/>
      <c r="AI85" s="67"/>
      <c r="AJ85" s="67"/>
      <c r="AK85" s="67"/>
      <c r="AL85" s="61"/>
      <c r="AM85" s="68"/>
      <c r="AN85" s="67"/>
      <c r="AO85" s="67"/>
      <c r="AP85" s="67"/>
      <c r="AQ85" s="67"/>
      <c r="AR85" s="67"/>
      <c r="AS85" s="67"/>
      <c r="AT85" s="67"/>
      <c r="AU85" s="67"/>
      <c r="AV85" s="67"/>
      <c r="AW85" s="67"/>
      <c r="AX85" s="67"/>
      <c r="AY85" s="67"/>
      <c r="AZ85" s="67"/>
      <c r="BA85" s="67"/>
      <c r="BB85" s="67"/>
      <c r="BC85" s="67"/>
      <c r="BD85" s="67"/>
      <c r="BE85" s="67"/>
      <c r="BF85" s="67"/>
      <c r="BG85" s="67"/>
      <c r="BH85" s="67"/>
      <c r="BI85" s="61"/>
      <c r="BJ85" s="67"/>
      <c r="BK85" s="69"/>
      <c r="BM85" s="9">
        <f t="shared" si="1"/>
        <v>28</v>
      </c>
    </row>
    <row r="86" spans="1:65" ht="15" customHeight="1" x14ac:dyDescent="0.25">
      <c r="A86" s="66"/>
      <c r="B86" s="68"/>
      <c r="C86" s="67"/>
      <c r="D86" s="67"/>
      <c r="E86" s="67"/>
      <c r="F86" s="67"/>
      <c r="G86" s="67"/>
      <c r="H86" s="67"/>
      <c r="I86" s="67"/>
      <c r="J86" s="67"/>
      <c r="K86" s="61"/>
      <c r="L86" s="68"/>
      <c r="M86" s="67"/>
      <c r="N86" s="67"/>
      <c r="O86" s="67"/>
      <c r="P86" s="67"/>
      <c r="Q86" s="67"/>
      <c r="R86" s="67"/>
      <c r="S86" s="67"/>
      <c r="T86" s="61"/>
      <c r="U86" s="68"/>
      <c r="V86" s="67"/>
      <c r="W86" s="67"/>
      <c r="X86" s="67"/>
      <c r="Y86" s="67"/>
      <c r="Z86" s="67"/>
      <c r="AA86" s="67"/>
      <c r="AB86" s="67"/>
      <c r="AC86" s="61"/>
      <c r="AD86" s="68"/>
      <c r="AE86" s="67"/>
      <c r="AF86" s="67"/>
      <c r="AG86" s="67"/>
      <c r="AH86" s="67"/>
      <c r="AI86" s="67"/>
      <c r="AJ86" s="67"/>
      <c r="AK86" s="67"/>
      <c r="AL86" s="61"/>
      <c r="AM86" s="68"/>
      <c r="AN86" s="67"/>
      <c r="AO86" s="67"/>
      <c r="AP86" s="67"/>
      <c r="AQ86" s="67"/>
      <c r="AR86" s="67"/>
      <c r="AS86" s="67"/>
      <c r="AT86" s="67"/>
      <c r="AU86" s="67"/>
      <c r="AV86" s="67"/>
      <c r="AW86" s="67"/>
      <c r="AX86" s="67"/>
      <c r="AY86" s="67"/>
      <c r="AZ86" s="67"/>
      <c r="BA86" s="67"/>
      <c r="BB86" s="67"/>
      <c r="BC86" s="67"/>
      <c r="BD86" s="67"/>
      <c r="BE86" s="67"/>
      <c r="BF86" s="67"/>
      <c r="BG86" s="67"/>
      <c r="BH86" s="67"/>
      <c r="BI86" s="61"/>
      <c r="BJ86" s="67"/>
      <c r="BK86" s="69"/>
      <c r="BM86" s="9">
        <f t="shared" si="1"/>
        <v>29</v>
      </c>
    </row>
    <row r="87" spans="1:65" ht="15" customHeight="1" x14ac:dyDescent="0.25">
      <c r="A87" s="66"/>
      <c r="B87" s="68"/>
      <c r="C87" s="67"/>
      <c r="D87" s="67"/>
      <c r="E87" s="67"/>
      <c r="F87" s="67"/>
      <c r="G87" s="67"/>
      <c r="H87" s="67"/>
      <c r="I87" s="67"/>
      <c r="J87" s="67"/>
      <c r="K87" s="61"/>
      <c r="L87" s="68"/>
      <c r="M87" s="67"/>
      <c r="N87" s="67"/>
      <c r="O87" s="67"/>
      <c r="P87" s="67"/>
      <c r="Q87" s="67"/>
      <c r="R87" s="67"/>
      <c r="S87" s="67"/>
      <c r="T87" s="61"/>
      <c r="U87" s="68"/>
      <c r="V87" s="67"/>
      <c r="W87" s="67"/>
      <c r="X87" s="67"/>
      <c r="Y87" s="67"/>
      <c r="Z87" s="67"/>
      <c r="AA87" s="67"/>
      <c r="AB87" s="67"/>
      <c r="AC87" s="61"/>
      <c r="AD87" s="68"/>
      <c r="AE87" s="67"/>
      <c r="AF87" s="67"/>
      <c r="AG87" s="67"/>
      <c r="AH87" s="67"/>
      <c r="AI87" s="67"/>
      <c r="AJ87" s="67"/>
      <c r="AK87" s="67"/>
      <c r="AL87" s="61"/>
      <c r="AM87" s="68"/>
      <c r="AN87" s="67"/>
      <c r="AO87" s="67"/>
      <c r="AP87" s="67"/>
      <c r="AQ87" s="67"/>
      <c r="AR87" s="67"/>
      <c r="AS87" s="67"/>
      <c r="AT87" s="67"/>
      <c r="AU87" s="67"/>
      <c r="AV87" s="67"/>
      <c r="AW87" s="67"/>
      <c r="AX87" s="67"/>
      <c r="AY87" s="67"/>
      <c r="AZ87" s="67"/>
      <c r="BA87" s="67"/>
      <c r="BB87" s="67"/>
      <c r="BC87" s="67"/>
      <c r="BD87" s="67"/>
      <c r="BE87" s="67"/>
      <c r="BF87" s="67"/>
      <c r="BG87" s="67"/>
      <c r="BH87" s="67"/>
      <c r="BI87" s="61"/>
      <c r="BJ87" s="67"/>
      <c r="BK87" s="69"/>
      <c r="BM87" s="9">
        <f t="shared" si="1"/>
        <v>30</v>
      </c>
    </row>
    <row r="88" spans="1:65" ht="15" customHeight="1" x14ac:dyDescent="0.25">
      <c r="A88" s="66"/>
      <c r="B88" s="68"/>
      <c r="C88" s="67"/>
      <c r="D88" s="67"/>
      <c r="E88" s="67"/>
      <c r="F88" s="67"/>
      <c r="G88" s="67"/>
      <c r="H88" s="67"/>
      <c r="I88" s="67"/>
      <c r="J88" s="67"/>
      <c r="K88" s="61"/>
      <c r="L88" s="68"/>
      <c r="M88" s="67"/>
      <c r="N88" s="67"/>
      <c r="O88" s="67"/>
      <c r="P88" s="67"/>
      <c r="Q88" s="67"/>
      <c r="R88" s="67"/>
      <c r="S88" s="67"/>
      <c r="T88" s="61"/>
      <c r="U88" s="68"/>
      <c r="V88" s="67"/>
      <c r="W88" s="67"/>
      <c r="X88" s="67"/>
      <c r="Y88" s="67"/>
      <c r="Z88" s="67"/>
      <c r="AA88" s="67"/>
      <c r="AB88" s="67"/>
      <c r="AC88" s="61"/>
      <c r="AD88" s="68"/>
      <c r="AE88" s="67"/>
      <c r="AF88" s="67"/>
      <c r="AG88" s="67"/>
      <c r="AH88" s="67"/>
      <c r="AI88" s="67"/>
      <c r="AJ88" s="67"/>
      <c r="AK88" s="67"/>
      <c r="AL88" s="61"/>
      <c r="AM88" s="68"/>
      <c r="AN88" s="67"/>
      <c r="AO88" s="67"/>
      <c r="AP88" s="67"/>
      <c r="AQ88" s="67"/>
      <c r="AR88" s="67"/>
      <c r="AS88" s="67"/>
      <c r="AT88" s="67"/>
      <c r="AU88" s="67"/>
      <c r="AV88" s="67"/>
      <c r="AW88" s="67"/>
      <c r="AX88" s="67"/>
      <c r="AY88" s="67"/>
      <c r="AZ88" s="67"/>
      <c r="BA88" s="67"/>
      <c r="BB88" s="67"/>
      <c r="BC88" s="67"/>
      <c r="BD88" s="67"/>
      <c r="BE88" s="67"/>
      <c r="BF88" s="67"/>
      <c r="BG88" s="67"/>
      <c r="BH88" s="67"/>
      <c r="BI88" s="61"/>
      <c r="BJ88" s="67"/>
      <c r="BK88" s="69"/>
      <c r="BM88" s="9">
        <f t="shared" si="1"/>
        <v>31</v>
      </c>
    </row>
    <row r="89" spans="1:65" ht="15" customHeight="1" x14ac:dyDescent="0.25">
      <c r="A89" s="66"/>
      <c r="B89" s="68"/>
      <c r="C89" s="67"/>
      <c r="D89" s="67"/>
      <c r="E89" s="67"/>
      <c r="F89" s="67"/>
      <c r="G89" s="67"/>
      <c r="H89" s="67"/>
      <c r="I89" s="67"/>
      <c r="J89" s="67"/>
      <c r="K89" s="61"/>
      <c r="L89" s="68"/>
      <c r="M89" s="67"/>
      <c r="N89" s="67"/>
      <c r="O89" s="67"/>
      <c r="P89" s="67"/>
      <c r="Q89" s="67"/>
      <c r="R89" s="67"/>
      <c r="S89" s="67"/>
      <c r="T89" s="61"/>
      <c r="U89" s="68"/>
      <c r="V89" s="67"/>
      <c r="W89" s="67"/>
      <c r="X89" s="67"/>
      <c r="Y89" s="67"/>
      <c r="Z89" s="67"/>
      <c r="AA89" s="67"/>
      <c r="AB89" s="67"/>
      <c r="AC89" s="61"/>
      <c r="AD89" s="68"/>
      <c r="AE89" s="67"/>
      <c r="AF89" s="67"/>
      <c r="AG89" s="67"/>
      <c r="AH89" s="67"/>
      <c r="AI89" s="67"/>
      <c r="AJ89" s="67"/>
      <c r="AK89" s="67"/>
      <c r="AL89" s="61"/>
      <c r="AM89" s="68"/>
      <c r="AN89" s="67"/>
      <c r="AO89" s="67"/>
      <c r="AP89" s="67"/>
      <c r="AQ89" s="67"/>
      <c r="AR89" s="67"/>
      <c r="AS89" s="67"/>
      <c r="AT89" s="67"/>
      <c r="AU89" s="67"/>
      <c r="AV89" s="67"/>
      <c r="AW89" s="67"/>
      <c r="AX89" s="67"/>
      <c r="AY89" s="67"/>
      <c r="AZ89" s="67"/>
      <c r="BA89" s="67"/>
      <c r="BB89" s="67"/>
      <c r="BC89" s="67"/>
      <c r="BD89" s="67"/>
      <c r="BE89" s="67"/>
      <c r="BF89" s="67"/>
      <c r="BG89" s="67"/>
      <c r="BH89" s="67"/>
      <c r="BI89" s="61"/>
      <c r="BJ89" s="67"/>
      <c r="BK89" s="69"/>
      <c r="BM89" s="9">
        <f t="shared" si="1"/>
        <v>32</v>
      </c>
    </row>
    <row r="90" spans="1:65" ht="15" customHeight="1" x14ac:dyDescent="0.25">
      <c r="A90" s="66"/>
      <c r="B90" s="68"/>
      <c r="C90" s="67"/>
      <c r="D90" s="67"/>
      <c r="E90" s="67"/>
      <c r="F90" s="67"/>
      <c r="G90" s="67"/>
      <c r="H90" s="67"/>
      <c r="I90" s="67"/>
      <c r="J90" s="67"/>
      <c r="K90" s="61"/>
      <c r="L90" s="68"/>
      <c r="M90" s="67"/>
      <c r="N90" s="67"/>
      <c r="O90" s="67"/>
      <c r="P90" s="67"/>
      <c r="Q90" s="67"/>
      <c r="R90" s="67"/>
      <c r="S90" s="67"/>
      <c r="T90" s="61"/>
      <c r="U90" s="68"/>
      <c r="V90" s="67"/>
      <c r="W90" s="67"/>
      <c r="X90" s="67"/>
      <c r="Y90" s="67"/>
      <c r="Z90" s="67"/>
      <c r="AA90" s="67"/>
      <c r="AB90" s="67"/>
      <c r="AC90" s="61"/>
      <c r="AD90" s="68"/>
      <c r="AE90" s="67"/>
      <c r="AF90" s="67"/>
      <c r="AG90" s="67"/>
      <c r="AH90" s="67"/>
      <c r="AI90" s="67"/>
      <c r="AJ90" s="67"/>
      <c r="AK90" s="67"/>
      <c r="AL90" s="61"/>
      <c r="AM90" s="68"/>
      <c r="AN90" s="67"/>
      <c r="AO90" s="67"/>
      <c r="AP90" s="67"/>
      <c r="AQ90" s="67"/>
      <c r="AR90" s="67"/>
      <c r="AS90" s="67"/>
      <c r="AT90" s="67"/>
      <c r="AU90" s="67"/>
      <c r="AV90" s="67"/>
      <c r="AW90" s="67"/>
      <c r="AX90" s="67"/>
      <c r="AY90" s="67"/>
      <c r="AZ90" s="67"/>
      <c r="BA90" s="67"/>
      <c r="BB90" s="67"/>
      <c r="BC90" s="67"/>
      <c r="BD90" s="67"/>
      <c r="BE90" s="67"/>
      <c r="BF90" s="67"/>
      <c r="BG90" s="67"/>
      <c r="BH90" s="67"/>
      <c r="BI90" s="61"/>
      <c r="BJ90" s="67"/>
      <c r="BK90" s="69"/>
      <c r="BM90" s="9">
        <f t="shared" si="1"/>
        <v>33</v>
      </c>
    </row>
    <row r="91" spans="1:65" ht="15" customHeight="1" x14ac:dyDescent="0.25">
      <c r="A91" s="66"/>
      <c r="B91" s="68"/>
      <c r="C91" s="67"/>
      <c r="D91" s="67"/>
      <c r="E91" s="67"/>
      <c r="F91" s="67"/>
      <c r="G91" s="67"/>
      <c r="H91" s="67"/>
      <c r="I91" s="67"/>
      <c r="J91" s="67"/>
      <c r="K91" s="61"/>
      <c r="L91" s="68"/>
      <c r="M91" s="67"/>
      <c r="N91" s="67"/>
      <c r="O91" s="67"/>
      <c r="P91" s="67"/>
      <c r="Q91" s="67"/>
      <c r="R91" s="67"/>
      <c r="S91" s="67"/>
      <c r="T91" s="61"/>
      <c r="U91" s="68"/>
      <c r="V91" s="67"/>
      <c r="W91" s="67"/>
      <c r="X91" s="67"/>
      <c r="Y91" s="67"/>
      <c r="Z91" s="67"/>
      <c r="AA91" s="67"/>
      <c r="AB91" s="67"/>
      <c r="AC91" s="61"/>
      <c r="AD91" s="68"/>
      <c r="AE91" s="67"/>
      <c r="AF91" s="67"/>
      <c r="AG91" s="67"/>
      <c r="AH91" s="67"/>
      <c r="AI91" s="67"/>
      <c r="AJ91" s="67"/>
      <c r="AK91" s="67"/>
      <c r="AL91" s="61"/>
      <c r="AM91" s="68"/>
      <c r="AN91" s="67"/>
      <c r="AO91" s="67"/>
      <c r="AP91" s="67"/>
      <c r="AQ91" s="67"/>
      <c r="AR91" s="67"/>
      <c r="AS91" s="67"/>
      <c r="AT91" s="67"/>
      <c r="AU91" s="67"/>
      <c r="AV91" s="67"/>
      <c r="AW91" s="67"/>
      <c r="AX91" s="67"/>
      <c r="AY91" s="67"/>
      <c r="AZ91" s="67"/>
      <c r="BA91" s="67"/>
      <c r="BB91" s="67"/>
      <c r="BC91" s="67"/>
      <c r="BD91" s="67"/>
      <c r="BE91" s="67"/>
      <c r="BF91" s="67"/>
      <c r="BG91" s="67"/>
      <c r="BH91" s="67"/>
      <c r="BI91" s="61"/>
      <c r="BJ91" s="67"/>
      <c r="BK91" s="69"/>
      <c r="BM91" s="9">
        <f t="shared" si="1"/>
        <v>34</v>
      </c>
    </row>
    <row r="92" spans="1:65" ht="15" customHeight="1" x14ac:dyDescent="0.25">
      <c r="A92" s="66"/>
      <c r="B92" s="68"/>
      <c r="C92" s="67"/>
      <c r="D92" s="67"/>
      <c r="E92" s="67"/>
      <c r="F92" s="67"/>
      <c r="G92" s="67"/>
      <c r="H92" s="67"/>
      <c r="I92" s="67"/>
      <c r="J92" s="67"/>
      <c r="K92" s="61"/>
      <c r="L92" s="68"/>
      <c r="M92" s="67"/>
      <c r="N92" s="67"/>
      <c r="O92" s="67"/>
      <c r="P92" s="67"/>
      <c r="Q92" s="67"/>
      <c r="R92" s="67"/>
      <c r="S92" s="67"/>
      <c r="T92" s="61"/>
      <c r="U92" s="68"/>
      <c r="V92" s="67"/>
      <c r="W92" s="67"/>
      <c r="X92" s="67"/>
      <c r="Y92" s="67"/>
      <c r="Z92" s="67"/>
      <c r="AA92" s="67"/>
      <c r="AB92" s="67"/>
      <c r="AC92" s="61"/>
      <c r="AD92" s="68"/>
      <c r="AE92" s="67"/>
      <c r="AF92" s="67"/>
      <c r="AG92" s="67"/>
      <c r="AH92" s="67"/>
      <c r="AI92" s="67"/>
      <c r="AJ92" s="67"/>
      <c r="AK92" s="67"/>
      <c r="AL92" s="61"/>
      <c r="AM92" s="68"/>
      <c r="AN92" s="67"/>
      <c r="AO92" s="67"/>
      <c r="AP92" s="67"/>
      <c r="AQ92" s="67"/>
      <c r="AR92" s="67"/>
      <c r="AS92" s="67"/>
      <c r="AT92" s="67"/>
      <c r="AU92" s="67"/>
      <c r="AV92" s="67"/>
      <c r="AW92" s="67"/>
      <c r="AX92" s="67"/>
      <c r="AY92" s="67"/>
      <c r="AZ92" s="67"/>
      <c r="BA92" s="67"/>
      <c r="BB92" s="67"/>
      <c r="BC92" s="67"/>
      <c r="BD92" s="67"/>
      <c r="BE92" s="67"/>
      <c r="BF92" s="67"/>
      <c r="BG92" s="67"/>
      <c r="BH92" s="67"/>
      <c r="BI92" s="61"/>
      <c r="BJ92" s="67"/>
      <c r="BK92" s="69"/>
      <c r="BM92" s="9">
        <f t="shared" si="1"/>
        <v>35</v>
      </c>
    </row>
    <row r="93" spans="1:65" ht="15" customHeight="1" x14ac:dyDescent="0.25">
      <c r="A93" s="66"/>
      <c r="B93" s="68"/>
      <c r="C93" s="67"/>
      <c r="D93" s="67"/>
      <c r="E93" s="67"/>
      <c r="F93" s="67"/>
      <c r="G93" s="67"/>
      <c r="H93" s="67"/>
      <c r="I93" s="67"/>
      <c r="J93" s="67"/>
      <c r="K93" s="61"/>
      <c r="L93" s="68"/>
      <c r="M93" s="67"/>
      <c r="N93" s="67"/>
      <c r="O93" s="67"/>
      <c r="P93" s="67"/>
      <c r="Q93" s="67"/>
      <c r="R93" s="67"/>
      <c r="S93" s="67"/>
      <c r="T93" s="61"/>
      <c r="U93" s="68"/>
      <c r="V93" s="67"/>
      <c r="W93" s="67"/>
      <c r="X93" s="67"/>
      <c r="Y93" s="67"/>
      <c r="Z93" s="67"/>
      <c r="AA93" s="67"/>
      <c r="AB93" s="67"/>
      <c r="AC93" s="61"/>
      <c r="AD93" s="68"/>
      <c r="AE93" s="67"/>
      <c r="AF93" s="67"/>
      <c r="AG93" s="67"/>
      <c r="AH93" s="67"/>
      <c r="AI93" s="67"/>
      <c r="AJ93" s="67"/>
      <c r="AK93" s="67"/>
      <c r="AL93" s="61"/>
      <c r="AM93" s="68"/>
      <c r="AN93" s="67"/>
      <c r="AO93" s="67"/>
      <c r="AP93" s="67"/>
      <c r="AQ93" s="67"/>
      <c r="AR93" s="67"/>
      <c r="AS93" s="67"/>
      <c r="AT93" s="67"/>
      <c r="AU93" s="67"/>
      <c r="AV93" s="67"/>
      <c r="AW93" s="67"/>
      <c r="AX93" s="67"/>
      <c r="AY93" s="67"/>
      <c r="AZ93" s="67"/>
      <c r="BA93" s="67"/>
      <c r="BB93" s="67"/>
      <c r="BC93" s="67"/>
      <c r="BD93" s="67"/>
      <c r="BE93" s="67"/>
      <c r="BF93" s="67"/>
      <c r="BG93" s="67"/>
      <c r="BH93" s="67"/>
      <c r="BI93" s="61"/>
      <c r="BJ93" s="67"/>
      <c r="BK93" s="69"/>
      <c r="BM93" s="9">
        <f t="shared" si="1"/>
        <v>36</v>
      </c>
    </row>
    <row r="94" spans="1:65" ht="15" customHeight="1" x14ac:dyDescent="0.25">
      <c r="A94" s="66"/>
      <c r="B94" s="68"/>
      <c r="C94" s="67"/>
      <c r="D94" s="67"/>
      <c r="E94" s="67"/>
      <c r="F94" s="67"/>
      <c r="G94" s="67"/>
      <c r="H94" s="67"/>
      <c r="I94" s="67"/>
      <c r="J94" s="67"/>
      <c r="K94" s="61"/>
      <c r="L94" s="68"/>
      <c r="M94" s="67"/>
      <c r="N94" s="67"/>
      <c r="O94" s="67"/>
      <c r="P94" s="67"/>
      <c r="Q94" s="67"/>
      <c r="R94" s="67"/>
      <c r="S94" s="67"/>
      <c r="T94" s="61"/>
      <c r="U94" s="68"/>
      <c r="V94" s="67"/>
      <c r="W94" s="67"/>
      <c r="X94" s="67"/>
      <c r="Y94" s="67"/>
      <c r="Z94" s="67"/>
      <c r="AA94" s="67"/>
      <c r="AB94" s="67"/>
      <c r="AC94" s="61"/>
      <c r="AD94" s="68"/>
      <c r="AE94" s="67"/>
      <c r="AF94" s="67"/>
      <c r="AG94" s="67"/>
      <c r="AH94" s="67"/>
      <c r="AI94" s="67"/>
      <c r="AJ94" s="67"/>
      <c r="AK94" s="67"/>
      <c r="AL94" s="61"/>
      <c r="AM94" s="68"/>
      <c r="AN94" s="67"/>
      <c r="AO94" s="67"/>
      <c r="AP94" s="67"/>
      <c r="AQ94" s="67"/>
      <c r="AR94" s="67"/>
      <c r="AS94" s="67"/>
      <c r="AT94" s="67"/>
      <c r="AU94" s="67"/>
      <c r="AV94" s="67"/>
      <c r="AW94" s="67"/>
      <c r="AX94" s="67"/>
      <c r="AY94" s="67"/>
      <c r="AZ94" s="67"/>
      <c r="BA94" s="67"/>
      <c r="BB94" s="67"/>
      <c r="BC94" s="67"/>
      <c r="BD94" s="67"/>
      <c r="BE94" s="67"/>
      <c r="BF94" s="67"/>
      <c r="BG94" s="67"/>
      <c r="BH94" s="67"/>
      <c r="BI94" s="61"/>
      <c r="BJ94" s="67"/>
      <c r="BK94" s="69"/>
      <c r="BM94" s="9">
        <f t="shared" si="1"/>
        <v>37</v>
      </c>
    </row>
    <row r="95" spans="1:65" ht="15" customHeight="1" x14ac:dyDescent="0.25">
      <c r="A95" s="66"/>
      <c r="B95" s="68"/>
      <c r="C95" s="67"/>
      <c r="D95" s="67"/>
      <c r="E95" s="67"/>
      <c r="F95" s="67"/>
      <c r="G95" s="67"/>
      <c r="H95" s="67"/>
      <c r="I95" s="67"/>
      <c r="J95" s="67"/>
      <c r="K95" s="61"/>
      <c r="L95" s="68"/>
      <c r="M95" s="67"/>
      <c r="N95" s="67"/>
      <c r="O95" s="67"/>
      <c r="P95" s="67"/>
      <c r="Q95" s="67"/>
      <c r="R95" s="67"/>
      <c r="S95" s="67"/>
      <c r="T95" s="61"/>
      <c r="U95" s="68"/>
      <c r="V95" s="67"/>
      <c r="W95" s="67"/>
      <c r="X95" s="67"/>
      <c r="Y95" s="67"/>
      <c r="Z95" s="67"/>
      <c r="AA95" s="67"/>
      <c r="AB95" s="67"/>
      <c r="AC95" s="61"/>
      <c r="AD95" s="68"/>
      <c r="AE95" s="67"/>
      <c r="AF95" s="67"/>
      <c r="AG95" s="67"/>
      <c r="AH95" s="67"/>
      <c r="AI95" s="67"/>
      <c r="AJ95" s="67"/>
      <c r="AK95" s="67"/>
      <c r="AL95" s="61"/>
      <c r="AM95" s="68"/>
      <c r="AN95" s="67"/>
      <c r="AO95" s="67"/>
      <c r="AP95" s="67"/>
      <c r="AQ95" s="67"/>
      <c r="AR95" s="67"/>
      <c r="AS95" s="67"/>
      <c r="AT95" s="67"/>
      <c r="AU95" s="67"/>
      <c r="AV95" s="67"/>
      <c r="AW95" s="67"/>
      <c r="AX95" s="67"/>
      <c r="AY95" s="67"/>
      <c r="AZ95" s="67"/>
      <c r="BA95" s="67"/>
      <c r="BB95" s="67"/>
      <c r="BC95" s="67"/>
      <c r="BD95" s="67"/>
      <c r="BE95" s="67"/>
      <c r="BF95" s="67"/>
      <c r="BG95" s="67"/>
      <c r="BH95" s="67"/>
      <c r="BI95" s="61"/>
      <c r="BJ95" s="67"/>
      <c r="BK95" s="69"/>
      <c r="BM95" s="9">
        <f t="shared" si="1"/>
        <v>38</v>
      </c>
    </row>
    <row r="96" spans="1:65" ht="15" customHeight="1" x14ac:dyDescent="0.25">
      <c r="A96" s="66"/>
      <c r="B96" s="68"/>
      <c r="C96" s="67"/>
      <c r="D96" s="67"/>
      <c r="E96" s="67"/>
      <c r="F96" s="67"/>
      <c r="G96" s="67"/>
      <c r="H96" s="67"/>
      <c r="I96" s="67"/>
      <c r="J96" s="67"/>
      <c r="K96" s="61"/>
      <c r="L96" s="68"/>
      <c r="M96" s="67"/>
      <c r="N96" s="67"/>
      <c r="O96" s="67"/>
      <c r="P96" s="67"/>
      <c r="Q96" s="67"/>
      <c r="R96" s="67"/>
      <c r="S96" s="67"/>
      <c r="T96" s="61"/>
      <c r="U96" s="68"/>
      <c r="V96" s="67"/>
      <c r="W96" s="67"/>
      <c r="X96" s="67"/>
      <c r="Y96" s="67"/>
      <c r="Z96" s="67"/>
      <c r="AA96" s="67"/>
      <c r="AB96" s="67"/>
      <c r="AC96" s="61"/>
      <c r="AD96" s="68"/>
      <c r="AE96" s="67"/>
      <c r="AF96" s="67"/>
      <c r="AG96" s="67"/>
      <c r="AH96" s="67"/>
      <c r="AI96" s="67"/>
      <c r="AJ96" s="67"/>
      <c r="AK96" s="67"/>
      <c r="AL96" s="61"/>
      <c r="AM96" s="68"/>
      <c r="AN96" s="67"/>
      <c r="AO96" s="67"/>
      <c r="AP96" s="67"/>
      <c r="AQ96" s="67"/>
      <c r="AR96" s="67"/>
      <c r="AS96" s="67"/>
      <c r="AT96" s="67"/>
      <c r="AU96" s="67"/>
      <c r="AV96" s="67"/>
      <c r="AW96" s="67"/>
      <c r="AX96" s="67"/>
      <c r="AY96" s="67"/>
      <c r="AZ96" s="67"/>
      <c r="BA96" s="67"/>
      <c r="BB96" s="67"/>
      <c r="BC96" s="67"/>
      <c r="BD96" s="67"/>
      <c r="BE96" s="67"/>
      <c r="BF96" s="67"/>
      <c r="BG96" s="67"/>
      <c r="BH96" s="67"/>
      <c r="BI96" s="61"/>
      <c r="BJ96" s="67"/>
      <c r="BK96" s="69"/>
      <c r="BM96" s="9">
        <f t="shared" si="1"/>
        <v>39</v>
      </c>
    </row>
    <row r="97" spans="1:65" ht="15" customHeight="1" x14ac:dyDescent="0.25">
      <c r="A97" s="66"/>
      <c r="B97" s="68"/>
      <c r="C97" s="67"/>
      <c r="D97" s="67"/>
      <c r="E97" s="67"/>
      <c r="F97" s="67"/>
      <c r="G97" s="67"/>
      <c r="H97" s="67"/>
      <c r="I97" s="67"/>
      <c r="J97" s="67"/>
      <c r="K97" s="61"/>
      <c r="L97" s="68"/>
      <c r="M97" s="67"/>
      <c r="N97" s="67"/>
      <c r="O97" s="67"/>
      <c r="P97" s="67"/>
      <c r="Q97" s="67"/>
      <c r="R97" s="67"/>
      <c r="S97" s="67"/>
      <c r="T97" s="61"/>
      <c r="U97" s="68"/>
      <c r="V97" s="67"/>
      <c r="W97" s="67"/>
      <c r="X97" s="67"/>
      <c r="Y97" s="67"/>
      <c r="Z97" s="67"/>
      <c r="AA97" s="67"/>
      <c r="AB97" s="67"/>
      <c r="AC97" s="61"/>
      <c r="AD97" s="68"/>
      <c r="AE97" s="67"/>
      <c r="AF97" s="67"/>
      <c r="AG97" s="67"/>
      <c r="AH97" s="67"/>
      <c r="AI97" s="67"/>
      <c r="AJ97" s="67"/>
      <c r="AK97" s="67"/>
      <c r="AL97" s="61"/>
      <c r="AM97" s="68"/>
      <c r="AN97" s="67"/>
      <c r="AO97" s="67"/>
      <c r="AP97" s="67"/>
      <c r="AQ97" s="67"/>
      <c r="AR97" s="67"/>
      <c r="AS97" s="67"/>
      <c r="AT97" s="67"/>
      <c r="AU97" s="67"/>
      <c r="AV97" s="67"/>
      <c r="AW97" s="67"/>
      <c r="AX97" s="67"/>
      <c r="AY97" s="67"/>
      <c r="AZ97" s="67"/>
      <c r="BA97" s="67"/>
      <c r="BB97" s="67"/>
      <c r="BC97" s="67"/>
      <c r="BD97" s="67"/>
      <c r="BE97" s="67"/>
      <c r="BF97" s="67"/>
      <c r="BG97" s="67"/>
      <c r="BH97" s="67"/>
      <c r="BI97" s="61"/>
      <c r="BJ97" s="67"/>
      <c r="BK97" s="69"/>
      <c r="BM97" s="9">
        <f t="shared" si="1"/>
        <v>40</v>
      </c>
    </row>
    <row r="98" spans="1:65" ht="15" customHeight="1" x14ac:dyDescent="0.25">
      <c r="A98" s="66"/>
      <c r="B98" s="68"/>
      <c r="C98" s="67"/>
      <c r="D98" s="67"/>
      <c r="E98" s="67"/>
      <c r="F98" s="67"/>
      <c r="G98" s="67"/>
      <c r="H98" s="67"/>
      <c r="I98" s="67"/>
      <c r="J98" s="67"/>
      <c r="K98" s="61"/>
      <c r="L98" s="68"/>
      <c r="M98" s="67"/>
      <c r="N98" s="67"/>
      <c r="O98" s="67"/>
      <c r="P98" s="67"/>
      <c r="Q98" s="67"/>
      <c r="R98" s="67"/>
      <c r="S98" s="67"/>
      <c r="T98" s="61"/>
      <c r="U98" s="68"/>
      <c r="V98" s="67"/>
      <c r="W98" s="67"/>
      <c r="X98" s="67"/>
      <c r="Y98" s="67"/>
      <c r="Z98" s="67"/>
      <c r="AA98" s="67"/>
      <c r="AB98" s="67"/>
      <c r="AC98" s="61"/>
      <c r="AD98" s="68"/>
      <c r="AE98" s="67"/>
      <c r="AF98" s="67"/>
      <c r="AG98" s="67"/>
      <c r="AH98" s="67"/>
      <c r="AI98" s="67"/>
      <c r="AJ98" s="67"/>
      <c r="AK98" s="67"/>
      <c r="AL98" s="61"/>
      <c r="AM98" s="68"/>
      <c r="AN98" s="67"/>
      <c r="AO98" s="67"/>
      <c r="AP98" s="67"/>
      <c r="AQ98" s="67"/>
      <c r="AR98" s="67"/>
      <c r="AS98" s="67"/>
      <c r="AT98" s="67"/>
      <c r="AU98" s="67"/>
      <c r="AV98" s="67"/>
      <c r="AW98" s="67"/>
      <c r="AX98" s="67"/>
      <c r="AY98" s="67"/>
      <c r="AZ98" s="67"/>
      <c r="BA98" s="67"/>
      <c r="BB98" s="67"/>
      <c r="BC98" s="67"/>
      <c r="BD98" s="67"/>
      <c r="BE98" s="67"/>
      <c r="BF98" s="67"/>
      <c r="BG98" s="67"/>
      <c r="BH98" s="67"/>
      <c r="BI98" s="61"/>
      <c r="BJ98" s="67"/>
      <c r="BK98" s="69"/>
      <c r="BM98" s="9">
        <f t="shared" si="1"/>
        <v>41</v>
      </c>
    </row>
    <row r="99" spans="1:65" ht="15" customHeight="1" x14ac:dyDescent="0.25">
      <c r="A99" s="66"/>
      <c r="B99" s="68"/>
      <c r="C99" s="67"/>
      <c r="D99" s="67"/>
      <c r="E99" s="67"/>
      <c r="F99" s="67"/>
      <c r="G99" s="67"/>
      <c r="H99" s="67"/>
      <c r="I99" s="67"/>
      <c r="J99" s="67"/>
      <c r="K99" s="61"/>
      <c r="L99" s="68"/>
      <c r="M99" s="67"/>
      <c r="N99" s="67"/>
      <c r="O99" s="67"/>
      <c r="P99" s="67"/>
      <c r="Q99" s="67"/>
      <c r="R99" s="67"/>
      <c r="S99" s="67"/>
      <c r="T99" s="61"/>
      <c r="U99" s="68"/>
      <c r="V99" s="67"/>
      <c r="W99" s="67"/>
      <c r="X99" s="67"/>
      <c r="Y99" s="67"/>
      <c r="Z99" s="67"/>
      <c r="AA99" s="67"/>
      <c r="AB99" s="67"/>
      <c r="AC99" s="61"/>
      <c r="AD99" s="68"/>
      <c r="AE99" s="67"/>
      <c r="AF99" s="67"/>
      <c r="AG99" s="67"/>
      <c r="AH99" s="67"/>
      <c r="AI99" s="67"/>
      <c r="AJ99" s="67"/>
      <c r="AK99" s="67"/>
      <c r="AL99" s="61"/>
      <c r="AM99" s="68"/>
      <c r="AN99" s="67"/>
      <c r="AO99" s="67"/>
      <c r="AP99" s="67"/>
      <c r="AQ99" s="67"/>
      <c r="AR99" s="67"/>
      <c r="AS99" s="67"/>
      <c r="AT99" s="67"/>
      <c r="AU99" s="67"/>
      <c r="AV99" s="67"/>
      <c r="AW99" s="67"/>
      <c r="AX99" s="67"/>
      <c r="AY99" s="67"/>
      <c r="AZ99" s="67"/>
      <c r="BA99" s="67"/>
      <c r="BB99" s="67"/>
      <c r="BC99" s="67"/>
      <c r="BD99" s="67"/>
      <c r="BE99" s="67"/>
      <c r="BF99" s="67"/>
      <c r="BG99" s="67"/>
      <c r="BH99" s="67"/>
      <c r="BI99" s="61"/>
      <c r="BJ99" s="67"/>
      <c r="BK99" s="69"/>
      <c r="BM99" s="9">
        <f t="shared" si="1"/>
        <v>42</v>
      </c>
    </row>
    <row r="100" spans="1:65" ht="15" customHeight="1" x14ac:dyDescent="0.25">
      <c r="A100" s="66"/>
      <c r="B100" s="68"/>
      <c r="C100" s="67"/>
      <c r="D100" s="67"/>
      <c r="E100" s="67"/>
      <c r="F100" s="67"/>
      <c r="G100" s="67"/>
      <c r="H100" s="67"/>
      <c r="I100" s="67"/>
      <c r="J100" s="67"/>
      <c r="K100" s="61"/>
      <c r="L100" s="68"/>
      <c r="M100" s="67"/>
      <c r="N100" s="67"/>
      <c r="O100" s="67"/>
      <c r="P100" s="67"/>
      <c r="Q100" s="67"/>
      <c r="R100" s="67"/>
      <c r="S100" s="67"/>
      <c r="T100" s="61"/>
      <c r="U100" s="68"/>
      <c r="V100" s="67"/>
      <c r="W100" s="67"/>
      <c r="X100" s="67"/>
      <c r="Y100" s="67"/>
      <c r="Z100" s="67"/>
      <c r="AA100" s="67"/>
      <c r="AB100" s="67"/>
      <c r="AC100" s="61"/>
      <c r="AD100" s="68"/>
      <c r="AE100" s="67"/>
      <c r="AF100" s="67"/>
      <c r="AG100" s="67"/>
      <c r="AH100" s="67"/>
      <c r="AI100" s="67"/>
      <c r="AJ100" s="67"/>
      <c r="AK100" s="67"/>
      <c r="AL100" s="61"/>
      <c r="AM100" s="68"/>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1"/>
      <c r="BJ100" s="67"/>
      <c r="BK100" s="69"/>
      <c r="BM100" s="9">
        <f t="shared" si="1"/>
        <v>43</v>
      </c>
    </row>
    <row r="101" spans="1:65" ht="15" customHeight="1" x14ac:dyDescent="0.25">
      <c r="A101" s="66"/>
      <c r="B101" s="68"/>
      <c r="C101" s="67"/>
      <c r="D101" s="67"/>
      <c r="E101" s="67"/>
      <c r="F101" s="67"/>
      <c r="G101" s="67"/>
      <c r="H101" s="67"/>
      <c r="I101" s="67"/>
      <c r="J101" s="67"/>
      <c r="K101" s="61"/>
      <c r="L101" s="68"/>
      <c r="M101" s="67"/>
      <c r="N101" s="67"/>
      <c r="O101" s="67"/>
      <c r="P101" s="67"/>
      <c r="Q101" s="67"/>
      <c r="R101" s="67"/>
      <c r="S101" s="67"/>
      <c r="T101" s="61"/>
      <c r="U101" s="68"/>
      <c r="V101" s="67"/>
      <c r="W101" s="67"/>
      <c r="X101" s="67"/>
      <c r="Y101" s="67"/>
      <c r="Z101" s="67"/>
      <c r="AA101" s="67"/>
      <c r="AB101" s="67"/>
      <c r="AC101" s="61"/>
      <c r="AD101" s="68"/>
      <c r="AE101" s="67"/>
      <c r="AF101" s="67"/>
      <c r="AG101" s="67"/>
      <c r="AH101" s="67"/>
      <c r="AI101" s="67"/>
      <c r="AJ101" s="67"/>
      <c r="AK101" s="67"/>
      <c r="AL101" s="61"/>
      <c r="AM101" s="68"/>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1"/>
      <c r="BJ101" s="67"/>
      <c r="BK101" s="69"/>
      <c r="BM101" s="9">
        <f t="shared" si="1"/>
        <v>44</v>
      </c>
    </row>
    <row r="102" spans="1:65" ht="15" customHeight="1" x14ac:dyDescent="0.25">
      <c r="A102" s="66"/>
      <c r="B102" s="68"/>
      <c r="C102" s="67"/>
      <c r="D102" s="67"/>
      <c r="E102" s="67"/>
      <c r="F102" s="67"/>
      <c r="G102" s="67"/>
      <c r="H102" s="67"/>
      <c r="I102" s="67"/>
      <c r="J102" s="67"/>
      <c r="K102" s="61"/>
      <c r="L102" s="68"/>
      <c r="M102" s="67"/>
      <c r="N102" s="67"/>
      <c r="O102" s="67"/>
      <c r="P102" s="67"/>
      <c r="Q102" s="67"/>
      <c r="R102" s="67"/>
      <c r="S102" s="67"/>
      <c r="T102" s="61"/>
      <c r="U102" s="68"/>
      <c r="V102" s="67"/>
      <c r="W102" s="67"/>
      <c r="X102" s="67"/>
      <c r="Y102" s="67"/>
      <c r="Z102" s="67"/>
      <c r="AA102" s="67"/>
      <c r="AB102" s="67"/>
      <c r="AC102" s="61"/>
      <c r="AD102" s="68"/>
      <c r="AE102" s="67"/>
      <c r="AF102" s="67"/>
      <c r="AG102" s="67"/>
      <c r="AH102" s="67"/>
      <c r="AI102" s="67"/>
      <c r="AJ102" s="67"/>
      <c r="AK102" s="67"/>
      <c r="AL102" s="61"/>
      <c r="AM102" s="68"/>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1"/>
      <c r="BJ102" s="67"/>
      <c r="BK102" s="69"/>
      <c r="BM102" s="9">
        <f t="shared" si="1"/>
        <v>45</v>
      </c>
    </row>
    <row r="103" spans="1:65" ht="15" customHeight="1" x14ac:dyDescent="0.25">
      <c r="A103" s="66"/>
      <c r="B103" s="68"/>
      <c r="C103" s="67"/>
      <c r="D103" s="67"/>
      <c r="E103" s="67"/>
      <c r="F103" s="67"/>
      <c r="G103" s="67"/>
      <c r="H103" s="67"/>
      <c r="I103" s="67"/>
      <c r="J103" s="67"/>
      <c r="K103" s="61"/>
      <c r="L103" s="68"/>
      <c r="M103" s="67"/>
      <c r="N103" s="67"/>
      <c r="O103" s="67"/>
      <c r="P103" s="67"/>
      <c r="Q103" s="67"/>
      <c r="R103" s="67"/>
      <c r="S103" s="67"/>
      <c r="T103" s="61"/>
      <c r="U103" s="68"/>
      <c r="V103" s="67"/>
      <c r="W103" s="67"/>
      <c r="X103" s="67"/>
      <c r="Y103" s="67"/>
      <c r="Z103" s="67"/>
      <c r="AA103" s="67"/>
      <c r="AB103" s="67"/>
      <c r="AC103" s="61"/>
      <c r="AD103" s="68"/>
      <c r="AE103" s="67"/>
      <c r="AF103" s="67"/>
      <c r="AG103" s="67"/>
      <c r="AH103" s="67"/>
      <c r="AI103" s="67"/>
      <c r="AJ103" s="67"/>
      <c r="AK103" s="67"/>
      <c r="AL103" s="61"/>
      <c r="AM103" s="68"/>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1"/>
      <c r="BJ103" s="67"/>
      <c r="BK103" s="69"/>
      <c r="BM103" s="9">
        <f t="shared" si="1"/>
        <v>46</v>
      </c>
    </row>
    <row r="104" spans="1:65" ht="15" customHeight="1" x14ac:dyDescent="0.25">
      <c r="A104" s="66"/>
      <c r="B104" s="68"/>
      <c r="C104" s="67"/>
      <c r="D104" s="67"/>
      <c r="E104" s="67"/>
      <c r="F104" s="67"/>
      <c r="G104" s="67"/>
      <c r="H104" s="67"/>
      <c r="I104" s="67"/>
      <c r="J104" s="67"/>
      <c r="K104" s="61"/>
      <c r="L104" s="68"/>
      <c r="M104" s="67"/>
      <c r="N104" s="67"/>
      <c r="O104" s="67"/>
      <c r="P104" s="67"/>
      <c r="Q104" s="67"/>
      <c r="R104" s="67"/>
      <c r="S104" s="67"/>
      <c r="T104" s="61"/>
      <c r="U104" s="68"/>
      <c r="V104" s="67"/>
      <c r="W104" s="67"/>
      <c r="X104" s="67"/>
      <c r="Y104" s="67"/>
      <c r="Z104" s="67"/>
      <c r="AA104" s="67"/>
      <c r="AB104" s="67"/>
      <c r="AC104" s="61"/>
      <c r="AD104" s="68"/>
      <c r="AE104" s="67"/>
      <c r="AF104" s="67"/>
      <c r="AG104" s="67"/>
      <c r="AH104" s="67"/>
      <c r="AI104" s="67"/>
      <c r="AJ104" s="67"/>
      <c r="AK104" s="67"/>
      <c r="AL104" s="61"/>
      <c r="AM104" s="68"/>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1"/>
      <c r="BJ104" s="67"/>
      <c r="BK104" s="69"/>
      <c r="BM104" s="9">
        <f t="shared" si="1"/>
        <v>47</v>
      </c>
    </row>
    <row r="105" spans="1:65" ht="15" customHeight="1" x14ac:dyDescent="0.25">
      <c r="A105" s="66"/>
      <c r="B105" s="68"/>
      <c r="C105" s="67"/>
      <c r="D105" s="67"/>
      <c r="E105" s="67"/>
      <c r="F105" s="67"/>
      <c r="G105" s="67"/>
      <c r="H105" s="67"/>
      <c r="I105" s="67"/>
      <c r="J105" s="67"/>
      <c r="K105" s="61"/>
      <c r="L105" s="68"/>
      <c r="M105" s="67"/>
      <c r="N105" s="67"/>
      <c r="O105" s="67"/>
      <c r="P105" s="67"/>
      <c r="Q105" s="67"/>
      <c r="R105" s="67"/>
      <c r="S105" s="67"/>
      <c r="T105" s="61"/>
      <c r="U105" s="68"/>
      <c r="V105" s="67"/>
      <c r="W105" s="67"/>
      <c r="X105" s="67"/>
      <c r="Y105" s="67"/>
      <c r="Z105" s="67"/>
      <c r="AA105" s="67"/>
      <c r="AB105" s="67"/>
      <c r="AC105" s="61"/>
      <c r="AD105" s="68"/>
      <c r="AE105" s="67"/>
      <c r="AF105" s="67"/>
      <c r="AG105" s="67"/>
      <c r="AH105" s="67"/>
      <c r="AI105" s="67"/>
      <c r="AJ105" s="67"/>
      <c r="AK105" s="67"/>
      <c r="AL105" s="61"/>
      <c r="AM105" s="68"/>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1"/>
      <c r="BJ105" s="67"/>
      <c r="BK105" s="69"/>
      <c r="BM105" s="9">
        <f t="shared" si="1"/>
        <v>48</v>
      </c>
    </row>
    <row r="106" spans="1:65" ht="15" customHeight="1" x14ac:dyDescent="0.25">
      <c r="A106" s="66"/>
      <c r="B106" s="68"/>
      <c r="C106" s="67"/>
      <c r="D106" s="67"/>
      <c r="E106" s="67"/>
      <c r="F106" s="67"/>
      <c r="G106" s="67"/>
      <c r="H106" s="67"/>
      <c r="I106" s="67"/>
      <c r="J106" s="67"/>
      <c r="K106" s="61"/>
      <c r="L106" s="68"/>
      <c r="M106" s="67"/>
      <c r="N106" s="67"/>
      <c r="O106" s="67"/>
      <c r="P106" s="67"/>
      <c r="Q106" s="67"/>
      <c r="R106" s="67"/>
      <c r="S106" s="67"/>
      <c r="T106" s="61"/>
      <c r="U106" s="68"/>
      <c r="V106" s="67"/>
      <c r="W106" s="67"/>
      <c r="X106" s="67"/>
      <c r="Y106" s="67"/>
      <c r="Z106" s="67"/>
      <c r="AA106" s="67"/>
      <c r="AB106" s="67"/>
      <c r="AC106" s="61"/>
      <c r="AD106" s="68"/>
      <c r="AE106" s="67"/>
      <c r="AF106" s="67"/>
      <c r="AG106" s="67"/>
      <c r="AH106" s="67"/>
      <c r="AI106" s="67"/>
      <c r="AJ106" s="67"/>
      <c r="AK106" s="67"/>
      <c r="AL106" s="61"/>
      <c r="AM106" s="68"/>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1"/>
      <c r="BJ106" s="67"/>
      <c r="BK106" s="69"/>
      <c r="BM106" s="9">
        <f t="shared" si="1"/>
        <v>49</v>
      </c>
    </row>
    <row r="107" spans="1:65" ht="15" customHeight="1" x14ac:dyDescent="0.25">
      <c r="A107" s="66"/>
      <c r="B107" s="68"/>
      <c r="C107" s="67"/>
      <c r="D107" s="67"/>
      <c r="E107" s="67"/>
      <c r="F107" s="67"/>
      <c r="G107" s="67"/>
      <c r="H107" s="67"/>
      <c r="I107" s="67"/>
      <c r="J107" s="67"/>
      <c r="K107" s="61"/>
      <c r="L107" s="68"/>
      <c r="M107" s="67"/>
      <c r="N107" s="67"/>
      <c r="O107" s="67"/>
      <c r="P107" s="67"/>
      <c r="Q107" s="67"/>
      <c r="R107" s="67"/>
      <c r="S107" s="67"/>
      <c r="T107" s="61"/>
      <c r="U107" s="68"/>
      <c r="V107" s="67"/>
      <c r="W107" s="67"/>
      <c r="X107" s="67"/>
      <c r="Y107" s="67"/>
      <c r="Z107" s="67"/>
      <c r="AA107" s="67"/>
      <c r="AB107" s="67"/>
      <c r="AC107" s="61"/>
      <c r="AD107" s="68"/>
      <c r="AE107" s="67"/>
      <c r="AF107" s="67"/>
      <c r="AG107" s="67"/>
      <c r="AH107" s="67"/>
      <c r="AI107" s="67"/>
      <c r="AJ107" s="67"/>
      <c r="AK107" s="67"/>
      <c r="AL107" s="61"/>
      <c r="AM107" s="68"/>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1"/>
      <c r="BJ107" s="67"/>
      <c r="BK107" s="69"/>
      <c r="BM107" s="9">
        <f t="shared" si="1"/>
        <v>50</v>
      </c>
    </row>
    <row r="108" spans="1:65" ht="15" customHeight="1" x14ac:dyDescent="0.25">
      <c r="A108" s="66"/>
      <c r="B108" s="68"/>
      <c r="C108" s="67"/>
      <c r="D108" s="67"/>
      <c r="E108" s="67"/>
      <c r="F108" s="67"/>
      <c r="G108" s="67"/>
      <c r="H108" s="67"/>
      <c r="I108" s="67"/>
      <c r="J108" s="67"/>
      <c r="K108" s="61"/>
      <c r="L108" s="68"/>
      <c r="M108" s="67"/>
      <c r="N108" s="67"/>
      <c r="O108" s="67"/>
      <c r="P108" s="67"/>
      <c r="Q108" s="67"/>
      <c r="R108" s="67"/>
      <c r="S108" s="67"/>
      <c r="T108" s="61"/>
      <c r="U108" s="68"/>
      <c r="V108" s="67"/>
      <c r="W108" s="67"/>
      <c r="X108" s="67"/>
      <c r="Y108" s="67"/>
      <c r="Z108" s="67"/>
      <c r="AA108" s="67"/>
      <c r="AB108" s="67"/>
      <c r="AC108" s="61"/>
      <c r="AD108" s="68"/>
      <c r="AE108" s="67"/>
      <c r="AF108" s="67"/>
      <c r="AG108" s="67"/>
      <c r="AH108" s="67"/>
      <c r="AI108" s="67"/>
      <c r="AJ108" s="67"/>
      <c r="AK108" s="67"/>
      <c r="AL108" s="61"/>
      <c r="AM108" s="68"/>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1"/>
      <c r="BJ108" s="67"/>
      <c r="BK108" s="69"/>
      <c r="BM108" s="9">
        <f t="shared" si="1"/>
        <v>1</v>
      </c>
    </row>
    <row r="109" spans="1:65" ht="15" customHeight="1" x14ac:dyDescent="0.25">
      <c r="A109" s="66"/>
      <c r="B109" s="68"/>
      <c r="C109" s="67"/>
      <c r="D109" s="67"/>
      <c r="E109" s="67"/>
      <c r="F109" s="67"/>
      <c r="G109" s="67"/>
      <c r="H109" s="67"/>
      <c r="I109" s="67"/>
      <c r="J109" s="67"/>
      <c r="K109" s="61"/>
      <c r="L109" s="68"/>
      <c r="M109" s="67"/>
      <c r="N109" s="67"/>
      <c r="O109" s="67"/>
      <c r="P109" s="67"/>
      <c r="Q109" s="67"/>
      <c r="R109" s="67"/>
      <c r="S109" s="67"/>
      <c r="T109" s="61"/>
      <c r="U109" s="68"/>
      <c r="V109" s="67"/>
      <c r="W109" s="67"/>
      <c r="X109" s="67"/>
      <c r="Y109" s="67"/>
      <c r="Z109" s="67"/>
      <c r="AA109" s="67"/>
      <c r="AB109" s="67"/>
      <c r="AC109" s="61"/>
      <c r="AD109" s="68"/>
      <c r="AE109" s="67"/>
      <c r="AF109" s="67"/>
      <c r="AG109" s="67"/>
      <c r="AH109" s="67"/>
      <c r="AI109" s="67"/>
      <c r="AJ109" s="67"/>
      <c r="AK109" s="67"/>
      <c r="AL109" s="61"/>
      <c r="AM109" s="68"/>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1"/>
      <c r="BJ109" s="67"/>
      <c r="BK109" s="69"/>
      <c r="BM109" s="9">
        <f t="shared" si="1"/>
        <v>2</v>
      </c>
    </row>
    <row r="110" spans="1:65" ht="15" customHeight="1" x14ac:dyDescent="0.25">
      <c r="A110" s="66"/>
      <c r="B110" s="68"/>
      <c r="C110" s="67"/>
      <c r="D110" s="67"/>
      <c r="E110" s="67"/>
      <c r="F110" s="67"/>
      <c r="G110" s="67"/>
      <c r="H110" s="67"/>
      <c r="I110" s="67"/>
      <c r="J110" s="67"/>
      <c r="K110" s="61"/>
      <c r="L110" s="68"/>
      <c r="M110" s="67"/>
      <c r="N110" s="67"/>
      <c r="O110" s="67"/>
      <c r="P110" s="67"/>
      <c r="Q110" s="67"/>
      <c r="R110" s="67"/>
      <c r="S110" s="67"/>
      <c r="T110" s="61"/>
      <c r="U110" s="68"/>
      <c r="V110" s="67"/>
      <c r="W110" s="67"/>
      <c r="X110" s="67"/>
      <c r="Y110" s="67"/>
      <c r="Z110" s="67"/>
      <c r="AA110" s="67"/>
      <c r="AB110" s="67"/>
      <c r="AC110" s="61"/>
      <c r="AD110" s="68"/>
      <c r="AE110" s="67"/>
      <c r="AF110" s="67"/>
      <c r="AG110" s="67"/>
      <c r="AH110" s="67"/>
      <c r="AI110" s="67"/>
      <c r="AJ110" s="67"/>
      <c r="AK110" s="67"/>
      <c r="AL110" s="61"/>
      <c r="AM110" s="68"/>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1"/>
      <c r="BJ110" s="67"/>
      <c r="BK110" s="69"/>
      <c r="BM110" s="9">
        <f t="shared" si="1"/>
        <v>3</v>
      </c>
    </row>
    <row r="111" spans="1:65" ht="15" customHeight="1" x14ac:dyDescent="0.25">
      <c r="A111" s="66"/>
      <c r="B111" s="68"/>
      <c r="C111" s="67"/>
      <c r="D111" s="67"/>
      <c r="E111" s="67"/>
      <c r="F111" s="67"/>
      <c r="G111" s="67"/>
      <c r="H111" s="67"/>
      <c r="I111" s="67"/>
      <c r="J111" s="67"/>
      <c r="K111" s="61"/>
      <c r="L111" s="68"/>
      <c r="M111" s="67"/>
      <c r="N111" s="67"/>
      <c r="O111" s="67"/>
      <c r="P111" s="67"/>
      <c r="Q111" s="67"/>
      <c r="R111" s="67"/>
      <c r="S111" s="67"/>
      <c r="T111" s="61"/>
      <c r="U111" s="68"/>
      <c r="V111" s="67"/>
      <c r="W111" s="67"/>
      <c r="X111" s="67"/>
      <c r="Y111" s="67"/>
      <c r="Z111" s="67"/>
      <c r="AA111" s="67"/>
      <c r="AB111" s="67"/>
      <c r="AC111" s="61"/>
      <c r="AD111" s="68"/>
      <c r="AE111" s="67"/>
      <c r="AF111" s="67"/>
      <c r="AG111" s="67"/>
      <c r="AH111" s="67"/>
      <c r="AI111" s="67"/>
      <c r="AJ111" s="67"/>
      <c r="AK111" s="67"/>
      <c r="AL111" s="61"/>
      <c r="AM111" s="68"/>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1"/>
      <c r="BJ111" s="67"/>
      <c r="BK111" s="69"/>
      <c r="BM111" s="9">
        <f t="shared" si="1"/>
        <v>4</v>
      </c>
    </row>
    <row r="112" spans="1:65" ht="15" customHeight="1" x14ac:dyDescent="0.25">
      <c r="A112" s="66"/>
      <c r="B112" s="68"/>
      <c r="C112" s="67"/>
      <c r="D112" s="67"/>
      <c r="E112" s="67"/>
      <c r="F112" s="67"/>
      <c r="G112" s="67"/>
      <c r="H112" s="67"/>
      <c r="I112" s="67"/>
      <c r="J112" s="67"/>
      <c r="K112" s="61"/>
      <c r="L112" s="68"/>
      <c r="M112" s="67"/>
      <c r="N112" s="67"/>
      <c r="O112" s="67"/>
      <c r="P112" s="67"/>
      <c r="Q112" s="67"/>
      <c r="R112" s="67"/>
      <c r="S112" s="67"/>
      <c r="T112" s="61"/>
      <c r="U112" s="68"/>
      <c r="V112" s="67"/>
      <c r="W112" s="67"/>
      <c r="X112" s="67"/>
      <c r="Y112" s="67"/>
      <c r="Z112" s="67"/>
      <c r="AA112" s="67"/>
      <c r="AB112" s="67"/>
      <c r="AC112" s="61"/>
      <c r="AD112" s="68"/>
      <c r="AE112" s="67"/>
      <c r="AF112" s="67"/>
      <c r="AG112" s="67"/>
      <c r="AH112" s="67"/>
      <c r="AI112" s="67"/>
      <c r="AJ112" s="67"/>
      <c r="AK112" s="67"/>
      <c r="AL112" s="61"/>
      <c r="AM112" s="68"/>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1"/>
      <c r="BJ112" s="67"/>
      <c r="BK112" s="69"/>
      <c r="BM112" s="9">
        <f t="shared" si="1"/>
        <v>5</v>
      </c>
    </row>
    <row r="113" spans="1:65" ht="15" customHeight="1" x14ac:dyDescent="0.25">
      <c r="A113" s="66"/>
      <c r="B113" s="63" t="s">
        <v>47</v>
      </c>
      <c r="C113" s="64"/>
      <c r="D113" s="64"/>
      <c r="E113" s="64"/>
      <c r="F113" s="64"/>
      <c r="G113" s="64"/>
      <c r="H113" s="64"/>
      <c r="I113" s="64"/>
      <c r="J113" s="64"/>
      <c r="K113" s="65"/>
      <c r="L113" s="63"/>
      <c r="M113" s="64"/>
      <c r="N113" s="64"/>
      <c r="O113" s="64"/>
      <c r="P113" s="64"/>
      <c r="Q113" s="64"/>
      <c r="R113" s="64"/>
      <c r="S113" s="64"/>
      <c r="T113" s="65"/>
      <c r="U113" s="63"/>
      <c r="V113" s="64"/>
      <c r="W113" s="64"/>
      <c r="X113" s="64"/>
      <c r="Y113" s="64"/>
      <c r="Z113" s="64"/>
      <c r="AA113" s="64"/>
      <c r="AB113" s="64"/>
      <c r="AC113" s="65"/>
      <c r="AD113" s="63"/>
      <c r="AE113" s="64"/>
      <c r="AF113" s="64"/>
      <c r="AG113" s="64"/>
      <c r="AH113" s="64"/>
      <c r="AI113" s="64"/>
      <c r="AJ113" s="64"/>
      <c r="AK113" s="64"/>
      <c r="AL113" s="65"/>
      <c r="AM113" s="63"/>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5"/>
      <c r="BJ113" s="64"/>
      <c r="BK113" s="69"/>
      <c r="BM113" s="9">
        <f t="shared" si="1"/>
        <v>6</v>
      </c>
    </row>
    <row r="114" spans="1:65" ht="15" customHeight="1" x14ac:dyDescent="0.25">
      <c r="A114" s="66"/>
      <c r="B114" s="68"/>
      <c r="C114" s="67"/>
      <c r="D114" s="67"/>
      <c r="E114" s="67"/>
      <c r="F114" s="67"/>
      <c r="G114" s="67"/>
      <c r="H114" s="67"/>
      <c r="I114" s="67"/>
      <c r="J114" s="67"/>
      <c r="K114" s="61"/>
      <c r="L114" s="68"/>
      <c r="M114" s="67"/>
      <c r="N114" s="67"/>
      <c r="O114" s="67"/>
      <c r="P114" s="67"/>
      <c r="Q114" s="67"/>
      <c r="R114" s="67"/>
      <c r="S114" s="67"/>
      <c r="T114" s="61"/>
      <c r="U114" s="68"/>
      <c r="V114" s="67"/>
      <c r="W114" s="67"/>
      <c r="X114" s="67"/>
      <c r="Y114" s="67"/>
      <c r="Z114" s="67"/>
      <c r="AA114" s="67"/>
      <c r="AB114" s="67"/>
      <c r="AC114" s="61"/>
      <c r="AD114" s="68"/>
      <c r="AE114" s="67"/>
      <c r="AF114" s="67"/>
      <c r="AG114" s="67"/>
      <c r="AH114" s="67"/>
      <c r="AI114" s="67"/>
      <c r="AJ114" s="67"/>
      <c r="AK114" s="67"/>
      <c r="AL114" s="61"/>
      <c r="AM114" s="68"/>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1"/>
      <c r="BJ114" s="67"/>
      <c r="BK114" s="69"/>
      <c r="BM114" s="9">
        <f t="shared" si="1"/>
        <v>7</v>
      </c>
    </row>
    <row r="115" spans="1:65" ht="15" customHeight="1" x14ac:dyDescent="0.25">
      <c r="A115" s="66"/>
      <c r="B115" s="68"/>
      <c r="C115" s="67"/>
      <c r="D115" s="67"/>
      <c r="E115" s="67"/>
      <c r="F115" s="67"/>
      <c r="G115" s="67"/>
      <c r="H115" s="67"/>
      <c r="I115" s="67"/>
      <c r="J115" s="67"/>
      <c r="K115" s="61"/>
      <c r="L115" s="68"/>
      <c r="M115" s="67"/>
      <c r="N115" s="67"/>
      <c r="O115" s="67"/>
      <c r="P115" s="67"/>
      <c r="Q115" s="67"/>
      <c r="R115" s="67"/>
      <c r="S115" s="67"/>
      <c r="T115" s="61"/>
      <c r="U115" s="68"/>
      <c r="V115" s="67"/>
      <c r="W115" s="67"/>
      <c r="X115" s="67"/>
      <c r="Y115" s="67"/>
      <c r="Z115" s="67"/>
      <c r="AA115" s="67"/>
      <c r="AB115" s="67"/>
      <c r="AC115" s="61"/>
      <c r="AD115" s="68"/>
      <c r="AE115" s="67"/>
      <c r="AF115" s="67"/>
      <c r="AG115" s="67"/>
      <c r="AH115" s="67"/>
      <c r="AI115" s="67"/>
      <c r="AJ115" s="67"/>
      <c r="AK115" s="67"/>
      <c r="AL115" s="61"/>
      <c r="AM115" s="68"/>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1"/>
      <c r="BJ115" s="67"/>
      <c r="BK115" s="69"/>
      <c r="BM115" s="9">
        <f t="shared" si="1"/>
        <v>8</v>
      </c>
    </row>
    <row r="116" spans="1:65" ht="15" customHeight="1" x14ac:dyDescent="0.25">
      <c r="A116" s="66"/>
      <c r="B116" s="68"/>
      <c r="C116" s="67"/>
      <c r="D116" s="67"/>
      <c r="E116" s="67"/>
      <c r="F116" s="67"/>
      <c r="G116" s="67"/>
      <c r="H116" s="67"/>
      <c r="I116" s="67"/>
      <c r="J116" s="67"/>
      <c r="K116" s="61"/>
      <c r="L116" s="68"/>
      <c r="M116" s="67"/>
      <c r="N116" s="67"/>
      <c r="O116" s="67"/>
      <c r="P116" s="67"/>
      <c r="Q116" s="67"/>
      <c r="R116" s="67"/>
      <c r="S116" s="67"/>
      <c r="T116" s="61"/>
      <c r="U116" s="68"/>
      <c r="V116" s="67"/>
      <c r="W116" s="67"/>
      <c r="X116" s="67"/>
      <c r="Y116" s="67"/>
      <c r="Z116" s="67"/>
      <c r="AA116" s="67"/>
      <c r="AB116" s="67"/>
      <c r="AC116" s="61"/>
      <c r="AD116" s="68"/>
      <c r="AE116" s="67"/>
      <c r="AF116" s="67"/>
      <c r="AG116" s="67"/>
      <c r="AH116" s="67"/>
      <c r="AI116" s="67"/>
      <c r="AJ116" s="67"/>
      <c r="AK116" s="67"/>
      <c r="AL116" s="61"/>
      <c r="AM116" s="68"/>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1"/>
      <c r="BJ116" s="67"/>
      <c r="BK116" s="69"/>
      <c r="BM116" s="9">
        <f t="shared" si="1"/>
        <v>9</v>
      </c>
    </row>
    <row r="117" spans="1:65" ht="15" customHeight="1" x14ac:dyDescent="0.25">
      <c r="A117" s="66"/>
      <c r="B117" s="68"/>
      <c r="C117" s="67"/>
      <c r="D117" s="67"/>
      <c r="E117" s="67"/>
      <c r="F117" s="67"/>
      <c r="G117" s="67"/>
      <c r="H117" s="67"/>
      <c r="I117" s="67"/>
      <c r="J117" s="67"/>
      <c r="K117" s="61"/>
      <c r="L117" s="68"/>
      <c r="M117" s="67"/>
      <c r="N117" s="67"/>
      <c r="O117" s="67"/>
      <c r="P117" s="67"/>
      <c r="Q117" s="67"/>
      <c r="R117" s="67"/>
      <c r="S117" s="67"/>
      <c r="T117" s="61"/>
      <c r="U117" s="68"/>
      <c r="V117" s="67"/>
      <c r="W117" s="67"/>
      <c r="X117" s="67"/>
      <c r="Y117" s="67"/>
      <c r="Z117" s="67"/>
      <c r="AA117" s="67"/>
      <c r="AB117" s="67"/>
      <c r="AC117" s="61"/>
      <c r="AD117" s="68"/>
      <c r="AE117" s="67"/>
      <c r="AF117" s="67"/>
      <c r="AG117" s="67"/>
      <c r="AH117" s="67"/>
      <c r="AI117" s="67"/>
      <c r="AJ117" s="67"/>
      <c r="AK117" s="67"/>
      <c r="AL117" s="61"/>
      <c r="AM117" s="68"/>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1"/>
      <c r="BJ117" s="67"/>
      <c r="BK117" s="69"/>
      <c r="BM117" s="9">
        <f t="shared" si="1"/>
        <v>10</v>
      </c>
    </row>
    <row r="118" spans="1:65" ht="15" customHeight="1" x14ac:dyDescent="0.25">
      <c r="A118" s="66"/>
      <c r="B118" s="68"/>
      <c r="C118" s="67"/>
      <c r="D118" s="67"/>
      <c r="E118" s="67"/>
      <c r="F118" s="67"/>
      <c r="G118" s="67"/>
      <c r="H118" s="67"/>
      <c r="I118" s="67"/>
      <c r="J118" s="67"/>
      <c r="K118" s="61"/>
      <c r="L118" s="68"/>
      <c r="M118" s="67"/>
      <c r="N118" s="67"/>
      <c r="O118" s="67"/>
      <c r="P118" s="67"/>
      <c r="Q118" s="67"/>
      <c r="R118" s="67"/>
      <c r="S118" s="67"/>
      <c r="T118" s="61"/>
      <c r="U118" s="68"/>
      <c r="V118" s="67"/>
      <c r="W118" s="67"/>
      <c r="X118" s="67"/>
      <c r="Y118" s="67"/>
      <c r="Z118" s="67"/>
      <c r="AA118" s="67"/>
      <c r="AB118" s="67"/>
      <c r="AC118" s="61"/>
      <c r="AD118" s="68"/>
      <c r="AE118" s="67"/>
      <c r="AF118" s="67"/>
      <c r="AG118" s="67"/>
      <c r="AH118" s="67"/>
      <c r="AI118" s="67"/>
      <c r="AJ118" s="67"/>
      <c r="AK118" s="67"/>
      <c r="AL118" s="61"/>
      <c r="AM118" s="68"/>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1"/>
      <c r="BJ118" s="67"/>
      <c r="BK118" s="69"/>
      <c r="BM118" s="9">
        <f t="shared" si="1"/>
        <v>11</v>
      </c>
    </row>
    <row r="119" spans="1:65" ht="15" customHeight="1" x14ac:dyDescent="0.25">
      <c r="A119" s="66"/>
      <c r="B119" s="68"/>
      <c r="C119" s="67"/>
      <c r="D119" s="67"/>
      <c r="E119" s="67"/>
      <c r="F119" s="67"/>
      <c r="G119" s="67"/>
      <c r="H119" s="67"/>
      <c r="I119" s="67"/>
      <c r="J119" s="67"/>
      <c r="K119" s="61"/>
      <c r="L119" s="68"/>
      <c r="M119" s="67"/>
      <c r="N119" s="67"/>
      <c r="O119" s="67"/>
      <c r="P119" s="67"/>
      <c r="Q119" s="67"/>
      <c r="R119" s="67"/>
      <c r="S119" s="67"/>
      <c r="T119" s="61"/>
      <c r="U119" s="68"/>
      <c r="V119" s="67"/>
      <c r="W119" s="67"/>
      <c r="X119" s="67"/>
      <c r="Y119" s="67"/>
      <c r="Z119" s="67"/>
      <c r="AA119" s="67"/>
      <c r="AB119" s="67"/>
      <c r="AC119" s="61"/>
      <c r="AD119" s="68"/>
      <c r="AE119" s="67"/>
      <c r="AF119" s="67"/>
      <c r="AG119" s="67"/>
      <c r="AH119" s="67"/>
      <c r="AI119" s="67"/>
      <c r="AJ119" s="67"/>
      <c r="AK119" s="67"/>
      <c r="AL119" s="61"/>
      <c r="AM119" s="68"/>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1"/>
      <c r="BJ119" s="67"/>
      <c r="BK119" s="69"/>
      <c r="BM119" s="9">
        <f t="shared" si="1"/>
        <v>12</v>
      </c>
    </row>
    <row r="120" spans="1:65" ht="15" customHeight="1" x14ac:dyDescent="0.25">
      <c r="A120" s="66"/>
      <c r="B120" s="68"/>
      <c r="C120" s="67"/>
      <c r="D120" s="67"/>
      <c r="E120" s="67"/>
      <c r="F120" s="67"/>
      <c r="G120" s="67"/>
      <c r="H120" s="67"/>
      <c r="I120" s="67"/>
      <c r="J120" s="67"/>
      <c r="K120" s="61"/>
      <c r="L120" s="68"/>
      <c r="M120" s="67"/>
      <c r="N120" s="67"/>
      <c r="O120" s="67"/>
      <c r="P120" s="67"/>
      <c r="Q120" s="67"/>
      <c r="R120" s="67"/>
      <c r="S120" s="67"/>
      <c r="T120" s="61"/>
      <c r="U120" s="68"/>
      <c r="V120" s="67"/>
      <c r="W120" s="67"/>
      <c r="X120" s="67"/>
      <c r="Y120" s="67"/>
      <c r="Z120" s="67"/>
      <c r="AA120" s="67"/>
      <c r="AB120" s="67"/>
      <c r="AC120" s="61"/>
      <c r="AD120" s="68"/>
      <c r="AE120" s="67"/>
      <c r="AF120" s="67"/>
      <c r="AG120" s="67"/>
      <c r="AH120" s="67"/>
      <c r="AI120" s="67"/>
      <c r="AJ120" s="67"/>
      <c r="AK120" s="67"/>
      <c r="AL120" s="61"/>
      <c r="AM120" s="68"/>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1"/>
      <c r="BJ120" s="67"/>
      <c r="BK120" s="69"/>
      <c r="BM120" s="9">
        <f t="shared" si="1"/>
        <v>13</v>
      </c>
    </row>
    <row r="121" spans="1:65" ht="15" customHeight="1" x14ac:dyDescent="0.25">
      <c r="A121" s="66"/>
      <c r="B121" s="68"/>
      <c r="C121" s="67"/>
      <c r="D121" s="67"/>
      <c r="E121" s="67"/>
      <c r="F121" s="67"/>
      <c r="G121" s="67"/>
      <c r="H121" s="67"/>
      <c r="I121" s="67"/>
      <c r="J121" s="67"/>
      <c r="K121" s="61"/>
      <c r="L121" s="68"/>
      <c r="M121" s="67"/>
      <c r="N121" s="67"/>
      <c r="O121" s="67"/>
      <c r="P121" s="67"/>
      <c r="Q121" s="67"/>
      <c r="R121" s="67"/>
      <c r="S121" s="67"/>
      <c r="T121" s="61"/>
      <c r="U121" s="68"/>
      <c r="V121" s="67"/>
      <c r="W121" s="67"/>
      <c r="X121" s="67"/>
      <c r="Y121" s="67"/>
      <c r="Z121" s="67"/>
      <c r="AA121" s="67"/>
      <c r="AB121" s="67"/>
      <c r="AC121" s="61"/>
      <c r="AD121" s="68"/>
      <c r="AE121" s="67"/>
      <c r="AF121" s="67"/>
      <c r="AG121" s="67"/>
      <c r="AH121" s="67"/>
      <c r="AI121" s="67"/>
      <c r="AJ121" s="67"/>
      <c r="AK121" s="67"/>
      <c r="AL121" s="61"/>
      <c r="AM121" s="68"/>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1"/>
      <c r="BJ121" s="67"/>
      <c r="BK121" s="69"/>
      <c r="BM121" s="9">
        <f t="shared" si="1"/>
        <v>14</v>
      </c>
    </row>
    <row r="122" spans="1:65" ht="15" customHeight="1" x14ac:dyDescent="0.25">
      <c r="A122" s="66"/>
      <c r="B122" s="68"/>
      <c r="C122" s="67"/>
      <c r="D122" s="67"/>
      <c r="E122" s="67"/>
      <c r="F122" s="67"/>
      <c r="G122" s="67"/>
      <c r="H122" s="67"/>
      <c r="I122" s="67"/>
      <c r="J122" s="67"/>
      <c r="K122" s="61"/>
      <c r="L122" s="68"/>
      <c r="M122" s="67"/>
      <c r="N122" s="67"/>
      <c r="O122" s="67"/>
      <c r="P122" s="67"/>
      <c r="Q122" s="67"/>
      <c r="R122" s="67"/>
      <c r="S122" s="67"/>
      <c r="T122" s="61"/>
      <c r="U122" s="68"/>
      <c r="V122" s="67"/>
      <c r="W122" s="67"/>
      <c r="X122" s="67"/>
      <c r="Y122" s="67"/>
      <c r="Z122" s="67"/>
      <c r="AA122" s="67"/>
      <c r="AB122" s="67"/>
      <c r="AC122" s="61"/>
      <c r="AD122" s="68"/>
      <c r="AE122" s="67"/>
      <c r="AF122" s="67"/>
      <c r="AG122" s="67"/>
      <c r="AH122" s="67"/>
      <c r="AI122" s="67"/>
      <c r="AJ122" s="67"/>
      <c r="AK122" s="67"/>
      <c r="AL122" s="61"/>
      <c r="AM122" s="68"/>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1"/>
      <c r="BJ122" s="67"/>
      <c r="BK122" s="69"/>
      <c r="BM122" s="9">
        <f t="shared" si="1"/>
        <v>15</v>
      </c>
    </row>
    <row r="123" spans="1:65" ht="15" customHeight="1" x14ac:dyDescent="0.25">
      <c r="A123" s="66"/>
      <c r="B123" s="68"/>
      <c r="C123" s="67"/>
      <c r="D123" s="67"/>
      <c r="E123" s="67"/>
      <c r="F123" s="67"/>
      <c r="G123" s="67"/>
      <c r="H123" s="67"/>
      <c r="I123" s="67"/>
      <c r="J123" s="67"/>
      <c r="K123" s="61"/>
      <c r="L123" s="68"/>
      <c r="M123" s="67"/>
      <c r="N123" s="67"/>
      <c r="O123" s="67"/>
      <c r="P123" s="67"/>
      <c r="Q123" s="67"/>
      <c r="R123" s="67"/>
      <c r="S123" s="67"/>
      <c r="T123" s="61"/>
      <c r="U123" s="68"/>
      <c r="V123" s="67"/>
      <c r="W123" s="67"/>
      <c r="X123" s="67"/>
      <c r="Y123" s="67"/>
      <c r="Z123" s="67"/>
      <c r="AA123" s="67"/>
      <c r="AB123" s="67"/>
      <c r="AC123" s="61"/>
      <c r="AD123" s="68"/>
      <c r="AE123" s="67"/>
      <c r="AF123" s="67"/>
      <c r="AG123" s="67"/>
      <c r="AH123" s="67"/>
      <c r="AI123" s="67"/>
      <c r="AJ123" s="67"/>
      <c r="AK123" s="67"/>
      <c r="AL123" s="61"/>
      <c r="AM123" s="68"/>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1"/>
      <c r="BJ123" s="67"/>
      <c r="BK123" s="69"/>
      <c r="BM123" s="9">
        <f t="shared" si="1"/>
        <v>16</v>
      </c>
    </row>
    <row r="124" spans="1:65" ht="15" customHeight="1" x14ac:dyDescent="0.25">
      <c r="A124" s="66"/>
      <c r="B124" s="68"/>
      <c r="C124" s="67"/>
      <c r="D124" s="67"/>
      <c r="E124" s="67"/>
      <c r="F124" s="67"/>
      <c r="G124" s="67"/>
      <c r="H124" s="67"/>
      <c r="I124" s="67"/>
      <c r="J124" s="67"/>
      <c r="K124" s="61"/>
      <c r="L124" s="68"/>
      <c r="M124" s="67"/>
      <c r="N124" s="67"/>
      <c r="O124" s="67"/>
      <c r="P124" s="67"/>
      <c r="Q124" s="67"/>
      <c r="R124" s="67"/>
      <c r="S124" s="67"/>
      <c r="T124" s="61"/>
      <c r="U124" s="68"/>
      <c r="V124" s="67"/>
      <c r="W124" s="67"/>
      <c r="X124" s="67"/>
      <c r="Y124" s="67"/>
      <c r="Z124" s="67"/>
      <c r="AA124" s="67"/>
      <c r="AB124" s="67"/>
      <c r="AC124" s="61"/>
      <c r="AD124" s="68"/>
      <c r="AE124" s="67"/>
      <c r="AF124" s="67"/>
      <c r="AG124" s="67"/>
      <c r="AH124" s="67"/>
      <c r="AI124" s="67"/>
      <c r="AJ124" s="67"/>
      <c r="AK124" s="67"/>
      <c r="AL124" s="61"/>
      <c r="AM124" s="68"/>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1"/>
      <c r="BJ124" s="67"/>
      <c r="BK124" s="69"/>
      <c r="BM124" s="9">
        <f t="shared" si="1"/>
        <v>17</v>
      </c>
    </row>
    <row r="125" spans="1:65" ht="15" customHeight="1" x14ac:dyDescent="0.25">
      <c r="A125" s="66"/>
      <c r="B125" s="68"/>
      <c r="C125" s="67"/>
      <c r="D125" s="67"/>
      <c r="E125" s="67"/>
      <c r="F125" s="67"/>
      <c r="G125" s="67"/>
      <c r="H125" s="67"/>
      <c r="I125" s="67"/>
      <c r="J125" s="67"/>
      <c r="K125" s="61"/>
      <c r="L125" s="68"/>
      <c r="M125" s="67"/>
      <c r="N125" s="67"/>
      <c r="O125" s="67"/>
      <c r="P125" s="67"/>
      <c r="Q125" s="67"/>
      <c r="R125" s="67"/>
      <c r="S125" s="67"/>
      <c r="T125" s="61"/>
      <c r="U125" s="68"/>
      <c r="V125" s="67"/>
      <c r="W125" s="67"/>
      <c r="X125" s="67"/>
      <c r="Y125" s="67"/>
      <c r="Z125" s="67"/>
      <c r="AA125" s="67"/>
      <c r="AB125" s="67"/>
      <c r="AC125" s="61"/>
      <c r="AD125" s="68"/>
      <c r="AE125" s="67"/>
      <c r="AF125" s="67"/>
      <c r="AG125" s="67"/>
      <c r="AH125" s="67"/>
      <c r="AI125" s="67"/>
      <c r="AJ125" s="67"/>
      <c r="AK125" s="67"/>
      <c r="AL125" s="61"/>
      <c r="AM125" s="68"/>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1"/>
      <c r="BJ125" s="67"/>
      <c r="BK125" s="69"/>
      <c r="BM125" s="9">
        <f t="shared" si="1"/>
        <v>18</v>
      </c>
    </row>
    <row r="126" spans="1:65" ht="15" customHeight="1" x14ac:dyDescent="0.25">
      <c r="A126" s="66"/>
      <c r="B126" s="68"/>
      <c r="C126" s="67"/>
      <c r="D126" s="67"/>
      <c r="E126" s="67"/>
      <c r="F126" s="67"/>
      <c r="G126" s="67"/>
      <c r="H126" s="67"/>
      <c r="I126" s="67"/>
      <c r="J126" s="67"/>
      <c r="K126" s="61"/>
      <c r="L126" s="68"/>
      <c r="M126" s="67"/>
      <c r="N126" s="67"/>
      <c r="O126" s="67"/>
      <c r="P126" s="67"/>
      <c r="Q126" s="67"/>
      <c r="R126" s="67"/>
      <c r="S126" s="67"/>
      <c r="T126" s="61"/>
      <c r="U126" s="68"/>
      <c r="V126" s="67"/>
      <c r="W126" s="67"/>
      <c r="X126" s="67"/>
      <c r="Y126" s="67"/>
      <c r="Z126" s="67"/>
      <c r="AA126" s="67"/>
      <c r="AB126" s="67"/>
      <c r="AC126" s="61"/>
      <c r="AD126" s="68"/>
      <c r="AE126" s="67"/>
      <c r="AF126" s="67"/>
      <c r="AG126" s="67"/>
      <c r="AH126" s="67"/>
      <c r="AI126" s="67"/>
      <c r="AJ126" s="67"/>
      <c r="AK126" s="67"/>
      <c r="AL126" s="61"/>
      <c r="AM126" s="68"/>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1"/>
      <c r="BJ126" s="67"/>
      <c r="BK126" s="69"/>
      <c r="BM126" s="9">
        <f t="shared" si="1"/>
        <v>19</v>
      </c>
    </row>
    <row r="127" spans="1:65" ht="15" customHeight="1" x14ac:dyDescent="0.25">
      <c r="A127" s="66"/>
      <c r="B127" s="68"/>
      <c r="C127" s="67"/>
      <c r="D127" s="67"/>
      <c r="E127" s="67"/>
      <c r="F127" s="67"/>
      <c r="G127" s="67"/>
      <c r="H127" s="67"/>
      <c r="I127" s="67"/>
      <c r="J127" s="67"/>
      <c r="K127" s="61"/>
      <c r="L127" s="68"/>
      <c r="M127" s="67"/>
      <c r="N127" s="67"/>
      <c r="O127" s="67"/>
      <c r="P127" s="67"/>
      <c r="Q127" s="67"/>
      <c r="R127" s="67"/>
      <c r="S127" s="67"/>
      <c r="T127" s="61"/>
      <c r="U127" s="68"/>
      <c r="V127" s="67"/>
      <c r="W127" s="67"/>
      <c r="X127" s="67"/>
      <c r="Y127" s="67"/>
      <c r="Z127" s="67"/>
      <c r="AA127" s="67"/>
      <c r="AB127" s="67"/>
      <c r="AC127" s="61"/>
      <c r="AD127" s="68"/>
      <c r="AE127" s="67"/>
      <c r="AF127" s="67"/>
      <c r="AG127" s="67"/>
      <c r="AH127" s="67"/>
      <c r="AI127" s="67"/>
      <c r="AJ127" s="67"/>
      <c r="AK127" s="67"/>
      <c r="AL127" s="61"/>
      <c r="AM127" s="68"/>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1"/>
      <c r="BJ127" s="67"/>
      <c r="BK127" s="69"/>
      <c r="BM127" s="9">
        <f t="shared" si="1"/>
        <v>20</v>
      </c>
    </row>
    <row r="128" spans="1:65" ht="15" customHeight="1" x14ac:dyDescent="0.25">
      <c r="A128" s="66"/>
      <c r="B128" s="68"/>
      <c r="C128" s="67"/>
      <c r="D128" s="67"/>
      <c r="E128" s="67"/>
      <c r="F128" s="67"/>
      <c r="G128" s="67"/>
      <c r="H128" s="67"/>
      <c r="I128" s="67"/>
      <c r="J128" s="67"/>
      <c r="K128" s="61"/>
      <c r="L128" s="68"/>
      <c r="M128" s="67"/>
      <c r="N128" s="67"/>
      <c r="O128" s="67"/>
      <c r="P128" s="67"/>
      <c r="Q128" s="67"/>
      <c r="R128" s="67"/>
      <c r="S128" s="67"/>
      <c r="T128" s="61"/>
      <c r="U128" s="68"/>
      <c r="V128" s="67"/>
      <c r="W128" s="67"/>
      <c r="X128" s="67"/>
      <c r="Y128" s="67"/>
      <c r="Z128" s="67"/>
      <c r="AA128" s="67"/>
      <c r="AB128" s="67"/>
      <c r="AC128" s="61"/>
      <c r="AD128" s="68"/>
      <c r="AE128" s="67"/>
      <c r="AF128" s="67"/>
      <c r="AG128" s="67"/>
      <c r="AH128" s="67"/>
      <c r="AI128" s="67"/>
      <c r="AJ128" s="67"/>
      <c r="AK128" s="67"/>
      <c r="AL128" s="61"/>
      <c r="AM128" s="68"/>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1"/>
      <c r="BJ128" s="67"/>
      <c r="BK128" s="69"/>
      <c r="BM128" s="9">
        <f t="shared" si="1"/>
        <v>21</v>
      </c>
    </row>
    <row r="129" spans="1:65" ht="15" customHeight="1" x14ac:dyDescent="0.25">
      <c r="A129" s="66"/>
      <c r="B129" s="68"/>
      <c r="C129" s="67"/>
      <c r="D129" s="67"/>
      <c r="E129" s="67"/>
      <c r="F129" s="67"/>
      <c r="G129" s="67"/>
      <c r="H129" s="67"/>
      <c r="I129" s="67"/>
      <c r="J129" s="67"/>
      <c r="K129" s="61"/>
      <c r="L129" s="68"/>
      <c r="M129" s="67"/>
      <c r="N129" s="67"/>
      <c r="O129" s="67"/>
      <c r="P129" s="67"/>
      <c r="Q129" s="67"/>
      <c r="R129" s="67"/>
      <c r="S129" s="67"/>
      <c r="T129" s="61"/>
      <c r="U129" s="68"/>
      <c r="V129" s="67"/>
      <c r="W129" s="67"/>
      <c r="X129" s="67"/>
      <c r="Y129" s="67"/>
      <c r="Z129" s="67"/>
      <c r="AA129" s="67"/>
      <c r="AB129" s="67"/>
      <c r="AC129" s="61"/>
      <c r="AD129" s="68"/>
      <c r="AE129" s="67"/>
      <c r="AF129" s="67"/>
      <c r="AG129" s="67"/>
      <c r="AH129" s="67"/>
      <c r="AI129" s="67"/>
      <c r="AJ129" s="67"/>
      <c r="AK129" s="67"/>
      <c r="AL129" s="61"/>
      <c r="AM129" s="68"/>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1"/>
      <c r="BJ129" s="67"/>
      <c r="BK129" s="69"/>
      <c r="BM129" s="9">
        <f t="shared" si="1"/>
        <v>22</v>
      </c>
    </row>
    <row r="130" spans="1:65" ht="15" customHeight="1" x14ac:dyDescent="0.25">
      <c r="A130" s="66"/>
      <c r="B130" s="68"/>
      <c r="C130" s="67"/>
      <c r="D130" s="67"/>
      <c r="E130" s="67"/>
      <c r="F130" s="67"/>
      <c r="G130" s="67"/>
      <c r="H130" s="67"/>
      <c r="I130" s="67"/>
      <c r="J130" s="67"/>
      <c r="K130" s="61"/>
      <c r="L130" s="68"/>
      <c r="M130" s="67"/>
      <c r="N130" s="67"/>
      <c r="O130" s="67"/>
      <c r="P130" s="67"/>
      <c r="Q130" s="67"/>
      <c r="R130" s="67"/>
      <c r="S130" s="67"/>
      <c r="T130" s="61"/>
      <c r="U130" s="68"/>
      <c r="V130" s="67"/>
      <c r="W130" s="67"/>
      <c r="X130" s="67"/>
      <c r="Y130" s="67"/>
      <c r="Z130" s="67"/>
      <c r="AA130" s="67"/>
      <c r="AB130" s="67"/>
      <c r="AC130" s="61"/>
      <c r="AD130" s="68"/>
      <c r="AE130" s="67"/>
      <c r="AF130" s="67"/>
      <c r="AG130" s="67"/>
      <c r="AH130" s="67"/>
      <c r="AI130" s="67"/>
      <c r="AJ130" s="67"/>
      <c r="AK130" s="67"/>
      <c r="AL130" s="61"/>
      <c r="AM130" s="68"/>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1"/>
      <c r="BJ130" s="67"/>
      <c r="BK130" s="69"/>
      <c r="BM130" s="9">
        <f t="shared" si="1"/>
        <v>23</v>
      </c>
    </row>
    <row r="131" spans="1:65" ht="15" customHeight="1" x14ac:dyDescent="0.25">
      <c r="A131" s="66"/>
      <c r="B131" s="68"/>
      <c r="C131" s="67"/>
      <c r="D131" s="67"/>
      <c r="E131" s="67"/>
      <c r="F131" s="67"/>
      <c r="G131" s="67"/>
      <c r="H131" s="67"/>
      <c r="I131" s="67"/>
      <c r="J131" s="67"/>
      <c r="K131" s="61"/>
      <c r="L131" s="68"/>
      <c r="M131" s="67"/>
      <c r="N131" s="67"/>
      <c r="O131" s="67"/>
      <c r="P131" s="67"/>
      <c r="Q131" s="67"/>
      <c r="R131" s="67"/>
      <c r="S131" s="67"/>
      <c r="T131" s="61"/>
      <c r="U131" s="68"/>
      <c r="V131" s="67"/>
      <c r="W131" s="67"/>
      <c r="X131" s="67"/>
      <c r="Y131" s="67"/>
      <c r="Z131" s="67"/>
      <c r="AA131" s="67"/>
      <c r="AB131" s="67"/>
      <c r="AC131" s="61"/>
      <c r="AD131" s="68"/>
      <c r="AE131" s="67"/>
      <c r="AF131" s="67"/>
      <c r="AG131" s="67"/>
      <c r="AH131" s="67"/>
      <c r="AI131" s="67"/>
      <c r="AJ131" s="67"/>
      <c r="AK131" s="67"/>
      <c r="AL131" s="61"/>
      <c r="AM131" s="68"/>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1"/>
      <c r="BJ131" s="67"/>
      <c r="BK131" s="69"/>
      <c r="BM131" s="9">
        <f t="shared" si="1"/>
        <v>24</v>
      </c>
    </row>
    <row r="132" spans="1:65" ht="15" customHeight="1" x14ac:dyDescent="0.25">
      <c r="A132" s="66"/>
      <c r="B132" s="68"/>
      <c r="C132" s="67"/>
      <c r="D132" s="67"/>
      <c r="E132" s="67"/>
      <c r="F132" s="67"/>
      <c r="G132" s="67"/>
      <c r="H132" s="67"/>
      <c r="I132" s="67"/>
      <c r="J132" s="67"/>
      <c r="K132" s="61"/>
      <c r="L132" s="68"/>
      <c r="M132" s="67"/>
      <c r="N132" s="67"/>
      <c r="O132" s="67"/>
      <c r="P132" s="67"/>
      <c r="Q132" s="67"/>
      <c r="R132" s="67"/>
      <c r="S132" s="67"/>
      <c r="T132" s="61"/>
      <c r="U132" s="68"/>
      <c r="V132" s="67"/>
      <c r="W132" s="67"/>
      <c r="X132" s="67"/>
      <c r="Y132" s="67"/>
      <c r="Z132" s="67"/>
      <c r="AA132" s="67"/>
      <c r="AB132" s="67"/>
      <c r="AC132" s="61"/>
      <c r="AD132" s="68"/>
      <c r="AE132" s="67"/>
      <c r="AF132" s="67"/>
      <c r="AG132" s="67"/>
      <c r="AH132" s="67"/>
      <c r="AI132" s="67"/>
      <c r="AJ132" s="67"/>
      <c r="AK132" s="67"/>
      <c r="AL132" s="61"/>
      <c r="AM132" s="68"/>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1"/>
      <c r="BJ132" s="67"/>
      <c r="BK132" s="69"/>
      <c r="BM132" s="9">
        <f t="shared" si="1"/>
        <v>25</v>
      </c>
    </row>
    <row r="133" spans="1:65" ht="15" customHeight="1" x14ac:dyDescent="0.25">
      <c r="A133" s="66"/>
      <c r="B133" s="68"/>
      <c r="C133" s="67"/>
      <c r="D133" s="67"/>
      <c r="E133" s="67"/>
      <c r="F133" s="67"/>
      <c r="G133" s="67"/>
      <c r="H133" s="67"/>
      <c r="I133" s="67"/>
      <c r="J133" s="67"/>
      <c r="K133" s="61"/>
      <c r="L133" s="68"/>
      <c r="M133" s="67"/>
      <c r="N133" s="67"/>
      <c r="O133" s="67"/>
      <c r="P133" s="67"/>
      <c r="Q133" s="67"/>
      <c r="R133" s="67"/>
      <c r="S133" s="67"/>
      <c r="T133" s="61"/>
      <c r="U133" s="68"/>
      <c r="V133" s="67"/>
      <c r="W133" s="67"/>
      <c r="X133" s="67"/>
      <c r="Y133" s="67"/>
      <c r="Z133" s="67"/>
      <c r="AA133" s="67"/>
      <c r="AB133" s="67"/>
      <c r="AC133" s="61"/>
      <c r="AD133" s="68"/>
      <c r="AE133" s="67"/>
      <c r="AF133" s="67"/>
      <c r="AG133" s="67"/>
      <c r="AH133" s="67"/>
      <c r="AI133" s="67"/>
      <c r="AJ133" s="67"/>
      <c r="AK133" s="67"/>
      <c r="AL133" s="61"/>
      <c r="AM133" s="68"/>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1"/>
      <c r="BJ133" s="67"/>
      <c r="BK133" s="69"/>
      <c r="BM133" s="9">
        <f t="shared" si="1"/>
        <v>26</v>
      </c>
    </row>
    <row r="134" spans="1:65" ht="15" customHeight="1" x14ac:dyDescent="0.25">
      <c r="A134" s="66"/>
      <c r="B134" s="68"/>
      <c r="C134" s="67"/>
      <c r="D134" s="67"/>
      <c r="E134" s="67"/>
      <c r="F134" s="67"/>
      <c r="G134" s="67"/>
      <c r="H134" s="67"/>
      <c r="I134" s="67"/>
      <c r="J134" s="67"/>
      <c r="K134" s="61"/>
      <c r="L134" s="68"/>
      <c r="M134" s="67"/>
      <c r="N134" s="67"/>
      <c r="O134" s="67"/>
      <c r="P134" s="67"/>
      <c r="Q134" s="67"/>
      <c r="R134" s="67"/>
      <c r="S134" s="67"/>
      <c r="T134" s="61"/>
      <c r="U134" s="68"/>
      <c r="V134" s="67"/>
      <c r="W134" s="67"/>
      <c r="X134" s="67"/>
      <c r="Y134" s="67"/>
      <c r="Z134" s="67"/>
      <c r="AA134" s="67"/>
      <c r="AB134" s="67"/>
      <c r="AC134" s="61"/>
      <c r="AD134" s="68"/>
      <c r="AE134" s="67"/>
      <c r="AF134" s="67"/>
      <c r="AG134" s="67"/>
      <c r="AH134" s="67"/>
      <c r="AI134" s="67"/>
      <c r="AJ134" s="67"/>
      <c r="AK134" s="67"/>
      <c r="AL134" s="61"/>
      <c r="AM134" s="68"/>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1"/>
      <c r="BJ134" s="67"/>
      <c r="BK134" s="69"/>
      <c r="BM134" s="9">
        <f t="shared" si="1"/>
        <v>27</v>
      </c>
    </row>
    <row r="135" spans="1:65" ht="15" customHeight="1" x14ac:dyDescent="0.25">
      <c r="A135" s="66"/>
      <c r="B135" s="68"/>
      <c r="C135" s="67"/>
      <c r="D135" s="67"/>
      <c r="E135" s="67"/>
      <c r="F135" s="67"/>
      <c r="G135" s="67"/>
      <c r="H135" s="67"/>
      <c r="I135" s="67"/>
      <c r="J135" s="67"/>
      <c r="K135" s="61"/>
      <c r="L135" s="68"/>
      <c r="M135" s="67"/>
      <c r="N135" s="67"/>
      <c r="O135" s="67"/>
      <c r="P135" s="67"/>
      <c r="Q135" s="67"/>
      <c r="R135" s="67"/>
      <c r="S135" s="67"/>
      <c r="T135" s="61"/>
      <c r="U135" s="68"/>
      <c r="V135" s="67"/>
      <c r="W135" s="67"/>
      <c r="X135" s="67"/>
      <c r="Y135" s="67"/>
      <c r="Z135" s="67"/>
      <c r="AA135" s="67"/>
      <c r="AB135" s="67"/>
      <c r="AC135" s="61"/>
      <c r="AD135" s="68"/>
      <c r="AE135" s="67"/>
      <c r="AF135" s="67"/>
      <c r="AG135" s="67"/>
      <c r="AH135" s="67"/>
      <c r="AI135" s="67"/>
      <c r="AJ135" s="67"/>
      <c r="AK135" s="67"/>
      <c r="AL135" s="61"/>
      <c r="AM135" s="68"/>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1"/>
      <c r="BJ135" s="67"/>
      <c r="BK135" s="69"/>
      <c r="BM135" s="9">
        <f t="shared" si="1"/>
        <v>28</v>
      </c>
    </row>
    <row r="136" spans="1:65" ht="15" customHeight="1" x14ac:dyDescent="0.25">
      <c r="A136" s="66"/>
      <c r="B136" s="68"/>
      <c r="C136" s="67"/>
      <c r="D136" s="67"/>
      <c r="E136" s="67"/>
      <c r="F136" s="67"/>
      <c r="G136" s="67"/>
      <c r="H136" s="67"/>
      <c r="I136" s="67"/>
      <c r="J136" s="67"/>
      <c r="K136" s="61"/>
      <c r="L136" s="68"/>
      <c r="M136" s="67"/>
      <c r="N136" s="67"/>
      <c r="O136" s="67"/>
      <c r="P136" s="67"/>
      <c r="Q136" s="67"/>
      <c r="R136" s="67"/>
      <c r="S136" s="67"/>
      <c r="T136" s="61"/>
      <c r="U136" s="68"/>
      <c r="V136" s="67"/>
      <c r="W136" s="67"/>
      <c r="X136" s="67"/>
      <c r="Y136" s="67"/>
      <c r="Z136" s="67"/>
      <c r="AA136" s="67"/>
      <c r="AB136" s="67"/>
      <c r="AC136" s="61"/>
      <c r="AD136" s="68"/>
      <c r="AE136" s="67"/>
      <c r="AF136" s="67"/>
      <c r="AG136" s="67"/>
      <c r="AH136" s="67"/>
      <c r="AI136" s="67"/>
      <c r="AJ136" s="67"/>
      <c r="AK136" s="67"/>
      <c r="AL136" s="61"/>
      <c r="AM136" s="68"/>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1"/>
      <c r="BJ136" s="67"/>
      <c r="BK136" s="69"/>
      <c r="BM136" s="9">
        <f t="shared" ref="BM136:BM158" si="2">IF(BM135=50,1,BM135+1)</f>
        <v>29</v>
      </c>
    </row>
    <row r="137" spans="1:65" ht="15" customHeight="1" x14ac:dyDescent="0.25">
      <c r="A137" s="66"/>
      <c r="B137" s="68"/>
      <c r="C137" s="67"/>
      <c r="D137" s="67"/>
      <c r="E137" s="67"/>
      <c r="F137" s="67"/>
      <c r="G137" s="67"/>
      <c r="H137" s="67"/>
      <c r="I137" s="67"/>
      <c r="J137" s="67"/>
      <c r="K137" s="61"/>
      <c r="L137" s="68"/>
      <c r="M137" s="67"/>
      <c r="N137" s="67"/>
      <c r="O137" s="67"/>
      <c r="P137" s="67"/>
      <c r="Q137" s="67"/>
      <c r="R137" s="67"/>
      <c r="S137" s="67"/>
      <c r="T137" s="61"/>
      <c r="U137" s="68"/>
      <c r="V137" s="67"/>
      <c r="W137" s="67"/>
      <c r="X137" s="67"/>
      <c r="Y137" s="67"/>
      <c r="Z137" s="67"/>
      <c r="AA137" s="67"/>
      <c r="AB137" s="67"/>
      <c r="AC137" s="61"/>
      <c r="AD137" s="68"/>
      <c r="AE137" s="67"/>
      <c r="AF137" s="67"/>
      <c r="AG137" s="67"/>
      <c r="AH137" s="67"/>
      <c r="AI137" s="67"/>
      <c r="AJ137" s="67"/>
      <c r="AK137" s="67"/>
      <c r="AL137" s="61"/>
      <c r="AM137" s="68"/>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1"/>
      <c r="BJ137" s="67"/>
      <c r="BK137" s="69"/>
      <c r="BM137" s="9">
        <f t="shared" si="2"/>
        <v>30</v>
      </c>
    </row>
    <row r="138" spans="1:65" ht="15" customHeight="1" x14ac:dyDescent="0.25">
      <c r="A138" s="66"/>
      <c r="B138" s="68"/>
      <c r="C138" s="67"/>
      <c r="D138" s="67"/>
      <c r="E138" s="67"/>
      <c r="F138" s="67"/>
      <c r="G138" s="67"/>
      <c r="H138" s="67"/>
      <c r="I138" s="67"/>
      <c r="J138" s="67"/>
      <c r="K138" s="61"/>
      <c r="L138" s="68"/>
      <c r="M138" s="67"/>
      <c r="N138" s="67"/>
      <c r="O138" s="67"/>
      <c r="P138" s="67"/>
      <c r="Q138" s="67"/>
      <c r="R138" s="67"/>
      <c r="S138" s="67"/>
      <c r="T138" s="61"/>
      <c r="U138" s="68"/>
      <c r="V138" s="67"/>
      <c r="W138" s="67"/>
      <c r="X138" s="67"/>
      <c r="Y138" s="67"/>
      <c r="Z138" s="67"/>
      <c r="AA138" s="67"/>
      <c r="AB138" s="67"/>
      <c r="AC138" s="61"/>
      <c r="AD138" s="68"/>
      <c r="AE138" s="67"/>
      <c r="AF138" s="67"/>
      <c r="AG138" s="67"/>
      <c r="AH138" s="67"/>
      <c r="AI138" s="67"/>
      <c r="AJ138" s="67"/>
      <c r="AK138" s="67"/>
      <c r="AL138" s="61"/>
      <c r="AM138" s="68"/>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1"/>
      <c r="BJ138" s="67"/>
      <c r="BK138" s="69"/>
      <c r="BM138" s="9">
        <f t="shared" si="2"/>
        <v>31</v>
      </c>
    </row>
    <row r="139" spans="1:65" ht="15" customHeight="1" x14ac:dyDescent="0.25">
      <c r="A139" s="66"/>
      <c r="B139" s="68"/>
      <c r="C139" s="67"/>
      <c r="D139" s="67"/>
      <c r="E139" s="67"/>
      <c r="F139" s="67"/>
      <c r="G139" s="67"/>
      <c r="H139" s="67"/>
      <c r="I139" s="67"/>
      <c r="J139" s="67"/>
      <c r="K139" s="61"/>
      <c r="L139" s="68"/>
      <c r="M139" s="67"/>
      <c r="N139" s="67"/>
      <c r="O139" s="67"/>
      <c r="P139" s="67"/>
      <c r="Q139" s="67"/>
      <c r="R139" s="67"/>
      <c r="S139" s="67"/>
      <c r="T139" s="61"/>
      <c r="U139" s="68"/>
      <c r="V139" s="67"/>
      <c r="W139" s="67"/>
      <c r="X139" s="67"/>
      <c r="Y139" s="67"/>
      <c r="Z139" s="67"/>
      <c r="AA139" s="67"/>
      <c r="AB139" s="67"/>
      <c r="AC139" s="61"/>
      <c r="AD139" s="68"/>
      <c r="AE139" s="67"/>
      <c r="AF139" s="67"/>
      <c r="AG139" s="67"/>
      <c r="AH139" s="67"/>
      <c r="AI139" s="67"/>
      <c r="AJ139" s="67"/>
      <c r="AK139" s="67"/>
      <c r="AL139" s="61"/>
      <c r="AM139" s="68"/>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1"/>
      <c r="BJ139" s="67"/>
      <c r="BK139" s="69"/>
      <c r="BM139" s="9">
        <f t="shared" si="2"/>
        <v>32</v>
      </c>
    </row>
    <row r="140" spans="1:65" ht="15" customHeight="1" x14ac:dyDescent="0.25">
      <c r="A140" s="66"/>
      <c r="B140" s="68"/>
      <c r="C140" s="67"/>
      <c r="D140" s="67"/>
      <c r="E140" s="67"/>
      <c r="F140" s="67"/>
      <c r="G140" s="67"/>
      <c r="H140" s="67"/>
      <c r="I140" s="67"/>
      <c r="J140" s="67"/>
      <c r="K140" s="61"/>
      <c r="L140" s="68"/>
      <c r="M140" s="67"/>
      <c r="N140" s="67"/>
      <c r="O140" s="67"/>
      <c r="P140" s="67"/>
      <c r="Q140" s="67"/>
      <c r="R140" s="67"/>
      <c r="S140" s="67"/>
      <c r="T140" s="61"/>
      <c r="U140" s="68"/>
      <c r="V140" s="67"/>
      <c r="W140" s="67"/>
      <c r="X140" s="67"/>
      <c r="Y140" s="67"/>
      <c r="Z140" s="67"/>
      <c r="AA140" s="67"/>
      <c r="AB140" s="67"/>
      <c r="AC140" s="61"/>
      <c r="AD140" s="68"/>
      <c r="AE140" s="67"/>
      <c r="AF140" s="67"/>
      <c r="AG140" s="67"/>
      <c r="AH140" s="67"/>
      <c r="AI140" s="67"/>
      <c r="AJ140" s="67"/>
      <c r="AK140" s="67"/>
      <c r="AL140" s="61"/>
      <c r="AM140" s="68"/>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1"/>
      <c r="BJ140" s="67"/>
      <c r="BK140" s="69"/>
      <c r="BM140" s="9">
        <f t="shared" si="2"/>
        <v>33</v>
      </c>
    </row>
    <row r="141" spans="1:65" ht="15" customHeight="1" x14ac:dyDescent="0.25">
      <c r="A141" s="66"/>
      <c r="B141" s="68"/>
      <c r="C141" s="67"/>
      <c r="D141" s="67"/>
      <c r="E141" s="67"/>
      <c r="F141" s="67"/>
      <c r="G141" s="67"/>
      <c r="H141" s="67"/>
      <c r="I141" s="67"/>
      <c r="J141" s="67"/>
      <c r="K141" s="61"/>
      <c r="L141" s="68"/>
      <c r="M141" s="67"/>
      <c r="N141" s="67"/>
      <c r="O141" s="67"/>
      <c r="P141" s="67"/>
      <c r="Q141" s="67"/>
      <c r="R141" s="67"/>
      <c r="S141" s="67"/>
      <c r="T141" s="61"/>
      <c r="U141" s="68"/>
      <c r="V141" s="67"/>
      <c r="W141" s="67"/>
      <c r="X141" s="67"/>
      <c r="Y141" s="67"/>
      <c r="Z141" s="67"/>
      <c r="AA141" s="67"/>
      <c r="AB141" s="67"/>
      <c r="AC141" s="61"/>
      <c r="AD141" s="68"/>
      <c r="AE141" s="67"/>
      <c r="AF141" s="67"/>
      <c r="AG141" s="67"/>
      <c r="AH141" s="67"/>
      <c r="AI141" s="67"/>
      <c r="AJ141" s="67"/>
      <c r="AK141" s="67"/>
      <c r="AL141" s="61"/>
      <c r="AM141" s="68"/>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1"/>
      <c r="BJ141" s="67"/>
      <c r="BK141" s="69"/>
      <c r="BM141" s="9">
        <f t="shared" si="2"/>
        <v>34</v>
      </c>
    </row>
    <row r="142" spans="1:65" ht="15" customHeight="1" x14ac:dyDescent="0.25">
      <c r="A142" s="66"/>
      <c r="B142" s="68"/>
      <c r="C142" s="67"/>
      <c r="D142" s="67"/>
      <c r="E142" s="67"/>
      <c r="F142" s="67"/>
      <c r="G142" s="67"/>
      <c r="H142" s="67"/>
      <c r="I142" s="67"/>
      <c r="J142" s="67"/>
      <c r="K142" s="61"/>
      <c r="L142" s="68"/>
      <c r="M142" s="67"/>
      <c r="N142" s="67"/>
      <c r="O142" s="67"/>
      <c r="P142" s="67"/>
      <c r="Q142" s="67"/>
      <c r="R142" s="67"/>
      <c r="S142" s="67"/>
      <c r="T142" s="61"/>
      <c r="U142" s="68"/>
      <c r="V142" s="67"/>
      <c r="W142" s="67"/>
      <c r="X142" s="67"/>
      <c r="Y142" s="67"/>
      <c r="Z142" s="67"/>
      <c r="AA142" s="67"/>
      <c r="AB142" s="67"/>
      <c r="AC142" s="61"/>
      <c r="AD142" s="68"/>
      <c r="AE142" s="67"/>
      <c r="AF142" s="67"/>
      <c r="AG142" s="67"/>
      <c r="AH142" s="67"/>
      <c r="AI142" s="67"/>
      <c r="AJ142" s="67"/>
      <c r="AK142" s="67"/>
      <c r="AL142" s="61"/>
      <c r="AM142" s="68"/>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1"/>
      <c r="BJ142" s="67"/>
      <c r="BK142" s="69"/>
      <c r="BM142" s="9">
        <f t="shared" si="2"/>
        <v>35</v>
      </c>
    </row>
    <row r="143" spans="1:65" ht="15" customHeight="1" x14ac:dyDescent="0.25">
      <c r="A143" s="66"/>
      <c r="B143" s="68"/>
      <c r="C143" s="67"/>
      <c r="D143" s="67"/>
      <c r="E143" s="67"/>
      <c r="F143" s="67"/>
      <c r="G143" s="67"/>
      <c r="H143" s="67"/>
      <c r="I143" s="67"/>
      <c r="J143" s="67"/>
      <c r="K143" s="61"/>
      <c r="L143" s="68"/>
      <c r="M143" s="67"/>
      <c r="N143" s="67"/>
      <c r="O143" s="67"/>
      <c r="P143" s="67"/>
      <c r="Q143" s="67"/>
      <c r="R143" s="67"/>
      <c r="S143" s="67"/>
      <c r="T143" s="61"/>
      <c r="U143" s="68"/>
      <c r="V143" s="67"/>
      <c r="W143" s="67"/>
      <c r="X143" s="67"/>
      <c r="Y143" s="67"/>
      <c r="Z143" s="67"/>
      <c r="AA143" s="67"/>
      <c r="AB143" s="67"/>
      <c r="AC143" s="61"/>
      <c r="AD143" s="68"/>
      <c r="AE143" s="67"/>
      <c r="AF143" s="67"/>
      <c r="AG143" s="67"/>
      <c r="AH143" s="67"/>
      <c r="AI143" s="67"/>
      <c r="AJ143" s="67"/>
      <c r="AK143" s="67"/>
      <c r="AL143" s="61"/>
      <c r="AM143" s="68"/>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1"/>
      <c r="BJ143" s="67"/>
      <c r="BK143" s="69"/>
      <c r="BM143" s="9">
        <f t="shared" si="2"/>
        <v>36</v>
      </c>
    </row>
    <row r="144" spans="1:65" ht="15" customHeight="1" x14ac:dyDescent="0.25">
      <c r="A144" s="66"/>
      <c r="B144" s="68"/>
      <c r="C144" s="67"/>
      <c r="D144" s="67"/>
      <c r="E144" s="67"/>
      <c r="F144" s="67"/>
      <c r="G144" s="67"/>
      <c r="H144" s="67"/>
      <c r="I144" s="67"/>
      <c r="J144" s="67"/>
      <c r="K144" s="61"/>
      <c r="L144" s="68"/>
      <c r="M144" s="67"/>
      <c r="N144" s="67"/>
      <c r="O144" s="67"/>
      <c r="P144" s="67"/>
      <c r="Q144" s="67"/>
      <c r="R144" s="67"/>
      <c r="S144" s="67"/>
      <c r="T144" s="61"/>
      <c r="U144" s="68"/>
      <c r="V144" s="67"/>
      <c r="W144" s="67"/>
      <c r="X144" s="67"/>
      <c r="Y144" s="67"/>
      <c r="Z144" s="67"/>
      <c r="AA144" s="67"/>
      <c r="AB144" s="67"/>
      <c r="AC144" s="61"/>
      <c r="AD144" s="68"/>
      <c r="AE144" s="67"/>
      <c r="AF144" s="67"/>
      <c r="AG144" s="67"/>
      <c r="AH144" s="67"/>
      <c r="AI144" s="67"/>
      <c r="AJ144" s="67"/>
      <c r="AK144" s="67"/>
      <c r="AL144" s="61"/>
      <c r="AM144" s="68"/>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1"/>
      <c r="BJ144" s="67"/>
      <c r="BK144" s="69"/>
      <c r="BM144" s="9">
        <f t="shared" si="2"/>
        <v>37</v>
      </c>
    </row>
    <row r="145" spans="1:65" ht="15" customHeight="1" x14ac:dyDescent="0.25">
      <c r="A145" s="66"/>
      <c r="B145" s="68"/>
      <c r="C145" s="67"/>
      <c r="D145" s="67"/>
      <c r="E145" s="67"/>
      <c r="F145" s="67"/>
      <c r="G145" s="67"/>
      <c r="H145" s="67"/>
      <c r="I145" s="67"/>
      <c r="J145" s="67"/>
      <c r="K145" s="61"/>
      <c r="L145" s="68"/>
      <c r="M145" s="67"/>
      <c r="N145" s="67"/>
      <c r="O145" s="67"/>
      <c r="P145" s="67"/>
      <c r="Q145" s="67"/>
      <c r="R145" s="67"/>
      <c r="S145" s="67"/>
      <c r="T145" s="61"/>
      <c r="U145" s="68"/>
      <c r="V145" s="67"/>
      <c r="W145" s="67"/>
      <c r="X145" s="67"/>
      <c r="Y145" s="67"/>
      <c r="Z145" s="67"/>
      <c r="AA145" s="67"/>
      <c r="AB145" s="67"/>
      <c r="AC145" s="61"/>
      <c r="AD145" s="68"/>
      <c r="AE145" s="67"/>
      <c r="AF145" s="67"/>
      <c r="AG145" s="67"/>
      <c r="AH145" s="67"/>
      <c r="AI145" s="67"/>
      <c r="AJ145" s="67"/>
      <c r="AK145" s="67"/>
      <c r="AL145" s="61"/>
      <c r="AM145" s="68"/>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1"/>
      <c r="BJ145" s="67"/>
      <c r="BK145" s="69"/>
      <c r="BM145" s="9">
        <f t="shared" si="2"/>
        <v>38</v>
      </c>
    </row>
    <row r="146" spans="1:65" ht="15" customHeight="1" x14ac:dyDescent="0.25">
      <c r="A146" s="66"/>
      <c r="B146" s="68"/>
      <c r="C146" s="67"/>
      <c r="D146" s="67"/>
      <c r="E146" s="67"/>
      <c r="F146" s="67"/>
      <c r="G146" s="67"/>
      <c r="H146" s="67"/>
      <c r="I146" s="67"/>
      <c r="J146" s="67"/>
      <c r="K146" s="61"/>
      <c r="L146" s="68"/>
      <c r="M146" s="67"/>
      <c r="N146" s="67"/>
      <c r="O146" s="67"/>
      <c r="P146" s="67"/>
      <c r="Q146" s="67"/>
      <c r="R146" s="67"/>
      <c r="S146" s="67"/>
      <c r="T146" s="61"/>
      <c r="U146" s="68"/>
      <c r="V146" s="67"/>
      <c r="W146" s="67"/>
      <c r="X146" s="67"/>
      <c r="Y146" s="67"/>
      <c r="Z146" s="67"/>
      <c r="AA146" s="67"/>
      <c r="AB146" s="67"/>
      <c r="AC146" s="61"/>
      <c r="AD146" s="68"/>
      <c r="AE146" s="67"/>
      <c r="AF146" s="67"/>
      <c r="AG146" s="67"/>
      <c r="AH146" s="67"/>
      <c r="AI146" s="67"/>
      <c r="AJ146" s="67"/>
      <c r="AK146" s="67"/>
      <c r="AL146" s="61"/>
      <c r="AM146" s="68"/>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1"/>
      <c r="BJ146" s="67"/>
      <c r="BK146" s="69"/>
      <c r="BM146" s="9">
        <f t="shared" si="2"/>
        <v>39</v>
      </c>
    </row>
    <row r="147" spans="1:65" ht="15" customHeight="1" x14ac:dyDescent="0.25">
      <c r="A147" s="66"/>
      <c r="B147" s="68"/>
      <c r="C147" s="67"/>
      <c r="D147" s="67"/>
      <c r="E147" s="67"/>
      <c r="F147" s="67"/>
      <c r="G147" s="67"/>
      <c r="H147" s="67"/>
      <c r="I147" s="67"/>
      <c r="J147" s="67"/>
      <c r="K147" s="61"/>
      <c r="L147" s="68"/>
      <c r="M147" s="67"/>
      <c r="N147" s="67"/>
      <c r="O147" s="67"/>
      <c r="P147" s="67"/>
      <c r="Q147" s="67"/>
      <c r="R147" s="67"/>
      <c r="S147" s="67"/>
      <c r="T147" s="61"/>
      <c r="U147" s="68"/>
      <c r="V147" s="67"/>
      <c r="W147" s="67"/>
      <c r="X147" s="67"/>
      <c r="Y147" s="67"/>
      <c r="Z147" s="67"/>
      <c r="AA147" s="67"/>
      <c r="AB147" s="67"/>
      <c r="AC147" s="61"/>
      <c r="AD147" s="68"/>
      <c r="AE147" s="67"/>
      <c r="AF147" s="67"/>
      <c r="AG147" s="67"/>
      <c r="AH147" s="67"/>
      <c r="AI147" s="67"/>
      <c r="AJ147" s="67"/>
      <c r="AK147" s="67"/>
      <c r="AL147" s="61"/>
      <c r="AM147" s="68"/>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1"/>
      <c r="BJ147" s="67"/>
      <c r="BK147" s="69"/>
      <c r="BM147" s="9">
        <f t="shared" si="2"/>
        <v>40</v>
      </c>
    </row>
    <row r="148" spans="1:65" ht="15" customHeight="1" x14ac:dyDescent="0.25">
      <c r="A148" s="66"/>
      <c r="B148" s="68"/>
      <c r="C148" s="67"/>
      <c r="D148" s="67"/>
      <c r="E148" s="67"/>
      <c r="F148" s="67"/>
      <c r="G148" s="67"/>
      <c r="H148" s="67"/>
      <c r="I148" s="67"/>
      <c r="J148" s="67"/>
      <c r="K148" s="61"/>
      <c r="L148" s="68"/>
      <c r="M148" s="67"/>
      <c r="N148" s="67"/>
      <c r="O148" s="67"/>
      <c r="P148" s="67"/>
      <c r="Q148" s="67"/>
      <c r="R148" s="67"/>
      <c r="S148" s="67"/>
      <c r="T148" s="61"/>
      <c r="U148" s="68"/>
      <c r="V148" s="67"/>
      <c r="W148" s="67"/>
      <c r="X148" s="67"/>
      <c r="Y148" s="67"/>
      <c r="Z148" s="67"/>
      <c r="AA148" s="67"/>
      <c r="AB148" s="67"/>
      <c r="AC148" s="61"/>
      <c r="AD148" s="68"/>
      <c r="AE148" s="67"/>
      <c r="AF148" s="67"/>
      <c r="AG148" s="67"/>
      <c r="AH148" s="67"/>
      <c r="AI148" s="67"/>
      <c r="AJ148" s="67"/>
      <c r="AK148" s="67"/>
      <c r="AL148" s="61"/>
      <c r="AM148" s="68"/>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1"/>
      <c r="BJ148" s="67"/>
      <c r="BK148" s="69"/>
      <c r="BM148" s="9">
        <f t="shared" si="2"/>
        <v>41</v>
      </c>
    </row>
    <row r="149" spans="1:65" ht="15" customHeight="1" x14ac:dyDescent="0.25">
      <c r="A149" s="66"/>
      <c r="B149" s="68"/>
      <c r="C149" s="67"/>
      <c r="D149" s="67"/>
      <c r="E149" s="67"/>
      <c r="F149" s="67"/>
      <c r="G149" s="67"/>
      <c r="H149" s="67"/>
      <c r="I149" s="67"/>
      <c r="J149" s="67"/>
      <c r="K149" s="61"/>
      <c r="L149" s="68"/>
      <c r="M149" s="67"/>
      <c r="N149" s="67"/>
      <c r="O149" s="67"/>
      <c r="P149" s="67"/>
      <c r="Q149" s="67"/>
      <c r="R149" s="67"/>
      <c r="S149" s="67"/>
      <c r="T149" s="61"/>
      <c r="U149" s="68"/>
      <c r="V149" s="67"/>
      <c r="W149" s="67"/>
      <c r="X149" s="67"/>
      <c r="Y149" s="67"/>
      <c r="Z149" s="67"/>
      <c r="AA149" s="67"/>
      <c r="AB149" s="67"/>
      <c r="AC149" s="61"/>
      <c r="AD149" s="68"/>
      <c r="AE149" s="67"/>
      <c r="AF149" s="67"/>
      <c r="AG149" s="67"/>
      <c r="AH149" s="67"/>
      <c r="AI149" s="67"/>
      <c r="AJ149" s="67"/>
      <c r="AK149" s="67"/>
      <c r="AL149" s="61"/>
      <c r="AM149" s="68"/>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1"/>
      <c r="BJ149" s="67"/>
      <c r="BK149" s="69"/>
      <c r="BM149" s="9">
        <f t="shared" si="2"/>
        <v>42</v>
      </c>
    </row>
    <row r="150" spans="1:65" ht="15" customHeight="1" x14ac:dyDescent="0.25">
      <c r="A150" s="66"/>
      <c r="B150" s="68"/>
      <c r="C150" s="67"/>
      <c r="D150" s="67"/>
      <c r="E150" s="67"/>
      <c r="F150" s="67"/>
      <c r="G150" s="67"/>
      <c r="H150" s="67"/>
      <c r="I150" s="67"/>
      <c r="J150" s="67"/>
      <c r="K150" s="61"/>
      <c r="L150" s="68"/>
      <c r="M150" s="67"/>
      <c r="N150" s="67"/>
      <c r="O150" s="67"/>
      <c r="P150" s="67"/>
      <c r="Q150" s="67"/>
      <c r="R150" s="67"/>
      <c r="S150" s="67"/>
      <c r="T150" s="61"/>
      <c r="U150" s="68"/>
      <c r="V150" s="67"/>
      <c r="W150" s="67"/>
      <c r="X150" s="67"/>
      <c r="Y150" s="67"/>
      <c r="Z150" s="67"/>
      <c r="AA150" s="67"/>
      <c r="AB150" s="67"/>
      <c r="AC150" s="61"/>
      <c r="AD150" s="68"/>
      <c r="AE150" s="67"/>
      <c r="AF150" s="67"/>
      <c r="AG150" s="67"/>
      <c r="AH150" s="67"/>
      <c r="AI150" s="67"/>
      <c r="AJ150" s="67"/>
      <c r="AK150" s="67"/>
      <c r="AL150" s="61"/>
      <c r="AM150" s="68"/>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1"/>
      <c r="BJ150" s="67"/>
      <c r="BK150" s="69"/>
      <c r="BM150" s="9">
        <f t="shared" si="2"/>
        <v>43</v>
      </c>
    </row>
    <row r="151" spans="1:65" ht="15" customHeight="1" x14ac:dyDescent="0.25">
      <c r="A151" s="66"/>
      <c r="B151" s="68"/>
      <c r="C151" s="67"/>
      <c r="D151" s="67"/>
      <c r="E151" s="67"/>
      <c r="F151" s="67"/>
      <c r="G151" s="67"/>
      <c r="H151" s="67"/>
      <c r="I151" s="67"/>
      <c r="J151" s="67"/>
      <c r="K151" s="61"/>
      <c r="L151" s="68"/>
      <c r="M151" s="67"/>
      <c r="N151" s="67"/>
      <c r="O151" s="67"/>
      <c r="P151" s="67"/>
      <c r="Q151" s="67"/>
      <c r="R151" s="67"/>
      <c r="S151" s="67"/>
      <c r="T151" s="61"/>
      <c r="U151" s="68"/>
      <c r="V151" s="67"/>
      <c r="W151" s="67"/>
      <c r="X151" s="67"/>
      <c r="Y151" s="67"/>
      <c r="Z151" s="67"/>
      <c r="AA151" s="67"/>
      <c r="AB151" s="67"/>
      <c r="AC151" s="61"/>
      <c r="AD151" s="68"/>
      <c r="AE151" s="67"/>
      <c r="AF151" s="67"/>
      <c r="AG151" s="67"/>
      <c r="AH151" s="67"/>
      <c r="AI151" s="67"/>
      <c r="AJ151" s="67"/>
      <c r="AK151" s="67"/>
      <c r="AL151" s="61"/>
      <c r="AM151" s="68"/>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1"/>
      <c r="BJ151" s="67"/>
      <c r="BK151" s="69"/>
      <c r="BM151" s="9">
        <f t="shared" si="2"/>
        <v>44</v>
      </c>
    </row>
    <row r="152" spans="1:65" ht="15" customHeight="1" x14ac:dyDescent="0.25">
      <c r="A152" s="66"/>
      <c r="B152" s="68"/>
      <c r="C152" s="67"/>
      <c r="D152" s="67"/>
      <c r="E152" s="67"/>
      <c r="F152" s="67"/>
      <c r="G152" s="67"/>
      <c r="H152" s="67"/>
      <c r="I152" s="67"/>
      <c r="J152" s="67"/>
      <c r="K152" s="61"/>
      <c r="L152" s="68"/>
      <c r="M152" s="67"/>
      <c r="N152" s="67"/>
      <c r="O152" s="67"/>
      <c r="P152" s="67"/>
      <c r="Q152" s="67"/>
      <c r="R152" s="67"/>
      <c r="S152" s="67"/>
      <c r="T152" s="61"/>
      <c r="U152" s="68"/>
      <c r="V152" s="67"/>
      <c r="W152" s="67"/>
      <c r="X152" s="67"/>
      <c r="Y152" s="67"/>
      <c r="Z152" s="67"/>
      <c r="AA152" s="67"/>
      <c r="AB152" s="67"/>
      <c r="AC152" s="61"/>
      <c r="AD152" s="68"/>
      <c r="AE152" s="67"/>
      <c r="AF152" s="67"/>
      <c r="AG152" s="67"/>
      <c r="AH152" s="67"/>
      <c r="AI152" s="67"/>
      <c r="AJ152" s="67"/>
      <c r="AK152" s="67"/>
      <c r="AL152" s="61"/>
      <c r="AM152" s="68"/>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1"/>
      <c r="BJ152" s="67"/>
      <c r="BK152" s="69"/>
      <c r="BM152" s="9">
        <f t="shared" si="2"/>
        <v>45</v>
      </c>
    </row>
    <row r="153" spans="1:65" ht="15" customHeight="1" x14ac:dyDescent="0.25">
      <c r="A153" s="66"/>
      <c r="B153" s="68"/>
      <c r="C153" s="67"/>
      <c r="D153" s="67"/>
      <c r="E153" s="67"/>
      <c r="F153" s="67"/>
      <c r="G153" s="67"/>
      <c r="H153" s="67"/>
      <c r="I153" s="67"/>
      <c r="J153" s="67"/>
      <c r="K153" s="61"/>
      <c r="L153" s="68"/>
      <c r="M153" s="67"/>
      <c r="N153" s="67"/>
      <c r="O153" s="67"/>
      <c r="P153" s="67"/>
      <c r="Q153" s="67"/>
      <c r="R153" s="67"/>
      <c r="S153" s="67"/>
      <c r="T153" s="61"/>
      <c r="U153" s="68"/>
      <c r="V153" s="67"/>
      <c r="W153" s="67"/>
      <c r="X153" s="67"/>
      <c r="Y153" s="67"/>
      <c r="Z153" s="67"/>
      <c r="AA153" s="67"/>
      <c r="AB153" s="67"/>
      <c r="AC153" s="61"/>
      <c r="AD153" s="68"/>
      <c r="AE153" s="67"/>
      <c r="AF153" s="67"/>
      <c r="AG153" s="67"/>
      <c r="AH153" s="67"/>
      <c r="AI153" s="67"/>
      <c r="AJ153" s="67"/>
      <c r="AK153" s="67"/>
      <c r="AL153" s="61"/>
      <c r="AM153" s="68"/>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1"/>
      <c r="BJ153" s="67"/>
      <c r="BK153" s="69"/>
      <c r="BM153" s="9">
        <f t="shared" si="2"/>
        <v>46</v>
      </c>
    </row>
    <row r="154" spans="1:65" ht="15" customHeight="1" x14ac:dyDescent="0.25">
      <c r="A154" s="66"/>
      <c r="B154" s="68"/>
      <c r="C154" s="67"/>
      <c r="D154" s="67"/>
      <c r="E154" s="67"/>
      <c r="F154" s="67"/>
      <c r="G154" s="67"/>
      <c r="H154" s="67"/>
      <c r="I154" s="67"/>
      <c r="J154" s="67"/>
      <c r="K154" s="61"/>
      <c r="L154" s="68"/>
      <c r="M154" s="67"/>
      <c r="N154" s="67"/>
      <c r="O154" s="67"/>
      <c r="P154" s="67"/>
      <c r="Q154" s="67"/>
      <c r="R154" s="67"/>
      <c r="S154" s="67"/>
      <c r="T154" s="61"/>
      <c r="U154" s="68"/>
      <c r="V154" s="67"/>
      <c r="W154" s="67"/>
      <c r="X154" s="67"/>
      <c r="Y154" s="67"/>
      <c r="Z154" s="67"/>
      <c r="AA154" s="67"/>
      <c r="AB154" s="67"/>
      <c r="AC154" s="61"/>
      <c r="AD154" s="68"/>
      <c r="AE154" s="67"/>
      <c r="AF154" s="67"/>
      <c r="AG154" s="67"/>
      <c r="AH154" s="67"/>
      <c r="AI154" s="67"/>
      <c r="AJ154" s="67"/>
      <c r="AK154" s="67"/>
      <c r="AL154" s="61"/>
      <c r="AM154" s="68"/>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1"/>
      <c r="BJ154" s="67"/>
      <c r="BK154" s="69"/>
      <c r="BM154" s="9">
        <f t="shared" si="2"/>
        <v>47</v>
      </c>
    </row>
    <row r="155" spans="1:65" ht="15" customHeight="1" x14ac:dyDescent="0.25">
      <c r="A155" s="66"/>
      <c r="B155" s="68"/>
      <c r="C155" s="67"/>
      <c r="D155" s="67"/>
      <c r="E155" s="67"/>
      <c r="F155" s="67"/>
      <c r="G155" s="67"/>
      <c r="H155" s="67"/>
      <c r="I155" s="67"/>
      <c r="J155" s="67"/>
      <c r="K155" s="61"/>
      <c r="L155" s="68"/>
      <c r="M155" s="67"/>
      <c r="N155" s="67"/>
      <c r="O155" s="67"/>
      <c r="P155" s="67"/>
      <c r="Q155" s="67"/>
      <c r="R155" s="67"/>
      <c r="S155" s="67"/>
      <c r="T155" s="61"/>
      <c r="U155" s="68"/>
      <c r="V155" s="67"/>
      <c r="W155" s="67"/>
      <c r="X155" s="67"/>
      <c r="Y155" s="67"/>
      <c r="Z155" s="67"/>
      <c r="AA155" s="67"/>
      <c r="AB155" s="67"/>
      <c r="AC155" s="61"/>
      <c r="AD155" s="68"/>
      <c r="AE155" s="67"/>
      <c r="AF155" s="67"/>
      <c r="AG155" s="67"/>
      <c r="AH155" s="67"/>
      <c r="AI155" s="67"/>
      <c r="AJ155" s="67"/>
      <c r="AK155" s="67"/>
      <c r="AL155" s="61"/>
      <c r="AM155" s="68"/>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1"/>
      <c r="BJ155" s="67"/>
      <c r="BK155" s="69"/>
      <c r="BM155" s="9">
        <f t="shared" si="2"/>
        <v>48</v>
      </c>
    </row>
    <row r="156" spans="1:65" ht="15" customHeight="1" x14ac:dyDescent="0.25">
      <c r="A156" s="66"/>
      <c r="B156" s="68"/>
      <c r="C156" s="67"/>
      <c r="D156" s="67"/>
      <c r="E156" s="67"/>
      <c r="F156" s="67"/>
      <c r="G156" s="67"/>
      <c r="H156" s="67"/>
      <c r="I156" s="67"/>
      <c r="J156" s="67"/>
      <c r="K156" s="61"/>
      <c r="L156" s="68"/>
      <c r="M156" s="67"/>
      <c r="N156" s="67"/>
      <c r="O156" s="67"/>
      <c r="P156" s="67"/>
      <c r="Q156" s="67"/>
      <c r="R156" s="67"/>
      <c r="S156" s="67"/>
      <c r="T156" s="61"/>
      <c r="U156" s="68"/>
      <c r="V156" s="67"/>
      <c r="W156" s="67"/>
      <c r="X156" s="67"/>
      <c r="Y156" s="67"/>
      <c r="Z156" s="67"/>
      <c r="AA156" s="67"/>
      <c r="AB156" s="67"/>
      <c r="AC156" s="61"/>
      <c r="AD156" s="68"/>
      <c r="AE156" s="67"/>
      <c r="AF156" s="67"/>
      <c r="AG156" s="67"/>
      <c r="AH156" s="67"/>
      <c r="AI156" s="67"/>
      <c r="AJ156" s="67"/>
      <c r="AK156" s="67"/>
      <c r="AL156" s="61"/>
      <c r="AM156" s="68"/>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1"/>
      <c r="BJ156" s="67"/>
      <c r="BK156" s="69"/>
      <c r="BM156" s="9">
        <f t="shared" si="2"/>
        <v>49</v>
      </c>
    </row>
    <row r="157" spans="1:65" ht="15" customHeight="1" x14ac:dyDescent="0.25">
      <c r="A157" s="66"/>
      <c r="B157" s="68"/>
      <c r="C157" s="67"/>
      <c r="D157" s="67"/>
      <c r="E157" s="67"/>
      <c r="F157" s="67"/>
      <c r="G157" s="67"/>
      <c r="H157" s="67"/>
      <c r="I157" s="67"/>
      <c r="J157" s="67"/>
      <c r="K157" s="61"/>
      <c r="L157" s="68"/>
      <c r="M157" s="67"/>
      <c r="N157" s="67"/>
      <c r="O157" s="67"/>
      <c r="P157" s="67"/>
      <c r="Q157" s="67"/>
      <c r="R157" s="67"/>
      <c r="S157" s="67"/>
      <c r="T157" s="61"/>
      <c r="U157" s="68"/>
      <c r="V157" s="67"/>
      <c r="W157" s="67"/>
      <c r="X157" s="67"/>
      <c r="Y157" s="67"/>
      <c r="Z157" s="67"/>
      <c r="AA157" s="67"/>
      <c r="AB157" s="67"/>
      <c r="AC157" s="61"/>
      <c r="AD157" s="68"/>
      <c r="AE157" s="67"/>
      <c r="AF157" s="67"/>
      <c r="AG157" s="67"/>
      <c r="AH157" s="67"/>
      <c r="AI157" s="67"/>
      <c r="AJ157" s="67"/>
      <c r="AK157" s="67"/>
      <c r="AL157" s="61"/>
      <c r="AM157" s="68"/>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1"/>
      <c r="BJ157" s="67"/>
      <c r="BK157" s="69"/>
      <c r="BM157" s="9">
        <f t="shared" si="2"/>
        <v>50</v>
      </c>
    </row>
    <row r="158" spans="1:65" ht="15" customHeight="1" x14ac:dyDescent="0.25">
      <c r="A158" s="66"/>
      <c r="B158" s="68"/>
      <c r="C158" s="67"/>
      <c r="D158" s="67"/>
      <c r="E158" s="67"/>
      <c r="F158" s="67"/>
      <c r="G158" s="67"/>
      <c r="H158" s="67"/>
      <c r="I158" s="67"/>
      <c r="J158" s="67"/>
      <c r="K158" s="61"/>
      <c r="L158" s="68"/>
      <c r="M158" s="67"/>
      <c r="N158" s="67"/>
      <c r="O158" s="67"/>
      <c r="P158" s="67"/>
      <c r="Q158" s="67"/>
      <c r="R158" s="67"/>
      <c r="S158" s="67"/>
      <c r="T158" s="61"/>
      <c r="U158" s="68"/>
      <c r="V158" s="67"/>
      <c r="W158" s="67"/>
      <c r="X158" s="67"/>
      <c r="Y158" s="67"/>
      <c r="Z158" s="67"/>
      <c r="AA158" s="67"/>
      <c r="AB158" s="67"/>
      <c r="AC158" s="61"/>
      <c r="AD158" s="68"/>
      <c r="AE158" s="67"/>
      <c r="AF158" s="67"/>
      <c r="AG158" s="67"/>
      <c r="AH158" s="67"/>
      <c r="AI158" s="67"/>
      <c r="AJ158" s="67"/>
      <c r="AK158" s="67"/>
      <c r="AL158" s="61"/>
      <c r="AM158" s="68"/>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1"/>
      <c r="BJ158" s="67"/>
      <c r="BK158" s="69"/>
      <c r="BM158" s="9">
        <f t="shared" si="2"/>
        <v>1</v>
      </c>
    </row>
    <row r="159" spans="1:65" ht="15" customHeight="1" x14ac:dyDescent="0.25">
      <c r="A159" s="70"/>
      <c r="B159" s="71"/>
      <c r="C159" s="72"/>
      <c r="D159" s="72"/>
      <c r="E159" s="72"/>
      <c r="F159" s="72"/>
      <c r="G159" s="72"/>
      <c r="H159" s="72"/>
      <c r="I159" s="72"/>
      <c r="J159" s="72"/>
      <c r="K159" s="73"/>
      <c r="L159" s="71"/>
      <c r="M159" s="72"/>
      <c r="N159" s="72"/>
      <c r="O159" s="72"/>
      <c r="P159" s="72"/>
      <c r="Q159" s="72"/>
      <c r="R159" s="72"/>
      <c r="S159" s="72"/>
      <c r="T159" s="73"/>
      <c r="U159" s="71"/>
      <c r="V159" s="72"/>
      <c r="W159" s="72"/>
      <c r="X159" s="72"/>
      <c r="Y159" s="72"/>
      <c r="Z159" s="72"/>
      <c r="AA159" s="72"/>
      <c r="AB159" s="72"/>
      <c r="AC159" s="73"/>
      <c r="AD159" s="71"/>
      <c r="AE159" s="72"/>
      <c r="AF159" s="72"/>
      <c r="AG159" s="72"/>
      <c r="AH159" s="72"/>
      <c r="AI159" s="72"/>
      <c r="AJ159" s="72"/>
      <c r="AK159" s="72"/>
      <c r="AL159" s="73"/>
      <c r="AM159" s="71"/>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3"/>
      <c r="BJ159" s="72"/>
      <c r="BK159" s="7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2"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31A4-8463-4E9E-96A3-478804D5009F}">
  <sheetPr>
    <pageSetUpPr fitToPage="1"/>
  </sheetPr>
  <dimension ref="A1:BK57"/>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231" t="s">
        <v>0</v>
      </c>
      <c r="B1" s="232"/>
      <c r="C1" s="232"/>
      <c r="D1" s="232"/>
      <c r="E1" s="232"/>
      <c r="F1" s="232"/>
      <c r="G1" s="232"/>
      <c r="H1" s="232"/>
      <c r="I1" s="232"/>
      <c r="J1" s="233"/>
      <c r="K1" s="231" t="s">
        <v>1</v>
      </c>
      <c r="L1" s="232"/>
      <c r="M1" s="232"/>
      <c r="N1" s="232"/>
      <c r="O1" s="232"/>
      <c r="P1" s="232"/>
      <c r="Q1" s="232"/>
      <c r="R1" s="232"/>
      <c r="S1" s="232"/>
      <c r="T1" s="232"/>
      <c r="U1" s="232"/>
      <c r="V1" s="233"/>
      <c r="W1" s="244" t="str">
        <f>IF(表紙!W1="","",表紙!W1)</f>
        <v>基本設計書</v>
      </c>
      <c r="X1" s="245"/>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40"/>
      <c r="K2" s="238" t="str">
        <f>IF(表紙!K2="","",表紙!K2)</f>
        <v>POSサーバー</v>
      </c>
      <c r="L2" s="239"/>
      <c r="M2" s="239"/>
      <c r="N2" s="239"/>
      <c r="O2" s="239"/>
      <c r="P2" s="239"/>
      <c r="Q2" s="239"/>
      <c r="R2" s="239"/>
      <c r="S2" s="239"/>
      <c r="T2" s="239"/>
      <c r="U2" s="239"/>
      <c r="V2" s="240"/>
      <c r="W2" s="247"/>
      <c r="X2" s="248"/>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3"/>
      <c r="K3" s="241"/>
      <c r="L3" s="242"/>
      <c r="M3" s="242"/>
      <c r="N3" s="242"/>
      <c r="O3" s="242"/>
      <c r="P3" s="242"/>
      <c r="Q3" s="242"/>
      <c r="R3" s="242"/>
      <c r="S3" s="242"/>
      <c r="T3" s="242"/>
      <c r="U3" s="242"/>
      <c r="V3" s="243"/>
      <c r="W3" s="250"/>
      <c r="X3" s="251"/>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3"/>
      <c r="H4" s="234" t="str">
        <f>IF(表紙!H4="","",表紙!H4)</f>
        <v>20_レジ精算入力</v>
      </c>
      <c r="I4" s="235"/>
      <c r="J4" s="235"/>
      <c r="K4" s="235"/>
      <c r="L4" s="235"/>
      <c r="M4" s="235"/>
      <c r="N4" s="235"/>
      <c r="O4" s="235"/>
      <c r="P4" s="235"/>
      <c r="Q4" s="235"/>
      <c r="R4" s="235"/>
      <c r="S4" s="235"/>
      <c r="T4" s="236"/>
      <c r="U4" s="231" t="s">
        <v>12</v>
      </c>
      <c r="V4" s="232"/>
      <c r="W4" s="232"/>
      <c r="X4" s="232"/>
      <c r="Y4" s="233"/>
      <c r="Z4" s="234" t="str">
        <f>IF(表紙!Z4="","",表紙!Z4)</f>
        <v>概要設計書</v>
      </c>
      <c r="AA4" s="235"/>
      <c r="AB4" s="235"/>
      <c r="AC4" s="235"/>
      <c r="AD4" s="235"/>
      <c r="AE4" s="235"/>
      <c r="AF4" s="235"/>
      <c r="AG4" s="235"/>
      <c r="AH4" s="235"/>
      <c r="AI4" s="235"/>
      <c r="AJ4" s="235"/>
      <c r="AK4" s="235"/>
      <c r="AL4" s="235"/>
      <c r="AM4" s="235"/>
      <c r="AN4" s="235"/>
      <c r="AO4" s="236"/>
      <c r="AP4" s="237" t="str">
        <f ca="1">MID(CELL("filename",A1),FIND("]",CELL("filename",A1))+1,255)</f>
        <v>自動精算バッチ</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56" t="s">
        <v>48</v>
      </c>
      <c r="C7" s="57"/>
      <c r="D7" s="58"/>
      <c r="E7" s="58"/>
      <c r="F7" s="58"/>
      <c r="G7" s="58"/>
      <c r="H7" s="58"/>
      <c r="I7" s="58"/>
      <c r="J7" s="58"/>
      <c r="K7" s="58"/>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3" ht="15" customHeight="1" x14ac:dyDescent="0.25">
      <c r="A8" s="35"/>
      <c r="C8" s="60"/>
      <c r="U8" s="60"/>
      <c r="AD8" s="60"/>
      <c r="AM8" s="60"/>
      <c r="BI8" s="62"/>
    </row>
    <row r="9" spans="1:63" ht="15" customHeight="1" x14ac:dyDescent="0.25">
      <c r="A9" s="35"/>
      <c r="C9" s="30" t="s">
        <v>49</v>
      </c>
      <c r="U9" s="60"/>
      <c r="AD9" s="60"/>
      <c r="AM9" s="60"/>
      <c r="BI9" s="62"/>
    </row>
    <row r="10" spans="1:63" ht="15" customHeight="1" x14ac:dyDescent="0.25">
      <c r="A10" s="35"/>
      <c r="C10" s="60"/>
      <c r="D10" s="79" t="s">
        <v>50</v>
      </c>
      <c r="E10" s="79"/>
      <c r="F10" s="79"/>
      <c r="G10" s="79"/>
      <c r="H10" s="79"/>
      <c r="I10" s="79"/>
      <c r="J10" s="79"/>
      <c r="K10" s="79"/>
      <c r="L10" s="79"/>
      <c r="M10" s="79"/>
      <c r="N10" s="79"/>
      <c r="O10" s="79"/>
      <c r="P10" s="79"/>
      <c r="Q10" s="79"/>
      <c r="R10" s="79"/>
      <c r="S10" s="79"/>
      <c r="T10" s="79"/>
      <c r="U10" s="82"/>
      <c r="V10" s="79"/>
      <c r="W10" s="79"/>
      <c r="X10" s="79"/>
      <c r="Y10" s="79"/>
      <c r="Z10" s="79"/>
      <c r="AA10" s="79"/>
      <c r="AB10" s="79"/>
      <c r="AC10" s="79"/>
      <c r="AD10" s="82"/>
      <c r="AE10" s="79"/>
      <c r="AF10" s="79"/>
      <c r="AG10" s="79"/>
      <c r="AM10" s="60"/>
      <c r="BI10" s="62"/>
    </row>
    <row r="11" spans="1:63" ht="15" customHeight="1" x14ac:dyDescent="0.25">
      <c r="A11" s="35"/>
      <c r="C11" s="60"/>
      <c r="D11" s="79"/>
      <c r="E11" s="79" t="s">
        <v>51</v>
      </c>
      <c r="F11" s="79"/>
      <c r="G11" s="79"/>
      <c r="H11" s="79"/>
      <c r="I11" s="79"/>
      <c r="J11" s="79"/>
      <c r="K11" s="79"/>
      <c r="L11" s="79"/>
      <c r="M11" s="79"/>
      <c r="N11" s="79"/>
      <c r="O11" s="79"/>
      <c r="P11" s="79"/>
      <c r="Q11" s="79"/>
      <c r="R11" s="79"/>
      <c r="S11" s="79"/>
      <c r="T11" s="79"/>
      <c r="U11" s="82"/>
      <c r="V11" s="79"/>
      <c r="W11" s="79"/>
      <c r="X11" s="79"/>
      <c r="Y11" s="79"/>
      <c r="Z11" s="79"/>
      <c r="AA11" s="79"/>
      <c r="AB11" s="79"/>
      <c r="AC11" s="79"/>
      <c r="AD11" s="82"/>
      <c r="AE11" s="79"/>
      <c r="AF11" s="79"/>
      <c r="AG11" s="79"/>
      <c r="AM11" s="60"/>
      <c r="BI11" s="62"/>
    </row>
    <row r="12" spans="1:63" ht="15" customHeight="1" x14ac:dyDescent="0.25">
      <c r="A12" s="35"/>
      <c r="C12" s="60"/>
      <c r="D12" s="79" t="s">
        <v>52</v>
      </c>
      <c r="E12" s="79"/>
      <c r="F12" s="79"/>
      <c r="G12" s="79"/>
      <c r="H12" s="79"/>
      <c r="I12" s="79"/>
      <c r="J12" s="79"/>
      <c r="K12" s="79"/>
      <c r="L12" s="79"/>
      <c r="M12" s="79"/>
      <c r="N12" s="79"/>
      <c r="O12" s="79"/>
      <c r="P12" s="79"/>
      <c r="Q12" s="79"/>
      <c r="R12" s="79"/>
      <c r="S12" s="79"/>
      <c r="T12" s="79"/>
      <c r="U12" s="82"/>
      <c r="V12" s="79"/>
      <c r="W12" s="79"/>
      <c r="X12" s="79"/>
      <c r="Y12" s="79"/>
      <c r="Z12" s="79"/>
      <c r="AA12" s="79"/>
      <c r="AB12" s="79"/>
      <c r="AC12" s="79"/>
      <c r="AD12" s="82"/>
      <c r="AE12" s="79"/>
      <c r="AF12" s="79"/>
      <c r="AG12" s="79"/>
      <c r="AM12" s="60"/>
      <c r="BI12" s="62"/>
    </row>
    <row r="13" spans="1:63" ht="15" customHeight="1" x14ac:dyDescent="0.25">
      <c r="A13" s="35"/>
      <c r="C13" s="60"/>
      <c r="D13" s="79"/>
      <c r="E13" s="80" t="s">
        <v>53</v>
      </c>
      <c r="F13" s="79"/>
      <c r="G13" s="79"/>
      <c r="H13" s="79"/>
      <c r="I13" s="79"/>
      <c r="J13" s="79"/>
      <c r="K13" s="79"/>
      <c r="L13" s="79"/>
      <c r="M13" s="79"/>
      <c r="N13" s="79"/>
      <c r="O13" s="79"/>
      <c r="P13" s="79"/>
      <c r="Q13" s="79"/>
      <c r="R13" s="79"/>
      <c r="S13" s="79"/>
      <c r="T13" s="79"/>
      <c r="U13" s="82"/>
      <c r="V13" s="79"/>
      <c r="W13" s="79"/>
      <c r="X13" s="79"/>
      <c r="Y13" s="79"/>
      <c r="Z13" s="79"/>
      <c r="AA13" s="79"/>
      <c r="AB13" s="79"/>
      <c r="AC13" s="79"/>
      <c r="AD13" s="82"/>
      <c r="AE13" s="79"/>
      <c r="AF13" s="79"/>
      <c r="AG13" s="79"/>
      <c r="AM13" s="60"/>
      <c r="AX13" s="31" t="s">
        <v>54</v>
      </c>
      <c r="BI13" s="62"/>
    </row>
    <row r="14" spans="1:63" ht="15" customHeight="1" x14ac:dyDescent="0.25">
      <c r="A14" s="35"/>
      <c r="C14" s="60"/>
      <c r="D14" s="31" t="s">
        <v>55</v>
      </c>
      <c r="E14" s="75"/>
      <c r="U14" s="60"/>
      <c r="AD14" s="60"/>
      <c r="AM14" s="60"/>
      <c r="BI14" s="62"/>
    </row>
    <row r="15" spans="1:63" ht="15" customHeight="1" x14ac:dyDescent="0.25">
      <c r="A15" s="35"/>
      <c r="C15" s="60"/>
      <c r="E15" s="75" t="s">
        <v>56</v>
      </c>
      <c r="U15" s="60"/>
      <c r="AD15" s="60"/>
      <c r="AM15" s="60"/>
      <c r="BI15" s="62"/>
    </row>
    <row r="16" spans="1:63" ht="15" customHeight="1" x14ac:dyDescent="0.25">
      <c r="A16" s="35"/>
      <c r="C16" s="60"/>
      <c r="E16" s="75" t="s">
        <v>57</v>
      </c>
      <c r="U16" s="60"/>
      <c r="AD16" s="60"/>
      <c r="AM16" s="60"/>
      <c r="BI16" s="62"/>
    </row>
    <row r="17" spans="1:61" ht="15" customHeight="1" x14ac:dyDescent="0.25">
      <c r="A17" s="35"/>
      <c r="C17" s="60"/>
      <c r="F17" s="75" t="s">
        <v>58</v>
      </c>
      <c r="U17" s="60"/>
      <c r="AD17" s="60"/>
      <c r="AM17" s="60"/>
      <c r="BI17" s="62"/>
    </row>
    <row r="18" spans="1:61" ht="15" customHeight="1" x14ac:dyDescent="0.25">
      <c r="A18" s="35"/>
      <c r="F18" s="75" t="s">
        <v>59</v>
      </c>
      <c r="AD18" s="60"/>
      <c r="AM18" s="60"/>
      <c r="BI18" s="62"/>
    </row>
    <row r="19" spans="1:61" ht="15" customHeight="1" x14ac:dyDescent="0.25">
      <c r="A19" s="35"/>
      <c r="F19" s="75" t="s">
        <v>60</v>
      </c>
      <c r="AD19" s="60"/>
      <c r="AM19" s="60"/>
      <c r="BI19" s="62"/>
    </row>
    <row r="20" spans="1:61" ht="15" customHeight="1" x14ac:dyDescent="0.25">
      <c r="A20" s="35"/>
      <c r="AD20" s="60"/>
      <c r="AM20" s="60"/>
      <c r="BI20" s="62"/>
    </row>
    <row r="21" spans="1:61" ht="15" customHeight="1" x14ac:dyDescent="0.25">
      <c r="A21" s="35"/>
      <c r="AD21" s="60"/>
      <c r="AM21" s="60"/>
      <c r="BI21" s="62"/>
    </row>
    <row r="22" spans="1:61" ht="15" customHeight="1" x14ac:dyDescent="0.25">
      <c r="A22" s="35"/>
      <c r="AD22" s="60"/>
      <c r="AM22" s="60"/>
      <c r="BI22" s="62"/>
    </row>
    <row r="23" spans="1:61" ht="15" customHeight="1" x14ac:dyDescent="0.25">
      <c r="A23" s="35"/>
      <c r="AD23" s="60"/>
      <c r="AM23" s="60"/>
      <c r="BI23" s="62"/>
    </row>
    <row r="24" spans="1:61" ht="15" customHeight="1" x14ac:dyDescent="0.25">
      <c r="A24" s="35"/>
      <c r="AD24" s="60"/>
      <c r="AM24" s="60"/>
      <c r="BI24" s="62"/>
    </row>
    <row r="25" spans="1:61" ht="15" customHeight="1" x14ac:dyDescent="0.25">
      <c r="A25" s="35"/>
      <c r="AD25" s="60"/>
      <c r="AM25" s="60"/>
      <c r="BI25" s="62"/>
    </row>
    <row r="26" spans="1:61" ht="15" customHeight="1" x14ac:dyDescent="0.25">
      <c r="A26" s="35"/>
      <c r="C26" s="60"/>
      <c r="U26" s="60"/>
      <c r="AD26" s="60"/>
      <c r="AM26" s="60"/>
      <c r="BI26" s="62"/>
    </row>
    <row r="27" spans="1:61" ht="15" customHeight="1" x14ac:dyDescent="0.25">
      <c r="A27" s="35"/>
      <c r="C27" s="60"/>
      <c r="U27" s="60"/>
      <c r="AD27" s="60"/>
      <c r="AM27" s="60"/>
      <c r="BI27" s="62"/>
    </row>
    <row r="28" spans="1:61" ht="15" customHeight="1" x14ac:dyDescent="0.25">
      <c r="A28" s="35"/>
      <c r="C28" s="60"/>
      <c r="U28" s="60"/>
      <c r="AD28" s="60"/>
      <c r="AM28" s="60"/>
      <c r="BI28" s="62"/>
    </row>
    <row r="29" spans="1:61" ht="15" customHeight="1" x14ac:dyDescent="0.25">
      <c r="A29" s="35"/>
      <c r="C29" s="60"/>
      <c r="U29" s="60"/>
      <c r="AD29" s="60"/>
      <c r="AM29" s="60"/>
      <c r="BI29" s="62"/>
    </row>
    <row r="30" spans="1:61" ht="15" customHeight="1" x14ac:dyDescent="0.25">
      <c r="A30" s="35"/>
      <c r="C30" s="60"/>
      <c r="U30" s="60"/>
      <c r="AD30" s="60"/>
      <c r="AM30" s="60"/>
      <c r="BI30" s="62"/>
    </row>
    <row r="31" spans="1:61" ht="15" customHeight="1" x14ac:dyDescent="0.25">
      <c r="A31" s="35"/>
      <c r="C31" s="60"/>
      <c r="U31" s="60"/>
      <c r="AD31" s="60"/>
      <c r="AM31" s="60"/>
      <c r="BI31" s="62"/>
    </row>
    <row r="32" spans="1:61" ht="15" customHeight="1" x14ac:dyDescent="0.25">
      <c r="A32" s="35"/>
      <c r="C32" s="60"/>
      <c r="U32" s="60"/>
      <c r="AD32" s="60"/>
      <c r="AM32" s="60"/>
      <c r="BI32" s="62"/>
    </row>
    <row r="33" spans="1:61" ht="15" customHeight="1" x14ac:dyDescent="0.25">
      <c r="A33" s="35"/>
      <c r="C33" s="60"/>
      <c r="U33" s="60"/>
      <c r="AD33" s="60"/>
      <c r="AM33" s="60"/>
      <c r="BI33" s="62"/>
    </row>
    <row r="34" spans="1:61" ht="15" customHeight="1" x14ac:dyDescent="0.25">
      <c r="A34" s="35"/>
      <c r="C34" s="60"/>
      <c r="U34" s="60"/>
      <c r="AD34" s="60"/>
      <c r="AM34" s="60"/>
      <c r="BI34" s="62"/>
    </row>
    <row r="35" spans="1:61" ht="15" customHeight="1" x14ac:dyDescent="0.25">
      <c r="A35" s="35"/>
      <c r="C35" s="60"/>
      <c r="U35" s="60"/>
      <c r="AD35" s="60"/>
      <c r="AM35" s="60"/>
      <c r="BI35" s="62"/>
    </row>
    <row r="36" spans="1:61" ht="15" customHeight="1" x14ac:dyDescent="0.25">
      <c r="A36" s="35"/>
      <c r="C36" s="60"/>
      <c r="U36" s="60"/>
      <c r="AD36" s="60"/>
      <c r="AM36" s="60"/>
      <c r="BI36" s="62"/>
    </row>
    <row r="37" spans="1:61" ht="15" customHeight="1" x14ac:dyDescent="0.25">
      <c r="A37" s="35"/>
      <c r="C37" s="60"/>
      <c r="U37" s="60"/>
      <c r="AD37" s="60"/>
      <c r="AM37" s="60"/>
      <c r="BI37" s="62"/>
    </row>
    <row r="38" spans="1:61" ht="15" customHeight="1" x14ac:dyDescent="0.25">
      <c r="A38" s="35"/>
      <c r="C38" s="60"/>
      <c r="U38" s="60"/>
      <c r="AD38" s="60"/>
      <c r="AM38" s="60"/>
      <c r="BI38" s="62"/>
    </row>
    <row r="39" spans="1:61" ht="15" customHeight="1" x14ac:dyDescent="0.25">
      <c r="A39" s="35"/>
      <c r="C39" s="60"/>
      <c r="U39" s="60"/>
      <c r="AD39" s="60"/>
      <c r="AM39" s="60"/>
      <c r="BI39" s="62"/>
    </row>
    <row r="40" spans="1:61" ht="15" customHeight="1" x14ac:dyDescent="0.25">
      <c r="A40" s="35"/>
      <c r="C40" s="60"/>
      <c r="U40" s="60"/>
      <c r="AD40" s="60"/>
      <c r="AM40" s="60"/>
      <c r="BI40" s="62"/>
    </row>
    <row r="41" spans="1:61" ht="15" customHeight="1" x14ac:dyDescent="0.25">
      <c r="A41" s="35"/>
      <c r="C41" s="60"/>
      <c r="U41" s="60"/>
      <c r="AD41" s="60"/>
      <c r="AM41" s="60"/>
      <c r="BI41" s="62"/>
    </row>
    <row r="42" spans="1:61" ht="15" customHeight="1" x14ac:dyDescent="0.25">
      <c r="A42" s="35"/>
      <c r="C42" s="60"/>
      <c r="U42" s="60"/>
      <c r="AD42" s="60"/>
      <c r="AM42" s="60"/>
      <c r="BI42" s="62"/>
    </row>
    <row r="43" spans="1:61" ht="15" customHeight="1" x14ac:dyDescent="0.25">
      <c r="A43" s="35"/>
      <c r="C43" s="60"/>
      <c r="U43" s="60"/>
      <c r="AD43" s="60"/>
      <c r="AM43" s="60"/>
      <c r="BI43" s="62"/>
    </row>
    <row r="44" spans="1:61" ht="15" customHeight="1" x14ac:dyDescent="0.25">
      <c r="A44" s="35"/>
      <c r="C44" s="60"/>
      <c r="U44" s="60"/>
      <c r="AD44" s="60"/>
      <c r="AM44" s="60"/>
      <c r="BI44" s="62"/>
    </row>
    <row r="45" spans="1:61" ht="15" customHeight="1" x14ac:dyDescent="0.25">
      <c r="A45" s="35"/>
      <c r="C45" s="60"/>
      <c r="U45" s="60"/>
      <c r="AD45" s="60"/>
      <c r="AM45" s="60"/>
      <c r="BI45" s="62"/>
    </row>
    <row r="46" spans="1:61" ht="15" customHeight="1" x14ac:dyDescent="0.25">
      <c r="A46" s="35"/>
      <c r="C46" s="60"/>
      <c r="U46" s="60"/>
      <c r="AD46" s="60"/>
      <c r="AM46" s="60"/>
      <c r="BI46" s="62"/>
    </row>
    <row r="47" spans="1:61" ht="15" customHeight="1" x14ac:dyDescent="0.25">
      <c r="A47" s="35"/>
      <c r="C47" s="60"/>
      <c r="U47" s="60"/>
      <c r="AD47" s="60"/>
      <c r="AM47" s="60"/>
      <c r="BI47" s="62"/>
    </row>
    <row r="48" spans="1:61" ht="15" customHeight="1" x14ac:dyDescent="0.25">
      <c r="A48" s="35"/>
      <c r="C48" s="60"/>
      <c r="U48" s="60"/>
      <c r="AD48" s="60"/>
      <c r="AM48" s="60"/>
      <c r="BI48" s="62"/>
    </row>
    <row r="49" spans="1:63" ht="15" customHeight="1" x14ac:dyDescent="0.25">
      <c r="A49" s="35"/>
      <c r="C49" s="60"/>
      <c r="U49" s="60"/>
      <c r="AD49" s="60"/>
      <c r="AM49" s="60"/>
      <c r="BI49" s="62"/>
    </row>
    <row r="50" spans="1:63" ht="15" customHeight="1" x14ac:dyDescent="0.25">
      <c r="A50" s="35"/>
      <c r="C50" s="60"/>
      <c r="U50" s="60"/>
      <c r="AD50" s="60"/>
      <c r="AM50" s="60"/>
      <c r="BI50" s="62"/>
    </row>
    <row r="51" spans="1:63" ht="15" customHeight="1" x14ac:dyDescent="0.25">
      <c r="A51" s="35"/>
      <c r="C51" s="60"/>
      <c r="U51" s="60"/>
      <c r="AD51" s="60"/>
      <c r="AM51" s="60"/>
      <c r="BI51" s="62"/>
    </row>
    <row r="52" spans="1:63" ht="15" customHeight="1" x14ac:dyDescent="0.25">
      <c r="A52" s="35"/>
      <c r="C52" s="60"/>
      <c r="U52" s="60"/>
      <c r="AD52" s="60"/>
      <c r="AM52" s="60"/>
      <c r="BI52" s="62"/>
    </row>
    <row r="53" spans="1:63" ht="15" customHeight="1" x14ac:dyDescent="0.25">
      <c r="A53" s="35"/>
      <c r="C53" s="60"/>
      <c r="U53" s="60"/>
      <c r="AD53" s="60"/>
      <c r="AM53" s="60"/>
      <c r="BI53" s="62"/>
    </row>
    <row r="54" spans="1:63" ht="15" customHeight="1" x14ac:dyDescent="0.25">
      <c r="A54" s="35"/>
      <c r="C54" s="60"/>
      <c r="U54" s="60"/>
      <c r="AD54" s="60"/>
      <c r="AM54" s="60"/>
      <c r="BI54" s="62"/>
    </row>
    <row r="55" spans="1:63" ht="15" customHeight="1" x14ac:dyDescent="0.25">
      <c r="A55" s="35"/>
      <c r="C55" s="60"/>
      <c r="U55" s="60"/>
      <c r="AD55" s="60"/>
      <c r="AM55" s="60"/>
      <c r="BI55" s="62"/>
    </row>
    <row r="56" spans="1:63" ht="15" customHeight="1" x14ac:dyDescent="0.25">
      <c r="A56" s="35"/>
      <c r="C56" s="60"/>
      <c r="U56" s="60"/>
      <c r="AD56" s="60"/>
      <c r="AM56" s="60"/>
      <c r="BI56" s="62"/>
    </row>
    <row r="57" spans="1:63" ht="15" customHeight="1" x14ac:dyDescent="0.25">
      <c r="A57" s="32"/>
      <c r="B57" s="76"/>
      <c r="C57" s="33"/>
      <c r="D57" s="33"/>
      <c r="E57" s="33"/>
      <c r="F57" s="33"/>
      <c r="G57" s="33"/>
      <c r="H57" s="33"/>
      <c r="I57" s="33"/>
      <c r="J57" s="33"/>
      <c r="K57" s="33"/>
      <c r="L57" s="33"/>
      <c r="M57" s="33"/>
      <c r="N57" s="33"/>
      <c r="O57" s="33"/>
      <c r="P57" s="33"/>
      <c r="Q57" s="33"/>
      <c r="R57" s="33"/>
      <c r="S57" s="33"/>
      <c r="T57" s="33"/>
      <c r="U57" s="76"/>
      <c r="V57" s="33"/>
      <c r="W57" s="33"/>
      <c r="X57" s="33"/>
      <c r="Y57" s="33"/>
      <c r="Z57" s="33"/>
      <c r="AA57" s="33"/>
      <c r="AB57" s="33"/>
      <c r="AC57" s="33"/>
      <c r="AD57" s="76"/>
      <c r="AE57" s="33"/>
      <c r="AF57" s="33"/>
      <c r="AG57" s="33"/>
      <c r="AH57" s="33"/>
      <c r="AI57" s="33"/>
      <c r="AJ57" s="33"/>
      <c r="AK57" s="33"/>
      <c r="AL57" s="33"/>
      <c r="AM57" s="76"/>
      <c r="AN57" s="33"/>
      <c r="AO57" s="33"/>
      <c r="AP57" s="33"/>
      <c r="AQ57" s="33"/>
      <c r="AR57" s="33"/>
      <c r="AS57" s="33"/>
      <c r="AT57" s="33"/>
      <c r="AU57" s="33"/>
      <c r="AV57" s="33"/>
      <c r="AW57" s="33"/>
      <c r="AX57" s="33"/>
      <c r="AY57" s="33"/>
      <c r="AZ57" s="33"/>
      <c r="BA57" s="33"/>
      <c r="BB57" s="33"/>
      <c r="BC57" s="33"/>
      <c r="BD57" s="33"/>
      <c r="BE57" s="33"/>
      <c r="BF57" s="33"/>
      <c r="BG57" s="33"/>
      <c r="BH57" s="33"/>
      <c r="BI57" s="77"/>
      <c r="BJ57" s="33"/>
      <c r="BK57" s="3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9" customWidth="1"/>
    <col min="64" max="16384" width="10.109375" style="9"/>
  </cols>
  <sheetData>
    <row r="1" spans="1:63" ht="24.95" customHeight="1" x14ac:dyDescent="0.25">
      <c r="A1" s="231" t="s">
        <v>0</v>
      </c>
      <c r="B1" s="232"/>
      <c r="C1" s="232"/>
      <c r="D1" s="232"/>
      <c r="E1" s="232"/>
      <c r="F1" s="232"/>
      <c r="G1" s="232"/>
      <c r="H1" s="232"/>
      <c r="I1" s="232"/>
      <c r="J1" s="233"/>
      <c r="K1" s="231" t="s">
        <v>1</v>
      </c>
      <c r="L1" s="232"/>
      <c r="M1" s="232"/>
      <c r="N1" s="232"/>
      <c r="O1" s="232"/>
      <c r="P1" s="232"/>
      <c r="Q1" s="232"/>
      <c r="R1" s="232"/>
      <c r="S1" s="232"/>
      <c r="T1" s="232"/>
      <c r="U1" s="232"/>
      <c r="V1" s="233"/>
      <c r="W1" s="244" t="str">
        <f>IF(表紙!W1="","",表紙!W1)</f>
        <v>基本設計書</v>
      </c>
      <c r="X1" s="245"/>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40"/>
      <c r="K2" s="238" t="str">
        <f>IF(表紙!K2="","",表紙!K2)</f>
        <v>POSサーバー</v>
      </c>
      <c r="L2" s="239"/>
      <c r="M2" s="239"/>
      <c r="N2" s="239"/>
      <c r="O2" s="239"/>
      <c r="P2" s="239"/>
      <c r="Q2" s="239"/>
      <c r="R2" s="239"/>
      <c r="S2" s="239"/>
      <c r="T2" s="239"/>
      <c r="U2" s="239"/>
      <c r="V2" s="240"/>
      <c r="W2" s="247"/>
      <c r="X2" s="248"/>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3"/>
      <c r="K3" s="241"/>
      <c r="L3" s="242"/>
      <c r="M3" s="242"/>
      <c r="N3" s="242"/>
      <c r="O3" s="242"/>
      <c r="P3" s="242"/>
      <c r="Q3" s="242"/>
      <c r="R3" s="242"/>
      <c r="S3" s="242"/>
      <c r="T3" s="242"/>
      <c r="U3" s="242"/>
      <c r="V3" s="243"/>
      <c r="W3" s="250"/>
      <c r="X3" s="251"/>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3"/>
      <c r="H4" s="234" t="str">
        <f>IF(表紙!H4="","",表紙!H4)</f>
        <v>20_レジ精算入力</v>
      </c>
      <c r="I4" s="235"/>
      <c r="J4" s="235"/>
      <c r="K4" s="235"/>
      <c r="L4" s="235"/>
      <c r="M4" s="235"/>
      <c r="N4" s="235"/>
      <c r="O4" s="235"/>
      <c r="P4" s="235"/>
      <c r="Q4" s="235"/>
      <c r="R4" s="235"/>
      <c r="S4" s="235"/>
      <c r="T4" s="236"/>
      <c r="U4" s="231" t="s">
        <v>12</v>
      </c>
      <c r="V4" s="232"/>
      <c r="W4" s="232"/>
      <c r="X4" s="232"/>
      <c r="Y4" s="233"/>
      <c r="Z4" s="234" t="str">
        <f>IF(表紙!Z4="","",表紙!Z4)</f>
        <v>概要設計書</v>
      </c>
      <c r="AA4" s="235"/>
      <c r="AB4" s="235"/>
      <c r="AC4" s="235"/>
      <c r="AD4" s="235"/>
      <c r="AE4" s="235"/>
      <c r="AF4" s="235"/>
      <c r="AG4" s="235"/>
      <c r="AH4" s="235"/>
      <c r="AI4" s="235"/>
      <c r="AJ4" s="235"/>
      <c r="AK4" s="235"/>
      <c r="AL4" s="235"/>
      <c r="AM4" s="235"/>
      <c r="AN4" s="235"/>
      <c r="AO4" s="236"/>
      <c r="AP4" s="237" t="str">
        <f ca="1">MID(CELL("filename",A1),FIND("]",CELL("filename",A1))+1,255)</f>
        <v>画面設計書</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2"/>
    </row>
    <row r="6" spans="1:63" ht="15" customHeight="1" x14ac:dyDescent="0.25">
      <c r="A6" s="13"/>
      <c r="BK6" s="14"/>
    </row>
    <row r="7" spans="1:63" ht="15" customHeight="1" x14ac:dyDescent="0.25">
      <c r="A7" s="13"/>
      <c r="B7" s="78" t="s">
        <v>61</v>
      </c>
      <c r="C7" s="78"/>
      <c r="D7" s="78"/>
      <c r="E7" s="78"/>
      <c r="F7" s="78"/>
      <c r="G7" s="78"/>
      <c r="H7" s="78"/>
      <c r="I7" s="78"/>
      <c r="J7" s="78"/>
      <c r="AE7" s="15"/>
      <c r="BK7" s="14"/>
    </row>
    <row r="8" spans="1:63" ht="15" customHeight="1" x14ac:dyDescent="0.25">
      <c r="A8" s="13"/>
      <c r="BK8" s="14"/>
    </row>
    <row r="9" spans="1:63" ht="15" customHeight="1" x14ac:dyDescent="0.25">
      <c r="A9" s="13"/>
      <c r="BK9" s="14"/>
    </row>
    <row r="10" spans="1:63" ht="15" customHeight="1" x14ac:dyDescent="0.25">
      <c r="A10" s="13"/>
      <c r="BK10" s="14"/>
    </row>
    <row r="11" spans="1:63" ht="15" customHeight="1" x14ac:dyDescent="0.25">
      <c r="A11" s="13"/>
      <c r="BK11" s="14"/>
    </row>
    <row r="12" spans="1:63" ht="15" customHeight="1" x14ac:dyDescent="0.25">
      <c r="A12" s="13"/>
      <c r="BK12" s="14"/>
    </row>
    <row r="13" spans="1:63" ht="15" customHeight="1" x14ac:dyDescent="0.25">
      <c r="A13" s="13"/>
      <c r="BK13" s="14"/>
    </row>
    <row r="14" spans="1:63" ht="15" customHeight="1" x14ac:dyDescent="0.25">
      <c r="A14" s="13"/>
      <c r="BK14" s="14"/>
    </row>
    <row r="15" spans="1:63" ht="15" customHeight="1" x14ac:dyDescent="0.25">
      <c r="A15" s="13"/>
      <c r="BK15" s="14"/>
    </row>
    <row r="16" spans="1:63" ht="15" customHeight="1" x14ac:dyDescent="0.25">
      <c r="A16" s="13"/>
      <c r="BK16" s="14"/>
    </row>
    <row r="17" spans="1:63" ht="15" customHeight="1" x14ac:dyDescent="0.25">
      <c r="A17" s="13"/>
      <c r="BK17" s="14"/>
    </row>
    <row r="18" spans="1:63" ht="15" customHeight="1" x14ac:dyDescent="0.25">
      <c r="A18" s="13"/>
      <c r="BK18" s="14"/>
    </row>
    <row r="19" spans="1:63" ht="15" customHeight="1" x14ac:dyDescent="0.25">
      <c r="A19" s="13"/>
      <c r="BK19" s="14"/>
    </row>
    <row r="20" spans="1:63" ht="15" customHeight="1" x14ac:dyDescent="0.25">
      <c r="A20" s="13"/>
      <c r="BK20" s="14"/>
    </row>
    <row r="21" spans="1:63" ht="15" customHeight="1" x14ac:dyDescent="0.25">
      <c r="A21" s="13"/>
      <c r="BK21" s="14"/>
    </row>
    <row r="22" spans="1:63" ht="15" customHeight="1" x14ac:dyDescent="0.25">
      <c r="A22" s="13"/>
      <c r="BK22" s="14"/>
    </row>
    <row r="23" spans="1:63" ht="15" customHeight="1" x14ac:dyDescent="0.25">
      <c r="A23" s="13"/>
      <c r="BK23" s="14"/>
    </row>
    <row r="24" spans="1:63" ht="15" customHeight="1" x14ac:dyDescent="0.25">
      <c r="A24" s="13"/>
      <c r="BK24" s="14"/>
    </row>
    <row r="25" spans="1:63" ht="14.25" customHeight="1" x14ac:dyDescent="0.25">
      <c r="A25" s="13"/>
      <c r="BK25" s="14"/>
    </row>
    <row r="26" spans="1:63" ht="15" customHeight="1" x14ac:dyDescent="0.25">
      <c r="A26" s="13"/>
      <c r="BK26" s="14"/>
    </row>
    <row r="27" spans="1:63" ht="15" customHeight="1" x14ac:dyDescent="0.25">
      <c r="A27" s="13"/>
      <c r="BK27" s="14"/>
    </row>
    <row r="28" spans="1:63" x14ac:dyDescent="0.25">
      <c r="BK28" s="14"/>
    </row>
    <row r="29" spans="1:63" x14ac:dyDescent="0.25">
      <c r="BK29" s="14"/>
    </row>
    <row r="30" spans="1:63" x14ac:dyDescent="0.25">
      <c r="BK30" s="14"/>
    </row>
    <row r="31" spans="1:63" x14ac:dyDescent="0.25">
      <c r="BK31" s="14"/>
    </row>
    <row r="32" spans="1:63" x14ac:dyDescent="0.25">
      <c r="BK32" s="14"/>
    </row>
    <row r="33" spans="1:63" x14ac:dyDescent="0.25">
      <c r="BK33" s="14"/>
    </row>
    <row r="34" spans="1:63" x14ac:dyDescent="0.25">
      <c r="BK34" s="14"/>
    </row>
    <row r="35" spans="1:63" ht="15" customHeight="1" x14ac:dyDescent="0.25">
      <c r="A35" s="13"/>
      <c r="B35" s="15" t="s">
        <v>62</v>
      </c>
      <c r="BK35" s="14"/>
    </row>
    <row r="36" spans="1:63" x14ac:dyDescent="0.25">
      <c r="BK36" s="14"/>
    </row>
    <row r="37" spans="1:63" ht="15.75" customHeight="1" x14ac:dyDescent="0.25">
      <c r="B37" s="350" t="s">
        <v>63</v>
      </c>
      <c r="C37" s="351"/>
      <c r="D37" s="356" t="s">
        <v>64</v>
      </c>
      <c r="E37" s="357"/>
      <c r="F37" s="357"/>
      <c r="G37" s="357"/>
      <c r="H37" s="357"/>
      <c r="I37" s="357"/>
      <c r="J37" s="351"/>
      <c r="K37" s="356" t="s">
        <v>65</v>
      </c>
      <c r="L37" s="357"/>
      <c r="M37" s="351"/>
      <c r="N37" s="360" t="s">
        <v>66</v>
      </c>
      <c r="O37" s="363" t="s">
        <v>67</v>
      </c>
      <c r="P37" s="311" t="s">
        <v>68</v>
      </c>
      <c r="Q37" s="312"/>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313"/>
      <c r="AR37" s="314" t="s">
        <v>69</v>
      </c>
      <c r="AS37" s="315"/>
      <c r="AT37" s="315"/>
      <c r="AU37" s="315"/>
      <c r="AV37" s="315"/>
      <c r="AW37" s="315"/>
      <c r="AX37" s="315"/>
      <c r="AY37" s="315"/>
      <c r="AZ37" s="315"/>
      <c r="BA37" s="315"/>
      <c r="BB37" s="316"/>
      <c r="BC37" s="317" t="s">
        <v>70</v>
      </c>
      <c r="BD37" s="318"/>
      <c r="BE37" s="318"/>
      <c r="BF37" s="318"/>
      <c r="BG37" s="318"/>
      <c r="BH37" s="318"/>
      <c r="BI37" s="318"/>
      <c r="BJ37" s="319"/>
      <c r="BK37" s="14"/>
    </row>
    <row r="38" spans="1:63" ht="15.75" customHeight="1" x14ac:dyDescent="0.25">
      <c r="B38" s="352"/>
      <c r="C38" s="353"/>
      <c r="D38" s="352"/>
      <c r="E38" s="358"/>
      <c r="F38" s="358"/>
      <c r="G38" s="358"/>
      <c r="H38" s="358"/>
      <c r="I38" s="358"/>
      <c r="J38" s="353"/>
      <c r="K38" s="352"/>
      <c r="L38" s="358"/>
      <c r="M38" s="353"/>
      <c r="N38" s="361"/>
      <c r="O38" s="364"/>
      <c r="P38" s="326" t="s">
        <v>71</v>
      </c>
      <c r="Q38" s="327"/>
      <c r="R38" s="327"/>
      <c r="S38" s="327"/>
      <c r="T38" s="327"/>
      <c r="U38" s="327"/>
      <c r="V38" s="327"/>
      <c r="W38" s="328"/>
      <c r="X38" s="329" t="s">
        <v>72</v>
      </c>
      <c r="Y38" s="330"/>
      <c r="Z38" s="331"/>
      <c r="AA38" s="329" t="s">
        <v>73</v>
      </c>
      <c r="AB38" s="330"/>
      <c r="AC38" s="330"/>
      <c r="AD38" s="330"/>
      <c r="AE38" s="330"/>
      <c r="AF38" s="330"/>
      <c r="AG38" s="330"/>
      <c r="AH38" s="331"/>
      <c r="AI38" s="329" t="s">
        <v>74</v>
      </c>
      <c r="AJ38" s="330"/>
      <c r="AK38" s="330"/>
      <c r="AL38" s="330"/>
      <c r="AM38" s="330"/>
      <c r="AN38" s="330"/>
      <c r="AO38" s="330"/>
      <c r="AP38" s="330"/>
      <c r="AQ38" s="331"/>
      <c r="AR38" s="335" t="s">
        <v>75</v>
      </c>
      <c r="AS38" s="337" t="s">
        <v>76</v>
      </c>
      <c r="AT38" s="339" t="s">
        <v>77</v>
      </c>
      <c r="AU38" s="314" t="s">
        <v>71</v>
      </c>
      <c r="AV38" s="315"/>
      <c r="AW38" s="315"/>
      <c r="AX38" s="315"/>
      <c r="AY38" s="315"/>
      <c r="AZ38" s="315"/>
      <c r="BA38" s="315"/>
      <c r="BB38" s="316"/>
      <c r="BC38" s="320"/>
      <c r="BD38" s="321"/>
      <c r="BE38" s="321"/>
      <c r="BF38" s="321"/>
      <c r="BG38" s="321"/>
      <c r="BH38" s="321"/>
      <c r="BI38" s="321"/>
      <c r="BJ38" s="322"/>
      <c r="BK38" s="14"/>
    </row>
    <row r="39" spans="1:63" x14ac:dyDescent="0.25">
      <c r="B39" s="354"/>
      <c r="C39" s="355"/>
      <c r="D39" s="354"/>
      <c r="E39" s="359"/>
      <c r="F39" s="359"/>
      <c r="G39" s="359"/>
      <c r="H39" s="359"/>
      <c r="I39" s="359"/>
      <c r="J39" s="355"/>
      <c r="K39" s="354"/>
      <c r="L39" s="359"/>
      <c r="M39" s="355"/>
      <c r="N39" s="362"/>
      <c r="O39" s="365"/>
      <c r="P39" s="311" t="s">
        <v>78</v>
      </c>
      <c r="Q39" s="312"/>
      <c r="R39" s="312"/>
      <c r="S39" s="313"/>
      <c r="T39" s="311" t="s">
        <v>64</v>
      </c>
      <c r="U39" s="312"/>
      <c r="V39" s="312"/>
      <c r="W39" s="313"/>
      <c r="X39" s="332"/>
      <c r="Y39" s="333"/>
      <c r="Z39" s="334"/>
      <c r="AA39" s="332"/>
      <c r="AB39" s="333"/>
      <c r="AC39" s="333"/>
      <c r="AD39" s="333"/>
      <c r="AE39" s="333"/>
      <c r="AF39" s="333"/>
      <c r="AG39" s="333"/>
      <c r="AH39" s="334"/>
      <c r="AI39" s="332"/>
      <c r="AJ39" s="333"/>
      <c r="AK39" s="333"/>
      <c r="AL39" s="333"/>
      <c r="AM39" s="333"/>
      <c r="AN39" s="333"/>
      <c r="AO39" s="333"/>
      <c r="AP39" s="333"/>
      <c r="AQ39" s="334"/>
      <c r="AR39" s="336"/>
      <c r="AS39" s="338"/>
      <c r="AT39" s="340"/>
      <c r="AU39" s="314" t="s">
        <v>78</v>
      </c>
      <c r="AV39" s="315"/>
      <c r="AW39" s="315"/>
      <c r="AX39" s="366"/>
      <c r="AY39" s="367" t="s">
        <v>64</v>
      </c>
      <c r="AZ39" s="315"/>
      <c r="BA39" s="315"/>
      <c r="BB39" s="316"/>
      <c r="BC39" s="323"/>
      <c r="BD39" s="324"/>
      <c r="BE39" s="324"/>
      <c r="BF39" s="324"/>
      <c r="BG39" s="324"/>
      <c r="BH39" s="324"/>
      <c r="BI39" s="324"/>
      <c r="BJ39" s="325"/>
      <c r="BK39" s="14"/>
    </row>
    <row r="40" spans="1:63" ht="15.75" customHeight="1" x14ac:dyDescent="0.25">
      <c r="B40" s="304">
        <v>1</v>
      </c>
      <c r="C40" s="305"/>
      <c r="D40" s="306"/>
      <c r="E40" s="307"/>
      <c r="F40" s="307"/>
      <c r="G40" s="307"/>
      <c r="H40" s="307"/>
      <c r="I40" s="307"/>
      <c r="J40" s="308"/>
      <c r="K40" s="287" t="s">
        <v>79</v>
      </c>
      <c r="L40" s="288"/>
      <c r="M40" s="289"/>
      <c r="N40" s="16" t="s">
        <v>80</v>
      </c>
      <c r="O40" s="17" t="s">
        <v>81</v>
      </c>
      <c r="P40" s="309" t="s">
        <v>80</v>
      </c>
      <c r="Q40" s="310"/>
      <c r="R40" s="310"/>
      <c r="S40" s="305"/>
      <c r="T40" s="309" t="s">
        <v>80</v>
      </c>
      <c r="U40" s="310"/>
      <c r="V40" s="310"/>
      <c r="W40" s="305"/>
      <c r="X40" s="341" t="s">
        <v>82</v>
      </c>
      <c r="Y40" s="342"/>
      <c r="Z40" s="343"/>
      <c r="AA40" s="304" t="s">
        <v>83</v>
      </c>
      <c r="AB40" s="310"/>
      <c r="AC40" s="310"/>
      <c r="AD40" s="310"/>
      <c r="AE40" s="310"/>
      <c r="AF40" s="310"/>
      <c r="AG40" s="310"/>
      <c r="AH40" s="305"/>
      <c r="AI40" s="344" t="s">
        <v>80</v>
      </c>
      <c r="AJ40" s="345"/>
      <c r="AK40" s="345"/>
      <c r="AL40" s="345"/>
      <c r="AM40" s="345"/>
      <c r="AN40" s="345"/>
      <c r="AO40" s="345"/>
      <c r="AP40" s="345"/>
      <c r="AQ40" s="346"/>
      <c r="AR40" s="18" t="s">
        <v>80</v>
      </c>
      <c r="AS40" s="18" t="s">
        <v>83</v>
      </c>
      <c r="AT40" s="18" t="s">
        <v>83</v>
      </c>
      <c r="AU40" s="304" t="s">
        <v>84</v>
      </c>
      <c r="AV40" s="310"/>
      <c r="AW40" s="310"/>
      <c r="AX40" s="305"/>
      <c r="AY40" s="304" t="s">
        <v>83</v>
      </c>
      <c r="AZ40" s="310"/>
      <c r="BA40" s="310"/>
      <c r="BB40" s="305"/>
      <c r="BC40" s="347"/>
      <c r="BD40" s="348"/>
      <c r="BE40" s="348"/>
      <c r="BF40" s="348"/>
      <c r="BG40" s="348"/>
      <c r="BH40" s="348"/>
      <c r="BI40" s="348"/>
      <c r="BJ40" s="349"/>
      <c r="BK40" s="14"/>
    </row>
    <row r="41" spans="1:63" x14ac:dyDescent="0.25">
      <c r="B41" s="274">
        <v>2</v>
      </c>
      <c r="C41" s="273"/>
      <c r="D41" s="301"/>
      <c r="E41" s="302"/>
      <c r="F41" s="302"/>
      <c r="G41" s="302"/>
      <c r="H41" s="302"/>
      <c r="I41" s="302"/>
      <c r="J41" s="303"/>
      <c r="K41" s="287" t="s">
        <v>79</v>
      </c>
      <c r="L41" s="288"/>
      <c r="M41" s="289"/>
      <c r="N41" s="17" t="s">
        <v>85</v>
      </c>
      <c r="O41" s="17" t="s">
        <v>81</v>
      </c>
      <c r="P41" s="274" t="s">
        <v>84</v>
      </c>
      <c r="Q41" s="272"/>
      <c r="R41" s="272"/>
      <c r="S41" s="273"/>
      <c r="T41" s="274" t="s">
        <v>84</v>
      </c>
      <c r="U41" s="272"/>
      <c r="V41" s="272"/>
      <c r="W41" s="273"/>
      <c r="X41" s="297" t="s">
        <v>86</v>
      </c>
      <c r="Y41" s="298"/>
      <c r="Z41" s="299"/>
      <c r="AA41" s="274" t="s">
        <v>83</v>
      </c>
      <c r="AB41" s="272"/>
      <c r="AC41" s="272"/>
      <c r="AD41" s="272"/>
      <c r="AE41" s="272"/>
      <c r="AF41" s="272"/>
      <c r="AG41" s="272"/>
      <c r="AH41" s="273"/>
      <c r="AI41" s="275" t="s">
        <v>83</v>
      </c>
      <c r="AJ41" s="276"/>
      <c r="AK41" s="276"/>
      <c r="AL41" s="276"/>
      <c r="AM41" s="276"/>
      <c r="AN41" s="276"/>
      <c r="AO41" s="276"/>
      <c r="AP41" s="276"/>
      <c r="AQ41" s="277"/>
      <c r="AR41" s="19" t="s">
        <v>80</v>
      </c>
      <c r="AS41" s="19" t="s">
        <v>83</v>
      </c>
      <c r="AT41" s="19" t="s">
        <v>83</v>
      </c>
      <c r="AU41" s="274" t="s">
        <v>84</v>
      </c>
      <c r="AV41" s="272"/>
      <c r="AW41" s="272"/>
      <c r="AX41" s="273"/>
      <c r="AY41" s="274" t="s">
        <v>83</v>
      </c>
      <c r="AZ41" s="272"/>
      <c r="BA41" s="272"/>
      <c r="BB41" s="273"/>
      <c r="BC41" s="296"/>
      <c r="BD41" s="279"/>
      <c r="BE41" s="279"/>
      <c r="BF41" s="279"/>
      <c r="BG41" s="279"/>
      <c r="BH41" s="279"/>
      <c r="BI41" s="279"/>
      <c r="BJ41" s="280"/>
      <c r="BK41" s="14"/>
    </row>
    <row r="42" spans="1:63" x14ac:dyDescent="0.25">
      <c r="B42" s="274">
        <v>3</v>
      </c>
      <c r="C42" s="273"/>
      <c r="D42" s="284"/>
      <c r="E42" s="285"/>
      <c r="F42" s="285"/>
      <c r="G42" s="285"/>
      <c r="H42" s="285"/>
      <c r="I42" s="285"/>
      <c r="J42" s="286"/>
      <c r="K42" s="287" t="s">
        <v>79</v>
      </c>
      <c r="L42" s="288"/>
      <c r="M42" s="289"/>
      <c r="N42" s="17" t="s">
        <v>87</v>
      </c>
      <c r="O42" s="17" t="s">
        <v>80</v>
      </c>
      <c r="P42" s="300" t="s">
        <v>80</v>
      </c>
      <c r="Q42" s="272"/>
      <c r="R42" s="272"/>
      <c r="S42" s="273"/>
      <c r="T42" s="274"/>
      <c r="U42" s="272"/>
      <c r="V42" s="272"/>
      <c r="W42" s="273"/>
      <c r="X42" s="293" t="s">
        <v>80</v>
      </c>
      <c r="Y42" s="294"/>
      <c r="Z42" s="295"/>
      <c r="AA42" s="274" t="s">
        <v>83</v>
      </c>
      <c r="AB42" s="272"/>
      <c r="AC42" s="272"/>
      <c r="AD42" s="272"/>
      <c r="AE42" s="272"/>
      <c r="AF42" s="272"/>
      <c r="AG42" s="272"/>
      <c r="AH42" s="273"/>
      <c r="AI42" s="275" t="s">
        <v>83</v>
      </c>
      <c r="AJ42" s="276"/>
      <c r="AK42" s="276"/>
      <c r="AL42" s="276"/>
      <c r="AM42" s="276"/>
      <c r="AN42" s="276"/>
      <c r="AO42" s="276"/>
      <c r="AP42" s="276"/>
      <c r="AQ42" s="277"/>
      <c r="AR42" s="19" t="s">
        <v>80</v>
      </c>
      <c r="AS42" s="19" t="s">
        <v>83</v>
      </c>
      <c r="AT42" s="19" t="s">
        <v>83</v>
      </c>
      <c r="AU42" s="274" t="s">
        <v>84</v>
      </c>
      <c r="AV42" s="272"/>
      <c r="AW42" s="272"/>
      <c r="AX42" s="273"/>
      <c r="AY42" s="274" t="s">
        <v>83</v>
      </c>
      <c r="AZ42" s="272"/>
      <c r="BA42" s="272"/>
      <c r="BB42" s="273"/>
      <c r="BC42" s="278"/>
      <c r="BD42" s="279"/>
      <c r="BE42" s="279"/>
      <c r="BF42" s="279"/>
      <c r="BG42" s="279"/>
      <c r="BH42" s="279"/>
      <c r="BI42" s="279"/>
      <c r="BJ42" s="280"/>
      <c r="BK42" s="14"/>
    </row>
    <row r="43" spans="1:63" x14ac:dyDescent="0.25">
      <c r="B43" s="274">
        <v>4</v>
      </c>
      <c r="C43" s="273"/>
      <c r="D43" s="290"/>
      <c r="E43" s="291"/>
      <c r="F43" s="291"/>
      <c r="G43" s="291"/>
      <c r="H43" s="291"/>
      <c r="I43" s="291"/>
      <c r="J43" s="292"/>
      <c r="K43" s="287" t="s">
        <v>79</v>
      </c>
      <c r="L43" s="288"/>
      <c r="M43" s="289"/>
      <c r="N43" s="20" t="s">
        <v>85</v>
      </c>
      <c r="O43" s="17" t="s">
        <v>81</v>
      </c>
      <c r="P43" s="274" t="s">
        <v>84</v>
      </c>
      <c r="Q43" s="272"/>
      <c r="R43" s="272"/>
      <c r="S43" s="273"/>
      <c r="T43" s="274" t="s">
        <v>84</v>
      </c>
      <c r="U43" s="272"/>
      <c r="V43" s="272"/>
      <c r="W43" s="273"/>
      <c r="X43" s="271" t="s">
        <v>88</v>
      </c>
      <c r="Y43" s="272"/>
      <c r="Z43" s="273"/>
      <c r="AA43" s="274" t="s">
        <v>83</v>
      </c>
      <c r="AB43" s="272"/>
      <c r="AC43" s="272"/>
      <c r="AD43" s="272"/>
      <c r="AE43" s="272"/>
      <c r="AF43" s="272"/>
      <c r="AG43" s="272"/>
      <c r="AH43" s="273"/>
      <c r="AI43" s="275" t="s">
        <v>83</v>
      </c>
      <c r="AJ43" s="276"/>
      <c r="AK43" s="276"/>
      <c r="AL43" s="276"/>
      <c r="AM43" s="276"/>
      <c r="AN43" s="276"/>
      <c r="AO43" s="276"/>
      <c r="AP43" s="276"/>
      <c r="AQ43" s="277"/>
      <c r="AR43" s="19" t="s">
        <v>80</v>
      </c>
      <c r="AS43" s="19" t="s">
        <v>83</v>
      </c>
      <c r="AT43" s="19" t="s">
        <v>83</v>
      </c>
      <c r="AU43" s="274" t="s">
        <v>84</v>
      </c>
      <c r="AV43" s="272"/>
      <c r="AW43" s="272"/>
      <c r="AX43" s="273"/>
      <c r="AY43" s="274" t="s">
        <v>83</v>
      </c>
      <c r="AZ43" s="272"/>
      <c r="BA43" s="272"/>
      <c r="BB43" s="273"/>
      <c r="BC43" s="281"/>
      <c r="BD43" s="282"/>
      <c r="BE43" s="282"/>
      <c r="BF43" s="282"/>
      <c r="BG43" s="282"/>
      <c r="BH43" s="282"/>
      <c r="BI43" s="282"/>
      <c r="BJ43" s="283"/>
      <c r="BK43" s="14"/>
    </row>
    <row r="44" spans="1:63" x14ac:dyDescent="0.25">
      <c r="B44" s="274">
        <v>5</v>
      </c>
      <c r="C44" s="273"/>
      <c r="D44" s="284"/>
      <c r="E44" s="285"/>
      <c r="F44" s="285"/>
      <c r="G44" s="285"/>
      <c r="H44" s="285"/>
      <c r="I44" s="285"/>
      <c r="J44" s="286"/>
      <c r="K44" s="287" t="s">
        <v>89</v>
      </c>
      <c r="L44" s="288"/>
      <c r="M44" s="289"/>
      <c r="N44" s="20" t="s">
        <v>87</v>
      </c>
      <c r="O44" s="17" t="s">
        <v>80</v>
      </c>
      <c r="P44" s="274" t="s">
        <v>84</v>
      </c>
      <c r="Q44" s="272"/>
      <c r="R44" s="272"/>
      <c r="S44" s="273"/>
      <c r="T44" s="274" t="s">
        <v>84</v>
      </c>
      <c r="U44" s="272"/>
      <c r="V44" s="272"/>
      <c r="W44" s="273"/>
      <c r="X44" s="271" t="s">
        <v>80</v>
      </c>
      <c r="Y44" s="272"/>
      <c r="Z44" s="273"/>
      <c r="AA44" s="274" t="s">
        <v>83</v>
      </c>
      <c r="AB44" s="272"/>
      <c r="AC44" s="272"/>
      <c r="AD44" s="272"/>
      <c r="AE44" s="272"/>
      <c r="AF44" s="272"/>
      <c r="AG44" s="272"/>
      <c r="AH44" s="273"/>
      <c r="AI44" s="275" t="s">
        <v>83</v>
      </c>
      <c r="AJ44" s="276"/>
      <c r="AK44" s="276"/>
      <c r="AL44" s="276"/>
      <c r="AM44" s="276"/>
      <c r="AN44" s="276"/>
      <c r="AO44" s="276"/>
      <c r="AP44" s="276"/>
      <c r="AQ44" s="277"/>
      <c r="AR44" s="19" t="s">
        <v>80</v>
      </c>
      <c r="AS44" s="19" t="s">
        <v>83</v>
      </c>
      <c r="AT44" s="19" t="s">
        <v>83</v>
      </c>
      <c r="AU44" s="274" t="s">
        <v>84</v>
      </c>
      <c r="AV44" s="272"/>
      <c r="AW44" s="272"/>
      <c r="AX44" s="273"/>
      <c r="AY44" s="274" t="s">
        <v>83</v>
      </c>
      <c r="AZ44" s="272"/>
      <c r="BA44" s="272"/>
      <c r="BB44" s="273"/>
      <c r="BC44" s="278"/>
      <c r="BD44" s="279"/>
      <c r="BE44" s="279"/>
      <c r="BF44" s="279"/>
      <c r="BG44" s="279"/>
      <c r="BH44" s="279"/>
      <c r="BI44" s="279"/>
      <c r="BJ44" s="280"/>
      <c r="BK44" s="14"/>
    </row>
    <row r="45" spans="1:63" x14ac:dyDescent="0.25">
      <c r="B45" s="253">
        <v>6</v>
      </c>
      <c r="C45" s="255"/>
      <c r="D45" s="262"/>
      <c r="E45" s="263"/>
      <c r="F45" s="263"/>
      <c r="G45" s="263"/>
      <c r="H45" s="263"/>
      <c r="I45" s="263"/>
      <c r="J45" s="264"/>
      <c r="K45" s="265" t="s">
        <v>90</v>
      </c>
      <c r="L45" s="266"/>
      <c r="M45" s="267"/>
      <c r="N45" s="21" t="s">
        <v>87</v>
      </c>
      <c r="O45" s="21" t="s">
        <v>81</v>
      </c>
      <c r="P45" s="253" t="s">
        <v>84</v>
      </c>
      <c r="Q45" s="254"/>
      <c r="R45" s="254"/>
      <c r="S45" s="255"/>
      <c r="T45" s="253" t="s">
        <v>84</v>
      </c>
      <c r="U45" s="254"/>
      <c r="V45" s="254"/>
      <c r="W45" s="255"/>
      <c r="X45" s="268" t="s">
        <v>91</v>
      </c>
      <c r="Y45" s="269"/>
      <c r="Z45" s="270"/>
      <c r="AA45" s="253" t="s">
        <v>83</v>
      </c>
      <c r="AB45" s="254"/>
      <c r="AC45" s="254"/>
      <c r="AD45" s="254"/>
      <c r="AE45" s="254"/>
      <c r="AF45" s="254"/>
      <c r="AG45" s="254"/>
      <c r="AH45" s="255"/>
      <c r="AI45" s="256" t="s">
        <v>92</v>
      </c>
      <c r="AJ45" s="257"/>
      <c r="AK45" s="257"/>
      <c r="AL45" s="257"/>
      <c r="AM45" s="257"/>
      <c r="AN45" s="257"/>
      <c r="AO45" s="257"/>
      <c r="AP45" s="257"/>
      <c r="AQ45" s="258"/>
      <c r="AR45" s="22" t="s">
        <v>80</v>
      </c>
      <c r="AS45" s="22" t="s">
        <v>83</v>
      </c>
      <c r="AT45" s="22" t="s">
        <v>83</v>
      </c>
      <c r="AU45" s="253" t="s">
        <v>84</v>
      </c>
      <c r="AV45" s="254"/>
      <c r="AW45" s="254"/>
      <c r="AX45" s="255"/>
      <c r="AY45" s="253" t="s">
        <v>83</v>
      </c>
      <c r="AZ45" s="254"/>
      <c r="BA45" s="254"/>
      <c r="BB45" s="255"/>
      <c r="BC45" s="259" t="s">
        <v>93</v>
      </c>
      <c r="BD45" s="260"/>
      <c r="BE45" s="260"/>
      <c r="BF45" s="260"/>
      <c r="BG45" s="260"/>
      <c r="BH45" s="260"/>
      <c r="BI45" s="260"/>
      <c r="BJ45" s="261"/>
      <c r="BK45" s="14"/>
    </row>
    <row r="46" spans="1:63" x14ac:dyDescent="0.25">
      <c r="BK46" s="14"/>
    </row>
    <row r="47" spans="1:63" x14ac:dyDescent="0.25">
      <c r="BK47" s="14"/>
    </row>
    <row r="48" spans="1:63" x14ac:dyDescent="0.25">
      <c r="BK48" s="14"/>
    </row>
    <row r="49" spans="1:63" x14ac:dyDescent="0.25">
      <c r="BK49" s="14"/>
    </row>
    <row r="50" spans="1:63" x14ac:dyDescent="0.25">
      <c r="BK50" s="14"/>
    </row>
    <row r="51" spans="1:63" x14ac:dyDescent="0.25">
      <c r="BK51" s="14"/>
    </row>
    <row r="52" spans="1:63" x14ac:dyDescent="0.25">
      <c r="BK52" s="14"/>
    </row>
    <row r="53" spans="1:63" x14ac:dyDescent="0.25">
      <c r="BK53" s="14"/>
    </row>
    <row r="54" spans="1:63" x14ac:dyDescent="0.25">
      <c r="BK54" s="14"/>
    </row>
    <row r="55" spans="1:63"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2"/>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6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2D34-2F0B-48F7-A5E8-A0295884BA66}">
  <sheetPr>
    <tabColor rgb="FF0000FF"/>
    <pageSetUpPr fitToPage="1"/>
  </sheetPr>
  <dimension ref="A1:BK59"/>
  <sheetViews>
    <sheetView tabSelected="1" view="pageBreakPreview" zoomScale="85" zoomScaleNormal="85" zoomScaleSheetLayoutView="85" workbookViewId="0">
      <selection sqref="A1:K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231" t="s">
        <v>0</v>
      </c>
      <c r="B1" s="232"/>
      <c r="C1" s="232"/>
      <c r="D1" s="232"/>
      <c r="E1" s="232"/>
      <c r="F1" s="232"/>
      <c r="G1" s="232"/>
      <c r="H1" s="232"/>
      <c r="I1" s="232"/>
      <c r="J1" s="232"/>
      <c r="K1" s="233"/>
      <c r="L1" s="231" t="s">
        <v>1</v>
      </c>
      <c r="M1" s="232"/>
      <c r="N1" s="232"/>
      <c r="O1" s="232"/>
      <c r="P1" s="232"/>
      <c r="Q1" s="232"/>
      <c r="R1" s="232"/>
      <c r="S1" s="232"/>
      <c r="T1" s="232"/>
      <c r="U1" s="232"/>
      <c r="V1" s="232"/>
      <c r="W1" s="233"/>
      <c r="X1" s="244" t="str">
        <f>IF(表紙!W1="","",表紙!W1)</f>
        <v>基本設計書</v>
      </c>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39"/>
      <c r="K2" s="240"/>
      <c r="L2" s="238" t="str">
        <f>IF(表紙!K2="","",表紙!K2)</f>
        <v>POSサーバー</v>
      </c>
      <c r="M2" s="239"/>
      <c r="N2" s="239"/>
      <c r="O2" s="239"/>
      <c r="P2" s="239"/>
      <c r="Q2" s="239"/>
      <c r="R2" s="239"/>
      <c r="S2" s="239"/>
      <c r="T2" s="239"/>
      <c r="U2" s="239"/>
      <c r="V2" s="239"/>
      <c r="W2" s="240"/>
      <c r="X2" s="247"/>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2"/>
      <c r="K3" s="243"/>
      <c r="L3" s="241"/>
      <c r="M3" s="242"/>
      <c r="N3" s="242"/>
      <c r="O3" s="242"/>
      <c r="P3" s="242"/>
      <c r="Q3" s="242"/>
      <c r="R3" s="242"/>
      <c r="S3" s="242"/>
      <c r="T3" s="242"/>
      <c r="U3" s="242"/>
      <c r="V3" s="242"/>
      <c r="W3" s="243"/>
      <c r="X3" s="250"/>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2"/>
      <c r="H4" s="233"/>
      <c r="I4" s="234" t="str">
        <f>IF(表紙!H4="","",表紙!H4)</f>
        <v>20_レジ精算入力</v>
      </c>
      <c r="J4" s="235"/>
      <c r="K4" s="235"/>
      <c r="L4" s="235"/>
      <c r="M4" s="235"/>
      <c r="N4" s="235"/>
      <c r="O4" s="235"/>
      <c r="P4" s="235"/>
      <c r="Q4" s="235"/>
      <c r="R4" s="235"/>
      <c r="S4" s="235"/>
      <c r="T4" s="235"/>
      <c r="U4" s="236"/>
      <c r="V4" s="231" t="s">
        <v>12</v>
      </c>
      <c r="W4" s="232"/>
      <c r="X4" s="232"/>
      <c r="Y4" s="232"/>
      <c r="Z4" s="233"/>
      <c r="AA4" s="234" t="str">
        <f>IF(表紙!Z4="","",表紙!Z4)</f>
        <v>概要設計書</v>
      </c>
      <c r="AB4" s="235"/>
      <c r="AC4" s="235"/>
      <c r="AD4" s="235"/>
      <c r="AE4" s="235"/>
      <c r="AF4" s="235"/>
      <c r="AG4" s="235"/>
      <c r="AH4" s="235"/>
      <c r="AI4" s="235"/>
      <c r="AJ4" s="235"/>
      <c r="AK4" s="235"/>
      <c r="AL4" s="235"/>
      <c r="AM4" s="235"/>
      <c r="AN4" s="235"/>
      <c r="AO4" s="236"/>
      <c r="AP4" s="237" t="str">
        <f ca="1">MID(CELL("filename",A1),FIND("]",CELL("filename",A1))+1,255)</f>
        <v>レジ精算実</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56"/>
      <c r="C7" s="57"/>
      <c r="D7" s="58"/>
      <c r="E7" s="58"/>
      <c r="F7" s="58"/>
      <c r="G7" s="58"/>
      <c r="H7" s="58"/>
      <c r="I7" s="58"/>
      <c r="J7" s="58"/>
      <c r="K7" s="58"/>
      <c r="L7" s="58"/>
      <c r="M7" s="58"/>
      <c r="N7" s="58"/>
      <c r="O7" s="58"/>
      <c r="P7" s="58"/>
      <c r="Q7" s="58"/>
      <c r="R7" s="58"/>
      <c r="S7" s="58"/>
      <c r="T7" s="58"/>
      <c r="U7" s="59"/>
      <c r="V7" s="57"/>
      <c r="W7" s="58"/>
      <c r="X7" s="58"/>
      <c r="Y7" s="58"/>
      <c r="Z7" s="58"/>
      <c r="AA7" s="58"/>
      <c r="AB7" s="58"/>
      <c r="AC7" s="58"/>
      <c r="AD7" s="59"/>
      <c r="AE7" s="57"/>
      <c r="AF7" s="58"/>
      <c r="AG7" s="58"/>
      <c r="AH7" s="58"/>
      <c r="AI7" s="58"/>
      <c r="AJ7" s="58"/>
      <c r="AK7" s="58"/>
      <c r="AL7" s="58"/>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3" ht="15" customHeight="1" x14ac:dyDescent="0.25">
      <c r="A8" s="35"/>
      <c r="C8" s="60"/>
      <c r="V8" s="60"/>
      <c r="AE8" s="60"/>
      <c r="AM8" s="60"/>
      <c r="BI8" s="62"/>
    </row>
    <row r="9" spans="1:63" ht="15" customHeight="1" x14ac:dyDescent="0.25">
      <c r="A9" s="35"/>
      <c r="C9" s="388" t="s">
        <v>94</v>
      </c>
      <c r="D9" s="388"/>
      <c r="E9" s="389" t="s">
        <v>95</v>
      </c>
      <c r="F9" s="389"/>
      <c r="G9" s="389"/>
      <c r="H9" s="389"/>
      <c r="I9" s="389"/>
      <c r="J9" s="389"/>
      <c r="K9" s="389"/>
      <c r="L9" s="389"/>
      <c r="M9" s="389"/>
      <c r="N9" s="389"/>
      <c r="O9" s="389"/>
      <c r="P9" s="389"/>
      <c r="Q9" s="389"/>
      <c r="R9" s="389"/>
      <c r="S9" s="389" t="s">
        <v>96</v>
      </c>
      <c r="T9" s="389"/>
      <c r="U9" s="389"/>
      <c r="V9" s="389"/>
      <c r="W9" s="389"/>
      <c r="X9" s="389"/>
      <c r="Y9" s="389"/>
      <c r="Z9" s="389"/>
      <c r="AA9" s="389"/>
      <c r="AB9" s="389"/>
      <c r="AC9" s="389"/>
      <c r="AD9" s="389"/>
      <c r="AE9" s="389"/>
      <c r="AF9" s="389"/>
      <c r="AG9" s="389"/>
      <c r="AH9" s="389"/>
      <c r="AI9" s="389"/>
      <c r="AJ9" s="389"/>
      <c r="AK9" s="389"/>
      <c r="AL9" s="389"/>
      <c r="AM9" s="389"/>
      <c r="AN9" s="389"/>
      <c r="AO9" s="389"/>
      <c r="AP9" s="389"/>
      <c r="AQ9" s="389"/>
      <c r="AR9" s="389"/>
      <c r="AS9" s="389"/>
      <c r="BI9" s="62"/>
    </row>
    <row r="10" spans="1:63" ht="51.75" customHeight="1" x14ac:dyDescent="0.25">
      <c r="A10" s="35"/>
      <c r="C10" s="371">
        <v>1</v>
      </c>
      <c r="D10" s="371"/>
      <c r="E10" s="387" t="s">
        <v>97</v>
      </c>
      <c r="F10" s="372"/>
      <c r="G10" s="372"/>
      <c r="H10" s="372"/>
      <c r="I10" s="372"/>
      <c r="J10" s="372"/>
      <c r="K10" s="372"/>
      <c r="L10" s="372"/>
      <c r="M10" s="372"/>
      <c r="N10" s="372"/>
      <c r="O10" s="372"/>
      <c r="P10" s="372"/>
      <c r="Q10" s="372"/>
      <c r="R10" s="372"/>
      <c r="S10" s="387" t="s">
        <v>98</v>
      </c>
      <c r="T10" s="372"/>
      <c r="U10" s="372"/>
      <c r="V10" s="372"/>
      <c r="W10" s="372"/>
      <c r="X10" s="372"/>
      <c r="Y10" s="372"/>
      <c r="Z10" s="372"/>
      <c r="AA10" s="372"/>
      <c r="AB10" s="372"/>
      <c r="AC10" s="372"/>
      <c r="AD10" s="372"/>
      <c r="AE10" s="372"/>
      <c r="AF10" s="372"/>
      <c r="AG10" s="372"/>
      <c r="AH10" s="372"/>
      <c r="AI10" s="372"/>
      <c r="AJ10" s="372"/>
      <c r="AK10" s="372"/>
      <c r="AL10" s="372"/>
      <c r="AM10" s="372"/>
      <c r="AN10" s="372"/>
      <c r="AO10" s="372"/>
      <c r="AP10" s="372"/>
      <c r="AQ10" s="372"/>
      <c r="AR10" s="372"/>
      <c r="AS10" s="372"/>
      <c r="BI10" s="62"/>
    </row>
    <row r="11" spans="1:63" ht="15" customHeight="1" x14ac:dyDescent="0.25">
      <c r="A11" s="35"/>
      <c r="C11" s="371">
        <v>2</v>
      </c>
      <c r="D11" s="371"/>
      <c r="E11" s="387" t="s">
        <v>99</v>
      </c>
      <c r="F11" s="372"/>
      <c r="G11" s="372"/>
      <c r="H11" s="372"/>
      <c r="I11" s="372"/>
      <c r="J11" s="372"/>
      <c r="K11" s="372"/>
      <c r="L11" s="372"/>
      <c r="M11" s="372"/>
      <c r="N11" s="372"/>
      <c r="O11" s="372"/>
      <c r="P11" s="372"/>
      <c r="Q11" s="372"/>
      <c r="R11" s="372"/>
      <c r="S11" s="372" t="s">
        <v>100</v>
      </c>
      <c r="T11" s="372"/>
      <c r="U11" s="372"/>
      <c r="V11" s="372"/>
      <c r="W11" s="372"/>
      <c r="X11" s="372"/>
      <c r="Y11" s="372"/>
      <c r="Z11" s="372"/>
      <c r="AA11" s="372"/>
      <c r="AB11" s="372"/>
      <c r="AC11" s="372"/>
      <c r="AD11" s="372"/>
      <c r="AE11" s="372"/>
      <c r="AF11" s="372"/>
      <c r="AG11" s="372"/>
      <c r="AH11" s="372"/>
      <c r="AI11" s="372"/>
      <c r="AJ11" s="372"/>
      <c r="AK11" s="372"/>
      <c r="AL11" s="372"/>
      <c r="AM11" s="372"/>
      <c r="AN11" s="372"/>
      <c r="AO11" s="372"/>
      <c r="AP11" s="372"/>
      <c r="AQ11" s="372"/>
      <c r="AR11" s="372"/>
      <c r="AS11" s="372"/>
      <c r="BI11" s="62"/>
    </row>
    <row r="12" spans="1:63" ht="53.25" customHeight="1" x14ac:dyDescent="0.25">
      <c r="A12" s="35"/>
      <c r="C12" s="371">
        <v>3</v>
      </c>
      <c r="D12" s="371"/>
      <c r="E12" s="387" t="s">
        <v>101</v>
      </c>
      <c r="F12" s="372"/>
      <c r="G12" s="372"/>
      <c r="H12" s="372"/>
      <c r="I12" s="372"/>
      <c r="J12" s="372"/>
      <c r="K12" s="372"/>
      <c r="L12" s="372"/>
      <c r="M12" s="372"/>
      <c r="N12" s="372"/>
      <c r="O12" s="372"/>
      <c r="P12" s="372"/>
      <c r="Q12" s="372"/>
      <c r="R12" s="372"/>
      <c r="S12" s="387" t="s">
        <v>102</v>
      </c>
      <c r="T12" s="372"/>
      <c r="U12" s="372"/>
      <c r="V12" s="372"/>
      <c r="W12" s="372"/>
      <c r="X12" s="372"/>
      <c r="Y12" s="372"/>
      <c r="Z12" s="372"/>
      <c r="AA12" s="372"/>
      <c r="AB12" s="372"/>
      <c r="AC12" s="372"/>
      <c r="AD12" s="372"/>
      <c r="AE12" s="372"/>
      <c r="AF12" s="372"/>
      <c r="AG12" s="372"/>
      <c r="AH12" s="372"/>
      <c r="AI12" s="372"/>
      <c r="AJ12" s="372"/>
      <c r="AK12" s="372"/>
      <c r="AL12" s="372"/>
      <c r="AM12" s="372"/>
      <c r="AN12" s="372"/>
      <c r="AO12" s="372"/>
      <c r="AP12" s="372"/>
      <c r="AQ12" s="372"/>
      <c r="AR12" s="372"/>
      <c r="AS12" s="372"/>
      <c r="BI12" s="62"/>
    </row>
    <row r="13" spans="1:63" ht="15" customHeight="1" x14ac:dyDescent="0.25">
      <c r="A13" s="35"/>
      <c r="C13" s="371">
        <v>4</v>
      </c>
      <c r="D13" s="371"/>
      <c r="E13" s="387" t="s">
        <v>103</v>
      </c>
      <c r="F13" s="372"/>
      <c r="G13" s="372"/>
      <c r="H13" s="372"/>
      <c r="I13" s="372"/>
      <c r="J13" s="372"/>
      <c r="K13" s="372"/>
      <c r="L13" s="372"/>
      <c r="M13" s="372"/>
      <c r="N13" s="372"/>
      <c r="O13" s="372"/>
      <c r="P13" s="372"/>
      <c r="Q13" s="372"/>
      <c r="R13" s="372"/>
      <c r="S13" s="372" t="s">
        <v>104</v>
      </c>
      <c r="T13" s="372"/>
      <c r="U13" s="372"/>
      <c r="V13" s="372"/>
      <c r="W13" s="372"/>
      <c r="X13" s="372"/>
      <c r="Y13" s="372"/>
      <c r="Z13" s="372"/>
      <c r="AA13" s="372"/>
      <c r="AB13" s="372"/>
      <c r="AC13" s="372"/>
      <c r="AD13" s="372"/>
      <c r="AE13" s="372"/>
      <c r="AF13" s="372"/>
      <c r="AG13" s="372"/>
      <c r="AH13" s="372"/>
      <c r="AI13" s="372"/>
      <c r="AJ13" s="372"/>
      <c r="AK13" s="372"/>
      <c r="AL13" s="372"/>
      <c r="AM13" s="372"/>
      <c r="AN13" s="372"/>
      <c r="AO13" s="372"/>
      <c r="AP13" s="372"/>
      <c r="AQ13" s="372"/>
      <c r="AR13" s="372"/>
      <c r="AS13" s="372"/>
      <c r="BI13" s="62"/>
    </row>
    <row r="14" spans="1:63" ht="15" customHeight="1" x14ac:dyDescent="0.25">
      <c r="A14" s="35"/>
      <c r="C14" s="371">
        <v>5</v>
      </c>
      <c r="D14" s="371"/>
      <c r="E14" s="387" t="s">
        <v>105</v>
      </c>
      <c r="F14" s="372"/>
      <c r="G14" s="372"/>
      <c r="H14" s="372"/>
      <c r="I14" s="372"/>
      <c r="J14" s="372"/>
      <c r="K14" s="372"/>
      <c r="L14" s="372"/>
      <c r="M14" s="372"/>
      <c r="N14" s="372"/>
      <c r="O14" s="372"/>
      <c r="P14" s="372"/>
      <c r="Q14" s="372"/>
      <c r="R14" s="372"/>
      <c r="S14" s="372" t="s">
        <v>106</v>
      </c>
      <c r="T14" s="372"/>
      <c r="U14" s="372"/>
      <c r="V14" s="372"/>
      <c r="W14" s="372"/>
      <c r="X14" s="372"/>
      <c r="Y14" s="372"/>
      <c r="Z14" s="372"/>
      <c r="AA14" s="372"/>
      <c r="AB14" s="372"/>
      <c r="AC14" s="372"/>
      <c r="AD14" s="372"/>
      <c r="AE14" s="372"/>
      <c r="AF14" s="372"/>
      <c r="AG14" s="372"/>
      <c r="AH14" s="372"/>
      <c r="AI14" s="372"/>
      <c r="AJ14" s="372"/>
      <c r="AK14" s="372"/>
      <c r="AL14" s="372"/>
      <c r="AM14" s="372"/>
      <c r="AN14" s="372"/>
      <c r="AO14" s="372"/>
      <c r="AP14" s="372"/>
      <c r="AQ14" s="372"/>
      <c r="AR14" s="372"/>
      <c r="AS14" s="372"/>
      <c r="BI14" s="62"/>
    </row>
    <row r="15" spans="1:63" ht="15" customHeight="1" x14ac:dyDescent="0.25">
      <c r="A15" s="35"/>
      <c r="C15" s="371">
        <v>6</v>
      </c>
      <c r="D15" s="371"/>
      <c r="E15" s="387" t="s">
        <v>107</v>
      </c>
      <c r="F15" s="372"/>
      <c r="G15" s="372"/>
      <c r="H15" s="372"/>
      <c r="I15" s="372"/>
      <c r="J15" s="372"/>
      <c r="K15" s="372"/>
      <c r="L15" s="372"/>
      <c r="M15" s="372"/>
      <c r="N15" s="372"/>
      <c r="O15" s="372"/>
      <c r="P15" s="372"/>
      <c r="Q15" s="372"/>
      <c r="R15" s="372"/>
      <c r="S15" s="372" t="s">
        <v>108</v>
      </c>
      <c r="T15" s="372"/>
      <c r="U15" s="372"/>
      <c r="V15" s="372"/>
      <c r="W15" s="372"/>
      <c r="X15" s="372"/>
      <c r="Y15" s="372"/>
      <c r="Z15" s="372"/>
      <c r="AA15" s="372"/>
      <c r="AB15" s="372"/>
      <c r="AC15" s="372"/>
      <c r="AD15" s="372"/>
      <c r="AE15" s="372"/>
      <c r="AF15" s="372"/>
      <c r="AG15" s="372"/>
      <c r="AH15" s="372"/>
      <c r="AI15" s="372"/>
      <c r="AJ15" s="372"/>
      <c r="AK15" s="372"/>
      <c r="AL15" s="372"/>
      <c r="AM15" s="372"/>
      <c r="AN15" s="372"/>
      <c r="AO15" s="372"/>
      <c r="AP15" s="372"/>
      <c r="AQ15" s="372"/>
      <c r="AR15" s="372"/>
      <c r="AS15" s="372"/>
      <c r="BI15" s="62"/>
    </row>
    <row r="16" spans="1:63" ht="38.25" customHeight="1" x14ac:dyDescent="0.25">
      <c r="A16" s="35"/>
      <c r="C16" s="371">
        <v>7</v>
      </c>
      <c r="D16" s="371"/>
      <c r="E16" s="372" t="s">
        <v>109</v>
      </c>
      <c r="F16" s="372"/>
      <c r="G16" s="372"/>
      <c r="H16" s="372"/>
      <c r="I16" s="372"/>
      <c r="J16" s="372"/>
      <c r="K16" s="372"/>
      <c r="L16" s="372"/>
      <c r="M16" s="372"/>
      <c r="N16" s="372"/>
      <c r="O16" s="372"/>
      <c r="P16" s="372"/>
      <c r="Q16" s="372"/>
      <c r="R16" s="372"/>
      <c r="S16" s="373" t="s">
        <v>261</v>
      </c>
      <c r="T16" s="374"/>
      <c r="U16" s="374"/>
      <c r="V16" s="374"/>
      <c r="W16" s="374"/>
      <c r="X16" s="374"/>
      <c r="Y16" s="374"/>
      <c r="Z16" s="374"/>
      <c r="AA16" s="374"/>
      <c r="AB16" s="374"/>
      <c r="AC16" s="374"/>
      <c r="AD16" s="374"/>
      <c r="AE16" s="374"/>
      <c r="AF16" s="374"/>
      <c r="AG16" s="374"/>
      <c r="AH16" s="374"/>
      <c r="AI16" s="374"/>
      <c r="AJ16" s="374"/>
      <c r="AK16" s="374"/>
      <c r="AL16" s="374"/>
      <c r="AM16" s="374"/>
      <c r="AN16" s="374"/>
      <c r="AO16" s="374"/>
      <c r="AP16" s="374"/>
      <c r="AQ16" s="374"/>
      <c r="AR16" s="374"/>
      <c r="AS16" s="374"/>
      <c r="BI16" s="62"/>
    </row>
    <row r="17" spans="1:61" ht="15" customHeight="1" x14ac:dyDescent="0.25">
      <c r="A17" s="35"/>
      <c r="C17" s="371">
        <v>8</v>
      </c>
      <c r="D17" s="371"/>
      <c r="E17" s="372" t="s">
        <v>110</v>
      </c>
      <c r="F17" s="372"/>
      <c r="G17" s="372"/>
      <c r="H17" s="372"/>
      <c r="I17" s="372"/>
      <c r="J17" s="372"/>
      <c r="K17" s="372"/>
      <c r="L17" s="372"/>
      <c r="M17" s="372"/>
      <c r="N17" s="372"/>
      <c r="O17" s="372"/>
      <c r="P17" s="372"/>
      <c r="Q17" s="372"/>
      <c r="R17" s="372"/>
      <c r="S17" s="374" t="s">
        <v>111</v>
      </c>
      <c r="T17" s="374"/>
      <c r="U17" s="374"/>
      <c r="V17" s="374"/>
      <c r="W17" s="374"/>
      <c r="X17" s="374"/>
      <c r="Y17" s="374"/>
      <c r="Z17" s="374"/>
      <c r="AA17" s="374"/>
      <c r="AB17" s="374"/>
      <c r="AC17" s="374"/>
      <c r="AD17" s="374"/>
      <c r="AE17" s="374"/>
      <c r="AF17" s="374"/>
      <c r="AG17" s="374"/>
      <c r="AH17" s="374"/>
      <c r="AI17" s="374"/>
      <c r="AJ17" s="374"/>
      <c r="AK17" s="374"/>
      <c r="AL17" s="374"/>
      <c r="AM17" s="374"/>
      <c r="AN17" s="374"/>
      <c r="AO17" s="374"/>
      <c r="AP17" s="374"/>
      <c r="AQ17" s="374"/>
      <c r="AR17" s="374"/>
      <c r="AS17" s="374"/>
      <c r="BI17" s="62"/>
    </row>
    <row r="18" spans="1:61" ht="15" customHeight="1" x14ac:dyDescent="0.25">
      <c r="A18" s="35"/>
      <c r="C18" s="371">
        <v>9</v>
      </c>
      <c r="D18" s="371"/>
      <c r="E18" s="372" t="s">
        <v>112</v>
      </c>
      <c r="F18" s="372"/>
      <c r="G18" s="372"/>
      <c r="H18" s="372"/>
      <c r="I18" s="372"/>
      <c r="J18" s="372"/>
      <c r="K18" s="372"/>
      <c r="L18" s="372"/>
      <c r="M18" s="372"/>
      <c r="N18" s="372"/>
      <c r="O18" s="372"/>
      <c r="P18" s="372"/>
      <c r="Q18" s="372"/>
      <c r="R18" s="372"/>
      <c r="S18" s="374" t="s">
        <v>113</v>
      </c>
      <c r="T18" s="374"/>
      <c r="U18" s="374"/>
      <c r="V18" s="374"/>
      <c r="W18" s="374"/>
      <c r="X18" s="374"/>
      <c r="Y18" s="374"/>
      <c r="Z18" s="374"/>
      <c r="AA18" s="374"/>
      <c r="AB18" s="374"/>
      <c r="AC18" s="374"/>
      <c r="AD18" s="374"/>
      <c r="AE18" s="374"/>
      <c r="AF18" s="374"/>
      <c r="AG18" s="374"/>
      <c r="AH18" s="374"/>
      <c r="AI18" s="374"/>
      <c r="AJ18" s="374"/>
      <c r="AK18" s="374"/>
      <c r="AL18" s="374"/>
      <c r="AM18" s="374"/>
      <c r="AN18" s="374"/>
      <c r="AO18" s="374"/>
      <c r="AP18" s="374"/>
      <c r="AQ18" s="374"/>
      <c r="AR18" s="374"/>
      <c r="AS18" s="374"/>
      <c r="BI18" s="62"/>
    </row>
    <row r="19" spans="1:61" ht="15" customHeight="1" x14ac:dyDescent="0.25">
      <c r="A19" s="35"/>
      <c r="C19" s="371">
        <v>10</v>
      </c>
      <c r="D19" s="371"/>
      <c r="E19" s="372" t="s">
        <v>114</v>
      </c>
      <c r="F19" s="372"/>
      <c r="G19" s="372"/>
      <c r="H19" s="372"/>
      <c r="I19" s="372"/>
      <c r="J19" s="372"/>
      <c r="K19" s="372"/>
      <c r="L19" s="372"/>
      <c r="M19" s="372"/>
      <c r="N19" s="372"/>
      <c r="O19" s="372"/>
      <c r="P19" s="372"/>
      <c r="Q19" s="372"/>
      <c r="R19" s="372"/>
      <c r="S19" s="369" t="s">
        <v>262</v>
      </c>
      <c r="T19" s="369"/>
      <c r="U19" s="369"/>
      <c r="V19" s="369"/>
      <c r="W19" s="369"/>
      <c r="X19" s="369"/>
      <c r="Y19" s="369"/>
      <c r="Z19" s="369"/>
      <c r="AA19" s="369"/>
      <c r="AB19" s="369"/>
      <c r="AC19" s="369"/>
      <c r="AD19" s="369"/>
      <c r="AE19" s="369"/>
      <c r="AF19" s="369"/>
      <c r="AG19" s="369"/>
      <c r="AH19" s="369"/>
      <c r="AI19" s="369"/>
      <c r="AJ19" s="369"/>
      <c r="AK19" s="369"/>
      <c r="AL19" s="369"/>
      <c r="AM19" s="369"/>
      <c r="AN19" s="369"/>
      <c r="AO19" s="369"/>
      <c r="AP19" s="369"/>
      <c r="AQ19" s="369"/>
      <c r="AR19" s="369"/>
      <c r="AS19" s="369"/>
      <c r="BI19" s="62"/>
    </row>
    <row r="20" spans="1:61" ht="15" customHeight="1" x14ac:dyDescent="0.25">
      <c r="A20" s="35"/>
      <c r="C20" s="371">
        <v>11</v>
      </c>
      <c r="D20" s="371"/>
      <c r="E20" s="372" t="s">
        <v>115</v>
      </c>
      <c r="F20" s="372"/>
      <c r="G20" s="372"/>
      <c r="H20" s="372"/>
      <c r="I20" s="372"/>
      <c r="J20" s="372"/>
      <c r="K20" s="372"/>
      <c r="L20" s="372"/>
      <c r="M20" s="372"/>
      <c r="N20" s="372"/>
      <c r="O20" s="372"/>
      <c r="P20" s="372"/>
      <c r="Q20" s="372"/>
      <c r="R20" s="372"/>
      <c r="S20" s="369" t="s">
        <v>263</v>
      </c>
      <c r="T20" s="369"/>
      <c r="U20" s="369"/>
      <c r="V20" s="369"/>
      <c r="W20" s="369"/>
      <c r="X20" s="369"/>
      <c r="Y20" s="369"/>
      <c r="Z20" s="369"/>
      <c r="AA20" s="369"/>
      <c r="AB20" s="369"/>
      <c r="AC20" s="369"/>
      <c r="AD20" s="369"/>
      <c r="AE20" s="369"/>
      <c r="AF20" s="369"/>
      <c r="AG20" s="369"/>
      <c r="AH20" s="369"/>
      <c r="AI20" s="369"/>
      <c r="AJ20" s="369"/>
      <c r="AK20" s="369"/>
      <c r="AL20" s="369"/>
      <c r="AM20" s="369"/>
      <c r="AN20" s="369"/>
      <c r="AO20" s="369"/>
      <c r="AP20" s="369"/>
      <c r="AQ20" s="369"/>
      <c r="AR20" s="369"/>
      <c r="AS20" s="369"/>
      <c r="BI20" s="62"/>
    </row>
    <row r="21" spans="1:61" ht="33" customHeight="1" x14ac:dyDescent="0.25">
      <c r="A21" s="35"/>
      <c r="C21" s="371">
        <v>12</v>
      </c>
      <c r="D21" s="371"/>
      <c r="E21" s="369" t="s">
        <v>265</v>
      </c>
      <c r="F21" s="369"/>
      <c r="G21" s="369"/>
      <c r="H21" s="369"/>
      <c r="I21" s="369"/>
      <c r="J21" s="369"/>
      <c r="K21" s="369"/>
      <c r="L21" s="369"/>
      <c r="M21" s="369"/>
      <c r="N21" s="369"/>
      <c r="O21" s="369"/>
      <c r="P21" s="369"/>
      <c r="Q21" s="369"/>
      <c r="R21" s="369"/>
      <c r="S21" s="369" t="s">
        <v>264</v>
      </c>
      <c r="T21" s="369"/>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R21" s="369"/>
      <c r="AS21" s="369"/>
      <c r="BI21" s="62"/>
    </row>
    <row r="22" spans="1:61" ht="15" customHeight="1" x14ac:dyDescent="0.25">
      <c r="A22" s="35"/>
      <c r="C22" s="371">
        <v>13</v>
      </c>
      <c r="D22" s="371"/>
      <c r="E22" s="372" t="s">
        <v>116</v>
      </c>
      <c r="F22" s="372"/>
      <c r="G22" s="372"/>
      <c r="H22" s="372"/>
      <c r="I22" s="372"/>
      <c r="J22" s="372"/>
      <c r="K22" s="372"/>
      <c r="L22" s="372"/>
      <c r="M22" s="372"/>
      <c r="N22" s="372"/>
      <c r="O22" s="372"/>
      <c r="P22" s="372"/>
      <c r="Q22" s="372"/>
      <c r="R22" s="372"/>
      <c r="S22" s="374" t="s">
        <v>117</v>
      </c>
      <c r="T22" s="374"/>
      <c r="U22" s="374"/>
      <c r="V22" s="374"/>
      <c r="W22" s="374"/>
      <c r="X22" s="374"/>
      <c r="Y22" s="374"/>
      <c r="Z22" s="374"/>
      <c r="AA22" s="374"/>
      <c r="AB22" s="374"/>
      <c r="AC22" s="374"/>
      <c r="AD22" s="374"/>
      <c r="AE22" s="374"/>
      <c r="AF22" s="374"/>
      <c r="AG22" s="374"/>
      <c r="AH22" s="374"/>
      <c r="AI22" s="374"/>
      <c r="AJ22" s="374"/>
      <c r="AK22" s="374"/>
      <c r="AL22" s="374"/>
      <c r="AM22" s="374"/>
      <c r="AN22" s="374"/>
      <c r="AO22" s="374"/>
      <c r="AP22" s="374"/>
      <c r="AQ22" s="374"/>
      <c r="AR22" s="374"/>
      <c r="AS22" s="374"/>
      <c r="BI22" s="62"/>
    </row>
    <row r="23" spans="1:61" ht="15" customHeight="1" x14ac:dyDescent="0.25">
      <c r="A23" s="35"/>
      <c r="C23" s="371">
        <v>14</v>
      </c>
      <c r="D23" s="371"/>
      <c r="E23" s="372" t="s">
        <v>118</v>
      </c>
      <c r="F23" s="372"/>
      <c r="G23" s="372"/>
      <c r="H23" s="372"/>
      <c r="I23" s="372"/>
      <c r="J23" s="372"/>
      <c r="K23" s="372"/>
      <c r="L23" s="372"/>
      <c r="M23" s="372"/>
      <c r="N23" s="372"/>
      <c r="O23" s="372"/>
      <c r="P23" s="372"/>
      <c r="Q23" s="372"/>
      <c r="R23" s="372"/>
      <c r="S23" s="374" t="s">
        <v>119</v>
      </c>
      <c r="T23" s="374"/>
      <c r="U23" s="374"/>
      <c r="V23" s="374"/>
      <c r="W23" s="374"/>
      <c r="X23" s="374"/>
      <c r="Y23" s="374"/>
      <c r="Z23" s="374"/>
      <c r="AA23" s="374"/>
      <c r="AB23" s="374"/>
      <c r="AC23" s="374"/>
      <c r="AD23" s="374"/>
      <c r="AE23" s="374"/>
      <c r="AF23" s="374"/>
      <c r="AG23" s="374"/>
      <c r="AH23" s="374"/>
      <c r="AI23" s="374"/>
      <c r="AJ23" s="374"/>
      <c r="AK23" s="374"/>
      <c r="AL23" s="374"/>
      <c r="AM23" s="374"/>
      <c r="AN23" s="374"/>
      <c r="AO23" s="374"/>
      <c r="AP23" s="374"/>
      <c r="AQ23" s="374"/>
      <c r="AR23" s="374"/>
      <c r="AS23" s="374"/>
      <c r="BI23" s="62"/>
    </row>
    <row r="24" spans="1:61" ht="81" customHeight="1" x14ac:dyDescent="0.25">
      <c r="A24" s="35"/>
      <c r="C24" s="371">
        <v>15</v>
      </c>
      <c r="D24" s="371"/>
      <c r="E24" s="372" t="s">
        <v>120</v>
      </c>
      <c r="F24" s="372"/>
      <c r="G24" s="372"/>
      <c r="H24" s="372"/>
      <c r="I24" s="372"/>
      <c r="J24" s="372"/>
      <c r="K24" s="372"/>
      <c r="L24" s="372"/>
      <c r="M24" s="372"/>
      <c r="N24" s="372"/>
      <c r="O24" s="372"/>
      <c r="P24" s="372"/>
      <c r="Q24" s="372"/>
      <c r="R24" s="372"/>
      <c r="S24" s="370" t="s">
        <v>266</v>
      </c>
      <c r="T24" s="369"/>
      <c r="U24" s="369"/>
      <c r="V24" s="369"/>
      <c r="W24" s="369"/>
      <c r="X24" s="369"/>
      <c r="Y24" s="369"/>
      <c r="Z24" s="369"/>
      <c r="AA24" s="369"/>
      <c r="AB24" s="369"/>
      <c r="AC24" s="369"/>
      <c r="AD24" s="369"/>
      <c r="AE24" s="369"/>
      <c r="AF24" s="369"/>
      <c r="AG24" s="369"/>
      <c r="AH24" s="369"/>
      <c r="AI24" s="369"/>
      <c r="AJ24" s="369"/>
      <c r="AK24" s="369"/>
      <c r="AL24" s="369"/>
      <c r="AM24" s="369"/>
      <c r="AN24" s="369"/>
      <c r="AO24" s="369"/>
      <c r="AP24" s="369"/>
      <c r="AQ24" s="369"/>
      <c r="AR24" s="369"/>
      <c r="AS24" s="369"/>
      <c r="BI24" s="62"/>
    </row>
    <row r="25" spans="1:61" ht="19.5" customHeight="1" x14ac:dyDescent="0.25">
      <c r="A25" s="35"/>
      <c r="C25" s="371">
        <v>16</v>
      </c>
      <c r="D25" s="371"/>
      <c r="E25" s="372" t="s">
        <v>121</v>
      </c>
      <c r="F25" s="372"/>
      <c r="G25" s="372"/>
      <c r="H25" s="372"/>
      <c r="I25" s="372"/>
      <c r="J25" s="372"/>
      <c r="K25" s="372"/>
      <c r="L25" s="372"/>
      <c r="M25" s="372"/>
      <c r="N25" s="372"/>
      <c r="O25" s="372"/>
      <c r="P25" s="372"/>
      <c r="Q25" s="372"/>
      <c r="R25" s="372"/>
      <c r="S25" s="373" t="s">
        <v>122</v>
      </c>
      <c r="T25" s="374"/>
      <c r="U25" s="374"/>
      <c r="V25" s="374"/>
      <c r="W25" s="374"/>
      <c r="X25" s="374"/>
      <c r="Y25" s="374"/>
      <c r="Z25" s="374"/>
      <c r="AA25" s="374"/>
      <c r="AB25" s="374"/>
      <c r="AC25" s="374"/>
      <c r="AD25" s="374"/>
      <c r="AE25" s="374"/>
      <c r="AF25" s="374"/>
      <c r="AG25" s="374"/>
      <c r="AH25" s="374"/>
      <c r="AI25" s="374"/>
      <c r="AJ25" s="374"/>
      <c r="AK25" s="374"/>
      <c r="AL25" s="374"/>
      <c r="AM25" s="374"/>
      <c r="AN25" s="374"/>
      <c r="AO25" s="374"/>
      <c r="AP25" s="374"/>
      <c r="AQ25" s="374"/>
      <c r="AR25" s="374"/>
      <c r="AS25" s="374"/>
      <c r="BI25" s="62"/>
    </row>
    <row r="26" spans="1:61" ht="15" customHeight="1" x14ac:dyDescent="0.25">
      <c r="A26" s="35"/>
      <c r="C26" s="379">
        <v>17</v>
      </c>
      <c r="D26" s="380"/>
      <c r="E26" s="381" t="s">
        <v>268</v>
      </c>
      <c r="F26" s="382"/>
      <c r="G26" s="382"/>
      <c r="H26" s="382"/>
      <c r="I26" s="382"/>
      <c r="J26" s="382"/>
      <c r="K26" s="382"/>
      <c r="L26" s="382"/>
      <c r="M26" s="382"/>
      <c r="N26" s="382"/>
      <c r="O26" s="382"/>
      <c r="P26" s="382"/>
      <c r="Q26" s="382"/>
      <c r="R26" s="383"/>
      <c r="S26" s="384" t="s">
        <v>267</v>
      </c>
      <c r="T26" s="385"/>
      <c r="U26" s="385"/>
      <c r="V26" s="385"/>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6"/>
      <c r="BI26" s="62"/>
    </row>
    <row r="27" spans="1:61" ht="15" customHeight="1" x14ac:dyDescent="0.25">
      <c r="A27" s="35"/>
      <c r="C27" s="371">
        <v>18</v>
      </c>
      <c r="D27" s="371"/>
      <c r="E27" s="372" t="s">
        <v>123</v>
      </c>
      <c r="F27" s="372"/>
      <c r="G27" s="372"/>
      <c r="H27" s="372"/>
      <c r="I27" s="372"/>
      <c r="J27" s="372"/>
      <c r="K27" s="372"/>
      <c r="L27" s="372"/>
      <c r="M27" s="372"/>
      <c r="N27" s="372"/>
      <c r="O27" s="372"/>
      <c r="P27" s="372"/>
      <c r="Q27" s="372"/>
      <c r="R27" s="372"/>
      <c r="S27" s="373" t="s">
        <v>124</v>
      </c>
      <c r="T27" s="374"/>
      <c r="U27" s="374"/>
      <c r="V27" s="374"/>
      <c r="W27" s="374"/>
      <c r="X27" s="374"/>
      <c r="Y27" s="374"/>
      <c r="Z27" s="374"/>
      <c r="AA27" s="374"/>
      <c r="AB27" s="374"/>
      <c r="AC27" s="374"/>
      <c r="AD27" s="374"/>
      <c r="AE27" s="374"/>
      <c r="AF27" s="374"/>
      <c r="AG27" s="374"/>
      <c r="AH27" s="374"/>
      <c r="AI27" s="374"/>
      <c r="AJ27" s="374"/>
      <c r="AK27" s="374"/>
      <c r="AL27" s="374"/>
      <c r="AM27" s="374"/>
      <c r="AN27" s="374"/>
      <c r="AO27" s="374"/>
      <c r="AP27" s="374"/>
      <c r="AQ27" s="374"/>
      <c r="AR27" s="374"/>
      <c r="AS27" s="374"/>
      <c r="BI27" s="62"/>
    </row>
    <row r="28" spans="1:61" ht="15" customHeight="1" x14ac:dyDescent="0.25">
      <c r="A28" s="35"/>
      <c r="C28" s="371">
        <v>19</v>
      </c>
      <c r="D28" s="371"/>
      <c r="E28" s="372" t="s">
        <v>125</v>
      </c>
      <c r="F28" s="372"/>
      <c r="G28" s="372"/>
      <c r="H28" s="372"/>
      <c r="I28" s="372"/>
      <c r="J28" s="372"/>
      <c r="K28" s="372"/>
      <c r="L28" s="372"/>
      <c r="M28" s="372"/>
      <c r="N28" s="372"/>
      <c r="O28" s="372"/>
      <c r="P28" s="372"/>
      <c r="Q28" s="372"/>
      <c r="R28" s="372"/>
      <c r="S28" s="370" t="s">
        <v>269</v>
      </c>
      <c r="T28" s="369"/>
      <c r="U28" s="369"/>
      <c r="V28" s="369"/>
      <c r="W28" s="369"/>
      <c r="X28" s="369"/>
      <c r="Y28" s="369"/>
      <c r="Z28" s="369"/>
      <c r="AA28" s="369"/>
      <c r="AB28" s="369"/>
      <c r="AC28" s="369"/>
      <c r="AD28" s="369"/>
      <c r="AE28" s="369"/>
      <c r="AF28" s="369"/>
      <c r="AG28" s="369"/>
      <c r="AH28" s="369"/>
      <c r="AI28" s="369"/>
      <c r="AJ28" s="369"/>
      <c r="AK28" s="369"/>
      <c r="AL28" s="369"/>
      <c r="AM28" s="369"/>
      <c r="AN28" s="369"/>
      <c r="AO28" s="369"/>
      <c r="AP28" s="369"/>
      <c r="AQ28" s="369"/>
      <c r="AR28" s="369"/>
      <c r="AS28" s="369"/>
      <c r="BI28" s="62"/>
    </row>
    <row r="29" spans="1:61" ht="95.25" customHeight="1" x14ac:dyDescent="0.25">
      <c r="A29" s="35"/>
      <c r="C29" s="371">
        <v>20</v>
      </c>
      <c r="D29" s="371"/>
      <c r="E29" s="372" t="s">
        <v>126</v>
      </c>
      <c r="F29" s="372"/>
      <c r="G29" s="372"/>
      <c r="H29" s="372"/>
      <c r="I29" s="372"/>
      <c r="J29" s="372"/>
      <c r="K29" s="372"/>
      <c r="L29" s="372"/>
      <c r="M29" s="372"/>
      <c r="N29" s="372"/>
      <c r="O29" s="372"/>
      <c r="P29" s="372"/>
      <c r="Q29" s="372"/>
      <c r="R29" s="372"/>
      <c r="S29" s="373" t="s">
        <v>270</v>
      </c>
      <c r="T29" s="374"/>
      <c r="U29" s="374"/>
      <c r="V29" s="374"/>
      <c r="W29" s="374"/>
      <c r="X29" s="374"/>
      <c r="Y29" s="374"/>
      <c r="Z29" s="374"/>
      <c r="AA29" s="374"/>
      <c r="AB29" s="374"/>
      <c r="AC29" s="374"/>
      <c r="AD29" s="374"/>
      <c r="AE29" s="374"/>
      <c r="AF29" s="374"/>
      <c r="AG29" s="374"/>
      <c r="AH29" s="374"/>
      <c r="AI29" s="374"/>
      <c r="AJ29" s="374"/>
      <c r="AK29" s="374"/>
      <c r="AL29" s="374"/>
      <c r="AM29" s="374"/>
      <c r="AN29" s="374"/>
      <c r="AO29" s="374"/>
      <c r="AP29" s="374"/>
      <c r="AQ29" s="374"/>
      <c r="AR29" s="374"/>
      <c r="AS29" s="374"/>
      <c r="BI29" s="62"/>
    </row>
    <row r="30" spans="1:61" ht="69.75" customHeight="1" x14ac:dyDescent="0.25">
      <c r="A30" s="35"/>
      <c r="C30" s="371">
        <v>21</v>
      </c>
      <c r="D30" s="371"/>
      <c r="E30" s="372" t="s">
        <v>127</v>
      </c>
      <c r="F30" s="372"/>
      <c r="G30" s="372"/>
      <c r="H30" s="372"/>
      <c r="I30" s="372"/>
      <c r="J30" s="372"/>
      <c r="K30" s="372"/>
      <c r="L30" s="372"/>
      <c r="M30" s="372"/>
      <c r="N30" s="372"/>
      <c r="O30" s="372"/>
      <c r="P30" s="372"/>
      <c r="Q30" s="372"/>
      <c r="R30" s="372"/>
      <c r="S30" s="373" t="s">
        <v>128</v>
      </c>
      <c r="T30" s="374"/>
      <c r="U30" s="374"/>
      <c r="V30" s="374"/>
      <c r="W30" s="374"/>
      <c r="X30" s="374"/>
      <c r="Y30" s="374"/>
      <c r="Z30" s="374"/>
      <c r="AA30" s="374"/>
      <c r="AB30" s="374"/>
      <c r="AC30" s="374"/>
      <c r="AD30" s="374"/>
      <c r="AE30" s="374"/>
      <c r="AF30" s="374"/>
      <c r="AG30" s="374"/>
      <c r="AH30" s="374"/>
      <c r="AI30" s="374"/>
      <c r="AJ30" s="374"/>
      <c r="AK30" s="374"/>
      <c r="AL30" s="374"/>
      <c r="AM30" s="374"/>
      <c r="AN30" s="374"/>
      <c r="AO30" s="374"/>
      <c r="AP30" s="374"/>
      <c r="AQ30" s="374"/>
      <c r="AR30" s="374"/>
      <c r="AS30" s="374"/>
      <c r="BI30" s="62"/>
    </row>
    <row r="31" spans="1:61" ht="71.25" customHeight="1" x14ac:dyDescent="0.25">
      <c r="A31" s="35"/>
      <c r="C31" s="371">
        <v>22</v>
      </c>
      <c r="D31" s="371"/>
      <c r="E31" s="372" t="s">
        <v>129</v>
      </c>
      <c r="F31" s="372"/>
      <c r="G31" s="372"/>
      <c r="H31" s="372"/>
      <c r="I31" s="372"/>
      <c r="J31" s="372"/>
      <c r="K31" s="372"/>
      <c r="L31" s="372"/>
      <c r="M31" s="372"/>
      <c r="N31" s="372"/>
      <c r="O31" s="372"/>
      <c r="P31" s="372"/>
      <c r="Q31" s="372"/>
      <c r="R31" s="372"/>
      <c r="S31" s="373" t="s">
        <v>130</v>
      </c>
      <c r="T31" s="374"/>
      <c r="U31" s="374"/>
      <c r="V31" s="374"/>
      <c r="W31" s="374"/>
      <c r="X31" s="374"/>
      <c r="Y31" s="374"/>
      <c r="Z31" s="374"/>
      <c r="AA31" s="374"/>
      <c r="AB31" s="374"/>
      <c r="AC31" s="374"/>
      <c r="AD31" s="374"/>
      <c r="AE31" s="374"/>
      <c r="AF31" s="374"/>
      <c r="AG31" s="374"/>
      <c r="AH31" s="374"/>
      <c r="AI31" s="374"/>
      <c r="AJ31" s="374"/>
      <c r="AK31" s="374"/>
      <c r="AL31" s="374"/>
      <c r="AM31" s="374"/>
      <c r="AN31" s="374"/>
      <c r="AO31" s="374"/>
      <c r="AP31" s="374"/>
      <c r="AQ31" s="374"/>
      <c r="AR31" s="374"/>
      <c r="AS31" s="374"/>
      <c r="BI31" s="62"/>
    </row>
    <row r="32" spans="1:61" ht="33" customHeight="1" x14ac:dyDescent="0.25">
      <c r="A32" s="35"/>
      <c r="C32" s="371">
        <v>23</v>
      </c>
      <c r="D32" s="371"/>
      <c r="E32" s="372" t="s">
        <v>131</v>
      </c>
      <c r="F32" s="372"/>
      <c r="G32" s="372"/>
      <c r="H32" s="372"/>
      <c r="I32" s="372"/>
      <c r="J32" s="372"/>
      <c r="K32" s="372"/>
      <c r="L32" s="372"/>
      <c r="M32" s="372"/>
      <c r="N32" s="372"/>
      <c r="O32" s="372"/>
      <c r="P32" s="372"/>
      <c r="Q32" s="372"/>
      <c r="R32" s="372"/>
      <c r="S32" s="373" t="s">
        <v>271</v>
      </c>
      <c r="T32" s="374"/>
      <c r="U32" s="374"/>
      <c r="V32" s="374"/>
      <c r="W32" s="374"/>
      <c r="X32" s="374"/>
      <c r="Y32" s="374"/>
      <c r="Z32" s="374"/>
      <c r="AA32" s="374"/>
      <c r="AB32" s="374"/>
      <c r="AC32" s="374"/>
      <c r="AD32" s="374"/>
      <c r="AE32" s="374"/>
      <c r="AF32" s="374"/>
      <c r="AG32" s="374"/>
      <c r="AH32" s="374"/>
      <c r="AI32" s="374"/>
      <c r="AJ32" s="374"/>
      <c r="AK32" s="374"/>
      <c r="AL32" s="374"/>
      <c r="AM32" s="374"/>
      <c r="AN32" s="374"/>
      <c r="AO32" s="374"/>
      <c r="AP32" s="374"/>
      <c r="AQ32" s="374"/>
      <c r="AR32" s="374"/>
      <c r="AS32" s="374"/>
      <c r="BI32" s="62"/>
    </row>
    <row r="33" spans="1:61" ht="34.5" customHeight="1" x14ac:dyDescent="0.25">
      <c r="A33" s="35"/>
      <c r="C33" s="371">
        <v>24</v>
      </c>
      <c r="D33" s="371"/>
      <c r="E33" s="372" t="s">
        <v>132</v>
      </c>
      <c r="F33" s="372"/>
      <c r="G33" s="372"/>
      <c r="H33" s="372"/>
      <c r="I33" s="372"/>
      <c r="J33" s="372"/>
      <c r="K33" s="372"/>
      <c r="L33" s="372"/>
      <c r="M33" s="372"/>
      <c r="N33" s="372"/>
      <c r="O33" s="372"/>
      <c r="P33" s="372"/>
      <c r="Q33" s="372"/>
      <c r="R33" s="372"/>
      <c r="S33" s="374" t="s">
        <v>133</v>
      </c>
      <c r="T33" s="374"/>
      <c r="U33" s="374"/>
      <c r="V33" s="374"/>
      <c r="W33" s="374"/>
      <c r="X33" s="374"/>
      <c r="Y33" s="374"/>
      <c r="Z33" s="374"/>
      <c r="AA33" s="374"/>
      <c r="AB33" s="374"/>
      <c r="AC33" s="374"/>
      <c r="AD33" s="374"/>
      <c r="AE33" s="374"/>
      <c r="AF33" s="374"/>
      <c r="AG33" s="374"/>
      <c r="AH33" s="374"/>
      <c r="AI33" s="374"/>
      <c r="AJ33" s="374"/>
      <c r="AK33" s="374"/>
      <c r="AL33" s="374"/>
      <c r="AM33" s="374"/>
      <c r="AN33" s="374"/>
      <c r="AO33" s="374"/>
      <c r="AP33" s="374"/>
      <c r="AQ33" s="374"/>
      <c r="AR33" s="374"/>
      <c r="AS33" s="374"/>
      <c r="BI33" s="62"/>
    </row>
    <row r="34" spans="1:61" ht="15" customHeight="1" x14ac:dyDescent="0.25">
      <c r="A34" s="35"/>
      <c r="C34" s="371">
        <v>25</v>
      </c>
      <c r="D34" s="371"/>
      <c r="E34" s="372" t="s">
        <v>134</v>
      </c>
      <c r="F34" s="372"/>
      <c r="G34" s="372"/>
      <c r="H34" s="372"/>
      <c r="I34" s="372"/>
      <c r="J34" s="372"/>
      <c r="K34" s="372"/>
      <c r="L34" s="372"/>
      <c r="M34" s="372"/>
      <c r="N34" s="372"/>
      <c r="O34" s="372"/>
      <c r="P34" s="372"/>
      <c r="Q34" s="372"/>
      <c r="R34" s="372"/>
      <c r="S34" s="374" t="s">
        <v>135</v>
      </c>
      <c r="T34" s="374"/>
      <c r="U34" s="374"/>
      <c r="V34" s="374"/>
      <c r="W34" s="374"/>
      <c r="X34" s="374"/>
      <c r="Y34" s="374"/>
      <c r="Z34" s="374"/>
      <c r="AA34" s="374"/>
      <c r="AB34" s="374"/>
      <c r="AC34" s="374"/>
      <c r="AD34" s="374"/>
      <c r="AE34" s="374"/>
      <c r="AF34" s="374"/>
      <c r="AG34" s="374"/>
      <c r="AH34" s="374"/>
      <c r="AI34" s="374"/>
      <c r="AJ34" s="374"/>
      <c r="AK34" s="374"/>
      <c r="AL34" s="374"/>
      <c r="AM34" s="374"/>
      <c r="AN34" s="374"/>
      <c r="AO34" s="374"/>
      <c r="AP34" s="374"/>
      <c r="AQ34" s="374"/>
      <c r="AR34" s="374"/>
      <c r="AS34" s="374"/>
      <c r="BI34" s="62"/>
    </row>
    <row r="35" spans="1:61" ht="51" customHeight="1" x14ac:dyDescent="0.25">
      <c r="A35" s="35"/>
      <c r="C35" s="371">
        <v>26</v>
      </c>
      <c r="D35" s="371"/>
      <c r="E35" s="372" t="s">
        <v>136</v>
      </c>
      <c r="F35" s="372"/>
      <c r="G35" s="372"/>
      <c r="H35" s="372"/>
      <c r="I35" s="372"/>
      <c r="J35" s="372"/>
      <c r="K35" s="372"/>
      <c r="L35" s="372"/>
      <c r="M35" s="372"/>
      <c r="N35" s="372"/>
      <c r="O35" s="372"/>
      <c r="P35" s="372"/>
      <c r="Q35" s="372"/>
      <c r="R35" s="372"/>
      <c r="S35" s="374" t="s">
        <v>137</v>
      </c>
      <c r="T35" s="374"/>
      <c r="U35" s="374"/>
      <c r="V35" s="374"/>
      <c r="W35" s="374"/>
      <c r="X35" s="374"/>
      <c r="Y35" s="374"/>
      <c r="Z35" s="374"/>
      <c r="AA35" s="374"/>
      <c r="AB35" s="374"/>
      <c r="AC35" s="374"/>
      <c r="AD35" s="374"/>
      <c r="AE35" s="374"/>
      <c r="AF35" s="374"/>
      <c r="AG35" s="374"/>
      <c r="AH35" s="374"/>
      <c r="AI35" s="374"/>
      <c r="AJ35" s="374"/>
      <c r="AK35" s="374"/>
      <c r="AL35" s="374"/>
      <c r="AM35" s="374"/>
      <c r="AN35" s="374"/>
      <c r="AO35" s="374"/>
      <c r="AP35" s="374"/>
      <c r="AQ35" s="374"/>
      <c r="AR35" s="374"/>
      <c r="AS35" s="374"/>
      <c r="BI35" s="62"/>
    </row>
    <row r="36" spans="1:61" ht="15" customHeight="1" x14ac:dyDescent="0.25">
      <c r="A36" s="35"/>
      <c r="C36" s="371">
        <v>27</v>
      </c>
      <c r="D36" s="371"/>
      <c r="E36" s="372" t="s">
        <v>138</v>
      </c>
      <c r="F36" s="372"/>
      <c r="G36" s="372"/>
      <c r="H36" s="372"/>
      <c r="I36" s="372"/>
      <c r="J36" s="372"/>
      <c r="K36" s="372"/>
      <c r="L36" s="372"/>
      <c r="M36" s="372"/>
      <c r="N36" s="372"/>
      <c r="O36" s="372"/>
      <c r="P36" s="372"/>
      <c r="Q36" s="372"/>
      <c r="R36" s="372"/>
      <c r="S36" s="374" t="s">
        <v>139</v>
      </c>
      <c r="T36" s="374"/>
      <c r="U36" s="374"/>
      <c r="V36" s="374"/>
      <c r="W36" s="374"/>
      <c r="X36" s="374"/>
      <c r="Y36" s="374"/>
      <c r="Z36" s="374"/>
      <c r="AA36" s="374"/>
      <c r="AB36" s="374"/>
      <c r="AC36" s="374"/>
      <c r="AD36" s="374"/>
      <c r="AE36" s="374"/>
      <c r="AF36" s="374"/>
      <c r="AG36" s="374"/>
      <c r="AH36" s="374"/>
      <c r="AI36" s="374"/>
      <c r="AJ36" s="374"/>
      <c r="AK36" s="374"/>
      <c r="AL36" s="374"/>
      <c r="AM36" s="374"/>
      <c r="AN36" s="374"/>
      <c r="AO36" s="374"/>
      <c r="AP36" s="374"/>
      <c r="AQ36" s="374"/>
      <c r="AR36" s="374"/>
      <c r="AS36" s="374"/>
      <c r="BI36" s="62"/>
    </row>
    <row r="37" spans="1:61" s="90" customFormat="1" ht="15" customHeight="1" x14ac:dyDescent="0.25">
      <c r="A37" s="89"/>
      <c r="C37" s="368">
        <v>28</v>
      </c>
      <c r="D37" s="368"/>
      <c r="E37" s="369" t="s">
        <v>272</v>
      </c>
      <c r="F37" s="369"/>
      <c r="G37" s="369"/>
      <c r="H37" s="369"/>
      <c r="I37" s="369"/>
      <c r="J37" s="369"/>
      <c r="K37" s="369"/>
      <c r="L37" s="369"/>
      <c r="M37" s="369"/>
      <c r="N37" s="369"/>
      <c r="O37" s="369"/>
      <c r="P37" s="369"/>
      <c r="Q37" s="369"/>
      <c r="R37" s="369"/>
      <c r="S37" s="370" t="s">
        <v>273</v>
      </c>
      <c r="T37" s="369"/>
      <c r="U37" s="369"/>
      <c r="V37" s="369"/>
      <c r="W37" s="369"/>
      <c r="X37" s="369"/>
      <c r="Y37" s="369"/>
      <c r="Z37" s="369"/>
      <c r="AA37" s="369"/>
      <c r="AB37" s="369"/>
      <c r="AC37" s="369"/>
      <c r="AD37" s="369"/>
      <c r="AE37" s="369"/>
      <c r="AF37" s="369"/>
      <c r="AG37" s="369"/>
      <c r="AH37" s="369"/>
      <c r="AI37" s="369"/>
      <c r="AJ37" s="369"/>
      <c r="AK37" s="369"/>
      <c r="AL37" s="369"/>
      <c r="AM37" s="369"/>
      <c r="AN37" s="369"/>
      <c r="AO37" s="369"/>
      <c r="AP37" s="369"/>
      <c r="AQ37" s="369"/>
      <c r="AR37" s="369"/>
      <c r="AS37" s="369"/>
      <c r="BI37" s="91"/>
    </row>
    <row r="38" spans="1:61" ht="15" customHeight="1" x14ac:dyDescent="0.25">
      <c r="A38" s="35"/>
      <c r="C38" s="371">
        <v>29</v>
      </c>
      <c r="D38" s="371"/>
      <c r="E38" s="372" t="s">
        <v>141</v>
      </c>
      <c r="F38" s="372"/>
      <c r="G38" s="372"/>
      <c r="H38" s="372"/>
      <c r="I38" s="372"/>
      <c r="J38" s="372"/>
      <c r="K38" s="372"/>
      <c r="L38" s="372"/>
      <c r="M38" s="372"/>
      <c r="N38" s="372"/>
      <c r="O38" s="372"/>
      <c r="P38" s="372"/>
      <c r="Q38" s="372"/>
      <c r="R38" s="372"/>
      <c r="S38" s="373" t="s">
        <v>142</v>
      </c>
      <c r="T38" s="374"/>
      <c r="U38" s="374"/>
      <c r="V38" s="374"/>
      <c r="W38" s="374"/>
      <c r="X38" s="374"/>
      <c r="Y38" s="374"/>
      <c r="Z38" s="374"/>
      <c r="AA38" s="374"/>
      <c r="AB38" s="374"/>
      <c r="AC38" s="374"/>
      <c r="AD38" s="374"/>
      <c r="AE38" s="374"/>
      <c r="AF38" s="374"/>
      <c r="AG38" s="374"/>
      <c r="AH38" s="374"/>
      <c r="AI38" s="374"/>
      <c r="AJ38" s="374"/>
      <c r="AK38" s="374"/>
      <c r="AL38" s="374"/>
      <c r="AM38" s="374"/>
      <c r="AN38" s="374"/>
      <c r="AO38" s="374"/>
      <c r="AP38" s="374"/>
      <c r="AQ38" s="374"/>
      <c r="AR38" s="374"/>
      <c r="AS38" s="374"/>
      <c r="BI38" s="62"/>
    </row>
    <row r="39" spans="1:61" ht="15" customHeight="1" x14ac:dyDescent="0.25">
      <c r="A39" s="35"/>
      <c r="C39" s="371">
        <v>30</v>
      </c>
      <c r="D39" s="371"/>
      <c r="E39" s="378" t="s">
        <v>275</v>
      </c>
      <c r="F39" s="372"/>
      <c r="G39" s="372"/>
      <c r="H39" s="372"/>
      <c r="I39" s="372"/>
      <c r="J39" s="372"/>
      <c r="K39" s="372"/>
      <c r="L39" s="372"/>
      <c r="M39" s="372"/>
      <c r="N39" s="372"/>
      <c r="O39" s="372"/>
      <c r="P39" s="372"/>
      <c r="Q39" s="372"/>
      <c r="R39" s="372"/>
      <c r="S39" s="374" t="s">
        <v>276</v>
      </c>
      <c r="T39" s="374"/>
      <c r="U39" s="374"/>
      <c r="V39" s="374"/>
      <c r="W39" s="374"/>
      <c r="X39" s="374"/>
      <c r="Y39" s="374"/>
      <c r="Z39" s="374"/>
      <c r="AA39" s="374"/>
      <c r="AB39" s="374"/>
      <c r="AC39" s="374"/>
      <c r="AD39" s="374"/>
      <c r="AE39" s="374"/>
      <c r="AF39" s="374"/>
      <c r="AG39" s="374"/>
      <c r="AH39" s="374"/>
      <c r="AI39" s="374"/>
      <c r="AJ39" s="374"/>
      <c r="AK39" s="374"/>
      <c r="AL39" s="374"/>
      <c r="AM39" s="374"/>
      <c r="AN39" s="374"/>
      <c r="AO39" s="374"/>
      <c r="AP39" s="374"/>
      <c r="AQ39" s="374"/>
      <c r="AR39" s="374"/>
      <c r="AS39" s="374"/>
      <c r="BI39" s="62"/>
    </row>
    <row r="40" spans="1:61" ht="33" customHeight="1" x14ac:dyDescent="0.25">
      <c r="A40" s="35"/>
      <c r="C40" s="376">
        <v>30</v>
      </c>
      <c r="D40" s="376"/>
      <c r="E40" s="377" t="s">
        <v>274</v>
      </c>
      <c r="F40" s="377"/>
      <c r="G40" s="377"/>
      <c r="H40" s="377"/>
      <c r="I40" s="377"/>
      <c r="J40" s="377"/>
      <c r="K40" s="377"/>
      <c r="L40" s="377"/>
      <c r="M40" s="377"/>
      <c r="N40" s="377"/>
      <c r="O40" s="377"/>
      <c r="P40" s="377"/>
      <c r="Q40" s="377"/>
      <c r="R40" s="377"/>
      <c r="S40" s="377" t="s">
        <v>143</v>
      </c>
      <c r="T40" s="377"/>
      <c r="U40" s="377"/>
      <c r="V40" s="377"/>
      <c r="W40" s="377"/>
      <c r="X40" s="377"/>
      <c r="Y40" s="377"/>
      <c r="Z40" s="377"/>
      <c r="AA40" s="377"/>
      <c r="AB40" s="377"/>
      <c r="AC40" s="377"/>
      <c r="AD40" s="377"/>
      <c r="AE40" s="377"/>
      <c r="AF40" s="377"/>
      <c r="AG40" s="377"/>
      <c r="AH40" s="377"/>
      <c r="AI40" s="377"/>
      <c r="AJ40" s="377"/>
      <c r="AK40" s="377"/>
      <c r="AL40" s="377"/>
      <c r="AM40" s="377"/>
      <c r="AN40" s="377"/>
      <c r="AO40" s="377"/>
      <c r="AP40" s="377"/>
      <c r="AQ40" s="377"/>
      <c r="AR40" s="377"/>
      <c r="AS40" s="377"/>
      <c r="BI40" s="62"/>
    </row>
    <row r="41" spans="1:61" ht="15.75" customHeight="1" x14ac:dyDescent="0.25">
      <c r="A41" s="35"/>
      <c r="C41" s="371">
        <v>31</v>
      </c>
      <c r="D41" s="371"/>
      <c r="E41" s="372" t="s">
        <v>144</v>
      </c>
      <c r="F41" s="372"/>
      <c r="G41" s="372"/>
      <c r="H41" s="372"/>
      <c r="I41" s="372"/>
      <c r="J41" s="372"/>
      <c r="K41" s="372"/>
      <c r="L41" s="372"/>
      <c r="M41" s="372"/>
      <c r="N41" s="372"/>
      <c r="O41" s="372"/>
      <c r="P41" s="372"/>
      <c r="Q41" s="372"/>
      <c r="R41" s="372"/>
      <c r="S41" s="374" t="s">
        <v>145</v>
      </c>
      <c r="T41" s="374"/>
      <c r="U41" s="374"/>
      <c r="V41" s="374"/>
      <c r="W41" s="374"/>
      <c r="X41" s="374"/>
      <c r="Y41" s="374"/>
      <c r="Z41" s="374"/>
      <c r="AA41" s="374"/>
      <c r="AB41" s="374"/>
      <c r="AC41" s="374"/>
      <c r="AD41" s="374"/>
      <c r="AE41" s="374"/>
      <c r="AF41" s="374"/>
      <c r="AG41" s="374"/>
      <c r="AH41" s="374"/>
      <c r="AI41" s="374"/>
      <c r="AJ41" s="374"/>
      <c r="AK41" s="374"/>
      <c r="AL41" s="374"/>
      <c r="AM41" s="374"/>
      <c r="AN41" s="374"/>
      <c r="AO41" s="374"/>
      <c r="AP41" s="374"/>
      <c r="AQ41" s="374"/>
      <c r="AR41" s="374"/>
      <c r="AS41" s="374"/>
      <c r="BI41" s="62"/>
    </row>
    <row r="42" spans="1:61" ht="15" customHeight="1" x14ac:dyDescent="0.25">
      <c r="A42" s="35"/>
      <c r="C42" s="371">
        <v>32</v>
      </c>
      <c r="D42" s="371"/>
      <c r="E42" s="372" t="s">
        <v>146</v>
      </c>
      <c r="F42" s="372"/>
      <c r="G42" s="372"/>
      <c r="H42" s="372"/>
      <c r="I42" s="372"/>
      <c r="J42" s="372"/>
      <c r="K42" s="372"/>
      <c r="L42" s="372"/>
      <c r="M42" s="372"/>
      <c r="N42" s="372"/>
      <c r="O42" s="372"/>
      <c r="P42" s="372"/>
      <c r="Q42" s="372"/>
      <c r="R42" s="372"/>
      <c r="S42" s="374" t="s">
        <v>147</v>
      </c>
      <c r="T42" s="374"/>
      <c r="U42" s="374"/>
      <c r="V42" s="374"/>
      <c r="W42" s="374"/>
      <c r="X42" s="374"/>
      <c r="Y42" s="374"/>
      <c r="Z42" s="374"/>
      <c r="AA42" s="374"/>
      <c r="AB42" s="374"/>
      <c r="AC42" s="374"/>
      <c r="AD42" s="374"/>
      <c r="AE42" s="374"/>
      <c r="AF42" s="374"/>
      <c r="AG42" s="374"/>
      <c r="AH42" s="374"/>
      <c r="AI42" s="374"/>
      <c r="AJ42" s="374"/>
      <c r="AK42" s="374"/>
      <c r="AL42" s="374"/>
      <c r="AM42" s="374"/>
      <c r="AN42" s="374"/>
      <c r="AO42" s="374"/>
      <c r="AP42" s="374"/>
      <c r="AQ42" s="374"/>
      <c r="AR42" s="374"/>
      <c r="AS42" s="374"/>
      <c r="BI42" s="62"/>
    </row>
    <row r="43" spans="1:61" ht="15" customHeight="1" x14ac:dyDescent="0.25">
      <c r="A43" s="35"/>
      <c r="C43" s="371">
        <v>33</v>
      </c>
      <c r="D43" s="371"/>
      <c r="E43" s="372" t="s">
        <v>148</v>
      </c>
      <c r="F43" s="372"/>
      <c r="G43" s="372"/>
      <c r="H43" s="372"/>
      <c r="I43" s="372"/>
      <c r="J43" s="372"/>
      <c r="K43" s="372"/>
      <c r="L43" s="372"/>
      <c r="M43" s="372"/>
      <c r="N43" s="372"/>
      <c r="O43" s="372"/>
      <c r="P43" s="372"/>
      <c r="Q43" s="372"/>
      <c r="R43" s="372"/>
      <c r="S43" s="373" t="s">
        <v>149</v>
      </c>
      <c r="T43" s="374"/>
      <c r="U43" s="374"/>
      <c r="V43" s="374"/>
      <c r="W43" s="374"/>
      <c r="X43" s="374"/>
      <c r="Y43" s="374"/>
      <c r="Z43" s="374"/>
      <c r="AA43" s="374"/>
      <c r="AB43" s="374"/>
      <c r="AC43" s="374"/>
      <c r="AD43" s="374"/>
      <c r="AE43" s="374"/>
      <c r="AF43" s="374"/>
      <c r="AG43" s="374"/>
      <c r="AH43" s="374"/>
      <c r="AI43" s="374"/>
      <c r="AJ43" s="374"/>
      <c r="AK43" s="374"/>
      <c r="AL43" s="374"/>
      <c r="AM43" s="374"/>
      <c r="AN43" s="374"/>
      <c r="AO43" s="374"/>
      <c r="AP43" s="374"/>
      <c r="AQ43" s="374"/>
      <c r="AR43" s="374"/>
      <c r="AS43" s="374"/>
      <c r="BI43" s="62"/>
    </row>
    <row r="44" spans="1:61" ht="35.25" customHeight="1" x14ac:dyDescent="0.25">
      <c r="A44" s="35"/>
      <c r="C44" s="371">
        <v>34</v>
      </c>
      <c r="D44" s="371"/>
      <c r="E44" s="372" t="s">
        <v>150</v>
      </c>
      <c r="F44" s="372"/>
      <c r="G44" s="372"/>
      <c r="H44" s="372"/>
      <c r="I44" s="372"/>
      <c r="J44" s="372"/>
      <c r="K44" s="372"/>
      <c r="L44" s="372"/>
      <c r="M44" s="372"/>
      <c r="N44" s="372"/>
      <c r="O44" s="372"/>
      <c r="P44" s="372"/>
      <c r="Q44" s="372"/>
      <c r="R44" s="372"/>
      <c r="S44" s="374" t="s">
        <v>151</v>
      </c>
      <c r="T44" s="374"/>
      <c r="U44" s="374"/>
      <c r="V44" s="374"/>
      <c r="W44" s="374"/>
      <c r="X44" s="374"/>
      <c r="Y44" s="374"/>
      <c r="Z44" s="374"/>
      <c r="AA44" s="374"/>
      <c r="AB44" s="374"/>
      <c r="AC44" s="374"/>
      <c r="AD44" s="374"/>
      <c r="AE44" s="374"/>
      <c r="AF44" s="374"/>
      <c r="AG44" s="374"/>
      <c r="AH44" s="374"/>
      <c r="AI44" s="374"/>
      <c r="AJ44" s="374"/>
      <c r="AK44" s="374"/>
      <c r="AL44" s="374"/>
      <c r="AM44" s="374"/>
      <c r="AN44" s="374"/>
      <c r="AO44" s="374"/>
      <c r="AP44" s="374"/>
      <c r="AQ44" s="374"/>
      <c r="AR44" s="374"/>
      <c r="AS44" s="374"/>
      <c r="BI44" s="62"/>
    </row>
    <row r="45" spans="1:61" ht="15" customHeight="1" x14ac:dyDescent="0.25">
      <c r="A45" s="35"/>
      <c r="C45" s="371">
        <v>35</v>
      </c>
      <c r="D45" s="371"/>
      <c r="E45" s="372" t="s">
        <v>152</v>
      </c>
      <c r="F45" s="372"/>
      <c r="G45" s="372"/>
      <c r="H45" s="372"/>
      <c r="I45" s="372"/>
      <c r="J45" s="372"/>
      <c r="K45" s="372"/>
      <c r="L45" s="372"/>
      <c r="M45" s="372"/>
      <c r="N45" s="372"/>
      <c r="O45" s="372"/>
      <c r="P45" s="372"/>
      <c r="Q45" s="372"/>
      <c r="R45" s="372"/>
      <c r="S45" s="374" t="s">
        <v>153</v>
      </c>
      <c r="T45" s="374"/>
      <c r="U45" s="374"/>
      <c r="V45" s="374"/>
      <c r="W45" s="374"/>
      <c r="X45" s="374"/>
      <c r="Y45" s="374"/>
      <c r="Z45" s="374"/>
      <c r="AA45" s="374"/>
      <c r="AB45" s="374"/>
      <c r="AC45" s="374"/>
      <c r="AD45" s="374"/>
      <c r="AE45" s="374"/>
      <c r="AF45" s="374"/>
      <c r="AG45" s="374"/>
      <c r="AH45" s="374"/>
      <c r="AI45" s="374"/>
      <c r="AJ45" s="374"/>
      <c r="AK45" s="374"/>
      <c r="AL45" s="374"/>
      <c r="AM45" s="374"/>
      <c r="AN45" s="374"/>
      <c r="AO45" s="374"/>
      <c r="AP45" s="374"/>
      <c r="AQ45" s="374"/>
      <c r="AR45" s="374"/>
      <c r="AS45" s="374"/>
      <c r="BI45" s="62"/>
    </row>
    <row r="46" spans="1:61" ht="37.5" customHeight="1" x14ac:dyDescent="0.25">
      <c r="A46" s="35"/>
      <c r="C46" s="371">
        <v>36</v>
      </c>
      <c r="D46" s="371"/>
      <c r="E46" s="372" t="s">
        <v>154</v>
      </c>
      <c r="F46" s="372"/>
      <c r="G46" s="372"/>
      <c r="H46" s="372"/>
      <c r="I46" s="372"/>
      <c r="J46" s="372"/>
      <c r="K46" s="372"/>
      <c r="L46" s="372"/>
      <c r="M46" s="372"/>
      <c r="N46" s="372"/>
      <c r="O46" s="372"/>
      <c r="P46" s="372"/>
      <c r="Q46" s="372"/>
      <c r="R46" s="372"/>
      <c r="S46" s="373" t="s">
        <v>155</v>
      </c>
      <c r="T46" s="374"/>
      <c r="U46" s="374"/>
      <c r="V46" s="374"/>
      <c r="W46" s="374"/>
      <c r="X46" s="374"/>
      <c r="Y46" s="374"/>
      <c r="Z46" s="374"/>
      <c r="AA46" s="374"/>
      <c r="AB46" s="374"/>
      <c r="AC46" s="374"/>
      <c r="AD46" s="374"/>
      <c r="AE46" s="374"/>
      <c r="AF46" s="374"/>
      <c r="AG46" s="374"/>
      <c r="AH46" s="374"/>
      <c r="AI46" s="374"/>
      <c r="AJ46" s="374"/>
      <c r="AK46" s="374"/>
      <c r="AL46" s="374"/>
      <c r="AM46" s="374"/>
      <c r="AN46" s="374"/>
      <c r="AO46" s="374"/>
      <c r="AP46" s="374"/>
      <c r="AQ46" s="374"/>
      <c r="AR46" s="374"/>
      <c r="AS46" s="374"/>
      <c r="BI46" s="62"/>
    </row>
    <row r="47" spans="1:61" ht="150" customHeight="1" x14ac:dyDescent="0.25">
      <c r="A47" s="35"/>
      <c r="C47" s="371">
        <v>37</v>
      </c>
      <c r="D47" s="371"/>
      <c r="E47" s="372" t="s">
        <v>156</v>
      </c>
      <c r="F47" s="372"/>
      <c r="G47" s="372"/>
      <c r="H47" s="372"/>
      <c r="I47" s="372"/>
      <c r="J47" s="372"/>
      <c r="K47" s="372"/>
      <c r="L47" s="372"/>
      <c r="M47" s="372"/>
      <c r="N47" s="372"/>
      <c r="O47" s="372"/>
      <c r="P47" s="372"/>
      <c r="Q47" s="372"/>
      <c r="R47" s="372"/>
      <c r="S47" s="373" t="s">
        <v>157</v>
      </c>
      <c r="T47" s="374"/>
      <c r="U47" s="374"/>
      <c r="V47" s="374"/>
      <c r="W47" s="374"/>
      <c r="X47" s="374"/>
      <c r="Y47" s="374"/>
      <c r="Z47" s="374"/>
      <c r="AA47" s="374"/>
      <c r="AB47" s="374"/>
      <c r="AC47" s="374"/>
      <c r="AD47" s="374"/>
      <c r="AE47" s="374"/>
      <c r="AF47" s="374"/>
      <c r="AG47" s="374"/>
      <c r="AH47" s="374"/>
      <c r="AI47" s="374"/>
      <c r="AJ47" s="374"/>
      <c r="AK47" s="374"/>
      <c r="AL47" s="374"/>
      <c r="AM47" s="374"/>
      <c r="AN47" s="374"/>
      <c r="AO47" s="374"/>
      <c r="AP47" s="374"/>
      <c r="AQ47" s="374"/>
      <c r="AR47" s="374"/>
      <c r="AS47" s="374"/>
      <c r="BI47" s="62"/>
    </row>
    <row r="48" spans="1:61" ht="35.25" customHeight="1" x14ac:dyDescent="0.25">
      <c r="A48" s="35"/>
      <c r="C48" s="371">
        <v>38</v>
      </c>
      <c r="D48" s="371"/>
      <c r="E48" s="372" t="s">
        <v>158</v>
      </c>
      <c r="F48" s="372"/>
      <c r="G48" s="372"/>
      <c r="H48" s="372"/>
      <c r="I48" s="372"/>
      <c r="J48" s="372"/>
      <c r="K48" s="372"/>
      <c r="L48" s="372"/>
      <c r="M48" s="372"/>
      <c r="N48" s="372"/>
      <c r="O48" s="372"/>
      <c r="P48" s="372"/>
      <c r="Q48" s="372"/>
      <c r="R48" s="372"/>
      <c r="S48" s="374" t="s">
        <v>159</v>
      </c>
      <c r="T48" s="374"/>
      <c r="U48" s="374"/>
      <c r="V48" s="374"/>
      <c r="W48" s="374"/>
      <c r="X48" s="374"/>
      <c r="Y48" s="374"/>
      <c r="Z48" s="374"/>
      <c r="AA48" s="374"/>
      <c r="AB48" s="374"/>
      <c r="AC48" s="374"/>
      <c r="AD48" s="374"/>
      <c r="AE48" s="374"/>
      <c r="AF48" s="374"/>
      <c r="AG48" s="374"/>
      <c r="AH48" s="374"/>
      <c r="AI48" s="374"/>
      <c r="AJ48" s="374"/>
      <c r="AK48" s="374"/>
      <c r="AL48" s="374"/>
      <c r="AM48" s="374"/>
      <c r="AN48" s="374"/>
      <c r="AO48" s="374"/>
      <c r="AP48" s="374"/>
      <c r="AQ48" s="374"/>
      <c r="AR48" s="374"/>
      <c r="AS48" s="374"/>
      <c r="BI48" s="62"/>
    </row>
    <row r="49" spans="1:61" ht="77.25" customHeight="1" x14ac:dyDescent="0.25">
      <c r="A49" s="35"/>
      <c r="C49" s="375">
        <v>39</v>
      </c>
      <c r="D49" s="375"/>
      <c r="E49" s="374" t="s">
        <v>277</v>
      </c>
      <c r="F49" s="374"/>
      <c r="G49" s="374"/>
      <c r="H49" s="374"/>
      <c r="I49" s="374"/>
      <c r="J49" s="374"/>
      <c r="K49" s="374"/>
      <c r="L49" s="374"/>
      <c r="M49" s="374"/>
      <c r="N49" s="374"/>
      <c r="O49" s="374"/>
      <c r="P49" s="374"/>
      <c r="Q49" s="374"/>
      <c r="R49" s="374"/>
      <c r="S49" s="373" t="s">
        <v>279</v>
      </c>
      <c r="T49" s="374"/>
      <c r="U49" s="374"/>
      <c r="V49" s="374"/>
      <c r="W49" s="374"/>
      <c r="X49" s="374"/>
      <c r="Y49" s="374"/>
      <c r="Z49" s="374"/>
      <c r="AA49" s="374"/>
      <c r="AB49" s="374"/>
      <c r="AC49" s="374"/>
      <c r="AD49" s="374"/>
      <c r="AE49" s="374"/>
      <c r="AF49" s="374"/>
      <c r="AG49" s="374"/>
      <c r="AH49" s="374"/>
      <c r="AI49" s="374"/>
      <c r="AJ49" s="374"/>
      <c r="AK49" s="374"/>
      <c r="AL49" s="374"/>
      <c r="AM49" s="374"/>
      <c r="AN49" s="374"/>
      <c r="AO49" s="374"/>
      <c r="AP49" s="374"/>
      <c r="AQ49" s="374"/>
      <c r="AR49" s="374"/>
      <c r="AS49" s="374"/>
      <c r="BI49" s="62"/>
    </row>
    <row r="50" spans="1:61" ht="71.25" customHeight="1" x14ac:dyDescent="0.25">
      <c r="A50" s="35"/>
      <c r="C50" s="371">
        <v>41</v>
      </c>
      <c r="D50" s="371"/>
      <c r="E50" s="372" t="s">
        <v>161</v>
      </c>
      <c r="F50" s="372"/>
      <c r="G50" s="372"/>
      <c r="H50" s="372"/>
      <c r="I50" s="372"/>
      <c r="J50" s="372"/>
      <c r="K50" s="372"/>
      <c r="L50" s="372"/>
      <c r="M50" s="372"/>
      <c r="N50" s="372"/>
      <c r="O50" s="372"/>
      <c r="P50" s="372"/>
      <c r="Q50" s="372"/>
      <c r="R50" s="372"/>
      <c r="S50" s="373" t="s">
        <v>162</v>
      </c>
      <c r="T50" s="374"/>
      <c r="U50" s="374"/>
      <c r="V50" s="374"/>
      <c r="W50" s="374"/>
      <c r="X50" s="374"/>
      <c r="Y50" s="374"/>
      <c r="Z50" s="374"/>
      <c r="AA50" s="374"/>
      <c r="AB50" s="374"/>
      <c r="AC50" s="374"/>
      <c r="AD50" s="374"/>
      <c r="AE50" s="374"/>
      <c r="AF50" s="374"/>
      <c r="AG50" s="374"/>
      <c r="AH50" s="374"/>
      <c r="AI50" s="374"/>
      <c r="AJ50" s="374"/>
      <c r="AK50" s="374"/>
      <c r="AL50" s="374"/>
      <c r="AM50" s="374"/>
      <c r="AN50" s="374"/>
      <c r="AO50" s="374"/>
      <c r="AP50" s="374"/>
      <c r="AQ50" s="374"/>
      <c r="AR50" s="374"/>
      <c r="AS50" s="374"/>
      <c r="BI50" s="62"/>
    </row>
    <row r="51" spans="1:61" ht="70.5" customHeight="1" x14ac:dyDescent="0.25">
      <c r="A51" s="35"/>
      <c r="C51" s="371">
        <v>42</v>
      </c>
      <c r="D51" s="371"/>
      <c r="E51" s="372" t="s">
        <v>163</v>
      </c>
      <c r="F51" s="372"/>
      <c r="G51" s="372"/>
      <c r="H51" s="372"/>
      <c r="I51" s="372"/>
      <c r="J51" s="372"/>
      <c r="K51" s="372"/>
      <c r="L51" s="372"/>
      <c r="M51" s="372"/>
      <c r="N51" s="372"/>
      <c r="O51" s="372"/>
      <c r="P51" s="372"/>
      <c r="Q51" s="372"/>
      <c r="R51" s="372"/>
      <c r="S51" s="373" t="s">
        <v>164</v>
      </c>
      <c r="T51" s="374"/>
      <c r="U51" s="374"/>
      <c r="V51" s="374"/>
      <c r="W51" s="374"/>
      <c r="X51" s="374"/>
      <c r="Y51" s="374"/>
      <c r="Z51" s="374"/>
      <c r="AA51" s="374"/>
      <c r="AB51" s="374"/>
      <c r="AC51" s="374"/>
      <c r="AD51" s="374"/>
      <c r="AE51" s="374"/>
      <c r="AF51" s="374"/>
      <c r="AG51" s="374"/>
      <c r="AH51" s="374"/>
      <c r="AI51" s="374"/>
      <c r="AJ51" s="374"/>
      <c r="AK51" s="374"/>
      <c r="AL51" s="374"/>
      <c r="AM51" s="374"/>
      <c r="AN51" s="374"/>
      <c r="AO51" s="374"/>
      <c r="AP51" s="374"/>
      <c r="AQ51" s="374"/>
      <c r="AR51" s="374"/>
      <c r="AS51" s="374"/>
      <c r="BI51" s="62"/>
    </row>
    <row r="52" spans="1:61" ht="72.75" customHeight="1" x14ac:dyDescent="0.25">
      <c r="A52" s="35"/>
      <c r="C52" s="371">
        <v>43</v>
      </c>
      <c r="D52" s="371"/>
      <c r="E52" s="372" t="s">
        <v>165</v>
      </c>
      <c r="F52" s="372"/>
      <c r="G52" s="372"/>
      <c r="H52" s="372"/>
      <c r="I52" s="372"/>
      <c r="J52" s="372"/>
      <c r="K52" s="372"/>
      <c r="L52" s="372"/>
      <c r="M52" s="372"/>
      <c r="N52" s="372"/>
      <c r="O52" s="372"/>
      <c r="P52" s="372"/>
      <c r="Q52" s="372"/>
      <c r="R52" s="372"/>
      <c r="S52" s="373" t="s">
        <v>166</v>
      </c>
      <c r="T52" s="374"/>
      <c r="U52" s="374"/>
      <c r="V52" s="374"/>
      <c r="W52" s="374"/>
      <c r="X52" s="374"/>
      <c r="Y52" s="374"/>
      <c r="Z52" s="374"/>
      <c r="AA52" s="374"/>
      <c r="AB52" s="374"/>
      <c r="AC52" s="374"/>
      <c r="AD52" s="374"/>
      <c r="AE52" s="374"/>
      <c r="AF52" s="374"/>
      <c r="AG52" s="374"/>
      <c r="AH52" s="374"/>
      <c r="AI52" s="374"/>
      <c r="AJ52" s="374"/>
      <c r="AK52" s="374"/>
      <c r="AL52" s="374"/>
      <c r="AM52" s="374"/>
      <c r="AN52" s="374"/>
      <c r="AO52" s="374"/>
      <c r="AP52" s="374"/>
      <c r="AQ52" s="374"/>
      <c r="AR52" s="374"/>
      <c r="AS52" s="374"/>
      <c r="BI52" s="62"/>
    </row>
    <row r="53" spans="1:61" ht="115.5" customHeight="1" x14ac:dyDescent="0.25">
      <c r="A53" s="35"/>
      <c r="C53" s="371">
        <v>44</v>
      </c>
      <c r="D53" s="371"/>
      <c r="E53" s="372" t="s">
        <v>167</v>
      </c>
      <c r="F53" s="372"/>
      <c r="G53" s="372"/>
      <c r="H53" s="372"/>
      <c r="I53" s="372"/>
      <c r="J53" s="372"/>
      <c r="K53" s="372"/>
      <c r="L53" s="372"/>
      <c r="M53" s="372"/>
      <c r="N53" s="372"/>
      <c r="O53" s="372"/>
      <c r="P53" s="372"/>
      <c r="Q53" s="372"/>
      <c r="R53" s="372"/>
      <c r="S53" s="373" t="s">
        <v>168</v>
      </c>
      <c r="T53" s="374"/>
      <c r="U53" s="374"/>
      <c r="V53" s="374"/>
      <c r="W53" s="374"/>
      <c r="X53" s="374"/>
      <c r="Y53" s="374"/>
      <c r="Z53" s="374"/>
      <c r="AA53" s="374"/>
      <c r="AB53" s="374"/>
      <c r="AC53" s="374"/>
      <c r="AD53" s="374"/>
      <c r="AE53" s="374"/>
      <c r="AF53" s="374"/>
      <c r="AG53" s="374"/>
      <c r="AH53" s="374"/>
      <c r="AI53" s="374"/>
      <c r="AJ53" s="374"/>
      <c r="AK53" s="374"/>
      <c r="AL53" s="374"/>
      <c r="AM53" s="374"/>
      <c r="AN53" s="374"/>
      <c r="AO53" s="374"/>
      <c r="AP53" s="374"/>
      <c r="AQ53" s="374"/>
      <c r="AR53" s="374"/>
      <c r="AS53" s="374"/>
      <c r="BI53" s="62"/>
    </row>
    <row r="54" spans="1:61" ht="84.75" customHeight="1" x14ac:dyDescent="0.25">
      <c r="A54" s="35"/>
      <c r="C54" s="371">
        <v>45</v>
      </c>
      <c r="D54" s="371"/>
      <c r="E54" s="372" t="s">
        <v>169</v>
      </c>
      <c r="F54" s="372"/>
      <c r="G54" s="372"/>
      <c r="H54" s="372"/>
      <c r="I54" s="372"/>
      <c r="J54" s="372"/>
      <c r="K54" s="372"/>
      <c r="L54" s="372"/>
      <c r="M54" s="372"/>
      <c r="N54" s="372"/>
      <c r="O54" s="372"/>
      <c r="P54" s="372"/>
      <c r="Q54" s="372"/>
      <c r="R54" s="372"/>
      <c r="S54" s="373" t="s">
        <v>278</v>
      </c>
      <c r="T54" s="374"/>
      <c r="U54" s="374"/>
      <c r="V54" s="374"/>
      <c r="W54" s="374"/>
      <c r="X54" s="374"/>
      <c r="Y54" s="374"/>
      <c r="Z54" s="374"/>
      <c r="AA54" s="374"/>
      <c r="AB54" s="374"/>
      <c r="AC54" s="374"/>
      <c r="AD54" s="374"/>
      <c r="AE54" s="374"/>
      <c r="AF54" s="374"/>
      <c r="AG54" s="374"/>
      <c r="AH54" s="374"/>
      <c r="AI54" s="374"/>
      <c r="AJ54" s="374"/>
      <c r="AK54" s="374"/>
      <c r="AL54" s="374"/>
      <c r="AM54" s="374"/>
      <c r="AN54" s="374"/>
      <c r="AO54" s="374"/>
      <c r="AP54" s="374"/>
      <c r="AQ54" s="374"/>
      <c r="AR54" s="374"/>
      <c r="AS54" s="374"/>
      <c r="BI54" s="62"/>
    </row>
    <row r="55" spans="1:61" ht="55.5" customHeight="1" x14ac:dyDescent="0.25">
      <c r="A55" s="35"/>
      <c r="C55" s="371">
        <v>46</v>
      </c>
      <c r="D55" s="371"/>
      <c r="E55" s="372" t="s">
        <v>170</v>
      </c>
      <c r="F55" s="372"/>
      <c r="G55" s="372"/>
      <c r="H55" s="372"/>
      <c r="I55" s="372"/>
      <c r="J55" s="372"/>
      <c r="K55" s="372"/>
      <c r="L55" s="372"/>
      <c r="M55" s="372"/>
      <c r="N55" s="372"/>
      <c r="O55" s="372"/>
      <c r="P55" s="372"/>
      <c r="Q55" s="372"/>
      <c r="R55" s="372"/>
      <c r="S55" s="373" t="s">
        <v>171</v>
      </c>
      <c r="T55" s="374"/>
      <c r="U55" s="374"/>
      <c r="V55" s="374"/>
      <c r="W55" s="374"/>
      <c r="X55" s="374"/>
      <c r="Y55" s="374"/>
      <c r="Z55" s="374"/>
      <c r="AA55" s="374"/>
      <c r="AB55" s="374"/>
      <c r="AC55" s="374"/>
      <c r="AD55" s="374"/>
      <c r="AE55" s="374"/>
      <c r="AF55" s="374"/>
      <c r="AG55" s="374"/>
      <c r="AH55" s="374"/>
      <c r="AI55" s="374"/>
      <c r="AJ55" s="374"/>
      <c r="AK55" s="374"/>
      <c r="AL55" s="374"/>
      <c r="AM55" s="374"/>
      <c r="AN55" s="374"/>
      <c r="AO55" s="374"/>
      <c r="AP55" s="374"/>
      <c r="AQ55" s="374"/>
      <c r="AR55" s="374"/>
      <c r="AS55" s="374"/>
      <c r="BI55" s="62"/>
    </row>
    <row r="56" spans="1:61" ht="15" customHeight="1" x14ac:dyDescent="0.25">
      <c r="A56" s="35"/>
      <c r="C56" s="60"/>
      <c r="V56" s="60"/>
      <c r="AE56" s="60"/>
      <c r="AM56" s="60"/>
      <c r="BI56" s="62"/>
    </row>
    <row r="57" spans="1:61" ht="15" customHeight="1" x14ac:dyDescent="0.25">
      <c r="A57" s="35"/>
      <c r="C57" s="60"/>
      <c r="V57" s="60"/>
      <c r="AE57" s="60"/>
      <c r="AM57" s="60"/>
      <c r="BI57" s="62"/>
    </row>
    <row r="58" spans="1:61" ht="15" customHeight="1" x14ac:dyDescent="0.25">
      <c r="A58" s="35"/>
      <c r="C58" s="60"/>
      <c r="V58" s="60"/>
      <c r="AE58" s="60"/>
      <c r="AM58" s="60"/>
      <c r="BI58" s="62"/>
    </row>
    <row r="59" spans="1:61" ht="15" customHeight="1" x14ac:dyDescent="0.25">
      <c r="A59" s="35"/>
      <c r="C59" s="60"/>
      <c r="V59" s="60"/>
      <c r="AE59" s="60"/>
      <c r="AM59" s="60"/>
      <c r="BI59" s="62"/>
    </row>
  </sheetData>
  <mergeCells count="161">
    <mergeCell ref="BC1:BG1"/>
    <mergeCell ref="BH1:BK1"/>
    <mergeCell ref="A2:K3"/>
    <mergeCell ref="L2:W3"/>
    <mergeCell ref="AP2:AS3"/>
    <mergeCell ref="AT2:AX3"/>
    <mergeCell ref="AY2:BB3"/>
    <mergeCell ref="BC2:BG3"/>
    <mergeCell ref="BH2:BK3"/>
    <mergeCell ref="A1:K1"/>
    <mergeCell ref="L1:W1"/>
    <mergeCell ref="X1:AO3"/>
    <mergeCell ref="AP1:AS1"/>
    <mergeCell ref="AT1:AX1"/>
    <mergeCell ref="AY1:BB1"/>
    <mergeCell ref="C11:D11"/>
    <mergeCell ref="C10:D10"/>
    <mergeCell ref="A4:H4"/>
    <mergeCell ref="I4:U4"/>
    <mergeCell ref="V4:Z4"/>
    <mergeCell ref="AA4:AO4"/>
    <mergeCell ref="AP4:BK4"/>
    <mergeCell ref="C9:D9"/>
    <mergeCell ref="E9:R9"/>
    <mergeCell ref="S9:AS9"/>
    <mergeCell ref="E10:R10"/>
    <mergeCell ref="S10:AS10"/>
    <mergeCell ref="E11:R11"/>
    <mergeCell ref="S11:AS11"/>
    <mergeCell ref="C14:D14"/>
    <mergeCell ref="E14:R14"/>
    <mergeCell ref="S14:AS14"/>
    <mergeCell ref="C13:D13"/>
    <mergeCell ref="E13:R13"/>
    <mergeCell ref="S13:AS13"/>
    <mergeCell ref="C12:D12"/>
    <mergeCell ref="E12:R12"/>
    <mergeCell ref="S12:AS12"/>
    <mergeCell ref="C17:D17"/>
    <mergeCell ref="E17:R17"/>
    <mergeCell ref="S17:AS17"/>
    <mergeCell ref="C16:D16"/>
    <mergeCell ref="E16:R16"/>
    <mergeCell ref="S16:AS16"/>
    <mergeCell ref="C15:D15"/>
    <mergeCell ref="E15:R15"/>
    <mergeCell ref="S15:AS15"/>
    <mergeCell ref="C20:D20"/>
    <mergeCell ref="E20:R20"/>
    <mergeCell ref="S20:AS20"/>
    <mergeCell ref="C19:D19"/>
    <mergeCell ref="E19:R19"/>
    <mergeCell ref="S19:AS19"/>
    <mergeCell ref="C18:D18"/>
    <mergeCell ref="E18:R18"/>
    <mergeCell ref="S18:AS18"/>
    <mergeCell ref="C23:D23"/>
    <mergeCell ref="E23:R23"/>
    <mergeCell ref="S23:AS23"/>
    <mergeCell ref="C22:D22"/>
    <mergeCell ref="E22:R22"/>
    <mergeCell ref="S22:AS22"/>
    <mergeCell ref="C21:D21"/>
    <mergeCell ref="E21:R21"/>
    <mergeCell ref="S21:AS21"/>
    <mergeCell ref="C26:D26"/>
    <mergeCell ref="E26:R26"/>
    <mergeCell ref="S26:AS26"/>
    <mergeCell ref="C25:D25"/>
    <mergeCell ref="E25:R25"/>
    <mergeCell ref="S25:AS25"/>
    <mergeCell ref="C24:D24"/>
    <mergeCell ref="E24:R24"/>
    <mergeCell ref="S24:AS24"/>
    <mergeCell ref="C29:D29"/>
    <mergeCell ref="E29:R29"/>
    <mergeCell ref="S29:AS29"/>
    <mergeCell ref="C28:D28"/>
    <mergeCell ref="E28:R28"/>
    <mergeCell ref="S28:AS28"/>
    <mergeCell ref="C27:D27"/>
    <mergeCell ref="E27:R27"/>
    <mergeCell ref="S27:AS27"/>
    <mergeCell ref="C32:D32"/>
    <mergeCell ref="E32:R32"/>
    <mergeCell ref="S32:AS32"/>
    <mergeCell ref="C31:D31"/>
    <mergeCell ref="E31:R31"/>
    <mergeCell ref="S31:AS31"/>
    <mergeCell ref="C30:D30"/>
    <mergeCell ref="E30:R30"/>
    <mergeCell ref="S30:AS30"/>
    <mergeCell ref="C35:D35"/>
    <mergeCell ref="E35:R35"/>
    <mergeCell ref="S35:AS35"/>
    <mergeCell ref="C34:D34"/>
    <mergeCell ref="E34:R34"/>
    <mergeCell ref="S34:AS34"/>
    <mergeCell ref="C33:D33"/>
    <mergeCell ref="E33:R33"/>
    <mergeCell ref="S33:AS33"/>
    <mergeCell ref="C40:D40"/>
    <mergeCell ref="E40:R40"/>
    <mergeCell ref="S40:AS40"/>
    <mergeCell ref="C39:D39"/>
    <mergeCell ref="E39:R39"/>
    <mergeCell ref="S39:AS39"/>
    <mergeCell ref="C36:D36"/>
    <mergeCell ref="E36:R36"/>
    <mergeCell ref="S36:AS36"/>
    <mergeCell ref="C43:D43"/>
    <mergeCell ref="E43:R43"/>
    <mergeCell ref="S43:AS43"/>
    <mergeCell ref="C42:D42"/>
    <mergeCell ref="E42:R42"/>
    <mergeCell ref="S42:AS42"/>
    <mergeCell ref="C41:D41"/>
    <mergeCell ref="E41:R41"/>
    <mergeCell ref="S41:AS41"/>
    <mergeCell ref="C46:D46"/>
    <mergeCell ref="E46:R46"/>
    <mergeCell ref="S46:AS46"/>
    <mergeCell ref="C45:D45"/>
    <mergeCell ref="E45:R45"/>
    <mergeCell ref="S45:AS45"/>
    <mergeCell ref="C44:D44"/>
    <mergeCell ref="E44:R44"/>
    <mergeCell ref="S44:AS44"/>
    <mergeCell ref="C55:D55"/>
    <mergeCell ref="E55:R55"/>
    <mergeCell ref="S55:AS55"/>
    <mergeCell ref="C54:D54"/>
    <mergeCell ref="E54:R54"/>
    <mergeCell ref="S54:AS54"/>
    <mergeCell ref="C53:D53"/>
    <mergeCell ref="E53:R53"/>
    <mergeCell ref="S53:AS53"/>
    <mergeCell ref="C37:D37"/>
    <mergeCell ref="E37:R37"/>
    <mergeCell ref="S37:AS37"/>
    <mergeCell ref="C38:D38"/>
    <mergeCell ref="E38:R38"/>
    <mergeCell ref="S38:AS38"/>
    <mergeCell ref="C52:D52"/>
    <mergeCell ref="E52:R52"/>
    <mergeCell ref="S52:AS52"/>
    <mergeCell ref="C51:D51"/>
    <mergeCell ref="E51:R51"/>
    <mergeCell ref="S51:AS51"/>
    <mergeCell ref="C50:D50"/>
    <mergeCell ref="E50:R50"/>
    <mergeCell ref="S50:AS50"/>
    <mergeCell ref="C49:D49"/>
    <mergeCell ref="E49:R49"/>
    <mergeCell ref="S49:AS49"/>
    <mergeCell ref="C48:D48"/>
    <mergeCell ref="E48:R48"/>
    <mergeCell ref="S48:AS48"/>
    <mergeCell ref="C47:D47"/>
    <mergeCell ref="E47:R47"/>
    <mergeCell ref="S47:AS47"/>
  </mergeCells>
  <printOptions horizontalCentered="1" verticalCentered="1"/>
  <pageMargins left="0.59055118110236204" right="0.59055118110236204" top="0.39370078740157499" bottom="0.39370078740157499" header="0.31496062992126" footer="0.31496062992126"/>
  <pageSetup paperSize="9" scale="25" orientation="landscape" r:id="rId1"/>
  <headerFooter>
    <oddHeader>&amp;R&amp;F</oddHeader>
    <oddFooter>&amp;C&amp;P / &amp;N ページ</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6B8B-9F62-4C36-86D3-9D6D5167847B}">
  <sheetPr>
    <pageSetUpPr fitToPage="1"/>
  </sheetPr>
  <dimension ref="A1:BK56"/>
  <sheetViews>
    <sheetView view="pageBreakPreview" zoomScale="85" zoomScaleNormal="85" zoomScaleSheetLayoutView="85" workbookViewId="0">
      <selection activeCell="W37" sqref="W37:AA37"/>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231" t="s">
        <v>0</v>
      </c>
      <c r="B1" s="232"/>
      <c r="C1" s="232"/>
      <c r="D1" s="232"/>
      <c r="E1" s="232"/>
      <c r="F1" s="232"/>
      <c r="G1" s="232"/>
      <c r="H1" s="232"/>
      <c r="I1" s="232"/>
      <c r="J1" s="233"/>
      <c r="K1" s="231" t="s">
        <v>1</v>
      </c>
      <c r="L1" s="232"/>
      <c r="M1" s="232"/>
      <c r="N1" s="232"/>
      <c r="O1" s="232"/>
      <c r="P1" s="232"/>
      <c r="Q1" s="232"/>
      <c r="R1" s="232"/>
      <c r="S1" s="232"/>
      <c r="T1" s="232"/>
      <c r="U1" s="232"/>
      <c r="V1" s="233"/>
      <c r="W1" s="244" t="str">
        <f>IF(表紙!W1="","",表紙!W1)</f>
        <v>基本設計書</v>
      </c>
      <c r="X1" s="245"/>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40"/>
      <c r="K2" s="238" t="str">
        <f>IF(表紙!K2="","",表紙!K2)</f>
        <v>POSサーバー</v>
      </c>
      <c r="L2" s="239"/>
      <c r="M2" s="239"/>
      <c r="N2" s="239"/>
      <c r="O2" s="239"/>
      <c r="P2" s="239"/>
      <c r="Q2" s="239"/>
      <c r="R2" s="239"/>
      <c r="S2" s="239"/>
      <c r="T2" s="239"/>
      <c r="U2" s="239"/>
      <c r="V2" s="240"/>
      <c r="W2" s="247"/>
      <c r="X2" s="248"/>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3"/>
      <c r="K3" s="241"/>
      <c r="L3" s="242"/>
      <c r="M3" s="242"/>
      <c r="N3" s="242"/>
      <c r="O3" s="242"/>
      <c r="P3" s="242"/>
      <c r="Q3" s="242"/>
      <c r="R3" s="242"/>
      <c r="S3" s="242"/>
      <c r="T3" s="242"/>
      <c r="U3" s="242"/>
      <c r="V3" s="243"/>
      <c r="W3" s="250"/>
      <c r="X3" s="251"/>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3"/>
      <c r="H4" s="234" t="str">
        <f>IF(表紙!H4="","",表紙!H4)</f>
        <v>20_レジ精算入力</v>
      </c>
      <c r="I4" s="235"/>
      <c r="J4" s="235"/>
      <c r="K4" s="235"/>
      <c r="L4" s="235"/>
      <c r="M4" s="235"/>
      <c r="N4" s="235"/>
      <c r="O4" s="235"/>
      <c r="P4" s="235"/>
      <c r="Q4" s="235"/>
      <c r="R4" s="235"/>
      <c r="S4" s="235"/>
      <c r="T4" s="236"/>
      <c r="U4" s="231" t="s">
        <v>12</v>
      </c>
      <c r="V4" s="232"/>
      <c r="W4" s="232"/>
      <c r="X4" s="232"/>
      <c r="Y4" s="233"/>
      <c r="Z4" s="234" t="str">
        <f>IF(表紙!Z4="","",表紙!Z4)</f>
        <v>概要設計書</v>
      </c>
      <c r="AA4" s="235"/>
      <c r="AB4" s="235"/>
      <c r="AC4" s="235"/>
      <c r="AD4" s="235"/>
      <c r="AE4" s="235"/>
      <c r="AF4" s="235"/>
      <c r="AG4" s="235"/>
      <c r="AH4" s="235"/>
      <c r="AI4" s="235"/>
      <c r="AJ4" s="235"/>
      <c r="AK4" s="235"/>
      <c r="AL4" s="235"/>
      <c r="AM4" s="235"/>
      <c r="AN4" s="235"/>
      <c r="AO4" s="236"/>
      <c r="AP4" s="237" t="str">
        <f ca="1">MID(CELL("filename",A1),FIND("]",CELL("filename",A1))+1,255)</f>
        <v>サンプル</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56"/>
      <c r="C7" s="57"/>
      <c r="D7" s="58"/>
      <c r="E7" s="58"/>
      <c r="F7" s="58"/>
      <c r="G7" s="58"/>
      <c r="H7" s="58"/>
      <c r="I7" s="58"/>
      <c r="J7" s="58"/>
      <c r="K7" s="58"/>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3" ht="15" customHeight="1" thickBot="1" x14ac:dyDescent="0.3">
      <c r="A8" s="35"/>
      <c r="C8" s="60"/>
      <c r="U8" s="60"/>
      <c r="AD8" s="60"/>
      <c r="AM8" s="60"/>
      <c r="BI8" s="62"/>
    </row>
    <row r="9" spans="1:63" ht="15" customHeight="1" x14ac:dyDescent="0.25">
      <c r="A9" s="35"/>
      <c r="C9" s="419" t="s">
        <v>172</v>
      </c>
      <c r="D9" s="419"/>
      <c r="E9" s="419"/>
      <c r="F9" s="419"/>
      <c r="G9" s="419" t="s">
        <v>173</v>
      </c>
      <c r="H9" s="419"/>
      <c r="I9" s="419"/>
      <c r="J9" s="418" t="s">
        <v>174</v>
      </c>
      <c r="K9" s="416"/>
      <c r="L9" s="416"/>
      <c r="M9" s="416"/>
      <c r="N9" s="416"/>
      <c r="O9" s="416"/>
      <c r="P9" s="416"/>
      <c r="Q9" s="416"/>
      <c r="R9" s="416"/>
      <c r="S9" s="416"/>
      <c r="T9" s="417"/>
      <c r="U9" s="419" t="s">
        <v>175</v>
      </c>
      <c r="V9" s="419"/>
      <c r="W9" s="418" t="s">
        <v>176</v>
      </c>
      <c r="X9" s="416"/>
      <c r="Y9" s="416"/>
      <c r="Z9" s="416"/>
      <c r="AA9" s="416"/>
      <c r="AB9" s="411" t="s">
        <v>177</v>
      </c>
      <c r="AC9" s="412"/>
      <c r="AD9" s="412"/>
      <c r="AE9" s="413"/>
      <c r="AF9" s="414" t="s">
        <v>178</v>
      </c>
      <c r="AG9" s="412"/>
      <c r="AH9" s="412"/>
      <c r="AI9" s="412"/>
      <c r="AJ9" s="415"/>
      <c r="AK9" s="416" t="s">
        <v>179</v>
      </c>
      <c r="AL9" s="416"/>
      <c r="AM9" s="416"/>
      <c r="AN9" s="416"/>
      <c r="AO9" s="417"/>
      <c r="AP9" s="418" t="s">
        <v>180</v>
      </c>
      <c r="AQ9" s="416"/>
      <c r="AR9" s="416"/>
      <c r="AS9" s="416"/>
      <c r="AT9" s="417"/>
      <c r="BI9" s="62"/>
    </row>
    <row r="10" spans="1:63" ht="15" customHeight="1" x14ac:dyDescent="0.25">
      <c r="A10" s="35"/>
      <c r="C10" s="396">
        <v>1</v>
      </c>
      <c r="D10" s="397"/>
      <c r="E10" s="397"/>
      <c r="F10" s="398"/>
      <c r="G10" s="396" t="s">
        <v>181</v>
      </c>
      <c r="H10" s="397"/>
      <c r="I10" s="398"/>
      <c r="J10" s="399" t="s">
        <v>182</v>
      </c>
      <c r="K10" s="400"/>
      <c r="L10" s="400"/>
      <c r="M10" s="400"/>
      <c r="N10" s="400"/>
      <c r="O10" s="400"/>
      <c r="P10" s="400"/>
      <c r="Q10" s="400"/>
      <c r="R10" s="400"/>
      <c r="S10" s="400"/>
      <c r="T10" s="401"/>
      <c r="U10" s="396" t="s">
        <v>183</v>
      </c>
      <c r="V10" s="398"/>
      <c r="W10" s="395">
        <v>5770131</v>
      </c>
      <c r="X10" s="393"/>
      <c r="Y10" s="393"/>
      <c r="Z10" s="393"/>
      <c r="AA10" s="393"/>
      <c r="AB10" s="402" t="s">
        <v>183</v>
      </c>
      <c r="AC10" s="403"/>
      <c r="AD10" s="403"/>
      <c r="AE10" s="404"/>
      <c r="AF10" s="390">
        <v>5770131</v>
      </c>
      <c r="AG10" s="391"/>
      <c r="AH10" s="391"/>
      <c r="AI10" s="391"/>
      <c r="AJ10" s="392"/>
      <c r="AK10" s="393">
        <v>37213</v>
      </c>
      <c r="AL10" s="393"/>
      <c r="AM10" s="393"/>
      <c r="AN10" s="393"/>
      <c r="AO10" s="394"/>
      <c r="AP10" s="395">
        <v>5807344</v>
      </c>
      <c r="AQ10" s="393"/>
      <c r="AR10" s="393"/>
      <c r="AS10" s="393"/>
      <c r="AT10" s="394"/>
      <c r="BI10" s="62"/>
    </row>
    <row r="11" spans="1:63" ht="15" customHeight="1" x14ac:dyDescent="0.25">
      <c r="A11" s="35"/>
      <c r="C11" s="396">
        <v>2</v>
      </c>
      <c r="D11" s="397"/>
      <c r="E11" s="397"/>
      <c r="F11" s="398"/>
      <c r="G11" s="396" t="s">
        <v>184</v>
      </c>
      <c r="H11" s="397"/>
      <c r="I11" s="398"/>
      <c r="J11" s="399" t="s">
        <v>185</v>
      </c>
      <c r="K11" s="400"/>
      <c r="L11" s="400"/>
      <c r="M11" s="400"/>
      <c r="N11" s="400"/>
      <c r="O11" s="400"/>
      <c r="P11" s="400"/>
      <c r="Q11" s="400"/>
      <c r="R11" s="400"/>
      <c r="S11" s="400"/>
      <c r="T11" s="401"/>
      <c r="U11" s="396" t="s">
        <v>183</v>
      </c>
      <c r="V11" s="398"/>
      <c r="W11" s="395">
        <v>549183</v>
      </c>
      <c r="X11" s="393"/>
      <c r="Y11" s="393"/>
      <c r="Z11" s="393"/>
      <c r="AA11" s="393"/>
      <c r="AB11" s="402" t="s">
        <v>183</v>
      </c>
      <c r="AC11" s="403"/>
      <c r="AD11" s="403"/>
      <c r="AE11" s="404"/>
      <c r="AF11" s="390">
        <v>549183</v>
      </c>
      <c r="AG11" s="391"/>
      <c r="AH11" s="391"/>
      <c r="AI11" s="391"/>
      <c r="AJ11" s="392"/>
      <c r="AK11" s="393">
        <v>467</v>
      </c>
      <c r="AL11" s="393"/>
      <c r="AM11" s="393"/>
      <c r="AN11" s="393"/>
      <c r="AO11" s="394"/>
      <c r="AP11" s="395">
        <v>549650</v>
      </c>
      <c r="AQ11" s="393"/>
      <c r="AR11" s="393"/>
      <c r="AS11" s="393"/>
      <c r="AT11" s="394"/>
      <c r="BI11" s="62"/>
    </row>
    <row r="12" spans="1:63" ht="15" customHeight="1" x14ac:dyDescent="0.25">
      <c r="A12" s="35"/>
      <c r="C12" s="396">
        <v>3</v>
      </c>
      <c r="D12" s="397"/>
      <c r="E12" s="397"/>
      <c r="F12" s="398"/>
      <c r="G12" s="396" t="s">
        <v>186</v>
      </c>
      <c r="H12" s="397"/>
      <c r="I12" s="398"/>
      <c r="J12" s="399" t="s">
        <v>187</v>
      </c>
      <c r="K12" s="400"/>
      <c r="L12" s="400"/>
      <c r="M12" s="400"/>
      <c r="N12" s="400"/>
      <c r="O12" s="400"/>
      <c r="P12" s="400"/>
      <c r="Q12" s="400"/>
      <c r="R12" s="400"/>
      <c r="S12" s="400"/>
      <c r="T12" s="401"/>
      <c r="U12" s="396"/>
      <c r="V12" s="398"/>
      <c r="W12" s="395"/>
      <c r="X12" s="393"/>
      <c r="Y12" s="393"/>
      <c r="Z12" s="393"/>
      <c r="AA12" s="393"/>
      <c r="AB12" s="402"/>
      <c r="AC12" s="403"/>
      <c r="AD12" s="403"/>
      <c r="AE12" s="404"/>
      <c r="AF12" s="390">
        <v>0</v>
      </c>
      <c r="AG12" s="391"/>
      <c r="AH12" s="391"/>
      <c r="AI12" s="391"/>
      <c r="AJ12" s="392"/>
      <c r="AK12" s="393"/>
      <c r="AL12" s="393"/>
      <c r="AM12" s="393"/>
      <c r="AN12" s="393"/>
      <c r="AO12" s="394"/>
      <c r="AP12" s="395">
        <v>0</v>
      </c>
      <c r="AQ12" s="393"/>
      <c r="AR12" s="393"/>
      <c r="AS12" s="393"/>
      <c r="AT12" s="394"/>
      <c r="AX12" s="31" t="s">
        <v>54</v>
      </c>
      <c r="BI12" s="62"/>
    </row>
    <row r="13" spans="1:63" ht="15" customHeight="1" x14ac:dyDescent="0.25">
      <c r="A13" s="35"/>
      <c r="C13" s="396">
        <v>4</v>
      </c>
      <c r="D13" s="397"/>
      <c r="E13" s="397"/>
      <c r="F13" s="398"/>
      <c r="G13" s="396" t="s">
        <v>188</v>
      </c>
      <c r="H13" s="397"/>
      <c r="I13" s="398"/>
      <c r="J13" s="399" t="s">
        <v>189</v>
      </c>
      <c r="K13" s="400"/>
      <c r="L13" s="400"/>
      <c r="M13" s="400"/>
      <c r="N13" s="400"/>
      <c r="O13" s="400"/>
      <c r="P13" s="400"/>
      <c r="Q13" s="400"/>
      <c r="R13" s="400"/>
      <c r="S13" s="400"/>
      <c r="T13" s="401"/>
      <c r="U13" s="396" t="s">
        <v>183</v>
      </c>
      <c r="V13" s="398"/>
      <c r="W13" s="395">
        <v>85000</v>
      </c>
      <c r="X13" s="393"/>
      <c r="Y13" s="393"/>
      <c r="Z13" s="393"/>
      <c r="AA13" s="393"/>
      <c r="AB13" s="402" t="s">
        <v>183</v>
      </c>
      <c r="AC13" s="403"/>
      <c r="AD13" s="403"/>
      <c r="AE13" s="404"/>
      <c r="AF13" s="390">
        <v>85000</v>
      </c>
      <c r="AG13" s="391"/>
      <c r="AH13" s="391"/>
      <c r="AI13" s="391"/>
      <c r="AJ13" s="392"/>
      <c r="AK13" s="393"/>
      <c r="AL13" s="393"/>
      <c r="AM13" s="393"/>
      <c r="AN13" s="393"/>
      <c r="AO13" s="394"/>
      <c r="AP13" s="395">
        <v>85000</v>
      </c>
      <c r="AQ13" s="393"/>
      <c r="AR13" s="393"/>
      <c r="AS13" s="393"/>
      <c r="AT13" s="394"/>
      <c r="BI13" s="62"/>
    </row>
    <row r="14" spans="1:63" ht="15" customHeight="1" x14ac:dyDescent="0.25">
      <c r="A14" s="35"/>
      <c r="C14" s="396">
        <v>5</v>
      </c>
      <c r="D14" s="397"/>
      <c r="E14" s="397"/>
      <c r="F14" s="398"/>
      <c r="G14" s="396" t="s">
        <v>190</v>
      </c>
      <c r="H14" s="397"/>
      <c r="I14" s="398"/>
      <c r="J14" s="399" t="s">
        <v>118</v>
      </c>
      <c r="K14" s="400"/>
      <c r="L14" s="400"/>
      <c r="M14" s="400"/>
      <c r="N14" s="400"/>
      <c r="O14" s="400"/>
      <c r="P14" s="400"/>
      <c r="Q14" s="400"/>
      <c r="R14" s="400"/>
      <c r="S14" s="400"/>
      <c r="T14" s="401"/>
      <c r="U14" s="396" t="s">
        <v>183</v>
      </c>
      <c r="V14" s="398"/>
      <c r="W14" s="395">
        <v>131000</v>
      </c>
      <c r="X14" s="393"/>
      <c r="Y14" s="393"/>
      <c r="Z14" s="393"/>
      <c r="AA14" s="393"/>
      <c r="AB14" s="402" t="s">
        <v>183</v>
      </c>
      <c r="AC14" s="403"/>
      <c r="AD14" s="403"/>
      <c r="AE14" s="404"/>
      <c r="AF14" s="390">
        <v>131000</v>
      </c>
      <c r="AG14" s="391"/>
      <c r="AH14" s="391"/>
      <c r="AI14" s="391"/>
      <c r="AJ14" s="392"/>
      <c r="AK14" s="393"/>
      <c r="AL14" s="393"/>
      <c r="AM14" s="393"/>
      <c r="AN14" s="393"/>
      <c r="AO14" s="394"/>
      <c r="AP14" s="395">
        <v>131000</v>
      </c>
      <c r="AQ14" s="393"/>
      <c r="AR14" s="393"/>
      <c r="AS14" s="393"/>
      <c r="AT14" s="394"/>
      <c r="BI14" s="62"/>
    </row>
    <row r="15" spans="1:63" ht="15" customHeight="1" x14ac:dyDescent="0.25">
      <c r="A15" s="35"/>
      <c r="C15" s="396">
        <v>6</v>
      </c>
      <c r="D15" s="397"/>
      <c r="E15" s="397"/>
      <c r="F15" s="398"/>
      <c r="G15" s="396" t="s">
        <v>191</v>
      </c>
      <c r="H15" s="397"/>
      <c r="I15" s="398"/>
      <c r="J15" s="399" t="s">
        <v>192</v>
      </c>
      <c r="K15" s="400"/>
      <c r="L15" s="400"/>
      <c r="M15" s="400"/>
      <c r="N15" s="400"/>
      <c r="O15" s="400"/>
      <c r="P15" s="400"/>
      <c r="Q15" s="400"/>
      <c r="R15" s="400"/>
      <c r="S15" s="400"/>
      <c r="T15" s="401"/>
      <c r="U15" s="396" t="s">
        <v>183</v>
      </c>
      <c r="V15" s="398"/>
      <c r="W15" s="395">
        <v>1327359</v>
      </c>
      <c r="X15" s="393"/>
      <c r="Y15" s="393"/>
      <c r="Z15" s="393"/>
      <c r="AA15" s="393"/>
      <c r="AB15" s="402" t="s">
        <v>183</v>
      </c>
      <c r="AC15" s="403"/>
      <c r="AD15" s="403"/>
      <c r="AE15" s="404"/>
      <c r="AF15" s="390">
        <v>1327359</v>
      </c>
      <c r="AG15" s="391"/>
      <c r="AH15" s="391"/>
      <c r="AI15" s="391"/>
      <c r="AJ15" s="392"/>
      <c r="AK15" s="393">
        <v>122200</v>
      </c>
      <c r="AL15" s="393"/>
      <c r="AM15" s="393"/>
      <c r="AN15" s="393"/>
      <c r="AO15" s="394"/>
      <c r="AP15" s="395">
        <v>1449559</v>
      </c>
      <c r="AQ15" s="393"/>
      <c r="AR15" s="393"/>
      <c r="AS15" s="393"/>
      <c r="AT15" s="394"/>
      <c r="BI15" s="62"/>
    </row>
    <row r="16" spans="1:63" ht="15" customHeight="1" x14ac:dyDescent="0.25">
      <c r="A16" s="35"/>
      <c r="C16" s="396">
        <v>7</v>
      </c>
      <c r="D16" s="397"/>
      <c r="E16" s="397"/>
      <c r="F16" s="398"/>
      <c r="G16" s="396" t="s">
        <v>193</v>
      </c>
      <c r="H16" s="397"/>
      <c r="I16" s="398"/>
      <c r="J16" s="399" t="s">
        <v>194</v>
      </c>
      <c r="K16" s="400"/>
      <c r="L16" s="400"/>
      <c r="M16" s="400"/>
      <c r="N16" s="400"/>
      <c r="O16" s="400"/>
      <c r="P16" s="400"/>
      <c r="Q16" s="400"/>
      <c r="R16" s="400"/>
      <c r="S16" s="400"/>
      <c r="T16" s="401"/>
      <c r="U16" s="396" t="s">
        <v>183</v>
      </c>
      <c r="V16" s="398"/>
      <c r="W16" s="395">
        <v>38000</v>
      </c>
      <c r="X16" s="393"/>
      <c r="Y16" s="393"/>
      <c r="Z16" s="393"/>
      <c r="AA16" s="393"/>
      <c r="AB16" s="402" t="s">
        <v>183</v>
      </c>
      <c r="AC16" s="403"/>
      <c r="AD16" s="403"/>
      <c r="AE16" s="404"/>
      <c r="AF16" s="390">
        <v>38000</v>
      </c>
      <c r="AG16" s="391"/>
      <c r="AH16" s="391"/>
      <c r="AI16" s="391"/>
      <c r="AJ16" s="392"/>
      <c r="AK16" s="393"/>
      <c r="AL16" s="393"/>
      <c r="AM16" s="393"/>
      <c r="AN16" s="393"/>
      <c r="AO16" s="394"/>
      <c r="AP16" s="395">
        <v>38000</v>
      </c>
      <c r="AQ16" s="393"/>
      <c r="AR16" s="393"/>
      <c r="AS16" s="393"/>
      <c r="AT16" s="394"/>
      <c r="BI16" s="62"/>
    </row>
    <row r="17" spans="1:61" ht="15" customHeight="1" x14ac:dyDescent="0.25">
      <c r="A17" s="35"/>
      <c r="C17" s="396">
        <v>8</v>
      </c>
      <c r="D17" s="397"/>
      <c r="E17" s="397"/>
      <c r="F17" s="398"/>
      <c r="G17" s="396" t="s">
        <v>195</v>
      </c>
      <c r="H17" s="397"/>
      <c r="I17" s="398"/>
      <c r="J17" s="399" t="s">
        <v>196</v>
      </c>
      <c r="K17" s="400"/>
      <c r="L17" s="400"/>
      <c r="M17" s="400"/>
      <c r="N17" s="400"/>
      <c r="O17" s="400"/>
      <c r="P17" s="400"/>
      <c r="Q17" s="400"/>
      <c r="R17" s="400"/>
      <c r="S17" s="400"/>
      <c r="T17" s="401"/>
      <c r="U17" s="396"/>
      <c r="V17" s="398"/>
      <c r="W17" s="395"/>
      <c r="X17" s="393"/>
      <c r="Y17" s="393"/>
      <c r="Z17" s="393"/>
      <c r="AA17" s="393"/>
      <c r="AB17" s="402"/>
      <c r="AC17" s="403"/>
      <c r="AD17" s="403"/>
      <c r="AE17" s="404"/>
      <c r="AF17" s="390">
        <v>0</v>
      </c>
      <c r="AG17" s="391"/>
      <c r="AH17" s="391"/>
      <c r="AI17" s="391"/>
      <c r="AJ17" s="392"/>
      <c r="AK17" s="393"/>
      <c r="AL17" s="393"/>
      <c r="AM17" s="393"/>
      <c r="AN17" s="393"/>
      <c r="AO17" s="394"/>
      <c r="AP17" s="395">
        <v>0</v>
      </c>
      <c r="AQ17" s="393"/>
      <c r="AR17" s="393"/>
      <c r="AS17" s="393"/>
      <c r="AT17" s="394"/>
      <c r="BI17" s="62"/>
    </row>
    <row r="18" spans="1:61" ht="15" customHeight="1" x14ac:dyDescent="0.25">
      <c r="A18" s="35"/>
      <c r="C18" s="396">
        <v>9</v>
      </c>
      <c r="D18" s="397"/>
      <c r="E18" s="397"/>
      <c r="F18" s="398"/>
      <c r="G18" s="396" t="s">
        <v>197</v>
      </c>
      <c r="H18" s="397"/>
      <c r="I18" s="398"/>
      <c r="J18" s="399" t="s">
        <v>198</v>
      </c>
      <c r="K18" s="400"/>
      <c r="L18" s="400"/>
      <c r="M18" s="400"/>
      <c r="N18" s="400"/>
      <c r="O18" s="400"/>
      <c r="P18" s="400"/>
      <c r="Q18" s="400"/>
      <c r="R18" s="400"/>
      <c r="S18" s="400"/>
      <c r="T18" s="401"/>
      <c r="U18" s="396"/>
      <c r="V18" s="398"/>
      <c r="W18" s="395"/>
      <c r="X18" s="393"/>
      <c r="Y18" s="393"/>
      <c r="Z18" s="393"/>
      <c r="AA18" s="393"/>
      <c r="AB18" s="402"/>
      <c r="AC18" s="403"/>
      <c r="AD18" s="403"/>
      <c r="AE18" s="404"/>
      <c r="AF18" s="390">
        <v>0</v>
      </c>
      <c r="AG18" s="391"/>
      <c r="AH18" s="391"/>
      <c r="AI18" s="391"/>
      <c r="AJ18" s="392"/>
      <c r="AK18" s="393"/>
      <c r="AL18" s="393"/>
      <c r="AM18" s="393"/>
      <c r="AN18" s="393"/>
      <c r="AO18" s="394"/>
      <c r="AP18" s="395">
        <v>0</v>
      </c>
      <c r="AQ18" s="393"/>
      <c r="AR18" s="393"/>
      <c r="AS18" s="393"/>
      <c r="AT18" s="394"/>
      <c r="BI18" s="62"/>
    </row>
    <row r="19" spans="1:61" ht="15" customHeight="1" x14ac:dyDescent="0.25">
      <c r="A19" s="35"/>
      <c r="C19" s="396">
        <v>10</v>
      </c>
      <c r="D19" s="397"/>
      <c r="E19" s="397"/>
      <c r="F19" s="398"/>
      <c r="G19" s="396" t="s">
        <v>199</v>
      </c>
      <c r="H19" s="397"/>
      <c r="I19" s="398"/>
      <c r="J19" s="399" t="s">
        <v>115</v>
      </c>
      <c r="K19" s="400"/>
      <c r="L19" s="400"/>
      <c r="M19" s="400"/>
      <c r="N19" s="400"/>
      <c r="O19" s="400"/>
      <c r="P19" s="400"/>
      <c r="Q19" s="400"/>
      <c r="R19" s="400"/>
      <c r="S19" s="400"/>
      <c r="T19" s="401"/>
      <c r="U19" s="396" t="s">
        <v>183</v>
      </c>
      <c r="V19" s="398"/>
      <c r="W19" s="395">
        <v>330</v>
      </c>
      <c r="X19" s="393"/>
      <c r="Y19" s="393"/>
      <c r="Z19" s="393"/>
      <c r="AA19" s="393"/>
      <c r="AB19" s="402" t="s">
        <v>183</v>
      </c>
      <c r="AC19" s="403"/>
      <c r="AD19" s="403"/>
      <c r="AE19" s="404"/>
      <c r="AF19" s="390">
        <v>330</v>
      </c>
      <c r="AG19" s="391"/>
      <c r="AH19" s="391"/>
      <c r="AI19" s="391"/>
      <c r="AJ19" s="392"/>
      <c r="AK19" s="393"/>
      <c r="AL19" s="393"/>
      <c r="AM19" s="393"/>
      <c r="AN19" s="393"/>
      <c r="AO19" s="394"/>
      <c r="AP19" s="395">
        <v>330</v>
      </c>
      <c r="AQ19" s="393"/>
      <c r="AR19" s="393"/>
      <c r="AS19" s="393"/>
      <c r="AT19" s="394"/>
      <c r="BI19" s="62"/>
    </row>
    <row r="20" spans="1:61" ht="15" customHeight="1" x14ac:dyDescent="0.25">
      <c r="A20" s="35"/>
      <c r="C20" s="396">
        <v>11</v>
      </c>
      <c r="D20" s="397"/>
      <c r="E20" s="397"/>
      <c r="F20" s="398"/>
      <c r="G20" s="396" t="s">
        <v>200</v>
      </c>
      <c r="H20" s="397"/>
      <c r="I20" s="398"/>
      <c r="J20" s="399" t="s">
        <v>201</v>
      </c>
      <c r="K20" s="400"/>
      <c r="L20" s="400"/>
      <c r="M20" s="400"/>
      <c r="N20" s="400"/>
      <c r="O20" s="400"/>
      <c r="P20" s="400"/>
      <c r="Q20" s="400"/>
      <c r="R20" s="400"/>
      <c r="S20" s="400"/>
      <c r="T20" s="401"/>
      <c r="U20" s="396"/>
      <c r="V20" s="398"/>
      <c r="W20" s="395"/>
      <c r="X20" s="393"/>
      <c r="Y20" s="393"/>
      <c r="Z20" s="393"/>
      <c r="AA20" s="393"/>
      <c r="AB20" s="402"/>
      <c r="AC20" s="403"/>
      <c r="AD20" s="403"/>
      <c r="AE20" s="404"/>
      <c r="AF20" s="390">
        <v>0</v>
      </c>
      <c r="AG20" s="391"/>
      <c r="AH20" s="391"/>
      <c r="AI20" s="391"/>
      <c r="AJ20" s="392"/>
      <c r="AK20" s="393"/>
      <c r="AL20" s="393"/>
      <c r="AM20" s="393"/>
      <c r="AN20" s="393"/>
      <c r="AO20" s="394"/>
      <c r="AP20" s="395">
        <v>0</v>
      </c>
      <c r="AQ20" s="393"/>
      <c r="AR20" s="393"/>
      <c r="AS20" s="393"/>
      <c r="AT20" s="394"/>
      <c r="BI20" s="62"/>
    </row>
    <row r="21" spans="1:61" ht="15" customHeight="1" x14ac:dyDescent="0.25">
      <c r="A21" s="35"/>
      <c r="C21" s="396">
        <v>13</v>
      </c>
      <c r="D21" s="397"/>
      <c r="E21" s="397"/>
      <c r="F21" s="398"/>
      <c r="G21" s="396" t="s">
        <v>202</v>
      </c>
      <c r="H21" s="397"/>
      <c r="I21" s="398"/>
      <c r="J21" s="399" t="s">
        <v>203</v>
      </c>
      <c r="K21" s="400"/>
      <c r="L21" s="400"/>
      <c r="M21" s="400"/>
      <c r="N21" s="400"/>
      <c r="O21" s="400"/>
      <c r="P21" s="400"/>
      <c r="Q21" s="400"/>
      <c r="R21" s="400"/>
      <c r="S21" s="400"/>
      <c r="T21" s="401"/>
      <c r="U21" s="396" t="s">
        <v>183</v>
      </c>
      <c r="V21" s="398"/>
      <c r="W21" s="395">
        <v>460368</v>
      </c>
      <c r="X21" s="393"/>
      <c r="Y21" s="393"/>
      <c r="Z21" s="393"/>
      <c r="AA21" s="393"/>
      <c r="AB21" s="402" t="s">
        <v>183</v>
      </c>
      <c r="AC21" s="403"/>
      <c r="AD21" s="403"/>
      <c r="AE21" s="404"/>
      <c r="AF21" s="390">
        <v>460368</v>
      </c>
      <c r="AG21" s="391"/>
      <c r="AH21" s="391"/>
      <c r="AI21" s="391"/>
      <c r="AJ21" s="392"/>
      <c r="AK21" s="393">
        <v>2965</v>
      </c>
      <c r="AL21" s="393"/>
      <c r="AM21" s="393"/>
      <c r="AN21" s="393"/>
      <c r="AO21" s="394"/>
      <c r="AP21" s="395">
        <v>463333</v>
      </c>
      <c r="AQ21" s="393"/>
      <c r="AR21" s="393"/>
      <c r="AS21" s="393"/>
      <c r="AT21" s="394"/>
      <c r="BI21" s="62"/>
    </row>
    <row r="22" spans="1:61" ht="15" customHeight="1" x14ac:dyDescent="0.25">
      <c r="A22" s="35"/>
      <c r="C22" s="396">
        <v>14</v>
      </c>
      <c r="D22" s="397"/>
      <c r="E22" s="397"/>
      <c r="F22" s="398"/>
      <c r="G22" s="396" t="s">
        <v>204</v>
      </c>
      <c r="H22" s="397"/>
      <c r="I22" s="398"/>
      <c r="J22" s="399" t="s">
        <v>205</v>
      </c>
      <c r="K22" s="400"/>
      <c r="L22" s="400"/>
      <c r="M22" s="400"/>
      <c r="N22" s="400"/>
      <c r="O22" s="400"/>
      <c r="P22" s="400"/>
      <c r="Q22" s="400"/>
      <c r="R22" s="400"/>
      <c r="S22" s="400"/>
      <c r="T22" s="401"/>
      <c r="U22" s="396" t="s">
        <v>183</v>
      </c>
      <c r="V22" s="398"/>
      <c r="W22" s="395">
        <v>54484</v>
      </c>
      <c r="X22" s="393"/>
      <c r="Y22" s="393"/>
      <c r="Z22" s="393"/>
      <c r="AA22" s="393"/>
      <c r="AB22" s="402" t="s">
        <v>183</v>
      </c>
      <c r="AC22" s="403"/>
      <c r="AD22" s="403"/>
      <c r="AE22" s="404"/>
      <c r="AF22" s="390">
        <v>54484</v>
      </c>
      <c r="AG22" s="391"/>
      <c r="AH22" s="391"/>
      <c r="AI22" s="391"/>
      <c r="AJ22" s="392"/>
      <c r="AK22" s="393">
        <v>46</v>
      </c>
      <c r="AL22" s="393"/>
      <c r="AM22" s="393"/>
      <c r="AN22" s="393"/>
      <c r="AO22" s="394"/>
      <c r="AP22" s="395">
        <v>54530</v>
      </c>
      <c r="AQ22" s="393"/>
      <c r="AR22" s="393"/>
      <c r="AS22" s="393"/>
      <c r="AT22" s="394"/>
      <c r="BI22" s="62"/>
    </row>
    <row r="23" spans="1:61" ht="15" customHeight="1" x14ac:dyDescent="0.25">
      <c r="A23" s="35"/>
      <c r="C23" s="396">
        <v>21</v>
      </c>
      <c r="D23" s="397"/>
      <c r="E23" s="397"/>
      <c r="F23" s="398"/>
      <c r="G23" s="396" t="s">
        <v>206</v>
      </c>
      <c r="H23" s="397"/>
      <c r="I23" s="398"/>
      <c r="J23" s="399" t="s">
        <v>207</v>
      </c>
      <c r="K23" s="400"/>
      <c r="L23" s="400"/>
      <c r="M23" s="400"/>
      <c r="N23" s="400"/>
      <c r="O23" s="400"/>
      <c r="P23" s="400"/>
      <c r="Q23" s="400"/>
      <c r="R23" s="400"/>
      <c r="S23" s="400"/>
      <c r="T23" s="401"/>
      <c r="U23" s="396"/>
      <c r="V23" s="398"/>
      <c r="W23" s="395"/>
      <c r="X23" s="393"/>
      <c r="Y23" s="393"/>
      <c r="Z23" s="393"/>
      <c r="AA23" s="393"/>
      <c r="AB23" s="402"/>
      <c r="AC23" s="403"/>
      <c r="AD23" s="403"/>
      <c r="AE23" s="404"/>
      <c r="AF23" s="390">
        <v>0</v>
      </c>
      <c r="AG23" s="391"/>
      <c r="AH23" s="391"/>
      <c r="AI23" s="391"/>
      <c r="AJ23" s="392"/>
      <c r="AK23" s="393"/>
      <c r="AL23" s="393"/>
      <c r="AM23" s="393"/>
      <c r="AN23" s="393"/>
      <c r="AO23" s="394"/>
      <c r="AP23" s="395">
        <v>0</v>
      </c>
      <c r="AQ23" s="393"/>
      <c r="AR23" s="393"/>
      <c r="AS23" s="393"/>
      <c r="AT23" s="394"/>
      <c r="BI23" s="62"/>
    </row>
    <row r="24" spans="1:61" ht="15" customHeight="1" x14ac:dyDescent="0.25">
      <c r="A24" s="35"/>
      <c r="C24" s="396">
        <v>22</v>
      </c>
      <c r="D24" s="397"/>
      <c r="E24" s="397"/>
      <c r="F24" s="398"/>
      <c r="G24" s="396" t="s">
        <v>208</v>
      </c>
      <c r="H24" s="397"/>
      <c r="I24" s="398"/>
      <c r="J24" s="399" t="s">
        <v>121</v>
      </c>
      <c r="K24" s="400"/>
      <c r="L24" s="400"/>
      <c r="M24" s="400"/>
      <c r="N24" s="400"/>
      <c r="O24" s="400"/>
      <c r="P24" s="400"/>
      <c r="Q24" s="400"/>
      <c r="R24" s="400"/>
      <c r="S24" s="400"/>
      <c r="T24" s="401"/>
      <c r="U24" s="396"/>
      <c r="V24" s="398"/>
      <c r="W24" s="395"/>
      <c r="X24" s="393"/>
      <c r="Y24" s="393"/>
      <c r="Z24" s="393"/>
      <c r="AA24" s="393"/>
      <c r="AB24" s="402"/>
      <c r="AC24" s="403"/>
      <c r="AD24" s="403"/>
      <c r="AE24" s="404"/>
      <c r="AF24" s="390">
        <v>0</v>
      </c>
      <c r="AG24" s="391"/>
      <c r="AH24" s="391"/>
      <c r="AI24" s="391"/>
      <c r="AJ24" s="392"/>
      <c r="AK24" s="393"/>
      <c r="AL24" s="393"/>
      <c r="AM24" s="393"/>
      <c r="AN24" s="393"/>
      <c r="AO24" s="394"/>
      <c r="AP24" s="395">
        <v>0</v>
      </c>
      <c r="AQ24" s="393"/>
      <c r="AR24" s="393"/>
      <c r="AS24" s="393"/>
      <c r="AT24" s="394"/>
      <c r="BI24" s="62"/>
    </row>
    <row r="25" spans="1:61" ht="15" customHeight="1" x14ac:dyDescent="0.25">
      <c r="A25" s="35"/>
      <c r="C25" s="396">
        <v>23</v>
      </c>
      <c r="D25" s="397"/>
      <c r="E25" s="397"/>
      <c r="F25" s="398"/>
      <c r="G25" s="396" t="s">
        <v>209</v>
      </c>
      <c r="H25" s="397"/>
      <c r="I25" s="398"/>
      <c r="J25" s="399" t="s">
        <v>210</v>
      </c>
      <c r="K25" s="400"/>
      <c r="L25" s="400"/>
      <c r="M25" s="400"/>
      <c r="N25" s="400"/>
      <c r="O25" s="400"/>
      <c r="P25" s="400"/>
      <c r="Q25" s="400"/>
      <c r="R25" s="400"/>
      <c r="S25" s="400"/>
      <c r="T25" s="401"/>
      <c r="U25" s="396" t="s">
        <v>183</v>
      </c>
      <c r="V25" s="398"/>
      <c r="W25" s="395">
        <v>48000</v>
      </c>
      <c r="X25" s="393"/>
      <c r="Y25" s="393"/>
      <c r="Z25" s="393"/>
      <c r="AA25" s="393"/>
      <c r="AB25" s="402" t="s">
        <v>211</v>
      </c>
      <c r="AC25" s="403"/>
      <c r="AD25" s="403"/>
      <c r="AE25" s="404"/>
      <c r="AF25" s="390">
        <v>-48000</v>
      </c>
      <c r="AG25" s="391"/>
      <c r="AH25" s="391"/>
      <c r="AI25" s="391"/>
      <c r="AJ25" s="392"/>
      <c r="AK25" s="393"/>
      <c r="AL25" s="393"/>
      <c r="AM25" s="393"/>
      <c r="AN25" s="393"/>
      <c r="AO25" s="394"/>
      <c r="AP25" s="395">
        <v>48000</v>
      </c>
      <c r="AQ25" s="393"/>
      <c r="AR25" s="393"/>
      <c r="AS25" s="393"/>
      <c r="AT25" s="394"/>
      <c r="BI25" s="62"/>
    </row>
    <row r="26" spans="1:61" ht="15" customHeight="1" x14ac:dyDescent="0.25">
      <c r="A26" s="35"/>
      <c r="C26" s="396">
        <v>24</v>
      </c>
      <c r="D26" s="397"/>
      <c r="E26" s="397"/>
      <c r="F26" s="398"/>
      <c r="G26" s="396" t="s">
        <v>212</v>
      </c>
      <c r="H26" s="397"/>
      <c r="I26" s="398"/>
      <c r="J26" s="399" t="s">
        <v>213</v>
      </c>
      <c r="K26" s="400"/>
      <c r="L26" s="400"/>
      <c r="M26" s="400"/>
      <c r="N26" s="400"/>
      <c r="O26" s="400"/>
      <c r="P26" s="400"/>
      <c r="Q26" s="400"/>
      <c r="R26" s="400"/>
      <c r="S26" s="400"/>
      <c r="T26" s="401"/>
      <c r="U26" s="396" t="s">
        <v>183</v>
      </c>
      <c r="V26" s="398"/>
      <c r="W26" s="395">
        <v>500</v>
      </c>
      <c r="X26" s="393"/>
      <c r="Y26" s="393"/>
      <c r="Z26" s="393"/>
      <c r="AA26" s="393"/>
      <c r="AB26" s="402" t="s">
        <v>211</v>
      </c>
      <c r="AC26" s="403"/>
      <c r="AD26" s="403"/>
      <c r="AE26" s="404"/>
      <c r="AF26" s="390">
        <v>-500</v>
      </c>
      <c r="AG26" s="391"/>
      <c r="AH26" s="391"/>
      <c r="AI26" s="391"/>
      <c r="AJ26" s="392"/>
      <c r="AK26" s="393"/>
      <c r="AL26" s="393"/>
      <c r="AM26" s="393"/>
      <c r="AN26" s="393"/>
      <c r="AO26" s="394"/>
      <c r="AP26" s="395">
        <v>500</v>
      </c>
      <c r="AQ26" s="393"/>
      <c r="AR26" s="393"/>
      <c r="AS26" s="393"/>
      <c r="AT26" s="394"/>
      <c r="BI26" s="62"/>
    </row>
    <row r="27" spans="1:61" ht="15" customHeight="1" x14ac:dyDescent="0.25">
      <c r="A27" s="35"/>
      <c r="C27" s="396">
        <v>25</v>
      </c>
      <c r="D27" s="397"/>
      <c r="E27" s="397"/>
      <c r="F27" s="398"/>
      <c r="G27" s="396" t="s">
        <v>214</v>
      </c>
      <c r="H27" s="397"/>
      <c r="I27" s="398"/>
      <c r="J27" s="399" t="s">
        <v>138</v>
      </c>
      <c r="K27" s="400"/>
      <c r="L27" s="400"/>
      <c r="M27" s="400"/>
      <c r="N27" s="400"/>
      <c r="O27" s="400"/>
      <c r="P27" s="400"/>
      <c r="Q27" s="400"/>
      <c r="R27" s="400"/>
      <c r="S27" s="400"/>
      <c r="T27" s="401"/>
      <c r="U27" s="396"/>
      <c r="V27" s="398"/>
      <c r="W27" s="395"/>
      <c r="X27" s="393"/>
      <c r="Y27" s="393"/>
      <c r="Z27" s="393"/>
      <c r="AA27" s="393"/>
      <c r="AB27" s="402"/>
      <c r="AC27" s="403"/>
      <c r="AD27" s="403"/>
      <c r="AE27" s="404"/>
      <c r="AF27" s="390">
        <v>0</v>
      </c>
      <c r="AG27" s="391"/>
      <c r="AH27" s="391"/>
      <c r="AI27" s="391"/>
      <c r="AJ27" s="392"/>
      <c r="AK27" s="393"/>
      <c r="AL27" s="393"/>
      <c r="AM27" s="393"/>
      <c r="AN27" s="393"/>
      <c r="AO27" s="394"/>
      <c r="AP27" s="395">
        <v>0</v>
      </c>
      <c r="AQ27" s="393"/>
      <c r="AR27" s="393"/>
      <c r="AS27" s="393"/>
      <c r="AT27" s="394"/>
      <c r="BI27" s="62"/>
    </row>
    <row r="28" spans="1:61" ht="15" customHeight="1" x14ac:dyDescent="0.25">
      <c r="A28" s="35"/>
      <c r="C28" s="396">
        <v>26</v>
      </c>
      <c r="D28" s="397"/>
      <c r="E28" s="397"/>
      <c r="F28" s="398"/>
      <c r="G28" s="396" t="s">
        <v>215</v>
      </c>
      <c r="H28" s="397"/>
      <c r="I28" s="398"/>
      <c r="J28" s="399" t="s">
        <v>216</v>
      </c>
      <c r="K28" s="400"/>
      <c r="L28" s="400"/>
      <c r="M28" s="400"/>
      <c r="N28" s="400"/>
      <c r="O28" s="400"/>
      <c r="P28" s="400"/>
      <c r="Q28" s="400"/>
      <c r="R28" s="400"/>
      <c r="S28" s="400"/>
      <c r="T28" s="401"/>
      <c r="U28" s="396" t="s">
        <v>183</v>
      </c>
      <c r="V28" s="398"/>
      <c r="W28" s="395">
        <v>100</v>
      </c>
      <c r="X28" s="393"/>
      <c r="Y28" s="393"/>
      <c r="Z28" s="393"/>
      <c r="AA28" s="393"/>
      <c r="AB28" s="402" t="s">
        <v>211</v>
      </c>
      <c r="AC28" s="403"/>
      <c r="AD28" s="403"/>
      <c r="AE28" s="404"/>
      <c r="AF28" s="390">
        <v>-100</v>
      </c>
      <c r="AG28" s="391"/>
      <c r="AH28" s="391"/>
      <c r="AI28" s="391"/>
      <c r="AJ28" s="392"/>
      <c r="AK28" s="393"/>
      <c r="AL28" s="393"/>
      <c r="AM28" s="393"/>
      <c r="AN28" s="393"/>
      <c r="AO28" s="394"/>
      <c r="AP28" s="395">
        <v>100</v>
      </c>
      <c r="AQ28" s="393"/>
      <c r="AR28" s="393"/>
      <c r="AS28" s="393"/>
      <c r="AT28" s="394"/>
      <c r="BI28" s="62"/>
    </row>
    <row r="29" spans="1:61" ht="15" customHeight="1" x14ac:dyDescent="0.25">
      <c r="A29" s="35"/>
      <c r="C29" s="396">
        <v>27</v>
      </c>
      <c r="D29" s="397"/>
      <c r="E29" s="397"/>
      <c r="F29" s="398"/>
      <c r="G29" s="396" t="s">
        <v>217</v>
      </c>
      <c r="H29" s="397"/>
      <c r="I29" s="398"/>
      <c r="J29" s="399" t="s">
        <v>218</v>
      </c>
      <c r="K29" s="400"/>
      <c r="L29" s="400"/>
      <c r="M29" s="400"/>
      <c r="N29" s="400"/>
      <c r="O29" s="400"/>
      <c r="P29" s="400"/>
      <c r="Q29" s="400"/>
      <c r="R29" s="400"/>
      <c r="S29" s="400"/>
      <c r="T29" s="401"/>
      <c r="U29" s="396" t="s">
        <v>183</v>
      </c>
      <c r="V29" s="398"/>
      <c r="W29" s="395">
        <v>4400</v>
      </c>
      <c r="X29" s="393"/>
      <c r="Y29" s="393"/>
      <c r="Z29" s="393"/>
      <c r="AA29" s="393"/>
      <c r="AB29" s="402" t="s">
        <v>211</v>
      </c>
      <c r="AC29" s="403"/>
      <c r="AD29" s="403"/>
      <c r="AE29" s="404"/>
      <c r="AF29" s="390">
        <v>-4400</v>
      </c>
      <c r="AG29" s="391"/>
      <c r="AH29" s="391"/>
      <c r="AI29" s="391"/>
      <c r="AJ29" s="392"/>
      <c r="AK29" s="393"/>
      <c r="AL29" s="393"/>
      <c r="AM29" s="393"/>
      <c r="AN29" s="393"/>
      <c r="AO29" s="394"/>
      <c r="AP29" s="395">
        <v>4400</v>
      </c>
      <c r="AQ29" s="393"/>
      <c r="AR29" s="393"/>
      <c r="AS29" s="393"/>
      <c r="AT29" s="394"/>
      <c r="BI29" s="62"/>
    </row>
    <row r="30" spans="1:61" ht="15" customHeight="1" x14ac:dyDescent="0.25">
      <c r="A30" s="35"/>
      <c r="C30" s="396">
        <v>30</v>
      </c>
      <c r="D30" s="397"/>
      <c r="E30" s="397"/>
      <c r="F30" s="398"/>
      <c r="G30" s="396" t="s">
        <v>219</v>
      </c>
      <c r="H30" s="397"/>
      <c r="I30" s="398"/>
      <c r="J30" s="399" t="s">
        <v>140</v>
      </c>
      <c r="K30" s="400"/>
      <c r="L30" s="400"/>
      <c r="M30" s="400"/>
      <c r="N30" s="400"/>
      <c r="O30" s="400"/>
      <c r="P30" s="400"/>
      <c r="Q30" s="400"/>
      <c r="R30" s="400"/>
      <c r="S30" s="400"/>
      <c r="T30" s="401"/>
      <c r="U30" s="396"/>
      <c r="V30" s="398"/>
      <c r="W30" s="395"/>
      <c r="X30" s="393"/>
      <c r="Y30" s="393"/>
      <c r="Z30" s="393"/>
      <c r="AA30" s="393"/>
      <c r="AB30" s="402"/>
      <c r="AC30" s="403"/>
      <c r="AD30" s="403"/>
      <c r="AE30" s="404"/>
      <c r="AF30" s="390">
        <v>0</v>
      </c>
      <c r="AG30" s="391"/>
      <c r="AH30" s="391"/>
      <c r="AI30" s="391"/>
      <c r="AJ30" s="392"/>
      <c r="AK30" s="393"/>
      <c r="AL30" s="393"/>
      <c r="AM30" s="393"/>
      <c r="AN30" s="393"/>
      <c r="AO30" s="394"/>
      <c r="AP30" s="395">
        <v>0</v>
      </c>
      <c r="AQ30" s="393"/>
      <c r="AR30" s="393"/>
      <c r="AS30" s="393"/>
      <c r="AT30" s="394"/>
      <c r="BI30" s="62"/>
    </row>
    <row r="31" spans="1:61" ht="15" customHeight="1" x14ac:dyDescent="0.25">
      <c r="A31" s="35"/>
      <c r="C31" s="396">
        <v>31</v>
      </c>
      <c r="D31" s="397"/>
      <c r="E31" s="397"/>
      <c r="F31" s="398"/>
      <c r="G31" s="396" t="s">
        <v>220</v>
      </c>
      <c r="H31" s="397"/>
      <c r="I31" s="398"/>
      <c r="J31" s="399" t="s">
        <v>221</v>
      </c>
      <c r="K31" s="400"/>
      <c r="L31" s="400"/>
      <c r="M31" s="400"/>
      <c r="N31" s="400"/>
      <c r="O31" s="400"/>
      <c r="P31" s="400"/>
      <c r="Q31" s="400"/>
      <c r="R31" s="400"/>
      <c r="S31" s="400"/>
      <c r="T31" s="401"/>
      <c r="U31" s="396" t="s">
        <v>183</v>
      </c>
      <c r="V31" s="398"/>
      <c r="W31" s="395">
        <v>702</v>
      </c>
      <c r="X31" s="393"/>
      <c r="Y31" s="393"/>
      <c r="Z31" s="393"/>
      <c r="AA31" s="393"/>
      <c r="AB31" s="402" t="s">
        <v>211</v>
      </c>
      <c r="AC31" s="403"/>
      <c r="AD31" s="403"/>
      <c r="AE31" s="404"/>
      <c r="AF31" s="390">
        <v>-702</v>
      </c>
      <c r="AG31" s="391"/>
      <c r="AH31" s="391"/>
      <c r="AI31" s="391"/>
      <c r="AJ31" s="392"/>
      <c r="AK31" s="393"/>
      <c r="AL31" s="393"/>
      <c r="AM31" s="393"/>
      <c r="AN31" s="393"/>
      <c r="AO31" s="394"/>
      <c r="AP31" s="395">
        <v>702</v>
      </c>
      <c r="AQ31" s="393"/>
      <c r="AR31" s="393"/>
      <c r="AS31" s="393"/>
      <c r="AT31" s="394"/>
      <c r="BI31" s="62"/>
    </row>
    <row r="32" spans="1:61" ht="15" customHeight="1" x14ac:dyDescent="0.25">
      <c r="A32" s="35"/>
      <c r="C32" s="396">
        <v>32</v>
      </c>
      <c r="D32" s="397"/>
      <c r="E32" s="397"/>
      <c r="F32" s="398"/>
      <c r="G32" s="396" t="s">
        <v>222</v>
      </c>
      <c r="H32" s="397"/>
      <c r="I32" s="398"/>
      <c r="J32" s="399" t="s">
        <v>223</v>
      </c>
      <c r="K32" s="400"/>
      <c r="L32" s="400"/>
      <c r="M32" s="400"/>
      <c r="N32" s="400"/>
      <c r="O32" s="400"/>
      <c r="P32" s="400"/>
      <c r="Q32" s="400"/>
      <c r="R32" s="400"/>
      <c r="S32" s="400"/>
      <c r="T32" s="401"/>
      <c r="U32" s="396" t="s">
        <v>183</v>
      </c>
      <c r="V32" s="398"/>
      <c r="W32" s="395">
        <v>99318</v>
      </c>
      <c r="X32" s="393"/>
      <c r="Y32" s="393"/>
      <c r="Z32" s="393"/>
      <c r="AA32" s="393"/>
      <c r="AB32" s="402" t="s">
        <v>211</v>
      </c>
      <c r="AC32" s="403"/>
      <c r="AD32" s="403"/>
      <c r="AE32" s="404"/>
      <c r="AF32" s="390">
        <v>-99318</v>
      </c>
      <c r="AG32" s="391"/>
      <c r="AH32" s="391"/>
      <c r="AI32" s="391"/>
      <c r="AJ32" s="392"/>
      <c r="AK32" s="393"/>
      <c r="AL32" s="393"/>
      <c r="AM32" s="393"/>
      <c r="AN32" s="393"/>
      <c r="AO32" s="394"/>
      <c r="AP32" s="395">
        <v>99318</v>
      </c>
      <c r="AQ32" s="393"/>
      <c r="AR32" s="393"/>
      <c r="AS32" s="393"/>
      <c r="AT32" s="394"/>
      <c r="BI32" s="62"/>
    </row>
    <row r="33" spans="1:61" ht="15" customHeight="1" x14ac:dyDescent="0.25">
      <c r="A33" s="35"/>
      <c r="C33" s="396">
        <v>35</v>
      </c>
      <c r="D33" s="397"/>
      <c r="E33" s="397"/>
      <c r="F33" s="398"/>
      <c r="G33" s="396" t="s">
        <v>224</v>
      </c>
      <c r="H33" s="397"/>
      <c r="I33" s="398"/>
      <c r="J33" s="399" t="s">
        <v>225</v>
      </c>
      <c r="K33" s="400"/>
      <c r="L33" s="400"/>
      <c r="M33" s="400"/>
      <c r="N33" s="400"/>
      <c r="O33" s="400"/>
      <c r="P33" s="400"/>
      <c r="Q33" s="400"/>
      <c r="R33" s="400"/>
      <c r="S33" s="400"/>
      <c r="T33" s="401"/>
      <c r="U33" s="396" t="s">
        <v>183</v>
      </c>
      <c r="V33" s="398"/>
      <c r="W33" s="395">
        <v>449581</v>
      </c>
      <c r="X33" s="393"/>
      <c r="Y33" s="393"/>
      <c r="Z33" s="393"/>
      <c r="AA33" s="393"/>
      <c r="AB33" s="402" t="s">
        <v>211</v>
      </c>
      <c r="AC33" s="403"/>
      <c r="AD33" s="403"/>
      <c r="AE33" s="404"/>
      <c r="AF33" s="390">
        <v>-449581</v>
      </c>
      <c r="AG33" s="391"/>
      <c r="AH33" s="391"/>
      <c r="AI33" s="391"/>
      <c r="AJ33" s="392"/>
      <c r="AK33" s="393"/>
      <c r="AL33" s="393"/>
      <c r="AM33" s="393"/>
      <c r="AN33" s="393"/>
      <c r="AO33" s="394"/>
      <c r="AP33" s="395">
        <v>449581</v>
      </c>
      <c r="AQ33" s="393"/>
      <c r="AR33" s="393"/>
      <c r="AS33" s="393"/>
      <c r="AT33" s="394"/>
      <c r="BI33" s="62"/>
    </row>
    <row r="34" spans="1:61" ht="15" customHeight="1" x14ac:dyDescent="0.25">
      <c r="A34" s="35"/>
      <c r="C34" s="396">
        <v>36</v>
      </c>
      <c r="D34" s="397"/>
      <c r="E34" s="397"/>
      <c r="F34" s="398"/>
      <c r="G34" s="396" t="s">
        <v>226</v>
      </c>
      <c r="H34" s="397"/>
      <c r="I34" s="398"/>
      <c r="J34" s="399" t="s">
        <v>227</v>
      </c>
      <c r="K34" s="400"/>
      <c r="L34" s="400"/>
      <c r="M34" s="400"/>
      <c r="N34" s="400"/>
      <c r="O34" s="400"/>
      <c r="P34" s="400"/>
      <c r="Q34" s="400"/>
      <c r="R34" s="400"/>
      <c r="S34" s="400"/>
      <c r="T34" s="401"/>
      <c r="U34" s="396" t="s">
        <v>183</v>
      </c>
      <c r="V34" s="398"/>
      <c r="W34" s="395">
        <v>111787</v>
      </c>
      <c r="X34" s="393"/>
      <c r="Y34" s="393"/>
      <c r="Z34" s="393"/>
      <c r="AA34" s="393"/>
      <c r="AB34" s="402" t="s">
        <v>211</v>
      </c>
      <c r="AC34" s="403"/>
      <c r="AD34" s="403"/>
      <c r="AE34" s="404"/>
      <c r="AF34" s="390">
        <v>-111787</v>
      </c>
      <c r="AG34" s="391"/>
      <c r="AH34" s="391"/>
      <c r="AI34" s="391"/>
      <c r="AJ34" s="392"/>
      <c r="AK34" s="393"/>
      <c r="AL34" s="393"/>
      <c r="AM34" s="393"/>
      <c r="AN34" s="393"/>
      <c r="AO34" s="394"/>
      <c r="AP34" s="395">
        <v>111787</v>
      </c>
      <c r="AQ34" s="393"/>
      <c r="AR34" s="393"/>
      <c r="AS34" s="393"/>
      <c r="AT34" s="394"/>
      <c r="BI34" s="62"/>
    </row>
    <row r="35" spans="1:61" ht="15" customHeight="1" x14ac:dyDescent="0.25">
      <c r="A35" s="35"/>
      <c r="C35" s="396">
        <v>37</v>
      </c>
      <c r="D35" s="397"/>
      <c r="E35" s="397"/>
      <c r="F35" s="398"/>
      <c r="G35" s="396" t="s">
        <v>228</v>
      </c>
      <c r="H35" s="397"/>
      <c r="I35" s="398"/>
      <c r="J35" s="399" t="s">
        <v>229</v>
      </c>
      <c r="K35" s="400"/>
      <c r="L35" s="400"/>
      <c r="M35" s="400"/>
      <c r="N35" s="400"/>
      <c r="O35" s="400"/>
      <c r="P35" s="400"/>
      <c r="Q35" s="400"/>
      <c r="R35" s="400"/>
      <c r="S35" s="400"/>
      <c r="T35" s="401"/>
      <c r="U35" s="396" t="s">
        <v>183</v>
      </c>
      <c r="V35" s="398"/>
      <c r="W35" s="395">
        <v>187595</v>
      </c>
      <c r="X35" s="393"/>
      <c r="Y35" s="393"/>
      <c r="Z35" s="393"/>
      <c r="AA35" s="393"/>
      <c r="AB35" s="402" t="s">
        <v>211</v>
      </c>
      <c r="AC35" s="403"/>
      <c r="AD35" s="403"/>
      <c r="AE35" s="404"/>
      <c r="AF35" s="390">
        <v>-187595</v>
      </c>
      <c r="AG35" s="391"/>
      <c r="AH35" s="391"/>
      <c r="AI35" s="391"/>
      <c r="AJ35" s="392"/>
      <c r="AK35" s="393"/>
      <c r="AL35" s="393"/>
      <c r="AM35" s="393"/>
      <c r="AN35" s="393"/>
      <c r="AO35" s="394"/>
      <c r="AP35" s="395">
        <v>187595</v>
      </c>
      <c r="AQ35" s="393"/>
      <c r="AR35" s="393"/>
      <c r="AS35" s="393"/>
      <c r="AT35" s="394"/>
      <c r="BI35" s="62"/>
    </row>
    <row r="36" spans="1:61" ht="15" customHeight="1" x14ac:dyDescent="0.25">
      <c r="A36" s="35"/>
      <c r="C36" s="396">
        <v>38</v>
      </c>
      <c r="D36" s="397"/>
      <c r="E36" s="397"/>
      <c r="F36" s="398"/>
      <c r="G36" s="396" t="s">
        <v>230</v>
      </c>
      <c r="H36" s="397"/>
      <c r="I36" s="398"/>
      <c r="J36" s="399" t="s">
        <v>231</v>
      </c>
      <c r="K36" s="400"/>
      <c r="L36" s="400"/>
      <c r="M36" s="400"/>
      <c r="N36" s="400"/>
      <c r="O36" s="400"/>
      <c r="P36" s="400"/>
      <c r="Q36" s="400"/>
      <c r="R36" s="400"/>
      <c r="S36" s="400"/>
      <c r="T36" s="401"/>
      <c r="U36" s="396"/>
      <c r="V36" s="398"/>
      <c r="W36" s="395"/>
      <c r="X36" s="393"/>
      <c r="Y36" s="393"/>
      <c r="Z36" s="393"/>
      <c r="AA36" s="393"/>
      <c r="AB36" s="402"/>
      <c r="AC36" s="403"/>
      <c r="AD36" s="403"/>
      <c r="AE36" s="404"/>
      <c r="AF36" s="390">
        <v>0</v>
      </c>
      <c r="AG36" s="391"/>
      <c r="AH36" s="391"/>
      <c r="AI36" s="391"/>
      <c r="AJ36" s="392"/>
      <c r="AK36" s="393"/>
      <c r="AL36" s="393"/>
      <c r="AM36" s="393"/>
      <c r="AN36" s="393"/>
      <c r="AO36" s="394"/>
      <c r="AP36" s="395">
        <v>0</v>
      </c>
      <c r="AQ36" s="393"/>
      <c r="AR36" s="393"/>
      <c r="AS36" s="393"/>
      <c r="AT36" s="394"/>
      <c r="BI36" s="62"/>
    </row>
    <row r="37" spans="1:61" ht="15" customHeight="1" x14ac:dyDescent="0.25">
      <c r="A37" s="35"/>
      <c r="C37" s="396">
        <v>40</v>
      </c>
      <c r="D37" s="397"/>
      <c r="E37" s="397"/>
      <c r="F37" s="398"/>
      <c r="G37" s="396" t="s">
        <v>232</v>
      </c>
      <c r="H37" s="397"/>
      <c r="I37" s="398"/>
      <c r="J37" s="399" t="s">
        <v>233</v>
      </c>
      <c r="K37" s="400"/>
      <c r="L37" s="400"/>
      <c r="M37" s="400"/>
      <c r="N37" s="400"/>
      <c r="O37" s="400"/>
      <c r="P37" s="400"/>
      <c r="Q37" s="400"/>
      <c r="R37" s="400"/>
      <c r="S37" s="400"/>
      <c r="T37" s="401"/>
      <c r="U37" s="396"/>
      <c r="V37" s="398"/>
      <c r="W37" s="395"/>
      <c r="X37" s="393"/>
      <c r="Y37" s="393"/>
      <c r="Z37" s="393"/>
      <c r="AA37" s="393"/>
      <c r="AB37" s="402"/>
      <c r="AC37" s="403"/>
      <c r="AD37" s="403"/>
      <c r="AE37" s="404"/>
      <c r="AF37" s="390">
        <v>0</v>
      </c>
      <c r="AG37" s="391"/>
      <c r="AH37" s="391"/>
      <c r="AI37" s="391"/>
      <c r="AJ37" s="392"/>
      <c r="AK37" s="393"/>
      <c r="AL37" s="393"/>
      <c r="AM37" s="393"/>
      <c r="AN37" s="393"/>
      <c r="AO37" s="394"/>
      <c r="AP37" s="395">
        <v>0</v>
      </c>
      <c r="AQ37" s="393"/>
      <c r="AR37" s="393"/>
      <c r="AS37" s="393"/>
      <c r="AT37" s="394"/>
      <c r="BI37" s="62"/>
    </row>
    <row r="38" spans="1:61" ht="15" customHeight="1" x14ac:dyDescent="0.25">
      <c r="A38" s="35"/>
      <c r="C38" s="396"/>
      <c r="D38" s="397"/>
      <c r="E38" s="397"/>
      <c r="F38" s="398"/>
      <c r="G38" s="396"/>
      <c r="H38" s="397"/>
      <c r="I38" s="398"/>
      <c r="J38" s="399" t="s">
        <v>160</v>
      </c>
      <c r="K38" s="400"/>
      <c r="L38" s="400"/>
      <c r="M38" s="400"/>
      <c r="N38" s="400"/>
      <c r="O38" s="400"/>
      <c r="P38" s="400"/>
      <c r="Q38" s="400"/>
      <c r="R38" s="400"/>
      <c r="S38" s="400"/>
      <c r="T38" s="401"/>
      <c r="U38" s="396"/>
      <c r="V38" s="398"/>
      <c r="W38" s="395"/>
      <c r="X38" s="393"/>
      <c r="Y38" s="393"/>
      <c r="Z38" s="393"/>
      <c r="AA38" s="393"/>
      <c r="AB38" s="402"/>
      <c r="AC38" s="403"/>
      <c r="AD38" s="403"/>
      <c r="AE38" s="404"/>
      <c r="AF38" s="390">
        <v>0</v>
      </c>
      <c r="AG38" s="391"/>
      <c r="AH38" s="391"/>
      <c r="AI38" s="391"/>
      <c r="AJ38" s="392"/>
      <c r="AK38" s="393"/>
      <c r="AL38" s="393"/>
      <c r="AM38" s="393"/>
      <c r="AN38" s="393"/>
      <c r="AO38" s="394"/>
      <c r="AP38" s="395">
        <v>0</v>
      </c>
      <c r="AQ38" s="393"/>
      <c r="AR38" s="393"/>
      <c r="AS38" s="393"/>
      <c r="AT38" s="394"/>
      <c r="BI38" s="62"/>
    </row>
    <row r="39" spans="1:61" ht="15" customHeight="1" x14ac:dyDescent="0.25">
      <c r="A39" s="35"/>
      <c r="C39" s="396">
        <v>41</v>
      </c>
      <c r="D39" s="397"/>
      <c r="E39" s="397"/>
      <c r="F39" s="398"/>
      <c r="G39" s="396" t="s">
        <v>234</v>
      </c>
      <c r="H39" s="397"/>
      <c r="I39" s="398"/>
      <c r="J39" s="399" t="s">
        <v>235</v>
      </c>
      <c r="K39" s="400"/>
      <c r="L39" s="400"/>
      <c r="M39" s="400"/>
      <c r="N39" s="400"/>
      <c r="O39" s="400"/>
      <c r="P39" s="400"/>
      <c r="Q39" s="400"/>
      <c r="R39" s="400"/>
      <c r="S39" s="400"/>
      <c r="T39" s="401"/>
      <c r="U39" s="396" t="s">
        <v>183</v>
      </c>
      <c r="V39" s="398"/>
      <c r="W39" s="395">
        <v>529686</v>
      </c>
      <c r="X39" s="393"/>
      <c r="Y39" s="393"/>
      <c r="Z39" s="393"/>
      <c r="AA39" s="393"/>
      <c r="AB39" s="402" t="s">
        <v>211</v>
      </c>
      <c r="AC39" s="403"/>
      <c r="AD39" s="403"/>
      <c r="AE39" s="404"/>
      <c r="AF39" s="390">
        <v>-529686</v>
      </c>
      <c r="AG39" s="391"/>
      <c r="AH39" s="391"/>
      <c r="AI39" s="391"/>
      <c r="AJ39" s="392"/>
      <c r="AK39" s="393"/>
      <c r="AL39" s="393"/>
      <c r="AM39" s="393"/>
      <c r="AN39" s="393"/>
      <c r="AO39" s="394"/>
      <c r="AP39" s="395">
        <v>529686</v>
      </c>
      <c r="AQ39" s="393"/>
      <c r="AR39" s="393"/>
      <c r="AS39" s="393"/>
      <c r="AT39" s="394"/>
      <c r="BI39" s="62"/>
    </row>
    <row r="40" spans="1:61" ht="15" customHeight="1" x14ac:dyDescent="0.25">
      <c r="A40" s="35"/>
      <c r="C40" s="396">
        <v>42</v>
      </c>
      <c r="D40" s="397"/>
      <c r="E40" s="397"/>
      <c r="F40" s="398"/>
      <c r="G40" s="396" t="s">
        <v>236</v>
      </c>
      <c r="H40" s="397"/>
      <c r="I40" s="398"/>
      <c r="J40" s="399" t="s">
        <v>237</v>
      </c>
      <c r="K40" s="400"/>
      <c r="L40" s="400"/>
      <c r="M40" s="400"/>
      <c r="N40" s="400"/>
      <c r="O40" s="400"/>
      <c r="P40" s="400"/>
      <c r="Q40" s="400"/>
      <c r="R40" s="400"/>
      <c r="S40" s="400"/>
      <c r="T40" s="401"/>
      <c r="U40" s="396" t="s">
        <v>183</v>
      </c>
      <c r="V40" s="398"/>
      <c r="W40" s="395">
        <v>1784090</v>
      </c>
      <c r="X40" s="393"/>
      <c r="Y40" s="393"/>
      <c r="Z40" s="393"/>
      <c r="AA40" s="393"/>
      <c r="AB40" s="402" t="s">
        <v>211</v>
      </c>
      <c r="AC40" s="403"/>
      <c r="AD40" s="403"/>
      <c r="AE40" s="404"/>
      <c r="AF40" s="390">
        <v>-1784090</v>
      </c>
      <c r="AG40" s="391"/>
      <c r="AH40" s="391"/>
      <c r="AI40" s="391"/>
      <c r="AJ40" s="392"/>
      <c r="AK40" s="393">
        <v>216</v>
      </c>
      <c r="AL40" s="393"/>
      <c r="AM40" s="393"/>
      <c r="AN40" s="393"/>
      <c r="AO40" s="394"/>
      <c r="AP40" s="395">
        <v>1784306</v>
      </c>
      <c r="AQ40" s="393"/>
      <c r="AR40" s="393"/>
      <c r="AS40" s="393"/>
      <c r="AT40" s="394"/>
      <c r="BI40" s="62"/>
    </row>
    <row r="41" spans="1:61" ht="15" customHeight="1" x14ac:dyDescent="0.25">
      <c r="A41" s="35"/>
      <c r="C41" s="396">
        <v>44</v>
      </c>
      <c r="D41" s="397"/>
      <c r="E41" s="397"/>
      <c r="F41" s="398"/>
      <c r="G41" s="396" t="s">
        <v>238</v>
      </c>
      <c r="H41" s="397"/>
      <c r="I41" s="398"/>
      <c r="J41" s="399" t="s">
        <v>239</v>
      </c>
      <c r="K41" s="400"/>
      <c r="L41" s="400"/>
      <c r="M41" s="400"/>
      <c r="N41" s="400"/>
      <c r="O41" s="400"/>
      <c r="P41" s="400"/>
      <c r="Q41" s="400"/>
      <c r="R41" s="400"/>
      <c r="S41" s="400"/>
      <c r="T41" s="401"/>
      <c r="U41" s="396" t="s">
        <v>183</v>
      </c>
      <c r="V41" s="398"/>
      <c r="W41" s="395">
        <v>427366</v>
      </c>
      <c r="X41" s="393"/>
      <c r="Y41" s="393"/>
      <c r="Z41" s="393"/>
      <c r="AA41" s="393"/>
      <c r="AB41" s="402" t="s">
        <v>211</v>
      </c>
      <c r="AC41" s="403"/>
      <c r="AD41" s="403"/>
      <c r="AE41" s="404"/>
      <c r="AF41" s="390">
        <v>-427366</v>
      </c>
      <c r="AG41" s="391"/>
      <c r="AH41" s="391"/>
      <c r="AI41" s="391"/>
      <c r="AJ41" s="392"/>
      <c r="AK41" s="393"/>
      <c r="AL41" s="393"/>
      <c r="AM41" s="393"/>
      <c r="AN41" s="393"/>
      <c r="AO41" s="394"/>
      <c r="AP41" s="395">
        <v>427366</v>
      </c>
      <c r="AQ41" s="393"/>
      <c r="AR41" s="393"/>
      <c r="AS41" s="393"/>
      <c r="AT41" s="394"/>
      <c r="BI41" s="62"/>
    </row>
    <row r="42" spans="1:61" ht="15" customHeight="1" x14ac:dyDescent="0.25">
      <c r="A42" s="35"/>
      <c r="C42" s="396">
        <v>46</v>
      </c>
      <c r="D42" s="397"/>
      <c r="E42" s="397"/>
      <c r="F42" s="398"/>
      <c r="G42" s="396" t="s">
        <v>240</v>
      </c>
      <c r="H42" s="397"/>
      <c r="I42" s="398"/>
      <c r="J42" s="399" t="s">
        <v>241</v>
      </c>
      <c r="K42" s="400"/>
      <c r="L42" s="400"/>
      <c r="M42" s="400"/>
      <c r="N42" s="400"/>
      <c r="O42" s="400"/>
      <c r="P42" s="400"/>
      <c r="Q42" s="400"/>
      <c r="R42" s="400"/>
      <c r="S42" s="400"/>
      <c r="T42" s="401"/>
      <c r="U42" s="396" t="s">
        <v>183</v>
      </c>
      <c r="V42" s="398"/>
      <c r="W42" s="395">
        <v>45104</v>
      </c>
      <c r="X42" s="393"/>
      <c r="Y42" s="393"/>
      <c r="Z42" s="393"/>
      <c r="AA42" s="393"/>
      <c r="AB42" s="402" t="s">
        <v>211</v>
      </c>
      <c r="AC42" s="403"/>
      <c r="AD42" s="403"/>
      <c r="AE42" s="404"/>
      <c r="AF42" s="390">
        <v>-45104</v>
      </c>
      <c r="AG42" s="391"/>
      <c r="AH42" s="391"/>
      <c r="AI42" s="391"/>
      <c r="AJ42" s="392"/>
      <c r="AK42" s="393"/>
      <c r="AL42" s="393"/>
      <c r="AM42" s="393"/>
      <c r="AN42" s="393"/>
      <c r="AO42" s="394"/>
      <c r="AP42" s="395">
        <v>45104</v>
      </c>
      <c r="AQ42" s="393"/>
      <c r="AR42" s="393"/>
      <c r="AS42" s="393"/>
      <c r="AT42" s="394"/>
      <c r="BI42" s="62"/>
    </row>
    <row r="43" spans="1:61" ht="15" customHeight="1" x14ac:dyDescent="0.25">
      <c r="A43" s="35"/>
      <c r="C43" s="396">
        <v>48</v>
      </c>
      <c r="D43" s="397"/>
      <c r="E43" s="397"/>
      <c r="F43" s="398"/>
      <c r="G43" s="396" t="s">
        <v>242</v>
      </c>
      <c r="H43" s="397"/>
      <c r="I43" s="398"/>
      <c r="J43" s="399" t="s">
        <v>243</v>
      </c>
      <c r="K43" s="400"/>
      <c r="L43" s="400"/>
      <c r="M43" s="400"/>
      <c r="N43" s="400"/>
      <c r="O43" s="400"/>
      <c r="P43" s="400"/>
      <c r="Q43" s="400"/>
      <c r="R43" s="400"/>
      <c r="S43" s="400"/>
      <c r="T43" s="401"/>
      <c r="U43" s="396" t="s">
        <v>183</v>
      </c>
      <c r="V43" s="398"/>
      <c r="W43" s="395">
        <v>374562</v>
      </c>
      <c r="X43" s="393"/>
      <c r="Y43" s="393"/>
      <c r="Z43" s="393"/>
      <c r="AA43" s="393"/>
      <c r="AB43" s="402" t="s">
        <v>211</v>
      </c>
      <c r="AC43" s="403"/>
      <c r="AD43" s="403"/>
      <c r="AE43" s="404"/>
      <c r="AF43" s="390">
        <v>-374562</v>
      </c>
      <c r="AG43" s="391"/>
      <c r="AH43" s="391"/>
      <c r="AI43" s="391"/>
      <c r="AJ43" s="392"/>
      <c r="AK43" s="393">
        <v>1909</v>
      </c>
      <c r="AL43" s="393"/>
      <c r="AM43" s="393"/>
      <c r="AN43" s="393"/>
      <c r="AO43" s="394"/>
      <c r="AP43" s="395">
        <v>376471</v>
      </c>
      <c r="AQ43" s="393"/>
      <c r="AR43" s="393"/>
      <c r="AS43" s="393"/>
      <c r="AT43" s="394"/>
      <c r="BI43" s="62"/>
    </row>
    <row r="44" spans="1:61" ht="15" customHeight="1" x14ac:dyDescent="0.25">
      <c r="A44" s="35"/>
      <c r="C44" s="396">
        <v>49</v>
      </c>
      <c r="D44" s="397"/>
      <c r="E44" s="397"/>
      <c r="F44" s="398"/>
      <c r="G44" s="396" t="s">
        <v>244</v>
      </c>
      <c r="H44" s="397"/>
      <c r="I44" s="398"/>
      <c r="J44" s="399" t="s">
        <v>245</v>
      </c>
      <c r="K44" s="400"/>
      <c r="L44" s="400"/>
      <c r="M44" s="400"/>
      <c r="N44" s="400"/>
      <c r="O44" s="400"/>
      <c r="P44" s="400"/>
      <c r="Q44" s="400"/>
      <c r="R44" s="400"/>
      <c r="S44" s="400"/>
      <c r="T44" s="401"/>
      <c r="U44" s="396"/>
      <c r="V44" s="398"/>
      <c r="W44" s="395"/>
      <c r="X44" s="393"/>
      <c r="Y44" s="393"/>
      <c r="Z44" s="393"/>
      <c r="AA44" s="393"/>
      <c r="AB44" s="402"/>
      <c r="AC44" s="403"/>
      <c r="AD44" s="403"/>
      <c r="AE44" s="404"/>
      <c r="AF44" s="390"/>
      <c r="AG44" s="391"/>
      <c r="AH44" s="391"/>
      <c r="AI44" s="391"/>
      <c r="AJ44" s="392"/>
      <c r="AK44" s="393"/>
      <c r="AL44" s="393"/>
      <c r="AM44" s="393"/>
      <c r="AN44" s="393"/>
      <c r="AO44" s="394"/>
      <c r="AP44" s="395">
        <v>0</v>
      </c>
      <c r="AQ44" s="393"/>
      <c r="AR44" s="393"/>
      <c r="AS44" s="393"/>
      <c r="AT44" s="394"/>
      <c r="BI44" s="62"/>
    </row>
    <row r="45" spans="1:61" ht="15" customHeight="1" x14ac:dyDescent="0.25">
      <c r="A45" s="35"/>
      <c r="C45" s="396">
        <v>50</v>
      </c>
      <c r="D45" s="397"/>
      <c r="E45" s="397"/>
      <c r="F45" s="398"/>
      <c r="G45" s="396" t="s">
        <v>246</v>
      </c>
      <c r="H45" s="397"/>
      <c r="I45" s="398"/>
      <c r="J45" s="399" t="s">
        <v>247</v>
      </c>
      <c r="K45" s="400"/>
      <c r="L45" s="400"/>
      <c r="M45" s="400"/>
      <c r="N45" s="400"/>
      <c r="O45" s="400"/>
      <c r="P45" s="400"/>
      <c r="Q45" s="400"/>
      <c r="R45" s="400"/>
      <c r="S45" s="400"/>
      <c r="T45" s="401"/>
      <c r="U45" s="396" t="s">
        <v>183</v>
      </c>
      <c r="V45" s="398"/>
      <c r="W45" s="395">
        <v>4353064</v>
      </c>
      <c r="X45" s="393"/>
      <c r="Y45" s="393"/>
      <c r="Z45" s="393"/>
      <c r="AA45" s="393"/>
      <c r="AB45" s="402"/>
      <c r="AC45" s="403"/>
      <c r="AD45" s="403"/>
      <c r="AE45" s="404"/>
      <c r="AF45" s="390">
        <v>4353064</v>
      </c>
      <c r="AG45" s="391"/>
      <c r="AH45" s="391"/>
      <c r="AI45" s="391"/>
      <c r="AJ45" s="392"/>
      <c r="AK45" s="393">
        <v>160766</v>
      </c>
      <c r="AL45" s="393"/>
      <c r="AM45" s="393"/>
      <c r="AN45" s="393"/>
      <c r="AO45" s="394"/>
      <c r="AP45" s="395">
        <v>4513830</v>
      </c>
      <c r="AQ45" s="393"/>
      <c r="AR45" s="393"/>
      <c r="AS45" s="393"/>
      <c r="AT45" s="394"/>
      <c r="BI45" s="62"/>
    </row>
    <row r="46" spans="1:61" ht="15" customHeight="1" x14ac:dyDescent="0.25">
      <c r="A46" s="35"/>
      <c r="C46" s="396">
        <v>51</v>
      </c>
      <c r="D46" s="397"/>
      <c r="E46" s="397"/>
      <c r="F46" s="398"/>
      <c r="G46" s="396" t="s">
        <v>248</v>
      </c>
      <c r="H46" s="397"/>
      <c r="I46" s="398"/>
      <c r="J46" s="399" t="s">
        <v>249</v>
      </c>
      <c r="K46" s="400"/>
      <c r="L46" s="400"/>
      <c r="M46" s="400"/>
      <c r="N46" s="400"/>
      <c r="O46" s="400"/>
      <c r="P46" s="400"/>
      <c r="Q46" s="400"/>
      <c r="R46" s="400"/>
      <c r="S46" s="400"/>
      <c r="T46" s="401"/>
      <c r="U46" s="396" t="s">
        <v>183</v>
      </c>
      <c r="V46" s="398"/>
      <c r="W46" s="395">
        <v>4353064</v>
      </c>
      <c r="X46" s="393"/>
      <c r="Y46" s="393"/>
      <c r="Z46" s="393"/>
      <c r="AA46" s="393"/>
      <c r="AB46" s="402"/>
      <c r="AC46" s="403"/>
      <c r="AD46" s="403"/>
      <c r="AE46" s="404"/>
      <c r="AF46" s="390"/>
      <c r="AG46" s="391"/>
      <c r="AH46" s="391"/>
      <c r="AI46" s="391"/>
      <c r="AJ46" s="392"/>
      <c r="AK46" s="393">
        <v>160766</v>
      </c>
      <c r="AL46" s="393"/>
      <c r="AM46" s="393"/>
      <c r="AN46" s="393"/>
      <c r="AO46" s="394"/>
      <c r="AP46" s="395">
        <v>4513830</v>
      </c>
      <c r="AQ46" s="393"/>
      <c r="AR46" s="393"/>
      <c r="AS46" s="393"/>
      <c r="AT46" s="394"/>
      <c r="BI46" s="62"/>
    </row>
    <row r="47" spans="1:61" ht="15" customHeight="1" x14ac:dyDescent="0.25">
      <c r="A47" s="35"/>
      <c r="C47" s="396">
        <v>76</v>
      </c>
      <c r="D47" s="397"/>
      <c r="E47" s="397"/>
      <c r="F47" s="398"/>
      <c r="G47" s="396" t="s">
        <v>250</v>
      </c>
      <c r="H47" s="397"/>
      <c r="I47" s="398"/>
      <c r="J47" s="399" t="s">
        <v>251</v>
      </c>
      <c r="K47" s="400"/>
      <c r="L47" s="400"/>
      <c r="M47" s="400"/>
      <c r="N47" s="400"/>
      <c r="O47" s="400"/>
      <c r="P47" s="400"/>
      <c r="Q47" s="400"/>
      <c r="R47" s="400"/>
      <c r="S47" s="400"/>
      <c r="T47" s="401"/>
      <c r="U47" s="396"/>
      <c r="V47" s="398"/>
      <c r="W47" s="395"/>
      <c r="X47" s="393"/>
      <c r="Y47" s="393"/>
      <c r="Z47" s="393"/>
      <c r="AA47" s="393"/>
      <c r="AB47" s="402"/>
      <c r="AC47" s="403"/>
      <c r="AD47" s="403"/>
      <c r="AE47" s="404"/>
      <c r="AF47" s="390"/>
      <c r="AG47" s="391"/>
      <c r="AH47" s="391"/>
      <c r="AI47" s="391"/>
      <c r="AJ47" s="392"/>
      <c r="AK47" s="393"/>
      <c r="AL47" s="393"/>
      <c r="AM47" s="393"/>
      <c r="AN47" s="393"/>
      <c r="AO47" s="394"/>
      <c r="AP47" s="395"/>
      <c r="AQ47" s="393"/>
      <c r="AR47" s="393"/>
      <c r="AS47" s="393"/>
      <c r="AT47" s="394"/>
      <c r="BI47" s="62"/>
    </row>
    <row r="48" spans="1:61" ht="15" customHeight="1" x14ac:dyDescent="0.25">
      <c r="A48" s="35"/>
      <c r="C48" s="396">
        <v>78</v>
      </c>
      <c r="D48" s="397"/>
      <c r="E48" s="397"/>
      <c r="F48" s="398"/>
      <c r="G48" s="396" t="s">
        <v>252</v>
      </c>
      <c r="H48" s="397"/>
      <c r="I48" s="398"/>
      <c r="J48" s="399" t="s">
        <v>253</v>
      </c>
      <c r="K48" s="400"/>
      <c r="L48" s="400"/>
      <c r="M48" s="400"/>
      <c r="N48" s="400"/>
      <c r="O48" s="400"/>
      <c r="P48" s="400"/>
      <c r="Q48" s="400"/>
      <c r="R48" s="400"/>
      <c r="S48" s="400"/>
      <c r="T48" s="401"/>
      <c r="U48" s="396"/>
      <c r="V48" s="398"/>
      <c r="W48" s="395"/>
      <c r="X48" s="393"/>
      <c r="Y48" s="393"/>
      <c r="Z48" s="393"/>
      <c r="AA48" s="393"/>
      <c r="AB48" s="402"/>
      <c r="AC48" s="403"/>
      <c r="AD48" s="403"/>
      <c r="AE48" s="404"/>
      <c r="AF48" s="390"/>
      <c r="AG48" s="391"/>
      <c r="AH48" s="391"/>
      <c r="AI48" s="391"/>
      <c r="AJ48" s="392"/>
      <c r="AK48" s="393"/>
      <c r="AL48" s="393"/>
      <c r="AM48" s="393"/>
      <c r="AN48" s="393"/>
      <c r="AO48" s="394"/>
      <c r="AP48" s="395"/>
      <c r="AQ48" s="393"/>
      <c r="AR48" s="393"/>
      <c r="AS48" s="393"/>
      <c r="AT48" s="394"/>
      <c r="BI48" s="62"/>
    </row>
    <row r="49" spans="1:63" ht="15" customHeight="1" x14ac:dyDescent="0.25">
      <c r="A49" s="35"/>
      <c r="C49" s="396">
        <v>80</v>
      </c>
      <c r="D49" s="397"/>
      <c r="E49" s="397"/>
      <c r="F49" s="398"/>
      <c r="G49" s="396" t="s">
        <v>254</v>
      </c>
      <c r="H49" s="397"/>
      <c r="I49" s="398"/>
      <c r="J49" s="399" t="s">
        <v>255</v>
      </c>
      <c r="K49" s="400"/>
      <c r="L49" s="400"/>
      <c r="M49" s="400"/>
      <c r="N49" s="400"/>
      <c r="O49" s="400"/>
      <c r="P49" s="400"/>
      <c r="Q49" s="400"/>
      <c r="R49" s="400"/>
      <c r="S49" s="400"/>
      <c r="T49" s="401"/>
      <c r="U49" s="396"/>
      <c r="V49" s="398"/>
      <c r="W49" s="395"/>
      <c r="X49" s="393"/>
      <c r="Y49" s="393"/>
      <c r="Z49" s="393"/>
      <c r="AA49" s="393"/>
      <c r="AB49" s="402"/>
      <c r="AC49" s="403"/>
      <c r="AD49" s="403"/>
      <c r="AE49" s="404"/>
      <c r="AF49" s="390"/>
      <c r="AG49" s="391"/>
      <c r="AH49" s="391"/>
      <c r="AI49" s="391"/>
      <c r="AJ49" s="392"/>
      <c r="AK49" s="393"/>
      <c r="AL49" s="393"/>
      <c r="AM49" s="393"/>
      <c r="AN49" s="393"/>
      <c r="AO49" s="394"/>
      <c r="AP49" s="395"/>
      <c r="AQ49" s="393"/>
      <c r="AR49" s="393"/>
      <c r="AS49" s="393"/>
      <c r="AT49" s="394"/>
      <c r="BI49" s="62"/>
    </row>
    <row r="50" spans="1:63" ht="15" customHeight="1" x14ac:dyDescent="0.25">
      <c r="A50" s="35"/>
      <c r="C50" s="396">
        <v>91</v>
      </c>
      <c r="D50" s="397"/>
      <c r="E50" s="397"/>
      <c r="F50" s="398"/>
      <c r="G50" s="396" t="s">
        <v>256</v>
      </c>
      <c r="H50" s="397"/>
      <c r="I50" s="398"/>
      <c r="J50" s="399" t="s">
        <v>257</v>
      </c>
      <c r="K50" s="400"/>
      <c r="L50" s="400"/>
      <c r="M50" s="400"/>
      <c r="N50" s="400"/>
      <c r="O50" s="400"/>
      <c r="P50" s="400"/>
      <c r="Q50" s="400"/>
      <c r="R50" s="400"/>
      <c r="S50" s="400"/>
      <c r="T50" s="401"/>
      <c r="U50" s="396"/>
      <c r="V50" s="398"/>
      <c r="W50" s="395"/>
      <c r="X50" s="393"/>
      <c r="Y50" s="393"/>
      <c r="Z50" s="393"/>
      <c r="AA50" s="393"/>
      <c r="AB50" s="402"/>
      <c r="AC50" s="403"/>
      <c r="AD50" s="403"/>
      <c r="AE50" s="404"/>
      <c r="AF50" s="390"/>
      <c r="AG50" s="391"/>
      <c r="AH50" s="391"/>
      <c r="AI50" s="391"/>
      <c r="AJ50" s="392"/>
      <c r="AK50" s="393"/>
      <c r="AL50" s="393"/>
      <c r="AM50" s="393"/>
      <c r="AN50" s="393"/>
      <c r="AO50" s="394"/>
      <c r="AP50" s="395"/>
      <c r="AQ50" s="393"/>
      <c r="AR50" s="393"/>
      <c r="AS50" s="393"/>
      <c r="AT50" s="394"/>
      <c r="BI50" s="62"/>
    </row>
    <row r="51" spans="1:63" ht="15" customHeight="1" x14ac:dyDescent="0.25">
      <c r="A51" s="35"/>
      <c r="C51" s="396"/>
      <c r="D51" s="397"/>
      <c r="E51" s="397"/>
      <c r="F51" s="398"/>
      <c r="G51" s="396"/>
      <c r="H51" s="397"/>
      <c r="I51" s="398"/>
      <c r="J51" s="399"/>
      <c r="K51" s="400"/>
      <c r="L51" s="400"/>
      <c r="M51" s="400"/>
      <c r="N51" s="400"/>
      <c r="O51" s="400"/>
      <c r="P51" s="400"/>
      <c r="Q51" s="400"/>
      <c r="R51" s="400"/>
      <c r="S51" s="400"/>
      <c r="T51" s="401"/>
      <c r="U51" s="396"/>
      <c r="V51" s="398"/>
      <c r="W51" s="395"/>
      <c r="X51" s="393"/>
      <c r="Y51" s="393"/>
      <c r="Z51" s="393"/>
      <c r="AA51" s="393"/>
      <c r="AB51" s="402"/>
      <c r="AC51" s="403"/>
      <c r="AD51" s="403"/>
      <c r="AE51" s="404"/>
      <c r="AF51" s="390"/>
      <c r="AG51" s="391"/>
      <c r="AH51" s="391"/>
      <c r="AI51" s="391"/>
      <c r="AJ51" s="392"/>
      <c r="AK51" s="393"/>
      <c r="AL51" s="393"/>
      <c r="AM51" s="393"/>
      <c r="AN51" s="393"/>
      <c r="AO51" s="394"/>
      <c r="AP51" s="395"/>
      <c r="AQ51" s="393"/>
      <c r="AR51" s="393"/>
      <c r="AS51" s="393"/>
      <c r="AT51" s="394"/>
      <c r="BI51" s="62"/>
    </row>
    <row r="52" spans="1:63" ht="15" customHeight="1" x14ac:dyDescent="0.25">
      <c r="A52" s="35"/>
      <c r="C52" s="396"/>
      <c r="D52" s="397"/>
      <c r="E52" s="397"/>
      <c r="F52" s="398"/>
      <c r="G52" s="396"/>
      <c r="H52" s="397"/>
      <c r="I52" s="398"/>
      <c r="J52" s="399"/>
      <c r="K52" s="400"/>
      <c r="L52" s="400"/>
      <c r="M52" s="400"/>
      <c r="N52" s="400"/>
      <c r="O52" s="400"/>
      <c r="P52" s="400"/>
      <c r="Q52" s="400"/>
      <c r="R52" s="400"/>
      <c r="S52" s="400"/>
      <c r="T52" s="401"/>
      <c r="U52" s="396"/>
      <c r="V52" s="398"/>
      <c r="W52" s="395"/>
      <c r="X52" s="393"/>
      <c r="Y52" s="393"/>
      <c r="Z52" s="393"/>
      <c r="AA52" s="393"/>
      <c r="AB52" s="402"/>
      <c r="AC52" s="403"/>
      <c r="AD52" s="403"/>
      <c r="AE52" s="404"/>
      <c r="AF52" s="390"/>
      <c r="AG52" s="391"/>
      <c r="AH52" s="391"/>
      <c r="AI52" s="391"/>
      <c r="AJ52" s="392"/>
      <c r="AK52" s="393"/>
      <c r="AL52" s="393"/>
      <c r="AM52" s="393"/>
      <c r="AN52" s="393"/>
      <c r="AO52" s="394"/>
      <c r="AP52" s="395"/>
      <c r="AQ52" s="393"/>
      <c r="AR52" s="393"/>
      <c r="AS52" s="393"/>
      <c r="AT52" s="394"/>
      <c r="BI52" s="62"/>
    </row>
    <row r="53" spans="1:63" ht="15" customHeight="1" x14ac:dyDescent="0.25">
      <c r="A53" s="35"/>
      <c r="C53" s="396"/>
      <c r="D53" s="397"/>
      <c r="E53" s="397"/>
      <c r="F53" s="398"/>
      <c r="G53" s="396"/>
      <c r="H53" s="397"/>
      <c r="I53" s="398"/>
      <c r="J53" s="399"/>
      <c r="K53" s="400"/>
      <c r="L53" s="400"/>
      <c r="M53" s="400"/>
      <c r="N53" s="400"/>
      <c r="O53" s="400"/>
      <c r="P53" s="400"/>
      <c r="Q53" s="400"/>
      <c r="R53" s="400"/>
      <c r="S53" s="400"/>
      <c r="T53" s="401"/>
      <c r="U53" s="396"/>
      <c r="V53" s="398"/>
      <c r="W53" s="395"/>
      <c r="X53" s="393"/>
      <c r="Y53" s="393"/>
      <c r="Z53" s="393"/>
      <c r="AA53" s="393"/>
      <c r="AB53" s="402"/>
      <c r="AC53" s="403"/>
      <c r="AD53" s="403"/>
      <c r="AE53" s="404"/>
      <c r="AF53" s="390"/>
      <c r="AG53" s="391"/>
      <c r="AH53" s="391"/>
      <c r="AI53" s="391"/>
      <c r="AJ53" s="392"/>
      <c r="AK53" s="393"/>
      <c r="AL53" s="393"/>
      <c r="AM53" s="393"/>
      <c r="AN53" s="393"/>
      <c r="AO53" s="394"/>
      <c r="AP53" s="395"/>
      <c r="AQ53" s="393"/>
      <c r="AR53" s="393"/>
      <c r="AS53" s="393"/>
      <c r="AT53" s="394"/>
      <c r="BI53" s="62"/>
    </row>
    <row r="54" spans="1:63" ht="15" customHeight="1" thickBot="1" x14ac:dyDescent="0.3">
      <c r="A54" s="35"/>
      <c r="C54" s="396"/>
      <c r="D54" s="397"/>
      <c r="E54" s="397"/>
      <c r="F54" s="398"/>
      <c r="G54" s="396"/>
      <c r="H54" s="397"/>
      <c r="I54" s="398"/>
      <c r="J54" s="399"/>
      <c r="K54" s="400"/>
      <c r="L54" s="400"/>
      <c r="M54" s="400"/>
      <c r="N54" s="400"/>
      <c r="O54" s="400"/>
      <c r="P54" s="400"/>
      <c r="Q54" s="400"/>
      <c r="R54" s="400"/>
      <c r="S54" s="400"/>
      <c r="T54" s="401"/>
      <c r="U54" s="396"/>
      <c r="V54" s="398"/>
      <c r="W54" s="395"/>
      <c r="X54" s="393"/>
      <c r="Y54" s="393"/>
      <c r="Z54" s="393"/>
      <c r="AA54" s="393"/>
      <c r="AB54" s="405"/>
      <c r="AC54" s="406"/>
      <c r="AD54" s="406"/>
      <c r="AE54" s="407"/>
      <c r="AF54" s="408"/>
      <c r="AG54" s="409"/>
      <c r="AH54" s="409"/>
      <c r="AI54" s="409"/>
      <c r="AJ54" s="410"/>
      <c r="AK54" s="393"/>
      <c r="AL54" s="393"/>
      <c r="AM54" s="393"/>
      <c r="AN54" s="393"/>
      <c r="AO54" s="394"/>
      <c r="AP54" s="395"/>
      <c r="AQ54" s="393"/>
      <c r="AR54" s="393"/>
      <c r="AS54" s="393"/>
      <c r="AT54" s="394"/>
      <c r="BI54" s="62"/>
    </row>
    <row r="55" spans="1:63" ht="15" customHeight="1" x14ac:dyDescent="0.25">
      <c r="A55" s="35"/>
      <c r="C55" s="60"/>
      <c r="U55" s="60"/>
      <c r="AD55" s="60"/>
      <c r="AM55" s="60"/>
      <c r="BI55" s="62"/>
    </row>
    <row r="56" spans="1:63" ht="15" customHeight="1" x14ac:dyDescent="0.25">
      <c r="A56" s="32"/>
      <c r="B56" s="76"/>
      <c r="C56" s="33"/>
      <c r="D56" s="33"/>
      <c r="E56" s="33"/>
      <c r="F56" s="33"/>
      <c r="G56" s="33"/>
      <c r="H56" s="33"/>
      <c r="I56" s="33"/>
      <c r="J56" s="33"/>
      <c r="K56" s="33"/>
      <c r="L56" s="33"/>
      <c r="M56" s="33"/>
      <c r="N56" s="33"/>
      <c r="O56" s="33"/>
      <c r="P56" s="33"/>
      <c r="Q56" s="33"/>
      <c r="R56" s="33"/>
      <c r="S56" s="33"/>
      <c r="T56" s="33"/>
      <c r="U56" s="76"/>
      <c r="V56" s="33"/>
      <c r="W56" s="33"/>
      <c r="X56" s="33"/>
      <c r="Y56" s="33"/>
      <c r="Z56" s="33"/>
      <c r="AA56" s="33"/>
      <c r="AB56" s="33"/>
      <c r="AC56" s="33"/>
      <c r="AD56" s="76"/>
      <c r="AE56" s="33"/>
      <c r="AF56" s="33"/>
      <c r="AG56" s="33"/>
      <c r="AH56" s="33"/>
      <c r="AI56" s="33"/>
      <c r="AJ56" s="33"/>
      <c r="AK56" s="33"/>
      <c r="AL56" s="33"/>
      <c r="AM56" s="76"/>
      <c r="AN56" s="33"/>
      <c r="AO56" s="33"/>
      <c r="AP56" s="33"/>
      <c r="AQ56" s="33"/>
      <c r="AR56" s="33"/>
      <c r="AS56" s="33"/>
      <c r="AT56" s="33"/>
      <c r="AU56" s="33"/>
      <c r="AV56" s="33"/>
      <c r="AW56" s="33"/>
      <c r="AX56" s="33"/>
      <c r="AY56" s="33"/>
      <c r="AZ56" s="33"/>
      <c r="BA56" s="33"/>
      <c r="BB56" s="33"/>
      <c r="BC56" s="33"/>
      <c r="BD56" s="33"/>
      <c r="BE56" s="33"/>
      <c r="BF56" s="33"/>
      <c r="BG56" s="33"/>
      <c r="BH56" s="33"/>
      <c r="BI56" s="77"/>
      <c r="BJ56" s="33"/>
      <c r="BK56" s="34"/>
    </row>
  </sheetData>
  <mergeCells count="43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B9:AE9"/>
    <mergeCell ref="AF9:AJ9"/>
    <mergeCell ref="AK9:AO9"/>
    <mergeCell ref="AP9:AT9"/>
    <mergeCell ref="J9:T9"/>
    <mergeCell ref="A4:G4"/>
    <mergeCell ref="H4:T4"/>
    <mergeCell ref="U4:Y4"/>
    <mergeCell ref="Z4:AO4"/>
    <mergeCell ref="AP4:BK4"/>
    <mergeCell ref="C9:F9"/>
    <mergeCell ref="G9:I9"/>
    <mergeCell ref="U9:V9"/>
    <mergeCell ref="W9:AA9"/>
    <mergeCell ref="AF10:AJ10"/>
    <mergeCell ref="AK10:AO10"/>
    <mergeCell ref="AP10:AT10"/>
    <mergeCell ref="C11:F11"/>
    <mergeCell ref="G11:I11"/>
    <mergeCell ref="J11:T11"/>
    <mergeCell ref="U11:V11"/>
    <mergeCell ref="W11:AA11"/>
    <mergeCell ref="AB11:AE11"/>
    <mergeCell ref="AF11:AJ11"/>
    <mergeCell ref="C10:F10"/>
    <mergeCell ref="G10:I10"/>
    <mergeCell ref="J10:T10"/>
    <mergeCell ref="U10:V10"/>
    <mergeCell ref="W10:AA10"/>
    <mergeCell ref="AB10:AE10"/>
    <mergeCell ref="AK11:AO11"/>
    <mergeCell ref="AP11:AT11"/>
    <mergeCell ref="C12:F12"/>
    <mergeCell ref="G12:I12"/>
    <mergeCell ref="J12:T12"/>
    <mergeCell ref="U12:V12"/>
    <mergeCell ref="W12:AA12"/>
    <mergeCell ref="AB12:AE12"/>
    <mergeCell ref="AF12:AJ12"/>
    <mergeCell ref="AK12:AO12"/>
    <mergeCell ref="AP12:AT12"/>
    <mergeCell ref="C13:F13"/>
    <mergeCell ref="G13:I13"/>
    <mergeCell ref="J13:T13"/>
    <mergeCell ref="U13:V13"/>
    <mergeCell ref="W13:AA13"/>
    <mergeCell ref="AB13:AE13"/>
    <mergeCell ref="AF13:AJ13"/>
    <mergeCell ref="AK13:AO13"/>
    <mergeCell ref="AP13:AT13"/>
    <mergeCell ref="AF14:AJ14"/>
    <mergeCell ref="AK14:AO14"/>
    <mergeCell ref="AP14:AT14"/>
    <mergeCell ref="C15:F15"/>
    <mergeCell ref="G15:I15"/>
    <mergeCell ref="J15:T15"/>
    <mergeCell ref="U15:V15"/>
    <mergeCell ref="W15:AA15"/>
    <mergeCell ref="AB15:AE15"/>
    <mergeCell ref="AF15:AJ15"/>
    <mergeCell ref="C14:F14"/>
    <mergeCell ref="G14:I14"/>
    <mergeCell ref="J14:T14"/>
    <mergeCell ref="U14:V14"/>
    <mergeCell ref="W14:AA14"/>
    <mergeCell ref="AB14:AE14"/>
    <mergeCell ref="AK15:AO15"/>
    <mergeCell ref="AP15:AT15"/>
    <mergeCell ref="C16:F16"/>
    <mergeCell ref="G16:I16"/>
    <mergeCell ref="J16:T16"/>
    <mergeCell ref="U16:V16"/>
    <mergeCell ref="W16:AA16"/>
    <mergeCell ref="AB16:AE16"/>
    <mergeCell ref="AF16:AJ16"/>
    <mergeCell ref="AK16:AO16"/>
    <mergeCell ref="AP16:AT16"/>
    <mergeCell ref="C17:F17"/>
    <mergeCell ref="G17:I17"/>
    <mergeCell ref="J17:T17"/>
    <mergeCell ref="U17:V17"/>
    <mergeCell ref="W17:AA17"/>
    <mergeCell ref="AB17:AE17"/>
    <mergeCell ref="AF17:AJ17"/>
    <mergeCell ref="AK17:AO17"/>
    <mergeCell ref="AP17:AT17"/>
    <mergeCell ref="AF18:AJ18"/>
    <mergeCell ref="AK18:AO18"/>
    <mergeCell ref="AP18:AT18"/>
    <mergeCell ref="C19:F19"/>
    <mergeCell ref="G19:I19"/>
    <mergeCell ref="J19:T19"/>
    <mergeCell ref="U19:V19"/>
    <mergeCell ref="W19:AA19"/>
    <mergeCell ref="AB19:AE19"/>
    <mergeCell ref="AF19:AJ19"/>
    <mergeCell ref="C18:F18"/>
    <mergeCell ref="G18:I18"/>
    <mergeCell ref="J18:T18"/>
    <mergeCell ref="U18:V18"/>
    <mergeCell ref="W18:AA18"/>
    <mergeCell ref="AB18:AE18"/>
    <mergeCell ref="AK19:AO19"/>
    <mergeCell ref="AP19:AT19"/>
    <mergeCell ref="C20:F20"/>
    <mergeCell ref="G20:I20"/>
    <mergeCell ref="J20:T20"/>
    <mergeCell ref="U20:V20"/>
    <mergeCell ref="W20:AA20"/>
    <mergeCell ref="AB20:AE20"/>
    <mergeCell ref="AF20:AJ20"/>
    <mergeCell ref="AK20:AO20"/>
    <mergeCell ref="AP20:AT20"/>
    <mergeCell ref="C21:F21"/>
    <mergeCell ref="G21:I21"/>
    <mergeCell ref="J21:T21"/>
    <mergeCell ref="U21:V21"/>
    <mergeCell ref="W21:AA21"/>
    <mergeCell ref="AB21:AE21"/>
    <mergeCell ref="AF21:AJ21"/>
    <mergeCell ref="AK21:AO21"/>
    <mergeCell ref="AP21:AT21"/>
    <mergeCell ref="AF22:AJ22"/>
    <mergeCell ref="AK22:AO22"/>
    <mergeCell ref="AP22:AT22"/>
    <mergeCell ref="C23:F23"/>
    <mergeCell ref="G23:I23"/>
    <mergeCell ref="J23:T23"/>
    <mergeCell ref="U23:V23"/>
    <mergeCell ref="W23:AA23"/>
    <mergeCell ref="AB23:AE23"/>
    <mergeCell ref="AF23:AJ23"/>
    <mergeCell ref="C22:F22"/>
    <mergeCell ref="G22:I22"/>
    <mergeCell ref="J22:T22"/>
    <mergeCell ref="U22:V22"/>
    <mergeCell ref="W22:AA22"/>
    <mergeCell ref="AB22:AE22"/>
    <mergeCell ref="AK23:AO23"/>
    <mergeCell ref="AP23:AT23"/>
    <mergeCell ref="C24:F24"/>
    <mergeCell ref="G24:I24"/>
    <mergeCell ref="J24:T24"/>
    <mergeCell ref="U24:V24"/>
    <mergeCell ref="W24:AA24"/>
    <mergeCell ref="AB24:AE24"/>
    <mergeCell ref="AF24:AJ24"/>
    <mergeCell ref="AK24:AO24"/>
    <mergeCell ref="AP24:AT24"/>
    <mergeCell ref="C25:F25"/>
    <mergeCell ref="G25:I25"/>
    <mergeCell ref="J25:T25"/>
    <mergeCell ref="U25:V25"/>
    <mergeCell ref="W25:AA25"/>
    <mergeCell ref="AB25:AE25"/>
    <mergeCell ref="AF25:AJ25"/>
    <mergeCell ref="AK25:AO25"/>
    <mergeCell ref="AP25:AT25"/>
    <mergeCell ref="AF26:AJ26"/>
    <mergeCell ref="AK26:AO26"/>
    <mergeCell ref="AP26:AT26"/>
    <mergeCell ref="C27:F27"/>
    <mergeCell ref="G27:I27"/>
    <mergeCell ref="J27:T27"/>
    <mergeCell ref="U27:V27"/>
    <mergeCell ref="W27:AA27"/>
    <mergeCell ref="AB27:AE27"/>
    <mergeCell ref="AF27:AJ27"/>
    <mergeCell ref="C26:F26"/>
    <mergeCell ref="G26:I26"/>
    <mergeCell ref="J26:T26"/>
    <mergeCell ref="U26:V26"/>
    <mergeCell ref="W26:AA26"/>
    <mergeCell ref="AB26:AE26"/>
    <mergeCell ref="AK27:AO27"/>
    <mergeCell ref="AP27:AT27"/>
    <mergeCell ref="C28:F28"/>
    <mergeCell ref="G28:I28"/>
    <mergeCell ref="J28:T28"/>
    <mergeCell ref="U28:V28"/>
    <mergeCell ref="W28:AA28"/>
    <mergeCell ref="AB28:AE28"/>
    <mergeCell ref="AF28:AJ28"/>
    <mergeCell ref="AK28:AO28"/>
    <mergeCell ref="AP28:AT28"/>
    <mergeCell ref="C29:F29"/>
    <mergeCell ref="G29:I29"/>
    <mergeCell ref="J29:T29"/>
    <mergeCell ref="U29:V29"/>
    <mergeCell ref="W29:AA29"/>
    <mergeCell ref="AB29:AE29"/>
    <mergeCell ref="AF29:AJ29"/>
    <mergeCell ref="AK29:AO29"/>
    <mergeCell ref="AP29:AT29"/>
    <mergeCell ref="AF30:AJ30"/>
    <mergeCell ref="AK30:AO30"/>
    <mergeCell ref="AP30:AT30"/>
    <mergeCell ref="C31:F31"/>
    <mergeCell ref="G31:I31"/>
    <mergeCell ref="J31:T31"/>
    <mergeCell ref="U31:V31"/>
    <mergeCell ref="W31:AA31"/>
    <mergeCell ref="AB31:AE31"/>
    <mergeCell ref="AF31:AJ31"/>
    <mergeCell ref="C30:F30"/>
    <mergeCell ref="G30:I30"/>
    <mergeCell ref="J30:T30"/>
    <mergeCell ref="U30:V30"/>
    <mergeCell ref="W30:AA30"/>
    <mergeCell ref="AB30:AE30"/>
    <mergeCell ref="AK31:AO31"/>
    <mergeCell ref="AP31:AT31"/>
    <mergeCell ref="C32:F32"/>
    <mergeCell ref="G32:I32"/>
    <mergeCell ref="J32:T32"/>
    <mergeCell ref="U32:V32"/>
    <mergeCell ref="W32:AA32"/>
    <mergeCell ref="AB32:AE32"/>
    <mergeCell ref="AF32:AJ32"/>
    <mergeCell ref="AK32:AO32"/>
    <mergeCell ref="AP32:AT32"/>
    <mergeCell ref="C33:F33"/>
    <mergeCell ref="G33:I33"/>
    <mergeCell ref="J33:T33"/>
    <mergeCell ref="U33:V33"/>
    <mergeCell ref="W33:AA33"/>
    <mergeCell ref="AB33:AE33"/>
    <mergeCell ref="AF33:AJ33"/>
    <mergeCell ref="AK33:AO33"/>
    <mergeCell ref="AP33:AT33"/>
    <mergeCell ref="AF34:AJ34"/>
    <mergeCell ref="AK34:AO34"/>
    <mergeCell ref="AP34:AT34"/>
    <mergeCell ref="C35:F35"/>
    <mergeCell ref="G35:I35"/>
    <mergeCell ref="J35:T35"/>
    <mergeCell ref="U35:V35"/>
    <mergeCell ref="W35:AA35"/>
    <mergeCell ref="AB35:AE35"/>
    <mergeCell ref="AF35:AJ35"/>
    <mergeCell ref="C34:F34"/>
    <mergeCell ref="G34:I34"/>
    <mergeCell ref="J34:T34"/>
    <mergeCell ref="U34:V34"/>
    <mergeCell ref="W34:AA34"/>
    <mergeCell ref="AB34:AE34"/>
    <mergeCell ref="AK35:AO35"/>
    <mergeCell ref="AP35:AT35"/>
    <mergeCell ref="C36:F36"/>
    <mergeCell ref="G36:I36"/>
    <mergeCell ref="J36:T36"/>
    <mergeCell ref="U36:V36"/>
    <mergeCell ref="W36:AA36"/>
    <mergeCell ref="AB36:AE36"/>
    <mergeCell ref="AF36:AJ36"/>
    <mergeCell ref="AK36:AO36"/>
    <mergeCell ref="AP36:AT36"/>
    <mergeCell ref="C37:F37"/>
    <mergeCell ref="G37:I37"/>
    <mergeCell ref="J37:T37"/>
    <mergeCell ref="U37:V37"/>
    <mergeCell ref="W37:AA37"/>
    <mergeCell ref="AB37:AE37"/>
    <mergeCell ref="AF37:AJ37"/>
    <mergeCell ref="AK37:AO37"/>
    <mergeCell ref="AP37:AT37"/>
    <mergeCell ref="AF39:AJ39"/>
    <mergeCell ref="AK39:AO39"/>
    <mergeCell ref="AP39:AT39"/>
    <mergeCell ref="C40:F40"/>
    <mergeCell ref="G40:I40"/>
    <mergeCell ref="J40:T40"/>
    <mergeCell ref="U40:V40"/>
    <mergeCell ref="W40:AA40"/>
    <mergeCell ref="AB40:AE40"/>
    <mergeCell ref="AF40:AJ40"/>
    <mergeCell ref="C39:F39"/>
    <mergeCell ref="G39:I39"/>
    <mergeCell ref="J39:T39"/>
    <mergeCell ref="U39:V39"/>
    <mergeCell ref="W39:AA39"/>
    <mergeCell ref="AB39:AE39"/>
    <mergeCell ref="AK40:AO40"/>
    <mergeCell ref="AP40:AT40"/>
    <mergeCell ref="C41:F41"/>
    <mergeCell ref="G41:I41"/>
    <mergeCell ref="J41:T41"/>
    <mergeCell ref="U41:V41"/>
    <mergeCell ref="W41:AA41"/>
    <mergeCell ref="AB41:AE41"/>
    <mergeCell ref="AF41:AJ41"/>
    <mergeCell ref="AK41:AO41"/>
    <mergeCell ref="AP41:AT41"/>
    <mergeCell ref="C42:F42"/>
    <mergeCell ref="G42:I42"/>
    <mergeCell ref="J42:T42"/>
    <mergeCell ref="U42:V42"/>
    <mergeCell ref="W42:AA42"/>
    <mergeCell ref="AB42:AE42"/>
    <mergeCell ref="AF42:AJ42"/>
    <mergeCell ref="AK42:AO42"/>
    <mergeCell ref="AP42:AT42"/>
    <mergeCell ref="AF43:AJ43"/>
    <mergeCell ref="AK43:AO43"/>
    <mergeCell ref="AP43:AT43"/>
    <mergeCell ref="C44:F44"/>
    <mergeCell ref="G44:I44"/>
    <mergeCell ref="J44:T44"/>
    <mergeCell ref="U44:V44"/>
    <mergeCell ref="W44:AA44"/>
    <mergeCell ref="AB44:AE44"/>
    <mergeCell ref="AF44:AJ44"/>
    <mergeCell ref="C43:F43"/>
    <mergeCell ref="G43:I43"/>
    <mergeCell ref="J43:T43"/>
    <mergeCell ref="U43:V43"/>
    <mergeCell ref="W43:AA43"/>
    <mergeCell ref="AB43:AE43"/>
    <mergeCell ref="AK44:AO44"/>
    <mergeCell ref="AP44:AT44"/>
    <mergeCell ref="C45:F45"/>
    <mergeCell ref="G45:I45"/>
    <mergeCell ref="J45:T45"/>
    <mergeCell ref="U45:V45"/>
    <mergeCell ref="W45:AA45"/>
    <mergeCell ref="AB45:AE45"/>
    <mergeCell ref="AF45:AJ45"/>
    <mergeCell ref="AK45:AO45"/>
    <mergeCell ref="AP45:AT45"/>
    <mergeCell ref="C46:F46"/>
    <mergeCell ref="G46:I46"/>
    <mergeCell ref="J46:T46"/>
    <mergeCell ref="U46:V46"/>
    <mergeCell ref="W46:AA46"/>
    <mergeCell ref="AB46:AE46"/>
    <mergeCell ref="AF46:AJ46"/>
    <mergeCell ref="AK46:AO46"/>
    <mergeCell ref="AP46:AT46"/>
    <mergeCell ref="AF47:AJ47"/>
    <mergeCell ref="AK47:AO47"/>
    <mergeCell ref="AP47:AT47"/>
    <mergeCell ref="C48:F48"/>
    <mergeCell ref="G48:I48"/>
    <mergeCell ref="J48:T48"/>
    <mergeCell ref="U48:V48"/>
    <mergeCell ref="W48:AA48"/>
    <mergeCell ref="AB48:AE48"/>
    <mergeCell ref="AF48:AJ48"/>
    <mergeCell ref="C47:F47"/>
    <mergeCell ref="G47:I47"/>
    <mergeCell ref="J47:T47"/>
    <mergeCell ref="U47:V47"/>
    <mergeCell ref="W47:AA47"/>
    <mergeCell ref="AB47:AE47"/>
    <mergeCell ref="AK48:AO48"/>
    <mergeCell ref="AP48:AT48"/>
    <mergeCell ref="C49:F49"/>
    <mergeCell ref="G49:I49"/>
    <mergeCell ref="J49:T49"/>
    <mergeCell ref="U49:V49"/>
    <mergeCell ref="W49:AA49"/>
    <mergeCell ref="AB49:AE49"/>
    <mergeCell ref="AF49:AJ49"/>
    <mergeCell ref="AK49:AO49"/>
    <mergeCell ref="AP49:AT49"/>
    <mergeCell ref="C50:F50"/>
    <mergeCell ref="G50:I50"/>
    <mergeCell ref="J50:T50"/>
    <mergeCell ref="U50:V50"/>
    <mergeCell ref="W50:AA50"/>
    <mergeCell ref="AB50:AE50"/>
    <mergeCell ref="AF50:AJ50"/>
    <mergeCell ref="AK50:AO50"/>
    <mergeCell ref="AP50:AT50"/>
    <mergeCell ref="AF51:AJ51"/>
    <mergeCell ref="AK51:AO51"/>
    <mergeCell ref="AP51:AT51"/>
    <mergeCell ref="C52:F52"/>
    <mergeCell ref="G52:I52"/>
    <mergeCell ref="J52:T52"/>
    <mergeCell ref="U52:V52"/>
    <mergeCell ref="W52:AA52"/>
    <mergeCell ref="AB52:AE52"/>
    <mergeCell ref="AF52:AJ52"/>
    <mergeCell ref="C51:F51"/>
    <mergeCell ref="G51:I51"/>
    <mergeCell ref="J51:T51"/>
    <mergeCell ref="U51:V51"/>
    <mergeCell ref="W51:AA51"/>
    <mergeCell ref="AB51:AE51"/>
    <mergeCell ref="AK52:AO52"/>
    <mergeCell ref="AP52:AT52"/>
    <mergeCell ref="C53:F53"/>
    <mergeCell ref="G53:I53"/>
    <mergeCell ref="J53:T53"/>
    <mergeCell ref="U53:V53"/>
    <mergeCell ref="W53:AA53"/>
    <mergeCell ref="AB53:AE53"/>
    <mergeCell ref="AF53:AJ53"/>
    <mergeCell ref="AK53:AO53"/>
    <mergeCell ref="AP53:AT53"/>
    <mergeCell ref="C54:F54"/>
    <mergeCell ref="G54:I54"/>
    <mergeCell ref="J54:T54"/>
    <mergeCell ref="U54:V54"/>
    <mergeCell ref="W54:AA54"/>
    <mergeCell ref="AB54:AE54"/>
    <mergeCell ref="AF54:AJ54"/>
    <mergeCell ref="AK54:AO54"/>
    <mergeCell ref="AP54:AT54"/>
    <mergeCell ref="AF38:AJ38"/>
    <mergeCell ref="AK38:AO38"/>
    <mergeCell ref="AP38:AT38"/>
    <mergeCell ref="C38:F38"/>
    <mergeCell ref="G38:I38"/>
    <mergeCell ref="J38:T38"/>
    <mergeCell ref="U38:V38"/>
    <mergeCell ref="W38:AA38"/>
    <mergeCell ref="AB38:AE38"/>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1" customWidth="1"/>
    <col min="61" max="16384" width="2.77734375" style="31"/>
  </cols>
  <sheetData>
    <row r="1" spans="1:63" ht="24.95" customHeight="1" x14ac:dyDescent="0.25">
      <c r="A1" s="231" t="s">
        <v>0</v>
      </c>
      <c r="B1" s="232"/>
      <c r="C1" s="232"/>
      <c r="D1" s="232"/>
      <c r="E1" s="232"/>
      <c r="F1" s="232"/>
      <c r="G1" s="232"/>
      <c r="H1" s="232"/>
      <c r="I1" s="232"/>
      <c r="J1" s="233"/>
      <c r="K1" s="231" t="s">
        <v>1</v>
      </c>
      <c r="L1" s="232"/>
      <c r="M1" s="232"/>
      <c r="N1" s="232"/>
      <c r="O1" s="232"/>
      <c r="P1" s="232"/>
      <c r="Q1" s="232"/>
      <c r="R1" s="232"/>
      <c r="S1" s="232"/>
      <c r="T1" s="232"/>
      <c r="U1" s="232"/>
      <c r="V1" s="233"/>
      <c r="W1" s="244" t="str">
        <f>IF(表紙!W1="","",表紙!W1)</f>
        <v>基本設計書</v>
      </c>
      <c r="X1" s="245"/>
      <c r="Y1" s="245"/>
      <c r="Z1" s="245"/>
      <c r="AA1" s="245"/>
      <c r="AB1" s="245"/>
      <c r="AC1" s="245"/>
      <c r="AD1" s="245"/>
      <c r="AE1" s="245"/>
      <c r="AF1" s="245"/>
      <c r="AG1" s="245"/>
      <c r="AH1" s="245"/>
      <c r="AI1" s="245"/>
      <c r="AJ1" s="245"/>
      <c r="AK1" s="245"/>
      <c r="AL1" s="245"/>
      <c r="AM1" s="245"/>
      <c r="AN1" s="245"/>
      <c r="AO1" s="246"/>
      <c r="AP1" s="92" t="s">
        <v>3</v>
      </c>
      <c r="AQ1" s="93"/>
      <c r="AR1" s="93"/>
      <c r="AS1" s="94"/>
      <c r="AT1" s="92" t="s">
        <v>4</v>
      </c>
      <c r="AU1" s="93"/>
      <c r="AV1" s="93"/>
      <c r="AW1" s="93"/>
      <c r="AX1" s="94"/>
      <c r="AY1" s="92" t="s">
        <v>5</v>
      </c>
      <c r="AZ1" s="93"/>
      <c r="BA1" s="93"/>
      <c r="BB1" s="94"/>
      <c r="BC1" s="92" t="s">
        <v>6</v>
      </c>
      <c r="BD1" s="93"/>
      <c r="BE1" s="93"/>
      <c r="BF1" s="93"/>
      <c r="BG1" s="94"/>
      <c r="BH1" s="92" t="s">
        <v>7</v>
      </c>
      <c r="BI1" s="93"/>
      <c r="BJ1" s="93"/>
      <c r="BK1" s="94"/>
    </row>
    <row r="2" spans="1:63" ht="15" customHeight="1" x14ac:dyDescent="0.25">
      <c r="A2" s="238" t="str">
        <f>IF(表紙!A2="","",表紙!A2)</f>
        <v>POSサーバー</v>
      </c>
      <c r="B2" s="239"/>
      <c r="C2" s="239"/>
      <c r="D2" s="239"/>
      <c r="E2" s="239"/>
      <c r="F2" s="239"/>
      <c r="G2" s="239"/>
      <c r="H2" s="239"/>
      <c r="I2" s="239"/>
      <c r="J2" s="240"/>
      <c r="K2" s="238" t="str">
        <f>IF(表紙!K2="","",表紙!K2)</f>
        <v>POSサーバー</v>
      </c>
      <c r="L2" s="239"/>
      <c r="M2" s="239"/>
      <c r="N2" s="239"/>
      <c r="O2" s="239"/>
      <c r="P2" s="239"/>
      <c r="Q2" s="239"/>
      <c r="R2" s="239"/>
      <c r="S2" s="239"/>
      <c r="T2" s="239"/>
      <c r="U2" s="239"/>
      <c r="V2" s="240"/>
      <c r="W2" s="247"/>
      <c r="X2" s="248"/>
      <c r="Y2" s="248"/>
      <c r="Z2" s="248"/>
      <c r="AA2" s="248"/>
      <c r="AB2" s="248"/>
      <c r="AC2" s="248"/>
      <c r="AD2" s="248"/>
      <c r="AE2" s="248"/>
      <c r="AF2" s="248"/>
      <c r="AG2" s="248"/>
      <c r="AH2" s="248"/>
      <c r="AI2" s="248"/>
      <c r="AJ2" s="248"/>
      <c r="AK2" s="248"/>
      <c r="AL2" s="248"/>
      <c r="AM2" s="248"/>
      <c r="AN2" s="248"/>
      <c r="AO2" s="249"/>
      <c r="AP2" s="95" t="str">
        <f>IF(表紙!AP2="","",表紙!AP2)</f>
        <v>TuyenNH</v>
      </c>
      <c r="AQ2" s="96"/>
      <c r="AR2" s="96"/>
      <c r="AS2" s="97"/>
      <c r="AT2" s="122">
        <f>IF(表紙!AT2="","",表紙!AT2)</f>
        <v>45420</v>
      </c>
      <c r="AU2" s="123"/>
      <c r="AV2" s="123"/>
      <c r="AW2" s="123"/>
      <c r="AX2" s="124"/>
      <c r="AY2" s="95" t="str">
        <f>IF(表紙!AY2="","",表紙!AY2)</f>
        <v>AnhDD</v>
      </c>
      <c r="AZ2" s="96"/>
      <c r="BA2" s="96"/>
      <c r="BB2" s="97"/>
      <c r="BC2" s="122">
        <f>IF(表紙!BC2="","",表紙!BC2)</f>
        <v>45558</v>
      </c>
      <c r="BD2" s="123"/>
      <c r="BE2" s="123"/>
      <c r="BF2" s="123"/>
      <c r="BG2" s="124"/>
      <c r="BH2" s="95">
        <f>IF(表紙!BH2="","",表紙!BH2)</f>
        <v>0.14000000000000001</v>
      </c>
      <c r="BI2" s="96"/>
      <c r="BJ2" s="96"/>
      <c r="BK2" s="97"/>
    </row>
    <row r="3" spans="1:63" ht="15" customHeight="1" x14ac:dyDescent="0.25">
      <c r="A3" s="241"/>
      <c r="B3" s="242"/>
      <c r="C3" s="242"/>
      <c r="D3" s="242"/>
      <c r="E3" s="242"/>
      <c r="F3" s="242"/>
      <c r="G3" s="242"/>
      <c r="H3" s="242"/>
      <c r="I3" s="242"/>
      <c r="J3" s="243"/>
      <c r="K3" s="241"/>
      <c r="L3" s="242"/>
      <c r="M3" s="242"/>
      <c r="N3" s="242"/>
      <c r="O3" s="242"/>
      <c r="P3" s="242"/>
      <c r="Q3" s="242"/>
      <c r="R3" s="242"/>
      <c r="S3" s="242"/>
      <c r="T3" s="242"/>
      <c r="U3" s="242"/>
      <c r="V3" s="243"/>
      <c r="W3" s="250"/>
      <c r="X3" s="251"/>
      <c r="Y3" s="251"/>
      <c r="Z3" s="251"/>
      <c r="AA3" s="251"/>
      <c r="AB3" s="251"/>
      <c r="AC3" s="251"/>
      <c r="AD3" s="251"/>
      <c r="AE3" s="251"/>
      <c r="AF3" s="251"/>
      <c r="AG3" s="251"/>
      <c r="AH3" s="251"/>
      <c r="AI3" s="251"/>
      <c r="AJ3" s="251"/>
      <c r="AK3" s="251"/>
      <c r="AL3" s="251"/>
      <c r="AM3" s="251"/>
      <c r="AN3" s="251"/>
      <c r="AO3" s="252"/>
      <c r="AP3" s="98"/>
      <c r="AQ3" s="99"/>
      <c r="AR3" s="99"/>
      <c r="AS3" s="100"/>
      <c r="AT3" s="125"/>
      <c r="AU3" s="126"/>
      <c r="AV3" s="126"/>
      <c r="AW3" s="126"/>
      <c r="AX3" s="127"/>
      <c r="AY3" s="98"/>
      <c r="AZ3" s="99"/>
      <c r="BA3" s="99"/>
      <c r="BB3" s="100"/>
      <c r="BC3" s="125"/>
      <c r="BD3" s="126"/>
      <c r="BE3" s="126"/>
      <c r="BF3" s="126"/>
      <c r="BG3" s="127"/>
      <c r="BH3" s="98"/>
      <c r="BI3" s="99"/>
      <c r="BJ3" s="99"/>
      <c r="BK3" s="100"/>
    </row>
    <row r="4" spans="1:63" ht="24.95" customHeight="1" x14ac:dyDescent="0.25">
      <c r="A4" s="231" t="s">
        <v>10</v>
      </c>
      <c r="B4" s="232"/>
      <c r="C4" s="232"/>
      <c r="D4" s="232"/>
      <c r="E4" s="232"/>
      <c r="F4" s="232"/>
      <c r="G4" s="233"/>
      <c r="H4" s="234" t="str">
        <f>IF(表紙!H4="","",表紙!H4)</f>
        <v>20_レジ精算入力</v>
      </c>
      <c r="I4" s="235"/>
      <c r="J4" s="235"/>
      <c r="K4" s="235"/>
      <c r="L4" s="235"/>
      <c r="M4" s="235"/>
      <c r="N4" s="235"/>
      <c r="O4" s="235"/>
      <c r="P4" s="235"/>
      <c r="Q4" s="235"/>
      <c r="R4" s="235"/>
      <c r="S4" s="235"/>
      <c r="T4" s="236"/>
      <c r="U4" s="231" t="s">
        <v>12</v>
      </c>
      <c r="V4" s="232"/>
      <c r="W4" s="232"/>
      <c r="X4" s="232"/>
      <c r="Y4" s="233"/>
      <c r="Z4" s="234" t="str">
        <f>IF(表紙!Z4="","",表紙!Z4)</f>
        <v>概要設計書</v>
      </c>
      <c r="AA4" s="235"/>
      <c r="AB4" s="235"/>
      <c r="AC4" s="235"/>
      <c r="AD4" s="235"/>
      <c r="AE4" s="235"/>
      <c r="AF4" s="235"/>
      <c r="AG4" s="235"/>
      <c r="AH4" s="235"/>
      <c r="AI4" s="235"/>
      <c r="AJ4" s="235"/>
      <c r="AK4" s="235"/>
      <c r="AL4" s="235"/>
      <c r="AM4" s="235"/>
      <c r="AN4" s="235"/>
      <c r="AO4" s="236"/>
      <c r="AP4" s="237" t="str">
        <f ca="1">MID(CELL("filename",A1),FIND("]",CELL("filename",A1))+1,255)</f>
        <v>テンプレート</v>
      </c>
      <c r="AQ4" s="235"/>
      <c r="AR4" s="235"/>
      <c r="AS4" s="235"/>
      <c r="AT4" s="235"/>
      <c r="AU4" s="235"/>
      <c r="AV4" s="235"/>
      <c r="AW4" s="235"/>
      <c r="AX4" s="235"/>
      <c r="AY4" s="235"/>
      <c r="AZ4" s="235"/>
      <c r="BA4" s="235"/>
      <c r="BB4" s="235"/>
      <c r="BC4" s="235"/>
      <c r="BD4" s="235"/>
      <c r="BE4" s="235"/>
      <c r="BF4" s="235"/>
      <c r="BG4" s="235"/>
      <c r="BH4" s="235"/>
      <c r="BI4" s="235"/>
      <c r="BJ4" s="235"/>
      <c r="BK4" s="236"/>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56"/>
      <c r="C7" s="57"/>
      <c r="D7" s="58"/>
      <c r="E7" s="58"/>
      <c r="F7" s="58"/>
      <c r="G7" s="58"/>
      <c r="H7" s="58"/>
      <c r="I7" s="58"/>
      <c r="J7" s="58"/>
      <c r="K7" s="58"/>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36"/>
    </row>
    <row r="8" spans="1:63" ht="15" customHeight="1" x14ac:dyDescent="0.25">
      <c r="A8" s="35"/>
      <c r="C8" s="60"/>
      <c r="U8" s="60"/>
      <c r="AD8" s="60"/>
      <c r="AM8" s="60"/>
      <c r="BI8" s="62"/>
    </row>
    <row r="9" spans="1:63" ht="15" customHeight="1" x14ac:dyDescent="0.25">
      <c r="A9" s="35"/>
      <c r="C9" s="60"/>
      <c r="U9" s="60"/>
      <c r="AD9" s="60"/>
      <c r="AM9" s="60"/>
      <c r="BI9" s="62"/>
    </row>
    <row r="10" spans="1:63" ht="15" customHeight="1" x14ac:dyDescent="0.25">
      <c r="A10" s="35"/>
      <c r="C10" s="60"/>
      <c r="U10" s="60"/>
      <c r="AD10" s="60"/>
      <c r="AM10" s="60"/>
      <c r="BI10" s="62"/>
    </row>
    <row r="11" spans="1:63" ht="15" customHeight="1" x14ac:dyDescent="0.25">
      <c r="A11" s="35"/>
      <c r="C11" s="60"/>
      <c r="U11" s="60"/>
      <c r="AD11" s="60"/>
      <c r="AM11" s="60"/>
      <c r="BI11" s="62"/>
    </row>
    <row r="12" spans="1:63" ht="15" customHeight="1" x14ac:dyDescent="0.25">
      <c r="A12" s="35"/>
      <c r="C12" s="60"/>
      <c r="U12" s="60"/>
      <c r="AD12" s="60"/>
      <c r="AM12" s="60"/>
      <c r="AX12" s="31" t="s">
        <v>54</v>
      </c>
      <c r="BI12" s="62"/>
    </row>
    <row r="13" spans="1:63" ht="15" customHeight="1" x14ac:dyDescent="0.25">
      <c r="A13" s="35"/>
      <c r="C13" s="60"/>
      <c r="U13" s="60"/>
      <c r="AD13" s="60"/>
      <c r="AM13" s="60"/>
      <c r="BI13" s="62"/>
    </row>
    <row r="14" spans="1:63" ht="15" customHeight="1" x14ac:dyDescent="0.25">
      <c r="A14" s="35"/>
      <c r="C14" s="60"/>
      <c r="U14" s="60"/>
      <c r="AD14" s="60"/>
      <c r="AM14" s="60"/>
      <c r="BI14" s="62"/>
    </row>
    <row r="15" spans="1:63" ht="15" customHeight="1" x14ac:dyDescent="0.25">
      <c r="A15" s="35"/>
      <c r="C15" s="60"/>
      <c r="U15" s="60"/>
      <c r="AD15" s="60"/>
      <c r="AM15" s="60"/>
      <c r="BI15" s="62"/>
    </row>
    <row r="16" spans="1:63" ht="15" customHeight="1" x14ac:dyDescent="0.25">
      <c r="A16" s="35"/>
      <c r="C16" s="60"/>
      <c r="U16" s="60"/>
      <c r="AD16" s="60"/>
      <c r="AM16" s="60"/>
      <c r="BI16" s="62"/>
    </row>
    <row r="17" spans="1:61" ht="15" customHeight="1" x14ac:dyDescent="0.25">
      <c r="A17" s="35"/>
      <c r="C17" s="60"/>
      <c r="U17" s="60"/>
      <c r="AD17" s="60"/>
      <c r="AM17" s="60"/>
      <c r="BI17" s="62"/>
    </row>
    <row r="18" spans="1:61" ht="15" customHeight="1" x14ac:dyDescent="0.25">
      <c r="A18" s="35"/>
      <c r="C18" s="60"/>
      <c r="U18" s="60"/>
      <c r="AD18" s="60"/>
      <c r="AM18" s="60"/>
      <c r="BI18" s="62"/>
    </row>
    <row r="19" spans="1:61" ht="15" customHeight="1" x14ac:dyDescent="0.25">
      <c r="A19" s="35"/>
      <c r="C19" s="60"/>
      <c r="U19" s="60"/>
      <c r="AD19" s="60"/>
      <c r="AM19" s="60"/>
      <c r="BI19" s="62"/>
    </row>
    <row r="20" spans="1:61" ht="15" customHeight="1" x14ac:dyDescent="0.25">
      <c r="A20" s="35"/>
      <c r="C20" s="60"/>
      <c r="U20" s="60"/>
      <c r="AD20" s="60"/>
      <c r="AM20" s="60"/>
      <c r="BI20" s="62"/>
    </row>
    <row r="21" spans="1:61" ht="15" customHeight="1" x14ac:dyDescent="0.25">
      <c r="A21" s="35"/>
      <c r="C21" s="60"/>
      <c r="U21" s="60"/>
      <c r="AD21" s="60"/>
      <c r="AM21" s="60"/>
      <c r="BI21" s="62"/>
    </row>
    <row r="22" spans="1:61" ht="15" customHeight="1" x14ac:dyDescent="0.25">
      <c r="A22" s="35"/>
      <c r="C22" s="60"/>
      <c r="U22" s="60"/>
      <c r="AD22" s="60"/>
      <c r="AM22" s="60"/>
      <c r="BI22" s="62"/>
    </row>
    <row r="23" spans="1:61" ht="15" customHeight="1" x14ac:dyDescent="0.25">
      <c r="A23" s="35"/>
      <c r="C23" s="60"/>
      <c r="U23" s="60"/>
      <c r="AD23" s="60"/>
      <c r="AM23" s="60"/>
      <c r="BI23" s="62"/>
    </row>
    <row r="24" spans="1:61" ht="15" customHeight="1" x14ac:dyDescent="0.25">
      <c r="A24" s="35"/>
      <c r="C24" s="60"/>
      <c r="U24" s="60"/>
      <c r="AD24" s="60"/>
      <c r="AM24" s="60"/>
      <c r="BI24" s="62"/>
    </row>
    <row r="25" spans="1:61" ht="15" customHeight="1" x14ac:dyDescent="0.25">
      <c r="A25" s="35"/>
      <c r="C25" s="60"/>
      <c r="U25" s="60"/>
      <c r="AD25" s="60"/>
      <c r="AM25" s="60"/>
      <c r="BI25" s="62"/>
    </row>
    <row r="26" spans="1:61" ht="15" customHeight="1" x14ac:dyDescent="0.25">
      <c r="A26" s="35"/>
      <c r="C26" s="60"/>
      <c r="U26" s="60"/>
      <c r="AD26" s="60"/>
      <c r="AM26" s="60"/>
      <c r="BI26" s="62"/>
    </row>
    <row r="27" spans="1:61" ht="15" customHeight="1" x14ac:dyDescent="0.25">
      <c r="A27" s="35"/>
      <c r="C27" s="60"/>
      <c r="U27" s="60"/>
      <c r="AD27" s="60"/>
      <c r="AM27" s="60"/>
      <c r="BI27" s="62"/>
    </row>
    <row r="28" spans="1:61" ht="15" customHeight="1" x14ac:dyDescent="0.25">
      <c r="A28" s="35"/>
      <c r="C28" s="60"/>
      <c r="U28" s="60"/>
      <c r="AD28" s="60"/>
      <c r="AM28" s="60"/>
      <c r="BI28" s="62"/>
    </row>
    <row r="29" spans="1:61" ht="15" customHeight="1" x14ac:dyDescent="0.25">
      <c r="A29" s="35"/>
      <c r="C29" s="60"/>
      <c r="U29" s="60"/>
      <c r="AD29" s="60"/>
      <c r="AM29" s="60"/>
      <c r="BI29" s="62"/>
    </row>
    <row r="30" spans="1:61" ht="15" customHeight="1" x14ac:dyDescent="0.25">
      <c r="A30" s="35"/>
      <c r="C30" s="60"/>
      <c r="U30" s="60"/>
      <c r="AD30" s="60"/>
      <c r="AM30" s="60"/>
      <c r="BI30" s="62"/>
    </row>
    <row r="31" spans="1:61" ht="15" customHeight="1" x14ac:dyDescent="0.25">
      <c r="A31" s="35"/>
      <c r="C31" s="60"/>
      <c r="U31" s="60"/>
      <c r="AD31" s="60"/>
      <c r="AM31" s="60"/>
      <c r="BI31" s="62"/>
    </row>
    <row r="32" spans="1:61" ht="15" customHeight="1" x14ac:dyDescent="0.25">
      <c r="A32" s="35"/>
      <c r="C32" s="60"/>
      <c r="U32" s="60"/>
      <c r="AD32" s="60"/>
      <c r="AM32" s="60"/>
      <c r="BI32" s="62"/>
    </row>
    <row r="33" spans="1:61" ht="15" customHeight="1" x14ac:dyDescent="0.25">
      <c r="A33" s="35"/>
      <c r="C33" s="60"/>
      <c r="U33" s="60"/>
      <c r="AD33" s="60"/>
      <c r="AM33" s="60"/>
      <c r="BI33" s="62"/>
    </row>
    <row r="34" spans="1:61" ht="15" customHeight="1" x14ac:dyDescent="0.25">
      <c r="A34" s="35"/>
      <c r="C34" s="60"/>
      <c r="U34" s="60"/>
      <c r="AD34" s="60"/>
      <c r="AM34" s="60"/>
      <c r="BI34" s="62"/>
    </row>
    <row r="35" spans="1:61" ht="15" customHeight="1" x14ac:dyDescent="0.25">
      <c r="A35" s="35"/>
      <c r="C35" s="60"/>
      <c r="U35" s="60"/>
      <c r="AD35" s="60"/>
      <c r="AM35" s="60"/>
      <c r="BI35" s="62"/>
    </row>
    <row r="36" spans="1:61" ht="15" customHeight="1" x14ac:dyDescent="0.25">
      <c r="A36" s="35"/>
      <c r="C36" s="60"/>
      <c r="U36" s="60"/>
      <c r="AD36" s="60"/>
      <c r="AM36" s="60"/>
      <c r="BI36" s="62"/>
    </row>
    <row r="37" spans="1:61" ht="15" customHeight="1" x14ac:dyDescent="0.25">
      <c r="A37" s="35"/>
      <c r="C37" s="60"/>
      <c r="U37" s="60"/>
      <c r="AD37" s="60"/>
      <c r="AM37" s="60"/>
      <c r="BI37" s="62"/>
    </row>
    <row r="38" spans="1:61" ht="15" customHeight="1" x14ac:dyDescent="0.25">
      <c r="A38" s="35"/>
      <c r="C38" s="60"/>
      <c r="U38" s="60"/>
      <c r="AD38" s="60"/>
      <c r="AM38" s="60"/>
      <c r="BI38" s="62"/>
    </row>
    <row r="39" spans="1:61" ht="15" customHeight="1" x14ac:dyDescent="0.25">
      <c r="A39" s="35"/>
      <c r="C39" s="60"/>
      <c r="U39" s="60"/>
      <c r="AD39" s="60"/>
      <c r="AM39" s="60"/>
      <c r="BI39" s="62"/>
    </row>
    <row r="40" spans="1:61" ht="15" customHeight="1" x14ac:dyDescent="0.25">
      <c r="A40" s="35"/>
      <c r="C40" s="60"/>
      <c r="U40" s="60"/>
      <c r="AD40" s="60"/>
      <c r="AM40" s="60"/>
      <c r="BI40" s="62"/>
    </row>
    <row r="41" spans="1:61" ht="15" customHeight="1" x14ac:dyDescent="0.25">
      <c r="A41" s="35"/>
      <c r="C41" s="60"/>
      <c r="U41" s="60"/>
      <c r="AD41" s="60"/>
      <c r="AM41" s="60"/>
      <c r="BI41" s="62"/>
    </row>
    <row r="42" spans="1:61" ht="15" customHeight="1" x14ac:dyDescent="0.25">
      <c r="A42" s="35"/>
      <c r="C42" s="60"/>
      <c r="U42" s="60"/>
      <c r="AD42" s="60"/>
      <c r="AM42" s="60"/>
      <c r="BI42" s="62"/>
    </row>
    <row r="43" spans="1:61" ht="15" customHeight="1" x14ac:dyDescent="0.25">
      <c r="A43" s="35"/>
      <c r="C43" s="60"/>
      <c r="U43" s="60"/>
      <c r="AD43" s="60"/>
      <c r="AM43" s="60"/>
      <c r="BI43" s="62"/>
    </row>
    <row r="44" spans="1:61" ht="15" customHeight="1" x14ac:dyDescent="0.25">
      <c r="A44" s="35"/>
      <c r="C44" s="60"/>
      <c r="U44" s="60"/>
      <c r="AD44" s="60"/>
      <c r="AM44" s="60"/>
      <c r="BI44" s="62"/>
    </row>
    <row r="45" spans="1:61" ht="15" customHeight="1" x14ac:dyDescent="0.25">
      <c r="A45" s="35"/>
      <c r="C45" s="60"/>
      <c r="U45" s="60"/>
      <c r="AD45" s="60"/>
      <c r="AM45" s="60"/>
      <c r="BI45" s="62"/>
    </row>
    <row r="46" spans="1:61" ht="15" customHeight="1" x14ac:dyDescent="0.25">
      <c r="A46" s="35"/>
      <c r="C46" s="60"/>
      <c r="U46" s="60"/>
      <c r="AD46" s="60"/>
      <c r="AM46" s="60"/>
      <c r="BI46" s="62"/>
    </row>
    <row r="47" spans="1:61" ht="15" customHeight="1" x14ac:dyDescent="0.25">
      <c r="A47" s="35"/>
      <c r="C47" s="60"/>
      <c r="U47" s="60"/>
      <c r="AD47" s="60"/>
      <c r="AM47" s="60"/>
      <c r="BI47" s="62"/>
    </row>
    <row r="48" spans="1:61" ht="15" customHeight="1" x14ac:dyDescent="0.25">
      <c r="A48" s="35"/>
      <c r="C48" s="60"/>
      <c r="U48" s="60"/>
      <c r="AD48" s="60"/>
      <c r="AM48" s="60"/>
      <c r="BI48" s="62"/>
    </row>
    <row r="49" spans="1:63" ht="15" customHeight="1" x14ac:dyDescent="0.25">
      <c r="A49" s="35"/>
      <c r="C49" s="60"/>
      <c r="U49" s="60"/>
      <c r="AD49" s="60"/>
      <c r="AM49" s="60"/>
      <c r="BI49" s="62"/>
    </row>
    <row r="50" spans="1:63" ht="15" customHeight="1" x14ac:dyDescent="0.25">
      <c r="A50" s="35"/>
      <c r="C50" s="60"/>
      <c r="U50" s="60"/>
      <c r="AD50" s="60"/>
      <c r="AM50" s="60"/>
      <c r="BI50" s="62"/>
    </row>
    <row r="51" spans="1:63" ht="15" customHeight="1" x14ac:dyDescent="0.25">
      <c r="A51" s="35"/>
      <c r="C51" s="60"/>
      <c r="U51" s="60"/>
      <c r="AD51" s="60"/>
      <c r="AM51" s="60"/>
      <c r="BI51" s="62"/>
    </row>
    <row r="52" spans="1:63" ht="15" customHeight="1" x14ac:dyDescent="0.25">
      <c r="A52" s="35"/>
      <c r="C52" s="60"/>
      <c r="U52" s="60"/>
      <c r="AD52" s="60"/>
      <c r="AM52" s="60"/>
      <c r="BI52" s="62"/>
    </row>
    <row r="53" spans="1:63" ht="15" customHeight="1" x14ac:dyDescent="0.25">
      <c r="A53" s="35"/>
      <c r="C53" s="60"/>
      <c r="U53" s="60"/>
      <c r="AD53" s="60"/>
      <c r="AM53" s="60"/>
      <c r="BI53" s="62"/>
    </row>
    <row r="54" spans="1:63" ht="15" customHeight="1" x14ac:dyDescent="0.25">
      <c r="A54" s="35"/>
      <c r="C54" s="60"/>
      <c r="U54" s="60"/>
      <c r="AD54" s="60"/>
      <c r="AM54" s="60"/>
      <c r="BI54" s="62"/>
    </row>
    <row r="55" spans="1:63" ht="15" customHeight="1" x14ac:dyDescent="0.25">
      <c r="A55" s="32"/>
      <c r="B55" s="76"/>
      <c r="C55" s="33"/>
      <c r="D55" s="33"/>
      <c r="E55" s="33"/>
      <c r="F55" s="33"/>
      <c r="G55" s="33"/>
      <c r="H55" s="33"/>
      <c r="I55" s="33"/>
      <c r="J55" s="33"/>
      <c r="K55" s="33"/>
      <c r="L55" s="33"/>
      <c r="M55" s="33"/>
      <c r="N55" s="33"/>
      <c r="O55" s="33"/>
      <c r="P55" s="33"/>
      <c r="Q55" s="33"/>
      <c r="R55" s="33"/>
      <c r="S55" s="33"/>
      <c r="T55" s="33"/>
      <c r="U55" s="76"/>
      <c r="V55" s="33"/>
      <c r="W55" s="33"/>
      <c r="X55" s="33"/>
      <c r="Y55" s="33"/>
      <c r="Z55" s="33"/>
      <c r="AA55" s="33"/>
      <c r="AB55" s="33"/>
      <c r="AC55" s="33"/>
      <c r="AD55" s="76"/>
      <c r="AE55" s="33"/>
      <c r="AF55" s="33"/>
      <c r="AG55" s="33"/>
      <c r="AH55" s="33"/>
      <c r="AI55" s="33"/>
      <c r="AJ55" s="33"/>
      <c r="AK55" s="33"/>
      <c r="AL55" s="33"/>
      <c r="AM55" s="76"/>
      <c r="AN55" s="33"/>
      <c r="AO55" s="33"/>
      <c r="AP55" s="33"/>
      <c r="AQ55" s="33"/>
      <c r="AR55" s="33"/>
      <c r="AS55" s="33"/>
      <c r="AT55" s="33"/>
      <c r="AU55" s="33"/>
      <c r="AV55" s="33"/>
      <c r="AW55" s="33"/>
      <c r="AX55" s="33"/>
      <c r="AY55" s="33"/>
      <c r="AZ55" s="33"/>
      <c r="BA55" s="33"/>
      <c r="BB55" s="33"/>
      <c r="BC55" s="33"/>
      <c r="BD55" s="33"/>
      <c r="BE55" s="33"/>
      <c r="BF55" s="33"/>
      <c r="BG55" s="33"/>
      <c r="BH55" s="33"/>
      <c r="BI55" s="77"/>
      <c r="BJ55" s="33"/>
      <c r="BK55" s="34"/>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CA30A9-110C-4FAB-8375-430D1A624F6A}"/>
</file>

<file path=customXml/itemProps2.xml><?xml version="1.0" encoding="utf-8"?>
<ds:datastoreItem xmlns:ds="http://schemas.openxmlformats.org/officeDocument/2006/customXml" ds:itemID="{3CCA5EA3-42D8-4B29-BDC8-399FE6176F6B}">
  <ds:schemaRefs>
    <ds:schemaRef ds:uri="http://schemas.microsoft.com/sharepoint/v3/contenttype/forms"/>
  </ds:schemaRefs>
</ds:datastoreItem>
</file>

<file path=customXml/itemProps3.xml><?xml version="1.0" encoding="utf-8"?>
<ds:datastoreItem xmlns:ds="http://schemas.openxmlformats.org/officeDocument/2006/customXml" ds:itemID="{09BD766B-22C6-4C8B-928E-B86739604A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表紙</vt:lpstr>
      <vt:lpstr>改訂履歴</vt:lpstr>
      <vt:lpstr>業務フロー凡例</vt:lpstr>
      <vt:lpstr>機能概要説明</vt:lpstr>
      <vt:lpstr>機能概要</vt:lpstr>
      <vt:lpstr>自動精算バッチ</vt:lpstr>
      <vt:lpstr>画面設計書</vt:lpstr>
      <vt:lpstr>レジ精算実</vt:lpstr>
      <vt:lpstr>サンプル</vt:lpstr>
      <vt:lpstr>テンプレート</vt:lpstr>
      <vt:lpstr>サンプル!Print_Area</vt:lpstr>
      <vt:lpstr>テンプレート!Print_Area</vt:lpstr>
      <vt:lpstr>レジ精算実!Print_Area</vt:lpstr>
      <vt:lpstr>改訂履歴!Print_Area</vt:lpstr>
      <vt:lpstr>業務フロー凡例!Print_Area</vt:lpstr>
      <vt:lpstr>機能概要!Print_Area</vt:lpstr>
      <vt:lpstr>機能概要説明!Print_Area</vt:lpstr>
      <vt:lpstr>自動精算バッチ!Print_Area</vt:lpstr>
      <vt:lpstr>表紙!Print_Area</vt:lpstr>
      <vt:lpstr>サンプル!Print_Titles</vt:lpstr>
      <vt:lpstr>テンプレート!Print_Titles</vt:lpstr>
      <vt:lpstr>レジ精算実!Print_Titles</vt:lpstr>
      <vt:lpstr>改訂履歴!Print_Titles</vt:lpstr>
      <vt:lpstr>業務フロー凡例!Print_Titles</vt:lpstr>
      <vt:lpstr>機能概要!Print_Titles</vt:lpstr>
      <vt:lpstr>機能概要説明!Print_Titles</vt:lpstr>
      <vt:lpstr>自動精算バッチ!Print_Titles</vt:lpstr>
      <vt:lpstr>表紙!Print_Titles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cp:revision/>
  <dcterms:created xsi:type="dcterms:W3CDTF">2015-06-05T18:19:34Z</dcterms:created>
  <dcterms:modified xsi:type="dcterms:W3CDTF">2024-10-29T09:29:08Z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