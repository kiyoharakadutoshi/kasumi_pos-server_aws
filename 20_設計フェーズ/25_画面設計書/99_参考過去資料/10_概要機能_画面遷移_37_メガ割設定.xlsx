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10_機能概要_画面遷移\"/>
    </mc:Choice>
  </mc:AlternateContent>
  <xr:revisionPtr revIDLastSave="0" documentId="13_ncr:1_{F1173A7D-6F8D-42EC-9FC7-3ECC0837F5D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改訂履歴!$A$1:$BK$53</definedName>
    <definedName name="_xlnm.Print_Area" localSheetId="4">機能概要!$A$1:$BK$121</definedName>
    <definedName name="_xlnm.Print_Area" localSheetId="3">機能概要説明!$A$1:$BK$58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9" i="5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8" i="5"/>
  <c r="AP4" i="5" a="1"/>
  <c r="AP4" i="5" s="1"/>
  <c r="Z4" i="5"/>
  <c r="H4" i="5"/>
  <c r="K2" i="5"/>
  <c r="A2" i="5"/>
  <c r="W1" i="5"/>
  <c r="BM7" i="8"/>
  <c r="BM8" i="8" s="1"/>
  <c r="BM9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7" s="1"/>
  <c r="AT2" i="4"/>
  <c r="AT2" i="7" s="1"/>
  <c r="AP2" i="4"/>
  <c r="AP2" i="5" s="1"/>
  <c r="BC2" i="3" l="1"/>
  <c r="BH2" i="6"/>
  <c r="AP2" i="8"/>
  <c r="BH2" i="8"/>
  <c r="AT2" i="5"/>
  <c r="BC2" i="7"/>
  <c r="AP2" i="2"/>
  <c r="BH2" i="2"/>
  <c r="AP2" i="3"/>
  <c r="BH2" i="3"/>
  <c r="AP2" i="6"/>
  <c r="AT2" i="8"/>
  <c r="AY2" i="5"/>
  <c r="AP2" i="7"/>
  <c r="BH2" i="7"/>
  <c r="AT2" i="2"/>
  <c r="AT2" i="3"/>
  <c r="AY2" i="6"/>
  <c r="AY2" i="8"/>
  <c r="BC2" i="5"/>
  <c r="AY2" i="2"/>
  <c r="AY2" i="3"/>
  <c r="BC2" i="6"/>
  <c r="BC2" i="8"/>
</calcChain>
</file>

<file path=xl/sharedStrings.xml><?xml version="1.0" encoding="utf-8"?>
<sst xmlns="http://schemas.openxmlformats.org/spreadsheetml/2006/main" count="203" uniqueCount="81">
  <si>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</si>
  <si>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</si>
  <si>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</si>
  <si>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</si>
  <si>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</si>
  <si>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</si>
  <si>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</si>
  <si>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</si>
  <si>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</si>
  <si>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</si>
  <si>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</si>
  <si>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</si>
  <si>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</si>
  <si>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</si>
  <si>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</si>
  <si>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</si>
  <si>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</si>
  <si>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</si>
  <si>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</si>
  <si>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</si>
  <si>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</si>
  <si>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</si>
  <si>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</si>
  <si>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</si>
  <si>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</si>
  <si>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</si>
  <si>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</si>
  <si>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</si>
  <si>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</si>
  <si>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</si>
  <si>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</si>
  <si>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メガ割設定機能では次のことが可能になる。</t>
    </r>
  </si>
  <si>
    <r>
      <rPr>
        <sz val="11"/>
        <color rgb="FF000000"/>
        <rFont val="Meiryo UI"/>
        <family val="2"/>
      </rPr>
      <t>SC3701_メガ割設定画面</t>
    </r>
  </si>
  <si>
    <r>
      <rPr>
        <sz val="11"/>
        <color rgb="FF000000"/>
        <rFont val="Meiryo UI"/>
        <family val="2"/>
      </rPr>
      <t>37_メガ割設定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</si>
  <si>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</si>
  <si>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</si>
  <si>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</si>
  <si>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</si>
  <si>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</si>
  <si>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</si>
  <si>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</si>
  <si>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</si>
  <si>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</si>
  <si>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</si>
  <si>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</si>
  <si>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</si>
  <si>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</si>
  <si>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</si>
  <si>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</si>
  <si>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</si>
  <si>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t>レビューによる更新</t>
  </si>
  <si>
    <t>2024年5月30日のコメントによる更新</t>
  </si>
  <si>
    <t>37_メガ割設定</t>
  </si>
  <si>
    <t>割引除外エリアがない場合</t>
  </si>
  <si>
    <t>割引除外エリアがある場合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</si>
  <si>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</si>
  <si>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</si>
  <si>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</si>
  <si>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</si>
  <si>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</si>
  <si>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</si>
  <si>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</si>
  <si>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</si>
  <si>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</si>
  <si>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</si>
  <si>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</si>
  <si>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</si>
  <si>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</si>
  <si>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</si>
  <si>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</si>
  <si>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</si>
  <si>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</si>
  <si>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</si>
  <si>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</si>
  <si>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r>
      <t>・曜日、</t>
    </r>
    <r>
      <rPr>
        <sz val="11"/>
        <color rgb="FF0000FF"/>
        <rFont val="Meiryo UI"/>
        <family val="2"/>
      </rPr>
      <t>日</t>
    </r>
    <r>
      <rPr>
        <sz val="11"/>
        <rFont val="Meiryo UI"/>
        <family val="2"/>
      </rPr>
      <t>で商品部門の割引率を閲覧、設定する。</t>
    </r>
  </si>
  <si>
    <r>
      <rPr>
        <sz val="11"/>
        <color rgb="FF000000"/>
        <rFont val="Meiryo UI"/>
        <family val="2"/>
      </rPr>
      <t>・割引は終日適用され、毎週</t>
    </r>
    <r>
      <rPr>
        <sz val="11"/>
        <color rgb="FF0000FF"/>
        <rFont val="Meiryo UI"/>
        <family val="2"/>
      </rPr>
      <t>及び毎月</t>
    </r>
    <r>
      <rPr>
        <sz val="11"/>
        <color rgb="FF000000"/>
        <rFont val="Meiryo UI"/>
        <family val="2"/>
      </rPr>
      <t>繰り返される。</t>
    </r>
  </si>
  <si>
    <t>・フローには編集モードのみがある。</t>
  </si>
  <si>
    <t>機能概要説明</t>
  </si>
  <si>
    <t>「曜日、日で商品部門の割引を～」に修正</t>
  </si>
  <si>
    <t>機能概要</t>
  </si>
  <si>
    <t>・「状態：無効」を「編集不可」に修正
・「F04:クリア」をタッチすると、編集前の状態に戻す。
・割引率、曜日、除外部門を変更していない確定ボタンが押せない状態＝クリアが押せない状態にする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</si>
</sst>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7030A0"/>
      <name val="Meiryo UI"/>
      <family val="2"/>
    </font>
    <font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/>
  </cellStyleXfs>
  <cellXfs count="318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9" fillId="0" borderId="0" xfId="0" applyFont="1"/>
    <xf numFmtId="0" fontId="9" fillId="0" borderId="0" xfId="7" applyFont="1">
      <alignment vertical="center"/>
    </xf>
    <xf numFmtId="0" fontId="6" fillId="0" borderId="0" xfId="0" quotePrefix="1" applyFont="1"/>
    <xf numFmtId="0" fontId="6" fillId="0" borderId="0" xfId="0" applyFont="1"/>
    <xf numFmtId="0" fontId="6" fillId="0" borderId="0" xfId="7" applyFont="1">
      <alignment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0" xfId="7" applyFont="1">
      <alignment vertical="center"/>
    </xf>
    <xf numFmtId="0" fontId="15" fillId="0" borderId="1" xfId="7" applyFont="1" applyBorder="1">
      <alignment vertical="center"/>
    </xf>
    <xf numFmtId="0" fontId="15" fillId="0" borderId="0" xfId="7" quotePrefix="1" applyFont="1">
      <alignment vertical="center"/>
    </xf>
    <xf numFmtId="0" fontId="15" fillId="0" borderId="4" xfId="7" applyFont="1" applyBorder="1">
      <alignment vertical="center"/>
    </xf>
    <xf numFmtId="0" fontId="18" fillId="0" borderId="0" xfId="7" applyFont="1">
      <alignment vertical="center"/>
    </xf>
    <xf numFmtId="0" fontId="15" fillId="0" borderId="2" xfId="7" applyFont="1" applyBorder="1">
      <alignment vertical="center"/>
    </xf>
    <xf numFmtId="0" fontId="15" fillId="0" borderId="3" xfId="7" applyFont="1" applyBorder="1">
      <alignment vertical="center"/>
    </xf>
    <xf numFmtId="0" fontId="15" fillId="0" borderId="5" xfId="7" applyFont="1" applyBorder="1">
      <alignment vertical="center"/>
    </xf>
    <xf numFmtId="0" fontId="12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0" borderId="18" xfId="7" applyFont="1" applyBorder="1">
      <alignment vertical="center"/>
    </xf>
    <xf numFmtId="0" fontId="15" fillId="0" borderId="27" xfId="7" applyFont="1" applyBorder="1">
      <alignment vertical="center"/>
    </xf>
    <xf numFmtId="0" fontId="15" fillId="0" borderId="0" xfId="0" applyFont="1" applyAlignment="1">
      <alignment wrapText="1"/>
    </xf>
    <xf numFmtId="0" fontId="15" fillId="0" borderId="21" xfId="0" applyFont="1" applyBorder="1"/>
    <xf numFmtId="0" fontId="15" fillId="0" borderId="20" xfId="0" applyFont="1" applyBorder="1"/>
    <xf numFmtId="0" fontId="15" fillId="0" borderId="0" xfId="6" applyFont="1" applyAlignment="1">
      <alignment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2" fontId="15" fillId="0" borderId="28" xfId="0" applyNumberFormat="1" applyFont="1" applyBorder="1" applyAlignment="1">
      <alignment horizontal="center" vertical="center"/>
    </xf>
    <xf numFmtId="2" fontId="15" fillId="0" borderId="29" xfId="0" applyNumberFormat="1" applyFont="1" applyBorder="1" applyAlignment="1">
      <alignment horizontal="center" vertical="center"/>
    </xf>
    <xf numFmtId="2" fontId="15" fillId="0" borderId="30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28" xfId="0" applyNumberFormat="1" applyFont="1" applyBorder="1" applyAlignment="1">
      <alignment horizontal="center" vertical="center"/>
    </xf>
    <xf numFmtId="14" fontId="15" fillId="0" borderId="29" xfId="0" applyNumberFormat="1" applyFont="1" applyBorder="1" applyAlignment="1">
      <alignment horizontal="center" vertical="center"/>
    </xf>
    <xf numFmtId="14" fontId="15" fillId="0" borderId="30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34" xfId="0" applyFont="1" applyBorder="1"/>
    <xf numFmtId="0" fontId="15" fillId="0" borderId="35" xfId="0" applyFont="1" applyBorder="1"/>
    <xf numFmtId="0" fontId="15" fillId="0" borderId="22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8" xfId="0" applyFont="1" applyBorder="1"/>
    <xf numFmtId="0" fontId="15" fillId="0" borderId="2" xfId="0" applyFont="1" applyBorder="1"/>
    <xf numFmtId="0" fontId="15" fillId="0" borderId="36" xfId="0" applyFont="1" applyBorder="1"/>
    <xf numFmtId="0" fontId="15" fillId="0" borderId="37" xfId="0" applyFont="1" applyBorder="1"/>
    <xf numFmtId="0" fontId="15" fillId="0" borderId="38" xfId="0" applyFont="1" applyBorder="1"/>
    <xf numFmtId="0" fontId="11" fillId="2" borderId="0" xfId="0" applyFont="1" applyFill="1"/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1" fillId="2" borderId="31" xfId="6" applyFont="1" applyFill="1" applyBorder="1" applyAlignment="1">
      <alignment horizontal="center" vertical="center"/>
    </xf>
    <xf numFmtId="0" fontId="11" fillId="2" borderId="32" xfId="6" applyFont="1" applyFill="1" applyBorder="1" applyAlignment="1">
      <alignment horizontal="center" vertical="center"/>
    </xf>
    <xf numFmtId="0" fontId="11" fillId="2" borderId="33" xfId="6" applyFont="1" applyFill="1" applyBorder="1" applyAlignment="1">
      <alignment horizontal="center" vertical="center"/>
    </xf>
    <xf numFmtId="0" fontId="13" fillId="0" borderId="28" xfId="6" applyFont="1" applyBorder="1" applyAlignment="1">
      <alignment horizontal="center" vertical="center"/>
    </xf>
    <xf numFmtId="0" fontId="13" fillId="0" borderId="29" xfId="6" applyFont="1" applyBorder="1" applyAlignment="1">
      <alignment horizontal="center" vertical="center"/>
    </xf>
    <xf numFmtId="0" fontId="13" fillId="0" borderId="30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3" borderId="28" xfId="6" applyFont="1" applyFill="1" applyBorder="1" applyAlignment="1">
      <alignment vertical="center" wrapText="1"/>
    </xf>
    <xf numFmtId="0" fontId="6" fillId="3" borderId="30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6" fillId="3" borderId="29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6" fillId="3" borderId="41" xfId="6" applyFont="1" applyFill="1" applyBorder="1" applyAlignment="1">
      <alignment vertical="center" shrinkToFi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7" fillId="3" borderId="41" xfId="6" applyFont="1" applyFill="1" applyBorder="1" applyAlignment="1">
      <alignment vertical="center" wrapText="1"/>
    </xf>
    <xf numFmtId="0" fontId="7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42" xfId="6" applyFont="1" applyFill="1" applyBorder="1" applyAlignment="1">
      <alignment vertical="center"/>
    </xf>
    <xf numFmtId="0" fontId="7" fillId="4" borderId="43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6" fillId="0" borderId="34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4" xfId="6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6" fillId="0" borderId="46" xfId="6" applyFont="1" applyBorder="1" applyAlignment="1">
      <alignment vertical="center"/>
    </xf>
    <xf numFmtId="0" fontId="7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7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6" fillId="5" borderId="33" xfId="6" applyFont="1" applyFill="1" applyBorder="1" applyAlignment="1">
      <alignment vertical="center"/>
    </xf>
    <xf numFmtId="0" fontId="7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30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1" xfId="6" applyFont="1" applyFill="1" applyBorder="1"/>
    <xf numFmtId="0" fontId="7" fillId="5" borderId="32" xfId="6" applyFont="1" applyFill="1" applyBorder="1"/>
    <xf numFmtId="0" fontId="7" fillId="5" borderId="33" xfId="6" applyFont="1" applyFill="1" applyBorder="1"/>
    <xf numFmtId="0" fontId="7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9" xfId="6" applyFont="1" applyFill="1" applyBorder="1" applyAlignment="1">
      <alignment vertical="center" wrapText="1"/>
    </xf>
    <xf numFmtId="0" fontId="7" fillId="4" borderId="41" xfId="6" applyFont="1" applyFill="1" applyBorder="1" applyAlignment="1">
      <alignment vertical="center" wrapText="1"/>
    </xf>
    <xf numFmtId="0" fontId="7" fillId="4" borderId="30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35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4" xfId="6" applyFont="1" applyBorder="1" applyAlignment="1">
      <alignment horizontal="left" vertical="center"/>
    </xf>
    <xf numFmtId="0" fontId="6" fillId="0" borderId="35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5" fillId="0" borderId="34" xfId="6" applyFont="1" applyBorder="1" applyAlignment="1">
      <alignment vertical="center" wrapText="1"/>
    </xf>
    <xf numFmtId="0" fontId="15" fillId="0" borderId="35" xfId="6" applyFont="1" applyBorder="1" applyAlignment="1">
      <alignment vertical="center" wrapText="1"/>
    </xf>
    <xf numFmtId="0" fontId="15" fillId="0" borderId="22" xfId="6" applyFont="1" applyBorder="1" applyAlignment="1">
      <alignment vertical="center" wrapText="1"/>
    </xf>
    <xf numFmtId="0" fontId="6" fillId="0" borderId="44" xfId="6" applyFont="1" applyBorder="1" applyAlignment="1">
      <alignment horizontal="center" vertical="center"/>
    </xf>
    <xf numFmtId="0" fontId="6" fillId="0" borderId="46" xfId="6" applyFont="1" applyBorder="1" applyAlignment="1">
      <alignment horizontal="center" vertical="center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6" xfId="6" quotePrefix="1" applyFont="1" applyBorder="1" applyAlignment="1">
      <alignment vertical="center" wrapText="1"/>
    </xf>
    <xf numFmtId="0" fontId="7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46" xfId="6" quotePrefix="1" applyFont="1" applyBorder="1" applyAlignment="1">
      <alignment vertical="center"/>
    </xf>
    <xf numFmtId="0" fontId="7" fillId="0" borderId="44" xfId="6" quotePrefix="1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7" fillId="0" borderId="46" xfId="6" applyFont="1" applyBorder="1" applyAlignment="1">
      <alignment horizontal="center" vertical="center" wrapText="1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6" xfId="6" applyFont="1" applyBorder="1" applyAlignment="1">
      <alignment horizontal="left" vertical="center"/>
    </xf>
    <xf numFmtId="0" fontId="15" fillId="0" borderId="44" xfId="6" applyFont="1" applyBorder="1" applyAlignment="1">
      <alignment vertical="center"/>
    </xf>
    <xf numFmtId="0" fontId="15" fillId="0" borderId="45" xfId="6" applyFont="1" applyBorder="1" applyAlignment="1">
      <alignment vertical="center"/>
    </xf>
    <xf numFmtId="0" fontId="15" fillId="0" borderId="46" xfId="6" applyFont="1" applyBorder="1" applyAlignment="1">
      <alignment vertical="center"/>
    </xf>
    <xf numFmtId="0" fontId="8" fillId="0" borderId="44" xfId="6" applyFont="1" applyBorder="1" applyAlignment="1">
      <alignment vertical="center" wrapText="1"/>
    </xf>
    <xf numFmtId="0" fontId="7" fillId="0" borderId="44" xfId="6" quotePrefix="1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6" xfId="6" applyFont="1" applyBorder="1" applyAlignment="1">
      <alignment horizontal="center" vertical="center"/>
    </xf>
    <xf numFmtId="0" fontId="15" fillId="0" borderId="47" xfId="6" quotePrefix="1" applyFont="1" applyBorder="1" applyAlignment="1">
      <alignment vertical="center"/>
    </xf>
    <xf numFmtId="0" fontId="15" fillId="0" borderId="48" xfId="6" quotePrefix="1" applyFont="1" applyBorder="1" applyAlignment="1">
      <alignment vertical="center"/>
    </xf>
    <xf numFmtId="0" fontId="15" fillId="0" borderId="49" xfId="6" quotePrefix="1" applyFont="1" applyBorder="1" applyAlignment="1">
      <alignment vertical="center"/>
    </xf>
    <xf numFmtId="0" fontId="6" fillId="0" borderId="44" xfId="6" quotePrefix="1" applyFont="1" applyBorder="1" applyAlignment="1">
      <alignment horizontal="center" vertical="center"/>
    </xf>
    <xf numFmtId="0" fontId="15" fillId="0" borderId="47" xfId="6" applyFont="1" applyBorder="1" applyAlignment="1">
      <alignment vertical="center"/>
    </xf>
    <xf numFmtId="0" fontId="15" fillId="0" borderId="48" xfId="6" applyFont="1" applyBorder="1" applyAlignment="1">
      <alignment vertical="center"/>
    </xf>
    <xf numFmtId="0" fontId="15" fillId="0" borderId="49" xfId="6" applyFont="1" applyBorder="1" applyAlignment="1">
      <alignment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15" fillId="0" borderId="36" xfId="6" applyFont="1" applyBorder="1" applyAlignment="1">
      <alignment vertical="center"/>
    </xf>
    <xf numFmtId="0" fontId="15" fillId="0" borderId="37" xfId="6" applyFont="1" applyBorder="1" applyAlignment="1">
      <alignment vertical="center"/>
    </xf>
    <xf numFmtId="0" fontId="15" fillId="0" borderId="38" xfId="6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8" xfId="6" quotePrefix="1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7" fillId="0" borderId="36" xfId="6" quotePrefix="1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14" fontId="19" fillId="0" borderId="28" xfId="0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/>
    <xf numFmtId="0" fontId="19" fillId="0" borderId="35" xfId="0" applyFont="1" applyBorder="1"/>
    <xf numFmtId="0" fontId="19" fillId="0" borderId="22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28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6" xfId="0" applyFont="1" applyBorder="1"/>
    <xf numFmtId="0" fontId="19" fillId="0" borderId="37" xfId="0" applyFont="1" applyBorder="1"/>
    <xf numFmtId="0" fontId="19" fillId="0" borderId="38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0" borderId="0" xfId="0" quotePrefix="1" applyFont="1"/>
    <xf numFmtId="0" fontId="19" fillId="0" borderId="0" xfId="0" quotePrefix="1" applyFont="1"/>
    <xf numFmtId="0" fontId="19" fillId="0" borderId="0" xfId="0" applyFont="1"/>
    <xf numFmtId="0" fontId="19" fillId="0" borderId="0" xfId="7" applyFont="1">
      <alignment vertical="center"/>
    </xf>
    <xf numFmtId="0" fontId="19" fillId="0" borderId="36" xfId="0" applyFont="1" applyBorder="1" applyAlignment="1">
      <alignment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  <cellStyle name="標準 2 2" xfId="8" xr:uid="{00000000-0005-0000-0000-000008000000}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100</xdr:row>
      <xdr:rowOff>0</xdr:rowOff>
    </xdr:from>
    <xdr:to>
      <xdr:col>61</xdr:col>
      <xdr:colOff>0</xdr:colOff>
      <xdr:row>117</xdr:row>
      <xdr:rowOff>0</xdr:rowOff>
    </xdr:to>
    <xdr:sp macro="" textlink="" fLocksText="0">
      <xdr:nvSpPr>
        <xdr:cNvPr id="52" name="吹き出し: 線 2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10134600" y="19164300"/>
          <a:ext cx="6134100" cy="3238500"/>
        </a:xfrm>
        <a:prstGeom prst="borderCallout1">
          <a:avLst>
            <a:gd name="adj1" fmla="val 48210"/>
            <a:gd name="adj2" fmla="val 884"/>
            <a:gd name="adj3" fmla="val -159330"/>
            <a:gd name="adj4" fmla="val -1315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以下のようにメガ割引情報更新機能を実行する。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+存在しない部門コードを入力した場合、「有効な部門コードを入力してください。」エラーモダールを表示する。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+入力された日付が重複している場合、エラーメッセージを表示する。メッセージ：毎月かかる日に重複があります。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+日付 = 0又は日付&gt;31で入力した場合、「1~31の範囲で入力してください。」エラーメッセージを表示する。</a:t>
          </a:r>
          <a:endParaRPr lang="en-US" altLang="ja-JP" sz="1000" b="0" i="0" u="none" baseline="0">
            <a:solidFill>
              <a:srgbClr val="00B05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+MD0101_店舗一覧モダールでstoreId = 09999の店舗を選択した場合、以下のように実行する。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▸除外店舗一覧に属しない店舗の割引日を更新する。除外店舗はチェックを入れた店舗となる。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▸割引除外店舗の状態を更新する。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+storeIdが09999以外の店舗を選択した場合、その店舗のデータのみを更新する。その店舗の除外店舗値を再度更新する。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・バッチを毎日実行して、部門の割引を更新する。           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 </a:t>
          </a: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</a:p>
      </xdr:txBody>
    </xdr:sp>
    <xdr:clientData/>
  </xdr:twoCellAnchor>
  <xdr:twoCellAnchor>
    <xdr:from>
      <xdr:col>38</xdr:col>
      <xdr:colOff>0</xdr:colOff>
      <xdr:row>17</xdr:row>
      <xdr:rowOff>0</xdr:rowOff>
    </xdr:from>
    <xdr:to>
      <xdr:col>61</xdr:col>
      <xdr:colOff>0</xdr:colOff>
      <xdr:row>21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0134600" y="3352800"/>
          <a:ext cx="6134100" cy="762000"/>
        </a:xfrm>
        <a:prstGeom prst="borderCallout1">
          <a:avLst>
            <a:gd name="adj1" fmla="val 51887"/>
            <a:gd name="adj2" fmla="val 470"/>
            <a:gd name="adj3" fmla="val 109520"/>
            <a:gd name="adj4" fmla="val -1306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22</xdr:row>
      <xdr:rowOff>0</xdr:rowOff>
    </xdr:from>
    <xdr:to>
      <xdr:col>61</xdr:col>
      <xdr:colOff>0</xdr:colOff>
      <xdr:row>28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4305300"/>
          <a:ext cx="6134100" cy="1143000"/>
        </a:xfrm>
        <a:prstGeom prst="borderCallout1">
          <a:avLst>
            <a:gd name="adj1" fmla="val 46845"/>
            <a:gd name="adj2" fmla="val 677"/>
            <a:gd name="adj3" fmla="val 171320"/>
            <a:gd name="adj4" fmla="val -13065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顧客が選択した店舗を保存する。SC3701_メガ割設定画面に戻ると、観客が選択した店舗を表示する。SCX0101_メインメニュー画面に戻ると、顧客が選択した店舗をクリアする。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38</xdr:col>
      <xdr:colOff>11206</xdr:colOff>
      <xdr:row>29</xdr:row>
      <xdr:rowOff>0</xdr:rowOff>
    </xdr:from>
    <xdr:to>
      <xdr:col>61</xdr:col>
      <xdr:colOff>11206</xdr:colOff>
      <xdr:row>34</xdr:row>
      <xdr:rowOff>0</xdr:rowOff>
    </xdr:to>
    <xdr:sp macro="" textlink="" fLocksText="0">
      <xdr:nvSpPr>
        <xdr:cNvPr id="30" name="吹き出し: 線 2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144125" y="5638800"/>
          <a:ext cx="6134100" cy="952500"/>
        </a:xfrm>
        <a:prstGeom prst="borderCallout1">
          <a:avLst>
            <a:gd name="adj1" fmla="val 48210"/>
            <a:gd name="adj2" fmla="val 884"/>
            <a:gd name="adj3" fmla="val 188308"/>
            <a:gd name="adj4" fmla="val -1403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・「決定」ボタン：2つの機能を同時に実行する。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KN1507_部門一覧取得機能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+KN3701_メガ割情報取得機能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・「取消」ボタン：モダールを閉じて、SCX101_メインメニュー画面に戻る。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11209</xdr:colOff>
      <xdr:row>9</xdr:row>
      <xdr:rowOff>0</xdr:rowOff>
    </xdr:from>
    <xdr:to>
      <xdr:col>8</xdr:col>
      <xdr:colOff>0</xdr:colOff>
      <xdr:row>13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2925" y="18288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13</xdr:row>
      <xdr:rowOff>0</xdr:rowOff>
    </xdr:from>
    <xdr:to>
      <xdr:col>8</xdr:col>
      <xdr:colOff>0</xdr:colOff>
      <xdr:row>16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590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37_メガ割設定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8</xdr:col>
      <xdr:colOff>0</xdr:colOff>
      <xdr:row>23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733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SC3701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メガ割設定画面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</xdr:colOff>
      <xdr:row>19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1333500" y="3162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</xdr:row>
      <xdr:rowOff>0</xdr:rowOff>
    </xdr:from>
    <xdr:to>
      <xdr:col>8</xdr:col>
      <xdr:colOff>0</xdr:colOff>
      <xdr:row>35</xdr:row>
      <xdr:rowOff>0</xdr:rowOff>
    </xdr:to>
    <xdr:sp macro="" textlink="" fLocksText="0">
      <xdr:nvSpPr>
        <xdr:cNvPr id="6" name="正方形/長方形 1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33400" y="601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6</xdr:col>
      <xdr:colOff>0</xdr:colOff>
      <xdr:row>39</xdr:row>
      <xdr:rowOff>0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66800" y="7162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25</xdr:row>
      <xdr:rowOff>1</xdr:rowOff>
    </xdr:from>
    <xdr:to>
      <xdr:col>13</xdr:col>
      <xdr:colOff>0</xdr:colOff>
      <xdr:row>27</xdr:row>
      <xdr:rowOff>0</xdr:rowOff>
    </xdr:to>
    <xdr:sp macro="" textlink="" fLocksText="0">
      <xdr:nvSpPr>
        <xdr:cNvPr id="8" name="四角形: 角を丸くする 110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2400300" y="487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7</xdr:col>
      <xdr:colOff>0</xdr:colOff>
      <xdr:row>26</xdr:row>
      <xdr:rowOff>190499</xdr:rowOff>
    </xdr:to>
    <xdr:sp macro="" textlink="" fLocksText="0">
      <xdr:nvSpPr>
        <xdr:cNvPr id="9" name="四角形: 角を丸くする 110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00100" y="48768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27</xdr:row>
      <xdr:rowOff>1</xdr:rowOff>
    </xdr:from>
    <xdr:to>
      <xdr:col>11</xdr:col>
      <xdr:colOff>1</xdr:colOff>
      <xdr:row>31</xdr:row>
      <xdr:rowOff>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8" idx="2"/>
          <a:endCxn id="6" idx="0"/>
        </xdr:cNvCxnSpPr>
      </xdr:nvCxnSpPr>
      <xdr:spPr>
        <a:xfrm rot="5400000">
          <a:off x="1333500" y="5257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26</xdr:row>
      <xdr:rowOff>190499</xdr:rowOff>
    </xdr:from>
    <xdr:to>
      <xdr:col>5</xdr:col>
      <xdr:colOff>0</xdr:colOff>
      <xdr:row>31</xdr:row>
      <xdr:rowOff>0</xdr:rowOff>
    </xdr:to>
    <xdr:cxnSp macro="">
      <xdr:nvCxnSpPr>
        <xdr:cNvPr id="11" name="直線矢印コネクタ 10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9" idx="2"/>
          <a:endCxn id="6" idx="0"/>
        </xdr:cNvCxnSpPr>
      </xdr:nvCxnSpPr>
      <xdr:spPr>
        <a:xfrm>
          <a:off x="1333500" y="5257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190499</xdr:rowOff>
    </xdr:from>
    <xdr:to>
      <xdr:col>11</xdr:col>
      <xdr:colOff>1</xdr:colOff>
      <xdr:row>25</xdr:row>
      <xdr:rowOff>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4" idx="2"/>
          <a:endCxn id="8" idx="0"/>
        </xdr:cNvCxnSpPr>
      </xdr:nvCxnSpPr>
      <xdr:spPr>
        <a:xfrm rot="16200000" flipH="1">
          <a:off x="1333500" y="4495800"/>
          <a:ext cx="16002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37</xdr:row>
      <xdr:rowOff>0</xdr:rowOff>
    </xdr:from>
    <xdr:to>
      <xdr:col>13</xdr:col>
      <xdr:colOff>0</xdr:colOff>
      <xdr:row>39</xdr:row>
      <xdr:rowOff>0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7162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5</xdr:col>
      <xdr:colOff>0</xdr:colOff>
      <xdr:row>25</xdr:row>
      <xdr:rowOff>0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4" idx="2"/>
          <a:endCxn id="9" idx="0"/>
        </xdr:cNvCxnSpPr>
      </xdr:nvCxnSpPr>
      <xdr:spPr>
        <a:xfrm>
          <a:off x="1333500" y="449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35</xdr:row>
      <xdr:rowOff>0</xdr:rowOff>
    </xdr:from>
    <xdr:to>
      <xdr:col>5</xdr:col>
      <xdr:colOff>0</xdr:colOff>
      <xdr:row>37</xdr:row>
      <xdr:rowOff>0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6" idx="2"/>
          <a:endCxn id="7" idx="0"/>
        </xdr:cNvCxnSpPr>
      </xdr:nvCxnSpPr>
      <xdr:spPr>
        <a:xfrm>
          <a:off x="1333500" y="6781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39</xdr:row>
      <xdr:rowOff>0</xdr:rowOff>
    </xdr:from>
    <xdr:to>
      <xdr:col>10</xdr:col>
      <xdr:colOff>235323</xdr:colOff>
      <xdr:row>43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7" idx="2"/>
          <a:endCxn id="215" idx="0"/>
        </xdr:cNvCxnSpPr>
      </xdr:nvCxnSpPr>
      <xdr:spPr>
        <a:xfrm rot="16200000" flipH="1">
          <a:off x="1304925" y="75438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35</xdr:row>
      <xdr:rowOff>0</xdr:rowOff>
    </xdr:from>
    <xdr:to>
      <xdr:col>12</xdr:col>
      <xdr:colOff>0</xdr:colOff>
      <xdr:row>37</xdr:row>
      <xdr:rowOff>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6" idx="2"/>
          <a:endCxn id="14" idx="0"/>
        </xdr:cNvCxnSpPr>
      </xdr:nvCxnSpPr>
      <xdr:spPr>
        <a:xfrm rot="16200000" flipH="1">
          <a:off x="1304925" y="6781800"/>
          <a:ext cx="18954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45</xdr:row>
      <xdr:rowOff>0</xdr:rowOff>
    </xdr:from>
    <xdr:to>
      <xdr:col>61</xdr:col>
      <xdr:colOff>0</xdr:colOff>
      <xdr:row>91</xdr:row>
      <xdr:rowOff>112059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942294" y="8684559"/>
          <a:ext cx="5412441" cy="8875059"/>
        </a:xfrm>
        <a:prstGeom prst="borderCallout1">
          <a:avLst>
            <a:gd name="adj1" fmla="val 48210"/>
            <a:gd name="adj2" fmla="val 884"/>
            <a:gd name="adj3" fmla="val 26254"/>
            <a:gd name="adj4" fmla="val -1297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・[一般小計割引率]：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+保存された割引情報を表示する。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+初回設定の場合、ブランクを表示する。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+数字のみ入力可能、最大2文字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[一般小計割引率]項目にフォーカスが当たる。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・[状態]項目: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+当日が割引日かどうかの状態を表示する。[設定曜日]、[対象日付]が当日かどうかによって状態が異なる。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▸当日が割引日の場合、[実施中]を表示する。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▸当日が割引日ではない場合、[終了中]を表示する。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+編集不可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・[対象日付]: 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+割引日を1から31までの範囲で入力する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+数字のみ入力可能、最大2文字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・[設定曜日]: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+割引を適用する曜日を選択する。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+複数の曜日選択可能 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・[除外部門コード]: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+部門コード、部門名称を含む除外部門のリストを表示する。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+数字のみ入力可能、最大2文字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+1文字を入力した場合、フォーカスアウト時に2文字になるために前ゼロを自動補填する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+入力しない場合、フォーカスアウト時に前ゼロを自動補填しない。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・「F04:クリア」ボタンを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無効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にし、</a:t>
          </a:r>
          <a:r>
            <a:rPr kumimoji="0" lang="en-US" altLang="ja-JP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「F04:クリア」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「F09:確定」ボタンを無効にする。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・以下のいずれかの情報に変更がある場合、</a:t>
          </a:r>
          <a:r>
            <a:rPr kumimoji="0" lang="en-US" altLang="ja-JP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「F04:クリア」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[F09:確定]ボタンを有効にする。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[一般小計割引率], [設定曜日],  [除外部門コード].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・MD0101_店舗一覧モダールでstoreId = 09999の店舗を選択した場合、[除外店舗]エリアを表示する。storeIdが09999以外の店舗を選択した場合、[除外店舗]エリアを表示しない。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+店舗一覧は「コード：名称」形式で表示し、コードの昇順に並べ替える。以前の保存除外店舗の値に従って各店舗項目をチェックする。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[全選択]ボタン：をタッチすると、全ての店舗にチェックを入れる。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+[全解除]ボタン をタッチすると、全ての店舗にチェックを外す。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アクション、イベント：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・部門コードを入力する：KN3202_商品提案機能を実行する。 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+KN1507_部門一覧取得機能からデータを入力する。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+部門が存在している場合、部門名称項目に部門名称を埋め込む。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+部門が存在していない場合、部門名称項目に「データが見つかりません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」を表示する。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・[F04:クリア]ボタンをタッチすると、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変更を解除し、KN3701_メガ割情報取得機能を再度呼び出して編集前の状態に戻る。[ F09:確定]ボタンを無効にする。</a:t>
          </a:r>
        </a:p>
        <a:p>
          <a:pPr>
            <a:defRPr lang="en-US" altLang="ja-JP" sz="1000" b="1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・[F09:確定]ボタンをタッチすると、KN3703_メガ割情報更新機能を実行する。</a:t>
          </a:r>
        </a:p>
      </xdr:txBody>
    </xdr:sp>
    <xdr:clientData/>
  </xdr:twoCellAnchor>
  <xdr:twoCellAnchor>
    <xdr:from>
      <xdr:col>29</xdr:col>
      <xdr:colOff>0</xdr:colOff>
      <xdr:row>49</xdr:row>
      <xdr:rowOff>0</xdr:rowOff>
    </xdr:from>
    <xdr:to>
      <xdr:col>35</xdr:col>
      <xdr:colOff>0</xdr:colOff>
      <xdr:row>53</xdr:row>
      <xdr:rowOff>0</xdr:rowOff>
    </xdr:to>
    <xdr:sp macro="" textlink="" fLocksText="0">
      <xdr:nvSpPr>
        <xdr:cNvPr id="50" name="フローチャート: 磁気ディスク 194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7734300" y="9448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AP3701</a:t>
          </a:r>
        </a:p>
        <a:p>
          <a:pPr algn="ctr">
            <a:defRPr lang="en-US" altLang="ja-JP" sz="9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メガ割取得</a:t>
          </a:r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29</xdr:col>
      <xdr:colOff>0</xdr:colOff>
      <xdr:row>51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72" idx="3"/>
          <a:endCxn id="50" idx="2"/>
        </xdr:cNvCxnSpPr>
      </xdr:nvCxnSpPr>
      <xdr:spPr>
        <a:xfrm>
          <a:off x="2133600" y="9829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55</xdr:row>
      <xdr:rowOff>0</xdr:rowOff>
    </xdr:from>
    <xdr:to>
      <xdr:col>8</xdr:col>
      <xdr:colOff>0</xdr:colOff>
      <xdr:row>59</xdr:row>
      <xdr:rowOff>0</xdr:rowOff>
    </xdr:to>
    <xdr:sp macro="" textlink="" fLocksText="0">
      <xdr:nvSpPr>
        <xdr:cNvPr id="68" name="正方形/長方形 1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533400" y="10591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SC3701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メガ割設定画面</a:t>
          </a:r>
        </a:p>
      </xdr:txBody>
    </xdr:sp>
    <xdr:clientData/>
  </xdr:twoCellAnchor>
  <xdr:twoCellAnchor>
    <xdr:from>
      <xdr:col>5</xdr:col>
      <xdr:colOff>0</xdr:colOff>
      <xdr:row>53</xdr:row>
      <xdr:rowOff>0</xdr:rowOff>
    </xdr:from>
    <xdr:to>
      <xdr:col>5</xdr:col>
      <xdr:colOff>0</xdr:colOff>
      <xdr:row>55</xdr:row>
      <xdr:rowOff>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72" idx="2"/>
          <a:endCxn id="68" idx="0"/>
        </xdr:cNvCxnSpPr>
      </xdr:nvCxnSpPr>
      <xdr:spPr>
        <a:xfrm>
          <a:off x="1333500" y="10210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61</xdr:row>
      <xdr:rowOff>0</xdr:rowOff>
    </xdr:from>
    <xdr:to>
      <xdr:col>14</xdr:col>
      <xdr:colOff>0</xdr:colOff>
      <xdr:row>63</xdr:row>
      <xdr:rowOff>0</xdr:rowOff>
    </xdr:to>
    <xdr:sp macro="" textlink="" fLocksText="0">
      <xdr:nvSpPr>
        <xdr:cNvPr id="74" name="四角形: 角を丸くする 110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2667000" y="1173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F04:クリア</a:t>
          </a:r>
        </a:p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61</xdr:row>
      <xdr:rowOff>0</xdr:rowOff>
    </xdr:from>
    <xdr:to>
      <xdr:col>7</xdr:col>
      <xdr:colOff>0</xdr:colOff>
      <xdr:row>63</xdr:row>
      <xdr:rowOff>0</xdr:rowOff>
    </xdr:to>
    <xdr:sp macro="" textlink="" fLocksText="0">
      <xdr:nvSpPr>
        <xdr:cNvPr id="75" name="四角形: 角を丸くする 1101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800100" y="1173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</a:p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59</xdr:row>
      <xdr:rowOff>0</xdr:rowOff>
    </xdr:from>
    <xdr:to>
      <xdr:col>12</xdr:col>
      <xdr:colOff>0</xdr:colOff>
      <xdr:row>61</xdr:row>
      <xdr:rowOff>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68" idx="2"/>
          <a:endCxn id="74" idx="0"/>
        </xdr:cNvCxnSpPr>
      </xdr:nvCxnSpPr>
      <xdr:spPr>
        <a:xfrm rot="16200000" flipH="1">
          <a:off x="1333500" y="11353800"/>
          <a:ext cx="18669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59</xdr:row>
      <xdr:rowOff>0</xdr:rowOff>
    </xdr:from>
    <xdr:to>
      <xdr:col>5</xdr:col>
      <xdr:colOff>0</xdr:colOff>
      <xdr:row>61</xdr:row>
      <xdr:rowOff>0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>
          <a:stCxn id="68" idx="2"/>
          <a:endCxn id="75" idx="0"/>
        </xdr:cNvCxnSpPr>
      </xdr:nvCxnSpPr>
      <xdr:spPr>
        <a:xfrm>
          <a:off x="1333500" y="11353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78</xdr:row>
      <xdr:rowOff>0</xdr:rowOff>
    </xdr:from>
    <xdr:to>
      <xdr:col>13</xdr:col>
      <xdr:colOff>0</xdr:colOff>
      <xdr:row>80</xdr:row>
      <xdr:rowOff>0</xdr:rowOff>
    </xdr:to>
    <xdr:sp macro="" textlink="" fLocksText="0">
      <xdr:nvSpPr>
        <xdr:cNvPr id="109" name="Rectangle: Rounded Corners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2400300" y="14973300"/>
          <a:ext cx="10668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バリデーションチェックOK</a:t>
          </a:r>
        </a:p>
      </xdr:txBody>
    </xdr:sp>
    <xdr:clientData/>
  </xdr:twoCellAnchor>
  <xdr:twoCellAnchor>
    <xdr:from>
      <xdr:col>2</xdr:col>
      <xdr:colOff>0</xdr:colOff>
      <xdr:row>70</xdr:row>
      <xdr:rowOff>0</xdr:rowOff>
    </xdr:from>
    <xdr:to>
      <xdr:col>8</xdr:col>
      <xdr:colOff>0</xdr:colOff>
      <xdr:row>74</xdr:row>
      <xdr:rowOff>0</xdr:rowOff>
    </xdr:to>
    <xdr:sp macro="" textlink="" fLocksText="0">
      <xdr:nvSpPr>
        <xdr:cNvPr id="137" name="四角形: 角を丸くする 3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533400" y="1344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KN3703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メガ割情報更新機能</a:t>
          </a:r>
        </a:p>
      </xdr:txBody>
    </xdr:sp>
    <xdr:clientData/>
  </xdr:twoCellAnchor>
  <xdr:twoCellAnchor>
    <xdr:from>
      <xdr:col>4</xdr:col>
      <xdr:colOff>235323</xdr:colOff>
      <xdr:row>74</xdr:row>
      <xdr:rowOff>0</xdr:rowOff>
    </xdr:from>
    <xdr:to>
      <xdr:col>10</xdr:col>
      <xdr:colOff>235323</xdr:colOff>
      <xdr:row>78</xdr:row>
      <xdr:rowOff>0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137" idx="2"/>
          <a:endCxn id="109" idx="0"/>
        </xdr:cNvCxnSpPr>
      </xdr:nvCxnSpPr>
      <xdr:spPr>
        <a:xfrm rot="16200000" flipH="1">
          <a:off x="1304925" y="14211300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72</xdr:row>
      <xdr:rowOff>0</xdr:rowOff>
    </xdr:from>
    <xdr:to>
      <xdr:col>29</xdr:col>
      <xdr:colOff>0</xdr:colOff>
      <xdr:row>72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137" idx="3"/>
          <a:endCxn id="37" idx="2"/>
        </xdr:cNvCxnSpPr>
      </xdr:nvCxnSpPr>
      <xdr:spPr>
        <a:xfrm>
          <a:off x="2133600" y="13830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70</xdr:row>
      <xdr:rowOff>0</xdr:rowOff>
    </xdr:from>
    <xdr:to>
      <xdr:col>35</xdr:col>
      <xdr:colOff>0</xdr:colOff>
      <xdr:row>74</xdr:row>
      <xdr:rowOff>0</xdr:rowOff>
    </xdr:to>
    <xdr:sp macro="" textlink="" fLocksText="0">
      <xdr:nvSpPr>
        <xdr:cNvPr id="37" name="フローチャート: 磁気ディスク 19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7734300" y="1344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AP3702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メガ割情報更新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72" name="四角形: 角を丸くする 3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KN3701</a:t>
          </a:r>
        </a:p>
        <a:p>
          <a:pPr algn="ctr"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メガ割情報取得機能</a:t>
          </a:r>
        </a:p>
      </xdr:txBody>
    </xdr:sp>
    <xdr:clientData/>
  </xdr:twoCellAnchor>
  <xdr:twoCellAnchor>
    <xdr:from>
      <xdr:col>38</xdr:col>
      <xdr:colOff>0</xdr:colOff>
      <xdr:row>38</xdr:row>
      <xdr:rowOff>0</xdr:rowOff>
    </xdr:from>
    <xdr:to>
      <xdr:col>61</xdr:col>
      <xdr:colOff>0</xdr:colOff>
      <xdr:row>44</xdr:row>
      <xdr:rowOff>0</xdr:rowOff>
    </xdr:to>
    <xdr:sp macro="" textlink="" fLocksText="0">
      <xdr:nvSpPr>
        <xdr:cNvPr id="173" name="吹き出し: 線 2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10134600" y="7353300"/>
          <a:ext cx="6134100" cy="1143000"/>
        </a:xfrm>
        <a:prstGeom prst="borderCallout1">
          <a:avLst>
            <a:gd name="adj1" fmla="val 50269"/>
            <a:gd name="adj2" fmla="val -151"/>
            <a:gd name="adj3" fmla="val 209158"/>
            <a:gd name="adj4" fmla="val -1297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メガ割情報取得APIを呼び出す。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・IDが09999の店舗を選択した場合、以下のように実行する。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+除外店舗の状態を含む全店舗の一覧を取得する。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+IDが09999の店舗のメガ割引日一覧を取得する。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・IDが09999以外の店舗を選択した場合、その店舗のメガ割引日一覧のみを取得する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sp macro="" textlink="" fLocksText="0">
      <xdr:nvSpPr>
        <xdr:cNvPr id="49" name="Rectangle: Rounded Corners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533400" y="8877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37</a:t>
          </a:r>
        </a:p>
      </xdr:txBody>
    </xdr:sp>
    <xdr:clientData/>
  </xdr:twoCellAnchor>
  <xdr:twoCellAnchor>
    <xdr:from>
      <xdr:col>4</xdr:col>
      <xdr:colOff>0</xdr:colOff>
      <xdr:row>46</xdr:row>
      <xdr:rowOff>95250</xdr:rowOff>
    </xdr:from>
    <xdr:to>
      <xdr:col>5</xdr:col>
      <xdr:colOff>0</xdr:colOff>
      <xdr:row>49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49" idx="3"/>
          <a:endCxn id="72" idx="0"/>
        </xdr:cNvCxnSpPr>
      </xdr:nvCxnSpPr>
      <xdr:spPr>
        <a:xfrm>
          <a:off x="1066800" y="8972550"/>
          <a:ext cx="2667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1</xdr:colOff>
      <xdr:row>65</xdr:row>
      <xdr:rowOff>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74" idx="2"/>
          <a:endCxn id="103" idx="0"/>
        </xdr:cNvCxnSpPr>
      </xdr:nvCxnSpPr>
      <xdr:spPr>
        <a:xfrm>
          <a:off x="3200400" y="1211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65</xdr:row>
      <xdr:rowOff>0</xdr:rowOff>
    </xdr:from>
    <xdr:to>
      <xdr:col>13</xdr:col>
      <xdr:colOff>0</xdr:colOff>
      <xdr:row>66</xdr:row>
      <xdr:rowOff>0</xdr:rowOff>
    </xdr:to>
    <xdr:sp macro="" textlink="" fLocksText="0">
      <xdr:nvSpPr>
        <xdr:cNvPr id="103" name="Rectangle: Rounded Corners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933700" y="12496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37</a:t>
          </a:r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7</xdr:col>
      <xdr:colOff>0</xdr:colOff>
      <xdr:row>80</xdr:row>
      <xdr:rowOff>0</xdr:rowOff>
    </xdr:to>
    <xdr:sp macro="" textlink="" fLocksText="0">
      <xdr:nvSpPr>
        <xdr:cNvPr id="107" name="Rectangle: Rounded Corners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800100" y="14973300"/>
          <a:ext cx="10668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</a:t>
          </a:r>
        </a:p>
      </xdr:txBody>
    </xdr:sp>
    <xdr:clientData/>
  </xdr:twoCellAnchor>
  <xdr:twoCellAnchor>
    <xdr:from>
      <xdr:col>5</xdr:col>
      <xdr:colOff>0</xdr:colOff>
      <xdr:row>63</xdr:row>
      <xdr:rowOff>0</xdr:rowOff>
    </xdr:from>
    <xdr:to>
      <xdr:col>5</xdr:col>
      <xdr:colOff>0</xdr:colOff>
      <xdr:row>70</xdr:row>
      <xdr:rowOff>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CxnSpPr>
          <a:stCxn id="75" idx="2"/>
          <a:endCxn id="137" idx="0"/>
        </xdr:cNvCxnSpPr>
      </xdr:nvCxnSpPr>
      <xdr:spPr>
        <a:xfrm>
          <a:off x="1333500" y="12115800"/>
          <a:ext cx="0" cy="1333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8</xdr:col>
      <xdr:colOff>0</xdr:colOff>
      <xdr:row>86</xdr:row>
      <xdr:rowOff>0</xdr:rowOff>
    </xdr:to>
    <xdr:sp macro="" textlink="" fLocksText="0">
      <xdr:nvSpPr>
        <xdr:cNvPr id="134" name="正方形/長方形 19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533400" y="15735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バリデーションチェックNGのモダール</a:t>
          </a:r>
        </a:p>
      </xdr:txBody>
    </xdr:sp>
    <xdr:clientData/>
  </xdr:twoCellAnchor>
  <xdr:twoCellAnchor>
    <xdr:from>
      <xdr:col>5</xdr:col>
      <xdr:colOff>0</xdr:colOff>
      <xdr:row>80</xdr:row>
      <xdr:rowOff>0</xdr:rowOff>
    </xdr:from>
    <xdr:to>
      <xdr:col>5</xdr:col>
      <xdr:colOff>0</xdr:colOff>
      <xdr:row>82</xdr:row>
      <xdr:rowOff>0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CxnSpPr>
          <a:stCxn id="107" idx="2"/>
          <a:endCxn id="134" idx="0"/>
        </xdr:cNvCxnSpPr>
      </xdr:nvCxnSpPr>
      <xdr:spPr>
        <a:xfrm>
          <a:off x="1333500" y="1535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61</xdr:row>
      <xdr:rowOff>0</xdr:rowOff>
    </xdr:from>
    <xdr:to>
      <xdr:col>21</xdr:col>
      <xdr:colOff>0</xdr:colOff>
      <xdr:row>63</xdr:row>
      <xdr:rowOff>0</xdr:rowOff>
    </xdr:to>
    <xdr:sp macro="" textlink="" fLocksText="0">
      <xdr:nvSpPr>
        <xdr:cNvPr id="142" name="四角形: 角を丸くする 110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4533900" y="11734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商品部門コード入力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59</xdr:row>
      <xdr:rowOff>0</xdr:rowOff>
    </xdr:from>
    <xdr:to>
      <xdr:col>18</xdr:col>
      <xdr:colOff>235322</xdr:colOff>
      <xdr:row>61</xdr:row>
      <xdr:rowOff>0</xdr:rowOff>
    </xdr:to>
    <xdr:cxnSp macro="">
      <xdr:nvCxnSpPr>
        <xdr:cNvPr id="146" name="Connector: Elbow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stCxn id="68" idx="2"/>
          <a:endCxn id="142" idx="0"/>
        </xdr:cNvCxnSpPr>
      </xdr:nvCxnSpPr>
      <xdr:spPr>
        <a:xfrm rot="16200000" flipH="1">
          <a:off x="1304925" y="11353800"/>
          <a:ext cx="37338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65</xdr:row>
      <xdr:rowOff>0</xdr:rowOff>
    </xdr:from>
    <xdr:to>
      <xdr:col>21</xdr:col>
      <xdr:colOff>235323</xdr:colOff>
      <xdr:row>69</xdr:row>
      <xdr:rowOff>0</xdr:rowOff>
    </xdr:to>
    <xdr:sp macro="" textlink="" fLocksText="0">
      <xdr:nvSpPr>
        <xdr:cNvPr id="162" name="四角形: 角を丸くする 3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4267200" y="12496800"/>
          <a:ext cx="157162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KN3702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商品部門提案機能</a:t>
          </a:r>
        </a:p>
      </xdr:txBody>
    </xdr:sp>
    <xdr:clientData/>
  </xdr:twoCellAnchor>
  <xdr:twoCellAnchor>
    <xdr:from>
      <xdr:col>19</xdr:col>
      <xdr:colOff>0</xdr:colOff>
      <xdr:row>63</xdr:row>
      <xdr:rowOff>0</xdr:rowOff>
    </xdr:from>
    <xdr:to>
      <xdr:col>19</xdr:col>
      <xdr:colOff>0</xdr:colOff>
      <xdr:row>65</xdr:row>
      <xdr:rowOff>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CxnSpPr>
          <a:stCxn id="142" idx="2"/>
          <a:endCxn id="162" idx="0"/>
        </xdr:cNvCxnSpPr>
      </xdr:nvCxnSpPr>
      <xdr:spPr>
        <a:xfrm>
          <a:off x="5067300" y="1211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74</xdr:row>
      <xdr:rowOff>0</xdr:rowOff>
    </xdr:from>
    <xdr:to>
      <xdr:col>5</xdr:col>
      <xdr:colOff>0</xdr:colOff>
      <xdr:row>78</xdr:row>
      <xdr:rowOff>0</xdr:rowOff>
    </xdr:to>
    <xdr:cxnSp macro="">
      <xdr:nvCxnSpPr>
        <xdr:cNvPr id="204" name="Straight Arrow Connector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CxnSpPr>
          <a:stCxn id="137" idx="2"/>
          <a:endCxn id="107" idx="0"/>
        </xdr:cNvCxnSpPr>
      </xdr:nvCxnSpPr>
      <xdr:spPr>
        <a:xfrm>
          <a:off x="1333500" y="14211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0</xdr:colOff>
      <xdr:row>82</xdr:row>
      <xdr:rowOff>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CxnSpPr>
          <a:stCxn id="109" idx="2"/>
          <a:endCxn id="209" idx="0"/>
        </xdr:cNvCxnSpPr>
      </xdr:nvCxnSpPr>
      <xdr:spPr>
        <a:xfrm>
          <a:off x="2933700" y="1535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0</xdr:rowOff>
    </xdr:to>
    <xdr:sp macro="" textlink="" fLocksText="0">
      <xdr:nvSpPr>
        <xdr:cNvPr id="209" name="Rectangle: Rounded Corners 208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2667000" y="1573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37</a:t>
          </a:r>
        </a:p>
      </xdr:txBody>
    </xdr:sp>
    <xdr:clientData/>
  </xdr:twoCellAnchor>
  <xdr:twoCellAnchor>
    <xdr:from>
      <xdr:col>29</xdr:col>
      <xdr:colOff>0</xdr:colOff>
      <xdr:row>43</xdr:row>
      <xdr:rowOff>0</xdr:rowOff>
    </xdr:from>
    <xdr:to>
      <xdr:col>35</xdr:col>
      <xdr:colOff>0</xdr:colOff>
      <xdr:row>47</xdr:row>
      <xdr:rowOff>0</xdr:rowOff>
    </xdr:to>
    <xdr:sp macro="" textlink="" fLocksText="0">
      <xdr:nvSpPr>
        <xdr:cNvPr id="214" name="フローチャート: 磁気ディスク 194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77343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AP1508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商品部門取得</a:t>
          </a:r>
        </a:p>
      </xdr:txBody>
    </xdr:sp>
    <xdr:clientData/>
  </xdr:twoCellAnchor>
  <xdr:twoCellAnchor>
    <xdr:from>
      <xdr:col>8</xdr:col>
      <xdr:colOff>0</xdr:colOff>
      <xdr:row>43</xdr:row>
      <xdr:rowOff>0</xdr:rowOff>
    </xdr:from>
    <xdr:to>
      <xdr:col>14</xdr:col>
      <xdr:colOff>0</xdr:colOff>
      <xdr:row>47</xdr:row>
      <xdr:rowOff>0</xdr:rowOff>
    </xdr:to>
    <xdr:sp macro="" textlink="" fLocksText="0">
      <xdr:nvSpPr>
        <xdr:cNvPr id="215" name="四角形: 角を丸くする 3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/>
      </xdr:nvSpPr>
      <xdr:spPr>
        <a:xfrm>
          <a:off x="2133600" y="8305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KN1507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商品部門一覧取得機能</a:t>
          </a:r>
        </a:p>
      </xdr:txBody>
    </xdr:sp>
    <xdr:clientData/>
  </xdr:twoCellAnchor>
  <xdr:twoCellAnchor>
    <xdr:from>
      <xdr:col>14</xdr:col>
      <xdr:colOff>0</xdr:colOff>
      <xdr:row>45</xdr:row>
      <xdr:rowOff>0</xdr:rowOff>
    </xdr:from>
    <xdr:to>
      <xdr:col>29</xdr:col>
      <xdr:colOff>0</xdr:colOff>
      <xdr:row>45</xdr:row>
      <xdr:rowOff>0</xdr:rowOff>
    </xdr:to>
    <xdr:cxnSp macro="">
      <xdr:nvCxnSpPr>
        <xdr:cNvPr id="216" name="直線矢印コネクタ 196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CxnSpPr>
          <a:stCxn id="215" idx="3"/>
          <a:endCxn id="214" idx="2"/>
        </xdr:cNvCxnSpPr>
      </xdr:nvCxnSpPr>
      <xdr:spPr>
        <a:xfrm>
          <a:off x="3733800" y="8686800"/>
          <a:ext cx="40005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0</xdr:rowOff>
    </xdr:from>
    <xdr:to>
      <xdr:col>5</xdr:col>
      <xdr:colOff>0</xdr:colOff>
      <xdr:row>49</xdr:row>
      <xdr:rowOff>0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CxnSpPr>
          <a:stCxn id="7" idx="2"/>
          <a:endCxn id="72" idx="0"/>
        </xdr:cNvCxnSpPr>
      </xdr:nvCxnSpPr>
      <xdr:spPr>
        <a:xfrm>
          <a:off x="1333500" y="75438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35</xdr:row>
      <xdr:rowOff>0</xdr:rowOff>
    </xdr:from>
    <xdr:to>
      <xdr:col>61</xdr:col>
      <xdr:colOff>0</xdr:colOff>
      <xdr:row>36</xdr:row>
      <xdr:rowOff>179294</xdr:rowOff>
    </xdr:to>
    <xdr:sp macro="" textlink="" fLocksText="0">
      <xdr:nvSpPr>
        <xdr:cNvPr id="238" name="吹き出し: 線 2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/>
      </xdr:nvSpPr>
      <xdr:spPr>
        <a:xfrm>
          <a:off x="10134600" y="6781800"/>
          <a:ext cx="6134100" cy="371475"/>
        </a:xfrm>
        <a:prstGeom prst="borderCallout1">
          <a:avLst>
            <a:gd name="adj1" fmla="val 50269"/>
            <a:gd name="adj2" fmla="val -151"/>
            <a:gd name="adj3" fmla="val 469301"/>
            <a:gd name="adj4" fmla="val -1040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KN3702_商品部門提案機能に使用するために全て商品部門取得APIを呼び出す。</a:t>
          </a:r>
        </a:p>
      </xdr:txBody>
    </xdr:sp>
    <xdr:clientData/>
  </xdr:twoCellAnchor>
  <xdr:twoCellAnchor>
    <xdr:from>
      <xdr:col>5</xdr:col>
      <xdr:colOff>0</xdr:colOff>
      <xdr:row>47</xdr:row>
      <xdr:rowOff>1</xdr:rowOff>
    </xdr:from>
    <xdr:to>
      <xdr:col>11</xdr:col>
      <xdr:colOff>0</xdr:colOff>
      <xdr:row>55</xdr:row>
      <xdr:rowOff>1</xdr:rowOff>
    </xdr:to>
    <xdr:cxnSp macro="">
      <xdr:nvCxnSpPr>
        <xdr:cNvPr id="248" name="Straight Arrow Connector 22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CxnSpPr>
          <a:stCxn id="215" idx="2"/>
          <a:endCxn id="68" idx="0"/>
        </xdr:cNvCxnSpPr>
      </xdr:nvCxnSpPr>
      <xdr:spPr>
        <a:xfrm rot="5400000">
          <a:off x="1333500" y="9067800"/>
          <a:ext cx="1600200" cy="1524000"/>
        </a:xfrm>
        <a:prstGeom prst="bentConnector3">
          <a:avLst>
            <a:gd name="adj1" fmla="val 8676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43308</xdr:colOff>
      <xdr:row>45</xdr:row>
      <xdr:rowOff>0</xdr:rowOff>
    </xdr:from>
    <xdr:to>
      <xdr:col>113</xdr:col>
      <xdr:colOff>0</xdr:colOff>
      <xdr:row>72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68875" y="8686800"/>
          <a:ext cx="12487275" cy="514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0</xdr:colOff>
      <xdr:row>44</xdr:row>
      <xdr:rowOff>170281</xdr:rowOff>
    </xdr:from>
    <xdr:to>
      <xdr:col>161</xdr:col>
      <xdr:colOff>0</xdr:colOff>
      <xdr:row>72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22850" y="8667750"/>
          <a:ext cx="12534900" cy="516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" customWidth="1"/>
    <col min="61" max="16384" width="2.77734375" style="23"/>
  </cols>
  <sheetData>
    <row r="1" spans="1:63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8" t="s">
        <v>36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10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07" t="s">
        <v>42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10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72" t="str">
        <f>改訂履歴!$H$11</f>
        <v>LoiLV</v>
      </c>
      <c r="AQ2" s="73"/>
      <c r="AR2" s="73"/>
      <c r="AS2" s="74"/>
      <c r="AT2" s="101">
        <f>改訂履歴!$B$11</f>
        <v>45439</v>
      </c>
      <c r="AU2" s="102"/>
      <c r="AV2" s="102"/>
      <c r="AW2" s="102"/>
      <c r="AX2" s="103"/>
      <c r="AY2" s="72" t="str">
        <f>LOOKUP(2,1/(改訂履歴!H11:H29998&lt;&gt;""),改訂履歴!H11:H29998)</f>
        <v>LoiLV</v>
      </c>
      <c r="AZ2" s="73"/>
      <c r="BA2" s="73"/>
      <c r="BB2" s="74"/>
      <c r="BC2" s="101">
        <f>LOOKUP(2,1/(改訂履歴!B11:B29998&lt;&gt;""),改訂履歴!B11:B29998)</f>
        <v>45455</v>
      </c>
      <c r="BD2" s="102"/>
      <c r="BE2" s="102"/>
      <c r="BF2" s="102"/>
      <c r="BG2" s="103"/>
      <c r="BH2" s="95">
        <f>LOOKUP(2,1/(改訂履歴!O11:O29998&lt;&gt;""),改訂履歴!O11:O29998)</f>
        <v>0.13</v>
      </c>
      <c r="BI2" s="96"/>
      <c r="BJ2" s="96"/>
      <c r="BK2" s="97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6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98"/>
      <c r="BI3" s="99"/>
      <c r="BJ3" s="99"/>
      <c r="BK3" s="100"/>
    </row>
    <row r="4" spans="1:63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">
        <v>33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">
        <v>11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表紙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K7" s="28"/>
    </row>
    <row r="8" spans="1:63" ht="15" customHeight="1" x14ac:dyDescent="0.25">
      <c r="A8" s="27"/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K10" s="28"/>
    </row>
    <row r="11" spans="1:63" ht="15" customHeight="1" x14ac:dyDescent="0.25">
      <c r="A11" s="27"/>
      <c r="BK11" s="28"/>
    </row>
    <row r="12" spans="1:63" ht="15" customHeight="1" x14ac:dyDescent="0.25">
      <c r="A12" s="27"/>
      <c r="BK12" s="28"/>
    </row>
    <row r="13" spans="1:63" ht="15" customHeight="1" x14ac:dyDescent="0.25">
      <c r="A13" s="27"/>
      <c r="BK13" s="28"/>
    </row>
    <row r="14" spans="1:63" ht="15" customHeight="1" thickBot="1" x14ac:dyDescent="0.3">
      <c r="A14" s="27"/>
      <c r="BK14" s="28"/>
    </row>
    <row r="15" spans="1:63" ht="15" customHeight="1" thickTop="1" x14ac:dyDescent="0.25">
      <c r="A15" s="27"/>
      <c r="K15" s="29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1"/>
      <c r="BK15" s="28"/>
    </row>
    <row r="16" spans="1:63" ht="15" customHeight="1" x14ac:dyDescent="0.25">
      <c r="A16" s="27"/>
      <c r="K16" s="32"/>
      <c r="L16" s="90" t="s">
        <v>45</v>
      </c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33"/>
      <c r="BK16" s="28"/>
    </row>
    <row r="17" spans="1:63" ht="15" customHeight="1" x14ac:dyDescent="0.25">
      <c r="A17" s="27"/>
      <c r="K17" s="32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33"/>
      <c r="BK17" s="28"/>
    </row>
    <row r="18" spans="1:63" ht="15" customHeight="1" x14ac:dyDescent="0.25">
      <c r="A18" s="27"/>
      <c r="K18" s="32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33"/>
      <c r="BK18" s="28"/>
    </row>
    <row r="19" spans="1:63" ht="15" customHeight="1" x14ac:dyDescent="0.25">
      <c r="A19" s="27"/>
      <c r="K19" s="32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33"/>
      <c r="BK19" s="28"/>
    </row>
    <row r="20" spans="1:63" ht="15" customHeight="1" x14ac:dyDescent="0.25">
      <c r="A20" s="27"/>
      <c r="K20" s="32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33"/>
      <c r="BK20" s="28"/>
    </row>
    <row r="21" spans="1:63" ht="15" customHeight="1" x14ac:dyDescent="0.25">
      <c r="A21" s="27"/>
      <c r="K21" s="32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33"/>
      <c r="BK21" s="28"/>
    </row>
    <row r="22" spans="1:63" ht="15" customHeight="1" thickBot="1" x14ac:dyDescent="0.3">
      <c r="A22" s="27"/>
      <c r="K22" s="32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3"/>
      <c r="BK22" s="28"/>
    </row>
    <row r="23" spans="1:63" ht="15" customHeight="1" x14ac:dyDescent="0.25">
      <c r="A23" s="27"/>
      <c r="K23" s="32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3"/>
      <c r="BK23" s="28"/>
    </row>
    <row r="24" spans="1:63" ht="15" customHeight="1" x14ac:dyDescent="0.25">
      <c r="A24" s="27"/>
      <c r="K24" s="32"/>
      <c r="L24" s="91" t="str">
        <f>K2&amp;"/"&amp;H4&amp;"/"&amp;Z4</f>
        <v>POSサーバー/37_メガ割設定/概要設計書</v>
      </c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33"/>
      <c r="BK24" s="28"/>
    </row>
    <row r="25" spans="1:63" ht="15" customHeight="1" x14ac:dyDescent="0.25">
      <c r="A25" s="27"/>
      <c r="K25" s="32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33"/>
      <c r="BK25" s="28"/>
    </row>
    <row r="26" spans="1:63" ht="15" customHeight="1" x14ac:dyDescent="0.25">
      <c r="A26" s="27"/>
      <c r="K26" s="32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33"/>
      <c r="BK26" s="28"/>
    </row>
    <row r="27" spans="1:63" ht="15" customHeight="1" x14ac:dyDescent="0.25">
      <c r="A27" s="27"/>
      <c r="K27" s="32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33"/>
      <c r="BK27" s="28"/>
    </row>
    <row r="28" spans="1:63" ht="15" customHeight="1" x14ac:dyDescent="0.25">
      <c r="A28" s="27"/>
      <c r="K28" s="32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33"/>
      <c r="BK28" s="28"/>
    </row>
    <row r="29" spans="1:63" ht="15" customHeight="1" x14ac:dyDescent="0.25">
      <c r="A29" s="27"/>
      <c r="K29" s="32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33"/>
      <c r="BK29" s="28"/>
    </row>
    <row r="30" spans="1:63" ht="15" customHeight="1" x14ac:dyDescent="0.25">
      <c r="A30" s="27"/>
      <c r="K30" s="32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33"/>
      <c r="BK30" s="28"/>
    </row>
    <row r="31" spans="1:63" ht="15" customHeight="1" x14ac:dyDescent="0.25">
      <c r="A31" s="27"/>
      <c r="K31" s="32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33"/>
      <c r="BK31" s="28"/>
    </row>
    <row r="32" spans="1:63" ht="15" customHeight="1" x14ac:dyDescent="0.25">
      <c r="A32" s="27"/>
      <c r="K32" s="32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33"/>
      <c r="BK32" s="28"/>
    </row>
    <row r="33" spans="1:63" ht="15" customHeight="1" x14ac:dyDescent="0.25">
      <c r="A33" s="27"/>
      <c r="K33" s="32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33"/>
      <c r="BK33" s="28"/>
    </row>
    <row r="34" spans="1:63" ht="15" customHeight="1" x14ac:dyDescent="0.25">
      <c r="A34" s="27"/>
      <c r="K34" s="32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33"/>
      <c r="BK34" s="28"/>
    </row>
    <row r="35" spans="1:63" ht="15" customHeight="1" x14ac:dyDescent="0.25">
      <c r="A35" s="27"/>
      <c r="K35" s="32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33"/>
      <c r="BK35" s="28"/>
    </row>
    <row r="36" spans="1:63" ht="15" customHeight="1" x14ac:dyDescent="0.25">
      <c r="A36" s="27"/>
      <c r="K36" s="32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33"/>
      <c r="BK36" s="28"/>
    </row>
    <row r="37" spans="1:63" ht="15" customHeight="1" thickBot="1" x14ac:dyDescent="0.3">
      <c r="A37" s="27"/>
      <c r="K37" s="36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8"/>
      <c r="BK37" s="28"/>
    </row>
    <row r="38" spans="1:63" ht="15" customHeight="1" thickTop="1" x14ac:dyDescent="0.25">
      <c r="A38" s="27"/>
      <c r="BK38" s="28"/>
    </row>
    <row r="39" spans="1:63" ht="15" customHeight="1" x14ac:dyDescent="0.25">
      <c r="A39" s="27"/>
      <c r="BK39" s="28"/>
    </row>
    <row r="40" spans="1:63" ht="15" customHeight="1" x14ac:dyDescent="0.25">
      <c r="A40" s="27"/>
      <c r="BK40" s="28"/>
    </row>
    <row r="41" spans="1:63" ht="15" customHeight="1" x14ac:dyDescent="0.25">
      <c r="A41" s="27"/>
      <c r="BK41" s="28"/>
    </row>
    <row r="42" spans="1:63" ht="15" customHeight="1" x14ac:dyDescent="0.25">
      <c r="A42" s="27"/>
      <c r="BK42" s="28"/>
    </row>
    <row r="43" spans="1:63" ht="15" customHeight="1" x14ac:dyDescent="0.25">
      <c r="A43" s="27"/>
      <c r="BK43" s="28"/>
    </row>
    <row r="44" spans="1:63" ht="15" customHeight="1" x14ac:dyDescent="0.25">
      <c r="A44" s="27"/>
      <c r="Q44" s="81" t="s">
        <v>46</v>
      </c>
      <c r="R44" s="82"/>
      <c r="S44" s="82"/>
      <c r="T44" s="82"/>
      <c r="U44" s="82"/>
      <c r="V44" s="82"/>
      <c r="W44" s="82"/>
      <c r="X44" s="82"/>
      <c r="Y44" s="82"/>
      <c r="Z44" s="83"/>
      <c r="AA44" s="81" t="s">
        <v>47</v>
      </c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3"/>
      <c r="AQ44" s="81" t="s">
        <v>41</v>
      </c>
      <c r="AR44" s="82"/>
      <c r="AS44" s="82"/>
      <c r="AT44" s="82"/>
      <c r="AU44" s="83"/>
      <c r="BK44" s="28"/>
    </row>
    <row r="45" spans="1:63" ht="15" customHeight="1" x14ac:dyDescent="0.25">
      <c r="A45" s="27"/>
      <c r="Q45" s="84"/>
      <c r="R45" s="85"/>
      <c r="S45" s="85"/>
      <c r="T45" s="85"/>
      <c r="U45" s="85"/>
      <c r="V45" s="85"/>
      <c r="W45" s="85"/>
      <c r="X45" s="85"/>
      <c r="Y45" s="85"/>
      <c r="Z45" s="86"/>
      <c r="AA45" s="84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6"/>
      <c r="AQ45" s="84"/>
      <c r="AR45" s="85"/>
      <c r="AS45" s="85"/>
      <c r="AT45" s="85"/>
      <c r="AU45" s="86"/>
      <c r="BK45" s="28"/>
    </row>
    <row r="46" spans="1:63" ht="15" customHeight="1" x14ac:dyDescent="0.25">
      <c r="A46" s="27"/>
      <c r="Q46" s="72"/>
      <c r="R46" s="73"/>
      <c r="S46" s="73"/>
      <c r="T46" s="73"/>
      <c r="U46" s="73"/>
      <c r="V46" s="73"/>
      <c r="W46" s="73"/>
      <c r="X46" s="73"/>
      <c r="Y46" s="73"/>
      <c r="Z46" s="74"/>
      <c r="AA46" s="72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4"/>
      <c r="AQ46" s="72"/>
      <c r="AR46" s="73"/>
      <c r="AS46" s="73"/>
      <c r="AT46" s="73"/>
      <c r="AU46" s="74"/>
      <c r="BK46" s="28"/>
    </row>
    <row r="47" spans="1:63" ht="15" customHeight="1" x14ac:dyDescent="0.25">
      <c r="A47" s="27"/>
      <c r="Q47" s="75"/>
      <c r="R47" s="76"/>
      <c r="S47" s="76"/>
      <c r="T47" s="76"/>
      <c r="U47" s="76"/>
      <c r="V47" s="76"/>
      <c r="W47" s="76"/>
      <c r="X47" s="76"/>
      <c r="Y47" s="76"/>
      <c r="Z47" s="77"/>
      <c r="AA47" s="75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7"/>
      <c r="AQ47" s="75"/>
      <c r="AR47" s="76"/>
      <c r="AS47" s="76"/>
      <c r="AT47" s="76"/>
      <c r="AU47" s="77"/>
      <c r="BK47" s="28"/>
    </row>
    <row r="48" spans="1:63" ht="15" customHeight="1" x14ac:dyDescent="0.25">
      <c r="A48" s="27"/>
      <c r="Q48" s="75"/>
      <c r="R48" s="76"/>
      <c r="S48" s="76"/>
      <c r="T48" s="76"/>
      <c r="U48" s="76"/>
      <c r="V48" s="76"/>
      <c r="W48" s="76"/>
      <c r="X48" s="76"/>
      <c r="Y48" s="76"/>
      <c r="Z48" s="77"/>
      <c r="AA48" s="75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7"/>
      <c r="AQ48" s="75"/>
      <c r="AR48" s="76"/>
      <c r="AS48" s="76"/>
      <c r="AT48" s="76"/>
      <c r="AU48" s="77"/>
      <c r="BK48" s="28"/>
    </row>
    <row r="49" spans="1:63" ht="15" customHeight="1" x14ac:dyDescent="0.25">
      <c r="A49" s="27"/>
      <c r="Q49" s="78"/>
      <c r="R49" s="79"/>
      <c r="S49" s="79"/>
      <c r="T49" s="79"/>
      <c r="U49" s="79"/>
      <c r="V49" s="79"/>
      <c r="W49" s="79"/>
      <c r="X49" s="79"/>
      <c r="Y49" s="79"/>
      <c r="Z49" s="80"/>
      <c r="AA49" s="78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80"/>
      <c r="AQ49" s="78"/>
      <c r="AR49" s="79"/>
      <c r="AS49" s="79"/>
      <c r="AT49" s="79"/>
      <c r="AU49" s="80"/>
      <c r="BK49" s="28"/>
    </row>
    <row r="50" spans="1:63" ht="15" customHeight="1" x14ac:dyDescent="0.25">
      <c r="A50" s="27"/>
      <c r="BK50" s="28"/>
    </row>
    <row r="51" spans="1:63" ht="15" customHeight="1" x14ac:dyDescent="0.25">
      <c r="A51" s="27"/>
      <c r="BK51" s="28"/>
    </row>
    <row r="52" spans="1:63" ht="15" customHeight="1" x14ac:dyDescent="0.25">
      <c r="A52" s="27"/>
      <c r="BK52" s="28"/>
    </row>
    <row r="53" spans="1:63" ht="15" customHeight="1" x14ac:dyDescent="0.25">
      <c r="A53" s="27"/>
      <c r="BK53" s="28"/>
    </row>
    <row r="54" spans="1:63" ht="15" customHeight="1" x14ac:dyDescent="0.25">
      <c r="A54" s="27"/>
      <c r="BK54" s="28"/>
    </row>
    <row r="55" spans="1:63" ht="15" customHeight="1" x14ac:dyDescent="0.2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3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3" customWidth="1"/>
    <col min="61" max="16384" width="2.77734375" style="23"/>
  </cols>
  <sheetData>
    <row r="1" spans="1:63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8" t="str">
        <f>IF(表紙!W1="","",表紙!W1)</f>
        <v>基本設計書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10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6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3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tr">
        <f>IF(表紙!H4="","",表紙!H4)</f>
        <v>37_メガ割設定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tr">
        <f>IF(表紙!Z4="","",表紙!Z4)</f>
        <v>概要設計書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改訂履歴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K7" s="28"/>
    </row>
    <row r="8" spans="1:63" ht="15" customHeight="1" x14ac:dyDescent="0.25">
      <c r="A8" s="27"/>
      <c r="B8" s="23" t="s">
        <v>9</v>
      </c>
      <c r="BK8" s="28"/>
    </row>
    <row r="9" spans="1:63" ht="15" customHeight="1" x14ac:dyDescent="0.25">
      <c r="A9" s="27"/>
      <c r="BK9" s="28"/>
    </row>
    <row r="10" spans="1:63" ht="15" customHeight="1" x14ac:dyDescent="0.25">
      <c r="A10" s="27"/>
      <c r="B10" s="129" t="s">
        <v>40</v>
      </c>
      <c r="C10" s="129"/>
      <c r="D10" s="129"/>
      <c r="E10" s="129"/>
      <c r="F10" s="129"/>
      <c r="G10" s="129"/>
      <c r="H10" s="129" t="s">
        <v>39</v>
      </c>
      <c r="I10" s="129"/>
      <c r="J10" s="129"/>
      <c r="K10" s="129"/>
      <c r="L10" s="129"/>
      <c r="M10" s="129"/>
      <c r="N10" s="129"/>
      <c r="O10" s="129" t="s">
        <v>41</v>
      </c>
      <c r="P10" s="129"/>
      <c r="Q10" s="129"/>
      <c r="R10" s="129"/>
      <c r="S10" s="129" t="s">
        <v>48</v>
      </c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 t="s">
        <v>46</v>
      </c>
      <c r="AY10" s="129"/>
      <c r="AZ10" s="129"/>
      <c r="BA10" s="129"/>
      <c r="BB10" s="129"/>
      <c r="BC10" s="129"/>
      <c r="BD10" s="129" t="s">
        <v>47</v>
      </c>
      <c r="BE10" s="129"/>
      <c r="BF10" s="129"/>
      <c r="BG10" s="129"/>
      <c r="BH10" s="129"/>
      <c r="BI10" s="129"/>
      <c r="BJ10" s="129"/>
      <c r="BK10" s="28"/>
    </row>
    <row r="11" spans="1:63" ht="15" customHeight="1" x14ac:dyDescent="0.25">
      <c r="A11" s="27"/>
      <c r="B11" s="101">
        <v>45439</v>
      </c>
      <c r="C11" s="73"/>
      <c r="D11" s="73"/>
      <c r="E11" s="73"/>
      <c r="F11" s="73"/>
      <c r="G11" s="74"/>
      <c r="H11" s="107" t="s">
        <v>49</v>
      </c>
      <c r="I11" s="73"/>
      <c r="J11" s="73"/>
      <c r="K11" s="73"/>
      <c r="L11" s="73"/>
      <c r="M11" s="73"/>
      <c r="N11" s="74"/>
      <c r="O11" s="72">
        <v>0.1</v>
      </c>
      <c r="P11" s="73"/>
      <c r="Q11" s="73"/>
      <c r="R11" s="73"/>
      <c r="S11" s="117" t="s">
        <v>15</v>
      </c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9"/>
      <c r="AX11" s="120"/>
      <c r="AY11" s="120"/>
      <c r="AZ11" s="120"/>
      <c r="BA11" s="120"/>
      <c r="BB11" s="120"/>
      <c r="BC11" s="121"/>
      <c r="BD11" s="124"/>
      <c r="BE11" s="120"/>
      <c r="BF11" s="120"/>
      <c r="BG11" s="120"/>
      <c r="BH11" s="120"/>
      <c r="BI11" s="120"/>
      <c r="BJ11" s="121"/>
      <c r="BK11" s="28"/>
    </row>
    <row r="12" spans="1:63" ht="15" customHeight="1" x14ac:dyDescent="0.25">
      <c r="A12" s="27"/>
      <c r="B12" s="78"/>
      <c r="C12" s="79"/>
      <c r="D12" s="79"/>
      <c r="E12" s="79"/>
      <c r="F12" s="79"/>
      <c r="G12" s="80"/>
      <c r="H12" s="78"/>
      <c r="I12" s="79"/>
      <c r="J12" s="79"/>
      <c r="K12" s="79"/>
      <c r="L12" s="79"/>
      <c r="M12" s="79"/>
      <c r="N12" s="80"/>
      <c r="O12" s="78"/>
      <c r="P12" s="79"/>
      <c r="Q12" s="79"/>
      <c r="R12" s="79"/>
      <c r="S12" s="126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8"/>
      <c r="AX12" s="122"/>
      <c r="AY12" s="122"/>
      <c r="AZ12" s="122"/>
      <c r="BA12" s="122"/>
      <c r="BB12" s="122"/>
      <c r="BC12" s="123"/>
      <c r="BD12" s="125"/>
      <c r="BE12" s="122"/>
      <c r="BF12" s="122"/>
      <c r="BG12" s="122"/>
      <c r="BH12" s="122"/>
      <c r="BI12" s="122"/>
      <c r="BJ12" s="123"/>
      <c r="BK12" s="28"/>
    </row>
    <row r="13" spans="1:63" ht="15" customHeight="1" x14ac:dyDescent="0.25">
      <c r="A13" s="27"/>
      <c r="B13" s="101">
        <v>45441</v>
      </c>
      <c r="C13" s="73"/>
      <c r="D13" s="73"/>
      <c r="E13" s="73"/>
      <c r="F13" s="73"/>
      <c r="G13" s="74"/>
      <c r="H13" s="72" t="s">
        <v>49</v>
      </c>
      <c r="I13" s="73"/>
      <c r="J13" s="73"/>
      <c r="K13" s="73"/>
      <c r="L13" s="73"/>
      <c r="M13" s="73"/>
      <c r="N13" s="74"/>
      <c r="O13" s="72">
        <v>0.11</v>
      </c>
      <c r="P13" s="73"/>
      <c r="Q13" s="73"/>
      <c r="R13" s="73"/>
      <c r="S13" s="117" t="s">
        <v>50</v>
      </c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9"/>
      <c r="AX13" s="120"/>
      <c r="AY13" s="120"/>
      <c r="AZ13" s="120"/>
      <c r="BA13" s="120"/>
      <c r="BB13" s="120"/>
      <c r="BC13" s="121"/>
      <c r="BD13" s="124"/>
      <c r="BE13" s="120"/>
      <c r="BF13" s="120"/>
      <c r="BG13" s="120"/>
      <c r="BH13" s="120"/>
      <c r="BI13" s="120"/>
      <c r="BJ13" s="121"/>
      <c r="BK13" s="28"/>
    </row>
    <row r="14" spans="1:63" ht="15" customHeight="1" x14ac:dyDescent="0.25">
      <c r="A14" s="27"/>
      <c r="B14" s="78"/>
      <c r="C14" s="79"/>
      <c r="D14" s="79"/>
      <c r="E14" s="79"/>
      <c r="F14" s="79"/>
      <c r="G14" s="80"/>
      <c r="H14" s="78"/>
      <c r="I14" s="79"/>
      <c r="J14" s="79"/>
      <c r="K14" s="79"/>
      <c r="L14" s="79"/>
      <c r="M14" s="79"/>
      <c r="N14" s="80"/>
      <c r="O14" s="78"/>
      <c r="P14" s="79"/>
      <c r="Q14" s="79"/>
      <c r="R14" s="79"/>
      <c r="S14" s="126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8"/>
      <c r="AX14" s="122"/>
      <c r="AY14" s="122"/>
      <c r="AZ14" s="122"/>
      <c r="BA14" s="122"/>
      <c r="BB14" s="122"/>
      <c r="BC14" s="123"/>
      <c r="BD14" s="125"/>
      <c r="BE14" s="122"/>
      <c r="BF14" s="122"/>
      <c r="BG14" s="122"/>
      <c r="BH14" s="122"/>
      <c r="BI14" s="122"/>
      <c r="BJ14" s="123"/>
      <c r="BK14" s="28"/>
    </row>
    <row r="15" spans="1:63" ht="15" customHeight="1" x14ac:dyDescent="0.25">
      <c r="A15" s="27"/>
      <c r="B15" s="101">
        <v>45443</v>
      </c>
      <c r="C15" s="73"/>
      <c r="D15" s="73"/>
      <c r="E15" s="73"/>
      <c r="F15" s="73"/>
      <c r="G15" s="74"/>
      <c r="H15" s="72" t="s">
        <v>49</v>
      </c>
      <c r="I15" s="73"/>
      <c r="J15" s="73"/>
      <c r="K15" s="73"/>
      <c r="L15" s="73"/>
      <c r="M15" s="73"/>
      <c r="N15" s="74"/>
      <c r="O15" s="72">
        <v>0.11</v>
      </c>
      <c r="P15" s="73"/>
      <c r="Q15" s="73"/>
      <c r="R15" s="73"/>
      <c r="S15" s="117" t="s">
        <v>51</v>
      </c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9"/>
      <c r="AX15" s="120"/>
      <c r="AY15" s="120"/>
      <c r="AZ15" s="120"/>
      <c r="BA15" s="120"/>
      <c r="BB15" s="120"/>
      <c r="BC15" s="121"/>
      <c r="BD15" s="124"/>
      <c r="BE15" s="120"/>
      <c r="BF15" s="120"/>
      <c r="BG15" s="120"/>
      <c r="BH15" s="120"/>
      <c r="BI15" s="120"/>
      <c r="BJ15" s="121"/>
      <c r="BK15" s="28"/>
    </row>
    <row r="16" spans="1:63" ht="15" customHeight="1" x14ac:dyDescent="0.25">
      <c r="A16" s="27"/>
      <c r="B16" s="78"/>
      <c r="C16" s="79"/>
      <c r="D16" s="79"/>
      <c r="E16" s="79"/>
      <c r="F16" s="79"/>
      <c r="G16" s="80"/>
      <c r="H16" s="78"/>
      <c r="I16" s="79"/>
      <c r="J16" s="79"/>
      <c r="K16" s="79"/>
      <c r="L16" s="79"/>
      <c r="M16" s="79"/>
      <c r="N16" s="80"/>
      <c r="O16" s="78"/>
      <c r="P16" s="79"/>
      <c r="Q16" s="79"/>
      <c r="R16" s="79"/>
      <c r="S16" s="126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8"/>
      <c r="AX16" s="122"/>
      <c r="AY16" s="122"/>
      <c r="AZ16" s="122"/>
      <c r="BA16" s="122"/>
      <c r="BB16" s="122"/>
      <c r="BC16" s="123"/>
      <c r="BD16" s="125"/>
      <c r="BE16" s="122"/>
      <c r="BF16" s="122"/>
      <c r="BG16" s="122"/>
      <c r="BH16" s="122"/>
      <c r="BI16" s="122"/>
      <c r="BJ16" s="123"/>
      <c r="BK16" s="28"/>
    </row>
    <row r="17" spans="1:63" ht="15" customHeight="1" x14ac:dyDescent="0.25">
      <c r="A17" s="27"/>
      <c r="B17" s="294">
        <v>45455</v>
      </c>
      <c r="C17" s="295"/>
      <c r="D17" s="295"/>
      <c r="E17" s="295"/>
      <c r="F17" s="295"/>
      <c r="G17" s="296"/>
      <c r="H17" s="297" t="s">
        <v>49</v>
      </c>
      <c r="I17" s="295"/>
      <c r="J17" s="295"/>
      <c r="K17" s="295"/>
      <c r="L17" s="295"/>
      <c r="M17" s="295"/>
      <c r="N17" s="296"/>
      <c r="O17" s="297">
        <v>0.13</v>
      </c>
      <c r="P17" s="295"/>
      <c r="Q17" s="295"/>
      <c r="R17" s="295"/>
      <c r="S17" s="298" t="s">
        <v>77</v>
      </c>
      <c r="T17" s="299"/>
      <c r="U17" s="299"/>
      <c r="V17" s="299"/>
      <c r="W17" s="299"/>
      <c r="X17" s="299"/>
      <c r="Y17" s="299"/>
      <c r="Z17" s="299"/>
      <c r="AA17" s="299"/>
      <c r="AB17" s="299"/>
      <c r="AC17" s="299"/>
      <c r="AD17" s="299"/>
      <c r="AE17" s="299"/>
      <c r="AF17" s="299"/>
      <c r="AG17" s="299"/>
      <c r="AH17" s="299"/>
      <c r="AI17" s="299"/>
      <c r="AJ17" s="299"/>
      <c r="AK17" s="299"/>
      <c r="AL17" s="299"/>
      <c r="AM17" s="299"/>
      <c r="AN17" s="299"/>
      <c r="AO17" s="299"/>
      <c r="AP17" s="299"/>
      <c r="AQ17" s="299"/>
      <c r="AR17" s="299"/>
      <c r="AS17" s="299"/>
      <c r="AT17" s="299"/>
      <c r="AU17" s="299"/>
      <c r="AV17" s="299"/>
      <c r="AW17" s="300"/>
      <c r="AX17" s="301"/>
      <c r="AY17" s="301"/>
      <c r="AZ17" s="301"/>
      <c r="BA17" s="301"/>
      <c r="BB17" s="301"/>
      <c r="BC17" s="302"/>
      <c r="BD17" s="303"/>
      <c r="BE17" s="301"/>
      <c r="BF17" s="301"/>
      <c r="BG17" s="301"/>
      <c r="BH17" s="301"/>
      <c r="BI17" s="301"/>
      <c r="BJ17" s="302"/>
      <c r="BK17" s="28"/>
    </row>
    <row r="18" spans="1:63" ht="15" customHeight="1" x14ac:dyDescent="0.25">
      <c r="A18" s="27"/>
      <c r="B18" s="304"/>
      <c r="C18" s="305"/>
      <c r="D18" s="305"/>
      <c r="E18" s="305"/>
      <c r="F18" s="305"/>
      <c r="G18" s="306"/>
      <c r="H18" s="304"/>
      <c r="I18" s="305"/>
      <c r="J18" s="305"/>
      <c r="K18" s="305"/>
      <c r="L18" s="305"/>
      <c r="M18" s="305"/>
      <c r="N18" s="306"/>
      <c r="O18" s="304"/>
      <c r="P18" s="305"/>
      <c r="Q18" s="305"/>
      <c r="R18" s="305"/>
      <c r="S18" s="307" t="s">
        <v>78</v>
      </c>
      <c r="T18" s="308"/>
      <c r="U18" s="308"/>
      <c r="V18" s="308"/>
      <c r="W18" s="308"/>
      <c r="X18" s="308"/>
      <c r="Y18" s="308"/>
      <c r="Z18" s="308"/>
      <c r="AA18" s="308"/>
      <c r="AB18" s="308"/>
      <c r="AC18" s="308"/>
      <c r="AD18" s="308"/>
      <c r="AE18" s="308"/>
      <c r="AF18" s="308"/>
      <c r="AG18" s="308"/>
      <c r="AH18" s="308"/>
      <c r="AI18" s="308"/>
      <c r="AJ18" s="308"/>
      <c r="AK18" s="308"/>
      <c r="AL18" s="308"/>
      <c r="AM18" s="308"/>
      <c r="AN18" s="308"/>
      <c r="AO18" s="308"/>
      <c r="AP18" s="308"/>
      <c r="AQ18" s="308"/>
      <c r="AR18" s="308"/>
      <c r="AS18" s="308"/>
      <c r="AT18" s="308"/>
      <c r="AU18" s="308"/>
      <c r="AV18" s="308"/>
      <c r="AW18" s="309"/>
      <c r="AX18" s="310"/>
      <c r="AY18" s="310"/>
      <c r="AZ18" s="310"/>
      <c r="BA18" s="310"/>
      <c r="BB18" s="310"/>
      <c r="BC18" s="311"/>
      <c r="BD18" s="312"/>
      <c r="BE18" s="310"/>
      <c r="BF18" s="310"/>
      <c r="BG18" s="310"/>
      <c r="BH18" s="310"/>
      <c r="BI18" s="310"/>
      <c r="BJ18" s="311"/>
      <c r="BK18" s="28"/>
    </row>
    <row r="19" spans="1:63" ht="15" customHeight="1" x14ac:dyDescent="0.25">
      <c r="A19" s="27"/>
      <c r="B19" s="294">
        <v>45455</v>
      </c>
      <c r="C19" s="295"/>
      <c r="D19" s="295"/>
      <c r="E19" s="295"/>
      <c r="F19" s="295"/>
      <c r="G19" s="296"/>
      <c r="H19" s="297" t="s">
        <v>49</v>
      </c>
      <c r="I19" s="295"/>
      <c r="J19" s="295"/>
      <c r="K19" s="295"/>
      <c r="L19" s="295"/>
      <c r="M19" s="295"/>
      <c r="N19" s="296"/>
      <c r="O19" s="297">
        <v>0.13</v>
      </c>
      <c r="P19" s="295"/>
      <c r="Q19" s="295"/>
      <c r="R19" s="295"/>
      <c r="S19" s="298" t="s">
        <v>79</v>
      </c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9"/>
      <c r="AE19" s="299"/>
      <c r="AF19" s="299"/>
      <c r="AG19" s="299"/>
      <c r="AH19" s="299"/>
      <c r="AI19" s="299"/>
      <c r="AJ19" s="299"/>
      <c r="AK19" s="299"/>
      <c r="AL19" s="299"/>
      <c r="AM19" s="299"/>
      <c r="AN19" s="299"/>
      <c r="AO19" s="299"/>
      <c r="AP19" s="299"/>
      <c r="AQ19" s="299"/>
      <c r="AR19" s="299"/>
      <c r="AS19" s="299"/>
      <c r="AT19" s="299"/>
      <c r="AU19" s="299"/>
      <c r="AV19" s="299"/>
      <c r="AW19" s="300"/>
      <c r="AX19" s="120"/>
      <c r="AY19" s="120"/>
      <c r="AZ19" s="120"/>
      <c r="BA19" s="120"/>
      <c r="BB19" s="120"/>
      <c r="BC19" s="121"/>
      <c r="BD19" s="124"/>
      <c r="BE19" s="120"/>
      <c r="BF19" s="120"/>
      <c r="BG19" s="120"/>
      <c r="BH19" s="120"/>
      <c r="BI19" s="120"/>
      <c r="BJ19" s="121"/>
      <c r="BK19" s="28"/>
    </row>
    <row r="20" spans="1:63" ht="51" customHeight="1" x14ac:dyDescent="0.25">
      <c r="A20" s="27"/>
      <c r="B20" s="304"/>
      <c r="C20" s="305"/>
      <c r="D20" s="305"/>
      <c r="E20" s="305"/>
      <c r="F20" s="305"/>
      <c r="G20" s="306"/>
      <c r="H20" s="304"/>
      <c r="I20" s="305"/>
      <c r="J20" s="305"/>
      <c r="K20" s="305"/>
      <c r="L20" s="305"/>
      <c r="M20" s="305"/>
      <c r="N20" s="306"/>
      <c r="O20" s="304"/>
      <c r="P20" s="305"/>
      <c r="Q20" s="305"/>
      <c r="R20" s="305"/>
      <c r="S20" s="317" t="s">
        <v>80</v>
      </c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8"/>
      <c r="AX20" s="122"/>
      <c r="AY20" s="122"/>
      <c r="AZ20" s="122"/>
      <c r="BA20" s="122"/>
      <c r="BB20" s="122"/>
      <c r="BC20" s="123"/>
      <c r="BD20" s="125"/>
      <c r="BE20" s="122"/>
      <c r="BF20" s="122"/>
      <c r="BG20" s="122"/>
      <c r="BH20" s="122"/>
      <c r="BI20" s="122"/>
      <c r="BJ20" s="123"/>
      <c r="BK20" s="28"/>
    </row>
    <row r="21" spans="1:63" ht="15" customHeight="1" x14ac:dyDescent="0.25">
      <c r="A21" s="27"/>
      <c r="B21" s="72"/>
      <c r="C21" s="73"/>
      <c r="D21" s="73"/>
      <c r="E21" s="73"/>
      <c r="F21" s="73"/>
      <c r="G21" s="74"/>
      <c r="H21" s="72"/>
      <c r="I21" s="73"/>
      <c r="J21" s="73"/>
      <c r="K21" s="73"/>
      <c r="L21" s="73"/>
      <c r="M21" s="73"/>
      <c r="N21" s="74"/>
      <c r="O21" s="72"/>
      <c r="P21" s="73"/>
      <c r="Q21" s="73"/>
      <c r="R21" s="73"/>
      <c r="S21" s="117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9"/>
      <c r="AX21" s="120"/>
      <c r="AY21" s="120"/>
      <c r="AZ21" s="120"/>
      <c r="BA21" s="120"/>
      <c r="BB21" s="120"/>
      <c r="BC21" s="121"/>
      <c r="BD21" s="124"/>
      <c r="BE21" s="120"/>
      <c r="BF21" s="120"/>
      <c r="BG21" s="120"/>
      <c r="BH21" s="120"/>
      <c r="BI21" s="120"/>
      <c r="BJ21" s="121"/>
      <c r="BK21" s="28"/>
    </row>
    <row r="22" spans="1:63" ht="15" customHeight="1" x14ac:dyDescent="0.25">
      <c r="A22" s="27"/>
      <c r="B22" s="78"/>
      <c r="C22" s="79"/>
      <c r="D22" s="79"/>
      <c r="E22" s="79"/>
      <c r="F22" s="79"/>
      <c r="G22" s="80"/>
      <c r="H22" s="78"/>
      <c r="I22" s="79"/>
      <c r="J22" s="79"/>
      <c r="K22" s="79"/>
      <c r="L22" s="79"/>
      <c r="M22" s="79"/>
      <c r="N22" s="80"/>
      <c r="O22" s="78"/>
      <c r="P22" s="79"/>
      <c r="Q22" s="79"/>
      <c r="R22" s="79"/>
      <c r="S22" s="126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8"/>
      <c r="AX22" s="122"/>
      <c r="AY22" s="122"/>
      <c r="AZ22" s="122"/>
      <c r="BA22" s="122"/>
      <c r="BB22" s="122"/>
      <c r="BC22" s="123"/>
      <c r="BD22" s="125"/>
      <c r="BE22" s="122"/>
      <c r="BF22" s="122"/>
      <c r="BG22" s="122"/>
      <c r="BH22" s="122"/>
      <c r="BI22" s="122"/>
      <c r="BJ22" s="123"/>
      <c r="BK22" s="28"/>
    </row>
    <row r="23" spans="1:63" ht="15" customHeight="1" x14ac:dyDescent="0.25">
      <c r="A23" s="27"/>
      <c r="B23" s="72"/>
      <c r="C23" s="73"/>
      <c r="D23" s="73"/>
      <c r="E23" s="73"/>
      <c r="F23" s="73"/>
      <c r="G23" s="74"/>
      <c r="H23" s="72"/>
      <c r="I23" s="73"/>
      <c r="J23" s="73"/>
      <c r="K23" s="73"/>
      <c r="L23" s="73"/>
      <c r="M23" s="73"/>
      <c r="N23" s="74"/>
      <c r="O23" s="72"/>
      <c r="P23" s="73"/>
      <c r="Q23" s="73"/>
      <c r="R23" s="73"/>
      <c r="S23" s="117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9"/>
      <c r="AX23" s="120"/>
      <c r="AY23" s="120"/>
      <c r="AZ23" s="120"/>
      <c r="BA23" s="120"/>
      <c r="BB23" s="120"/>
      <c r="BC23" s="121"/>
      <c r="BD23" s="124"/>
      <c r="BE23" s="120"/>
      <c r="BF23" s="120"/>
      <c r="BG23" s="120"/>
      <c r="BH23" s="120"/>
      <c r="BI23" s="120"/>
      <c r="BJ23" s="121"/>
      <c r="BK23" s="28"/>
    </row>
    <row r="24" spans="1:63" ht="15" customHeight="1" x14ac:dyDescent="0.25">
      <c r="A24" s="27"/>
      <c r="B24" s="78"/>
      <c r="C24" s="79"/>
      <c r="D24" s="79"/>
      <c r="E24" s="79"/>
      <c r="F24" s="79"/>
      <c r="G24" s="80"/>
      <c r="H24" s="78"/>
      <c r="I24" s="79"/>
      <c r="J24" s="79"/>
      <c r="K24" s="79"/>
      <c r="L24" s="79"/>
      <c r="M24" s="79"/>
      <c r="N24" s="80"/>
      <c r="O24" s="78"/>
      <c r="P24" s="79"/>
      <c r="Q24" s="79"/>
      <c r="R24" s="79"/>
      <c r="S24" s="126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8"/>
      <c r="AX24" s="122"/>
      <c r="AY24" s="122"/>
      <c r="AZ24" s="122"/>
      <c r="BA24" s="122"/>
      <c r="BB24" s="122"/>
      <c r="BC24" s="123"/>
      <c r="BD24" s="125"/>
      <c r="BE24" s="122"/>
      <c r="BF24" s="122"/>
      <c r="BG24" s="122"/>
      <c r="BH24" s="122"/>
      <c r="BI24" s="122"/>
      <c r="BJ24" s="123"/>
      <c r="BK24" s="28"/>
    </row>
    <row r="25" spans="1:63" ht="15" customHeight="1" x14ac:dyDescent="0.25">
      <c r="A25" s="27"/>
      <c r="B25" s="72"/>
      <c r="C25" s="73"/>
      <c r="D25" s="73"/>
      <c r="E25" s="73"/>
      <c r="F25" s="73"/>
      <c r="G25" s="74"/>
      <c r="H25" s="72"/>
      <c r="I25" s="73"/>
      <c r="J25" s="73"/>
      <c r="K25" s="73"/>
      <c r="L25" s="73"/>
      <c r="M25" s="73"/>
      <c r="N25" s="74"/>
      <c r="O25" s="72"/>
      <c r="P25" s="73"/>
      <c r="Q25" s="73"/>
      <c r="R25" s="73"/>
      <c r="S25" s="117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9"/>
      <c r="AX25" s="120"/>
      <c r="AY25" s="120"/>
      <c r="AZ25" s="120"/>
      <c r="BA25" s="120"/>
      <c r="BB25" s="120"/>
      <c r="BC25" s="121"/>
      <c r="BD25" s="124"/>
      <c r="BE25" s="120"/>
      <c r="BF25" s="120"/>
      <c r="BG25" s="120"/>
      <c r="BH25" s="120"/>
      <c r="BI25" s="120"/>
      <c r="BJ25" s="121"/>
      <c r="BK25" s="28"/>
    </row>
    <row r="26" spans="1:63" ht="15" customHeight="1" x14ac:dyDescent="0.25">
      <c r="A26" s="27"/>
      <c r="B26" s="78"/>
      <c r="C26" s="79"/>
      <c r="D26" s="79"/>
      <c r="E26" s="79"/>
      <c r="F26" s="79"/>
      <c r="G26" s="80"/>
      <c r="H26" s="78"/>
      <c r="I26" s="79"/>
      <c r="J26" s="79"/>
      <c r="K26" s="79"/>
      <c r="L26" s="79"/>
      <c r="M26" s="79"/>
      <c r="N26" s="80"/>
      <c r="O26" s="78"/>
      <c r="P26" s="79"/>
      <c r="Q26" s="79"/>
      <c r="R26" s="79"/>
      <c r="S26" s="126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8"/>
      <c r="AX26" s="122"/>
      <c r="AY26" s="122"/>
      <c r="AZ26" s="122"/>
      <c r="BA26" s="122"/>
      <c r="BB26" s="122"/>
      <c r="BC26" s="123"/>
      <c r="BD26" s="125"/>
      <c r="BE26" s="122"/>
      <c r="BF26" s="122"/>
      <c r="BG26" s="122"/>
      <c r="BH26" s="122"/>
      <c r="BI26" s="122"/>
      <c r="BJ26" s="123"/>
      <c r="BK26" s="28"/>
    </row>
    <row r="27" spans="1:63" ht="15" customHeight="1" x14ac:dyDescent="0.25">
      <c r="A27" s="27"/>
      <c r="B27" s="72"/>
      <c r="C27" s="73"/>
      <c r="D27" s="73"/>
      <c r="E27" s="73"/>
      <c r="F27" s="73"/>
      <c r="G27" s="74"/>
      <c r="H27" s="72"/>
      <c r="I27" s="73"/>
      <c r="J27" s="73"/>
      <c r="K27" s="73"/>
      <c r="L27" s="73"/>
      <c r="M27" s="73"/>
      <c r="N27" s="74"/>
      <c r="O27" s="72"/>
      <c r="P27" s="73"/>
      <c r="Q27" s="73"/>
      <c r="R27" s="73"/>
      <c r="S27" s="117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9"/>
      <c r="AX27" s="120"/>
      <c r="AY27" s="120"/>
      <c r="AZ27" s="120"/>
      <c r="BA27" s="120"/>
      <c r="BB27" s="120"/>
      <c r="BC27" s="121"/>
      <c r="BD27" s="124"/>
      <c r="BE27" s="120"/>
      <c r="BF27" s="120"/>
      <c r="BG27" s="120"/>
      <c r="BH27" s="120"/>
      <c r="BI27" s="120"/>
      <c r="BJ27" s="121"/>
      <c r="BK27" s="28"/>
    </row>
    <row r="28" spans="1:63" ht="15" customHeight="1" x14ac:dyDescent="0.25">
      <c r="A28" s="27"/>
      <c r="B28" s="78"/>
      <c r="C28" s="79"/>
      <c r="D28" s="79"/>
      <c r="E28" s="79"/>
      <c r="F28" s="79"/>
      <c r="G28" s="80"/>
      <c r="H28" s="78"/>
      <c r="I28" s="79"/>
      <c r="J28" s="79"/>
      <c r="K28" s="79"/>
      <c r="L28" s="79"/>
      <c r="M28" s="79"/>
      <c r="N28" s="80"/>
      <c r="O28" s="78"/>
      <c r="P28" s="79"/>
      <c r="Q28" s="79"/>
      <c r="R28" s="79"/>
      <c r="S28" s="126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8"/>
      <c r="AX28" s="122"/>
      <c r="AY28" s="122"/>
      <c r="AZ28" s="122"/>
      <c r="BA28" s="122"/>
      <c r="BB28" s="122"/>
      <c r="BC28" s="123"/>
      <c r="BD28" s="125"/>
      <c r="BE28" s="122"/>
      <c r="BF28" s="122"/>
      <c r="BG28" s="122"/>
      <c r="BH28" s="122"/>
      <c r="BI28" s="122"/>
      <c r="BJ28" s="123"/>
      <c r="BK28" s="28"/>
    </row>
    <row r="29" spans="1:63" ht="15" customHeight="1" x14ac:dyDescent="0.25">
      <c r="A29" s="27"/>
      <c r="B29" s="72"/>
      <c r="C29" s="73"/>
      <c r="D29" s="73"/>
      <c r="E29" s="73"/>
      <c r="F29" s="73"/>
      <c r="G29" s="74"/>
      <c r="H29" s="72"/>
      <c r="I29" s="73"/>
      <c r="J29" s="73"/>
      <c r="K29" s="73"/>
      <c r="L29" s="73"/>
      <c r="M29" s="73"/>
      <c r="N29" s="74"/>
      <c r="O29" s="72"/>
      <c r="P29" s="73"/>
      <c r="Q29" s="73"/>
      <c r="R29" s="73"/>
      <c r="S29" s="117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9"/>
      <c r="AX29" s="120"/>
      <c r="AY29" s="120"/>
      <c r="AZ29" s="120"/>
      <c r="BA29" s="120"/>
      <c r="BB29" s="120"/>
      <c r="BC29" s="121"/>
      <c r="BD29" s="124"/>
      <c r="BE29" s="120"/>
      <c r="BF29" s="120"/>
      <c r="BG29" s="120"/>
      <c r="BH29" s="120"/>
      <c r="BI29" s="120"/>
      <c r="BJ29" s="121"/>
      <c r="BK29" s="28"/>
    </row>
    <row r="30" spans="1:63" ht="15" customHeight="1" x14ac:dyDescent="0.25">
      <c r="A30" s="27"/>
      <c r="B30" s="78"/>
      <c r="C30" s="79"/>
      <c r="D30" s="79"/>
      <c r="E30" s="79"/>
      <c r="F30" s="79"/>
      <c r="G30" s="80"/>
      <c r="H30" s="78"/>
      <c r="I30" s="79"/>
      <c r="J30" s="79"/>
      <c r="K30" s="79"/>
      <c r="L30" s="79"/>
      <c r="M30" s="79"/>
      <c r="N30" s="80"/>
      <c r="O30" s="78"/>
      <c r="P30" s="79"/>
      <c r="Q30" s="79"/>
      <c r="R30" s="79"/>
      <c r="S30" s="126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8"/>
      <c r="AX30" s="122"/>
      <c r="AY30" s="122"/>
      <c r="AZ30" s="122"/>
      <c r="BA30" s="122"/>
      <c r="BB30" s="122"/>
      <c r="BC30" s="123"/>
      <c r="BD30" s="125"/>
      <c r="BE30" s="122"/>
      <c r="BF30" s="122"/>
      <c r="BG30" s="122"/>
      <c r="BH30" s="122"/>
      <c r="BI30" s="122"/>
      <c r="BJ30" s="123"/>
      <c r="BK30" s="28"/>
    </row>
    <row r="31" spans="1:63" ht="15" customHeight="1" x14ac:dyDescent="0.25">
      <c r="A31" s="27"/>
      <c r="B31" s="72"/>
      <c r="C31" s="73"/>
      <c r="D31" s="73"/>
      <c r="E31" s="73"/>
      <c r="F31" s="73"/>
      <c r="G31" s="74"/>
      <c r="H31" s="72"/>
      <c r="I31" s="73"/>
      <c r="J31" s="73"/>
      <c r="K31" s="73"/>
      <c r="L31" s="73"/>
      <c r="M31" s="73"/>
      <c r="N31" s="74"/>
      <c r="O31" s="72"/>
      <c r="P31" s="73"/>
      <c r="Q31" s="73"/>
      <c r="R31" s="73"/>
      <c r="S31" s="117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9"/>
      <c r="AX31" s="120"/>
      <c r="AY31" s="120"/>
      <c r="AZ31" s="120"/>
      <c r="BA31" s="120"/>
      <c r="BB31" s="120"/>
      <c r="BC31" s="121"/>
      <c r="BD31" s="124"/>
      <c r="BE31" s="120"/>
      <c r="BF31" s="120"/>
      <c r="BG31" s="120"/>
      <c r="BH31" s="120"/>
      <c r="BI31" s="120"/>
      <c r="BJ31" s="121"/>
      <c r="BK31" s="28"/>
    </row>
    <row r="32" spans="1:63" ht="15" customHeight="1" x14ac:dyDescent="0.25">
      <c r="A32" s="27"/>
      <c r="B32" s="78"/>
      <c r="C32" s="79"/>
      <c r="D32" s="79"/>
      <c r="E32" s="79"/>
      <c r="F32" s="79"/>
      <c r="G32" s="80"/>
      <c r="H32" s="78"/>
      <c r="I32" s="79"/>
      <c r="J32" s="79"/>
      <c r="K32" s="79"/>
      <c r="L32" s="79"/>
      <c r="M32" s="79"/>
      <c r="N32" s="80"/>
      <c r="O32" s="78"/>
      <c r="P32" s="79"/>
      <c r="Q32" s="79"/>
      <c r="R32" s="79"/>
      <c r="S32" s="126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8"/>
      <c r="AX32" s="122"/>
      <c r="AY32" s="122"/>
      <c r="AZ32" s="122"/>
      <c r="BA32" s="122"/>
      <c r="BB32" s="122"/>
      <c r="BC32" s="123"/>
      <c r="BD32" s="125"/>
      <c r="BE32" s="122"/>
      <c r="BF32" s="122"/>
      <c r="BG32" s="122"/>
      <c r="BH32" s="122"/>
      <c r="BI32" s="122"/>
      <c r="BJ32" s="123"/>
      <c r="BK32" s="28"/>
    </row>
    <row r="33" spans="1:63" ht="15" customHeight="1" x14ac:dyDescent="0.25">
      <c r="A33" s="27"/>
      <c r="B33" s="72"/>
      <c r="C33" s="73"/>
      <c r="D33" s="73"/>
      <c r="E33" s="73"/>
      <c r="F33" s="73"/>
      <c r="G33" s="74"/>
      <c r="H33" s="72"/>
      <c r="I33" s="73"/>
      <c r="J33" s="73"/>
      <c r="K33" s="73"/>
      <c r="L33" s="73"/>
      <c r="M33" s="73"/>
      <c r="N33" s="74"/>
      <c r="O33" s="72"/>
      <c r="P33" s="73"/>
      <c r="Q33" s="73"/>
      <c r="R33" s="73"/>
      <c r="S33" s="117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9"/>
      <c r="AX33" s="120"/>
      <c r="AY33" s="120"/>
      <c r="AZ33" s="120"/>
      <c r="BA33" s="120"/>
      <c r="BB33" s="120"/>
      <c r="BC33" s="121"/>
      <c r="BD33" s="124"/>
      <c r="BE33" s="120"/>
      <c r="BF33" s="120"/>
      <c r="BG33" s="120"/>
      <c r="BH33" s="120"/>
      <c r="BI33" s="120"/>
      <c r="BJ33" s="121"/>
      <c r="BK33" s="28"/>
    </row>
    <row r="34" spans="1:63" ht="15" customHeight="1" x14ac:dyDescent="0.25">
      <c r="A34" s="27"/>
      <c r="B34" s="78"/>
      <c r="C34" s="79"/>
      <c r="D34" s="79"/>
      <c r="E34" s="79"/>
      <c r="F34" s="79"/>
      <c r="G34" s="80"/>
      <c r="H34" s="78"/>
      <c r="I34" s="79"/>
      <c r="J34" s="79"/>
      <c r="K34" s="79"/>
      <c r="L34" s="79"/>
      <c r="M34" s="79"/>
      <c r="N34" s="80"/>
      <c r="O34" s="78"/>
      <c r="P34" s="79"/>
      <c r="Q34" s="79"/>
      <c r="R34" s="79"/>
      <c r="S34" s="126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8"/>
      <c r="AX34" s="122"/>
      <c r="AY34" s="122"/>
      <c r="AZ34" s="122"/>
      <c r="BA34" s="122"/>
      <c r="BB34" s="122"/>
      <c r="BC34" s="123"/>
      <c r="BD34" s="125"/>
      <c r="BE34" s="122"/>
      <c r="BF34" s="122"/>
      <c r="BG34" s="122"/>
      <c r="BH34" s="122"/>
      <c r="BI34" s="122"/>
      <c r="BJ34" s="123"/>
      <c r="BK34" s="28"/>
    </row>
    <row r="35" spans="1:63" ht="15" customHeight="1" x14ac:dyDescent="0.25">
      <c r="A35" s="27"/>
      <c r="B35" s="72"/>
      <c r="C35" s="73"/>
      <c r="D35" s="73"/>
      <c r="E35" s="73"/>
      <c r="F35" s="73"/>
      <c r="G35" s="74"/>
      <c r="H35" s="72"/>
      <c r="I35" s="73"/>
      <c r="J35" s="73"/>
      <c r="K35" s="73"/>
      <c r="L35" s="73"/>
      <c r="M35" s="73"/>
      <c r="N35" s="74"/>
      <c r="O35" s="72"/>
      <c r="P35" s="73"/>
      <c r="Q35" s="73"/>
      <c r="R35" s="73"/>
      <c r="S35" s="117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9"/>
      <c r="AX35" s="120"/>
      <c r="AY35" s="120"/>
      <c r="AZ35" s="120"/>
      <c r="BA35" s="120"/>
      <c r="BB35" s="120"/>
      <c r="BC35" s="121"/>
      <c r="BD35" s="124"/>
      <c r="BE35" s="120"/>
      <c r="BF35" s="120"/>
      <c r="BG35" s="120"/>
      <c r="BH35" s="120"/>
      <c r="BI35" s="120"/>
      <c r="BJ35" s="121"/>
      <c r="BK35" s="28"/>
    </row>
    <row r="36" spans="1:63" ht="15" customHeight="1" x14ac:dyDescent="0.25">
      <c r="A36" s="27"/>
      <c r="B36" s="78"/>
      <c r="C36" s="79"/>
      <c r="D36" s="79"/>
      <c r="E36" s="79"/>
      <c r="F36" s="79"/>
      <c r="G36" s="80"/>
      <c r="H36" s="78"/>
      <c r="I36" s="79"/>
      <c r="J36" s="79"/>
      <c r="K36" s="79"/>
      <c r="L36" s="79"/>
      <c r="M36" s="79"/>
      <c r="N36" s="80"/>
      <c r="O36" s="78"/>
      <c r="P36" s="79"/>
      <c r="Q36" s="79"/>
      <c r="R36" s="79"/>
      <c r="S36" s="126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8"/>
      <c r="AX36" s="122"/>
      <c r="AY36" s="122"/>
      <c r="AZ36" s="122"/>
      <c r="BA36" s="122"/>
      <c r="BB36" s="122"/>
      <c r="BC36" s="123"/>
      <c r="BD36" s="125"/>
      <c r="BE36" s="122"/>
      <c r="BF36" s="122"/>
      <c r="BG36" s="122"/>
      <c r="BH36" s="122"/>
      <c r="BI36" s="122"/>
      <c r="BJ36" s="123"/>
      <c r="BK36" s="28"/>
    </row>
    <row r="37" spans="1:63" ht="15" customHeight="1" x14ac:dyDescent="0.25">
      <c r="A37" s="27"/>
      <c r="B37" s="72"/>
      <c r="C37" s="73"/>
      <c r="D37" s="73"/>
      <c r="E37" s="73"/>
      <c r="F37" s="73"/>
      <c r="G37" s="74"/>
      <c r="H37" s="72"/>
      <c r="I37" s="73"/>
      <c r="J37" s="73"/>
      <c r="K37" s="73"/>
      <c r="L37" s="73"/>
      <c r="M37" s="73"/>
      <c r="N37" s="74"/>
      <c r="O37" s="72"/>
      <c r="P37" s="73"/>
      <c r="Q37" s="73"/>
      <c r="R37" s="73"/>
      <c r="S37" s="117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9"/>
      <c r="AX37" s="120"/>
      <c r="AY37" s="120"/>
      <c r="AZ37" s="120"/>
      <c r="BA37" s="120"/>
      <c r="BB37" s="120"/>
      <c r="BC37" s="121"/>
      <c r="BD37" s="124"/>
      <c r="BE37" s="120"/>
      <c r="BF37" s="120"/>
      <c r="BG37" s="120"/>
      <c r="BH37" s="120"/>
      <c r="BI37" s="120"/>
      <c r="BJ37" s="121"/>
      <c r="BK37" s="28"/>
    </row>
    <row r="38" spans="1:63" ht="15" customHeight="1" x14ac:dyDescent="0.25">
      <c r="A38" s="27"/>
      <c r="B38" s="78"/>
      <c r="C38" s="79"/>
      <c r="D38" s="79"/>
      <c r="E38" s="79"/>
      <c r="F38" s="79"/>
      <c r="G38" s="80"/>
      <c r="H38" s="78"/>
      <c r="I38" s="79"/>
      <c r="J38" s="79"/>
      <c r="K38" s="79"/>
      <c r="L38" s="79"/>
      <c r="M38" s="79"/>
      <c r="N38" s="80"/>
      <c r="O38" s="78"/>
      <c r="P38" s="79"/>
      <c r="Q38" s="79"/>
      <c r="R38" s="79"/>
      <c r="S38" s="126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8"/>
      <c r="AX38" s="122"/>
      <c r="AY38" s="122"/>
      <c r="AZ38" s="122"/>
      <c r="BA38" s="122"/>
      <c r="BB38" s="122"/>
      <c r="BC38" s="123"/>
      <c r="BD38" s="125"/>
      <c r="BE38" s="122"/>
      <c r="BF38" s="122"/>
      <c r="BG38" s="122"/>
      <c r="BH38" s="122"/>
      <c r="BI38" s="122"/>
      <c r="BJ38" s="123"/>
      <c r="BK38" s="28"/>
    </row>
    <row r="39" spans="1:63" ht="15" customHeight="1" x14ac:dyDescent="0.25">
      <c r="A39" s="27"/>
      <c r="B39" s="72"/>
      <c r="C39" s="73"/>
      <c r="D39" s="73"/>
      <c r="E39" s="73"/>
      <c r="F39" s="73"/>
      <c r="G39" s="74"/>
      <c r="H39" s="72"/>
      <c r="I39" s="73"/>
      <c r="J39" s="73"/>
      <c r="K39" s="73"/>
      <c r="L39" s="73"/>
      <c r="M39" s="73"/>
      <c r="N39" s="74"/>
      <c r="O39" s="72"/>
      <c r="P39" s="73"/>
      <c r="Q39" s="73"/>
      <c r="R39" s="73"/>
      <c r="S39" s="117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9"/>
      <c r="AX39" s="120"/>
      <c r="AY39" s="120"/>
      <c r="AZ39" s="120"/>
      <c r="BA39" s="120"/>
      <c r="BB39" s="120"/>
      <c r="BC39" s="121"/>
      <c r="BD39" s="124"/>
      <c r="BE39" s="120"/>
      <c r="BF39" s="120"/>
      <c r="BG39" s="120"/>
      <c r="BH39" s="120"/>
      <c r="BI39" s="120"/>
      <c r="BJ39" s="121"/>
      <c r="BK39" s="28"/>
    </row>
    <row r="40" spans="1:63" ht="15" customHeight="1" x14ac:dyDescent="0.25">
      <c r="A40" s="27"/>
      <c r="B40" s="78"/>
      <c r="C40" s="79"/>
      <c r="D40" s="79"/>
      <c r="E40" s="79"/>
      <c r="F40" s="79"/>
      <c r="G40" s="80"/>
      <c r="H40" s="78"/>
      <c r="I40" s="79"/>
      <c r="J40" s="79"/>
      <c r="K40" s="79"/>
      <c r="L40" s="79"/>
      <c r="M40" s="79"/>
      <c r="N40" s="80"/>
      <c r="O40" s="78"/>
      <c r="P40" s="79"/>
      <c r="Q40" s="79"/>
      <c r="R40" s="79"/>
      <c r="S40" s="126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8"/>
      <c r="AX40" s="122"/>
      <c r="AY40" s="122"/>
      <c r="AZ40" s="122"/>
      <c r="BA40" s="122"/>
      <c r="BB40" s="122"/>
      <c r="BC40" s="123"/>
      <c r="BD40" s="125"/>
      <c r="BE40" s="122"/>
      <c r="BF40" s="122"/>
      <c r="BG40" s="122"/>
      <c r="BH40" s="122"/>
      <c r="BI40" s="122"/>
      <c r="BJ40" s="123"/>
      <c r="BK40" s="28"/>
    </row>
    <row r="41" spans="1:63" ht="15" customHeight="1" x14ac:dyDescent="0.25">
      <c r="A41" s="27"/>
      <c r="B41" s="72"/>
      <c r="C41" s="73"/>
      <c r="D41" s="73"/>
      <c r="E41" s="73"/>
      <c r="F41" s="73"/>
      <c r="G41" s="74"/>
      <c r="H41" s="72"/>
      <c r="I41" s="73"/>
      <c r="J41" s="73"/>
      <c r="K41" s="73"/>
      <c r="L41" s="73"/>
      <c r="M41" s="73"/>
      <c r="N41" s="74"/>
      <c r="O41" s="72"/>
      <c r="P41" s="73"/>
      <c r="Q41" s="73"/>
      <c r="R41" s="73"/>
      <c r="S41" s="117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9"/>
      <c r="AX41" s="120"/>
      <c r="AY41" s="120"/>
      <c r="AZ41" s="120"/>
      <c r="BA41" s="120"/>
      <c r="BB41" s="120"/>
      <c r="BC41" s="121"/>
      <c r="BD41" s="124"/>
      <c r="BE41" s="120"/>
      <c r="BF41" s="120"/>
      <c r="BG41" s="120"/>
      <c r="BH41" s="120"/>
      <c r="BI41" s="120"/>
      <c r="BJ41" s="121"/>
      <c r="BK41" s="28"/>
    </row>
    <row r="42" spans="1:63" ht="15" customHeight="1" x14ac:dyDescent="0.25">
      <c r="A42" s="27"/>
      <c r="B42" s="78"/>
      <c r="C42" s="79"/>
      <c r="D42" s="79"/>
      <c r="E42" s="79"/>
      <c r="F42" s="79"/>
      <c r="G42" s="80"/>
      <c r="H42" s="78"/>
      <c r="I42" s="79"/>
      <c r="J42" s="79"/>
      <c r="K42" s="79"/>
      <c r="L42" s="79"/>
      <c r="M42" s="79"/>
      <c r="N42" s="80"/>
      <c r="O42" s="78"/>
      <c r="P42" s="79"/>
      <c r="Q42" s="79"/>
      <c r="R42" s="79"/>
      <c r="S42" s="126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8"/>
      <c r="AX42" s="122"/>
      <c r="AY42" s="122"/>
      <c r="AZ42" s="122"/>
      <c r="BA42" s="122"/>
      <c r="BB42" s="122"/>
      <c r="BC42" s="123"/>
      <c r="BD42" s="125"/>
      <c r="BE42" s="122"/>
      <c r="BF42" s="122"/>
      <c r="BG42" s="122"/>
      <c r="BH42" s="122"/>
      <c r="BI42" s="122"/>
      <c r="BJ42" s="123"/>
      <c r="BK42" s="28"/>
    </row>
    <row r="43" spans="1:63" ht="15" customHeight="1" x14ac:dyDescent="0.25">
      <c r="A43" s="27"/>
      <c r="B43" s="72"/>
      <c r="C43" s="73"/>
      <c r="D43" s="73"/>
      <c r="E43" s="73"/>
      <c r="F43" s="73"/>
      <c r="G43" s="74"/>
      <c r="H43" s="72"/>
      <c r="I43" s="73"/>
      <c r="J43" s="73"/>
      <c r="K43" s="73"/>
      <c r="L43" s="73"/>
      <c r="M43" s="73"/>
      <c r="N43" s="74"/>
      <c r="O43" s="72"/>
      <c r="P43" s="73"/>
      <c r="Q43" s="73"/>
      <c r="R43" s="73"/>
      <c r="S43" s="117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9"/>
      <c r="AX43" s="120"/>
      <c r="AY43" s="120"/>
      <c r="AZ43" s="120"/>
      <c r="BA43" s="120"/>
      <c r="BB43" s="120"/>
      <c r="BC43" s="121"/>
      <c r="BD43" s="124"/>
      <c r="BE43" s="120"/>
      <c r="BF43" s="120"/>
      <c r="BG43" s="120"/>
      <c r="BH43" s="120"/>
      <c r="BI43" s="120"/>
      <c r="BJ43" s="121"/>
      <c r="BK43" s="28"/>
    </row>
    <row r="44" spans="1:63" ht="15" customHeight="1" x14ac:dyDescent="0.25">
      <c r="A44" s="27"/>
      <c r="B44" s="78"/>
      <c r="C44" s="79"/>
      <c r="D44" s="79"/>
      <c r="E44" s="79"/>
      <c r="F44" s="79"/>
      <c r="G44" s="80"/>
      <c r="H44" s="78"/>
      <c r="I44" s="79"/>
      <c r="J44" s="79"/>
      <c r="K44" s="79"/>
      <c r="L44" s="79"/>
      <c r="M44" s="79"/>
      <c r="N44" s="80"/>
      <c r="O44" s="78"/>
      <c r="P44" s="79"/>
      <c r="Q44" s="79"/>
      <c r="R44" s="79"/>
      <c r="S44" s="126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8"/>
      <c r="AX44" s="122"/>
      <c r="AY44" s="122"/>
      <c r="AZ44" s="122"/>
      <c r="BA44" s="122"/>
      <c r="BB44" s="122"/>
      <c r="BC44" s="123"/>
      <c r="BD44" s="125"/>
      <c r="BE44" s="122"/>
      <c r="BF44" s="122"/>
      <c r="BG44" s="122"/>
      <c r="BH44" s="122"/>
      <c r="BI44" s="122"/>
      <c r="BJ44" s="123"/>
      <c r="BK44" s="28"/>
    </row>
    <row r="45" spans="1:63" ht="15" customHeight="1" x14ac:dyDescent="0.25">
      <c r="A45" s="27"/>
      <c r="B45" s="72"/>
      <c r="C45" s="73"/>
      <c r="D45" s="73"/>
      <c r="E45" s="73"/>
      <c r="F45" s="73"/>
      <c r="G45" s="74"/>
      <c r="H45" s="72"/>
      <c r="I45" s="73"/>
      <c r="J45" s="73"/>
      <c r="K45" s="73"/>
      <c r="L45" s="73"/>
      <c r="M45" s="73"/>
      <c r="N45" s="74"/>
      <c r="O45" s="72"/>
      <c r="P45" s="73"/>
      <c r="Q45" s="73"/>
      <c r="R45" s="73"/>
      <c r="S45" s="117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9"/>
      <c r="AX45" s="120"/>
      <c r="AY45" s="120"/>
      <c r="AZ45" s="120"/>
      <c r="BA45" s="120"/>
      <c r="BB45" s="120"/>
      <c r="BC45" s="121"/>
      <c r="BD45" s="124"/>
      <c r="BE45" s="120"/>
      <c r="BF45" s="120"/>
      <c r="BG45" s="120"/>
      <c r="BH45" s="120"/>
      <c r="BI45" s="120"/>
      <c r="BJ45" s="121"/>
      <c r="BK45" s="28"/>
    </row>
    <row r="46" spans="1:63" ht="15" customHeight="1" x14ac:dyDescent="0.25">
      <c r="A46" s="27"/>
      <c r="B46" s="78"/>
      <c r="C46" s="79"/>
      <c r="D46" s="79"/>
      <c r="E46" s="79"/>
      <c r="F46" s="79"/>
      <c r="G46" s="80"/>
      <c r="H46" s="78"/>
      <c r="I46" s="79"/>
      <c r="J46" s="79"/>
      <c r="K46" s="79"/>
      <c r="L46" s="79"/>
      <c r="M46" s="79"/>
      <c r="N46" s="80"/>
      <c r="O46" s="78"/>
      <c r="P46" s="79"/>
      <c r="Q46" s="79"/>
      <c r="R46" s="79"/>
      <c r="S46" s="126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  <c r="AT46" s="127"/>
      <c r="AU46" s="127"/>
      <c r="AV46" s="127"/>
      <c r="AW46" s="128"/>
      <c r="AX46" s="122"/>
      <c r="AY46" s="122"/>
      <c r="AZ46" s="122"/>
      <c r="BA46" s="122"/>
      <c r="BB46" s="122"/>
      <c r="BC46" s="123"/>
      <c r="BD46" s="125"/>
      <c r="BE46" s="122"/>
      <c r="BF46" s="122"/>
      <c r="BG46" s="122"/>
      <c r="BH46" s="122"/>
      <c r="BI46" s="122"/>
      <c r="BJ46" s="123"/>
      <c r="BK46" s="28"/>
    </row>
    <row r="47" spans="1:63" ht="15" customHeight="1" x14ac:dyDescent="0.25">
      <c r="A47" s="27"/>
      <c r="B47" s="72"/>
      <c r="C47" s="73"/>
      <c r="D47" s="73"/>
      <c r="E47" s="73"/>
      <c r="F47" s="73"/>
      <c r="G47" s="74"/>
      <c r="H47" s="72"/>
      <c r="I47" s="73"/>
      <c r="J47" s="73"/>
      <c r="K47" s="73"/>
      <c r="L47" s="73"/>
      <c r="M47" s="73"/>
      <c r="N47" s="74"/>
      <c r="O47" s="72"/>
      <c r="P47" s="73"/>
      <c r="Q47" s="73"/>
      <c r="R47" s="73"/>
      <c r="S47" s="117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9"/>
      <c r="AX47" s="120"/>
      <c r="AY47" s="120"/>
      <c r="AZ47" s="120"/>
      <c r="BA47" s="120"/>
      <c r="BB47" s="120"/>
      <c r="BC47" s="121"/>
      <c r="BD47" s="124"/>
      <c r="BE47" s="120"/>
      <c r="BF47" s="120"/>
      <c r="BG47" s="120"/>
      <c r="BH47" s="120"/>
      <c r="BI47" s="120"/>
      <c r="BJ47" s="121"/>
      <c r="BK47" s="28"/>
    </row>
    <row r="48" spans="1:63" ht="15" customHeight="1" x14ac:dyDescent="0.25">
      <c r="A48" s="27"/>
      <c r="B48" s="78"/>
      <c r="C48" s="79"/>
      <c r="D48" s="79"/>
      <c r="E48" s="79"/>
      <c r="F48" s="79"/>
      <c r="G48" s="80"/>
      <c r="H48" s="78"/>
      <c r="I48" s="79"/>
      <c r="J48" s="79"/>
      <c r="K48" s="79"/>
      <c r="L48" s="79"/>
      <c r="M48" s="79"/>
      <c r="N48" s="80"/>
      <c r="O48" s="78"/>
      <c r="P48" s="79"/>
      <c r="Q48" s="79"/>
      <c r="R48" s="79"/>
      <c r="S48" s="126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7"/>
      <c r="AQ48" s="127"/>
      <c r="AR48" s="127"/>
      <c r="AS48" s="127"/>
      <c r="AT48" s="127"/>
      <c r="AU48" s="127"/>
      <c r="AV48" s="127"/>
      <c r="AW48" s="128"/>
      <c r="AX48" s="122"/>
      <c r="AY48" s="122"/>
      <c r="AZ48" s="122"/>
      <c r="BA48" s="122"/>
      <c r="BB48" s="122"/>
      <c r="BC48" s="123"/>
      <c r="BD48" s="125"/>
      <c r="BE48" s="122"/>
      <c r="BF48" s="122"/>
      <c r="BG48" s="122"/>
      <c r="BH48" s="122"/>
      <c r="BI48" s="122"/>
      <c r="BJ48" s="123"/>
      <c r="BK48" s="28"/>
    </row>
    <row r="49" spans="1:63" ht="15" customHeight="1" x14ac:dyDescent="0.25">
      <c r="A49" s="27"/>
      <c r="B49" s="72"/>
      <c r="C49" s="73"/>
      <c r="D49" s="73"/>
      <c r="E49" s="73"/>
      <c r="F49" s="73"/>
      <c r="G49" s="74"/>
      <c r="H49" s="72"/>
      <c r="I49" s="73"/>
      <c r="J49" s="73"/>
      <c r="K49" s="73"/>
      <c r="L49" s="73"/>
      <c r="M49" s="73"/>
      <c r="N49" s="74"/>
      <c r="O49" s="72"/>
      <c r="P49" s="73"/>
      <c r="Q49" s="73"/>
      <c r="R49" s="73"/>
      <c r="S49" s="117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9"/>
      <c r="AX49" s="120"/>
      <c r="AY49" s="120"/>
      <c r="AZ49" s="120"/>
      <c r="BA49" s="120"/>
      <c r="BB49" s="120"/>
      <c r="BC49" s="121"/>
      <c r="BD49" s="124"/>
      <c r="BE49" s="120"/>
      <c r="BF49" s="120"/>
      <c r="BG49" s="120"/>
      <c r="BH49" s="120"/>
      <c r="BI49" s="120"/>
      <c r="BJ49" s="121"/>
      <c r="BK49" s="28"/>
    </row>
    <row r="50" spans="1:63" ht="15" customHeight="1" x14ac:dyDescent="0.25">
      <c r="A50" s="27"/>
      <c r="B50" s="78"/>
      <c r="C50" s="79"/>
      <c r="D50" s="79"/>
      <c r="E50" s="79"/>
      <c r="F50" s="79"/>
      <c r="G50" s="80"/>
      <c r="H50" s="78"/>
      <c r="I50" s="79"/>
      <c r="J50" s="79"/>
      <c r="K50" s="79"/>
      <c r="L50" s="79"/>
      <c r="M50" s="79"/>
      <c r="N50" s="80"/>
      <c r="O50" s="78"/>
      <c r="P50" s="79"/>
      <c r="Q50" s="79"/>
      <c r="R50" s="79"/>
      <c r="S50" s="126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8"/>
      <c r="AX50" s="122"/>
      <c r="AY50" s="122"/>
      <c r="AZ50" s="122"/>
      <c r="BA50" s="122"/>
      <c r="BB50" s="122"/>
      <c r="BC50" s="123"/>
      <c r="BD50" s="125"/>
      <c r="BE50" s="122"/>
      <c r="BF50" s="122"/>
      <c r="BG50" s="122"/>
      <c r="BH50" s="122"/>
      <c r="BI50" s="122"/>
      <c r="BJ50" s="123"/>
      <c r="BK50" s="28"/>
    </row>
    <row r="51" spans="1:63" ht="15" customHeight="1" x14ac:dyDescent="0.25">
      <c r="A51" s="27"/>
      <c r="B51" s="72"/>
      <c r="C51" s="73"/>
      <c r="D51" s="73"/>
      <c r="E51" s="73"/>
      <c r="F51" s="73"/>
      <c r="G51" s="74"/>
      <c r="H51" s="72"/>
      <c r="I51" s="73"/>
      <c r="J51" s="73"/>
      <c r="K51" s="73"/>
      <c r="L51" s="73"/>
      <c r="M51" s="73"/>
      <c r="N51" s="74"/>
      <c r="O51" s="72"/>
      <c r="P51" s="73"/>
      <c r="Q51" s="73"/>
      <c r="R51" s="73"/>
      <c r="S51" s="117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9"/>
      <c r="AX51" s="120"/>
      <c r="AY51" s="120"/>
      <c r="AZ51" s="120"/>
      <c r="BA51" s="120"/>
      <c r="BB51" s="120"/>
      <c r="BC51" s="121"/>
      <c r="BD51" s="124"/>
      <c r="BE51" s="120"/>
      <c r="BF51" s="120"/>
      <c r="BG51" s="120"/>
      <c r="BH51" s="120"/>
      <c r="BI51" s="120"/>
      <c r="BJ51" s="121"/>
      <c r="BK51" s="28"/>
    </row>
    <row r="52" spans="1:63" ht="15" customHeight="1" x14ac:dyDescent="0.25">
      <c r="A52" s="27"/>
      <c r="B52" s="78"/>
      <c r="C52" s="79"/>
      <c r="D52" s="79"/>
      <c r="E52" s="79"/>
      <c r="F52" s="79"/>
      <c r="G52" s="80"/>
      <c r="H52" s="78"/>
      <c r="I52" s="79"/>
      <c r="J52" s="79"/>
      <c r="K52" s="79"/>
      <c r="L52" s="79"/>
      <c r="M52" s="79"/>
      <c r="N52" s="80"/>
      <c r="O52" s="78"/>
      <c r="P52" s="79"/>
      <c r="Q52" s="79"/>
      <c r="R52" s="79"/>
      <c r="S52" s="126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8"/>
      <c r="AX52" s="122"/>
      <c r="AY52" s="122"/>
      <c r="AZ52" s="122"/>
      <c r="BA52" s="122"/>
      <c r="BB52" s="122"/>
      <c r="BC52" s="123"/>
      <c r="BD52" s="125"/>
      <c r="BE52" s="122"/>
      <c r="BF52" s="122"/>
      <c r="BG52" s="122"/>
      <c r="BH52" s="122"/>
      <c r="BI52" s="122"/>
      <c r="BJ52" s="123"/>
      <c r="BK52" s="28"/>
    </row>
    <row r="53" spans="1:63" ht="15" customHeight="1" x14ac:dyDescent="0.25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6"/>
    </row>
  </sheetData>
  <mergeCells count="173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2"/>
      <c r="K1" s="130" t="s">
        <v>2</v>
      </c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2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30" t="s">
        <v>3</v>
      </c>
      <c r="AQ1" s="131"/>
      <c r="AR1" s="131"/>
      <c r="AS1" s="132"/>
      <c r="AT1" s="130" t="s">
        <v>4</v>
      </c>
      <c r="AU1" s="131"/>
      <c r="AV1" s="131"/>
      <c r="AW1" s="131"/>
      <c r="AX1" s="132"/>
      <c r="AY1" s="130" t="s">
        <v>5</v>
      </c>
      <c r="AZ1" s="131"/>
      <c r="BA1" s="131"/>
      <c r="BB1" s="132"/>
      <c r="BC1" s="130" t="s">
        <v>6</v>
      </c>
      <c r="BD1" s="131"/>
      <c r="BE1" s="131"/>
      <c r="BF1" s="131"/>
      <c r="BG1" s="132"/>
      <c r="BH1" s="130" t="s">
        <v>7</v>
      </c>
      <c r="BI1" s="131"/>
      <c r="BJ1" s="131"/>
      <c r="BK1" s="132"/>
    </row>
    <row r="2" spans="1:63" ht="15" customHeight="1" x14ac:dyDescent="0.25">
      <c r="A2" s="133" t="str">
        <f>IF(表紙!A2="","",表紙!A2)</f>
        <v>POSサーバー</v>
      </c>
      <c r="B2" s="134"/>
      <c r="C2" s="134"/>
      <c r="D2" s="134"/>
      <c r="E2" s="134"/>
      <c r="F2" s="134"/>
      <c r="G2" s="134"/>
      <c r="H2" s="134"/>
      <c r="I2" s="134"/>
      <c r="J2" s="135"/>
      <c r="K2" s="133" t="str">
        <f>IF(表紙!K2="","",表紙!K2)</f>
        <v>POSサーバー</v>
      </c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5"/>
      <c r="W2" s="148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50"/>
      <c r="AP2" s="133" t="str">
        <f>IF(表紙!AP2="","",表紙!AP2)</f>
        <v>LoiLV</v>
      </c>
      <c r="AQ2" s="134"/>
      <c r="AR2" s="134"/>
      <c r="AS2" s="135"/>
      <c r="AT2" s="139">
        <v>45084</v>
      </c>
      <c r="AU2" s="140"/>
      <c r="AV2" s="140"/>
      <c r="AW2" s="140"/>
      <c r="AX2" s="141"/>
      <c r="AY2" s="133" t="str">
        <f>IF(表紙!AY2="","",表紙!AY2)</f>
        <v>LoiLV</v>
      </c>
      <c r="AZ2" s="134"/>
      <c r="BA2" s="134"/>
      <c r="BB2" s="135"/>
      <c r="BC2" s="139">
        <f>IF(表紙!BC2="","",表紙!BC2)</f>
        <v>45455</v>
      </c>
      <c r="BD2" s="140"/>
      <c r="BE2" s="140"/>
      <c r="BF2" s="140"/>
      <c r="BG2" s="141"/>
      <c r="BH2" s="133">
        <f>IF(表紙!BH2="","",表紙!BH2)</f>
        <v>0.13</v>
      </c>
      <c r="BI2" s="134"/>
      <c r="BJ2" s="134"/>
      <c r="BK2" s="135"/>
    </row>
    <row r="3" spans="1:63" ht="15" customHeight="1" x14ac:dyDescent="0.25">
      <c r="A3" s="136"/>
      <c r="B3" s="137"/>
      <c r="C3" s="137"/>
      <c r="D3" s="137"/>
      <c r="E3" s="137"/>
      <c r="F3" s="137"/>
      <c r="G3" s="137"/>
      <c r="H3" s="137"/>
      <c r="I3" s="137"/>
      <c r="J3" s="138"/>
      <c r="K3" s="136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51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3"/>
      <c r="AP3" s="136"/>
      <c r="AQ3" s="137"/>
      <c r="AR3" s="137"/>
      <c r="AS3" s="138"/>
      <c r="AT3" s="142"/>
      <c r="AU3" s="143"/>
      <c r="AV3" s="143"/>
      <c r="AW3" s="143"/>
      <c r="AX3" s="144"/>
      <c r="AY3" s="136"/>
      <c r="AZ3" s="137"/>
      <c r="BA3" s="137"/>
      <c r="BB3" s="138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3" ht="24.95" customHeight="1" x14ac:dyDescent="0.25">
      <c r="A4" s="130" t="s">
        <v>1</v>
      </c>
      <c r="B4" s="131"/>
      <c r="C4" s="131"/>
      <c r="D4" s="131"/>
      <c r="E4" s="131"/>
      <c r="F4" s="131"/>
      <c r="G4" s="132"/>
      <c r="H4" s="154" t="str">
        <f>IF(表紙!H4="","",表紙!H4)</f>
        <v>37_メガ割設定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30" t="s">
        <v>8</v>
      </c>
      <c r="V4" s="131"/>
      <c r="W4" s="131"/>
      <c r="X4" s="131"/>
      <c r="Y4" s="132"/>
      <c r="Z4" s="154" t="str">
        <f>IF(表紙!Z4="","",表紙!Z4)</f>
        <v>概要設計書</v>
      </c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6"/>
      <c r="AP4" s="154" t="str">
        <f t="array" aca="1" ref="AP4" ca="1">RIGHT(CELL("filename",$A$1),LEN(CELL("filename",$A$1))-FIND("]",CELL("filename",$A$1)))</f>
        <v>業務フロー凡例</v>
      </c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6"/>
    </row>
    <row r="5" spans="1:63" ht="5.0999999999999996" customHeight="1" x14ac:dyDescent="0.25">
      <c r="A5" s="39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1"/>
    </row>
    <row r="6" spans="1:63" ht="15" customHeight="1" x14ac:dyDescent="0.25">
      <c r="A6" s="42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5"/>
      <c r="AF6" s="43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5"/>
      <c r="BJ6" s="44"/>
      <c r="BK6" s="46"/>
    </row>
    <row r="7" spans="1:63" ht="15" customHeight="1" x14ac:dyDescent="0.25">
      <c r="A7" s="42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6"/>
    </row>
    <row r="8" spans="1:63" ht="15" customHeight="1" x14ac:dyDescent="0.25">
      <c r="A8" s="42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5"/>
      <c r="AF8" s="43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5"/>
      <c r="BJ8" s="44"/>
      <c r="BK8" s="46"/>
    </row>
    <row r="9" spans="1:63" ht="15" customHeight="1" x14ac:dyDescent="0.25">
      <c r="A9" s="42"/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5"/>
      <c r="AF9" s="43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5"/>
      <c r="BJ9" s="44"/>
      <c r="BK9" s="46"/>
    </row>
    <row r="10" spans="1:63" ht="15" customHeight="1" x14ac:dyDescent="0.25">
      <c r="A10" s="42"/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5"/>
      <c r="AF10" s="43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5"/>
      <c r="BJ10" s="44"/>
      <c r="BK10" s="46"/>
    </row>
    <row r="11" spans="1:63" ht="15" customHeight="1" x14ac:dyDescent="0.25">
      <c r="A11" s="42"/>
      <c r="B11" s="4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5"/>
      <c r="AF11" s="43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5"/>
      <c r="BJ11" s="44"/>
      <c r="BK11" s="46"/>
    </row>
    <row r="12" spans="1:63" ht="15" customHeight="1" x14ac:dyDescent="0.25">
      <c r="A12" s="42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5"/>
      <c r="AF12" s="43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5"/>
      <c r="BJ12" s="44"/>
      <c r="BK12" s="46"/>
    </row>
    <row r="13" spans="1:63" ht="15" customHeight="1" x14ac:dyDescent="0.25">
      <c r="A13" s="42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5"/>
      <c r="AF13" s="43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5"/>
      <c r="BJ13" s="44"/>
      <c r="BK13" s="46"/>
    </row>
    <row r="14" spans="1:63" ht="15" customHeight="1" x14ac:dyDescent="0.25">
      <c r="A14" s="42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5"/>
      <c r="AF14" s="43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5"/>
      <c r="BJ14" s="44"/>
      <c r="BK14" s="46"/>
    </row>
    <row r="15" spans="1:63" ht="15" customHeight="1" x14ac:dyDescent="0.25">
      <c r="A15" s="42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5"/>
      <c r="AF15" s="43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5"/>
      <c r="BJ15" s="44"/>
      <c r="BK15" s="46"/>
    </row>
    <row r="16" spans="1:63" ht="15" customHeight="1" x14ac:dyDescent="0.25">
      <c r="A16" s="42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5"/>
      <c r="AF16" s="43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5"/>
      <c r="BJ16" s="44"/>
      <c r="BK16" s="46"/>
    </row>
    <row r="17" spans="1:63" ht="15" customHeight="1" x14ac:dyDescent="0.25">
      <c r="A17" s="42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5"/>
      <c r="AF17" s="43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5"/>
      <c r="BJ17" s="44"/>
      <c r="BK17" s="46"/>
    </row>
    <row r="18" spans="1:63" ht="15" customHeight="1" x14ac:dyDescent="0.25">
      <c r="A18" s="42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5"/>
      <c r="AF18" s="43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5"/>
      <c r="BJ18" s="44"/>
      <c r="BK18" s="46"/>
    </row>
    <row r="19" spans="1:63" ht="15" customHeight="1" x14ac:dyDescent="0.25">
      <c r="A19" s="42"/>
      <c r="B19" s="43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5"/>
      <c r="AF19" s="43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5"/>
      <c r="BJ19" s="44"/>
      <c r="BK19" s="46"/>
    </row>
    <row r="20" spans="1:63" ht="15" customHeight="1" x14ac:dyDescent="0.25">
      <c r="A20" s="42"/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5"/>
      <c r="AF20" s="43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5"/>
      <c r="BJ20" s="44"/>
      <c r="BK20" s="46"/>
    </row>
    <row r="21" spans="1:63" ht="15" customHeight="1" x14ac:dyDescent="0.25">
      <c r="A21" s="42"/>
      <c r="B21" s="43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5"/>
      <c r="AF21" s="43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5"/>
      <c r="BJ21" s="44"/>
      <c r="BK21" s="46"/>
    </row>
    <row r="22" spans="1:63" ht="15" customHeight="1" x14ac:dyDescent="0.25">
      <c r="A22" s="42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6"/>
    </row>
    <row r="23" spans="1:63" ht="15" customHeight="1" x14ac:dyDescent="0.25">
      <c r="A23" s="42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5"/>
      <c r="AF23" s="43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5"/>
      <c r="BJ23" s="44"/>
      <c r="BK23" s="46"/>
    </row>
    <row r="24" spans="1:63" ht="15" customHeight="1" x14ac:dyDescent="0.25">
      <c r="A24" s="42"/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5"/>
      <c r="AF24" s="43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5"/>
      <c r="BJ24" s="44"/>
      <c r="BK24" s="46"/>
    </row>
    <row r="25" spans="1:63" ht="15" customHeight="1" x14ac:dyDescent="0.25">
      <c r="A25" s="42"/>
      <c r="B25" s="43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5"/>
      <c r="AF25" s="43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5"/>
      <c r="BJ25" s="44"/>
      <c r="BK25" s="46"/>
    </row>
    <row r="26" spans="1:63" ht="15" customHeight="1" x14ac:dyDescent="0.25">
      <c r="A26" s="42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5"/>
      <c r="AF26" s="43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5"/>
      <c r="BJ26" s="44"/>
      <c r="BK26" s="46"/>
    </row>
    <row r="27" spans="1:63" ht="15" customHeight="1" x14ac:dyDescent="0.25">
      <c r="A27" s="42"/>
      <c r="B27" s="43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5"/>
      <c r="AF27" s="43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5"/>
      <c r="BJ27" s="44"/>
      <c r="BK27" s="46"/>
    </row>
    <row r="28" spans="1:63" ht="15" customHeight="1" x14ac:dyDescent="0.25">
      <c r="A28" s="42"/>
      <c r="B28" s="43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5"/>
      <c r="AF28" s="43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5"/>
      <c r="BJ28" s="44"/>
      <c r="BK28" s="46"/>
    </row>
    <row r="29" spans="1:63" ht="15" customHeight="1" x14ac:dyDescent="0.25">
      <c r="A29" s="42"/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5"/>
      <c r="AF29" s="43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5"/>
      <c r="BJ29" s="44"/>
      <c r="BK29" s="46"/>
    </row>
    <row r="30" spans="1:63" ht="15" customHeight="1" x14ac:dyDescent="0.25">
      <c r="A30" s="4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5"/>
      <c r="AF30" s="43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5"/>
      <c r="BJ30" s="44"/>
      <c r="BK30" s="46"/>
    </row>
    <row r="31" spans="1:63" ht="15" customHeight="1" x14ac:dyDescent="0.25">
      <c r="A31" s="42"/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5"/>
      <c r="AF31" s="43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5"/>
      <c r="BJ31" s="44"/>
      <c r="BK31" s="46"/>
    </row>
    <row r="32" spans="1:63" ht="15" customHeight="1" x14ac:dyDescent="0.25">
      <c r="A32" s="42"/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5"/>
      <c r="AF32" s="43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5"/>
      <c r="BJ32" s="44"/>
      <c r="BK32" s="46"/>
    </row>
    <row r="33" spans="1:63" ht="15" customHeight="1" x14ac:dyDescent="0.25">
      <c r="A33" s="4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5"/>
      <c r="AF33" s="43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5"/>
      <c r="BJ33" s="44"/>
      <c r="BK33" s="46"/>
    </row>
    <row r="34" spans="1:63" ht="15" customHeight="1" x14ac:dyDescent="0.25">
      <c r="A34" s="42"/>
      <c r="B34" s="43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5"/>
      <c r="AF34" s="43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5"/>
      <c r="BJ34" s="44"/>
      <c r="BK34" s="46"/>
    </row>
    <row r="35" spans="1:63" ht="15" customHeight="1" x14ac:dyDescent="0.25">
      <c r="A35" s="42"/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5"/>
      <c r="AF35" s="43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5"/>
      <c r="BJ35" s="44"/>
      <c r="BK35" s="46"/>
    </row>
    <row r="36" spans="1:63" ht="15" customHeight="1" x14ac:dyDescent="0.25">
      <c r="A36" s="42"/>
      <c r="B36" s="43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5"/>
      <c r="AF36" s="43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5"/>
      <c r="BJ36" s="44"/>
      <c r="BK36" s="46"/>
    </row>
    <row r="37" spans="1:63" ht="15" customHeight="1" x14ac:dyDescent="0.25">
      <c r="A37" s="42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3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5"/>
      <c r="BJ37" s="44"/>
      <c r="BK37" s="46"/>
    </row>
    <row r="38" spans="1:63" ht="15" customHeight="1" x14ac:dyDescent="0.25">
      <c r="A38" s="4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3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5"/>
      <c r="BJ38" s="44"/>
      <c r="BK38" s="46"/>
    </row>
    <row r="39" spans="1:63" ht="15" customHeight="1" x14ac:dyDescent="0.25">
      <c r="A39" s="42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3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5"/>
      <c r="BJ39" s="44"/>
      <c r="BK39" s="46"/>
    </row>
    <row r="40" spans="1:63" ht="15" customHeight="1" x14ac:dyDescent="0.25">
      <c r="A40" s="4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3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5"/>
      <c r="BJ40" s="44"/>
      <c r="BK40" s="46"/>
    </row>
    <row r="41" spans="1:63" ht="15" customHeight="1" x14ac:dyDescent="0.25">
      <c r="A41" s="42"/>
      <c r="B41" s="43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3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5"/>
      <c r="BJ41" s="44"/>
      <c r="BK41" s="46"/>
    </row>
    <row r="42" spans="1:63" ht="15" customHeight="1" x14ac:dyDescent="0.25">
      <c r="A42" s="42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6"/>
    </row>
    <row r="43" spans="1:63" ht="15" customHeight="1" x14ac:dyDescent="0.25">
      <c r="A43" s="42"/>
      <c r="B43" s="4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5"/>
      <c r="AF43" s="43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5"/>
      <c r="BJ43" s="44"/>
      <c r="BK43" s="46"/>
    </row>
    <row r="44" spans="1:63" ht="15" customHeight="1" x14ac:dyDescent="0.25">
      <c r="A44" s="42"/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5"/>
      <c r="AF44" s="43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5"/>
      <c r="BJ44" s="44"/>
      <c r="BK44" s="46"/>
    </row>
    <row r="45" spans="1:63" ht="15" customHeight="1" x14ac:dyDescent="0.25">
      <c r="A45" s="42"/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5"/>
      <c r="AF45" s="43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5"/>
      <c r="BJ45" s="44"/>
      <c r="BK45" s="46"/>
    </row>
    <row r="46" spans="1:63" ht="15" customHeight="1" x14ac:dyDescent="0.25">
      <c r="A46" s="4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5"/>
      <c r="AF46" s="43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5"/>
      <c r="BJ46" s="44"/>
      <c r="BK46" s="46"/>
    </row>
    <row r="47" spans="1:63" ht="15" customHeight="1" x14ac:dyDescent="0.25">
      <c r="A47" s="42"/>
      <c r="B47" s="43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5"/>
      <c r="AF47" s="43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5"/>
      <c r="BJ47" s="44"/>
      <c r="BK47" s="46"/>
    </row>
    <row r="48" spans="1:63" ht="15" customHeight="1" x14ac:dyDescent="0.25">
      <c r="A48" s="42"/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5"/>
      <c r="AF48" s="43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5"/>
      <c r="BJ48" s="44"/>
      <c r="BK48" s="46"/>
    </row>
    <row r="49" spans="1:63" ht="15" customHeight="1" x14ac:dyDescent="0.25">
      <c r="A49" s="42"/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3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5"/>
      <c r="BJ49" s="44"/>
      <c r="BK49" s="46"/>
    </row>
    <row r="50" spans="1:63" ht="15" customHeight="1" x14ac:dyDescent="0.25">
      <c r="A50" s="42"/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3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5"/>
      <c r="BJ50" s="44"/>
      <c r="BK50" s="46"/>
    </row>
    <row r="51" spans="1:63" ht="15" customHeight="1" x14ac:dyDescent="0.25">
      <c r="A51" s="4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3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5"/>
      <c r="BJ51" s="44"/>
      <c r="BK51" s="46"/>
    </row>
    <row r="52" spans="1:63" ht="15" customHeight="1" x14ac:dyDescent="0.25">
      <c r="A52" s="42"/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3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5"/>
      <c r="BJ52" s="44"/>
      <c r="BK52" s="46"/>
    </row>
    <row r="53" spans="1:63" ht="15" customHeight="1" x14ac:dyDescent="0.25">
      <c r="A53" s="42"/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3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5"/>
      <c r="BJ53" s="44"/>
      <c r="BK53" s="46"/>
    </row>
    <row r="54" spans="1:63" ht="15" customHeight="1" x14ac:dyDescent="0.25">
      <c r="A54" s="42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3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5"/>
      <c r="BJ54" s="44"/>
      <c r="BK54" s="46"/>
    </row>
    <row r="55" spans="1:63" ht="15" customHeight="1" x14ac:dyDescent="0.25">
      <c r="A55" s="42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3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5"/>
      <c r="BJ55" s="44"/>
      <c r="BK55" s="46"/>
    </row>
    <row r="56" spans="1:63" ht="15" customHeight="1" x14ac:dyDescent="0.25">
      <c r="A56" s="4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3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5"/>
      <c r="BJ56" s="44"/>
      <c r="BK56" s="46"/>
    </row>
    <row r="57" spans="1:63" ht="15" customHeight="1" x14ac:dyDescent="0.25">
      <c r="A57" s="42"/>
      <c r="B57" s="4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3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5"/>
      <c r="BJ57" s="44"/>
      <c r="BK57" s="46"/>
    </row>
    <row r="58" spans="1:63" ht="15" customHeight="1" x14ac:dyDescent="0.25">
      <c r="A58" s="42"/>
      <c r="B58" s="43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3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5"/>
      <c r="BJ58" s="44"/>
      <c r="BK58" s="46"/>
    </row>
    <row r="59" spans="1:63" ht="15" customHeight="1" x14ac:dyDescent="0.25">
      <c r="A59" s="4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3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5"/>
      <c r="BJ59" s="44"/>
      <c r="BK59" s="46"/>
    </row>
    <row r="60" spans="1:63" ht="15" customHeight="1" x14ac:dyDescent="0.25">
      <c r="A60" s="42"/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3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5"/>
      <c r="BJ60" s="44"/>
      <c r="BK60" s="46"/>
    </row>
    <row r="61" spans="1:63" ht="15" customHeight="1" x14ac:dyDescent="0.25">
      <c r="A61" s="42"/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3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5"/>
      <c r="BJ61" s="44"/>
      <c r="BK61" s="46"/>
    </row>
    <row r="62" spans="1:63" ht="15" customHeight="1" x14ac:dyDescent="0.25">
      <c r="A62" s="47"/>
      <c r="B62" s="48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9"/>
      <c r="AF62" s="48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9"/>
      <c r="BJ62" s="47"/>
      <c r="BK62" s="5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tabColor rgb="FF0000FF"/>
    <pageSetUpPr fitToPage="1"/>
  </sheetPr>
  <dimension ref="A1:BM58"/>
  <sheetViews>
    <sheetView view="pageBreakPreview" zoomScale="85" zoomScaleNormal="75" zoomScaleSheetLayoutView="85" workbookViewId="0">
      <selection activeCell="AH16" sqref="AH16"/>
    </sheetView>
  </sheetViews>
  <sheetFormatPr defaultColWidth="2.77734375" defaultRowHeight="15" customHeight="1" x14ac:dyDescent="0.25"/>
  <cols>
    <col min="1" max="65" width="2.77734375" style="23" customWidth="1"/>
    <col min="66" max="16384" width="2.77734375" style="23"/>
  </cols>
  <sheetData>
    <row r="1" spans="1:65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8" t="str">
        <f>IF(表紙!W1="","",表紙!W1)</f>
        <v>基本設計書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10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5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5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6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5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tr">
        <f>IF(表紙!H4="","",表紙!H4)</f>
        <v>37_メガ割設定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tr">
        <f>IF(表紙!Z4="","",表紙!Z4)</f>
        <v>概要設計書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機能概要説明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5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5" ht="15" customHeight="1" x14ac:dyDescent="0.25">
      <c r="A6" s="27"/>
      <c r="BK6" s="28"/>
    </row>
    <row r="7" spans="1:65" ht="15" customHeight="1" x14ac:dyDescent="0.25">
      <c r="A7" s="27"/>
      <c r="B7" s="23" t="s">
        <v>31</v>
      </c>
      <c r="K7" s="51"/>
      <c r="BK7" s="28"/>
      <c r="BM7" s="4">
        <f t="shared" ref="BM7:BM9" si="0">IF(BM6=50,1,BM6+1)</f>
        <v>1</v>
      </c>
    </row>
    <row r="8" spans="1:65" ht="15" customHeight="1" x14ac:dyDescent="0.25">
      <c r="A8" s="27"/>
      <c r="C8" s="313" t="s">
        <v>74</v>
      </c>
      <c r="K8" s="51"/>
      <c r="BK8" s="28"/>
      <c r="BM8" s="4">
        <f t="shared" si="0"/>
        <v>2</v>
      </c>
    </row>
    <row r="9" spans="1:65" ht="15" customHeight="1" x14ac:dyDescent="0.25">
      <c r="A9" s="27"/>
      <c r="C9" s="20" t="s">
        <v>75</v>
      </c>
      <c r="D9" s="21"/>
      <c r="E9" s="21"/>
      <c r="F9" s="21"/>
      <c r="G9" s="21"/>
      <c r="H9" s="21"/>
      <c r="I9" s="21"/>
      <c r="J9" s="21"/>
      <c r="K9" s="22"/>
      <c r="L9" s="21"/>
      <c r="M9" s="21"/>
      <c r="N9" s="21"/>
      <c r="O9" s="21"/>
      <c r="P9" s="21"/>
      <c r="Q9" s="21"/>
      <c r="R9" s="21"/>
      <c r="S9" s="21"/>
      <c r="T9" s="21"/>
      <c r="U9" s="21"/>
      <c r="V9" s="18"/>
      <c r="W9" s="18"/>
      <c r="X9" s="18"/>
      <c r="BK9" s="28"/>
      <c r="BM9" s="4">
        <f t="shared" si="0"/>
        <v>3</v>
      </c>
    </row>
    <row r="10" spans="1:65" ht="15" customHeight="1" x14ac:dyDescent="0.25">
      <c r="A10" s="27"/>
      <c r="C10" s="314" t="s">
        <v>76</v>
      </c>
      <c r="D10" s="21"/>
      <c r="E10" s="21"/>
      <c r="F10" s="21"/>
      <c r="G10" s="21"/>
      <c r="H10" s="21"/>
      <c r="I10" s="21"/>
      <c r="J10" s="21"/>
      <c r="K10" s="22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18"/>
      <c r="W10" s="18"/>
      <c r="X10" s="18"/>
      <c r="BK10" s="28"/>
      <c r="BM10" s="4"/>
    </row>
    <row r="11" spans="1:65" ht="15" customHeight="1" x14ac:dyDescent="0.25">
      <c r="A11" s="27"/>
      <c r="C11" s="20"/>
      <c r="D11" s="21"/>
      <c r="E11" s="21"/>
      <c r="F11" s="21"/>
      <c r="G11" s="21"/>
      <c r="H11" s="21"/>
      <c r="I11" s="21"/>
      <c r="J11" s="21"/>
      <c r="K11" s="22"/>
      <c r="L11" s="21"/>
      <c r="M11" s="21"/>
      <c r="N11" s="21"/>
      <c r="O11" s="21"/>
      <c r="P11" s="21"/>
      <c r="Q11" s="21"/>
      <c r="R11" s="21"/>
      <c r="S11" s="21"/>
      <c r="T11" s="21"/>
      <c r="U11" s="21"/>
      <c r="BK11" s="28"/>
      <c r="BM11" s="4">
        <f>IF(BM9=50,1,BM9+1)</f>
        <v>4</v>
      </c>
    </row>
    <row r="12" spans="1:65" s="51" customFormat="1" ht="15" customHeight="1" x14ac:dyDescent="0.25">
      <c r="A12" s="52"/>
      <c r="C12" s="53"/>
      <c r="BK12" s="54"/>
      <c r="BM12" s="4">
        <f>IF(BM11=50,1,BM11+1)</f>
        <v>5</v>
      </c>
    </row>
    <row r="13" spans="1:65" s="51" customFormat="1" ht="15" customHeight="1" x14ac:dyDescent="0.25">
      <c r="A13" s="52"/>
      <c r="BK13" s="54"/>
      <c r="BM13" s="4">
        <f t="shared" ref="BM13:BM45" si="1">IF(BM12=50,1,BM12+1)</f>
        <v>6</v>
      </c>
    </row>
    <row r="14" spans="1:65" s="51" customFormat="1" ht="15" customHeight="1" x14ac:dyDescent="0.25">
      <c r="A14" s="52"/>
      <c r="BK14" s="54"/>
      <c r="BM14" s="4">
        <f t="shared" si="1"/>
        <v>7</v>
      </c>
    </row>
    <row r="15" spans="1:65" s="51" customFormat="1" ht="15" customHeight="1" x14ac:dyDescent="0.25">
      <c r="A15" s="52"/>
      <c r="BK15" s="54"/>
      <c r="BM15" s="4">
        <f t="shared" si="1"/>
        <v>8</v>
      </c>
    </row>
    <row r="16" spans="1:65" s="51" customFormat="1" ht="15" customHeight="1" x14ac:dyDescent="0.25">
      <c r="A16" s="52"/>
      <c r="BK16" s="54"/>
      <c r="BM16" s="4">
        <f t="shared" si="1"/>
        <v>9</v>
      </c>
    </row>
    <row r="17" spans="1:65" s="51" customFormat="1" ht="15" customHeight="1" x14ac:dyDescent="0.25">
      <c r="A17" s="52"/>
      <c r="BK17" s="54"/>
      <c r="BM17" s="4">
        <f t="shared" si="1"/>
        <v>10</v>
      </c>
    </row>
    <row r="18" spans="1:65" s="51" customFormat="1" ht="15" customHeight="1" x14ac:dyDescent="0.25">
      <c r="A18" s="52"/>
      <c r="BK18" s="54"/>
      <c r="BM18" s="4">
        <f t="shared" si="1"/>
        <v>11</v>
      </c>
    </row>
    <row r="19" spans="1:65" s="51" customFormat="1" ht="15" customHeight="1" x14ac:dyDescent="0.25">
      <c r="A19" s="52"/>
      <c r="BK19" s="54"/>
      <c r="BM19" s="4">
        <f t="shared" si="1"/>
        <v>12</v>
      </c>
    </row>
    <row r="20" spans="1:65" s="51" customFormat="1" ht="15" customHeight="1" x14ac:dyDescent="0.25">
      <c r="A20" s="52"/>
      <c r="BK20" s="54"/>
      <c r="BM20" s="4">
        <f t="shared" si="1"/>
        <v>13</v>
      </c>
    </row>
    <row r="21" spans="1:65" s="51" customFormat="1" ht="15" customHeight="1" x14ac:dyDescent="0.25">
      <c r="A21" s="52"/>
      <c r="AG21" s="55"/>
      <c r="BK21" s="54"/>
      <c r="BM21" s="4">
        <f t="shared" si="1"/>
        <v>14</v>
      </c>
    </row>
    <row r="22" spans="1:65" s="51" customFormat="1" ht="15" customHeight="1" x14ac:dyDescent="0.25">
      <c r="A22" s="52"/>
      <c r="BK22" s="54"/>
      <c r="BM22" s="4">
        <f t="shared" si="1"/>
        <v>15</v>
      </c>
    </row>
    <row r="23" spans="1:65" s="51" customFormat="1" ht="15" customHeight="1" x14ac:dyDescent="0.25">
      <c r="A23" s="52"/>
      <c r="BK23" s="54"/>
      <c r="BM23" s="4">
        <f t="shared" si="1"/>
        <v>16</v>
      </c>
    </row>
    <row r="24" spans="1:65" s="51" customFormat="1" ht="15" customHeight="1" x14ac:dyDescent="0.25">
      <c r="A24" s="52"/>
      <c r="BK24" s="54"/>
      <c r="BM24" s="4">
        <f t="shared" si="1"/>
        <v>17</v>
      </c>
    </row>
    <row r="25" spans="1:65" s="51" customFormat="1" ht="15" customHeight="1" x14ac:dyDescent="0.25">
      <c r="A25" s="52"/>
      <c r="BK25" s="54"/>
      <c r="BM25" s="4">
        <f t="shared" si="1"/>
        <v>18</v>
      </c>
    </row>
    <row r="26" spans="1:65" s="51" customFormat="1" ht="15" customHeight="1" x14ac:dyDescent="0.25">
      <c r="A26" s="52"/>
      <c r="BK26" s="54"/>
      <c r="BM26" s="4">
        <f t="shared" si="1"/>
        <v>19</v>
      </c>
    </row>
    <row r="27" spans="1:65" s="51" customFormat="1" ht="15" customHeight="1" x14ac:dyDescent="0.25">
      <c r="A27" s="52"/>
      <c r="BK27" s="54"/>
      <c r="BM27" s="4">
        <f t="shared" si="1"/>
        <v>20</v>
      </c>
    </row>
    <row r="28" spans="1:65" s="51" customFormat="1" ht="15" customHeight="1" x14ac:dyDescent="0.25">
      <c r="A28" s="52"/>
      <c r="BK28" s="54"/>
      <c r="BM28" s="4">
        <f t="shared" si="1"/>
        <v>21</v>
      </c>
    </row>
    <row r="29" spans="1:65" s="51" customFormat="1" ht="15" customHeight="1" x14ac:dyDescent="0.25">
      <c r="A29" s="52"/>
      <c r="BK29" s="54"/>
      <c r="BM29" s="4">
        <f t="shared" si="1"/>
        <v>22</v>
      </c>
    </row>
    <row r="30" spans="1:65" s="51" customFormat="1" ht="15" customHeight="1" x14ac:dyDescent="0.25">
      <c r="A30" s="52"/>
      <c r="BK30" s="54"/>
      <c r="BM30" s="4">
        <f t="shared" si="1"/>
        <v>23</v>
      </c>
    </row>
    <row r="31" spans="1:65" s="51" customFormat="1" ht="15" customHeight="1" x14ac:dyDescent="0.25">
      <c r="A31" s="52"/>
      <c r="BK31" s="54"/>
      <c r="BM31" s="4">
        <f t="shared" si="1"/>
        <v>24</v>
      </c>
    </row>
    <row r="32" spans="1:65" s="51" customFormat="1" ht="15" customHeight="1" x14ac:dyDescent="0.25">
      <c r="A32" s="52"/>
      <c r="BK32" s="54"/>
      <c r="BM32" s="4">
        <f t="shared" si="1"/>
        <v>25</v>
      </c>
    </row>
    <row r="33" spans="1:65" s="51" customFormat="1" ht="15" customHeight="1" x14ac:dyDescent="0.25">
      <c r="A33" s="52"/>
      <c r="BK33" s="54"/>
      <c r="BM33" s="4">
        <f t="shared" si="1"/>
        <v>26</v>
      </c>
    </row>
    <row r="34" spans="1:65" s="51" customFormat="1" ht="15" customHeight="1" x14ac:dyDescent="0.25">
      <c r="A34" s="52"/>
      <c r="BK34" s="54"/>
      <c r="BM34" s="4">
        <f t="shared" si="1"/>
        <v>27</v>
      </c>
    </row>
    <row r="35" spans="1:65" s="51" customFormat="1" ht="15" customHeight="1" x14ac:dyDescent="0.25">
      <c r="A35" s="52"/>
      <c r="BK35" s="54"/>
      <c r="BM35" s="4">
        <f t="shared" si="1"/>
        <v>28</v>
      </c>
    </row>
    <row r="36" spans="1:65" s="51" customFormat="1" ht="15" customHeight="1" x14ac:dyDescent="0.25">
      <c r="A36" s="52"/>
      <c r="BK36" s="54"/>
      <c r="BM36" s="4">
        <f t="shared" si="1"/>
        <v>29</v>
      </c>
    </row>
    <row r="37" spans="1:65" s="51" customFormat="1" ht="15" customHeight="1" x14ac:dyDescent="0.25">
      <c r="A37" s="52"/>
      <c r="BK37" s="54"/>
      <c r="BM37" s="4">
        <f t="shared" si="1"/>
        <v>30</v>
      </c>
    </row>
    <row r="38" spans="1:65" s="51" customFormat="1" ht="15" customHeight="1" x14ac:dyDescent="0.25">
      <c r="A38" s="52"/>
      <c r="BK38" s="54"/>
      <c r="BM38" s="4">
        <f t="shared" si="1"/>
        <v>31</v>
      </c>
    </row>
    <row r="39" spans="1:65" s="51" customFormat="1" ht="15" customHeight="1" x14ac:dyDescent="0.25">
      <c r="A39" s="52"/>
      <c r="BK39" s="54"/>
      <c r="BM39" s="4">
        <f t="shared" si="1"/>
        <v>32</v>
      </c>
    </row>
    <row r="40" spans="1:65" s="51" customFormat="1" ht="15" customHeight="1" x14ac:dyDescent="0.25">
      <c r="A40" s="52"/>
      <c r="BK40" s="54"/>
      <c r="BM40" s="4">
        <f t="shared" si="1"/>
        <v>33</v>
      </c>
    </row>
    <row r="41" spans="1:65" s="51" customFormat="1" ht="15" customHeight="1" x14ac:dyDescent="0.25">
      <c r="A41" s="52"/>
      <c r="BK41" s="54"/>
      <c r="BM41" s="4">
        <f t="shared" si="1"/>
        <v>34</v>
      </c>
    </row>
    <row r="42" spans="1:65" s="51" customFormat="1" ht="15" customHeight="1" x14ac:dyDescent="0.25">
      <c r="A42" s="52"/>
      <c r="BK42" s="54"/>
      <c r="BM42" s="4">
        <f t="shared" si="1"/>
        <v>35</v>
      </c>
    </row>
    <row r="43" spans="1:65" s="51" customFormat="1" ht="15" customHeight="1" x14ac:dyDescent="0.25">
      <c r="A43" s="52"/>
      <c r="BK43" s="54"/>
      <c r="BM43" s="4">
        <f t="shared" si="1"/>
        <v>36</v>
      </c>
    </row>
    <row r="44" spans="1:65" s="51" customFormat="1" ht="15" customHeight="1" x14ac:dyDescent="0.25">
      <c r="A44" s="52"/>
      <c r="BK44" s="54"/>
      <c r="BM44" s="4">
        <f t="shared" si="1"/>
        <v>37</v>
      </c>
    </row>
    <row r="45" spans="1:65" s="51" customFormat="1" ht="15" customHeight="1" x14ac:dyDescent="0.25">
      <c r="A45" s="52"/>
      <c r="BK45" s="54"/>
      <c r="BM45" s="4">
        <f t="shared" si="1"/>
        <v>38</v>
      </c>
    </row>
    <row r="46" spans="1:65" s="51" customFormat="1" ht="15" customHeight="1" x14ac:dyDescent="0.25">
      <c r="A46" s="52"/>
      <c r="BK46" s="54"/>
      <c r="BM46" s="4">
        <f t="shared" ref="BM46:BM58" si="2">IF(BM45=50,1,BM45+1)</f>
        <v>39</v>
      </c>
    </row>
    <row r="47" spans="1:65" s="51" customFormat="1" ht="15" customHeight="1" x14ac:dyDescent="0.25">
      <c r="A47" s="52"/>
      <c r="BK47" s="54"/>
      <c r="BM47" s="4">
        <f t="shared" si="2"/>
        <v>40</v>
      </c>
    </row>
    <row r="48" spans="1:65" s="51" customFormat="1" ht="15" customHeight="1" x14ac:dyDescent="0.25">
      <c r="A48" s="52"/>
      <c r="BK48" s="54"/>
      <c r="BM48" s="4">
        <f t="shared" si="2"/>
        <v>41</v>
      </c>
    </row>
    <row r="49" spans="1:65" s="51" customFormat="1" ht="15" customHeight="1" x14ac:dyDescent="0.25">
      <c r="A49" s="52"/>
      <c r="BK49" s="54"/>
      <c r="BM49" s="4">
        <f t="shared" si="2"/>
        <v>42</v>
      </c>
    </row>
    <row r="50" spans="1:65" s="51" customFormat="1" ht="15" customHeight="1" x14ac:dyDescent="0.25">
      <c r="A50" s="52"/>
      <c r="BK50" s="54"/>
      <c r="BM50" s="4">
        <f t="shared" si="2"/>
        <v>43</v>
      </c>
    </row>
    <row r="51" spans="1:65" s="51" customFormat="1" ht="15" customHeight="1" x14ac:dyDescent="0.25">
      <c r="A51" s="52"/>
      <c r="BK51" s="54"/>
      <c r="BM51" s="4">
        <f t="shared" si="2"/>
        <v>44</v>
      </c>
    </row>
    <row r="52" spans="1:65" s="51" customFormat="1" ht="15" customHeight="1" x14ac:dyDescent="0.25">
      <c r="A52" s="52"/>
      <c r="BK52" s="54"/>
      <c r="BM52" s="4">
        <f t="shared" si="2"/>
        <v>45</v>
      </c>
    </row>
    <row r="53" spans="1:65" s="51" customFormat="1" ht="15" customHeight="1" x14ac:dyDescent="0.25">
      <c r="A53" s="52"/>
      <c r="BK53" s="54"/>
      <c r="BM53" s="4">
        <f t="shared" si="2"/>
        <v>46</v>
      </c>
    </row>
    <row r="54" spans="1:65" s="51" customFormat="1" ht="15" customHeight="1" x14ac:dyDescent="0.25">
      <c r="A54" s="52"/>
      <c r="BK54" s="54"/>
      <c r="BM54" s="4">
        <f t="shared" si="2"/>
        <v>47</v>
      </c>
    </row>
    <row r="55" spans="1:65" s="51" customFormat="1" ht="15" customHeight="1" x14ac:dyDescent="0.25">
      <c r="A55" s="52"/>
      <c r="BK55" s="54"/>
      <c r="BM55" s="4">
        <f t="shared" si="2"/>
        <v>48</v>
      </c>
    </row>
    <row r="56" spans="1:65" s="51" customFormat="1" ht="15" customHeight="1" x14ac:dyDescent="0.25">
      <c r="A56" s="52"/>
      <c r="BK56" s="54"/>
      <c r="BM56" s="4">
        <f t="shared" si="2"/>
        <v>49</v>
      </c>
    </row>
    <row r="57" spans="1:65" s="51" customFormat="1" ht="15" customHeight="1" x14ac:dyDescent="0.25">
      <c r="A57" s="52"/>
      <c r="BK57" s="54"/>
      <c r="BM57" s="4">
        <f t="shared" si="2"/>
        <v>50</v>
      </c>
    </row>
    <row r="58" spans="1:65" s="51" customFormat="1" ht="15" customHeight="1" x14ac:dyDescent="0.25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8"/>
      <c r="BM58" s="4">
        <f t="shared" si="2"/>
        <v>1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DK121"/>
  <sheetViews>
    <sheetView view="pageBreakPreview" topLeftCell="A46" zoomScale="85" zoomScaleNormal="75" zoomScaleSheetLayoutView="85" workbookViewId="0">
      <selection activeCell="U79" sqref="U79"/>
    </sheetView>
  </sheetViews>
  <sheetFormatPr defaultColWidth="2.77734375" defaultRowHeight="15" customHeight="1" x14ac:dyDescent="0.25"/>
  <cols>
    <col min="1" max="64" width="2.77734375" style="23" customWidth="1"/>
    <col min="65" max="65" width="3" style="23" bestFit="1" customWidth="1"/>
    <col min="66" max="115" width="2.77734375" style="23" customWidth="1"/>
    <col min="116" max="16384" width="2.77734375" style="23"/>
  </cols>
  <sheetData>
    <row r="1" spans="1:65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8" t="str">
        <f>IF(表紙!W1="","",表紙!W1)</f>
        <v>基本設計書</v>
      </c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10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5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1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3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5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4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6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5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tr">
        <f>IF(表紙!H4="","",表紙!H4)</f>
        <v>37_メガ割設定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tr">
        <f>IF(表紙!Z4="","",表紙!Z4)</f>
        <v>概要設計書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機能概要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5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5" ht="15" customHeight="1" x14ac:dyDescent="0.25">
      <c r="A6" s="27"/>
      <c r="BK6" s="28"/>
    </row>
    <row r="7" spans="1:65" ht="15" customHeight="1" x14ac:dyDescent="0.25">
      <c r="A7" s="27"/>
      <c r="B7" s="59" t="s">
        <v>52</v>
      </c>
      <c r="C7" s="60"/>
      <c r="D7" s="61"/>
      <c r="E7" s="61"/>
      <c r="F7" s="61"/>
      <c r="G7" s="61"/>
      <c r="H7" s="61"/>
      <c r="I7" s="61"/>
      <c r="J7" s="61"/>
      <c r="K7" s="62"/>
      <c r="L7" s="61"/>
      <c r="M7" s="61"/>
      <c r="N7" s="61"/>
      <c r="O7" s="61"/>
      <c r="P7" s="61"/>
      <c r="Q7" s="61"/>
      <c r="R7" s="61"/>
      <c r="S7" s="61"/>
      <c r="T7" s="62"/>
      <c r="U7" s="60"/>
      <c r="V7" s="61"/>
      <c r="W7" s="61"/>
      <c r="X7" s="61"/>
      <c r="Y7" s="61"/>
      <c r="Z7" s="61"/>
      <c r="AA7" s="61"/>
      <c r="AB7" s="61"/>
      <c r="AC7" s="62"/>
      <c r="AD7" s="60"/>
      <c r="AE7" s="61"/>
      <c r="AF7" s="61"/>
      <c r="AG7" s="61"/>
      <c r="AH7" s="61"/>
      <c r="AI7" s="61"/>
      <c r="AJ7" s="61"/>
      <c r="AK7" s="61"/>
      <c r="AL7" s="62"/>
      <c r="AM7" s="60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28"/>
    </row>
    <row r="8" spans="1:65" ht="15" customHeight="1" x14ac:dyDescent="0.25">
      <c r="A8" s="27"/>
      <c r="B8" s="63"/>
      <c r="K8" s="64"/>
      <c r="U8" s="63"/>
      <c r="AD8" s="63"/>
      <c r="AM8" s="63"/>
      <c r="BI8" s="65"/>
      <c r="BK8" s="28"/>
      <c r="BM8" s="4">
        <f t="shared" ref="BM8:BM21" si="0">IF(BM7=50,1,BM7+1)</f>
        <v>1</v>
      </c>
    </row>
    <row r="9" spans="1:65" ht="15" customHeight="1" x14ac:dyDescent="0.25">
      <c r="A9" s="27"/>
      <c r="B9" s="63"/>
      <c r="K9" s="64"/>
      <c r="U9" s="63"/>
      <c r="AD9" s="63"/>
      <c r="AM9" s="63"/>
      <c r="BI9" s="65"/>
      <c r="BK9" s="28"/>
      <c r="BM9" s="4">
        <f t="shared" si="0"/>
        <v>2</v>
      </c>
    </row>
    <row r="10" spans="1:65" ht="15" customHeight="1" x14ac:dyDescent="0.25">
      <c r="A10" s="27"/>
      <c r="B10" s="63"/>
      <c r="K10" s="64"/>
      <c r="U10" s="63"/>
      <c r="AD10" s="63"/>
      <c r="AM10" s="63"/>
      <c r="BI10" s="65"/>
      <c r="BK10" s="28"/>
      <c r="BM10" s="4">
        <f t="shared" si="0"/>
        <v>3</v>
      </c>
    </row>
    <row r="11" spans="1:65" ht="15" customHeight="1" x14ac:dyDescent="0.25">
      <c r="A11" s="27"/>
      <c r="B11" s="63"/>
      <c r="K11" s="64"/>
      <c r="U11" s="63"/>
      <c r="AD11" s="63"/>
      <c r="AM11" s="63"/>
      <c r="BI11" s="65"/>
      <c r="BK11" s="28"/>
      <c r="BM11" s="4">
        <f t="shared" si="0"/>
        <v>4</v>
      </c>
    </row>
    <row r="12" spans="1:65" ht="15" customHeight="1" x14ac:dyDescent="0.25">
      <c r="A12" s="27"/>
      <c r="B12" s="63"/>
      <c r="K12" s="64"/>
      <c r="U12" s="63"/>
      <c r="AD12" s="63"/>
      <c r="AM12" s="63"/>
      <c r="BI12" s="65"/>
      <c r="BK12" s="28"/>
      <c r="BM12" s="4">
        <f t="shared" si="0"/>
        <v>5</v>
      </c>
    </row>
    <row r="13" spans="1:65" ht="15" customHeight="1" x14ac:dyDescent="0.25">
      <c r="A13" s="27"/>
      <c r="B13" s="63"/>
      <c r="K13" s="64"/>
      <c r="U13" s="63"/>
      <c r="AD13" s="63"/>
      <c r="AM13" s="63"/>
      <c r="BI13" s="65"/>
      <c r="BK13" s="28"/>
      <c r="BM13" s="4">
        <f t="shared" si="0"/>
        <v>6</v>
      </c>
    </row>
    <row r="14" spans="1:65" ht="15" customHeight="1" x14ac:dyDescent="0.25">
      <c r="A14" s="27"/>
      <c r="B14" s="63"/>
      <c r="K14" s="64"/>
      <c r="U14" s="63"/>
      <c r="AD14" s="63"/>
      <c r="AM14" s="63"/>
      <c r="BI14" s="65"/>
      <c r="BK14" s="28"/>
      <c r="BM14" s="4">
        <f t="shared" si="0"/>
        <v>7</v>
      </c>
    </row>
    <row r="15" spans="1:65" ht="15" customHeight="1" x14ac:dyDescent="0.25">
      <c r="A15" s="27"/>
      <c r="B15" s="63"/>
      <c r="K15" s="64"/>
      <c r="U15" s="63"/>
      <c r="AD15" s="63"/>
      <c r="AM15" s="63"/>
      <c r="BI15" s="65"/>
      <c r="BK15" s="28"/>
      <c r="BM15" s="4">
        <f t="shared" si="0"/>
        <v>8</v>
      </c>
    </row>
    <row r="16" spans="1:65" ht="15" customHeight="1" x14ac:dyDescent="0.25">
      <c r="A16" s="27"/>
      <c r="B16" s="63"/>
      <c r="K16" s="64"/>
      <c r="U16" s="63"/>
      <c r="AD16" s="63"/>
      <c r="AM16" s="63"/>
      <c r="BI16" s="65"/>
      <c r="BK16" s="28"/>
      <c r="BM16" s="4">
        <f t="shared" si="0"/>
        <v>9</v>
      </c>
    </row>
    <row r="17" spans="1:109" ht="15" customHeight="1" x14ac:dyDescent="0.25">
      <c r="A17" s="27"/>
      <c r="B17" s="63"/>
      <c r="K17" s="64"/>
      <c r="U17" s="63"/>
      <c r="AD17" s="63"/>
      <c r="AM17" s="63"/>
      <c r="BI17" s="65"/>
      <c r="BK17" s="28"/>
      <c r="BM17" s="4">
        <f t="shared" si="0"/>
        <v>10</v>
      </c>
    </row>
    <row r="18" spans="1:109" ht="15" customHeight="1" x14ac:dyDescent="0.25">
      <c r="A18" s="27"/>
      <c r="B18" s="63"/>
      <c r="K18" s="64"/>
      <c r="U18" s="63"/>
      <c r="AD18" s="63"/>
      <c r="AM18" s="63"/>
      <c r="BI18" s="65"/>
      <c r="BK18" s="28"/>
      <c r="BM18" s="4">
        <f t="shared" si="0"/>
        <v>11</v>
      </c>
    </row>
    <row r="19" spans="1:109" ht="15" customHeight="1" x14ac:dyDescent="0.25">
      <c r="A19" s="27"/>
      <c r="B19" s="63"/>
      <c r="K19" s="64"/>
      <c r="U19" s="63"/>
      <c r="AD19" s="63"/>
      <c r="AM19" s="63"/>
      <c r="BI19" s="65"/>
      <c r="BK19" s="28"/>
      <c r="BM19" s="4">
        <f t="shared" si="0"/>
        <v>12</v>
      </c>
    </row>
    <row r="20" spans="1:109" ht="15" customHeight="1" x14ac:dyDescent="0.25">
      <c r="A20" s="27"/>
      <c r="B20" s="63"/>
      <c r="K20" s="64"/>
      <c r="U20" s="63"/>
      <c r="AD20" s="63"/>
      <c r="AM20" s="63"/>
      <c r="BI20" s="65"/>
      <c r="BK20" s="28"/>
      <c r="BM20" s="4">
        <f t="shared" si="0"/>
        <v>13</v>
      </c>
    </row>
    <row r="21" spans="1:109" ht="15" customHeight="1" x14ac:dyDescent="0.25">
      <c r="A21" s="27"/>
      <c r="B21" s="63"/>
      <c r="K21" s="64"/>
      <c r="U21" s="63"/>
      <c r="AD21" s="63"/>
      <c r="AM21" s="63"/>
      <c r="BI21" s="65"/>
      <c r="BK21" s="28"/>
      <c r="BM21" s="4">
        <f t="shared" si="0"/>
        <v>14</v>
      </c>
    </row>
    <row r="22" spans="1:109" s="51" customFormat="1" ht="15" customHeight="1" x14ac:dyDescent="0.25">
      <c r="A22" s="52"/>
      <c r="B22" s="63"/>
      <c r="K22" s="64"/>
      <c r="L22" s="66"/>
      <c r="T22" s="64"/>
      <c r="U22" s="66"/>
      <c r="AC22" s="64"/>
      <c r="AD22" s="66"/>
      <c r="AL22" s="64"/>
      <c r="AM22" s="66"/>
      <c r="BI22" s="64"/>
      <c r="BK22" s="54"/>
      <c r="BM22" s="4">
        <f t="shared" ref="BM22:BM57" si="1">IF(BM21=50,1,BM21+1)</f>
        <v>15</v>
      </c>
    </row>
    <row r="23" spans="1:109" s="51" customFormat="1" ht="15" customHeight="1" x14ac:dyDescent="0.25">
      <c r="A23" s="52"/>
      <c r="B23" s="63"/>
      <c r="K23" s="64"/>
      <c r="L23" s="66"/>
      <c r="T23" s="64"/>
      <c r="U23" s="66"/>
      <c r="AC23" s="64"/>
      <c r="AD23" s="66"/>
      <c r="AL23" s="64"/>
      <c r="AM23" s="66"/>
      <c r="BI23" s="64"/>
      <c r="BK23" s="54"/>
      <c r="BM23" s="4">
        <f t="shared" si="1"/>
        <v>16</v>
      </c>
    </row>
    <row r="24" spans="1:109" s="51" customFormat="1" ht="15" customHeight="1" x14ac:dyDescent="0.25">
      <c r="A24" s="52"/>
      <c r="B24" s="63"/>
      <c r="K24" s="64"/>
      <c r="L24" s="66"/>
      <c r="T24" s="64"/>
      <c r="U24" s="66"/>
      <c r="AC24" s="64"/>
      <c r="AD24" s="66"/>
      <c r="AL24" s="64"/>
      <c r="AM24" s="66"/>
      <c r="BI24" s="64"/>
      <c r="BK24" s="54"/>
      <c r="BM24" s="4">
        <f t="shared" si="1"/>
        <v>17</v>
      </c>
    </row>
    <row r="25" spans="1:109" s="51" customFormat="1" ht="15" customHeight="1" x14ac:dyDescent="0.25">
      <c r="A25" s="52"/>
      <c r="B25" s="63"/>
      <c r="K25" s="64"/>
      <c r="L25" s="66"/>
      <c r="T25" s="64"/>
      <c r="U25" s="66"/>
      <c r="AC25" s="64"/>
      <c r="AD25" s="66"/>
      <c r="AL25" s="64"/>
      <c r="AM25" s="66"/>
      <c r="BI25" s="64"/>
      <c r="BK25" s="54"/>
      <c r="BM25" s="4">
        <f t="shared" si="1"/>
        <v>18</v>
      </c>
    </row>
    <row r="26" spans="1:109" s="51" customFormat="1" ht="15" customHeight="1" x14ac:dyDescent="0.25">
      <c r="A26" s="52"/>
      <c r="B26" s="63"/>
      <c r="K26" s="64"/>
      <c r="L26" s="66"/>
      <c r="T26" s="64"/>
      <c r="U26" s="66"/>
      <c r="AC26" s="64"/>
      <c r="AD26" s="66"/>
      <c r="AL26" s="64"/>
      <c r="AM26" s="66"/>
      <c r="BI26" s="64"/>
      <c r="BK26" s="54"/>
      <c r="BM26" s="4">
        <f t="shared" si="1"/>
        <v>19</v>
      </c>
      <c r="BO26" s="23"/>
    </row>
    <row r="27" spans="1:109" s="51" customFormat="1" ht="15" customHeight="1" x14ac:dyDescent="0.25">
      <c r="A27" s="52"/>
      <c r="B27" s="63"/>
      <c r="K27" s="64"/>
      <c r="L27" s="66"/>
      <c r="T27" s="64"/>
      <c r="U27" s="66"/>
      <c r="AC27" s="64"/>
      <c r="AD27" s="66"/>
      <c r="AL27" s="64"/>
      <c r="AM27" s="66"/>
      <c r="BI27" s="64"/>
      <c r="BK27" s="54"/>
      <c r="BM27" s="4">
        <f t="shared" si="1"/>
        <v>20</v>
      </c>
    </row>
    <row r="28" spans="1:109" s="51" customFormat="1" ht="15" customHeight="1" x14ac:dyDescent="0.25">
      <c r="A28" s="52"/>
      <c r="B28" s="63"/>
      <c r="K28" s="64"/>
      <c r="L28" s="66"/>
      <c r="T28" s="64"/>
      <c r="U28" s="66"/>
      <c r="AC28" s="64"/>
      <c r="AD28" s="66"/>
      <c r="AL28" s="64"/>
      <c r="AM28" s="66"/>
      <c r="BI28" s="64"/>
      <c r="BK28" s="54"/>
      <c r="BM28" s="4">
        <f t="shared" si="1"/>
        <v>21</v>
      </c>
    </row>
    <row r="29" spans="1:109" s="51" customFormat="1" ht="15" customHeight="1" x14ac:dyDescent="0.25">
      <c r="A29" s="52"/>
      <c r="B29" s="63"/>
      <c r="K29" s="64"/>
      <c r="L29" s="66"/>
      <c r="T29" s="64"/>
      <c r="U29" s="66"/>
      <c r="AC29" s="64"/>
      <c r="AD29" s="66"/>
      <c r="AL29" s="64"/>
      <c r="AM29" s="66"/>
      <c r="BI29" s="64"/>
      <c r="BK29" s="54"/>
      <c r="BM29" s="4">
        <f t="shared" si="1"/>
        <v>22</v>
      </c>
      <c r="DE29" s="23"/>
    </row>
    <row r="30" spans="1:109" s="51" customFormat="1" ht="15" customHeight="1" x14ac:dyDescent="0.25">
      <c r="A30" s="52"/>
      <c r="B30" s="63"/>
      <c r="K30" s="64"/>
      <c r="L30" s="66"/>
      <c r="T30" s="64"/>
      <c r="U30" s="66"/>
      <c r="AC30" s="64"/>
      <c r="AD30" s="66"/>
      <c r="AL30" s="64"/>
      <c r="AM30" s="66"/>
      <c r="BI30" s="64"/>
      <c r="BK30" s="54"/>
      <c r="BM30" s="4">
        <f t="shared" si="1"/>
        <v>23</v>
      </c>
    </row>
    <row r="31" spans="1:109" s="51" customFormat="1" ht="15" customHeight="1" x14ac:dyDescent="0.25">
      <c r="A31" s="52"/>
      <c r="B31" s="63"/>
      <c r="K31" s="64"/>
      <c r="L31" s="66"/>
      <c r="T31" s="64"/>
      <c r="U31" s="66"/>
      <c r="AC31" s="64"/>
      <c r="AD31" s="66"/>
      <c r="AL31" s="64"/>
      <c r="AM31" s="66"/>
      <c r="BI31" s="64"/>
      <c r="BK31" s="54"/>
      <c r="BM31" s="4">
        <f t="shared" si="1"/>
        <v>24</v>
      </c>
    </row>
    <row r="32" spans="1:109" s="51" customFormat="1" ht="15" customHeight="1" x14ac:dyDescent="0.25">
      <c r="A32" s="52"/>
      <c r="B32" s="63"/>
      <c r="K32" s="64"/>
      <c r="L32" s="66"/>
      <c r="T32" s="64"/>
      <c r="U32" s="66"/>
      <c r="AC32" s="64"/>
      <c r="AD32" s="66"/>
      <c r="AL32" s="64"/>
      <c r="AM32" s="66"/>
      <c r="BI32" s="64"/>
      <c r="BK32" s="54"/>
      <c r="BM32" s="4">
        <f t="shared" si="1"/>
        <v>25</v>
      </c>
    </row>
    <row r="33" spans="1:115" s="51" customFormat="1" ht="15" customHeight="1" x14ac:dyDescent="0.25">
      <c r="A33" s="52"/>
      <c r="B33" s="63"/>
      <c r="K33" s="64"/>
      <c r="L33" s="66"/>
      <c r="T33" s="64"/>
      <c r="U33" s="66"/>
      <c r="AC33" s="64"/>
      <c r="AD33" s="66"/>
      <c r="AL33" s="64"/>
      <c r="AM33" s="66"/>
      <c r="BI33" s="64"/>
      <c r="BK33" s="54"/>
      <c r="BM33" s="4">
        <f t="shared" si="1"/>
        <v>26</v>
      </c>
    </row>
    <row r="34" spans="1:115" s="51" customFormat="1" ht="15" customHeight="1" x14ac:dyDescent="0.25">
      <c r="A34" s="52"/>
      <c r="B34" s="63"/>
      <c r="K34" s="64"/>
      <c r="L34" s="66"/>
      <c r="T34" s="64"/>
      <c r="U34" s="66"/>
      <c r="AC34" s="64"/>
      <c r="AD34" s="66"/>
      <c r="AL34" s="64"/>
      <c r="AM34" s="66"/>
      <c r="BI34" s="64"/>
      <c r="BK34" s="54"/>
      <c r="BM34" s="4">
        <f t="shared" si="1"/>
        <v>27</v>
      </c>
    </row>
    <row r="35" spans="1:115" s="51" customFormat="1" ht="15" customHeight="1" x14ac:dyDescent="0.25">
      <c r="A35" s="52"/>
      <c r="B35" s="63"/>
      <c r="K35" s="64"/>
      <c r="L35" s="66"/>
      <c r="T35" s="64"/>
      <c r="U35" s="66"/>
      <c r="AC35" s="64"/>
      <c r="AD35" s="66"/>
      <c r="AL35" s="64"/>
      <c r="AM35" s="66"/>
      <c r="BI35" s="64"/>
      <c r="BK35" s="54"/>
      <c r="BM35" s="4">
        <f t="shared" si="1"/>
        <v>28</v>
      </c>
    </row>
    <row r="36" spans="1:115" s="51" customFormat="1" ht="15" customHeight="1" x14ac:dyDescent="0.25">
      <c r="A36" s="52"/>
      <c r="B36" s="63"/>
      <c r="K36" s="64"/>
      <c r="L36" s="66"/>
      <c r="T36" s="64"/>
      <c r="U36" s="66"/>
      <c r="AC36" s="64"/>
      <c r="AD36" s="66"/>
      <c r="AL36" s="64"/>
      <c r="AM36" s="66"/>
      <c r="BI36" s="64"/>
      <c r="BK36" s="54"/>
      <c r="BM36" s="4">
        <f t="shared" si="1"/>
        <v>29</v>
      </c>
    </row>
    <row r="37" spans="1:115" s="51" customFormat="1" ht="15" customHeight="1" x14ac:dyDescent="0.25">
      <c r="A37" s="52"/>
      <c r="B37" s="63"/>
      <c r="K37" s="64"/>
      <c r="L37" s="66"/>
      <c r="T37" s="64"/>
      <c r="U37" s="66"/>
      <c r="AC37" s="64"/>
      <c r="AD37" s="66"/>
      <c r="AL37" s="64"/>
      <c r="AM37" s="66"/>
      <c r="BI37" s="64"/>
      <c r="BK37" s="54"/>
      <c r="BM37" s="4">
        <f t="shared" si="1"/>
        <v>30</v>
      </c>
    </row>
    <row r="38" spans="1:115" s="51" customFormat="1" ht="15" customHeight="1" x14ac:dyDescent="0.25">
      <c r="A38" s="52"/>
      <c r="B38" s="63"/>
      <c r="K38" s="64"/>
      <c r="L38" s="66"/>
      <c r="T38" s="64"/>
      <c r="U38" s="66"/>
      <c r="AC38" s="64"/>
      <c r="AD38" s="66"/>
      <c r="AL38" s="64"/>
      <c r="AM38" s="66"/>
      <c r="BI38" s="64"/>
      <c r="BK38" s="54"/>
      <c r="BM38" s="4">
        <f t="shared" si="1"/>
        <v>31</v>
      </c>
    </row>
    <row r="39" spans="1:115" s="51" customFormat="1" ht="15" customHeight="1" x14ac:dyDescent="0.25">
      <c r="A39" s="52"/>
      <c r="B39" s="63"/>
      <c r="K39" s="64"/>
      <c r="L39" s="66"/>
      <c r="T39" s="64"/>
      <c r="U39" s="66"/>
      <c r="AC39" s="64"/>
      <c r="AD39" s="66"/>
      <c r="AL39" s="64"/>
      <c r="AM39" s="66"/>
      <c r="BI39" s="64"/>
      <c r="BK39" s="54"/>
      <c r="BM39" s="4">
        <f t="shared" si="1"/>
        <v>32</v>
      </c>
    </row>
    <row r="40" spans="1:115" s="51" customFormat="1" ht="15" customHeight="1" x14ac:dyDescent="0.25">
      <c r="A40" s="52"/>
      <c r="B40" s="63"/>
      <c r="K40" s="64"/>
      <c r="L40" s="66"/>
      <c r="T40" s="64"/>
      <c r="U40" s="66"/>
      <c r="AC40" s="64"/>
      <c r="AD40" s="66"/>
      <c r="AL40" s="64"/>
      <c r="AM40" s="66"/>
      <c r="BI40" s="64"/>
      <c r="BK40" s="54"/>
      <c r="BM40" s="4">
        <f t="shared" si="1"/>
        <v>33</v>
      </c>
    </row>
    <row r="41" spans="1:115" s="51" customFormat="1" ht="15" customHeight="1" x14ac:dyDescent="0.25">
      <c r="A41" s="52"/>
      <c r="B41" s="63"/>
      <c r="K41" s="64"/>
      <c r="L41" s="66"/>
      <c r="T41" s="64"/>
      <c r="U41" s="66"/>
      <c r="AC41" s="64"/>
      <c r="AD41" s="66"/>
      <c r="AL41" s="64"/>
      <c r="AM41" s="66"/>
      <c r="BI41" s="64"/>
      <c r="BK41" s="54"/>
      <c r="BM41" s="4">
        <f t="shared" si="1"/>
        <v>34</v>
      </c>
    </row>
    <row r="42" spans="1:115" s="51" customFormat="1" ht="15" customHeight="1" x14ac:dyDescent="0.25">
      <c r="A42" s="52"/>
      <c r="B42" s="63"/>
      <c r="K42" s="64"/>
      <c r="L42" s="66"/>
      <c r="T42" s="64"/>
      <c r="U42" s="66"/>
      <c r="AC42" s="64"/>
      <c r="AD42" s="66"/>
      <c r="AL42" s="64"/>
      <c r="AM42" s="66"/>
      <c r="BI42" s="64"/>
      <c r="BK42" s="54"/>
      <c r="BM42" s="4">
        <f t="shared" si="1"/>
        <v>35</v>
      </c>
    </row>
    <row r="43" spans="1:115" s="51" customFormat="1" ht="15" customHeight="1" x14ac:dyDescent="0.25">
      <c r="A43" s="52"/>
      <c r="B43" s="66"/>
      <c r="K43" s="64"/>
      <c r="L43" s="66"/>
      <c r="T43" s="64"/>
      <c r="U43" s="66"/>
      <c r="AC43" s="64"/>
      <c r="AD43" s="66"/>
      <c r="AL43" s="64"/>
      <c r="AM43" s="66"/>
      <c r="BI43" s="64"/>
      <c r="BK43" s="54"/>
      <c r="BM43" s="4">
        <f t="shared" si="1"/>
        <v>36</v>
      </c>
      <c r="BO43" s="22" t="s">
        <v>32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22"/>
    </row>
    <row r="44" spans="1:115" s="51" customFormat="1" ht="15" customHeight="1" x14ac:dyDescent="0.25">
      <c r="A44" s="52"/>
      <c r="B44" s="66"/>
      <c r="K44" s="64"/>
      <c r="L44" s="66"/>
      <c r="T44" s="64"/>
      <c r="U44" s="66"/>
      <c r="AC44" s="64"/>
      <c r="AD44" s="66"/>
      <c r="AL44" s="64"/>
      <c r="AM44" s="66"/>
      <c r="BI44" s="64"/>
      <c r="BK44" s="54"/>
      <c r="BM44" s="4">
        <f t="shared" si="1"/>
        <v>37</v>
      </c>
      <c r="BO44" s="315" t="s">
        <v>53</v>
      </c>
      <c r="BP44" s="55"/>
      <c r="BQ44" s="55"/>
      <c r="BR44" s="55"/>
      <c r="BS44" s="55"/>
      <c r="BT44" s="55"/>
      <c r="BU44" s="55"/>
      <c r="BV44" s="55"/>
      <c r="BW44" s="55"/>
      <c r="BX44" s="55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K44" s="316" t="s">
        <v>54</v>
      </c>
    </row>
    <row r="45" spans="1:115" s="51" customFormat="1" ht="15" customHeight="1" x14ac:dyDescent="0.25">
      <c r="A45" s="52"/>
      <c r="B45" s="66"/>
      <c r="K45" s="64"/>
      <c r="L45" s="66"/>
      <c r="T45" s="64"/>
      <c r="U45" s="66"/>
      <c r="AC45" s="64"/>
      <c r="AL45" s="64"/>
      <c r="AM45" s="66"/>
      <c r="BI45" s="64"/>
      <c r="BK45" s="54"/>
      <c r="BM45" s="4">
        <f t="shared" si="1"/>
        <v>38</v>
      </c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</row>
    <row r="46" spans="1:115" s="51" customFormat="1" ht="15" customHeight="1" x14ac:dyDescent="0.25">
      <c r="A46" s="52"/>
      <c r="B46" s="66"/>
      <c r="K46" s="64"/>
      <c r="L46" s="66"/>
      <c r="T46" s="64"/>
      <c r="U46" s="66"/>
      <c r="AC46" s="64"/>
      <c r="AD46" s="66"/>
      <c r="AL46" s="64"/>
      <c r="AM46" s="66"/>
      <c r="BI46" s="64"/>
      <c r="BK46" s="54"/>
      <c r="BM46" s="4">
        <f t="shared" si="1"/>
        <v>39</v>
      </c>
      <c r="BO46" s="18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</row>
    <row r="47" spans="1:115" s="51" customFormat="1" ht="15" customHeight="1" x14ac:dyDescent="0.25">
      <c r="A47" s="52"/>
      <c r="B47" s="66"/>
      <c r="K47" s="64"/>
      <c r="L47" s="66"/>
      <c r="T47" s="64"/>
      <c r="U47" s="66"/>
      <c r="AC47" s="64"/>
      <c r="AD47" s="66"/>
      <c r="AL47" s="64"/>
      <c r="AM47" s="66"/>
      <c r="BI47" s="64"/>
      <c r="BK47" s="54"/>
      <c r="BM47" s="4">
        <f t="shared" si="1"/>
        <v>40</v>
      </c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</row>
    <row r="48" spans="1:115" s="51" customFormat="1" ht="15" customHeight="1" x14ac:dyDescent="0.25">
      <c r="A48" s="52"/>
      <c r="B48" s="66"/>
      <c r="K48" s="64"/>
      <c r="L48" s="66"/>
      <c r="T48" s="64"/>
      <c r="U48" s="66"/>
      <c r="AC48" s="64"/>
      <c r="AD48" s="66"/>
      <c r="AL48" s="64"/>
      <c r="AM48" s="66"/>
      <c r="BI48" s="64"/>
      <c r="BK48" s="54"/>
      <c r="BM48" s="4">
        <f t="shared" si="1"/>
        <v>41</v>
      </c>
    </row>
    <row r="49" spans="1:65" s="51" customFormat="1" ht="15" customHeight="1" x14ac:dyDescent="0.25">
      <c r="A49" s="52"/>
      <c r="B49" s="66"/>
      <c r="K49" s="64"/>
      <c r="L49" s="66"/>
      <c r="T49" s="64"/>
      <c r="U49" s="66"/>
      <c r="AC49" s="64"/>
      <c r="AD49" s="66"/>
      <c r="AL49" s="64"/>
      <c r="AM49" s="66"/>
      <c r="BI49" s="64"/>
      <c r="BK49" s="54"/>
      <c r="BM49" s="4">
        <f t="shared" si="1"/>
        <v>42</v>
      </c>
    </row>
    <row r="50" spans="1:65" s="51" customFormat="1" ht="15" customHeight="1" x14ac:dyDescent="0.25">
      <c r="A50" s="52"/>
      <c r="B50" s="66"/>
      <c r="K50" s="64"/>
      <c r="L50" s="66"/>
      <c r="T50" s="64"/>
      <c r="U50" s="66"/>
      <c r="AC50" s="64"/>
      <c r="AD50" s="66"/>
      <c r="AL50" s="64"/>
      <c r="AM50" s="66"/>
      <c r="BI50" s="64"/>
      <c r="BK50" s="54"/>
      <c r="BM50" s="4">
        <f t="shared" si="1"/>
        <v>43</v>
      </c>
    </row>
    <row r="51" spans="1:65" s="51" customFormat="1" ht="15" customHeight="1" x14ac:dyDescent="0.25">
      <c r="A51" s="52"/>
      <c r="B51" s="66"/>
      <c r="K51" s="64"/>
      <c r="L51" s="66"/>
      <c r="T51" s="64"/>
      <c r="U51" s="66"/>
      <c r="AC51" s="64"/>
      <c r="AD51" s="66"/>
      <c r="AL51" s="64"/>
      <c r="AM51" s="66"/>
      <c r="BI51" s="64"/>
      <c r="BK51" s="54"/>
      <c r="BM51" s="4">
        <f t="shared" si="1"/>
        <v>44</v>
      </c>
    </row>
    <row r="52" spans="1:65" s="51" customFormat="1" ht="15" customHeight="1" x14ac:dyDescent="0.25">
      <c r="A52" s="52"/>
      <c r="B52" s="66"/>
      <c r="K52" s="64"/>
      <c r="L52" s="66"/>
      <c r="T52" s="64"/>
      <c r="U52" s="66"/>
      <c r="AC52" s="64"/>
      <c r="AD52" s="66"/>
      <c r="AL52" s="64"/>
      <c r="AM52" s="66"/>
      <c r="BI52" s="64"/>
      <c r="BK52" s="54"/>
      <c r="BM52" s="4">
        <f t="shared" si="1"/>
        <v>45</v>
      </c>
    </row>
    <row r="53" spans="1:65" s="51" customFormat="1" ht="15" customHeight="1" x14ac:dyDescent="0.25">
      <c r="A53" s="52"/>
      <c r="B53" s="66"/>
      <c r="K53" s="64"/>
      <c r="L53" s="66"/>
      <c r="T53" s="64"/>
      <c r="U53" s="66"/>
      <c r="AC53" s="64"/>
      <c r="AD53" s="66"/>
      <c r="AL53" s="64"/>
      <c r="AM53" s="66"/>
      <c r="BI53" s="64"/>
      <c r="BK53" s="54"/>
      <c r="BM53" s="4">
        <f t="shared" si="1"/>
        <v>46</v>
      </c>
    </row>
    <row r="54" spans="1:65" s="51" customFormat="1" ht="15" customHeight="1" x14ac:dyDescent="0.25">
      <c r="A54" s="52"/>
      <c r="B54" s="66"/>
      <c r="K54" s="64"/>
      <c r="L54" s="66"/>
      <c r="T54" s="64"/>
      <c r="U54" s="66"/>
      <c r="AC54" s="64"/>
      <c r="AD54" s="66"/>
      <c r="AL54" s="64"/>
      <c r="AM54" s="66"/>
      <c r="BI54" s="64"/>
      <c r="BK54" s="54"/>
      <c r="BM54" s="4">
        <f t="shared" si="1"/>
        <v>47</v>
      </c>
    </row>
    <row r="55" spans="1:65" s="51" customFormat="1" ht="15" customHeight="1" x14ac:dyDescent="0.25">
      <c r="A55" s="52"/>
      <c r="B55" s="66"/>
      <c r="K55" s="64"/>
      <c r="L55" s="66"/>
      <c r="T55" s="64"/>
      <c r="U55" s="66"/>
      <c r="AC55" s="64"/>
      <c r="AD55" s="66"/>
      <c r="AL55" s="64"/>
      <c r="AM55" s="66"/>
      <c r="BI55" s="64"/>
      <c r="BK55" s="54"/>
      <c r="BM55" s="4">
        <f t="shared" si="1"/>
        <v>48</v>
      </c>
    </row>
    <row r="56" spans="1:65" s="51" customFormat="1" ht="15" customHeight="1" x14ac:dyDescent="0.25">
      <c r="A56" s="52"/>
      <c r="B56" s="66"/>
      <c r="K56" s="64"/>
      <c r="L56" s="66"/>
      <c r="T56" s="64"/>
      <c r="U56" s="66"/>
      <c r="AC56" s="64"/>
      <c r="AD56" s="66"/>
      <c r="AL56" s="64"/>
      <c r="AM56" s="66"/>
      <c r="BI56" s="64"/>
      <c r="BK56" s="54"/>
      <c r="BM56" s="4">
        <f t="shared" si="1"/>
        <v>49</v>
      </c>
    </row>
    <row r="57" spans="1:65" s="51" customFormat="1" ht="15" customHeight="1" x14ac:dyDescent="0.25">
      <c r="A57" s="67"/>
      <c r="B57" s="66"/>
      <c r="J57" s="23"/>
      <c r="K57" s="65"/>
      <c r="L57" s="63"/>
      <c r="S57" s="23"/>
      <c r="T57" s="65"/>
      <c r="U57" s="63"/>
      <c r="AB57" s="23"/>
      <c r="AC57" s="65"/>
      <c r="AD57" s="63"/>
      <c r="AK57" s="23"/>
      <c r="AL57" s="65"/>
      <c r="AM57" s="63"/>
      <c r="BH57" s="23"/>
      <c r="BI57" s="65"/>
      <c r="BJ57" s="63"/>
      <c r="BK57" s="54"/>
      <c r="BM57" s="4">
        <f t="shared" si="1"/>
        <v>50</v>
      </c>
    </row>
    <row r="58" spans="1:65" ht="15" customHeight="1" x14ac:dyDescent="0.25">
      <c r="A58" s="65"/>
      <c r="B58" s="63"/>
      <c r="K58" s="65"/>
      <c r="L58" s="63"/>
      <c r="T58" s="65"/>
      <c r="U58" s="63"/>
      <c r="AC58" s="65"/>
      <c r="AD58" s="63"/>
      <c r="AL58" s="65"/>
      <c r="AM58" s="63"/>
      <c r="BI58" s="65"/>
      <c r="BJ58" s="63"/>
      <c r="BM58" s="23">
        <v>1</v>
      </c>
    </row>
    <row r="59" spans="1:65" ht="15" customHeight="1" x14ac:dyDescent="0.25">
      <c r="A59" s="65"/>
      <c r="B59" s="63"/>
      <c r="K59" s="65"/>
      <c r="L59" s="63"/>
      <c r="T59" s="65"/>
      <c r="U59" s="63"/>
      <c r="AC59" s="65"/>
      <c r="AD59" s="63"/>
      <c r="AL59" s="65"/>
      <c r="AM59" s="63"/>
      <c r="BI59" s="65"/>
      <c r="BJ59" s="63"/>
      <c r="BM59" s="23">
        <v>2</v>
      </c>
    </row>
    <row r="60" spans="1:65" ht="15" customHeight="1" x14ac:dyDescent="0.25">
      <c r="A60" s="65"/>
      <c r="B60" s="63"/>
      <c r="K60" s="65"/>
      <c r="L60" s="63"/>
      <c r="T60" s="65"/>
      <c r="U60" s="63"/>
      <c r="AC60" s="65"/>
      <c r="AD60" s="63"/>
      <c r="AL60" s="65"/>
      <c r="AM60" s="63"/>
      <c r="BI60" s="65"/>
      <c r="BJ60" s="63"/>
      <c r="BM60" s="23">
        <v>3</v>
      </c>
    </row>
    <row r="61" spans="1:65" ht="15" customHeight="1" x14ac:dyDescent="0.25">
      <c r="A61" s="65"/>
      <c r="B61" s="63"/>
      <c r="K61" s="65"/>
      <c r="L61" s="63"/>
      <c r="T61" s="65"/>
      <c r="U61" s="63"/>
      <c r="AC61" s="65"/>
      <c r="AD61" s="63"/>
      <c r="AL61" s="65"/>
      <c r="AM61" s="63"/>
      <c r="BI61" s="65"/>
      <c r="BJ61" s="63"/>
      <c r="BM61" s="23">
        <v>4</v>
      </c>
    </row>
    <row r="62" spans="1:65" ht="15" customHeight="1" x14ac:dyDescent="0.25">
      <c r="A62" s="65"/>
      <c r="B62" s="63"/>
      <c r="K62" s="65"/>
      <c r="L62" s="63"/>
      <c r="T62" s="65"/>
      <c r="U62" s="63"/>
      <c r="AC62" s="65"/>
      <c r="AD62" s="63"/>
      <c r="AL62" s="65"/>
      <c r="AM62" s="63"/>
      <c r="BI62" s="65"/>
      <c r="BJ62" s="63"/>
      <c r="BM62" s="23">
        <v>5</v>
      </c>
    </row>
    <row r="63" spans="1:65" ht="15" customHeight="1" x14ac:dyDescent="0.25">
      <c r="A63" s="65"/>
      <c r="B63" s="63"/>
      <c r="K63" s="65"/>
      <c r="L63" s="63"/>
      <c r="T63" s="65"/>
      <c r="U63" s="63"/>
      <c r="AC63" s="65"/>
      <c r="AD63" s="63"/>
      <c r="AL63" s="65"/>
      <c r="AM63" s="63"/>
      <c r="BI63" s="65"/>
      <c r="BJ63" s="63"/>
      <c r="BM63" s="23">
        <v>6</v>
      </c>
    </row>
    <row r="64" spans="1:65" ht="15" customHeight="1" x14ac:dyDescent="0.25">
      <c r="A64" s="65"/>
      <c r="B64" s="63"/>
      <c r="K64" s="65"/>
      <c r="L64" s="63"/>
      <c r="T64" s="65"/>
      <c r="U64" s="63"/>
      <c r="AC64" s="65"/>
      <c r="AD64" s="63"/>
      <c r="AL64" s="65"/>
      <c r="AM64" s="63"/>
      <c r="BI64" s="65"/>
      <c r="BJ64" s="63"/>
      <c r="BM64" s="23">
        <v>7</v>
      </c>
    </row>
    <row r="65" spans="1:67" ht="15" customHeight="1" x14ac:dyDescent="0.25">
      <c r="A65" s="65"/>
      <c r="B65" s="63"/>
      <c r="K65" s="65"/>
      <c r="L65" s="63"/>
      <c r="T65" s="65"/>
      <c r="U65" s="63"/>
      <c r="AC65" s="65"/>
      <c r="AD65" s="63"/>
      <c r="AL65" s="65"/>
      <c r="AM65" s="63"/>
      <c r="BI65" s="65"/>
      <c r="BJ65" s="63"/>
      <c r="BM65" s="23">
        <v>8</v>
      </c>
      <c r="BO65" s="68"/>
    </row>
    <row r="66" spans="1:67" ht="15" customHeight="1" x14ac:dyDescent="0.25">
      <c r="A66" s="65"/>
      <c r="B66" s="63"/>
      <c r="K66" s="65"/>
      <c r="L66" s="63"/>
      <c r="T66" s="65"/>
      <c r="U66" s="63"/>
      <c r="AC66" s="65"/>
      <c r="AD66" s="63"/>
      <c r="AL66" s="65"/>
      <c r="AM66" s="63"/>
      <c r="BI66" s="65"/>
      <c r="BJ66" s="63"/>
      <c r="BM66" s="23">
        <v>9</v>
      </c>
    </row>
    <row r="67" spans="1:67" ht="15" customHeight="1" x14ac:dyDescent="0.25">
      <c r="A67" s="65"/>
      <c r="B67" s="63"/>
      <c r="K67" s="65"/>
      <c r="L67" s="63"/>
      <c r="T67" s="65"/>
      <c r="U67" s="63"/>
      <c r="AC67" s="65"/>
      <c r="AD67" s="63"/>
      <c r="AL67" s="65"/>
      <c r="AM67" s="63"/>
      <c r="BI67" s="65"/>
      <c r="BJ67" s="63"/>
      <c r="BM67" s="23">
        <v>10</v>
      </c>
    </row>
    <row r="68" spans="1:67" ht="15" customHeight="1" x14ac:dyDescent="0.25">
      <c r="A68" s="65"/>
      <c r="B68" s="63"/>
      <c r="K68" s="65"/>
      <c r="L68" s="63"/>
      <c r="T68" s="65"/>
      <c r="U68" s="63"/>
      <c r="AC68" s="65"/>
      <c r="AD68" s="63"/>
      <c r="AL68" s="65"/>
      <c r="AM68" s="63"/>
      <c r="BI68" s="65"/>
      <c r="BJ68" s="63"/>
      <c r="BM68" s="23">
        <v>11</v>
      </c>
    </row>
    <row r="69" spans="1:67" ht="15" customHeight="1" x14ac:dyDescent="0.25">
      <c r="A69" s="65"/>
      <c r="B69" s="63"/>
      <c r="K69" s="65"/>
      <c r="L69" s="63"/>
      <c r="T69" s="65"/>
      <c r="U69" s="63"/>
      <c r="AC69" s="65"/>
      <c r="AD69" s="63"/>
      <c r="AL69" s="65"/>
      <c r="AM69" s="63"/>
      <c r="BI69" s="65"/>
      <c r="BJ69" s="63"/>
      <c r="BM69" s="23">
        <v>12</v>
      </c>
    </row>
    <row r="70" spans="1:67" ht="15" customHeight="1" x14ac:dyDescent="0.25">
      <c r="A70" s="65"/>
      <c r="B70" s="63"/>
      <c r="K70" s="65"/>
      <c r="L70" s="63"/>
      <c r="T70" s="65"/>
      <c r="U70" s="63"/>
      <c r="AC70" s="65"/>
      <c r="AD70" s="63"/>
      <c r="AL70" s="65"/>
      <c r="AM70" s="63"/>
      <c r="BI70" s="65"/>
      <c r="BJ70" s="63"/>
      <c r="BM70" s="23">
        <v>13</v>
      </c>
    </row>
    <row r="71" spans="1:67" ht="15" customHeight="1" x14ac:dyDescent="0.25">
      <c r="A71" s="65"/>
      <c r="B71" s="63"/>
      <c r="K71" s="65"/>
      <c r="L71" s="63"/>
      <c r="T71" s="65"/>
      <c r="U71" s="63"/>
      <c r="AC71" s="65"/>
      <c r="AD71" s="63"/>
      <c r="AL71" s="65"/>
      <c r="AM71" s="63"/>
      <c r="BI71" s="65"/>
      <c r="BJ71" s="63"/>
      <c r="BM71" s="23">
        <v>14</v>
      </c>
    </row>
    <row r="72" spans="1:67" ht="15" customHeight="1" x14ac:dyDescent="0.25">
      <c r="A72" s="65"/>
      <c r="B72" s="63"/>
      <c r="K72" s="65"/>
      <c r="L72" s="63"/>
      <c r="T72" s="65"/>
      <c r="U72" s="63"/>
      <c r="AC72" s="65"/>
      <c r="AD72" s="63"/>
      <c r="AL72" s="65"/>
      <c r="AM72" s="63"/>
      <c r="BI72" s="65"/>
      <c r="BJ72" s="63"/>
      <c r="BM72" s="23">
        <v>15</v>
      </c>
    </row>
    <row r="73" spans="1:67" ht="15" customHeight="1" x14ac:dyDescent="0.25">
      <c r="A73" s="65"/>
      <c r="B73" s="63"/>
      <c r="K73" s="65"/>
      <c r="L73" s="63"/>
      <c r="T73" s="65"/>
      <c r="U73" s="63"/>
      <c r="AC73" s="65"/>
      <c r="AD73" s="63"/>
      <c r="AL73" s="65"/>
      <c r="AM73" s="63"/>
      <c r="BI73" s="65"/>
      <c r="BJ73" s="63"/>
      <c r="BM73" s="23">
        <v>16</v>
      </c>
    </row>
    <row r="74" spans="1:67" ht="15" customHeight="1" x14ac:dyDescent="0.25">
      <c r="A74" s="65"/>
      <c r="B74" s="63"/>
      <c r="K74" s="65"/>
      <c r="L74" s="63"/>
      <c r="T74" s="65"/>
      <c r="U74" s="63"/>
      <c r="AC74" s="65"/>
      <c r="AD74" s="63"/>
      <c r="AL74" s="65"/>
      <c r="AM74" s="63"/>
      <c r="BI74" s="65"/>
      <c r="BJ74" s="63"/>
      <c r="BM74" s="23">
        <v>17</v>
      </c>
    </row>
    <row r="75" spans="1:67" ht="15" customHeight="1" x14ac:dyDescent="0.25">
      <c r="A75" s="65"/>
      <c r="B75" s="63"/>
      <c r="K75" s="65"/>
      <c r="L75" s="63"/>
      <c r="T75" s="65"/>
      <c r="U75" s="63"/>
      <c r="AC75" s="65"/>
      <c r="AD75" s="63"/>
      <c r="AL75" s="65"/>
      <c r="AM75" s="63"/>
      <c r="BI75" s="65"/>
      <c r="BJ75" s="63"/>
      <c r="BM75" s="23">
        <v>18</v>
      </c>
    </row>
    <row r="76" spans="1:67" ht="15" customHeight="1" x14ac:dyDescent="0.25">
      <c r="A76" s="65"/>
      <c r="B76" s="63"/>
      <c r="K76" s="65"/>
      <c r="L76" s="63"/>
      <c r="T76" s="65"/>
      <c r="U76" s="63"/>
      <c r="AC76" s="65"/>
      <c r="AD76" s="63"/>
      <c r="AL76" s="65"/>
      <c r="AM76" s="63"/>
      <c r="BI76" s="65"/>
      <c r="BJ76" s="63"/>
      <c r="BM76" s="23">
        <v>19</v>
      </c>
    </row>
    <row r="77" spans="1:67" ht="15" customHeight="1" x14ac:dyDescent="0.25">
      <c r="A77" s="65"/>
      <c r="B77" s="63"/>
      <c r="K77" s="65"/>
      <c r="L77" s="63"/>
      <c r="T77" s="65"/>
      <c r="U77" s="63"/>
      <c r="AC77" s="65"/>
      <c r="AD77" s="63"/>
      <c r="AL77" s="65"/>
      <c r="AM77" s="63"/>
      <c r="BI77" s="65"/>
      <c r="BJ77" s="63"/>
      <c r="BM77" s="23">
        <v>20</v>
      </c>
    </row>
    <row r="78" spans="1:67" ht="15" customHeight="1" x14ac:dyDescent="0.25">
      <c r="A78" s="65"/>
      <c r="B78" s="63"/>
      <c r="K78" s="65"/>
      <c r="L78" s="63"/>
      <c r="T78" s="65"/>
      <c r="U78" s="63"/>
      <c r="AC78" s="65"/>
      <c r="AD78" s="63"/>
      <c r="AL78" s="65"/>
      <c r="AM78" s="63"/>
      <c r="BI78" s="65"/>
      <c r="BJ78" s="63"/>
      <c r="BM78" s="23">
        <v>21</v>
      </c>
    </row>
    <row r="79" spans="1:67" ht="15" customHeight="1" x14ac:dyDescent="0.25">
      <c r="A79" s="65"/>
      <c r="B79" s="63"/>
      <c r="K79" s="65"/>
      <c r="L79" s="63"/>
      <c r="T79" s="65"/>
      <c r="U79" s="63"/>
      <c r="AC79" s="65"/>
      <c r="AD79" s="63"/>
      <c r="AL79" s="65"/>
      <c r="AM79" s="63"/>
      <c r="BI79" s="65"/>
      <c r="BJ79" s="63"/>
      <c r="BM79" s="23">
        <v>22</v>
      </c>
    </row>
    <row r="80" spans="1:67" ht="15" customHeight="1" x14ac:dyDescent="0.25">
      <c r="A80" s="65"/>
      <c r="B80" s="63"/>
      <c r="K80" s="65"/>
      <c r="L80" s="63"/>
      <c r="T80" s="65"/>
      <c r="U80" s="63"/>
      <c r="AC80" s="65"/>
      <c r="AD80" s="63"/>
      <c r="AL80" s="65"/>
      <c r="AM80" s="63"/>
      <c r="BI80" s="65"/>
      <c r="BJ80" s="63"/>
      <c r="BM80" s="23">
        <v>23</v>
      </c>
    </row>
    <row r="81" spans="1:65" ht="15" customHeight="1" x14ac:dyDescent="0.25">
      <c r="A81" s="65"/>
      <c r="B81" s="63"/>
      <c r="K81" s="65"/>
      <c r="L81" s="63"/>
      <c r="T81" s="65"/>
      <c r="U81" s="63"/>
      <c r="AC81" s="65"/>
      <c r="AD81" s="63"/>
      <c r="AL81" s="65"/>
      <c r="AM81" s="63"/>
      <c r="BI81" s="65"/>
      <c r="BJ81" s="63"/>
      <c r="BM81" s="23">
        <v>24</v>
      </c>
    </row>
    <row r="82" spans="1:65" ht="15" customHeight="1" x14ac:dyDescent="0.25">
      <c r="A82" s="65"/>
      <c r="B82" s="63"/>
      <c r="K82" s="65"/>
      <c r="L82" s="63"/>
      <c r="T82" s="65"/>
      <c r="U82" s="63"/>
      <c r="AC82" s="65"/>
      <c r="AD82" s="63"/>
      <c r="AL82" s="65"/>
      <c r="AM82" s="63"/>
      <c r="BI82" s="65"/>
      <c r="BJ82" s="63"/>
      <c r="BM82" s="23">
        <v>25</v>
      </c>
    </row>
    <row r="83" spans="1:65" ht="15" customHeight="1" x14ac:dyDescent="0.25">
      <c r="A83" s="65"/>
      <c r="B83" s="63"/>
      <c r="K83" s="65"/>
      <c r="L83" s="63"/>
      <c r="T83" s="65"/>
      <c r="U83" s="63"/>
      <c r="AC83" s="65"/>
      <c r="AD83" s="63"/>
      <c r="AL83" s="65"/>
      <c r="AM83" s="63"/>
      <c r="BI83" s="65"/>
      <c r="BJ83" s="63"/>
      <c r="BM83" s="23">
        <v>26</v>
      </c>
    </row>
    <row r="84" spans="1:65" ht="15" customHeight="1" x14ac:dyDescent="0.25">
      <c r="A84" s="65"/>
      <c r="B84" s="63"/>
      <c r="K84" s="65"/>
      <c r="L84" s="63"/>
      <c r="T84" s="65"/>
      <c r="U84" s="63"/>
      <c r="AC84" s="65"/>
      <c r="AD84" s="63"/>
      <c r="AL84" s="65"/>
      <c r="AM84" s="63"/>
      <c r="BI84" s="65"/>
      <c r="BJ84" s="63"/>
      <c r="BM84" s="23">
        <v>27</v>
      </c>
    </row>
    <row r="85" spans="1:65" ht="15" customHeight="1" x14ac:dyDescent="0.25">
      <c r="A85" s="65"/>
      <c r="B85" s="63"/>
      <c r="K85" s="65"/>
      <c r="L85" s="63"/>
      <c r="T85" s="65"/>
      <c r="U85" s="63"/>
      <c r="AC85" s="65"/>
      <c r="AD85" s="63"/>
      <c r="AL85" s="65"/>
      <c r="AM85" s="63"/>
      <c r="BI85" s="65"/>
      <c r="BJ85" s="63"/>
      <c r="BM85" s="23">
        <v>28</v>
      </c>
    </row>
    <row r="86" spans="1:65" ht="15" customHeight="1" x14ac:dyDescent="0.25">
      <c r="A86" s="65"/>
      <c r="B86" s="63"/>
      <c r="K86" s="65"/>
      <c r="L86" s="63"/>
      <c r="T86" s="65"/>
      <c r="U86" s="63"/>
      <c r="AC86" s="65"/>
      <c r="AD86" s="63"/>
      <c r="AL86" s="65"/>
      <c r="AM86" s="63"/>
      <c r="BI86" s="65"/>
      <c r="BJ86" s="63"/>
      <c r="BM86" s="23">
        <v>29</v>
      </c>
    </row>
    <row r="87" spans="1:65" ht="15" customHeight="1" x14ac:dyDescent="0.25">
      <c r="A87" s="65"/>
      <c r="B87" s="63"/>
      <c r="K87" s="65"/>
      <c r="L87" s="63"/>
      <c r="T87" s="65"/>
      <c r="U87" s="63"/>
      <c r="AC87" s="65"/>
      <c r="AD87" s="63"/>
      <c r="AL87" s="65"/>
      <c r="AM87" s="63"/>
      <c r="BI87" s="65"/>
      <c r="BJ87" s="63"/>
      <c r="BM87" s="23">
        <v>30</v>
      </c>
    </row>
    <row r="88" spans="1:65" ht="15" customHeight="1" x14ac:dyDescent="0.25">
      <c r="A88" s="65"/>
      <c r="B88" s="63"/>
      <c r="K88" s="65"/>
      <c r="L88" s="63"/>
      <c r="T88" s="65"/>
      <c r="U88" s="63"/>
      <c r="AC88" s="65"/>
      <c r="AD88" s="63"/>
      <c r="AL88" s="65"/>
      <c r="AM88" s="63"/>
      <c r="BI88" s="65"/>
      <c r="BJ88" s="63"/>
      <c r="BM88" s="23">
        <v>1</v>
      </c>
    </row>
    <row r="89" spans="1:65" ht="15" customHeight="1" x14ac:dyDescent="0.25">
      <c r="A89" s="65"/>
      <c r="B89" s="63"/>
      <c r="K89" s="65"/>
      <c r="L89" s="63"/>
      <c r="T89" s="65"/>
      <c r="U89" s="63"/>
      <c r="AC89" s="65"/>
      <c r="AD89" s="63"/>
      <c r="AL89" s="65"/>
      <c r="AM89" s="63"/>
      <c r="BI89" s="65"/>
      <c r="BJ89" s="63"/>
      <c r="BM89" s="23">
        <v>2</v>
      </c>
    </row>
    <row r="90" spans="1:65" ht="15" customHeight="1" x14ac:dyDescent="0.25">
      <c r="A90" s="65"/>
      <c r="B90" s="63"/>
      <c r="K90" s="65"/>
      <c r="L90" s="63"/>
      <c r="T90" s="65"/>
      <c r="U90" s="63"/>
      <c r="AC90" s="65"/>
      <c r="AD90" s="63"/>
      <c r="AL90" s="65"/>
      <c r="AM90" s="63"/>
      <c r="BI90" s="65"/>
      <c r="BJ90" s="63"/>
      <c r="BM90" s="23">
        <v>3</v>
      </c>
    </row>
    <row r="91" spans="1:65" ht="15" customHeight="1" x14ac:dyDescent="0.25">
      <c r="A91" s="65"/>
      <c r="B91" s="63"/>
      <c r="K91" s="65"/>
      <c r="L91" s="63"/>
      <c r="T91" s="65"/>
      <c r="U91" s="63"/>
      <c r="AC91" s="65"/>
      <c r="AD91" s="63"/>
      <c r="AL91" s="65"/>
      <c r="AM91" s="63"/>
      <c r="BI91" s="65"/>
      <c r="BJ91" s="63"/>
      <c r="BM91" s="23">
        <v>4</v>
      </c>
    </row>
    <row r="92" spans="1:65" ht="15" customHeight="1" x14ac:dyDescent="0.25">
      <c r="A92" s="65"/>
      <c r="B92" s="63"/>
      <c r="K92" s="65"/>
      <c r="L92" s="63"/>
      <c r="T92" s="65"/>
      <c r="U92" s="63"/>
      <c r="AC92" s="65"/>
      <c r="AD92" s="63"/>
      <c r="AL92" s="65"/>
      <c r="AM92" s="63"/>
      <c r="BI92" s="65"/>
      <c r="BJ92" s="63"/>
      <c r="BM92" s="23">
        <v>5</v>
      </c>
    </row>
    <row r="93" spans="1:65" ht="15" customHeight="1" x14ac:dyDescent="0.25">
      <c r="A93" s="65"/>
      <c r="B93" s="63"/>
      <c r="K93" s="65"/>
      <c r="L93" s="63"/>
      <c r="T93" s="65"/>
      <c r="U93" s="63"/>
      <c r="AC93" s="65"/>
      <c r="AD93" s="63"/>
      <c r="AL93" s="65"/>
      <c r="AM93" s="63"/>
      <c r="BI93" s="65"/>
      <c r="BJ93" s="63"/>
      <c r="BM93" s="23">
        <v>6</v>
      </c>
    </row>
    <row r="94" spans="1:65" ht="15" customHeight="1" x14ac:dyDescent="0.25">
      <c r="A94" s="65"/>
      <c r="B94" s="63"/>
      <c r="K94" s="65"/>
      <c r="L94" s="63"/>
      <c r="T94" s="65"/>
      <c r="U94" s="63"/>
      <c r="AC94" s="65"/>
      <c r="AD94" s="63"/>
      <c r="AL94" s="65"/>
      <c r="AM94" s="63"/>
      <c r="BI94" s="65"/>
      <c r="BJ94" s="63"/>
      <c r="BM94" s="23">
        <v>7</v>
      </c>
    </row>
    <row r="95" spans="1:65" ht="15" customHeight="1" x14ac:dyDescent="0.25">
      <c r="A95" s="65"/>
      <c r="B95" s="63"/>
      <c r="K95" s="65"/>
      <c r="L95" s="63"/>
      <c r="T95" s="65"/>
      <c r="U95" s="63"/>
      <c r="AC95" s="65"/>
      <c r="AD95" s="63"/>
      <c r="AL95" s="65"/>
      <c r="AM95" s="63"/>
      <c r="BI95" s="65"/>
      <c r="BJ95" s="63"/>
      <c r="BM95" s="23">
        <v>8</v>
      </c>
    </row>
    <row r="96" spans="1:65" ht="15" customHeight="1" x14ac:dyDescent="0.25">
      <c r="A96" s="65"/>
      <c r="B96" s="63"/>
      <c r="K96" s="65"/>
      <c r="L96" s="63"/>
      <c r="T96" s="65"/>
      <c r="U96" s="63"/>
      <c r="AC96" s="65"/>
      <c r="AD96" s="63"/>
      <c r="AL96" s="65"/>
      <c r="AM96" s="63"/>
      <c r="BI96" s="65"/>
      <c r="BJ96" s="63"/>
      <c r="BM96" s="23">
        <v>9</v>
      </c>
    </row>
    <row r="97" spans="1:65" ht="15" customHeight="1" x14ac:dyDescent="0.25">
      <c r="A97" s="65"/>
      <c r="B97" s="63"/>
      <c r="K97" s="65"/>
      <c r="L97" s="63"/>
      <c r="T97" s="65"/>
      <c r="U97" s="63"/>
      <c r="AC97" s="65"/>
      <c r="AD97" s="63"/>
      <c r="AL97" s="65"/>
      <c r="AM97" s="63"/>
      <c r="BI97" s="65"/>
      <c r="BJ97" s="63"/>
      <c r="BM97" s="23">
        <v>10</v>
      </c>
    </row>
    <row r="98" spans="1:65" ht="15" customHeight="1" x14ac:dyDescent="0.25">
      <c r="A98" s="65"/>
      <c r="B98" s="63"/>
      <c r="K98" s="65"/>
      <c r="L98" s="63"/>
      <c r="T98" s="65"/>
      <c r="U98" s="63"/>
      <c r="AC98" s="65"/>
      <c r="AD98" s="63"/>
      <c r="AL98" s="65"/>
      <c r="AM98" s="63"/>
      <c r="BI98" s="65"/>
      <c r="BJ98" s="63"/>
      <c r="BM98" s="23">
        <v>11</v>
      </c>
    </row>
    <row r="99" spans="1:65" ht="15" customHeight="1" x14ac:dyDescent="0.25">
      <c r="A99" s="65"/>
      <c r="B99" s="63"/>
      <c r="K99" s="65"/>
      <c r="L99" s="63"/>
      <c r="T99" s="65"/>
      <c r="U99" s="63"/>
      <c r="AC99" s="65"/>
      <c r="AD99" s="63"/>
      <c r="AL99" s="65"/>
      <c r="AM99" s="63"/>
      <c r="BI99" s="65"/>
      <c r="BJ99" s="63"/>
      <c r="BM99" s="23">
        <v>12</v>
      </c>
    </row>
    <row r="100" spans="1:65" ht="15" customHeight="1" x14ac:dyDescent="0.25">
      <c r="A100" s="65"/>
      <c r="B100" s="63"/>
      <c r="K100" s="65"/>
      <c r="L100" s="63"/>
      <c r="T100" s="65"/>
      <c r="U100" s="63"/>
      <c r="AC100" s="65"/>
      <c r="AD100" s="63"/>
      <c r="AL100" s="65"/>
      <c r="AM100" s="63"/>
      <c r="BI100" s="65"/>
      <c r="BJ100" s="63"/>
      <c r="BM100" s="23">
        <v>13</v>
      </c>
    </row>
    <row r="101" spans="1:65" ht="15" customHeight="1" x14ac:dyDescent="0.25">
      <c r="A101" s="65"/>
      <c r="B101" s="63"/>
      <c r="K101" s="65"/>
      <c r="L101" s="63"/>
      <c r="T101" s="65"/>
      <c r="U101" s="63"/>
      <c r="AC101" s="65"/>
      <c r="AD101" s="63"/>
      <c r="AL101" s="65"/>
      <c r="AM101" s="63"/>
      <c r="BI101" s="65"/>
      <c r="BJ101" s="63"/>
      <c r="BM101" s="23">
        <v>14</v>
      </c>
    </row>
    <row r="102" spans="1:65" ht="15" customHeight="1" x14ac:dyDescent="0.25">
      <c r="A102" s="65"/>
      <c r="B102" s="63"/>
      <c r="K102" s="65"/>
      <c r="L102" s="63"/>
      <c r="T102" s="65"/>
      <c r="U102" s="63"/>
      <c r="AC102" s="65"/>
      <c r="AD102" s="63"/>
      <c r="AL102" s="65"/>
      <c r="AM102" s="63"/>
      <c r="BI102" s="65"/>
      <c r="BJ102" s="63"/>
      <c r="BM102" s="23">
        <v>15</v>
      </c>
    </row>
    <row r="103" spans="1:65" ht="15" customHeight="1" x14ac:dyDescent="0.25">
      <c r="A103" s="65"/>
      <c r="B103" s="63"/>
      <c r="K103" s="65"/>
      <c r="L103" s="63"/>
      <c r="T103" s="65"/>
      <c r="U103" s="63"/>
      <c r="AC103" s="65"/>
      <c r="AD103" s="63"/>
      <c r="AL103" s="65"/>
      <c r="AM103" s="63"/>
      <c r="BI103" s="65"/>
      <c r="BJ103" s="63"/>
      <c r="BM103" s="23">
        <v>16</v>
      </c>
    </row>
    <row r="104" spans="1:65" ht="15" customHeight="1" x14ac:dyDescent="0.25">
      <c r="A104" s="65"/>
      <c r="B104" s="63"/>
      <c r="K104" s="65"/>
      <c r="L104" s="63"/>
      <c r="T104" s="65"/>
      <c r="U104" s="63"/>
      <c r="AC104" s="65"/>
      <c r="AD104" s="63"/>
      <c r="AL104" s="65"/>
      <c r="AM104" s="63"/>
      <c r="BI104" s="65"/>
      <c r="BJ104" s="63"/>
      <c r="BM104" s="23">
        <v>17</v>
      </c>
    </row>
    <row r="105" spans="1:65" ht="15" customHeight="1" x14ac:dyDescent="0.25">
      <c r="A105" s="65"/>
      <c r="B105" s="63"/>
      <c r="K105" s="65"/>
      <c r="L105" s="63"/>
      <c r="T105" s="65"/>
      <c r="U105" s="63"/>
      <c r="AC105" s="65"/>
      <c r="AD105" s="63"/>
      <c r="AL105" s="65"/>
      <c r="AM105" s="63"/>
      <c r="BI105" s="65"/>
      <c r="BJ105" s="63"/>
      <c r="BM105" s="23">
        <v>18</v>
      </c>
    </row>
    <row r="106" spans="1:65" ht="15" customHeight="1" x14ac:dyDescent="0.25">
      <c r="A106" s="65"/>
      <c r="B106" s="63"/>
      <c r="K106" s="65"/>
      <c r="L106" s="63"/>
      <c r="T106" s="65"/>
      <c r="U106" s="63"/>
      <c r="AC106" s="65"/>
      <c r="AD106" s="63"/>
      <c r="AL106" s="65"/>
      <c r="AM106" s="63"/>
      <c r="BI106" s="65"/>
      <c r="BJ106" s="63"/>
      <c r="BM106" s="23">
        <v>19</v>
      </c>
    </row>
    <row r="107" spans="1:65" ht="15" customHeight="1" x14ac:dyDescent="0.25">
      <c r="A107" s="65"/>
      <c r="B107" s="63"/>
      <c r="K107" s="65"/>
      <c r="L107" s="63"/>
      <c r="T107" s="65"/>
      <c r="U107" s="63"/>
      <c r="AC107" s="65"/>
      <c r="AD107" s="63"/>
      <c r="AL107" s="65"/>
      <c r="AM107" s="63"/>
      <c r="BI107" s="65"/>
      <c r="BJ107" s="63"/>
      <c r="BM107" s="23">
        <v>20</v>
      </c>
    </row>
    <row r="108" spans="1:65" ht="15" customHeight="1" x14ac:dyDescent="0.25">
      <c r="A108" s="65"/>
      <c r="B108" s="63"/>
      <c r="K108" s="65"/>
      <c r="L108" s="63"/>
      <c r="T108" s="65"/>
      <c r="U108" s="63"/>
      <c r="AC108" s="65"/>
      <c r="AD108" s="63"/>
      <c r="AL108" s="65"/>
      <c r="AM108" s="63"/>
      <c r="BI108" s="65"/>
      <c r="BJ108" s="63"/>
      <c r="BM108" s="23">
        <v>21</v>
      </c>
    </row>
    <row r="109" spans="1:65" ht="15" customHeight="1" x14ac:dyDescent="0.25">
      <c r="A109" s="65"/>
      <c r="B109" s="63"/>
      <c r="K109" s="65"/>
      <c r="L109" s="63"/>
      <c r="T109" s="65"/>
      <c r="U109" s="63"/>
      <c r="AC109" s="65"/>
      <c r="AD109" s="63"/>
      <c r="AL109" s="65"/>
      <c r="AM109" s="63"/>
      <c r="BI109" s="65"/>
      <c r="BJ109" s="63"/>
      <c r="BM109" s="23">
        <v>22</v>
      </c>
    </row>
    <row r="110" spans="1:65" ht="15" customHeight="1" x14ac:dyDescent="0.25">
      <c r="A110" s="65"/>
      <c r="B110" s="63"/>
      <c r="K110" s="65"/>
      <c r="L110" s="63"/>
      <c r="T110" s="65"/>
      <c r="U110" s="63"/>
      <c r="AC110" s="65"/>
      <c r="AD110" s="63"/>
      <c r="AL110" s="65"/>
      <c r="AM110" s="63"/>
      <c r="BI110" s="65"/>
      <c r="BJ110" s="63"/>
      <c r="BM110" s="23">
        <v>23</v>
      </c>
    </row>
    <row r="111" spans="1:65" ht="15" customHeight="1" x14ac:dyDescent="0.25">
      <c r="A111" s="65"/>
      <c r="B111" s="63"/>
      <c r="K111" s="65"/>
      <c r="L111" s="63"/>
      <c r="T111" s="65"/>
      <c r="U111" s="63"/>
      <c r="AC111" s="65"/>
      <c r="AD111" s="63"/>
      <c r="AL111" s="65"/>
      <c r="AM111" s="63"/>
      <c r="BI111" s="65"/>
      <c r="BJ111" s="63"/>
      <c r="BM111" s="23">
        <v>24</v>
      </c>
    </row>
    <row r="112" spans="1:65" ht="15" customHeight="1" x14ac:dyDescent="0.25">
      <c r="A112" s="65"/>
      <c r="B112" s="63"/>
      <c r="K112" s="65"/>
      <c r="L112" s="63"/>
      <c r="T112" s="65"/>
      <c r="U112" s="63"/>
      <c r="AC112" s="65"/>
      <c r="AD112" s="63"/>
      <c r="AL112" s="65"/>
      <c r="AM112" s="63"/>
      <c r="BI112" s="65"/>
      <c r="BJ112" s="63"/>
      <c r="BM112" s="23">
        <v>25</v>
      </c>
    </row>
    <row r="113" spans="1:65" ht="15" customHeight="1" x14ac:dyDescent="0.25">
      <c r="A113" s="65"/>
      <c r="B113" s="63"/>
      <c r="K113" s="65"/>
      <c r="L113" s="63"/>
      <c r="T113" s="65"/>
      <c r="U113" s="63"/>
      <c r="AC113" s="65"/>
      <c r="AD113" s="63"/>
      <c r="AL113" s="65"/>
      <c r="AM113" s="63"/>
      <c r="BI113" s="65"/>
      <c r="BJ113" s="63"/>
      <c r="BM113" s="23">
        <v>26</v>
      </c>
    </row>
    <row r="114" spans="1:65" ht="15" customHeight="1" x14ac:dyDescent="0.25">
      <c r="A114" s="65"/>
      <c r="B114" s="63"/>
      <c r="K114" s="65"/>
      <c r="L114" s="63"/>
      <c r="T114" s="65"/>
      <c r="U114" s="63"/>
      <c r="AC114" s="65"/>
      <c r="AD114" s="63"/>
      <c r="AL114" s="65"/>
      <c r="AM114" s="63"/>
      <c r="BI114" s="65"/>
      <c r="BJ114" s="63"/>
      <c r="BM114" s="23">
        <v>27</v>
      </c>
    </row>
    <row r="115" spans="1:65" ht="15" customHeight="1" x14ac:dyDescent="0.25">
      <c r="A115" s="65"/>
      <c r="B115" s="63"/>
      <c r="K115" s="65"/>
      <c r="L115" s="63"/>
      <c r="T115" s="65"/>
      <c r="U115" s="63"/>
      <c r="AC115" s="65"/>
      <c r="AD115" s="63"/>
      <c r="AL115" s="65"/>
      <c r="AM115" s="63"/>
      <c r="BI115" s="65"/>
      <c r="BJ115" s="63"/>
      <c r="BM115" s="23">
        <v>28</v>
      </c>
    </row>
    <row r="116" spans="1:65" ht="15" customHeight="1" x14ac:dyDescent="0.25">
      <c r="A116" s="65"/>
      <c r="B116" s="63"/>
      <c r="K116" s="65"/>
      <c r="L116" s="63"/>
      <c r="T116" s="65"/>
      <c r="U116" s="63"/>
      <c r="AC116" s="65"/>
      <c r="AD116" s="63"/>
      <c r="AL116" s="65"/>
      <c r="AM116" s="63"/>
      <c r="BI116" s="65"/>
      <c r="BJ116" s="63"/>
      <c r="BM116" s="23">
        <v>29</v>
      </c>
    </row>
    <row r="117" spans="1:65" ht="15" customHeight="1" x14ac:dyDescent="0.25">
      <c r="A117" s="65"/>
      <c r="B117" s="63"/>
      <c r="K117" s="65"/>
      <c r="L117" s="63"/>
      <c r="T117" s="65"/>
      <c r="U117" s="63"/>
      <c r="AC117" s="65"/>
      <c r="AD117" s="63"/>
      <c r="AL117" s="65"/>
      <c r="AM117" s="63"/>
      <c r="BI117" s="65"/>
      <c r="BJ117" s="63"/>
      <c r="BM117" s="23">
        <v>30</v>
      </c>
    </row>
    <row r="118" spans="1:65" ht="15" customHeight="1" x14ac:dyDescent="0.25">
      <c r="A118" s="65"/>
      <c r="B118" s="63"/>
      <c r="K118" s="65"/>
      <c r="L118" s="63"/>
      <c r="T118" s="65"/>
      <c r="U118" s="63"/>
      <c r="AC118" s="65"/>
      <c r="AD118" s="63"/>
      <c r="AL118" s="65"/>
      <c r="AM118" s="63"/>
      <c r="BI118" s="65"/>
      <c r="BJ118" s="63"/>
      <c r="BM118" s="23">
        <v>31</v>
      </c>
    </row>
    <row r="119" spans="1:65" ht="15" customHeight="1" x14ac:dyDescent="0.25">
      <c r="A119" s="65"/>
      <c r="B119" s="63"/>
      <c r="K119" s="65"/>
      <c r="L119" s="63"/>
      <c r="T119" s="65"/>
      <c r="U119" s="63"/>
      <c r="AC119" s="65"/>
      <c r="AD119" s="63"/>
      <c r="AL119" s="65"/>
      <c r="AM119" s="63"/>
      <c r="BI119" s="65"/>
      <c r="BJ119" s="63"/>
      <c r="BM119" s="23">
        <v>32</v>
      </c>
    </row>
    <row r="120" spans="1:65" ht="15" customHeight="1" x14ac:dyDescent="0.25">
      <c r="A120" s="65"/>
      <c r="B120" s="63"/>
      <c r="K120" s="65"/>
      <c r="L120" s="63"/>
      <c r="T120" s="65"/>
      <c r="U120" s="63"/>
      <c r="AC120" s="65"/>
      <c r="AD120" s="63"/>
      <c r="AL120" s="65"/>
      <c r="AM120" s="63"/>
      <c r="BI120" s="65"/>
      <c r="BJ120" s="63"/>
      <c r="BM120" s="23">
        <v>33</v>
      </c>
    </row>
    <row r="121" spans="1:65" ht="15" customHeight="1" x14ac:dyDescent="0.25">
      <c r="A121" s="69"/>
      <c r="B121" s="70"/>
      <c r="C121" s="25"/>
      <c r="D121" s="25"/>
      <c r="E121" s="25"/>
      <c r="F121" s="25"/>
      <c r="G121" s="25"/>
      <c r="H121" s="25"/>
      <c r="I121" s="25"/>
      <c r="J121" s="25"/>
      <c r="K121" s="69"/>
      <c r="L121" s="70"/>
      <c r="M121" s="25"/>
      <c r="N121" s="25"/>
      <c r="O121" s="25"/>
      <c r="P121" s="25"/>
      <c r="Q121" s="25"/>
      <c r="R121" s="25"/>
      <c r="S121" s="25"/>
      <c r="T121" s="69"/>
      <c r="U121" s="70"/>
      <c r="V121" s="25"/>
      <c r="W121" s="25"/>
      <c r="X121" s="25"/>
      <c r="Y121" s="25"/>
      <c r="Z121" s="25"/>
      <c r="AA121" s="25"/>
      <c r="AB121" s="25"/>
      <c r="AC121" s="69"/>
      <c r="AD121" s="70"/>
      <c r="AE121" s="25"/>
      <c r="AF121" s="25"/>
      <c r="AG121" s="25"/>
      <c r="AH121" s="25"/>
      <c r="AI121" s="25"/>
      <c r="AJ121" s="25"/>
      <c r="AK121" s="25"/>
      <c r="AL121" s="69"/>
      <c r="AM121" s="70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69"/>
      <c r="BJ121" s="70"/>
      <c r="BK121" s="25"/>
      <c r="BM121" s="23">
        <v>34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8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163" t="s">
        <v>34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35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基本設計書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57" t="str">
        <f>IF(表紙!A2="","",表紙!A2)</f>
        <v>POSサーバー</v>
      </c>
      <c r="B2" s="158"/>
      <c r="C2" s="158"/>
      <c r="D2" s="158"/>
      <c r="E2" s="158"/>
      <c r="F2" s="158"/>
      <c r="G2" s="158"/>
      <c r="H2" s="158"/>
      <c r="I2" s="158"/>
      <c r="J2" s="159"/>
      <c r="K2" s="157" t="str">
        <f>IF(表紙!K2="","",表紙!K2)</f>
        <v>POSサーバー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3" ht="24.95" customHeight="1" x14ac:dyDescent="0.25">
      <c r="A4" s="163" t="s">
        <v>43</v>
      </c>
      <c r="B4" s="164"/>
      <c r="C4" s="164"/>
      <c r="D4" s="164"/>
      <c r="E4" s="164"/>
      <c r="F4" s="164"/>
      <c r="G4" s="165"/>
      <c r="H4" s="175" t="str">
        <f>IF(表紙!H4="","",表紙!H4)</f>
        <v>37_メガ割設定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63" t="s">
        <v>44</v>
      </c>
      <c r="V4" s="164"/>
      <c r="W4" s="164"/>
      <c r="X4" s="164"/>
      <c r="Y4" s="165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8" t="str">
        <f ca="1">MID(CELL("filename",A1),FIND("]",CELL("filename",A1))+1,255)</f>
        <v>画面設計書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71" t="s">
        <v>16</v>
      </c>
      <c r="C7" s="71"/>
      <c r="D7" s="71"/>
      <c r="E7" s="71"/>
      <c r="F7" s="71"/>
      <c r="G7" s="71"/>
      <c r="H7" s="71"/>
      <c r="I7" s="71"/>
      <c r="J7" s="71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57</v>
      </c>
      <c r="BK35" s="9"/>
    </row>
    <row r="36" spans="1:63" x14ac:dyDescent="0.25">
      <c r="BK36" s="9"/>
    </row>
    <row r="37" spans="1:63" ht="15.75" customHeight="1" x14ac:dyDescent="0.25">
      <c r="B37" s="179" t="s">
        <v>58</v>
      </c>
      <c r="C37" s="180"/>
      <c r="D37" s="185" t="s">
        <v>59</v>
      </c>
      <c r="E37" s="186"/>
      <c r="F37" s="186"/>
      <c r="G37" s="186"/>
      <c r="H37" s="186"/>
      <c r="I37" s="186"/>
      <c r="J37" s="180"/>
      <c r="K37" s="185" t="s">
        <v>60</v>
      </c>
      <c r="L37" s="186"/>
      <c r="M37" s="180"/>
      <c r="N37" s="189" t="s">
        <v>17</v>
      </c>
      <c r="O37" s="192" t="s">
        <v>61</v>
      </c>
      <c r="P37" s="210" t="s">
        <v>62</v>
      </c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2"/>
      <c r="AR37" s="195" t="s">
        <v>63</v>
      </c>
      <c r="AS37" s="196"/>
      <c r="AT37" s="196"/>
      <c r="AU37" s="196"/>
      <c r="AV37" s="196"/>
      <c r="AW37" s="196"/>
      <c r="AX37" s="196"/>
      <c r="AY37" s="196"/>
      <c r="AZ37" s="196"/>
      <c r="BA37" s="196"/>
      <c r="BB37" s="199"/>
      <c r="BC37" s="213" t="s">
        <v>64</v>
      </c>
      <c r="BD37" s="214"/>
      <c r="BE37" s="214"/>
      <c r="BF37" s="214"/>
      <c r="BG37" s="214"/>
      <c r="BH37" s="214"/>
      <c r="BI37" s="214"/>
      <c r="BJ37" s="215"/>
      <c r="BK37" s="9"/>
    </row>
    <row r="38" spans="1:63" ht="15.75" customHeight="1" x14ac:dyDescent="0.25">
      <c r="B38" s="181"/>
      <c r="C38" s="182"/>
      <c r="D38" s="181"/>
      <c r="E38" s="187"/>
      <c r="F38" s="187"/>
      <c r="G38" s="187"/>
      <c r="H38" s="187"/>
      <c r="I38" s="187"/>
      <c r="J38" s="182"/>
      <c r="K38" s="181"/>
      <c r="L38" s="187"/>
      <c r="M38" s="182"/>
      <c r="N38" s="190"/>
      <c r="O38" s="193"/>
      <c r="P38" s="222" t="s">
        <v>65</v>
      </c>
      <c r="Q38" s="223"/>
      <c r="R38" s="223"/>
      <c r="S38" s="223"/>
      <c r="T38" s="223"/>
      <c r="U38" s="223"/>
      <c r="V38" s="223"/>
      <c r="W38" s="224"/>
      <c r="X38" s="225" t="s">
        <v>66</v>
      </c>
      <c r="Y38" s="226"/>
      <c r="Z38" s="227"/>
      <c r="AA38" s="225" t="s">
        <v>67</v>
      </c>
      <c r="AB38" s="226"/>
      <c r="AC38" s="226"/>
      <c r="AD38" s="226"/>
      <c r="AE38" s="226"/>
      <c r="AF38" s="226"/>
      <c r="AG38" s="226"/>
      <c r="AH38" s="227"/>
      <c r="AI38" s="225" t="s">
        <v>68</v>
      </c>
      <c r="AJ38" s="226"/>
      <c r="AK38" s="226"/>
      <c r="AL38" s="226"/>
      <c r="AM38" s="226"/>
      <c r="AN38" s="226"/>
      <c r="AO38" s="226"/>
      <c r="AP38" s="226"/>
      <c r="AQ38" s="227"/>
      <c r="AR38" s="231" t="s">
        <v>18</v>
      </c>
      <c r="AS38" s="233" t="s">
        <v>69</v>
      </c>
      <c r="AT38" s="235" t="s">
        <v>70</v>
      </c>
      <c r="AU38" s="195" t="s">
        <v>65</v>
      </c>
      <c r="AV38" s="196"/>
      <c r="AW38" s="196"/>
      <c r="AX38" s="196"/>
      <c r="AY38" s="196"/>
      <c r="AZ38" s="196"/>
      <c r="BA38" s="196"/>
      <c r="BB38" s="199"/>
      <c r="BC38" s="216"/>
      <c r="BD38" s="217"/>
      <c r="BE38" s="217"/>
      <c r="BF38" s="217"/>
      <c r="BG38" s="217"/>
      <c r="BH38" s="217"/>
      <c r="BI38" s="217"/>
      <c r="BJ38" s="218"/>
      <c r="BK38" s="9"/>
    </row>
    <row r="39" spans="1:63" x14ac:dyDescent="0.25">
      <c r="B39" s="183"/>
      <c r="C39" s="184"/>
      <c r="D39" s="183"/>
      <c r="E39" s="188"/>
      <c r="F39" s="188"/>
      <c r="G39" s="188"/>
      <c r="H39" s="188"/>
      <c r="I39" s="188"/>
      <c r="J39" s="184"/>
      <c r="K39" s="183"/>
      <c r="L39" s="188"/>
      <c r="M39" s="184"/>
      <c r="N39" s="191"/>
      <c r="O39" s="194"/>
      <c r="P39" s="210" t="s">
        <v>71</v>
      </c>
      <c r="Q39" s="211"/>
      <c r="R39" s="211"/>
      <c r="S39" s="212"/>
      <c r="T39" s="210" t="s">
        <v>59</v>
      </c>
      <c r="U39" s="211"/>
      <c r="V39" s="211"/>
      <c r="W39" s="212"/>
      <c r="X39" s="228"/>
      <c r="Y39" s="229"/>
      <c r="Z39" s="230"/>
      <c r="AA39" s="228"/>
      <c r="AB39" s="229"/>
      <c r="AC39" s="229"/>
      <c r="AD39" s="229"/>
      <c r="AE39" s="229"/>
      <c r="AF39" s="229"/>
      <c r="AG39" s="229"/>
      <c r="AH39" s="230"/>
      <c r="AI39" s="228"/>
      <c r="AJ39" s="229"/>
      <c r="AK39" s="229"/>
      <c r="AL39" s="229"/>
      <c r="AM39" s="229"/>
      <c r="AN39" s="229"/>
      <c r="AO39" s="229"/>
      <c r="AP39" s="229"/>
      <c r="AQ39" s="230"/>
      <c r="AR39" s="232"/>
      <c r="AS39" s="234"/>
      <c r="AT39" s="236"/>
      <c r="AU39" s="195" t="s">
        <v>71</v>
      </c>
      <c r="AV39" s="196"/>
      <c r="AW39" s="196"/>
      <c r="AX39" s="197"/>
      <c r="AY39" s="198" t="s">
        <v>59</v>
      </c>
      <c r="AZ39" s="196"/>
      <c r="BA39" s="196"/>
      <c r="BB39" s="199"/>
      <c r="BC39" s="219"/>
      <c r="BD39" s="220"/>
      <c r="BE39" s="220"/>
      <c r="BF39" s="220"/>
      <c r="BG39" s="220"/>
      <c r="BH39" s="220"/>
      <c r="BI39" s="220"/>
      <c r="BJ39" s="221"/>
      <c r="BK39" s="9"/>
    </row>
    <row r="40" spans="1:63" ht="15.75" customHeight="1" x14ac:dyDescent="0.25">
      <c r="B40" s="200">
        <v>1</v>
      </c>
      <c r="C40" s="201"/>
      <c r="D40" s="202"/>
      <c r="E40" s="203"/>
      <c r="F40" s="203"/>
      <c r="G40" s="203"/>
      <c r="H40" s="203"/>
      <c r="I40" s="203"/>
      <c r="J40" s="204"/>
      <c r="K40" s="205" t="s">
        <v>19</v>
      </c>
      <c r="L40" s="206"/>
      <c r="M40" s="207"/>
      <c r="N40" s="11" t="s">
        <v>20</v>
      </c>
      <c r="O40" s="12" t="s">
        <v>21</v>
      </c>
      <c r="P40" s="208" t="s">
        <v>20</v>
      </c>
      <c r="Q40" s="209"/>
      <c r="R40" s="209"/>
      <c r="S40" s="201"/>
      <c r="T40" s="208" t="s">
        <v>20</v>
      </c>
      <c r="U40" s="209"/>
      <c r="V40" s="209"/>
      <c r="W40" s="201"/>
      <c r="X40" s="237" t="s">
        <v>55</v>
      </c>
      <c r="Y40" s="238"/>
      <c r="Z40" s="239"/>
      <c r="AA40" s="200" t="s">
        <v>22</v>
      </c>
      <c r="AB40" s="209"/>
      <c r="AC40" s="209"/>
      <c r="AD40" s="209"/>
      <c r="AE40" s="209"/>
      <c r="AF40" s="209"/>
      <c r="AG40" s="209"/>
      <c r="AH40" s="201"/>
      <c r="AI40" s="240" t="s">
        <v>20</v>
      </c>
      <c r="AJ40" s="241"/>
      <c r="AK40" s="241"/>
      <c r="AL40" s="241"/>
      <c r="AM40" s="241"/>
      <c r="AN40" s="241"/>
      <c r="AO40" s="241"/>
      <c r="AP40" s="241"/>
      <c r="AQ40" s="242"/>
      <c r="AR40" s="13" t="s">
        <v>20</v>
      </c>
      <c r="AS40" s="13" t="s">
        <v>22</v>
      </c>
      <c r="AT40" s="13" t="s">
        <v>22</v>
      </c>
      <c r="AU40" s="200" t="s">
        <v>23</v>
      </c>
      <c r="AV40" s="209"/>
      <c r="AW40" s="209"/>
      <c r="AX40" s="201"/>
      <c r="AY40" s="200" t="s">
        <v>22</v>
      </c>
      <c r="AZ40" s="209"/>
      <c r="BA40" s="209"/>
      <c r="BB40" s="201"/>
      <c r="BC40" s="243"/>
      <c r="BD40" s="244"/>
      <c r="BE40" s="244"/>
      <c r="BF40" s="244"/>
      <c r="BG40" s="244"/>
      <c r="BH40" s="244"/>
      <c r="BI40" s="244"/>
      <c r="BJ40" s="245"/>
      <c r="BK40" s="9"/>
    </row>
    <row r="41" spans="1:63" x14ac:dyDescent="0.25">
      <c r="B41" s="246">
        <v>2</v>
      </c>
      <c r="C41" s="247"/>
      <c r="D41" s="253"/>
      <c r="E41" s="254"/>
      <c r="F41" s="254"/>
      <c r="G41" s="254"/>
      <c r="H41" s="254"/>
      <c r="I41" s="254"/>
      <c r="J41" s="255"/>
      <c r="K41" s="205" t="s">
        <v>19</v>
      </c>
      <c r="L41" s="206"/>
      <c r="M41" s="207"/>
      <c r="N41" s="12" t="s">
        <v>24</v>
      </c>
      <c r="O41" s="12" t="s">
        <v>21</v>
      </c>
      <c r="P41" s="246" t="s">
        <v>23</v>
      </c>
      <c r="Q41" s="252"/>
      <c r="R41" s="252"/>
      <c r="S41" s="247"/>
      <c r="T41" s="246" t="s">
        <v>23</v>
      </c>
      <c r="U41" s="252"/>
      <c r="V41" s="252"/>
      <c r="W41" s="247"/>
      <c r="X41" s="266" t="s">
        <v>72</v>
      </c>
      <c r="Y41" s="267"/>
      <c r="Z41" s="268"/>
      <c r="AA41" s="246" t="s">
        <v>22</v>
      </c>
      <c r="AB41" s="252"/>
      <c r="AC41" s="252"/>
      <c r="AD41" s="252"/>
      <c r="AE41" s="252"/>
      <c r="AF41" s="252"/>
      <c r="AG41" s="252"/>
      <c r="AH41" s="247"/>
      <c r="AI41" s="259" t="s">
        <v>22</v>
      </c>
      <c r="AJ41" s="260"/>
      <c r="AK41" s="260"/>
      <c r="AL41" s="260"/>
      <c r="AM41" s="260"/>
      <c r="AN41" s="260"/>
      <c r="AO41" s="260"/>
      <c r="AP41" s="260"/>
      <c r="AQ41" s="261"/>
      <c r="AR41" s="14" t="s">
        <v>20</v>
      </c>
      <c r="AS41" s="14" t="s">
        <v>22</v>
      </c>
      <c r="AT41" s="14" t="s">
        <v>22</v>
      </c>
      <c r="AU41" s="246" t="s">
        <v>23</v>
      </c>
      <c r="AV41" s="252"/>
      <c r="AW41" s="252"/>
      <c r="AX41" s="247"/>
      <c r="AY41" s="246" t="s">
        <v>22</v>
      </c>
      <c r="AZ41" s="252"/>
      <c r="BA41" s="252"/>
      <c r="BB41" s="247"/>
      <c r="BC41" s="265"/>
      <c r="BD41" s="263"/>
      <c r="BE41" s="263"/>
      <c r="BF41" s="263"/>
      <c r="BG41" s="263"/>
      <c r="BH41" s="263"/>
      <c r="BI41" s="263"/>
      <c r="BJ41" s="264"/>
      <c r="BK41" s="9"/>
    </row>
    <row r="42" spans="1:63" x14ac:dyDescent="0.25">
      <c r="B42" s="246">
        <v>3</v>
      </c>
      <c r="C42" s="247"/>
      <c r="D42" s="248"/>
      <c r="E42" s="249"/>
      <c r="F42" s="249"/>
      <c r="G42" s="249"/>
      <c r="H42" s="249"/>
      <c r="I42" s="249"/>
      <c r="J42" s="250"/>
      <c r="K42" s="205" t="s">
        <v>19</v>
      </c>
      <c r="L42" s="206"/>
      <c r="M42" s="207"/>
      <c r="N42" s="12" t="s">
        <v>25</v>
      </c>
      <c r="O42" s="12" t="s">
        <v>20</v>
      </c>
      <c r="P42" s="251" t="s">
        <v>20</v>
      </c>
      <c r="Q42" s="252"/>
      <c r="R42" s="252"/>
      <c r="S42" s="247"/>
      <c r="T42" s="246"/>
      <c r="U42" s="252"/>
      <c r="V42" s="252"/>
      <c r="W42" s="247"/>
      <c r="X42" s="256" t="s">
        <v>20</v>
      </c>
      <c r="Y42" s="257"/>
      <c r="Z42" s="258"/>
      <c r="AA42" s="246" t="s">
        <v>22</v>
      </c>
      <c r="AB42" s="252"/>
      <c r="AC42" s="252"/>
      <c r="AD42" s="252"/>
      <c r="AE42" s="252"/>
      <c r="AF42" s="252"/>
      <c r="AG42" s="252"/>
      <c r="AH42" s="247"/>
      <c r="AI42" s="259" t="s">
        <v>22</v>
      </c>
      <c r="AJ42" s="260"/>
      <c r="AK42" s="260"/>
      <c r="AL42" s="260"/>
      <c r="AM42" s="260"/>
      <c r="AN42" s="260"/>
      <c r="AO42" s="260"/>
      <c r="AP42" s="260"/>
      <c r="AQ42" s="261"/>
      <c r="AR42" s="14" t="s">
        <v>20</v>
      </c>
      <c r="AS42" s="14" t="s">
        <v>22</v>
      </c>
      <c r="AT42" s="14" t="s">
        <v>22</v>
      </c>
      <c r="AU42" s="246" t="s">
        <v>23</v>
      </c>
      <c r="AV42" s="252"/>
      <c r="AW42" s="252"/>
      <c r="AX42" s="247"/>
      <c r="AY42" s="246" t="s">
        <v>22</v>
      </c>
      <c r="AZ42" s="252"/>
      <c r="BA42" s="252"/>
      <c r="BB42" s="247"/>
      <c r="BC42" s="262"/>
      <c r="BD42" s="263"/>
      <c r="BE42" s="263"/>
      <c r="BF42" s="263"/>
      <c r="BG42" s="263"/>
      <c r="BH42" s="263"/>
      <c r="BI42" s="263"/>
      <c r="BJ42" s="264"/>
      <c r="BK42" s="9"/>
    </row>
    <row r="43" spans="1:63" x14ac:dyDescent="0.25">
      <c r="B43" s="246">
        <v>4</v>
      </c>
      <c r="C43" s="247"/>
      <c r="D43" s="269"/>
      <c r="E43" s="270"/>
      <c r="F43" s="270"/>
      <c r="G43" s="270"/>
      <c r="H43" s="270"/>
      <c r="I43" s="270"/>
      <c r="J43" s="271"/>
      <c r="K43" s="205" t="s">
        <v>19</v>
      </c>
      <c r="L43" s="206"/>
      <c r="M43" s="207"/>
      <c r="N43" s="15" t="s">
        <v>24</v>
      </c>
      <c r="O43" s="12" t="s">
        <v>21</v>
      </c>
      <c r="P43" s="246" t="s">
        <v>23</v>
      </c>
      <c r="Q43" s="252"/>
      <c r="R43" s="252"/>
      <c r="S43" s="247"/>
      <c r="T43" s="246" t="s">
        <v>23</v>
      </c>
      <c r="U43" s="252"/>
      <c r="V43" s="252"/>
      <c r="W43" s="247"/>
      <c r="X43" s="272" t="s">
        <v>56</v>
      </c>
      <c r="Y43" s="252"/>
      <c r="Z43" s="247"/>
      <c r="AA43" s="246" t="s">
        <v>22</v>
      </c>
      <c r="AB43" s="252"/>
      <c r="AC43" s="252"/>
      <c r="AD43" s="252"/>
      <c r="AE43" s="252"/>
      <c r="AF43" s="252"/>
      <c r="AG43" s="252"/>
      <c r="AH43" s="247"/>
      <c r="AI43" s="259" t="s">
        <v>22</v>
      </c>
      <c r="AJ43" s="260"/>
      <c r="AK43" s="260"/>
      <c r="AL43" s="260"/>
      <c r="AM43" s="260"/>
      <c r="AN43" s="260"/>
      <c r="AO43" s="260"/>
      <c r="AP43" s="260"/>
      <c r="AQ43" s="261"/>
      <c r="AR43" s="14" t="s">
        <v>20</v>
      </c>
      <c r="AS43" s="14" t="s">
        <v>22</v>
      </c>
      <c r="AT43" s="14" t="s">
        <v>22</v>
      </c>
      <c r="AU43" s="246" t="s">
        <v>23</v>
      </c>
      <c r="AV43" s="252"/>
      <c r="AW43" s="252"/>
      <c r="AX43" s="247"/>
      <c r="AY43" s="246" t="s">
        <v>22</v>
      </c>
      <c r="AZ43" s="252"/>
      <c r="BA43" s="252"/>
      <c r="BB43" s="247"/>
      <c r="BC43" s="273"/>
      <c r="BD43" s="274"/>
      <c r="BE43" s="274"/>
      <c r="BF43" s="274"/>
      <c r="BG43" s="274"/>
      <c r="BH43" s="274"/>
      <c r="BI43" s="274"/>
      <c r="BJ43" s="275"/>
      <c r="BK43" s="9"/>
    </row>
    <row r="44" spans="1:63" x14ac:dyDescent="0.25">
      <c r="B44" s="246">
        <v>5</v>
      </c>
      <c r="C44" s="247"/>
      <c r="D44" s="248"/>
      <c r="E44" s="249"/>
      <c r="F44" s="249"/>
      <c r="G44" s="249"/>
      <c r="H44" s="249"/>
      <c r="I44" s="249"/>
      <c r="J44" s="250"/>
      <c r="K44" s="205" t="s">
        <v>26</v>
      </c>
      <c r="L44" s="206"/>
      <c r="M44" s="207"/>
      <c r="N44" s="15" t="s">
        <v>25</v>
      </c>
      <c r="O44" s="12" t="s">
        <v>20</v>
      </c>
      <c r="P44" s="246" t="s">
        <v>23</v>
      </c>
      <c r="Q44" s="252"/>
      <c r="R44" s="252"/>
      <c r="S44" s="247"/>
      <c r="T44" s="246" t="s">
        <v>23</v>
      </c>
      <c r="U44" s="252"/>
      <c r="V44" s="252"/>
      <c r="W44" s="247"/>
      <c r="X44" s="272" t="s">
        <v>20</v>
      </c>
      <c r="Y44" s="252"/>
      <c r="Z44" s="247"/>
      <c r="AA44" s="246" t="s">
        <v>22</v>
      </c>
      <c r="AB44" s="252"/>
      <c r="AC44" s="252"/>
      <c r="AD44" s="252"/>
      <c r="AE44" s="252"/>
      <c r="AF44" s="252"/>
      <c r="AG44" s="252"/>
      <c r="AH44" s="247"/>
      <c r="AI44" s="259" t="s">
        <v>22</v>
      </c>
      <c r="AJ44" s="260"/>
      <c r="AK44" s="260"/>
      <c r="AL44" s="260"/>
      <c r="AM44" s="260"/>
      <c r="AN44" s="260"/>
      <c r="AO44" s="260"/>
      <c r="AP44" s="260"/>
      <c r="AQ44" s="261"/>
      <c r="AR44" s="14" t="s">
        <v>20</v>
      </c>
      <c r="AS44" s="14" t="s">
        <v>22</v>
      </c>
      <c r="AT44" s="14" t="s">
        <v>22</v>
      </c>
      <c r="AU44" s="246" t="s">
        <v>23</v>
      </c>
      <c r="AV44" s="252"/>
      <c r="AW44" s="252"/>
      <c r="AX44" s="247"/>
      <c r="AY44" s="246" t="s">
        <v>22</v>
      </c>
      <c r="AZ44" s="252"/>
      <c r="BA44" s="252"/>
      <c r="BB44" s="247"/>
      <c r="BC44" s="262"/>
      <c r="BD44" s="263"/>
      <c r="BE44" s="263"/>
      <c r="BF44" s="263"/>
      <c r="BG44" s="263"/>
      <c r="BH44" s="263"/>
      <c r="BI44" s="263"/>
      <c r="BJ44" s="264"/>
      <c r="BK44" s="9"/>
    </row>
    <row r="45" spans="1:63" x14ac:dyDescent="0.25">
      <c r="B45" s="276">
        <v>6</v>
      </c>
      <c r="C45" s="278"/>
      <c r="D45" s="285"/>
      <c r="E45" s="286"/>
      <c r="F45" s="286"/>
      <c r="G45" s="286"/>
      <c r="H45" s="286"/>
      <c r="I45" s="286"/>
      <c r="J45" s="287"/>
      <c r="K45" s="288" t="s">
        <v>27</v>
      </c>
      <c r="L45" s="289"/>
      <c r="M45" s="290"/>
      <c r="N45" s="16" t="s">
        <v>25</v>
      </c>
      <c r="O45" s="16" t="s">
        <v>21</v>
      </c>
      <c r="P45" s="276" t="s">
        <v>23</v>
      </c>
      <c r="Q45" s="277"/>
      <c r="R45" s="277"/>
      <c r="S45" s="278"/>
      <c r="T45" s="276" t="s">
        <v>23</v>
      </c>
      <c r="U45" s="277"/>
      <c r="V45" s="277"/>
      <c r="W45" s="278"/>
      <c r="X45" s="291" t="s">
        <v>73</v>
      </c>
      <c r="Y45" s="292"/>
      <c r="Z45" s="293"/>
      <c r="AA45" s="276" t="s">
        <v>22</v>
      </c>
      <c r="AB45" s="277"/>
      <c r="AC45" s="277"/>
      <c r="AD45" s="277"/>
      <c r="AE45" s="277"/>
      <c r="AF45" s="277"/>
      <c r="AG45" s="277"/>
      <c r="AH45" s="278"/>
      <c r="AI45" s="279" t="s">
        <v>28</v>
      </c>
      <c r="AJ45" s="280"/>
      <c r="AK45" s="280"/>
      <c r="AL45" s="280"/>
      <c r="AM45" s="280"/>
      <c r="AN45" s="280"/>
      <c r="AO45" s="280"/>
      <c r="AP45" s="280"/>
      <c r="AQ45" s="281"/>
      <c r="AR45" s="17" t="s">
        <v>20</v>
      </c>
      <c r="AS45" s="17" t="s">
        <v>22</v>
      </c>
      <c r="AT45" s="17" t="s">
        <v>22</v>
      </c>
      <c r="AU45" s="276" t="s">
        <v>23</v>
      </c>
      <c r="AV45" s="277"/>
      <c r="AW45" s="277"/>
      <c r="AX45" s="278"/>
      <c r="AY45" s="276" t="s">
        <v>22</v>
      </c>
      <c r="AZ45" s="277"/>
      <c r="BA45" s="277"/>
      <c r="BB45" s="278"/>
      <c r="BC45" s="282" t="s">
        <v>29</v>
      </c>
      <c r="BD45" s="283"/>
      <c r="BE45" s="283"/>
      <c r="BF45" s="283"/>
      <c r="BG45" s="283"/>
      <c r="BH45" s="283"/>
      <c r="BI45" s="283"/>
      <c r="BJ45" s="284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" customWidth="1"/>
    <col min="61" max="16384" width="2.77734375" style="23"/>
  </cols>
  <sheetData>
    <row r="1" spans="1:63" ht="24.95" customHeight="1" x14ac:dyDescent="0.25">
      <c r="A1" s="163" t="s">
        <v>34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35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tr">
        <f>IF(表紙!W1="","",表紙!W1)</f>
        <v>基本設計書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57" t="str">
        <f>IF(表紙!A2="","",表紙!A2)</f>
        <v>POSサーバー</v>
      </c>
      <c r="B2" s="158"/>
      <c r="C2" s="158"/>
      <c r="D2" s="158"/>
      <c r="E2" s="158"/>
      <c r="F2" s="158"/>
      <c r="G2" s="158"/>
      <c r="H2" s="158"/>
      <c r="I2" s="158"/>
      <c r="J2" s="159"/>
      <c r="K2" s="157" t="str">
        <f>IF(表紙!K2="","",表紙!K2)</f>
        <v>POSサーバー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9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1"/>
      <c r="AP2" s="72" t="str">
        <f>IF(表紙!AP2="","",表紙!AP2)</f>
        <v>LoiLV</v>
      </c>
      <c r="AQ2" s="73"/>
      <c r="AR2" s="73"/>
      <c r="AS2" s="74"/>
      <c r="AT2" s="101">
        <f>IF(表紙!AT2="","",表紙!AT2)</f>
        <v>45439</v>
      </c>
      <c r="AU2" s="102"/>
      <c r="AV2" s="102"/>
      <c r="AW2" s="102"/>
      <c r="AX2" s="103"/>
      <c r="AY2" s="72" t="str">
        <f>IF(表紙!AY2="","",表紙!AY2)</f>
        <v>LoiLV</v>
      </c>
      <c r="AZ2" s="73"/>
      <c r="BA2" s="73"/>
      <c r="BB2" s="74"/>
      <c r="BC2" s="101">
        <f>IF(表紙!BC2="","",表紙!BC2)</f>
        <v>45455</v>
      </c>
      <c r="BD2" s="102"/>
      <c r="BE2" s="102"/>
      <c r="BF2" s="102"/>
      <c r="BG2" s="103"/>
      <c r="BH2" s="72">
        <f>IF(表紙!BH2="","",表紙!BH2)</f>
        <v>0.13</v>
      </c>
      <c r="BI2" s="73"/>
      <c r="BJ2" s="73"/>
      <c r="BK2" s="74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72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4"/>
      <c r="AP3" s="78"/>
      <c r="AQ3" s="79"/>
      <c r="AR3" s="79"/>
      <c r="AS3" s="80"/>
      <c r="AT3" s="104"/>
      <c r="AU3" s="105"/>
      <c r="AV3" s="105"/>
      <c r="AW3" s="105"/>
      <c r="AX3" s="106"/>
      <c r="AY3" s="78"/>
      <c r="AZ3" s="79"/>
      <c r="BA3" s="79"/>
      <c r="BB3" s="80"/>
      <c r="BC3" s="104"/>
      <c r="BD3" s="105"/>
      <c r="BE3" s="105"/>
      <c r="BF3" s="105"/>
      <c r="BG3" s="106"/>
      <c r="BH3" s="78"/>
      <c r="BI3" s="79"/>
      <c r="BJ3" s="79"/>
      <c r="BK3" s="80"/>
    </row>
    <row r="4" spans="1:63" ht="24.95" customHeight="1" x14ac:dyDescent="0.25">
      <c r="A4" s="163" t="s">
        <v>43</v>
      </c>
      <c r="B4" s="164"/>
      <c r="C4" s="164"/>
      <c r="D4" s="164"/>
      <c r="E4" s="164"/>
      <c r="F4" s="164"/>
      <c r="G4" s="165"/>
      <c r="H4" s="175" t="str">
        <f>IF(表紙!H4="","",表紙!H4)</f>
        <v>37_メガ割設定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7"/>
      <c r="U4" s="163" t="s">
        <v>44</v>
      </c>
      <c r="V4" s="164"/>
      <c r="W4" s="164"/>
      <c r="X4" s="164"/>
      <c r="Y4" s="165"/>
      <c r="Z4" s="175" t="str">
        <f>IF(表紙!Z4="","",表紙!Z4)</f>
        <v>概要設計書</v>
      </c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7"/>
      <c r="AP4" s="178" t="str">
        <f ca="1">MID(CELL("filename",A1),FIND("]",CELL("filename",A1))+1,255)</f>
        <v>テンプレート</v>
      </c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7"/>
    </row>
    <row r="5" spans="1:63" ht="5.0999999999999996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6"/>
    </row>
    <row r="6" spans="1:63" ht="15" customHeight="1" x14ac:dyDescent="0.25">
      <c r="A6" s="27"/>
      <c r="BK6" s="28"/>
    </row>
    <row r="7" spans="1:63" ht="15" customHeight="1" x14ac:dyDescent="0.25">
      <c r="A7" s="27"/>
      <c r="B7" s="59"/>
      <c r="C7" s="6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2"/>
      <c r="U7" s="60"/>
      <c r="V7" s="61"/>
      <c r="W7" s="61"/>
      <c r="X7" s="61"/>
      <c r="Y7" s="61"/>
      <c r="Z7" s="61"/>
      <c r="AA7" s="61"/>
      <c r="AB7" s="61"/>
      <c r="AC7" s="62"/>
      <c r="AD7" s="60"/>
      <c r="AE7" s="61"/>
      <c r="AF7" s="61"/>
      <c r="AG7" s="61"/>
      <c r="AH7" s="61"/>
      <c r="AI7" s="61"/>
      <c r="AJ7" s="61"/>
      <c r="AK7" s="61"/>
      <c r="AL7" s="62"/>
      <c r="AM7" s="60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28"/>
    </row>
    <row r="8" spans="1:63" ht="15" customHeight="1" x14ac:dyDescent="0.25">
      <c r="A8" s="27"/>
      <c r="C8" s="63"/>
      <c r="U8" s="63"/>
      <c r="AD8" s="63"/>
      <c r="AM8" s="63"/>
      <c r="BI8" s="65"/>
    </row>
    <row r="9" spans="1:63" ht="15" customHeight="1" x14ac:dyDescent="0.25">
      <c r="A9" s="27"/>
      <c r="C9" s="63"/>
      <c r="U9" s="63"/>
      <c r="AD9" s="63"/>
      <c r="AM9" s="63"/>
      <c r="BI9" s="65"/>
    </row>
    <row r="10" spans="1:63" ht="15" customHeight="1" x14ac:dyDescent="0.25">
      <c r="A10" s="27"/>
      <c r="C10" s="63"/>
      <c r="U10" s="63"/>
      <c r="AD10" s="63"/>
      <c r="AM10" s="63"/>
      <c r="BI10" s="65"/>
    </row>
    <row r="11" spans="1:63" ht="15" customHeight="1" x14ac:dyDescent="0.25">
      <c r="A11" s="27"/>
      <c r="C11" s="63"/>
      <c r="U11" s="63"/>
      <c r="AD11" s="63"/>
      <c r="AM11" s="63"/>
      <c r="BI11" s="65"/>
    </row>
    <row r="12" spans="1:63" ht="15" customHeight="1" x14ac:dyDescent="0.25">
      <c r="A12" s="27"/>
      <c r="C12" s="63"/>
      <c r="U12" s="63"/>
      <c r="AD12" s="63"/>
      <c r="AM12" s="63"/>
      <c r="AX12" s="23" t="s">
        <v>30</v>
      </c>
      <c r="BI12" s="65"/>
    </row>
    <row r="13" spans="1:63" ht="15" customHeight="1" x14ac:dyDescent="0.25">
      <c r="A13" s="27"/>
      <c r="C13" s="63"/>
      <c r="U13" s="63"/>
      <c r="AD13" s="63"/>
      <c r="AM13" s="63"/>
      <c r="BI13" s="65"/>
    </row>
    <row r="14" spans="1:63" ht="15" customHeight="1" x14ac:dyDescent="0.25">
      <c r="A14" s="27"/>
      <c r="C14" s="63"/>
      <c r="U14" s="63"/>
      <c r="AD14" s="63"/>
      <c r="AM14" s="63"/>
      <c r="BI14" s="65"/>
    </row>
    <row r="15" spans="1:63" ht="15" customHeight="1" x14ac:dyDescent="0.25">
      <c r="A15" s="27"/>
      <c r="C15" s="63"/>
      <c r="U15" s="63"/>
      <c r="AD15" s="63"/>
      <c r="AM15" s="63"/>
      <c r="BI15" s="65"/>
    </row>
    <row r="16" spans="1:63" ht="15" customHeight="1" x14ac:dyDescent="0.25">
      <c r="A16" s="27"/>
      <c r="C16" s="63"/>
      <c r="U16" s="63"/>
      <c r="AD16" s="63"/>
      <c r="AM16" s="63"/>
      <c r="BI16" s="65"/>
    </row>
    <row r="17" spans="1:61" ht="15" customHeight="1" x14ac:dyDescent="0.25">
      <c r="A17" s="27"/>
      <c r="C17" s="63"/>
      <c r="U17" s="63"/>
      <c r="AD17" s="63"/>
      <c r="AM17" s="63"/>
      <c r="BI17" s="65"/>
    </row>
    <row r="18" spans="1:61" ht="15" customHeight="1" x14ac:dyDescent="0.25">
      <c r="A18" s="27"/>
      <c r="C18" s="63"/>
      <c r="U18" s="63"/>
      <c r="AD18" s="63"/>
      <c r="AM18" s="63"/>
      <c r="BI18" s="65"/>
    </row>
    <row r="19" spans="1:61" ht="15" customHeight="1" x14ac:dyDescent="0.25">
      <c r="A19" s="27"/>
      <c r="C19" s="63"/>
      <c r="U19" s="63"/>
      <c r="AD19" s="63"/>
      <c r="AM19" s="63"/>
      <c r="BI19" s="65"/>
    </row>
    <row r="20" spans="1:61" ht="15" customHeight="1" x14ac:dyDescent="0.25">
      <c r="A20" s="27"/>
      <c r="C20" s="63"/>
      <c r="U20" s="63"/>
      <c r="AD20" s="63"/>
      <c r="AM20" s="63"/>
      <c r="BI20" s="65"/>
    </row>
    <row r="21" spans="1:61" ht="15" customHeight="1" x14ac:dyDescent="0.25">
      <c r="A21" s="27"/>
      <c r="C21" s="63"/>
      <c r="U21" s="63"/>
      <c r="AD21" s="63"/>
      <c r="AM21" s="63"/>
      <c r="BI21" s="65"/>
    </row>
    <row r="22" spans="1:61" ht="15" customHeight="1" x14ac:dyDescent="0.25">
      <c r="A22" s="27"/>
      <c r="C22" s="63"/>
      <c r="U22" s="63"/>
      <c r="AD22" s="63"/>
      <c r="AM22" s="63"/>
      <c r="BI22" s="65"/>
    </row>
    <row r="23" spans="1:61" ht="15" customHeight="1" x14ac:dyDescent="0.25">
      <c r="A23" s="27"/>
      <c r="C23" s="63"/>
      <c r="U23" s="63"/>
      <c r="AD23" s="63"/>
      <c r="AM23" s="63"/>
      <c r="BI23" s="65"/>
    </row>
    <row r="24" spans="1:61" ht="15" customHeight="1" x14ac:dyDescent="0.25">
      <c r="A24" s="27"/>
      <c r="C24" s="63"/>
      <c r="U24" s="63"/>
      <c r="AD24" s="63"/>
      <c r="AM24" s="63"/>
      <c r="BI24" s="65"/>
    </row>
    <row r="25" spans="1:61" ht="15" customHeight="1" x14ac:dyDescent="0.25">
      <c r="A25" s="27"/>
      <c r="C25" s="63"/>
      <c r="U25" s="63"/>
      <c r="AD25" s="63"/>
      <c r="AM25" s="63"/>
      <c r="BI25" s="65"/>
    </row>
    <row r="26" spans="1:61" ht="15" customHeight="1" x14ac:dyDescent="0.25">
      <c r="A26" s="27"/>
      <c r="C26" s="63"/>
      <c r="U26" s="63"/>
      <c r="AD26" s="63"/>
      <c r="AM26" s="63"/>
      <c r="BI26" s="65"/>
    </row>
    <row r="27" spans="1:61" ht="15" customHeight="1" x14ac:dyDescent="0.25">
      <c r="A27" s="27"/>
      <c r="C27" s="63"/>
      <c r="U27" s="63"/>
      <c r="AD27" s="63"/>
      <c r="AM27" s="63"/>
      <c r="BI27" s="65"/>
    </row>
    <row r="28" spans="1:61" ht="15" customHeight="1" x14ac:dyDescent="0.25">
      <c r="A28" s="27"/>
      <c r="C28" s="63"/>
      <c r="U28" s="63"/>
      <c r="AD28" s="63"/>
      <c r="AM28" s="63"/>
      <c r="BI28" s="65"/>
    </row>
    <row r="29" spans="1:61" ht="15" customHeight="1" x14ac:dyDescent="0.25">
      <c r="A29" s="27"/>
      <c r="C29" s="63"/>
      <c r="U29" s="63"/>
      <c r="AD29" s="63"/>
      <c r="AM29" s="63"/>
      <c r="BI29" s="65"/>
    </row>
    <row r="30" spans="1:61" ht="15" customHeight="1" x14ac:dyDescent="0.25">
      <c r="A30" s="27"/>
      <c r="C30" s="63"/>
      <c r="U30" s="63"/>
      <c r="AD30" s="63"/>
      <c r="AM30" s="63"/>
      <c r="BI30" s="65"/>
    </row>
    <row r="31" spans="1:61" ht="15" customHeight="1" x14ac:dyDescent="0.25">
      <c r="A31" s="27"/>
      <c r="C31" s="63"/>
      <c r="U31" s="63"/>
      <c r="AD31" s="63"/>
      <c r="AM31" s="63"/>
      <c r="BI31" s="65"/>
    </row>
    <row r="32" spans="1:61" ht="15" customHeight="1" x14ac:dyDescent="0.25">
      <c r="A32" s="27"/>
      <c r="C32" s="63"/>
      <c r="U32" s="63"/>
      <c r="AD32" s="63"/>
      <c r="AM32" s="63"/>
      <c r="BI32" s="65"/>
    </row>
    <row r="33" spans="1:61" ht="15" customHeight="1" x14ac:dyDescent="0.25">
      <c r="A33" s="27"/>
      <c r="C33" s="63"/>
      <c r="U33" s="63"/>
      <c r="AD33" s="63"/>
      <c r="AM33" s="63"/>
      <c r="BI33" s="65"/>
    </row>
    <row r="34" spans="1:61" ht="15" customHeight="1" x14ac:dyDescent="0.25">
      <c r="A34" s="27"/>
      <c r="C34" s="63"/>
      <c r="U34" s="63"/>
      <c r="AD34" s="63"/>
      <c r="AM34" s="63"/>
      <c r="BI34" s="65"/>
    </row>
    <row r="35" spans="1:61" ht="15" customHeight="1" x14ac:dyDescent="0.25">
      <c r="A35" s="27"/>
      <c r="C35" s="63"/>
      <c r="U35" s="63"/>
      <c r="AD35" s="63"/>
      <c r="AM35" s="63"/>
      <c r="BI35" s="65"/>
    </row>
    <row r="36" spans="1:61" ht="15" customHeight="1" x14ac:dyDescent="0.25">
      <c r="A36" s="27"/>
      <c r="C36" s="63"/>
      <c r="U36" s="63"/>
      <c r="AD36" s="63"/>
      <c r="AM36" s="63"/>
      <c r="BI36" s="65"/>
    </row>
    <row r="37" spans="1:61" ht="15" customHeight="1" x14ac:dyDescent="0.25">
      <c r="A37" s="27"/>
      <c r="C37" s="63"/>
      <c r="U37" s="63"/>
      <c r="AD37" s="63"/>
      <c r="AM37" s="63"/>
      <c r="BI37" s="65"/>
    </row>
    <row r="38" spans="1:61" ht="15" customHeight="1" x14ac:dyDescent="0.25">
      <c r="A38" s="27"/>
      <c r="C38" s="63"/>
      <c r="U38" s="63"/>
      <c r="AD38" s="63"/>
      <c r="AM38" s="63"/>
      <c r="BI38" s="65"/>
    </row>
    <row r="39" spans="1:61" ht="15" customHeight="1" x14ac:dyDescent="0.25">
      <c r="A39" s="27"/>
      <c r="C39" s="63"/>
      <c r="U39" s="63"/>
      <c r="AD39" s="63"/>
      <c r="AM39" s="63"/>
      <c r="BI39" s="65"/>
    </row>
    <row r="40" spans="1:61" ht="15" customHeight="1" x14ac:dyDescent="0.25">
      <c r="A40" s="27"/>
      <c r="C40" s="63"/>
      <c r="U40" s="63"/>
      <c r="AD40" s="63"/>
      <c r="AM40" s="63"/>
      <c r="BI40" s="65"/>
    </row>
    <row r="41" spans="1:61" ht="15" customHeight="1" x14ac:dyDescent="0.25">
      <c r="A41" s="27"/>
      <c r="C41" s="63"/>
      <c r="U41" s="63"/>
      <c r="AD41" s="63"/>
      <c r="AM41" s="63"/>
      <c r="BI41" s="65"/>
    </row>
    <row r="42" spans="1:61" ht="15" customHeight="1" x14ac:dyDescent="0.25">
      <c r="A42" s="27"/>
      <c r="C42" s="63"/>
      <c r="U42" s="63"/>
      <c r="AD42" s="63"/>
      <c r="AM42" s="63"/>
      <c r="BI42" s="65"/>
    </row>
    <row r="43" spans="1:61" ht="15" customHeight="1" x14ac:dyDescent="0.25">
      <c r="A43" s="27"/>
      <c r="C43" s="63"/>
      <c r="U43" s="63"/>
      <c r="AD43" s="63"/>
      <c r="AM43" s="63"/>
      <c r="BI43" s="65"/>
    </row>
    <row r="44" spans="1:61" ht="15" customHeight="1" x14ac:dyDescent="0.25">
      <c r="A44" s="27"/>
      <c r="C44" s="63"/>
      <c r="U44" s="63"/>
      <c r="AD44" s="63"/>
      <c r="AM44" s="63"/>
      <c r="BI44" s="65"/>
    </row>
    <row r="45" spans="1:61" ht="15" customHeight="1" x14ac:dyDescent="0.25">
      <c r="A45" s="27"/>
      <c r="C45" s="63"/>
      <c r="U45" s="63"/>
      <c r="AD45" s="63"/>
      <c r="AM45" s="63"/>
      <c r="BI45" s="65"/>
    </row>
    <row r="46" spans="1:61" ht="15" customHeight="1" x14ac:dyDescent="0.25">
      <c r="A46" s="27"/>
      <c r="C46" s="63"/>
      <c r="U46" s="63"/>
      <c r="AD46" s="63"/>
      <c r="AM46" s="63"/>
      <c r="BI46" s="65"/>
    </row>
    <row r="47" spans="1:61" ht="15" customHeight="1" x14ac:dyDescent="0.25">
      <c r="A47" s="27"/>
      <c r="C47" s="63"/>
      <c r="U47" s="63"/>
      <c r="AD47" s="63"/>
      <c r="AM47" s="63"/>
      <c r="BI47" s="65"/>
    </row>
    <row r="48" spans="1:61" ht="15" customHeight="1" x14ac:dyDescent="0.25">
      <c r="A48" s="27"/>
      <c r="C48" s="63"/>
      <c r="U48" s="63"/>
      <c r="AD48" s="63"/>
      <c r="AM48" s="63"/>
      <c r="BI48" s="65"/>
    </row>
    <row r="49" spans="1:63" ht="15" customHeight="1" x14ac:dyDescent="0.25">
      <c r="A49" s="27"/>
      <c r="C49" s="63"/>
      <c r="U49" s="63"/>
      <c r="AD49" s="63"/>
      <c r="AM49" s="63"/>
      <c r="BI49" s="65"/>
    </row>
    <row r="50" spans="1:63" ht="15" customHeight="1" x14ac:dyDescent="0.25">
      <c r="A50" s="27"/>
      <c r="C50" s="63"/>
      <c r="U50" s="63"/>
      <c r="AD50" s="63"/>
      <c r="AM50" s="63"/>
      <c r="BI50" s="65"/>
    </row>
    <row r="51" spans="1:63" ht="15" customHeight="1" x14ac:dyDescent="0.25">
      <c r="A51" s="27"/>
      <c r="C51" s="63"/>
      <c r="U51" s="63"/>
      <c r="AD51" s="63"/>
      <c r="AM51" s="63"/>
      <c r="BI51" s="65"/>
    </row>
    <row r="52" spans="1:63" ht="15" customHeight="1" x14ac:dyDescent="0.25">
      <c r="A52" s="27"/>
      <c r="C52" s="63"/>
      <c r="U52" s="63"/>
      <c r="AD52" s="63"/>
      <c r="AM52" s="63"/>
      <c r="BI52" s="65"/>
    </row>
    <row r="53" spans="1:63" ht="15" customHeight="1" x14ac:dyDescent="0.25">
      <c r="A53" s="27"/>
      <c r="C53" s="63"/>
      <c r="U53" s="63"/>
      <c r="AD53" s="63"/>
      <c r="AM53" s="63"/>
      <c r="BI53" s="65"/>
    </row>
    <row r="54" spans="1:63" ht="15" customHeight="1" x14ac:dyDescent="0.25">
      <c r="A54" s="27"/>
      <c r="C54" s="63"/>
      <c r="U54" s="63"/>
      <c r="AD54" s="63"/>
      <c r="AM54" s="63"/>
      <c r="BI54" s="65"/>
    </row>
    <row r="55" spans="1:63" ht="15" customHeight="1" x14ac:dyDescent="0.25">
      <c r="A55" s="24"/>
      <c r="B55" s="7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70"/>
      <c r="V55" s="25"/>
      <c r="W55" s="25"/>
      <c r="X55" s="25"/>
      <c r="Y55" s="25"/>
      <c r="Z55" s="25"/>
      <c r="AA55" s="25"/>
      <c r="AB55" s="25"/>
      <c r="AC55" s="25"/>
      <c r="AD55" s="70"/>
      <c r="AE55" s="25"/>
      <c r="AF55" s="25"/>
      <c r="AG55" s="25"/>
      <c r="AH55" s="25"/>
      <c r="AI55" s="25"/>
      <c r="AJ55" s="25"/>
      <c r="AK55" s="25"/>
      <c r="AL55" s="25"/>
      <c r="AM55" s="70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69"/>
      <c r="BJ55" s="25"/>
      <c r="BK55" s="26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0559C6-F612-45EF-A49D-D44A17CD9F4E}"/>
</file>

<file path=customXml/itemProps2.xml><?xml version="1.0" encoding="utf-8"?>
<ds:datastoreItem xmlns:ds="http://schemas.openxmlformats.org/officeDocument/2006/customXml" ds:itemID="{153C3C31-1988-4CBD-AB2F-30E9006BFA32}"/>
</file>

<file path=customXml/itemProps3.xml><?xml version="1.0" encoding="utf-8"?>
<ds:datastoreItem xmlns:ds="http://schemas.openxmlformats.org/officeDocument/2006/customXml" ds:itemID="{B3DAFE37-A3DE-468D-ABE9-54DD5F1F9AA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Mai Anh</cp:lastModifiedBy>
  <dcterms:created xsi:type="dcterms:W3CDTF">2015-06-05T18:19:34Z</dcterms:created>
  <dcterms:modified xsi:type="dcterms:W3CDTF">2024-08-13T03:59:47Z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