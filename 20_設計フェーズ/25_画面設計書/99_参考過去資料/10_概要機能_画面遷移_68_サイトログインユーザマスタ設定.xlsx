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1B8552A-DD2B-4A24-8E33-ADD7009C0C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機能概要!$A$1:$BK$150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AT2" i="2"/>
  <c r="K2" i="2"/>
  <c r="A2" i="2"/>
  <c r="W1" i="2"/>
  <c r="AP4" i="7"/>
  <c r="Z4" i="7"/>
  <c r="H4" i="7"/>
  <c r="K2" i="7"/>
  <c r="A2" i="7"/>
  <c r="W1" i="7"/>
  <c r="BM10" i="5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9" i="5"/>
  <c r="BM8" i="5"/>
  <c r="AP4" i="5" a="1"/>
  <c r="AP4" i="5" s="1"/>
  <c r="Z4" i="5"/>
  <c r="H4" i="5"/>
  <c r="K2" i="5"/>
  <c r="A2" i="5"/>
  <c r="W1" i="5"/>
  <c r="BM12" i="8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9" i="8" s="1"/>
  <c r="BM10" i="8" s="1"/>
  <c r="BM11" i="8" s="1"/>
  <c r="BM7" i="8"/>
  <c r="AP4" i="8" a="1"/>
  <c r="AP4" i="8" s="1"/>
  <c r="Z4" i="8"/>
  <c r="H4" i="8"/>
  <c r="AY2" i="8"/>
  <c r="AT2" i="8"/>
  <c r="K2" i="8"/>
  <c r="A2" i="8"/>
  <c r="W1" i="8"/>
  <c r="AP4" i="6" a="1"/>
  <c r="AP4" i="6" s="1"/>
  <c r="Z4" i="6"/>
  <c r="H4" i="6"/>
  <c r="AY2" i="6"/>
  <c r="K2" i="6"/>
  <c r="A2" i="6"/>
  <c r="W1" i="6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C2" i="4"/>
  <c r="AY2" i="4"/>
  <c r="AY2" i="7" s="1"/>
  <c r="AT2" i="4"/>
  <c r="AT2" i="5" s="1"/>
  <c r="AP2" i="4"/>
  <c r="BC2" i="2" l="1"/>
  <c r="BC2" i="3"/>
  <c r="BC2" i="8"/>
  <c r="BC2" i="6"/>
  <c r="BC2" i="7"/>
  <c r="BH2" i="8"/>
  <c r="BH2" i="6"/>
  <c r="BH2" i="5"/>
  <c r="BH2" i="7"/>
  <c r="BH2" i="2"/>
  <c r="BH2" i="3"/>
  <c r="AP2" i="8"/>
  <c r="AP2" i="5"/>
  <c r="AP2" i="7"/>
  <c r="AP2" i="2"/>
  <c r="AP2" i="6"/>
  <c r="BC2" i="5"/>
  <c r="AY2" i="5"/>
  <c r="AY2" i="3"/>
  <c r="AT2" i="7"/>
  <c r="AY2" i="2"/>
</calcChain>
</file>

<file path=xl/sharedStrings.xml><?xml version="1.0" encoding="utf-8"?>
<sst xmlns="http://schemas.openxmlformats.org/spreadsheetml/2006/main" count="197" uniqueCount="79">
  <si>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</si>
  <si>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</si>
  <si>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</si>
  <si>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</si>
  <si>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</si>
  <si>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</si>
  <si>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</si>
  <si>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</si>
  <si>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</si>
  <si>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</si>
  <si>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</si>
  <si>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</si>
  <si>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</si>
  <si>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</si>
  <si>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</si>
  <si>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</si>
  <si>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</si>
  <si>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</si>
  <si>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</si>
  <si>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</si>
  <si>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</si>
  <si>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</si>
  <si>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</si>
  <si>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</si>
  <si>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</si>
  <si>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</si>
  <si>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</si>
  <si>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</si>
  <si>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</si>
  <si>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</si>
  <si>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</si>
  <si>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サイトログインユーザマスタ設定機能では次のことが可能になる。</t>
    </r>
  </si>
  <si>
    <r>
      <rPr>
        <sz val="11"/>
        <color rgb="FF000000"/>
        <rFont val="Meiryo UI"/>
        <family val="2"/>
      </rPr>
      <t>ログインユーザのマスタ情報を表示する。</t>
    </r>
  </si>
  <si>
    <r>
      <rPr>
        <sz val="11"/>
        <color rgb="FF000000"/>
        <rFont val="Meiryo UI"/>
        <family val="2"/>
      </rPr>
      <t>FC6801_ログインユーザマスタ設定情報検索機能</t>
    </r>
  </si>
  <si>
    <r>
      <rPr>
        <sz val="11"/>
        <color rgb="FF000000"/>
        <rFont val="Meiryo UI"/>
        <family val="2"/>
      </rPr>
      <t>以下を含むログインユーザーのマスタ情報を追加・編集・削除する。</t>
    </r>
  </si>
  <si>
    <r>
      <rPr>
        <sz val="11"/>
        <color rgb="FF000000"/>
        <rFont val="Meiryo UI"/>
        <family val="2"/>
      </rPr>
      <t>・ユーザーの基本情報</t>
    </r>
  </si>
  <si>
    <r>
      <rPr>
        <sz val="11"/>
        <color rgb="FF000000"/>
        <rFont val="Meiryo UI"/>
        <family val="2"/>
      </rPr>
      <t>・ユーザー権限</t>
    </r>
  </si>
  <si>
    <r>
      <rPr>
        <sz val="11"/>
        <color rgb="FF000000"/>
        <rFont val="Meiryo UI"/>
        <family val="2"/>
      </rPr>
      <t>・連携店舗</t>
    </r>
  </si>
  <si>
    <r>
      <rPr>
        <sz val="11"/>
        <color rgb="FF000000"/>
        <rFont val="Meiryo UI"/>
        <family val="2"/>
      </rPr>
      <t>68_サイトログインユーザマスタ設定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</si>
  <si>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</si>
  <si>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</si>
  <si>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</si>
  <si>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</si>
  <si>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</si>
  <si>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</si>
  <si>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</si>
  <si>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</si>
  <si>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</si>
  <si>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</si>
  <si>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</si>
  <si>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</si>
  <si>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</si>
  <si>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</si>
  <si>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</si>
  <si>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TinNH</t>
  </si>
  <si>
    <t>68_サイトログインユーザマスタ設定</t>
  </si>
  <si>
    <t>一時レイアウト</t>
  </si>
  <si>
    <t>ログインユーザマスタ設定追加・編集機能</t>
  </si>
  <si>
    <t>ログインユーザマスタ設定DB更新機能</t>
  </si>
  <si>
    <t>　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</si>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</sst>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b/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</cellStyleXfs>
  <cellXfs count="303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6" fillId="0" borderId="0" xfId="0" applyFont="1"/>
    <xf numFmtId="0" fontId="9" fillId="3" borderId="18" xfId="7" applyFont="1" applyFill="1" applyBorder="1">
      <alignment vertical="center"/>
    </xf>
    <xf numFmtId="0" fontId="10" fillId="0" borderId="0" xfId="7" applyFo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8" borderId="36" xfId="6" applyFont="1" applyFill="1" applyBorder="1" applyAlignment="1">
      <alignment vertical="center" wrapText="1"/>
    </xf>
    <xf numFmtId="0" fontId="6" fillId="8" borderId="27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8" borderId="36" xfId="6" applyFont="1" applyFill="1" applyBorder="1" applyAlignment="1">
      <alignment vertical="center"/>
    </xf>
    <xf numFmtId="0" fontId="6" fillId="8" borderId="37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46" xfId="6" applyFont="1" applyFill="1" applyBorder="1" applyAlignment="1">
      <alignment vertical="center" shrinkToFit="1"/>
    </xf>
    <xf numFmtId="0" fontId="6" fillId="8" borderId="48" xfId="6" applyFont="1" applyFill="1" applyBorder="1" applyAlignment="1">
      <alignment vertical="center" shrinkToFit="1"/>
    </xf>
    <xf numFmtId="0" fontId="6" fillId="8" borderId="47" xfId="6" applyFont="1" applyFill="1" applyBorder="1" applyAlignment="1">
      <alignment vertical="center" shrinkToFit="1"/>
    </xf>
    <xf numFmtId="0" fontId="7" fillId="8" borderId="46" xfId="6" applyFont="1" applyFill="1" applyBorder="1" applyAlignment="1">
      <alignment vertical="center" wrapText="1"/>
    </xf>
    <xf numFmtId="0" fontId="7" fillId="8" borderId="48" xfId="6" applyFont="1" applyFill="1" applyBorder="1" applyAlignment="1">
      <alignment vertical="center" wrapText="1"/>
    </xf>
    <xf numFmtId="0" fontId="7" fillId="8" borderId="47" xfId="6" applyFont="1" applyFill="1" applyBorder="1" applyAlignment="1">
      <alignment vertical="center" wrapText="1"/>
    </xf>
    <xf numFmtId="0" fontId="7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49" xfId="6" applyFont="1" applyFill="1" applyBorder="1" applyAlignment="1">
      <alignment vertical="center"/>
    </xf>
    <xf numFmtId="0" fontId="7" fillId="6" borderId="50" xfId="6" applyFont="1" applyFill="1" applyBorder="1" applyAlignment="1">
      <alignment vertical="center"/>
    </xf>
    <xf numFmtId="0" fontId="6" fillId="6" borderId="35" xfId="6" applyFont="1" applyFill="1" applyBorder="1" applyAlignment="1">
      <alignment vertical="center"/>
    </xf>
    <xf numFmtId="0" fontId="6" fillId="0" borderId="38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7" fillId="5" borderId="33" xfId="6" applyFont="1" applyFill="1" applyBorder="1" applyAlignment="1">
      <alignment vertical="center"/>
    </xf>
    <xf numFmtId="0" fontId="6" fillId="5" borderId="34" xfId="6" applyFont="1" applyFill="1" applyBorder="1" applyAlignment="1">
      <alignment vertical="center"/>
    </xf>
    <xf numFmtId="0" fontId="6" fillId="5" borderId="35" xfId="6" applyFont="1" applyFill="1" applyBorder="1" applyAlignment="1">
      <alignment vertical="center"/>
    </xf>
    <xf numFmtId="0" fontId="7" fillId="7" borderId="36" xfId="6" applyFont="1" applyFill="1" applyBorder="1" applyAlignment="1">
      <alignment vertical="center"/>
    </xf>
    <xf numFmtId="0" fontId="6" fillId="7" borderId="37" xfId="6" applyFont="1" applyFill="1" applyBorder="1" applyAlignment="1">
      <alignment vertical="center"/>
    </xf>
    <xf numFmtId="0" fontId="6" fillId="7" borderId="27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5" borderId="33" xfId="6" applyFont="1" applyFill="1" applyBorder="1"/>
    <xf numFmtId="0" fontId="7" fillId="5" borderId="34" xfId="6" applyFont="1" applyFill="1" applyBorder="1"/>
    <xf numFmtId="0" fontId="7" fillId="5" borderId="35" xfId="6" applyFont="1" applyFill="1" applyBorder="1"/>
    <xf numFmtId="0" fontId="7" fillId="5" borderId="36" xfId="6" applyFont="1" applyFill="1" applyBorder="1" applyAlignment="1">
      <alignment vertical="center"/>
    </xf>
    <xf numFmtId="0" fontId="6" fillId="5" borderId="37" xfId="6" applyFont="1" applyFill="1" applyBorder="1" applyAlignment="1">
      <alignment vertical="center"/>
    </xf>
    <xf numFmtId="0" fontId="6" fillId="5" borderId="27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6" borderId="36" xfId="6" applyFont="1" applyFill="1" applyBorder="1" applyAlignment="1">
      <alignment vertical="center" wrapText="1"/>
    </xf>
    <xf numFmtId="0" fontId="6" fillId="6" borderId="2" xfId="6" applyFont="1" applyFill="1" applyBorder="1" applyAlignment="1">
      <alignment vertical="center" wrapText="1"/>
    </xf>
    <xf numFmtId="0" fontId="7" fillId="6" borderId="46" xfId="6" applyFont="1" applyFill="1" applyBorder="1" applyAlignment="1">
      <alignment vertical="center" wrapText="1"/>
    </xf>
    <xf numFmtId="0" fontId="7" fillId="6" borderId="47" xfId="6" applyFont="1" applyFill="1" applyBorder="1" applyAlignment="1">
      <alignment vertical="center" wrapText="1"/>
    </xf>
    <xf numFmtId="0" fontId="7" fillId="6" borderId="27" xfId="6" applyFont="1" applyFill="1" applyBorder="1" applyAlignment="1">
      <alignment vertical="center" wrapText="1"/>
    </xf>
    <xf numFmtId="0" fontId="7" fillId="6" borderId="5" xfId="6" applyFont="1" applyFill="1" applyBorder="1" applyAlignment="1">
      <alignment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43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7" fillId="0" borderId="43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6" fillId="0" borderId="0" xfId="0" applyFont="1"/>
    <xf numFmtId="0" fontId="16" fillId="0" borderId="3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2" borderId="36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2" borderId="0" xfId="0" applyFont="1" applyFill="1"/>
    <xf numFmtId="0" fontId="16" fillId="0" borderId="38" xfId="0" applyFont="1" applyBorder="1"/>
    <xf numFmtId="0" fontId="16" fillId="0" borderId="39" xfId="0" applyFont="1" applyBorder="1"/>
    <xf numFmtId="0" fontId="16" fillId="0" borderId="22" xfId="0" applyFont="1" applyBorder="1"/>
    <xf numFmtId="0" fontId="16" fillId="0" borderId="37" xfId="0" applyFont="1" applyBorder="1"/>
    <xf numFmtId="0" fontId="16" fillId="0" borderId="27" xfId="0" applyFont="1" applyBorder="1"/>
    <xf numFmtId="0" fontId="16" fillId="0" borderId="36" xfId="0" applyFont="1" applyBorder="1"/>
    <xf numFmtId="0" fontId="16" fillId="0" borderId="40" xfId="0" applyFont="1" applyBorder="1"/>
    <xf numFmtId="0" fontId="16" fillId="0" borderId="41" xfId="0" applyFont="1" applyBorder="1"/>
    <xf numFmtId="0" fontId="16" fillId="0" borderId="4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0" fontId="0" fillId="0" borderId="0" xfId="0" applyFont="1"/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4" fontId="0" fillId="0" borderId="36" xfId="0" applyNumberFormat="1" applyFont="1" applyBorder="1" applyAlignment="1">
      <alignment horizontal="center" vertical="center"/>
    </xf>
    <xf numFmtId="14" fontId="0" fillId="0" borderId="37" xfId="0" applyNumberFormat="1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6" fillId="0" borderId="0" xfId="7" applyFont="1">
      <alignment vertical="center"/>
    </xf>
    <xf numFmtId="0" fontId="16" fillId="0" borderId="0" xfId="0" quotePrefix="1" applyFont="1"/>
    <xf numFmtId="0" fontId="16" fillId="0" borderId="1" xfId="7" applyFont="1" applyBorder="1">
      <alignment vertical="center"/>
    </xf>
    <xf numFmtId="0" fontId="16" fillId="0" borderId="0" xfId="7" quotePrefix="1" applyFont="1">
      <alignment vertical="center"/>
    </xf>
    <xf numFmtId="0" fontId="16" fillId="0" borderId="4" xfId="7" applyFont="1" applyBorder="1">
      <alignment vertical="center"/>
    </xf>
    <xf numFmtId="0" fontId="16" fillId="0" borderId="2" xfId="7" applyFont="1" applyBorder="1">
      <alignment vertical="center"/>
    </xf>
    <xf numFmtId="0" fontId="16" fillId="0" borderId="3" xfId="7" applyFont="1" applyBorder="1">
      <alignment vertical="center"/>
    </xf>
    <xf numFmtId="0" fontId="16" fillId="0" borderId="5" xfId="7" applyFont="1" applyBorder="1">
      <alignment vertical="center"/>
    </xf>
    <xf numFmtId="0" fontId="16" fillId="0" borderId="27" xfId="0" applyFont="1" applyBorder="1"/>
    <xf numFmtId="0" fontId="13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6" fillId="0" borderId="18" xfId="0" applyFont="1" applyBorder="1"/>
    <xf numFmtId="0" fontId="16" fillId="0" borderId="19" xfId="7" applyFont="1" applyBorder="1">
      <alignment vertical="center"/>
    </xf>
    <xf numFmtId="0" fontId="16" fillId="0" borderId="19" xfId="0" applyFont="1" applyBorder="1"/>
    <xf numFmtId="0" fontId="16" fillId="3" borderId="18" xfId="7" applyFont="1" applyFill="1" applyBorder="1">
      <alignment vertical="center"/>
    </xf>
    <xf numFmtId="0" fontId="16" fillId="3" borderId="0" xfId="7" applyFont="1" applyFill="1">
      <alignment vertical="center"/>
    </xf>
    <xf numFmtId="0" fontId="16" fillId="3" borderId="19" xfId="7" applyFont="1" applyFill="1" applyBorder="1">
      <alignment vertical="center"/>
    </xf>
    <xf numFmtId="0" fontId="16" fillId="0" borderId="18" xfId="7" applyFont="1" applyBorder="1">
      <alignment vertical="center"/>
    </xf>
    <xf numFmtId="0" fontId="16" fillId="0" borderId="28" xfId="7" applyFont="1" applyBorder="1">
      <alignment vertical="center"/>
    </xf>
    <xf numFmtId="0" fontId="16" fillId="0" borderId="29" xfId="7" applyFont="1" applyBorder="1">
      <alignment vertical="center"/>
    </xf>
    <xf numFmtId="0" fontId="16" fillId="0" borderId="30" xfId="7" applyFont="1" applyBorder="1">
      <alignment vertical="center"/>
    </xf>
    <xf numFmtId="0" fontId="16" fillId="0" borderId="31" xfId="7" applyFont="1" applyBorder="1">
      <alignment vertical="center"/>
    </xf>
    <xf numFmtId="0" fontId="16" fillId="0" borderId="32" xfId="7" applyFont="1" applyBorder="1">
      <alignment vertical="center"/>
    </xf>
    <xf numFmtId="0" fontId="16" fillId="4" borderId="19" xfId="0" applyFont="1" applyFill="1" applyBorder="1"/>
    <xf numFmtId="0" fontId="16" fillId="0" borderId="20" xfId="7" applyFont="1" applyBorder="1">
      <alignment vertical="center"/>
    </xf>
    <xf numFmtId="0" fontId="16" fillId="0" borderId="21" xfId="7" applyFont="1" applyBorder="1">
      <alignment vertical="center"/>
    </xf>
    <xf numFmtId="0" fontId="12" fillId="2" borderId="33" xfId="6" applyFont="1" applyFill="1" applyBorder="1" applyAlignment="1">
      <alignment horizontal="center" vertical="center"/>
    </xf>
    <xf numFmtId="0" fontId="12" fillId="2" borderId="34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4" fillId="0" borderId="36" xfId="6" applyFont="1" applyBorder="1" applyAlignment="1">
      <alignment horizontal="center" vertical="center"/>
    </xf>
    <xf numFmtId="0" fontId="14" fillId="0" borderId="37" xfId="6" applyFont="1" applyBorder="1" applyAlignment="1">
      <alignment horizontal="center" vertical="center"/>
    </xf>
    <xf numFmtId="0" fontId="14" fillId="0" borderId="27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6" fillId="0" borderId="0" xfId="6" applyFont="1" applyAlignment="1">
      <alignment vertical="center"/>
    </xf>
    <xf numFmtId="0" fontId="16" fillId="0" borderId="38" xfId="6" applyFont="1" applyBorder="1" applyAlignment="1">
      <alignment vertical="center" wrapText="1"/>
    </xf>
    <xf numFmtId="0" fontId="16" fillId="0" borderId="39" xfId="6" applyFont="1" applyBorder="1" applyAlignment="1">
      <alignment vertical="center" wrapText="1"/>
    </xf>
    <xf numFmtId="0" fontId="16" fillId="0" borderId="22" xfId="6" applyFont="1" applyBorder="1" applyAlignment="1">
      <alignment vertical="center" wrapText="1"/>
    </xf>
    <xf numFmtId="0" fontId="16" fillId="0" borderId="44" xfId="6" applyFont="1" applyBorder="1" applyAlignment="1">
      <alignment vertical="center"/>
    </xf>
    <xf numFmtId="0" fontId="16" fillId="0" borderId="45" xfId="6" applyFont="1" applyBorder="1" applyAlignment="1">
      <alignment vertical="center"/>
    </xf>
    <xf numFmtId="0" fontId="16" fillId="0" borderId="43" xfId="6" applyFont="1" applyBorder="1" applyAlignment="1">
      <alignment vertical="center"/>
    </xf>
    <xf numFmtId="0" fontId="16" fillId="0" borderId="28" xfId="6" quotePrefix="1" applyFont="1" applyBorder="1" applyAlignment="1">
      <alignment vertical="center"/>
    </xf>
    <xf numFmtId="0" fontId="16" fillId="0" borderId="30" xfId="6" quotePrefix="1" applyFont="1" applyBorder="1" applyAlignment="1">
      <alignment vertical="center"/>
    </xf>
    <xf numFmtId="0" fontId="16" fillId="0" borderId="32" xfId="6" quotePrefix="1" applyFont="1" applyBorder="1" applyAlignment="1">
      <alignment vertical="center"/>
    </xf>
    <xf numFmtId="0" fontId="16" fillId="0" borderId="28" xfId="6" applyFont="1" applyBorder="1" applyAlignment="1">
      <alignment vertical="center"/>
    </xf>
    <xf numFmtId="0" fontId="16" fillId="0" borderId="30" xfId="6" applyFont="1" applyBorder="1" applyAlignment="1">
      <alignment vertical="center"/>
    </xf>
    <xf numFmtId="0" fontId="16" fillId="0" borderId="32" xfId="6" applyFont="1" applyBorder="1" applyAlignment="1">
      <alignment vertical="center"/>
    </xf>
    <xf numFmtId="0" fontId="16" fillId="0" borderId="40" xfId="6" applyFont="1" applyBorder="1" applyAlignment="1">
      <alignment vertical="center"/>
    </xf>
    <xf numFmtId="0" fontId="16" fillId="0" borderId="41" xfId="6" applyFont="1" applyBorder="1" applyAlignment="1">
      <alignment vertical="center"/>
    </xf>
    <xf numFmtId="0" fontId="16" fillId="0" borderId="42" xfId="6" applyFont="1" applyBorder="1" applyAlignment="1">
      <alignment vertical="center"/>
    </xf>
    <xf numFmtId="0" fontId="16" fillId="0" borderId="20" xfId="0" applyFont="1" applyBorder="1"/>
    <xf numFmtId="0" fontId="16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124</xdr:row>
      <xdr:rowOff>0</xdr:rowOff>
    </xdr:from>
    <xdr:to>
      <xdr:col>61</xdr:col>
      <xdr:colOff>0</xdr:colOff>
      <xdr:row>137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0134600" y="23736300"/>
          <a:ext cx="6134100" cy="2476500"/>
        </a:xfrm>
        <a:prstGeom prst="borderCallout1">
          <a:avLst>
            <a:gd name="adj1" fmla="val 45480"/>
            <a:gd name="adj2" fmla="val -144"/>
            <a:gd name="adj3" fmla="val -28083"/>
            <a:gd name="adj4" fmla="val -8039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バリデーションチェック：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・[ユーザーID](0~32): 入力必須。最大長：32。文字、数字、特殊文字入力可能。既存ID入力不可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・[ユーザー名](0~16): 入力必須。最大長：16。文字、数字、特殊文字入力可能。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・[店舗]：入力必須。[権限]が「2:店舗ユーザー」以外の場合、無効になる。無効になった時、値が受信されない。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・[パスワード](6~64) ：入力必須。最小〜最大：6~64。文字、数字、特殊文字入力可能。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・[パスワード(確認)](6~64) ：入力必須。最小〜最大：6~64。文字、数字、特殊文字入力可能。[パスワード]と一致していること。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1882</xdr:colOff>
      <xdr:row>15</xdr:row>
      <xdr:rowOff>187452</xdr:rowOff>
    </xdr:from>
    <xdr:to>
      <xdr:col>5</xdr:col>
      <xdr:colOff>1882</xdr:colOff>
      <xdr:row>19</xdr:row>
      <xdr:rowOff>3048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142</xdr:row>
      <xdr:rowOff>0</xdr:rowOff>
    </xdr:from>
    <xdr:to>
      <xdr:col>61</xdr:col>
      <xdr:colOff>0</xdr:colOff>
      <xdr:row>146</xdr:row>
      <xdr:rowOff>0</xdr:rowOff>
    </xdr:to>
    <xdr:sp macro="" textlink="" fLocksText="0">
      <xdr:nvSpPr>
        <xdr:cNvPr id="265" name="吹き出し: 線 2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10134600" y="27165300"/>
          <a:ext cx="6134100" cy="762000"/>
        </a:xfrm>
        <a:prstGeom prst="borderCallout1">
          <a:avLst>
            <a:gd name="adj1" fmla="val 46335"/>
            <a:gd name="adj2" fmla="val 188"/>
            <a:gd name="adj3" fmla="val 67894"/>
            <a:gd name="adj4" fmla="val -1431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ログインユーザマスタデータ変更保存APIを呼び出す。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・更新があった場合、KN6803_ログインユーザマスタデータ更新機能を実行する。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95</xdr:row>
      <xdr:rowOff>0</xdr:rowOff>
    </xdr:from>
    <xdr:to>
      <xdr:col>61</xdr:col>
      <xdr:colOff>0</xdr:colOff>
      <xdr:row>123</xdr:row>
      <xdr:rowOff>0</xdr:rowOff>
    </xdr:to>
    <xdr:sp macro="" textlink="" fLocksText="0">
      <xdr:nvSpPr>
        <xdr:cNvPr id="178" name="吹き出し: 線 2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10134600" y="18211800"/>
          <a:ext cx="6134100" cy="5334000"/>
        </a:xfrm>
        <a:prstGeom prst="borderCallout1">
          <a:avLst>
            <a:gd name="adj1" fmla="val 26475"/>
            <a:gd name="adj2" fmla="val 1719"/>
            <a:gd name="adj3" fmla="val 13998"/>
            <a:gd name="adj4" fmla="val -1348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初期表示: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・[ユーザーID](0~32)：ユーザーID入力テキストボックス。デフォルト値：ブランク。編集の場合、選択されたレコードのユーザーIDを表示し、無効にする。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・[ユーザー名](0~16): ユーザー名入力テキストボックス。デフォルト値：ブランク。編集の場合、選択したレコードのユーザー名を表示する。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・[権限]: 以下を含む権限選択セレクトボックス。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「0:システム管理者」(新規の場合のデフォルト表示値) 、「1:本部ユーザー」、「2:店舗ユーザー」。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編集の場合、選択されたレコードの権限に従ってデフォルト値を表示する。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・[店舗]: 連携店舗選択セレクトボックス。デフォルト表示値：ブランク。編集の場合、選択されたレコードのstoreidを表示する。([権限]が[2:店舗ユーザー]以外の場合、無効にする )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・[パスワード](6~64) : ログインユーザーのパスワード入力テキストボックス。デフォルト表示値：ブランク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・[パスワード(確認)](6~64)：ログインユーザーの確認パスワード入力テキストボックス。デフォルト表示値：ブランク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画面のロジック: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[店舗]:[権限]が[2:店舗ユーザー]以外の場合、無効になる。無効になった時、値が受信されない。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・[閉じる]ボタン：モダールを閉じて、SC6801画面を表示する。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・[確定]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ボタン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: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ユーザーIDが重複しているか、確認パスワードが一致しているかを確認して、ユーザーIDが重複しているか、確認パスワードが一致していない場合、エラーメッセージを表示する。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入力した情報でユーザーを登録・編集する。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モダールを閉じて、SC6801画面を表示する。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データ変更がない場合、無効になる。</a:t>
          </a:r>
        </a:p>
      </xdr:txBody>
    </xdr:sp>
    <xdr:clientData/>
  </xdr:twoCellAnchor>
  <xdr:twoCellAnchor>
    <xdr:from>
      <xdr:col>38</xdr:col>
      <xdr:colOff>11206</xdr:colOff>
      <xdr:row>36</xdr:row>
      <xdr:rowOff>0</xdr:rowOff>
    </xdr:from>
    <xdr:to>
      <xdr:col>61</xdr:col>
      <xdr:colOff>0</xdr:colOff>
      <xdr:row>39</xdr:row>
      <xdr:rowOff>123265</xdr:rowOff>
    </xdr:to>
    <xdr:sp macro="" textlink="" fLocksText="0">
      <xdr:nvSpPr>
        <xdr:cNvPr id="98" name="吹き出し: 線 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0144125" y="6972300"/>
          <a:ext cx="6124575" cy="695325"/>
        </a:xfrm>
        <a:prstGeom prst="borderCallout1">
          <a:avLst>
            <a:gd name="adj1" fmla="val 77072"/>
            <a:gd name="adj2" fmla="val -358"/>
            <a:gd name="adj3" fmla="val 84942"/>
            <a:gd name="adj4" fmla="val -1414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・「決定」ボタン：MD0101_店舗一覧モダールでユーザーが選択したstoreIdを使用してSC6801_ログインユーザマスタ設定情報検索画面の機能を実行する。</a:t>
          </a:r>
          <a:endParaRPr lang="vi-VN" altLang="ja-JP" sz="1000" b="0" i="0" u="none" baseline="0">
            <a:solidFill>
              <a:schemeClr val="tx1">
                <a:lumMod val="95000"/>
                <a:lumOff val="5000"/>
              </a:schemeClr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・「取消」ボタン：モダールを閉じてSCX101_メインメニュー画面に戻る。</a:t>
          </a:r>
        </a:p>
      </xdr:txBody>
    </xdr:sp>
    <xdr:clientData/>
  </xdr:twoCellAnchor>
  <xdr:twoCellAnchor>
    <xdr:from>
      <xdr:col>38</xdr:col>
      <xdr:colOff>11206</xdr:colOff>
      <xdr:row>27</xdr:row>
      <xdr:rowOff>0</xdr:rowOff>
    </xdr:from>
    <xdr:to>
      <xdr:col>61</xdr:col>
      <xdr:colOff>0</xdr:colOff>
      <xdr:row>32</xdr:row>
      <xdr:rowOff>190499</xdr:rowOff>
    </xdr:to>
    <xdr:sp macro="" textlink="" fLocksText="0">
      <xdr:nvSpPr>
        <xdr:cNvPr id="97" name="吹き出し: 線 2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0144125" y="5257800"/>
          <a:ext cx="6124575" cy="1143000"/>
        </a:xfrm>
        <a:prstGeom prst="borderCallout1">
          <a:avLst>
            <a:gd name="adj1" fmla="val 49730"/>
            <a:gd name="adj2" fmla="val 242"/>
            <a:gd name="adj3" fmla="val 111215"/>
            <a:gd name="adj4" fmla="val -1344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chemeClr val="tx1">
                <a:lumMod val="95000"/>
                <a:lumOff val="5000"/>
              </a:schemeClr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1つ又は複数の店舗選択可能。</a:t>
          </a:r>
        </a:p>
        <a:p>
          <a:pPr>
            <a:defRPr lang="en-US" altLang="ja-JP" sz="1000" b="0" i="0" u="none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顧客が選択した店舗を保存する。SC6801_ログインユーザマスタ設定情報検索画面に戻ると、顧客が選択した店舗を表示する。SCX0101_メインメニュー画面に戻ると、顧客が選択した店舗をクリアする。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11206</xdr:colOff>
      <xdr:row>24</xdr:row>
      <xdr:rowOff>0</xdr:rowOff>
    </xdr:from>
    <xdr:to>
      <xdr:col>61</xdr:col>
      <xdr:colOff>0</xdr:colOff>
      <xdr:row>26</xdr:row>
      <xdr:rowOff>100853</xdr:rowOff>
    </xdr:to>
    <xdr:sp macro="" textlink="" fLocksText="0">
      <xdr:nvSpPr>
        <xdr:cNvPr id="96" name="吹き出し: 線 2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144125" y="4686300"/>
          <a:ext cx="6124575" cy="485775"/>
        </a:xfrm>
        <a:prstGeom prst="borderCallout1">
          <a:avLst>
            <a:gd name="adj1" fmla="val 49927"/>
            <a:gd name="adj2" fmla="val -182"/>
            <a:gd name="adj3" fmla="val 89578"/>
            <a:gd name="adj4" fmla="val -1035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店舗情報をタッチすると、共通機能を実行する。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各ユーザーのstoreIdに基づいて、各店舗の該当店舗一覧を取得する。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41</xdr:row>
      <xdr:rowOff>0</xdr:rowOff>
    </xdr:from>
    <xdr:to>
      <xdr:col>61</xdr:col>
      <xdr:colOff>0</xdr:colOff>
      <xdr:row>90</xdr:row>
      <xdr:rowOff>0</xdr:rowOff>
    </xdr:to>
    <xdr:sp macro="" textlink="" fLocksText="0">
      <xdr:nvSpPr>
        <xdr:cNvPr id="100" name="吹き出し: 線 2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0144125" y="7924800"/>
          <a:ext cx="6124575" cy="9334500"/>
        </a:xfrm>
        <a:prstGeom prst="borderCallout1">
          <a:avLst>
            <a:gd name="adj1" fmla="val 26475"/>
            <a:gd name="adj2" fmla="val 1719"/>
            <a:gd name="adj3" fmla="val 13998"/>
            <a:gd name="adj4" fmla="val -1348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[ユーザーID]: ユーザーIDの条件入力テキストボックス。検索結果一致型を選択するセレクトボックスがある。デフォルト値：ブランク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[ユーザー名]: ユーザー名の条件入力テキストボックス。検索結果一致型を選択するセレクトボックスがある。デフォルト値：ブランク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[権限]: 検索条件としてユーザー権限を選択するセレクトボックス。デフォルト値：ブランク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・ユーザーリストには以下が含まれている。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[ユーザーID]、[ユーザー名]、[権限] ([0:システム管理者]、[1:本部ユーザー]、[2:店舗ユーザー]を含む)、[店舗]、[更新日]、[更新者]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・初回表示：ユーザーリストにはデータが無く、ヘッダーエリアのみが表示される。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・[検索]ボタンと[新規]ボタンを有効にする。他のボタンを無効にする。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・[ユーザーID]と[ユーザー名]のテキストボックスには以下を含む一致検索分がある。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最初一致、部分一致、最終一致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・[ユーザーID]：文字、数字、特殊文字の入力可能 (最大32文字まで入力可能。入力した文字数が32文字を超えた場合、バリデーションチェックのモダールを表示する。)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・[ユーザー名]：文字、数字、特殊文字の入力可能 (最大16文字まで入力可能。入力した文字数が16文字を超えた場合、バリデーションチェックのモダールを表示する。)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・[権限]セレクトボックスには以下の4つの値が含まれている。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[ブランク](全て検索)、[0:システム管理者]、[1:本部ユーザー]、[2:店舗ユーザー]。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・[検索]ボタンをタッチすると、検索条件でKN6801_ログインユーザマスタ情報取得機能を実行する。検索条件を入力しない場合、全て検索する。結果が見つからない場合は通知モーダルを返す。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削除]ボタンをタッチすると、一覧画面で選択されたレコードを一時削除する機能を実行する。一時削除されたレコードが赤い取り消し線で表示される。「削除」ボタンを再度タッチすると、一時削除を取り消す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・[編集]ボタンをタッチすると、 一覧画面で選択されているレコードに従ってMD68023_ログインユーザマスタ設定編集モダールを表示する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編集データ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旧データ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新データ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を含む）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を一覧に表示する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[新データ]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赤色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で表示される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・[新規]ボタンをタッチすると、MD6802_ログインユーザマスタ設定追加モダールを表示する。追加されたレコードデータが赤色で表示される。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・[確定]ボタンをタッチすると、KN6804_ログインユーザマスタ設定保存機能を実行する。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一覧に表示し、一覧で選択されているレコードが青色で表示される。100件を超えた場合、「検索結果が100件を超えたため、最初の100件を表示しています。」メッセージとともに最初の100件を表示する。(メッセージが一覧の右上に赤色で表示される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・以下のように[店舗]のデータを表示する。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‣[権限]の値が「0:システム管理者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」又は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「1:本部ユーザー」の場合、データを表示しない。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‣[権限]の値が「2:店舗ユーザー」の場合、該当する店舗IDと店舗名称を表示する。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7</xdr:col>
      <xdr:colOff>213949</xdr:colOff>
      <xdr:row>11</xdr:row>
      <xdr:rowOff>187452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85775" y="16383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3765</xdr:colOff>
      <xdr:row>12</xdr:row>
      <xdr:rowOff>0</xdr:rowOff>
    </xdr:from>
    <xdr:to>
      <xdr:col>8</xdr:col>
      <xdr:colOff>0</xdr:colOff>
      <xdr:row>15</xdr:row>
      <xdr:rowOff>187452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762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68_サイトログインユーザマスタ設定</a:t>
          </a:r>
        </a:p>
      </xdr:txBody>
    </xdr:sp>
    <xdr:clientData/>
  </xdr:twoCellAnchor>
  <xdr:twoCellAnchor>
    <xdr:from>
      <xdr:col>2</xdr:col>
      <xdr:colOff>3765</xdr:colOff>
      <xdr:row>19</xdr:row>
      <xdr:rowOff>3048</xdr:rowOff>
    </xdr:from>
    <xdr:to>
      <xdr:col>8</xdr:col>
      <xdr:colOff>0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SC6801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ログインユーザマスタ設定情報検索画面</a:t>
          </a:r>
        </a:p>
      </xdr:txBody>
    </xdr:sp>
    <xdr:clientData/>
  </xdr:twoCellAnchor>
  <xdr:twoCellAnchor>
    <xdr:from>
      <xdr:col>2</xdr:col>
      <xdr:colOff>3765</xdr:colOff>
      <xdr:row>31</xdr:row>
      <xdr:rowOff>3048</xdr:rowOff>
    </xdr:from>
    <xdr:to>
      <xdr:col>8</xdr:col>
      <xdr:colOff>0</xdr:colOff>
      <xdr:row>35</xdr:row>
      <xdr:rowOff>0</xdr:rowOff>
    </xdr:to>
    <xdr:sp macro="" textlink="" fLocksText="0">
      <xdr:nvSpPr>
        <xdr:cNvPr id="6" name="正方形/長方形 1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3400" y="601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MD6801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234306</xdr:colOff>
      <xdr:row>23</xdr:row>
      <xdr:rowOff>0</xdr:rowOff>
    </xdr:from>
    <xdr:to>
      <xdr:col>5</xdr:col>
      <xdr:colOff>1882</xdr:colOff>
      <xdr:row>25</xdr:row>
      <xdr:rowOff>13607</xdr:rowOff>
    </xdr:to>
    <xdr:cxnSp macro="">
      <xdr:nvCxnSpPr>
        <xdr:cNvPr id="7" name="直線矢印コネクタ 1010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4" idx="2"/>
          <a:endCxn id="12" idx="0"/>
        </xdr:cNvCxnSpPr>
      </xdr:nvCxnSpPr>
      <xdr:spPr>
        <a:xfrm flipH="1">
          <a:off x="1304925" y="4495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38</xdr:row>
      <xdr:rowOff>2</xdr:rowOff>
    </xdr:from>
    <xdr:to>
      <xdr:col>6</xdr:col>
      <xdr:colOff>1310</xdr:colOff>
      <xdr:row>40</xdr:row>
      <xdr:rowOff>2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28700" y="73533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234305</xdr:colOff>
      <xdr:row>35</xdr:row>
      <xdr:rowOff>0</xdr:rowOff>
    </xdr:from>
    <xdr:to>
      <xdr:col>5</xdr:col>
      <xdr:colOff>1882</xdr:colOff>
      <xdr:row>38</xdr:row>
      <xdr:rowOff>2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6" idx="2"/>
          <a:endCxn id="8" idx="0"/>
        </xdr:cNvCxnSpPr>
      </xdr:nvCxnSpPr>
      <xdr:spPr>
        <a:xfrm flipH="1">
          <a:off x="1304925" y="6781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1882</xdr:colOff>
      <xdr:row>35</xdr:row>
      <xdr:rowOff>0</xdr:rowOff>
    </xdr:from>
    <xdr:to>
      <xdr:col>12</xdr:col>
      <xdr:colOff>7132</xdr:colOff>
      <xdr:row>38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6" idx="2"/>
          <a:endCxn id="26" idx="0"/>
        </xdr:cNvCxnSpPr>
      </xdr:nvCxnSpPr>
      <xdr:spPr>
        <a:xfrm rot="16200000" flipH="1">
          <a:off x="1333500" y="6781800"/>
          <a:ext cx="1876425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25</xdr:row>
      <xdr:rowOff>1</xdr:rowOff>
    </xdr:from>
    <xdr:to>
      <xdr:col>15</xdr:col>
      <xdr:colOff>33622</xdr:colOff>
      <xdr:row>27</xdr:row>
      <xdr:rowOff>0</xdr:rowOff>
    </xdr:to>
    <xdr:sp macro="" textlink="" fLocksText="0">
      <xdr:nvSpPr>
        <xdr:cNvPr id="11" name="四角形: 角を丸くする 110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943225" y="48768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25</xdr:row>
      <xdr:rowOff>13607</xdr:rowOff>
    </xdr:from>
    <xdr:to>
      <xdr:col>7</xdr:col>
      <xdr:colOff>8441</xdr:colOff>
      <xdr:row>26</xdr:row>
      <xdr:rowOff>0</xdr:rowOff>
    </xdr:to>
    <xdr:sp macro="" textlink="" fLocksText="0">
      <xdr:nvSpPr>
        <xdr:cNvPr id="12" name="四角形: 角を丸くする 110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62000" y="4886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1882</xdr:colOff>
      <xdr:row>22</xdr:row>
      <xdr:rowOff>190499</xdr:rowOff>
    </xdr:from>
    <xdr:to>
      <xdr:col>13</xdr:col>
      <xdr:colOff>19361</xdr:colOff>
      <xdr:row>25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2"/>
          <a:endCxn id="11" idx="0"/>
        </xdr:cNvCxnSpPr>
      </xdr:nvCxnSpPr>
      <xdr:spPr>
        <a:xfrm rot="16200000" flipH="1">
          <a:off x="1333500" y="4495800"/>
          <a:ext cx="21526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1882</xdr:colOff>
      <xdr:row>27</xdr:row>
      <xdr:rowOff>1</xdr:rowOff>
    </xdr:from>
    <xdr:to>
      <xdr:col>13</xdr:col>
      <xdr:colOff>19361</xdr:colOff>
      <xdr:row>31</xdr:row>
      <xdr:rowOff>3049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6" idx="0"/>
        </xdr:cNvCxnSpPr>
      </xdr:nvCxnSpPr>
      <xdr:spPr>
        <a:xfrm rot="5400000">
          <a:off x="1333500" y="5257800"/>
          <a:ext cx="215265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234306</xdr:colOff>
      <xdr:row>26</xdr:row>
      <xdr:rowOff>0</xdr:rowOff>
    </xdr:from>
    <xdr:to>
      <xdr:col>5</xdr:col>
      <xdr:colOff>1882</xdr:colOff>
      <xdr:row>31</xdr:row>
      <xdr:rowOff>3048</xdr:rowOff>
    </xdr:to>
    <xdr:cxnSp macro="">
      <xdr:nvCxnSpPr>
        <xdr:cNvPr id="15" name="直線矢印コネクタ 10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2" idx="2"/>
          <a:endCxn id="6" idx="0"/>
        </xdr:cNvCxnSpPr>
      </xdr:nvCxnSpPr>
      <xdr:spPr>
        <a:xfrm>
          <a:off x="1304925" y="50673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3765</xdr:colOff>
      <xdr:row>45</xdr:row>
      <xdr:rowOff>3048</xdr:rowOff>
    </xdr:from>
    <xdr:to>
      <xdr:col>8</xdr:col>
      <xdr:colOff>0</xdr:colOff>
      <xdr:row>49</xdr:row>
      <xdr:rowOff>0</xdr:rowOff>
    </xdr:to>
    <xdr:sp macro="" textlink="" fLocksText="0">
      <xdr:nvSpPr>
        <xdr:cNvPr id="16" name="正方形/長方形 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33400" y="8686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SC6801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ログインユーザマスタ設定情報検索画面</a:t>
          </a:r>
        </a:p>
      </xdr:txBody>
    </xdr:sp>
    <xdr:clientData/>
  </xdr:twoCellAnchor>
  <xdr:twoCellAnchor>
    <xdr:from>
      <xdr:col>7</xdr:col>
      <xdr:colOff>224118</xdr:colOff>
      <xdr:row>51</xdr:row>
      <xdr:rowOff>11208</xdr:rowOff>
    </xdr:from>
    <xdr:to>
      <xdr:col>12</xdr:col>
      <xdr:colOff>11219</xdr:colOff>
      <xdr:row>53</xdr:row>
      <xdr:rowOff>22414</xdr:rowOff>
    </xdr:to>
    <xdr:sp macro="" textlink="" fLocksText="0">
      <xdr:nvSpPr>
        <xdr:cNvPr id="17" name="四角形: 角を丸くする 110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095500" y="9839325"/>
          <a:ext cx="11144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1882</xdr:colOff>
      <xdr:row>49</xdr:row>
      <xdr:rowOff>0</xdr:rowOff>
    </xdr:from>
    <xdr:to>
      <xdr:col>10</xdr:col>
      <xdr:colOff>7</xdr:colOff>
      <xdr:row>51</xdr:row>
      <xdr:rowOff>11208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17" idx="0"/>
        </xdr:cNvCxnSpPr>
      </xdr:nvCxnSpPr>
      <xdr:spPr>
        <a:xfrm rot="16200000" flipH="1">
          <a:off x="1333500" y="9448800"/>
          <a:ext cx="13335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1882</xdr:colOff>
      <xdr:row>49</xdr:row>
      <xdr:rowOff>0</xdr:rowOff>
    </xdr:from>
    <xdr:to>
      <xdr:col>5</xdr:col>
      <xdr:colOff>5603</xdr:colOff>
      <xdr:row>51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6" idx="2"/>
          <a:endCxn id="20" idx="0"/>
        </xdr:cNvCxnSpPr>
      </xdr:nvCxnSpPr>
      <xdr:spPr>
        <a:xfrm>
          <a:off x="1333500" y="9448800"/>
          <a:ext cx="952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11205</xdr:colOff>
      <xdr:row>51</xdr:row>
      <xdr:rowOff>0</xdr:rowOff>
    </xdr:from>
    <xdr:to>
      <xdr:col>7</xdr:col>
      <xdr:colOff>0</xdr:colOff>
      <xdr:row>53</xdr:row>
      <xdr:rowOff>11209</xdr:rowOff>
    </xdr:to>
    <xdr:sp macro="" textlink="" fLocksText="0">
      <xdr:nvSpPr>
        <xdr:cNvPr id="20" name="四角形: 角を丸くする 110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9625" y="9829800"/>
          <a:ext cx="105727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224123</xdr:colOff>
      <xdr:row>51</xdr:row>
      <xdr:rowOff>11206</xdr:rowOff>
    </xdr:from>
    <xdr:to>
      <xdr:col>16</xdr:col>
      <xdr:colOff>212912</xdr:colOff>
      <xdr:row>53</xdr:row>
      <xdr:rowOff>22415</xdr:rowOff>
    </xdr:to>
    <xdr:sp macro="" textlink="" fLocksText="0">
      <xdr:nvSpPr>
        <xdr:cNvPr id="21" name="四角形: 角を丸くする 110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3429000" y="9839325"/>
          <a:ext cx="104775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1881</xdr:colOff>
      <xdr:row>49</xdr:row>
      <xdr:rowOff>0</xdr:rowOff>
    </xdr:from>
    <xdr:to>
      <xdr:col>14</xdr:col>
      <xdr:colOff>218517</xdr:colOff>
      <xdr:row>51</xdr:row>
      <xdr:rowOff>11206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6" idx="2"/>
          <a:endCxn id="21" idx="0"/>
        </xdr:cNvCxnSpPr>
      </xdr:nvCxnSpPr>
      <xdr:spPr>
        <a:xfrm rot="16200000" flipH="1">
          <a:off x="1333500" y="9448800"/>
          <a:ext cx="26193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53</xdr:row>
      <xdr:rowOff>11209</xdr:rowOff>
    </xdr:from>
    <xdr:to>
      <xdr:col>5</xdr:col>
      <xdr:colOff>5603</xdr:colOff>
      <xdr:row>59</xdr:row>
      <xdr:rowOff>179294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55" idx="0"/>
        </xdr:cNvCxnSpPr>
      </xdr:nvCxnSpPr>
      <xdr:spPr>
        <a:xfrm flipH="1">
          <a:off x="1304925" y="10220325"/>
          <a:ext cx="38100" cy="13144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0</xdr:rowOff>
    </xdr:from>
    <xdr:to>
      <xdr:col>3</xdr:col>
      <xdr:colOff>0</xdr:colOff>
      <xdr:row>43</xdr:row>
      <xdr:rowOff>0</xdr:rowOff>
    </xdr:to>
    <xdr:sp macro="" textlink="" fLocksText="0">
      <xdr:nvSpPr>
        <xdr:cNvPr id="24" name="Rectangle: Rounded Corner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66700" y="811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3</xdr:col>
      <xdr:colOff>0</xdr:colOff>
      <xdr:row>42</xdr:row>
      <xdr:rowOff>95250</xdr:rowOff>
    </xdr:from>
    <xdr:to>
      <xdr:col>5</xdr:col>
      <xdr:colOff>1882</xdr:colOff>
      <xdr:row>45</xdr:row>
      <xdr:rowOff>3048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3"/>
          <a:endCxn id="16" idx="0"/>
        </xdr:cNvCxnSpPr>
      </xdr:nvCxnSpPr>
      <xdr:spPr>
        <a:xfrm>
          <a:off x="800100" y="8210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13</xdr:col>
      <xdr:colOff>14262</xdr:colOff>
      <xdr:row>40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933700" y="7353300"/>
          <a:ext cx="5429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40</xdr:row>
      <xdr:rowOff>2</xdr:rowOff>
    </xdr:from>
    <xdr:to>
      <xdr:col>5</xdr:col>
      <xdr:colOff>1882</xdr:colOff>
      <xdr:row>45</xdr:row>
      <xdr:rowOff>3048</xdr:rowOff>
    </xdr:to>
    <xdr:cxnSp macro="">
      <xdr:nvCxnSpPr>
        <xdr:cNvPr id="30" name="直線矢印コネクタ 101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8" idx="2"/>
          <a:endCxn id="16" idx="0"/>
        </xdr:cNvCxnSpPr>
      </xdr:nvCxnSpPr>
      <xdr:spPr>
        <a:xfrm>
          <a:off x="1304925" y="77343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51</xdr:row>
      <xdr:rowOff>0</xdr:rowOff>
    </xdr:from>
    <xdr:to>
      <xdr:col>21</xdr:col>
      <xdr:colOff>224113</xdr:colOff>
      <xdr:row>53</xdr:row>
      <xdr:rowOff>11209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800600" y="9829800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0</xdr:colOff>
      <xdr:row>51</xdr:row>
      <xdr:rowOff>0</xdr:rowOff>
    </xdr:from>
    <xdr:to>
      <xdr:col>26</xdr:col>
      <xdr:colOff>224112</xdr:colOff>
      <xdr:row>53</xdr:row>
      <xdr:rowOff>11209</xdr:rowOff>
    </xdr:to>
    <xdr:sp macro="" textlink="" fLocksText="0">
      <xdr:nvSpPr>
        <xdr:cNvPr id="44" name="四角形: 角を丸くする 110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6134100" y="9829800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1882</xdr:colOff>
      <xdr:row>49</xdr:row>
      <xdr:rowOff>0</xdr:rowOff>
    </xdr:from>
    <xdr:to>
      <xdr:col>19</xdr:col>
      <xdr:colOff>229719</xdr:colOff>
      <xdr:row>51</xdr:row>
      <xdr:rowOff>0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16" idx="2"/>
          <a:endCxn id="43" idx="0"/>
        </xdr:cNvCxnSpPr>
      </xdr:nvCxnSpPr>
      <xdr:spPr>
        <a:xfrm rot="16200000" flipH="1">
          <a:off x="1333500" y="9448800"/>
          <a:ext cx="3962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</xdr:colOff>
      <xdr:row>49</xdr:row>
      <xdr:rowOff>0</xdr:rowOff>
    </xdr:from>
    <xdr:to>
      <xdr:col>24</xdr:col>
      <xdr:colOff>229717</xdr:colOff>
      <xdr:row>51</xdr:row>
      <xdr:rowOff>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16" idx="2"/>
          <a:endCxn id="44" idx="0"/>
        </xdr:cNvCxnSpPr>
      </xdr:nvCxnSpPr>
      <xdr:spPr>
        <a:xfrm rot="16200000" flipH="1">
          <a:off x="1333500" y="9448800"/>
          <a:ext cx="5295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59</xdr:row>
      <xdr:rowOff>179294</xdr:rowOff>
    </xdr:from>
    <xdr:to>
      <xdr:col>7</xdr:col>
      <xdr:colOff>231558</xdr:colOff>
      <xdr:row>63</xdr:row>
      <xdr:rowOff>176246</xdr:rowOff>
    </xdr:to>
    <xdr:sp macro="" textlink="" fLocksText="0">
      <xdr:nvSpPr>
        <xdr:cNvPr id="55" name="四角形: 角を丸くする 3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533400" y="11534775"/>
          <a:ext cx="15621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KN6801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ログインユーザマスタ情報取得機能</a:t>
          </a:r>
        </a:p>
      </xdr:txBody>
    </xdr:sp>
    <xdr:clientData/>
  </xdr:twoCellAnchor>
  <xdr:twoCellAnchor>
    <xdr:from>
      <xdr:col>29</xdr:col>
      <xdr:colOff>0</xdr:colOff>
      <xdr:row>60</xdr:row>
      <xdr:rowOff>25460</xdr:rowOff>
    </xdr:from>
    <xdr:to>
      <xdr:col>34</xdr:col>
      <xdr:colOff>231558</xdr:colOff>
      <xdr:row>64</xdr:row>
      <xdr:rowOff>22412</xdr:rowOff>
    </xdr:to>
    <xdr:sp macro="" textlink="" fLocksText="0">
      <xdr:nvSpPr>
        <xdr:cNvPr id="56" name="フローチャート: 磁気ディスク 194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7734300" y="11572875"/>
          <a:ext cx="1562100" cy="752475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AP6801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ログインユーザマスタ一覧取得 </a:t>
          </a:r>
        </a:p>
      </xdr:txBody>
    </xdr:sp>
    <xdr:clientData/>
  </xdr:twoCellAnchor>
  <xdr:twoCellAnchor>
    <xdr:from>
      <xdr:col>7</xdr:col>
      <xdr:colOff>231558</xdr:colOff>
      <xdr:row>61</xdr:row>
      <xdr:rowOff>177770</xdr:rowOff>
    </xdr:from>
    <xdr:to>
      <xdr:col>29</xdr:col>
      <xdr:colOff>0</xdr:colOff>
      <xdr:row>62</xdr:row>
      <xdr:rowOff>23936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5" idx="3"/>
          <a:endCxn id="56" idx="2"/>
        </xdr:cNvCxnSpPr>
      </xdr:nvCxnSpPr>
      <xdr:spPr>
        <a:xfrm>
          <a:off x="2095500" y="11915775"/>
          <a:ext cx="5638800" cy="3810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63</xdr:row>
      <xdr:rowOff>176246</xdr:rowOff>
    </xdr:from>
    <xdr:to>
      <xdr:col>4</xdr:col>
      <xdr:colOff>233441</xdr:colOff>
      <xdr:row>68</xdr:row>
      <xdr:rowOff>0</xdr:rowOff>
    </xdr:to>
    <xdr:cxnSp macro="">
      <xdr:nvCxnSpPr>
        <xdr:cNvPr id="71" name="直線矢印コネクタ 101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>
          <a:stCxn id="55" idx="2"/>
          <a:endCxn id="80" idx="0"/>
        </xdr:cNvCxnSpPr>
      </xdr:nvCxnSpPr>
      <xdr:spPr>
        <a:xfrm>
          <a:off x="1304925" y="12296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68</xdr:row>
      <xdr:rowOff>0</xdr:rowOff>
    </xdr:from>
    <xdr:to>
      <xdr:col>7</xdr:col>
      <xdr:colOff>231558</xdr:colOff>
      <xdr:row>71</xdr:row>
      <xdr:rowOff>187452</xdr:rowOff>
    </xdr:to>
    <xdr:sp macro="" textlink="" fLocksText="0">
      <xdr:nvSpPr>
        <xdr:cNvPr id="80" name="正方形/長方形 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533400" y="13068300"/>
          <a:ext cx="15621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SC6801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ログインユーザマスタ設定情報検索画面</a:t>
          </a:r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6</xdr:col>
      <xdr:colOff>0</xdr:colOff>
      <xdr:row>75</xdr:row>
      <xdr:rowOff>0</xdr:rowOff>
    </xdr:to>
    <xdr:sp macro="" textlink="" fLocksText="0">
      <xdr:nvSpPr>
        <xdr:cNvPr id="81" name="Rectangle: Rounded Corners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1066800" y="1421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4</xdr:col>
      <xdr:colOff>233441</xdr:colOff>
      <xdr:row>71</xdr:row>
      <xdr:rowOff>187452</xdr:rowOff>
    </xdr:from>
    <xdr:to>
      <xdr:col>5</xdr:col>
      <xdr:colOff>0</xdr:colOff>
      <xdr:row>74</xdr:row>
      <xdr:rowOff>0</xdr:rowOff>
    </xdr:to>
    <xdr:cxnSp macro="">
      <xdr:nvCxnSpPr>
        <xdr:cNvPr id="82" name="直線矢印コネクタ 1010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80" idx="2"/>
          <a:endCxn id="81" idx="0"/>
        </xdr:cNvCxnSpPr>
      </xdr:nvCxnSpPr>
      <xdr:spPr>
        <a:xfrm>
          <a:off x="1304925" y="13830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53</xdr:row>
      <xdr:rowOff>22414</xdr:rowOff>
    </xdr:from>
    <xdr:to>
      <xdr:col>10</xdr:col>
      <xdr:colOff>7</xdr:colOff>
      <xdr:row>54</xdr:row>
      <xdr:rowOff>0</xdr:rowOff>
    </xdr:to>
    <xdr:cxnSp macro="">
      <xdr:nvCxnSpPr>
        <xdr:cNvPr id="84" name="直線矢印コネクタ 1010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17" idx="2"/>
          <a:endCxn id="85" idx="0"/>
        </xdr:cNvCxnSpPr>
      </xdr:nvCxnSpPr>
      <xdr:spPr>
        <a:xfrm flipH="1">
          <a:off x="2667000" y="10229850"/>
          <a:ext cx="0" cy="171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0</xdr:rowOff>
    </xdr:from>
    <xdr:to>
      <xdr:col>11</xdr:col>
      <xdr:colOff>0</xdr:colOff>
      <xdr:row>55</xdr:row>
      <xdr:rowOff>0</xdr:rowOff>
    </xdr:to>
    <xdr:sp macro="" textlink="" fLocksText="0">
      <xdr:nvSpPr>
        <xdr:cNvPr id="85" name="Rectangle: Rounded Corners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4003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68.1</a:t>
          </a:r>
        </a:p>
      </xdr:txBody>
    </xdr:sp>
    <xdr:clientData/>
  </xdr:twoCellAnchor>
  <xdr:twoCellAnchor>
    <xdr:from>
      <xdr:col>14</xdr:col>
      <xdr:colOff>218518</xdr:colOff>
      <xdr:row>53</xdr:row>
      <xdr:rowOff>22415</xdr:rowOff>
    </xdr:from>
    <xdr:to>
      <xdr:col>15</xdr:col>
      <xdr:colOff>0</xdr:colOff>
      <xdr:row>54</xdr:row>
      <xdr:rowOff>0</xdr:rowOff>
    </xdr:to>
    <xdr:cxnSp macro="">
      <xdr:nvCxnSpPr>
        <xdr:cNvPr id="88" name="直線矢印コネクタ 1010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21" idx="2"/>
          <a:endCxn id="89" idx="0"/>
        </xdr:cNvCxnSpPr>
      </xdr:nvCxnSpPr>
      <xdr:spPr>
        <a:xfrm>
          <a:off x="3952875" y="10229850"/>
          <a:ext cx="47625" cy="171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16</xdr:col>
      <xdr:colOff>0</xdr:colOff>
      <xdr:row>55</xdr:row>
      <xdr:rowOff>0</xdr:rowOff>
    </xdr:to>
    <xdr:sp macro="" textlink="" fLocksText="0">
      <xdr:nvSpPr>
        <xdr:cNvPr id="89" name="Rectangle: Rounded Corners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37338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68.2</a:t>
          </a:r>
        </a:p>
      </xdr:txBody>
    </xdr:sp>
    <xdr:clientData/>
  </xdr:twoCellAnchor>
  <xdr:twoCellAnchor>
    <xdr:from>
      <xdr:col>19</xdr:col>
      <xdr:colOff>229719</xdr:colOff>
      <xdr:row>53</xdr:row>
      <xdr:rowOff>11209</xdr:rowOff>
    </xdr:from>
    <xdr:to>
      <xdr:col>20</xdr:col>
      <xdr:colOff>0</xdr:colOff>
      <xdr:row>54</xdr:row>
      <xdr:rowOff>0</xdr:rowOff>
    </xdr:to>
    <xdr:cxnSp macro="">
      <xdr:nvCxnSpPr>
        <xdr:cNvPr id="90" name="直線矢印コネクタ 1010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CxnSpPr>
          <a:stCxn id="43" idx="2"/>
          <a:endCxn id="91" idx="0"/>
        </xdr:cNvCxnSpPr>
      </xdr:nvCxnSpPr>
      <xdr:spPr>
        <a:xfrm>
          <a:off x="5295900" y="10220325"/>
          <a:ext cx="38100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54</xdr:row>
      <xdr:rowOff>0</xdr:rowOff>
    </xdr:from>
    <xdr:to>
      <xdr:col>21</xdr:col>
      <xdr:colOff>0</xdr:colOff>
      <xdr:row>55</xdr:row>
      <xdr:rowOff>0</xdr:rowOff>
    </xdr:to>
    <xdr:sp macro="" textlink="" fLocksText="0">
      <xdr:nvSpPr>
        <xdr:cNvPr id="91" name="Rectangle: Rounded Corners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0673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68.3</a:t>
          </a:r>
        </a:p>
      </xdr:txBody>
    </xdr:sp>
    <xdr:clientData/>
  </xdr:twoCellAnchor>
  <xdr:twoCellAnchor>
    <xdr:from>
      <xdr:col>24</xdr:col>
      <xdr:colOff>229718</xdr:colOff>
      <xdr:row>53</xdr:row>
      <xdr:rowOff>11209</xdr:rowOff>
    </xdr:from>
    <xdr:to>
      <xdr:col>25</xdr:col>
      <xdr:colOff>1</xdr:colOff>
      <xdr:row>54</xdr:row>
      <xdr:rowOff>0</xdr:rowOff>
    </xdr:to>
    <xdr:cxnSp macro="">
      <xdr:nvCxnSpPr>
        <xdr:cNvPr id="92" name="直線矢印コネクタ 1010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44" idx="2"/>
          <a:endCxn id="93" idx="0"/>
        </xdr:cNvCxnSpPr>
      </xdr:nvCxnSpPr>
      <xdr:spPr>
        <a:xfrm>
          <a:off x="6629400" y="10220325"/>
          <a:ext cx="38100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55</xdr:row>
      <xdr:rowOff>0</xdr:rowOff>
    </xdr:to>
    <xdr:sp macro="" textlink="" fLocksText="0">
      <xdr:nvSpPr>
        <xdr:cNvPr id="93" name="Rectangle: Rounded Corners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64008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68.4</a:t>
          </a:r>
        </a:p>
      </xdr:txBody>
    </xdr:sp>
    <xdr:clientData/>
  </xdr:twoCellAnchor>
  <xdr:twoCellAnchor>
    <xdr:from>
      <xdr:col>7</xdr:col>
      <xdr:colOff>213949</xdr:colOff>
      <xdr:row>9</xdr:row>
      <xdr:rowOff>188976</xdr:rowOff>
    </xdr:from>
    <xdr:to>
      <xdr:col>13</xdr:col>
      <xdr:colOff>14262</xdr:colOff>
      <xdr:row>39</xdr:row>
      <xdr:rowOff>0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26" idx="3"/>
          <a:endCxn id="2" idx="3"/>
        </xdr:cNvCxnSpPr>
      </xdr:nvCxnSpPr>
      <xdr:spPr>
        <a:xfrm flipH="1" flipV="1">
          <a:off x="2076450" y="2019300"/>
          <a:ext cx="1400175" cy="5524500"/>
        </a:xfrm>
        <a:prstGeom prst="bentConnector3">
          <a:avLst>
            <a:gd name="adj1" fmla="val -188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24</xdr:row>
      <xdr:rowOff>0</xdr:rowOff>
    </xdr:from>
    <xdr:to>
      <xdr:col>118</xdr:col>
      <xdr:colOff>152400</xdr:colOff>
      <xdr:row>54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02200" y="4686300"/>
          <a:ext cx="140208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56</xdr:row>
      <xdr:rowOff>0</xdr:rowOff>
    </xdr:from>
    <xdr:to>
      <xdr:col>118</xdr:col>
      <xdr:colOff>200025</xdr:colOff>
      <xdr:row>86</xdr:row>
      <xdr:rowOff>19050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02200" y="10782300"/>
          <a:ext cx="14068425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235322</xdr:colOff>
      <xdr:row>95</xdr:row>
      <xdr:rowOff>0</xdr:rowOff>
    </xdr:from>
    <xdr:to>
      <xdr:col>5</xdr:col>
      <xdr:colOff>235322</xdr:colOff>
      <xdr:row>96</xdr:row>
      <xdr:rowOff>0</xdr:rowOff>
    </xdr:to>
    <xdr:sp macro="" textlink="" fLocksText="0">
      <xdr:nvSpPr>
        <xdr:cNvPr id="133" name="Rectangle: Rounded Corners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1038225" y="1821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68.3</a:t>
          </a:r>
        </a:p>
      </xdr:txBody>
    </xdr:sp>
    <xdr:clientData/>
  </xdr:twoCellAnchor>
  <xdr:twoCellAnchor>
    <xdr:from>
      <xdr:col>4</xdr:col>
      <xdr:colOff>233441</xdr:colOff>
      <xdr:row>101</xdr:row>
      <xdr:rowOff>187452</xdr:rowOff>
    </xdr:from>
    <xdr:to>
      <xdr:col>5</xdr:col>
      <xdr:colOff>0</xdr:colOff>
      <xdr:row>105</xdr:row>
      <xdr:rowOff>0</xdr:rowOff>
    </xdr:to>
    <xdr:cxnSp macro="">
      <xdr:nvCxnSpPr>
        <xdr:cNvPr id="134" name="直線矢印コネクタ 1010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CxnSpPr>
          <a:stCxn id="137" idx="2"/>
        </xdr:cNvCxnSpPr>
      </xdr:nvCxnSpPr>
      <xdr:spPr>
        <a:xfrm>
          <a:off x="1304925" y="19545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96</xdr:row>
      <xdr:rowOff>0</xdr:rowOff>
    </xdr:from>
    <xdr:to>
      <xdr:col>4</xdr:col>
      <xdr:colOff>235323</xdr:colOff>
      <xdr:row>98</xdr:row>
      <xdr:rowOff>0</xdr:rowOff>
    </xdr:to>
    <xdr:cxnSp macro="">
      <xdr:nvCxnSpPr>
        <xdr:cNvPr id="136" name="直線矢印コネクタ 1010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33" idx="2"/>
          <a:endCxn id="137" idx="0"/>
        </xdr:cNvCxnSpPr>
      </xdr:nvCxnSpPr>
      <xdr:spPr>
        <a:xfrm flipH="1">
          <a:off x="1304925" y="1840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98</xdr:row>
      <xdr:rowOff>0</xdr:rowOff>
    </xdr:from>
    <xdr:to>
      <xdr:col>7</xdr:col>
      <xdr:colOff>231558</xdr:colOff>
      <xdr:row>101</xdr:row>
      <xdr:rowOff>187452</xdr:rowOff>
    </xdr:to>
    <xdr:sp macro="" textlink="" fLocksText="0">
      <xdr:nvSpPr>
        <xdr:cNvPr id="137" name="正方形/長方形 19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533400" y="18783300"/>
          <a:ext cx="15621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MD_6802_ログインユーザマスタ設定追加・編集モダール 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104</xdr:row>
      <xdr:rowOff>67236</xdr:rowOff>
    </xdr:from>
    <xdr:to>
      <xdr:col>7</xdr:col>
      <xdr:colOff>0</xdr:colOff>
      <xdr:row>107</xdr:row>
      <xdr:rowOff>1</xdr:rowOff>
    </xdr:to>
    <xdr:sp macro="" textlink="" fLocksText="0">
      <xdr:nvSpPr>
        <xdr:cNvPr id="138" name="四角形: 角を丸くする 1101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800100" y="19992975"/>
          <a:ext cx="1066800" cy="5048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104</xdr:row>
      <xdr:rowOff>67236</xdr:rowOff>
    </xdr:from>
    <xdr:to>
      <xdr:col>15</xdr:col>
      <xdr:colOff>0</xdr:colOff>
      <xdr:row>107</xdr:row>
      <xdr:rowOff>1</xdr:rowOff>
    </xdr:to>
    <xdr:sp macro="" textlink="" fLocksText="0">
      <xdr:nvSpPr>
        <xdr:cNvPr id="139" name="四角形: 角を丸くする 1101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2933700" y="19992975"/>
          <a:ext cx="1066800" cy="5048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233440</xdr:colOff>
      <xdr:row>101</xdr:row>
      <xdr:rowOff>187452</xdr:rowOff>
    </xdr:from>
    <xdr:to>
      <xdr:col>12</xdr:col>
      <xdr:colOff>235323</xdr:colOff>
      <xdr:row>104</xdr:row>
      <xdr:rowOff>67236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137" idx="2"/>
          <a:endCxn id="139" idx="0"/>
        </xdr:cNvCxnSpPr>
      </xdr:nvCxnSpPr>
      <xdr:spPr>
        <a:xfrm rot="16200000" flipH="1">
          <a:off x="1304925" y="19545300"/>
          <a:ext cx="2133600" cy="4476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107</xdr:row>
      <xdr:rowOff>1</xdr:rowOff>
    </xdr:from>
    <xdr:to>
      <xdr:col>5</xdr:col>
      <xdr:colOff>0</xdr:colOff>
      <xdr:row>109</xdr:row>
      <xdr:rowOff>11206</xdr:rowOff>
    </xdr:to>
    <xdr:cxnSp macro="">
      <xdr:nvCxnSpPr>
        <xdr:cNvPr id="142" name="直線矢印コネクタ 1010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CxnSpPr>
          <a:stCxn id="138" idx="2"/>
          <a:endCxn id="143" idx="0"/>
        </xdr:cNvCxnSpPr>
      </xdr:nvCxnSpPr>
      <xdr:spPr>
        <a:xfrm>
          <a:off x="1333500" y="20497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109</xdr:row>
      <xdr:rowOff>11206</xdr:rowOff>
    </xdr:from>
    <xdr:to>
      <xdr:col>6</xdr:col>
      <xdr:colOff>0</xdr:colOff>
      <xdr:row>110</xdr:row>
      <xdr:rowOff>11206</xdr:rowOff>
    </xdr:to>
    <xdr:sp macro="" textlink="" fLocksText="0">
      <xdr:nvSpPr>
        <xdr:cNvPr id="143" name="Rectangle: Rounded Corners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1066800" y="20888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12</xdr:col>
      <xdr:colOff>233441</xdr:colOff>
      <xdr:row>107</xdr:row>
      <xdr:rowOff>1</xdr:rowOff>
    </xdr:from>
    <xdr:to>
      <xdr:col>13</xdr:col>
      <xdr:colOff>0</xdr:colOff>
      <xdr:row>109</xdr:row>
      <xdr:rowOff>0</xdr:rowOff>
    </xdr:to>
    <xdr:cxnSp macro="">
      <xdr:nvCxnSpPr>
        <xdr:cNvPr id="144" name="直線矢印コネクタ 1010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139" idx="2"/>
          <a:endCxn id="145" idx="0"/>
        </xdr:cNvCxnSpPr>
      </xdr:nvCxnSpPr>
      <xdr:spPr>
        <a:xfrm flipH="1">
          <a:off x="3438525" y="20497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109</xdr:row>
      <xdr:rowOff>0</xdr:rowOff>
    </xdr:from>
    <xdr:to>
      <xdr:col>15</xdr:col>
      <xdr:colOff>231558</xdr:colOff>
      <xdr:row>112</xdr:row>
      <xdr:rowOff>187452</xdr:rowOff>
    </xdr:to>
    <xdr:sp macro="" textlink="" fLocksText="0">
      <xdr:nvSpPr>
        <xdr:cNvPr id="145" name="四角形: 角を丸くする 3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2667000" y="20878800"/>
          <a:ext cx="15621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KN6802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入力項目バリデーションチェック機能</a:t>
          </a:r>
        </a:p>
      </xdr:txBody>
    </xdr:sp>
    <xdr:clientData/>
  </xdr:twoCellAnchor>
  <xdr:twoCellAnchor>
    <xdr:from>
      <xdr:col>12</xdr:col>
      <xdr:colOff>233441</xdr:colOff>
      <xdr:row>112</xdr:row>
      <xdr:rowOff>187452</xdr:rowOff>
    </xdr:from>
    <xdr:to>
      <xdr:col>13</xdr:col>
      <xdr:colOff>0</xdr:colOff>
      <xdr:row>116</xdr:row>
      <xdr:rowOff>0</xdr:rowOff>
    </xdr:to>
    <xdr:cxnSp macro="">
      <xdr:nvCxnSpPr>
        <xdr:cNvPr id="146" name="直線矢印コネクタ 1010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145" idx="2"/>
          <a:endCxn id="149" idx="0"/>
        </xdr:cNvCxnSpPr>
      </xdr:nvCxnSpPr>
      <xdr:spPr>
        <a:xfrm>
          <a:off x="3438525" y="21640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234137</xdr:colOff>
      <xdr:row>118</xdr:row>
      <xdr:rowOff>0</xdr:rowOff>
    </xdr:from>
    <xdr:to>
      <xdr:col>23</xdr:col>
      <xdr:colOff>230372</xdr:colOff>
      <xdr:row>121</xdr:row>
      <xdr:rowOff>187452</xdr:rowOff>
    </xdr:to>
    <xdr:sp macro="" textlink="" fLocksText="0">
      <xdr:nvSpPr>
        <xdr:cNvPr id="147" name="正方形/長方形 19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4772025" y="22593300"/>
          <a:ext cx="15906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入力エラーバリデーションチェック</a:t>
          </a:r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23</xdr:col>
      <xdr:colOff>0</xdr:colOff>
      <xdr:row>117</xdr:row>
      <xdr:rowOff>0</xdr:rowOff>
    </xdr:to>
    <xdr:sp macro="" textlink="" fLocksText="0">
      <xdr:nvSpPr>
        <xdr:cNvPr id="148" name="Rectangle: Rounded Corners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5067300" y="22212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15</xdr:col>
      <xdr:colOff>0</xdr:colOff>
      <xdr:row>117</xdr:row>
      <xdr:rowOff>0</xdr:rowOff>
    </xdr:to>
    <xdr:sp macro="" textlink="" fLocksText="0">
      <xdr:nvSpPr>
        <xdr:cNvPr id="149" name="Rectangle: Rounded Corners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2933700" y="22212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20</xdr:col>
      <xdr:colOff>232254</xdr:colOff>
      <xdr:row>117</xdr:row>
      <xdr:rowOff>0</xdr:rowOff>
    </xdr:from>
    <xdr:to>
      <xdr:col>21</xdr:col>
      <xdr:colOff>0</xdr:colOff>
      <xdr:row>118</xdr:row>
      <xdr:rowOff>0</xdr:rowOff>
    </xdr:to>
    <xdr:cxnSp macro="">
      <xdr:nvCxnSpPr>
        <xdr:cNvPr id="150" name="直線矢印コネクタ 1010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CxnSpPr>
          <a:stCxn id="148" idx="2"/>
          <a:endCxn id="147" idx="0"/>
        </xdr:cNvCxnSpPr>
      </xdr:nvCxnSpPr>
      <xdr:spPr>
        <a:xfrm flipH="1">
          <a:off x="5562600" y="22402800"/>
          <a:ext cx="381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233440</xdr:colOff>
      <xdr:row>112</xdr:row>
      <xdr:rowOff>187452</xdr:rowOff>
    </xdr:from>
    <xdr:to>
      <xdr:col>20</xdr:col>
      <xdr:colOff>235322</xdr:colOff>
      <xdr:row>116</xdr:row>
      <xdr:rowOff>0</xdr:rowOff>
    </xdr:to>
    <xdr:cxnSp macro="">
      <xdr:nvCxnSpPr>
        <xdr:cNvPr id="151" name="Connector: Elbow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45" idx="2"/>
          <a:endCxn id="148" idx="0"/>
        </xdr:cNvCxnSpPr>
      </xdr:nvCxnSpPr>
      <xdr:spPr>
        <a:xfrm rot="16200000" flipH="1">
          <a:off x="3438525" y="21640800"/>
          <a:ext cx="21336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123</xdr:row>
      <xdr:rowOff>0</xdr:rowOff>
    </xdr:from>
    <xdr:to>
      <xdr:col>21</xdr:col>
      <xdr:colOff>235323</xdr:colOff>
      <xdr:row>124</xdr:row>
      <xdr:rowOff>0</xdr:rowOff>
    </xdr:to>
    <xdr:sp macro="" textlink="" fLocksText="0">
      <xdr:nvSpPr>
        <xdr:cNvPr id="152" name="Rectangle: Rounded Corner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5334000" y="23545800"/>
          <a:ext cx="5048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68.3</a:t>
          </a:r>
        </a:p>
      </xdr:txBody>
    </xdr:sp>
    <xdr:clientData/>
  </xdr:twoCellAnchor>
  <xdr:twoCellAnchor>
    <xdr:from>
      <xdr:col>20</xdr:col>
      <xdr:colOff>232254</xdr:colOff>
      <xdr:row>121</xdr:row>
      <xdr:rowOff>187452</xdr:rowOff>
    </xdr:from>
    <xdr:to>
      <xdr:col>21</xdr:col>
      <xdr:colOff>0</xdr:colOff>
      <xdr:row>123</xdr:row>
      <xdr:rowOff>0</xdr:rowOff>
    </xdr:to>
    <xdr:cxnSp macro="">
      <xdr:nvCxnSpPr>
        <xdr:cNvPr id="153" name="直線矢印コネクタ 1010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147" idx="2"/>
          <a:endCxn id="152" idx="0"/>
        </xdr:cNvCxnSpPr>
      </xdr:nvCxnSpPr>
      <xdr:spPr>
        <a:xfrm>
          <a:off x="5562600" y="23355300"/>
          <a:ext cx="381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14</xdr:col>
      <xdr:colOff>0</xdr:colOff>
      <xdr:row>120</xdr:row>
      <xdr:rowOff>0</xdr:rowOff>
    </xdr:to>
    <xdr:sp macro="" textlink="" fLocksText="0">
      <xdr:nvSpPr>
        <xdr:cNvPr id="154" name="Rectangle: Rounded Corners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>
          <a:off x="3200400" y="2278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13</xdr:col>
      <xdr:colOff>0</xdr:colOff>
      <xdr:row>119</xdr:row>
      <xdr:rowOff>0</xdr:rowOff>
    </xdr:to>
    <xdr:cxnSp macro="">
      <xdr:nvCxnSpPr>
        <xdr:cNvPr id="155" name="直線矢印コネクタ 1010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stCxn id="149" idx="2"/>
          <a:endCxn id="154" idx="0"/>
        </xdr:cNvCxnSpPr>
      </xdr:nvCxnSpPr>
      <xdr:spPr>
        <a:xfrm>
          <a:off x="3467100" y="2240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140</xdr:row>
      <xdr:rowOff>0</xdr:rowOff>
    </xdr:from>
    <xdr:to>
      <xdr:col>5</xdr:col>
      <xdr:colOff>235322</xdr:colOff>
      <xdr:row>141</xdr:row>
      <xdr:rowOff>0</xdr:rowOff>
    </xdr:to>
    <xdr:sp macro="" textlink="" fLocksText="0">
      <xdr:nvSpPr>
        <xdr:cNvPr id="206" name="Rectangle: Rounded Corners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1038225" y="2678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68.4</a:t>
          </a:r>
        </a:p>
      </xdr:txBody>
    </xdr:sp>
    <xdr:clientData/>
  </xdr:twoCellAnchor>
  <xdr:twoCellAnchor>
    <xdr:from>
      <xdr:col>4</xdr:col>
      <xdr:colOff>233441</xdr:colOff>
      <xdr:row>145</xdr:row>
      <xdr:rowOff>187452</xdr:rowOff>
    </xdr:from>
    <xdr:to>
      <xdr:col>5</xdr:col>
      <xdr:colOff>0</xdr:colOff>
      <xdr:row>148</xdr:row>
      <xdr:rowOff>0</xdr:rowOff>
    </xdr:to>
    <xdr:cxnSp macro="">
      <xdr:nvCxnSpPr>
        <xdr:cNvPr id="213" name="直線矢印コネクタ 1010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stCxn id="216" idx="2"/>
          <a:endCxn id="214" idx="0"/>
        </xdr:cNvCxnSpPr>
      </xdr:nvCxnSpPr>
      <xdr:spPr>
        <a:xfrm>
          <a:off x="1304925" y="27927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148</xdr:row>
      <xdr:rowOff>0</xdr:rowOff>
    </xdr:from>
    <xdr:to>
      <xdr:col>6</xdr:col>
      <xdr:colOff>0</xdr:colOff>
      <xdr:row>149</xdr:row>
      <xdr:rowOff>1</xdr:rowOff>
    </xdr:to>
    <xdr:sp macro="" textlink="" fLocksText="0">
      <xdr:nvSpPr>
        <xdr:cNvPr id="214" name="Rectangle: Rounded Corners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1066800" y="2830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2</xdr:col>
      <xdr:colOff>0</xdr:colOff>
      <xdr:row>142</xdr:row>
      <xdr:rowOff>0</xdr:rowOff>
    </xdr:from>
    <xdr:to>
      <xdr:col>7</xdr:col>
      <xdr:colOff>231558</xdr:colOff>
      <xdr:row>145</xdr:row>
      <xdr:rowOff>187452</xdr:rowOff>
    </xdr:to>
    <xdr:sp macro="" textlink="" fLocksText="0">
      <xdr:nvSpPr>
        <xdr:cNvPr id="216" name="四角形: 角を丸くする 3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533400" y="27165300"/>
          <a:ext cx="15621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KN6803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ログインユーザマスタデータ更新機能</a:t>
          </a:r>
        </a:p>
      </xdr:txBody>
    </xdr:sp>
    <xdr:clientData/>
  </xdr:twoCellAnchor>
  <xdr:twoCellAnchor>
    <xdr:from>
      <xdr:col>29</xdr:col>
      <xdr:colOff>0</xdr:colOff>
      <xdr:row>142</xdr:row>
      <xdr:rowOff>56902</xdr:rowOff>
    </xdr:from>
    <xdr:to>
      <xdr:col>34</xdr:col>
      <xdr:colOff>231558</xdr:colOff>
      <xdr:row>146</xdr:row>
      <xdr:rowOff>53854</xdr:rowOff>
    </xdr:to>
    <xdr:sp macro="" textlink="" fLocksText="0">
      <xdr:nvSpPr>
        <xdr:cNvPr id="227" name="フローチャート: 磁気ディスク 194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7734300" y="27222450"/>
          <a:ext cx="15621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AP6802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ログインユーザマスタデータ更新</a:t>
          </a:r>
        </a:p>
      </xdr:txBody>
    </xdr:sp>
    <xdr:clientData/>
  </xdr:twoCellAnchor>
  <xdr:twoCellAnchor>
    <xdr:from>
      <xdr:col>7</xdr:col>
      <xdr:colOff>231558</xdr:colOff>
      <xdr:row>143</xdr:row>
      <xdr:rowOff>188976</xdr:rowOff>
    </xdr:from>
    <xdr:to>
      <xdr:col>29</xdr:col>
      <xdr:colOff>0</xdr:colOff>
      <xdr:row>144</xdr:row>
      <xdr:rowOff>55378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CxnSpPr>
          <a:stCxn id="216" idx="3"/>
          <a:endCxn id="227" idx="2"/>
        </xdr:cNvCxnSpPr>
      </xdr:nvCxnSpPr>
      <xdr:spPr>
        <a:xfrm>
          <a:off x="2095500" y="27546300"/>
          <a:ext cx="5638800" cy="5715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141</xdr:row>
      <xdr:rowOff>0</xdr:rowOff>
    </xdr:from>
    <xdr:to>
      <xdr:col>4</xdr:col>
      <xdr:colOff>235323</xdr:colOff>
      <xdr:row>142</xdr:row>
      <xdr:rowOff>0</xdr:rowOff>
    </xdr:to>
    <xdr:cxnSp macro="">
      <xdr:nvCxnSpPr>
        <xdr:cNvPr id="239" name="直線矢印コネクタ 1010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CxnSpPr>
          <a:stCxn id="206" idx="2"/>
          <a:endCxn id="216" idx="0"/>
        </xdr:cNvCxnSpPr>
      </xdr:nvCxnSpPr>
      <xdr:spPr>
        <a:xfrm flipH="1">
          <a:off x="1304925" y="26974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91</xdr:row>
      <xdr:rowOff>181691</xdr:rowOff>
    </xdr:from>
    <xdr:to>
      <xdr:col>119</xdr:col>
      <xdr:colOff>89758</xdr:colOff>
      <xdr:row>122</xdr:row>
      <xdr:rowOff>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7630775"/>
          <a:ext cx="14220825" cy="572452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123</xdr:row>
      <xdr:rowOff>0</xdr:rowOff>
    </xdr:from>
    <xdr:to>
      <xdr:col>119</xdr:col>
      <xdr:colOff>89758</xdr:colOff>
      <xdr:row>153</xdr:row>
      <xdr:rowOff>8809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23545800"/>
          <a:ext cx="14220825" cy="572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0" customWidth="1"/>
    <col min="61" max="16384" width="2.77734375" style="150"/>
  </cols>
  <sheetData>
    <row r="1" spans="1:63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">
        <v>41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24" t="s">
        <v>47</v>
      </c>
      <c r="B2" s="151"/>
      <c r="C2" s="151"/>
      <c r="D2" s="151"/>
      <c r="E2" s="151"/>
      <c r="F2" s="151"/>
      <c r="G2" s="151"/>
      <c r="H2" s="151"/>
      <c r="I2" s="151"/>
      <c r="J2" s="152"/>
      <c r="K2" s="153" t="s">
        <v>10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改訂履歴!$H$11</f>
        <v>TinNH</v>
      </c>
      <c r="AQ2" s="151"/>
      <c r="AR2" s="151"/>
      <c r="AS2" s="152"/>
      <c r="AT2" s="157">
        <f>改訂履歴!$B$11</f>
        <v>45448</v>
      </c>
      <c r="AU2" s="158"/>
      <c r="AV2" s="158"/>
      <c r="AW2" s="158"/>
      <c r="AX2" s="159"/>
      <c r="AY2" s="153" t="str">
        <f>LOOKUP(2,1/(改訂履歴!H11:H30000&lt;&gt;""),改訂履歴!H11:H30000)</f>
        <v>TinNH</v>
      </c>
      <c r="AZ2" s="151"/>
      <c r="BA2" s="151"/>
      <c r="BB2" s="152"/>
      <c r="BC2" s="157">
        <f>LOOKUP(2,1/(改訂履歴!B11:B30000&lt;&gt;""),改訂履歴!B11:B30000)</f>
        <v>45448</v>
      </c>
      <c r="BD2" s="158"/>
      <c r="BE2" s="158"/>
      <c r="BF2" s="158"/>
      <c r="BG2" s="159"/>
      <c r="BH2" s="160">
        <f>LOOKUP(2,1/(改訂履歴!O11:O30000&lt;&gt;""),改訂履歴!O11:O30000)</f>
        <v>0.1</v>
      </c>
      <c r="BI2" s="161"/>
      <c r="BJ2" s="161"/>
      <c r="BK2" s="162"/>
    </row>
    <row r="3" spans="1:63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72"/>
      <c r="BI3" s="173"/>
      <c r="BJ3" s="173"/>
      <c r="BK3" s="174"/>
    </row>
    <row r="4" spans="1:63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">
        <v>38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">
        <v>11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表紙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3" ht="15" customHeight="1" x14ac:dyDescent="0.25">
      <c r="A6" s="181"/>
      <c r="BK6" s="182"/>
    </row>
    <row r="7" spans="1:63" ht="15" customHeight="1" x14ac:dyDescent="0.25">
      <c r="A7" s="181"/>
      <c r="BK7" s="182"/>
    </row>
    <row r="8" spans="1:63" ht="15" customHeight="1" x14ac:dyDescent="0.25">
      <c r="A8" s="181"/>
      <c r="BK8" s="182"/>
    </row>
    <row r="9" spans="1:63" ht="15" customHeight="1" x14ac:dyDescent="0.25">
      <c r="A9" s="181"/>
      <c r="BK9" s="182"/>
    </row>
    <row r="10" spans="1:63" ht="15" customHeight="1" x14ac:dyDescent="0.25">
      <c r="A10" s="181"/>
      <c r="BK10" s="182"/>
    </row>
    <row r="11" spans="1:63" ht="15" customHeight="1" x14ac:dyDescent="0.25">
      <c r="A11" s="181"/>
      <c r="BK11" s="182"/>
    </row>
    <row r="12" spans="1:63" ht="15" customHeight="1" x14ac:dyDescent="0.25">
      <c r="A12" s="181"/>
      <c r="BK12" s="182"/>
    </row>
    <row r="13" spans="1:63" ht="15" customHeight="1" x14ac:dyDescent="0.25">
      <c r="A13" s="181"/>
      <c r="BK13" s="182"/>
    </row>
    <row r="14" spans="1:63" ht="15" customHeight="1" thickBot="1" x14ac:dyDescent="0.3">
      <c r="A14" s="181"/>
      <c r="BK14" s="182"/>
    </row>
    <row r="15" spans="1:63" ht="15" customHeight="1" thickTop="1" x14ac:dyDescent="0.25">
      <c r="A15" s="181"/>
      <c r="K15" s="183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5"/>
      <c r="BK15" s="182"/>
    </row>
    <row r="16" spans="1:63" ht="15" customHeight="1" x14ac:dyDescent="0.25">
      <c r="A16" s="181"/>
      <c r="K16" s="186"/>
      <c r="L16" s="187" t="s">
        <v>50</v>
      </c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9"/>
      <c r="BK16" s="182"/>
    </row>
    <row r="17" spans="1:63" ht="15" customHeight="1" x14ac:dyDescent="0.25">
      <c r="A17" s="181"/>
      <c r="K17" s="186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9"/>
      <c r="BK17" s="182"/>
    </row>
    <row r="18" spans="1:63" ht="15" customHeight="1" x14ac:dyDescent="0.25">
      <c r="A18" s="181"/>
      <c r="K18" s="186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9"/>
      <c r="BK18" s="182"/>
    </row>
    <row r="19" spans="1:63" ht="15" customHeight="1" x14ac:dyDescent="0.25">
      <c r="A19" s="181"/>
      <c r="K19" s="186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9"/>
      <c r="BK19" s="182"/>
    </row>
    <row r="20" spans="1:63" ht="15" customHeight="1" x14ac:dyDescent="0.25">
      <c r="A20" s="181"/>
      <c r="K20" s="186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9"/>
      <c r="BK20" s="182"/>
    </row>
    <row r="21" spans="1:63" ht="15" customHeight="1" x14ac:dyDescent="0.25">
      <c r="A21" s="181"/>
      <c r="K21" s="186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9"/>
      <c r="BK21" s="182"/>
    </row>
    <row r="22" spans="1:63" ht="15" customHeight="1" thickBot="1" x14ac:dyDescent="0.3">
      <c r="A22" s="181"/>
      <c r="K22" s="186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89"/>
      <c r="BK22" s="182"/>
    </row>
    <row r="23" spans="1:63" ht="15" customHeight="1" x14ac:dyDescent="0.25">
      <c r="A23" s="181"/>
      <c r="K23" s="186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89"/>
      <c r="BK23" s="182"/>
    </row>
    <row r="24" spans="1:63" ht="15" customHeight="1" x14ac:dyDescent="0.25">
      <c r="A24" s="181"/>
      <c r="K24" s="186"/>
      <c r="L24" s="188" t="str">
        <f>K2&amp;"/"&amp;H4&amp;"/"&amp;Z4</f>
        <v>POSサーバー/68_サイトログインユーザマスタ設定/概要設計書</v>
      </c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9"/>
      <c r="BK24" s="182"/>
    </row>
    <row r="25" spans="1:63" ht="15" customHeight="1" x14ac:dyDescent="0.25">
      <c r="A25" s="181"/>
      <c r="K25" s="186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9"/>
      <c r="BK25" s="182"/>
    </row>
    <row r="26" spans="1:63" ht="15" customHeight="1" x14ac:dyDescent="0.25">
      <c r="A26" s="181"/>
      <c r="K26" s="186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9"/>
      <c r="BK26" s="182"/>
    </row>
    <row r="27" spans="1:63" ht="15" customHeight="1" x14ac:dyDescent="0.25">
      <c r="A27" s="181"/>
      <c r="K27" s="186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9"/>
      <c r="BK27" s="182"/>
    </row>
    <row r="28" spans="1:63" ht="15" customHeight="1" x14ac:dyDescent="0.25">
      <c r="A28" s="181"/>
      <c r="K28" s="186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9"/>
      <c r="BK28" s="182"/>
    </row>
    <row r="29" spans="1:63" ht="15" customHeight="1" x14ac:dyDescent="0.25">
      <c r="A29" s="181"/>
      <c r="K29" s="186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9"/>
      <c r="BK29" s="182"/>
    </row>
    <row r="30" spans="1:63" ht="15" customHeight="1" x14ac:dyDescent="0.25">
      <c r="A30" s="181"/>
      <c r="K30" s="186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9"/>
      <c r="BK30" s="182"/>
    </row>
    <row r="31" spans="1:63" ht="15" customHeight="1" x14ac:dyDescent="0.25">
      <c r="A31" s="181"/>
      <c r="K31" s="186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9"/>
      <c r="BK31" s="182"/>
    </row>
    <row r="32" spans="1:63" ht="15" customHeight="1" x14ac:dyDescent="0.25">
      <c r="A32" s="181"/>
      <c r="K32" s="186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9"/>
      <c r="BK32" s="182"/>
    </row>
    <row r="33" spans="1:63" ht="15" customHeight="1" x14ac:dyDescent="0.25">
      <c r="A33" s="181"/>
      <c r="K33" s="186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9"/>
      <c r="BK33" s="182"/>
    </row>
    <row r="34" spans="1:63" ht="15" customHeight="1" x14ac:dyDescent="0.25">
      <c r="A34" s="181"/>
      <c r="K34" s="186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9"/>
      <c r="BK34" s="182"/>
    </row>
    <row r="35" spans="1:63" ht="15" customHeight="1" x14ac:dyDescent="0.25">
      <c r="A35" s="181"/>
      <c r="K35" s="186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9"/>
      <c r="BK35" s="182"/>
    </row>
    <row r="36" spans="1:63" ht="15" customHeight="1" x14ac:dyDescent="0.25">
      <c r="A36" s="181"/>
      <c r="K36" s="186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9"/>
      <c r="BK36" s="182"/>
    </row>
    <row r="37" spans="1:63" ht="15" customHeight="1" thickBot="1" x14ac:dyDescent="0.3">
      <c r="A37" s="181"/>
      <c r="K37" s="192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4"/>
      <c r="BK37" s="182"/>
    </row>
    <row r="38" spans="1:63" ht="15" customHeight="1" thickTop="1" x14ac:dyDescent="0.25">
      <c r="A38" s="181"/>
      <c r="BK38" s="182"/>
    </row>
    <row r="39" spans="1:63" ht="15" customHeight="1" x14ac:dyDescent="0.25">
      <c r="A39" s="181"/>
      <c r="BK39" s="182"/>
    </row>
    <row r="40" spans="1:63" ht="15" customHeight="1" x14ac:dyDescent="0.25">
      <c r="A40" s="181"/>
      <c r="BK40" s="182"/>
    </row>
    <row r="41" spans="1:63" ht="15" customHeight="1" x14ac:dyDescent="0.25">
      <c r="A41" s="181"/>
      <c r="BK41" s="182"/>
    </row>
    <row r="42" spans="1:63" ht="15" customHeight="1" x14ac:dyDescent="0.25">
      <c r="A42" s="181"/>
      <c r="BK42" s="182"/>
    </row>
    <row r="43" spans="1:63" ht="15" customHeight="1" x14ac:dyDescent="0.25">
      <c r="A43" s="181"/>
      <c r="BK43" s="182"/>
    </row>
    <row r="44" spans="1:63" ht="15" customHeight="1" x14ac:dyDescent="0.25">
      <c r="A44" s="181"/>
      <c r="Q44" s="195" t="s">
        <v>51</v>
      </c>
      <c r="R44" s="196"/>
      <c r="S44" s="196"/>
      <c r="T44" s="196"/>
      <c r="U44" s="196"/>
      <c r="V44" s="196"/>
      <c r="W44" s="196"/>
      <c r="X44" s="196"/>
      <c r="Y44" s="196"/>
      <c r="Z44" s="197"/>
      <c r="AA44" s="195" t="s">
        <v>52</v>
      </c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7"/>
      <c r="AQ44" s="195" t="s">
        <v>46</v>
      </c>
      <c r="AR44" s="196"/>
      <c r="AS44" s="196"/>
      <c r="AT44" s="196"/>
      <c r="AU44" s="197"/>
      <c r="BK44" s="182"/>
    </row>
    <row r="45" spans="1:63" ht="15" customHeight="1" x14ac:dyDescent="0.25">
      <c r="A45" s="181"/>
      <c r="Q45" s="198"/>
      <c r="R45" s="199"/>
      <c r="S45" s="199"/>
      <c r="T45" s="199"/>
      <c r="U45" s="199"/>
      <c r="V45" s="199"/>
      <c r="W45" s="199"/>
      <c r="X45" s="199"/>
      <c r="Y45" s="199"/>
      <c r="Z45" s="200"/>
      <c r="AA45" s="198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200"/>
      <c r="AQ45" s="198"/>
      <c r="AR45" s="199"/>
      <c r="AS45" s="199"/>
      <c r="AT45" s="199"/>
      <c r="AU45" s="200"/>
      <c r="BK45" s="182"/>
    </row>
    <row r="46" spans="1:63" ht="15" customHeight="1" x14ac:dyDescent="0.25">
      <c r="A46" s="181"/>
      <c r="Q46" s="153"/>
      <c r="R46" s="151"/>
      <c r="S46" s="151"/>
      <c r="T46" s="151"/>
      <c r="U46" s="151"/>
      <c r="V46" s="151"/>
      <c r="W46" s="151"/>
      <c r="X46" s="151"/>
      <c r="Y46" s="151"/>
      <c r="Z46" s="152"/>
      <c r="AA46" s="153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2"/>
      <c r="AQ46" s="153"/>
      <c r="AR46" s="151"/>
      <c r="AS46" s="151"/>
      <c r="AT46" s="151"/>
      <c r="AU46" s="152"/>
      <c r="BK46" s="182"/>
    </row>
    <row r="47" spans="1:63" ht="15" customHeight="1" x14ac:dyDescent="0.25">
      <c r="A47" s="181"/>
      <c r="Q47" s="201"/>
      <c r="R47" s="202"/>
      <c r="S47" s="202"/>
      <c r="T47" s="202"/>
      <c r="U47" s="202"/>
      <c r="V47" s="202"/>
      <c r="W47" s="202"/>
      <c r="X47" s="202"/>
      <c r="Y47" s="202"/>
      <c r="Z47" s="203"/>
      <c r="AA47" s="201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3"/>
      <c r="AQ47" s="201"/>
      <c r="AR47" s="202"/>
      <c r="AS47" s="202"/>
      <c r="AT47" s="202"/>
      <c r="AU47" s="203"/>
      <c r="BK47" s="182"/>
    </row>
    <row r="48" spans="1:63" ht="15" customHeight="1" x14ac:dyDescent="0.25">
      <c r="A48" s="181"/>
      <c r="Q48" s="201"/>
      <c r="R48" s="202"/>
      <c r="S48" s="202"/>
      <c r="T48" s="202"/>
      <c r="U48" s="202"/>
      <c r="V48" s="202"/>
      <c r="W48" s="202"/>
      <c r="X48" s="202"/>
      <c r="Y48" s="202"/>
      <c r="Z48" s="203"/>
      <c r="AA48" s="201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3"/>
      <c r="AQ48" s="201"/>
      <c r="AR48" s="202"/>
      <c r="AS48" s="202"/>
      <c r="AT48" s="202"/>
      <c r="AU48" s="203"/>
      <c r="BK48" s="182"/>
    </row>
    <row r="49" spans="1:63" ht="15" customHeight="1" x14ac:dyDescent="0.25">
      <c r="A49" s="181"/>
      <c r="Q49" s="163"/>
      <c r="R49" s="164"/>
      <c r="S49" s="164"/>
      <c r="T49" s="164"/>
      <c r="U49" s="164"/>
      <c r="V49" s="164"/>
      <c r="W49" s="164"/>
      <c r="X49" s="164"/>
      <c r="Y49" s="164"/>
      <c r="Z49" s="165"/>
      <c r="AA49" s="163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5"/>
      <c r="AQ49" s="163"/>
      <c r="AR49" s="164"/>
      <c r="AS49" s="164"/>
      <c r="AT49" s="164"/>
      <c r="AU49" s="165"/>
      <c r="BK49" s="182"/>
    </row>
    <row r="50" spans="1:63" ht="15" customHeight="1" x14ac:dyDescent="0.25">
      <c r="A50" s="181"/>
      <c r="BK50" s="182"/>
    </row>
    <row r="51" spans="1:63" ht="15" customHeight="1" x14ac:dyDescent="0.25">
      <c r="A51" s="181"/>
      <c r="BK51" s="182"/>
    </row>
    <row r="52" spans="1:63" ht="15" customHeight="1" x14ac:dyDescent="0.25">
      <c r="A52" s="181"/>
      <c r="BK52" s="182"/>
    </row>
    <row r="53" spans="1:63" ht="15" customHeight="1" x14ac:dyDescent="0.25">
      <c r="A53" s="181"/>
      <c r="BK53" s="182"/>
    </row>
    <row r="54" spans="1:63" ht="15" customHeight="1" x14ac:dyDescent="0.25">
      <c r="A54" s="181"/>
      <c r="BK54" s="182"/>
    </row>
    <row r="55" spans="1:63" ht="15" customHeight="1" x14ac:dyDescent="0.25">
      <c r="A55" s="178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8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0" customWidth="1"/>
    <col min="61" max="16384" width="2.77734375" style="150"/>
  </cols>
  <sheetData>
    <row r="1" spans="1:63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基本設計書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153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3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3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3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tr">
        <f>IF(表紙!H4="","",表紙!H4)</f>
        <v>68_サイトログインユーザマスタ設定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改訂履歴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3" ht="15" customHeight="1" x14ac:dyDescent="0.25">
      <c r="A6" s="181"/>
      <c r="BK6" s="182"/>
    </row>
    <row r="7" spans="1:63" ht="15" customHeight="1" x14ac:dyDescent="0.25">
      <c r="A7" s="181"/>
      <c r="BK7" s="182"/>
    </row>
    <row r="8" spans="1:63" ht="15" customHeight="1" x14ac:dyDescent="0.25">
      <c r="A8" s="181"/>
      <c r="B8" s="150" t="s">
        <v>9</v>
      </c>
      <c r="BK8" s="182"/>
    </row>
    <row r="9" spans="1:63" ht="15" customHeight="1" x14ac:dyDescent="0.25">
      <c r="A9" s="181"/>
      <c r="BK9" s="182"/>
    </row>
    <row r="10" spans="1:63" ht="15" customHeight="1" x14ac:dyDescent="0.25">
      <c r="A10" s="181"/>
      <c r="B10" s="204" t="s">
        <v>45</v>
      </c>
      <c r="C10" s="204"/>
      <c r="D10" s="204"/>
      <c r="E10" s="204"/>
      <c r="F10" s="204"/>
      <c r="G10" s="204"/>
      <c r="H10" s="204" t="s">
        <v>44</v>
      </c>
      <c r="I10" s="204"/>
      <c r="J10" s="204"/>
      <c r="K10" s="204"/>
      <c r="L10" s="204"/>
      <c r="M10" s="204"/>
      <c r="N10" s="204"/>
      <c r="O10" s="204" t="s">
        <v>46</v>
      </c>
      <c r="P10" s="204"/>
      <c r="Q10" s="204"/>
      <c r="R10" s="204"/>
      <c r="S10" s="204" t="s">
        <v>53</v>
      </c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 t="s">
        <v>51</v>
      </c>
      <c r="AY10" s="204"/>
      <c r="AZ10" s="204"/>
      <c r="BA10" s="204"/>
      <c r="BB10" s="204"/>
      <c r="BC10" s="204"/>
      <c r="BD10" s="204" t="s">
        <v>52</v>
      </c>
      <c r="BE10" s="204"/>
      <c r="BF10" s="204"/>
      <c r="BG10" s="204"/>
      <c r="BH10" s="204"/>
      <c r="BI10" s="204"/>
      <c r="BJ10" s="204"/>
      <c r="BK10" s="182"/>
    </row>
    <row r="11" spans="1:63" ht="15" customHeight="1" x14ac:dyDescent="0.25">
      <c r="A11" s="181"/>
      <c r="B11" s="157">
        <v>45448</v>
      </c>
      <c r="C11" s="151"/>
      <c r="D11" s="151"/>
      <c r="E11" s="151"/>
      <c r="F11" s="151"/>
      <c r="G11" s="152"/>
      <c r="H11" s="24" t="s">
        <v>54</v>
      </c>
      <c r="I11" s="151"/>
      <c r="J11" s="151"/>
      <c r="K11" s="151"/>
      <c r="L11" s="151"/>
      <c r="M11" s="151"/>
      <c r="N11" s="152"/>
      <c r="O11" s="153">
        <v>0.1</v>
      </c>
      <c r="P11" s="151"/>
      <c r="Q11" s="151"/>
      <c r="R11" s="151"/>
      <c r="S11" s="205" t="s">
        <v>15</v>
      </c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7"/>
      <c r="AX11" s="208"/>
      <c r="AY11" s="208"/>
      <c r="AZ11" s="208"/>
      <c r="BA11" s="208"/>
      <c r="BB11" s="208"/>
      <c r="BC11" s="209"/>
      <c r="BD11" s="210"/>
      <c r="BE11" s="208"/>
      <c r="BF11" s="208"/>
      <c r="BG11" s="208"/>
      <c r="BH11" s="208"/>
      <c r="BI11" s="208"/>
      <c r="BJ11" s="209"/>
      <c r="BK11" s="182"/>
    </row>
    <row r="12" spans="1:63" ht="15" customHeight="1" x14ac:dyDescent="0.25">
      <c r="A12" s="181"/>
      <c r="B12" s="163"/>
      <c r="C12" s="164"/>
      <c r="D12" s="164"/>
      <c r="E12" s="164"/>
      <c r="F12" s="164"/>
      <c r="G12" s="165"/>
      <c r="H12" s="163"/>
      <c r="I12" s="164"/>
      <c r="J12" s="164"/>
      <c r="K12" s="164"/>
      <c r="L12" s="164"/>
      <c r="M12" s="164"/>
      <c r="N12" s="165"/>
      <c r="O12" s="163"/>
      <c r="P12" s="164"/>
      <c r="Q12" s="164"/>
      <c r="R12" s="164"/>
      <c r="S12" s="211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3"/>
      <c r="AX12" s="214"/>
      <c r="AY12" s="214"/>
      <c r="AZ12" s="214"/>
      <c r="BA12" s="214"/>
      <c r="BB12" s="214"/>
      <c r="BC12" s="215"/>
      <c r="BD12" s="216"/>
      <c r="BE12" s="214"/>
      <c r="BF12" s="214"/>
      <c r="BG12" s="214"/>
      <c r="BH12" s="214"/>
      <c r="BI12" s="214"/>
      <c r="BJ12" s="215"/>
      <c r="BK12" s="182"/>
    </row>
    <row r="13" spans="1:63" ht="15" customHeight="1" x14ac:dyDescent="0.25">
      <c r="A13" s="181"/>
      <c r="B13" s="157"/>
      <c r="C13" s="151"/>
      <c r="D13" s="151"/>
      <c r="E13" s="151"/>
      <c r="F13" s="151"/>
      <c r="G13" s="152"/>
      <c r="H13" s="153"/>
      <c r="I13" s="151"/>
      <c r="J13" s="151"/>
      <c r="K13" s="151"/>
      <c r="L13" s="151"/>
      <c r="M13" s="151"/>
      <c r="N13" s="152"/>
      <c r="O13" s="153"/>
      <c r="P13" s="151"/>
      <c r="Q13" s="151"/>
      <c r="R13" s="151"/>
      <c r="S13" s="205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7"/>
      <c r="AX13" s="208"/>
      <c r="AY13" s="208"/>
      <c r="AZ13" s="208"/>
      <c r="BA13" s="208"/>
      <c r="BB13" s="208"/>
      <c r="BC13" s="209"/>
      <c r="BD13" s="210"/>
      <c r="BE13" s="208"/>
      <c r="BF13" s="208"/>
      <c r="BG13" s="208"/>
      <c r="BH13" s="208"/>
      <c r="BI13" s="208"/>
      <c r="BJ13" s="209"/>
      <c r="BK13" s="182"/>
    </row>
    <row r="14" spans="1:63" ht="15" customHeight="1" x14ac:dyDescent="0.25">
      <c r="A14" s="181"/>
      <c r="B14" s="163"/>
      <c r="C14" s="164"/>
      <c r="D14" s="164"/>
      <c r="E14" s="164"/>
      <c r="F14" s="164"/>
      <c r="G14" s="165"/>
      <c r="H14" s="163"/>
      <c r="I14" s="164"/>
      <c r="J14" s="164"/>
      <c r="K14" s="164"/>
      <c r="L14" s="164"/>
      <c r="M14" s="164"/>
      <c r="N14" s="165"/>
      <c r="O14" s="163"/>
      <c r="P14" s="164"/>
      <c r="Q14" s="164"/>
      <c r="R14" s="164"/>
      <c r="S14" s="211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3"/>
      <c r="AX14" s="214"/>
      <c r="AY14" s="214"/>
      <c r="AZ14" s="214"/>
      <c r="BA14" s="214"/>
      <c r="BB14" s="214"/>
      <c r="BC14" s="215"/>
      <c r="BD14" s="216"/>
      <c r="BE14" s="214"/>
      <c r="BF14" s="214"/>
      <c r="BG14" s="214"/>
      <c r="BH14" s="214"/>
      <c r="BI14" s="214"/>
      <c r="BJ14" s="215"/>
      <c r="BK14" s="182"/>
    </row>
    <row r="15" spans="1:63" ht="15" customHeight="1" x14ac:dyDescent="0.25">
      <c r="A15" s="181"/>
      <c r="B15" s="153"/>
      <c r="C15" s="151"/>
      <c r="D15" s="151"/>
      <c r="E15" s="151"/>
      <c r="F15" s="151"/>
      <c r="G15" s="152"/>
      <c r="H15" s="153"/>
      <c r="I15" s="151"/>
      <c r="J15" s="151"/>
      <c r="K15" s="151"/>
      <c r="L15" s="151"/>
      <c r="M15" s="151"/>
      <c r="N15" s="152"/>
      <c r="O15" s="153"/>
      <c r="P15" s="151"/>
      <c r="Q15" s="151"/>
      <c r="R15" s="151"/>
      <c r="S15" s="205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7"/>
      <c r="AX15" s="208"/>
      <c r="AY15" s="208"/>
      <c r="AZ15" s="208"/>
      <c r="BA15" s="208"/>
      <c r="BB15" s="208"/>
      <c r="BC15" s="209"/>
      <c r="BD15" s="210"/>
      <c r="BE15" s="208"/>
      <c r="BF15" s="208"/>
      <c r="BG15" s="208"/>
      <c r="BH15" s="208"/>
      <c r="BI15" s="208"/>
      <c r="BJ15" s="209"/>
      <c r="BK15" s="182"/>
    </row>
    <row r="16" spans="1:63" ht="15" customHeight="1" x14ac:dyDescent="0.25">
      <c r="A16" s="181"/>
      <c r="B16" s="163"/>
      <c r="C16" s="164"/>
      <c r="D16" s="164"/>
      <c r="E16" s="164"/>
      <c r="F16" s="164"/>
      <c r="G16" s="165"/>
      <c r="H16" s="163"/>
      <c r="I16" s="164"/>
      <c r="J16" s="164"/>
      <c r="K16" s="164"/>
      <c r="L16" s="164"/>
      <c r="M16" s="164"/>
      <c r="N16" s="165"/>
      <c r="O16" s="163"/>
      <c r="P16" s="164"/>
      <c r="Q16" s="164"/>
      <c r="R16" s="164"/>
      <c r="S16" s="211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3"/>
      <c r="AX16" s="214"/>
      <c r="AY16" s="214"/>
      <c r="AZ16" s="214"/>
      <c r="BA16" s="214"/>
      <c r="BB16" s="214"/>
      <c r="BC16" s="215"/>
      <c r="BD16" s="216"/>
      <c r="BE16" s="214"/>
      <c r="BF16" s="214"/>
      <c r="BG16" s="214"/>
      <c r="BH16" s="214"/>
      <c r="BI16" s="214"/>
      <c r="BJ16" s="215"/>
      <c r="BK16" s="182"/>
    </row>
    <row r="17" spans="1:63" ht="15" customHeight="1" x14ac:dyDescent="0.25">
      <c r="A17" s="181"/>
      <c r="B17" s="153"/>
      <c r="C17" s="151"/>
      <c r="D17" s="151"/>
      <c r="E17" s="151"/>
      <c r="F17" s="151"/>
      <c r="G17" s="152"/>
      <c r="H17" s="153"/>
      <c r="I17" s="151"/>
      <c r="J17" s="151"/>
      <c r="K17" s="151"/>
      <c r="L17" s="151"/>
      <c r="M17" s="151"/>
      <c r="N17" s="152"/>
      <c r="O17" s="153"/>
      <c r="P17" s="151"/>
      <c r="Q17" s="151"/>
      <c r="R17" s="151"/>
      <c r="S17" s="205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7"/>
      <c r="AX17" s="208"/>
      <c r="AY17" s="208"/>
      <c r="AZ17" s="208"/>
      <c r="BA17" s="208"/>
      <c r="BB17" s="208"/>
      <c r="BC17" s="209"/>
      <c r="BD17" s="210"/>
      <c r="BE17" s="208"/>
      <c r="BF17" s="208"/>
      <c r="BG17" s="208"/>
      <c r="BH17" s="208"/>
      <c r="BI17" s="208"/>
      <c r="BJ17" s="209"/>
      <c r="BK17" s="182"/>
    </row>
    <row r="18" spans="1:63" ht="15" customHeight="1" x14ac:dyDescent="0.25">
      <c r="A18" s="181"/>
      <c r="B18" s="163"/>
      <c r="C18" s="164"/>
      <c r="D18" s="164"/>
      <c r="E18" s="164"/>
      <c r="F18" s="164"/>
      <c r="G18" s="165"/>
      <c r="H18" s="163"/>
      <c r="I18" s="164"/>
      <c r="J18" s="164"/>
      <c r="K18" s="164"/>
      <c r="L18" s="164"/>
      <c r="M18" s="164"/>
      <c r="N18" s="165"/>
      <c r="O18" s="163"/>
      <c r="P18" s="164"/>
      <c r="Q18" s="164"/>
      <c r="R18" s="164"/>
      <c r="S18" s="211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3"/>
      <c r="AX18" s="214"/>
      <c r="AY18" s="214"/>
      <c r="AZ18" s="214"/>
      <c r="BA18" s="214"/>
      <c r="BB18" s="214"/>
      <c r="BC18" s="215"/>
      <c r="BD18" s="216"/>
      <c r="BE18" s="214"/>
      <c r="BF18" s="214"/>
      <c r="BG18" s="214"/>
      <c r="BH18" s="214"/>
      <c r="BI18" s="214"/>
      <c r="BJ18" s="215"/>
      <c r="BK18" s="182"/>
    </row>
    <row r="19" spans="1:63" ht="15" customHeight="1" x14ac:dyDescent="0.25">
      <c r="A19" s="181"/>
      <c r="B19" s="153"/>
      <c r="C19" s="151"/>
      <c r="D19" s="151"/>
      <c r="E19" s="151"/>
      <c r="F19" s="151"/>
      <c r="G19" s="152"/>
      <c r="H19" s="153"/>
      <c r="I19" s="151"/>
      <c r="J19" s="151"/>
      <c r="K19" s="151"/>
      <c r="L19" s="151"/>
      <c r="M19" s="151"/>
      <c r="N19" s="152"/>
      <c r="O19" s="153"/>
      <c r="P19" s="151"/>
      <c r="Q19" s="151"/>
      <c r="R19" s="151"/>
      <c r="S19" s="205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7"/>
      <c r="AX19" s="208"/>
      <c r="AY19" s="208"/>
      <c r="AZ19" s="208"/>
      <c r="BA19" s="208"/>
      <c r="BB19" s="208"/>
      <c r="BC19" s="209"/>
      <c r="BD19" s="210"/>
      <c r="BE19" s="208"/>
      <c r="BF19" s="208"/>
      <c r="BG19" s="208"/>
      <c r="BH19" s="208"/>
      <c r="BI19" s="208"/>
      <c r="BJ19" s="209"/>
      <c r="BK19" s="182"/>
    </row>
    <row r="20" spans="1:63" ht="15" customHeight="1" x14ac:dyDescent="0.25">
      <c r="A20" s="181"/>
      <c r="B20" s="163"/>
      <c r="C20" s="164"/>
      <c r="D20" s="164"/>
      <c r="E20" s="164"/>
      <c r="F20" s="164"/>
      <c r="G20" s="165"/>
      <c r="H20" s="163"/>
      <c r="I20" s="164"/>
      <c r="J20" s="164"/>
      <c r="K20" s="164"/>
      <c r="L20" s="164"/>
      <c r="M20" s="164"/>
      <c r="N20" s="165"/>
      <c r="O20" s="163"/>
      <c r="P20" s="164"/>
      <c r="Q20" s="164"/>
      <c r="R20" s="164"/>
      <c r="S20" s="211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3"/>
      <c r="AX20" s="214"/>
      <c r="AY20" s="214"/>
      <c r="AZ20" s="214"/>
      <c r="BA20" s="214"/>
      <c r="BB20" s="214"/>
      <c r="BC20" s="215"/>
      <c r="BD20" s="216"/>
      <c r="BE20" s="214"/>
      <c r="BF20" s="214"/>
      <c r="BG20" s="214"/>
      <c r="BH20" s="214"/>
      <c r="BI20" s="214"/>
      <c r="BJ20" s="215"/>
      <c r="BK20" s="182"/>
    </row>
    <row r="21" spans="1:63" ht="15" customHeight="1" x14ac:dyDescent="0.25">
      <c r="A21" s="181"/>
      <c r="B21" s="153"/>
      <c r="C21" s="151"/>
      <c r="D21" s="151"/>
      <c r="E21" s="151"/>
      <c r="F21" s="151"/>
      <c r="G21" s="152"/>
      <c r="H21" s="153"/>
      <c r="I21" s="151"/>
      <c r="J21" s="151"/>
      <c r="K21" s="151"/>
      <c r="L21" s="151"/>
      <c r="M21" s="151"/>
      <c r="N21" s="152"/>
      <c r="O21" s="153"/>
      <c r="P21" s="151"/>
      <c r="Q21" s="151"/>
      <c r="R21" s="151"/>
      <c r="S21" s="205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7"/>
      <c r="AX21" s="208"/>
      <c r="AY21" s="208"/>
      <c r="AZ21" s="208"/>
      <c r="BA21" s="208"/>
      <c r="BB21" s="208"/>
      <c r="BC21" s="209"/>
      <c r="BD21" s="210"/>
      <c r="BE21" s="208"/>
      <c r="BF21" s="208"/>
      <c r="BG21" s="208"/>
      <c r="BH21" s="208"/>
      <c r="BI21" s="208"/>
      <c r="BJ21" s="209"/>
      <c r="BK21" s="182"/>
    </row>
    <row r="22" spans="1:63" ht="15" customHeight="1" x14ac:dyDescent="0.25">
      <c r="A22" s="181"/>
      <c r="B22" s="163"/>
      <c r="C22" s="164"/>
      <c r="D22" s="164"/>
      <c r="E22" s="164"/>
      <c r="F22" s="164"/>
      <c r="G22" s="165"/>
      <c r="H22" s="163"/>
      <c r="I22" s="164"/>
      <c r="J22" s="164"/>
      <c r="K22" s="164"/>
      <c r="L22" s="164"/>
      <c r="M22" s="164"/>
      <c r="N22" s="165"/>
      <c r="O22" s="163"/>
      <c r="P22" s="164"/>
      <c r="Q22" s="164"/>
      <c r="R22" s="164"/>
      <c r="S22" s="211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3"/>
      <c r="AX22" s="214"/>
      <c r="AY22" s="214"/>
      <c r="AZ22" s="214"/>
      <c r="BA22" s="214"/>
      <c r="BB22" s="214"/>
      <c r="BC22" s="215"/>
      <c r="BD22" s="216"/>
      <c r="BE22" s="214"/>
      <c r="BF22" s="214"/>
      <c r="BG22" s="214"/>
      <c r="BH22" s="214"/>
      <c r="BI22" s="214"/>
      <c r="BJ22" s="215"/>
      <c r="BK22" s="182"/>
    </row>
    <row r="23" spans="1:63" ht="15" customHeight="1" x14ac:dyDescent="0.25">
      <c r="A23" s="181"/>
      <c r="B23" s="153"/>
      <c r="C23" s="151"/>
      <c r="D23" s="151"/>
      <c r="E23" s="151"/>
      <c r="F23" s="151"/>
      <c r="G23" s="152"/>
      <c r="H23" s="153"/>
      <c r="I23" s="151"/>
      <c r="J23" s="151"/>
      <c r="K23" s="151"/>
      <c r="L23" s="151"/>
      <c r="M23" s="151"/>
      <c r="N23" s="152"/>
      <c r="O23" s="153"/>
      <c r="P23" s="151"/>
      <c r="Q23" s="151"/>
      <c r="R23" s="151"/>
      <c r="S23" s="205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7"/>
      <c r="AX23" s="208"/>
      <c r="AY23" s="208"/>
      <c r="AZ23" s="208"/>
      <c r="BA23" s="208"/>
      <c r="BB23" s="208"/>
      <c r="BC23" s="209"/>
      <c r="BD23" s="210"/>
      <c r="BE23" s="208"/>
      <c r="BF23" s="208"/>
      <c r="BG23" s="208"/>
      <c r="BH23" s="208"/>
      <c r="BI23" s="208"/>
      <c r="BJ23" s="209"/>
      <c r="BK23" s="182"/>
    </row>
    <row r="24" spans="1:63" ht="15" customHeight="1" x14ac:dyDescent="0.25">
      <c r="A24" s="181"/>
      <c r="B24" s="163"/>
      <c r="C24" s="164"/>
      <c r="D24" s="164"/>
      <c r="E24" s="164"/>
      <c r="F24" s="164"/>
      <c r="G24" s="165"/>
      <c r="H24" s="163"/>
      <c r="I24" s="164"/>
      <c r="J24" s="164"/>
      <c r="K24" s="164"/>
      <c r="L24" s="164"/>
      <c r="M24" s="164"/>
      <c r="N24" s="165"/>
      <c r="O24" s="163"/>
      <c r="P24" s="164"/>
      <c r="Q24" s="164"/>
      <c r="R24" s="164"/>
      <c r="S24" s="211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3"/>
      <c r="AX24" s="214"/>
      <c r="AY24" s="214"/>
      <c r="AZ24" s="214"/>
      <c r="BA24" s="214"/>
      <c r="BB24" s="214"/>
      <c r="BC24" s="215"/>
      <c r="BD24" s="216"/>
      <c r="BE24" s="214"/>
      <c r="BF24" s="214"/>
      <c r="BG24" s="214"/>
      <c r="BH24" s="214"/>
      <c r="BI24" s="214"/>
      <c r="BJ24" s="215"/>
      <c r="BK24" s="182"/>
    </row>
    <row r="25" spans="1:63" ht="15" customHeight="1" x14ac:dyDescent="0.25">
      <c r="A25" s="181"/>
      <c r="B25" s="153"/>
      <c r="C25" s="151"/>
      <c r="D25" s="151"/>
      <c r="E25" s="151"/>
      <c r="F25" s="151"/>
      <c r="G25" s="152"/>
      <c r="H25" s="153"/>
      <c r="I25" s="151"/>
      <c r="J25" s="151"/>
      <c r="K25" s="151"/>
      <c r="L25" s="151"/>
      <c r="M25" s="151"/>
      <c r="N25" s="152"/>
      <c r="O25" s="153"/>
      <c r="P25" s="151"/>
      <c r="Q25" s="151"/>
      <c r="R25" s="151"/>
      <c r="S25" s="205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7"/>
      <c r="AX25" s="208"/>
      <c r="AY25" s="208"/>
      <c r="AZ25" s="208"/>
      <c r="BA25" s="208"/>
      <c r="BB25" s="208"/>
      <c r="BC25" s="209"/>
      <c r="BD25" s="210"/>
      <c r="BE25" s="208"/>
      <c r="BF25" s="208"/>
      <c r="BG25" s="208"/>
      <c r="BH25" s="208"/>
      <c r="BI25" s="208"/>
      <c r="BJ25" s="209"/>
      <c r="BK25" s="182"/>
    </row>
    <row r="26" spans="1:63" ht="15" customHeight="1" x14ac:dyDescent="0.25">
      <c r="A26" s="181"/>
      <c r="B26" s="163"/>
      <c r="C26" s="164"/>
      <c r="D26" s="164"/>
      <c r="E26" s="164"/>
      <c r="F26" s="164"/>
      <c r="G26" s="165"/>
      <c r="H26" s="163"/>
      <c r="I26" s="164"/>
      <c r="J26" s="164"/>
      <c r="K26" s="164"/>
      <c r="L26" s="164"/>
      <c r="M26" s="164"/>
      <c r="N26" s="165"/>
      <c r="O26" s="163"/>
      <c r="P26" s="164"/>
      <c r="Q26" s="164"/>
      <c r="R26" s="164"/>
      <c r="S26" s="211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3"/>
      <c r="AX26" s="214"/>
      <c r="AY26" s="214"/>
      <c r="AZ26" s="214"/>
      <c r="BA26" s="214"/>
      <c r="BB26" s="214"/>
      <c r="BC26" s="215"/>
      <c r="BD26" s="216"/>
      <c r="BE26" s="214"/>
      <c r="BF26" s="214"/>
      <c r="BG26" s="214"/>
      <c r="BH26" s="214"/>
      <c r="BI26" s="214"/>
      <c r="BJ26" s="215"/>
      <c r="BK26" s="182"/>
    </row>
    <row r="27" spans="1:63" ht="15" customHeight="1" x14ac:dyDescent="0.25">
      <c r="A27" s="181"/>
      <c r="B27" s="153"/>
      <c r="C27" s="151"/>
      <c r="D27" s="151"/>
      <c r="E27" s="151"/>
      <c r="F27" s="151"/>
      <c r="G27" s="152"/>
      <c r="H27" s="153"/>
      <c r="I27" s="151"/>
      <c r="J27" s="151"/>
      <c r="K27" s="151"/>
      <c r="L27" s="151"/>
      <c r="M27" s="151"/>
      <c r="N27" s="152"/>
      <c r="O27" s="153"/>
      <c r="P27" s="151"/>
      <c r="Q27" s="151"/>
      <c r="R27" s="151"/>
      <c r="S27" s="205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7"/>
      <c r="AX27" s="208"/>
      <c r="AY27" s="208"/>
      <c r="AZ27" s="208"/>
      <c r="BA27" s="208"/>
      <c r="BB27" s="208"/>
      <c r="BC27" s="209"/>
      <c r="BD27" s="210"/>
      <c r="BE27" s="208"/>
      <c r="BF27" s="208"/>
      <c r="BG27" s="208"/>
      <c r="BH27" s="208"/>
      <c r="BI27" s="208"/>
      <c r="BJ27" s="209"/>
      <c r="BK27" s="182"/>
    </row>
    <row r="28" spans="1:63" ht="15" customHeight="1" x14ac:dyDescent="0.25">
      <c r="A28" s="181"/>
      <c r="B28" s="163"/>
      <c r="C28" s="164"/>
      <c r="D28" s="164"/>
      <c r="E28" s="164"/>
      <c r="F28" s="164"/>
      <c r="G28" s="165"/>
      <c r="H28" s="163"/>
      <c r="I28" s="164"/>
      <c r="J28" s="164"/>
      <c r="K28" s="164"/>
      <c r="L28" s="164"/>
      <c r="M28" s="164"/>
      <c r="N28" s="165"/>
      <c r="O28" s="163"/>
      <c r="P28" s="164"/>
      <c r="Q28" s="164"/>
      <c r="R28" s="164"/>
      <c r="S28" s="211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3"/>
      <c r="AX28" s="214"/>
      <c r="AY28" s="214"/>
      <c r="AZ28" s="214"/>
      <c r="BA28" s="214"/>
      <c r="BB28" s="214"/>
      <c r="BC28" s="215"/>
      <c r="BD28" s="216"/>
      <c r="BE28" s="214"/>
      <c r="BF28" s="214"/>
      <c r="BG28" s="214"/>
      <c r="BH28" s="214"/>
      <c r="BI28" s="214"/>
      <c r="BJ28" s="215"/>
      <c r="BK28" s="182"/>
    </row>
    <row r="29" spans="1:63" ht="15" customHeight="1" x14ac:dyDescent="0.25">
      <c r="A29" s="181"/>
      <c r="B29" s="153"/>
      <c r="C29" s="151"/>
      <c r="D29" s="151"/>
      <c r="E29" s="151"/>
      <c r="F29" s="151"/>
      <c r="G29" s="152"/>
      <c r="H29" s="153"/>
      <c r="I29" s="151"/>
      <c r="J29" s="151"/>
      <c r="K29" s="151"/>
      <c r="L29" s="151"/>
      <c r="M29" s="151"/>
      <c r="N29" s="152"/>
      <c r="O29" s="153"/>
      <c r="P29" s="151"/>
      <c r="Q29" s="151"/>
      <c r="R29" s="151"/>
      <c r="S29" s="205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7"/>
      <c r="AX29" s="208"/>
      <c r="AY29" s="208"/>
      <c r="AZ29" s="208"/>
      <c r="BA29" s="208"/>
      <c r="BB29" s="208"/>
      <c r="BC29" s="209"/>
      <c r="BD29" s="210"/>
      <c r="BE29" s="208"/>
      <c r="BF29" s="208"/>
      <c r="BG29" s="208"/>
      <c r="BH29" s="208"/>
      <c r="BI29" s="208"/>
      <c r="BJ29" s="209"/>
      <c r="BK29" s="182"/>
    </row>
    <row r="30" spans="1:63" ht="15" customHeight="1" x14ac:dyDescent="0.25">
      <c r="A30" s="181"/>
      <c r="B30" s="163"/>
      <c r="C30" s="164"/>
      <c r="D30" s="164"/>
      <c r="E30" s="164"/>
      <c r="F30" s="164"/>
      <c r="G30" s="165"/>
      <c r="H30" s="163"/>
      <c r="I30" s="164"/>
      <c r="J30" s="164"/>
      <c r="K30" s="164"/>
      <c r="L30" s="164"/>
      <c r="M30" s="164"/>
      <c r="N30" s="165"/>
      <c r="O30" s="163"/>
      <c r="P30" s="164"/>
      <c r="Q30" s="164"/>
      <c r="R30" s="164"/>
      <c r="S30" s="211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3"/>
      <c r="AX30" s="214"/>
      <c r="AY30" s="214"/>
      <c r="AZ30" s="214"/>
      <c r="BA30" s="214"/>
      <c r="BB30" s="214"/>
      <c r="BC30" s="215"/>
      <c r="BD30" s="216"/>
      <c r="BE30" s="214"/>
      <c r="BF30" s="214"/>
      <c r="BG30" s="214"/>
      <c r="BH30" s="214"/>
      <c r="BI30" s="214"/>
      <c r="BJ30" s="215"/>
      <c r="BK30" s="182"/>
    </row>
    <row r="31" spans="1:63" ht="15" customHeight="1" x14ac:dyDescent="0.25">
      <c r="A31" s="181"/>
      <c r="B31" s="153"/>
      <c r="C31" s="151"/>
      <c r="D31" s="151"/>
      <c r="E31" s="151"/>
      <c r="F31" s="151"/>
      <c r="G31" s="152"/>
      <c r="H31" s="153"/>
      <c r="I31" s="151"/>
      <c r="J31" s="151"/>
      <c r="K31" s="151"/>
      <c r="L31" s="151"/>
      <c r="M31" s="151"/>
      <c r="N31" s="152"/>
      <c r="O31" s="153"/>
      <c r="P31" s="151"/>
      <c r="Q31" s="151"/>
      <c r="R31" s="151"/>
      <c r="S31" s="205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7"/>
      <c r="AX31" s="208"/>
      <c r="AY31" s="208"/>
      <c r="AZ31" s="208"/>
      <c r="BA31" s="208"/>
      <c r="BB31" s="208"/>
      <c r="BC31" s="209"/>
      <c r="BD31" s="210"/>
      <c r="BE31" s="208"/>
      <c r="BF31" s="208"/>
      <c r="BG31" s="208"/>
      <c r="BH31" s="208"/>
      <c r="BI31" s="208"/>
      <c r="BJ31" s="209"/>
      <c r="BK31" s="182"/>
    </row>
    <row r="32" spans="1:63" ht="15" customHeight="1" x14ac:dyDescent="0.25">
      <c r="A32" s="181"/>
      <c r="B32" s="163"/>
      <c r="C32" s="164"/>
      <c r="D32" s="164"/>
      <c r="E32" s="164"/>
      <c r="F32" s="164"/>
      <c r="G32" s="165"/>
      <c r="H32" s="163"/>
      <c r="I32" s="164"/>
      <c r="J32" s="164"/>
      <c r="K32" s="164"/>
      <c r="L32" s="164"/>
      <c r="M32" s="164"/>
      <c r="N32" s="165"/>
      <c r="O32" s="163"/>
      <c r="P32" s="164"/>
      <c r="Q32" s="164"/>
      <c r="R32" s="164"/>
      <c r="S32" s="211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3"/>
      <c r="AX32" s="214"/>
      <c r="AY32" s="214"/>
      <c r="AZ32" s="214"/>
      <c r="BA32" s="214"/>
      <c r="BB32" s="214"/>
      <c r="BC32" s="215"/>
      <c r="BD32" s="216"/>
      <c r="BE32" s="214"/>
      <c r="BF32" s="214"/>
      <c r="BG32" s="214"/>
      <c r="BH32" s="214"/>
      <c r="BI32" s="214"/>
      <c r="BJ32" s="215"/>
      <c r="BK32" s="182"/>
    </row>
    <row r="33" spans="1:63" ht="15" customHeight="1" x14ac:dyDescent="0.25">
      <c r="A33" s="181"/>
      <c r="B33" s="153"/>
      <c r="C33" s="151"/>
      <c r="D33" s="151"/>
      <c r="E33" s="151"/>
      <c r="F33" s="151"/>
      <c r="G33" s="152"/>
      <c r="H33" s="153"/>
      <c r="I33" s="151"/>
      <c r="J33" s="151"/>
      <c r="K33" s="151"/>
      <c r="L33" s="151"/>
      <c r="M33" s="151"/>
      <c r="N33" s="152"/>
      <c r="O33" s="153"/>
      <c r="P33" s="151"/>
      <c r="Q33" s="151"/>
      <c r="R33" s="151"/>
      <c r="S33" s="205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7"/>
      <c r="AX33" s="208"/>
      <c r="AY33" s="208"/>
      <c r="AZ33" s="208"/>
      <c r="BA33" s="208"/>
      <c r="BB33" s="208"/>
      <c r="BC33" s="209"/>
      <c r="BD33" s="210"/>
      <c r="BE33" s="208"/>
      <c r="BF33" s="208"/>
      <c r="BG33" s="208"/>
      <c r="BH33" s="208"/>
      <c r="BI33" s="208"/>
      <c r="BJ33" s="209"/>
      <c r="BK33" s="182"/>
    </row>
    <row r="34" spans="1:63" ht="15" customHeight="1" x14ac:dyDescent="0.25">
      <c r="A34" s="181"/>
      <c r="B34" s="163"/>
      <c r="C34" s="164"/>
      <c r="D34" s="164"/>
      <c r="E34" s="164"/>
      <c r="F34" s="164"/>
      <c r="G34" s="165"/>
      <c r="H34" s="163"/>
      <c r="I34" s="164"/>
      <c r="J34" s="164"/>
      <c r="K34" s="164"/>
      <c r="L34" s="164"/>
      <c r="M34" s="164"/>
      <c r="N34" s="165"/>
      <c r="O34" s="163"/>
      <c r="P34" s="164"/>
      <c r="Q34" s="164"/>
      <c r="R34" s="164"/>
      <c r="S34" s="211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3"/>
      <c r="AX34" s="214"/>
      <c r="AY34" s="214"/>
      <c r="AZ34" s="214"/>
      <c r="BA34" s="214"/>
      <c r="BB34" s="214"/>
      <c r="BC34" s="215"/>
      <c r="BD34" s="216"/>
      <c r="BE34" s="214"/>
      <c r="BF34" s="214"/>
      <c r="BG34" s="214"/>
      <c r="BH34" s="214"/>
      <c r="BI34" s="214"/>
      <c r="BJ34" s="215"/>
      <c r="BK34" s="182"/>
    </row>
    <row r="35" spans="1:63" ht="15" customHeight="1" x14ac:dyDescent="0.25">
      <c r="A35" s="181"/>
      <c r="B35" s="153"/>
      <c r="C35" s="151"/>
      <c r="D35" s="151"/>
      <c r="E35" s="151"/>
      <c r="F35" s="151"/>
      <c r="G35" s="152"/>
      <c r="H35" s="153"/>
      <c r="I35" s="151"/>
      <c r="J35" s="151"/>
      <c r="K35" s="151"/>
      <c r="L35" s="151"/>
      <c r="M35" s="151"/>
      <c r="N35" s="152"/>
      <c r="O35" s="153"/>
      <c r="P35" s="151"/>
      <c r="Q35" s="151"/>
      <c r="R35" s="151"/>
      <c r="S35" s="205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7"/>
      <c r="AX35" s="208"/>
      <c r="AY35" s="208"/>
      <c r="AZ35" s="208"/>
      <c r="BA35" s="208"/>
      <c r="BB35" s="208"/>
      <c r="BC35" s="209"/>
      <c r="BD35" s="210"/>
      <c r="BE35" s="208"/>
      <c r="BF35" s="208"/>
      <c r="BG35" s="208"/>
      <c r="BH35" s="208"/>
      <c r="BI35" s="208"/>
      <c r="BJ35" s="209"/>
      <c r="BK35" s="182"/>
    </row>
    <row r="36" spans="1:63" ht="15" customHeight="1" x14ac:dyDescent="0.25">
      <c r="A36" s="181"/>
      <c r="B36" s="163"/>
      <c r="C36" s="164"/>
      <c r="D36" s="164"/>
      <c r="E36" s="164"/>
      <c r="F36" s="164"/>
      <c r="G36" s="165"/>
      <c r="H36" s="163"/>
      <c r="I36" s="164"/>
      <c r="J36" s="164"/>
      <c r="K36" s="164"/>
      <c r="L36" s="164"/>
      <c r="M36" s="164"/>
      <c r="N36" s="165"/>
      <c r="O36" s="163"/>
      <c r="P36" s="164"/>
      <c r="Q36" s="164"/>
      <c r="R36" s="164"/>
      <c r="S36" s="211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3"/>
      <c r="AX36" s="214"/>
      <c r="AY36" s="214"/>
      <c r="AZ36" s="214"/>
      <c r="BA36" s="214"/>
      <c r="BB36" s="214"/>
      <c r="BC36" s="215"/>
      <c r="BD36" s="216"/>
      <c r="BE36" s="214"/>
      <c r="BF36" s="214"/>
      <c r="BG36" s="214"/>
      <c r="BH36" s="214"/>
      <c r="BI36" s="214"/>
      <c r="BJ36" s="215"/>
      <c r="BK36" s="182"/>
    </row>
    <row r="37" spans="1:63" ht="15" customHeight="1" x14ac:dyDescent="0.25">
      <c r="A37" s="181"/>
      <c r="B37" s="153"/>
      <c r="C37" s="151"/>
      <c r="D37" s="151"/>
      <c r="E37" s="151"/>
      <c r="F37" s="151"/>
      <c r="G37" s="152"/>
      <c r="H37" s="153"/>
      <c r="I37" s="151"/>
      <c r="J37" s="151"/>
      <c r="K37" s="151"/>
      <c r="L37" s="151"/>
      <c r="M37" s="151"/>
      <c r="N37" s="152"/>
      <c r="O37" s="153"/>
      <c r="P37" s="151"/>
      <c r="Q37" s="151"/>
      <c r="R37" s="151"/>
      <c r="S37" s="205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7"/>
      <c r="AX37" s="208"/>
      <c r="AY37" s="208"/>
      <c r="AZ37" s="208"/>
      <c r="BA37" s="208"/>
      <c r="BB37" s="208"/>
      <c r="BC37" s="209"/>
      <c r="BD37" s="210"/>
      <c r="BE37" s="208"/>
      <c r="BF37" s="208"/>
      <c r="BG37" s="208"/>
      <c r="BH37" s="208"/>
      <c r="BI37" s="208"/>
      <c r="BJ37" s="209"/>
      <c r="BK37" s="182"/>
    </row>
    <row r="38" spans="1:63" ht="15" customHeight="1" x14ac:dyDescent="0.25">
      <c r="A38" s="181"/>
      <c r="B38" s="163"/>
      <c r="C38" s="164"/>
      <c r="D38" s="164"/>
      <c r="E38" s="164"/>
      <c r="F38" s="164"/>
      <c r="G38" s="165"/>
      <c r="H38" s="163"/>
      <c r="I38" s="164"/>
      <c r="J38" s="164"/>
      <c r="K38" s="164"/>
      <c r="L38" s="164"/>
      <c r="M38" s="164"/>
      <c r="N38" s="165"/>
      <c r="O38" s="163"/>
      <c r="P38" s="164"/>
      <c r="Q38" s="164"/>
      <c r="R38" s="164"/>
      <c r="S38" s="211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3"/>
      <c r="AX38" s="214"/>
      <c r="AY38" s="214"/>
      <c r="AZ38" s="214"/>
      <c r="BA38" s="214"/>
      <c r="BB38" s="214"/>
      <c r="BC38" s="215"/>
      <c r="BD38" s="216"/>
      <c r="BE38" s="214"/>
      <c r="BF38" s="214"/>
      <c r="BG38" s="214"/>
      <c r="BH38" s="214"/>
      <c r="BI38" s="214"/>
      <c r="BJ38" s="215"/>
      <c r="BK38" s="182"/>
    </row>
    <row r="39" spans="1:63" ht="15" customHeight="1" x14ac:dyDescent="0.25">
      <c r="A39" s="181"/>
      <c r="B39" s="153"/>
      <c r="C39" s="151"/>
      <c r="D39" s="151"/>
      <c r="E39" s="151"/>
      <c r="F39" s="151"/>
      <c r="G39" s="152"/>
      <c r="H39" s="153"/>
      <c r="I39" s="151"/>
      <c r="J39" s="151"/>
      <c r="K39" s="151"/>
      <c r="L39" s="151"/>
      <c r="M39" s="151"/>
      <c r="N39" s="152"/>
      <c r="O39" s="153"/>
      <c r="P39" s="151"/>
      <c r="Q39" s="151"/>
      <c r="R39" s="151"/>
      <c r="S39" s="205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7"/>
      <c r="AX39" s="208"/>
      <c r="AY39" s="208"/>
      <c r="AZ39" s="208"/>
      <c r="BA39" s="208"/>
      <c r="BB39" s="208"/>
      <c r="BC39" s="209"/>
      <c r="BD39" s="210"/>
      <c r="BE39" s="208"/>
      <c r="BF39" s="208"/>
      <c r="BG39" s="208"/>
      <c r="BH39" s="208"/>
      <c r="BI39" s="208"/>
      <c r="BJ39" s="209"/>
      <c r="BK39" s="182"/>
    </row>
    <row r="40" spans="1:63" ht="15" customHeight="1" x14ac:dyDescent="0.25">
      <c r="A40" s="181"/>
      <c r="B40" s="163"/>
      <c r="C40" s="164"/>
      <c r="D40" s="164"/>
      <c r="E40" s="164"/>
      <c r="F40" s="164"/>
      <c r="G40" s="165"/>
      <c r="H40" s="163"/>
      <c r="I40" s="164"/>
      <c r="J40" s="164"/>
      <c r="K40" s="164"/>
      <c r="L40" s="164"/>
      <c r="M40" s="164"/>
      <c r="N40" s="165"/>
      <c r="O40" s="163"/>
      <c r="P40" s="164"/>
      <c r="Q40" s="164"/>
      <c r="R40" s="164"/>
      <c r="S40" s="211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3"/>
      <c r="AX40" s="214"/>
      <c r="AY40" s="214"/>
      <c r="AZ40" s="214"/>
      <c r="BA40" s="214"/>
      <c r="BB40" s="214"/>
      <c r="BC40" s="215"/>
      <c r="BD40" s="216"/>
      <c r="BE40" s="214"/>
      <c r="BF40" s="214"/>
      <c r="BG40" s="214"/>
      <c r="BH40" s="214"/>
      <c r="BI40" s="214"/>
      <c r="BJ40" s="215"/>
      <c r="BK40" s="182"/>
    </row>
    <row r="41" spans="1:63" ht="15" customHeight="1" x14ac:dyDescent="0.25">
      <c r="A41" s="181"/>
      <c r="B41" s="153"/>
      <c r="C41" s="151"/>
      <c r="D41" s="151"/>
      <c r="E41" s="151"/>
      <c r="F41" s="151"/>
      <c r="G41" s="152"/>
      <c r="H41" s="153"/>
      <c r="I41" s="151"/>
      <c r="J41" s="151"/>
      <c r="K41" s="151"/>
      <c r="L41" s="151"/>
      <c r="M41" s="151"/>
      <c r="N41" s="152"/>
      <c r="O41" s="153"/>
      <c r="P41" s="151"/>
      <c r="Q41" s="151"/>
      <c r="R41" s="151"/>
      <c r="S41" s="205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7"/>
      <c r="AX41" s="208"/>
      <c r="AY41" s="208"/>
      <c r="AZ41" s="208"/>
      <c r="BA41" s="208"/>
      <c r="BB41" s="208"/>
      <c r="BC41" s="209"/>
      <c r="BD41" s="210"/>
      <c r="BE41" s="208"/>
      <c r="BF41" s="208"/>
      <c r="BG41" s="208"/>
      <c r="BH41" s="208"/>
      <c r="BI41" s="208"/>
      <c r="BJ41" s="209"/>
      <c r="BK41" s="182"/>
    </row>
    <row r="42" spans="1:63" ht="15" customHeight="1" x14ac:dyDescent="0.25">
      <c r="A42" s="181"/>
      <c r="B42" s="163"/>
      <c r="C42" s="164"/>
      <c r="D42" s="164"/>
      <c r="E42" s="164"/>
      <c r="F42" s="164"/>
      <c r="G42" s="165"/>
      <c r="H42" s="163"/>
      <c r="I42" s="164"/>
      <c r="J42" s="164"/>
      <c r="K42" s="164"/>
      <c r="L42" s="164"/>
      <c r="M42" s="164"/>
      <c r="N42" s="165"/>
      <c r="O42" s="163"/>
      <c r="P42" s="164"/>
      <c r="Q42" s="164"/>
      <c r="R42" s="164"/>
      <c r="S42" s="211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3"/>
      <c r="AX42" s="214"/>
      <c r="AY42" s="214"/>
      <c r="AZ42" s="214"/>
      <c r="BA42" s="214"/>
      <c r="BB42" s="214"/>
      <c r="BC42" s="215"/>
      <c r="BD42" s="216"/>
      <c r="BE42" s="214"/>
      <c r="BF42" s="214"/>
      <c r="BG42" s="214"/>
      <c r="BH42" s="214"/>
      <c r="BI42" s="214"/>
      <c r="BJ42" s="215"/>
      <c r="BK42" s="182"/>
    </row>
    <row r="43" spans="1:63" ht="15" customHeight="1" x14ac:dyDescent="0.25">
      <c r="A43" s="181"/>
      <c r="B43" s="153"/>
      <c r="C43" s="151"/>
      <c r="D43" s="151"/>
      <c r="E43" s="151"/>
      <c r="F43" s="151"/>
      <c r="G43" s="152"/>
      <c r="H43" s="153"/>
      <c r="I43" s="151"/>
      <c r="J43" s="151"/>
      <c r="K43" s="151"/>
      <c r="L43" s="151"/>
      <c r="M43" s="151"/>
      <c r="N43" s="152"/>
      <c r="O43" s="153"/>
      <c r="P43" s="151"/>
      <c r="Q43" s="151"/>
      <c r="R43" s="151"/>
      <c r="S43" s="205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7"/>
      <c r="AX43" s="208"/>
      <c r="AY43" s="208"/>
      <c r="AZ43" s="208"/>
      <c r="BA43" s="208"/>
      <c r="BB43" s="208"/>
      <c r="BC43" s="209"/>
      <c r="BD43" s="210"/>
      <c r="BE43" s="208"/>
      <c r="BF43" s="208"/>
      <c r="BG43" s="208"/>
      <c r="BH43" s="208"/>
      <c r="BI43" s="208"/>
      <c r="BJ43" s="209"/>
      <c r="BK43" s="182"/>
    </row>
    <row r="44" spans="1:63" ht="15" customHeight="1" x14ac:dyDescent="0.25">
      <c r="A44" s="181"/>
      <c r="B44" s="163"/>
      <c r="C44" s="164"/>
      <c r="D44" s="164"/>
      <c r="E44" s="164"/>
      <c r="F44" s="164"/>
      <c r="G44" s="165"/>
      <c r="H44" s="163"/>
      <c r="I44" s="164"/>
      <c r="J44" s="164"/>
      <c r="K44" s="164"/>
      <c r="L44" s="164"/>
      <c r="M44" s="164"/>
      <c r="N44" s="165"/>
      <c r="O44" s="163"/>
      <c r="P44" s="164"/>
      <c r="Q44" s="164"/>
      <c r="R44" s="164"/>
      <c r="S44" s="211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3"/>
      <c r="AX44" s="214"/>
      <c r="AY44" s="214"/>
      <c r="AZ44" s="214"/>
      <c r="BA44" s="214"/>
      <c r="BB44" s="214"/>
      <c r="BC44" s="215"/>
      <c r="BD44" s="216"/>
      <c r="BE44" s="214"/>
      <c r="BF44" s="214"/>
      <c r="BG44" s="214"/>
      <c r="BH44" s="214"/>
      <c r="BI44" s="214"/>
      <c r="BJ44" s="215"/>
      <c r="BK44" s="182"/>
    </row>
    <row r="45" spans="1:63" ht="15" customHeight="1" x14ac:dyDescent="0.25">
      <c r="A45" s="181"/>
      <c r="B45" s="153"/>
      <c r="C45" s="151"/>
      <c r="D45" s="151"/>
      <c r="E45" s="151"/>
      <c r="F45" s="151"/>
      <c r="G45" s="152"/>
      <c r="H45" s="153"/>
      <c r="I45" s="151"/>
      <c r="J45" s="151"/>
      <c r="K45" s="151"/>
      <c r="L45" s="151"/>
      <c r="M45" s="151"/>
      <c r="N45" s="152"/>
      <c r="O45" s="153"/>
      <c r="P45" s="151"/>
      <c r="Q45" s="151"/>
      <c r="R45" s="151"/>
      <c r="S45" s="205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7"/>
      <c r="AX45" s="208"/>
      <c r="AY45" s="208"/>
      <c r="AZ45" s="208"/>
      <c r="BA45" s="208"/>
      <c r="BB45" s="208"/>
      <c r="BC45" s="209"/>
      <c r="BD45" s="210"/>
      <c r="BE45" s="208"/>
      <c r="BF45" s="208"/>
      <c r="BG45" s="208"/>
      <c r="BH45" s="208"/>
      <c r="BI45" s="208"/>
      <c r="BJ45" s="209"/>
      <c r="BK45" s="182"/>
    </row>
    <row r="46" spans="1:63" ht="15" customHeight="1" x14ac:dyDescent="0.25">
      <c r="A46" s="181"/>
      <c r="B46" s="163"/>
      <c r="C46" s="164"/>
      <c r="D46" s="164"/>
      <c r="E46" s="164"/>
      <c r="F46" s="164"/>
      <c r="G46" s="165"/>
      <c r="H46" s="163"/>
      <c r="I46" s="164"/>
      <c r="J46" s="164"/>
      <c r="K46" s="164"/>
      <c r="L46" s="164"/>
      <c r="M46" s="164"/>
      <c r="N46" s="165"/>
      <c r="O46" s="163"/>
      <c r="P46" s="164"/>
      <c r="Q46" s="164"/>
      <c r="R46" s="164"/>
      <c r="S46" s="211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3"/>
      <c r="AX46" s="214"/>
      <c r="AY46" s="214"/>
      <c r="AZ46" s="214"/>
      <c r="BA46" s="214"/>
      <c r="BB46" s="214"/>
      <c r="BC46" s="215"/>
      <c r="BD46" s="216"/>
      <c r="BE46" s="214"/>
      <c r="BF46" s="214"/>
      <c r="BG46" s="214"/>
      <c r="BH46" s="214"/>
      <c r="BI46" s="214"/>
      <c r="BJ46" s="215"/>
      <c r="BK46" s="182"/>
    </row>
    <row r="47" spans="1:63" ht="15" customHeight="1" x14ac:dyDescent="0.25">
      <c r="A47" s="181"/>
      <c r="B47" s="153"/>
      <c r="C47" s="151"/>
      <c r="D47" s="151"/>
      <c r="E47" s="151"/>
      <c r="F47" s="151"/>
      <c r="G47" s="152"/>
      <c r="H47" s="153"/>
      <c r="I47" s="151"/>
      <c r="J47" s="151"/>
      <c r="K47" s="151"/>
      <c r="L47" s="151"/>
      <c r="M47" s="151"/>
      <c r="N47" s="152"/>
      <c r="O47" s="153"/>
      <c r="P47" s="151"/>
      <c r="Q47" s="151"/>
      <c r="R47" s="151"/>
      <c r="S47" s="205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7"/>
      <c r="AX47" s="208"/>
      <c r="AY47" s="208"/>
      <c r="AZ47" s="208"/>
      <c r="BA47" s="208"/>
      <c r="BB47" s="208"/>
      <c r="BC47" s="209"/>
      <c r="BD47" s="210"/>
      <c r="BE47" s="208"/>
      <c r="BF47" s="208"/>
      <c r="BG47" s="208"/>
      <c r="BH47" s="208"/>
      <c r="BI47" s="208"/>
      <c r="BJ47" s="209"/>
      <c r="BK47" s="182"/>
    </row>
    <row r="48" spans="1:63" ht="15" customHeight="1" x14ac:dyDescent="0.25">
      <c r="A48" s="181"/>
      <c r="B48" s="163"/>
      <c r="C48" s="164"/>
      <c r="D48" s="164"/>
      <c r="E48" s="164"/>
      <c r="F48" s="164"/>
      <c r="G48" s="165"/>
      <c r="H48" s="163"/>
      <c r="I48" s="164"/>
      <c r="J48" s="164"/>
      <c r="K48" s="164"/>
      <c r="L48" s="164"/>
      <c r="M48" s="164"/>
      <c r="N48" s="165"/>
      <c r="O48" s="163"/>
      <c r="P48" s="164"/>
      <c r="Q48" s="164"/>
      <c r="R48" s="164"/>
      <c r="S48" s="211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3"/>
      <c r="AX48" s="214"/>
      <c r="AY48" s="214"/>
      <c r="AZ48" s="214"/>
      <c r="BA48" s="214"/>
      <c r="BB48" s="214"/>
      <c r="BC48" s="215"/>
      <c r="BD48" s="216"/>
      <c r="BE48" s="214"/>
      <c r="BF48" s="214"/>
      <c r="BG48" s="214"/>
      <c r="BH48" s="214"/>
      <c r="BI48" s="214"/>
      <c r="BJ48" s="215"/>
      <c r="BK48" s="182"/>
    </row>
    <row r="49" spans="1:63" ht="15" customHeight="1" x14ac:dyDescent="0.25">
      <c r="A49" s="181"/>
      <c r="B49" s="153"/>
      <c r="C49" s="151"/>
      <c r="D49" s="151"/>
      <c r="E49" s="151"/>
      <c r="F49" s="151"/>
      <c r="G49" s="152"/>
      <c r="H49" s="153"/>
      <c r="I49" s="151"/>
      <c r="J49" s="151"/>
      <c r="K49" s="151"/>
      <c r="L49" s="151"/>
      <c r="M49" s="151"/>
      <c r="N49" s="152"/>
      <c r="O49" s="153"/>
      <c r="P49" s="151"/>
      <c r="Q49" s="151"/>
      <c r="R49" s="151"/>
      <c r="S49" s="205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7"/>
      <c r="AX49" s="208"/>
      <c r="AY49" s="208"/>
      <c r="AZ49" s="208"/>
      <c r="BA49" s="208"/>
      <c r="BB49" s="208"/>
      <c r="BC49" s="209"/>
      <c r="BD49" s="210"/>
      <c r="BE49" s="208"/>
      <c r="BF49" s="208"/>
      <c r="BG49" s="208"/>
      <c r="BH49" s="208"/>
      <c r="BI49" s="208"/>
      <c r="BJ49" s="209"/>
      <c r="BK49" s="182"/>
    </row>
    <row r="50" spans="1:63" ht="15" customHeight="1" x14ac:dyDescent="0.25">
      <c r="A50" s="181"/>
      <c r="B50" s="163"/>
      <c r="C50" s="164"/>
      <c r="D50" s="164"/>
      <c r="E50" s="164"/>
      <c r="F50" s="164"/>
      <c r="G50" s="165"/>
      <c r="H50" s="163"/>
      <c r="I50" s="164"/>
      <c r="J50" s="164"/>
      <c r="K50" s="164"/>
      <c r="L50" s="164"/>
      <c r="M50" s="164"/>
      <c r="N50" s="165"/>
      <c r="O50" s="163"/>
      <c r="P50" s="164"/>
      <c r="Q50" s="164"/>
      <c r="R50" s="164"/>
      <c r="S50" s="211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3"/>
      <c r="AX50" s="214"/>
      <c r="AY50" s="214"/>
      <c r="AZ50" s="214"/>
      <c r="BA50" s="214"/>
      <c r="BB50" s="214"/>
      <c r="BC50" s="215"/>
      <c r="BD50" s="216"/>
      <c r="BE50" s="214"/>
      <c r="BF50" s="214"/>
      <c r="BG50" s="214"/>
      <c r="BH50" s="214"/>
      <c r="BI50" s="214"/>
      <c r="BJ50" s="215"/>
      <c r="BK50" s="182"/>
    </row>
    <row r="51" spans="1:63" ht="15" customHeight="1" x14ac:dyDescent="0.25">
      <c r="A51" s="181"/>
      <c r="B51" s="153"/>
      <c r="C51" s="151"/>
      <c r="D51" s="151"/>
      <c r="E51" s="151"/>
      <c r="F51" s="151"/>
      <c r="G51" s="152"/>
      <c r="H51" s="153"/>
      <c r="I51" s="151"/>
      <c r="J51" s="151"/>
      <c r="K51" s="151"/>
      <c r="L51" s="151"/>
      <c r="M51" s="151"/>
      <c r="N51" s="152"/>
      <c r="O51" s="153"/>
      <c r="P51" s="151"/>
      <c r="Q51" s="151"/>
      <c r="R51" s="151"/>
      <c r="S51" s="205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7"/>
      <c r="AX51" s="208"/>
      <c r="AY51" s="208"/>
      <c r="AZ51" s="208"/>
      <c r="BA51" s="208"/>
      <c r="BB51" s="208"/>
      <c r="BC51" s="209"/>
      <c r="BD51" s="210"/>
      <c r="BE51" s="208"/>
      <c r="BF51" s="208"/>
      <c r="BG51" s="208"/>
      <c r="BH51" s="208"/>
      <c r="BI51" s="208"/>
      <c r="BJ51" s="209"/>
      <c r="BK51" s="182"/>
    </row>
    <row r="52" spans="1:63" ht="15" customHeight="1" x14ac:dyDescent="0.25">
      <c r="A52" s="181"/>
      <c r="B52" s="163"/>
      <c r="C52" s="164"/>
      <c r="D52" s="164"/>
      <c r="E52" s="164"/>
      <c r="F52" s="164"/>
      <c r="G52" s="165"/>
      <c r="H52" s="163"/>
      <c r="I52" s="164"/>
      <c r="J52" s="164"/>
      <c r="K52" s="164"/>
      <c r="L52" s="164"/>
      <c r="M52" s="164"/>
      <c r="N52" s="165"/>
      <c r="O52" s="163"/>
      <c r="P52" s="164"/>
      <c r="Q52" s="164"/>
      <c r="R52" s="164"/>
      <c r="S52" s="211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3"/>
      <c r="AX52" s="214"/>
      <c r="AY52" s="214"/>
      <c r="AZ52" s="214"/>
      <c r="BA52" s="214"/>
      <c r="BB52" s="214"/>
      <c r="BC52" s="215"/>
      <c r="BD52" s="216"/>
      <c r="BE52" s="214"/>
      <c r="BF52" s="214"/>
      <c r="BG52" s="214"/>
      <c r="BH52" s="214"/>
      <c r="BI52" s="214"/>
      <c r="BJ52" s="215"/>
      <c r="BK52" s="182"/>
    </row>
    <row r="53" spans="1:63" ht="15" customHeight="1" x14ac:dyDescent="0.25">
      <c r="A53" s="181"/>
      <c r="B53" s="153"/>
      <c r="C53" s="151"/>
      <c r="D53" s="151"/>
      <c r="E53" s="151"/>
      <c r="F53" s="151"/>
      <c r="G53" s="152"/>
      <c r="H53" s="153"/>
      <c r="I53" s="151"/>
      <c r="J53" s="151"/>
      <c r="K53" s="151"/>
      <c r="L53" s="151"/>
      <c r="M53" s="151"/>
      <c r="N53" s="152"/>
      <c r="O53" s="153"/>
      <c r="P53" s="151"/>
      <c r="Q53" s="151"/>
      <c r="R53" s="151"/>
      <c r="S53" s="205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7"/>
      <c r="AX53" s="208"/>
      <c r="AY53" s="208"/>
      <c r="AZ53" s="208"/>
      <c r="BA53" s="208"/>
      <c r="BB53" s="208"/>
      <c r="BC53" s="209"/>
      <c r="BD53" s="210"/>
      <c r="BE53" s="208"/>
      <c r="BF53" s="208"/>
      <c r="BG53" s="208"/>
      <c r="BH53" s="208"/>
      <c r="BI53" s="208"/>
      <c r="BJ53" s="209"/>
      <c r="BK53" s="182"/>
    </row>
    <row r="54" spans="1:63" ht="15" customHeight="1" x14ac:dyDescent="0.25">
      <c r="A54" s="181"/>
      <c r="B54" s="163"/>
      <c r="C54" s="164"/>
      <c r="D54" s="164"/>
      <c r="E54" s="164"/>
      <c r="F54" s="164"/>
      <c r="G54" s="165"/>
      <c r="H54" s="163"/>
      <c r="I54" s="164"/>
      <c r="J54" s="164"/>
      <c r="K54" s="164"/>
      <c r="L54" s="164"/>
      <c r="M54" s="164"/>
      <c r="N54" s="165"/>
      <c r="O54" s="163"/>
      <c r="P54" s="164"/>
      <c r="Q54" s="164"/>
      <c r="R54" s="164"/>
      <c r="S54" s="211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3"/>
      <c r="AX54" s="214"/>
      <c r="AY54" s="214"/>
      <c r="AZ54" s="214"/>
      <c r="BA54" s="214"/>
      <c r="BB54" s="214"/>
      <c r="BC54" s="215"/>
      <c r="BD54" s="216"/>
      <c r="BE54" s="214"/>
      <c r="BF54" s="214"/>
      <c r="BG54" s="214"/>
      <c r="BH54" s="214"/>
      <c r="BI54" s="214"/>
      <c r="BJ54" s="215"/>
      <c r="BK54" s="182"/>
    </row>
    <row r="55" spans="1:63" ht="15" customHeight="1" x14ac:dyDescent="0.25">
      <c r="A55" s="178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8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7" customWidth="1"/>
    <col min="64" max="16384" width="8.88671875" style="217"/>
  </cols>
  <sheetData>
    <row r="1" spans="1:63" ht="24.9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  <c r="K1" s="21" t="s">
        <v>2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5" t="str">
        <f>IF(表紙!W1="","",表紙!W1)</f>
        <v>基本設計書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7"/>
      <c r="AP1" s="21" t="s">
        <v>3</v>
      </c>
      <c r="AQ1" s="22"/>
      <c r="AR1" s="22"/>
      <c r="AS1" s="23"/>
      <c r="AT1" s="21" t="s">
        <v>4</v>
      </c>
      <c r="AU1" s="22"/>
      <c r="AV1" s="22"/>
      <c r="AW1" s="22"/>
      <c r="AX1" s="23"/>
      <c r="AY1" s="21" t="s">
        <v>5</v>
      </c>
      <c r="AZ1" s="22"/>
      <c r="BA1" s="22"/>
      <c r="BB1" s="23"/>
      <c r="BC1" s="21" t="s">
        <v>6</v>
      </c>
      <c r="BD1" s="22"/>
      <c r="BE1" s="22"/>
      <c r="BF1" s="22"/>
      <c r="BG1" s="23"/>
      <c r="BH1" s="21" t="s">
        <v>7</v>
      </c>
      <c r="BI1" s="22"/>
      <c r="BJ1" s="22"/>
      <c r="BK1" s="23"/>
    </row>
    <row r="2" spans="1:63" ht="15" customHeight="1" x14ac:dyDescent="0.25">
      <c r="A2" s="218" t="str">
        <f>IF(表紙!A2="","",表紙!A2)</f>
        <v>POSサーバー</v>
      </c>
      <c r="B2" s="219"/>
      <c r="C2" s="219"/>
      <c r="D2" s="219"/>
      <c r="E2" s="219"/>
      <c r="F2" s="219"/>
      <c r="G2" s="219"/>
      <c r="H2" s="219"/>
      <c r="I2" s="219"/>
      <c r="J2" s="220"/>
      <c r="K2" s="218" t="str">
        <f>IF(表紙!K2="","",表紙!K2)</f>
        <v>POSサーバー</v>
      </c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20"/>
      <c r="W2" s="28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30"/>
      <c r="AP2" s="218" t="str">
        <f>IF(表紙!AP2="","",表紙!AP2)</f>
        <v>TinNH</v>
      </c>
      <c r="AQ2" s="219"/>
      <c r="AR2" s="219"/>
      <c r="AS2" s="220"/>
      <c r="AT2" s="221">
        <v>45084</v>
      </c>
      <c r="AU2" s="222"/>
      <c r="AV2" s="222"/>
      <c r="AW2" s="222"/>
      <c r="AX2" s="223"/>
      <c r="AY2" s="218" t="str">
        <f>IF(表紙!AY2="","",表紙!AY2)</f>
        <v>TinNH</v>
      </c>
      <c r="AZ2" s="219"/>
      <c r="BA2" s="219"/>
      <c r="BB2" s="220"/>
      <c r="BC2" s="221">
        <f>IF(表紙!BC2="","",表紙!BC2)</f>
        <v>45448</v>
      </c>
      <c r="BD2" s="222"/>
      <c r="BE2" s="222"/>
      <c r="BF2" s="222"/>
      <c r="BG2" s="223"/>
      <c r="BH2" s="218">
        <f>IF(表紙!BH2="","",表紙!BH2)</f>
        <v>0.1</v>
      </c>
      <c r="BI2" s="219"/>
      <c r="BJ2" s="219"/>
      <c r="BK2" s="220"/>
    </row>
    <row r="3" spans="1:63" ht="15" customHeight="1" x14ac:dyDescent="0.25">
      <c r="A3" s="224"/>
      <c r="B3" s="225"/>
      <c r="C3" s="225"/>
      <c r="D3" s="225"/>
      <c r="E3" s="225"/>
      <c r="F3" s="225"/>
      <c r="G3" s="225"/>
      <c r="H3" s="225"/>
      <c r="I3" s="225"/>
      <c r="J3" s="226"/>
      <c r="K3" s="224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6"/>
      <c r="W3" s="31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3"/>
      <c r="AP3" s="224"/>
      <c r="AQ3" s="225"/>
      <c r="AR3" s="225"/>
      <c r="AS3" s="226"/>
      <c r="AT3" s="227"/>
      <c r="AU3" s="228"/>
      <c r="AV3" s="228"/>
      <c r="AW3" s="228"/>
      <c r="AX3" s="229"/>
      <c r="AY3" s="224"/>
      <c r="AZ3" s="225"/>
      <c r="BA3" s="225"/>
      <c r="BB3" s="226"/>
      <c r="BC3" s="227"/>
      <c r="BD3" s="228"/>
      <c r="BE3" s="228"/>
      <c r="BF3" s="228"/>
      <c r="BG3" s="229"/>
      <c r="BH3" s="224"/>
      <c r="BI3" s="225"/>
      <c r="BJ3" s="225"/>
      <c r="BK3" s="226"/>
    </row>
    <row r="4" spans="1:63" ht="24.95" customHeight="1" x14ac:dyDescent="0.25">
      <c r="A4" s="21" t="s">
        <v>1</v>
      </c>
      <c r="B4" s="22"/>
      <c r="C4" s="22"/>
      <c r="D4" s="22"/>
      <c r="E4" s="22"/>
      <c r="F4" s="22"/>
      <c r="G4" s="23"/>
      <c r="H4" s="230" t="str">
        <f>IF(表紙!H4="","",表紙!H4)</f>
        <v>68_サイトログインユーザマスタ設定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21" t="s">
        <v>8</v>
      </c>
      <c r="V4" s="22"/>
      <c r="W4" s="22"/>
      <c r="X4" s="22"/>
      <c r="Y4" s="23"/>
      <c r="Z4" s="230" t="str">
        <f>IF(表紙!Z4="","",表紙!Z4)</f>
        <v>概要設計書</v>
      </c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2"/>
      <c r="AP4" s="230" t="str">
        <f t="array" aca="1" ref="AP4" ca="1">RIGHT(CELL("filename",$A$1),LEN(CELL("filename",$A$1))-FIND("]",CELL("filename",$A$1)))</f>
        <v>業務フロー凡例</v>
      </c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2"/>
    </row>
    <row r="5" spans="1:63" ht="5.0999999999999996" customHeight="1" x14ac:dyDescent="0.25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5"/>
    </row>
    <row r="6" spans="1:63" ht="15" customHeight="1" x14ac:dyDescent="0.25">
      <c r="A6" s="236"/>
      <c r="B6" s="237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9"/>
      <c r="AF6" s="237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I6" s="239"/>
      <c r="BJ6" s="238"/>
      <c r="BK6" s="240"/>
    </row>
    <row r="7" spans="1:63" ht="15" customHeight="1" x14ac:dyDescent="0.25">
      <c r="A7" s="236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240"/>
    </row>
    <row r="8" spans="1:63" ht="15" customHeight="1" x14ac:dyDescent="0.25">
      <c r="A8" s="236"/>
      <c r="B8" s="237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39"/>
      <c r="AF8" s="237"/>
      <c r="AG8" s="238"/>
      <c r="AH8" s="238"/>
      <c r="AI8" s="238"/>
      <c r="AJ8" s="238"/>
      <c r="AK8" s="238"/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9"/>
      <c r="BJ8" s="238"/>
      <c r="BK8" s="240"/>
    </row>
    <row r="9" spans="1:63" ht="15" customHeight="1" x14ac:dyDescent="0.25">
      <c r="A9" s="236"/>
      <c r="B9" s="237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9"/>
      <c r="AF9" s="237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9"/>
      <c r="BJ9" s="238"/>
      <c r="BK9" s="240"/>
    </row>
    <row r="10" spans="1:63" ht="15" customHeight="1" x14ac:dyDescent="0.25">
      <c r="A10" s="236"/>
      <c r="B10" s="237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9"/>
      <c r="AF10" s="237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9"/>
      <c r="BJ10" s="238"/>
      <c r="BK10" s="240"/>
    </row>
    <row r="11" spans="1:63" ht="15" customHeight="1" x14ac:dyDescent="0.25">
      <c r="A11" s="236"/>
      <c r="B11" s="237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9"/>
      <c r="AF11" s="237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9"/>
      <c r="BJ11" s="238"/>
      <c r="BK11" s="240"/>
    </row>
    <row r="12" spans="1:63" ht="15" customHeight="1" x14ac:dyDescent="0.25">
      <c r="A12" s="236"/>
      <c r="B12" s="237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9"/>
      <c r="AF12" s="237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9"/>
      <c r="BJ12" s="238"/>
      <c r="BK12" s="240"/>
    </row>
    <row r="13" spans="1:63" ht="15" customHeight="1" x14ac:dyDescent="0.25">
      <c r="A13" s="236"/>
      <c r="B13" s="237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9"/>
      <c r="AF13" s="237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9"/>
      <c r="BJ13" s="238"/>
      <c r="BK13" s="240"/>
    </row>
    <row r="14" spans="1:63" ht="15" customHeight="1" x14ac:dyDescent="0.25">
      <c r="A14" s="236"/>
      <c r="B14" s="23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9"/>
      <c r="AF14" s="237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9"/>
      <c r="BJ14" s="238"/>
      <c r="BK14" s="240"/>
    </row>
    <row r="15" spans="1:63" ht="15" customHeight="1" x14ac:dyDescent="0.25">
      <c r="A15" s="236"/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9"/>
      <c r="AF15" s="237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9"/>
      <c r="BJ15" s="238"/>
      <c r="BK15" s="240"/>
    </row>
    <row r="16" spans="1:63" ht="15" customHeight="1" x14ac:dyDescent="0.25">
      <c r="A16" s="236"/>
      <c r="B16" s="237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9"/>
      <c r="AF16" s="237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9"/>
      <c r="BJ16" s="238"/>
      <c r="BK16" s="240"/>
    </row>
    <row r="17" spans="1:63" ht="15" customHeight="1" x14ac:dyDescent="0.25">
      <c r="A17" s="236"/>
      <c r="B17" s="237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9"/>
      <c r="AF17" s="237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9"/>
      <c r="BJ17" s="238"/>
      <c r="BK17" s="240"/>
    </row>
    <row r="18" spans="1:63" ht="15" customHeight="1" x14ac:dyDescent="0.25">
      <c r="A18" s="236"/>
      <c r="B18" s="237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9"/>
      <c r="AF18" s="237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9"/>
      <c r="BJ18" s="238"/>
      <c r="BK18" s="240"/>
    </row>
    <row r="19" spans="1:63" ht="15" customHeight="1" x14ac:dyDescent="0.25">
      <c r="A19" s="236"/>
      <c r="B19" s="237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9"/>
      <c r="AF19" s="237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9"/>
      <c r="BJ19" s="238"/>
      <c r="BK19" s="240"/>
    </row>
    <row r="20" spans="1:63" ht="15" customHeight="1" x14ac:dyDescent="0.25">
      <c r="A20" s="236"/>
      <c r="B20" s="237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9"/>
      <c r="AF20" s="237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9"/>
      <c r="BJ20" s="238"/>
      <c r="BK20" s="240"/>
    </row>
    <row r="21" spans="1:63" ht="15" customHeight="1" x14ac:dyDescent="0.25">
      <c r="A21" s="236"/>
      <c r="B21" s="237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9"/>
      <c r="AF21" s="237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9"/>
      <c r="BJ21" s="238"/>
      <c r="BK21" s="240"/>
    </row>
    <row r="22" spans="1:63" ht="15" customHeight="1" x14ac:dyDescent="0.25">
      <c r="A22" s="236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240"/>
    </row>
    <row r="23" spans="1:63" ht="15" customHeight="1" x14ac:dyDescent="0.25">
      <c r="A23" s="236"/>
      <c r="B23" s="237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9"/>
      <c r="AF23" s="237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9"/>
      <c r="BJ23" s="238"/>
      <c r="BK23" s="240"/>
    </row>
    <row r="24" spans="1:63" ht="15" customHeight="1" x14ac:dyDescent="0.25">
      <c r="A24" s="236"/>
      <c r="B24" s="237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9"/>
      <c r="AF24" s="237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9"/>
      <c r="BJ24" s="238"/>
      <c r="BK24" s="240"/>
    </row>
    <row r="25" spans="1:63" ht="15" customHeight="1" x14ac:dyDescent="0.25">
      <c r="A25" s="236"/>
      <c r="B25" s="237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9"/>
      <c r="AF25" s="237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9"/>
      <c r="BJ25" s="238"/>
      <c r="BK25" s="240"/>
    </row>
    <row r="26" spans="1:63" ht="15" customHeight="1" x14ac:dyDescent="0.25">
      <c r="A26" s="236"/>
      <c r="B26" s="237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9"/>
      <c r="AF26" s="237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9"/>
      <c r="BJ26" s="238"/>
      <c r="BK26" s="240"/>
    </row>
    <row r="27" spans="1:63" ht="15" customHeight="1" x14ac:dyDescent="0.25">
      <c r="A27" s="236"/>
      <c r="B27" s="237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9"/>
      <c r="AF27" s="237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9"/>
      <c r="BJ27" s="238"/>
      <c r="BK27" s="240"/>
    </row>
    <row r="28" spans="1:63" ht="15" customHeight="1" x14ac:dyDescent="0.25">
      <c r="A28" s="236"/>
      <c r="B28" s="237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9"/>
      <c r="AF28" s="237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9"/>
      <c r="BJ28" s="238"/>
      <c r="BK28" s="240"/>
    </row>
    <row r="29" spans="1:63" ht="15" customHeight="1" x14ac:dyDescent="0.25">
      <c r="A29" s="236"/>
      <c r="B29" s="237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9"/>
      <c r="AF29" s="237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9"/>
      <c r="BJ29" s="238"/>
      <c r="BK29" s="240"/>
    </row>
    <row r="30" spans="1:63" ht="15" customHeight="1" x14ac:dyDescent="0.25">
      <c r="A30" s="236"/>
      <c r="B30" s="237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9"/>
      <c r="AF30" s="237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8"/>
      <c r="BI30" s="239"/>
      <c r="BJ30" s="238"/>
      <c r="BK30" s="240"/>
    </row>
    <row r="31" spans="1:63" ht="15" customHeight="1" x14ac:dyDescent="0.25">
      <c r="A31" s="236"/>
      <c r="B31" s="237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9"/>
      <c r="AF31" s="237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  <c r="BE31" s="238"/>
      <c r="BF31" s="238"/>
      <c r="BG31" s="238"/>
      <c r="BH31" s="238"/>
      <c r="BI31" s="239"/>
      <c r="BJ31" s="238"/>
      <c r="BK31" s="240"/>
    </row>
    <row r="32" spans="1:63" ht="15" customHeight="1" x14ac:dyDescent="0.25">
      <c r="A32" s="236"/>
      <c r="B32" s="237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9"/>
      <c r="AF32" s="237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/>
      <c r="BG32" s="238"/>
      <c r="BH32" s="238"/>
      <c r="BI32" s="239"/>
      <c r="BJ32" s="238"/>
      <c r="BK32" s="240"/>
    </row>
    <row r="33" spans="1:63" ht="15" customHeight="1" x14ac:dyDescent="0.25">
      <c r="A33" s="236"/>
      <c r="B33" s="237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9"/>
      <c r="AF33" s="237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238"/>
      <c r="BI33" s="239"/>
      <c r="BJ33" s="238"/>
      <c r="BK33" s="240"/>
    </row>
    <row r="34" spans="1:63" ht="15" customHeight="1" x14ac:dyDescent="0.25">
      <c r="A34" s="236"/>
      <c r="B34" s="237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9"/>
      <c r="AF34" s="237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8"/>
      <c r="BI34" s="239"/>
      <c r="BJ34" s="238"/>
      <c r="BK34" s="240"/>
    </row>
    <row r="35" spans="1:63" ht="15" customHeight="1" x14ac:dyDescent="0.25">
      <c r="A35" s="236"/>
      <c r="B35" s="237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9"/>
      <c r="AF35" s="237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9"/>
      <c r="BJ35" s="238"/>
      <c r="BK35" s="240"/>
    </row>
    <row r="36" spans="1:63" ht="15" customHeight="1" x14ac:dyDescent="0.25">
      <c r="A36" s="236"/>
      <c r="B36" s="237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9"/>
      <c r="AF36" s="237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9"/>
      <c r="BJ36" s="238"/>
      <c r="BK36" s="240"/>
    </row>
    <row r="37" spans="1:63" ht="15" customHeight="1" x14ac:dyDescent="0.25">
      <c r="A37" s="236"/>
      <c r="B37" s="237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7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8"/>
      <c r="BI37" s="239"/>
      <c r="BJ37" s="238"/>
      <c r="BK37" s="240"/>
    </row>
    <row r="38" spans="1:63" ht="15" customHeight="1" x14ac:dyDescent="0.25">
      <c r="A38" s="236"/>
      <c r="B38" s="237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7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9"/>
      <c r="BJ38" s="238"/>
      <c r="BK38" s="240"/>
    </row>
    <row r="39" spans="1:63" ht="15" customHeight="1" x14ac:dyDescent="0.25">
      <c r="A39" s="236"/>
      <c r="B39" s="237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7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9"/>
      <c r="BJ39" s="238"/>
      <c r="BK39" s="240"/>
    </row>
    <row r="40" spans="1:63" ht="15" customHeight="1" x14ac:dyDescent="0.25">
      <c r="A40" s="236"/>
      <c r="B40" s="237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7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9"/>
      <c r="BJ40" s="238"/>
      <c r="BK40" s="240"/>
    </row>
    <row r="41" spans="1:63" ht="15" customHeight="1" x14ac:dyDescent="0.25">
      <c r="A41" s="236"/>
      <c r="B41" s="237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7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9"/>
      <c r="BJ41" s="238"/>
      <c r="BK41" s="240"/>
    </row>
    <row r="42" spans="1:63" ht="15" customHeight="1" x14ac:dyDescent="0.25">
      <c r="A42" s="236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240"/>
    </row>
    <row r="43" spans="1:63" ht="15" customHeight="1" x14ac:dyDescent="0.25">
      <c r="A43" s="236"/>
      <c r="B43" s="237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9"/>
      <c r="AF43" s="237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9"/>
      <c r="BJ43" s="238"/>
      <c r="BK43" s="240"/>
    </row>
    <row r="44" spans="1:63" ht="15" customHeight="1" x14ac:dyDescent="0.25">
      <c r="A44" s="236"/>
      <c r="B44" s="237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9"/>
      <c r="AF44" s="237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  <c r="BE44" s="238"/>
      <c r="BF44" s="238"/>
      <c r="BG44" s="238"/>
      <c r="BH44" s="238"/>
      <c r="BI44" s="239"/>
      <c r="BJ44" s="238"/>
      <c r="BK44" s="240"/>
    </row>
    <row r="45" spans="1:63" ht="15" customHeight="1" x14ac:dyDescent="0.25">
      <c r="A45" s="236"/>
      <c r="B45" s="237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9"/>
      <c r="AF45" s="237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9"/>
      <c r="BJ45" s="238"/>
      <c r="BK45" s="240"/>
    </row>
    <row r="46" spans="1:63" ht="15" customHeight="1" x14ac:dyDescent="0.25">
      <c r="A46" s="236"/>
      <c r="B46" s="237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9"/>
      <c r="AF46" s="237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  <c r="AW46" s="238"/>
      <c r="AX46" s="238"/>
      <c r="AY46" s="238"/>
      <c r="AZ46" s="238"/>
      <c r="BA46" s="238"/>
      <c r="BB46" s="238"/>
      <c r="BC46" s="238"/>
      <c r="BD46" s="238"/>
      <c r="BE46" s="238"/>
      <c r="BF46" s="238"/>
      <c r="BG46" s="238"/>
      <c r="BH46" s="238"/>
      <c r="BI46" s="239"/>
      <c r="BJ46" s="238"/>
      <c r="BK46" s="240"/>
    </row>
    <row r="47" spans="1:63" ht="15" customHeight="1" x14ac:dyDescent="0.25">
      <c r="A47" s="236"/>
      <c r="B47" s="237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9"/>
      <c r="AF47" s="237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238"/>
      <c r="BC47" s="238"/>
      <c r="BD47" s="238"/>
      <c r="BE47" s="238"/>
      <c r="BF47" s="238"/>
      <c r="BG47" s="238"/>
      <c r="BH47" s="238"/>
      <c r="BI47" s="239"/>
      <c r="BJ47" s="238"/>
      <c r="BK47" s="240"/>
    </row>
    <row r="48" spans="1:63" ht="15" customHeight="1" x14ac:dyDescent="0.25">
      <c r="A48" s="236"/>
      <c r="B48" s="237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9"/>
      <c r="AF48" s="237"/>
      <c r="AG48" s="238"/>
      <c r="AH48" s="238"/>
      <c r="AI48" s="238"/>
      <c r="AJ48" s="238"/>
      <c r="AK48" s="238"/>
      <c r="AL48" s="238"/>
      <c r="AM48" s="238"/>
      <c r="AN48" s="238"/>
      <c r="AO48" s="238"/>
      <c r="AP48" s="238"/>
      <c r="AQ48" s="238"/>
      <c r="AR48" s="238"/>
      <c r="AS48" s="238"/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38"/>
      <c r="BI48" s="239"/>
      <c r="BJ48" s="238"/>
      <c r="BK48" s="240"/>
    </row>
    <row r="49" spans="1:63" ht="15" customHeight="1" x14ac:dyDescent="0.25">
      <c r="A49" s="236"/>
      <c r="B49" s="237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7"/>
      <c r="AG49" s="238"/>
      <c r="AH49" s="238"/>
      <c r="AI49" s="238"/>
      <c r="AJ49" s="238"/>
      <c r="AK49" s="238"/>
      <c r="AL49" s="238"/>
      <c r="AM49" s="238"/>
      <c r="AN49" s="238"/>
      <c r="AO49" s="238"/>
      <c r="AP49" s="238"/>
      <c r="AQ49" s="238"/>
      <c r="AR49" s="238"/>
      <c r="AS49" s="238"/>
      <c r="AT49" s="238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38"/>
      <c r="BI49" s="239"/>
      <c r="BJ49" s="238"/>
      <c r="BK49" s="240"/>
    </row>
    <row r="50" spans="1:63" ht="15" customHeight="1" x14ac:dyDescent="0.25">
      <c r="A50" s="236"/>
      <c r="B50" s="237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7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8"/>
      <c r="AY50" s="238"/>
      <c r="AZ50" s="238"/>
      <c r="BA50" s="238"/>
      <c r="BB50" s="238"/>
      <c r="BC50" s="238"/>
      <c r="BD50" s="238"/>
      <c r="BE50" s="238"/>
      <c r="BF50" s="238"/>
      <c r="BG50" s="238"/>
      <c r="BH50" s="238"/>
      <c r="BI50" s="239"/>
      <c r="BJ50" s="238"/>
      <c r="BK50" s="240"/>
    </row>
    <row r="51" spans="1:63" ht="15" customHeight="1" x14ac:dyDescent="0.25">
      <c r="A51" s="236"/>
      <c r="B51" s="237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7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38"/>
      <c r="AS51" s="238"/>
      <c r="AT51" s="238"/>
      <c r="AU51" s="238"/>
      <c r="AV51" s="238"/>
      <c r="AW51" s="238"/>
      <c r="AX51" s="238"/>
      <c r="AY51" s="238"/>
      <c r="AZ51" s="238"/>
      <c r="BA51" s="238"/>
      <c r="BB51" s="238"/>
      <c r="BC51" s="238"/>
      <c r="BD51" s="238"/>
      <c r="BE51" s="238"/>
      <c r="BF51" s="238"/>
      <c r="BG51" s="238"/>
      <c r="BH51" s="238"/>
      <c r="BI51" s="239"/>
      <c r="BJ51" s="238"/>
      <c r="BK51" s="240"/>
    </row>
    <row r="52" spans="1:63" ht="15" customHeight="1" x14ac:dyDescent="0.25">
      <c r="A52" s="236"/>
      <c r="B52" s="237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7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238"/>
      <c r="BH52" s="238"/>
      <c r="BI52" s="239"/>
      <c r="BJ52" s="238"/>
      <c r="BK52" s="240"/>
    </row>
    <row r="53" spans="1:63" ht="15" customHeight="1" x14ac:dyDescent="0.25">
      <c r="A53" s="236"/>
      <c r="B53" s="237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7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  <c r="AW53" s="238"/>
      <c r="AX53" s="238"/>
      <c r="AY53" s="238"/>
      <c r="AZ53" s="238"/>
      <c r="BA53" s="238"/>
      <c r="BB53" s="238"/>
      <c r="BC53" s="238"/>
      <c r="BD53" s="238"/>
      <c r="BE53" s="238"/>
      <c r="BF53" s="238"/>
      <c r="BG53" s="238"/>
      <c r="BH53" s="238"/>
      <c r="BI53" s="239"/>
      <c r="BJ53" s="238"/>
      <c r="BK53" s="240"/>
    </row>
    <row r="54" spans="1:63" ht="15" customHeight="1" x14ac:dyDescent="0.25">
      <c r="A54" s="236"/>
      <c r="B54" s="237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7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  <c r="AQ54" s="238"/>
      <c r="AR54" s="238"/>
      <c r="AS54" s="238"/>
      <c r="AT54" s="238"/>
      <c r="AU54" s="238"/>
      <c r="AV54" s="238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238"/>
      <c r="BH54" s="238"/>
      <c r="BI54" s="239"/>
      <c r="BJ54" s="238"/>
      <c r="BK54" s="240"/>
    </row>
    <row r="55" spans="1:63" ht="15" customHeight="1" x14ac:dyDescent="0.25">
      <c r="A55" s="236"/>
      <c r="B55" s="237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7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  <c r="AQ55" s="238"/>
      <c r="AR55" s="238"/>
      <c r="AS55" s="238"/>
      <c r="AT55" s="238"/>
      <c r="AU55" s="238"/>
      <c r="AV55" s="238"/>
      <c r="AW55" s="238"/>
      <c r="AX55" s="238"/>
      <c r="AY55" s="238"/>
      <c r="AZ55" s="238"/>
      <c r="BA55" s="238"/>
      <c r="BB55" s="238"/>
      <c r="BC55" s="238"/>
      <c r="BD55" s="238"/>
      <c r="BE55" s="238"/>
      <c r="BF55" s="238"/>
      <c r="BG55" s="238"/>
      <c r="BH55" s="238"/>
      <c r="BI55" s="239"/>
      <c r="BJ55" s="238"/>
      <c r="BK55" s="240"/>
    </row>
    <row r="56" spans="1:63" ht="15" customHeight="1" x14ac:dyDescent="0.25">
      <c r="A56" s="236"/>
      <c r="B56" s="237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7"/>
      <c r="AG56" s="238"/>
      <c r="AH56" s="238"/>
      <c r="AI56" s="238"/>
      <c r="AJ56" s="238"/>
      <c r="AK56" s="238"/>
      <c r="AL56" s="238"/>
      <c r="AM56" s="238"/>
      <c r="AN56" s="238"/>
      <c r="AO56" s="238"/>
      <c r="AP56" s="238"/>
      <c r="AQ56" s="238"/>
      <c r="AR56" s="238"/>
      <c r="AS56" s="238"/>
      <c r="AT56" s="238"/>
      <c r="AU56" s="238"/>
      <c r="AV56" s="238"/>
      <c r="AW56" s="238"/>
      <c r="AX56" s="238"/>
      <c r="AY56" s="238"/>
      <c r="AZ56" s="238"/>
      <c r="BA56" s="238"/>
      <c r="BB56" s="238"/>
      <c r="BC56" s="238"/>
      <c r="BD56" s="238"/>
      <c r="BE56" s="238"/>
      <c r="BF56" s="238"/>
      <c r="BG56" s="238"/>
      <c r="BH56" s="238"/>
      <c r="BI56" s="239"/>
      <c r="BJ56" s="238"/>
      <c r="BK56" s="240"/>
    </row>
    <row r="57" spans="1:63" ht="15" customHeight="1" x14ac:dyDescent="0.25">
      <c r="A57" s="236"/>
      <c r="B57" s="237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7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/>
      <c r="BH57" s="238"/>
      <c r="BI57" s="239"/>
      <c r="BJ57" s="238"/>
      <c r="BK57" s="240"/>
    </row>
    <row r="58" spans="1:63" ht="15" customHeight="1" x14ac:dyDescent="0.25">
      <c r="A58" s="236"/>
      <c r="B58" s="237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7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38"/>
      <c r="AS58" s="238"/>
      <c r="AT58" s="238"/>
      <c r="AU58" s="238"/>
      <c r="AV58" s="238"/>
      <c r="AW58" s="238"/>
      <c r="AX58" s="238"/>
      <c r="AY58" s="238"/>
      <c r="AZ58" s="238"/>
      <c r="BA58" s="238"/>
      <c r="BB58" s="238"/>
      <c r="BC58" s="238"/>
      <c r="BD58" s="238"/>
      <c r="BE58" s="238"/>
      <c r="BF58" s="238"/>
      <c r="BG58" s="238"/>
      <c r="BH58" s="238"/>
      <c r="BI58" s="239"/>
      <c r="BJ58" s="238"/>
      <c r="BK58" s="240"/>
    </row>
    <row r="59" spans="1:63" ht="15" customHeight="1" x14ac:dyDescent="0.25">
      <c r="A59" s="236"/>
      <c r="B59" s="237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7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  <c r="AW59" s="238"/>
      <c r="AX59" s="238"/>
      <c r="AY59" s="238"/>
      <c r="AZ59" s="238"/>
      <c r="BA59" s="238"/>
      <c r="BB59" s="238"/>
      <c r="BC59" s="238"/>
      <c r="BD59" s="238"/>
      <c r="BE59" s="238"/>
      <c r="BF59" s="238"/>
      <c r="BG59" s="238"/>
      <c r="BH59" s="238"/>
      <c r="BI59" s="239"/>
      <c r="BJ59" s="238"/>
      <c r="BK59" s="240"/>
    </row>
    <row r="60" spans="1:63" ht="15" customHeight="1" x14ac:dyDescent="0.25">
      <c r="A60" s="236"/>
      <c r="B60" s="237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7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  <c r="AV60" s="238"/>
      <c r="AW60" s="238"/>
      <c r="AX60" s="238"/>
      <c r="AY60" s="238"/>
      <c r="AZ60" s="238"/>
      <c r="BA60" s="238"/>
      <c r="BB60" s="238"/>
      <c r="BC60" s="238"/>
      <c r="BD60" s="238"/>
      <c r="BE60" s="238"/>
      <c r="BF60" s="238"/>
      <c r="BG60" s="238"/>
      <c r="BH60" s="238"/>
      <c r="BI60" s="239"/>
      <c r="BJ60" s="238"/>
      <c r="BK60" s="240"/>
    </row>
    <row r="61" spans="1:63" ht="15" customHeight="1" x14ac:dyDescent="0.25">
      <c r="A61" s="236"/>
      <c r="B61" s="237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7"/>
      <c r="AG61" s="238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  <c r="AR61" s="238"/>
      <c r="AS61" s="238"/>
      <c r="AT61" s="238"/>
      <c r="AU61" s="238"/>
      <c r="AV61" s="238"/>
      <c r="AW61" s="238"/>
      <c r="AX61" s="238"/>
      <c r="AY61" s="238"/>
      <c r="AZ61" s="238"/>
      <c r="BA61" s="238"/>
      <c r="BB61" s="238"/>
      <c r="BC61" s="238"/>
      <c r="BD61" s="238"/>
      <c r="BE61" s="238"/>
      <c r="BF61" s="238"/>
      <c r="BG61" s="238"/>
      <c r="BH61" s="238"/>
      <c r="BI61" s="239"/>
      <c r="BJ61" s="238"/>
      <c r="BK61" s="240"/>
    </row>
    <row r="62" spans="1:63" ht="15" customHeight="1" x14ac:dyDescent="0.25">
      <c r="A62" s="241"/>
      <c r="B62" s="242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3"/>
      <c r="AF62" s="242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1"/>
      <c r="BA62" s="241"/>
      <c r="BB62" s="241"/>
      <c r="BC62" s="241"/>
      <c r="BD62" s="241"/>
      <c r="BE62" s="241"/>
      <c r="BF62" s="241"/>
      <c r="BG62" s="241"/>
      <c r="BH62" s="241"/>
      <c r="BI62" s="243"/>
      <c r="BJ62" s="241"/>
      <c r="BK62" s="24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50" customWidth="1"/>
    <col min="66" max="16384" width="2.77734375" style="150"/>
  </cols>
  <sheetData>
    <row r="1" spans="1:65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基本設計書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5" ht="15" customHeight="1" x14ac:dyDescent="0.25">
      <c r="A2" s="153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3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5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5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tr">
        <f>IF(表紙!H4="","",表紙!H4)</f>
        <v>68_サイトログインユーザマスタ設定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機能概要説明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5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5" ht="15" customHeight="1" x14ac:dyDescent="0.25">
      <c r="A6" s="181"/>
      <c r="BK6" s="182"/>
    </row>
    <row r="7" spans="1:65" ht="15" customHeight="1" x14ac:dyDescent="0.25">
      <c r="A7" s="181"/>
      <c r="B7" s="150" t="s">
        <v>31</v>
      </c>
      <c r="K7" s="245"/>
      <c r="BK7" s="182"/>
      <c r="BM7" s="4">
        <f t="shared" ref="BM7:BM11" si="0">IF(BM6=50,1,BM6+1)</f>
        <v>1</v>
      </c>
    </row>
    <row r="8" spans="1:65" ht="15" customHeight="1" x14ac:dyDescent="0.25">
      <c r="A8" s="181"/>
      <c r="C8" s="18" t="s">
        <v>32</v>
      </c>
      <c r="K8" s="245"/>
      <c r="BK8" s="182"/>
      <c r="BM8" s="4">
        <f t="shared" si="0"/>
        <v>2</v>
      </c>
    </row>
    <row r="9" spans="1:65" ht="15" customHeight="1" x14ac:dyDescent="0.25">
      <c r="A9" s="181"/>
      <c r="C9" s="18" t="s">
        <v>34</v>
      </c>
      <c r="K9" s="245"/>
      <c r="BK9" s="182"/>
      <c r="BM9" s="4">
        <f t="shared" si="0"/>
        <v>3</v>
      </c>
    </row>
    <row r="10" spans="1:65" ht="15" customHeight="1" x14ac:dyDescent="0.25">
      <c r="A10" s="181"/>
      <c r="D10" s="246" t="s">
        <v>35</v>
      </c>
      <c r="K10" s="245"/>
      <c r="BK10" s="182"/>
      <c r="BM10" s="4">
        <f t="shared" si="0"/>
        <v>4</v>
      </c>
    </row>
    <row r="11" spans="1:65" s="245" customFormat="1" ht="15" customHeight="1" x14ac:dyDescent="0.25">
      <c r="A11" s="247"/>
      <c r="D11" s="248" t="s">
        <v>36</v>
      </c>
      <c r="BK11" s="249"/>
      <c r="BM11" s="4">
        <f t="shared" si="0"/>
        <v>5</v>
      </c>
    </row>
    <row r="12" spans="1:65" s="245" customFormat="1" ht="15" customHeight="1" x14ac:dyDescent="0.25">
      <c r="A12" s="247"/>
      <c r="D12" s="248" t="s">
        <v>37</v>
      </c>
      <c r="BK12" s="249"/>
      <c r="BM12" s="4">
        <f t="shared" ref="BM12:BM44" si="1">IF(BM11=50,1,BM11+1)</f>
        <v>6</v>
      </c>
    </row>
    <row r="13" spans="1:65" s="245" customFormat="1" ht="15" customHeight="1" x14ac:dyDescent="0.25">
      <c r="A13" s="247"/>
      <c r="BK13" s="249"/>
      <c r="BM13" s="4">
        <f t="shared" si="1"/>
        <v>7</v>
      </c>
    </row>
    <row r="14" spans="1:65" s="245" customFormat="1" ht="15" customHeight="1" x14ac:dyDescent="0.25">
      <c r="A14" s="247"/>
      <c r="BK14" s="249"/>
      <c r="BM14" s="4">
        <f t="shared" si="1"/>
        <v>8</v>
      </c>
    </row>
    <row r="15" spans="1:65" s="245" customFormat="1" ht="15" customHeight="1" x14ac:dyDescent="0.25">
      <c r="A15" s="247"/>
      <c r="BK15" s="249"/>
      <c r="BM15" s="4">
        <f t="shared" si="1"/>
        <v>9</v>
      </c>
    </row>
    <row r="16" spans="1:65" s="245" customFormat="1" ht="15" customHeight="1" x14ac:dyDescent="0.25">
      <c r="A16" s="247"/>
      <c r="BK16" s="249"/>
      <c r="BM16" s="4">
        <f t="shared" si="1"/>
        <v>10</v>
      </c>
    </row>
    <row r="17" spans="1:65" s="245" customFormat="1" ht="15" customHeight="1" x14ac:dyDescent="0.25">
      <c r="A17" s="247"/>
      <c r="BK17" s="249"/>
      <c r="BM17" s="4">
        <f t="shared" si="1"/>
        <v>11</v>
      </c>
    </row>
    <row r="18" spans="1:65" s="245" customFormat="1" ht="15" customHeight="1" x14ac:dyDescent="0.25">
      <c r="A18" s="247"/>
      <c r="BK18" s="249"/>
      <c r="BM18" s="4">
        <f t="shared" si="1"/>
        <v>12</v>
      </c>
    </row>
    <row r="19" spans="1:65" s="245" customFormat="1" ht="15" customHeight="1" x14ac:dyDescent="0.25">
      <c r="A19" s="247"/>
      <c r="BK19" s="249"/>
      <c r="BM19" s="4">
        <f t="shared" si="1"/>
        <v>13</v>
      </c>
    </row>
    <row r="20" spans="1:65" s="245" customFormat="1" ht="15" customHeight="1" x14ac:dyDescent="0.25">
      <c r="A20" s="247"/>
      <c r="BK20" s="249"/>
      <c r="BM20" s="4">
        <f t="shared" si="1"/>
        <v>14</v>
      </c>
    </row>
    <row r="21" spans="1:65" s="245" customFormat="1" ht="15" customHeight="1" x14ac:dyDescent="0.25">
      <c r="A21" s="247"/>
      <c r="BK21" s="249"/>
      <c r="BM21" s="4">
        <f t="shared" si="1"/>
        <v>15</v>
      </c>
    </row>
    <row r="22" spans="1:65" s="245" customFormat="1" ht="15" customHeight="1" x14ac:dyDescent="0.25">
      <c r="A22" s="247"/>
      <c r="BK22" s="249"/>
      <c r="BM22" s="4">
        <f t="shared" si="1"/>
        <v>16</v>
      </c>
    </row>
    <row r="23" spans="1:65" s="245" customFormat="1" ht="15" customHeight="1" x14ac:dyDescent="0.25">
      <c r="A23" s="247"/>
      <c r="BK23" s="249"/>
      <c r="BM23" s="4">
        <f t="shared" si="1"/>
        <v>17</v>
      </c>
    </row>
    <row r="24" spans="1:65" s="245" customFormat="1" ht="15" customHeight="1" x14ac:dyDescent="0.25">
      <c r="A24" s="247"/>
      <c r="BK24" s="249"/>
      <c r="BM24" s="4">
        <f t="shared" si="1"/>
        <v>18</v>
      </c>
    </row>
    <row r="25" spans="1:65" s="245" customFormat="1" ht="15" customHeight="1" x14ac:dyDescent="0.25">
      <c r="A25" s="247"/>
      <c r="BK25" s="249"/>
      <c r="BM25" s="4">
        <f t="shared" si="1"/>
        <v>19</v>
      </c>
    </row>
    <row r="26" spans="1:65" s="245" customFormat="1" ht="15" customHeight="1" x14ac:dyDescent="0.25">
      <c r="A26" s="247"/>
      <c r="BK26" s="249"/>
      <c r="BM26" s="4">
        <f t="shared" si="1"/>
        <v>20</v>
      </c>
    </row>
    <row r="27" spans="1:65" s="245" customFormat="1" ht="15" customHeight="1" x14ac:dyDescent="0.25">
      <c r="A27" s="247"/>
      <c r="BK27" s="249"/>
      <c r="BM27" s="4">
        <f t="shared" si="1"/>
        <v>21</v>
      </c>
    </row>
    <row r="28" spans="1:65" s="245" customFormat="1" ht="15" customHeight="1" x14ac:dyDescent="0.25">
      <c r="A28" s="247"/>
      <c r="BK28" s="249"/>
      <c r="BM28" s="4">
        <f t="shared" si="1"/>
        <v>22</v>
      </c>
    </row>
    <row r="29" spans="1:65" s="245" customFormat="1" ht="15" customHeight="1" x14ac:dyDescent="0.25">
      <c r="A29" s="247"/>
      <c r="BK29" s="249"/>
      <c r="BM29" s="4">
        <f t="shared" si="1"/>
        <v>23</v>
      </c>
    </row>
    <row r="30" spans="1:65" s="245" customFormat="1" ht="15" customHeight="1" x14ac:dyDescent="0.25">
      <c r="A30" s="247"/>
      <c r="BK30" s="249"/>
      <c r="BM30" s="4">
        <f t="shared" si="1"/>
        <v>24</v>
      </c>
    </row>
    <row r="31" spans="1:65" s="245" customFormat="1" ht="15" customHeight="1" x14ac:dyDescent="0.25">
      <c r="A31" s="247"/>
      <c r="BK31" s="249"/>
      <c r="BM31" s="4">
        <f t="shared" si="1"/>
        <v>25</v>
      </c>
    </row>
    <row r="32" spans="1:65" s="245" customFormat="1" ht="15" customHeight="1" x14ac:dyDescent="0.25">
      <c r="A32" s="247"/>
      <c r="BK32" s="249"/>
      <c r="BM32" s="4">
        <f t="shared" si="1"/>
        <v>26</v>
      </c>
    </row>
    <row r="33" spans="1:65" s="245" customFormat="1" ht="15" customHeight="1" x14ac:dyDescent="0.25">
      <c r="A33" s="247"/>
      <c r="BK33" s="249"/>
      <c r="BM33" s="4">
        <f t="shared" si="1"/>
        <v>27</v>
      </c>
    </row>
    <row r="34" spans="1:65" s="245" customFormat="1" ht="15" customHeight="1" x14ac:dyDescent="0.25">
      <c r="A34" s="247"/>
      <c r="BK34" s="249"/>
      <c r="BM34" s="4">
        <f t="shared" si="1"/>
        <v>28</v>
      </c>
    </row>
    <row r="35" spans="1:65" s="245" customFormat="1" ht="15" customHeight="1" x14ac:dyDescent="0.25">
      <c r="A35" s="247"/>
      <c r="BK35" s="249"/>
      <c r="BM35" s="4">
        <f t="shared" si="1"/>
        <v>29</v>
      </c>
    </row>
    <row r="36" spans="1:65" s="245" customFormat="1" ht="15" customHeight="1" x14ac:dyDescent="0.25">
      <c r="A36" s="247"/>
      <c r="BK36" s="249"/>
      <c r="BM36" s="4">
        <f t="shared" si="1"/>
        <v>30</v>
      </c>
    </row>
    <row r="37" spans="1:65" s="245" customFormat="1" ht="15" customHeight="1" x14ac:dyDescent="0.25">
      <c r="A37" s="247"/>
      <c r="BK37" s="249"/>
      <c r="BM37" s="4">
        <f t="shared" si="1"/>
        <v>31</v>
      </c>
    </row>
    <row r="38" spans="1:65" s="245" customFormat="1" ht="15" customHeight="1" x14ac:dyDescent="0.25">
      <c r="A38" s="247"/>
      <c r="BK38" s="249"/>
      <c r="BM38" s="4">
        <f t="shared" si="1"/>
        <v>32</v>
      </c>
    </row>
    <row r="39" spans="1:65" s="245" customFormat="1" ht="15" customHeight="1" x14ac:dyDescent="0.25">
      <c r="A39" s="247"/>
      <c r="BK39" s="249"/>
      <c r="BM39" s="4">
        <f t="shared" si="1"/>
        <v>33</v>
      </c>
    </row>
    <row r="40" spans="1:65" s="245" customFormat="1" ht="15" customHeight="1" x14ac:dyDescent="0.25">
      <c r="A40" s="247"/>
      <c r="BK40" s="249"/>
      <c r="BM40" s="4">
        <f t="shared" si="1"/>
        <v>34</v>
      </c>
    </row>
    <row r="41" spans="1:65" s="245" customFormat="1" ht="15" customHeight="1" x14ac:dyDescent="0.25">
      <c r="A41" s="247"/>
      <c r="BK41" s="249"/>
      <c r="BM41" s="4">
        <f t="shared" si="1"/>
        <v>35</v>
      </c>
    </row>
    <row r="42" spans="1:65" s="245" customFormat="1" ht="15" customHeight="1" x14ac:dyDescent="0.25">
      <c r="A42" s="247"/>
      <c r="BK42" s="249"/>
      <c r="BM42" s="4">
        <f t="shared" si="1"/>
        <v>36</v>
      </c>
    </row>
    <row r="43" spans="1:65" s="245" customFormat="1" ht="15" customHeight="1" x14ac:dyDescent="0.25">
      <c r="A43" s="247"/>
      <c r="BK43" s="249"/>
      <c r="BM43" s="4">
        <f t="shared" si="1"/>
        <v>37</v>
      </c>
    </row>
    <row r="44" spans="1:65" s="245" customFormat="1" ht="15" customHeight="1" x14ac:dyDescent="0.25">
      <c r="A44" s="247"/>
      <c r="BK44" s="249"/>
      <c r="BM44" s="4">
        <f t="shared" si="1"/>
        <v>38</v>
      </c>
    </row>
    <row r="45" spans="1:65" s="245" customFormat="1" ht="15" customHeight="1" x14ac:dyDescent="0.25">
      <c r="A45" s="247"/>
      <c r="BK45" s="249"/>
      <c r="BM45" s="4">
        <f t="shared" ref="BM45:BM57" si="2">IF(BM44=50,1,BM44+1)</f>
        <v>39</v>
      </c>
    </row>
    <row r="46" spans="1:65" s="245" customFormat="1" ht="15" customHeight="1" x14ac:dyDescent="0.25">
      <c r="A46" s="247"/>
      <c r="BK46" s="249"/>
      <c r="BM46" s="4">
        <f t="shared" si="2"/>
        <v>40</v>
      </c>
    </row>
    <row r="47" spans="1:65" s="245" customFormat="1" ht="15" customHeight="1" x14ac:dyDescent="0.25">
      <c r="A47" s="247"/>
      <c r="BK47" s="249"/>
      <c r="BM47" s="4">
        <f t="shared" si="2"/>
        <v>41</v>
      </c>
    </row>
    <row r="48" spans="1:65" s="245" customFormat="1" ht="15" customHeight="1" x14ac:dyDescent="0.25">
      <c r="A48" s="247"/>
      <c r="BK48" s="249"/>
      <c r="BM48" s="4">
        <f t="shared" si="2"/>
        <v>42</v>
      </c>
    </row>
    <row r="49" spans="1:65" s="245" customFormat="1" ht="15" customHeight="1" x14ac:dyDescent="0.25">
      <c r="A49" s="247"/>
      <c r="BK49" s="249"/>
      <c r="BM49" s="4">
        <f t="shared" si="2"/>
        <v>43</v>
      </c>
    </row>
    <row r="50" spans="1:65" s="245" customFormat="1" ht="15" customHeight="1" x14ac:dyDescent="0.25">
      <c r="A50" s="247"/>
      <c r="BK50" s="249"/>
      <c r="BM50" s="4">
        <f t="shared" si="2"/>
        <v>44</v>
      </c>
    </row>
    <row r="51" spans="1:65" s="245" customFormat="1" ht="15" customHeight="1" x14ac:dyDescent="0.25">
      <c r="A51" s="247"/>
      <c r="BK51" s="249"/>
      <c r="BM51" s="4">
        <f t="shared" si="2"/>
        <v>45</v>
      </c>
    </row>
    <row r="52" spans="1:65" s="245" customFormat="1" ht="15" customHeight="1" x14ac:dyDescent="0.25">
      <c r="A52" s="247"/>
      <c r="BK52" s="249"/>
      <c r="BM52" s="4">
        <f t="shared" si="2"/>
        <v>46</v>
      </c>
    </row>
    <row r="53" spans="1:65" s="245" customFormat="1" ht="15" customHeight="1" x14ac:dyDescent="0.25">
      <c r="A53" s="247"/>
      <c r="BK53" s="249"/>
      <c r="BM53" s="4">
        <f t="shared" si="2"/>
        <v>47</v>
      </c>
    </row>
    <row r="54" spans="1:65" s="245" customFormat="1" ht="15" customHeight="1" x14ac:dyDescent="0.25">
      <c r="A54" s="247"/>
      <c r="BK54" s="249"/>
      <c r="BM54" s="4">
        <f t="shared" si="2"/>
        <v>48</v>
      </c>
    </row>
    <row r="55" spans="1:65" s="245" customFormat="1" ht="15" customHeight="1" x14ac:dyDescent="0.25">
      <c r="A55" s="247"/>
      <c r="BK55" s="249"/>
      <c r="BM55" s="4">
        <f t="shared" si="2"/>
        <v>49</v>
      </c>
    </row>
    <row r="56" spans="1:65" s="245" customFormat="1" ht="15" customHeight="1" x14ac:dyDescent="0.25">
      <c r="A56" s="247"/>
      <c r="BK56" s="249"/>
      <c r="BM56" s="4">
        <f t="shared" si="2"/>
        <v>50</v>
      </c>
    </row>
    <row r="57" spans="1:65" s="245" customFormat="1" ht="15" customHeight="1" x14ac:dyDescent="0.25">
      <c r="A57" s="250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/>
      <c r="AU57" s="251"/>
      <c r="AV57" s="251"/>
      <c r="AW57" s="251"/>
      <c r="AX57" s="251"/>
      <c r="AY57" s="251"/>
      <c r="AZ57" s="251"/>
      <c r="BA57" s="251"/>
      <c r="BB57" s="251"/>
      <c r="BC57" s="251"/>
      <c r="BD57" s="251"/>
      <c r="BE57" s="251"/>
      <c r="BF57" s="251"/>
      <c r="BG57" s="251"/>
      <c r="BH57" s="251"/>
      <c r="BI57" s="251"/>
      <c r="BJ57" s="251"/>
      <c r="BK57" s="252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O17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50" customWidth="1"/>
    <col min="68" max="16384" width="2.77734375" style="150"/>
  </cols>
  <sheetData>
    <row r="1" spans="1:65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基本設計書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5" ht="15" customHeight="1" x14ac:dyDescent="0.25">
      <c r="A2" s="153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3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5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5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tr">
        <f>IF(表紙!H4="","",表紙!H4)</f>
        <v>68_サイトログインユーザマスタ設定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機能概要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5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5" ht="15" customHeight="1" x14ac:dyDescent="0.25">
      <c r="A6" s="181"/>
      <c r="BK6" s="253"/>
    </row>
    <row r="7" spans="1:65" ht="15" customHeight="1" x14ac:dyDescent="0.25">
      <c r="A7" s="181"/>
      <c r="B7" s="254" t="s">
        <v>55</v>
      </c>
      <c r="C7" s="255"/>
      <c r="D7" s="256"/>
      <c r="E7" s="256"/>
      <c r="F7" s="256"/>
      <c r="G7" s="256"/>
      <c r="H7" s="256"/>
      <c r="I7" s="256"/>
      <c r="J7" s="256"/>
      <c r="K7" s="257"/>
      <c r="L7" s="256"/>
      <c r="M7" s="256"/>
      <c r="N7" s="256"/>
      <c r="O7" s="256"/>
      <c r="P7" s="256"/>
      <c r="Q7" s="256"/>
      <c r="R7" s="256"/>
      <c r="S7" s="256"/>
      <c r="T7" s="257"/>
      <c r="U7" s="255"/>
      <c r="V7" s="256"/>
      <c r="W7" s="256"/>
      <c r="X7" s="256"/>
      <c r="Y7" s="256"/>
      <c r="Z7" s="256"/>
      <c r="AA7" s="256"/>
      <c r="AB7" s="256"/>
      <c r="AC7" s="257"/>
      <c r="AD7" s="255"/>
      <c r="AE7" s="256"/>
      <c r="AF7" s="256"/>
      <c r="AG7" s="256"/>
      <c r="AH7" s="256"/>
      <c r="AI7" s="256"/>
      <c r="AJ7" s="256"/>
      <c r="AK7" s="256"/>
      <c r="AL7" s="257"/>
      <c r="AM7" s="255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7"/>
      <c r="BJ7" s="256"/>
      <c r="BK7" s="182"/>
    </row>
    <row r="8" spans="1:65" ht="15" customHeight="1" x14ac:dyDescent="0.25">
      <c r="A8" s="181"/>
      <c r="B8" s="258"/>
      <c r="K8" s="259"/>
      <c r="U8" s="258"/>
      <c r="AD8" s="258"/>
      <c r="AM8" s="258"/>
      <c r="BI8" s="260"/>
      <c r="BK8" s="182"/>
      <c r="BM8" s="4">
        <f t="shared" ref="BM8:BM21" si="0">IF(BM7=50,1,BM7+1)</f>
        <v>1</v>
      </c>
    </row>
    <row r="9" spans="1:65" ht="15" customHeight="1" x14ac:dyDescent="0.25">
      <c r="A9" s="181"/>
      <c r="B9" s="258"/>
      <c r="K9" s="259"/>
      <c r="U9" s="258"/>
      <c r="AD9" s="258"/>
      <c r="AM9" s="258"/>
      <c r="BI9" s="260"/>
      <c r="BK9" s="182"/>
      <c r="BM9" s="4">
        <f t="shared" si="0"/>
        <v>2</v>
      </c>
    </row>
    <row r="10" spans="1:65" ht="15" customHeight="1" x14ac:dyDescent="0.25">
      <c r="A10" s="181"/>
      <c r="B10" s="258"/>
      <c r="K10" s="259"/>
      <c r="U10" s="258"/>
      <c r="AD10" s="258"/>
      <c r="AM10" s="258"/>
      <c r="BI10" s="260"/>
      <c r="BK10" s="182"/>
      <c r="BM10" s="4">
        <f t="shared" si="0"/>
        <v>3</v>
      </c>
    </row>
    <row r="11" spans="1:65" ht="15" customHeight="1" x14ac:dyDescent="0.25">
      <c r="A11" s="181"/>
      <c r="B11" s="258"/>
      <c r="K11" s="259"/>
      <c r="U11" s="258"/>
      <c r="AD11" s="258"/>
      <c r="AM11" s="258"/>
      <c r="BI11" s="260"/>
      <c r="BK11" s="182"/>
      <c r="BM11" s="4">
        <f t="shared" si="0"/>
        <v>4</v>
      </c>
    </row>
    <row r="12" spans="1:65" ht="15" customHeight="1" x14ac:dyDescent="0.25">
      <c r="A12" s="181"/>
      <c r="B12" s="258"/>
      <c r="K12" s="259"/>
      <c r="U12" s="258"/>
      <c r="AD12" s="258"/>
      <c r="AM12" s="258"/>
      <c r="BI12" s="260"/>
      <c r="BK12" s="182"/>
      <c r="BM12" s="4">
        <f t="shared" si="0"/>
        <v>5</v>
      </c>
    </row>
    <row r="13" spans="1:65" ht="15" customHeight="1" x14ac:dyDescent="0.25">
      <c r="A13" s="181"/>
      <c r="B13" s="258"/>
      <c r="K13" s="259"/>
      <c r="U13" s="258"/>
      <c r="AD13" s="258"/>
      <c r="AM13" s="258"/>
      <c r="BI13" s="260"/>
      <c r="BK13" s="182"/>
      <c r="BM13" s="4">
        <f t="shared" si="0"/>
        <v>6</v>
      </c>
    </row>
    <row r="14" spans="1:65" ht="15" customHeight="1" x14ac:dyDescent="0.25">
      <c r="A14" s="181"/>
      <c r="B14" s="258"/>
      <c r="K14" s="259"/>
      <c r="U14" s="258"/>
      <c r="AD14" s="258"/>
      <c r="AM14" s="258"/>
      <c r="BI14" s="260"/>
      <c r="BK14" s="182"/>
      <c r="BM14" s="4">
        <f t="shared" si="0"/>
        <v>7</v>
      </c>
    </row>
    <row r="15" spans="1:65" ht="15" customHeight="1" x14ac:dyDescent="0.25">
      <c r="A15" s="181"/>
      <c r="B15" s="258"/>
      <c r="K15" s="259"/>
      <c r="U15" s="258"/>
      <c r="AD15" s="258"/>
      <c r="AM15" s="258"/>
      <c r="BI15" s="260"/>
      <c r="BK15" s="182"/>
      <c r="BM15" s="4">
        <f t="shared" si="0"/>
        <v>8</v>
      </c>
    </row>
    <row r="16" spans="1:65" ht="15" customHeight="1" x14ac:dyDescent="0.25">
      <c r="A16" s="181"/>
      <c r="B16" s="258"/>
      <c r="K16" s="259"/>
      <c r="U16" s="258"/>
      <c r="AD16" s="258"/>
      <c r="AM16" s="258"/>
      <c r="BI16" s="260"/>
      <c r="BK16" s="182"/>
      <c r="BM16" s="4">
        <f t="shared" si="0"/>
        <v>9</v>
      </c>
    </row>
    <row r="17" spans="1:67" ht="15" customHeight="1" x14ac:dyDescent="0.25">
      <c r="A17" s="181"/>
      <c r="B17" s="261" t="s">
        <v>33</v>
      </c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3"/>
      <c r="BJ17" s="262"/>
      <c r="BK17" s="182"/>
      <c r="BM17" s="4">
        <f t="shared" si="0"/>
        <v>10</v>
      </c>
    </row>
    <row r="18" spans="1:67" ht="15" customHeight="1" x14ac:dyDescent="0.25">
      <c r="A18" s="181"/>
      <c r="B18" s="258"/>
      <c r="K18" s="259"/>
      <c r="U18" s="258"/>
      <c r="AD18" s="258"/>
      <c r="AM18" s="258"/>
      <c r="BI18" s="260"/>
      <c r="BK18" s="182"/>
      <c r="BM18" s="4">
        <f t="shared" si="0"/>
        <v>11</v>
      </c>
    </row>
    <row r="19" spans="1:67" ht="15" customHeight="1" x14ac:dyDescent="0.25">
      <c r="A19" s="181"/>
      <c r="B19" s="258"/>
      <c r="K19" s="259"/>
      <c r="U19" s="258"/>
      <c r="AD19" s="258"/>
      <c r="AM19" s="258"/>
      <c r="BI19" s="260"/>
      <c r="BK19" s="182"/>
      <c r="BM19" s="4">
        <f t="shared" si="0"/>
        <v>12</v>
      </c>
    </row>
    <row r="20" spans="1:67" ht="15" customHeight="1" x14ac:dyDescent="0.25">
      <c r="A20" s="181"/>
      <c r="B20" s="258"/>
      <c r="K20" s="259"/>
      <c r="U20" s="258"/>
      <c r="AD20" s="258"/>
      <c r="AM20" s="258"/>
      <c r="BI20" s="260"/>
      <c r="BK20" s="182"/>
      <c r="BM20" s="4">
        <f t="shared" si="0"/>
        <v>13</v>
      </c>
    </row>
    <row r="21" spans="1:67" ht="15" customHeight="1" x14ac:dyDescent="0.25">
      <c r="A21" s="181"/>
      <c r="B21" s="258"/>
      <c r="K21" s="259"/>
      <c r="U21" s="258"/>
      <c r="AD21" s="258"/>
      <c r="AM21" s="258"/>
      <c r="BI21" s="260"/>
      <c r="BK21" s="182"/>
      <c r="BM21" s="4">
        <f t="shared" si="0"/>
        <v>14</v>
      </c>
    </row>
    <row r="22" spans="1:67" s="245" customFormat="1" ht="15" customHeight="1" x14ac:dyDescent="0.25">
      <c r="A22" s="247"/>
      <c r="B22" s="258"/>
      <c r="K22" s="259"/>
      <c r="L22" s="264"/>
      <c r="T22" s="259"/>
      <c r="U22" s="264"/>
      <c r="AC22" s="259"/>
      <c r="AD22" s="264"/>
      <c r="AL22" s="259"/>
      <c r="AM22" s="264"/>
      <c r="BI22" s="259"/>
      <c r="BK22" s="249"/>
      <c r="BM22" s="4">
        <f t="shared" ref="BM22:BM85" si="1">IF(BM21=50,1,BM21+1)</f>
        <v>15</v>
      </c>
    </row>
    <row r="23" spans="1:67" s="245" customFormat="1" ht="15" customHeight="1" x14ac:dyDescent="0.25">
      <c r="A23" s="247"/>
      <c r="B23" s="258"/>
      <c r="K23" s="259"/>
      <c r="L23" s="264"/>
      <c r="T23" s="259"/>
      <c r="U23" s="264"/>
      <c r="AC23" s="259"/>
      <c r="AD23" s="264"/>
      <c r="AL23" s="259"/>
      <c r="AM23" s="264"/>
      <c r="BI23" s="259"/>
      <c r="BK23" s="249"/>
      <c r="BM23" s="4">
        <f t="shared" si="1"/>
        <v>16</v>
      </c>
      <c r="BO23" s="20" t="s">
        <v>56</v>
      </c>
    </row>
    <row r="24" spans="1:67" s="245" customFormat="1" ht="15" customHeight="1" x14ac:dyDescent="0.25">
      <c r="A24" s="247"/>
      <c r="B24" s="258"/>
      <c r="K24" s="259"/>
      <c r="L24" s="264"/>
      <c r="T24" s="259"/>
      <c r="U24" s="264"/>
      <c r="AC24" s="259"/>
      <c r="AD24" s="264"/>
      <c r="AL24" s="259"/>
      <c r="AM24" s="264"/>
      <c r="BI24" s="259"/>
      <c r="BK24" s="249"/>
      <c r="BM24" s="4">
        <f t="shared" si="1"/>
        <v>17</v>
      </c>
    </row>
    <row r="25" spans="1:67" s="245" customFormat="1" ht="15" customHeight="1" x14ac:dyDescent="0.25">
      <c r="A25" s="247"/>
      <c r="B25" s="258"/>
      <c r="K25" s="259"/>
      <c r="L25" s="264"/>
      <c r="T25" s="259"/>
      <c r="U25" s="264"/>
      <c r="AC25" s="259"/>
      <c r="AD25" s="264"/>
      <c r="AL25" s="259"/>
      <c r="AM25" s="264"/>
      <c r="BI25" s="259"/>
      <c r="BK25" s="249"/>
      <c r="BM25" s="4">
        <f t="shared" si="1"/>
        <v>18</v>
      </c>
    </row>
    <row r="26" spans="1:67" s="245" customFormat="1" ht="15" customHeight="1" x14ac:dyDescent="0.25">
      <c r="A26" s="247"/>
      <c r="B26" s="258"/>
      <c r="K26" s="259"/>
      <c r="L26" s="264"/>
      <c r="T26" s="259"/>
      <c r="U26" s="264"/>
      <c r="AC26" s="259"/>
      <c r="AD26" s="264"/>
      <c r="AL26" s="259"/>
      <c r="AM26" s="264"/>
      <c r="BI26" s="259"/>
      <c r="BK26" s="249"/>
      <c r="BM26" s="4">
        <f t="shared" si="1"/>
        <v>19</v>
      </c>
    </row>
    <row r="27" spans="1:67" s="245" customFormat="1" ht="15" customHeight="1" x14ac:dyDescent="0.25">
      <c r="A27" s="247"/>
      <c r="B27" s="258"/>
      <c r="K27" s="259"/>
      <c r="L27" s="264"/>
      <c r="T27" s="259"/>
      <c r="U27" s="264"/>
      <c r="AC27" s="259"/>
      <c r="AD27" s="264"/>
      <c r="AL27" s="259"/>
      <c r="AM27" s="264"/>
      <c r="BI27" s="259"/>
      <c r="BK27" s="249"/>
      <c r="BM27" s="4">
        <f t="shared" si="1"/>
        <v>20</v>
      </c>
    </row>
    <row r="28" spans="1:67" s="245" customFormat="1" ht="15" customHeight="1" x14ac:dyDescent="0.25">
      <c r="A28" s="247"/>
      <c r="B28" s="258"/>
      <c r="K28" s="259"/>
      <c r="L28" s="264"/>
      <c r="T28" s="259"/>
      <c r="U28" s="264"/>
      <c r="AC28" s="259"/>
      <c r="AD28" s="264"/>
      <c r="AL28" s="259"/>
      <c r="AM28" s="264"/>
      <c r="BI28" s="259"/>
      <c r="BK28" s="249"/>
      <c r="BM28" s="4">
        <f t="shared" si="1"/>
        <v>21</v>
      </c>
    </row>
    <row r="29" spans="1:67" s="245" customFormat="1" ht="15" customHeight="1" x14ac:dyDescent="0.25">
      <c r="A29" s="247"/>
      <c r="B29" s="258"/>
      <c r="K29" s="259"/>
      <c r="L29" s="264"/>
      <c r="T29" s="259"/>
      <c r="U29" s="264"/>
      <c r="AC29" s="259"/>
      <c r="AD29" s="264"/>
      <c r="AL29" s="259"/>
      <c r="AM29" s="264"/>
      <c r="BI29" s="259"/>
      <c r="BK29" s="249"/>
      <c r="BM29" s="4">
        <f t="shared" si="1"/>
        <v>22</v>
      </c>
      <c r="BO29" s="150"/>
    </row>
    <row r="30" spans="1:67" s="245" customFormat="1" ht="15" customHeight="1" x14ac:dyDescent="0.25">
      <c r="A30" s="247"/>
      <c r="B30" s="258"/>
      <c r="K30" s="259"/>
      <c r="L30" s="264"/>
      <c r="T30" s="259"/>
      <c r="U30" s="264"/>
      <c r="AC30" s="259"/>
      <c r="AD30" s="264"/>
      <c r="AL30" s="259"/>
      <c r="AM30" s="264"/>
      <c r="BI30" s="259"/>
      <c r="BK30" s="249"/>
      <c r="BM30" s="4">
        <f t="shared" si="1"/>
        <v>23</v>
      </c>
    </row>
    <row r="31" spans="1:67" s="245" customFormat="1" ht="15" customHeight="1" x14ac:dyDescent="0.25">
      <c r="A31" s="247"/>
      <c r="B31" s="258"/>
      <c r="K31" s="259"/>
      <c r="L31" s="264"/>
      <c r="T31" s="259"/>
      <c r="U31" s="264"/>
      <c r="AC31" s="259"/>
      <c r="AD31" s="264"/>
      <c r="AL31" s="259"/>
      <c r="AM31" s="264"/>
      <c r="BI31" s="259"/>
      <c r="BK31" s="249"/>
      <c r="BM31" s="4">
        <f t="shared" si="1"/>
        <v>24</v>
      </c>
    </row>
    <row r="32" spans="1:67" s="245" customFormat="1" ht="15" customHeight="1" x14ac:dyDescent="0.25">
      <c r="A32" s="247"/>
      <c r="B32" s="258"/>
      <c r="K32" s="259"/>
      <c r="L32" s="264"/>
      <c r="T32" s="259"/>
      <c r="U32" s="264"/>
      <c r="AC32" s="259"/>
      <c r="AD32" s="264"/>
      <c r="AL32" s="259"/>
      <c r="AM32" s="264"/>
      <c r="BI32" s="259"/>
      <c r="BK32" s="249"/>
      <c r="BM32" s="4">
        <f t="shared" si="1"/>
        <v>25</v>
      </c>
    </row>
    <row r="33" spans="1:65" s="245" customFormat="1" ht="15" customHeight="1" x14ac:dyDescent="0.25">
      <c r="A33" s="247"/>
      <c r="B33" s="258"/>
      <c r="K33" s="259"/>
      <c r="L33" s="264"/>
      <c r="T33" s="259"/>
      <c r="U33" s="264"/>
      <c r="AC33" s="259"/>
      <c r="AD33" s="264"/>
      <c r="AL33" s="259"/>
      <c r="AM33" s="264"/>
      <c r="BI33" s="259"/>
      <c r="BK33" s="249"/>
      <c r="BM33" s="4">
        <f t="shared" si="1"/>
        <v>26</v>
      </c>
    </row>
    <row r="34" spans="1:65" s="245" customFormat="1" ht="15" customHeight="1" x14ac:dyDescent="0.25">
      <c r="A34" s="247"/>
      <c r="B34" s="258"/>
      <c r="K34" s="259"/>
      <c r="L34" s="264"/>
      <c r="T34" s="259"/>
      <c r="U34" s="264"/>
      <c r="AC34" s="259"/>
      <c r="AD34" s="264"/>
      <c r="AL34" s="259"/>
      <c r="AM34" s="264"/>
      <c r="BI34" s="259"/>
      <c r="BK34" s="249"/>
      <c r="BM34" s="4">
        <f t="shared" si="1"/>
        <v>27</v>
      </c>
    </row>
    <row r="35" spans="1:65" s="245" customFormat="1" ht="15" customHeight="1" x14ac:dyDescent="0.25">
      <c r="A35" s="247"/>
      <c r="B35" s="258"/>
      <c r="K35" s="259"/>
      <c r="L35" s="264"/>
      <c r="T35" s="259"/>
      <c r="U35" s="264"/>
      <c r="AC35" s="259"/>
      <c r="AD35" s="264"/>
      <c r="AL35" s="259"/>
      <c r="AM35" s="264"/>
      <c r="BI35" s="259"/>
      <c r="BK35" s="249"/>
      <c r="BM35" s="4">
        <f t="shared" si="1"/>
        <v>28</v>
      </c>
    </row>
    <row r="36" spans="1:65" s="245" customFormat="1" ht="15" customHeight="1" x14ac:dyDescent="0.25">
      <c r="A36" s="247"/>
      <c r="B36" s="258"/>
      <c r="K36" s="259"/>
      <c r="L36" s="264"/>
      <c r="T36" s="259"/>
      <c r="U36" s="264"/>
      <c r="AC36" s="259"/>
      <c r="AD36" s="264"/>
      <c r="AL36" s="259"/>
      <c r="AM36" s="264"/>
      <c r="BI36" s="259"/>
      <c r="BK36" s="249"/>
      <c r="BM36" s="4">
        <f t="shared" si="1"/>
        <v>29</v>
      </c>
    </row>
    <row r="37" spans="1:65" s="245" customFormat="1" ht="15" customHeight="1" x14ac:dyDescent="0.25">
      <c r="A37" s="247"/>
      <c r="B37" s="258"/>
      <c r="K37" s="259"/>
      <c r="L37" s="264"/>
      <c r="T37" s="259"/>
      <c r="U37" s="264"/>
      <c r="AC37" s="259"/>
      <c r="AD37" s="264"/>
      <c r="AL37" s="259"/>
      <c r="AM37" s="264"/>
      <c r="BI37" s="259"/>
      <c r="BK37" s="249"/>
      <c r="BM37" s="4">
        <f t="shared" si="1"/>
        <v>30</v>
      </c>
    </row>
    <row r="38" spans="1:65" s="245" customFormat="1" ht="15" customHeight="1" x14ac:dyDescent="0.25">
      <c r="A38" s="247"/>
      <c r="B38" s="258"/>
      <c r="K38" s="259"/>
      <c r="L38" s="264"/>
      <c r="T38" s="259"/>
      <c r="U38" s="264"/>
      <c r="AC38" s="259"/>
      <c r="AD38" s="264"/>
      <c r="AL38" s="259"/>
      <c r="AM38" s="264"/>
      <c r="BI38" s="259"/>
      <c r="BK38" s="249"/>
      <c r="BM38" s="4">
        <f t="shared" si="1"/>
        <v>31</v>
      </c>
    </row>
    <row r="39" spans="1:65" s="245" customFormat="1" ht="15" customHeight="1" x14ac:dyDescent="0.25">
      <c r="A39" s="247"/>
      <c r="B39" s="258"/>
      <c r="K39" s="259"/>
      <c r="L39" s="264"/>
      <c r="T39" s="259"/>
      <c r="U39" s="264"/>
      <c r="AC39" s="259"/>
      <c r="AD39" s="264"/>
      <c r="AL39" s="259"/>
      <c r="AM39" s="264"/>
      <c r="BI39" s="259"/>
      <c r="BK39" s="249"/>
      <c r="BM39" s="4">
        <f t="shared" si="1"/>
        <v>32</v>
      </c>
    </row>
    <row r="40" spans="1:65" s="245" customFormat="1" ht="15" customHeight="1" x14ac:dyDescent="0.25">
      <c r="A40" s="247"/>
      <c r="B40" s="258"/>
      <c r="K40" s="259"/>
      <c r="L40" s="264"/>
      <c r="T40" s="259"/>
      <c r="U40" s="264"/>
      <c r="AC40" s="259"/>
      <c r="AD40" s="264"/>
      <c r="AL40" s="259"/>
      <c r="AM40" s="264"/>
      <c r="BI40" s="259"/>
      <c r="BK40" s="249"/>
      <c r="BM40" s="4">
        <f t="shared" si="1"/>
        <v>33</v>
      </c>
    </row>
    <row r="41" spans="1:65" s="245" customFormat="1" ht="15" customHeight="1" x14ac:dyDescent="0.25">
      <c r="A41" s="247"/>
      <c r="B41" s="258"/>
      <c r="K41" s="259"/>
      <c r="L41" s="264"/>
      <c r="T41" s="259"/>
      <c r="U41" s="264"/>
      <c r="AC41" s="259"/>
      <c r="AD41" s="264"/>
      <c r="AL41" s="259"/>
      <c r="AM41" s="264"/>
      <c r="BI41" s="259"/>
      <c r="BK41" s="249"/>
      <c r="BM41" s="4">
        <f t="shared" si="1"/>
        <v>34</v>
      </c>
    </row>
    <row r="42" spans="1:65" s="245" customFormat="1" ht="15" customHeight="1" x14ac:dyDescent="0.25">
      <c r="A42" s="247"/>
      <c r="B42" s="258"/>
      <c r="K42" s="259"/>
      <c r="L42" s="264"/>
      <c r="T42" s="259"/>
      <c r="U42" s="264"/>
      <c r="AC42" s="259"/>
      <c r="AD42" s="264"/>
      <c r="AL42" s="259"/>
      <c r="AM42" s="264"/>
      <c r="BI42" s="259"/>
      <c r="BK42" s="249"/>
      <c r="BM42" s="4">
        <f t="shared" si="1"/>
        <v>35</v>
      </c>
    </row>
    <row r="43" spans="1:65" s="245" customFormat="1" ht="15" customHeight="1" x14ac:dyDescent="0.25">
      <c r="A43" s="247"/>
      <c r="B43" s="264"/>
      <c r="K43" s="259"/>
      <c r="L43" s="264"/>
      <c r="T43" s="259"/>
      <c r="U43" s="264"/>
      <c r="AC43" s="259"/>
      <c r="AD43" s="264"/>
      <c r="AL43" s="259"/>
      <c r="AM43" s="264"/>
      <c r="BI43" s="259"/>
      <c r="BK43" s="249"/>
      <c r="BM43" s="4">
        <f t="shared" si="1"/>
        <v>36</v>
      </c>
    </row>
    <row r="44" spans="1:65" s="245" customFormat="1" ht="15" customHeight="1" x14ac:dyDescent="0.25">
      <c r="A44" s="247"/>
      <c r="B44" s="264"/>
      <c r="K44" s="259"/>
      <c r="L44" s="264"/>
      <c r="T44" s="259"/>
      <c r="U44" s="264"/>
      <c r="AC44" s="259"/>
      <c r="AD44" s="264"/>
      <c r="AL44" s="259"/>
      <c r="AM44" s="264"/>
      <c r="BI44" s="259"/>
      <c r="BK44" s="249"/>
      <c r="BM44" s="4">
        <f t="shared" si="1"/>
        <v>37</v>
      </c>
    </row>
    <row r="45" spans="1:65" s="245" customFormat="1" ht="15" customHeight="1" x14ac:dyDescent="0.25">
      <c r="A45" s="247"/>
      <c r="B45" s="264"/>
      <c r="K45" s="259"/>
      <c r="L45" s="264"/>
      <c r="T45" s="259"/>
      <c r="U45" s="264"/>
      <c r="AC45" s="259"/>
      <c r="AL45" s="259"/>
      <c r="AM45" s="264"/>
      <c r="BI45" s="259"/>
      <c r="BK45" s="249"/>
      <c r="BM45" s="4">
        <f t="shared" si="1"/>
        <v>38</v>
      </c>
    </row>
    <row r="46" spans="1:65" s="245" customFormat="1" ht="15" customHeight="1" x14ac:dyDescent="0.25">
      <c r="A46" s="247"/>
      <c r="B46" s="264"/>
      <c r="K46" s="259"/>
      <c r="L46" s="264"/>
      <c r="T46" s="259"/>
      <c r="U46" s="264"/>
      <c r="AC46" s="259"/>
      <c r="AD46" s="264"/>
      <c r="AL46" s="259"/>
      <c r="AM46" s="264"/>
      <c r="BI46" s="259"/>
      <c r="BK46" s="249"/>
      <c r="BM46" s="4">
        <f t="shared" si="1"/>
        <v>39</v>
      </c>
    </row>
    <row r="47" spans="1:65" s="245" customFormat="1" ht="15" customHeight="1" x14ac:dyDescent="0.25">
      <c r="A47" s="247"/>
      <c r="B47" s="264"/>
      <c r="K47" s="259"/>
      <c r="L47" s="264"/>
      <c r="T47" s="259"/>
      <c r="U47" s="264"/>
      <c r="AC47" s="259"/>
      <c r="AD47" s="264"/>
      <c r="AL47" s="259"/>
      <c r="AM47" s="264"/>
      <c r="BI47" s="259"/>
      <c r="BK47" s="249"/>
      <c r="BM47" s="4">
        <f t="shared" si="1"/>
        <v>40</v>
      </c>
    </row>
    <row r="48" spans="1:65" s="245" customFormat="1" ht="15" customHeight="1" x14ac:dyDescent="0.25">
      <c r="A48" s="247"/>
      <c r="B48" s="264"/>
      <c r="K48" s="259"/>
      <c r="L48" s="264"/>
      <c r="T48" s="259"/>
      <c r="U48" s="264"/>
      <c r="AC48" s="259"/>
      <c r="AD48" s="264"/>
      <c r="AL48" s="259"/>
      <c r="AM48" s="264"/>
      <c r="BI48" s="259"/>
      <c r="BK48" s="249"/>
      <c r="BM48" s="4">
        <f t="shared" si="1"/>
        <v>41</v>
      </c>
    </row>
    <row r="49" spans="1:65" s="245" customFormat="1" ht="15" customHeight="1" x14ac:dyDescent="0.25">
      <c r="A49" s="247"/>
      <c r="B49" s="264"/>
      <c r="K49" s="259"/>
      <c r="L49" s="264"/>
      <c r="T49" s="259"/>
      <c r="U49" s="264"/>
      <c r="AC49" s="259"/>
      <c r="AD49" s="264"/>
      <c r="AL49" s="259"/>
      <c r="AM49" s="264"/>
      <c r="BI49" s="259"/>
      <c r="BK49" s="249"/>
      <c r="BM49" s="4">
        <f t="shared" si="1"/>
        <v>42</v>
      </c>
    </row>
    <row r="50" spans="1:65" s="245" customFormat="1" ht="15" customHeight="1" x14ac:dyDescent="0.25">
      <c r="A50" s="247"/>
      <c r="B50" s="264"/>
      <c r="K50" s="259"/>
      <c r="L50" s="264"/>
      <c r="T50" s="259"/>
      <c r="U50" s="264"/>
      <c r="AC50" s="259"/>
      <c r="AD50" s="264"/>
      <c r="AL50" s="259"/>
      <c r="AM50" s="264"/>
      <c r="BI50" s="259"/>
      <c r="BK50" s="249"/>
      <c r="BM50" s="4">
        <f t="shared" si="1"/>
        <v>43</v>
      </c>
    </row>
    <row r="51" spans="1:65" s="245" customFormat="1" ht="15" customHeight="1" x14ac:dyDescent="0.25">
      <c r="A51" s="247"/>
      <c r="B51" s="264"/>
      <c r="K51" s="259"/>
      <c r="L51" s="264"/>
      <c r="T51" s="259"/>
      <c r="U51" s="264"/>
      <c r="AC51" s="259"/>
      <c r="AD51" s="264"/>
      <c r="AL51" s="259"/>
      <c r="AM51" s="264"/>
      <c r="BI51" s="259"/>
      <c r="BK51" s="249"/>
      <c r="BM51" s="4">
        <f t="shared" si="1"/>
        <v>44</v>
      </c>
    </row>
    <row r="52" spans="1:65" s="245" customFormat="1" ht="15" customHeight="1" x14ac:dyDescent="0.25">
      <c r="A52" s="247"/>
      <c r="B52" s="264"/>
      <c r="K52" s="259"/>
      <c r="L52" s="264"/>
      <c r="T52" s="259"/>
      <c r="U52" s="264"/>
      <c r="AC52" s="259"/>
      <c r="AD52" s="264"/>
      <c r="AL52" s="259"/>
      <c r="AM52" s="264"/>
      <c r="BI52" s="259"/>
      <c r="BK52" s="249"/>
      <c r="BM52" s="4">
        <f t="shared" si="1"/>
        <v>45</v>
      </c>
    </row>
    <row r="53" spans="1:65" s="245" customFormat="1" ht="15" customHeight="1" x14ac:dyDescent="0.25">
      <c r="A53" s="247"/>
      <c r="B53" s="264"/>
      <c r="K53" s="259"/>
      <c r="L53" s="264"/>
      <c r="T53" s="259"/>
      <c r="U53" s="264"/>
      <c r="AC53" s="259"/>
      <c r="AD53" s="264"/>
      <c r="AL53" s="259"/>
      <c r="AM53" s="264"/>
      <c r="BI53" s="259"/>
      <c r="BK53" s="249"/>
      <c r="BM53" s="4">
        <f t="shared" si="1"/>
        <v>46</v>
      </c>
    </row>
    <row r="54" spans="1:65" s="245" customFormat="1" ht="15" customHeight="1" x14ac:dyDescent="0.25">
      <c r="A54" s="247"/>
      <c r="B54" s="264"/>
      <c r="K54" s="259"/>
      <c r="L54" s="264"/>
      <c r="T54" s="259"/>
      <c r="U54" s="264"/>
      <c r="AC54" s="259"/>
      <c r="AD54" s="264"/>
      <c r="AL54" s="259"/>
      <c r="AM54" s="264"/>
      <c r="BI54" s="259"/>
      <c r="BK54" s="249"/>
      <c r="BM54" s="4">
        <f t="shared" si="1"/>
        <v>47</v>
      </c>
    </row>
    <row r="55" spans="1:65" s="245" customFormat="1" ht="15" customHeight="1" x14ac:dyDescent="0.25">
      <c r="A55" s="247"/>
      <c r="B55" s="264"/>
      <c r="K55" s="259"/>
      <c r="L55" s="264"/>
      <c r="T55" s="259"/>
      <c r="U55" s="264"/>
      <c r="AC55" s="259"/>
      <c r="AD55" s="264"/>
      <c r="AL55" s="259"/>
      <c r="AM55" s="264"/>
      <c r="BI55" s="259"/>
      <c r="BK55" s="249"/>
      <c r="BM55" s="4">
        <f t="shared" si="1"/>
        <v>48</v>
      </c>
    </row>
    <row r="56" spans="1:65" s="245" customFormat="1" ht="15" customHeight="1" x14ac:dyDescent="0.25">
      <c r="A56" s="247"/>
      <c r="B56" s="264"/>
      <c r="K56" s="259"/>
      <c r="L56" s="264"/>
      <c r="T56" s="259"/>
      <c r="U56" s="264"/>
      <c r="AC56" s="259"/>
      <c r="AD56" s="264"/>
      <c r="AL56" s="259"/>
      <c r="AM56" s="264"/>
      <c r="BI56" s="259"/>
      <c r="BK56" s="249"/>
      <c r="BM56" s="4">
        <f t="shared" si="1"/>
        <v>49</v>
      </c>
    </row>
    <row r="57" spans="1:65" s="245" customFormat="1" ht="15" customHeight="1" x14ac:dyDescent="0.25">
      <c r="A57" s="247"/>
      <c r="B57" s="264"/>
      <c r="K57" s="259"/>
      <c r="L57" s="264"/>
      <c r="T57" s="259"/>
      <c r="U57" s="264"/>
      <c r="AC57" s="259"/>
      <c r="AD57" s="264"/>
      <c r="AL57" s="259"/>
      <c r="AM57" s="264"/>
      <c r="BI57" s="259"/>
      <c r="BK57" s="249"/>
      <c r="BM57" s="4">
        <f t="shared" si="1"/>
        <v>50</v>
      </c>
    </row>
    <row r="58" spans="1:65" s="245" customFormat="1" ht="15" customHeight="1" x14ac:dyDescent="0.25">
      <c r="A58" s="247"/>
      <c r="B58" s="264"/>
      <c r="K58" s="259"/>
      <c r="L58" s="264"/>
      <c r="T58" s="259"/>
      <c r="U58" s="264"/>
      <c r="AC58" s="259"/>
      <c r="AD58" s="264"/>
      <c r="AL58" s="259"/>
      <c r="AM58" s="264"/>
      <c r="BI58" s="259"/>
      <c r="BK58" s="249"/>
      <c r="BM58" s="4">
        <f t="shared" si="1"/>
        <v>1</v>
      </c>
    </row>
    <row r="59" spans="1:65" s="245" customFormat="1" ht="15" customHeight="1" x14ac:dyDescent="0.25">
      <c r="A59" s="247"/>
      <c r="B59" s="264"/>
      <c r="K59" s="259"/>
      <c r="L59" s="264"/>
      <c r="T59" s="259"/>
      <c r="U59" s="264"/>
      <c r="AC59" s="259"/>
      <c r="AD59" s="264"/>
      <c r="AL59" s="259"/>
      <c r="AM59" s="264"/>
      <c r="BI59" s="259"/>
      <c r="BK59" s="249"/>
      <c r="BM59" s="4">
        <f t="shared" si="1"/>
        <v>2</v>
      </c>
    </row>
    <row r="60" spans="1:65" s="245" customFormat="1" ht="15" customHeight="1" x14ac:dyDescent="0.25">
      <c r="A60" s="265"/>
      <c r="B60" s="266"/>
      <c r="C60" s="267"/>
      <c r="D60" s="267"/>
      <c r="E60" s="267"/>
      <c r="F60" s="267"/>
      <c r="G60" s="267"/>
      <c r="H60" s="267"/>
      <c r="I60" s="267"/>
      <c r="J60" s="267"/>
      <c r="K60" s="268"/>
      <c r="L60" s="266"/>
      <c r="M60" s="267"/>
      <c r="N60" s="267"/>
      <c r="O60" s="267"/>
      <c r="P60" s="267"/>
      <c r="Q60" s="267"/>
      <c r="R60" s="267"/>
      <c r="S60" s="267"/>
      <c r="T60" s="268"/>
      <c r="U60" s="266"/>
      <c r="V60" s="267"/>
      <c r="W60" s="267"/>
      <c r="X60" s="267"/>
      <c r="Y60" s="267"/>
      <c r="Z60" s="267"/>
      <c r="AA60" s="267"/>
      <c r="AB60" s="267"/>
      <c r="AC60" s="268"/>
      <c r="AD60" s="266"/>
      <c r="AE60" s="267"/>
      <c r="AF60" s="267"/>
      <c r="AG60" s="267"/>
      <c r="AH60" s="267"/>
      <c r="AI60" s="267"/>
      <c r="AJ60" s="267"/>
      <c r="AK60" s="267"/>
      <c r="AL60" s="268"/>
      <c r="AM60" s="264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59"/>
      <c r="BJ60" s="267"/>
      <c r="BK60" s="269"/>
      <c r="BM60" s="4">
        <f t="shared" si="1"/>
        <v>3</v>
      </c>
    </row>
    <row r="61" spans="1:65" ht="15" customHeight="1" x14ac:dyDescent="0.25">
      <c r="B61" s="264"/>
      <c r="AD61" s="264"/>
      <c r="AM61" s="264"/>
      <c r="BI61" s="259"/>
      <c r="BK61" s="182"/>
      <c r="BM61" s="4">
        <f t="shared" si="1"/>
        <v>4</v>
      </c>
    </row>
    <row r="62" spans="1:65" ht="15" customHeight="1" x14ac:dyDescent="0.25">
      <c r="B62" s="264"/>
      <c r="AD62" s="264"/>
      <c r="AM62" s="264"/>
      <c r="BI62" s="259"/>
      <c r="BK62" s="182"/>
      <c r="BM62" s="4">
        <f t="shared" si="1"/>
        <v>5</v>
      </c>
    </row>
    <row r="63" spans="1:65" ht="15" customHeight="1" x14ac:dyDescent="0.25">
      <c r="B63" s="264"/>
      <c r="AD63" s="264"/>
      <c r="AM63" s="264"/>
      <c r="BI63" s="259"/>
      <c r="BK63" s="182"/>
      <c r="BM63" s="4">
        <f t="shared" si="1"/>
        <v>6</v>
      </c>
    </row>
    <row r="64" spans="1:65" ht="15" customHeight="1" x14ac:dyDescent="0.25">
      <c r="B64" s="264"/>
      <c r="AD64" s="264"/>
      <c r="AM64" s="264"/>
      <c r="BI64" s="259"/>
      <c r="BK64" s="182"/>
      <c r="BM64" s="4">
        <f t="shared" si="1"/>
        <v>7</v>
      </c>
    </row>
    <row r="65" spans="2:65" ht="15" customHeight="1" x14ac:dyDescent="0.25">
      <c r="B65" s="264"/>
      <c r="AD65" s="264"/>
      <c r="AM65" s="264"/>
      <c r="BI65" s="259"/>
      <c r="BK65" s="182"/>
      <c r="BM65" s="4">
        <f t="shared" si="1"/>
        <v>8</v>
      </c>
    </row>
    <row r="66" spans="2:65" ht="15" customHeight="1" x14ac:dyDescent="0.25">
      <c r="B66" s="264"/>
      <c r="AD66" s="264"/>
      <c r="AM66" s="264"/>
      <c r="BI66" s="259"/>
      <c r="BK66" s="182"/>
      <c r="BM66" s="4">
        <f t="shared" si="1"/>
        <v>9</v>
      </c>
    </row>
    <row r="67" spans="2:65" ht="15" customHeight="1" x14ac:dyDescent="0.25">
      <c r="B67" s="264"/>
      <c r="AD67" s="264"/>
      <c r="AM67" s="264"/>
      <c r="BI67" s="259"/>
      <c r="BK67" s="182"/>
      <c r="BM67" s="4">
        <f t="shared" si="1"/>
        <v>10</v>
      </c>
    </row>
    <row r="68" spans="2:65" ht="15" customHeight="1" x14ac:dyDescent="0.25">
      <c r="B68" s="264"/>
      <c r="AD68" s="264"/>
      <c r="AM68" s="264"/>
      <c r="BI68" s="259"/>
      <c r="BK68" s="182"/>
      <c r="BM68" s="4">
        <f t="shared" si="1"/>
        <v>11</v>
      </c>
    </row>
    <row r="69" spans="2:65" ht="15" customHeight="1" x14ac:dyDescent="0.25">
      <c r="B69" s="264"/>
      <c r="AD69" s="264"/>
      <c r="AM69" s="264"/>
      <c r="BI69" s="259"/>
      <c r="BK69" s="182"/>
      <c r="BM69" s="4">
        <f t="shared" si="1"/>
        <v>12</v>
      </c>
    </row>
    <row r="70" spans="2:65" ht="15" customHeight="1" x14ac:dyDescent="0.25">
      <c r="B70" s="264"/>
      <c r="AD70" s="264"/>
      <c r="AM70" s="264"/>
      <c r="BI70" s="259"/>
      <c r="BK70" s="182"/>
      <c r="BM70" s="4">
        <f t="shared" si="1"/>
        <v>13</v>
      </c>
    </row>
    <row r="71" spans="2:65" ht="15" customHeight="1" x14ac:dyDescent="0.25">
      <c r="B71" s="264"/>
      <c r="AD71" s="264"/>
      <c r="AM71" s="264"/>
      <c r="BI71" s="259"/>
      <c r="BK71" s="182"/>
      <c r="BM71" s="4">
        <f t="shared" si="1"/>
        <v>14</v>
      </c>
    </row>
    <row r="72" spans="2:65" ht="15" customHeight="1" x14ac:dyDescent="0.25">
      <c r="B72" s="264"/>
      <c r="AD72" s="264"/>
      <c r="AM72" s="264"/>
      <c r="BI72" s="259"/>
      <c r="BK72" s="182"/>
      <c r="BM72" s="4">
        <f t="shared" si="1"/>
        <v>15</v>
      </c>
    </row>
    <row r="73" spans="2:65" ht="15" customHeight="1" x14ac:dyDescent="0.25">
      <c r="B73" s="264"/>
      <c r="AD73" s="264"/>
      <c r="AM73" s="264"/>
      <c r="BI73" s="259"/>
      <c r="BK73" s="182"/>
      <c r="BM73" s="4">
        <f t="shared" si="1"/>
        <v>16</v>
      </c>
    </row>
    <row r="74" spans="2:65" ht="15" customHeight="1" x14ac:dyDescent="0.25">
      <c r="B74" s="264"/>
      <c r="AD74" s="264"/>
      <c r="AM74" s="264"/>
      <c r="BI74" s="259"/>
      <c r="BK74" s="182"/>
      <c r="BM74" s="4">
        <f t="shared" si="1"/>
        <v>17</v>
      </c>
    </row>
    <row r="75" spans="2:65" ht="15" customHeight="1" x14ac:dyDescent="0.25">
      <c r="B75" s="264"/>
      <c r="AD75" s="264"/>
      <c r="AM75" s="264"/>
      <c r="BI75" s="259"/>
      <c r="BK75" s="182"/>
      <c r="BM75" s="4">
        <f t="shared" si="1"/>
        <v>18</v>
      </c>
    </row>
    <row r="76" spans="2:65" ht="15" customHeight="1" x14ac:dyDescent="0.25">
      <c r="B76" s="264"/>
      <c r="AD76" s="264"/>
      <c r="AM76" s="264"/>
      <c r="BI76" s="259"/>
      <c r="BK76" s="182"/>
      <c r="BM76" s="4">
        <f t="shared" si="1"/>
        <v>19</v>
      </c>
    </row>
    <row r="77" spans="2:65" ht="15" customHeight="1" x14ac:dyDescent="0.25">
      <c r="B77" s="264"/>
      <c r="AD77" s="264"/>
      <c r="AM77" s="264"/>
      <c r="BI77" s="259"/>
      <c r="BK77" s="182"/>
      <c r="BM77" s="4">
        <f t="shared" si="1"/>
        <v>20</v>
      </c>
    </row>
    <row r="78" spans="2:65" ht="15" customHeight="1" x14ac:dyDescent="0.25">
      <c r="B78" s="264"/>
      <c r="AD78" s="264"/>
      <c r="AM78" s="264"/>
      <c r="BI78" s="259"/>
      <c r="BK78" s="182"/>
      <c r="BM78" s="4">
        <f t="shared" si="1"/>
        <v>21</v>
      </c>
    </row>
    <row r="79" spans="2:65" ht="15" customHeight="1" x14ac:dyDescent="0.25">
      <c r="B79" s="264"/>
      <c r="AD79" s="264"/>
      <c r="AM79" s="264"/>
      <c r="BI79" s="259"/>
      <c r="BK79" s="182"/>
      <c r="BM79" s="4">
        <f t="shared" si="1"/>
        <v>22</v>
      </c>
    </row>
    <row r="80" spans="2:65" ht="15" customHeight="1" x14ac:dyDescent="0.25">
      <c r="B80" s="264"/>
      <c r="AD80" s="264"/>
      <c r="AM80" s="264"/>
      <c r="BI80" s="259"/>
      <c r="BK80" s="182"/>
      <c r="BM80" s="4">
        <f t="shared" si="1"/>
        <v>23</v>
      </c>
    </row>
    <row r="81" spans="2:65" ht="15" customHeight="1" x14ac:dyDescent="0.25">
      <c r="B81" s="264"/>
      <c r="AD81" s="264"/>
      <c r="AM81" s="264"/>
      <c r="BI81" s="259"/>
      <c r="BK81" s="182"/>
      <c r="BM81" s="4">
        <f t="shared" si="1"/>
        <v>24</v>
      </c>
    </row>
    <row r="82" spans="2:65" ht="15" customHeight="1" x14ac:dyDescent="0.25">
      <c r="B82" s="264"/>
      <c r="AD82" s="264"/>
      <c r="AM82" s="264"/>
      <c r="BI82" s="259"/>
      <c r="BK82" s="182"/>
      <c r="BM82" s="4">
        <f t="shared" si="1"/>
        <v>25</v>
      </c>
    </row>
    <row r="83" spans="2:65" ht="15" customHeight="1" x14ac:dyDescent="0.25">
      <c r="B83" s="264"/>
      <c r="AD83" s="264"/>
      <c r="AM83" s="264"/>
      <c r="BI83" s="259"/>
      <c r="BK83" s="182"/>
      <c r="BM83" s="4">
        <f t="shared" si="1"/>
        <v>26</v>
      </c>
    </row>
    <row r="84" spans="2:65" ht="15" customHeight="1" x14ac:dyDescent="0.25">
      <c r="B84" s="264"/>
      <c r="AD84" s="264"/>
      <c r="AM84" s="264"/>
      <c r="BI84" s="259"/>
      <c r="BK84" s="182"/>
      <c r="BM84" s="4">
        <f t="shared" si="1"/>
        <v>27</v>
      </c>
    </row>
    <row r="85" spans="2:65" ht="15" customHeight="1" x14ac:dyDescent="0.25">
      <c r="B85" s="264"/>
      <c r="AD85" s="264"/>
      <c r="AM85" s="264"/>
      <c r="BI85" s="259"/>
      <c r="BK85" s="182"/>
      <c r="BM85" s="4">
        <f t="shared" si="1"/>
        <v>28</v>
      </c>
    </row>
    <row r="86" spans="2:65" ht="15" customHeight="1" x14ac:dyDescent="0.25">
      <c r="B86" s="264"/>
      <c r="AD86" s="264"/>
      <c r="AM86" s="264"/>
      <c r="BI86" s="259"/>
      <c r="BK86" s="182"/>
      <c r="BM86" s="4">
        <f t="shared" ref="BM86:BM149" si="2">IF(BM85=50,1,BM85+1)</f>
        <v>29</v>
      </c>
    </row>
    <row r="87" spans="2:65" ht="15" customHeight="1" x14ac:dyDescent="0.25">
      <c r="B87" s="264"/>
      <c r="AD87" s="264"/>
      <c r="AM87" s="264"/>
      <c r="BI87" s="259"/>
      <c r="BK87" s="182"/>
      <c r="BM87" s="4">
        <f t="shared" si="2"/>
        <v>30</v>
      </c>
    </row>
    <row r="88" spans="2:65" ht="15" customHeight="1" x14ac:dyDescent="0.25">
      <c r="B88" s="264"/>
      <c r="AD88" s="264"/>
      <c r="AM88" s="264"/>
      <c r="BI88" s="259"/>
      <c r="BK88" s="182"/>
      <c r="BM88" s="4">
        <f t="shared" si="2"/>
        <v>31</v>
      </c>
    </row>
    <row r="89" spans="2:65" ht="15" customHeight="1" x14ac:dyDescent="0.25">
      <c r="B89" s="264"/>
      <c r="AD89" s="264"/>
      <c r="AM89" s="264"/>
      <c r="BI89" s="259"/>
      <c r="BK89" s="182"/>
      <c r="BM89" s="4">
        <f t="shared" si="2"/>
        <v>32</v>
      </c>
    </row>
    <row r="90" spans="2:65" ht="15" customHeight="1" x14ac:dyDescent="0.25">
      <c r="B90" s="264"/>
      <c r="AD90" s="264"/>
      <c r="AM90" s="264"/>
      <c r="BI90" s="259"/>
      <c r="BK90" s="182"/>
      <c r="BM90" s="4">
        <f t="shared" si="2"/>
        <v>33</v>
      </c>
    </row>
    <row r="91" spans="2:65" ht="15" customHeight="1" x14ac:dyDescent="0.25">
      <c r="B91" s="264"/>
      <c r="AD91" s="264"/>
      <c r="AM91" s="264"/>
      <c r="BI91" s="259"/>
      <c r="BK91" s="182"/>
      <c r="BM91" s="4">
        <f t="shared" si="2"/>
        <v>34</v>
      </c>
    </row>
    <row r="92" spans="2:65" ht="15" customHeight="1" x14ac:dyDescent="0.25">
      <c r="B92" s="264"/>
      <c r="AD92" s="264"/>
      <c r="AM92" s="264"/>
      <c r="BI92" s="259"/>
      <c r="BK92" s="182"/>
      <c r="BM92" s="4">
        <f t="shared" si="2"/>
        <v>35</v>
      </c>
    </row>
    <row r="93" spans="2:65" ht="15" customHeight="1" x14ac:dyDescent="0.25">
      <c r="B93" s="19" t="s">
        <v>57</v>
      </c>
      <c r="C93" s="262"/>
      <c r="D93" s="262"/>
      <c r="E93" s="262"/>
      <c r="F93" s="262"/>
      <c r="G93" s="262"/>
      <c r="H93" s="262"/>
      <c r="I93" s="262"/>
      <c r="J93" s="262"/>
      <c r="K93" s="263"/>
      <c r="L93" s="261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70"/>
      <c r="BJ93" s="262"/>
      <c r="BK93" s="182"/>
      <c r="BM93" s="4">
        <f t="shared" si="2"/>
        <v>36</v>
      </c>
    </row>
    <row r="94" spans="2:65" ht="15" customHeight="1" x14ac:dyDescent="0.25">
      <c r="B94" s="264"/>
      <c r="AD94" s="264"/>
      <c r="AM94" s="264"/>
      <c r="BI94" s="259"/>
      <c r="BK94" s="182"/>
      <c r="BM94" s="4">
        <f t="shared" si="2"/>
        <v>37</v>
      </c>
    </row>
    <row r="95" spans="2:65" ht="15" customHeight="1" x14ac:dyDescent="0.25">
      <c r="B95" s="264"/>
      <c r="AD95" s="264"/>
      <c r="AM95" s="264"/>
      <c r="BI95" s="259"/>
      <c r="BK95" s="182"/>
      <c r="BM95" s="4">
        <f t="shared" si="2"/>
        <v>38</v>
      </c>
    </row>
    <row r="96" spans="2:65" ht="15" customHeight="1" x14ac:dyDescent="0.25">
      <c r="B96" s="264"/>
      <c r="AD96" s="264"/>
      <c r="AM96" s="264"/>
      <c r="BI96" s="259"/>
      <c r="BK96" s="182"/>
      <c r="BM96" s="4">
        <f t="shared" si="2"/>
        <v>39</v>
      </c>
    </row>
    <row r="97" spans="2:65" ht="15" customHeight="1" x14ac:dyDescent="0.25">
      <c r="B97" s="264"/>
      <c r="AD97" s="264"/>
      <c r="AM97" s="264"/>
      <c r="BI97" s="259"/>
      <c r="BK97" s="182"/>
      <c r="BM97" s="4">
        <f t="shared" si="2"/>
        <v>40</v>
      </c>
    </row>
    <row r="98" spans="2:65" ht="15" customHeight="1" x14ac:dyDescent="0.25">
      <c r="B98" s="264"/>
      <c r="AD98" s="264"/>
      <c r="AM98" s="264"/>
      <c r="BI98" s="259"/>
      <c r="BK98" s="182"/>
      <c r="BM98" s="4">
        <f t="shared" si="2"/>
        <v>41</v>
      </c>
    </row>
    <row r="99" spans="2:65" ht="15" customHeight="1" x14ac:dyDescent="0.25">
      <c r="B99" s="264"/>
      <c r="AD99" s="264"/>
      <c r="AM99" s="264"/>
      <c r="BI99" s="259"/>
      <c r="BK99" s="182"/>
      <c r="BM99" s="4">
        <f t="shared" si="2"/>
        <v>42</v>
      </c>
    </row>
    <row r="100" spans="2:65" ht="15" customHeight="1" x14ac:dyDescent="0.25">
      <c r="B100" s="264"/>
      <c r="AD100" s="264"/>
      <c r="AM100" s="264"/>
      <c r="BI100" s="259"/>
      <c r="BK100" s="182"/>
      <c r="BM100" s="4">
        <f t="shared" si="2"/>
        <v>43</v>
      </c>
    </row>
    <row r="101" spans="2:65" ht="15" customHeight="1" x14ac:dyDescent="0.25">
      <c r="B101" s="264"/>
      <c r="AD101" s="264"/>
      <c r="AM101" s="264"/>
      <c r="BI101" s="259"/>
      <c r="BK101" s="182"/>
      <c r="BM101" s="4">
        <f t="shared" si="2"/>
        <v>44</v>
      </c>
    </row>
    <row r="102" spans="2:65" ht="15" customHeight="1" x14ac:dyDescent="0.25">
      <c r="B102" s="264"/>
      <c r="AD102" s="264"/>
      <c r="AM102" s="264"/>
      <c r="BI102" s="259"/>
      <c r="BK102" s="182"/>
      <c r="BM102" s="4">
        <f t="shared" si="2"/>
        <v>45</v>
      </c>
    </row>
    <row r="103" spans="2:65" ht="15" customHeight="1" x14ac:dyDescent="0.25">
      <c r="B103" s="264"/>
      <c r="AD103" s="264"/>
      <c r="AM103" s="264"/>
      <c r="BI103" s="259"/>
      <c r="BK103" s="182"/>
      <c r="BM103" s="4">
        <f t="shared" si="2"/>
        <v>46</v>
      </c>
    </row>
    <row r="104" spans="2:65" ht="15" customHeight="1" x14ac:dyDescent="0.25">
      <c r="B104" s="264"/>
      <c r="AD104" s="264"/>
      <c r="AM104" s="264"/>
      <c r="BI104" s="259"/>
      <c r="BK104" s="182"/>
      <c r="BM104" s="4">
        <f t="shared" si="2"/>
        <v>47</v>
      </c>
    </row>
    <row r="105" spans="2:65" ht="15" customHeight="1" x14ac:dyDescent="0.25">
      <c r="B105" s="264"/>
      <c r="AD105" s="264"/>
      <c r="AM105" s="264"/>
      <c r="BI105" s="259"/>
      <c r="BK105" s="182"/>
      <c r="BM105" s="4">
        <f t="shared" si="2"/>
        <v>48</v>
      </c>
    </row>
    <row r="106" spans="2:65" ht="15" customHeight="1" x14ac:dyDescent="0.25">
      <c r="B106" s="264"/>
      <c r="AD106" s="264"/>
      <c r="AH106" s="150" t="s">
        <v>59</v>
      </c>
      <c r="AM106" s="264"/>
      <c r="BI106" s="259"/>
      <c r="BK106" s="182"/>
      <c r="BM106" s="4">
        <f t="shared" si="2"/>
        <v>49</v>
      </c>
    </row>
    <row r="107" spans="2:65" ht="15" customHeight="1" x14ac:dyDescent="0.25">
      <c r="B107" s="264"/>
      <c r="AD107" s="264"/>
      <c r="AM107" s="264"/>
      <c r="BI107" s="259"/>
      <c r="BK107" s="182"/>
      <c r="BM107" s="4">
        <f t="shared" si="2"/>
        <v>50</v>
      </c>
    </row>
    <row r="108" spans="2:65" ht="15" customHeight="1" x14ac:dyDescent="0.25">
      <c r="B108" s="264"/>
      <c r="AD108" s="264"/>
      <c r="AM108" s="264"/>
      <c r="BI108" s="259"/>
      <c r="BK108" s="182"/>
      <c r="BM108" s="4">
        <f t="shared" si="2"/>
        <v>1</v>
      </c>
    </row>
    <row r="109" spans="2:65" ht="15" customHeight="1" x14ac:dyDescent="0.25">
      <c r="B109" s="264"/>
      <c r="AD109" s="264"/>
      <c r="AM109" s="264"/>
      <c r="BI109" s="259"/>
      <c r="BK109" s="182"/>
      <c r="BM109" s="4">
        <f t="shared" si="2"/>
        <v>2</v>
      </c>
    </row>
    <row r="110" spans="2:65" ht="15" customHeight="1" x14ac:dyDescent="0.25">
      <c r="B110" s="264"/>
      <c r="AD110" s="264"/>
      <c r="AM110" s="264"/>
      <c r="BI110" s="259"/>
      <c r="BK110" s="182"/>
      <c r="BM110" s="4">
        <f t="shared" si="2"/>
        <v>3</v>
      </c>
    </row>
    <row r="111" spans="2:65" ht="15" customHeight="1" x14ac:dyDescent="0.25">
      <c r="B111" s="264"/>
      <c r="AD111" s="264"/>
      <c r="AM111" s="264"/>
      <c r="BI111" s="259"/>
      <c r="BK111" s="182"/>
      <c r="BM111" s="4">
        <f t="shared" si="2"/>
        <v>4</v>
      </c>
    </row>
    <row r="112" spans="2:65" ht="15" customHeight="1" x14ac:dyDescent="0.25">
      <c r="B112" s="264"/>
      <c r="AD112" s="264"/>
      <c r="AM112" s="264"/>
      <c r="BI112" s="259"/>
      <c r="BK112" s="182"/>
      <c r="BM112" s="4">
        <f t="shared" si="2"/>
        <v>5</v>
      </c>
    </row>
    <row r="113" spans="2:65" ht="15" customHeight="1" x14ac:dyDescent="0.25">
      <c r="B113" s="264"/>
      <c r="AD113" s="264"/>
      <c r="AM113" s="264"/>
      <c r="BI113" s="259"/>
      <c r="BK113" s="182"/>
      <c r="BM113" s="4">
        <f t="shared" si="2"/>
        <v>6</v>
      </c>
    </row>
    <row r="114" spans="2:65" ht="15" customHeight="1" x14ac:dyDescent="0.25">
      <c r="B114" s="264"/>
      <c r="AD114" s="264"/>
      <c r="AM114" s="264"/>
      <c r="BI114" s="259"/>
      <c r="BK114" s="182"/>
      <c r="BM114" s="4">
        <f t="shared" si="2"/>
        <v>7</v>
      </c>
    </row>
    <row r="115" spans="2:65" ht="15" customHeight="1" x14ac:dyDescent="0.25">
      <c r="B115" s="264"/>
      <c r="AD115" s="264"/>
      <c r="AM115" s="264"/>
      <c r="BI115" s="259"/>
      <c r="BK115" s="182"/>
      <c r="BM115" s="4">
        <f t="shared" si="2"/>
        <v>8</v>
      </c>
    </row>
    <row r="116" spans="2:65" ht="15" customHeight="1" x14ac:dyDescent="0.25">
      <c r="B116" s="264"/>
      <c r="AD116" s="264"/>
      <c r="AM116" s="264"/>
      <c r="BI116" s="259"/>
      <c r="BK116" s="182"/>
      <c r="BM116" s="4">
        <f t="shared" si="2"/>
        <v>9</v>
      </c>
    </row>
    <row r="117" spans="2:65" ht="15" customHeight="1" x14ac:dyDescent="0.25">
      <c r="B117" s="264"/>
      <c r="AD117" s="264"/>
      <c r="AM117" s="264"/>
      <c r="BI117" s="259"/>
      <c r="BK117" s="182"/>
      <c r="BM117" s="4">
        <f t="shared" si="2"/>
        <v>10</v>
      </c>
    </row>
    <row r="118" spans="2:65" ht="15" customHeight="1" x14ac:dyDescent="0.25">
      <c r="B118" s="264"/>
      <c r="AD118" s="264"/>
      <c r="AM118" s="264"/>
      <c r="BI118" s="259"/>
      <c r="BK118" s="182"/>
      <c r="BM118" s="4">
        <f t="shared" si="2"/>
        <v>11</v>
      </c>
    </row>
    <row r="119" spans="2:65" ht="15" customHeight="1" x14ac:dyDescent="0.25">
      <c r="B119" s="264"/>
      <c r="AD119" s="264"/>
      <c r="AM119" s="264"/>
      <c r="BI119" s="259"/>
      <c r="BK119" s="182"/>
      <c r="BM119" s="4">
        <f t="shared" si="2"/>
        <v>12</v>
      </c>
    </row>
    <row r="120" spans="2:65" ht="15" customHeight="1" x14ac:dyDescent="0.25">
      <c r="B120" s="264"/>
      <c r="AD120" s="264"/>
      <c r="AM120" s="264"/>
      <c r="BI120" s="259"/>
      <c r="BK120" s="182"/>
      <c r="BM120" s="4">
        <f t="shared" si="2"/>
        <v>13</v>
      </c>
    </row>
    <row r="121" spans="2:65" ht="15" customHeight="1" x14ac:dyDescent="0.25">
      <c r="B121" s="264"/>
      <c r="AD121" s="264"/>
      <c r="AM121" s="264"/>
      <c r="BI121" s="259"/>
      <c r="BK121" s="182"/>
      <c r="BM121" s="4">
        <f t="shared" si="2"/>
        <v>14</v>
      </c>
    </row>
    <row r="122" spans="2:65" ht="15" customHeight="1" x14ac:dyDescent="0.25">
      <c r="B122" s="264"/>
      <c r="AD122" s="264"/>
      <c r="AM122" s="264"/>
      <c r="BI122" s="259"/>
      <c r="BK122" s="182"/>
      <c r="BM122" s="4">
        <f t="shared" si="2"/>
        <v>15</v>
      </c>
    </row>
    <row r="123" spans="2:65" ht="15" customHeight="1" x14ac:dyDescent="0.25">
      <c r="B123" s="264"/>
      <c r="AD123" s="264"/>
      <c r="AM123" s="264"/>
      <c r="BI123" s="259"/>
      <c r="BK123" s="182"/>
      <c r="BM123" s="4">
        <f t="shared" si="2"/>
        <v>16</v>
      </c>
    </row>
    <row r="124" spans="2:65" ht="15" customHeight="1" x14ac:dyDescent="0.25">
      <c r="B124" s="264"/>
      <c r="AD124" s="264"/>
      <c r="AM124" s="264"/>
      <c r="BI124" s="259"/>
      <c r="BK124" s="182"/>
      <c r="BM124" s="4">
        <f t="shared" si="2"/>
        <v>17</v>
      </c>
    </row>
    <row r="125" spans="2:65" ht="15" customHeight="1" x14ac:dyDescent="0.25">
      <c r="B125" s="264"/>
      <c r="AD125" s="264"/>
      <c r="AM125" s="264"/>
      <c r="BI125" s="259"/>
      <c r="BK125" s="182"/>
      <c r="BM125" s="4">
        <f t="shared" si="2"/>
        <v>18</v>
      </c>
    </row>
    <row r="126" spans="2:65" ht="15" customHeight="1" x14ac:dyDescent="0.25">
      <c r="B126" s="264"/>
      <c r="AD126" s="264"/>
      <c r="AM126" s="264"/>
      <c r="BI126" s="259"/>
      <c r="BK126" s="182"/>
      <c r="BM126" s="4">
        <f t="shared" si="2"/>
        <v>19</v>
      </c>
    </row>
    <row r="127" spans="2:65" ht="15" customHeight="1" x14ac:dyDescent="0.25">
      <c r="B127" s="264"/>
      <c r="AD127" s="264"/>
      <c r="AM127" s="264"/>
      <c r="BI127" s="259"/>
      <c r="BK127" s="182"/>
      <c r="BM127" s="4">
        <f t="shared" si="2"/>
        <v>20</v>
      </c>
    </row>
    <row r="128" spans="2:65" ht="15" customHeight="1" x14ac:dyDescent="0.25">
      <c r="B128" s="264"/>
      <c r="AD128" s="264"/>
      <c r="AM128" s="264"/>
      <c r="BI128" s="259"/>
      <c r="BK128" s="182"/>
      <c r="BM128" s="4">
        <f t="shared" si="2"/>
        <v>21</v>
      </c>
    </row>
    <row r="129" spans="2:65" ht="15" customHeight="1" x14ac:dyDescent="0.25">
      <c r="B129" s="264"/>
      <c r="AD129" s="264"/>
      <c r="AM129" s="264"/>
      <c r="BI129" s="259"/>
      <c r="BK129" s="182"/>
      <c r="BM129" s="4">
        <f t="shared" si="2"/>
        <v>22</v>
      </c>
    </row>
    <row r="130" spans="2:65" ht="15" customHeight="1" x14ac:dyDescent="0.25">
      <c r="B130" s="264"/>
      <c r="AD130" s="264"/>
      <c r="AM130" s="264"/>
      <c r="BI130" s="259"/>
      <c r="BK130" s="182"/>
      <c r="BM130" s="4">
        <f t="shared" si="2"/>
        <v>23</v>
      </c>
    </row>
    <row r="131" spans="2:65" ht="15" customHeight="1" x14ac:dyDescent="0.25">
      <c r="B131" s="264"/>
      <c r="AD131" s="264"/>
      <c r="AM131" s="264"/>
      <c r="BI131" s="259"/>
      <c r="BK131" s="182"/>
      <c r="BM131" s="4">
        <f t="shared" si="2"/>
        <v>24</v>
      </c>
    </row>
    <row r="132" spans="2:65" ht="15" customHeight="1" x14ac:dyDescent="0.25">
      <c r="B132" s="264"/>
      <c r="AD132" s="264"/>
      <c r="AM132" s="264"/>
      <c r="BI132" s="259"/>
      <c r="BK132" s="182"/>
      <c r="BM132" s="4">
        <f t="shared" si="2"/>
        <v>25</v>
      </c>
    </row>
    <row r="133" spans="2:65" ht="15" customHeight="1" x14ac:dyDescent="0.25">
      <c r="B133" s="264"/>
      <c r="AD133" s="264"/>
      <c r="AM133" s="264"/>
      <c r="BI133" s="259"/>
      <c r="BK133" s="182"/>
      <c r="BM133" s="4">
        <f t="shared" si="2"/>
        <v>26</v>
      </c>
    </row>
    <row r="134" spans="2:65" ht="15" customHeight="1" x14ac:dyDescent="0.25">
      <c r="B134" s="264"/>
      <c r="AD134" s="264"/>
      <c r="AM134" s="264"/>
      <c r="BI134" s="259"/>
      <c r="BK134" s="182"/>
      <c r="BM134" s="4">
        <f t="shared" si="2"/>
        <v>27</v>
      </c>
    </row>
    <row r="135" spans="2:65" ht="15" customHeight="1" x14ac:dyDescent="0.25">
      <c r="B135" s="264"/>
      <c r="AD135" s="264"/>
      <c r="AM135" s="264"/>
      <c r="BI135" s="259"/>
      <c r="BK135" s="182"/>
      <c r="BM135" s="4">
        <f t="shared" si="2"/>
        <v>28</v>
      </c>
    </row>
    <row r="136" spans="2:65" ht="15" customHeight="1" x14ac:dyDescent="0.25">
      <c r="B136" s="264"/>
      <c r="AD136" s="264"/>
      <c r="AM136" s="264"/>
      <c r="BI136" s="259"/>
      <c r="BK136" s="182"/>
      <c r="BM136" s="4">
        <f t="shared" si="2"/>
        <v>29</v>
      </c>
    </row>
    <row r="137" spans="2:65" ht="15" customHeight="1" x14ac:dyDescent="0.25">
      <c r="B137" s="264"/>
      <c r="AD137" s="264"/>
      <c r="AM137" s="264"/>
      <c r="BI137" s="259"/>
      <c r="BK137" s="182"/>
      <c r="BM137" s="4">
        <f t="shared" si="2"/>
        <v>30</v>
      </c>
    </row>
    <row r="138" spans="2:65" ht="15" customHeight="1" x14ac:dyDescent="0.25">
      <c r="B138" s="264"/>
      <c r="AD138" s="264"/>
      <c r="AM138" s="264"/>
      <c r="BI138" s="259"/>
      <c r="BK138" s="182"/>
      <c r="BM138" s="4">
        <f t="shared" si="2"/>
        <v>31</v>
      </c>
    </row>
    <row r="139" spans="2:65" ht="15" customHeight="1" x14ac:dyDescent="0.25">
      <c r="B139" s="19" t="s">
        <v>58</v>
      </c>
      <c r="C139" s="262"/>
      <c r="D139" s="262"/>
      <c r="E139" s="262"/>
      <c r="F139" s="262"/>
      <c r="G139" s="262"/>
      <c r="H139" s="262"/>
      <c r="I139" s="262"/>
      <c r="J139" s="262"/>
      <c r="K139" s="263"/>
      <c r="L139" s="261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70"/>
      <c r="BK139" s="182"/>
      <c r="BM139" s="4">
        <f t="shared" si="2"/>
        <v>32</v>
      </c>
    </row>
    <row r="140" spans="2:65" ht="15" customHeight="1" x14ac:dyDescent="0.25">
      <c r="B140" s="264"/>
      <c r="AD140" s="264"/>
      <c r="AM140" s="264"/>
      <c r="BI140" s="259"/>
      <c r="BK140" s="182"/>
      <c r="BM140" s="4">
        <f t="shared" si="2"/>
        <v>33</v>
      </c>
    </row>
    <row r="141" spans="2:65" ht="15" customHeight="1" x14ac:dyDescent="0.25">
      <c r="B141" s="264"/>
      <c r="AD141" s="264"/>
      <c r="AM141" s="264"/>
      <c r="BI141" s="259"/>
      <c r="BK141" s="182"/>
      <c r="BM141" s="4">
        <f t="shared" si="2"/>
        <v>34</v>
      </c>
    </row>
    <row r="142" spans="2:65" ht="15" customHeight="1" x14ac:dyDescent="0.25">
      <c r="B142" s="264"/>
      <c r="AD142" s="264"/>
      <c r="AM142" s="264"/>
      <c r="BI142" s="259"/>
      <c r="BK142" s="182"/>
      <c r="BM142" s="4">
        <f t="shared" si="2"/>
        <v>35</v>
      </c>
    </row>
    <row r="143" spans="2:65" ht="15" customHeight="1" x14ac:dyDescent="0.25">
      <c r="B143" s="264"/>
      <c r="AD143" s="264"/>
      <c r="AM143" s="264"/>
      <c r="BI143" s="259"/>
      <c r="BK143" s="182"/>
      <c r="BM143" s="4">
        <f t="shared" si="2"/>
        <v>36</v>
      </c>
    </row>
    <row r="144" spans="2:65" ht="15" customHeight="1" x14ac:dyDescent="0.25">
      <c r="B144" s="264"/>
      <c r="AD144" s="264"/>
      <c r="AM144" s="264"/>
      <c r="BI144" s="259"/>
      <c r="BK144" s="182"/>
      <c r="BM144" s="4">
        <f t="shared" si="2"/>
        <v>37</v>
      </c>
    </row>
    <row r="145" spans="1:65" ht="15" customHeight="1" x14ac:dyDescent="0.25">
      <c r="B145" s="264"/>
      <c r="AD145" s="264"/>
      <c r="AM145" s="264"/>
      <c r="BI145" s="259"/>
      <c r="BK145" s="182"/>
      <c r="BM145" s="4">
        <f t="shared" si="2"/>
        <v>38</v>
      </c>
    </row>
    <row r="146" spans="1:65" ht="15" customHeight="1" x14ac:dyDescent="0.25">
      <c r="B146" s="264"/>
      <c r="AD146" s="264"/>
      <c r="AM146" s="264"/>
      <c r="BI146" s="259"/>
      <c r="BK146" s="182"/>
      <c r="BM146" s="4">
        <f t="shared" si="2"/>
        <v>39</v>
      </c>
    </row>
    <row r="147" spans="1:65" ht="15" customHeight="1" x14ac:dyDescent="0.25">
      <c r="B147" s="264"/>
      <c r="AD147" s="264"/>
      <c r="AM147" s="264"/>
      <c r="BI147" s="259"/>
      <c r="BK147" s="182"/>
      <c r="BM147" s="4">
        <f t="shared" si="2"/>
        <v>40</v>
      </c>
    </row>
    <row r="148" spans="1:65" ht="15" customHeight="1" x14ac:dyDescent="0.25">
      <c r="B148" s="264"/>
      <c r="AD148" s="264"/>
      <c r="AM148" s="264"/>
      <c r="BI148" s="259"/>
      <c r="BK148" s="182"/>
      <c r="BM148" s="4">
        <f t="shared" si="2"/>
        <v>41</v>
      </c>
    </row>
    <row r="149" spans="1:65" ht="15" customHeight="1" x14ac:dyDescent="0.25">
      <c r="B149" s="264"/>
      <c r="AD149" s="264"/>
      <c r="AM149" s="264"/>
      <c r="BI149" s="259"/>
      <c r="BK149" s="182"/>
      <c r="BM149" s="4">
        <f t="shared" si="2"/>
        <v>42</v>
      </c>
    </row>
    <row r="150" spans="1:65" ht="15" customHeight="1" x14ac:dyDescent="0.25">
      <c r="A150" s="179"/>
      <c r="B150" s="271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271"/>
      <c r="AE150" s="179"/>
      <c r="AF150" s="179"/>
      <c r="AG150" s="179"/>
      <c r="AH150" s="179"/>
      <c r="AI150" s="179"/>
      <c r="AJ150" s="179"/>
      <c r="AK150" s="179"/>
      <c r="AL150" s="179"/>
      <c r="AM150" s="271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179"/>
      <c r="BA150" s="179"/>
      <c r="BB150" s="179"/>
      <c r="BC150" s="179"/>
      <c r="BD150" s="179"/>
      <c r="BE150" s="179"/>
      <c r="BF150" s="179"/>
      <c r="BG150" s="179"/>
      <c r="BH150" s="179"/>
      <c r="BI150" s="272"/>
      <c r="BJ150" s="179"/>
      <c r="BK150" s="180"/>
      <c r="BM150" s="4">
        <f t="shared" ref="BM150" si="3">IF(BM149=50,1,BM149+1)</f>
        <v>43</v>
      </c>
    </row>
    <row r="151" spans="1:65" ht="15" customHeight="1" x14ac:dyDescent="0.25">
      <c r="B151" s="264"/>
      <c r="AD151" s="264"/>
      <c r="AM151" s="264"/>
      <c r="BI151" s="259"/>
    </row>
    <row r="152" spans="1:65" ht="15" customHeight="1" x14ac:dyDescent="0.25">
      <c r="B152" s="264"/>
      <c r="AD152" s="264"/>
      <c r="AM152" s="264"/>
      <c r="BI152" s="259"/>
    </row>
    <row r="153" spans="1:65" ht="15" customHeight="1" x14ac:dyDescent="0.25">
      <c r="B153" s="264"/>
      <c r="AD153" s="264"/>
      <c r="AM153" s="264"/>
      <c r="BI153" s="259"/>
    </row>
    <row r="154" spans="1:65" ht="15" customHeight="1" x14ac:dyDescent="0.25">
      <c r="B154" s="264"/>
      <c r="AD154" s="264"/>
      <c r="AM154" s="264"/>
      <c r="BI154" s="259"/>
    </row>
    <row r="155" spans="1:65" ht="15" customHeight="1" x14ac:dyDescent="0.25">
      <c r="B155" s="264"/>
      <c r="AD155" s="264"/>
      <c r="AM155" s="264"/>
      <c r="BI155" s="259"/>
    </row>
    <row r="156" spans="1:65" ht="15" customHeight="1" x14ac:dyDescent="0.25">
      <c r="B156" s="264"/>
      <c r="AD156" s="264"/>
      <c r="AM156" s="264"/>
      <c r="BI156" s="259"/>
    </row>
    <row r="157" spans="1:65" ht="15" customHeight="1" x14ac:dyDescent="0.25">
      <c r="B157" s="264"/>
      <c r="AD157" s="264"/>
      <c r="AM157" s="264"/>
      <c r="BI157" s="259"/>
    </row>
    <row r="158" spans="1:65" ht="15" customHeight="1" x14ac:dyDescent="0.25">
      <c r="B158" s="264"/>
      <c r="AD158" s="264"/>
      <c r="AM158" s="264"/>
      <c r="BI158" s="259"/>
    </row>
    <row r="159" spans="1:65" ht="15" customHeight="1" x14ac:dyDescent="0.25">
      <c r="B159" s="264"/>
      <c r="AD159" s="264"/>
      <c r="AM159" s="264"/>
      <c r="BI159" s="259"/>
    </row>
    <row r="160" spans="1:65" ht="15" customHeight="1" x14ac:dyDescent="0.25">
      <c r="B160" s="264"/>
      <c r="AD160" s="264"/>
      <c r="AM160" s="264"/>
      <c r="BI160" s="259"/>
    </row>
    <row r="161" spans="2:61" ht="15" customHeight="1" x14ac:dyDescent="0.25">
      <c r="B161" s="264"/>
      <c r="AD161" s="264"/>
      <c r="AM161" s="264"/>
      <c r="BI161" s="259"/>
    </row>
    <row r="162" spans="2:61" ht="15" customHeight="1" x14ac:dyDescent="0.25">
      <c r="B162" s="264"/>
      <c r="AD162" s="264"/>
      <c r="AM162" s="264"/>
      <c r="BI162" s="259"/>
    </row>
    <row r="163" spans="2:61" ht="15" customHeight="1" x14ac:dyDescent="0.25">
      <c r="B163" s="264"/>
      <c r="AD163" s="264"/>
      <c r="AM163" s="264"/>
      <c r="BI163" s="259"/>
    </row>
    <row r="164" spans="2:61" ht="15" customHeight="1" x14ac:dyDescent="0.25">
      <c r="B164" s="264"/>
      <c r="AD164" s="264"/>
      <c r="AM164" s="264"/>
      <c r="BI164" s="259"/>
    </row>
    <row r="165" spans="2:61" ht="15" customHeight="1" x14ac:dyDescent="0.25">
      <c r="B165" s="264"/>
      <c r="AD165" s="264"/>
      <c r="AM165" s="264"/>
      <c r="BI165" s="259"/>
    </row>
    <row r="166" spans="2:61" ht="15" customHeight="1" x14ac:dyDescent="0.25">
      <c r="B166" s="264"/>
      <c r="AD166" s="264"/>
      <c r="AM166" s="264"/>
      <c r="BI166" s="259"/>
    </row>
    <row r="167" spans="2:61" ht="15" customHeight="1" x14ac:dyDescent="0.25">
      <c r="B167" s="264"/>
      <c r="AD167" s="264"/>
      <c r="AM167" s="264"/>
      <c r="BI167" s="259"/>
    </row>
    <row r="168" spans="2:61" ht="15" customHeight="1" x14ac:dyDescent="0.25">
      <c r="B168" s="264"/>
      <c r="AD168" s="264"/>
      <c r="AM168" s="264"/>
      <c r="BI168" s="259"/>
    </row>
    <row r="169" spans="2:61" ht="15" customHeight="1" x14ac:dyDescent="0.25">
      <c r="B169" s="264"/>
      <c r="AD169" s="264"/>
      <c r="AM169" s="264"/>
      <c r="BI169" s="259"/>
    </row>
    <row r="170" spans="2:61" ht="15" customHeight="1" x14ac:dyDescent="0.25">
      <c r="B170" s="264"/>
      <c r="AD170" s="264"/>
      <c r="AM170" s="264"/>
      <c r="BI170" s="259"/>
    </row>
    <row r="171" spans="2:61" ht="15" customHeight="1" x14ac:dyDescent="0.25">
      <c r="B171" s="264"/>
      <c r="AD171" s="264"/>
      <c r="AM171" s="264"/>
      <c r="BI171" s="259"/>
    </row>
    <row r="172" spans="2:61" ht="15" customHeight="1" x14ac:dyDescent="0.25">
      <c r="B172" s="264"/>
      <c r="AD172" s="264"/>
      <c r="AM172" s="264"/>
      <c r="BI172" s="25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2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73" t="s">
        <v>39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40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POSサーバー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3" ht="24.95" customHeight="1" x14ac:dyDescent="0.25">
      <c r="A4" s="273" t="s">
        <v>48</v>
      </c>
      <c r="B4" s="274"/>
      <c r="C4" s="274"/>
      <c r="D4" s="274"/>
      <c r="E4" s="274"/>
      <c r="F4" s="274"/>
      <c r="G4" s="275"/>
      <c r="H4" s="40" t="str">
        <f>IF(表紙!H4="","",表紙!H4)</f>
        <v>68_サイトログインユーザマスタ設定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273" t="s">
        <v>49</v>
      </c>
      <c r="V4" s="274"/>
      <c r="W4" s="274"/>
      <c r="X4" s="274"/>
      <c r="Y4" s="275"/>
      <c r="Z4" s="40" t="str">
        <f>IF(表紙!Z4="","",表紙!Z4)</f>
        <v>概要設計書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画面設計書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285" t="s">
        <v>16</v>
      </c>
      <c r="C7" s="285"/>
      <c r="D7" s="285"/>
      <c r="E7" s="285"/>
      <c r="F7" s="285"/>
      <c r="G7" s="285"/>
      <c r="H7" s="285"/>
      <c r="I7" s="285"/>
      <c r="J7" s="285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62</v>
      </c>
      <c r="BK35" s="9"/>
    </row>
    <row r="36" spans="1:63" x14ac:dyDescent="0.25">
      <c r="BK36" s="9"/>
    </row>
    <row r="37" spans="1:63" ht="15.75" customHeight="1" x14ac:dyDescent="0.25">
      <c r="B37" s="44" t="s">
        <v>63</v>
      </c>
      <c r="C37" s="45"/>
      <c r="D37" s="50" t="s">
        <v>64</v>
      </c>
      <c r="E37" s="51"/>
      <c r="F37" s="51"/>
      <c r="G37" s="51"/>
      <c r="H37" s="51"/>
      <c r="I37" s="51"/>
      <c r="J37" s="45"/>
      <c r="K37" s="50" t="s">
        <v>65</v>
      </c>
      <c r="L37" s="51"/>
      <c r="M37" s="45"/>
      <c r="N37" s="54" t="s">
        <v>17</v>
      </c>
      <c r="O37" s="57" t="s">
        <v>66</v>
      </c>
      <c r="P37" s="75" t="s">
        <v>67</v>
      </c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7"/>
      <c r="AR37" s="60" t="s">
        <v>68</v>
      </c>
      <c r="AS37" s="61"/>
      <c r="AT37" s="61"/>
      <c r="AU37" s="61"/>
      <c r="AV37" s="61"/>
      <c r="AW37" s="61"/>
      <c r="AX37" s="61"/>
      <c r="AY37" s="61"/>
      <c r="AZ37" s="61"/>
      <c r="BA37" s="61"/>
      <c r="BB37" s="64"/>
      <c r="BC37" s="78" t="s">
        <v>69</v>
      </c>
      <c r="BD37" s="79"/>
      <c r="BE37" s="79"/>
      <c r="BF37" s="79"/>
      <c r="BG37" s="79"/>
      <c r="BH37" s="79"/>
      <c r="BI37" s="79"/>
      <c r="BJ37" s="80"/>
      <c r="BK37" s="9"/>
    </row>
    <row r="38" spans="1:63" ht="15.75" customHeight="1" x14ac:dyDescent="0.25">
      <c r="B38" s="46"/>
      <c r="C38" s="47"/>
      <c r="D38" s="46"/>
      <c r="E38" s="52"/>
      <c r="F38" s="52"/>
      <c r="G38" s="52"/>
      <c r="H38" s="52"/>
      <c r="I38" s="52"/>
      <c r="J38" s="47"/>
      <c r="K38" s="46"/>
      <c r="L38" s="52"/>
      <c r="M38" s="47"/>
      <c r="N38" s="55"/>
      <c r="O38" s="58"/>
      <c r="P38" s="87" t="s">
        <v>70</v>
      </c>
      <c r="Q38" s="88"/>
      <c r="R38" s="88"/>
      <c r="S38" s="88"/>
      <c r="T38" s="88"/>
      <c r="U38" s="88"/>
      <c r="V38" s="88"/>
      <c r="W38" s="89"/>
      <c r="X38" s="90" t="s">
        <v>71</v>
      </c>
      <c r="Y38" s="91"/>
      <c r="Z38" s="92"/>
      <c r="AA38" s="90" t="s">
        <v>72</v>
      </c>
      <c r="AB38" s="91"/>
      <c r="AC38" s="91"/>
      <c r="AD38" s="91"/>
      <c r="AE38" s="91"/>
      <c r="AF38" s="91"/>
      <c r="AG38" s="91"/>
      <c r="AH38" s="92"/>
      <c r="AI38" s="90" t="s">
        <v>73</v>
      </c>
      <c r="AJ38" s="91"/>
      <c r="AK38" s="91"/>
      <c r="AL38" s="91"/>
      <c r="AM38" s="91"/>
      <c r="AN38" s="91"/>
      <c r="AO38" s="91"/>
      <c r="AP38" s="91"/>
      <c r="AQ38" s="92"/>
      <c r="AR38" s="96" t="s">
        <v>18</v>
      </c>
      <c r="AS38" s="98" t="s">
        <v>74</v>
      </c>
      <c r="AT38" s="100" t="s">
        <v>75</v>
      </c>
      <c r="AU38" s="60" t="s">
        <v>70</v>
      </c>
      <c r="AV38" s="61"/>
      <c r="AW38" s="61"/>
      <c r="AX38" s="61"/>
      <c r="AY38" s="61"/>
      <c r="AZ38" s="61"/>
      <c r="BA38" s="61"/>
      <c r="BB38" s="64"/>
      <c r="BC38" s="81"/>
      <c r="BD38" s="82"/>
      <c r="BE38" s="82"/>
      <c r="BF38" s="82"/>
      <c r="BG38" s="82"/>
      <c r="BH38" s="82"/>
      <c r="BI38" s="82"/>
      <c r="BJ38" s="83"/>
      <c r="BK38" s="9"/>
    </row>
    <row r="39" spans="1:63" x14ac:dyDescent="0.25">
      <c r="B39" s="48"/>
      <c r="C39" s="49"/>
      <c r="D39" s="48"/>
      <c r="E39" s="53"/>
      <c r="F39" s="53"/>
      <c r="G39" s="53"/>
      <c r="H39" s="53"/>
      <c r="I39" s="53"/>
      <c r="J39" s="49"/>
      <c r="K39" s="48"/>
      <c r="L39" s="53"/>
      <c r="M39" s="49"/>
      <c r="N39" s="56"/>
      <c r="O39" s="59"/>
      <c r="P39" s="75" t="s">
        <v>76</v>
      </c>
      <c r="Q39" s="76"/>
      <c r="R39" s="76"/>
      <c r="S39" s="77"/>
      <c r="T39" s="75" t="s">
        <v>64</v>
      </c>
      <c r="U39" s="76"/>
      <c r="V39" s="76"/>
      <c r="W39" s="77"/>
      <c r="X39" s="93"/>
      <c r="Y39" s="94"/>
      <c r="Z39" s="95"/>
      <c r="AA39" s="93"/>
      <c r="AB39" s="94"/>
      <c r="AC39" s="94"/>
      <c r="AD39" s="94"/>
      <c r="AE39" s="94"/>
      <c r="AF39" s="94"/>
      <c r="AG39" s="94"/>
      <c r="AH39" s="95"/>
      <c r="AI39" s="93"/>
      <c r="AJ39" s="94"/>
      <c r="AK39" s="94"/>
      <c r="AL39" s="94"/>
      <c r="AM39" s="94"/>
      <c r="AN39" s="94"/>
      <c r="AO39" s="94"/>
      <c r="AP39" s="94"/>
      <c r="AQ39" s="95"/>
      <c r="AR39" s="97"/>
      <c r="AS39" s="99"/>
      <c r="AT39" s="101"/>
      <c r="AU39" s="60" t="s">
        <v>76</v>
      </c>
      <c r="AV39" s="61"/>
      <c r="AW39" s="61"/>
      <c r="AX39" s="62"/>
      <c r="AY39" s="63" t="s">
        <v>64</v>
      </c>
      <c r="AZ39" s="61"/>
      <c r="BA39" s="61"/>
      <c r="BB39" s="64"/>
      <c r="BC39" s="84"/>
      <c r="BD39" s="85"/>
      <c r="BE39" s="85"/>
      <c r="BF39" s="85"/>
      <c r="BG39" s="85"/>
      <c r="BH39" s="85"/>
      <c r="BI39" s="85"/>
      <c r="BJ39" s="86"/>
      <c r="BK39" s="9"/>
    </row>
    <row r="40" spans="1:63" ht="15.75" customHeight="1" x14ac:dyDescent="0.25">
      <c r="B40" s="65">
        <v>1</v>
      </c>
      <c r="C40" s="66"/>
      <c r="D40" s="67"/>
      <c r="E40" s="68"/>
      <c r="F40" s="68"/>
      <c r="G40" s="68"/>
      <c r="H40" s="68"/>
      <c r="I40" s="68"/>
      <c r="J40" s="69"/>
      <c r="K40" s="70" t="s">
        <v>19</v>
      </c>
      <c r="L40" s="71"/>
      <c r="M40" s="72"/>
      <c r="N40" s="11" t="s">
        <v>20</v>
      </c>
      <c r="O40" s="12" t="s">
        <v>21</v>
      </c>
      <c r="P40" s="73" t="s">
        <v>20</v>
      </c>
      <c r="Q40" s="74"/>
      <c r="R40" s="74"/>
      <c r="S40" s="66"/>
      <c r="T40" s="73" t="s">
        <v>20</v>
      </c>
      <c r="U40" s="74"/>
      <c r="V40" s="74"/>
      <c r="W40" s="66"/>
      <c r="X40" s="102" t="s">
        <v>60</v>
      </c>
      <c r="Y40" s="103"/>
      <c r="Z40" s="104"/>
      <c r="AA40" s="65" t="s">
        <v>22</v>
      </c>
      <c r="AB40" s="74"/>
      <c r="AC40" s="74"/>
      <c r="AD40" s="74"/>
      <c r="AE40" s="74"/>
      <c r="AF40" s="74"/>
      <c r="AG40" s="74"/>
      <c r="AH40" s="66"/>
      <c r="AI40" s="105" t="s">
        <v>20</v>
      </c>
      <c r="AJ40" s="106"/>
      <c r="AK40" s="106"/>
      <c r="AL40" s="106"/>
      <c r="AM40" s="106"/>
      <c r="AN40" s="106"/>
      <c r="AO40" s="106"/>
      <c r="AP40" s="106"/>
      <c r="AQ40" s="107"/>
      <c r="AR40" s="13" t="s">
        <v>20</v>
      </c>
      <c r="AS40" s="13" t="s">
        <v>22</v>
      </c>
      <c r="AT40" s="13" t="s">
        <v>22</v>
      </c>
      <c r="AU40" s="65" t="s">
        <v>23</v>
      </c>
      <c r="AV40" s="74"/>
      <c r="AW40" s="74"/>
      <c r="AX40" s="66"/>
      <c r="AY40" s="65" t="s">
        <v>22</v>
      </c>
      <c r="AZ40" s="74"/>
      <c r="BA40" s="74"/>
      <c r="BB40" s="66"/>
      <c r="BC40" s="286"/>
      <c r="BD40" s="287"/>
      <c r="BE40" s="287"/>
      <c r="BF40" s="287"/>
      <c r="BG40" s="287"/>
      <c r="BH40" s="287"/>
      <c r="BI40" s="287"/>
      <c r="BJ40" s="288"/>
      <c r="BK40" s="9"/>
    </row>
    <row r="41" spans="1:63" x14ac:dyDescent="0.25">
      <c r="B41" s="108">
        <v>2</v>
      </c>
      <c r="C41" s="109"/>
      <c r="D41" s="115"/>
      <c r="E41" s="116"/>
      <c r="F41" s="116"/>
      <c r="G41" s="116"/>
      <c r="H41" s="116"/>
      <c r="I41" s="116"/>
      <c r="J41" s="117"/>
      <c r="K41" s="70" t="s">
        <v>19</v>
      </c>
      <c r="L41" s="71"/>
      <c r="M41" s="72"/>
      <c r="N41" s="12" t="s">
        <v>24</v>
      </c>
      <c r="O41" s="12" t="s">
        <v>21</v>
      </c>
      <c r="P41" s="108" t="s">
        <v>23</v>
      </c>
      <c r="Q41" s="114"/>
      <c r="R41" s="114"/>
      <c r="S41" s="109"/>
      <c r="T41" s="108" t="s">
        <v>23</v>
      </c>
      <c r="U41" s="114"/>
      <c r="V41" s="114"/>
      <c r="W41" s="109"/>
      <c r="X41" s="125" t="s">
        <v>77</v>
      </c>
      <c r="Y41" s="126"/>
      <c r="Z41" s="127"/>
      <c r="AA41" s="108" t="s">
        <v>22</v>
      </c>
      <c r="AB41" s="114"/>
      <c r="AC41" s="114"/>
      <c r="AD41" s="114"/>
      <c r="AE41" s="114"/>
      <c r="AF41" s="114"/>
      <c r="AG41" s="114"/>
      <c r="AH41" s="109"/>
      <c r="AI41" s="121" t="s">
        <v>22</v>
      </c>
      <c r="AJ41" s="122"/>
      <c r="AK41" s="122"/>
      <c r="AL41" s="122"/>
      <c r="AM41" s="122"/>
      <c r="AN41" s="122"/>
      <c r="AO41" s="122"/>
      <c r="AP41" s="122"/>
      <c r="AQ41" s="123"/>
      <c r="AR41" s="14" t="s">
        <v>20</v>
      </c>
      <c r="AS41" s="14" t="s">
        <v>22</v>
      </c>
      <c r="AT41" s="14" t="s">
        <v>22</v>
      </c>
      <c r="AU41" s="108" t="s">
        <v>23</v>
      </c>
      <c r="AV41" s="114"/>
      <c r="AW41" s="114"/>
      <c r="AX41" s="109"/>
      <c r="AY41" s="108" t="s">
        <v>22</v>
      </c>
      <c r="AZ41" s="114"/>
      <c r="BA41" s="114"/>
      <c r="BB41" s="109"/>
      <c r="BC41" s="124"/>
      <c r="BD41" s="289"/>
      <c r="BE41" s="289"/>
      <c r="BF41" s="289"/>
      <c r="BG41" s="289"/>
      <c r="BH41" s="289"/>
      <c r="BI41" s="289"/>
      <c r="BJ41" s="290"/>
      <c r="BK41" s="9"/>
    </row>
    <row r="42" spans="1:63" x14ac:dyDescent="0.25">
      <c r="B42" s="108">
        <v>3</v>
      </c>
      <c r="C42" s="109"/>
      <c r="D42" s="110"/>
      <c r="E42" s="111"/>
      <c r="F42" s="111"/>
      <c r="G42" s="111"/>
      <c r="H42" s="111"/>
      <c r="I42" s="111"/>
      <c r="J42" s="112"/>
      <c r="K42" s="70" t="s">
        <v>19</v>
      </c>
      <c r="L42" s="71"/>
      <c r="M42" s="72"/>
      <c r="N42" s="12" t="s">
        <v>25</v>
      </c>
      <c r="O42" s="12" t="s">
        <v>20</v>
      </c>
      <c r="P42" s="113" t="s">
        <v>20</v>
      </c>
      <c r="Q42" s="114"/>
      <c r="R42" s="114"/>
      <c r="S42" s="109"/>
      <c r="T42" s="108"/>
      <c r="U42" s="114"/>
      <c r="V42" s="114"/>
      <c r="W42" s="109"/>
      <c r="X42" s="118" t="s">
        <v>20</v>
      </c>
      <c r="Y42" s="119"/>
      <c r="Z42" s="120"/>
      <c r="AA42" s="108" t="s">
        <v>22</v>
      </c>
      <c r="AB42" s="114"/>
      <c r="AC42" s="114"/>
      <c r="AD42" s="114"/>
      <c r="AE42" s="114"/>
      <c r="AF42" s="114"/>
      <c r="AG42" s="114"/>
      <c r="AH42" s="109"/>
      <c r="AI42" s="121" t="s">
        <v>22</v>
      </c>
      <c r="AJ42" s="122"/>
      <c r="AK42" s="122"/>
      <c r="AL42" s="122"/>
      <c r="AM42" s="122"/>
      <c r="AN42" s="122"/>
      <c r="AO42" s="122"/>
      <c r="AP42" s="122"/>
      <c r="AQ42" s="123"/>
      <c r="AR42" s="14" t="s">
        <v>20</v>
      </c>
      <c r="AS42" s="14" t="s">
        <v>22</v>
      </c>
      <c r="AT42" s="14" t="s">
        <v>22</v>
      </c>
      <c r="AU42" s="108" t="s">
        <v>23</v>
      </c>
      <c r="AV42" s="114"/>
      <c r="AW42" s="114"/>
      <c r="AX42" s="109"/>
      <c r="AY42" s="108" t="s">
        <v>22</v>
      </c>
      <c r="AZ42" s="114"/>
      <c r="BA42" s="114"/>
      <c r="BB42" s="109"/>
      <c r="BC42" s="291"/>
      <c r="BD42" s="289"/>
      <c r="BE42" s="289"/>
      <c r="BF42" s="289"/>
      <c r="BG42" s="289"/>
      <c r="BH42" s="289"/>
      <c r="BI42" s="289"/>
      <c r="BJ42" s="290"/>
      <c r="BK42" s="9"/>
    </row>
    <row r="43" spans="1:63" x14ac:dyDescent="0.25">
      <c r="B43" s="108">
        <v>4</v>
      </c>
      <c r="C43" s="109"/>
      <c r="D43" s="292"/>
      <c r="E43" s="293"/>
      <c r="F43" s="293"/>
      <c r="G43" s="293"/>
      <c r="H43" s="293"/>
      <c r="I43" s="293"/>
      <c r="J43" s="294"/>
      <c r="K43" s="70" t="s">
        <v>19</v>
      </c>
      <c r="L43" s="71"/>
      <c r="M43" s="72"/>
      <c r="N43" s="15" t="s">
        <v>24</v>
      </c>
      <c r="O43" s="12" t="s">
        <v>21</v>
      </c>
      <c r="P43" s="108" t="s">
        <v>23</v>
      </c>
      <c r="Q43" s="114"/>
      <c r="R43" s="114"/>
      <c r="S43" s="109"/>
      <c r="T43" s="108" t="s">
        <v>23</v>
      </c>
      <c r="U43" s="114"/>
      <c r="V43" s="114"/>
      <c r="W43" s="109"/>
      <c r="X43" s="128" t="s">
        <v>61</v>
      </c>
      <c r="Y43" s="114"/>
      <c r="Z43" s="109"/>
      <c r="AA43" s="108" t="s">
        <v>22</v>
      </c>
      <c r="AB43" s="114"/>
      <c r="AC43" s="114"/>
      <c r="AD43" s="114"/>
      <c r="AE43" s="114"/>
      <c r="AF43" s="114"/>
      <c r="AG43" s="114"/>
      <c r="AH43" s="109"/>
      <c r="AI43" s="121" t="s">
        <v>22</v>
      </c>
      <c r="AJ43" s="122"/>
      <c r="AK43" s="122"/>
      <c r="AL43" s="122"/>
      <c r="AM43" s="122"/>
      <c r="AN43" s="122"/>
      <c r="AO43" s="122"/>
      <c r="AP43" s="122"/>
      <c r="AQ43" s="123"/>
      <c r="AR43" s="14" t="s">
        <v>20</v>
      </c>
      <c r="AS43" s="14" t="s">
        <v>22</v>
      </c>
      <c r="AT43" s="14" t="s">
        <v>22</v>
      </c>
      <c r="AU43" s="108" t="s">
        <v>23</v>
      </c>
      <c r="AV43" s="114"/>
      <c r="AW43" s="114"/>
      <c r="AX43" s="109"/>
      <c r="AY43" s="108" t="s">
        <v>22</v>
      </c>
      <c r="AZ43" s="114"/>
      <c r="BA43" s="114"/>
      <c r="BB43" s="109"/>
      <c r="BC43" s="295"/>
      <c r="BD43" s="296"/>
      <c r="BE43" s="296"/>
      <c r="BF43" s="296"/>
      <c r="BG43" s="296"/>
      <c r="BH43" s="296"/>
      <c r="BI43" s="296"/>
      <c r="BJ43" s="297"/>
      <c r="BK43" s="9"/>
    </row>
    <row r="44" spans="1:63" x14ac:dyDescent="0.25">
      <c r="B44" s="108">
        <v>5</v>
      </c>
      <c r="C44" s="109"/>
      <c r="D44" s="110"/>
      <c r="E44" s="111"/>
      <c r="F44" s="111"/>
      <c r="G44" s="111"/>
      <c r="H44" s="111"/>
      <c r="I44" s="111"/>
      <c r="J44" s="112"/>
      <c r="K44" s="70" t="s">
        <v>26</v>
      </c>
      <c r="L44" s="71"/>
      <c r="M44" s="72"/>
      <c r="N44" s="15" t="s">
        <v>25</v>
      </c>
      <c r="O44" s="12" t="s">
        <v>20</v>
      </c>
      <c r="P44" s="108" t="s">
        <v>23</v>
      </c>
      <c r="Q44" s="114"/>
      <c r="R44" s="114"/>
      <c r="S44" s="109"/>
      <c r="T44" s="108" t="s">
        <v>23</v>
      </c>
      <c r="U44" s="114"/>
      <c r="V44" s="114"/>
      <c r="W44" s="109"/>
      <c r="X44" s="128" t="s">
        <v>20</v>
      </c>
      <c r="Y44" s="114"/>
      <c r="Z44" s="109"/>
      <c r="AA44" s="108" t="s">
        <v>22</v>
      </c>
      <c r="AB44" s="114"/>
      <c r="AC44" s="114"/>
      <c r="AD44" s="114"/>
      <c r="AE44" s="114"/>
      <c r="AF44" s="114"/>
      <c r="AG44" s="114"/>
      <c r="AH44" s="109"/>
      <c r="AI44" s="121" t="s">
        <v>22</v>
      </c>
      <c r="AJ44" s="122"/>
      <c r="AK44" s="122"/>
      <c r="AL44" s="122"/>
      <c r="AM44" s="122"/>
      <c r="AN44" s="122"/>
      <c r="AO44" s="122"/>
      <c r="AP44" s="122"/>
      <c r="AQ44" s="123"/>
      <c r="AR44" s="14" t="s">
        <v>20</v>
      </c>
      <c r="AS44" s="14" t="s">
        <v>22</v>
      </c>
      <c r="AT44" s="14" t="s">
        <v>22</v>
      </c>
      <c r="AU44" s="108" t="s">
        <v>23</v>
      </c>
      <c r="AV44" s="114"/>
      <c r="AW44" s="114"/>
      <c r="AX44" s="109"/>
      <c r="AY44" s="108" t="s">
        <v>22</v>
      </c>
      <c r="AZ44" s="114"/>
      <c r="BA44" s="114"/>
      <c r="BB44" s="109"/>
      <c r="BC44" s="291"/>
      <c r="BD44" s="289"/>
      <c r="BE44" s="289"/>
      <c r="BF44" s="289"/>
      <c r="BG44" s="289"/>
      <c r="BH44" s="289"/>
      <c r="BI44" s="289"/>
      <c r="BJ44" s="290"/>
      <c r="BK44" s="9"/>
    </row>
    <row r="45" spans="1:63" x14ac:dyDescent="0.25">
      <c r="B45" s="129">
        <v>6</v>
      </c>
      <c r="C45" s="131"/>
      <c r="D45" s="135"/>
      <c r="E45" s="136"/>
      <c r="F45" s="136"/>
      <c r="G45" s="136"/>
      <c r="H45" s="136"/>
      <c r="I45" s="136"/>
      <c r="J45" s="137"/>
      <c r="K45" s="138" t="s">
        <v>27</v>
      </c>
      <c r="L45" s="139"/>
      <c r="M45" s="140"/>
      <c r="N45" s="16" t="s">
        <v>25</v>
      </c>
      <c r="O45" s="16" t="s">
        <v>21</v>
      </c>
      <c r="P45" s="129" t="s">
        <v>23</v>
      </c>
      <c r="Q45" s="130"/>
      <c r="R45" s="130"/>
      <c r="S45" s="131"/>
      <c r="T45" s="129" t="s">
        <v>23</v>
      </c>
      <c r="U45" s="130"/>
      <c r="V45" s="130"/>
      <c r="W45" s="131"/>
      <c r="X45" s="141" t="s">
        <v>78</v>
      </c>
      <c r="Y45" s="142"/>
      <c r="Z45" s="143"/>
      <c r="AA45" s="129" t="s">
        <v>22</v>
      </c>
      <c r="AB45" s="130"/>
      <c r="AC45" s="130"/>
      <c r="AD45" s="130"/>
      <c r="AE45" s="130"/>
      <c r="AF45" s="130"/>
      <c r="AG45" s="130"/>
      <c r="AH45" s="131"/>
      <c r="AI45" s="132" t="s">
        <v>28</v>
      </c>
      <c r="AJ45" s="133"/>
      <c r="AK45" s="133"/>
      <c r="AL45" s="133"/>
      <c r="AM45" s="133"/>
      <c r="AN45" s="133"/>
      <c r="AO45" s="133"/>
      <c r="AP45" s="133"/>
      <c r="AQ45" s="134"/>
      <c r="AR45" s="17" t="s">
        <v>20</v>
      </c>
      <c r="AS45" s="17" t="s">
        <v>22</v>
      </c>
      <c r="AT45" s="17" t="s">
        <v>22</v>
      </c>
      <c r="AU45" s="129" t="s">
        <v>23</v>
      </c>
      <c r="AV45" s="130"/>
      <c r="AW45" s="130"/>
      <c r="AX45" s="131"/>
      <c r="AY45" s="129" t="s">
        <v>22</v>
      </c>
      <c r="AZ45" s="130"/>
      <c r="BA45" s="130"/>
      <c r="BB45" s="131"/>
      <c r="BC45" s="298" t="s">
        <v>29</v>
      </c>
      <c r="BD45" s="299"/>
      <c r="BE45" s="299"/>
      <c r="BF45" s="299"/>
      <c r="BG45" s="299"/>
      <c r="BH45" s="299"/>
      <c r="BI45" s="299"/>
      <c r="BJ45" s="300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0" customWidth="1"/>
    <col min="61" max="16384" width="2.77734375" style="150"/>
  </cols>
  <sheetData>
    <row r="1" spans="1:63" ht="24.95" customHeight="1" x14ac:dyDescent="0.25">
      <c r="A1" s="273" t="s">
        <v>39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40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POSサーバー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3" ht="24.95" customHeight="1" x14ac:dyDescent="0.25">
      <c r="A4" s="273" t="s">
        <v>48</v>
      </c>
      <c r="B4" s="274"/>
      <c r="C4" s="274"/>
      <c r="D4" s="274"/>
      <c r="E4" s="274"/>
      <c r="F4" s="274"/>
      <c r="G4" s="275"/>
      <c r="H4" s="40" t="str">
        <f>IF(表紙!H4="","",表紙!H4)</f>
        <v>68_サイトログインユーザマスタ設定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273" t="s">
        <v>49</v>
      </c>
      <c r="V4" s="274"/>
      <c r="W4" s="274"/>
      <c r="X4" s="274"/>
      <c r="Y4" s="275"/>
      <c r="Z4" s="40" t="str">
        <f>IF(表紙!Z4="","",表紙!Z4)</f>
        <v>概要設計書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テンプレート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3" ht="15" customHeight="1" x14ac:dyDescent="0.25">
      <c r="A6" s="181"/>
      <c r="BK6" s="182"/>
    </row>
    <row r="7" spans="1:63" ht="15" customHeight="1" x14ac:dyDescent="0.25">
      <c r="A7" s="181"/>
      <c r="B7" s="254"/>
      <c r="C7" s="255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55"/>
      <c r="V7" s="256"/>
      <c r="W7" s="256"/>
      <c r="X7" s="256"/>
      <c r="Y7" s="256"/>
      <c r="Z7" s="256"/>
      <c r="AA7" s="256"/>
      <c r="AB7" s="256"/>
      <c r="AC7" s="257"/>
      <c r="AD7" s="255"/>
      <c r="AE7" s="256"/>
      <c r="AF7" s="256"/>
      <c r="AG7" s="256"/>
      <c r="AH7" s="256"/>
      <c r="AI7" s="256"/>
      <c r="AJ7" s="256"/>
      <c r="AK7" s="256"/>
      <c r="AL7" s="257"/>
      <c r="AM7" s="255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7"/>
      <c r="BJ7" s="256"/>
      <c r="BK7" s="182"/>
    </row>
    <row r="8" spans="1:63" ht="15" customHeight="1" x14ac:dyDescent="0.25">
      <c r="A8" s="181"/>
      <c r="C8" s="258"/>
      <c r="U8" s="258"/>
      <c r="AD8" s="258"/>
      <c r="AM8" s="258"/>
      <c r="BI8" s="260"/>
    </row>
    <row r="9" spans="1:63" ht="15" customHeight="1" x14ac:dyDescent="0.25">
      <c r="A9" s="181"/>
      <c r="C9" s="258"/>
      <c r="U9" s="258"/>
      <c r="AD9" s="258"/>
      <c r="AM9" s="258"/>
      <c r="BI9" s="260"/>
    </row>
    <row r="10" spans="1:63" ht="15" customHeight="1" x14ac:dyDescent="0.25">
      <c r="A10" s="181"/>
      <c r="C10" s="258"/>
      <c r="U10" s="258"/>
      <c r="AD10" s="258"/>
      <c r="AM10" s="258"/>
      <c r="BI10" s="260"/>
    </row>
    <row r="11" spans="1:63" ht="15" customHeight="1" x14ac:dyDescent="0.25">
      <c r="A11" s="181"/>
      <c r="C11" s="258"/>
      <c r="U11" s="258"/>
      <c r="AD11" s="258"/>
      <c r="AM11" s="258"/>
      <c r="BI11" s="260"/>
    </row>
    <row r="12" spans="1:63" ht="15" customHeight="1" x14ac:dyDescent="0.25">
      <c r="A12" s="181"/>
      <c r="C12" s="258"/>
      <c r="U12" s="258"/>
      <c r="AD12" s="258"/>
      <c r="AM12" s="258"/>
      <c r="AX12" s="150" t="s">
        <v>30</v>
      </c>
      <c r="BI12" s="260"/>
    </row>
    <row r="13" spans="1:63" ht="15" customHeight="1" x14ac:dyDescent="0.25">
      <c r="A13" s="181"/>
      <c r="C13" s="258"/>
      <c r="U13" s="258"/>
      <c r="AD13" s="258"/>
      <c r="AM13" s="258"/>
      <c r="BI13" s="260"/>
    </row>
    <row r="14" spans="1:63" ht="15" customHeight="1" x14ac:dyDescent="0.25">
      <c r="A14" s="181"/>
      <c r="C14" s="258"/>
      <c r="U14" s="258"/>
      <c r="AD14" s="258"/>
      <c r="AM14" s="258"/>
      <c r="BI14" s="260"/>
    </row>
    <row r="15" spans="1:63" ht="15" customHeight="1" x14ac:dyDescent="0.25">
      <c r="A15" s="181"/>
      <c r="C15" s="258"/>
      <c r="U15" s="258"/>
      <c r="AD15" s="258"/>
      <c r="AM15" s="258"/>
      <c r="BI15" s="260"/>
    </row>
    <row r="16" spans="1:63" ht="15" customHeight="1" x14ac:dyDescent="0.25">
      <c r="A16" s="181"/>
      <c r="C16" s="258"/>
      <c r="U16" s="258"/>
      <c r="AD16" s="258"/>
      <c r="AM16" s="258"/>
      <c r="BI16" s="260"/>
    </row>
    <row r="17" spans="1:61" ht="15" customHeight="1" x14ac:dyDescent="0.25">
      <c r="A17" s="181"/>
      <c r="C17" s="258"/>
      <c r="U17" s="258"/>
      <c r="AD17" s="258"/>
      <c r="AM17" s="258"/>
      <c r="BI17" s="260"/>
    </row>
    <row r="18" spans="1:61" ht="15" customHeight="1" x14ac:dyDescent="0.25">
      <c r="A18" s="181"/>
      <c r="C18" s="258"/>
      <c r="U18" s="258"/>
      <c r="AD18" s="258"/>
      <c r="AM18" s="258"/>
      <c r="BI18" s="260"/>
    </row>
    <row r="19" spans="1:61" ht="15" customHeight="1" x14ac:dyDescent="0.25">
      <c r="A19" s="181"/>
      <c r="C19" s="258"/>
      <c r="U19" s="258"/>
      <c r="AD19" s="258"/>
      <c r="AM19" s="258"/>
      <c r="BI19" s="260"/>
    </row>
    <row r="20" spans="1:61" ht="15" customHeight="1" x14ac:dyDescent="0.25">
      <c r="A20" s="181"/>
      <c r="C20" s="258"/>
      <c r="U20" s="258"/>
      <c r="AD20" s="258"/>
      <c r="AM20" s="258"/>
      <c r="BI20" s="260"/>
    </row>
    <row r="21" spans="1:61" ht="15" customHeight="1" x14ac:dyDescent="0.25">
      <c r="A21" s="181"/>
      <c r="C21" s="258"/>
      <c r="U21" s="258"/>
      <c r="AD21" s="258"/>
      <c r="AM21" s="258"/>
      <c r="BI21" s="260"/>
    </row>
    <row r="22" spans="1:61" ht="15" customHeight="1" x14ac:dyDescent="0.25">
      <c r="A22" s="181"/>
      <c r="C22" s="258"/>
      <c r="U22" s="258"/>
      <c r="AD22" s="258"/>
      <c r="AM22" s="258"/>
      <c r="BI22" s="260"/>
    </row>
    <row r="23" spans="1:61" ht="15" customHeight="1" x14ac:dyDescent="0.25">
      <c r="A23" s="181"/>
      <c r="C23" s="258"/>
      <c r="U23" s="258"/>
      <c r="AD23" s="258"/>
      <c r="AM23" s="258"/>
      <c r="BI23" s="260"/>
    </row>
    <row r="24" spans="1:61" ht="15" customHeight="1" x14ac:dyDescent="0.25">
      <c r="A24" s="181"/>
      <c r="C24" s="258"/>
      <c r="U24" s="258"/>
      <c r="AD24" s="258"/>
      <c r="AM24" s="258"/>
      <c r="BI24" s="260"/>
    </row>
    <row r="25" spans="1:61" ht="15" customHeight="1" x14ac:dyDescent="0.25">
      <c r="A25" s="181"/>
      <c r="C25" s="258"/>
      <c r="U25" s="258"/>
      <c r="AD25" s="258"/>
      <c r="AM25" s="258"/>
      <c r="BI25" s="260"/>
    </row>
    <row r="26" spans="1:61" ht="15" customHeight="1" x14ac:dyDescent="0.25">
      <c r="A26" s="181"/>
      <c r="C26" s="258"/>
      <c r="U26" s="258"/>
      <c r="AD26" s="258"/>
      <c r="AM26" s="258"/>
      <c r="BI26" s="260"/>
    </row>
    <row r="27" spans="1:61" ht="15" customHeight="1" x14ac:dyDescent="0.25">
      <c r="A27" s="181"/>
      <c r="C27" s="258"/>
      <c r="U27" s="258"/>
      <c r="AD27" s="258"/>
      <c r="AM27" s="258"/>
      <c r="BI27" s="260"/>
    </row>
    <row r="28" spans="1:61" ht="15" customHeight="1" x14ac:dyDescent="0.25">
      <c r="A28" s="181"/>
      <c r="C28" s="258"/>
      <c r="U28" s="258"/>
      <c r="AD28" s="258"/>
      <c r="AM28" s="258"/>
      <c r="BI28" s="260"/>
    </row>
    <row r="29" spans="1:61" ht="15" customHeight="1" x14ac:dyDescent="0.25">
      <c r="A29" s="181"/>
      <c r="C29" s="258"/>
      <c r="U29" s="258"/>
      <c r="AD29" s="258"/>
      <c r="AM29" s="258"/>
      <c r="BI29" s="260"/>
    </row>
    <row r="30" spans="1:61" ht="15" customHeight="1" x14ac:dyDescent="0.25">
      <c r="A30" s="181"/>
      <c r="C30" s="258"/>
      <c r="U30" s="258"/>
      <c r="AD30" s="258"/>
      <c r="AM30" s="258"/>
      <c r="BI30" s="260"/>
    </row>
    <row r="31" spans="1:61" ht="15" customHeight="1" x14ac:dyDescent="0.25">
      <c r="A31" s="181"/>
      <c r="C31" s="258"/>
      <c r="U31" s="258"/>
      <c r="AD31" s="258"/>
      <c r="AM31" s="258"/>
      <c r="BI31" s="260"/>
    </row>
    <row r="32" spans="1:61" ht="15" customHeight="1" x14ac:dyDescent="0.25">
      <c r="A32" s="181"/>
      <c r="C32" s="258"/>
      <c r="U32" s="258"/>
      <c r="AD32" s="258"/>
      <c r="AM32" s="258"/>
      <c r="BI32" s="260"/>
    </row>
    <row r="33" spans="1:61" ht="15" customHeight="1" x14ac:dyDescent="0.25">
      <c r="A33" s="181"/>
      <c r="C33" s="258"/>
      <c r="U33" s="258"/>
      <c r="AD33" s="258"/>
      <c r="AM33" s="258"/>
      <c r="BI33" s="260"/>
    </row>
    <row r="34" spans="1:61" ht="15" customHeight="1" x14ac:dyDescent="0.25">
      <c r="A34" s="181"/>
      <c r="C34" s="258"/>
      <c r="U34" s="258"/>
      <c r="AD34" s="258"/>
      <c r="AM34" s="258"/>
      <c r="BI34" s="260"/>
    </row>
    <row r="35" spans="1:61" ht="15" customHeight="1" x14ac:dyDescent="0.25">
      <c r="A35" s="181"/>
      <c r="C35" s="258"/>
      <c r="U35" s="258"/>
      <c r="AD35" s="258"/>
      <c r="AM35" s="258"/>
      <c r="BI35" s="260"/>
    </row>
    <row r="36" spans="1:61" ht="15" customHeight="1" x14ac:dyDescent="0.25">
      <c r="A36" s="181"/>
      <c r="C36" s="258"/>
      <c r="U36" s="258"/>
      <c r="AD36" s="258"/>
      <c r="AM36" s="258"/>
      <c r="BI36" s="260"/>
    </row>
    <row r="37" spans="1:61" ht="15" customHeight="1" x14ac:dyDescent="0.25">
      <c r="A37" s="181"/>
      <c r="C37" s="258"/>
      <c r="U37" s="258"/>
      <c r="AD37" s="258"/>
      <c r="AM37" s="258"/>
      <c r="BI37" s="260"/>
    </row>
    <row r="38" spans="1:61" ht="15" customHeight="1" x14ac:dyDescent="0.25">
      <c r="A38" s="181"/>
      <c r="C38" s="258"/>
      <c r="U38" s="258"/>
      <c r="AD38" s="258"/>
      <c r="AM38" s="258"/>
      <c r="BI38" s="260"/>
    </row>
    <row r="39" spans="1:61" ht="15" customHeight="1" x14ac:dyDescent="0.25">
      <c r="A39" s="181"/>
      <c r="C39" s="258"/>
      <c r="U39" s="258"/>
      <c r="AD39" s="258"/>
      <c r="AM39" s="258"/>
      <c r="BI39" s="260"/>
    </row>
    <row r="40" spans="1:61" ht="15" customHeight="1" x14ac:dyDescent="0.25">
      <c r="A40" s="181"/>
      <c r="C40" s="258"/>
      <c r="U40" s="258"/>
      <c r="AD40" s="258"/>
      <c r="AM40" s="258"/>
      <c r="BI40" s="260"/>
    </row>
    <row r="41" spans="1:61" ht="15" customHeight="1" x14ac:dyDescent="0.25">
      <c r="A41" s="181"/>
      <c r="C41" s="258"/>
      <c r="U41" s="258"/>
      <c r="AD41" s="258"/>
      <c r="AM41" s="258"/>
      <c r="BI41" s="260"/>
    </row>
    <row r="42" spans="1:61" ht="15" customHeight="1" x14ac:dyDescent="0.25">
      <c r="A42" s="181"/>
      <c r="C42" s="258"/>
      <c r="U42" s="258"/>
      <c r="AD42" s="258"/>
      <c r="AM42" s="258"/>
      <c r="BI42" s="260"/>
    </row>
    <row r="43" spans="1:61" ht="15" customHeight="1" x14ac:dyDescent="0.25">
      <c r="A43" s="181"/>
      <c r="C43" s="258"/>
      <c r="U43" s="258"/>
      <c r="AD43" s="258"/>
      <c r="AM43" s="258"/>
      <c r="BI43" s="260"/>
    </row>
    <row r="44" spans="1:61" ht="15" customHeight="1" x14ac:dyDescent="0.25">
      <c r="A44" s="181"/>
      <c r="C44" s="258"/>
      <c r="U44" s="258"/>
      <c r="AD44" s="258"/>
      <c r="AM44" s="258"/>
      <c r="BI44" s="260"/>
    </row>
    <row r="45" spans="1:61" ht="15" customHeight="1" x14ac:dyDescent="0.25">
      <c r="A45" s="181"/>
      <c r="C45" s="258"/>
      <c r="U45" s="258"/>
      <c r="AD45" s="258"/>
      <c r="AM45" s="258"/>
      <c r="BI45" s="260"/>
    </row>
    <row r="46" spans="1:61" ht="15" customHeight="1" x14ac:dyDescent="0.25">
      <c r="A46" s="181"/>
      <c r="C46" s="258"/>
      <c r="U46" s="258"/>
      <c r="AD46" s="258"/>
      <c r="AM46" s="258"/>
      <c r="BI46" s="260"/>
    </row>
    <row r="47" spans="1:61" ht="15" customHeight="1" x14ac:dyDescent="0.25">
      <c r="A47" s="181"/>
      <c r="C47" s="258"/>
      <c r="U47" s="258"/>
      <c r="AD47" s="258"/>
      <c r="AM47" s="258"/>
      <c r="BI47" s="260"/>
    </row>
    <row r="48" spans="1:61" ht="15" customHeight="1" x14ac:dyDescent="0.25">
      <c r="A48" s="181"/>
      <c r="C48" s="258"/>
      <c r="U48" s="258"/>
      <c r="AD48" s="258"/>
      <c r="AM48" s="258"/>
      <c r="BI48" s="260"/>
    </row>
    <row r="49" spans="1:63" ht="15" customHeight="1" x14ac:dyDescent="0.25">
      <c r="A49" s="181"/>
      <c r="C49" s="258"/>
      <c r="U49" s="258"/>
      <c r="AD49" s="258"/>
      <c r="AM49" s="258"/>
      <c r="BI49" s="260"/>
    </row>
    <row r="50" spans="1:63" ht="15" customHeight="1" x14ac:dyDescent="0.25">
      <c r="A50" s="181"/>
      <c r="C50" s="258"/>
      <c r="U50" s="258"/>
      <c r="AD50" s="258"/>
      <c r="AM50" s="258"/>
      <c r="BI50" s="260"/>
    </row>
    <row r="51" spans="1:63" ht="15" customHeight="1" x14ac:dyDescent="0.25">
      <c r="A51" s="181"/>
      <c r="C51" s="258"/>
      <c r="U51" s="258"/>
      <c r="AD51" s="258"/>
      <c r="AM51" s="258"/>
      <c r="BI51" s="260"/>
    </row>
    <row r="52" spans="1:63" ht="15" customHeight="1" x14ac:dyDescent="0.25">
      <c r="A52" s="181"/>
      <c r="C52" s="258"/>
      <c r="U52" s="258"/>
      <c r="AD52" s="258"/>
      <c r="AM52" s="258"/>
      <c r="BI52" s="260"/>
    </row>
    <row r="53" spans="1:63" ht="15" customHeight="1" x14ac:dyDescent="0.25">
      <c r="A53" s="181"/>
      <c r="C53" s="258"/>
      <c r="U53" s="258"/>
      <c r="AD53" s="258"/>
      <c r="AM53" s="258"/>
      <c r="BI53" s="260"/>
    </row>
    <row r="54" spans="1:63" ht="15" customHeight="1" x14ac:dyDescent="0.25">
      <c r="A54" s="181"/>
      <c r="C54" s="258"/>
      <c r="U54" s="258"/>
      <c r="AD54" s="258"/>
      <c r="AM54" s="258"/>
      <c r="BI54" s="260"/>
    </row>
    <row r="55" spans="1:63" ht="15" customHeight="1" x14ac:dyDescent="0.25">
      <c r="A55" s="178"/>
      <c r="B55" s="301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301"/>
      <c r="V55" s="179"/>
      <c r="W55" s="179"/>
      <c r="X55" s="179"/>
      <c r="Y55" s="179"/>
      <c r="Z55" s="179"/>
      <c r="AA55" s="179"/>
      <c r="AB55" s="179"/>
      <c r="AC55" s="179"/>
      <c r="AD55" s="301"/>
      <c r="AE55" s="179"/>
      <c r="AF55" s="179"/>
      <c r="AG55" s="179"/>
      <c r="AH55" s="179"/>
      <c r="AI55" s="179"/>
      <c r="AJ55" s="179"/>
      <c r="AK55" s="179"/>
      <c r="AL55" s="179"/>
      <c r="AM55" s="301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302"/>
      <c r="BJ55" s="179"/>
      <c r="BK55" s="180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6AE0FC-4A85-4812-819A-0722E32963B5}"/>
</file>

<file path=customXml/itemProps2.xml><?xml version="1.0" encoding="utf-8"?>
<ds:datastoreItem xmlns:ds="http://schemas.openxmlformats.org/officeDocument/2006/customXml" ds:itemID="{94C92178-2BC3-41A1-830A-4CC33C8C3A2E}"/>
</file>

<file path=customXml/itemProps3.xml><?xml version="1.0" encoding="utf-8"?>
<ds:datastoreItem xmlns:ds="http://schemas.openxmlformats.org/officeDocument/2006/customXml" ds:itemID="{F4A5560A-91C9-4B3B-89F1-8AA4D6E8684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2024-06-12T02:40:28Z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