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6ACE7784-1736-4F2C-AAB2-D4FE1827F8F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業務フロー凡例" sheetId="6" r:id="rId3"/>
    <sheet name="機能概要説明" sheetId="8" r:id="rId4"/>
    <sheet name="機能概要" sheetId="5" r:id="rId5"/>
    <sheet name="画面設計書" sheetId="7" r:id="rId6"/>
    <sheet name="参照" sheetId="2" r:id="rId7"/>
  </sheets>
  <definedNames>
    <definedName name="_xlnm.Print_Area" localSheetId="6">参照!$A$1:$BK$77</definedName>
    <definedName name="_xlnm.Print_Area" localSheetId="1">改訂履歴!$A$1:$BK$55</definedName>
    <definedName name="_xlnm.Print_Area" localSheetId="4">機能概要!$A$1:$BK$333</definedName>
    <definedName name="_xlnm.Print_Area" localSheetId="3">機能概要説明!$A$1:$BK$57</definedName>
    <definedName name="_xlnm.Print_Area" localSheetId="0">表紙!$A$1:$BK$55</definedName>
    <definedName name="_xlnm.Print_Titles" localSheetId="6">参照!$1:$5</definedName>
    <definedName name="_xlnm.Print_Titles" localSheetId="1">改訂履歴!$1:$5</definedName>
    <definedName name="_xlnm.Print_Titles" localSheetId="2">業務フロー凡例!$1:$5</definedName>
    <definedName name="_xlnm.Print_Titles" localSheetId="4">機能概要!$1:$5</definedName>
    <definedName name="_xlnm.Print_Titles" localSheetId="3">機能概要説明!$1:$5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2" l="1"/>
  <c r="Z4" i="2"/>
  <c r="H4" i="2"/>
  <c r="K2" i="2"/>
  <c r="A2" i="2"/>
  <c r="W1" i="2"/>
  <c r="AP4" i="7"/>
  <c r="Z4" i="7"/>
  <c r="H4" i="7"/>
  <c r="K2" i="7"/>
  <c r="A2" i="7"/>
  <c r="W1" i="7"/>
  <c r="BM8" i="5"/>
  <c r="BM9" i="5" s="1"/>
  <c r="BM10" i="5" s="1"/>
  <c r="BM11" i="5" s="1"/>
  <c r="BM12" i="5" s="1"/>
  <c r="BM13" i="5" s="1"/>
  <c r="BM14" i="5" s="1"/>
  <c r="BM15" i="5" s="1"/>
  <c r="BM16" i="5" s="1"/>
  <c r="BM17" i="5" s="1"/>
  <c r="BM18" i="5" s="1"/>
  <c r="BM19" i="5" s="1"/>
  <c r="BM20" i="5" s="1"/>
  <c r="BM21" i="5" s="1"/>
  <c r="BM22" i="5" s="1"/>
  <c r="BM23" i="5" s="1"/>
  <c r="BM24" i="5" s="1"/>
  <c r="BM25" i="5" s="1"/>
  <c r="BM26" i="5" s="1"/>
  <c r="BM27" i="5" s="1"/>
  <c r="BM28" i="5" s="1"/>
  <c r="BM29" i="5" s="1"/>
  <c r="BM30" i="5" s="1"/>
  <c r="BM31" i="5" s="1"/>
  <c r="BM32" i="5" s="1"/>
  <c r="BM33" i="5" s="1"/>
  <c r="BM34" i="5" s="1"/>
  <c r="BM35" i="5" s="1"/>
  <c r="BM36" i="5" s="1"/>
  <c r="BM37" i="5" s="1"/>
  <c r="BM38" i="5" s="1"/>
  <c r="BM39" i="5" s="1"/>
  <c r="BM40" i="5" s="1"/>
  <c r="BM41" i="5" s="1"/>
  <c r="BM42" i="5" s="1"/>
  <c r="BM43" i="5" s="1"/>
  <c r="BM44" i="5" s="1"/>
  <c r="BM45" i="5" s="1"/>
  <c r="BM46" i="5" s="1"/>
  <c r="BM47" i="5" s="1"/>
  <c r="BM48" i="5" s="1"/>
  <c r="BM49" i="5" s="1"/>
  <c r="BM50" i="5" s="1"/>
  <c r="BM51" i="5" s="1"/>
  <c r="BM52" i="5" s="1"/>
  <c r="BM53" i="5" s="1"/>
  <c r="BM54" i="5" s="1"/>
  <c r="BM55" i="5" s="1"/>
  <c r="BM56" i="5" s="1"/>
  <c r="BM57" i="5" s="1"/>
  <c r="BM58" i="5" s="1"/>
  <c r="BM59" i="5" s="1"/>
  <c r="BM60" i="5" s="1"/>
  <c r="BM61" i="5" s="1"/>
  <c r="BM62" i="5" s="1"/>
  <c r="BM63" i="5" s="1"/>
  <c r="BM64" i="5" s="1"/>
  <c r="BM65" i="5" s="1"/>
  <c r="BM66" i="5" s="1"/>
  <c r="BM67" i="5" s="1"/>
  <c r="BM68" i="5" s="1"/>
  <c r="BM69" i="5" s="1"/>
  <c r="BM70" i="5" s="1"/>
  <c r="BM71" i="5" s="1"/>
  <c r="BM72" i="5" s="1"/>
  <c r="BM73" i="5" s="1"/>
  <c r="BM74" i="5" s="1"/>
  <c r="BM75" i="5" s="1"/>
  <c r="BM76" i="5" s="1"/>
  <c r="BM77" i="5" s="1"/>
  <c r="BM78" i="5" s="1"/>
  <c r="BM79" i="5" s="1"/>
  <c r="BM80" i="5" s="1"/>
  <c r="BM81" i="5" s="1"/>
  <c r="BM82" i="5" s="1"/>
  <c r="BM83" i="5" s="1"/>
  <c r="BM84" i="5" s="1"/>
  <c r="BM85" i="5" s="1"/>
  <c r="BM86" i="5" s="1"/>
  <c r="BM87" i="5" s="1"/>
  <c r="BM88" i="5" s="1"/>
  <c r="BM89" i="5" s="1"/>
  <c r="BM90" i="5" s="1"/>
  <c r="BM91" i="5" s="1"/>
  <c r="BM92" i="5" s="1"/>
  <c r="BM93" i="5" s="1"/>
  <c r="BM94" i="5" s="1"/>
  <c r="BM95" i="5" s="1"/>
  <c r="BM96" i="5" s="1"/>
  <c r="BM97" i="5" s="1"/>
  <c r="BM98" i="5" s="1"/>
  <c r="BM99" i="5" s="1"/>
  <c r="BM100" i="5" s="1"/>
  <c r="BM101" i="5" s="1"/>
  <c r="BM102" i="5" s="1"/>
  <c r="BM103" i="5" s="1"/>
  <c r="BM104" i="5" s="1"/>
  <c r="BM105" i="5" s="1"/>
  <c r="BM106" i="5" s="1"/>
  <c r="BM107" i="5" s="1"/>
  <c r="BM108" i="5" s="1"/>
  <c r="BM109" i="5" s="1"/>
  <c r="BM110" i="5" s="1"/>
  <c r="BM111" i="5" s="1"/>
  <c r="BM112" i="5" s="1"/>
  <c r="BM113" i="5" s="1"/>
  <c r="BM114" i="5" s="1"/>
  <c r="BM115" i="5" s="1"/>
  <c r="BM116" i="5" s="1"/>
  <c r="BM117" i="5" s="1"/>
  <c r="BM118" i="5" s="1"/>
  <c r="BM119" i="5" s="1"/>
  <c r="BM120" i="5" s="1"/>
  <c r="BM121" i="5" s="1"/>
  <c r="BM122" i="5" s="1"/>
  <c r="BM123" i="5" s="1"/>
  <c r="BM124" i="5" s="1"/>
  <c r="BM125" i="5" s="1"/>
  <c r="BM126" i="5" s="1"/>
  <c r="BM127" i="5" s="1"/>
  <c r="BM128" i="5" s="1"/>
  <c r="BM129" i="5" s="1"/>
  <c r="BM130" i="5" s="1"/>
  <c r="BM131" i="5" s="1"/>
  <c r="BM132" i="5" s="1"/>
  <c r="BM133" i="5" s="1"/>
  <c r="BM134" i="5" s="1"/>
  <c r="BM135" i="5" s="1"/>
  <c r="BM136" i="5" s="1"/>
  <c r="BM137" i="5" s="1"/>
  <c r="BM138" i="5" s="1"/>
  <c r="BM139" i="5" s="1"/>
  <c r="BM140" i="5" s="1"/>
  <c r="BM141" i="5" s="1"/>
  <c r="BM142" i="5" s="1"/>
  <c r="BM143" i="5" s="1"/>
  <c r="BM144" i="5" s="1"/>
  <c r="BM145" i="5" s="1"/>
  <c r="BM146" i="5" s="1"/>
  <c r="BM147" i="5" s="1"/>
  <c r="BM148" i="5" s="1"/>
  <c r="BM149" i="5" s="1"/>
  <c r="BM150" i="5" s="1"/>
  <c r="BM151" i="5" s="1"/>
  <c r="BM152" i="5" s="1"/>
  <c r="BM153" i="5" s="1"/>
  <c r="BM154" i="5" s="1"/>
  <c r="BM155" i="5" s="1"/>
  <c r="BM156" i="5" s="1"/>
  <c r="BM157" i="5" s="1"/>
  <c r="BM158" i="5" s="1"/>
  <c r="BM159" i="5" s="1"/>
  <c r="BM160" i="5" s="1"/>
  <c r="BM161" i="5" s="1"/>
  <c r="BM162" i="5" s="1"/>
  <c r="BM163" i="5" s="1"/>
  <c r="BM164" i="5" s="1"/>
  <c r="BM165" i="5" s="1"/>
  <c r="BM166" i="5" s="1"/>
  <c r="BM167" i="5" s="1"/>
  <c r="BM168" i="5" s="1"/>
  <c r="BM169" i="5" s="1"/>
  <c r="BM170" i="5" s="1"/>
  <c r="BM171" i="5" s="1"/>
  <c r="BM172" i="5" s="1"/>
  <c r="BM173" i="5" s="1"/>
  <c r="BM174" i="5" s="1"/>
  <c r="BM175" i="5" s="1"/>
  <c r="BM176" i="5" s="1"/>
  <c r="BM177" i="5" s="1"/>
  <c r="BM178" i="5" s="1"/>
  <c r="BM179" i="5" s="1"/>
  <c r="BM180" i="5" s="1"/>
  <c r="BM181" i="5" s="1"/>
  <c r="BM182" i="5" s="1"/>
  <c r="BM183" i="5" s="1"/>
  <c r="BM184" i="5" s="1"/>
  <c r="BM185" i="5" s="1"/>
  <c r="BM186" i="5" s="1"/>
  <c r="BM187" i="5" s="1"/>
  <c r="BM188" i="5" s="1"/>
  <c r="BM189" i="5" s="1"/>
  <c r="BM190" i="5" s="1"/>
  <c r="BM191" i="5" s="1"/>
  <c r="BM192" i="5" s="1"/>
  <c r="BM193" i="5" s="1"/>
  <c r="BM194" i="5" s="1"/>
  <c r="BM195" i="5" s="1"/>
  <c r="BM196" i="5" s="1"/>
  <c r="BM197" i="5" s="1"/>
  <c r="BM198" i="5" s="1"/>
  <c r="BM199" i="5" s="1"/>
  <c r="BM200" i="5" s="1"/>
  <c r="BM201" i="5" s="1"/>
  <c r="BM202" i="5" s="1"/>
  <c r="BM203" i="5" s="1"/>
  <c r="BM204" i="5" s="1"/>
  <c r="BM205" i="5" s="1"/>
  <c r="BM206" i="5" s="1"/>
  <c r="BM207" i="5" s="1"/>
  <c r="BM208" i="5" s="1"/>
  <c r="BM209" i="5" s="1"/>
  <c r="BM210" i="5" s="1"/>
  <c r="BM211" i="5" s="1"/>
  <c r="BM212" i="5" s="1"/>
  <c r="BM213" i="5" s="1"/>
  <c r="BM214" i="5" s="1"/>
  <c r="BM215" i="5" s="1"/>
  <c r="BM216" i="5" s="1"/>
  <c r="BM217" i="5" s="1"/>
  <c r="BM218" i="5" s="1"/>
  <c r="BM219" i="5" s="1"/>
  <c r="BM220" i="5" s="1"/>
  <c r="BM221" i="5" s="1"/>
  <c r="BM222" i="5" s="1"/>
  <c r="BM223" i="5" s="1"/>
  <c r="BM224" i="5" s="1"/>
  <c r="BM225" i="5" s="1"/>
  <c r="BM226" i="5" s="1"/>
  <c r="BM227" i="5" s="1"/>
  <c r="BM228" i="5" s="1"/>
  <c r="BM229" i="5" s="1"/>
  <c r="BM230" i="5" s="1"/>
  <c r="BM231" i="5" s="1"/>
  <c r="BM232" i="5" s="1"/>
  <c r="BM233" i="5" s="1"/>
  <c r="BM234" i="5" s="1"/>
  <c r="BM235" i="5" s="1"/>
  <c r="BM236" i="5" s="1"/>
  <c r="BM237" i="5" s="1"/>
  <c r="BM238" i="5" s="1"/>
  <c r="BM239" i="5" s="1"/>
  <c r="BM240" i="5" s="1"/>
  <c r="BM241" i="5" s="1"/>
  <c r="BM242" i="5" s="1"/>
  <c r="BM243" i="5" s="1"/>
  <c r="BM244" i="5" s="1"/>
  <c r="BM245" i="5" s="1"/>
  <c r="BM246" i="5" s="1"/>
  <c r="BM247" i="5" s="1"/>
  <c r="BM248" i="5" s="1"/>
  <c r="BM249" i="5" s="1"/>
  <c r="BM250" i="5" s="1"/>
  <c r="BM251" i="5" s="1"/>
  <c r="BM252" i="5" s="1"/>
  <c r="BM253" i="5" s="1"/>
  <c r="BM254" i="5" s="1"/>
  <c r="BM255" i="5" s="1"/>
  <c r="BM256" i="5" s="1"/>
  <c r="BM257" i="5" s="1"/>
  <c r="BM258" i="5" s="1"/>
  <c r="BM259" i="5" s="1"/>
  <c r="BM260" i="5" s="1"/>
  <c r="BM261" i="5" s="1"/>
  <c r="BM262" i="5" s="1"/>
  <c r="BM263" i="5" s="1"/>
  <c r="BM264" i="5" s="1"/>
  <c r="BM265" i="5" s="1"/>
  <c r="BM266" i="5" s="1"/>
  <c r="BM267" i="5" s="1"/>
  <c r="BM268" i="5" s="1"/>
  <c r="BM269" i="5" s="1"/>
  <c r="BM270" i="5" s="1"/>
  <c r="BM271" i="5" s="1"/>
  <c r="BM272" i="5" s="1"/>
  <c r="BM273" i="5" s="1"/>
  <c r="BM274" i="5" s="1"/>
  <c r="BM275" i="5" s="1"/>
  <c r="BM276" i="5" s="1"/>
  <c r="BM277" i="5" s="1"/>
  <c r="BM278" i="5" s="1"/>
  <c r="BM279" i="5" s="1"/>
  <c r="BM280" i="5" s="1"/>
  <c r="BM281" i="5" s="1"/>
  <c r="BM282" i="5" s="1"/>
  <c r="BM283" i="5" s="1"/>
  <c r="BM284" i="5" s="1"/>
  <c r="BM285" i="5" s="1"/>
  <c r="BM286" i="5" s="1"/>
  <c r="BM287" i="5" s="1"/>
  <c r="BM288" i="5" s="1"/>
  <c r="BM289" i="5" s="1"/>
  <c r="BM290" i="5" s="1"/>
  <c r="BM291" i="5" s="1"/>
  <c r="BM292" i="5" s="1"/>
  <c r="BM293" i="5" s="1"/>
  <c r="BM294" i="5" s="1"/>
  <c r="BM295" i="5" s="1"/>
  <c r="BM296" i="5" s="1"/>
  <c r="BM297" i="5" s="1"/>
  <c r="BM298" i="5" s="1"/>
  <c r="BM299" i="5" s="1"/>
  <c r="BM300" i="5" s="1"/>
  <c r="BM301" i="5" s="1"/>
  <c r="BM302" i="5" s="1"/>
  <c r="BM303" i="5" s="1"/>
  <c r="BM304" i="5" s="1"/>
  <c r="BM305" i="5" s="1"/>
  <c r="BM306" i="5" s="1"/>
  <c r="BM307" i="5" s="1"/>
  <c r="BM308" i="5" s="1"/>
  <c r="BM309" i="5" s="1"/>
  <c r="BM310" i="5" s="1"/>
  <c r="BM311" i="5" s="1"/>
  <c r="BM312" i="5" s="1"/>
  <c r="BM313" i="5" s="1"/>
  <c r="BM314" i="5" s="1"/>
  <c r="BM315" i="5" s="1"/>
  <c r="BM316" i="5" s="1"/>
  <c r="BM317" i="5" s="1"/>
  <c r="BM318" i="5" s="1"/>
  <c r="BM319" i="5" s="1"/>
  <c r="BM320" i="5" s="1"/>
  <c r="BM321" i="5" s="1"/>
  <c r="BM322" i="5" s="1"/>
  <c r="BM323" i="5" s="1"/>
  <c r="BM324" i="5" s="1"/>
  <c r="BM325" i="5" s="1"/>
  <c r="BM326" i="5" s="1"/>
  <c r="BM327" i="5" s="1"/>
  <c r="BM328" i="5" s="1"/>
  <c r="BM329" i="5" s="1"/>
  <c r="BM330" i="5" s="1"/>
  <c r="BM331" i="5" s="1"/>
  <c r="BM332" i="5" s="1"/>
  <c r="BM333" i="5" s="1"/>
  <c r="AP4" i="5" a="1"/>
  <c r="AP4" i="5" s="1"/>
  <c r="Z4" i="5"/>
  <c r="H4" i="5"/>
  <c r="AT2" i="5"/>
  <c r="K2" i="5"/>
  <c r="A2" i="5"/>
  <c r="W1" i="5"/>
  <c r="BM7" i="8"/>
  <c r="BM8" i="8" s="1"/>
  <c r="BM9" i="8" s="1"/>
  <c r="BM10" i="8" s="1"/>
  <c r="BM11" i="8" s="1"/>
  <c r="BM12" i="8" s="1"/>
  <c r="BM13" i="8" s="1"/>
  <c r="BM14" i="8" s="1"/>
  <c r="BM15" i="8" s="1"/>
  <c r="BM16" i="8" s="1"/>
  <c r="BM17" i="8" s="1"/>
  <c r="BM18" i="8" s="1"/>
  <c r="BM19" i="8" s="1"/>
  <c r="BM20" i="8" s="1"/>
  <c r="BM21" i="8" s="1"/>
  <c r="BM22" i="8" s="1"/>
  <c r="BM23" i="8" s="1"/>
  <c r="BM24" i="8" s="1"/>
  <c r="BM25" i="8" s="1"/>
  <c r="BM26" i="8" s="1"/>
  <c r="BM27" i="8" s="1"/>
  <c r="BM28" i="8" s="1"/>
  <c r="BM29" i="8" s="1"/>
  <c r="BM30" i="8" s="1"/>
  <c r="BM31" i="8" s="1"/>
  <c r="BM32" i="8" s="1"/>
  <c r="BM33" i="8" s="1"/>
  <c r="BM34" i="8" s="1"/>
  <c r="BM35" i="8" s="1"/>
  <c r="BM36" i="8" s="1"/>
  <c r="BM37" i="8" s="1"/>
  <c r="BM38" i="8" s="1"/>
  <c r="BM39" i="8" s="1"/>
  <c r="BM40" i="8" s="1"/>
  <c r="BM41" i="8" s="1"/>
  <c r="BM42" i="8" s="1"/>
  <c r="BM43" i="8" s="1"/>
  <c r="BM44" i="8" s="1"/>
  <c r="BM45" i="8" s="1"/>
  <c r="BM46" i="8" s="1"/>
  <c r="BM47" i="8" s="1"/>
  <c r="BM48" i="8" s="1"/>
  <c r="BM49" i="8" s="1"/>
  <c r="BM50" i="8" s="1"/>
  <c r="BM51" i="8" s="1"/>
  <c r="BM52" i="8" s="1"/>
  <c r="BM53" i="8" s="1"/>
  <c r="BM54" i="8" s="1"/>
  <c r="BM55" i="8" s="1"/>
  <c r="BM56" i="8" s="1"/>
  <c r="BM57" i="8" s="1"/>
  <c r="AP4" i="8" a="1"/>
  <c r="AP4" i="8" s="1"/>
  <c r="Z4" i="8"/>
  <c r="H4" i="8"/>
  <c r="BH2" i="8"/>
  <c r="AT2" i="8"/>
  <c r="AP2" i="8"/>
  <c r="K2" i="8"/>
  <c r="A2" i="8"/>
  <c r="W1" i="8"/>
  <c r="AP4" i="6" a="1"/>
  <c r="AP4" i="6" s="1"/>
  <c r="Z4" i="6"/>
  <c r="H4" i="6"/>
  <c r="BH2" i="6"/>
  <c r="AP2" i="6"/>
  <c r="K2" i="6"/>
  <c r="A2" i="6"/>
  <c r="W1" i="6"/>
  <c r="AP4" i="3" a="1"/>
  <c r="AP4" i="3" s="1"/>
  <c r="Z4" i="3"/>
  <c r="H4" i="3"/>
  <c r="BH2" i="3"/>
  <c r="AT2" i="3"/>
  <c r="AP2" i="3"/>
  <c r="K2" i="3"/>
  <c r="A2" i="3"/>
  <c r="W1" i="3"/>
  <c r="L24" i="4"/>
  <c r="AP4" i="4" a="1"/>
  <c r="AP4" i="4" s="1"/>
  <c r="BH2" i="4"/>
  <c r="BH2" i="5" s="1"/>
  <c r="BC2" i="4"/>
  <c r="AY2" i="4"/>
  <c r="AT2" i="4"/>
  <c r="AP2" i="4"/>
  <c r="AP2" i="2" s="1"/>
  <c r="BC2" i="2" l="1"/>
  <c r="BC2" i="5"/>
  <c r="BC2" i="7"/>
  <c r="BC2" i="8"/>
  <c r="BC2" i="6"/>
  <c r="AY2" i="7"/>
  <c r="AY2" i="2"/>
  <c r="AY2" i="3"/>
  <c r="AY2" i="6"/>
  <c r="AY2" i="8"/>
  <c r="BC2" i="3"/>
  <c r="AY2" i="5"/>
  <c r="BH2" i="7"/>
  <c r="BH2" i="2"/>
  <c r="AT2" i="7"/>
  <c r="AT2" i="2"/>
  <c r="AP2" i="5"/>
  <c r="AP2" i="7"/>
</calcChain>
</file>

<file path=xl/sharedStrings.xml><?xml version="1.0" encoding="utf-8"?>
<sst xmlns="http://schemas.openxmlformats.org/spreadsheetml/2006/main" count="913" uniqueCount="186">
  <si>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</si>
  <si>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</si>
  <si>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</si>
  <si>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</si>
  <si>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</si>
  <si>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</si>
  <si>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</si>
  <si>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</si>
  <si>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</si>
  <si>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</si>
  <si>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</si>
  <si>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概要設計書</t>
    </r>
  </si>
  <si>
    <r>
      <rPr>
        <sz val="11"/>
        <color rgb="FFFFFFFF"/>
        <rFont val="Meiryo UI"/>
        <family val="3"/>
        <charset val="128"/>
      </rPr>
      <t>●1_レジ内</t>
    </r>
  </si>
  <si>
    <r>
      <rPr>
        <sz val="11"/>
        <color rgb="FFFFFFFF"/>
        <rFont val="Meiryo UI"/>
        <family val="3"/>
        <charset val="128"/>
      </rPr>
      <t>●1_レジ周辺機器</t>
    </r>
  </si>
  <si>
    <r>
      <rPr>
        <sz val="11"/>
        <color rgb="FFFFFFFF"/>
        <rFont val="Meiryo UI"/>
        <family val="3"/>
        <charset val="128"/>
      </rPr>
      <t>●外部連携</t>
    </r>
  </si>
  <si>
    <r>
      <rPr>
        <sz val="11"/>
        <color rgb="FF000000"/>
        <rFont val="Meiryo UI"/>
        <family val="2"/>
      </rPr>
      <t>新規作成</t>
    </r>
  </si>
  <si>
    <r>
      <rPr>
        <sz val="11"/>
        <color rgb="FF000000"/>
        <rFont val="Meiryo UI"/>
        <family val="2"/>
      </rPr>
      <t>■ログイン画面のイメージ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</si>
  <si>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</si>
  <si>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必須</t>
    </r>
  </si>
  <si>
    <r>
      <rPr>
        <sz val="11"/>
        <color rgb="FF000000"/>
        <rFont val="Meiryo UI"/>
        <family val="2"/>
      </rPr>
      <t>テキスト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</si>
  <si>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</si>
  <si>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</si>
  <si>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</si>
  <si>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</si>
  <si>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</si>
  <si>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</si>
  <si>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EditText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</si>
  <si>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</si>
  <si>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Enable</t>
    </r>
  </si>
  <si>
    <r>
      <rPr>
        <sz val="11"/>
        <color rgb="FF000000"/>
        <rFont val="Meiryo UI"/>
        <family val="2"/>
      </rPr>
      <t>Login-01/EmployeeMaster</t>
    </r>
  </si>
  <si>
    <t>`</t>
  </si>
  <si>
    <r>
      <rPr>
        <sz val="11"/>
        <color rgb="FF000000"/>
        <rFont val="Meiryo UI"/>
        <family val="2"/>
      </rPr>
      <t>ノードマスタ設定機能では次のことが可能になる。</t>
    </r>
  </si>
  <si>
    <r>
      <rPr>
        <sz val="11"/>
        <color rgb="FF000000"/>
        <rFont val="Meiryo UI"/>
        <family val="2"/>
      </rPr>
      <t>レジのマスタ情報を表示する。</t>
    </r>
  </si>
  <si>
    <r>
      <rPr>
        <sz val="11"/>
        <color rgb="FF000000"/>
        <rFont val="Meiryo UI"/>
        <family val="2"/>
      </rPr>
      <t>レジのマスタ情報を追加・編集・削除する。</t>
    </r>
  </si>
  <si>
    <r>
      <rPr>
        <sz val="11"/>
        <color rgb="FF000000"/>
        <rFont val="Meiryo UI"/>
        <family val="2"/>
      </rPr>
      <t>レジのマスタ情報をCSVファイルで取込・出力。</t>
    </r>
  </si>
  <si>
    <r>
      <rPr>
        <sz val="11"/>
        <color rgb="FF000000"/>
        <rFont val="Meiryo UI"/>
        <family val="2"/>
      </rPr>
      <t>追加</t>
    </r>
  </si>
  <si>
    <r>
      <rPr>
        <sz val="11"/>
        <color rgb="FF000000"/>
        <rFont val="Meiryo UI"/>
        <family val="2"/>
      </rPr>
      <t>編集</t>
    </r>
  </si>
  <si>
    <r>
      <rPr>
        <sz val="11"/>
        <color rgb="FF000000"/>
        <rFont val="Meiryo UI"/>
        <family val="2"/>
      </rPr>
      <t>71_ノードマスタ設定</t>
    </r>
  </si>
  <si>
    <r>
      <rPr>
        <sz val="11"/>
        <color rgb="FF000000"/>
        <rFont val="Meiryo UI"/>
        <family val="2"/>
      </rPr>
      <t>FC7101_ノードマスタ検索機能</t>
    </r>
  </si>
  <si>
    <r>
      <rPr>
        <b/>
        <sz val="11"/>
        <color rgb="FF000000"/>
        <rFont val="Meiryo UI"/>
        <family val="2"/>
      </rPr>
      <t>ノード種別</t>
    </r>
  </si>
  <si>
    <r>
      <rPr>
        <sz val="11"/>
        <color rgb="FF000000"/>
        <rFont val="Meiryo UI"/>
        <family val="2"/>
      </rPr>
      <t>代表レジ</t>
    </r>
  </si>
  <si>
    <r>
      <rPr>
        <sz val="11"/>
        <color rgb="FF000000"/>
        <rFont val="Meiryo UI"/>
        <family val="2"/>
      </rPr>
      <t>子レジ</t>
    </r>
  </si>
  <si>
    <r>
      <rPr>
        <sz val="11"/>
        <color rgb="FF000000"/>
        <rFont val="Meiryo UI"/>
        <family val="2"/>
      </rPr>
      <t>スマートPOS</t>
    </r>
  </si>
  <si>
    <r>
      <rPr>
        <sz val="11"/>
        <color rgb="FF000000"/>
        <rFont val="Meiryo UI"/>
        <family val="2"/>
      </rPr>
      <t>アテンダントステーション</t>
    </r>
  </si>
  <si>
    <r>
      <rPr>
        <sz val="11"/>
        <color rgb="FF000000"/>
        <rFont val="Meiryo UI"/>
        <family val="2"/>
      </rPr>
      <t>テナントレジ</t>
    </r>
  </si>
  <si>
    <r>
      <rPr>
        <sz val="11"/>
        <color rgb="FF000000"/>
        <rFont val="Meiryo UI"/>
        <family val="2"/>
      </rPr>
      <t>1人制</t>
    </r>
  </si>
  <si>
    <r>
      <rPr>
        <sz val="11"/>
        <color rgb="FF000000"/>
        <rFont val="Meiryo UI"/>
        <family val="2"/>
      </rPr>
      <t>2人制</t>
    </r>
  </si>
  <si>
    <r>
      <rPr>
        <sz val="11"/>
        <color rgb="FF000000"/>
        <rFont val="Meiryo UI"/>
        <family val="2"/>
      </rPr>
      <t>現金セルフ</t>
    </r>
  </si>
  <si>
    <r>
      <rPr>
        <sz val="11"/>
        <color rgb="FF000000"/>
        <rFont val="Meiryo UI"/>
        <family val="2"/>
      </rPr>
      <t>キャッシュレスセルフ</t>
    </r>
  </si>
  <si>
    <r>
      <rPr>
        <sz val="11"/>
        <color rgb="FF000000"/>
        <rFont val="Meiryo UI"/>
        <family val="2"/>
      </rPr>
      <t>サービスカウンター</t>
    </r>
  </si>
  <si>
    <r>
      <rPr>
        <sz val="11"/>
        <color rgb="FF000000"/>
        <rFont val="Meiryo UI"/>
        <family val="2"/>
      </rPr>
      <t>ベーカリー（BENKEI）</t>
    </r>
  </si>
  <si>
    <r>
      <rPr>
        <sz val="11"/>
        <color rgb="FF000000"/>
        <rFont val="Meiryo UI"/>
        <family val="2"/>
      </rPr>
      <t>衣料</t>
    </r>
  </si>
  <si>
    <r>
      <rPr>
        <sz val="11"/>
        <color rgb="FF000000"/>
        <rFont val="Meiryo UI"/>
        <family val="2"/>
      </rPr>
      <t>花</t>
    </r>
  </si>
  <si>
    <r>
      <rPr>
        <sz val="11"/>
        <color rgb="FF000000"/>
        <rFont val="Meiryo UI"/>
        <family val="2"/>
      </rPr>
      <t>催事</t>
    </r>
  </si>
  <si>
    <r>
      <rPr>
        <sz val="11"/>
        <color rgb="FF000000"/>
        <rFont val="Meiryo UI"/>
        <family val="2"/>
      </rPr>
      <t>カフェ</t>
    </r>
  </si>
  <si>
    <r>
      <rPr>
        <sz val="11"/>
        <color rgb="FF000000"/>
        <rFont val="Meiryo UI"/>
        <family val="2"/>
      </rPr>
      <t>コスメ</t>
    </r>
  </si>
  <si>
    <r>
      <rPr>
        <sz val="11"/>
        <color rgb="FF000000"/>
        <rFont val="Meiryo UI"/>
        <family val="2"/>
      </rPr>
      <t>WAONチャージ機</t>
    </r>
  </si>
  <si>
    <r>
      <rPr>
        <sz val="11"/>
        <color rgb="FF000000"/>
        <rFont val="Meiryo UI"/>
        <family val="2"/>
      </rPr>
      <t>移動販売</t>
    </r>
  </si>
  <si>
    <r>
      <rPr>
        <sz val="11"/>
        <color rgb="FF000000"/>
        <rFont val="Meiryo UI"/>
        <family val="2"/>
      </rPr>
      <t>Scan&amp;Go</t>
    </r>
  </si>
  <si>
    <r>
      <rPr>
        <sz val="11"/>
        <color rgb="FF000000"/>
        <rFont val="Meiryo UI"/>
        <family val="2"/>
      </rPr>
      <t>Scan&amp;Go（移動販売）</t>
    </r>
  </si>
  <si>
    <r>
      <rPr>
        <sz val="11"/>
        <color rgb="FF000000"/>
        <rFont val="Meiryo UI"/>
        <family val="2"/>
      </rPr>
      <t>OnlineDelivery</t>
    </r>
  </si>
  <si>
    <r>
      <rPr>
        <sz val="11"/>
        <color rgb="FF000000"/>
        <rFont val="Meiryo UI"/>
        <family val="2"/>
      </rPr>
      <t>Order&amp;Eat</t>
    </r>
  </si>
  <si>
    <r>
      <rPr>
        <sz val="11"/>
        <color rgb="FF000000"/>
        <rFont val="Meiryo UI"/>
        <family val="2"/>
      </rPr>
      <t>MyQR決済</t>
    </r>
  </si>
  <si>
    <r>
      <rPr>
        <sz val="11"/>
        <color rgb="FF000000"/>
        <rFont val="Meiryo UI"/>
        <family val="2"/>
      </rPr>
      <t>無人店舗</t>
    </r>
  </si>
  <si>
    <r>
      <rPr>
        <sz val="11"/>
        <color rgb="FF000000"/>
        <rFont val="Meiryo UI"/>
        <family val="2"/>
      </rPr>
      <t>応援機（1人制）</t>
    </r>
  </si>
  <si>
    <r>
      <rPr>
        <sz val="11"/>
        <color rgb="FF000000"/>
        <rFont val="Meiryo UI"/>
        <family val="2"/>
      </rPr>
      <t>応援機（2人制）</t>
    </r>
  </si>
  <si>
    <r>
      <rPr>
        <sz val="11"/>
        <color rgb="FF000000"/>
        <rFont val="Meiryo UI"/>
        <family val="2"/>
      </rPr>
      <t>１人制（応援）</t>
    </r>
  </si>
  <si>
    <r>
      <rPr>
        <sz val="11"/>
        <color rgb="FF000000"/>
        <rFont val="Meiryo UI"/>
        <family val="2"/>
      </rPr>
      <t>1人制（応援レジ）</t>
    </r>
  </si>
  <si>
    <r>
      <rPr>
        <sz val="11"/>
        <color rgb="FF000000"/>
        <rFont val="Meiryo UI"/>
        <family val="2"/>
      </rPr>
      <t>MyQR決済用</t>
    </r>
  </si>
  <si>
    <r>
      <rPr>
        <sz val="11"/>
        <color rgb="FF000000"/>
        <rFont val="Meiryo UI"/>
        <family val="2"/>
      </rPr>
      <t>Order＆Eat</t>
    </r>
  </si>
  <si>
    <r>
      <rPr>
        <sz val="11"/>
        <color rgb="FF000000"/>
        <rFont val="Meiryo UI"/>
        <family val="2"/>
      </rPr>
      <t>Scan&amp;Go(MyQR)</t>
    </r>
  </si>
  <si>
    <r>
      <rPr>
        <sz val="11"/>
        <color rgb="FF000000"/>
        <rFont val="Meiryo UI"/>
        <family val="2"/>
      </rPr>
      <t>Scan＆Go(Order&amp;Eat)</t>
    </r>
  </si>
  <si>
    <r>
      <rPr>
        <sz val="11"/>
        <color rgb="FF000000"/>
        <rFont val="Meiryo UI"/>
        <family val="2"/>
      </rPr>
      <t>SG_移動スーパー</t>
    </r>
  </si>
  <si>
    <r>
      <rPr>
        <sz val="11"/>
        <color rgb="FF000000"/>
        <rFont val="Meiryo UI"/>
        <family val="2"/>
      </rPr>
      <t>SG移動スーパー</t>
    </r>
  </si>
  <si>
    <r>
      <rPr>
        <sz val="11"/>
        <color rgb="FF000000"/>
        <rFont val="Meiryo UI"/>
        <family val="2"/>
      </rPr>
      <t>WAONチャージ</t>
    </r>
  </si>
  <si>
    <r>
      <rPr>
        <sz val="11"/>
        <color rgb="FF000000"/>
        <rFont val="Meiryo UI"/>
        <family val="2"/>
      </rPr>
      <t>カフェレジ</t>
    </r>
  </si>
  <si>
    <r>
      <rPr>
        <sz val="11"/>
        <color rgb="FF000000"/>
        <rFont val="Meiryo UI"/>
        <family val="2"/>
      </rPr>
      <t>コスメレジ</t>
    </r>
  </si>
  <si>
    <r>
      <rPr>
        <sz val="11"/>
        <color rgb="FF000000"/>
        <rFont val="Meiryo UI"/>
        <family val="2"/>
      </rPr>
      <t>スマートPSO</t>
    </r>
  </si>
  <si>
    <r>
      <rPr>
        <sz val="11"/>
        <color rgb="FF000000"/>
        <rFont val="Meiryo UI"/>
        <family val="2"/>
      </rPr>
      <t>セルフ（キャッシュ）</t>
    </r>
  </si>
  <si>
    <r>
      <rPr>
        <sz val="11"/>
        <color rgb="FF000000"/>
        <rFont val="Meiryo UI"/>
        <family val="2"/>
      </rPr>
      <t>セルフ（キャッシュレス）</t>
    </r>
  </si>
  <si>
    <r>
      <rPr>
        <sz val="11"/>
        <color rgb="FF000000"/>
        <rFont val="Meiryo UI"/>
        <family val="2"/>
      </rPr>
      <t>セルフPOS（キャッシュ）</t>
    </r>
  </si>
  <si>
    <r>
      <rPr>
        <sz val="11"/>
        <color rgb="FF000000"/>
        <rFont val="Meiryo UI"/>
        <family val="2"/>
      </rPr>
      <t>セルフPOS(キャッシュ)</t>
    </r>
  </si>
  <si>
    <r>
      <rPr>
        <sz val="11"/>
        <color rgb="FF000000"/>
        <rFont val="Meiryo UI"/>
        <family val="2"/>
      </rPr>
      <t>セルフPOS（キャッシュレス）</t>
    </r>
  </si>
  <si>
    <r>
      <rPr>
        <sz val="11"/>
        <color rgb="FF000000"/>
        <rFont val="Meiryo UI"/>
        <family val="2"/>
      </rPr>
      <t>セルフPOS(キャッシュレス)</t>
    </r>
  </si>
  <si>
    <r>
      <rPr>
        <sz val="11"/>
        <color rgb="FF000000"/>
        <rFont val="Meiryo UI"/>
        <family val="2"/>
      </rPr>
      <t>セルフPOSキャッシュ</t>
    </r>
  </si>
  <si>
    <r>
      <rPr>
        <sz val="11"/>
        <color rgb="FF000000"/>
        <rFont val="Meiryo UI"/>
        <family val="2"/>
      </rPr>
      <t>セルフPOSキャッシュレス</t>
    </r>
  </si>
  <si>
    <r>
      <rPr>
        <sz val="11"/>
        <color rgb="FF000000"/>
        <rFont val="Meiryo UI"/>
        <family val="2"/>
      </rPr>
      <t>セルフキャッシュ</t>
    </r>
  </si>
  <si>
    <r>
      <rPr>
        <sz val="11"/>
        <color rgb="FF000000"/>
        <rFont val="Meiryo UI"/>
        <family val="2"/>
      </rPr>
      <t>セルフキャッシュレス</t>
    </r>
  </si>
  <si>
    <r>
      <rPr>
        <sz val="11"/>
        <color rgb="FF000000"/>
        <rFont val="Meiryo UI"/>
        <family val="2"/>
      </rPr>
      <t>ネットスーパー</t>
    </r>
  </si>
  <si>
    <r>
      <rPr>
        <sz val="11"/>
        <color rgb="FF000000"/>
        <rFont val="Meiryo UI"/>
        <family val="2"/>
      </rPr>
      <t>ベーカリー</t>
    </r>
  </si>
  <si>
    <r>
      <rPr>
        <sz val="11"/>
        <color rgb="FF000000"/>
        <rFont val="Meiryo UI"/>
        <family val="2"/>
      </rPr>
      <t>ベーカリー（エミーノ）</t>
    </r>
  </si>
  <si>
    <r>
      <rPr>
        <sz val="11"/>
        <color rgb="FF000000"/>
        <rFont val="Meiryo UI"/>
        <family val="2"/>
      </rPr>
      <t>ベーカリー（フェンダイン・デリー）</t>
    </r>
  </si>
  <si>
    <r>
      <rPr>
        <sz val="11"/>
        <color rgb="FF000000"/>
        <rFont val="Meiryo UI"/>
        <family val="2"/>
      </rPr>
      <t>ベーカリー（モルバン）</t>
    </r>
  </si>
  <si>
    <r>
      <rPr>
        <sz val="11"/>
        <color rgb="FF000000"/>
        <rFont val="Meiryo UI"/>
        <family val="2"/>
      </rPr>
      <t>ベーカリー（リトルマーメイド）</t>
    </r>
  </si>
  <si>
    <r>
      <rPr>
        <sz val="11"/>
        <color rgb="FF000000"/>
        <rFont val="Meiryo UI"/>
        <family val="2"/>
      </rPr>
      <t>ベーカリー（リトルマーメード）</t>
    </r>
  </si>
  <si>
    <r>
      <rPr>
        <sz val="11"/>
        <color rgb="FF000000"/>
        <rFont val="Meiryo UI"/>
        <family val="2"/>
      </rPr>
      <t>ベーカリー（直営）</t>
    </r>
  </si>
  <si>
    <r>
      <rPr>
        <sz val="11"/>
        <color rgb="FF000000"/>
        <rFont val="Meiryo UI"/>
        <family val="2"/>
      </rPr>
      <t>レーンレジ</t>
    </r>
  </si>
  <si>
    <r>
      <rPr>
        <sz val="11"/>
        <color rgb="FF000000"/>
        <rFont val="Meiryo UI"/>
        <family val="2"/>
      </rPr>
      <t>レーンレジ（２人制）</t>
    </r>
  </si>
  <si>
    <r>
      <rPr>
        <sz val="11"/>
        <color rgb="FF000000"/>
        <rFont val="Meiryo UI"/>
        <family val="2"/>
      </rPr>
      <t>レーンレジ（応援）</t>
    </r>
  </si>
  <si>
    <r>
      <rPr>
        <sz val="11"/>
        <color rgb="FF000000"/>
        <rFont val="Meiryo UI"/>
        <family val="2"/>
      </rPr>
      <t>レーンレジ（応援機）</t>
    </r>
  </si>
  <si>
    <r>
      <rPr>
        <sz val="11"/>
        <color rgb="FF000000"/>
        <rFont val="Meiryo UI"/>
        <family val="2"/>
      </rPr>
      <t>レーンレジ(応援機)</t>
    </r>
  </si>
  <si>
    <r>
      <rPr>
        <sz val="11"/>
        <color rgb="FF000000"/>
        <rFont val="Meiryo UI"/>
        <family val="2"/>
      </rPr>
      <t>移動販売レジ</t>
    </r>
  </si>
  <si>
    <r>
      <rPr>
        <sz val="11"/>
        <color rgb="FF000000"/>
        <rFont val="Meiryo UI"/>
        <family val="2"/>
      </rPr>
      <t>衣料レジ</t>
    </r>
  </si>
  <si>
    <r>
      <rPr>
        <sz val="11"/>
        <color rgb="FF000000"/>
        <rFont val="Meiryo UI"/>
        <family val="2"/>
      </rPr>
      <t>応援レジ</t>
    </r>
  </si>
  <si>
    <r>
      <rPr>
        <sz val="11"/>
        <color rgb="FF000000"/>
        <rFont val="Meiryo UI"/>
        <family val="2"/>
      </rPr>
      <t>応援レジ（1人制）</t>
    </r>
  </si>
  <si>
    <r>
      <rPr>
        <sz val="11"/>
        <color rgb="FF000000"/>
        <rFont val="Meiryo UI"/>
        <family val="2"/>
      </rPr>
      <t>応援レジ（１人制）</t>
    </r>
  </si>
  <si>
    <r>
      <rPr>
        <sz val="11"/>
        <color rgb="FF000000"/>
        <rFont val="Meiryo UI"/>
        <family val="2"/>
      </rPr>
      <t>応援レジ（2人制）</t>
    </r>
  </si>
  <si>
    <r>
      <rPr>
        <sz val="11"/>
        <color rgb="FF000000"/>
        <rFont val="Meiryo UI"/>
        <family val="2"/>
      </rPr>
      <t>花レジ</t>
    </r>
  </si>
  <si>
    <r>
      <rPr>
        <sz val="11"/>
        <color rgb="FF000000"/>
        <rFont val="Meiryo UI"/>
        <family val="2"/>
      </rPr>
      <t>催事レジ</t>
    </r>
  </si>
  <si>
    <r>
      <rPr>
        <sz val="11"/>
        <color rgb="FF000000"/>
        <rFont val="Meiryo UI"/>
        <family val="2"/>
      </rPr>
      <t>子レジ1</t>
    </r>
  </si>
  <si>
    <r>
      <rPr>
        <sz val="11"/>
        <color rgb="FF000000"/>
        <rFont val="Meiryo UI"/>
        <family val="2"/>
      </rPr>
      <t>通常レジ</t>
    </r>
  </si>
  <si>
    <r>
      <rPr>
        <sz val="11"/>
        <color rgb="FF000000"/>
        <rFont val="Meiryo UI"/>
        <family val="2"/>
      </rPr>
      <t>通常レジ（２人制）</t>
    </r>
  </si>
  <si>
    <r>
      <rPr>
        <sz val="11"/>
        <color rgb="FF000000"/>
        <rFont val="Meiryo UI"/>
        <family val="2"/>
      </rPr>
      <t>無人店舗（OE）</t>
    </r>
  </si>
  <si>
    <r>
      <rPr>
        <sz val="11"/>
        <color rgb="FF000000"/>
        <rFont val="Meiryo UI"/>
        <family val="2"/>
      </rPr>
      <t>無人店舗＿弁当配達</t>
    </r>
  </si>
  <si>
    <r>
      <rPr>
        <b/>
        <sz val="11"/>
        <color rgb="FFFFFFFF"/>
        <rFont val="Meiryo UI"/>
        <family val="2"/>
      </rPr>
      <t>ファンクションレイアウト</t>
    </r>
  </si>
  <si>
    <r>
      <rPr>
        <b/>
        <sz val="11"/>
        <color rgb="FFFFFFFF"/>
        <rFont val="Meiryo UI"/>
        <family val="2"/>
      </rPr>
      <t>キーボードレイアウト</t>
    </r>
  </si>
  <si>
    <r>
      <rPr>
        <b/>
        <sz val="11"/>
        <color rgb="FF000000"/>
        <rFont val="Meiryo UI"/>
        <family val="2"/>
      </rPr>
      <t>プリセットレイアウト</t>
    </r>
  </si>
  <si>
    <r>
      <rPr>
        <sz val="11"/>
        <color rgb="FF000000"/>
        <rFont val="Meiryo UI"/>
        <family val="2"/>
      </rPr>
      <t>1111:ベーカリー</t>
    </r>
  </si>
  <si>
    <r>
      <rPr>
        <sz val="11"/>
        <color rgb="FF000000"/>
        <rFont val="Meiryo UI"/>
        <family val="2"/>
      </rPr>
      <t>KN1501機能から値を取得 (コードと名称のみ)</t>
    </r>
  </si>
  <si>
    <r>
      <rPr>
        <sz val="11"/>
        <color rgb="FF000000"/>
        <rFont val="Meiryo UI"/>
        <family val="2"/>
      </rPr>
      <t>KN8301機能から値を取得 (コードのみ)</t>
    </r>
  </si>
  <si>
    <r>
      <rPr>
        <b/>
        <sz val="11"/>
        <color rgb="FFFFFFFF"/>
        <rFont val="Meiryo UI"/>
        <family val="2"/>
      </rPr>
      <t>支払い種別</t>
    </r>
  </si>
  <si>
    <r>
      <rPr>
        <sz val="11"/>
        <color rgb="FF000000"/>
        <rFont val="Meiryo UI"/>
        <family val="2"/>
      </rPr>
      <t>サンプル</t>
    </r>
  </si>
  <si>
    <r>
      <rPr>
        <b/>
        <sz val="11"/>
        <color rgb="FF000000"/>
        <rFont val="Meiryo UI"/>
        <family val="2"/>
      </rPr>
      <t>ファンクションレイアウト</t>
    </r>
  </si>
  <si>
    <r>
      <rPr>
        <b/>
        <sz val="11"/>
        <color rgb="FF000000"/>
        <rFont val="Meiryo UI"/>
        <family val="2"/>
      </rPr>
      <t>キーボードレイアウト</t>
    </r>
  </si>
  <si>
    <r>
      <rPr>
        <sz val="11"/>
        <color rgb="FF000000"/>
        <rFont val="Meiryo UI"/>
        <family val="2"/>
      </rPr>
      <t>１人制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</si>
  <si>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</si>
  <si>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</si>
  <si>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8"/>
        <color rgb="FF000000"/>
        <rFont val="Meiryo UI"/>
        <family val="2"/>
      </rPr>
      <t>基本設計書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</si>
  <si>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</si>
  <si>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</si>
  <si>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</si>
  <si>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</si>
  <si>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</si>
  <si>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</si>
  <si>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</si>
  <si>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</si>
  <si>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POSサーバーの基本設計書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</si>
  <si>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</si>
  <si>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</si>
  <si>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</si>
  <si>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TinNH</t>
  </si>
  <si>
    <t>2024年05月30日の議事録による更新</t>
  </si>
  <si>
    <t>Q&amp;A:レジのメイン画面で使用するレジ種別を追加・削除する。</t>
  </si>
  <si>
    <t>71_ノードマスタ設定</t>
  </si>
  <si>
    <t>レジ種別追加機能</t>
  </si>
  <si>
    <t>csv取込機能</t>
  </si>
  <si>
    <t>csv出力機能</t>
  </si>
  <si>
    <t>ノードマスタ設定編集機能</t>
  </si>
  <si>
    <t>ノードマスタ設定追加機能</t>
  </si>
  <si>
    <t>ノードマスタ設定一時削除機能</t>
  </si>
  <si>
    <t>ノードマスタ設定変更保存機能</t>
  </si>
  <si>
    <t>Android POS Control</t>
  </si>
  <si>
    <r>
      <rPr>
        <sz val="11"/>
        <color rgb="FF000000"/>
        <rFont val="Meiryo UI"/>
        <family val="2"/>
      </rPr>
      <t>Password</t>
    </r>
  </si>
  <si>
    <t>■画面項目定義</t>
  </si>
  <si>
    <t>画面項目ID</t>
  </si>
  <si>
    <t>項目</t>
  </si>
  <si>
    <t>タイプ</t>
  </si>
  <si>
    <t>多言語対象</t>
  </si>
  <si>
    <t>アウトプット</t>
  </si>
  <si>
    <t>インプット</t>
  </si>
  <si>
    <t>備考</t>
  </si>
  <si>
    <t>マッピングデータ</t>
  </si>
  <si>
    <t>初期値</t>
  </si>
  <si>
    <t>表示コントロール</t>
  </si>
  <si>
    <t>Control enable</t>
  </si>
  <si>
    <t>数字</t>
  </si>
  <si>
    <t>文字</t>
  </si>
  <si>
    <t>API名</t>
  </si>
  <si>
    <t>User ID</t>
  </si>
  <si>
    <t>Login</t>
  </si>
  <si>
    <t>レジ種別</t>
  </si>
  <si>
    <r>
      <rPr>
        <sz val="11"/>
        <color rgb="FFFFFFFF"/>
        <rFont val="Meiryo UI"/>
        <family val="2"/>
      </rPr>
      <t>No</t>
    </r>
  </si>
  <si>
    <r>
      <rPr>
        <b/>
        <sz val="11"/>
        <color rgb="FFFFFFFF"/>
        <rFont val="Meiryo UI"/>
        <family val="2"/>
      </rPr>
      <t>ノード種別</t>
    </r>
  </si>
  <si>
    <r>
      <rPr>
        <b/>
        <sz val="11"/>
        <color rgb="FFFFFFFF"/>
        <rFont val="Meiryo UI"/>
        <family val="2"/>
      </rPr>
      <t>レジ種別</t>
    </r>
  </si>
  <si>
    <r>
      <rPr>
        <sz val="11"/>
        <color rgb="FF000000"/>
        <rFont val="Meiryo UI"/>
        <family val="2"/>
      </rPr>
      <t xml:space="preserve"> ベーカリー（エミーノ）</t>
    </r>
  </si>
  <si>
    <t>支払い種別</t>
  </si>
  <si>
    <r>
      <rPr>
        <sz val="11"/>
        <color rgb="FF000000"/>
        <rFont val="Meiryo UI"/>
        <family val="2"/>
      </rPr>
      <t xml:space="preserve"> ベーカリー（フェンダイン・デリー）</t>
    </r>
  </si>
  <si>
    <t>レシートメッセージ</t>
  </si>
  <si>
    <r>
      <rPr>
        <sz val="11"/>
        <color rgb="FF000000"/>
        <rFont val="Meiryo UI"/>
        <family val="2"/>
      </rPr>
      <t xml:space="preserve"> ベーカリー（モルバン）</t>
    </r>
  </si>
  <si>
    <t>01:Visa カード</t>
  </si>
  <si>
    <t>１人制</t>
  </si>
  <si>
    <r>
      <rPr>
        <sz val="11"/>
        <color rgb="FF000000"/>
        <rFont val="Meiryo UI"/>
        <family val="2"/>
      </rPr>
      <t xml:space="preserve"> ベーカリー（リトルマーメイド）</t>
    </r>
  </si>
  <si>
    <t>02:現金</t>
  </si>
  <si>
    <r>
      <rPr>
        <sz val="11"/>
        <color rgb="FF000000"/>
        <rFont val="Meiryo UI"/>
        <family val="2"/>
      </rPr>
      <t xml:space="preserve"> ベーカリー（直営）</t>
    </r>
  </si>
  <si>
    <t>03:クレジットカード</t>
  </si>
  <si>
    <t>04:Internet Banking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</si>
</sst>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5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trike/>
      <sz val="11"/>
      <color rgb="FF0070C0"/>
      <name val="Meiryo UI"/>
      <family val="2"/>
    </font>
    <font>
      <sz val="11"/>
      <color rgb="FFFF0000"/>
      <name val="Meiryo UI"/>
      <family val="2"/>
    </font>
    <font>
      <sz val="11"/>
      <color rgb="FF00B050"/>
      <name val="Meiryo UI"/>
      <family val="2"/>
    </font>
    <font>
      <b/>
      <sz val="11"/>
      <color rgb="FF000000"/>
      <name val="Meiryo UI"/>
      <family val="2"/>
    </font>
    <font>
      <b/>
      <sz val="11"/>
      <name val="Meiryo UI"/>
      <family val="2"/>
    </font>
    <font>
      <b/>
      <sz val="11"/>
      <color theme="0"/>
      <name val="Meiryo UI"/>
      <family val="2"/>
    </font>
    <font>
      <b/>
      <sz val="10"/>
      <color rgb="FF0D0D0D"/>
      <name val="Meiryo UI"/>
      <family val="2"/>
    </font>
    <font>
      <b/>
      <sz val="11"/>
      <color rgb="FF00B050"/>
      <name val="Meiryo UI"/>
      <family val="2"/>
    </font>
    <font>
      <b/>
      <sz val="11"/>
      <color rgb="FFFFFFFF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8"/>
      <color rgb="FF000000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10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hair">
        <color theme="0" tint="-0.49992370372631001"/>
      </left>
      <right/>
      <top/>
      <bottom/>
      <diagonal/>
    </border>
    <border>
      <left/>
      <right style="hair">
        <color theme="0" tint="-0.4999237037263100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7" fillId="0" borderId="0">
      <alignment vertical="center"/>
    </xf>
  </cellStyleXfs>
  <cellXfs count="349">
    <xf numFmtId="0" fontId="0" fillId="0" borderId="0" xfId="0"/>
    <xf numFmtId="0" fontId="2" fillId="2" borderId="0" xfId="0" applyFont="1" applyFill="1" applyAlignment="1">
      <alignment vertical="center"/>
    </xf>
    <xf numFmtId="0" fontId="2" fillId="2" borderId="18" xfId="0" applyFont="1" applyFill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1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7" fillId="0" borderId="0" xfId="6" applyFont="1" applyAlignment="1">
      <alignment vertical="center"/>
    </xf>
    <xf numFmtId="0" fontId="6" fillId="0" borderId="22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vertical="center"/>
    </xf>
    <xf numFmtId="0" fontId="6" fillId="0" borderId="23" xfId="6" applyFont="1" applyBorder="1" applyAlignment="1">
      <alignment vertical="center"/>
    </xf>
    <xf numFmtId="0" fontId="6" fillId="0" borderId="25" xfId="6" applyFont="1" applyBorder="1" applyAlignment="1">
      <alignment horizontal="center" vertical="center"/>
    </xf>
    <xf numFmtId="0" fontId="6" fillId="0" borderId="26" xfId="6" applyFont="1" applyBorder="1" applyAlignment="1">
      <alignment horizontal="center" vertical="center"/>
    </xf>
    <xf numFmtId="0" fontId="6" fillId="0" borderId="26" xfId="6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17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6" fillId="0" borderId="0" xfId="0" applyFont="1"/>
    <xf numFmtId="0" fontId="6" fillId="0" borderId="0" xfId="7" applyFont="1">
      <alignment vertical="center"/>
    </xf>
    <xf numFmtId="0" fontId="6" fillId="0" borderId="19" xfId="7" applyFont="1" applyBorder="1">
      <alignment vertical="center"/>
    </xf>
    <xf numFmtId="0" fontId="6" fillId="0" borderId="18" xfId="7" applyFont="1" applyBorder="1">
      <alignment vertical="center"/>
    </xf>
    <xf numFmtId="0" fontId="9" fillId="3" borderId="18" xfId="7" applyFont="1" applyFill="1" applyBorder="1">
      <alignment vertical="center"/>
    </xf>
    <xf numFmtId="0" fontId="9" fillId="0" borderId="0" xfId="7" applyFont="1">
      <alignment vertical="center"/>
    </xf>
    <xf numFmtId="0" fontId="11" fillId="0" borderId="0" xfId="0" applyFont="1"/>
    <xf numFmtId="0" fontId="12" fillId="0" borderId="18" xfId="0" applyFont="1" applyBorder="1"/>
    <xf numFmtId="0" fontId="13" fillId="5" borderId="32" xfId="0" applyFont="1" applyFill="1" applyBorder="1" applyAlignment="1">
      <alignment horizontal="left" vertical="center"/>
    </xf>
    <xf numFmtId="0" fontId="12" fillId="0" borderId="0" xfId="0" applyFont="1"/>
    <xf numFmtId="0" fontId="14" fillId="0" borderId="0" xfId="0" applyFont="1"/>
    <xf numFmtId="0" fontId="15" fillId="0" borderId="0" xfId="0" applyFont="1"/>
    <xf numFmtId="0" fontId="10" fillId="0" borderId="32" xfId="0" applyFont="1" applyBorder="1" applyAlignment="1">
      <alignment horizontal="left"/>
    </xf>
    <xf numFmtId="0" fontId="2" fillId="2" borderId="33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0" fillId="0" borderId="40" xfId="0" applyFont="1" applyBorder="1"/>
    <xf numFmtId="0" fontId="10" fillId="0" borderId="41" xfId="0" applyFont="1" applyBorder="1"/>
    <xf numFmtId="0" fontId="10" fillId="0" borderId="42" xfId="0" applyFont="1" applyBorder="1"/>
    <xf numFmtId="14" fontId="10" fillId="0" borderId="36" xfId="0" applyNumberFormat="1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0" fillId="0" borderId="38" xfId="0" applyFont="1" applyBorder="1"/>
    <xf numFmtId="0" fontId="10" fillId="0" borderId="39" xfId="0" applyFont="1" applyBorder="1"/>
    <xf numFmtId="0" fontId="10" fillId="0" borderId="22" xfId="0" applyFont="1" applyBorder="1"/>
    <xf numFmtId="0" fontId="6" fillId="0" borderId="36" xfId="6" applyFont="1" applyBorder="1" applyAlignment="1">
      <alignment horizontal="center" vertical="center"/>
    </xf>
    <xf numFmtId="0" fontId="6" fillId="0" borderId="37" xfId="6" applyFont="1" applyBorder="1" applyAlignment="1">
      <alignment horizontal="center" vertical="center"/>
    </xf>
    <xf numFmtId="0" fontId="6" fillId="0" borderId="31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6" fillId="0" borderId="33" xfId="6" applyFont="1" applyBorder="1" applyAlignment="1">
      <alignment horizontal="center" vertical="center"/>
    </xf>
    <xf numFmtId="0" fontId="6" fillId="0" borderId="34" xfId="6" applyFont="1" applyBorder="1" applyAlignment="1">
      <alignment horizontal="center" vertical="center"/>
    </xf>
    <xf numFmtId="0" fontId="6" fillId="0" borderId="35" xfId="6" applyFont="1" applyBorder="1" applyAlignment="1">
      <alignment horizontal="center" vertical="center"/>
    </xf>
    <xf numFmtId="0" fontId="7" fillId="0" borderId="33" xfId="6" applyFont="1" applyBorder="1" applyAlignment="1">
      <alignment horizontal="center" vertical="center"/>
    </xf>
    <xf numFmtId="0" fontId="7" fillId="9" borderId="36" xfId="6" applyFont="1" applyFill="1" applyBorder="1" applyAlignment="1">
      <alignment vertical="center" wrapText="1"/>
    </xf>
    <xf numFmtId="0" fontId="6" fillId="9" borderId="31" xfId="6" applyFont="1" applyFill="1" applyBorder="1" applyAlignment="1">
      <alignment vertical="center"/>
    </xf>
    <xf numFmtId="0" fontId="6" fillId="9" borderId="1" xfId="6" applyFont="1" applyFill="1" applyBorder="1" applyAlignment="1">
      <alignment vertical="center"/>
    </xf>
    <xf numFmtId="0" fontId="6" fillId="9" borderId="4" xfId="6" applyFont="1" applyFill="1" applyBorder="1" applyAlignment="1">
      <alignment vertical="center"/>
    </xf>
    <xf numFmtId="0" fontId="6" fillId="9" borderId="2" xfId="6" applyFont="1" applyFill="1" applyBorder="1" applyAlignment="1">
      <alignment vertical="center"/>
    </xf>
    <xf numFmtId="0" fontId="6" fillId="9" borderId="5" xfId="6" applyFont="1" applyFill="1" applyBorder="1" applyAlignment="1">
      <alignment vertical="center"/>
    </xf>
    <xf numFmtId="0" fontId="7" fillId="9" borderId="36" xfId="6" applyFont="1" applyFill="1" applyBorder="1" applyAlignment="1">
      <alignment vertical="center"/>
    </xf>
    <xf numFmtId="0" fontId="6" fillId="9" borderId="37" xfId="6" applyFont="1" applyFill="1" applyBorder="1" applyAlignment="1">
      <alignment vertical="center"/>
    </xf>
    <xf numFmtId="0" fontId="6" fillId="9" borderId="0" xfId="6" applyFont="1" applyFill="1" applyAlignment="1">
      <alignment vertical="center"/>
    </xf>
    <xf numFmtId="0" fontId="6" fillId="9" borderId="3" xfId="6" applyFont="1" applyFill="1" applyBorder="1" applyAlignment="1">
      <alignment vertical="center"/>
    </xf>
    <xf numFmtId="0" fontId="6" fillId="9" borderId="46" xfId="6" applyFont="1" applyFill="1" applyBorder="1" applyAlignment="1">
      <alignment vertical="center" shrinkToFit="1"/>
    </xf>
    <xf numFmtId="0" fontId="6" fillId="9" borderId="48" xfId="6" applyFont="1" applyFill="1" applyBorder="1" applyAlignment="1">
      <alignment vertical="center" shrinkToFit="1"/>
    </xf>
    <xf numFmtId="0" fontId="6" fillId="9" borderId="47" xfId="6" applyFont="1" applyFill="1" applyBorder="1" applyAlignment="1">
      <alignment vertical="center" shrinkToFit="1"/>
    </xf>
    <xf numFmtId="0" fontId="7" fillId="9" borderId="46" xfId="6" applyFont="1" applyFill="1" applyBorder="1" applyAlignment="1">
      <alignment vertical="center" wrapText="1"/>
    </xf>
    <xf numFmtId="0" fontId="7" fillId="9" borderId="48" xfId="6" applyFont="1" applyFill="1" applyBorder="1" applyAlignment="1">
      <alignment vertical="center" wrapText="1"/>
    </xf>
    <xf numFmtId="0" fontId="7" fillId="9" borderId="47" xfId="6" applyFont="1" applyFill="1" applyBorder="1" applyAlignment="1">
      <alignment vertical="center" wrapText="1"/>
    </xf>
    <xf numFmtId="0" fontId="7" fillId="7" borderId="33" xfId="6" applyFont="1" applyFill="1" applyBorder="1" applyAlignment="1">
      <alignment vertical="center"/>
    </xf>
    <xf numFmtId="0" fontId="6" fillId="7" borderId="34" xfId="6" applyFont="1" applyFill="1" applyBorder="1" applyAlignment="1">
      <alignment vertical="center"/>
    </xf>
    <xf numFmtId="0" fontId="6" fillId="7" borderId="49" xfId="6" applyFont="1" applyFill="1" applyBorder="1" applyAlignment="1">
      <alignment vertical="center"/>
    </xf>
    <xf numFmtId="0" fontId="7" fillId="7" borderId="50" xfId="6" applyFont="1" applyFill="1" applyBorder="1" applyAlignment="1">
      <alignment vertical="center"/>
    </xf>
    <xf numFmtId="0" fontId="6" fillId="7" borderId="35" xfId="6" applyFont="1" applyFill="1" applyBorder="1" applyAlignment="1">
      <alignment vertical="center"/>
    </xf>
    <xf numFmtId="0" fontId="6" fillId="0" borderId="38" xfId="6" applyFont="1" applyBorder="1" applyAlignment="1">
      <alignment horizontal="center" vertical="center"/>
    </xf>
    <xf numFmtId="0" fontId="6" fillId="0" borderId="22" xfId="6" applyFont="1" applyBorder="1" applyAlignment="1">
      <alignment horizontal="center" vertical="center"/>
    </xf>
    <xf numFmtId="0" fontId="6" fillId="0" borderId="38" xfId="6" applyFont="1" applyBorder="1" applyAlignment="1">
      <alignment vertical="center"/>
    </xf>
    <xf numFmtId="0" fontId="6" fillId="0" borderId="39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6" fillId="0" borderId="43" xfId="6" applyFont="1" applyBorder="1" applyAlignment="1">
      <alignment vertical="center"/>
    </xf>
    <xf numFmtId="0" fontId="6" fillId="0" borderId="44" xfId="6" applyFont="1" applyBorder="1" applyAlignment="1">
      <alignment vertical="center"/>
    </xf>
    <xf numFmtId="0" fontId="6" fillId="0" borderId="45" xfId="6" applyFont="1" applyBorder="1" applyAlignment="1">
      <alignment vertical="center"/>
    </xf>
    <xf numFmtId="0" fontId="7" fillId="0" borderId="38" xfId="6" applyFont="1" applyBorder="1" applyAlignment="1">
      <alignment horizontal="center" vertical="center"/>
    </xf>
    <xf numFmtId="0" fontId="6" fillId="0" borderId="39" xfId="6" applyFont="1" applyBorder="1" applyAlignment="1">
      <alignment horizontal="center" vertical="center"/>
    </xf>
    <xf numFmtId="0" fontId="7" fillId="6" borderId="33" xfId="6" applyFont="1" applyFill="1" applyBorder="1" applyAlignment="1">
      <alignment vertical="center"/>
    </xf>
    <xf numFmtId="0" fontId="6" fillId="6" borderId="34" xfId="6" applyFont="1" applyFill="1" applyBorder="1" applyAlignment="1">
      <alignment vertical="center"/>
    </xf>
    <xf numFmtId="0" fontId="6" fillId="6" borderId="35" xfId="6" applyFont="1" applyFill="1" applyBorder="1" applyAlignment="1">
      <alignment vertical="center"/>
    </xf>
    <xf numFmtId="0" fontId="7" fillId="8" borderId="36" xfId="6" applyFont="1" applyFill="1" applyBorder="1" applyAlignment="1">
      <alignment vertical="center"/>
    </xf>
    <xf numFmtId="0" fontId="6" fillId="8" borderId="37" xfId="6" applyFont="1" applyFill="1" applyBorder="1" applyAlignment="1">
      <alignment vertical="center"/>
    </xf>
    <xf numFmtId="0" fontId="6" fillId="8" borderId="31" xfId="6" applyFont="1" applyFill="1" applyBorder="1" applyAlignment="1">
      <alignment vertical="center"/>
    </xf>
    <xf numFmtId="0" fontId="6" fillId="8" borderId="1" xfId="6" applyFont="1" applyFill="1" applyBorder="1" applyAlignment="1">
      <alignment vertical="center"/>
    </xf>
    <xf numFmtId="0" fontId="6" fillId="8" borderId="0" xfId="6" applyFont="1" applyFill="1" applyAlignment="1">
      <alignment vertical="center"/>
    </xf>
    <xf numFmtId="0" fontId="6" fillId="8" borderId="4" xfId="6" applyFont="1" applyFill="1" applyBorder="1" applyAlignment="1">
      <alignment vertical="center"/>
    </xf>
    <xf numFmtId="0" fontId="6" fillId="8" borderId="2" xfId="6" applyFont="1" applyFill="1" applyBorder="1" applyAlignment="1">
      <alignment vertical="center"/>
    </xf>
    <xf numFmtId="0" fontId="6" fillId="8" borderId="3" xfId="6" applyFont="1" applyFill="1" applyBorder="1" applyAlignment="1">
      <alignment vertical="center"/>
    </xf>
    <xf numFmtId="0" fontId="6" fillId="8" borderId="5" xfId="6" applyFont="1" applyFill="1" applyBorder="1" applyAlignment="1">
      <alignment vertical="center"/>
    </xf>
    <xf numFmtId="0" fontId="7" fillId="6" borderId="33" xfId="6" applyFont="1" applyFill="1" applyBorder="1"/>
    <xf numFmtId="0" fontId="7" fillId="6" borderId="34" xfId="6" applyFont="1" applyFill="1" applyBorder="1"/>
    <xf numFmtId="0" fontId="7" fillId="6" borderId="35" xfId="6" applyFont="1" applyFill="1" applyBorder="1"/>
    <xf numFmtId="0" fontId="7" fillId="6" borderId="36" xfId="6" applyFont="1" applyFill="1" applyBorder="1" applyAlignment="1">
      <alignment vertical="center"/>
    </xf>
    <xf numFmtId="0" fontId="6" fillId="6" borderId="37" xfId="6" applyFont="1" applyFill="1" applyBorder="1" applyAlignment="1">
      <alignment vertical="center"/>
    </xf>
    <xf numFmtId="0" fontId="6" fillId="6" borderId="31" xfId="6" applyFont="1" applyFill="1" applyBorder="1" applyAlignment="1">
      <alignment vertical="center"/>
    </xf>
    <xf numFmtId="0" fontId="6" fillId="6" borderId="2" xfId="6" applyFont="1" applyFill="1" applyBorder="1" applyAlignment="1">
      <alignment vertical="center"/>
    </xf>
    <xf numFmtId="0" fontId="6" fillId="6" borderId="3" xfId="6" applyFont="1" applyFill="1" applyBorder="1" applyAlignment="1">
      <alignment vertical="center"/>
    </xf>
    <xf numFmtId="0" fontId="6" fillId="6" borderId="5" xfId="6" applyFont="1" applyFill="1" applyBorder="1" applyAlignment="1">
      <alignment vertical="center"/>
    </xf>
    <xf numFmtId="0" fontId="6" fillId="7" borderId="36" xfId="6" applyFont="1" applyFill="1" applyBorder="1" applyAlignment="1">
      <alignment vertical="center" wrapText="1"/>
    </xf>
    <xf numFmtId="0" fontId="6" fillId="7" borderId="2" xfId="6" applyFont="1" applyFill="1" applyBorder="1" applyAlignment="1">
      <alignment vertical="center" wrapText="1"/>
    </xf>
    <xf numFmtId="0" fontId="7" fillId="7" borderId="46" xfId="6" applyFont="1" applyFill="1" applyBorder="1" applyAlignment="1">
      <alignment vertical="center" wrapText="1"/>
    </xf>
    <xf numFmtId="0" fontId="7" fillId="7" borderId="47" xfId="6" applyFont="1" applyFill="1" applyBorder="1" applyAlignment="1">
      <alignment vertical="center" wrapText="1"/>
    </xf>
    <xf numFmtId="0" fontId="7" fillId="7" borderId="31" xfId="6" applyFont="1" applyFill="1" applyBorder="1" applyAlignment="1">
      <alignment vertical="center" wrapText="1"/>
    </xf>
    <xf numFmtId="0" fontId="7" fillId="7" borderId="5" xfId="6" applyFont="1" applyFill="1" applyBorder="1" applyAlignment="1">
      <alignment vertical="center" wrapText="1"/>
    </xf>
    <xf numFmtId="0" fontId="7" fillId="0" borderId="38" xfId="6" applyFont="1" applyBorder="1" applyAlignment="1">
      <alignment horizontal="center" vertical="center" wrapText="1"/>
    </xf>
    <xf numFmtId="0" fontId="7" fillId="0" borderId="39" xfId="6" applyFont="1" applyBorder="1" applyAlignment="1">
      <alignment horizontal="center" vertical="center" wrapText="1"/>
    </xf>
    <xf numFmtId="0" fontId="7" fillId="0" borderId="22" xfId="6" applyFont="1" applyBorder="1" applyAlignment="1">
      <alignment horizontal="center" vertical="center" wrapText="1"/>
    </xf>
    <xf numFmtId="0" fontId="6" fillId="0" borderId="38" xfId="6" applyFont="1" applyBorder="1" applyAlignment="1">
      <alignment horizontal="left" vertical="center"/>
    </xf>
    <xf numFmtId="0" fontId="6" fillId="0" borderId="39" xfId="6" applyFont="1" applyBorder="1" applyAlignment="1">
      <alignment horizontal="left" vertical="center"/>
    </xf>
    <xf numFmtId="0" fontId="6" fillId="0" borderId="22" xfId="6" applyFont="1" applyBorder="1" applyAlignment="1">
      <alignment horizontal="left" vertical="center"/>
    </xf>
    <xf numFmtId="0" fontId="6" fillId="0" borderId="43" xfId="6" applyFont="1" applyBorder="1" applyAlignment="1">
      <alignment horizontal="center" vertical="center"/>
    </xf>
    <xf numFmtId="0" fontId="6" fillId="0" borderId="45" xfId="6" applyFont="1" applyBorder="1" applyAlignment="1">
      <alignment horizontal="center" vertical="center"/>
    </xf>
    <xf numFmtId="0" fontId="6" fillId="0" borderId="43" xfId="6" quotePrefix="1" applyFont="1" applyBorder="1" applyAlignment="1">
      <alignment vertical="center" wrapText="1"/>
    </xf>
    <xf numFmtId="0" fontId="6" fillId="0" borderId="44" xfId="6" quotePrefix="1" applyFont="1" applyBorder="1" applyAlignment="1">
      <alignment vertical="center" wrapText="1"/>
    </xf>
    <xf numFmtId="0" fontId="6" fillId="0" borderId="45" xfId="6" quotePrefix="1" applyFont="1" applyBorder="1" applyAlignment="1">
      <alignment vertical="center" wrapText="1"/>
    </xf>
    <xf numFmtId="0" fontId="7" fillId="0" borderId="43" xfId="6" applyFont="1" applyBorder="1" applyAlignment="1">
      <alignment horizontal="center" vertical="center"/>
    </xf>
    <xf numFmtId="0" fontId="6" fillId="0" borderId="44" xfId="6" applyFont="1" applyBorder="1" applyAlignment="1">
      <alignment horizontal="center" vertical="center"/>
    </xf>
    <xf numFmtId="0" fontId="6" fillId="0" borderId="43" xfId="6" quotePrefix="1" applyFont="1" applyBorder="1" applyAlignment="1">
      <alignment vertical="center"/>
    </xf>
    <xf numFmtId="0" fontId="6" fillId="0" borderId="44" xfId="6" quotePrefix="1" applyFont="1" applyBorder="1" applyAlignment="1">
      <alignment vertical="center"/>
    </xf>
    <xf numFmtId="0" fontId="6" fillId="0" borderId="45" xfId="6" quotePrefix="1" applyFont="1" applyBorder="1" applyAlignment="1">
      <alignment vertical="center"/>
    </xf>
    <xf numFmtId="0" fontId="7" fillId="0" borderId="43" xfId="6" quotePrefix="1" applyFont="1" applyBorder="1" applyAlignment="1">
      <alignment horizontal="center" vertical="center" wrapText="1"/>
    </xf>
    <xf numFmtId="0" fontId="7" fillId="0" borderId="44" xfId="6" applyFont="1" applyBorder="1" applyAlignment="1">
      <alignment horizontal="center" vertical="center" wrapText="1"/>
    </xf>
    <xf numFmtId="0" fontId="7" fillId="0" borderId="45" xfId="6" applyFont="1" applyBorder="1" applyAlignment="1">
      <alignment horizontal="center" vertical="center" wrapText="1"/>
    </xf>
    <xf numFmtId="0" fontId="6" fillId="0" borderId="43" xfId="6" applyFont="1" applyBorder="1" applyAlignment="1">
      <alignment horizontal="left" vertical="center"/>
    </xf>
    <xf numFmtId="0" fontId="6" fillId="0" borderId="44" xfId="6" applyFont="1" applyBorder="1" applyAlignment="1">
      <alignment horizontal="left" vertical="center"/>
    </xf>
    <xf numFmtId="0" fontId="6" fillId="0" borderId="45" xfId="6" applyFont="1" applyBorder="1" applyAlignment="1">
      <alignment horizontal="left" vertical="center"/>
    </xf>
    <xf numFmtId="0" fontId="8" fillId="0" borderId="43" xfId="6" applyFont="1" applyBorder="1" applyAlignment="1">
      <alignment vertical="center" wrapText="1"/>
    </xf>
    <xf numFmtId="0" fontId="7" fillId="0" borderId="43" xfId="6" quotePrefix="1" applyFont="1" applyBorder="1" applyAlignment="1">
      <alignment horizontal="center" vertical="center"/>
    </xf>
    <xf numFmtId="0" fontId="7" fillId="0" borderId="44" xfId="6" applyFont="1" applyBorder="1" applyAlignment="1">
      <alignment horizontal="center" vertical="center"/>
    </xf>
    <xf numFmtId="0" fontId="7" fillId="0" borderId="45" xfId="6" applyFont="1" applyBorder="1" applyAlignment="1">
      <alignment horizontal="center" vertical="center"/>
    </xf>
    <xf numFmtId="0" fontId="6" fillId="0" borderId="43" xfId="6" quotePrefix="1" applyFont="1" applyBorder="1" applyAlignment="1">
      <alignment horizontal="center" vertical="center"/>
    </xf>
    <xf numFmtId="0" fontId="6" fillId="0" borderId="40" xfId="6" applyFont="1" applyBorder="1" applyAlignment="1">
      <alignment horizontal="center" vertical="center"/>
    </xf>
    <xf numFmtId="0" fontId="6" fillId="0" borderId="41" xfId="6" applyFont="1" applyBorder="1" applyAlignment="1">
      <alignment horizontal="center" vertical="center"/>
    </xf>
    <xf numFmtId="0" fontId="6" fillId="0" borderId="42" xfId="6" applyFont="1" applyBorder="1" applyAlignment="1">
      <alignment horizontal="center" vertical="center"/>
    </xf>
    <xf numFmtId="0" fontId="6" fillId="0" borderId="40" xfId="6" applyFont="1" applyBorder="1" applyAlignment="1">
      <alignment horizontal="left" vertical="center"/>
    </xf>
    <xf numFmtId="0" fontId="6" fillId="0" borderId="41" xfId="6" applyFont="1" applyBorder="1" applyAlignment="1">
      <alignment horizontal="left" vertical="center"/>
    </xf>
    <xf numFmtId="0" fontId="6" fillId="0" borderId="42" xfId="6" applyFont="1" applyBorder="1" applyAlignment="1">
      <alignment horizontal="left" vertical="center"/>
    </xf>
    <xf numFmtId="0" fontId="6" fillId="0" borderId="40" xfId="6" quotePrefix="1" applyFont="1" applyBorder="1" applyAlignment="1">
      <alignment vertical="center"/>
    </xf>
    <xf numFmtId="0" fontId="6" fillId="0" borderId="41" xfId="6" quotePrefix="1" applyFont="1" applyBorder="1" applyAlignment="1">
      <alignment vertical="center"/>
    </xf>
    <xf numFmtId="0" fontId="6" fillId="0" borderId="42" xfId="6" quotePrefix="1" applyFont="1" applyBorder="1" applyAlignment="1">
      <alignment vertical="center"/>
    </xf>
    <xf numFmtId="0" fontId="6" fillId="0" borderId="40" xfId="6" applyFont="1" applyBorder="1" applyAlignment="1">
      <alignment vertical="center"/>
    </xf>
    <xf numFmtId="0" fontId="6" fillId="0" borderId="41" xfId="6" applyFont="1" applyBorder="1" applyAlignment="1">
      <alignment vertical="center"/>
    </xf>
    <xf numFmtId="0" fontId="6" fillId="0" borderId="42" xfId="6" applyFont="1" applyBorder="1" applyAlignment="1">
      <alignment vertical="center"/>
    </xf>
    <xf numFmtId="0" fontId="7" fillId="0" borderId="40" xfId="6" quotePrefix="1" applyFont="1" applyBorder="1" applyAlignment="1">
      <alignment horizontal="center" vertical="center"/>
    </xf>
    <xf numFmtId="0" fontId="7" fillId="0" borderId="41" xfId="6" applyFont="1" applyBorder="1" applyAlignment="1">
      <alignment horizontal="center" vertical="center"/>
    </xf>
    <xf numFmtId="0" fontId="7" fillId="0" borderId="42" xfId="6" applyFont="1" applyBorder="1" applyAlignment="1">
      <alignment horizontal="center" vertical="center"/>
    </xf>
    <xf numFmtId="0" fontId="10" fillId="0" borderId="33" xfId="0" applyFont="1" applyBorder="1" applyAlignment="1">
      <alignment horizontal="left"/>
    </xf>
    <xf numFmtId="0" fontId="10" fillId="0" borderId="34" xfId="0" applyFont="1" applyBorder="1" applyAlignment="1">
      <alignment horizontal="left"/>
    </xf>
    <xf numFmtId="0" fontId="10" fillId="0" borderId="35" xfId="0" applyFont="1" applyBorder="1" applyAlignment="1">
      <alignment horizontal="left"/>
    </xf>
    <xf numFmtId="0" fontId="13" fillId="5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center" vertical="center"/>
    </xf>
    <xf numFmtId="0" fontId="18" fillId="2" borderId="34" xfId="0" applyFont="1" applyFill="1" applyBorder="1" applyAlignment="1">
      <alignment horizontal="center" vertical="center"/>
    </xf>
    <xf numFmtId="0" fontId="18" fillId="2" borderId="35" xfId="0" applyFont="1" applyFill="1" applyBorder="1" applyAlignment="1">
      <alignment horizontal="center" vertical="center"/>
    </xf>
    <xf numFmtId="0" fontId="20" fillId="0" borderId="36" xfId="0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2" fillId="0" borderId="0" xfId="0" applyFont="1"/>
    <xf numFmtId="0" fontId="22" fillId="0" borderId="37" xfId="0" applyFont="1" applyBorder="1" applyAlignment="1">
      <alignment horizontal="center" vertical="center"/>
    </xf>
    <xf numFmtId="0" fontId="22" fillId="0" borderId="31" xfId="0" applyFont="1" applyBorder="1" applyAlignment="1">
      <alignment horizontal="center" vertical="center"/>
    </xf>
    <xf numFmtId="0" fontId="22" fillId="0" borderId="36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14" fontId="22" fillId="0" borderId="36" xfId="0" applyNumberFormat="1" applyFont="1" applyBorder="1" applyAlignment="1">
      <alignment horizontal="center" vertical="center"/>
    </xf>
    <xf numFmtId="14" fontId="22" fillId="0" borderId="37" xfId="0" applyNumberFormat="1" applyFont="1" applyBorder="1" applyAlignment="1">
      <alignment horizontal="center" vertical="center"/>
    </xf>
    <xf numFmtId="14" fontId="22" fillId="0" borderId="31" xfId="0" applyNumberFormat="1" applyFont="1" applyBorder="1" applyAlignment="1">
      <alignment horizontal="center" vertical="center"/>
    </xf>
    <xf numFmtId="2" fontId="22" fillId="0" borderId="36" xfId="0" applyNumberFormat="1" applyFont="1" applyBorder="1" applyAlignment="1">
      <alignment horizontal="center" vertical="center"/>
    </xf>
    <xf numFmtId="2" fontId="22" fillId="0" borderId="37" xfId="0" applyNumberFormat="1" applyFont="1" applyBorder="1" applyAlignment="1">
      <alignment horizontal="center" vertical="center"/>
    </xf>
    <xf numFmtId="2" fontId="22" fillId="0" borderId="31" xfId="0" applyNumberFormat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14" fontId="22" fillId="0" borderId="2" xfId="0" applyNumberFormat="1" applyFont="1" applyBorder="1" applyAlignment="1">
      <alignment horizontal="center" vertical="center"/>
    </xf>
    <xf numFmtId="14" fontId="22" fillId="0" borderId="3" xfId="0" applyNumberFormat="1" applyFont="1" applyBorder="1" applyAlignment="1">
      <alignment horizontal="center" vertical="center"/>
    </xf>
    <xf numFmtId="14" fontId="22" fillId="0" borderId="5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2" fillId="0" borderId="3" xfId="0" applyNumberFormat="1" applyFont="1" applyBorder="1" applyAlignment="1">
      <alignment horizontal="center" vertical="center"/>
    </xf>
    <xf numFmtId="2" fontId="22" fillId="0" borderId="5" xfId="0" applyNumberFormat="1" applyFont="1" applyBorder="1" applyAlignment="1">
      <alignment horizontal="center" vertical="center"/>
    </xf>
    <xf numFmtId="0" fontId="22" fillId="0" borderId="33" xfId="0" applyFont="1" applyBorder="1" applyAlignment="1">
      <alignment horizontal="center" vertical="center"/>
    </xf>
    <xf numFmtId="0" fontId="22" fillId="0" borderId="34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/>
    <xf numFmtId="0" fontId="22" fillId="0" borderId="3" xfId="0" applyFont="1" applyBorder="1"/>
    <xf numFmtId="0" fontId="22" fillId="0" borderId="5" xfId="0" applyFont="1" applyBorder="1"/>
    <xf numFmtId="0" fontId="22" fillId="0" borderId="1" xfId="0" applyFont="1" applyBorder="1"/>
    <xf numFmtId="0" fontId="22" fillId="0" borderId="4" xfId="0" applyFont="1" applyBorder="1"/>
    <xf numFmtId="0" fontId="22" fillId="0" borderId="7" xfId="0" applyFont="1" applyBorder="1"/>
    <xf numFmtId="0" fontId="22" fillId="0" borderId="8" xfId="0" applyFont="1" applyBorder="1"/>
    <xf numFmtId="0" fontId="22" fillId="0" borderId="11" xfId="0" applyFont="1" applyBorder="1"/>
    <xf numFmtId="0" fontId="22" fillId="0" borderId="6" xfId="0" applyFont="1" applyBorder="1"/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2" fillId="0" borderId="12" xfId="0" applyFont="1" applyBorder="1"/>
    <xf numFmtId="0" fontId="22" fillId="0" borderId="14" xfId="0" applyFont="1" applyBorder="1"/>
    <xf numFmtId="0" fontId="22" fillId="0" borderId="15" xfId="0" applyFont="1" applyBorder="1"/>
    <xf numFmtId="0" fontId="22" fillId="0" borderId="9" xfId="0" applyFont="1" applyBorder="1"/>
    <xf numFmtId="0" fontId="22" fillId="0" borderId="10" xfId="0" applyFont="1" applyBorder="1"/>
    <xf numFmtId="0" fontId="22" fillId="0" borderId="13" xfId="0" applyFont="1" applyBorder="1"/>
    <xf numFmtId="0" fontId="18" fillId="2" borderId="36" xfId="0" applyFont="1" applyFill="1" applyBorder="1" applyAlignment="1">
      <alignment horizontal="center" vertical="center"/>
    </xf>
    <xf numFmtId="0" fontId="18" fillId="2" borderId="37" xfId="0" applyFont="1" applyFill="1" applyBorder="1" applyAlignment="1">
      <alignment horizontal="center" vertical="center"/>
    </xf>
    <xf numFmtId="0" fontId="18" fillId="2" borderId="31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18" fillId="2" borderId="0" xfId="0" applyFont="1" applyFill="1"/>
    <xf numFmtId="0" fontId="22" fillId="0" borderId="38" xfId="0" applyFont="1" applyBorder="1"/>
    <xf numFmtId="0" fontId="22" fillId="0" borderId="39" xfId="0" applyFont="1" applyBorder="1"/>
    <xf numFmtId="0" fontId="22" fillId="0" borderId="22" xfId="0" applyFont="1" applyBorder="1"/>
    <xf numFmtId="0" fontId="22" fillId="0" borderId="37" xfId="0" applyFont="1" applyBorder="1"/>
    <xf numFmtId="0" fontId="22" fillId="0" borderId="31" xfId="0" applyFont="1" applyBorder="1"/>
    <xf numFmtId="0" fontId="22" fillId="0" borderId="36" xfId="0" applyFont="1" applyBorder="1"/>
    <xf numFmtId="0" fontId="22" fillId="0" borderId="40" xfId="0" applyFont="1" applyBorder="1"/>
    <xf numFmtId="0" fontId="22" fillId="0" borderId="41" xfId="0" applyFont="1" applyBorder="1"/>
    <xf numFmtId="0" fontId="22" fillId="0" borderId="42" xfId="0" applyFont="1" applyBorder="1"/>
    <xf numFmtId="0" fontId="22" fillId="0" borderId="3" xfId="0" applyFont="1" applyBorder="1"/>
    <xf numFmtId="0" fontId="22" fillId="0" borderId="5" xfId="0" applyFont="1" applyBorder="1"/>
    <xf numFmtId="0" fontId="22" fillId="0" borderId="2" xfId="0" applyFont="1" applyBorder="1"/>
    <xf numFmtId="0" fontId="0" fillId="0" borderId="0" xfId="0" applyFont="1"/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14" fontId="0" fillId="0" borderId="36" xfId="0" applyNumberFormat="1" applyFont="1" applyBorder="1" applyAlignment="1">
      <alignment horizontal="center" vertical="center"/>
    </xf>
    <xf numFmtId="14" fontId="0" fillId="0" borderId="37" xfId="0" applyNumberFormat="1" applyFont="1" applyBorder="1" applyAlignment="1">
      <alignment horizontal="center" vertical="center"/>
    </xf>
    <xf numFmtId="14" fontId="0" fillId="0" borderId="31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14" fontId="0" fillId="0" borderId="2" xfId="0" applyNumberFormat="1" applyFont="1" applyBorder="1" applyAlignment="1">
      <alignment horizontal="center" vertical="center"/>
    </xf>
    <xf numFmtId="14" fontId="0" fillId="0" borderId="3" xfId="0" applyNumberFormat="1" applyFont="1" applyBorder="1" applyAlignment="1">
      <alignment horizontal="center" vertical="center"/>
    </xf>
    <xf numFmtId="14" fontId="0" fillId="0" borderId="5" xfId="0" applyNumberFormat="1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2" xfId="0" applyFont="1" applyBorder="1"/>
    <xf numFmtId="0" fontId="0" fillId="0" borderId="3" xfId="0" applyFont="1" applyBorder="1"/>
    <xf numFmtId="0" fontId="0" fillId="0" borderId="5" xfId="0" applyFont="1" applyBorder="1"/>
    <xf numFmtId="0" fontId="0" fillId="0" borderId="1" xfId="0" applyFont="1" applyBorder="1" applyAlignment="1">
      <alignment vertical="center"/>
    </xf>
    <xf numFmtId="0" fontId="0" fillId="0" borderId="18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19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20" xfId="0" applyFont="1" applyBorder="1" applyAlignment="1">
      <alignment vertical="center"/>
    </xf>
    <xf numFmtId="0" fontId="0" fillId="0" borderId="21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8" fillId="0" borderId="16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17" xfId="0" applyFont="1" applyBorder="1" applyAlignment="1">
      <alignment vertical="center"/>
    </xf>
    <xf numFmtId="0" fontId="22" fillId="0" borderId="1" xfId="7" applyFont="1" applyBorder="1">
      <alignment vertical="center"/>
    </xf>
    <xf numFmtId="0" fontId="22" fillId="0" borderId="0" xfId="7" applyFont="1">
      <alignment vertical="center"/>
    </xf>
    <xf numFmtId="0" fontId="22" fillId="0" borderId="4" xfId="7" applyFont="1" applyBorder="1">
      <alignment vertical="center"/>
    </xf>
    <xf numFmtId="0" fontId="22" fillId="0" borderId="18" xfId="7" applyFont="1" applyBorder="1">
      <alignment vertical="center"/>
    </xf>
    <xf numFmtId="0" fontId="22" fillId="0" borderId="19" xfId="7" applyFont="1" applyBorder="1">
      <alignment vertical="center"/>
    </xf>
    <xf numFmtId="0" fontId="22" fillId="0" borderId="2" xfId="7" applyFont="1" applyBorder="1">
      <alignment vertical="center"/>
    </xf>
    <xf numFmtId="0" fontId="22" fillId="0" borderId="3" xfId="7" applyFont="1" applyBorder="1">
      <alignment vertical="center"/>
    </xf>
    <xf numFmtId="0" fontId="22" fillId="0" borderId="5" xfId="7" applyFont="1" applyBorder="1">
      <alignment vertical="center"/>
    </xf>
    <xf numFmtId="0" fontId="22" fillId="0" borderId="31" xfId="0" applyFont="1" applyBorder="1"/>
    <xf numFmtId="0" fontId="19" fillId="2" borderId="0" xfId="0" applyFont="1" applyFill="1" applyAlignment="1">
      <alignment vertical="center"/>
    </xf>
    <xf numFmtId="0" fontId="18" fillId="2" borderId="16" xfId="0" applyFont="1" applyFill="1" applyBorder="1" applyAlignment="1">
      <alignment vertical="center"/>
    </xf>
    <xf numFmtId="0" fontId="18" fillId="2" borderId="0" xfId="0" applyFont="1" applyFill="1" applyAlignment="1">
      <alignment vertical="center"/>
    </xf>
    <xf numFmtId="0" fontId="18" fillId="2" borderId="17" xfId="0" applyFont="1" applyFill="1" applyBorder="1" applyAlignment="1">
      <alignment vertical="center"/>
    </xf>
    <xf numFmtId="0" fontId="22" fillId="0" borderId="18" xfId="0" applyFont="1" applyBorder="1"/>
    <xf numFmtId="0" fontId="22" fillId="0" borderId="19" xfId="0" applyFont="1" applyBorder="1"/>
    <xf numFmtId="0" fontId="22" fillId="3" borderId="18" xfId="7" applyFont="1" applyFill="1" applyBorder="1">
      <alignment vertical="center"/>
    </xf>
    <xf numFmtId="0" fontId="22" fillId="3" borderId="0" xfId="7" applyFont="1" applyFill="1">
      <alignment vertical="center"/>
    </xf>
    <xf numFmtId="0" fontId="22" fillId="3" borderId="19" xfId="7" applyFont="1" applyFill="1" applyBorder="1">
      <alignment vertical="center"/>
    </xf>
    <xf numFmtId="0" fontId="11" fillId="0" borderId="0" xfId="0" applyFont="1" applyAlignment="1">
      <alignment horizontal="center" vertical="center"/>
    </xf>
    <xf numFmtId="0" fontId="22" fillId="0" borderId="27" xfId="7" applyFont="1" applyBorder="1">
      <alignment vertical="center"/>
    </xf>
    <xf numFmtId="0" fontId="22" fillId="0" borderId="28" xfId="7" applyFont="1" applyBorder="1">
      <alignment vertical="center"/>
    </xf>
    <xf numFmtId="0" fontId="22" fillId="0" borderId="29" xfId="7" applyFont="1" applyBorder="1">
      <alignment vertical="center"/>
    </xf>
    <xf numFmtId="0" fontId="22" fillId="0" borderId="30" xfId="7" applyFont="1" applyBorder="1">
      <alignment vertical="center"/>
    </xf>
    <xf numFmtId="0" fontId="22" fillId="4" borderId="19" xfId="0" applyFont="1" applyFill="1" applyBorder="1"/>
    <xf numFmtId="0" fontId="22" fillId="4" borderId="0" xfId="7" applyFont="1" applyFill="1">
      <alignment vertical="center"/>
    </xf>
    <xf numFmtId="0" fontId="22" fillId="4" borderId="0" xfId="0" applyFont="1" applyFill="1"/>
    <xf numFmtId="0" fontId="22" fillId="0" borderId="20" xfId="7" applyFont="1" applyBorder="1">
      <alignment vertical="center"/>
    </xf>
    <xf numFmtId="0" fontId="22" fillId="0" borderId="21" xfId="0" applyFont="1" applyBorder="1"/>
    <xf numFmtId="0" fontId="18" fillId="2" borderId="33" xfId="6" applyFont="1" applyFill="1" applyBorder="1" applyAlignment="1">
      <alignment horizontal="center" vertical="center"/>
    </xf>
    <xf numFmtId="0" fontId="18" fillId="2" borderId="34" xfId="6" applyFont="1" applyFill="1" applyBorder="1" applyAlignment="1">
      <alignment horizontal="center" vertical="center"/>
    </xf>
    <xf numFmtId="0" fontId="18" fillId="2" borderId="35" xfId="6" applyFont="1" applyFill="1" applyBorder="1" applyAlignment="1">
      <alignment horizontal="center" vertical="center"/>
    </xf>
    <xf numFmtId="0" fontId="20" fillId="0" borderId="36" xfId="6" applyFont="1" applyBorder="1" applyAlignment="1">
      <alignment horizontal="center" vertical="center"/>
    </xf>
    <xf numFmtId="0" fontId="20" fillId="0" borderId="37" xfId="6" applyFont="1" applyBorder="1" applyAlignment="1">
      <alignment horizontal="center" vertical="center"/>
    </xf>
    <xf numFmtId="0" fontId="20" fillId="0" borderId="31" xfId="6" applyFont="1" applyBorder="1" applyAlignment="1">
      <alignment horizontal="center" vertical="center"/>
    </xf>
    <xf numFmtId="0" fontId="20" fillId="0" borderId="1" xfId="6" applyFont="1" applyBorder="1" applyAlignment="1">
      <alignment horizontal="center" vertical="center"/>
    </xf>
    <xf numFmtId="0" fontId="20" fillId="0" borderId="0" xfId="6" applyFont="1" applyAlignment="1">
      <alignment horizontal="center" vertical="center"/>
    </xf>
    <xf numFmtId="0" fontId="20" fillId="0" borderId="4" xfId="6" applyFont="1" applyBorder="1" applyAlignment="1">
      <alignment horizontal="center" vertical="center"/>
    </xf>
    <xf numFmtId="0" fontId="20" fillId="0" borderId="2" xfId="6" applyFont="1" applyBorder="1" applyAlignment="1">
      <alignment horizontal="center" vertical="center"/>
    </xf>
    <xf numFmtId="0" fontId="20" fillId="0" borderId="3" xfId="6" applyFont="1" applyBorder="1" applyAlignment="1">
      <alignment horizontal="center" vertical="center"/>
    </xf>
    <xf numFmtId="0" fontId="20" fillId="0" borderId="5" xfId="6" applyFont="1" applyBorder="1" applyAlignment="1">
      <alignment horizontal="center" vertical="center"/>
    </xf>
    <xf numFmtId="0" fontId="22" fillId="0" borderId="0" xfId="6" applyFont="1" applyAlignment="1">
      <alignment vertical="center"/>
    </xf>
    <xf numFmtId="0" fontId="22" fillId="0" borderId="38" xfId="6" applyFont="1" applyBorder="1" applyAlignment="1">
      <alignment vertical="center" wrapText="1"/>
    </xf>
    <xf numFmtId="0" fontId="22" fillId="0" borderId="39" xfId="6" applyFont="1" applyBorder="1" applyAlignment="1">
      <alignment vertical="center" wrapText="1"/>
    </xf>
    <xf numFmtId="0" fontId="22" fillId="0" borderId="22" xfId="6" applyFont="1" applyBorder="1" applyAlignment="1">
      <alignment vertical="center" wrapText="1"/>
    </xf>
    <xf numFmtId="0" fontId="22" fillId="0" borderId="44" xfId="6" applyFont="1" applyBorder="1" applyAlignment="1">
      <alignment vertical="center"/>
    </xf>
    <xf numFmtId="0" fontId="22" fillId="0" borderId="45" xfId="6" applyFont="1" applyBorder="1" applyAlignment="1">
      <alignment vertical="center"/>
    </xf>
    <xf numFmtId="0" fontId="22" fillId="0" borderId="43" xfId="6" applyFont="1" applyBorder="1" applyAlignment="1">
      <alignment vertical="center"/>
    </xf>
    <xf numFmtId="0" fontId="22" fillId="0" borderId="27" xfId="6" quotePrefix="1" applyFont="1" applyBorder="1" applyAlignment="1">
      <alignment vertical="center"/>
    </xf>
    <xf numFmtId="0" fontId="22" fillId="0" borderId="28" xfId="6" quotePrefix="1" applyFont="1" applyBorder="1" applyAlignment="1">
      <alignment vertical="center"/>
    </xf>
    <xf numFmtId="0" fontId="22" fillId="0" borderId="30" xfId="6" quotePrefix="1" applyFont="1" applyBorder="1" applyAlignment="1">
      <alignment vertical="center"/>
    </xf>
    <xf numFmtId="0" fontId="22" fillId="0" borderId="27" xfId="6" applyFont="1" applyBorder="1" applyAlignment="1">
      <alignment vertical="center"/>
    </xf>
    <xf numFmtId="0" fontId="22" fillId="0" borderId="28" xfId="6" applyFont="1" applyBorder="1" applyAlignment="1">
      <alignment vertical="center"/>
    </xf>
    <xf numFmtId="0" fontId="22" fillId="0" borderId="30" xfId="6" applyFont="1" applyBorder="1" applyAlignment="1">
      <alignment vertical="center"/>
    </xf>
    <xf numFmtId="0" fontId="22" fillId="0" borderId="40" xfId="6" applyFont="1" applyBorder="1" applyAlignment="1">
      <alignment vertical="center"/>
    </xf>
    <xf numFmtId="0" fontId="22" fillId="0" borderId="41" xfId="6" applyFont="1" applyBorder="1" applyAlignment="1">
      <alignment vertical="center"/>
    </xf>
    <xf numFmtId="0" fontId="22" fillId="0" borderId="42" xfId="6" applyFont="1" applyBorder="1" applyAlignment="1">
      <alignment vertical="center"/>
    </xf>
    <xf numFmtId="0" fontId="13" fillId="5" borderId="32" xfId="0" applyFont="1" applyFill="1" applyBorder="1" applyAlignment="1">
      <alignment vertical="center"/>
    </xf>
    <xf numFmtId="0" fontId="13" fillId="5" borderId="32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3" fillId="0" borderId="0" xfId="0" applyFont="1" applyAlignment="1">
      <alignment vertical="center"/>
    </xf>
    <xf numFmtId="0" fontId="22" fillId="0" borderId="32" xfId="0" applyFont="1" applyBorder="1" applyAlignment="1">
      <alignment vertical="center"/>
    </xf>
    <xf numFmtId="0" fontId="22" fillId="0" borderId="32" xfId="0" applyFont="1" applyBorder="1" applyAlignment="1">
      <alignment horizontal="left" vertical="center"/>
    </xf>
    <xf numFmtId="0" fontId="22" fillId="0" borderId="0" xfId="0" applyFont="1" applyAlignment="1">
      <alignment vertical="center"/>
    </xf>
    <xf numFmtId="0" fontId="22" fillId="0" borderId="32" xfId="0" applyFont="1" applyBorder="1" applyAlignment="1">
      <alignment horizontal="left"/>
    </xf>
    <xf numFmtId="0" fontId="22" fillId="0" borderId="33" xfId="0" applyFont="1" applyBorder="1" applyAlignment="1">
      <alignment horizontal="left"/>
    </xf>
    <xf numFmtId="0" fontId="22" fillId="0" borderId="34" xfId="0" applyFont="1" applyBorder="1" applyAlignment="1">
      <alignment horizontal="left"/>
    </xf>
    <xf numFmtId="0" fontId="22" fillId="0" borderId="35" xfId="0" applyFont="1" applyBorder="1" applyAlignment="1">
      <alignment horizontal="left"/>
    </xf>
    <xf numFmtId="0" fontId="22" fillId="0" borderId="0" xfId="0" applyFont="1" applyAlignment="1">
      <alignment horizontal="left" vertical="center"/>
    </xf>
    <xf numFmtId="0" fontId="22" fillId="0" borderId="20" xfId="0" applyFont="1" applyBorder="1"/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0</xdr:rowOff>
    </xdr:from>
    <xdr:to>
      <xdr:col>8</xdr:col>
      <xdr:colOff>0</xdr:colOff>
      <xdr:row>12</xdr:row>
      <xdr:rowOff>0</xdr:rowOff>
    </xdr:to>
    <xdr:sp macro="" textlink="" fLocksText="0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33400" y="1638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8</xdr:row>
      <xdr:rowOff>0</xdr:rowOff>
    </xdr:from>
    <xdr:to>
      <xdr:col>30</xdr:col>
      <xdr:colOff>0</xdr:colOff>
      <xdr:row>12</xdr:row>
      <xdr:rowOff>0</xdr:rowOff>
    </xdr:to>
    <xdr:sp macro="" textlink="" fLocksText="0">
      <xdr:nvSpPr>
        <xdr:cNvPr id="3" name="吹き出し: 線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933700" y="1638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画面表示</a:t>
          </a:r>
        </a:p>
      </xdr:txBody>
    </xdr:sp>
    <xdr:clientData/>
  </xdr:twoCellAnchor>
  <xdr:twoCellAnchor>
    <xdr:from>
      <xdr:col>2</xdr:col>
      <xdr:colOff>0</xdr:colOff>
      <xdr:row>14</xdr:row>
      <xdr:rowOff>0</xdr:rowOff>
    </xdr:from>
    <xdr:to>
      <xdr:col>8</xdr:col>
      <xdr:colOff>0</xdr:colOff>
      <xdr:row>18</xdr:row>
      <xdr:rowOff>0</xdr:rowOff>
    </xdr:to>
    <xdr:sp macro="" textlink="" fLocksText="0">
      <xdr:nvSpPr>
        <xdr:cNvPr id="4" name="四角形: 角を丸くする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33400" y="2781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14</xdr:row>
      <xdr:rowOff>0</xdr:rowOff>
    </xdr:from>
    <xdr:to>
      <xdr:col>30</xdr:col>
      <xdr:colOff>0</xdr:colOff>
      <xdr:row>18</xdr:row>
      <xdr:rowOff>0</xdr:rowOff>
    </xdr:to>
    <xdr:sp macro="" textlink="" fLocksText="0">
      <xdr:nvSpPr>
        <xdr:cNvPr id="5" name="吹き出し: 線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933700" y="2781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処理機能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本来なら、処理内で分岐もあるとは思いますが、今回は、分岐処理についても、一括で処理機能と定義しています。</a:t>
          </a:r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8</xdr:col>
      <xdr:colOff>0</xdr:colOff>
      <xdr:row>27</xdr:row>
      <xdr:rowOff>0</xdr:rowOff>
    </xdr:to>
    <xdr:sp macro="" textlink="" fLocksText="0">
      <xdr:nvSpPr>
        <xdr:cNvPr id="6" name="正方形/長方形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33400" y="4495800"/>
          <a:ext cx="1600200" cy="762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23</xdr:row>
      <xdr:rowOff>0</xdr:rowOff>
    </xdr:from>
    <xdr:to>
      <xdr:col>30</xdr:col>
      <xdr:colOff>0</xdr:colOff>
      <xdr:row>27</xdr:row>
      <xdr:rowOff>0</xdr:rowOff>
    </xdr:to>
    <xdr:sp macro="" textlink="" fLocksText="0">
      <xdr:nvSpPr>
        <xdr:cNvPr id="7" name="吹き出し: 線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933700" y="449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セカンドディスプレイ画面表示</a:t>
          </a:r>
        </a:p>
      </xdr:txBody>
    </xdr:sp>
    <xdr:clientData/>
  </xdr:twoCellAnchor>
  <xdr:twoCellAnchor>
    <xdr:from>
      <xdr:col>2</xdr:col>
      <xdr:colOff>0</xdr:colOff>
      <xdr:row>29</xdr:row>
      <xdr:rowOff>0</xdr:rowOff>
    </xdr:from>
    <xdr:to>
      <xdr:col>8</xdr:col>
      <xdr:colOff>0</xdr:colOff>
      <xdr:row>33</xdr:row>
      <xdr:rowOff>0</xdr:rowOff>
    </xdr:to>
    <xdr:sp macro="" textlink="" fLocksText="0">
      <xdr:nvSpPr>
        <xdr:cNvPr id="8" name="フローチャート: 手操作入力 1033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33400" y="5638800"/>
          <a:ext cx="1600200" cy="762000"/>
        </a:xfrm>
        <a:prstGeom prst="flowChartManualInput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  <a:p>
          <a:pPr algn="ctr">
            <a:defRPr 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29</xdr:row>
      <xdr:rowOff>0</xdr:rowOff>
    </xdr:from>
    <xdr:to>
      <xdr:col>30</xdr:col>
      <xdr:colOff>0</xdr:colOff>
      <xdr:row>33</xdr:row>
      <xdr:rowOff>0</xdr:rowOff>
    </xdr:to>
    <xdr:sp macro="" textlink="" fLocksText="0">
      <xdr:nvSpPr>
        <xdr:cNvPr id="9" name="吹き出し: 線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933700" y="5638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</xdr:txBody>
    </xdr:sp>
    <xdr:clientData/>
  </xdr:twoCellAnchor>
  <xdr:twoCellAnchor>
    <xdr:from>
      <xdr:col>32</xdr:col>
      <xdr:colOff>0</xdr:colOff>
      <xdr:row>23</xdr:row>
      <xdr:rowOff>0</xdr:rowOff>
    </xdr:from>
    <xdr:to>
      <xdr:col>38</xdr:col>
      <xdr:colOff>0</xdr:colOff>
      <xdr:row>27</xdr:row>
      <xdr:rowOff>0</xdr:rowOff>
    </xdr:to>
    <xdr:sp macro="" textlink="" fLocksText="0">
      <xdr:nvSpPr>
        <xdr:cNvPr id="10" name="フローチャート: 表示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8534400" y="4495800"/>
          <a:ext cx="1600200" cy="762000"/>
        </a:xfrm>
        <a:prstGeom prst="flowChartDisplay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23</xdr:row>
      <xdr:rowOff>0</xdr:rowOff>
    </xdr:from>
    <xdr:to>
      <xdr:col>61</xdr:col>
      <xdr:colOff>0</xdr:colOff>
      <xdr:row>27</xdr:row>
      <xdr:rowOff>0</xdr:rowOff>
    </xdr:to>
    <xdr:sp macro="" textlink="" fLocksText="0">
      <xdr:nvSpPr>
        <xdr:cNvPr id="11" name="吹き出し: 線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0934700" y="449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32</xdr:col>
      <xdr:colOff>0</xdr:colOff>
      <xdr:row>29</xdr:row>
      <xdr:rowOff>0</xdr:rowOff>
    </xdr:from>
    <xdr:to>
      <xdr:col>38</xdr:col>
      <xdr:colOff>0</xdr:colOff>
      <xdr:row>33</xdr:row>
      <xdr:rowOff>0</xdr:rowOff>
    </xdr:to>
    <xdr:sp macro="" textlink="" fLocksText="0">
      <xdr:nvSpPr>
        <xdr:cNvPr id="12" name="フローチャート: 書類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8534400" y="56388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28</xdr:row>
      <xdr:rowOff>168088</xdr:rowOff>
    </xdr:from>
    <xdr:to>
      <xdr:col>61</xdr:col>
      <xdr:colOff>0</xdr:colOff>
      <xdr:row>32</xdr:row>
      <xdr:rowOff>168088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10934700" y="561975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2</xdr:col>
      <xdr:colOff>0</xdr:colOff>
      <xdr:row>43</xdr:row>
      <xdr:rowOff>0</xdr:rowOff>
    </xdr:from>
    <xdr:to>
      <xdr:col>8</xdr:col>
      <xdr:colOff>0</xdr:colOff>
      <xdr:row>47</xdr:row>
      <xdr:rowOff>0</xdr:rowOff>
    </xdr:to>
    <xdr:sp macro="" textlink="" fLocksText="0">
      <xdr:nvSpPr>
        <xdr:cNvPr id="14" name="フローチャート: 磁気ディスク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533400" y="8305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1</xdr:colOff>
      <xdr:row>43</xdr:row>
      <xdr:rowOff>0</xdr:rowOff>
    </xdr:from>
    <xdr:to>
      <xdr:col>30</xdr:col>
      <xdr:colOff>0</xdr:colOff>
      <xdr:row>47</xdr:row>
      <xdr:rowOff>0</xdr:rowOff>
    </xdr:to>
    <xdr:sp macro="" textlink="" fLocksText="0">
      <xdr:nvSpPr>
        <xdr:cNvPr id="15" name="吹き出し: 線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2933700" y="830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API連携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本来ならDBですが、DBの意味で使用しています。</a:t>
          </a:r>
        </a:p>
      </xdr:txBody>
    </xdr:sp>
    <xdr:clientData/>
  </xdr:twoCellAnchor>
  <xdr:twoCellAnchor>
    <xdr:from>
      <xdr:col>32</xdr:col>
      <xdr:colOff>15081</xdr:colOff>
      <xdr:row>14</xdr:row>
      <xdr:rowOff>23813</xdr:rowOff>
    </xdr:from>
    <xdr:to>
      <xdr:col>38</xdr:col>
      <xdr:colOff>0</xdr:colOff>
      <xdr:row>18</xdr:row>
      <xdr:rowOff>0</xdr:rowOff>
    </xdr:to>
    <xdr:sp macro="" textlink="" fLocksText="0">
      <xdr:nvSpPr>
        <xdr:cNvPr id="16" name="吹き出し: 角を丸めた四角形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8553450" y="2809875"/>
          <a:ext cx="1581150" cy="733425"/>
        </a:xfrm>
        <a:prstGeom prst="wedgeRoundRectCallout">
          <a:avLst/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41</xdr:col>
      <xdr:colOff>0</xdr:colOff>
      <xdr:row>14</xdr:row>
      <xdr:rowOff>0</xdr:rowOff>
    </xdr:from>
    <xdr:to>
      <xdr:col>61</xdr:col>
      <xdr:colOff>0</xdr:colOff>
      <xdr:row>18</xdr:row>
      <xdr:rowOff>0</xdr:rowOff>
    </xdr:to>
    <xdr:sp macro="" textlink="" fLocksText="0">
      <xdr:nvSpPr>
        <xdr:cNvPr id="17" name="吹き出し: 線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0934700" y="2781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音声ファイル</a:t>
          </a:r>
        </a:p>
      </xdr:txBody>
    </xdr:sp>
    <xdr:clientData/>
  </xdr:twoCellAnchor>
  <xdr:twoCellAnchor>
    <xdr:from>
      <xdr:col>2</xdr:col>
      <xdr:colOff>0</xdr:colOff>
      <xdr:row>35</xdr:row>
      <xdr:rowOff>0</xdr:rowOff>
    </xdr:from>
    <xdr:to>
      <xdr:col>8</xdr:col>
      <xdr:colOff>0</xdr:colOff>
      <xdr:row>39</xdr:row>
      <xdr:rowOff>0</xdr:rowOff>
    </xdr:to>
    <xdr:sp macro="" textlink="" fLocksText="0">
      <xdr:nvSpPr>
        <xdr:cNvPr id="18" name="フローチャート: カード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533400" y="6781800"/>
          <a:ext cx="1600200" cy="762000"/>
        </a:xfrm>
        <a:prstGeom prst="flowChartPunchedCard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35</xdr:row>
      <xdr:rowOff>0</xdr:rowOff>
    </xdr:from>
    <xdr:to>
      <xdr:col>30</xdr:col>
      <xdr:colOff>0</xdr:colOff>
      <xdr:row>39</xdr:row>
      <xdr:rowOff>0</xdr:rowOff>
    </xdr:to>
    <xdr:sp macro="" textlink="" fLocksText="0">
      <xdr:nvSpPr>
        <xdr:cNvPr id="19" name="吹き出し: 線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2933700" y="6781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エフケイシステム　両面双方向読み取り MJR-100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32</xdr:col>
      <xdr:colOff>0</xdr:colOff>
      <xdr:row>8</xdr:row>
      <xdr:rowOff>0</xdr:rowOff>
    </xdr:from>
    <xdr:to>
      <xdr:col>38</xdr:col>
      <xdr:colOff>0</xdr:colOff>
      <xdr:row>12</xdr:row>
      <xdr:rowOff>0</xdr:rowOff>
    </xdr:to>
    <xdr:sp macro="" textlink="" fLocksText="0">
      <xdr:nvSpPr>
        <xdr:cNvPr id="20" name="正方形/長方形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8534400" y="1638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8</xdr:row>
      <xdr:rowOff>0</xdr:rowOff>
    </xdr:from>
    <xdr:to>
      <xdr:col>61</xdr:col>
      <xdr:colOff>0</xdr:colOff>
      <xdr:row>12</xdr:row>
      <xdr:rowOff>0</xdr:rowOff>
    </xdr:to>
    <xdr:sp macro="" textlink="" fLocksText="0">
      <xdr:nvSpPr>
        <xdr:cNvPr id="21" name="吹き出し: 線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10934700" y="1638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モーダル表示</a:t>
          </a:r>
        </a:p>
      </xdr:txBody>
    </xdr:sp>
    <xdr:clientData/>
  </xdr:twoCellAnchor>
  <xdr:twoCellAnchor>
    <xdr:from>
      <xdr:col>32</xdr:col>
      <xdr:colOff>0</xdr:colOff>
      <xdr:row>43</xdr:row>
      <xdr:rowOff>0</xdr:rowOff>
    </xdr:from>
    <xdr:to>
      <xdr:col>38</xdr:col>
      <xdr:colOff>450</xdr:colOff>
      <xdr:row>47</xdr:row>
      <xdr:rowOff>1200</xdr:rowOff>
    </xdr:to>
    <xdr:sp macro="" textlink="" fLocksText="0">
      <xdr:nvSpPr>
        <xdr:cNvPr id="22" name="四角形: 角を丸くする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8534400" y="8305800"/>
          <a:ext cx="1600200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43</xdr:row>
      <xdr:rowOff>0</xdr:rowOff>
    </xdr:from>
    <xdr:to>
      <xdr:col>61</xdr:col>
      <xdr:colOff>0</xdr:colOff>
      <xdr:row>47</xdr:row>
      <xdr:rowOff>0</xdr:rowOff>
    </xdr:to>
    <xdr:sp macro="" textlink="" fLocksText="0">
      <xdr:nvSpPr>
        <xdr:cNvPr id="23" name="吹き出し: 線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10934700" y="830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他の機能への連携</a:t>
          </a:r>
        </a:p>
      </xdr:txBody>
    </xdr:sp>
    <xdr:clientData/>
  </xdr:twoCellAnchor>
  <xdr:twoCellAnchor>
    <xdr:from>
      <xdr:col>2</xdr:col>
      <xdr:colOff>0</xdr:colOff>
      <xdr:row>49</xdr:row>
      <xdr:rowOff>0</xdr:rowOff>
    </xdr:from>
    <xdr:to>
      <xdr:col>8</xdr:col>
      <xdr:colOff>0</xdr:colOff>
      <xdr:row>53</xdr:row>
      <xdr:rowOff>0</xdr:rowOff>
    </xdr:to>
    <xdr:sp macro="" textlink="" fLocksText="0">
      <xdr:nvSpPr>
        <xdr:cNvPr id="24" name="フローチャート: 磁気ディスク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533400" y="9448800"/>
          <a:ext cx="1600200" cy="762000"/>
        </a:xfrm>
        <a:prstGeom prst="flowChartMagneticDisk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0</xdr:colOff>
      <xdr:row>49</xdr:row>
      <xdr:rowOff>0</xdr:rowOff>
    </xdr:from>
    <xdr:to>
      <xdr:col>29</xdr:col>
      <xdr:colOff>241299</xdr:colOff>
      <xdr:row>53</xdr:row>
      <xdr:rowOff>0</xdr:rowOff>
    </xdr:to>
    <xdr:sp macro="" textlink="" fLocksText="0">
      <xdr:nvSpPr>
        <xdr:cNvPr id="25" name="吹き出し: 線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2933700" y="9448800"/>
          <a:ext cx="503872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端末内DB</a:t>
          </a:r>
          <a:endParaRPr lang="ja-JP" alt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設定関連などのDB</a:t>
          </a:r>
        </a:p>
      </xdr:txBody>
    </xdr:sp>
    <xdr:clientData/>
  </xdr:twoCellAnchor>
  <xdr:twoCellAnchor>
    <xdr:from>
      <xdr:col>32</xdr:col>
      <xdr:colOff>0</xdr:colOff>
      <xdr:row>49</xdr:row>
      <xdr:rowOff>0</xdr:rowOff>
    </xdr:from>
    <xdr:to>
      <xdr:col>34</xdr:col>
      <xdr:colOff>101600</xdr:colOff>
      <xdr:row>50</xdr:row>
      <xdr:rowOff>12700</xdr:rowOff>
    </xdr:to>
    <xdr:sp macro="" textlink="" fLocksText="0">
      <xdr:nvSpPr>
        <xdr:cNvPr id="26" name="四角形: 角を丸くする 294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8534400" y="9448800"/>
          <a:ext cx="638175" cy="2000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41</xdr:col>
      <xdr:colOff>0</xdr:colOff>
      <xdr:row>49</xdr:row>
      <xdr:rowOff>0</xdr:rowOff>
    </xdr:from>
    <xdr:to>
      <xdr:col>61</xdr:col>
      <xdr:colOff>0</xdr:colOff>
      <xdr:row>51</xdr:row>
      <xdr:rowOff>0</xdr:rowOff>
    </xdr:to>
    <xdr:sp macro="" textlink="" fLocksText="0">
      <xdr:nvSpPr>
        <xdr:cNvPr id="27" name="吹き出し: 線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10934700" y="94488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ボタン名</a:t>
          </a:r>
        </a:p>
      </xdr:txBody>
    </xdr:sp>
    <xdr:clientData/>
  </xdr:twoCellAnchor>
  <xdr:twoCellAnchor>
    <xdr:from>
      <xdr:col>41</xdr:col>
      <xdr:colOff>0</xdr:colOff>
      <xdr:row>52</xdr:row>
      <xdr:rowOff>0</xdr:rowOff>
    </xdr:from>
    <xdr:to>
      <xdr:col>61</xdr:col>
      <xdr:colOff>0</xdr:colOff>
      <xdr:row>54</xdr:row>
      <xdr:rowOff>0</xdr:rowOff>
    </xdr:to>
    <xdr:sp macro="" textlink="" fLocksText="0">
      <xdr:nvSpPr>
        <xdr:cNvPr id="28" name="吹き出し: 線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10934700" y="100203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分岐・判定</a:t>
          </a:r>
        </a:p>
      </xdr:txBody>
    </xdr:sp>
    <xdr:clientData/>
  </xdr:twoCellAnchor>
  <xdr:twoCellAnchor>
    <xdr:from>
      <xdr:col>32</xdr:col>
      <xdr:colOff>0</xdr:colOff>
      <xdr:row>52</xdr:row>
      <xdr:rowOff>0</xdr:rowOff>
    </xdr:from>
    <xdr:to>
      <xdr:col>34</xdr:col>
      <xdr:colOff>101600</xdr:colOff>
      <xdr:row>53</xdr:row>
      <xdr:rowOff>12700</xdr:rowOff>
    </xdr:to>
    <xdr:sp macro="" textlink="" fLocksText="0">
      <xdr:nvSpPr>
        <xdr:cNvPr id="29" name="四角形: 角を丸くする 294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8534400" y="10020300"/>
          <a:ext cx="638175" cy="2000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41</xdr:col>
      <xdr:colOff>0</xdr:colOff>
      <xdr:row>56</xdr:row>
      <xdr:rowOff>0</xdr:rowOff>
    </xdr:from>
    <xdr:to>
      <xdr:col>61</xdr:col>
      <xdr:colOff>0</xdr:colOff>
      <xdr:row>60</xdr:row>
      <xdr:rowOff>0</xdr:rowOff>
    </xdr:to>
    <xdr:sp macro="" textlink="" fLocksText="0">
      <xdr:nvSpPr>
        <xdr:cNvPr id="30" name="吹き出し: 線 22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934700" y="10782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他の機能部門への連携</a:t>
          </a:r>
        </a:p>
      </xdr:txBody>
    </xdr:sp>
    <xdr:clientData/>
  </xdr:twoCellAnchor>
  <xdr:twoCellAnchor>
    <xdr:from>
      <xdr:col>32</xdr:col>
      <xdr:colOff>0</xdr:colOff>
      <xdr:row>56</xdr:row>
      <xdr:rowOff>0</xdr:rowOff>
    </xdr:from>
    <xdr:to>
      <xdr:col>38</xdr:col>
      <xdr:colOff>450</xdr:colOff>
      <xdr:row>60</xdr:row>
      <xdr:rowOff>1200</xdr:rowOff>
    </xdr:to>
    <xdr:sp macro="" textlink="" fLocksText="0">
      <xdr:nvSpPr>
        <xdr:cNvPr id="31" name="四角形: 角を丸くする 21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8534400" y="10782300"/>
          <a:ext cx="1600200" cy="7620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762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124</xdr:row>
      <xdr:rowOff>190498</xdr:rowOff>
    </xdr:from>
    <xdr:to>
      <xdr:col>60</xdr:col>
      <xdr:colOff>238123</xdr:colOff>
      <xdr:row>161</xdr:row>
      <xdr:rowOff>27214</xdr:rowOff>
    </xdr:to>
    <xdr:sp macro="" textlink="" fLocksText="0">
      <xdr:nvSpPr>
        <xdr:cNvPr id="7" name="吹き出し: 線 2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0134600" y="23926800"/>
          <a:ext cx="6105525" cy="6886575"/>
        </a:xfrm>
        <a:prstGeom prst="borderCallout1">
          <a:avLst>
            <a:gd name="adj1" fmla="val 49735"/>
            <a:gd name="adj2" fmla="val 56"/>
            <a:gd name="adj3" fmla="val 10889"/>
            <a:gd name="adj4" fmla="val -14058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SC7102_レジ種別追加画面を表示する。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初期表示：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・[レジ種別リスト]: 以下を含むりストのデータとヘッダーを表示する。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[No] 、[</a:t>
          </a: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レジ種別]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(無効、データのみ表示)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</a:t>
          </a: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削除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]、[</a:t>
          </a: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編集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]、[</a:t>
          </a: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確定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]：無効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・(提案)[</a:t>
          </a:r>
          <a:r>
            <a:rPr lang="en-US" altLang="ja-JP" sz="1000" b="1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レジ種別]検索テキストボックス: ブランク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画面のロジック：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・[レジ種別リスト]: データがない場合、ヘッダーのみを表示する。100件を超えた場合、「検索結果が100件を超えたため、最初の100件を表示しています。」というメッセージとともに最初の100件を表示する。(メッセージがリストの右上に赤色で表示される)。 追加又は編集の場合,[</a:t>
          </a: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レジ種別]を有効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にしてデータ入力可能。</a:t>
          </a: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(提案：0~64文字の範囲で入力可能、入力必須。編集又は新規追加の場合、フォーカスアウト時にバリデーションチェックを行う。)。検索結果がない場合、「データが見つかりませんでした。 」を表示する。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・(提案)[</a:t>
          </a:r>
          <a:r>
            <a:rPr lang="en-US" altLang="ja-JP" sz="1000" b="1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レジ種別]</a:t>
          </a: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検索テキストボックス:</a:t>
          </a:r>
          <a:r>
            <a:rPr lang="en-US" altLang="ja-JP" sz="1000" b="1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</a:t>
          </a: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0~64文字の範囲で入力可能、フォーカスアウト時にバリデーションチェックを行う。データを入力しない場合、全て検索する。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・(提案)[</a:t>
          </a:r>
          <a:r>
            <a:rPr lang="en-US" altLang="ja-JP" sz="1000" b="1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検索</a:t>
          </a: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]ボタン:タッチすると、KN7103_レジ種別リスト取得機能を実行する。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</a:t>
          </a: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削除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ボタン：無効になる。リストのデータを選択した場合、有効になる。削除ボタンをタッチすると、KN7104_レジ種別削除機能を実行し、選択中のレコードを一時的に削除する。次の[No]を持つレコードは削除されたレコードの「No」の値を受け取る。(例：レコードNo2を削除すると、レコードNo3がレコードNo2になる)。削除されたレコードを赤い取り消し線で表示し、ボタンを再度タッチして削除を取り消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</a:t>
          </a: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編集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]ボタン：無効になる。リストのデータを選択した場合、有効になる。編集ボタンをタッチすると、 KN7105_レジ種別編集機能を実行し、選択されたレコードの[</a:t>
          </a: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レジ種別]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変更可能。編集されたレコードには、編集後のデータを赤色で表示する。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</a:t>
          </a: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新規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]ボタンをタッチすると、KN7106_レジ種別追加機能を実行し、自動採番レコードの追加可能、[</a:t>
          </a: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レジ種別]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入力可能。追加されたレコードのデータを赤色で表示する。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</a:t>
          </a: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確定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]ボタンをタッチすると、KN7106_レジ種別確定機能を実行し、DBに変更されたデータを保存する。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38</xdr:col>
      <xdr:colOff>0</xdr:colOff>
      <xdr:row>116</xdr:row>
      <xdr:rowOff>0</xdr:rowOff>
    </xdr:from>
    <xdr:to>
      <xdr:col>60</xdr:col>
      <xdr:colOff>238123</xdr:colOff>
      <xdr:row>119</xdr:row>
      <xdr:rowOff>0</xdr:rowOff>
    </xdr:to>
    <xdr:sp macro="" textlink="" fLocksText="0">
      <xdr:nvSpPr>
        <xdr:cNvPr id="207" name="吹き出し: 線 2">
          <a:extLst>
            <a:ext uri="{FF2B5EF4-FFF2-40B4-BE49-F238E27FC236}">
              <a16:creationId xmlns:a16="http://schemas.microsoft.com/office/drawing/2014/main" id="{00000000-0008-0000-0400-0000CF000000}"/>
            </a:ext>
          </a:extLst>
        </xdr:cNvPr>
        <xdr:cNvSpPr/>
      </xdr:nvSpPr>
      <xdr:spPr>
        <a:xfrm>
          <a:off x="10134600" y="22212300"/>
          <a:ext cx="6105525" cy="571500"/>
        </a:xfrm>
        <a:prstGeom prst="borderCallout1">
          <a:avLst>
            <a:gd name="adj1" fmla="val 49735"/>
            <a:gd name="adj2" fmla="val 56"/>
            <a:gd name="adj3" fmla="val 137732"/>
            <a:gd name="adj4" fmla="val -13236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SC7102_レジ種別追加画面を起動し、同時にレジ種別リストを取得してリスト表示する。(全て取得） アクセスする店舗選択不要。</a:t>
          </a:r>
        </a:p>
      </xdr:txBody>
    </xdr:sp>
    <xdr:clientData/>
  </xdr:twoCellAnchor>
  <xdr:twoCellAnchor>
    <xdr:from>
      <xdr:col>38</xdr:col>
      <xdr:colOff>0</xdr:colOff>
      <xdr:row>35</xdr:row>
      <xdr:rowOff>100853</xdr:rowOff>
    </xdr:from>
    <xdr:to>
      <xdr:col>61</xdr:col>
      <xdr:colOff>0</xdr:colOff>
      <xdr:row>40</xdr:row>
      <xdr:rowOff>33617</xdr:rowOff>
    </xdr:to>
    <xdr:sp macro="" textlink="" fLocksText="0">
      <xdr:nvSpPr>
        <xdr:cNvPr id="46" name="吹き出し: 線 2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10134600" y="6886575"/>
          <a:ext cx="6134100" cy="885825"/>
        </a:xfrm>
        <a:prstGeom prst="borderCallout1">
          <a:avLst>
            <a:gd name="adj1" fmla="val 49730"/>
            <a:gd name="adj2" fmla="val 242"/>
            <a:gd name="adj3" fmla="val 38765"/>
            <a:gd name="adj4" fmla="val -13650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eaLnBrk="1" fontAlgn="auto" latinLnBrk="0" hangingPunct="1"/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検索エリアの項目のセレクトボックスデータを取得する :</a:t>
          </a:r>
        </a:p>
        <a:p>
          <a:pPr eaLnBrk="1" fontAlgn="auto" latinLnBrk="0" hangingPunct="1"/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[レジ種別]、[プリセットレイアウト]、[ファンクションレイアウト]、[キーボートレイアウト]、[レシートメッセージ]、[</a:t>
          </a: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ノード種別</a:t>
          </a: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 ([参照]シートをご参照ください。)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38</xdr:col>
      <xdr:colOff>0</xdr:colOff>
      <xdr:row>29</xdr:row>
      <xdr:rowOff>0</xdr:rowOff>
    </xdr:from>
    <xdr:to>
      <xdr:col>61</xdr:col>
      <xdr:colOff>0</xdr:colOff>
      <xdr:row>31</xdr:row>
      <xdr:rowOff>11206</xdr:rowOff>
    </xdr:to>
    <xdr:sp macro="" textlink="" fLocksText="0">
      <xdr:nvSpPr>
        <xdr:cNvPr id="158" name="吹き出し: 線 2">
          <a:extLst>
            <a:ext uri="{FF2B5EF4-FFF2-40B4-BE49-F238E27FC236}">
              <a16:creationId xmlns:a16="http://schemas.microsoft.com/office/drawing/2014/main" id="{00000000-0008-0000-0400-00009E000000}"/>
            </a:ext>
          </a:extLst>
        </xdr:cNvPr>
        <xdr:cNvSpPr/>
      </xdr:nvSpPr>
      <xdr:spPr>
        <a:xfrm>
          <a:off x="10134600" y="5638800"/>
          <a:ext cx="6134100" cy="390525"/>
        </a:xfrm>
        <a:prstGeom prst="borderCallout1">
          <a:avLst>
            <a:gd name="adj1" fmla="val 49730"/>
            <a:gd name="adj2" fmla="val 242"/>
            <a:gd name="adj3" fmla="val 107336"/>
            <a:gd name="adj4" fmla="val -13650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00_共通のフローをご参照ください。</a:t>
          </a:r>
          <a:endParaRPr lang="vi-VN" altLang="ja-JP" sz="1000" b="0" i="0" u="none" baseline="0">
            <a:solidFill>
              <a:srgbClr val="FF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38</xdr:col>
      <xdr:colOff>2</xdr:colOff>
      <xdr:row>103</xdr:row>
      <xdr:rowOff>134470</xdr:rowOff>
    </xdr:from>
    <xdr:to>
      <xdr:col>61</xdr:col>
      <xdr:colOff>0</xdr:colOff>
      <xdr:row>109</xdr:row>
      <xdr:rowOff>0</xdr:rowOff>
    </xdr:to>
    <xdr:sp macro="" textlink="" fLocksText="0">
      <xdr:nvSpPr>
        <xdr:cNvPr id="271" name="吹き出し: 線 2">
          <a:extLst>
            <a:ext uri="{FF2B5EF4-FFF2-40B4-BE49-F238E27FC236}">
              <a16:creationId xmlns:a16="http://schemas.microsoft.com/office/drawing/2014/main" id="{00000000-0008-0000-0400-00000F010000}"/>
            </a:ext>
          </a:extLst>
        </xdr:cNvPr>
        <xdr:cNvSpPr/>
      </xdr:nvSpPr>
      <xdr:spPr>
        <a:xfrm>
          <a:off x="10134600" y="19869150"/>
          <a:ext cx="6134100" cy="1009650"/>
        </a:xfrm>
        <a:prstGeom prst="borderCallout1">
          <a:avLst>
            <a:gd name="adj1" fmla="val 49735"/>
            <a:gd name="adj2" fmla="val 56"/>
            <a:gd name="adj3" fmla="val -839596"/>
            <a:gd name="adj4" fmla="val -13783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を入力しない場合、全て検索する。100件を超えた場合、「検索結果が100件を超えたため、最初の100件を表示しています。」というメッセージとともに最初の100件を表示する。(メッセージがリストの右上に赤色で表示される)。検索結果がない場合、「データが見つかりませんでした。」を表示する。</a:t>
          </a:r>
          <a:endParaRPr lang="en-US" altLang="ja-JP" sz="1000" b="0" i="0" u="none" baseline="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38</xdr:col>
      <xdr:colOff>11206</xdr:colOff>
      <xdr:row>211</xdr:row>
      <xdr:rowOff>156883</xdr:rowOff>
    </xdr:from>
    <xdr:to>
      <xdr:col>61</xdr:col>
      <xdr:colOff>11206</xdr:colOff>
      <xdr:row>215</xdr:row>
      <xdr:rowOff>176892</xdr:rowOff>
    </xdr:to>
    <xdr:sp macro="" textlink="" fLocksText="0">
      <xdr:nvSpPr>
        <xdr:cNvPr id="424" name="吹き出し: 線 2">
          <a:extLst>
            <a:ext uri="{FF2B5EF4-FFF2-40B4-BE49-F238E27FC236}">
              <a16:creationId xmlns:a16="http://schemas.microsoft.com/office/drawing/2014/main" id="{00000000-0008-0000-0400-0000A8010000}"/>
            </a:ext>
          </a:extLst>
        </xdr:cNvPr>
        <xdr:cNvSpPr/>
      </xdr:nvSpPr>
      <xdr:spPr>
        <a:xfrm>
          <a:off x="10144125" y="40462200"/>
          <a:ext cx="6134100" cy="790575"/>
        </a:xfrm>
        <a:prstGeom prst="borderCallout1">
          <a:avLst>
            <a:gd name="adj1" fmla="val 48210"/>
            <a:gd name="adj2" fmla="val 884"/>
            <a:gd name="adj3" fmla="val 91464"/>
            <a:gd name="adj4" fmla="val -9717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endParaRPr lang="en-US" altLang="ja-JP" sz="1000" b="0" i="0" u="none" baseline="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>
              <a:latin typeface="Meiryo UI" panose="020B0604030504040204" pitchFamily="34" charset="-128"/>
              <a:ea typeface="Meiryo UI" panose="020B0604030504040204" pitchFamily="34" charset="-128"/>
            </a:rPr>
            <a:t>
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レコードを選択せず、編集ボタンをタッチした場合、「明細行が選択されていません」エラーモダールを表示する。</a:t>
          </a:r>
        </a:p>
      </xdr:txBody>
    </xdr:sp>
    <xdr:clientData/>
  </xdr:twoCellAnchor>
  <xdr:twoCellAnchor>
    <xdr:from>
      <xdr:col>37</xdr:col>
      <xdr:colOff>235322</xdr:colOff>
      <xdr:row>201</xdr:row>
      <xdr:rowOff>0</xdr:rowOff>
    </xdr:from>
    <xdr:to>
      <xdr:col>61</xdr:col>
      <xdr:colOff>0</xdr:colOff>
      <xdr:row>206</xdr:row>
      <xdr:rowOff>0</xdr:rowOff>
    </xdr:to>
    <xdr:sp macro="" textlink="" fLocksText="0">
      <xdr:nvSpPr>
        <xdr:cNvPr id="549" name="吹き出し: 線 2">
          <a:extLst>
            <a:ext uri="{FF2B5EF4-FFF2-40B4-BE49-F238E27FC236}">
              <a16:creationId xmlns:a16="http://schemas.microsoft.com/office/drawing/2014/main" id="{00000000-0008-0000-0400-000025020000}"/>
            </a:ext>
          </a:extLst>
        </xdr:cNvPr>
        <xdr:cNvSpPr/>
      </xdr:nvSpPr>
      <xdr:spPr>
        <a:xfrm>
          <a:off x="10106025" y="38404800"/>
          <a:ext cx="6162675" cy="952500"/>
        </a:xfrm>
        <a:prstGeom prst="borderCallout1">
          <a:avLst>
            <a:gd name="adj1" fmla="val 48210"/>
            <a:gd name="adj2" fmla="val 884"/>
            <a:gd name="adj3" fmla="val 54908"/>
            <a:gd name="adj4" fmla="val -13216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画面に表示されているノードマスタ設定データリストを含むcsvファイルを出力する。データがない場合、ヘッダーを表示する。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ファイル名提案: ListNodeMasterSetting_yyyymmddhhmmssfff（yyyymmddhhmmssfff：ファイルを出力した日付、時刻、分、秒）</a:t>
          </a:r>
        </a:p>
      </xdr:txBody>
    </xdr:sp>
    <xdr:clientData/>
  </xdr:twoCellAnchor>
  <xdr:twoCellAnchor>
    <xdr:from>
      <xdr:col>38</xdr:col>
      <xdr:colOff>0</xdr:colOff>
      <xdr:row>322</xdr:row>
      <xdr:rowOff>0</xdr:rowOff>
    </xdr:from>
    <xdr:to>
      <xdr:col>61</xdr:col>
      <xdr:colOff>0</xdr:colOff>
      <xdr:row>323</xdr:row>
      <xdr:rowOff>78442</xdr:rowOff>
    </xdr:to>
    <xdr:sp macro="" textlink="" fLocksText="0">
      <xdr:nvSpPr>
        <xdr:cNvPr id="508" name="吹き出し: 線 2">
          <a:extLst>
            <a:ext uri="{FF2B5EF4-FFF2-40B4-BE49-F238E27FC236}">
              <a16:creationId xmlns:a16="http://schemas.microsoft.com/office/drawing/2014/main" id="{00000000-0008-0000-0400-0000FC010000}"/>
            </a:ext>
          </a:extLst>
        </xdr:cNvPr>
        <xdr:cNvSpPr/>
      </xdr:nvSpPr>
      <xdr:spPr>
        <a:xfrm>
          <a:off x="10134600" y="61455300"/>
          <a:ext cx="6134100" cy="266700"/>
        </a:xfrm>
        <a:prstGeom prst="borderCallout1">
          <a:avLst>
            <a:gd name="adj1" fmla="val 48210"/>
            <a:gd name="adj2" fmla="val 884"/>
            <a:gd name="adj3" fmla="val 308494"/>
            <a:gd name="adj4" fmla="val -13548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ノードマスタ設定の変更データをDBに保存する。</a:t>
          </a:r>
        </a:p>
      </xdr:txBody>
    </xdr:sp>
    <xdr:clientData/>
  </xdr:twoCellAnchor>
  <xdr:twoCellAnchor>
    <xdr:from>
      <xdr:col>38</xdr:col>
      <xdr:colOff>0</xdr:colOff>
      <xdr:row>266</xdr:row>
      <xdr:rowOff>0</xdr:rowOff>
    </xdr:from>
    <xdr:to>
      <xdr:col>61</xdr:col>
      <xdr:colOff>0</xdr:colOff>
      <xdr:row>287</xdr:row>
      <xdr:rowOff>0</xdr:rowOff>
    </xdr:to>
    <xdr:sp macro="" textlink="" fLocksText="0">
      <xdr:nvSpPr>
        <xdr:cNvPr id="426" name="吹き出し: 線 2">
          <a:extLst>
            <a:ext uri="{FF2B5EF4-FFF2-40B4-BE49-F238E27FC236}">
              <a16:creationId xmlns:a16="http://schemas.microsoft.com/office/drawing/2014/main" id="{00000000-0008-0000-0400-0000AA010000}"/>
            </a:ext>
          </a:extLst>
        </xdr:cNvPr>
        <xdr:cNvSpPr/>
      </xdr:nvSpPr>
      <xdr:spPr>
        <a:xfrm>
          <a:off x="10134600" y="50787300"/>
          <a:ext cx="6134100" cy="4000500"/>
        </a:xfrm>
        <a:prstGeom prst="borderCallout1">
          <a:avLst>
            <a:gd name="adj1" fmla="val 48210"/>
            <a:gd name="adj2" fmla="val 884"/>
            <a:gd name="adj3" fmla="val 19830"/>
            <a:gd name="adj4" fmla="val -13320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初期化：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・*項目は入力必須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</a:t>
          </a: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更新日], [更新者]: 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表示のみで入力不可。現在の日時とログインユーザーを取得する。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・ドロップダウンリストの項目：</a:t>
          </a: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[店舗]、[レジ種別]、[ノード種別]、[キーボードレイアウト]、[プリセットレイアウト]、[ファンクションレイアウト]、[レシートメッセージ] </a:t>
          </a:r>
          <a:r>
            <a:rPr lang="ja-JP" altLang="en-US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、</a:t>
          </a: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[</a:t>
          </a:r>
          <a:r>
            <a:rPr lang="en-US" altLang="ja-JP" sz="1000" b="1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支払い種別</a:t>
          </a: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</a:t>
          </a:r>
          <a:r>
            <a:rPr lang="ja-JP" altLang="en-US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項目のデータは[参照]シートをご参照ください。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・チェックボックスの項目：</a:t>
          </a:r>
          <a:r>
            <a:rPr lang="en-US" altLang="ja-JP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[朝割除外]、[メガ割除外]、[客数集計除外]。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・他の項目：</a:t>
          </a:r>
          <a:r>
            <a:rPr lang="en-US" altLang="ja-JP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[レジ番号]、[IPアドレス]、[MACアドレス]、[起動時間]、[備考1]、[備考2]</a:t>
          </a:r>
          <a:r>
            <a:rPr lang="en-US" altLang="ja-JP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、[備考3]、[POS機種]、[釣銭機機種</a:t>
          </a:r>
          <a:r>
            <a:rPr lang="en-US" altLang="ja-JP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]、</a:t>
          </a:r>
          <a:r>
            <a:rPr lang="en-US" altLang="ja-JP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[スキャン機種]。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>
              <a:latin typeface="Meiryo UI" panose="020B0604030504040204" pitchFamily="34" charset="-128"/>
              <a:ea typeface="Meiryo UI" panose="020B0604030504040204" pitchFamily="34" charset="-128"/>
            </a:rPr>
            <a:t>
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</a:t>
          </a:r>
          <a:r>
            <a:rPr lang="en-US" altLang="ja-JP" sz="1000" b="1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閉じる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]ボタンをタッチすると、モダールを閉じてSC7101_ノードマスタ設定画面を表示する。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・[確定]ボタンをタッチすると、KN7105_入力項目のバリデーションチェック機能を行う。 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38</xdr:col>
      <xdr:colOff>0</xdr:colOff>
      <xdr:row>288</xdr:row>
      <xdr:rowOff>0</xdr:rowOff>
    </xdr:from>
    <xdr:to>
      <xdr:col>61</xdr:col>
      <xdr:colOff>0</xdr:colOff>
      <xdr:row>295</xdr:row>
      <xdr:rowOff>0</xdr:rowOff>
    </xdr:to>
    <xdr:sp macro="" textlink="" fLocksText="0">
      <xdr:nvSpPr>
        <xdr:cNvPr id="427" name="吹き出し: 線 2">
          <a:extLst>
            <a:ext uri="{FF2B5EF4-FFF2-40B4-BE49-F238E27FC236}">
              <a16:creationId xmlns:a16="http://schemas.microsoft.com/office/drawing/2014/main" id="{00000000-0008-0000-0400-0000AB010000}"/>
            </a:ext>
          </a:extLst>
        </xdr:cNvPr>
        <xdr:cNvSpPr/>
      </xdr:nvSpPr>
      <xdr:spPr>
        <a:xfrm>
          <a:off x="10134600" y="54978300"/>
          <a:ext cx="6134100" cy="1333500"/>
        </a:xfrm>
        <a:prstGeom prst="borderCallout1">
          <a:avLst>
            <a:gd name="adj1" fmla="val 48210"/>
            <a:gd name="adj2" fmla="val 884"/>
            <a:gd name="adj3" fmla="val -54268"/>
            <a:gd name="adj4" fmla="val -953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eaLnBrk="1" fontAlgn="auto" latinLnBrk="0" hangingPunct="1"/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・入力必須項目は以下を含む。</a:t>
          </a: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[レジ種別],[ノード種別], [キーボードレイアウト], [プリセットレイアウト], [ファンクションレイアウト] ,[店舗], [レジ番号]</a:t>
          </a: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(0~4)</a:t>
          </a: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sz="1000" b="0" i="0" baseline="0">
              <a:solidFill>
                <a:schemeClr val="tx1">
                  <a:lumMod val="95000"/>
                  <a:lumOff val="5000"/>
                </a:schemeClr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・[IPアドレス]、 [MACアドレス]は</a:t>
          </a: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Ip, macの形式で入力する必要がある。</a:t>
          </a:r>
        </a:p>
      </xdr:txBody>
    </xdr:sp>
    <xdr:clientData/>
  </xdr:twoCellAnchor>
  <xdr:twoCellAnchor>
    <xdr:from>
      <xdr:col>38</xdr:col>
      <xdr:colOff>0</xdr:colOff>
      <xdr:row>222</xdr:row>
      <xdr:rowOff>0</xdr:rowOff>
    </xdr:from>
    <xdr:to>
      <xdr:col>61</xdr:col>
      <xdr:colOff>0</xdr:colOff>
      <xdr:row>243</xdr:row>
      <xdr:rowOff>0</xdr:rowOff>
    </xdr:to>
    <xdr:sp macro="" textlink="" fLocksText="0">
      <xdr:nvSpPr>
        <xdr:cNvPr id="423" name="吹き出し: 線 2">
          <a:extLst>
            <a:ext uri="{FF2B5EF4-FFF2-40B4-BE49-F238E27FC236}">
              <a16:creationId xmlns:a16="http://schemas.microsoft.com/office/drawing/2014/main" id="{00000000-0008-0000-0400-0000A7010000}"/>
            </a:ext>
          </a:extLst>
        </xdr:cNvPr>
        <xdr:cNvSpPr/>
      </xdr:nvSpPr>
      <xdr:spPr>
        <a:xfrm>
          <a:off x="10134600" y="42405300"/>
          <a:ext cx="6134100" cy="4000500"/>
        </a:xfrm>
        <a:prstGeom prst="borderCallout1">
          <a:avLst>
            <a:gd name="adj1" fmla="val 73907"/>
            <a:gd name="adj2" fmla="val -358"/>
            <a:gd name="adj3" fmla="val 29836"/>
            <a:gd name="adj4" fmla="val -13444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初期化：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*項目は入力必須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</a:t>
          </a: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更新日]、[更新者]: 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表示のみで入力不可。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</a:t>
          </a: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[店舗]、[レジ番号]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(0~4)</a:t>
          </a: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: 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無効、データのみ表示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・ドロップダウンリストの項目：</a:t>
          </a:r>
          <a:r>
            <a:rPr lang="en-US" altLang="ja-JP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[店舗]（無効）、[レジ種別]、[ノード種別]、[キーボードレイアウト]、[プリセットレイアウト] [ファンクションレイアウト]、[レシートメッセージ] </a:t>
          </a:r>
          <a:r>
            <a:rPr lang="en-US" altLang="ja-JP" sz="1000" b="1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[支払い種別]</a:t>
          </a:r>
          <a:r>
            <a:rPr lang="ja-JP" altLang="en-US" sz="1000" b="1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項目のデータは[参照]シートをご参照ください。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・チェックボックスの項目：</a:t>
          </a: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[朝割除外]、[メガ割除外],[客数集計除外]。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・他の項目：</a:t>
          </a:r>
          <a:r>
            <a:rPr lang="en-US" altLang="ja-JP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[レジ番号]、[IPアドレス]、[MACアドレス]、[起動時間]、[備考1]、[備考2]、[備考3]、[POS機種]、[釣銭機機種]、[スキャン機種]。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・[閉じる]ボタンをタッチすると、モダールを閉じてSC7101_ノードマスタ設定画面を表示する。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・[確定]ボタンをタッチすると、KN7105_入力項目のバリデーションチェック機能を行う。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38</xdr:col>
      <xdr:colOff>11206</xdr:colOff>
      <xdr:row>246</xdr:row>
      <xdr:rowOff>168088</xdr:rowOff>
    </xdr:from>
    <xdr:to>
      <xdr:col>61</xdr:col>
      <xdr:colOff>0</xdr:colOff>
      <xdr:row>252</xdr:row>
      <xdr:rowOff>168087</xdr:rowOff>
    </xdr:to>
    <xdr:sp macro="" textlink="" fLocksText="0">
      <xdr:nvSpPr>
        <xdr:cNvPr id="425" name="吹き出し: 線 2">
          <a:extLst>
            <a:ext uri="{FF2B5EF4-FFF2-40B4-BE49-F238E27FC236}">
              <a16:creationId xmlns:a16="http://schemas.microsoft.com/office/drawing/2014/main" id="{00000000-0008-0000-0400-0000A9010000}"/>
            </a:ext>
          </a:extLst>
        </xdr:cNvPr>
        <xdr:cNvSpPr/>
      </xdr:nvSpPr>
      <xdr:spPr>
        <a:xfrm>
          <a:off x="10144125" y="47148750"/>
          <a:ext cx="6124575" cy="1143000"/>
        </a:xfrm>
        <a:prstGeom prst="borderCallout1">
          <a:avLst>
            <a:gd name="adj1" fmla="val 48210"/>
            <a:gd name="adj2" fmla="val 884"/>
            <a:gd name="adj3" fmla="val -66637"/>
            <a:gd name="adj4" fmla="val -9924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eaLnBrk="1" fontAlgn="auto" latinLnBrk="0" hangingPunct="1"/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・入力必須項目は以下を含む。</a:t>
          </a:r>
        </a:p>
        <a:p>
          <a:pPr eaLnBrk="1" fontAlgn="auto" latinLnBrk="0" hangingPunct="1"/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[レジ種別],[ノード種別], [キーボードレイアウト], [プリセットレイアウト], [ファンクションレイアウト] 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sz="1000" b="0" i="0" baseline="0">
              <a:solidFill>
                <a:schemeClr val="tx1">
                  <a:lumMod val="95000"/>
                  <a:lumOff val="5000"/>
                </a:schemeClr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・[IPアドレス], [MACアドレス]は</a:t>
          </a: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Ip, macの形式で入力する必要がある。</a:t>
          </a:r>
        </a:p>
      </xdr:txBody>
    </xdr:sp>
    <xdr:clientData/>
  </xdr:twoCellAnchor>
  <xdr:twoCellAnchor>
    <xdr:from>
      <xdr:col>38</xdr:col>
      <xdr:colOff>0</xdr:colOff>
      <xdr:row>310</xdr:row>
      <xdr:rowOff>156881</xdr:rowOff>
    </xdr:from>
    <xdr:to>
      <xdr:col>61</xdr:col>
      <xdr:colOff>0</xdr:colOff>
      <xdr:row>312</xdr:row>
      <xdr:rowOff>67235</xdr:rowOff>
    </xdr:to>
    <xdr:sp macro="" textlink="" fLocksText="0">
      <xdr:nvSpPr>
        <xdr:cNvPr id="455" name="吹き出し: 線 2">
          <a:extLst>
            <a:ext uri="{FF2B5EF4-FFF2-40B4-BE49-F238E27FC236}">
              <a16:creationId xmlns:a16="http://schemas.microsoft.com/office/drawing/2014/main" id="{00000000-0008-0000-0400-0000C7010000}"/>
            </a:ext>
          </a:extLst>
        </xdr:cNvPr>
        <xdr:cNvSpPr/>
      </xdr:nvSpPr>
      <xdr:spPr>
        <a:xfrm>
          <a:off x="10134600" y="59321700"/>
          <a:ext cx="6134100" cy="295275"/>
        </a:xfrm>
        <a:prstGeom prst="borderCallout1">
          <a:avLst>
            <a:gd name="adj1" fmla="val 48210"/>
            <a:gd name="adj2" fmla="val 884"/>
            <a:gd name="adj3" fmla="val 7300"/>
            <a:gd name="adj4" fmla="val -13692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・UI上で選択されたレコードを削除する。</a:t>
          </a:r>
          <a:endParaRPr lang="en-US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38</xdr:col>
      <xdr:colOff>11206</xdr:colOff>
      <xdr:row>300</xdr:row>
      <xdr:rowOff>156884</xdr:rowOff>
    </xdr:from>
    <xdr:to>
      <xdr:col>61</xdr:col>
      <xdr:colOff>11206</xdr:colOff>
      <xdr:row>304</xdr:row>
      <xdr:rowOff>168090</xdr:rowOff>
    </xdr:to>
    <xdr:sp macro="" textlink="" fLocksText="0">
      <xdr:nvSpPr>
        <xdr:cNvPr id="456" name="吹き出し: 線 2">
          <a:extLst>
            <a:ext uri="{FF2B5EF4-FFF2-40B4-BE49-F238E27FC236}">
              <a16:creationId xmlns:a16="http://schemas.microsoft.com/office/drawing/2014/main" id="{00000000-0008-0000-0400-0000C8010000}"/>
            </a:ext>
          </a:extLst>
        </xdr:cNvPr>
        <xdr:cNvSpPr/>
      </xdr:nvSpPr>
      <xdr:spPr>
        <a:xfrm>
          <a:off x="10144125" y="57416700"/>
          <a:ext cx="6134100" cy="781050"/>
        </a:xfrm>
        <a:prstGeom prst="borderCallout1">
          <a:avLst>
            <a:gd name="adj1" fmla="val 48210"/>
            <a:gd name="adj2" fmla="val 884"/>
            <a:gd name="adj3" fmla="val 152334"/>
            <a:gd name="adj4" fmla="val -10131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>
              <a:latin typeface="Meiryo UI" panose="020B0604030504040204" pitchFamily="34" charset="-128"/>
              <a:ea typeface="Meiryo UI" panose="020B0604030504040204" pitchFamily="34" charset="-128"/>
            </a:rPr>
            <a:t>
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レコードを選択せず、削除ボタンをタッチした場合、「明細行が選択されていません」エラーモダールを表示する。</a:t>
          </a:r>
        </a:p>
      </xdr:txBody>
    </xdr:sp>
    <xdr:clientData/>
  </xdr:twoCellAnchor>
  <xdr:twoCellAnchor>
    <xdr:from>
      <xdr:col>38</xdr:col>
      <xdr:colOff>0</xdr:colOff>
      <xdr:row>170</xdr:row>
      <xdr:rowOff>190499</xdr:rowOff>
    </xdr:from>
    <xdr:to>
      <xdr:col>61</xdr:col>
      <xdr:colOff>0</xdr:colOff>
      <xdr:row>196</xdr:row>
      <xdr:rowOff>27214</xdr:rowOff>
    </xdr:to>
    <xdr:sp macro="" textlink="" fLocksText="0">
      <xdr:nvSpPr>
        <xdr:cNvPr id="556" name="吹き出し: 線 2">
          <a:extLst>
            <a:ext uri="{FF2B5EF4-FFF2-40B4-BE49-F238E27FC236}">
              <a16:creationId xmlns:a16="http://schemas.microsoft.com/office/drawing/2014/main" id="{00000000-0008-0000-0400-00002C020000}"/>
            </a:ext>
          </a:extLst>
        </xdr:cNvPr>
        <xdr:cNvSpPr/>
      </xdr:nvSpPr>
      <xdr:spPr>
        <a:xfrm>
          <a:off x="10134600" y="32689800"/>
          <a:ext cx="6134100" cy="4791075"/>
        </a:xfrm>
        <a:prstGeom prst="borderCallout1">
          <a:avLst>
            <a:gd name="adj1" fmla="val 48210"/>
            <a:gd name="adj2" fmla="val 884"/>
            <a:gd name="adj3" fmla="val 25134"/>
            <a:gd name="adj4" fmla="val -13196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取込されたCSVファイルからデータのバリデーションチェックを行う。</a:t>
          </a:r>
        </a:p>
        <a:p>
          <a:pPr>
            <a:defRPr lang="en-US" sz="1000" b="0" i="0" baseline="0">
              <a:solidFill>
                <a:schemeClr val="tx1">
                  <a:lumMod val="95000"/>
                  <a:lumOff val="5000"/>
                </a:schemeClr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・csvの形式が正しいこと。</a:t>
          </a:r>
        </a:p>
        <a:p>
          <a:pPr>
            <a:defRPr lang="en-US" sz="1000" b="0" i="0" baseline="0">
              <a:solidFill>
                <a:schemeClr val="tx1">
                  <a:lumMod val="95000"/>
                  <a:lumOff val="5000"/>
                </a:schemeClr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・入力必須項目は以下を含む。</a:t>
          </a: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[店舗], [レジ番号]</a:t>
          </a: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(0~4)]</a:t>
          </a: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,[レジ種別],[ノード種別], [キーボードレイアウト], [プリセットレイアウト], [ファンクションレイアウト] </a:t>
          </a:r>
        </a:p>
        <a:p>
          <a:pPr>
            <a:defRPr lang="en-US" sz="1000" b="0" i="0" baseline="0">
              <a:solidFill>
                <a:schemeClr val="tx1">
                  <a:lumMod val="95000"/>
                  <a:lumOff val="5000"/>
                </a:schemeClr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・存在チェック項目：</a:t>
          </a:r>
          <a:r>
            <a:rPr lang="en-US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[店舗]、[レジ種別]、[ノード種別]、[キーボードレイアウト]、[プリセットレイアウト]、[ファンクションレイアウト]、[レシートメッセージ] </a:t>
          </a:r>
          <a:r>
            <a:rPr lang="en-US" sz="1000" b="1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[支払い種別] </a:t>
          </a:r>
          <a:r>
            <a:rPr lang="ja-JP" altLang="en-US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項目のデータは「参照」シートをご参照ください。 </a:t>
          </a:r>
        </a:p>
        <a:p>
          <a:pPr>
            <a:defRPr lang="en-US" sz="1000" b="0" i="0" baseline="0">
              <a:solidFill>
                <a:schemeClr val="tx1">
                  <a:lumMod val="95000"/>
                  <a:lumOff val="5000"/>
                </a:schemeClr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・他の項目：</a:t>
          </a:r>
          <a:r>
            <a:rPr lang="en-US" sz="11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[IPアドレス], [MACアドレス] ,[起動時間],[更新日],[更新者],</a:t>
          </a: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[朝割除外],[メガ割除外],[客数集計除外],[備考1],[備考2],[備考3],[POS機種],[釣銭機機種],[スキャン機種]</a:t>
          </a:r>
        </a:p>
        <a:p>
          <a:pPr>
            <a:defRPr lang="en-US" sz="1000" b="0" i="0" baseline="0">
              <a:solidFill>
                <a:schemeClr val="tx1">
                  <a:lumMod val="95000"/>
                  <a:lumOff val="5000"/>
                </a:schemeClr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・[IPアドレス], [MACアドレス]は</a:t>
          </a: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Ip, macの形式で入力する必要がある。</a:t>
          </a:r>
        </a:p>
        <a:p>
          <a:pPr>
            <a:defRPr lang="en-US" sz="1000" b="0" i="0" baseline="0">
              <a:solidFill>
                <a:schemeClr val="tx1">
                  <a:lumMod val="95000"/>
                  <a:lumOff val="5000"/>
                </a:schemeClr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ノードマスタ設定データリストを含むcsvファイルを取り込む。値が重複している場合、SC7101_レジマスタ情報画面に存在している</a:t>
          </a: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[店舗], [レジ番号]</a:t>
          </a: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(0~4)]</a:t>
          </a: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</a:t>
          </a: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を更新し、残りが新規取込とみなされる。</a:t>
          </a:r>
        </a:p>
      </xdr:txBody>
    </xdr:sp>
    <xdr:clientData/>
  </xdr:twoCellAnchor>
  <xdr:twoCellAnchor>
    <xdr:from>
      <xdr:col>38</xdr:col>
      <xdr:colOff>1</xdr:colOff>
      <xdr:row>40</xdr:row>
      <xdr:rowOff>179293</xdr:rowOff>
    </xdr:from>
    <xdr:to>
      <xdr:col>61</xdr:col>
      <xdr:colOff>0</xdr:colOff>
      <xdr:row>103</xdr:row>
      <xdr:rowOff>0</xdr:rowOff>
    </xdr:to>
    <xdr:sp macro="" textlink="" fLocksText="0">
      <xdr:nvSpPr>
        <xdr:cNvPr id="162" name="吹き出し: 線 2">
          <a:extLst>
            <a:ext uri="{FF2B5EF4-FFF2-40B4-BE49-F238E27FC236}">
              <a16:creationId xmlns:a16="http://schemas.microsoft.com/office/drawing/2014/main" id="{00000000-0008-0000-0400-0000A2000000}"/>
            </a:ext>
          </a:extLst>
        </xdr:cNvPr>
        <xdr:cNvSpPr/>
      </xdr:nvSpPr>
      <xdr:spPr>
        <a:xfrm>
          <a:off x="10134600" y="7915275"/>
          <a:ext cx="6134100" cy="11820525"/>
        </a:xfrm>
        <a:prstGeom prst="borderCallout1">
          <a:avLst>
            <a:gd name="adj1" fmla="val 49735"/>
            <a:gd name="adj2" fmla="val 56"/>
            <a:gd name="adj3" fmla="val 5859"/>
            <a:gd name="adj4" fmla="val -13555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eaLnBrk="1" fontAlgn="auto" latinLnBrk="0" hangingPunct="1"/>
          <a:r>
            <a:rPr lang="en-US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初期表示：</a:t>
          </a:r>
          <a:endParaRPr lang="en-US" sz="10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sz="1000" b="1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共通検索エリアには画面により[</a:t>
          </a:r>
          <a:r>
            <a:rPr lang="en-US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検索条件</a:t>
          </a: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]を表示する。以下の項目を含む。</a:t>
          </a:r>
        </a:p>
        <a:p>
          <a:pPr>
            <a:defRPr lang="en-US" sz="1000" b="1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</a:t>
          </a:r>
          <a:r>
            <a:rPr lang="en-US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レジ番号</a:t>
          </a: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](0~15文字)：</a:t>
          </a:r>
        </a:p>
        <a:p>
          <a:pPr>
            <a:defRPr lang="en-US" sz="1000" b="1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型：テキストボックス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レジ番号で検索値を入力する。デフォルト：ブランク</a:t>
          </a:r>
        </a:p>
        <a:p>
          <a:pPr>
            <a:defRPr lang="en-US" sz="1000" b="1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</a:t>
          </a:r>
          <a:r>
            <a:rPr lang="en-US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レジ種別</a:t>
          </a: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]:</a:t>
          </a:r>
        </a:p>
        <a:p>
          <a:pPr>
            <a:defRPr lang="en-US" sz="1000" b="1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型：ドロップダウンリスト。レジ種別で検索値を選択する。デフォルト：ブランク</a:t>
          </a:r>
        </a:p>
        <a:p>
          <a:pPr>
            <a:defRPr lang="en-US" sz="1000" b="1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</a:t>
          </a:r>
          <a:r>
            <a:rPr lang="en-US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ノード種別</a:t>
          </a: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]: </a:t>
          </a:r>
        </a:p>
        <a:p>
          <a:pPr>
            <a:defRPr lang="en-US" sz="1000" b="1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型：ドロップダウンリスト。ノード種別で検索値を選択する。デフォルト：ブランク</a:t>
          </a:r>
        </a:p>
        <a:p>
          <a:pPr>
            <a:defRPr lang="en-US" sz="1000" b="1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</a:t>
          </a:r>
          <a:r>
            <a:rPr lang="en-US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プリセットレイアウト</a:t>
          </a: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]:</a:t>
          </a:r>
        </a:p>
        <a:p>
          <a:pPr>
            <a:defRPr lang="en-US" sz="1000" b="1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型：ドロップダウンリスト。プリセットレイアウトで検索値を選択する。デフォルト：ブランク</a:t>
          </a:r>
        </a:p>
        <a:p>
          <a:pPr>
            <a:defRPr lang="en-US" sz="1000" b="1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</a:t>
          </a:r>
          <a:r>
            <a:rPr lang="en-US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ファンクションレイアウト</a:t>
          </a: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]:</a:t>
          </a:r>
        </a:p>
        <a:p>
          <a:pPr>
            <a:defRPr lang="en-US" sz="1000" b="1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型：ドロップダウンリスト。ファンクションレイアウトで検索値を選択する。デフォルト：ブランク</a:t>
          </a:r>
        </a:p>
        <a:p>
          <a:pPr>
            <a:defRPr lang="en-US" sz="1000" b="1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</a:t>
          </a:r>
          <a:r>
            <a:rPr lang="en-US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キーボードレイアウト</a:t>
          </a: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]:</a:t>
          </a:r>
        </a:p>
        <a:p>
          <a:pPr>
            <a:defRPr lang="en-US" sz="1000" b="1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型：ドロップダウンリスト。キーボードレイアウトで検索値を選択する。デフォルト：ブランク</a:t>
          </a:r>
        </a:p>
        <a:p>
          <a:pPr>
            <a:defRPr lang="en-US" sz="1000" b="1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sz="1000" b="1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>
              <a:latin typeface="Meiryo UI" panose="020B0604030504040204" pitchFamily="34" charset="-128"/>
              <a:ea typeface="Meiryo UI" panose="020B0604030504040204" pitchFamily="34" charset="-128"/>
            </a:rPr>
            <a:t>
</a:t>
          </a: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ノードマスタリスト表示エリアには以下の項目が含まれている。</a:t>
          </a:r>
        </a:p>
        <a:p>
          <a:pPr>
            <a:defRPr lang="en-US" sz="1000" b="1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・以下を含む結果リスト:[</a:t>
          </a: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</a:t>
          </a: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],[</a:t>
          </a: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レジ番号</a:t>
          </a: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],[</a:t>
          </a: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レジ種別</a:t>
          </a: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],[</a:t>
          </a: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ノード種別</a:t>
          </a: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],[</a:t>
          </a: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プリセットレイアウト</a:t>
          </a: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],[</a:t>
          </a: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ファンクションレイアウト</a:t>
          </a: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],[</a:t>
          </a: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キーボードレイアウト</a:t>
          </a: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],[</a:t>
          </a: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レシートメッセージ</a:t>
          </a: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],[</a:t>
          </a: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IPアドレス</a:t>
          </a: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],[</a:t>
          </a: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MACアドレス</a:t>
          </a: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</a:t>
          </a:r>
        </a:p>
        <a:p>
          <a:pPr>
            <a:defRPr lang="en-US" sz="1000" b="1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</a:t>
          </a: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確定</a:t>
          </a: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],[</a:t>
          </a: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CSV出力</a:t>
          </a: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 , [</a:t>
          </a: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削除</a:t>
          </a: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]、[</a:t>
          </a: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編集</a:t>
          </a: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]ボタンが無効になり、他のボタンが有効になる。</a:t>
          </a:r>
        </a:p>
        <a:p>
          <a:pPr>
            <a:defRPr lang="en-US" sz="1000" b="1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画面のロジック:</a:t>
          </a:r>
        </a:p>
        <a:p>
          <a:pPr>
            <a:defRPr lang="en-US" sz="1000" b="1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共通検索エリアには画面により[</a:t>
          </a:r>
          <a:r>
            <a:rPr lang="en-US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検索条件</a:t>
          </a: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]を表示する。</a:t>
          </a:r>
        </a:p>
        <a:p>
          <a:pPr>
            <a:defRPr lang="en-US" sz="1000" b="1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・店舗IDを選択していない共通検索エリアの項目は全て無効になる。店舗IDを1つ以上選択して保存した場合のみ有効になる。</a:t>
          </a:r>
        </a:p>
        <a:p>
          <a:pPr>
            <a:defRPr lang="en-US" sz="1000" b="1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</a:t>
          </a:r>
          <a:r>
            <a:rPr lang="en-US" sz="1000" b="1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検索</a:t>
          </a:r>
          <a:r>
            <a:rPr lang="en-US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](提案):店舗条件でAPIからノードマスタ設定を取得する。SC7101_ノードマスタ設定画面に値一覧を表示する。検索すると、以前に変更されたデータをクリアする。</a:t>
          </a:r>
        </a:p>
        <a:p>
          <a:pPr>
            <a:defRPr lang="en-US" sz="1000" b="1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・以下の項目の値一覧をDBから取得する。</a:t>
          </a:r>
        </a:p>
        <a:p>
          <a:pPr>
            <a:defRPr lang="en-US" sz="1000" b="1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[レジ種別],[プリセットレイアウト],[ファンクションレイアウト],[キーボートレイアウト]、[</a:t>
          </a:r>
          <a:r>
            <a:rPr lang="en-US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ノード種別</a:t>
          </a: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 ([参照]シートをご参照ください。)</a:t>
          </a:r>
        </a:p>
        <a:p>
          <a:pPr>
            <a:defRPr lang="en-US" sz="1000" b="1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sz="1000" b="1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>
              <a:latin typeface="Meiryo UI" panose="020B0604030504040204" pitchFamily="34" charset="-128"/>
              <a:ea typeface="Meiryo UI" panose="020B0604030504040204" pitchFamily="34" charset="-128"/>
            </a:rPr>
            <a:t>
</a:t>
          </a: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ノードリストには以下のデータを表示する。[</a:t>
          </a: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</a:t>
          </a: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],[</a:t>
          </a: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レジ番号</a:t>
          </a: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],[</a:t>
          </a: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レジ種別</a:t>
          </a: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],[</a:t>
          </a: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ノード種別</a:t>
          </a: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],[</a:t>
          </a: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プリセットレイアウト</a:t>
          </a: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],[</a:t>
          </a: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ファンクションレイアウト</a:t>
          </a: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],[</a:t>
          </a: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キーボードレイアウト</a:t>
          </a: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],[</a:t>
          </a: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レシートメッセージ</a:t>
          </a: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],[</a:t>
          </a: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IPアドレス</a:t>
          </a: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],[</a:t>
          </a: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MACアドレス</a:t>
          </a: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</a:t>
          </a:r>
        </a:p>
        <a:p>
          <a:pPr>
            <a:defRPr lang="en-US" sz="1000" b="1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71.1.[</a:t>
          </a:r>
          <a:r>
            <a:rPr lang="en-US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レジ種別追加</a:t>
          </a: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]ボタンをタッチすると、レジ種別登録画面を表示する。 (KN7102機能で[</a:t>
          </a:r>
          <a:r>
            <a:rPr lang="en-US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レジ種別追加]画面を表示する。</a:t>
          </a: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Q&amp;A中：新規画面となる認識ですがご確認お願い致します )</a:t>
          </a:r>
        </a:p>
        <a:p>
          <a:pPr>
            <a:defRPr lang="en-US" sz="1000" b="1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71.2 [</a:t>
          </a:r>
          <a:r>
            <a:rPr lang="en-US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CSV取込</a:t>
          </a: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]ボタンをタッチすると、KN7103_csv取込機能を実行する。 </a:t>
          </a:r>
        </a:p>
        <a:p>
          <a:pPr>
            <a:defRPr lang="en-US" sz="1000" b="1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71.3 [</a:t>
          </a:r>
          <a:r>
            <a:rPr lang="en-US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CSV出力</a:t>
          </a: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]ボタンをタッチすると、KN7104_CSV出力機能を実行する。 </a:t>
          </a:r>
        </a:p>
        <a:p>
          <a:pPr>
            <a:defRPr lang="en-US" sz="1000" b="1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71.4 [削除]ボタンをタッチすると、一覧画面で選択したレコードを一時削除機能を実行する。(ノードマスタ設定リストに値がない場合は無効になる)。一時的に削除されたレコードには赤い取り消し線を表示し、削除ボタンを再度タッチすると、一時削除を取り消す。リストにデータがある場合、有効になる。</a:t>
          </a:r>
        </a:p>
        <a:p>
          <a:pPr>
            <a:defRPr lang="en-US" sz="1000" b="1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71.5 </a:t>
          </a:r>
          <a:r>
            <a:rPr lang="en-US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[編集]</a:t>
          </a: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ボタンをタッチすると、一覧画面で選択されているレコードに従ってMD7102_ノードマスタ設定編集モーダルを表示する。[旧データ]、[新データ]を含む編集データは一覧に表示する。 [新データ]を赤色で表示する。リストにデータがある場合は有効になる。</a:t>
          </a:r>
        </a:p>
        <a:p>
          <a:pPr>
            <a:defRPr lang="en-US" sz="1000" b="1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71.6 [</a:t>
          </a:r>
          <a:r>
            <a:rPr lang="en-US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新規</a:t>
          </a: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]ボタンをタッチすると、MD7103_ノードマスタ設定追加モダールを表示する。追加されたレコードのデータを赤色で表示する。</a:t>
          </a:r>
        </a:p>
        <a:p>
          <a:pPr>
            <a:defRPr lang="en-US" sz="1000" b="1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71.7[</a:t>
          </a:r>
          <a:r>
            <a:rPr lang="en-US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確定</a:t>
          </a: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]ボタンをタッチすると、設定保存機能を実行する。(KN7107_ノードマスタ設定保存)。リストにデータがある場合は有効になる。</a:t>
          </a:r>
        </a:p>
        <a:p>
          <a:pPr>
            <a:defRPr lang="en-US" sz="1000" b="1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ノードマスタ設定リストに値がない場合、項目71.4、71.5、71.7が無効になる。</a:t>
          </a:r>
        </a:p>
        <a:p>
          <a:pPr>
            <a:defRPr lang="en-US" sz="1000" b="1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8</xdr:row>
      <xdr:rowOff>0</xdr:rowOff>
    </xdr:from>
    <xdr:to>
      <xdr:col>8</xdr:col>
      <xdr:colOff>33632</xdr:colOff>
      <xdr:row>12</xdr:row>
      <xdr:rowOff>1200</xdr:rowOff>
    </xdr:to>
    <xdr:sp macro="" textlink="" fLocksText="0">
      <xdr:nvSpPr>
        <xdr:cNvPr id="2" name="四角形: 角を丸くする 2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533400" y="1638300"/>
          <a:ext cx="1638300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X1_メニュー機能</a:t>
          </a:r>
        </a:p>
      </xdr:txBody>
    </xdr:sp>
    <xdr:clientData/>
  </xdr:twoCellAnchor>
  <xdr:twoCellAnchor>
    <xdr:from>
      <xdr:col>2</xdr:col>
      <xdr:colOff>0</xdr:colOff>
      <xdr:row>12</xdr:row>
      <xdr:rowOff>0</xdr:rowOff>
    </xdr:from>
    <xdr:to>
      <xdr:col>8</xdr:col>
      <xdr:colOff>0</xdr:colOff>
      <xdr:row>15</xdr:row>
      <xdr:rowOff>0</xdr:rowOff>
    </xdr:to>
    <xdr:sp macro="" textlink="" fLocksText="0">
      <xdr:nvSpPr>
        <xdr:cNvPr id="3" name="四角形: 角を丸くする 110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533400" y="2400300"/>
          <a:ext cx="1600200" cy="571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71_ノードマスタ設定</a:t>
          </a:r>
        </a:p>
      </xdr:txBody>
    </xdr:sp>
    <xdr:clientData/>
  </xdr:twoCellAnchor>
  <xdr:twoCellAnchor>
    <xdr:from>
      <xdr:col>2</xdr:col>
      <xdr:colOff>0</xdr:colOff>
      <xdr:row>19</xdr:row>
      <xdr:rowOff>0</xdr:rowOff>
    </xdr:from>
    <xdr:to>
      <xdr:col>8</xdr:col>
      <xdr:colOff>1</xdr:colOff>
      <xdr:row>23</xdr:row>
      <xdr:rowOff>0</xdr:rowOff>
    </xdr:to>
    <xdr:sp macro="" textlink="" fLocksText="0">
      <xdr:nvSpPr>
        <xdr:cNvPr id="4" name="正方形/長方形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533400" y="37338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SC7101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レジマスタ情報画面</a:t>
          </a:r>
        </a:p>
      </xdr:txBody>
    </xdr:sp>
    <xdr:clientData/>
  </xdr:twoCellAnchor>
  <xdr:twoCellAnchor>
    <xdr:from>
      <xdr:col>5</xdr:col>
      <xdr:colOff>0</xdr:colOff>
      <xdr:row>15</xdr:row>
      <xdr:rowOff>0</xdr:rowOff>
    </xdr:from>
    <xdr:to>
      <xdr:col>5</xdr:col>
      <xdr:colOff>0</xdr:colOff>
      <xdr:row>19</xdr:row>
      <xdr:rowOff>0</xdr:rowOff>
    </xdr:to>
    <xdr:cxnSp macro="">
      <xdr:nvCxnSpPr>
        <xdr:cNvPr id="5" name="直線矢印コネクタ 1010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>
          <a:stCxn id="3" idx="2"/>
          <a:endCxn id="4" idx="0"/>
        </xdr:cNvCxnSpPr>
      </xdr:nvCxnSpPr>
      <xdr:spPr>
        <a:xfrm>
          <a:off x="1333500" y="29718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25</xdr:row>
      <xdr:rowOff>0</xdr:rowOff>
    </xdr:from>
    <xdr:to>
      <xdr:col>15</xdr:col>
      <xdr:colOff>0</xdr:colOff>
      <xdr:row>26</xdr:row>
      <xdr:rowOff>190499</xdr:rowOff>
    </xdr:to>
    <xdr:sp macro="" textlink="" fLocksText="0">
      <xdr:nvSpPr>
        <xdr:cNvPr id="9" name="四角形: 角を丸くする 1101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2933700" y="48768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b" anchorCtr="0">
          <a:prstTxWarp prst="textNoShape">
            <a:avLst/>
          </a:prstTxWarp>
          <a:noAutofit/>
        </a:bodyPr>
        <a:lstStyle/>
        <a:p>
          <a:pPr marL="0" indent="0" algn="ctr"/>
          <a:endParaRPr lang="ja-JP" altLang="en-US" sz="8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>
              <a:latin typeface="Meiryo UI" panose="020B0604030504040204" pitchFamily="34" charset="-128"/>
              <a:ea typeface="Meiryo UI" panose="020B0604030504040204" pitchFamily="34" charset="-128"/>
            </a:rPr>
            <a:t>
</a:t>
          </a:r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店舗情報（ヘッダー）</a:t>
          </a:r>
        </a:p>
      </xdr:txBody>
    </xdr:sp>
    <xdr:clientData/>
  </xdr:twoCellAnchor>
  <xdr:twoCellAnchor>
    <xdr:from>
      <xdr:col>3</xdr:col>
      <xdr:colOff>1</xdr:colOff>
      <xdr:row>25</xdr:row>
      <xdr:rowOff>13607</xdr:rowOff>
    </xdr:from>
    <xdr:to>
      <xdr:col>7</xdr:col>
      <xdr:colOff>1</xdr:colOff>
      <xdr:row>26</xdr:row>
      <xdr:rowOff>0</xdr:rowOff>
    </xdr:to>
    <xdr:sp macro="" textlink="" fLocksText="0">
      <xdr:nvSpPr>
        <xdr:cNvPr id="10" name="四角形: 角を丸くする 1101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00100" y="4886325"/>
          <a:ext cx="1066800" cy="180975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画面初期化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</xdr:col>
      <xdr:colOff>0</xdr:colOff>
      <xdr:row>23</xdr:row>
      <xdr:rowOff>0</xdr:rowOff>
    </xdr:from>
    <xdr:to>
      <xdr:col>13</xdr:col>
      <xdr:colOff>0</xdr:colOff>
      <xdr:row>25</xdr:row>
      <xdr:rowOff>0</xdr:rowOff>
    </xdr:to>
    <xdr:cxnSp macro="">
      <xdr:nvCxnSpPr>
        <xdr:cNvPr id="11" name="Connector: Elbow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>
          <a:stCxn id="4" idx="2"/>
          <a:endCxn id="9" idx="0"/>
        </xdr:cNvCxnSpPr>
      </xdr:nvCxnSpPr>
      <xdr:spPr>
        <a:xfrm rot="16200000" flipH="1">
          <a:off x="1333500" y="4495800"/>
          <a:ext cx="21336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</xdr:colOff>
      <xdr:row>26</xdr:row>
      <xdr:rowOff>190499</xdr:rowOff>
    </xdr:from>
    <xdr:to>
      <xdr:col>13</xdr:col>
      <xdr:colOff>1</xdr:colOff>
      <xdr:row>30</xdr:row>
      <xdr:rowOff>11204</xdr:rowOff>
    </xdr:to>
    <xdr:cxnSp macro="">
      <xdr:nvCxnSpPr>
        <xdr:cNvPr id="12" name="Connector: Elbow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stCxn id="9" idx="2"/>
          <a:endCxn id="19" idx="0"/>
        </xdr:cNvCxnSpPr>
      </xdr:nvCxnSpPr>
      <xdr:spPr>
        <a:xfrm rot="5400000">
          <a:off x="1333500" y="5257800"/>
          <a:ext cx="2133600" cy="58102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</xdr:colOff>
      <xdr:row>26</xdr:row>
      <xdr:rowOff>0</xdr:rowOff>
    </xdr:from>
    <xdr:to>
      <xdr:col>5</xdr:col>
      <xdr:colOff>1</xdr:colOff>
      <xdr:row>30</xdr:row>
      <xdr:rowOff>11204</xdr:rowOff>
    </xdr:to>
    <xdr:cxnSp macro="">
      <xdr:nvCxnSpPr>
        <xdr:cNvPr id="13" name="直線矢印コネクタ 1010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stCxn id="10" idx="2"/>
          <a:endCxn id="19" idx="0"/>
        </xdr:cNvCxnSpPr>
      </xdr:nvCxnSpPr>
      <xdr:spPr>
        <a:xfrm>
          <a:off x="1333500" y="5067300"/>
          <a:ext cx="0" cy="771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33</xdr:row>
      <xdr:rowOff>0</xdr:rowOff>
    </xdr:from>
    <xdr:to>
      <xdr:col>5</xdr:col>
      <xdr:colOff>1</xdr:colOff>
      <xdr:row>36</xdr:row>
      <xdr:rowOff>3048</xdr:rowOff>
    </xdr:to>
    <xdr:cxnSp macro="">
      <xdr:nvCxnSpPr>
        <xdr:cNvPr id="16" name="直線矢印コネクタ 1010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>
          <a:stCxn id="19" idx="2"/>
          <a:endCxn id="26" idx="0"/>
        </xdr:cNvCxnSpPr>
      </xdr:nvCxnSpPr>
      <xdr:spPr>
        <a:xfrm flipH="1">
          <a:off x="1333500" y="64008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23</xdr:row>
      <xdr:rowOff>0</xdr:rowOff>
    </xdr:from>
    <xdr:to>
      <xdr:col>5</xdr:col>
      <xdr:colOff>1</xdr:colOff>
      <xdr:row>25</xdr:row>
      <xdr:rowOff>13607</xdr:rowOff>
    </xdr:to>
    <xdr:cxnSp macro="">
      <xdr:nvCxnSpPr>
        <xdr:cNvPr id="18" name="直線矢印コネクタ 1010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CxnSpPr>
          <a:stCxn id="4" idx="2"/>
          <a:endCxn id="10" idx="0"/>
        </xdr:cNvCxnSpPr>
      </xdr:nvCxnSpPr>
      <xdr:spPr>
        <a:xfrm>
          <a:off x="1333500" y="4495800"/>
          <a:ext cx="0" cy="390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30</xdr:row>
      <xdr:rowOff>11204</xdr:rowOff>
    </xdr:from>
    <xdr:to>
      <xdr:col>7</xdr:col>
      <xdr:colOff>0</xdr:colOff>
      <xdr:row>33</xdr:row>
      <xdr:rowOff>0</xdr:rowOff>
    </xdr:to>
    <xdr:sp macro="" textlink="" fLocksText="0">
      <xdr:nvSpPr>
        <xdr:cNvPr id="19" name="四角形: 角を丸くする 1101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800100" y="5838825"/>
          <a:ext cx="1066800" cy="56197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1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店舗選択</a:t>
          </a:r>
          <a:endParaRPr lang="en-US" sz="8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42</xdr:row>
      <xdr:rowOff>0</xdr:rowOff>
    </xdr:from>
    <xdr:to>
      <xdr:col>8</xdr:col>
      <xdr:colOff>0</xdr:colOff>
      <xdr:row>46</xdr:row>
      <xdr:rowOff>0</xdr:rowOff>
    </xdr:to>
    <xdr:sp macro="" textlink="" fLocksText="0">
      <xdr:nvSpPr>
        <xdr:cNvPr id="57" name="正方形/長方形 1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SpPr/>
      </xdr:nvSpPr>
      <xdr:spPr>
        <a:xfrm>
          <a:off x="533400" y="8115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SC7101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レジマスタ情報画面</a:t>
          </a:r>
        </a:p>
      </xdr:txBody>
    </xdr:sp>
    <xdr:clientData/>
  </xdr:twoCellAnchor>
  <xdr:twoCellAnchor>
    <xdr:from>
      <xdr:col>2</xdr:col>
      <xdr:colOff>228974</xdr:colOff>
      <xdr:row>48</xdr:row>
      <xdr:rowOff>11206</xdr:rowOff>
    </xdr:from>
    <xdr:to>
      <xdr:col>6</xdr:col>
      <xdr:colOff>0</xdr:colOff>
      <xdr:row>50</xdr:row>
      <xdr:rowOff>0</xdr:rowOff>
    </xdr:to>
    <xdr:sp macro="" textlink="" fLocksText="0">
      <xdr:nvSpPr>
        <xdr:cNvPr id="58" name="四角形: 角を丸くする 1101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SpPr/>
      </xdr:nvSpPr>
      <xdr:spPr>
        <a:xfrm>
          <a:off x="762000" y="9267825"/>
          <a:ext cx="838200" cy="37147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en-US" sz="11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検索</a:t>
          </a:r>
          <a:endParaRPr lang="en-US" sz="1100">
            <a:solidFill>
              <a:srgbClr val="FF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0</xdr:colOff>
      <xdr:row>48</xdr:row>
      <xdr:rowOff>11206</xdr:rowOff>
    </xdr:from>
    <xdr:to>
      <xdr:col>10</xdr:col>
      <xdr:colOff>0</xdr:colOff>
      <xdr:row>50</xdr:row>
      <xdr:rowOff>0</xdr:rowOff>
    </xdr:to>
    <xdr:sp macro="" textlink="" fLocksText="0">
      <xdr:nvSpPr>
        <xdr:cNvPr id="59" name="四角形: 角を丸くする 1101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SpPr/>
      </xdr:nvSpPr>
      <xdr:spPr>
        <a:xfrm>
          <a:off x="1866900" y="9267825"/>
          <a:ext cx="800100" cy="37147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ctr"/>
          <a:r>
            <a:rPr lang="ja-JP" altLang="en-US" sz="900" b="1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レジ種別追加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235323</xdr:colOff>
      <xdr:row>48</xdr:row>
      <xdr:rowOff>0</xdr:rowOff>
    </xdr:from>
    <xdr:to>
      <xdr:col>15</xdr:col>
      <xdr:colOff>0</xdr:colOff>
      <xdr:row>50</xdr:row>
      <xdr:rowOff>0</xdr:rowOff>
    </xdr:to>
    <xdr:sp macro="" textlink="" fLocksText="0">
      <xdr:nvSpPr>
        <xdr:cNvPr id="60" name="四角形: 角を丸くする 1101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SpPr/>
      </xdr:nvSpPr>
      <xdr:spPr>
        <a:xfrm>
          <a:off x="2905125" y="9258300"/>
          <a:ext cx="1095375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1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CSV取込</a:t>
          </a:r>
          <a:endParaRPr lang="en-US" sz="8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16</xdr:col>
      <xdr:colOff>1</xdr:colOff>
      <xdr:row>48</xdr:row>
      <xdr:rowOff>22412</xdr:rowOff>
    </xdr:from>
    <xdr:to>
      <xdr:col>20</xdr:col>
      <xdr:colOff>0</xdr:colOff>
      <xdr:row>50</xdr:row>
      <xdr:rowOff>0</xdr:rowOff>
    </xdr:to>
    <xdr:sp macro="" textlink="" fLocksText="0">
      <xdr:nvSpPr>
        <xdr:cNvPr id="61" name="四角形: 角を丸くする 1101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SpPr/>
      </xdr:nvSpPr>
      <xdr:spPr>
        <a:xfrm>
          <a:off x="4267200" y="9277350"/>
          <a:ext cx="1066800" cy="36195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000" b="1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CSV出力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21</xdr:col>
      <xdr:colOff>0</xdr:colOff>
      <xdr:row>48</xdr:row>
      <xdr:rowOff>11206</xdr:rowOff>
    </xdr:from>
    <xdr:to>
      <xdr:col>24</xdr:col>
      <xdr:colOff>0</xdr:colOff>
      <xdr:row>50</xdr:row>
      <xdr:rowOff>0</xdr:rowOff>
    </xdr:to>
    <xdr:sp macro="" textlink="" fLocksText="0">
      <xdr:nvSpPr>
        <xdr:cNvPr id="62" name="四角形: 角を丸くする 1101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SpPr/>
      </xdr:nvSpPr>
      <xdr:spPr>
        <a:xfrm>
          <a:off x="5600700" y="9267825"/>
          <a:ext cx="800100" cy="37147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ctr">
            <a:defRPr lang="en-US" altLang="ja-JP" sz="1100" b="1">
              <a:solidFill>
                <a:schemeClr val="bg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1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削除</a:t>
          </a:r>
        </a:p>
      </xdr:txBody>
    </xdr:sp>
    <xdr:clientData/>
  </xdr:twoCellAnchor>
  <xdr:twoCellAnchor>
    <xdr:from>
      <xdr:col>25</xdr:col>
      <xdr:colOff>0</xdr:colOff>
      <xdr:row>48</xdr:row>
      <xdr:rowOff>0</xdr:rowOff>
    </xdr:from>
    <xdr:to>
      <xdr:col>28</xdr:col>
      <xdr:colOff>0</xdr:colOff>
      <xdr:row>50</xdr:row>
      <xdr:rowOff>0</xdr:rowOff>
    </xdr:to>
    <xdr:sp macro="" textlink="" fLocksText="0">
      <xdr:nvSpPr>
        <xdr:cNvPr id="63" name="四角形: 角を丸くする 1101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SpPr/>
      </xdr:nvSpPr>
      <xdr:spPr>
        <a:xfrm>
          <a:off x="6667500" y="9258300"/>
          <a:ext cx="8001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ctr">
            <a:defRPr lang="en-US" altLang="ja-JP" sz="1100" b="1">
              <a:solidFill>
                <a:schemeClr val="bg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1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編集</a:t>
          </a:r>
        </a:p>
      </xdr:txBody>
    </xdr:sp>
    <xdr:clientData/>
  </xdr:twoCellAnchor>
  <xdr:twoCellAnchor>
    <xdr:from>
      <xdr:col>33</xdr:col>
      <xdr:colOff>0</xdr:colOff>
      <xdr:row>48</xdr:row>
      <xdr:rowOff>11204</xdr:rowOff>
    </xdr:from>
    <xdr:to>
      <xdr:col>37</xdr:col>
      <xdr:colOff>0</xdr:colOff>
      <xdr:row>50</xdr:row>
      <xdr:rowOff>0</xdr:rowOff>
    </xdr:to>
    <xdr:sp macro="" textlink="" fLocksText="0">
      <xdr:nvSpPr>
        <xdr:cNvPr id="64" name="四角形: 角を丸くする 1101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SpPr/>
      </xdr:nvSpPr>
      <xdr:spPr>
        <a:xfrm>
          <a:off x="8801100" y="9267825"/>
          <a:ext cx="1066800" cy="37147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ctr">
            <a:defRPr lang="en-US" sz="1100" b="0" i="0" baseline="0">
              <a:solidFill>
                <a:schemeClr val="bg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100" b="1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確定</a:t>
          </a:r>
        </a:p>
      </xdr:txBody>
    </xdr:sp>
    <xdr:clientData/>
  </xdr:twoCellAnchor>
  <xdr:twoCellAnchor>
    <xdr:from>
      <xdr:col>8</xdr:col>
      <xdr:colOff>117662</xdr:colOff>
      <xdr:row>50</xdr:row>
      <xdr:rowOff>0</xdr:rowOff>
    </xdr:from>
    <xdr:to>
      <xdr:col>8</xdr:col>
      <xdr:colOff>117662</xdr:colOff>
      <xdr:row>53</xdr:row>
      <xdr:rowOff>0</xdr:rowOff>
    </xdr:to>
    <xdr:cxnSp macro="">
      <xdr:nvCxnSpPr>
        <xdr:cNvPr id="83" name="直線矢印コネクタ 1010"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CxnSpPr>
          <a:stCxn id="59" idx="2"/>
          <a:endCxn id="92" idx="0"/>
        </xdr:cNvCxnSpPr>
      </xdr:nvCxnSpPr>
      <xdr:spPr>
        <a:xfrm>
          <a:off x="2247900" y="96393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50</xdr:row>
      <xdr:rowOff>0</xdr:rowOff>
    </xdr:from>
    <xdr:to>
      <xdr:col>13</xdr:col>
      <xdr:colOff>0</xdr:colOff>
      <xdr:row>53</xdr:row>
      <xdr:rowOff>11205</xdr:rowOff>
    </xdr:to>
    <xdr:cxnSp macro="">
      <xdr:nvCxnSpPr>
        <xdr:cNvPr id="85" name="直線矢印コネクタ 1010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CxnSpPr>
          <a:stCxn id="60" idx="2"/>
          <a:endCxn id="93" idx="0"/>
        </xdr:cNvCxnSpPr>
      </xdr:nvCxnSpPr>
      <xdr:spPr>
        <a:xfrm>
          <a:off x="3467100" y="9639300"/>
          <a:ext cx="0" cy="581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50</xdr:row>
      <xdr:rowOff>0</xdr:rowOff>
    </xdr:from>
    <xdr:to>
      <xdr:col>18</xdr:col>
      <xdr:colOff>0</xdr:colOff>
      <xdr:row>53</xdr:row>
      <xdr:rowOff>0</xdr:rowOff>
    </xdr:to>
    <xdr:cxnSp macro="">
      <xdr:nvCxnSpPr>
        <xdr:cNvPr id="86" name="直線矢印コネクタ 1010">
          <a:extLst>
            <a:ext uri="{FF2B5EF4-FFF2-40B4-BE49-F238E27FC236}">
              <a16:creationId xmlns:a16="http://schemas.microsoft.com/office/drawing/2014/main" id="{00000000-0008-0000-0400-000056000000}"/>
            </a:ext>
          </a:extLst>
        </xdr:cNvPr>
        <xdr:cNvCxnSpPr>
          <a:stCxn id="61" idx="2"/>
          <a:endCxn id="94" idx="0"/>
        </xdr:cNvCxnSpPr>
      </xdr:nvCxnSpPr>
      <xdr:spPr>
        <a:xfrm>
          <a:off x="4800600" y="96393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117661</xdr:colOff>
      <xdr:row>50</xdr:row>
      <xdr:rowOff>0</xdr:rowOff>
    </xdr:from>
    <xdr:to>
      <xdr:col>22</xdr:col>
      <xdr:colOff>117662</xdr:colOff>
      <xdr:row>53</xdr:row>
      <xdr:rowOff>0</xdr:rowOff>
    </xdr:to>
    <xdr:cxnSp macro="">
      <xdr:nvCxnSpPr>
        <xdr:cNvPr id="87" name="直線矢印コネクタ 1010">
          <a:extLst>
            <a:ext uri="{FF2B5EF4-FFF2-40B4-BE49-F238E27FC236}">
              <a16:creationId xmlns:a16="http://schemas.microsoft.com/office/drawing/2014/main" id="{00000000-0008-0000-0400-000057000000}"/>
            </a:ext>
          </a:extLst>
        </xdr:cNvPr>
        <xdr:cNvCxnSpPr>
          <a:stCxn id="62" idx="2"/>
          <a:endCxn id="95" idx="0"/>
        </xdr:cNvCxnSpPr>
      </xdr:nvCxnSpPr>
      <xdr:spPr>
        <a:xfrm flipH="1">
          <a:off x="5981700" y="96393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117662</xdr:colOff>
      <xdr:row>50</xdr:row>
      <xdr:rowOff>0</xdr:rowOff>
    </xdr:from>
    <xdr:to>
      <xdr:col>26</xdr:col>
      <xdr:colOff>117663</xdr:colOff>
      <xdr:row>52</xdr:row>
      <xdr:rowOff>168087</xdr:rowOff>
    </xdr:to>
    <xdr:cxnSp macro="">
      <xdr:nvCxnSpPr>
        <xdr:cNvPr id="88" name="直線矢印コネクタ 1010">
          <a:extLst>
            <a:ext uri="{FF2B5EF4-FFF2-40B4-BE49-F238E27FC236}">
              <a16:creationId xmlns:a16="http://schemas.microsoft.com/office/drawing/2014/main" id="{00000000-0008-0000-0400-000058000000}"/>
            </a:ext>
          </a:extLst>
        </xdr:cNvPr>
        <xdr:cNvCxnSpPr>
          <a:stCxn id="63" idx="2"/>
          <a:endCxn id="96" idx="0"/>
        </xdr:cNvCxnSpPr>
      </xdr:nvCxnSpPr>
      <xdr:spPr>
        <a:xfrm>
          <a:off x="7048500" y="9639300"/>
          <a:ext cx="0" cy="5524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50</xdr:row>
      <xdr:rowOff>0</xdr:rowOff>
    </xdr:from>
    <xdr:to>
      <xdr:col>35</xdr:col>
      <xdr:colOff>0</xdr:colOff>
      <xdr:row>53</xdr:row>
      <xdr:rowOff>0</xdr:rowOff>
    </xdr:to>
    <xdr:cxnSp macro="">
      <xdr:nvCxnSpPr>
        <xdr:cNvPr id="89" name="直線矢印コネクタ 1010">
          <a:extLst>
            <a:ext uri="{FF2B5EF4-FFF2-40B4-BE49-F238E27FC236}">
              <a16:creationId xmlns:a16="http://schemas.microsoft.com/office/drawing/2014/main" id="{00000000-0008-0000-0400-000059000000}"/>
            </a:ext>
          </a:extLst>
        </xdr:cNvPr>
        <xdr:cNvCxnSpPr>
          <a:stCxn id="64" idx="2"/>
          <a:endCxn id="97" idx="0"/>
        </xdr:cNvCxnSpPr>
      </xdr:nvCxnSpPr>
      <xdr:spPr>
        <a:xfrm flipH="1">
          <a:off x="9334500" y="96393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53</xdr:row>
      <xdr:rowOff>0</xdr:rowOff>
    </xdr:from>
    <xdr:to>
      <xdr:col>10</xdr:col>
      <xdr:colOff>0</xdr:colOff>
      <xdr:row>54</xdr:row>
      <xdr:rowOff>0</xdr:rowOff>
    </xdr:to>
    <xdr:sp macro="" textlink="" fLocksText="0">
      <xdr:nvSpPr>
        <xdr:cNvPr id="92" name="Rectangle: Rounded Corners 91">
          <a:extLst>
            <a:ext uri="{FF2B5EF4-FFF2-40B4-BE49-F238E27FC236}">
              <a16:creationId xmlns:a16="http://schemas.microsoft.com/office/drawing/2014/main" id="{00000000-0008-0000-0400-00005C000000}"/>
            </a:ext>
          </a:extLst>
        </xdr:cNvPr>
        <xdr:cNvSpPr/>
      </xdr:nvSpPr>
      <xdr:spPr>
        <a:xfrm>
          <a:off x="1866900" y="10210800"/>
          <a:ext cx="8001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71.1</a:t>
          </a:r>
        </a:p>
      </xdr:txBody>
    </xdr:sp>
    <xdr:clientData/>
  </xdr:twoCellAnchor>
  <xdr:twoCellAnchor>
    <xdr:from>
      <xdr:col>11</xdr:col>
      <xdr:colOff>0</xdr:colOff>
      <xdr:row>53</xdr:row>
      <xdr:rowOff>11205</xdr:rowOff>
    </xdr:from>
    <xdr:to>
      <xdr:col>15</xdr:col>
      <xdr:colOff>0</xdr:colOff>
      <xdr:row>54</xdr:row>
      <xdr:rowOff>0</xdr:rowOff>
    </xdr:to>
    <xdr:sp macro="" textlink="" fLocksText="0">
      <xdr:nvSpPr>
        <xdr:cNvPr id="93" name="Rectangle: Rounded Corners 92">
          <a:extLst>
            <a:ext uri="{FF2B5EF4-FFF2-40B4-BE49-F238E27FC236}">
              <a16:creationId xmlns:a16="http://schemas.microsoft.com/office/drawing/2014/main" id="{00000000-0008-0000-0400-00005D000000}"/>
            </a:ext>
          </a:extLst>
        </xdr:cNvPr>
        <xdr:cNvSpPr/>
      </xdr:nvSpPr>
      <xdr:spPr>
        <a:xfrm>
          <a:off x="2933700" y="10220325"/>
          <a:ext cx="1066800" cy="18097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71.2</a:t>
          </a:r>
        </a:p>
      </xdr:txBody>
    </xdr:sp>
    <xdr:clientData/>
  </xdr:twoCellAnchor>
  <xdr:twoCellAnchor>
    <xdr:from>
      <xdr:col>16</xdr:col>
      <xdr:colOff>0</xdr:colOff>
      <xdr:row>53</xdr:row>
      <xdr:rowOff>0</xdr:rowOff>
    </xdr:from>
    <xdr:to>
      <xdr:col>20</xdr:col>
      <xdr:colOff>0</xdr:colOff>
      <xdr:row>54</xdr:row>
      <xdr:rowOff>0</xdr:rowOff>
    </xdr:to>
    <xdr:sp macro="" textlink="" fLocksText="0">
      <xdr:nvSpPr>
        <xdr:cNvPr id="94" name="Rectangle: Rounded Corners 93">
          <a:extLst>
            <a:ext uri="{FF2B5EF4-FFF2-40B4-BE49-F238E27FC236}">
              <a16:creationId xmlns:a16="http://schemas.microsoft.com/office/drawing/2014/main" id="{00000000-0008-0000-0400-00005E000000}"/>
            </a:ext>
          </a:extLst>
        </xdr:cNvPr>
        <xdr:cNvSpPr/>
      </xdr:nvSpPr>
      <xdr:spPr>
        <a:xfrm>
          <a:off x="4267200" y="10210800"/>
          <a:ext cx="10668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71.3</a:t>
          </a:r>
        </a:p>
      </xdr:txBody>
    </xdr:sp>
    <xdr:clientData/>
  </xdr:twoCellAnchor>
  <xdr:twoCellAnchor>
    <xdr:from>
      <xdr:col>21</xdr:col>
      <xdr:colOff>0</xdr:colOff>
      <xdr:row>53</xdr:row>
      <xdr:rowOff>0</xdr:rowOff>
    </xdr:from>
    <xdr:to>
      <xdr:col>23</xdr:col>
      <xdr:colOff>235323</xdr:colOff>
      <xdr:row>54</xdr:row>
      <xdr:rowOff>0</xdr:rowOff>
    </xdr:to>
    <xdr:sp macro="" textlink="" fLocksText="0">
      <xdr:nvSpPr>
        <xdr:cNvPr id="95" name="Rectangle: Rounded Corners 94">
          <a:extLst>
            <a:ext uri="{FF2B5EF4-FFF2-40B4-BE49-F238E27FC236}">
              <a16:creationId xmlns:a16="http://schemas.microsoft.com/office/drawing/2014/main" id="{00000000-0008-0000-0400-00005F000000}"/>
            </a:ext>
          </a:extLst>
        </xdr:cNvPr>
        <xdr:cNvSpPr/>
      </xdr:nvSpPr>
      <xdr:spPr>
        <a:xfrm>
          <a:off x="5600700" y="10210800"/>
          <a:ext cx="771525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71.4</a:t>
          </a:r>
        </a:p>
      </xdr:txBody>
    </xdr:sp>
    <xdr:clientData/>
  </xdr:twoCellAnchor>
  <xdr:twoCellAnchor>
    <xdr:from>
      <xdr:col>25</xdr:col>
      <xdr:colOff>11207</xdr:colOff>
      <xdr:row>52</xdr:row>
      <xdr:rowOff>168087</xdr:rowOff>
    </xdr:from>
    <xdr:to>
      <xdr:col>27</xdr:col>
      <xdr:colOff>224119</xdr:colOff>
      <xdr:row>54</xdr:row>
      <xdr:rowOff>22410</xdr:rowOff>
    </xdr:to>
    <xdr:sp macro="" textlink="" fLocksText="0">
      <xdr:nvSpPr>
        <xdr:cNvPr id="96" name="Rectangle: Rounded Corners 95">
          <a:extLst>
            <a:ext uri="{FF2B5EF4-FFF2-40B4-BE49-F238E27FC236}">
              <a16:creationId xmlns:a16="http://schemas.microsoft.com/office/drawing/2014/main" id="{00000000-0008-0000-0400-000060000000}"/>
            </a:ext>
          </a:extLst>
        </xdr:cNvPr>
        <xdr:cNvSpPr/>
      </xdr:nvSpPr>
      <xdr:spPr>
        <a:xfrm>
          <a:off x="6677025" y="10191750"/>
          <a:ext cx="752475" cy="2286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71.5</a:t>
          </a:r>
        </a:p>
      </xdr:txBody>
    </xdr:sp>
    <xdr:clientData/>
  </xdr:twoCellAnchor>
  <xdr:twoCellAnchor>
    <xdr:from>
      <xdr:col>33</xdr:col>
      <xdr:colOff>235323</xdr:colOff>
      <xdr:row>53</xdr:row>
      <xdr:rowOff>0</xdr:rowOff>
    </xdr:from>
    <xdr:to>
      <xdr:col>35</xdr:col>
      <xdr:colOff>235322</xdr:colOff>
      <xdr:row>54</xdr:row>
      <xdr:rowOff>0</xdr:rowOff>
    </xdr:to>
    <xdr:sp macro="" textlink="" fLocksText="0">
      <xdr:nvSpPr>
        <xdr:cNvPr id="97" name="Rectangle: Rounded Corners 96">
          <a:extLst>
            <a:ext uri="{FF2B5EF4-FFF2-40B4-BE49-F238E27FC236}">
              <a16:creationId xmlns:a16="http://schemas.microsoft.com/office/drawing/2014/main" id="{00000000-0008-0000-0400-000061000000}"/>
            </a:ext>
          </a:extLst>
        </xdr:cNvPr>
        <xdr:cNvSpPr/>
      </xdr:nvSpPr>
      <xdr:spPr>
        <a:xfrm>
          <a:off x="9039225" y="10210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71.7</a:t>
          </a:r>
        </a:p>
      </xdr:txBody>
    </xdr:sp>
    <xdr:clientData/>
  </xdr:twoCellAnchor>
  <xdr:twoCellAnchor>
    <xdr:from>
      <xdr:col>4</xdr:col>
      <xdr:colOff>114487</xdr:colOff>
      <xdr:row>46</xdr:row>
      <xdr:rowOff>1</xdr:rowOff>
    </xdr:from>
    <xdr:to>
      <xdr:col>5</xdr:col>
      <xdr:colOff>0</xdr:colOff>
      <xdr:row>48</xdr:row>
      <xdr:rowOff>11207</xdr:rowOff>
    </xdr:to>
    <xdr:cxnSp macro="">
      <xdr:nvCxnSpPr>
        <xdr:cNvPr id="135" name="Connector: Elbow 134">
          <a:extLst>
            <a:ext uri="{FF2B5EF4-FFF2-40B4-BE49-F238E27FC236}">
              <a16:creationId xmlns:a16="http://schemas.microsoft.com/office/drawing/2014/main" id="{00000000-0008-0000-0400-000087000000}"/>
            </a:ext>
          </a:extLst>
        </xdr:cNvPr>
        <xdr:cNvCxnSpPr>
          <a:stCxn id="57" idx="2"/>
          <a:endCxn id="58" idx="0"/>
        </xdr:cNvCxnSpPr>
      </xdr:nvCxnSpPr>
      <xdr:spPr>
        <a:xfrm rot="5400000">
          <a:off x="1181100" y="8877300"/>
          <a:ext cx="152400" cy="39052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46</xdr:row>
      <xdr:rowOff>0</xdr:rowOff>
    </xdr:from>
    <xdr:to>
      <xdr:col>8</xdr:col>
      <xdr:colOff>117662</xdr:colOff>
      <xdr:row>48</xdr:row>
      <xdr:rowOff>11206</xdr:rowOff>
    </xdr:to>
    <xdr:cxnSp macro="">
      <xdr:nvCxnSpPr>
        <xdr:cNvPr id="138" name="Connector: Elbow 137">
          <a:extLst>
            <a:ext uri="{FF2B5EF4-FFF2-40B4-BE49-F238E27FC236}">
              <a16:creationId xmlns:a16="http://schemas.microsoft.com/office/drawing/2014/main" id="{00000000-0008-0000-0400-00008A000000}"/>
            </a:ext>
          </a:extLst>
        </xdr:cNvPr>
        <xdr:cNvCxnSpPr>
          <a:stCxn id="57" idx="2"/>
          <a:endCxn id="59" idx="0"/>
        </xdr:cNvCxnSpPr>
      </xdr:nvCxnSpPr>
      <xdr:spPr>
        <a:xfrm rot="16200000" flipH="1">
          <a:off x="1333500" y="8877300"/>
          <a:ext cx="914400" cy="39052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46</xdr:row>
      <xdr:rowOff>0</xdr:rowOff>
    </xdr:from>
    <xdr:to>
      <xdr:col>13</xdr:col>
      <xdr:colOff>0</xdr:colOff>
      <xdr:row>48</xdr:row>
      <xdr:rowOff>0</xdr:rowOff>
    </xdr:to>
    <xdr:cxnSp macro="">
      <xdr:nvCxnSpPr>
        <xdr:cNvPr id="141" name="Connector: Elbow 140">
          <a:extLst>
            <a:ext uri="{FF2B5EF4-FFF2-40B4-BE49-F238E27FC236}">
              <a16:creationId xmlns:a16="http://schemas.microsoft.com/office/drawing/2014/main" id="{00000000-0008-0000-0400-00008D000000}"/>
            </a:ext>
          </a:extLst>
        </xdr:cNvPr>
        <xdr:cNvCxnSpPr>
          <a:stCxn id="57" idx="2"/>
          <a:endCxn id="60" idx="0"/>
        </xdr:cNvCxnSpPr>
      </xdr:nvCxnSpPr>
      <xdr:spPr>
        <a:xfrm rot="16200000" flipH="1">
          <a:off x="1333500" y="8877300"/>
          <a:ext cx="21336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46</xdr:row>
      <xdr:rowOff>0</xdr:rowOff>
    </xdr:from>
    <xdr:to>
      <xdr:col>18</xdr:col>
      <xdr:colOff>0</xdr:colOff>
      <xdr:row>48</xdr:row>
      <xdr:rowOff>22412</xdr:rowOff>
    </xdr:to>
    <xdr:cxnSp macro="">
      <xdr:nvCxnSpPr>
        <xdr:cNvPr id="144" name="Connector: Elbow 143">
          <a:extLst>
            <a:ext uri="{FF2B5EF4-FFF2-40B4-BE49-F238E27FC236}">
              <a16:creationId xmlns:a16="http://schemas.microsoft.com/office/drawing/2014/main" id="{00000000-0008-0000-0400-000090000000}"/>
            </a:ext>
          </a:extLst>
        </xdr:cNvPr>
        <xdr:cNvCxnSpPr>
          <a:stCxn id="57" idx="2"/>
          <a:endCxn id="61" idx="0"/>
        </xdr:cNvCxnSpPr>
      </xdr:nvCxnSpPr>
      <xdr:spPr>
        <a:xfrm rot="16200000" flipH="1">
          <a:off x="1333500" y="8877300"/>
          <a:ext cx="3467100" cy="40005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46</xdr:row>
      <xdr:rowOff>0</xdr:rowOff>
    </xdr:from>
    <xdr:to>
      <xdr:col>22</xdr:col>
      <xdr:colOff>117662</xdr:colOff>
      <xdr:row>48</xdr:row>
      <xdr:rowOff>11206</xdr:rowOff>
    </xdr:to>
    <xdr:cxnSp macro="">
      <xdr:nvCxnSpPr>
        <xdr:cNvPr id="147" name="Connector: Elbow 146">
          <a:extLst>
            <a:ext uri="{FF2B5EF4-FFF2-40B4-BE49-F238E27FC236}">
              <a16:creationId xmlns:a16="http://schemas.microsoft.com/office/drawing/2014/main" id="{00000000-0008-0000-0400-000093000000}"/>
            </a:ext>
          </a:extLst>
        </xdr:cNvPr>
        <xdr:cNvCxnSpPr>
          <a:stCxn id="57" idx="2"/>
          <a:endCxn id="62" idx="0"/>
        </xdr:cNvCxnSpPr>
      </xdr:nvCxnSpPr>
      <xdr:spPr>
        <a:xfrm rot="16200000" flipH="1">
          <a:off x="1333500" y="8877300"/>
          <a:ext cx="4648200" cy="39052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46</xdr:row>
      <xdr:rowOff>0</xdr:rowOff>
    </xdr:from>
    <xdr:to>
      <xdr:col>26</xdr:col>
      <xdr:colOff>117662</xdr:colOff>
      <xdr:row>48</xdr:row>
      <xdr:rowOff>0</xdr:rowOff>
    </xdr:to>
    <xdr:cxnSp macro="">
      <xdr:nvCxnSpPr>
        <xdr:cNvPr id="150" name="Connector: Elbow 149">
          <a:extLst>
            <a:ext uri="{FF2B5EF4-FFF2-40B4-BE49-F238E27FC236}">
              <a16:creationId xmlns:a16="http://schemas.microsoft.com/office/drawing/2014/main" id="{00000000-0008-0000-0400-000096000000}"/>
            </a:ext>
          </a:extLst>
        </xdr:cNvPr>
        <xdr:cNvCxnSpPr>
          <a:stCxn id="57" idx="2"/>
          <a:endCxn id="63" idx="0"/>
        </xdr:cNvCxnSpPr>
      </xdr:nvCxnSpPr>
      <xdr:spPr>
        <a:xfrm rot="16200000" flipH="1">
          <a:off x="1333500" y="8877300"/>
          <a:ext cx="57150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46</xdr:row>
      <xdr:rowOff>0</xdr:rowOff>
    </xdr:from>
    <xdr:to>
      <xdr:col>35</xdr:col>
      <xdr:colOff>0</xdr:colOff>
      <xdr:row>48</xdr:row>
      <xdr:rowOff>11204</xdr:rowOff>
    </xdr:to>
    <xdr:cxnSp macro="">
      <xdr:nvCxnSpPr>
        <xdr:cNvPr id="153" name="Connector: Elbow 152">
          <a:extLst>
            <a:ext uri="{FF2B5EF4-FFF2-40B4-BE49-F238E27FC236}">
              <a16:creationId xmlns:a16="http://schemas.microsoft.com/office/drawing/2014/main" id="{00000000-0008-0000-0400-000099000000}"/>
            </a:ext>
          </a:extLst>
        </xdr:cNvPr>
        <xdr:cNvCxnSpPr>
          <a:stCxn id="57" idx="2"/>
          <a:endCxn id="64" idx="0"/>
        </xdr:cNvCxnSpPr>
      </xdr:nvCxnSpPr>
      <xdr:spPr>
        <a:xfrm rot="16200000" flipH="1">
          <a:off x="1333500" y="8877300"/>
          <a:ext cx="8001000" cy="39052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23</xdr:row>
      <xdr:rowOff>179295</xdr:rowOff>
    </xdr:from>
    <xdr:to>
      <xdr:col>61</xdr:col>
      <xdr:colOff>0</xdr:colOff>
      <xdr:row>27</xdr:row>
      <xdr:rowOff>1</xdr:rowOff>
    </xdr:to>
    <xdr:sp macro="" textlink="" fLocksText="0">
      <xdr:nvSpPr>
        <xdr:cNvPr id="157" name="吹き出し: 線 2">
          <a:extLst>
            <a:ext uri="{FF2B5EF4-FFF2-40B4-BE49-F238E27FC236}">
              <a16:creationId xmlns:a16="http://schemas.microsoft.com/office/drawing/2014/main" id="{00000000-0008-0000-0400-00009D000000}"/>
            </a:ext>
          </a:extLst>
        </xdr:cNvPr>
        <xdr:cNvSpPr/>
      </xdr:nvSpPr>
      <xdr:spPr>
        <a:xfrm>
          <a:off x="10134600" y="4676775"/>
          <a:ext cx="6134100" cy="581025"/>
        </a:xfrm>
        <a:prstGeom prst="borderCallout1">
          <a:avLst>
            <a:gd name="adj1" fmla="val 49927"/>
            <a:gd name="adj2" fmla="val -182"/>
            <a:gd name="adj3" fmla="val 49428"/>
            <a:gd name="adj4" fmla="val -9941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店舗情報をタッチすると、共通機能を実行する。各ユーザーのstoreIdに基づいて、各店舗の該当店舗一覧を取得する。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114486</xdr:colOff>
      <xdr:row>50</xdr:row>
      <xdr:rowOff>0</xdr:rowOff>
    </xdr:from>
    <xdr:to>
      <xdr:col>4</xdr:col>
      <xdr:colOff>235323</xdr:colOff>
      <xdr:row>58</xdr:row>
      <xdr:rowOff>3048</xdr:rowOff>
    </xdr:to>
    <xdr:cxnSp macro="">
      <xdr:nvCxnSpPr>
        <xdr:cNvPr id="168" name="Connector: Elbow 167">
          <a:extLst>
            <a:ext uri="{FF2B5EF4-FFF2-40B4-BE49-F238E27FC236}">
              <a16:creationId xmlns:a16="http://schemas.microsoft.com/office/drawing/2014/main" id="{00000000-0008-0000-0400-0000A8000000}"/>
            </a:ext>
          </a:extLst>
        </xdr:cNvPr>
        <xdr:cNvCxnSpPr>
          <a:stCxn id="58" idx="2"/>
          <a:endCxn id="191" idx="0"/>
        </xdr:cNvCxnSpPr>
      </xdr:nvCxnSpPr>
      <xdr:spPr>
        <a:xfrm rot="16200000" flipH="1">
          <a:off x="1181100" y="9639300"/>
          <a:ext cx="123825" cy="1524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58</xdr:row>
      <xdr:rowOff>3048</xdr:rowOff>
    </xdr:from>
    <xdr:to>
      <xdr:col>8</xdr:col>
      <xdr:colOff>0</xdr:colOff>
      <xdr:row>62</xdr:row>
      <xdr:rowOff>0</xdr:rowOff>
    </xdr:to>
    <xdr:sp macro="" textlink="" fLocksText="0">
      <xdr:nvSpPr>
        <xdr:cNvPr id="191" name="四角形: 角を丸くする 3">
          <a:extLst>
            <a:ext uri="{FF2B5EF4-FFF2-40B4-BE49-F238E27FC236}">
              <a16:creationId xmlns:a16="http://schemas.microsoft.com/office/drawing/2014/main" id="{00000000-0008-0000-0400-0000BF000000}"/>
            </a:ext>
          </a:extLst>
        </xdr:cNvPr>
        <xdr:cNvSpPr/>
      </xdr:nvSpPr>
      <xdr:spPr>
        <a:xfrm>
          <a:off x="533400" y="11163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KN7102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ノードマスタ設定リスト取得機能</a:t>
          </a:r>
        </a:p>
      </xdr:txBody>
    </xdr:sp>
    <xdr:clientData/>
  </xdr:twoCellAnchor>
  <xdr:twoCellAnchor>
    <xdr:from>
      <xdr:col>29</xdr:col>
      <xdr:colOff>0</xdr:colOff>
      <xdr:row>58</xdr:row>
      <xdr:rowOff>3048</xdr:rowOff>
    </xdr:from>
    <xdr:to>
      <xdr:col>35</xdr:col>
      <xdr:colOff>0</xdr:colOff>
      <xdr:row>62</xdr:row>
      <xdr:rowOff>0</xdr:rowOff>
    </xdr:to>
    <xdr:sp macro="" textlink="" fLocksText="0">
      <xdr:nvSpPr>
        <xdr:cNvPr id="192" name="フローチャート: 磁気ディスク 194">
          <a:extLst>
            <a:ext uri="{FF2B5EF4-FFF2-40B4-BE49-F238E27FC236}">
              <a16:creationId xmlns:a16="http://schemas.microsoft.com/office/drawing/2014/main" id="{00000000-0008-0000-0400-0000C0000000}"/>
            </a:ext>
          </a:extLst>
        </xdr:cNvPr>
        <xdr:cNvSpPr/>
      </xdr:nvSpPr>
      <xdr:spPr>
        <a:xfrm>
          <a:off x="7734300" y="111633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AP7102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ノードマスタ設定リスト取得</a:t>
          </a:r>
        </a:p>
      </xdr:txBody>
    </xdr:sp>
    <xdr:clientData/>
  </xdr:twoCellAnchor>
  <xdr:twoCellAnchor>
    <xdr:from>
      <xdr:col>8</xdr:col>
      <xdr:colOff>0</xdr:colOff>
      <xdr:row>60</xdr:row>
      <xdr:rowOff>1524</xdr:rowOff>
    </xdr:from>
    <xdr:to>
      <xdr:col>29</xdr:col>
      <xdr:colOff>0</xdr:colOff>
      <xdr:row>60</xdr:row>
      <xdr:rowOff>1524</xdr:rowOff>
    </xdr:to>
    <xdr:cxnSp macro="">
      <xdr:nvCxnSpPr>
        <xdr:cNvPr id="194" name="Straight Arrow Connector 193">
          <a:extLst>
            <a:ext uri="{FF2B5EF4-FFF2-40B4-BE49-F238E27FC236}">
              <a16:creationId xmlns:a16="http://schemas.microsoft.com/office/drawing/2014/main" id="{00000000-0008-0000-0400-0000C2000000}"/>
            </a:ext>
          </a:extLst>
        </xdr:cNvPr>
        <xdr:cNvCxnSpPr>
          <a:stCxn id="191" idx="3"/>
          <a:endCxn id="192" idx="2"/>
        </xdr:cNvCxnSpPr>
      </xdr:nvCxnSpPr>
      <xdr:spPr>
        <a:xfrm>
          <a:off x="2133600" y="11544300"/>
          <a:ext cx="56007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48</xdr:row>
      <xdr:rowOff>11206</xdr:rowOff>
    </xdr:from>
    <xdr:to>
      <xdr:col>32</xdr:col>
      <xdr:colOff>0</xdr:colOff>
      <xdr:row>50</xdr:row>
      <xdr:rowOff>0</xdr:rowOff>
    </xdr:to>
    <xdr:sp macro="" textlink="" fLocksText="0">
      <xdr:nvSpPr>
        <xdr:cNvPr id="221" name="四角形: 角を丸くする 1101">
          <a:extLst>
            <a:ext uri="{FF2B5EF4-FFF2-40B4-BE49-F238E27FC236}">
              <a16:creationId xmlns:a16="http://schemas.microsoft.com/office/drawing/2014/main" id="{00000000-0008-0000-0400-0000DD000000}"/>
            </a:ext>
          </a:extLst>
        </xdr:cNvPr>
        <xdr:cNvSpPr/>
      </xdr:nvSpPr>
      <xdr:spPr>
        <a:xfrm>
          <a:off x="7734300" y="9267825"/>
          <a:ext cx="800100" cy="37147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ctr">
            <a:defRPr lang="en-US" altLang="ja-JP" sz="1100" b="0" i="0" baseline="0">
              <a:solidFill>
                <a:schemeClr val="bg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1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新規</a:t>
          </a:r>
        </a:p>
      </xdr:txBody>
    </xdr:sp>
    <xdr:clientData/>
  </xdr:twoCellAnchor>
  <xdr:twoCellAnchor>
    <xdr:from>
      <xdr:col>5</xdr:col>
      <xdr:colOff>0</xdr:colOff>
      <xdr:row>46</xdr:row>
      <xdr:rowOff>0</xdr:rowOff>
    </xdr:from>
    <xdr:to>
      <xdr:col>30</xdr:col>
      <xdr:colOff>117662</xdr:colOff>
      <xdr:row>48</xdr:row>
      <xdr:rowOff>11206</xdr:rowOff>
    </xdr:to>
    <xdr:cxnSp macro="">
      <xdr:nvCxnSpPr>
        <xdr:cNvPr id="225" name="Connector: Elbow 224">
          <a:extLst>
            <a:ext uri="{FF2B5EF4-FFF2-40B4-BE49-F238E27FC236}">
              <a16:creationId xmlns:a16="http://schemas.microsoft.com/office/drawing/2014/main" id="{00000000-0008-0000-0400-0000E1000000}"/>
            </a:ext>
          </a:extLst>
        </xdr:cNvPr>
        <xdr:cNvCxnSpPr>
          <a:cxnSpLocks/>
          <a:stCxn id="57" idx="2"/>
          <a:endCxn id="221" idx="0"/>
        </xdr:cNvCxnSpPr>
      </xdr:nvCxnSpPr>
      <xdr:spPr>
        <a:xfrm rot="16200000" flipH="1">
          <a:off x="1333500" y="8877300"/>
          <a:ext cx="6781800" cy="39052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117662</xdr:colOff>
      <xdr:row>50</xdr:row>
      <xdr:rowOff>0</xdr:rowOff>
    </xdr:from>
    <xdr:to>
      <xdr:col>30</xdr:col>
      <xdr:colOff>117662</xdr:colOff>
      <xdr:row>53</xdr:row>
      <xdr:rowOff>0</xdr:rowOff>
    </xdr:to>
    <xdr:cxnSp macro="">
      <xdr:nvCxnSpPr>
        <xdr:cNvPr id="228" name="直線矢印コネクタ 1010">
          <a:extLst>
            <a:ext uri="{FF2B5EF4-FFF2-40B4-BE49-F238E27FC236}">
              <a16:creationId xmlns:a16="http://schemas.microsoft.com/office/drawing/2014/main" id="{00000000-0008-0000-0400-0000E4000000}"/>
            </a:ext>
          </a:extLst>
        </xdr:cNvPr>
        <xdr:cNvCxnSpPr>
          <a:cxnSpLocks/>
          <a:stCxn id="221" idx="2"/>
          <a:endCxn id="229" idx="0"/>
        </xdr:cNvCxnSpPr>
      </xdr:nvCxnSpPr>
      <xdr:spPr>
        <a:xfrm>
          <a:off x="8115300" y="96393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53</xdr:row>
      <xdr:rowOff>0</xdr:rowOff>
    </xdr:from>
    <xdr:to>
      <xdr:col>32</xdr:col>
      <xdr:colOff>0</xdr:colOff>
      <xdr:row>54</xdr:row>
      <xdr:rowOff>0</xdr:rowOff>
    </xdr:to>
    <xdr:sp macro="" textlink="" fLocksText="0">
      <xdr:nvSpPr>
        <xdr:cNvPr id="229" name="Rectangle: Rounded Corners 228">
          <a:extLst>
            <a:ext uri="{FF2B5EF4-FFF2-40B4-BE49-F238E27FC236}">
              <a16:creationId xmlns:a16="http://schemas.microsoft.com/office/drawing/2014/main" id="{00000000-0008-0000-0400-0000E5000000}"/>
            </a:ext>
          </a:extLst>
        </xdr:cNvPr>
        <xdr:cNvSpPr/>
      </xdr:nvSpPr>
      <xdr:spPr>
        <a:xfrm>
          <a:off x="7734300" y="10210800"/>
          <a:ext cx="8001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71.6</a:t>
          </a:r>
        </a:p>
      </xdr:txBody>
    </xdr:sp>
    <xdr:clientData/>
  </xdr:twoCellAnchor>
  <xdr:twoCellAnchor>
    <xdr:from>
      <xdr:col>5</xdr:col>
      <xdr:colOff>0</xdr:colOff>
      <xdr:row>62</xdr:row>
      <xdr:rowOff>0</xdr:rowOff>
    </xdr:from>
    <xdr:to>
      <xdr:col>5</xdr:col>
      <xdr:colOff>0</xdr:colOff>
      <xdr:row>68</xdr:row>
      <xdr:rowOff>0</xdr:rowOff>
    </xdr:to>
    <xdr:cxnSp macro="">
      <xdr:nvCxnSpPr>
        <xdr:cNvPr id="243" name="直線矢印コネクタ 1010">
          <a:extLst>
            <a:ext uri="{FF2B5EF4-FFF2-40B4-BE49-F238E27FC236}">
              <a16:creationId xmlns:a16="http://schemas.microsoft.com/office/drawing/2014/main" id="{00000000-0008-0000-0400-0000F3000000}"/>
            </a:ext>
          </a:extLst>
        </xdr:cNvPr>
        <xdr:cNvCxnSpPr>
          <a:stCxn id="191" idx="2"/>
          <a:endCxn id="246" idx="0"/>
        </xdr:cNvCxnSpPr>
      </xdr:nvCxnSpPr>
      <xdr:spPr>
        <a:xfrm>
          <a:off x="1333500" y="11925300"/>
          <a:ext cx="0" cy="1143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71</xdr:row>
      <xdr:rowOff>0</xdr:rowOff>
    </xdr:from>
    <xdr:to>
      <xdr:col>16</xdr:col>
      <xdr:colOff>235323</xdr:colOff>
      <xdr:row>75</xdr:row>
      <xdr:rowOff>0</xdr:rowOff>
    </xdr:to>
    <xdr:sp macro="" textlink="" fLocksText="0">
      <xdr:nvSpPr>
        <xdr:cNvPr id="244" name="正方形/長方形 19">
          <a:extLst>
            <a:ext uri="{FF2B5EF4-FFF2-40B4-BE49-F238E27FC236}">
              <a16:creationId xmlns:a16="http://schemas.microsoft.com/office/drawing/2014/main" id="{00000000-0008-0000-0400-0000F4000000}"/>
            </a:ext>
          </a:extLst>
        </xdr:cNvPr>
        <xdr:cNvSpPr/>
      </xdr:nvSpPr>
      <xdr:spPr>
        <a:xfrm>
          <a:off x="2933700" y="13639800"/>
          <a:ext cx="1571625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MD_ERROR</a:t>
          </a:r>
          <a:endParaRPr lang="en-US" altLang="ja-JP" sz="1000" b="0" i="0" u="none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1000" b="0" i="0" u="none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データが見つかりませんでした。</a:t>
          </a:r>
        </a:p>
      </xdr:txBody>
    </xdr:sp>
    <xdr:clientData/>
  </xdr:twoCellAnchor>
  <xdr:twoCellAnchor>
    <xdr:from>
      <xdr:col>11</xdr:col>
      <xdr:colOff>0</xdr:colOff>
      <xdr:row>68</xdr:row>
      <xdr:rowOff>0</xdr:rowOff>
    </xdr:from>
    <xdr:to>
      <xdr:col>17</xdr:col>
      <xdr:colOff>0</xdr:colOff>
      <xdr:row>69</xdr:row>
      <xdr:rowOff>0</xdr:rowOff>
    </xdr:to>
    <xdr:sp macro="" textlink="" fLocksText="0">
      <xdr:nvSpPr>
        <xdr:cNvPr id="245" name="Rectangle: Rounded Corners 244">
          <a:extLst>
            <a:ext uri="{FF2B5EF4-FFF2-40B4-BE49-F238E27FC236}">
              <a16:creationId xmlns:a16="http://schemas.microsoft.com/office/drawing/2014/main" id="{00000000-0008-0000-0400-0000F5000000}"/>
            </a:ext>
          </a:extLst>
        </xdr:cNvPr>
        <xdr:cNvSpPr/>
      </xdr:nvSpPr>
      <xdr:spPr>
        <a:xfrm>
          <a:off x="2933700" y="13068300"/>
          <a:ext cx="16002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データなし</a:t>
          </a:r>
        </a:p>
      </xdr:txBody>
    </xdr:sp>
    <xdr:clientData/>
  </xdr:twoCellAnchor>
  <xdr:twoCellAnchor>
    <xdr:from>
      <xdr:col>3</xdr:col>
      <xdr:colOff>0</xdr:colOff>
      <xdr:row>68</xdr:row>
      <xdr:rowOff>0</xdr:rowOff>
    </xdr:from>
    <xdr:to>
      <xdr:col>7</xdr:col>
      <xdr:colOff>0</xdr:colOff>
      <xdr:row>69</xdr:row>
      <xdr:rowOff>0</xdr:rowOff>
    </xdr:to>
    <xdr:sp macro="" textlink="" fLocksText="0">
      <xdr:nvSpPr>
        <xdr:cNvPr id="246" name="Rectangle: Rounded Corners 245">
          <a:extLst>
            <a:ext uri="{FF2B5EF4-FFF2-40B4-BE49-F238E27FC236}">
              <a16:creationId xmlns:a16="http://schemas.microsoft.com/office/drawing/2014/main" id="{00000000-0008-0000-0400-0000F6000000}"/>
            </a:ext>
          </a:extLst>
        </xdr:cNvPr>
        <xdr:cNvSpPr/>
      </xdr:nvSpPr>
      <xdr:spPr>
        <a:xfrm>
          <a:off x="800100" y="13068300"/>
          <a:ext cx="10668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データあり</a:t>
          </a:r>
        </a:p>
      </xdr:txBody>
    </xdr:sp>
    <xdr:clientData/>
  </xdr:twoCellAnchor>
  <xdr:twoCellAnchor>
    <xdr:from>
      <xdr:col>14</xdr:col>
      <xdr:colOff>0</xdr:colOff>
      <xdr:row>69</xdr:row>
      <xdr:rowOff>0</xdr:rowOff>
    </xdr:from>
    <xdr:to>
      <xdr:col>14</xdr:col>
      <xdr:colOff>1</xdr:colOff>
      <xdr:row>71</xdr:row>
      <xdr:rowOff>0</xdr:rowOff>
    </xdr:to>
    <xdr:cxnSp macro="">
      <xdr:nvCxnSpPr>
        <xdr:cNvPr id="247" name="直線矢印コネクタ 1010">
          <a:extLst>
            <a:ext uri="{FF2B5EF4-FFF2-40B4-BE49-F238E27FC236}">
              <a16:creationId xmlns:a16="http://schemas.microsoft.com/office/drawing/2014/main" id="{00000000-0008-0000-0400-0000F7000000}"/>
            </a:ext>
          </a:extLst>
        </xdr:cNvPr>
        <xdr:cNvCxnSpPr>
          <a:stCxn id="245" idx="2"/>
          <a:endCxn id="244" idx="0"/>
        </xdr:cNvCxnSpPr>
      </xdr:nvCxnSpPr>
      <xdr:spPr>
        <a:xfrm flipH="1">
          <a:off x="3733800" y="13258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62</xdr:row>
      <xdr:rowOff>0</xdr:rowOff>
    </xdr:from>
    <xdr:to>
      <xdr:col>14</xdr:col>
      <xdr:colOff>1</xdr:colOff>
      <xdr:row>68</xdr:row>
      <xdr:rowOff>0</xdr:rowOff>
    </xdr:to>
    <xdr:cxnSp macro="">
      <xdr:nvCxnSpPr>
        <xdr:cNvPr id="248" name="Connector: Elbow 247">
          <a:extLst>
            <a:ext uri="{FF2B5EF4-FFF2-40B4-BE49-F238E27FC236}">
              <a16:creationId xmlns:a16="http://schemas.microsoft.com/office/drawing/2014/main" id="{00000000-0008-0000-0400-0000F8000000}"/>
            </a:ext>
          </a:extLst>
        </xdr:cNvPr>
        <xdr:cNvCxnSpPr>
          <a:stCxn id="191" idx="2"/>
          <a:endCxn id="245" idx="0"/>
        </xdr:cNvCxnSpPr>
      </xdr:nvCxnSpPr>
      <xdr:spPr>
        <a:xfrm rot="16200000" flipH="1">
          <a:off x="1333500" y="11925300"/>
          <a:ext cx="2400300" cy="1143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235323</xdr:colOff>
      <xdr:row>78</xdr:row>
      <xdr:rowOff>0</xdr:rowOff>
    </xdr:from>
    <xdr:to>
      <xdr:col>14</xdr:col>
      <xdr:colOff>235323</xdr:colOff>
      <xdr:row>79</xdr:row>
      <xdr:rowOff>0</xdr:rowOff>
    </xdr:to>
    <xdr:sp macro="" textlink="" fLocksText="0">
      <xdr:nvSpPr>
        <xdr:cNvPr id="249" name="Rectangle: Rounded Corners 248">
          <a:extLst>
            <a:ext uri="{FF2B5EF4-FFF2-40B4-BE49-F238E27FC236}">
              <a16:creationId xmlns:a16="http://schemas.microsoft.com/office/drawing/2014/main" id="{00000000-0008-0000-0400-0000F9000000}"/>
            </a:ext>
          </a:extLst>
        </xdr:cNvPr>
        <xdr:cNvSpPr/>
      </xdr:nvSpPr>
      <xdr:spPr>
        <a:xfrm>
          <a:off x="3438525" y="14973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</a:t>
          </a:r>
        </a:p>
      </xdr:txBody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78</xdr:row>
      <xdr:rowOff>0</xdr:rowOff>
    </xdr:to>
    <xdr:cxnSp macro="">
      <xdr:nvCxnSpPr>
        <xdr:cNvPr id="250" name="直線矢印コネクタ 1010">
          <a:extLst>
            <a:ext uri="{FF2B5EF4-FFF2-40B4-BE49-F238E27FC236}">
              <a16:creationId xmlns:a16="http://schemas.microsoft.com/office/drawing/2014/main" id="{00000000-0008-0000-0400-0000FA000000}"/>
            </a:ext>
          </a:extLst>
        </xdr:cNvPr>
        <xdr:cNvCxnSpPr>
          <a:stCxn id="244" idx="2"/>
          <a:endCxn id="249" idx="0"/>
        </xdr:cNvCxnSpPr>
      </xdr:nvCxnSpPr>
      <xdr:spPr>
        <a:xfrm>
          <a:off x="3733800" y="144018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69</xdr:row>
      <xdr:rowOff>0</xdr:rowOff>
    </xdr:from>
    <xdr:to>
      <xdr:col>5</xdr:col>
      <xdr:colOff>0</xdr:colOff>
      <xdr:row>77</xdr:row>
      <xdr:rowOff>0</xdr:rowOff>
    </xdr:to>
    <xdr:cxnSp macro="">
      <xdr:nvCxnSpPr>
        <xdr:cNvPr id="252" name="直線矢印コネクタ 1010">
          <a:extLst>
            <a:ext uri="{FF2B5EF4-FFF2-40B4-BE49-F238E27FC236}">
              <a16:creationId xmlns:a16="http://schemas.microsoft.com/office/drawing/2014/main" id="{00000000-0008-0000-0400-0000FC000000}"/>
            </a:ext>
          </a:extLst>
        </xdr:cNvPr>
        <xdr:cNvCxnSpPr>
          <a:stCxn id="246" idx="2"/>
          <a:endCxn id="259" idx="0"/>
        </xdr:cNvCxnSpPr>
      </xdr:nvCxnSpPr>
      <xdr:spPr>
        <a:xfrm>
          <a:off x="1333500" y="13258800"/>
          <a:ext cx="0" cy="1524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77</xdr:row>
      <xdr:rowOff>0</xdr:rowOff>
    </xdr:from>
    <xdr:to>
      <xdr:col>8</xdr:col>
      <xdr:colOff>0</xdr:colOff>
      <xdr:row>81</xdr:row>
      <xdr:rowOff>0</xdr:rowOff>
    </xdr:to>
    <xdr:sp macro="" textlink="" fLocksText="0">
      <xdr:nvSpPr>
        <xdr:cNvPr id="259" name="正方形/長方形 1">
          <a:extLst>
            <a:ext uri="{FF2B5EF4-FFF2-40B4-BE49-F238E27FC236}">
              <a16:creationId xmlns:a16="http://schemas.microsoft.com/office/drawing/2014/main" id="{00000000-0008-0000-0400-000003010000}"/>
            </a:ext>
          </a:extLst>
        </xdr:cNvPr>
        <xdr:cNvSpPr/>
      </xdr:nvSpPr>
      <xdr:spPr>
        <a:xfrm>
          <a:off x="533400" y="147828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SC7101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レジマスタ情報画面</a:t>
          </a:r>
        </a:p>
      </xdr:txBody>
    </xdr:sp>
    <xdr:clientData/>
  </xdr:twoCellAnchor>
  <xdr:twoCellAnchor>
    <xdr:from>
      <xdr:col>4</xdr:col>
      <xdr:colOff>0</xdr:colOff>
      <xdr:row>83</xdr:row>
      <xdr:rowOff>11205</xdr:rowOff>
    </xdr:from>
    <xdr:to>
      <xdr:col>6</xdr:col>
      <xdr:colOff>0</xdr:colOff>
      <xdr:row>84</xdr:row>
      <xdr:rowOff>11205</xdr:rowOff>
    </xdr:to>
    <xdr:sp macro="" textlink="" fLocksText="0">
      <xdr:nvSpPr>
        <xdr:cNvPr id="260" name="Rectangle: Rounded Corners 259">
          <a:extLst>
            <a:ext uri="{FF2B5EF4-FFF2-40B4-BE49-F238E27FC236}">
              <a16:creationId xmlns:a16="http://schemas.microsoft.com/office/drawing/2014/main" id="{00000000-0008-0000-0400-000004010000}"/>
            </a:ext>
          </a:extLst>
        </xdr:cNvPr>
        <xdr:cNvSpPr/>
      </xdr:nvSpPr>
      <xdr:spPr>
        <a:xfrm>
          <a:off x="1066800" y="15935325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</a:t>
          </a:r>
        </a:p>
      </xdr:txBody>
    </xdr:sp>
    <xdr:clientData/>
  </xdr:twoCellAnchor>
  <xdr:twoCellAnchor>
    <xdr:from>
      <xdr:col>5</xdr:col>
      <xdr:colOff>0</xdr:colOff>
      <xdr:row>81</xdr:row>
      <xdr:rowOff>0</xdr:rowOff>
    </xdr:from>
    <xdr:to>
      <xdr:col>5</xdr:col>
      <xdr:colOff>0</xdr:colOff>
      <xdr:row>83</xdr:row>
      <xdr:rowOff>11205</xdr:rowOff>
    </xdr:to>
    <xdr:cxnSp macro="">
      <xdr:nvCxnSpPr>
        <xdr:cNvPr id="261" name="直線矢印コネクタ 1010">
          <a:extLst>
            <a:ext uri="{FF2B5EF4-FFF2-40B4-BE49-F238E27FC236}">
              <a16:creationId xmlns:a16="http://schemas.microsoft.com/office/drawing/2014/main" id="{00000000-0008-0000-0400-000005010000}"/>
            </a:ext>
          </a:extLst>
        </xdr:cNvPr>
        <xdr:cNvCxnSpPr>
          <a:stCxn id="259" idx="2"/>
          <a:endCxn id="260" idx="0"/>
        </xdr:cNvCxnSpPr>
      </xdr:nvCxnSpPr>
      <xdr:spPr>
        <a:xfrm>
          <a:off x="1333500" y="15544800"/>
          <a:ext cx="0" cy="390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114</xdr:row>
      <xdr:rowOff>179294</xdr:rowOff>
    </xdr:from>
    <xdr:to>
      <xdr:col>6</xdr:col>
      <xdr:colOff>0</xdr:colOff>
      <xdr:row>115</xdr:row>
      <xdr:rowOff>179294</xdr:rowOff>
    </xdr:to>
    <xdr:sp macro="" textlink="" fLocksText="0">
      <xdr:nvSpPr>
        <xdr:cNvPr id="273" name="Rectangle: Rounded Corners 272">
          <a:extLst>
            <a:ext uri="{FF2B5EF4-FFF2-40B4-BE49-F238E27FC236}">
              <a16:creationId xmlns:a16="http://schemas.microsoft.com/office/drawing/2014/main" id="{00000000-0008-0000-0400-000011010000}"/>
            </a:ext>
          </a:extLst>
        </xdr:cNvPr>
        <xdr:cNvSpPr/>
      </xdr:nvSpPr>
      <xdr:spPr>
        <a:xfrm>
          <a:off x="1066800" y="22012275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71.1</a:t>
          </a:r>
        </a:p>
      </xdr:txBody>
    </xdr:sp>
    <xdr:clientData/>
  </xdr:twoCellAnchor>
  <xdr:twoCellAnchor>
    <xdr:from>
      <xdr:col>2</xdr:col>
      <xdr:colOff>0</xdr:colOff>
      <xdr:row>118</xdr:row>
      <xdr:rowOff>1</xdr:rowOff>
    </xdr:from>
    <xdr:to>
      <xdr:col>8</xdr:col>
      <xdr:colOff>0</xdr:colOff>
      <xdr:row>121</xdr:row>
      <xdr:rowOff>187453</xdr:rowOff>
    </xdr:to>
    <xdr:sp macro="" textlink="" fLocksText="0">
      <xdr:nvSpPr>
        <xdr:cNvPr id="274" name="四角形: 角を丸くする 3">
          <a:extLst>
            <a:ext uri="{FF2B5EF4-FFF2-40B4-BE49-F238E27FC236}">
              <a16:creationId xmlns:a16="http://schemas.microsoft.com/office/drawing/2014/main" id="{00000000-0008-0000-0400-000012010000}"/>
            </a:ext>
          </a:extLst>
        </xdr:cNvPr>
        <xdr:cNvSpPr/>
      </xdr:nvSpPr>
      <xdr:spPr>
        <a:xfrm>
          <a:off x="533400" y="22593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KN7103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レジ種別リスト取得機能</a:t>
          </a:r>
        </a:p>
      </xdr:txBody>
    </xdr:sp>
    <xdr:clientData/>
  </xdr:twoCellAnchor>
  <xdr:twoCellAnchor>
    <xdr:from>
      <xdr:col>2</xdr:col>
      <xdr:colOff>0</xdr:colOff>
      <xdr:row>126</xdr:row>
      <xdr:rowOff>0</xdr:rowOff>
    </xdr:from>
    <xdr:to>
      <xdr:col>8</xdr:col>
      <xdr:colOff>0</xdr:colOff>
      <xdr:row>130</xdr:row>
      <xdr:rowOff>0</xdr:rowOff>
    </xdr:to>
    <xdr:sp macro="" textlink="" fLocksText="0">
      <xdr:nvSpPr>
        <xdr:cNvPr id="275" name="正方形/長方形 1">
          <a:extLst>
            <a:ext uri="{FF2B5EF4-FFF2-40B4-BE49-F238E27FC236}">
              <a16:creationId xmlns:a16="http://schemas.microsoft.com/office/drawing/2014/main" id="{00000000-0008-0000-0400-000013010000}"/>
            </a:ext>
          </a:extLst>
        </xdr:cNvPr>
        <xdr:cNvSpPr/>
      </xdr:nvSpPr>
      <xdr:spPr>
        <a:xfrm>
          <a:off x="533400" y="24117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SC7102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レジ種別追加画面</a:t>
          </a:r>
        </a:p>
      </xdr:txBody>
    </xdr:sp>
    <xdr:clientData/>
  </xdr:twoCellAnchor>
  <xdr:twoCellAnchor>
    <xdr:from>
      <xdr:col>5</xdr:col>
      <xdr:colOff>0</xdr:colOff>
      <xdr:row>115</xdr:row>
      <xdr:rowOff>179294</xdr:rowOff>
    </xdr:from>
    <xdr:to>
      <xdr:col>5</xdr:col>
      <xdr:colOff>0</xdr:colOff>
      <xdr:row>118</xdr:row>
      <xdr:rowOff>1</xdr:rowOff>
    </xdr:to>
    <xdr:cxnSp macro="">
      <xdr:nvCxnSpPr>
        <xdr:cNvPr id="276" name="直線矢印コネクタ 1010">
          <a:extLst>
            <a:ext uri="{FF2B5EF4-FFF2-40B4-BE49-F238E27FC236}">
              <a16:creationId xmlns:a16="http://schemas.microsoft.com/office/drawing/2014/main" id="{00000000-0008-0000-0400-000014010000}"/>
            </a:ext>
          </a:extLst>
        </xdr:cNvPr>
        <xdr:cNvCxnSpPr>
          <a:stCxn id="273" idx="2"/>
          <a:endCxn id="274" idx="0"/>
        </xdr:cNvCxnSpPr>
      </xdr:nvCxnSpPr>
      <xdr:spPr>
        <a:xfrm>
          <a:off x="1333500" y="22202775"/>
          <a:ext cx="0" cy="390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121</xdr:row>
      <xdr:rowOff>187453</xdr:rowOff>
    </xdr:from>
    <xdr:to>
      <xdr:col>5</xdr:col>
      <xdr:colOff>0</xdr:colOff>
      <xdr:row>126</xdr:row>
      <xdr:rowOff>0</xdr:rowOff>
    </xdr:to>
    <xdr:cxnSp macro="">
      <xdr:nvCxnSpPr>
        <xdr:cNvPr id="277" name="直線矢印コネクタ 1010">
          <a:extLst>
            <a:ext uri="{FF2B5EF4-FFF2-40B4-BE49-F238E27FC236}">
              <a16:creationId xmlns:a16="http://schemas.microsoft.com/office/drawing/2014/main" id="{00000000-0008-0000-0400-000015010000}"/>
            </a:ext>
          </a:extLst>
        </xdr:cNvPr>
        <xdr:cNvCxnSpPr>
          <a:stCxn id="274" idx="2"/>
          <a:endCxn id="275" idx="0"/>
        </xdr:cNvCxnSpPr>
      </xdr:nvCxnSpPr>
      <xdr:spPr>
        <a:xfrm>
          <a:off x="1333500" y="233553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</xdr:colOff>
      <xdr:row>130</xdr:row>
      <xdr:rowOff>0</xdr:rowOff>
    </xdr:from>
    <xdr:to>
      <xdr:col>24</xdr:col>
      <xdr:colOff>0</xdr:colOff>
      <xdr:row>132</xdr:row>
      <xdr:rowOff>0</xdr:rowOff>
    </xdr:to>
    <xdr:cxnSp macro="">
      <xdr:nvCxnSpPr>
        <xdr:cNvPr id="289" name="Connector: Elbow 288">
          <a:extLst>
            <a:ext uri="{FF2B5EF4-FFF2-40B4-BE49-F238E27FC236}">
              <a16:creationId xmlns:a16="http://schemas.microsoft.com/office/drawing/2014/main" id="{00000000-0008-0000-0400-000021010000}"/>
            </a:ext>
          </a:extLst>
        </xdr:cNvPr>
        <xdr:cNvCxnSpPr>
          <a:stCxn id="275" idx="2"/>
          <a:endCxn id="552" idx="0"/>
        </xdr:cNvCxnSpPr>
      </xdr:nvCxnSpPr>
      <xdr:spPr>
        <a:xfrm rot="16200000" flipH="1">
          <a:off x="1333500" y="24879300"/>
          <a:ext cx="50673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235403</xdr:colOff>
      <xdr:row>130</xdr:row>
      <xdr:rowOff>0</xdr:rowOff>
    </xdr:from>
    <xdr:to>
      <xdr:col>13</xdr:col>
      <xdr:colOff>235403</xdr:colOff>
      <xdr:row>132</xdr:row>
      <xdr:rowOff>0</xdr:rowOff>
    </xdr:to>
    <xdr:cxnSp macro="">
      <xdr:nvCxnSpPr>
        <xdr:cNvPr id="292" name="Connector: Elbow 291">
          <a:extLst>
            <a:ext uri="{FF2B5EF4-FFF2-40B4-BE49-F238E27FC236}">
              <a16:creationId xmlns:a16="http://schemas.microsoft.com/office/drawing/2014/main" id="{00000000-0008-0000-0400-000024010000}"/>
            </a:ext>
          </a:extLst>
        </xdr:cNvPr>
        <xdr:cNvCxnSpPr>
          <a:stCxn id="275" idx="2"/>
          <a:endCxn id="451" idx="0"/>
        </xdr:cNvCxnSpPr>
      </xdr:nvCxnSpPr>
      <xdr:spPr>
        <a:xfrm rot="16200000" flipH="1">
          <a:off x="1304925" y="24879300"/>
          <a:ext cx="24003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244928</xdr:colOff>
      <xdr:row>130</xdr:row>
      <xdr:rowOff>0</xdr:rowOff>
    </xdr:from>
    <xdr:to>
      <xdr:col>19</xdr:col>
      <xdr:colOff>0</xdr:colOff>
      <xdr:row>132</xdr:row>
      <xdr:rowOff>0</xdr:rowOff>
    </xdr:to>
    <xdr:cxnSp macro="">
      <xdr:nvCxnSpPr>
        <xdr:cNvPr id="295" name="Connector: Elbow 294">
          <a:extLst>
            <a:ext uri="{FF2B5EF4-FFF2-40B4-BE49-F238E27FC236}">
              <a16:creationId xmlns:a16="http://schemas.microsoft.com/office/drawing/2014/main" id="{00000000-0008-0000-0400-000027010000}"/>
            </a:ext>
          </a:extLst>
        </xdr:cNvPr>
        <xdr:cNvCxnSpPr>
          <a:stCxn id="275" idx="2"/>
          <a:endCxn id="449" idx="0"/>
        </xdr:cNvCxnSpPr>
      </xdr:nvCxnSpPr>
      <xdr:spPr>
        <a:xfrm rot="16200000" flipH="1">
          <a:off x="1314450" y="24879300"/>
          <a:ext cx="375285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235322</xdr:colOff>
      <xdr:row>170</xdr:row>
      <xdr:rowOff>0</xdr:rowOff>
    </xdr:from>
    <xdr:to>
      <xdr:col>5</xdr:col>
      <xdr:colOff>235322</xdr:colOff>
      <xdr:row>171</xdr:row>
      <xdr:rowOff>0</xdr:rowOff>
    </xdr:to>
    <xdr:sp macro="" textlink="" fLocksText="0">
      <xdr:nvSpPr>
        <xdr:cNvPr id="303" name="Rectangle: Rounded Corners 302">
          <a:extLst>
            <a:ext uri="{FF2B5EF4-FFF2-40B4-BE49-F238E27FC236}">
              <a16:creationId xmlns:a16="http://schemas.microsoft.com/office/drawing/2014/main" id="{00000000-0008-0000-0400-00002F010000}"/>
            </a:ext>
          </a:extLst>
        </xdr:cNvPr>
        <xdr:cNvSpPr/>
      </xdr:nvSpPr>
      <xdr:spPr>
        <a:xfrm>
          <a:off x="1038225" y="32499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71.2</a:t>
          </a:r>
        </a:p>
      </xdr:txBody>
    </xdr:sp>
    <xdr:clientData/>
  </xdr:twoCellAnchor>
  <xdr:twoCellAnchor>
    <xdr:from>
      <xdr:col>4</xdr:col>
      <xdr:colOff>235323</xdr:colOff>
      <xdr:row>171</xdr:row>
      <xdr:rowOff>0</xdr:rowOff>
    </xdr:from>
    <xdr:to>
      <xdr:col>5</xdr:col>
      <xdr:colOff>0</xdr:colOff>
      <xdr:row>173</xdr:row>
      <xdr:rowOff>0</xdr:rowOff>
    </xdr:to>
    <xdr:cxnSp macro="">
      <xdr:nvCxnSpPr>
        <xdr:cNvPr id="307" name="直線矢印コネクタ 1010">
          <a:extLst>
            <a:ext uri="{FF2B5EF4-FFF2-40B4-BE49-F238E27FC236}">
              <a16:creationId xmlns:a16="http://schemas.microsoft.com/office/drawing/2014/main" id="{00000000-0008-0000-0400-000033010000}"/>
            </a:ext>
          </a:extLst>
        </xdr:cNvPr>
        <xdr:cNvCxnSpPr>
          <a:stCxn id="303" idx="2"/>
          <a:endCxn id="523" idx="0"/>
        </xdr:cNvCxnSpPr>
      </xdr:nvCxnSpPr>
      <xdr:spPr>
        <a:xfrm>
          <a:off x="1304925" y="32689800"/>
          <a:ext cx="28575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235322</xdr:colOff>
      <xdr:row>199</xdr:row>
      <xdr:rowOff>0</xdr:rowOff>
    </xdr:from>
    <xdr:to>
      <xdr:col>5</xdr:col>
      <xdr:colOff>235322</xdr:colOff>
      <xdr:row>200</xdr:row>
      <xdr:rowOff>0</xdr:rowOff>
    </xdr:to>
    <xdr:sp macro="" textlink="" fLocksText="0">
      <xdr:nvSpPr>
        <xdr:cNvPr id="309" name="Rectangle: Rounded Corners 308">
          <a:extLst>
            <a:ext uri="{FF2B5EF4-FFF2-40B4-BE49-F238E27FC236}">
              <a16:creationId xmlns:a16="http://schemas.microsoft.com/office/drawing/2014/main" id="{00000000-0008-0000-0400-000035010000}"/>
            </a:ext>
          </a:extLst>
        </xdr:cNvPr>
        <xdr:cNvSpPr/>
      </xdr:nvSpPr>
      <xdr:spPr>
        <a:xfrm>
          <a:off x="1038225" y="38023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71.3</a:t>
          </a:r>
        </a:p>
      </xdr:txBody>
    </xdr:sp>
    <xdr:clientData/>
  </xdr:twoCellAnchor>
  <xdr:twoCellAnchor>
    <xdr:from>
      <xdr:col>2</xdr:col>
      <xdr:colOff>0</xdr:colOff>
      <xdr:row>202</xdr:row>
      <xdr:rowOff>0</xdr:rowOff>
    </xdr:from>
    <xdr:to>
      <xdr:col>8</xdr:col>
      <xdr:colOff>0</xdr:colOff>
      <xdr:row>205</xdr:row>
      <xdr:rowOff>187452</xdr:rowOff>
    </xdr:to>
    <xdr:sp macro="" textlink="" fLocksText="0">
      <xdr:nvSpPr>
        <xdr:cNvPr id="310" name="四角形: 角を丸くする 3">
          <a:extLst>
            <a:ext uri="{FF2B5EF4-FFF2-40B4-BE49-F238E27FC236}">
              <a16:creationId xmlns:a16="http://schemas.microsoft.com/office/drawing/2014/main" id="{00000000-0008-0000-0400-000036010000}"/>
            </a:ext>
          </a:extLst>
        </xdr:cNvPr>
        <xdr:cNvSpPr/>
      </xdr:nvSpPr>
      <xdr:spPr>
        <a:xfrm>
          <a:off x="533400" y="38595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KN7106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csv出力機能</a:t>
          </a:r>
        </a:p>
      </xdr:txBody>
    </xdr:sp>
    <xdr:clientData/>
  </xdr:twoCellAnchor>
  <xdr:twoCellAnchor>
    <xdr:from>
      <xdr:col>4</xdr:col>
      <xdr:colOff>235323</xdr:colOff>
      <xdr:row>200</xdr:row>
      <xdr:rowOff>0</xdr:rowOff>
    </xdr:from>
    <xdr:to>
      <xdr:col>5</xdr:col>
      <xdr:colOff>0</xdr:colOff>
      <xdr:row>202</xdr:row>
      <xdr:rowOff>0</xdr:rowOff>
    </xdr:to>
    <xdr:cxnSp macro="">
      <xdr:nvCxnSpPr>
        <xdr:cNvPr id="311" name="直線矢印コネクタ 1010">
          <a:extLst>
            <a:ext uri="{FF2B5EF4-FFF2-40B4-BE49-F238E27FC236}">
              <a16:creationId xmlns:a16="http://schemas.microsoft.com/office/drawing/2014/main" id="{00000000-0008-0000-0400-000037010000}"/>
            </a:ext>
          </a:extLst>
        </xdr:cNvPr>
        <xdr:cNvCxnSpPr>
          <a:stCxn id="309" idx="2"/>
          <a:endCxn id="310" idx="0"/>
        </xdr:cNvCxnSpPr>
      </xdr:nvCxnSpPr>
      <xdr:spPr>
        <a:xfrm>
          <a:off x="1304925" y="38214300"/>
          <a:ext cx="28575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205</xdr:row>
      <xdr:rowOff>187452</xdr:rowOff>
    </xdr:from>
    <xdr:to>
      <xdr:col>5</xdr:col>
      <xdr:colOff>0</xdr:colOff>
      <xdr:row>208</xdr:row>
      <xdr:rowOff>0</xdr:rowOff>
    </xdr:to>
    <xdr:cxnSp macro="">
      <xdr:nvCxnSpPr>
        <xdr:cNvPr id="312" name="直線矢印コネクタ 1010">
          <a:extLst>
            <a:ext uri="{FF2B5EF4-FFF2-40B4-BE49-F238E27FC236}">
              <a16:creationId xmlns:a16="http://schemas.microsoft.com/office/drawing/2014/main" id="{00000000-0008-0000-0400-000038010000}"/>
            </a:ext>
          </a:extLst>
        </xdr:cNvPr>
        <xdr:cNvCxnSpPr>
          <a:stCxn id="310" idx="2"/>
          <a:endCxn id="313" idx="0"/>
        </xdr:cNvCxnSpPr>
      </xdr:nvCxnSpPr>
      <xdr:spPr>
        <a:xfrm>
          <a:off x="1333500" y="39357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208</xdr:row>
      <xdr:rowOff>0</xdr:rowOff>
    </xdr:from>
    <xdr:to>
      <xdr:col>6</xdr:col>
      <xdr:colOff>0</xdr:colOff>
      <xdr:row>209</xdr:row>
      <xdr:rowOff>0</xdr:rowOff>
    </xdr:to>
    <xdr:sp macro="" textlink="" fLocksText="0">
      <xdr:nvSpPr>
        <xdr:cNvPr id="313" name="Rectangle: Rounded Corners 312">
          <a:extLst>
            <a:ext uri="{FF2B5EF4-FFF2-40B4-BE49-F238E27FC236}">
              <a16:creationId xmlns:a16="http://schemas.microsoft.com/office/drawing/2014/main" id="{00000000-0008-0000-0400-000039010000}"/>
            </a:ext>
          </a:extLst>
        </xdr:cNvPr>
        <xdr:cNvSpPr/>
      </xdr:nvSpPr>
      <xdr:spPr>
        <a:xfrm>
          <a:off x="1066800" y="39738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</a:t>
          </a:r>
        </a:p>
      </xdr:txBody>
    </xdr:sp>
    <xdr:clientData/>
  </xdr:twoCellAnchor>
  <xdr:twoCellAnchor>
    <xdr:from>
      <xdr:col>3</xdr:col>
      <xdr:colOff>235322</xdr:colOff>
      <xdr:row>212</xdr:row>
      <xdr:rowOff>0</xdr:rowOff>
    </xdr:from>
    <xdr:to>
      <xdr:col>5</xdr:col>
      <xdr:colOff>235322</xdr:colOff>
      <xdr:row>213</xdr:row>
      <xdr:rowOff>0</xdr:rowOff>
    </xdr:to>
    <xdr:sp macro="" textlink="" fLocksText="0">
      <xdr:nvSpPr>
        <xdr:cNvPr id="314" name="Rectangle: Rounded Corners 313">
          <a:extLst>
            <a:ext uri="{FF2B5EF4-FFF2-40B4-BE49-F238E27FC236}">
              <a16:creationId xmlns:a16="http://schemas.microsoft.com/office/drawing/2014/main" id="{00000000-0008-0000-0400-00003A010000}"/>
            </a:ext>
          </a:extLst>
        </xdr:cNvPr>
        <xdr:cNvSpPr/>
      </xdr:nvSpPr>
      <xdr:spPr>
        <a:xfrm>
          <a:off x="1038225" y="40500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71.5</a:t>
          </a:r>
        </a:p>
      </xdr:txBody>
    </xdr:sp>
    <xdr:clientData/>
  </xdr:twoCellAnchor>
  <xdr:twoCellAnchor>
    <xdr:from>
      <xdr:col>5</xdr:col>
      <xdr:colOff>0</xdr:colOff>
      <xdr:row>230</xdr:row>
      <xdr:rowOff>0</xdr:rowOff>
    </xdr:from>
    <xdr:to>
      <xdr:col>5</xdr:col>
      <xdr:colOff>1</xdr:colOff>
      <xdr:row>235</xdr:row>
      <xdr:rowOff>190499</xdr:rowOff>
    </xdr:to>
    <xdr:cxnSp macro="">
      <xdr:nvCxnSpPr>
        <xdr:cNvPr id="317" name="直線矢印コネクタ 1010">
          <a:extLst>
            <a:ext uri="{FF2B5EF4-FFF2-40B4-BE49-F238E27FC236}">
              <a16:creationId xmlns:a16="http://schemas.microsoft.com/office/drawing/2014/main" id="{00000000-0008-0000-0400-00003D010000}"/>
            </a:ext>
          </a:extLst>
        </xdr:cNvPr>
        <xdr:cNvCxnSpPr>
          <a:stCxn id="345" idx="2"/>
          <a:endCxn id="349" idx="0"/>
        </xdr:cNvCxnSpPr>
      </xdr:nvCxnSpPr>
      <xdr:spPr>
        <a:xfrm>
          <a:off x="1333500" y="43929300"/>
          <a:ext cx="0" cy="1143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235323</xdr:colOff>
      <xdr:row>213</xdr:row>
      <xdr:rowOff>0</xdr:rowOff>
    </xdr:from>
    <xdr:to>
      <xdr:col>4</xdr:col>
      <xdr:colOff>235323</xdr:colOff>
      <xdr:row>215</xdr:row>
      <xdr:rowOff>0</xdr:rowOff>
    </xdr:to>
    <xdr:cxnSp macro="">
      <xdr:nvCxnSpPr>
        <xdr:cNvPr id="331" name="直線矢印コネクタ 1010">
          <a:extLst>
            <a:ext uri="{FF2B5EF4-FFF2-40B4-BE49-F238E27FC236}">
              <a16:creationId xmlns:a16="http://schemas.microsoft.com/office/drawing/2014/main" id="{00000000-0008-0000-0400-00004B010000}"/>
            </a:ext>
          </a:extLst>
        </xdr:cNvPr>
        <xdr:cNvCxnSpPr>
          <a:stCxn id="314" idx="2"/>
          <a:endCxn id="334" idx="0"/>
        </xdr:cNvCxnSpPr>
      </xdr:nvCxnSpPr>
      <xdr:spPr>
        <a:xfrm>
          <a:off x="1304925" y="40690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222</xdr:row>
      <xdr:rowOff>0</xdr:rowOff>
    </xdr:from>
    <xdr:to>
      <xdr:col>17</xdr:col>
      <xdr:colOff>0</xdr:colOff>
      <xdr:row>226</xdr:row>
      <xdr:rowOff>0</xdr:rowOff>
    </xdr:to>
    <xdr:sp macro="" textlink="" fLocksText="0">
      <xdr:nvSpPr>
        <xdr:cNvPr id="332" name="正方形/長方形 19">
          <a:extLst>
            <a:ext uri="{FF2B5EF4-FFF2-40B4-BE49-F238E27FC236}">
              <a16:creationId xmlns:a16="http://schemas.microsoft.com/office/drawing/2014/main" id="{00000000-0008-0000-0400-00004C010000}"/>
            </a:ext>
          </a:extLst>
        </xdr:cNvPr>
        <xdr:cNvSpPr/>
      </xdr:nvSpPr>
      <xdr:spPr>
        <a:xfrm>
          <a:off x="2933700" y="42405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MD_ERROR
Data not found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11</xdr:col>
      <xdr:colOff>0</xdr:colOff>
      <xdr:row>215</xdr:row>
      <xdr:rowOff>0</xdr:rowOff>
    </xdr:from>
    <xdr:to>
      <xdr:col>17</xdr:col>
      <xdr:colOff>11206</xdr:colOff>
      <xdr:row>216</xdr:row>
      <xdr:rowOff>0</xdr:rowOff>
    </xdr:to>
    <xdr:sp macro="" textlink="" fLocksText="0">
      <xdr:nvSpPr>
        <xdr:cNvPr id="333" name="Rectangle: Rounded Corners 332">
          <a:extLst>
            <a:ext uri="{FF2B5EF4-FFF2-40B4-BE49-F238E27FC236}">
              <a16:creationId xmlns:a16="http://schemas.microsoft.com/office/drawing/2014/main" id="{00000000-0008-0000-0400-00004D010000}"/>
            </a:ext>
          </a:extLst>
        </xdr:cNvPr>
        <xdr:cNvSpPr/>
      </xdr:nvSpPr>
      <xdr:spPr>
        <a:xfrm>
          <a:off x="2933700" y="41071800"/>
          <a:ext cx="1609725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データが選択されていない</a:t>
          </a:r>
        </a:p>
      </xdr:txBody>
    </xdr:sp>
    <xdr:clientData/>
  </xdr:twoCellAnchor>
  <xdr:twoCellAnchor>
    <xdr:from>
      <xdr:col>2</xdr:col>
      <xdr:colOff>235322</xdr:colOff>
      <xdr:row>215</xdr:row>
      <xdr:rowOff>0</xdr:rowOff>
    </xdr:from>
    <xdr:to>
      <xdr:col>6</xdr:col>
      <xdr:colOff>235323</xdr:colOff>
      <xdr:row>216</xdr:row>
      <xdr:rowOff>0</xdr:rowOff>
    </xdr:to>
    <xdr:sp macro="" textlink="" fLocksText="0">
      <xdr:nvSpPr>
        <xdr:cNvPr id="334" name="Rectangle: Rounded Corners 333">
          <a:extLst>
            <a:ext uri="{FF2B5EF4-FFF2-40B4-BE49-F238E27FC236}">
              <a16:creationId xmlns:a16="http://schemas.microsoft.com/office/drawing/2014/main" id="{00000000-0008-0000-0400-00004E010000}"/>
            </a:ext>
          </a:extLst>
        </xdr:cNvPr>
        <xdr:cNvSpPr/>
      </xdr:nvSpPr>
      <xdr:spPr>
        <a:xfrm>
          <a:off x="771525" y="41071800"/>
          <a:ext cx="10668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データが選択された</a:t>
          </a:r>
        </a:p>
      </xdr:txBody>
    </xdr:sp>
    <xdr:clientData/>
  </xdr:twoCellAnchor>
  <xdr:twoCellAnchor>
    <xdr:from>
      <xdr:col>14</xdr:col>
      <xdr:colOff>1</xdr:colOff>
      <xdr:row>216</xdr:row>
      <xdr:rowOff>0</xdr:rowOff>
    </xdr:from>
    <xdr:to>
      <xdr:col>14</xdr:col>
      <xdr:colOff>5604</xdr:colOff>
      <xdr:row>222</xdr:row>
      <xdr:rowOff>0</xdr:rowOff>
    </xdr:to>
    <xdr:cxnSp macro="">
      <xdr:nvCxnSpPr>
        <xdr:cNvPr id="335" name="直線矢印コネクタ 1010">
          <a:extLst>
            <a:ext uri="{FF2B5EF4-FFF2-40B4-BE49-F238E27FC236}">
              <a16:creationId xmlns:a16="http://schemas.microsoft.com/office/drawing/2014/main" id="{00000000-0008-0000-0400-00004F010000}"/>
            </a:ext>
          </a:extLst>
        </xdr:cNvPr>
        <xdr:cNvCxnSpPr>
          <a:stCxn id="333" idx="2"/>
          <a:endCxn id="332" idx="0"/>
        </xdr:cNvCxnSpPr>
      </xdr:nvCxnSpPr>
      <xdr:spPr>
        <a:xfrm flipH="1">
          <a:off x="3733800" y="41262300"/>
          <a:ext cx="9525" cy="1143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235323</xdr:colOff>
      <xdr:row>213</xdr:row>
      <xdr:rowOff>0</xdr:rowOff>
    </xdr:from>
    <xdr:to>
      <xdr:col>14</xdr:col>
      <xdr:colOff>5604</xdr:colOff>
      <xdr:row>215</xdr:row>
      <xdr:rowOff>0</xdr:rowOff>
    </xdr:to>
    <xdr:cxnSp macro="">
      <xdr:nvCxnSpPr>
        <xdr:cNvPr id="336" name="Connector: Elbow 335">
          <a:extLst>
            <a:ext uri="{FF2B5EF4-FFF2-40B4-BE49-F238E27FC236}">
              <a16:creationId xmlns:a16="http://schemas.microsoft.com/office/drawing/2014/main" id="{00000000-0008-0000-0400-000050010000}"/>
            </a:ext>
          </a:extLst>
        </xdr:cNvPr>
        <xdr:cNvCxnSpPr>
          <a:stCxn id="314" idx="2"/>
          <a:endCxn id="333" idx="0"/>
        </xdr:cNvCxnSpPr>
      </xdr:nvCxnSpPr>
      <xdr:spPr>
        <a:xfrm rot="16200000" flipH="1">
          <a:off x="1304925" y="40690800"/>
          <a:ext cx="24384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227</xdr:row>
      <xdr:rowOff>0</xdr:rowOff>
    </xdr:from>
    <xdr:to>
      <xdr:col>15</xdr:col>
      <xdr:colOff>0</xdr:colOff>
      <xdr:row>228</xdr:row>
      <xdr:rowOff>0</xdr:rowOff>
    </xdr:to>
    <xdr:sp macro="" textlink="" fLocksText="0">
      <xdr:nvSpPr>
        <xdr:cNvPr id="337" name="Rectangle: Rounded Corners 336">
          <a:extLst>
            <a:ext uri="{FF2B5EF4-FFF2-40B4-BE49-F238E27FC236}">
              <a16:creationId xmlns:a16="http://schemas.microsoft.com/office/drawing/2014/main" id="{00000000-0008-0000-0400-000051010000}"/>
            </a:ext>
          </a:extLst>
        </xdr:cNvPr>
        <xdr:cNvSpPr/>
      </xdr:nvSpPr>
      <xdr:spPr>
        <a:xfrm>
          <a:off x="3467100" y="43357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</a:t>
          </a:r>
        </a:p>
      </xdr:txBody>
    </xdr:sp>
    <xdr:clientData/>
  </xdr:twoCellAnchor>
  <xdr:twoCellAnchor>
    <xdr:from>
      <xdr:col>14</xdr:col>
      <xdr:colOff>1</xdr:colOff>
      <xdr:row>226</xdr:row>
      <xdr:rowOff>0</xdr:rowOff>
    </xdr:from>
    <xdr:to>
      <xdr:col>14</xdr:col>
      <xdr:colOff>1</xdr:colOff>
      <xdr:row>227</xdr:row>
      <xdr:rowOff>0</xdr:rowOff>
    </xdr:to>
    <xdr:cxnSp macro="">
      <xdr:nvCxnSpPr>
        <xdr:cNvPr id="338" name="直線矢印コネクタ 1010">
          <a:extLst>
            <a:ext uri="{FF2B5EF4-FFF2-40B4-BE49-F238E27FC236}">
              <a16:creationId xmlns:a16="http://schemas.microsoft.com/office/drawing/2014/main" id="{00000000-0008-0000-0400-000052010000}"/>
            </a:ext>
          </a:extLst>
        </xdr:cNvPr>
        <xdr:cNvCxnSpPr>
          <a:stCxn id="332" idx="2"/>
          <a:endCxn id="337" idx="0"/>
        </xdr:cNvCxnSpPr>
      </xdr:nvCxnSpPr>
      <xdr:spPr>
        <a:xfrm>
          <a:off x="3733800" y="43167300"/>
          <a:ext cx="0" cy="190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226</xdr:row>
      <xdr:rowOff>0</xdr:rowOff>
    </xdr:from>
    <xdr:to>
      <xdr:col>8</xdr:col>
      <xdr:colOff>0</xdr:colOff>
      <xdr:row>230</xdr:row>
      <xdr:rowOff>0</xdr:rowOff>
    </xdr:to>
    <xdr:sp macro="" textlink="" fLocksText="0">
      <xdr:nvSpPr>
        <xdr:cNvPr id="345" name="正方形/長方形 19">
          <a:extLst>
            <a:ext uri="{FF2B5EF4-FFF2-40B4-BE49-F238E27FC236}">
              <a16:creationId xmlns:a16="http://schemas.microsoft.com/office/drawing/2014/main" id="{00000000-0008-0000-0400-000059010000}"/>
            </a:ext>
          </a:extLst>
        </xdr:cNvPr>
        <xdr:cNvSpPr/>
      </xdr:nvSpPr>
      <xdr:spPr>
        <a:xfrm>
          <a:off x="533400" y="43167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MD7101_ノードマスタ設定編集モダール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3</xdr:col>
      <xdr:colOff>1</xdr:colOff>
      <xdr:row>235</xdr:row>
      <xdr:rowOff>190499</xdr:rowOff>
    </xdr:from>
    <xdr:to>
      <xdr:col>7</xdr:col>
      <xdr:colOff>1</xdr:colOff>
      <xdr:row>237</xdr:row>
      <xdr:rowOff>0</xdr:rowOff>
    </xdr:to>
    <xdr:sp macro="" textlink="" fLocksText="0">
      <xdr:nvSpPr>
        <xdr:cNvPr id="349" name="四角形: 角を丸くする 1101">
          <a:extLst>
            <a:ext uri="{FF2B5EF4-FFF2-40B4-BE49-F238E27FC236}">
              <a16:creationId xmlns:a16="http://schemas.microsoft.com/office/drawing/2014/main" id="{00000000-0008-0000-0400-00005D010000}"/>
            </a:ext>
          </a:extLst>
        </xdr:cNvPr>
        <xdr:cNvSpPr/>
      </xdr:nvSpPr>
      <xdr:spPr>
        <a:xfrm>
          <a:off x="800100" y="45072300"/>
          <a:ext cx="1066800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r>
            <a:rPr lang="ja-JP" altLang="en-US" sz="1100" b="1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閉じる</a:t>
          </a:r>
          <a:endParaRPr lang="en-US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12</xdr:col>
      <xdr:colOff>2</xdr:colOff>
      <xdr:row>236</xdr:row>
      <xdr:rowOff>1</xdr:rowOff>
    </xdr:from>
    <xdr:to>
      <xdr:col>16</xdr:col>
      <xdr:colOff>1</xdr:colOff>
      <xdr:row>237</xdr:row>
      <xdr:rowOff>1</xdr:rowOff>
    </xdr:to>
    <xdr:sp macro="" textlink="" fLocksText="0">
      <xdr:nvSpPr>
        <xdr:cNvPr id="350" name="四角形: 角を丸くする 1101">
          <a:extLst>
            <a:ext uri="{FF2B5EF4-FFF2-40B4-BE49-F238E27FC236}">
              <a16:creationId xmlns:a16="http://schemas.microsoft.com/office/drawing/2014/main" id="{00000000-0008-0000-0400-00005E010000}"/>
            </a:ext>
          </a:extLst>
        </xdr:cNvPr>
        <xdr:cNvSpPr/>
      </xdr:nvSpPr>
      <xdr:spPr>
        <a:xfrm>
          <a:off x="3200400" y="45072300"/>
          <a:ext cx="1066800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r>
            <a:rPr lang="en-US" altLang="ja-JP" sz="1100" b="1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確定</a:t>
          </a:r>
          <a:endParaRPr lang="en-US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229</xdr:row>
      <xdr:rowOff>190499</xdr:rowOff>
    </xdr:from>
    <xdr:to>
      <xdr:col>14</xdr:col>
      <xdr:colOff>2</xdr:colOff>
      <xdr:row>236</xdr:row>
      <xdr:rowOff>0</xdr:rowOff>
    </xdr:to>
    <xdr:cxnSp macro="">
      <xdr:nvCxnSpPr>
        <xdr:cNvPr id="359" name="Connector: Elbow 358">
          <a:extLst>
            <a:ext uri="{FF2B5EF4-FFF2-40B4-BE49-F238E27FC236}">
              <a16:creationId xmlns:a16="http://schemas.microsoft.com/office/drawing/2014/main" id="{00000000-0008-0000-0400-000067010000}"/>
            </a:ext>
          </a:extLst>
        </xdr:cNvPr>
        <xdr:cNvCxnSpPr>
          <a:stCxn id="345" idx="2"/>
          <a:endCxn id="350" idx="0"/>
        </xdr:cNvCxnSpPr>
      </xdr:nvCxnSpPr>
      <xdr:spPr>
        <a:xfrm rot="16200000" flipH="1">
          <a:off x="1333500" y="43929300"/>
          <a:ext cx="2400300" cy="1143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237</xdr:row>
      <xdr:rowOff>0</xdr:rowOff>
    </xdr:from>
    <xdr:to>
      <xdr:col>5</xdr:col>
      <xdr:colOff>1</xdr:colOff>
      <xdr:row>240</xdr:row>
      <xdr:rowOff>11206</xdr:rowOff>
    </xdr:to>
    <xdr:cxnSp macro="">
      <xdr:nvCxnSpPr>
        <xdr:cNvPr id="362" name="直線矢印コネクタ 1010">
          <a:extLst>
            <a:ext uri="{FF2B5EF4-FFF2-40B4-BE49-F238E27FC236}">
              <a16:creationId xmlns:a16="http://schemas.microsoft.com/office/drawing/2014/main" id="{00000000-0008-0000-0400-00006A010000}"/>
            </a:ext>
          </a:extLst>
        </xdr:cNvPr>
        <xdr:cNvCxnSpPr>
          <a:stCxn id="349" idx="2"/>
          <a:endCxn id="363" idx="0"/>
        </xdr:cNvCxnSpPr>
      </xdr:nvCxnSpPr>
      <xdr:spPr>
        <a:xfrm flipH="1">
          <a:off x="1333500" y="45262800"/>
          <a:ext cx="0" cy="581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240</xdr:row>
      <xdr:rowOff>11206</xdr:rowOff>
    </xdr:from>
    <xdr:to>
      <xdr:col>6</xdr:col>
      <xdr:colOff>0</xdr:colOff>
      <xdr:row>241</xdr:row>
      <xdr:rowOff>0</xdr:rowOff>
    </xdr:to>
    <xdr:sp macro="" textlink="" fLocksText="0">
      <xdr:nvSpPr>
        <xdr:cNvPr id="363" name="Rectangle: Rounded Corners 362">
          <a:extLst>
            <a:ext uri="{FF2B5EF4-FFF2-40B4-BE49-F238E27FC236}">
              <a16:creationId xmlns:a16="http://schemas.microsoft.com/office/drawing/2014/main" id="{00000000-0008-0000-0400-00006B010000}"/>
            </a:ext>
          </a:extLst>
        </xdr:cNvPr>
        <xdr:cNvSpPr/>
      </xdr:nvSpPr>
      <xdr:spPr>
        <a:xfrm>
          <a:off x="1066800" y="45843825"/>
          <a:ext cx="533400" cy="18097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</a:t>
          </a:r>
        </a:p>
      </xdr:txBody>
    </xdr:sp>
    <xdr:clientData/>
  </xdr:twoCellAnchor>
  <xdr:twoCellAnchor>
    <xdr:from>
      <xdr:col>14</xdr:col>
      <xdr:colOff>1</xdr:colOff>
      <xdr:row>237</xdr:row>
      <xdr:rowOff>1</xdr:rowOff>
    </xdr:from>
    <xdr:to>
      <xdr:col>14</xdr:col>
      <xdr:colOff>2</xdr:colOff>
      <xdr:row>240</xdr:row>
      <xdr:rowOff>0</xdr:rowOff>
    </xdr:to>
    <xdr:cxnSp macro="">
      <xdr:nvCxnSpPr>
        <xdr:cNvPr id="364" name="直線矢印コネクタ 1010">
          <a:extLst>
            <a:ext uri="{FF2B5EF4-FFF2-40B4-BE49-F238E27FC236}">
              <a16:creationId xmlns:a16="http://schemas.microsoft.com/office/drawing/2014/main" id="{00000000-0008-0000-0400-00006C010000}"/>
            </a:ext>
          </a:extLst>
        </xdr:cNvPr>
        <xdr:cNvCxnSpPr>
          <a:stCxn id="350" idx="2"/>
          <a:endCxn id="366" idx="0"/>
        </xdr:cNvCxnSpPr>
      </xdr:nvCxnSpPr>
      <xdr:spPr>
        <a:xfrm flipH="1">
          <a:off x="3733800" y="452628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240</xdr:row>
      <xdr:rowOff>0</xdr:rowOff>
    </xdr:from>
    <xdr:to>
      <xdr:col>17</xdr:col>
      <xdr:colOff>0</xdr:colOff>
      <xdr:row>243</xdr:row>
      <xdr:rowOff>187452</xdr:rowOff>
    </xdr:to>
    <xdr:sp macro="" textlink="" fLocksText="0">
      <xdr:nvSpPr>
        <xdr:cNvPr id="366" name="四角形: 角を丸くする 3">
          <a:extLst>
            <a:ext uri="{FF2B5EF4-FFF2-40B4-BE49-F238E27FC236}">
              <a16:creationId xmlns:a16="http://schemas.microsoft.com/office/drawing/2014/main" id="{00000000-0008-0000-0400-00006E010000}"/>
            </a:ext>
          </a:extLst>
        </xdr:cNvPr>
        <xdr:cNvSpPr/>
      </xdr:nvSpPr>
      <xdr:spPr>
        <a:xfrm>
          <a:off x="2933700" y="45834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KN7107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入力項目バリデーションチェック機能</a:t>
          </a:r>
        </a:p>
      </xdr:txBody>
    </xdr:sp>
    <xdr:clientData/>
  </xdr:twoCellAnchor>
  <xdr:twoCellAnchor>
    <xdr:from>
      <xdr:col>14</xdr:col>
      <xdr:colOff>1</xdr:colOff>
      <xdr:row>243</xdr:row>
      <xdr:rowOff>187452</xdr:rowOff>
    </xdr:from>
    <xdr:to>
      <xdr:col>14</xdr:col>
      <xdr:colOff>1</xdr:colOff>
      <xdr:row>247</xdr:row>
      <xdr:rowOff>0</xdr:rowOff>
    </xdr:to>
    <xdr:cxnSp macro="">
      <xdr:nvCxnSpPr>
        <xdr:cNvPr id="377" name="直線矢印コネクタ 1010">
          <a:extLst>
            <a:ext uri="{FF2B5EF4-FFF2-40B4-BE49-F238E27FC236}">
              <a16:creationId xmlns:a16="http://schemas.microsoft.com/office/drawing/2014/main" id="{00000000-0008-0000-0400-000079010000}"/>
            </a:ext>
          </a:extLst>
        </xdr:cNvPr>
        <xdr:cNvCxnSpPr>
          <a:stCxn id="366" idx="2"/>
          <a:endCxn id="380" idx="0"/>
        </xdr:cNvCxnSpPr>
      </xdr:nvCxnSpPr>
      <xdr:spPr>
        <a:xfrm>
          <a:off x="3733800" y="465963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249</xdr:row>
      <xdr:rowOff>0</xdr:rowOff>
    </xdr:from>
    <xdr:to>
      <xdr:col>26</xdr:col>
      <xdr:colOff>0</xdr:colOff>
      <xdr:row>253</xdr:row>
      <xdr:rowOff>0</xdr:rowOff>
    </xdr:to>
    <xdr:sp macro="" textlink="" fLocksText="0">
      <xdr:nvSpPr>
        <xdr:cNvPr id="378" name="正方形/長方形 19">
          <a:extLst>
            <a:ext uri="{FF2B5EF4-FFF2-40B4-BE49-F238E27FC236}">
              <a16:creationId xmlns:a16="http://schemas.microsoft.com/office/drawing/2014/main" id="{00000000-0008-0000-0400-00007A010000}"/>
            </a:ext>
          </a:extLst>
        </xdr:cNvPr>
        <xdr:cNvSpPr/>
      </xdr:nvSpPr>
      <xdr:spPr>
        <a:xfrm>
          <a:off x="5334000" y="475488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MD_ERROR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入力エラーバリデーションチェック</a:t>
          </a:r>
        </a:p>
      </xdr:txBody>
    </xdr:sp>
    <xdr:clientData/>
  </xdr:twoCellAnchor>
  <xdr:twoCellAnchor>
    <xdr:from>
      <xdr:col>21</xdr:col>
      <xdr:colOff>1</xdr:colOff>
      <xdr:row>247</xdr:row>
      <xdr:rowOff>0</xdr:rowOff>
    </xdr:from>
    <xdr:to>
      <xdr:col>25</xdr:col>
      <xdr:colOff>1</xdr:colOff>
      <xdr:row>248</xdr:row>
      <xdr:rowOff>0</xdr:rowOff>
    </xdr:to>
    <xdr:sp macro="" textlink="" fLocksText="0">
      <xdr:nvSpPr>
        <xdr:cNvPr id="379" name="Rectangle: Rounded Corners 378">
          <a:extLst>
            <a:ext uri="{FF2B5EF4-FFF2-40B4-BE49-F238E27FC236}">
              <a16:creationId xmlns:a16="http://schemas.microsoft.com/office/drawing/2014/main" id="{00000000-0008-0000-0400-00007B010000}"/>
            </a:ext>
          </a:extLst>
        </xdr:cNvPr>
        <xdr:cNvSpPr/>
      </xdr:nvSpPr>
      <xdr:spPr>
        <a:xfrm>
          <a:off x="5600700" y="47167800"/>
          <a:ext cx="10668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バリデーションチェックNG</a:t>
          </a:r>
        </a:p>
      </xdr:txBody>
    </xdr:sp>
    <xdr:clientData/>
  </xdr:twoCellAnchor>
  <xdr:twoCellAnchor>
    <xdr:from>
      <xdr:col>12</xdr:col>
      <xdr:colOff>1</xdr:colOff>
      <xdr:row>247</xdr:row>
      <xdr:rowOff>0</xdr:rowOff>
    </xdr:from>
    <xdr:to>
      <xdr:col>16</xdr:col>
      <xdr:colOff>1</xdr:colOff>
      <xdr:row>248</xdr:row>
      <xdr:rowOff>0</xdr:rowOff>
    </xdr:to>
    <xdr:sp macro="" textlink="" fLocksText="0">
      <xdr:nvSpPr>
        <xdr:cNvPr id="380" name="Rectangle: Rounded Corners 379">
          <a:extLst>
            <a:ext uri="{FF2B5EF4-FFF2-40B4-BE49-F238E27FC236}">
              <a16:creationId xmlns:a16="http://schemas.microsoft.com/office/drawing/2014/main" id="{00000000-0008-0000-0400-00007C010000}"/>
            </a:ext>
          </a:extLst>
        </xdr:cNvPr>
        <xdr:cNvSpPr/>
      </xdr:nvSpPr>
      <xdr:spPr>
        <a:xfrm>
          <a:off x="3200400" y="47167800"/>
          <a:ext cx="10668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バリデーションチェックOK</a:t>
          </a:r>
        </a:p>
      </xdr:txBody>
    </xdr:sp>
    <xdr:clientData/>
  </xdr:twoCellAnchor>
  <xdr:twoCellAnchor>
    <xdr:from>
      <xdr:col>23</xdr:col>
      <xdr:colOff>1</xdr:colOff>
      <xdr:row>248</xdr:row>
      <xdr:rowOff>0</xdr:rowOff>
    </xdr:from>
    <xdr:to>
      <xdr:col>23</xdr:col>
      <xdr:colOff>1</xdr:colOff>
      <xdr:row>249</xdr:row>
      <xdr:rowOff>0</xdr:rowOff>
    </xdr:to>
    <xdr:cxnSp macro="">
      <xdr:nvCxnSpPr>
        <xdr:cNvPr id="381" name="直線矢印コネクタ 1010">
          <a:extLst>
            <a:ext uri="{FF2B5EF4-FFF2-40B4-BE49-F238E27FC236}">
              <a16:creationId xmlns:a16="http://schemas.microsoft.com/office/drawing/2014/main" id="{00000000-0008-0000-0400-00007D010000}"/>
            </a:ext>
          </a:extLst>
        </xdr:cNvPr>
        <xdr:cNvCxnSpPr>
          <a:stCxn id="379" idx="2"/>
          <a:endCxn id="378" idx="0"/>
        </xdr:cNvCxnSpPr>
      </xdr:nvCxnSpPr>
      <xdr:spPr>
        <a:xfrm>
          <a:off x="6134100" y="47358300"/>
          <a:ext cx="0" cy="190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243</xdr:row>
      <xdr:rowOff>187452</xdr:rowOff>
    </xdr:from>
    <xdr:to>
      <xdr:col>23</xdr:col>
      <xdr:colOff>1</xdr:colOff>
      <xdr:row>247</xdr:row>
      <xdr:rowOff>0</xdr:rowOff>
    </xdr:to>
    <xdr:cxnSp macro="">
      <xdr:nvCxnSpPr>
        <xdr:cNvPr id="382" name="Connector: Elbow 381">
          <a:extLst>
            <a:ext uri="{FF2B5EF4-FFF2-40B4-BE49-F238E27FC236}">
              <a16:creationId xmlns:a16="http://schemas.microsoft.com/office/drawing/2014/main" id="{00000000-0008-0000-0400-00007E010000}"/>
            </a:ext>
          </a:extLst>
        </xdr:cNvPr>
        <xdr:cNvCxnSpPr>
          <a:stCxn id="366" idx="2"/>
          <a:endCxn id="379" idx="0"/>
        </xdr:cNvCxnSpPr>
      </xdr:nvCxnSpPr>
      <xdr:spPr>
        <a:xfrm rot="16200000" flipH="1">
          <a:off x="3733800" y="46596300"/>
          <a:ext cx="2400300" cy="5715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254</xdr:row>
      <xdr:rowOff>0</xdr:rowOff>
    </xdr:from>
    <xdr:to>
      <xdr:col>24</xdr:col>
      <xdr:colOff>0</xdr:colOff>
      <xdr:row>255</xdr:row>
      <xdr:rowOff>0</xdr:rowOff>
    </xdr:to>
    <xdr:sp macro="" textlink="" fLocksText="0">
      <xdr:nvSpPr>
        <xdr:cNvPr id="383" name="Rectangle: Rounded Corners 382">
          <a:extLst>
            <a:ext uri="{FF2B5EF4-FFF2-40B4-BE49-F238E27FC236}">
              <a16:creationId xmlns:a16="http://schemas.microsoft.com/office/drawing/2014/main" id="{00000000-0008-0000-0400-00007F010000}"/>
            </a:ext>
          </a:extLst>
        </xdr:cNvPr>
        <xdr:cNvSpPr/>
      </xdr:nvSpPr>
      <xdr:spPr>
        <a:xfrm>
          <a:off x="5867400" y="48501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71.5</a:t>
          </a:r>
        </a:p>
      </xdr:txBody>
    </xdr:sp>
    <xdr:clientData/>
  </xdr:twoCellAnchor>
  <xdr:twoCellAnchor>
    <xdr:from>
      <xdr:col>23</xdr:col>
      <xdr:colOff>1</xdr:colOff>
      <xdr:row>253</xdr:row>
      <xdr:rowOff>0</xdr:rowOff>
    </xdr:from>
    <xdr:to>
      <xdr:col>23</xdr:col>
      <xdr:colOff>1</xdr:colOff>
      <xdr:row>254</xdr:row>
      <xdr:rowOff>0</xdr:rowOff>
    </xdr:to>
    <xdr:cxnSp macro="">
      <xdr:nvCxnSpPr>
        <xdr:cNvPr id="384" name="直線矢印コネクタ 1010">
          <a:extLst>
            <a:ext uri="{FF2B5EF4-FFF2-40B4-BE49-F238E27FC236}">
              <a16:creationId xmlns:a16="http://schemas.microsoft.com/office/drawing/2014/main" id="{00000000-0008-0000-0400-000080010000}"/>
            </a:ext>
          </a:extLst>
        </xdr:cNvPr>
        <xdr:cNvCxnSpPr>
          <a:stCxn id="378" idx="2"/>
          <a:endCxn id="383" idx="0"/>
        </xdr:cNvCxnSpPr>
      </xdr:nvCxnSpPr>
      <xdr:spPr>
        <a:xfrm>
          <a:off x="6134100" y="48310800"/>
          <a:ext cx="0" cy="190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250</xdr:row>
      <xdr:rowOff>0</xdr:rowOff>
    </xdr:from>
    <xdr:to>
      <xdr:col>15</xdr:col>
      <xdr:colOff>0</xdr:colOff>
      <xdr:row>251</xdr:row>
      <xdr:rowOff>0</xdr:rowOff>
    </xdr:to>
    <xdr:sp macro="" textlink="" fLocksText="0">
      <xdr:nvSpPr>
        <xdr:cNvPr id="385" name="Rectangle: Rounded Corners 384">
          <a:extLst>
            <a:ext uri="{FF2B5EF4-FFF2-40B4-BE49-F238E27FC236}">
              <a16:creationId xmlns:a16="http://schemas.microsoft.com/office/drawing/2014/main" id="{00000000-0008-0000-0400-000081010000}"/>
            </a:ext>
          </a:extLst>
        </xdr:cNvPr>
        <xdr:cNvSpPr/>
      </xdr:nvSpPr>
      <xdr:spPr>
        <a:xfrm>
          <a:off x="3467100" y="47739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</a:t>
          </a:r>
        </a:p>
      </xdr:txBody>
    </xdr:sp>
    <xdr:clientData/>
  </xdr:twoCellAnchor>
  <xdr:twoCellAnchor>
    <xdr:from>
      <xdr:col>14</xdr:col>
      <xdr:colOff>1</xdr:colOff>
      <xdr:row>248</xdr:row>
      <xdr:rowOff>0</xdr:rowOff>
    </xdr:from>
    <xdr:to>
      <xdr:col>14</xdr:col>
      <xdr:colOff>1</xdr:colOff>
      <xdr:row>250</xdr:row>
      <xdr:rowOff>0</xdr:rowOff>
    </xdr:to>
    <xdr:cxnSp macro="">
      <xdr:nvCxnSpPr>
        <xdr:cNvPr id="386" name="直線矢印コネクタ 1010">
          <a:extLst>
            <a:ext uri="{FF2B5EF4-FFF2-40B4-BE49-F238E27FC236}">
              <a16:creationId xmlns:a16="http://schemas.microsoft.com/office/drawing/2014/main" id="{00000000-0008-0000-0400-000082010000}"/>
            </a:ext>
          </a:extLst>
        </xdr:cNvPr>
        <xdr:cNvCxnSpPr>
          <a:stCxn id="380" idx="2"/>
          <a:endCxn id="385" idx="0"/>
        </xdr:cNvCxnSpPr>
      </xdr:nvCxnSpPr>
      <xdr:spPr>
        <a:xfrm>
          <a:off x="3733800" y="47358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235322</xdr:colOff>
      <xdr:row>257</xdr:row>
      <xdr:rowOff>179294</xdr:rowOff>
    </xdr:from>
    <xdr:to>
      <xdr:col>5</xdr:col>
      <xdr:colOff>235322</xdr:colOff>
      <xdr:row>258</xdr:row>
      <xdr:rowOff>179294</xdr:rowOff>
    </xdr:to>
    <xdr:sp macro="" textlink="" fLocksText="0">
      <xdr:nvSpPr>
        <xdr:cNvPr id="390" name="Rectangle: Rounded Corners 389">
          <a:extLst>
            <a:ext uri="{FF2B5EF4-FFF2-40B4-BE49-F238E27FC236}">
              <a16:creationId xmlns:a16="http://schemas.microsoft.com/office/drawing/2014/main" id="{00000000-0008-0000-0400-000086010000}"/>
            </a:ext>
          </a:extLst>
        </xdr:cNvPr>
        <xdr:cNvSpPr/>
      </xdr:nvSpPr>
      <xdr:spPr>
        <a:xfrm>
          <a:off x="1038225" y="49253775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71.6</a:t>
          </a:r>
        </a:p>
      </xdr:txBody>
    </xdr:sp>
    <xdr:clientData/>
  </xdr:twoCellAnchor>
  <xdr:twoCellAnchor>
    <xdr:from>
      <xdr:col>5</xdr:col>
      <xdr:colOff>0</xdr:colOff>
      <xdr:row>272</xdr:row>
      <xdr:rowOff>0</xdr:rowOff>
    </xdr:from>
    <xdr:to>
      <xdr:col>5</xdr:col>
      <xdr:colOff>0</xdr:colOff>
      <xdr:row>276</xdr:row>
      <xdr:rowOff>0</xdr:rowOff>
    </xdr:to>
    <xdr:cxnSp macro="">
      <xdr:nvCxnSpPr>
        <xdr:cNvPr id="391" name="直線矢印コネクタ 1010">
          <a:extLst>
            <a:ext uri="{FF2B5EF4-FFF2-40B4-BE49-F238E27FC236}">
              <a16:creationId xmlns:a16="http://schemas.microsoft.com/office/drawing/2014/main" id="{00000000-0008-0000-0400-000087010000}"/>
            </a:ext>
          </a:extLst>
        </xdr:cNvPr>
        <xdr:cNvCxnSpPr>
          <a:stCxn id="402" idx="2"/>
          <a:endCxn id="403" idx="0"/>
        </xdr:cNvCxnSpPr>
      </xdr:nvCxnSpPr>
      <xdr:spPr>
        <a:xfrm>
          <a:off x="1333500" y="519303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264</xdr:row>
      <xdr:rowOff>187452</xdr:rowOff>
    </xdr:from>
    <xdr:to>
      <xdr:col>5</xdr:col>
      <xdr:colOff>0</xdr:colOff>
      <xdr:row>268</xdr:row>
      <xdr:rowOff>0</xdr:rowOff>
    </xdr:to>
    <xdr:cxnSp macro="">
      <xdr:nvCxnSpPr>
        <xdr:cNvPr id="401" name="直線矢印コネクタ 1010">
          <a:extLst>
            <a:ext uri="{FF2B5EF4-FFF2-40B4-BE49-F238E27FC236}">
              <a16:creationId xmlns:a16="http://schemas.microsoft.com/office/drawing/2014/main" id="{00000000-0008-0000-0400-000091010000}"/>
            </a:ext>
          </a:extLst>
        </xdr:cNvPr>
        <xdr:cNvCxnSpPr>
          <a:stCxn id="485" idx="2"/>
          <a:endCxn id="402" idx="0"/>
        </xdr:cNvCxnSpPr>
      </xdr:nvCxnSpPr>
      <xdr:spPr>
        <a:xfrm>
          <a:off x="1333500" y="505968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268</xdr:row>
      <xdr:rowOff>0</xdr:rowOff>
    </xdr:from>
    <xdr:to>
      <xdr:col>8</xdr:col>
      <xdr:colOff>0</xdr:colOff>
      <xdr:row>272</xdr:row>
      <xdr:rowOff>0</xdr:rowOff>
    </xdr:to>
    <xdr:sp macro="" textlink="" fLocksText="0">
      <xdr:nvSpPr>
        <xdr:cNvPr id="402" name="正方形/長方形 19">
          <a:extLst>
            <a:ext uri="{FF2B5EF4-FFF2-40B4-BE49-F238E27FC236}">
              <a16:creationId xmlns:a16="http://schemas.microsoft.com/office/drawing/2014/main" id="{00000000-0008-0000-0400-000092010000}"/>
            </a:ext>
          </a:extLst>
        </xdr:cNvPr>
        <xdr:cNvSpPr/>
      </xdr:nvSpPr>
      <xdr:spPr>
        <a:xfrm>
          <a:off x="533400" y="51168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MD7102_ノードマスタ設定追加モダール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3</xdr:col>
      <xdr:colOff>0</xdr:colOff>
      <xdr:row>276</xdr:row>
      <xdr:rowOff>0</xdr:rowOff>
    </xdr:from>
    <xdr:to>
      <xdr:col>7</xdr:col>
      <xdr:colOff>0</xdr:colOff>
      <xdr:row>277</xdr:row>
      <xdr:rowOff>0</xdr:rowOff>
    </xdr:to>
    <xdr:sp macro="" textlink="" fLocksText="0">
      <xdr:nvSpPr>
        <xdr:cNvPr id="403" name="四角形: 角を丸くする 1101">
          <a:extLst>
            <a:ext uri="{FF2B5EF4-FFF2-40B4-BE49-F238E27FC236}">
              <a16:creationId xmlns:a16="http://schemas.microsoft.com/office/drawing/2014/main" id="{00000000-0008-0000-0400-000093010000}"/>
            </a:ext>
          </a:extLst>
        </xdr:cNvPr>
        <xdr:cNvSpPr/>
      </xdr:nvSpPr>
      <xdr:spPr>
        <a:xfrm>
          <a:off x="800100" y="52692300"/>
          <a:ext cx="1066800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r>
            <a:rPr lang="ja-JP" altLang="en-US" sz="1100" b="1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閉じる</a:t>
          </a:r>
          <a:endParaRPr lang="en-US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12</xdr:col>
      <xdr:colOff>1</xdr:colOff>
      <xdr:row>276</xdr:row>
      <xdr:rowOff>0</xdr:rowOff>
    </xdr:from>
    <xdr:to>
      <xdr:col>16</xdr:col>
      <xdr:colOff>1</xdr:colOff>
      <xdr:row>277</xdr:row>
      <xdr:rowOff>0</xdr:rowOff>
    </xdr:to>
    <xdr:sp macro="" textlink="" fLocksText="0">
      <xdr:nvSpPr>
        <xdr:cNvPr id="404" name="四角形: 角を丸くする 1101">
          <a:extLst>
            <a:ext uri="{FF2B5EF4-FFF2-40B4-BE49-F238E27FC236}">
              <a16:creationId xmlns:a16="http://schemas.microsoft.com/office/drawing/2014/main" id="{00000000-0008-0000-0400-000094010000}"/>
            </a:ext>
          </a:extLst>
        </xdr:cNvPr>
        <xdr:cNvSpPr/>
      </xdr:nvSpPr>
      <xdr:spPr>
        <a:xfrm>
          <a:off x="3200400" y="52692300"/>
          <a:ext cx="1066800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r>
            <a:rPr lang="ja-JP" altLang="en-US" sz="900" b="1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確定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272</xdr:row>
      <xdr:rowOff>0</xdr:rowOff>
    </xdr:from>
    <xdr:to>
      <xdr:col>14</xdr:col>
      <xdr:colOff>1</xdr:colOff>
      <xdr:row>276</xdr:row>
      <xdr:rowOff>0</xdr:rowOff>
    </xdr:to>
    <xdr:cxnSp macro="">
      <xdr:nvCxnSpPr>
        <xdr:cNvPr id="406" name="Connector: Elbow 405">
          <a:extLst>
            <a:ext uri="{FF2B5EF4-FFF2-40B4-BE49-F238E27FC236}">
              <a16:creationId xmlns:a16="http://schemas.microsoft.com/office/drawing/2014/main" id="{00000000-0008-0000-0400-000096010000}"/>
            </a:ext>
          </a:extLst>
        </xdr:cNvPr>
        <xdr:cNvCxnSpPr>
          <a:stCxn id="402" idx="2"/>
          <a:endCxn id="404" idx="0"/>
        </xdr:cNvCxnSpPr>
      </xdr:nvCxnSpPr>
      <xdr:spPr>
        <a:xfrm rot="16200000" flipH="1">
          <a:off x="1333500" y="51930300"/>
          <a:ext cx="24003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277</xdr:row>
      <xdr:rowOff>0</xdr:rowOff>
    </xdr:from>
    <xdr:to>
      <xdr:col>5</xdr:col>
      <xdr:colOff>0</xdr:colOff>
      <xdr:row>282</xdr:row>
      <xdr:rowOff>11206</xdr:rowOff>
    </xdr:to>
    <xdr:cxnSp macro="">
      <xdr:nvCxnSpPr>
        <xdr:cNvPr id="407" name="直線矢印コネクタ 1010">
          <a:extLst>
            <a:ext uri="{FF2B5EF4-FFF2-40B4-BE49-F238E27FC236}">
              <a16:creationId xmlns:a16="http://schemas.microsoft.com/office/drawing/2014/main" id="{00000000-0008-0000-0400-000097010000}"/>
            </a:ext>
          </a:extLst>
        </xdr:cNvPr>
        <xdr:cNvCxnSpPr>
          <a:stCxn id="403" idx="2"/>
          <a:endCxn id="408" idx="0"/>
        </xdr:cNvCxnSpPr>
      </xdr:nvCxnSpPr>
      <xdr:spPr>
        <a:xfrm>
          <a:off x="1333500" y="52882800"/>
          <a:ext cx="0" cy="962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282</xdr:row>
      <xdr:rowOff>11206</xdr:rowOff>
    </xdr:from>
    <xdr:to>
      <xdr:col>6</xdr:col>
      <xdr:colOff>0</xdr:colOff>
      <xdr:row>283</xdr:row>
      <xdr:rowOff>11206</xdr:rowOff>
    </xdr:to>
    <xdr:sp macro="" textlink="" fLocksText="0">
      <xdr:nvSpPr>
        <xdr:cNvPr id="408" name="Rectangle: Rounded Corners 407">
          <a:extLst>
            <a:ext uri="{FF2B5EF4-FFF2-40B4-BE49-F238E27FC236}">
              <a16:creationId xmlns:a16="http://schemas.microsoft.com/office/drawing/2014/main" id="{00000000-0008-0000-0400-000098010000}"/>
            </a:ext>
          </a:extLst>
        </xdr:cNvPr>
        <xdr:cNvSpPr/>
      </xdr:nvSpPr>
      <xdr:spPr>
        <a:xfrm>
          <a:off x="1066800" y="53844825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</a:t>
          </a:r>
        </a:p>
      </xdr:txBody>
    </xdr:sp>
    <xdr:clientData/>
  </xdr:twoCellAnchor>
  <xdr:twoCellAnchor>
    <xdr:from>
      <xdr:col>14</xdr:col>
      <xdr:colOff>1</xdr:colOff>
      <xdr:row>277</xdr:row>
      <xdr:rowOff>0</xdr:rowOff>
    </xdr:from>
    <xdr:to>
      <xdr:col>14</xdr:col>
      <xdr:colOff>1</xdr:colOff>
      <xdr:row>282</xdr:row>
      <xdr:rowOff>0</xdr:rowOff>
    </xdr:to>
    <xdr:cxnSp macro="">
      <xdr:nvCxnSpPr>
        <xdr:cNvPr id="409" name="直線矢印コネクタ 1010">
          <a:extLst>
            <a:ext uri="{FF2B5EF4-FFF2-40B4-BE49-F238E27FC236}">
              <a16:creationId xmlns:a16="http://schemas.microsoft.com/office/drawing/2014/main" id="{00000000-0008-0000-0400-000099010000}"/>
            </a:ext>
          </a:extLst>
        </xdr:cNvPr>
        <xdr:cNvCxnSpPr>
          <a:stCxn id="404" idx="2"/>
          <a:endCxn id="410" idx="0"/>
        </xdr:cNvCxnSpPr>
      </xdr:nvCxnSpPr>
      <xdr:spPr>
        <a:xfrm>
          <a:off x="3733800" y="52882800"/>
          <a:ext cx="0" cy="952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282</xdr:row>
      <xdr:rowOff>0</xdr:rowOff>
    </xdr:from>
    <xdr:to>
      <xdr:col>17</xdr:col>
      <xdr:colOff>0</xdr:colOff>
      <xdr:row>285</xdr:row>
      <xdr:rowOff>187452</xdr:rowOff>
    </xdr:to>
    <xdr:sp macro="" textlink="" fLocksText="0">
      <xdr:nvSpPr>
        <xdr:cNvPr id="410" name="四角形: 角を丸くする 3">
          <a:extLst>
            <a:ext uri="{FF2B5EF4-FFF2-40B4-BE49-F238E27FC236}">
              <a16:creationId xmlns:a16="http://schemas.microsoft.com/office/drawing/2014/main" id="{00000000-0008-0000-0400-00009A010000}"/>
            </a:ext>
          </a:extLst>
        </xdr:cNvPr>
        <xdr:cNvSpPr/>
      </xdr:nvSpPr>
      <xdr:spPr>
        <a:xfrm>
          <a:off x="2933700" y="53835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KN7107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入力項目バリデーションチェック機能</a:t>
          </a:r>
        </a:p>
      </xdr:txBody>
    </xdr:sp>
    <xdr:clientData/>
  </xdr:twoCellAnchor>
  <xdr:twoCellAnchor>
    <xdr:from>
      <xdr:col>14</xdr:col>
      <xdr:colOff>1</xdr:colOff>
      <xdr:row>285</xdr:row>
      <xdr:rowOff>187452</xdr:rowOff>
    </xdr:from>
    <xdr:to>
      <xdr:col>14</xdr:col>
      <xdr:colOff>1</xdr:colOff>
      <xdr:row>289</xdr:row>
      <xdr:rowOff>0</xdr:rowOff>
    </xdr:to>
    <xdr:cxnSp macro="">
      <xdr:nvCxnSpPr>
        <xdr:cNvPr id="411" name="直線矢印コネクタ 1010">
          <a:extLst>
            <a:ext uri="{FF2B5EF4-FFF2-40B4-BE49-F238E27FC236}">
              <a16:creationId xmlns:a16="http://schemas.microsoft.com/office/drawing/2014/main" id="{00000000-0008-0000-0400-00009B010000}"/>
            </a:ext>
          </a:extLst>
        </xdr:cNvPr>
        <xdr:cNvCxnSpPr>
          <a:stCxn id="410" idx="2"/>
          <a:endCxn id="414" idx="0"/>
        </xdr:cNvCxnSpPr>
      </xdr:nvCxnSpPr>
      <xdr:spPr>
        <a:xfrm>
          <a:off x="3733800" y="545973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291</xdr:row>
      <xdr:rowOff>0</xdr:rowOff>
    </xdr:from>
    <xdr:to>
      <xdr:col>26</xdr:col>
      <xdr:colOff>0</xdr:colOff>
      <xdr:row>295</xdr:row>
      <xdr:rowOff>0</xdr:rowOff>
    </xdr:to>
    <xdr:sp macro="" textlink="" fLocksText="0">
      <xdr:nvSpPr>
        <xdr:cNvPr id="412" name="正方形/長方形 19">
          <a:extLst>
            <a:ext uri="{FF2B5EF4-FFF2-40B4-BE49-F238E27FC236}">
              <a16:creationId xmlns:a16="http://schemas.microsoft.com/office/drawing/2014/main" id="{00000000-0008-0000-0400-00009C010000}"/>
            </a:ext>
          </a:extLst>
        </xdr:cNvPr>
        <xdr:cNvSpPr/>
      </xdr:nvSpPr>
      <xdr:spPr>
        <a:xfrm>
          <a:off x="5334000" y="555498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MD_ERROR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入力エラーバリデーションチェック</a:t>
          </a:r>
        </a:p>
      </xdr:txBody>
    </xdr:sp>
    <xdr:clientData/>
  </xdr:twoCellAnchor>
  <xdr:twoCellAnchor>
    <xdr:from>
      <xdr:col>21</xdr:col>
      <xdr:colOff>1</xdr:colOff>
      <xdr:row>289</xdr:row>
      <xdr:rowOff>0</xdr:rowOff>
    </xdr:from>
    <xdr:to>
      <xdr:col>25</xdr:col>
      <xdr:colOff>0</xdr:colOff>
      <xdr:row>290</xdr:row>
      <xdr:rowOff>0</xdr:rowOff>
    </xdr:to>
    <xdr:sp macro="" textlink="" fLocksText="0">
      <xdr:nvSpPr>
        <xdr:cNvPr id="413" name="Rectangle: Rounded Corners 412">
          <a:extLst>
            <a:ext uri="{FF2B5EF4-FFF2-40B4-BE49-F238E27FC236}">
              <a16:creationId xmlns:a16="http://schemas.microsoft.com/office/drawing/2014/main" id="{00000000-0008-0000-0400-00009D010000}"/>
            </a:ext>
          </a:extLst>
        </xdr:cNvPr>
        <xdr:cNvSpPr/>
      </xdr:nvSpPr>
      <xdr:spPr>
        <a:xfrm>
          <a:off x="5600700" y="55168800"/>
          <a:ext cx="10668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バリデーションチェックNG</a:t>
          </a:r>
        </a:p>
      </xdr:txBody>
    </xdr:sp>
    <xdr:clientData/>
  </xdr:twoCellAnchor>
  <xdr:twoCellAnchor>
    <xdr:from>
      <xdr:col>12</xdr:col>
      <xdr:colOff>1</xdr:colOff>
      <xdr:row>289</xdr:row>
      <xdr:rowOff>0</xdr:rowOff>
    </xdr:from>
    <xdr:to>
      <xdr:col>16</xdr:col>
      <xdr:colOff>1</xdr:colOff>
      <xdr:row>290</xdr:row>
      <xdr:rowOff>0</xdr:rowOff>
    </xdr:to>
    <xdr:sp macro="" textlink="" fLocksText="0">
      <xdr:nvSpPr>
        <xdr:cNvPr id="414" name="Rectangle: Rounded Corners 413">
          <a:extLst>
            <a:ext uri="{FF2B5EF4-FFF2-40B4-BE49-F238E27FC236}">
              <a16:creationId xmlns:a16="http://schemas.microsoft.com/office/drawing/2014/main" id="{00000000-0008-0000-0400-00009E010000}"/>
            </a:ext>
          </a:extLst>
        </xdr:cNvPr>
        <xdr:cNvSpPr/>
      </xdr:nvSpPr>
      <xdr:spPr>
        <a:xfrm>
          <a:off x="3200400" y="55168800"/>
          <a:ext cx="10668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バリデーションチェックOK</a:t>
          </a:r>
        </a:p>
      </xdr:txBody>
    </xdr:sp>
    <xdr:clientData/>
  </xdr:twoCellAnchor>
  <xdr:twoCellAnchor>
    <xdr:from>
      <xdr:col>23</xdr:col>
      <xdr:colOff>1</xdr:colOff>
      <xdr:row>290</xdr:row>
      <xdr:rowOff>0</xdr:rowOff>
    </xdr:from>
    <xdr:to>
      <xdr:col>23</xdr:col>
      <xdr:colOff>1</xdr:colOff>
      <xdr:row>291</xdr:row>
      <xdr:rowOff>0</xdr:rowOff>
    </xdr:to>
    <xdr:cxnSp macro="">
      <xdr:nvCxnSpPr>
        <xdr:cNvPr id="415" name="直線矢印コネクタ 1010">
          <a:extLst>
            <a:ext uri="{FF2B5EF4-FFF2-40B4-BE49-F238E27FC236}">
              <a16:creationId xmlns:a16="http://schemas.microsoft.com/office/drawing/2014/main" id="{00000000-0008-0000-0400-00009F010000}"/>
            </a:ext>
          </a:extLst>
        </xdr:cNvPr>
        <xdr:cNvCxnSpPr>
          <a:stCxn id="413" idx="2"/>
          <a:endCxn id="412" idx="0"/>
        </xdr:cNvCxnSpPr>
      </xdr:nvCxnSpPr>
      <xdr:spPr>
        <a:xfrm>
          <a:off x="6134100" y="55359300"/>
          <a:ext cx="0" cy="190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285</xdr:row>
      <xdr:rowOff>187452</xdr:rowOff>
    </xdr:from>
    <xdr:to>
      <xdr:col>23</xdr:col>
      <xdr:colOff>1</xdr:colOff>
      <xdr:row>289</xdr:row>
      <xdr:rowOff>0</xdr:rowOff>
    </xdr:to>
    <xdr:cxnSp macro="">
      <xdr:nvCxnSpPr>
        <xdr:cNvPr id="416" name="Connector: Elbow 415">
          <a:extLst>
            <a:ext uri="{FF2B5EF4-FFF2-40B4-BE49-F238E27FC236}">
              <a16:creationId xmlns:a16="http://schemas.microsoft.com/office/drawing/2014/main" id="{00000000-0008-0000-0400-0000A0010000}"/>
            </a:ext>
          </a:extLst>
        </xdr:cNvPr>
        <xdr:cNvCxnSpPr>
          <a:stCxn id="410" idx="2"/>
          <a:endCxn id="413" idx="0"/>
        </xdr:cNvCxnSpPr>
      </xdr:nvCxnSpPr>
      <xdr:spPr>
        <a:xfrm rot="16200000" flipH="1">
          <a:off x="3733800" y="54597300"/>
          <a:ext cx="2400300" cy="5715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296</xdr:row>
      <xdr:rowOff>0</xdr:rowOff>
    </xdr:from>
    <xdr:to>
      <xdr:col>24</xdr:col>
      <xdr:colOff>0</xdr:colOff>
      <xdr:row>297</xdr:row>
      <xdr:rowOff>0</xdr:rowOff>
    </xdr:to>
    <xdr:sp macro="" textlink="" fLocksText="0">
      <xdr:nvSpPr>
        <xdr:cNvPr id="417" name="Rectangle: Rounded Corners 416">
          <a:extLst>
            <a:ext uri="{FF2B5EF4-FFF2-40B4-BE49-F238E27FC236}">
              <a16:creationId xmlns:a16="http://schemas.microsoft.com/office/drawing/2014/main" id="{00000000-0008-0000-0400-0000A1010000}"/>
            </a:ext>
          </a:extLst>
        </xdr:cNvPr>
        <xdr:cNvSpPr/>
      </xdr:nvSpPr>
      <xdr:spPr>
        <a:xfrm>
          <a:off x="5867400" y="56502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71.6</a:t>
          </a:r>
        </a:p>
      </xdr:txBody>
    </xdr:sp>
    <xdr:clientData/>
  </xdr:twoCellAnchor>
  <xdr:twoCellAnchor>
    <xdr:from>
      <xdr:col>23</xdr:col>
      <xdr:colOff>1</xdr:colOff>
      <xdr:row>295</xdr:row>
      <xdr:rowOff>0</xdr:rowOff>
    </xdr:from>
    <xdr:to>
      <xdr:col>23</xdr:col>
      <xdr:colOff>1</xdr:colOff>
      <xdr:row>296</xdr:row>
      <xdr:rowOff>0</xdr:rowOff>
    </xdr:to>
    <xdr:cxnSp macro="">
      <xdr:nvCxnSpPr>
        <xdr:cNvPr id="418" name="直線矢印コネクタ 1010">
          <a:extLst>
            <a:ext uri="{FF2B5EF4-FFF2-40B4-BE49-F238E27FC236}">
              <a16:creationId xmlns:a16="http://schemas.microsoft.com/office/drawing/2014/main" id="{00000000-0008-0000-0400-0000A2010000}"/>
            </a:ext>
          </a:extLst>
        </xdr:cNvPr>
        <xdr:cNvCxnSpPr>
          <a:stCxn id="412" idx="2"/>
          <a:endCxn id="417" idx="0"/>
        </xdr:cNvCxnSpPr>
      </xdr:nvCxnSpPr>
      <xdr:spPr>
        <a:xfrm>
          <a:off x="6134100" y="56311800"/>
          <a:ext cx="0" cy="190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292</xdr:row>
      <xdr:rowOff>0</xdr:rowOff>
    </xdr:from>
    <xdr:to>
      <xdr:col>15</xdr:col>
      <xdr:colOff>0</xdr:colOff>
      <xdr:row>293</xdr:row>
      <xdr:rowOff>0</xdr:rowOff>
    </xdr:to>
    <xdr:sp macro="" textlink="" fLocksText="0">
      <xdr:nvSpPr>
        <xdr:cNvPr id="419" name="Rectangle: Rounded Corners 418">
          <a:extLst>
            <a:ext uri="{FF2B5EF4-FFF2-40B4-BE49-F238E27FC236}">
              <a16:creationId xmlns:a16="http://schemas.microsoft.com/office/drawing/2014/main" id="{00000000-0008-0000-0400-0000A3010000}"/>
            </a:ext>
          </a:extLst>
        </xdr:cNvPr>
        <xdr:cNvSpPr/>
      </xdr:nvSpPr>
      <xdr:spPr>
        <a:xfrm>
          <a:off x="3467100" y="55740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</a:t>
          </a:r>
        </a:p>
      </xdr:txBody>
    </xdr:sp>
    <xdr:clientData/>
  </xdr:twoCellAnchor>
  <xdr:twoCellAnchor>
    <xdr:from>
      <xdr:col>14</xdr:col>
      <xdr:colOff>1</xdr:colOff>
      <xdr:row>290</xdr:row>
      <xdr:rowOff>0</xdr:rowOff>
    </xdr:from>
    <xdr:to>
      <xdr:col>14</xdr:col>
      <xdr:colOff>1</xdr:colOff>
      <xdr:row>292</xdr:row>
      <xdr:rowOff>0</xdr:rowOff>
    </xdr:to>
    <xdr:cxnSp macro="">
      <xdr:nvCxnSpPr>
        <xdr:cNvPr id="420" name="直線矢印コネクタ 1010">
          <a:extLst>
            <a:ext uri="{FF2B5EF4-FFF2-40B4-BE49-F238E27FC236}">
              <a16:creationId xmlns:a16="http://schemas.microsoft.com/office/drawing/2014/main" id="{00000000-0008-0000-0400-0000A4010000}"/>
            </a:ext>
          </a:extLst>
        </xdr:cNvPr>
        <xdr:cNvCxnSpPr>
          <a:stCxn id="414" idx="2"/>
          <a:endCxn id="419" idx="0"/>
        </xdr:cNvCxnSpPr>
      </xdr:nvCxnSpPr>
      <xdr:spPr>
        <a:xfrm>
          <a:off x="3733800" y="55359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305</xdr:row>
      <xdr:rowOff>0</xdr:rowOff>
    </xdr:from>
    <xdr:to>
      <xdr:col>5</xdr:col>
      <xdr:colOff>0</xdr:colOff>
      <xdr:row>310</xdr:row>
      <xdr:rowOff>0</xdr:rowOff>
    </xdr:to>
    <xdr:cxnSp macro="">
      <xdr:nvCxnSpPr>
        <xdr:cNvPr id="431" name="直線矢印コネクタ 1010">
          <a:extLst>
            <a:ext uri="{FF2B5EF4-FFF2-40B4-BE49-F238E27FC236}">
              <a16:creationId xmlns:a16="http://schemas.microsoft.com/office/drawing/2014/main" id="{00000000-0008-0000-0400-0000AF010000}"/>
            </a:ext>
          </a:extLst>
        </xdr:cNvPr>
        <xdr:cNvCxnSpPr>
          <a:stCxn id="441" idx="2"/>
          <a:endCxn id="459" idx="0"/>
        </xdr:cNvCxnSpPr>
      </xdr:nvCxnSpPr>
      <xdr:spPr>
        <a:xfrm>
          <a:off x="1333500" y="58216800"/>
          <a:ext cx="0" cy="952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235322</xdr:colOff>
      <xdr:row>301</xdr:row>
      <xdr:rowOff>0</xdr:rowOff>
    </xdr:from>
    <xdr:to>
      <xdr:col>5</xdr:col>
      <xdr:colOff>235322</xdr:colOff>
      <xdr:row>302</xdr:row>
      <xdr:rowOff>0</xdr:rowOff>
    </xdr:to>
    <xdr:sp macro="" textlink="" fLocksText="0">
      <xdr:nvSpPr>
        <xdr:cNvPr id="435" name="Rectangle: Rounded Corners 434">
          <a:extLst>
            <a:ext uri="{FF2B5EF4-FFF2-40B4-BE49-F238E27FC236}">
              <a16:creationId xmlns:a16="http://schemas.microsoft.com/office/drawing/2014/main" id="{00000000-0008-0000-0400-0000B3010000}"/>
            </a:ext>
          </a:extLst>
        </xdr:cNvPr>
        <xdr:cNvSpPr/>
      </xdr:nvSpPr>
      <xdr:spPr>
        <a:xfrm>
          <a:off x="1038225" y="57454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71.4</a:t>
          </a:r>
        </a:p>
      </xdr:txBody>
    </xdr:sp>
    <xdr:clientData/>
  </xdr:twoCellAnchor>
  <xdr:twoCellAnchor>
    <xdr:from>
      <xdr:col>5</xdr:col>
      <xdr:colOff>0</xdr:colOff>
      <xdr:row>313</xdr:row>
      <xdr:rowOff>187452</xdr:rowOff>
    </xdr:from>
    <xdr:to>
      <xdr:col>5</xdr:col>
      <xdr:colOff>0</xdr:colOff>
      <xdr:row>316</xdr:row>
      <xdr:rowOff>11206</xdr:rowOff>
    </xdr:to>
    <xdr:cxnSp macro="">
      <xdr:nvCxnSpPr>
        <xdr:cNvPr id="436" name="直線矢印コネクタ 1010">
          <a:extLst>
            <a:ext uri="{FF2B5EF4-FFF2-40B4-BE49-F238E27FC236}">
              <a16:creationId xmlns:a16="http://schemas.microsoft.com/office/drawing/2014/main" id="{00000000-0008-0000-0400-0000B4010000}"/>
            </a:ext>
          </a:extLst>
        </xdr:cNvPr>
        <xdr:cNvCxnSpPr>
          <a:stCxn id="459" idx="2"/>
          <a:endCxn id="437" idx="0"/>
        </xdr:cNvCxnSpPr>
      </xdr:nvCxnSpPr>
      <xdr:spPr>
        <a:xfrm>
          <a:off x="1333500" y="59931300"/>
          <a:ext cx="0" cy="390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316</xdr:row>
      <xdr:rowOff>11206</xdr:rowOff>
    </xdr:from>
    <xdr:to>
      <xdr:col>6</xdr:col>
      <xdr:colOff>0</xdr:colOff>
      <xdr:row>317</xdr:row>
      <xdr:rowOff>11206</xdr:rowOff>
    </xdr:to>
    <xdr:sp macro="" textlink="" fLocksText="0">
      <xdr:nvSpPr>
        <xdr:cNvPr id="437" name="Rectangle: Rounded Corners 436">
          <a:extLst>
            <a:ext uri="{FF2B5EF4-FFF2-40B4-BE49-F238E27FC236}">
              <a16:creationId xmlns:a16="http://schemas.microsoft.com/office/drawing/2014/main" id="{00000000-0008-0000-0400-0000B5010000}"/>
            </a:ext>
          </a:extLst>
        </xdr:cNvPr>
        <xdr:cNvSpPr/>
      </xdr:nvSpPr>
      <xdr:spPr>
        <a:xfrm>
          <a:off x="1066800" y="60321825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</a:t>
          </a:r>
        </a:p>
      </xdr:txBody>
    </xdr:sp>
    <xdr:clientData/>
  </xdr:twoCellAnchor>
  <xdr:twoCellAnchor>
    <xdr:from>
      <xdr:col>4</xdr:col>
      <xdr:colOff>235323</xdr:colOff>
      <xdr:row>302</xdr:row>
      <xdr:rowOff>0</xdr:rowOff>
    </xdr:from>
    <xdr:to>
      <xdr:col>5</xdr:col>
      <xdr:colOff>0</xdr:colOff>
      <xdr:row>304</xdr:row>
      <xdr:rowOff>0</xdr:rowOff>
    </xdr:to>
    <xdr:cxnSp macro="">
      <xdr:nvCxnSpPr>
        <xdr:cNvPr id="438" name="直線矢印コネクタ 1010">
          <a:extLst>
            <a:ext uri="{FF2B5EF4-FFF2-40B4-BE49-F238E27FC236}">
              <a16:creationId xmlns:a16="http://schemas.microsoft.com/office/drawing/2014/main" id="{00000000-0008-0000-0400-0000B6010000}"/>
            </a:ext>
          </a:extLst>
        </xdr:cNvPr>
        <xdr:cNvCxnSpPr>
          <a:stCxn id="435" idx="2"/>
          <a:endCxn id="441" idx="0"/>
        </xdr:cNvCxnSpPr>
      </xdr:nvCxnSpPr>
      <xdr:spPr>
        <a:xfrm>
          <a:off x="1304925" y="57645300"/>
          <a:ext cx="28575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306</xdr:row>
      <xdr:rowOff>0</xdr:rowOff>
    </xdr:from>
    <xdr:to>
      <xdr:col>17</xdr:col>
      <xdr:colOff>0</xdr:colOff>
      <xdr:row>310</xdr:row>
      <xdr:rowOff>0</xdr:rowOff>
    </xdr:to>
    <xdr:sp macro="" textlink="" fLocksText="0">
      <xdr:nvSpPr>
        <xdr:cNvPr id="439" name="正方形/長方形 19">
          <a:extLst>
            <a:ext uri="{FF2B5EF4-FFF2-40B4-BE49-F238E27FC236}">
              <a16:creationId xmlns:a16="http://schemas.microsoft.com/office/drawing/2014/main" id="{00000000-0008-0000-0400-0000B7010000}"/>
            </a:ext>
          </a:extLst>
        </xdr:cNvPr>
        <xdr:cNvSpPr/>
      </xdr:nvSpPr>
      <xdr:spPr>
        <a:xfrm>
          <a:off x="2933700" y="58407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MD_ERROR</a:t>
          </a:r>
        </a:p>
        <a:p>
          <a:pPr algn="ctr">
            <a:defRPr lang="en-US" altLang="ja-JP" sz="1000" b="0" i="0" u="none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明細行が選択されていません</a:t>
          </a:r>
        </a:p>
      </xdr:txBody>
    </xdr:sp>
    <xdr:clientData/>
  </xdr:twoCellAnchor>
  <xdr:twoCellAnchor>
    <xdr:from>
      <xdr:col>11</xdr:col>
      <xdr:colOff>0</xdr:colOff>
      <xdr:row>303</xdr:row>
      <xdr:rowOff>179294</xdr:rowOff>
    </xdr:from>
    <xdr:to>
      <xdr:col>17</xdr:col>
      <xdr:colOff>0</xdr:colOff>
      <xdr:row>305</xdr:row>
      <xdr:rowOff>0</xdr:rowOff>
    </xdr:to>
    <xdr:sp macro="" textlink="" fLocksText="0">
      <xdr:nvSpPr>
        <xdr:cNvPr id="440" name="Rectangle: Rounded Corners 439">
          <a:extLst>
            <a:ext uri="{FF2B5EF4-FFF2-40B4-BE49-F238E27FC236}">
              <a16:creationId xmlns:a16="http://schemas.microsoft.com/office/drawing/2014/main" id="{00000000-0008-0000-0400-0000B8010000}"/>
            </a:ext>
          </a:extLst>
        </xdr:cNvPr>
        <xdr:cNvSpPr/>
      </xdr:nvSpPr>
      <xdr:spPr>
        <a:xfrm>
          <a:off x="2933700" y="58016775"/>
          <a:ext cx="1600200" cy="2000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データが選択されていない</a:t>
          </a:r>
        </a:p>
      </xdr:txBody>
    </xdr:sp>
    <xdr:clientData/>
  </xdr:twoCellAnchor>
  <xdr:twoCellAnchor>
    <xdr:from>
      <xdr:col>3</xdr:col>
      <xdr:colOff>0</xdr:colOff>
      <xdr:row>304</xdr:row>
      <xdr:rowOff>0</xdr:rowOff>
    </xdr:from>
    <xdr:to>
      <xdr:col>7</xdr:col>
      <xdr:colOff>0</xdr:colOff>
      <xdr:row>305</xdr:row>
      <xdr:rowOff>0</xdr:rowOff>
    </xdr:to>
    <xdr:sp macro="" textlink="" fLocksText="0">
      <xdr:nvSpPr>
        <xdr:cNvPr id="441" name="Rectangle: Rounded Corners 440">
          <a:extLst>
            <a:ext uri="{FF2B5EF4-FFF2-40B4-BE49-F238E27FC236}">
              <a16:creationId xmlns:a16="http://schemas.microsoft.com/office/drawing/2014/main" id="{00000000-0008-0000-0400-0000B9010000}"/>
            </a:ext>
          </a:extLst>
        </xdr:cNvPr>
        <xdr:cNvSpPr/>
      </xdr:nvSpPr>
      <xdr:spPr>
        <a:xfrm>
          <a:off x="800100" y="58026300"/>
          <a:ext cx="10668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データが選択された</a:t>
          </a:r>
        </a:p>
      </xdr:txBody>
    </xdr:sp>
    <xdr:clientData/>
  </xdr:twoCellAnchor>
  <xdr:twoCellAnchor>
    <xdr:from>
      <xdr:col>14</xdr:col>
      <xdr:colOff>1</xdr:colOff>
      <xdr:row>305</xdr:row>
      <xdr:rowOff>0</xdr:rowOff>
    </xdr:from>
    <xdr:to>
      <xdr:col>14</xdr:col>
      <xdr:colOff>1</xdr:colOff>
      <xdr:row>306</xdr:row>
      <xdr:rowOff>0</xdr:rowOff>
    </xdr:to>
    <xdr:cxnSp macro="">
      <xdr:nvCxnSpPr>
        <xdr:cNvPr id="442" name="直線矢印コネクタ 1010">
          <a:extLst>
            <a:ext uri="{FF2B5EF4-FFF2-40B4-BE49-F238E27FC236}">
              <a16:creationId xmlns:a16="http://schemas.microsoft.com/office/drawing/2014/main" id="{00000000-0008-0000-0400-0000BA010000}"/>
            </a:ext>
          </a:extLst>
        </xdr:cNvPr>
        <xdr:cNvCxnSpPr>
          <a:stCxn id="440" idx="2"/>
          <a:endCxn id="439" idx="0"/>
        </xdr:cNvCxnSpPr>
      </xdr:nvCxnSpPr>
      <xdr:spPr>
        <a:xfrm>
          <a:off x="3733800" y="58216800"/>
          <a:ext cx="0" cy="190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235322</xdr:colOff>
      <xdr:row>302</xdr:row>
      <xdr:rowOff>0</xdr:rowOff>
    </xdr:from>
    <xdr:to>
      <xdr:col>14</xdr:col>
      <xdr:colOff>0</xdr:colOff>
      <xdr:row>303</xdr:row>
      <xdr:rowOff>179294</xdr:rowOff>
    </xdr:to>
    <xdr:cxnSp macro="">
      <xdr:nvCxnSpPr>
        <xdr:cNvPr id="443" name="Connector: Elbow 442">
          <a:extLst>
            <a:ext uri="{FF2B5EF4-FFF2-40B4-BE49-F238E27FC236}">
              <a16:creationId xmlns:a16="http://schemas.microsoft.com/office/drawing/2014/main" id="{00000000-0008-0000-0400-0000BB010000}"/>
            </a:ext>
          </a:extLst>
        </xdr:cNvPr>
        <xdr:cNvCxnSpPr>
          <a:stCxn id="435" idx="2"/>
          <a:endCxn id="440" idx="0"/>
        </xdr:cNvCxnSpPr>
      </xdr:nvCxnSpPr>
      <xdr:spPr>
        <a:xfrm rot="16200000" flipH="1">
          <a:off x="1304925" y="57645300"/>
          <a:ext cx="2428875" cy="37147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235323</xdr:colOff>
      <xdr:row>311</xdr:row>
      <xdr:rowOff>33618</xdr:rowOff>
    </xdr:from>
    <xdr:to>
      <xdr:col>14</xdr:col>
      <xdr:colOff>235323</xdr:colOff>
      <xdr:row>312</xdr:row>
      <xdr:rowOff>33618</xdr:rowOff>
    </xdr:to>
    <xdr:sp macro="" textlink="" fLocksText="0">
      <xdr:nvSpPr>
        <xdr:cNvPr id="444" name="Rectangle: Rounded Corners 443">
          <a:extLst>
            <a:ext uri="{FF2B5EF4-FFF2-40B4-BE49-F238E27FC236}">
              <a16:creationId xmlns:a16="http://schemas.microsoft.com/office/drawing/2014/main" id="{00000000-0008-0000-0400-0000BC010000}"/>
            </a:ext>
          </a:extLst>
        </xdr:cNvPr>
        <xdr:cNvSpPr/>
      </xdr:nvSpPr>
      <xdr:spPr>
        <a:xfrm>
          <a:off x="3438525" y="593979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</a:t>
          </a:r>
        </a:p>
      </xdr:txBody>
    </xdr:sp>
    <xdr:clientData/>
  </xdr:twoCellAnchor>
  <xdr:twoCellAnchor>
    <xdr:from>
      <xdr:col>14</xdr:col>
      <xdr:colOff>0</xdr:colOff>
      <xdr:row>310</xdr:row>
      <xdr:rowOff>0</xdr:rowOff>
    </xdr:from>
    <xdr:to>
      <xdr:col>14</xdr:col>
      <xdr:colOff>1</xdr:colOff>
      <xdr:row>311</xdr:row>
      <xdr:rowOff>33618</xdr:rowOff>
    </xdr:to>
    <xdr:cxnSp macro="">
      <xdr:nvCxnSpPr>
        <xdr:cNvPr id="445" name="直線矢印コネクタ 1010">
          <a:extLst>
            <a:ext uri="{FF2B5EF4-FFF2-40B4-BE49-F238E27FC236}">
              <a16:creationId xmlns:a16="http://schemas.microsoft.com/office/drawing/2014/main" id="{00000000-0008-0000-0400-0000BD010000}"/>
            </a:ext>
          </a:extLst>
        </xdr:cNvPr>
        <xdr:cNvCxnSpPr>
          <a:stCxn id="439" idx="2"/>
          <a:endCxn id="444" idx="0"/>
        </xdr:cNvCxnSpPr>
      </xdr:nvCxnSpPr>
      <xdr:spPr>
        <a:xfrm flipH="1">
          <a:off x="3733800" y="59169300"/>
          <a:ext cx="0" cy="2286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310</xdr:row>
      <xdr:rowOff>0</xdr:rowOff>
    </xdr:from>
    <xdr:to>
      <xdr:col>8</xdr:col>
      <xdr:colOff>0</xdr:colOff>
      <xdr:row>313</xdr:row>
      <xdr:rowOff>187452</xdr:rowOff>
    </xdr:to>
    <xdr:sp macro="" textlink="" fLocksText="0">
      <xdr:nvSpPr>
        <xdr:cNvPr id="459" name="四角形: 角を丸くする 3">
          <a:extLst>
            <a:ext uri="{FF2B5EF4-FFF2-40B4-BE49-F238E27FC236}">
              <a16:creationId xmlns:a16="http://schemas.microsoft.com/office/drawing/2014/main" id="{00000000-0008-0000-0400-0000CB010000}"/>
            </a:ext>
          </a:extLst>
        </xdr:cNvPr>
        <xdr:cNvSpPr/>
      </xdr:nvSpPr>
      <xdr:spPr>
        <a:xfrm>
          <a:off x="533400" y="59169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KN7108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一時削除機能</a:t>
          </a:r>
        </a:p>
      </xdr:txBody>
    </xdr:sp>
    <xdr:clientData/>
  </xdr:twoCellAnchor>
  <xdr:twoCellAnchor>
    <xdr:from>
      <xdr:col>3</xdr:col>
      <xdr:colOff>235322</xdr:colOff>
      <xdr:row>320</xdr:row>
      <xdr:rowOff>0</xdr:rowOff>
    </xdr:from>
    <xdr:to>
      <xdr:col>5</xdr:col>
      <xdr:colOff>235322</xdr:colOff>
      <xdr:row>321</xdr:row>
      <xdr:rowOff>0</xdr:rowOff>
    </xdr:to>
    <xdr:sp macro="" textlink="" fLocksText="0">
      <xdr:nvSpPr>
        <xdr:cNvPr id="461" name="Rectangle: Rounded Corners 460">
          <a:extLst>
            <a:ext uri="{FF2B5EF4-FFF2-40B4-BE49-F238E27FC236}">
              <a16:creationId xmlns:a16="http://schemas.microsoft.com/office/drawing/2014/main" id="{00000000-0008-0000-0400-0000CD010000}"/>
            </a:ext>
          </a:extLst>
        </xdr:cNvPr>
        <xdr:cNvSpPr/>
      </xdr:nvSpPr>
      <xdr:spPr>
        <a:xfrm>
          <a:off x="1038225" y="61074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71.7</a:t>
          </a:r>
        </a:p>
      </xdr:txBody>
    </xdr:sp>
    <xdr:clientData/>
  </xdr:twoCellAnchor>
  <xdr:twoCellAnchor>
    <xdr:from>
      <xdr:col>5</xdr:col>
      <xdr:colOff>0</xdr:colOff>
      <xdr:row>328</xdr:row>
      <xdr:rowOff>187452</xdr:rowOff>
    </xdr:from>
    <xdr:to>
      <xdr:col>5</xdr:col>
      <xdr:colOff>11206</xdr:colOff>
      <xdr:row>331</xdr:row>
      <xdr:rowOff>11206</xdr:rowOff>
    </xdr:to>
    <xdr:cxnSp macro="">
      <xdr:nvCxnSpPr>
        <xdr:cNvPr id="462" name="直線矢印コネクタ 1010">
          <a:extLst>
            <a:ext uri="{FF2B5EF4-FFF2-40B4-BE49-F238E27FC236}">
              <a16:creationId xmlns:a16="http://schemas.microsoft.com/office/drawing/2014/main" id="{00000000-0008-0000-0400-0000CE010000}"/>
            </a:ext>
          </a:extLst>
        </xdr:cNvPr>
        <xdr:cNvCxnSpPr>
          <a:stCxn id="506" idx="2"/>
          <a:endCxn id="463" idx="0"/>
        </xdr:cNvCxnSpPr>
      </xdr:nvCxnSpPr>
      <xdr:spPr>
        <a:xfrm>
          <a:off x="1333500" y="62788800"/>
          <a:ext cx="9525" cy="390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11206</xdr:colOff>
      <xdr:row>331</xdr:row>
      <xdr:rowOff>11206</xdr:rowOff>
    </xdr:from>
    <xdr:to>
      <xdr:col>6</xdr:col>
      <xdr:colOff>11206</xdr:colOff>
      <xdr:row>332</xdr:row>
      <xdr:rowOff>11206</xdr:rowOff>
    </xdr:to>
    <xdr:sp macro="" textlink="" fLocksText="0">
      <xdr:nvSpPr>
        <xdr:cNvPr id="463" name="Rectangle: Rounded Corners 462">
          <a:extLst>
            <a:ext uri="{FF2B5EF4-FFF2-40B4-BE49-F238E27FC236}">
              <a16:creationId xmlns:a16="http://schemas.microsoft.com/office/drawing/2014/main" id="{00000000-0008-0000-0400-0000CF010000}"/>
            </a:ext>
          </a:extLst>
        </xdr:cNvPr>
        <xdr:cNvSpPr/>
      </xdr:nvSpPr>
      <xdr:spPr>
        <a:xfrm>
          <a:off x="1076325" y="63179325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</a:t>
          </a:r>
        </a:p>
      </xdr:txBody>
    </xdr:sp>
    <xdr:clientData/>
  </xdr:twoCellAnchor>
  <xdr:twoCellAnchor>
    <xdr:from>
      <xdr:col>4</xdr:col>
      <xdr:colOff>235323</xdr:colOff>
      <xdr:row>321</xdr:row>
      <xdr:rowOff>0</xdr:rowOff>
    </xdr:from>
    <xdr:to>
      <xdr:col>5</xdr:col>
      <xdr:colOff>0</xdr:colOff>
      <xdr:row>325</xdr:row>
      <xdr:rowOff>0</xdr:rowOff>
    </xdr:to>
    <xdr:cxnSp macro="">
      <xdr:nvCxnSpPr>
        <xdr:cNvPr id="472" name="直線矢印コネクタ 1010">
          <a:extLst>
            <a:ext uri="{FF2B5EF4-FFF2-40B4-BE49-F238E27FC236}">
              <a16:creationId xmlns:a16="http://schemas.microsoft.com/office/drawing/2014/main" id="{00000000-0008-0000-0400-0000D8010000}"/>
            </a:ext>
          </a:extLst>
        </xdr:cNvPr>
        <xdr:cNvCxnSpPr>
          <a:stCxn id="461" idx="2"/>
          <a:endCxn id="506" idx="0"/>
        </xdr:cNvCxnSpPr>
      </xdr:nvCxnSpPr>
      <xdr:spPr>
        <a:xfrm>
          <a:off x="1304925" y="61264800"/>
          <a:ext cx="28575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326</xdr:row>
      <xdr:rowOff>188976</xdr:rowOff>
    </xdr:from>
    <xdr:to>
      <xdr:col>29</xdr:col>
      <xdr:colOff>0</xdr:colOff>
      <xdr:row>327</xdr:row>
      <xdr:rowOff>5603</xdr:rowOff>
    </xdr:to>
    <xdr:cxnSp macro="">
      <xdr:nvCxnSpPr>
        <xdr:cNvPr id="492" name="Straight Arrow Connector 491">
          <a:extLst>
            <a:ext uri="{FF2B5EF4-FFF2-40B4-BE49-F238E27FC236}">
              <a16:creationId xmlns:a16="http://schemas.microsoft.com/office/drawing/2014/main" id="{00000000-0008-0000-0400-0000EC010000}"/>
            </a:ext>
          </a:extLst>
        </xdr:cNvPr>
        <xdr:cNvCxnSpPr>
          <a:stCxn id="506" idx="3"/>
          <a:endCxn id="493" idx="2"/>
        </xdr:cNvCxnSpPr>
      </xdr:nvCxnSpPr>
      <xdr:spPr>
        <a:xfrm>
          <a:off x="2133600" y="62407800"/>
          <a:ext cx="5600700" cy="9525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325</xdr:row>
      <xdr:rowOff>11206</xdr:rowOff>
    </xdr:from>
    <xdr:to>
      <xdr:col>35</xdr:col>
      <xdr:colOff>11206</xdr:colOff>
      <xdr:row>329</xdr:row>
      <xdr:rowOff>0</xdr:rowOff>
    </xdr:to>
    <xdr:sp macro="" textlink="" fLocksText="0">
      <xdr:nvSpPr>
        <xdr:cNvPr id="493" name="フローチャート: 磁気ディスク 194">
          <a:extLst>
            <a:ext uri="{FF2B5EF4-FFF2-40B4-BE49-F238E27FC236}">
              <a16:creationId xmlns:a16="http://schemas.microsoft.com/office/drawing/2014/main" id="{00000000-0008-0000-0400-0000ED010000}"/>
            </a:ext>
          </a:extLst>
        </xdr:cNvPr>
        <xdr:cNvSpPr/>
      </xdr:nvSpPr>
      <xdr:spPr>
        <a:xfrm>
          <a:off x="7734300" y="62036325"/>
          <a:ext cx="1609725" cy="752475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AP7105</a:t>
          </a:r>
        </a:p>
        <a:p>
          <a:pPr algn="ctr">
            <a:defRPr lang="en-US" altLang="ja-JP" sz="9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ノードマスタデータ更新</a:t>
          </a:r>
        </a:p>
      </xdr:txBody>
    </xdr:sp>
    <xdr:clientData/>
  </xdr:twoCellAnchor>
  <xdr:twoCellAnchor>
    <xdr:from>
      <xdr:col>2</xdr:col>
      <xdr:colOff>0</xdr:colOff>
      <xdr:row>325</xdr:row>
      <xdr:rowOff>0</xdr:rowOff>
    </xdr:from>
    <xdr:to>
      <xdr:col>8</xdr:col>
      <xdr:colOff>0</xdr:colOff>
      <xdr:row>328</xdr:row>
      <xdr:rowOff>187452</xdr:rowOff>
    </xdr:to>
    <xdr:sp macro="" textlink="" fLocksText="0">
      <xdr:nvSpPr>
        <xdr:cNvPr id="506" name="四角形: 角を丸くする 3">
          <a:extLst>
            <a:ext uri="{FF2B5EF4-FFF2-40B4-BE49-F238E27FC236}">
              <a16:creationId xmlns:a16="http://schemas.microsoft.com/office/drawing/2014/main" id="{00000000-0008-0000-0400-0000FA010000}"/>
            </a:ext>
          </a:extLst>
        </xdr:cNvPr>
        <xdr:cNvSpPr/>
      </xdr:nvSpPr>
      <xdr:spPr>
        <a:xfrm>
          <a:off x="533400" y="620268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KN7109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ノードマスタ設定変更保存機能</a:t>
          </a:r>
        </a:p>
      </xdr:txBody>
    </xdr:sp>
    <xdr:clientData/>
  </xdr:twoCellAnchor>
  <xdr:twoCellAnchor>
    <xdr:from>
      <xdr:col>5</xdr:col>
      <xdr:colOff>0</xdr:colOff>
      <xdr:row>176</xdr:row>
      <xdr:rowOff>187452</xdr:rowOff>
    </xdr:from>
    <xdr:to>
      <xdr:col>5</xdr:col>
      <xdr:colOff>0</xdr:colOff>
      <xdr:row>179</xdr:row>
      <xdr:rowOff>0</xdr:rowOff>
    </xdr:to>
    <xdr:cxnSp macro="">
      <xdr:nvCxnSpPr>
        <xdr:cNvPr id="535" name="直線矢印コネクタ 1010">
          <a:extLst>
            <a:ext uri="{FF2B5EF4-FFF2-40B4-BE49-F238E27FC236}">
              <a16:creationId xmlns:a16="http://schemas.microsoft.com/office/drawing/2014/main" id="{00000000-0008-0000-0400-000017020000}"/>
            </a:ext>
          </a:extLst>
        </xdr:cNvPr>
        <xdr:cNvCxnSpPr>
          <a:stCxn id="523" idx="2"/>
          <a:endCxn id="538" idx="0"/>
        </xdr:cNvCxnSpPr>
      </xdr:nvCxnSpPr>
      <xdr:spPr>
        <a:xfrm>
          <a:off x="1333500" y="33832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182</xdr:row>
      <xdr:rowOff>0</xdr:rowOff>
    </xdr:from>
    <xdr:to>
      <xdr:col>17</xdr:col>
      <xdr:colOff>0</xdr:colOff>
      <xdr:row>186</xdr:row>
      <xdr:rowOff>0</xdr:rowOff>
    </xdr:to>
    <xdr:sp macro="" textlink="" fLocksText="0">
      <xdr:nvSpPr>
        <xdr:cNvPr id="536" name="正方形/長方形 19">
          <a:extLst>
            <a:ext uri="{FF2B5EF4-FFF2-40B4-BE49-F238E27FC236}">
              <a16:creationId xmlns:a16="http://schemas.microsoft.com/office/drawing/2014/main" id="{00000000-0008-0000-0400-000018020000}"/>
            </a:ext>
          </a:extLst>
        </xdr:cNvPr>
        <xdr:cNvSpPr/>
      </xdr:nvSpPr>
      <xdr:spPr>
        <a:xfrm>
          <a:off x="2933700" y="34785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MD_ERROR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csv入力エラーバリデーションチェック</a:t>
          </a:r>
        </a:p>
      </xdr:txBody>
    </xdr:sp>
    <xdr:clientData/>
  </xdr:twoCellAnchor>
  <xdr:twoCellAnchor>
    <xdr:from>
      <xdr:col>12</xdr:col>
      <xdr:colOff>1</xdr:colOff>
      <xdr:row>179</xdr:row>
      <xdr:rowOff>0</xdr:rowOff>
    </xdr:from>
    <xdr:to>
      <xdr:col>16</xdr:col>
      <xdr:colOff>1</xdr:colOff>
      <xdr:row>180</xdr:row>
      <xdr:rowOff>0</xdr:rowOff>
    </xdr:to>
    <xdr:sp macro="" textlink="" fLocksText="0">
      <xdr:nvSpPr>
        <xdr:cNvPr id="537" name="Rectangle: Rounded Corners 536">
          <a:extLst>
            <a:ext uri="{FF2B5EF4-FFF2-40B4-BE49-F238E27FC236}">
              <a16:creationId xmlns:a16="http://schemas.microsoft.com/office/drawing/2014/main" id="{00000000-0008-0000-0400-000019020000}"/>
            </a:ext>
          </a:extLst>
        </xdr:cNvPr>
        <xdr:cNvSpPr/>
      </xdr:nvSpPr>
      <xdr:spPr>
        <a:xfrm>
          <a:off x="3200400" y="34213800"/>
          <a:ext cx="10668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バリデーションチェックNG</a:t>
          </a:r>
        </a:p>
      </xdr:txBody>
    </xdr:sp>
    <xdr:clientData/>
  </xdr:twoCellAnchor>
  <xdr:twoCellAnchor>
    <xdr:from>
      <xdr:col>3</xdr:col>
      <xdr:colOff>0</xdr:colOff>
      <xdr:row>179</xdr:row>
      <xdr:rowOff>0</xdr:rowOff>
    </xdr:from>
    <xdr:to>
      <xdr:col>7</xdr:col>
      <xdr:colOff>0</xdr:colOff>
      <xdr:row>180</xdr:row>
      <xdr:rowOff>0</xdr:rowOff>
    </xdr:to>
    <xdr:sp macro="" textlink="" fLocksText="0">
      <xdr:nvSpPr>
        <xdr:cNvPr id="538" name="Rectangle: Rounded Corners 537">
          <a:extLst>
            <a:ext uri="{FF2B5EF4-FFF2-40B4-BE49-F238E27FC236}">
              <a16:creationId xmlns:a16="http://schemas.microsoft.com/office/drawing/2014/main" id="{00000000-0008-0000-0400-00001A020000}"/>
            </a:ext>
          </a:extLst>
        </xdr:cNvPr>
        <xdr:cNvSpPr/>
      </xdr:nvSpPr>
      <xdr:spPr>
        <a:xfrm>
          <a:off x="800100" y="34213800"/>
          <a:ext cx="10668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バリデーションチェックOK</a:t>
          </a:r>
        </a:p>
      </xdr:txBody>
    </xdr:sp>
    <xdr:clientData/>
  </xdr:twoCellAnchor>
  <xdr:twoCellAnchor>
    <xdr:from>
      <xdr:col>14</xdr:col>
      <xdr:colOff>1</xdr:colOff>
      <xdr:row>180</xdr:row>
      <xdr:rowOff>0</xdr:rowOff>
    </xdr:from>
    <xdr:to>
      <xdr:col>14</xdr:col>
      <xdr:colOff>1</xdr:colOff>
      <xdr:row>182</xdr:row>
      <xdr:rowOff>0</xdr:rowOff>
    </xdr:to>
    <xdr:cxnSp macro="">
      <xdr:nvCxnSpPr>
        <xdr:cNvPr id="539" name="直線矢印コネクタ 1010">
          <a:extLst>
            <a:ext uri="{FF2B5EF4-FFF2-40B4-BE49-F238E27FC236}">
              <a16:creationId xmlns:a16="http://schemas.microsoft.com/office/drawing/2014/main" id="{00000000-0008-0000-0400-00001B020000}"/>
            </a:ext>
          </a:extLst>
        </xdr:cNvPr>
        <xdr:cNvCxnSpPr>
          <a:stCxn id="537" idx="2"/>
          <a:endCxn id="536" idx="0"/>
        </xdr:cNvCxnSpPr>
      </xdr:nvCxnSpPr>
      <xdr:spPr>
        <a:xfrm>
          <a:off x="3733800" y="34404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176</xdr:row>
      <xdr:rowOff>187452</xdr:rowOff>
    </xdr:from>
    <xdr:to>
      <xdr:col>14</xdr:col>
      <xdr:colOff>1</xdr:colOff>
      <xdr:row>179</xdr:row>
      <xdr:rowOff>0</xdr:rowOff>
    </xdr:to>
    <xdr:cxnSp macro="">
      <xdr:nvCxnSpPr>
        <xdr:cNvPr id="540" name="Connector: Elbow 539">
          <a:extLst>
            <a:ext uri="{FF2B5EF4-FFF2-40B4-BE49-F238E27FC236}">
              <a16:creationId xmlns:a16="http://schemas.microsoft.com/office/drawing/2014/main" id="{00000000-0008-0000-0400-00001C020000}"/>
            </a:ext>
          </a:extLst>
        </xdr:cNvPr>
        <xdr:cNvCxnSpPr>
          <a:stCxn id="523" idx="2"/>
          <a:endCxn id="537" idx="0"/>
        </xdr:cNvCxnSpPr>
      </xdr:nvCxnSpPr>
      <xdr:spPr>
        <a:xfrm rot="16200000" flipH="1">
          <a:off x="1333500" y="33832800"/>
          <a:ext cx="24003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180</xdr:row>
      <xdr:rowOff>0</xdr:rowOff>
    </xdr:from>
    <xdr:to>
      <xdr:col>5</xdr:col>
      <xdr:colOff>0</xdr:colOff>
      <xdr:row>188</xdr:row>
      <xdr:rowOff>0</xdr:rowOff>
    </xdr:to>
    <xdr:cxnSp macro="">
      <xdr:nvCxnSpPr>
        <xdr:cNvPr id="544" name="直線矢印コネクタ 1010">
          <a:extLst>
            <a:ext uri="{FF2B5EF4-FFF2-40B4-BE49-F238E27FC236}">
              <a16:creationId xmlns:a16="http://schemas.microsoft.com/office/drawing/2014/main" id="{00000000-0008-0000-0400-000020020000}"/>
            </a:ext>
          </a:extLst>
        </xdr:cNvPr>
        <xdr:cNvCxnSpPr>
          <a:stCxn id="538" idx="2"/>
          <a:endCxn id="524" idx="0"/>
        </xdr:cNvCxnSpPr>
      </xdr:nvCxnSpPr>
      <xdr:spPr>
        <a:xfrm>
          <a:off x="1333500" y="34404300"/>
          <a:ext cx="0" cy="1524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 editAs="oneCell">
    <xdr:from>
      <xdr:col>65</xdr:col>
      <xdr:colOff>235323</xdr:colOff>
      <xdr:row>52</xdr:row>
      <xdr:rowOff>0</xdr:rowOff>
    </xdr:from>
    <xdr:to>
      <xdr:col>148</xdr:col>
      <xdr:colOff>226098</xdr:colOff>
      <xdr:row>77</xdr:row>
      <xdr:rowOff>168088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11725" y="10020300"/>
          <a:ext cx="22126575" cy="4933950"/>
        </a:xfrm>
        <a:prstGeom prst="rect">
          <a:avLst/>
        </a:prstGeom>
      </xdr:spPr>
    </xdr:pic>
    <xdr:clientData/>
  </xdr:twoCellAnchor>
  <xdr:twoCellAnchor editAs="oneCell">
    <xdr:from>
      <xdr:col>65</xdr:col>
      <xdr:colOff>231321</xdr:colOff>
      <xdr:row>257</xdr:row>
      <xdr:rowOff>0</xdr:rowOff>
    </xdr:from>
    <xdr:to>
      <xdr:col>121</xdr:col>
      <xdr:colOff>106917</xdr:colOff>
      <xdr:row>290</xdr:row>
      <xdr:rowOff>179294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02200" y="49072800"/>
          <a:ext cx="14811375" cy="6467475"/>
        </a:xfrm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211</xdr:row>
      <xdr:rowOff>176893</xdr:rowOff>
    </xdr:from>
    <xdr:to>
      <xdr:col>114</xdr:col>
      <xdr:colOff>37803</xdr:colOff>
      <xdr:row>241</xdr:row>
      <xdr:rowOff>71417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640300" y="40490775"/>
          <a:ext cx="12839700" cy="56102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34</xdr:row>
      <xdr:rowOff>95250</xdr:rowOff>
    </xdr:from>
    <xdr:to>
      <xdr:col>5</xdr:col>
      <xdr:colOff>0</xdr:colOff>
      <xdr:row>36</xdr:row>
      <xdr:rowOff>3048</xdr:rowOff>
    </xdr:to>
    <xdr:cxnSp macro="">
      <xdr:nvCxnSpPr>
        <xdr:cNvPr id="487" name="Connector: Elbow 486">
          <a:extLst>
            <a:ext uri="{FF2B5EF4-FFF2-40B4-BE49-F238E27FC236}">
              <a16:creationId xmlns:a16="http://schemas.microsoft.com/office/drawing/2014/main" id="{00000000-0008-0000-0400-0000E7010000}"/>
            </a:ext>
          </a:extLst>
        </xdr:cNvPr>
        <xdr:cNvCxnSpPr>
          <a:stCxn id="31" idx="3"/>
          <a:endCxn id="26" idx="0"/>
        </xdr:cNvCxnSpPr>
      </xdr:nvCxnSpPr>
      <xdr:spPr>
        <a:xfrm>
          <a:off x="800100" y="6686550"/>
          <a:ext cx="533400" cy="2857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 editAs="oneCell">
    <xdr:from>
      <xdr:col>66</xdr:col>
      <xdr:colOff>0</xdr:colOff>
      <xdr:row>80</xdr:row>
      <xdr:rowOff>0</xdr:rowOff>
    </xdr:from>
    <xdr:to>
      <xdr:col>101</xdr:col>
      <xdr:colOff>77175</xdr:colOff>
      <xdr:row>100</xdr:row>
      <xdr:rowOff>113453</xdr:rowOff>
    </xdr:to>
    <xdr:pic>
      <xdr:nvPicPr>
        <xdr:cNvPr id="521" name="図 129">
          <a:extLst>
            <a:ext uri="{FF2B5EF4-FFF2-40B4-BE49-F238E27FC236}">
              <a16:creationId xmlns:a16="http://schemas.microsoft.com/office/drawing/2014/main" id="{00000000-0008-0000-0400-00000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640300" y="15354300"/>
          <a:ext cx="9410700" cy="3924300"/>
        </a:xfrm>
        <a:prstGeom prst="rect">
          <a:avLst/>
        </a:prstGeom>
      </xdr:spPr>
    </xdr:pic>
    <xdr:clientData/>
  </xdr:twoCellAnchor>
  <xdr:twoCellAnchor editAs="oneCell">
    <xdr:from>
      <xdr:col>116</xdr:col>
      <xdr:colOff>0</xdr:colOff>
      <xdr:row>212</xdr:row>
      <xdr:rowOff>0</xdr:rowOff>
    </xdr:from>
    <xdr:to>
      <xdr:col>140</xdr:col>
      <xdr:colOff>194235</xdr:colOff>
      <xdr:row>233</xdr:row>
      <xdr:rowOff>124460</xdr:rowOff>
    </xdr:to>
    <xdr:pic>
      <xdr:nvPicPr>
        <xdr:cNvPr id="522" name="図 73">
          <a:extLst>
            <a:ext uri="{FF2B5EF4-FFF2-40B4-BE49-F238E27FC236}">
              <a16:creationId xmlns:a16="http://schemas.microsoft.com/office/drawing/2014/main" id="{00000000-0008-0000-0400-00000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975300" y="40500300"/>
          <a:ext cx="6591300" cy="41243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173</xdr:row>
      <xdr:rowOff>0</xdr:rowOff>
    </xdr:from>
    <xdr:to>
      <xdr:col>8</xdr:col>
      <xdr:colOff>0</xdr:colOff>
      <xdr:row>176</xdr:row>
      <xdr:rowOff>187452</xdr:rowOff>
    </xdr:to>
    <xdr:sp macro="" textlink="" fLocksText="0">
      <xdr:nvSpPr>
        <xdr:cNvPr id="523" name="四角形: 角を丸くする 3">
          <a:extLst>
            <a:ext uri="{FF2B5EF4-FFF2-40B4-BE49-F238E27FC236}">
              <a16:creationId xmlns:a16="http://schemas.microsoft.com/office/drawing/2014/main" id="{00000000-0008-0000-0400-00000B020000}"/>
            </a:ext>
          </a:extLst>
        </xdr:cNvPr>
        <xdr:cNvSpPr/>
      </xdr:nvSpPr>
      <xdr:spPr>
        <a:xfrm>
          <a:off x="533400" y="330708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KN7105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csv取込機能</a:t>
          </a:r>
        </a:p>
      </xdr:txBody>
    </xdr:sp>
    <xdr:clientData/>
  </xdr:twoCellAnchor>
  <xdr:twoCellAnchor>
    <xdr:from>
      <xdr:col>4</xdr:col>
      <xdr:colOff>0</xdr:colOff>
      <xdr:row>188</xdr:row>
      <xdr:rowOff>0</xdr:rowOff>
    </xdr:from>
    <xdr:to>
      <xdr:col>6</xdr:col>
      <xdr:colOff>0</xdr:colOff>
      <xdr:row>189</xdr:row>
      <xdr:rowOff>0</xdr:rowOff>
    </xdr:to>
    <xdr:sp macro="" textlink="" fLocksText="0">
      <xdr:nvSpPr>
        <xdr:cNvPr id="524" name="Rectangle: Rounded Corners 523">
          <a:extLst>
            <a:ext uri="{FF2B5EF4-FFF2-40B4-BE49-F238E27FC236}">
              <a16:creationId xmlns:a16="http://schemas.microsoft.com/office/drawing/2014/main" id="{00000000-0008-0000-0400-00000C020000}"/>
            </a:ext>
          </a:extLst>
        </xdr:cNvPr>
        <xdr:cNvSpPr/>
      </xdr:nvSpPr>
      <xdr:spPr>
        <a:xfrm>
          <a:off x="1066800" y="35928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</a:t>
          </a:r>
        </a:p>
      </xdr:txBody>
    </xdr:sp>
    <xdr:clientData/>
  </xdr:twoCellAnchor>
  <xdr:twoCellAnchor>
    <xdr:from>
      <xdr:col>5</xdr:col>
      <xdr:colOff>0</xdr:colOff>
      <xdr:row>186</xdr:row>
      <xdr:rowOff>0</xdr:rowOff>
    </xdr:from>
    <xdr:to>
      <xdr:col>14</xdr:col>
      <xdr:colOff>1</xdr:colOff>
      <xdr:row>188</xdr:row>
      <xdr:rowOff>0</xdr:rowOff>
    </xdr:to>
    <xdr:cxnSp macro="">
      <xdr:nvCxnSpPr>
        <xdr:cNvPr id="525" name="Connector: Elbow 524">
          <a:extLst>
            <a:ext uri="{FF2B5EF4-FFF2-40B4-BE49-F238E27FC236}">
              <a16:creationId xmlns:a16="http://schemas.microsoft.com/office/drawing/2014/main" id="{00000000-0008-0000-0400-00000D020000}"/>
            </a:ext>
          </a:extLst>
        </xdr:cNvPr>
        <xdr:cNvCxnSpPr>
          <a:stCxn id="536" idx="2"/>
          <a:endCxn id="524" idx="0"/>
        </xdr:cNvCxnSpPr>
      </xdr:nvCxnSpPr>
      <xdr:spPr>
        <a:xfrm rot="5400000">
          <a:off x="1333500" y="35547300"/>
          <a:ext cx="24003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36</xdr:row>
      <xdr:rowOff>3048</xdr:rowOff>
    </xdr:from>
    <xdr:to>
      <xdr:col>8</xdr:col>
      <xdr:colOff>0</xdr:colOff>
      <xdr:row>40</xdr:row>
      <xdr:rowOff>0</xdr:rowOff>
    </xdr:to>
    <xdr:sp macro="" textlink="" fLocksText="0">
      <xdr:nvSpPr>
        <xdr:cNvPr id="26" name="四角形: 角を丸くする 3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533400" y="6972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KN7101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検索条件一覧取得機能</a:t>
          </a:r>
        </a:p>
      </xdr:txBody>
    </xdr:sp>
    <xdr:clientData/>
  </xdr:twoCellAnchor>
  <xdr:twoCellAnchor>
    <xdr:from>
      <xdr:col>1</xdr:col>
      <xdr:colOff>0</xdr:colOff>
      <xdr:row>34</xdr:row>
      <xdr:rowOff>0</xdr:rowOff>
    </xdr:from>
    <xdr:to>
      <xdr:col>3</xdr:col>
      <xdr:colOff>0</xdr:colOff>
      <xdr:row>35</xdr:row>
      <xdr:rowOff>0</xdr:rowOff>
    </xdr:to>
    <xdr:sp macro="" textlink="" fLocksText="0">
      <xdr:nvSpPr>
        <xdr:cNvPr id="31" name="Rectangle: Rounded Corners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266700" y="6591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</a:t>
          </a:r>
        </a:p>
      </xdr:txBody>
    </xdr:sp>
    <xdr:clientData/>
  </xdr:twoCellAnchor>
  <xdr:twoCellAnchor>
    <xdr:from>
      <xdr:col>5</xdr:col>
      <xdr:colOff>0</xdr:colOff>
      <xdr:row>40</xdr:row>
      <xdr:rowOff>0</xdr:rowOff>
    </xdr:from>
    <xdr:to>
      <xdr:col>5</xdr:col>
      <xdr:colOff>0</xdr:colOff>
      <xdr:row>42</xdr:row>
      <xdr:rowOff>0</xdr:rowOff>
    </xdr:to>
    <xdr:cxnSp macro="">
      <xdr:nvCxnSpPr>
        <xdr:cNvPr id="34" name="直線矢印コネクタ 1010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CxnSpPr>
          <a:stCxn id="26" idx="2"/>
          <a:endCxn id="57" idx="0"/>
        </xdr:cNvCxnSpPr>
      </xdr:nvCxnSpPr>
      <xdr:spPr>
        <a:xfrm>
          <a:off x="1333500" y="7734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235322</xdr:colOff>
      <xdr:row>36</xdr:row>
      <xdr:rowOff>0</xdr:rowOff>
    </xdr:from>
    <xdr:to>
      <xdr:col>35</xdr:col>
      <xdr:colOff>0</xdr:colOff>
      <xdr:row>39</xdr:row>
      <xdr:rowOff>187452</xdr:rowOff>
    </xdr:to>
    <xdr:sp macro="" textlink="" fLocksText="0">
      <xdr:nvSpPr>
        <xdr:cNvPr id="39" name="フローチャート: 磁気ディスク 194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7705725" y="6972300"/>
          <a:ext cx="1628775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AP7101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セレクトボックスデータリスト取得</a:t>
          </a:r>
        </a:p>
      </xdr:txBody>
    </xdr:sp>
    <xdr:clientData/>
  </xdr:twoCellAnchor>
  <xdr:twoCellAnchor>
    <xdr:from>
      <xdr:col>8</xdr:col>
      <xdr:colOff>0</xdr:colOff>
      <xdr:row>37</xdr:row>
      <xdr:rowOff>188976</xdr:rowOff>
    </xdr:from>
    <xdr:to>
      <xdr:col>28</xdr:col>
      <xdr:colOff>235322</xdr:colOff>
      <xdr:row>38</xdr:row>
      <xdr:rowOff>1524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CxnSpPr>
          <a:stCxn id="26" idx="3"/>
          <a:endCxn id="39" idx="2"/>
        </xdr:cNvCxnSpPr>
      </xdr:nvCxnSpPr>
      <xdr:spPr>
        <a:xfrm flipV="1">
          <a:off x="2133600" y="7353300"/>
          <a:ext cx="5572125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218</xdr:row>
      <xdr:rowOff>11206</xdr:rowOff>
    </xdr:from>
    <xdr:to>
      <xdr:col>8</xdr:col>
      <xdr:colOff>0</xdr:colOff>
      <xdr:row>222</xdr:row>
      <xdr:rowOff>8158</xdr:rowOff>
    </xdr:to>
    <xdr:sp macro="" textlink="" fLocksText="0">
      <xdr:nvSpPr>
        <xdr:cNvPr id="458" name="四角形: 角を丸くする 3">
          <a:extLst>
            <a:ext uri="{FF2B5EF4-FFF2-40B4-BE49-F238E27FC236}">
              <a16:creationId xmlns:a16="http://schemas.microsoft.com/office/drawing/2014/main" id="{00000000-0008-0000-0400-0000CA010000}"/>
            </a:ext>
          </a:extLst>
        </xdr:cNvPr>
        <xdr:cNvSpPr/>
      </xdr:nvSpPr>
      <xdr:spPr>
        <a:xfrm>
          <a:off x="533400" y="41652825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KN7101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検索条件一覧取得機能</a:t>
          </a:r>
        </a:p>
      </xdr:txBody>
    </xdr:sp>
    <xdr:clientData/>
  </xdr:twoCellAnchor>
  <xdr:twoCellAnchor>
    <xdr:from>
      <xdr:col>29</xdr:col>
      <xdr:colOff>11205</xdr:colOff>
      <xdr:row>218</xdr:row>
      <xdr:rowOff>0</xdr:rowOff>
    </xdr:from>
    <xdr:to>
      <xdr:col>35</xdr:col>
      <xdr:colOff>11205</xdr:colOff>
      <xdr:row>221</xdr:row>
      <xdr:rowOff>187452</xdr:rowOff>
    </xdr:to>
    <xdr:sp macro="" textlink="" fLocksText="0">
      <xdr:nvSpPr>
        <xdr:cNvPr id="460" name="フローチャート: 磁気ディスク 194">
          <a:extLst>
            <a:ext uri="{FF2B5EF4-FFF2-40B4-BE49-F238E27FC236}">
              <a16:creationId xmlns:a16="http://schemas.microsoft.com/office/drawing/2014/main" id="{00000000-0008-0000-0400-0000CC010000}"/>
            </a:ext>
          </a:extLst>
        </xdr:cNvPr>
        <xdr:cNvSpPr/>
      </xdr:nvSpPr>
      <xdr:spPr>
        <a:xfrm>
          <a:off x="7743825" y="416433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AP7101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セレクトボックスデータリスト取得</a:t>
          </a:r>
        </a:p>
      </xdr:txBody>
    </xdr:sp>
    <xdr:clientData/>
  </xdr:twoCellAnchor>
  <xdr:twoCellAnchor>
    <xdr:from>
      <xdr:col>8</xdr:col>
      <xdr:colOff>0</xdr:colOff>
      <xdr:row>219</xdr:row>
      <xdr:rowOff>188976</xdr:rowOff>
    </xdr:from>
    <xdr:to>
      <xdr:col>29</xdr:col>
      <xdr:colOff>11205</xdr:colOff>
      <xdr:row>220</xdr:row>
      <xdr:rowOff>9682</xdr:rowOff>
    </xdr:to>
    <xdr:cxnSp macro="">
      <xdr:nvCxnSpPr>
        <xdr:cNvPr id="464" name="Straight Arrow Connector 463">
          <a:extLst>
            <a:ext uri="{FF2B5EF4-FFF2-40B4-BE49-F238E27FC236}">
              <a16:creationId xmlns:a16="http://schemas.microsoft.com/office/drawing/2014/main" id="{00000000-0008-0000-0400-0000D0010000}"/>
            </a:ext>
          </a:extLst>
        </xdr:cNvPr>
        <xdr:cNvCxnSpPr>
          <a:stCxn id="458" idx="3"/>
          <a:endCxn id="460" idx="2"/>
        </xdr:cNvCxnSpPr>
      </xdr:nvCxnSpPr>
      <xdr:spPr>
        <a:xfrm flipV="1">
          <a:off x="2133600" y="42024300"/>
          <a:ext cx="5610225" cy="9525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235323</xdr:colOff>
      <xdr:row>216</xdr:row>
      <xdr:rowOff>0</xdr:rowOff>
    </xdr:from>
    <xdr:to>
      <xdr:col>5</xdr:col>
      <xdr:colOff>0</xdr:colOff>
      <xdr:row>218</xdr:row>
      <xdr:rowOff>11206</xdr:rowOff>
    </xdr:to>
    <xdr:cxnSp macro="">
      <xdr:nvCxnSpPr>
        <xdr:cNvPr id="475" name="直線矢印コネクタ 1010">
          <a:extLst>
            <a:ext uri="{FF2B5EF4-FFF2-40B4-BE49-F238E27FC236}">
              <a16:creationId xmlns:a16="http://schemas.microsoft.com/office/drawing/2014/main" id="{00000000-0008-0000-0400-0000DB010000}"/>
            </a:ext>
          </a:extLst>
        </xdr:cNvPr>
        <xdr:cNvCxnSpPr>
          <a:stCxn id="334" idx="2"/>
          <a:endCxn id="458" idx="0"/>
        </xdr:cNvCxnSpPr>
      </xdr:nvCxnSpPr>
      <xdr:spPr>
        <a:xfrm>
          <a:off x="1304925" y="41262300"/>
          <a:ext cx="28575" cy="390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222</xdr:row>
      <xdr:rowOff>8158</xdr:rowOff>
    </xdr:from>
    <xdr:to>
      <xdr:col>5</xdr:col>
      <xdr:colOff>0</xdr:colOff>
      <xdr:row>226</xdr:row>
      <xdr:rowOff>0</xdr:rowOff>
    </xdr:to>
    <xdr:cxnSp macro="">
      <xdr:nvCxnSpPr>
        <xdr:cNvPr id="480" name="直線矢印コネクタ 1010">
          <a:extLst>
            <a:ext uri="{FF2B5EF4-FFF2-40B4-BE49-F238E27FC236}">
              <a16:creationId xmlns:a16="http://schemas.microsoft.com/office/drawing/2014/main" id="{00000000-0008-0000-0400-0000E0010000}"/>
            </a:ext>
          </a:extLst>
        </xdr:cNvPr>
        <xdr:cNvCxnSpPr>
          <a:stCxn id="458" idx="2"/>
          <a:endCxn id="345" idx="0"/>
        </xdr:cNvCxnSpPr>
      </xdr:nvCxnSpPr>
      <xdr:spPr>
        <a:xfrm>
          <a:off x="1333500" y="42414825"/>
          <a:ext cx="0" cy="7524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261</xdr:row>
      <xdr:rowOff>0</xdr:rowOff>
    </xdr:from>
    <xdr:to>
      <xdr:col>8</xdr:col>
      <xdr:colOff>0</xdr:colOff>
      <xdr:row>264</xdr:row>
      <xdr:rowOff>187452</xdr:rowOff>
    </xdr:to>
    <xdr:sp macro="" textlink="" fLocksText="0">
      <xdr:nvSpPr>
        <xdr:cNvPr id="485" name="四角形: 角を丸くする 3">
          <a:extLst>
            <a:ext uri="{FF2B5EF4-FFF2-40B4-BE49-F238E27FC236}">
              <a16:creationId xmlns:a16="http://schemas.microsoft.com/office/drawing/2014/main" id="{00000000-0008-0000-0400-0000E5010000}"/>
            </a:ext>
          </a:extLst>
        </xdr:cNvPr>
        <xdr:cNvSpPr/>
      </xdr:nvSpPr>
      <xdr:spPr>
        <a:xfrm>
          <a:off x="533400" y="498348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KN7101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検索条件一覧取得機能</a:t>
          </a:r>
        </a:p>
      </xdr:txBody>
    </xdr:sp>
    <xdr:clientData/>
  </xdr:twoCellAnchor>
  <xdr:twoCellAnchor>
    <xdr:from>
      <xdr:col>29</xdr:col>
      <xdr:colOff>11205</xdr:colOff>
      <xdr:row>261</xdr:row>
      <xdr:rowOff>0</xdr:rowOff>
    </xdr:from>
    <xdr:to>
      <xdr:col>35</xdr:col>
      <xdr:colOff>11205</xdr:colOff>
      <xdr:row>264</xdr:row>
      <xdr:rowOff>187452</xdr:rowOff>
    </xdr:to>
    <xdr:sp macro="" textlink="" fLocksText="0">
      <xdr:nvSpPr>
        <xdr:cNvPr id="486" name="フローチャート: 磁気ディスク 194">
          <a:extLst>
            <a:ext uri="{FF2B5EF4-FFF2-40B4-BE49-F238E27FC236}">
              <a16:creationId xmlns:a16="http://schemas.microsoft.com/office/drawing/2014/main" id="{00000000-0008-0000-0400-0000E6010000}"/>
            </a:ext>
          </a:extLst>
        </xdr:cNvPr>
        <xdr:cNvSpPr/>
      </xdr:nvSpPr>
      <xdr:spPr>
        <a:xfrm>
          <a:off x="7743825" y="49834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AP7101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セレクトボックスデータリスト取得</a:t>
          </a:r>
        </a:p>
      </xdr:txBody>
    </xdr:sp>
    <xdr:clientData/>
  </xdr:twoCellAnchor>
  <xdr:twoCellAnchor>
    <xdr:from>
      <xdr:col>8</xdr:col>
      <xdr:colOff>0</xdr:colOff>
      <xdr:row>262</xdr:row>
      <xdr:rowOff>188976</xdr:rowOff>
    </xdr:from>
    <xdr:to>
      <xdr:col>29</xdr:col>
      <xdr:colOff>11205</xdr:colOff>
      <xdr:row>262</xdr:row>
      <xdr:rowOff>188976</xdr:rowOff>
    </xdr:to>
    <xdr:cxnSp macro="">
      <xdr:nvCxnSpPr>
        <xdr:cNvPr id="488" name="Straight Arrow Connector 487">
          <a:extLst>
            <a:ext uri="{FF2B5EF4-FFF2-40B4-BE49-F238E27FC236}">
              <a16:creationId xmlns:a16="http://schemas.microsoft.com/office/drawing/2014/main" id="{00000000-0008-0000-0400-0000E8010000}"/>
            </a:ext>
          </a:extLst>
        </xdr:cNvPr>
        <xdr:cNvCxnSpPr>
          <a:stCxn id="485" idx="3"/>
          <a:endCxn id="486" idx="2"/>
        </xdr:cNvCxnSpPr>
      </xdr:nvCxnSpPr>
      <xdr:spPr>
        <a:xfrm>
          <a:off x="2133600" y="50215800"/>
          <a:ext cx="5610225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235323</xdr:colOff>
      <xdr:row>258</xdr:row>
      <xdr:rowOff>179294</xdr:rowOff>
    </xdr:from>
    <xdr:to>
      <xdr:col>5</xdr:col>
      <xdr:colOff>0</xdr:colOff>
      <xdr:row>261</xdr:row>
      <xdr:rowOff>0</xdr:rowOff>
    </xdr:to>
    <xdr:cxnSp macro="">
      <xdr:nvCxnSpPr>
        <xdr:cNvPr id="490" name="直線矢印コネクタ 1010">
          <a:extLst>
            <a:ext uri="{FF2B5EF4-FFF2-40B4-BE49-F238E27FC236}">
              <a16:creationId xmlns:a16="http://schemas.microsoft.com/office/drawing/2014/main" id="{00000000-0008-0000-0400-0000EA010000}"/>
            </a:ext>
          </a:extLst>
        </xdr:cNvPr>
        <xdr:cNvCxnSpPr>
          <a:stCxn id="390" idx="2"/>
          <a:endCxn id="485" idx="0"/>
        </xdr:cNvCxnSpPr>
      </xdr:nvCxnSpPr>
      <xdr:spPr>
        <a:xfrm>
          <a:off x="1304925" y="49444275"/>
          <a:ext cx="28575" cy="390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241788</xdr:colOff>
      <xdr:row>135</xdr:row>
      <xdr:rowOff>0</xdr:rowOff>
    </xdr:from>
    <xdr:to>
      <xdr:col>26</xdr:col>
      <xdr:colOff>241788</xdr:colOff>
      <xdr:row>138</xdr:row>
      <xdr:rowOff>187452</xdr:rowOff>
    </xdr:to>
    <xdr:sp macro="" textlink="" fLocksText="0">
      <xdr:nvSpPr>
        <xdr:cNvPr id="37" name="四角形: 角を丸くする 3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5572125" y="258318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KN7104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レジ種別確定機能</a:t>
          </a:r>
        </a:p>
      </xdr:txBody>
    </xdr:sp>
    <xdr:clientData/>
  </xdr:twoCellAnchor>
  <xdr:twoCellAnchor>
    <xdr:from>
      <xdr:col>9</xdr:col>
      <xdr:colOff>0</xdr:colOff>
      <xdr:row>133</xdr:row>
      <xdr:rowOff>0</xdr:rowOff>
    </xdr:from>
    <xdr:to>
      <xdr:col>9</xdr:col>
      <xdr:colOff>0</xdr:colOff>
      <xdr:row>141</xdr:row>
      <xdr:rowOff>0</xdr:rowOff>
    </xdr:to>
    <xdr:cxnSp macro="">
      <xdr:nvCxnSpPr>
        <xdr:cNvPr id="38" name="直線矢印コネクタ 1010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CxnSpPr>
          <a:stCxn id="54" idx="2"/>
          <a:endCxn id="470" idx="0"/>
        </xdr:cNvCxnSpPr>
      </xdr:nvCxnSpPr>
      <xdr:spPr>
        <a:xfrm>
          <a:off x="2400300" y="25450800"/>
          <a:ext cx="0" cy="1524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133</xdr:row>
      <xdr:rowOff>0</xdr:rowOff>
    </xdr:from>
    <xdr:to>
      <xdr:col>14</xdr:col>
      <xdr:colOff>1</xdr:colOff>
      <xdr:row>141</xdr:row>
      <xdr:rowOff>13607</xdr:rowOff>
    </xdr:to>
    <xdr:cxnSp macro="">
      <xdr:nvCxnSpPr>
        <xdr:cNvPr id="44" name="直線矢印コネクタ 1010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CxnSpPr>
          <a:stCxn id="451" idx="2"/>
          <a:endCxn id="25" idx="0"/>
        </xdr:cNvCxnSpPr>
      </xdr:nvCxnSpPr>
      <xdr:spPr>
        <a:xfrm>
          <a:off x="3733800" y="25450800"/>
          <a:ext cx="0" cy="1533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133</xdr:row>
      <xdr:rowOff>0</xdr:rowOff>
    </xdr:from>
    <xdr:to>
      <xdr:col>19</xdr:col>
      <xdr:colOff>1</xdr:colOff>
      <xdr:row>141</xdr:row>
      <xdr:rowOff>0</xdr:rowOff>
    </xdr:to>
    <xdr:cxnSp macro="">
      <xdr:nvCxnSpPr>
        <xdr:cNvPr id="53" name="直線矢印コネクタ 1010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CxnSpPr>
          <a:stCxn id="449" idx="2"/>
          <a:endCxn id="476" idx="0"/>
        </xdr:cNvCxnSpPr>
      </xdr:nvCxnSpPr>
      <xdr:spPr>
        <a:xfrm flipH="1">
          <a:off x="5067300" y="25450800"/>
          <a:ext cx="0" cy="1524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3232</xdr:colOff>
      <xdr:row>132</xdr:row>
      <xdr:rowOff>190499</xdr:rowOff>
    </xdr:from>
    <xdr:to>
      <xdr:col>24</xdr:col>
      <xdr:colOff>6465</xdr:colOff>
      <xdr:row>135</xdr:row>
      <xdr:rowOff>0</xdr:rowOff>
    </xdr:to>
    <xdr:cxnSp macro="">
      <xdr:nvCxnSpPr>
        <xdr:cNvPr id="56" name="直線矢印コネクタ 1010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CxnSpPr>
          <a:stCxn id="552" idx="2"/>
          <a:endCxn id="37" idx="0"/>
        </xdr:cNvCxnSpPr>
      </xdr:nvCxnSpPr>
      <xdr:spPr>
        <a:xfrm>
          <a:off x="6400800" y="25450800"/>
          <a:ext cx="9525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135</xdr:row>
      <xdr:rowOff>8501</xdr:rowOff>
    </xdr:from>
    <xdr:to>
      <xdr:col>35</xdr:col>
      <xdr:colOff>0</xdr:colOff>
      <xdr:row>139</xdr:row>
      <xdr:rowOff>5453</xdr:rowOff>
    </xdr:to>
    <xdr:sp macro="" textlink="" fLocksText="0">
      <xdr:nvSpPr>
        <xdr:cNvPr id="454" name="フローチャート: 磁気ディスク 194">
          <a:extLst>
            <a:ext uri="{FF2B5EF4-FFF2-40B4-BE49-F238E27FC236}">
              <a16:creationId xmlns:a16="http://schemas.microsoft.com/office/drawing/2014/main" id="{00000000-0008-0000-0400-0000C6010000}"/>
            </a:ext>
          </a:extLst>
        </xdr:cNvPr>
        <xdr:cNvSpPr/>
      </xdr:nvSpPr>
      <xdr:spPr>
        <a:xfrm>
          <a:off x="7734300" y="25841325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AP7104</a:t>
          </a:r>
        </a:p>
        <a:p>
          <a:pPr algn="ctr"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レジ種別確定</a:t>
          </a:r>
        </a:p>
      </xdr:txBody>
    </xdr:sp>
    <xdr:clientData/>
  </xdr:twoCellAnchor>
  <xdr:twoCellAnchor>
    <xdr:from>
      <xdr:col>26</xdr:col>
      <xdr:colOff>241788</xdr:colOff>
      <xdr:row>136</xdr:row>
      <xdr:rowOff>188976</xdr:rowOff>
    </xdr:from>
    <xdr:to>
      <xdr:col>29</xdr:col>
      <xdr:colOff>0</xdr:colOff>
      <xdr:row>137</xdr:row>
      <xdr:rowOff>6977</xdr:rowOff>
    </xdr:to>
    <xdr:cxnSp macro="">
      <xdr:nvCxnSpPr>
        <xdr:cNvPr id="457" name="Straight Arrow Connector 456">
          <a:extLst>
            <a:ext uri="{FF2B5EF4-FFF2-40B4-BE49-F238E27FC236}">
              <a16:creationId xmlns:a16="http://schemas.microsoft.com/office/drawing/2014/main" id="{00000000-0008-0000-0400-0000C9010000}"/>
            </a:ext>
          </a:extLst>
        </xdr:cNvPr>
        <xdr:cNvCxnSpPr>
          <a:stCxn id="37" idx="3"/>
          <a:endCxn id="454" idx="2"/>
        </xdr:cNvCxnSpPr>
      </xdr:nvCxnSpPr>
      <xdr:spPr>
        <a:xfrm>
          <a:off x="7172325" y="26212800"/>
          <a:ext cx="561975" cy="9525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123</xdr:row>
      <xdr:rowOff>0</xdr:rowOff>
    </xdr:from>
    <xdr:to>
      <xdr:col>3</xdr:col>
      <xdr:colOff>0</xdr:colOff>
      <xdr:row>124</xdr:row>
      <xdr:rowOff>0</xdr:rowOff>
    </xdr:to>
    <xdr:sp macro="" textlink="" fLocksText="0">
      <xdr:nvSpPr>
        <xdr:cNvPr id="473" name="Rectangle: Rounded Corners 472">
          <a:extLst>
            <a:ext uri="{FF2B5EF4-FFF2-40B4-BE49-F238E27FC236}">
              <a16:creationId xmlns:a16="http://schemas.microsoft.com/office/drawing/2014/main" id="{00000000-0008-0000-0400-0000D9010000}"/>
            </a:ext>
          </a:extLst>
        </xdr:cNvPr>
        <xdr:cNvSpPr/>
      </xdr:nvSpPr>
      <xdr:spPr>
        <a:xfrm>
          <a:off x="266700" y="23545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71.8</a:t>
          </a:r>
        </a:p>
      </xdr:txBody>
    </xdr:sp>
    <xdr:clientData/>
  </xdr:twoCellAnchor>
  <xdr:twoCellAnchor>
    <xdr:from>
      <xdr:col>3</xdr:col>
      <xdr:colOff>0</xdr:colOff>
      <xdr:row>123</xdr:row>
      <xdr:rowOff>95250</xdr:rowOff>
    </xdr:from>
    <xdr:to>
      <xdr:col>5</xdr:col>
      <xdr:colOff>0</xdr:colOff>
      <xdr:row>126</xdr:row>
      <xdr:rowOff>0</xdr:rowOff>
    </xdr:to>
    <xdr:cxnSp macro="">
      <xdr:nvCxnSpPr>
        <xdr:cNvPr id="474" name="Connector: Elbow 473">
          <a:extLst>
            <a:ext uri="{FF2B5EF4-FFF2-40B4-BE49-F238E27FC236}">
              <a16:creationId xmlns:a16="http://schemas.microsoft.com/office/drawing/2014/main" id="{00000000-0008-0000-0400-0000DA010000}"/>
            </a:ext>
          </a:extLst>
        </xdr:cNvPr>
        <xdr:cNvCxnSpPr>
          <a:stCxn id="473" idx="3"/>
          <a:endCxn id="275" idx="0"/>
        </xdr:cNvCxnSpPr>
      </xdr:nvCxnSpPr>
      <xdr:spPr>
        <a:xfrm>
          <a:off x="800100" y="23641050"/>
          <a:ext cx="533400" cy="4762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241788</xdr:colOff>
      <xdr:row>138</xdr:row>
      <xdr:rowOff>187452</xdr:rowOff>
    </xdr:from>
    <xdr:to>
      <xdr:col>24</xdr:col>
      <xdr:colOff>0</xdr:colOff>
      <xdr:row>141</xdr:row>
      <xdr:rowOff>13607</xdr:rowOff>
    </xdr:to>
    <xdr:cxnSp macro="">
      <xdr:nvCxnSpPr>
        <xdr:cNvPr id="116" name="直線矢印コネクタ 1010">
          <a:extLst>
            <a:ext uri="{FF2B5EF4-FFF2-40B4-BE49-F238E27FC236}">
              <a16:creationId xmlns:a16="http://schemas.microsoft.com/office/drawing/2014/main" id="{00000000-0008-0000-0400-000074000000}"/>
            </a:ext>
          </a:extLst>
        </xdr:cNvPr>
        <xdr:cNvCxnSpPr>
          <a:stCxn id="37" idx="2"/>
          <a:endCxn id="156" idx="0"/>
        </xdr:cNvCxnSpPr>
      </xdr:nvCxnSpPr>
      <xdr:spPr>
        <a:xfrm>
          <a:off x="6372225" y="26593800"/>
          <a:ext cx="28575" cy="390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118</xdr:row>
      <xdr:rowOff>0</xdr:rowOff>
    </xdr:from>
    <xdr:to>
      <xdr:col>35</xdr:col>
      <xdr:colOff>0</xdr:colOff>
      <xdr:row>121</xdr:row>
      <xdr:rowOff>187452</xdr:rowOff>
    </xdr:to>
    <xdr:sp macro="" textlink="" fLocksText="0">
      <xdr:nvSpPr>
        <xdr:cNvPr id="145" name="フローチャート: 磁気ディスク 194">
          <a:extLst>
            <a:ext uri="{FF2B5EF4-FFF2-40B4-BE49-F238E27FC236}">
              <a16:creationId xmlns:a16="http://schemas.microsoft.com/office/drawing/2014/main" id="{00000000-0008-0000-0400-000091000000}"/>
            </a:ext>
          </a:extLst>
        </xdr:cNvPr>
        <xdr:cNvSpPr/>
      </xdr:nvSpPr>
      <xdr:spPr>
        <a:xfrm>
          <a:off x="7734300" y="225933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AP7103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レジ種別一覧取得</a:t>
          </a:r>
        </a:p>
      </xdr:txBody>
    </xdr:sp>
    <xdr:clientData/>
  </xdr:twoCellAnchor>
  <xdr:twoCellAnchor>
    <xdr:from>
      <xdr:col>8</xdr:col>
      <xdr:colOff>0</xdr:colOff>
      <xdr:row>119</xdr:row>
      <xdr:rowOff>188976</xdr:rowOff>
    </xdr:from>
    <xdr:to>
      <xdr:col>29</xdr:col>
      <xdr:colOff>0</xdr:colOff>
      <xdr:row>119</xdr:row>
      <xdr:rowOff>188977</xdr:rowOff>
    </xdr:to>
    <xdr:cxnSp macro="">
      <xdr:nvCxnSpPr>
        <xdr:cNvPr id="146" name="Straight Arrow Connector 145">
          <a:extLst>
            <a:ext uri="{FF2B5EF4-FFF2-40B4-BE49-F238E27FC236}">
              <a16:creationId xmlns:a16="http://schemas.microsoft.com/office/drawing/2014/main" id="{00000000-0008-0000-0400-000092000000}"/>
            </a:ext>
          </a:extLst>
        </xdr:cNvPr>
        <xdr:cNvCxnSpPr>
          <a:stCxn id="274" idx="3"/>
          <a:endCxn id="145" idx="2"/>
        </xdr:cNvCxnSpPr>
      </xdr:nvCxnSpPr>
      <xdr:spPr>
        <a:xfrm flipV="1">
          <a:off x="2133600" y="22974300"/>
          <a:ext cx="56007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141</xdr:row>
      <xdr:rowOff>13607</xdr:rowOff>
    </xdr:from>
    <xdr:to>
      <xdr:col>25</xdr:col>
      <xdr:colOff>0</xdr:colOff>
      <xdr:row>142</xdr:row>
      <xdr:rowOff>13607</xdr:rowOff>
    </xdr:to>
    <xdr:sp macro="" textlink="" fLocksText="0">
      <xdr:nvSpPr>
        <xdr:cNvPr id="156" name="Rectangle: Rounded Corners 155">
          <a:extLst>
            <a:ext uri="{FF2B5EF4-FFF2-40B4-BE49-F238E27FC236}">
              <a16:creationId xmlns:a16="http://schemas.microsoft.com/office/drawing/2014/main" id="{00000000-0008-0000-0400-00009C000000}"/>
            </a:ext>
          </a:extLst>
        </xdr:cNvPr>
        <xdr:cNvSpPr/>
      </xdr:nvSpPr>
      <xdr:spPr>
        <a:xfrm>
          <a:off x="6134100" y="26984325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ctr"/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71.8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13</xdr:col>
      <xdr:colOff>1</xdr:colOff>
      <xdr:row>141</xdr:row>
      <xdr:rowOff>13607</xdr:rowOff>
    </xdr:from>
    <xdr:to>
      <xdr:col>15</xdr:col>
      <xdr:colOff>0</xdr:colOff>
      <xdr:row>142</xdr:row>
      <xdr:rowOff>13607</xdr:rowOff>
    </xdr:to>
    <xdr:sp macro="" textlink="" fLocksText="0">
      <xdr:nvSpPr>
        <xdr:cNvPr id="25" name="Rectangle: Rounded Corners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3467100" y="26984325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ctr"/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71.8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130</xdr:row>
      <xdr:rowOff>0</xdr:rowOff>
    </xdr:from>
    <xdr:to>
      <xdr:col>9</xdr:col>
      <xdr:colOff>0</xdr:colOff>
      <xdr:row>132</xdr:row>
      <xdr:rowOff>0</xdr:rowOff>
    </xdr:to>
    <xdr:cxnSp macro="">
      <xdr:nvCxnSpPr>
        <xdr:cNvPr id="52" name="Connector: Elbow 51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CxnSpPr>
          <a:stCxn id="275" idx="2"/>
          <a:endCxn id="54" idx="0"/>
        </xdr:cNvCxnSpPr>
      </xdr:nvCxnSpPr>
      <xdr:spPr>
        <a:xfrm rot="16200000" flipH="1">
          <a:off x="1333500" y="24879300"/>
          <a:ext cx="10668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132</xdr:row>
      <xdr:rowOff>0</xdr:rowOff>
    </xdr:from>
    <xdr:to>
      <xdr:col>11</xdr:col>
      <xdr:colOff>0</xdr:colOff>
      <xdr:row>133</xdr:row>
      <xdr:rowOff>0</xdr:rowOff>
    </xdr:to>
    <xdr:sp macro="" textlink="" fLocksText="0">
      <xdr:nvSpPr>
        <xdr:cNvPr id="54" name="四角形: 角を丸くする 1101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SpPr/>
      </xdr:nvSpPr>
      <xdr:spPr>
        <a:xfrm>
          <a:off x="1866900" y="25260300"/>
          <a:ext cx="1066800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en-US" sz="1000" b="1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削除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17</xdr:col>
      <xdr:colOff>0</xdr:colOff>
      <xdr:row>132</xdr:row>
      <xdr:rowOff>0</xdr:rowOff>
    </xdr:from>
    <xdr:to>
      <xdr:col>21</xdr:col>
      <xdr:colOff>1</xdr:colOff>
      <xdr:row>133</xdr:row>
      <xdr:rowOff>0</xdr:rowOff>
    </xdr:to>
    <xdr:sp macro="" textlink="" fLocksText="0">
      <xdr:nvSpPr>
        <xdr:cNvPr id="449" name="四角形: 角を丸くする 1101">
          <a:extLst>
            <a:ext uri="{FF2B5EF4-FFF2-40B4-BE49-F238E27FC236}">
              <a16:creationId xmlns:a16="http://schemas.microsoft.com/office/drawing/2014/main" id="{00000000-0008-0000-0400-0000C1010000}"/>
            </a:ext>
          </a:extLst>
        </xdr:cNvPr>
        <xdr:cNvSpPr/>
      </xdr:nvSpPr>
      <xdr:spPr>
        <a:xfrm>
          <a:off x="4533900" y="25260300"/>
          <a:ext cx="1066800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en-US" sz="1000" b="1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新規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12</xdr:col>
      <xdr:colOff>0</xdr:colOff>
      <xdr:row>132</xdr:row>
      <xdr:rowOff>0</xdr:rowOff>
    </xdr:from>
    <xdr:to>
      <xdr:col>16</xdr:col>
      <xdr:colOff>0</xdr:colOff>
      <xdr:row>133</xdr:row>
      <xdr:rowOff>0</xdr:rowOff>
    </xdr:to>
    <xdr:sp macro="" textlink="" fLocksText="0">
      <xdr:nvSpPr>
        <xdr:cNvPr id="451" name="四角形: 角を丸くする 1101">
          <a:extLst>
            <a:ext uri="{FF2B5EF4-FFF2-40B4-BE49-F238E27FC236}">
              <a16:creationId xmlns:a16="http://schemas.microsoft.com/office/drawing/2014/main" id="{00000000-0008-0000-0400-0000C3010000}"/>
            </a:ext>
          </a:extLst>
        </xdr:cNvPr>
        <xdr:cNvSpPr/>
      </xdr:nvSpPr>
      <xdr:spPr>
        <a:xfrm>
          <a:off x="3200400" y="25260300"/>
          <a:ext cx="1066800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en-US" sz="1000" b="1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編集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132</xdr:row>
      <xdr:rowOff>0</xdr:rowOff>
    </xdr:from>
    <xdr:to>
      <xdr:col>6</xdr:col>
      <xdr:colOff>0</xdr:colOff>
      <xdr:row>133</xdr:row>
      <xdr:rowOff>0</xdr:rowOff>
    </xdr:to>
    <xdr:sp macro="" textlink="" fLocksText="0">
      <xdr:nvSpPr>
        <xdr:cNvPr id="453" name="四角形: 角を丸くする 1101">
          <a:extLst>
            <a:ext uri="{FF2B5EF4-FFF2-40B4-BE49-F238E27FC236}">
              <a16:creationId xmlns:a16="http://schemas.microsoft.com/office/drawing/2014/main" id="{00000000-0008-0000-0400-0000C5010000}"/>
            </a:ext>
          </a:extLst>
        </xdr:cNvPr>
        <xdr:cNvSpPr/>
      </xdr:nvSpPr>
      <xdr:spPr>
        <a:xfrm>
          <a:off x="533400" y="25260300"/>
          <a:ext cx="1066800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en-US" sz="1000" b="1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検索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0</xdr:colOff>
      <xdr:row>130</xdr:row>
      <xdr:rowOff>1</xdr:rowOff>
    </xdr:from>
    <xdr:to>
      <xdr:col>5</xdr:col>
      <xdr:colOff>0</xdr:colOff>
      <xdr:row>132</xdr:row>
      <xdr:rowOff>1</xdr:rowOff>
    </xdr:to>
    <xdr:cxnSp macro="">
      <xdr:nvCxnSpPr>
        <xdr:cNvPr id="465" name="Connector: Elbow 464">
          <a:extLst>
            <a:ext uri="{FF2B5EF4-FFF2-40B4-BE49-F238E27FC236}">
              <a16:creationId xmlns:a16="http://schemas.microsoft.com/office/drawing/2014/main" id="{00000000-0008-0000-0400-0000D1010000}"/>
            </a:ext>
          </a:extLst>
        </xdr:cNvPr>
        <xdr:cNvCxnSpPr>
          <a:stCxn id="275" idx="2"/>
          <a:endCxn id="453" idx="0"/>
        </xdr:cNvCxnSpPr>
      </xdr:nvCxnSpPr>
      <xdr:spPr>
        <a:xfrm rot="5400000">
          <a:off x="1066800" y="24879300"/>
          <a:ext cx="2667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141</xdr:row>
      <xdr:rowOff>0</xdr:rowOff>
    </xdr:from>
    <xdr:to>
      <xdr:col>10</xdr:col>
      <xdr:colOff>0</xdr:colOff>
      <xdr:row>142</xdr:row>
      <xdr:rowOff>0</xdr:rowOff>
    </xdr:to>
    <xdr:sp macro="" textlink="" fLocksText="0">
      <xdr:nvSpPr>
        <xdr:cNvPr id="470" name="Rectangle: Rounded Corners 469">
          <a:extLst>
            <a:ext uri="{FF2B5EF4-FFF2-40B4-BE49-F238E27FC236}">
              <a16:creationId xmlns:a16="http://schemas.microsoft.com/office/drawing/2014/main" id="{00000000-0008-0000-0400-0000D6010000}"/>
            </a:ext>
          </a:extLst>
        </xdr:cNvPr>
        <xdr:cNvSpPr/>
      </xdr:nvSpPr>
      <xdr:spPr>
        <a:xfrm>
          <a:off x="2133600" y="26974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ctr"/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71.8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18</xdr:col>
      <xdr:colOff>0</xdr:colOff>
      <xdr:row>141</xdr:row>
      <xdr:rowOff>0</xdr:rowOff>
    </xdr:from>
    <xdr:to>
      <xdr:col>20</xdr:col>
      <xdr:colOff>0</xdr:colOff>
      <xdr:row>142</xdr:row>
      <xdr:rowOff>0</xdr:rowOff>
    </xdr:to>
    <xdr:sp macro="" textlink="" fLocksText="0">
      <xdr:nvSpPr>
        <xdr:cNvPr id="476" name="Rectangle: Rounded Corners 475">
          <a:extLst>
            <a:ext uri="{FF2B5EF4-FFF2-40B4-BE49-F238E27FC236}">
              <a16:creationId xmlns:a16="http://schemas.microsoft.com/office/drawing/2014/main" id="{00000000-0008-0000-0400-0000DC010000}"/>
            </a:ext>
          </a:extLst>
        </xdr:cNvPr>
        <xdr:cNvSpPr/>
      </xdr:nvSpPr>
      <xdr:spPr>
        <a:xfrm>
          <a:off x="4800600" y="26974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ctr"/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71.8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29</xdr:col>
      <xdr:colOff>0</xdr:colOff>
      <xdr:row>143</xdr:row>
      <xdr:rowOff>0</xdr:rowOff>
    </xdr:from>
    <xdr:to>
      <xdr:col>35</xdr:col>
      <xdr:colOff>0</xdr:colOff>
      <xdr:row>146</xdr:row>
      <xdr:rowOff>187452</xdr:rowOff>
    </xdr:to>
    <xdr:sp macro="" textlink="" fLocksText="0">
      <xdr:nvSpPr>
        <xdr:cNvPr id="479" name="フローチャート: 磁気ディスク 194">
          <a:extLst>
            <a:ext uri="{FF2B5EF4-FFF2-40B4-BE49-F238E27FC236}">
              <a16:creationId xmlns:a16="http://schemas.microsoft.com/office/drawing/2014/main" id="{00000000-0008-0000-0400-0000DF010000}"/>
            </a:ext>
          </a:extLst>
        </xdr:cNvPr>
        <xdr:cNvSpPr/>
      </xdr:nvSpPr>
      <xdr:spPr>
        <a:xfrm>
          <a:off x="7734300" y="27355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AP7103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レジ種別一覧取得</a:t>
          </a:r>
        </a:p>
      </xdr:txBody>
    </xdr:sp>
    <xdr:clientData/>
  </xdr:twoCellAnchor>
  <xdr:twoCellAnchor>
    <xdr:from>
      <xdr:col>1</xdr:col>
      <xdr:colOff>0</xdr:colOff>
      <xdr:row>143</xdr:row>
      <xdr:rowOff>0</xdr:rowOff>
    </xdr:from>
    <xdr:to>
      <xdr:col>7</xdr:col>
      <xdr:colOff>1</xdr:colOff>
      <xdr:row>146</xdr:row>
      <xdr:rowOff>187452</xdr:rowOff>
    </xdr:to>
    <xdr:sp macro="" textlink="" fLocksText="0">
      <xdr:nvSpPr>
        <xdr:cNvPr id="481" name="四角形: 角を丸くする 3">
          <a:extLst>
            <a:ext uri="{FF2B5EF4-FFF2-40B4-BE49-F238E27FC236}">
              <a16:creationId xmlns:a16="http://schemas.microsoft.com/office/drawing/2014/main" id="{00000000-0008-0000-0400-0000E1010000}"/>
            </a:ext>
          </a:extLst>
        </xdr:cNvPr>
        <xdr:cNvSpPr/>
      </xdr:nvSpPr>
      <xdr:spPr>
        <a:xfrm>
          <a:off x="266700" y="273558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KN7103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レジ種別リスト取得機能</a:t>
          </a:r>
        </a:p>
      </xdr:txBody>
    </xdr:sp>
    <xdr:clientData/>
  </xdr:twoCellAnchor>
  <xdr:twoCellAnchor>
    <xdr:from>
      <xdr:col>4</xdr:col>
      <xdr:colOff>0</xdr:colOff>
      <xdr:row>146</xdr:row>
      <xdr:rowOff>187452</xdr:rowOff>
    </xdr:from>
    <xdr:to>
      <xdr:col>4</xdr:col>
      <xdr:colOff>1</xdr:colOff>
      <xdr:row>153</xdr:row>
      <xdr:rowOff>0</xdr:rowOff>
    </xdr:to>
    <xdr:cxnSp macro="">
      <xdr:nvCxnSpPr>
        <xdr:cNvPr id="510" name="直線矢印コネクタ 1010">
          <a:extLst>
            <a:ext uri="{FF2B5EF4-FFF2-40B4-BE49-F238E27FC236}">
              <a16:creationId xmlns:a16="http://schemas.microsoft.com/office/drawing/2014/main" id="{00000000-0008-0000-0400-0000FE010000}"/>
            </a:ext>
          </a:extLst>
        </xdr:cNvPr>
        <xdr:cNvCxnSpPr>
          <a:stCxn id="481" idx="2"/>
          <a:endCxn id="514" idx="0"/>
        </xdr:cNvCxnSpPr>
      </xdr:nvCxnSpPr>
      <xdr:spPr>
        <a:xfrm flipH="1">
          <a:off x="1066800" y="28117800"/>
          <a:ext cx="0" cy="1143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156</xdr:row>
      <xdr:rowOff>0</xdr:rowOff>
    </xdr:from>
    <xdr:to>
      <xdr:col>15</xdr:col>
      <xdr:colOff>235322</xdr:colOff>
      <xdr:row>160</xdr:row>
      <xdr:rowOff>0</xdr:rowOff>
    </xdr:to>
    <xdr:sp macro="" textlink="" fLocksText="0">
      <xdr:nvSpPr>
        <xdr:cNvPr id="511" name="正方形/長方形 19">
          <a:extLst>
            <a:ext uri="{FF2B5EF4-FFF2-40B4-BE49-F238E27FC236}">
              <a16:creationId xmlns:a16="http://schemas.microsoft.com/office/drawing/2014/main" id="{00000000-0008-0000-0400-0000FF010000}"/>
            </a:ext>
          </a:extLst>
        </xdr:cNvPr>
        <xdr:cNvSpPr/>
      </xdr:nvSpPr>
      <xdr:spPr>
        <a:xfrm>
          <a:off x="2667000" y="29832300"/>
          <a:ext cx="1571625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MD_ERROR</a:t>
          </a:r>
          <a:endParaRPr lang="en-US" altLang="ja-JP" sz="1000" b="0" i="0" u="none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1000" b="0" i="0" u="none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データが見つかりませんでした。</a:t>
          </a:r>
        </a:p>
      </xdr:txBody>
    </xdr:sp>
    <xdr:clientData/>
  </xdr:twoCellAnchor>
  <xdr:twoCellAnchor>
    <xdr:from>
      <xdr:col>10</xdr:col>
      <xdr:colOff>0</xdr:colOff>
      <xdr:row>153</xdr:row>
      <xdr:rowOff>0</xdr:rowOff>
    </xdr:from>
    <xdr:to>
      <xdr:col>16</xdr:col>
      <xdr:colOff>0</xdr:colOff>
      <xdr:row>154</xdr:row>
      <xdr:rowOff>0</xdr:rowOff>
    </xdr:to>
    <xdr:sp macro="" textlink="" fLocksText="0">
      <xdr:nvSpPr>
        <xdr:cNvPr id="512" name="Rectangle: Rounded Corners 511">
          <a:extLst>
            <a:ext uri="{FF2B5EF4-FFF2-40B4-BE49-F238E27FC236}">
              <a16:creationId xmlns:a16="http://schemas.microsoft.com/office/drawing/2014/main" id="{00000000-0008-0000-0400-000000020000}"/>
            </a:ext>
          </a:extLst>
        </xdr:cNvPr>
        <xdr:cNvSpPr/>
      </xdr:nvSpPr>
      <xdr:spPr>
        <a:xfrm>
          <a:off x="2667000" y="29260800"/>
          <a:ext cx="16002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データなし</a:t>
          </a:r>
        </a:p>
      </xdr:txBody>
    </xdr:sp>
    <xdr:clientData/>
  </xdr:twoCellAnchor>
  <xdr:twoCellAnchor>
    <xdr:from>
      <xdr:col>2</xdr:col>
      <xdr:colOff>0</xdr:colOff>
      <xdr:row>153</xdr:row>
      <xdr:rowOff>0</xdr:rowOff>
    </xdr:from>
    <xdr:to>
      <xdr:col>6</xdr:col>
      <xdr:colOff>0</xdr:colOff>
      <xdr:row>154</xdr:row>
      <xdr:rowOff>0</xdr:rowOff>
    </xdr:to>
    <xdr:sp macro="" textlink="" fLocksText="0">
      <xdr:nvSpPr>
        <xdr:cNvPr id="514" name="Rectangle: Rounded Corners 513">
          <a:extLst>
            <a:ext uri="{FF2B5EF4-FFF2-40B4-BE49-F238E27FC236}">
              <a16:creationId xmlns:a16="http://schemas.microsoft.com/office/drawing/2014/main" id="{00000000-0008-0000-0400-000002020000}"/>
            </a:ext>
          </a:extLst>
        </xdr:cNvPr>
        <xdr:cNvSpPr/>
      </xdr:nvSpPr>
      <xdr:spPr>
        <a:xfrm>
          <a:off x="533400" y="29260800"/>
          <a:ext cx="10668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データあり</a:t>
          </a:r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13</xdr:col>
      <xdr:colOff>1</xdr:colOff>
      <xdr:row>156</xdr:row>
      <xdr:rowOff>0</xdr:rowOff>
    </xdr:to>
    <xdr:cxnSp macro="">
      <xdr:nvCxnSpPr>
        <xdr:cNvPr id="515" name="直線矢印コネクタ 1010">
          <a:extLst>
            <a:ext uri="{FF2B5EF4-FFF2-40B4-BE49-F238E27FC236}">
              <a16:creationId xmlns:a16="http://schemas.microsoft.com/office/drawing/2014/main" id="{00000000-0008-0000-0400-000003020000}"/>
            </a:ext>
          </a:extLst>
        </xdr:cNvPr>
        <xdr:cNvCxnSpPr>
          <a:stCxn id="512" idx="2"/>
          <a:endCxn id="511" idx="0"/>
        </xdr:cNvCxnSpPr>
      </xdr:nvCxnSpPr>
      <xdr:spPr>
        <a:xfrm flipH="1">
          <a:off x="3467100" y="29451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</xdr:colOff>
      <xdr:row>146</xdr:row>
      <xdr:rowOff>187452</xdr:rowOff>
    </xdr:from>
    <xdr:to>
      <xdr:col>13</xdr:col>
      <xdr:colOff>0</xdr:colOff>
      <xdr:row>153</xdr:row>
      <xdr:rowOff>0</xdr:rowOff>
    </xdr:to>
    <xdr:cxnSp macro="">
      <xdr:nvCxnSpPr>
        <xdr:cNvPr id="516" name="Connector: Elbow 515">
          <a:extLst>
            <a:ext uri="{FF2B5EF4-FFF2-40B4-BE49-F238E27FC236}">
              <a16:creationId xmlns:a16="http://schemas.microsoft.com/office/drawing/2014/main" id="{00000000-0008-0000-0400-000004020000}"/>
            </a:ext>
          </a:extLst>
        </xdr:cNvPr>
        <xdr:cNvCxnSpPr>
          <a:stCxn id="481" idx="2"/>
          <a:endCxn id="512" idx="0"/>
        </xdr:cNvCxnSpPr>
      </xdr:nvCxnSpPr>
      <xdr:spPr>
        <a:xfrm rot="16200000" flipH="1">
          <a:off x="1066800" y="28117800"/>
          <a:ext cx="2400300" cy="1143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154</xdr:row>
      <xdr:rowOff>0</xdr:rowOff>
    </xdr:from>
    <xdr:to>
      <xdr:col>4</xdr:col>
      <xdr:colOff>1</xdr:colOff>
      <xdr:row>162</xdr:row>
      <xdr:rowOff>0</xdr:rowOff>
    </xdr:to>
    <xdr:cxnSp macro="">
      <xdr:nvCxnSpPr>
        <xdr:cNvPr id="518" name="直線矢印コネクタ 1010">
          <a:extLst>
            <a:ext uri="{FF2B5EF4-FFF2-40B4-BE49-F238E27FC236}">
              <a16:creationId xmlns:a16="http://schemas.microsoft.com/office/drawing/2014/main" id="{00000000-0008-0000-0400-000006020000}"/>
            </a:ext>
          </a:extLst>
        </xdr:cNvPr>
        <xdr:cNvCxnSpPr>
          <a:stCxn id="514" idx="2"/>
          <a:endCxn id="530" idx="0"/>
        </xdr:cNvCxnSpPr>
      </xdr:nvCxnSpPr>
      <xdr:spPr>
        <a:xfrm>
          <a:off x="1066800" y="29451300"/>
          <a:ext cx="0" cy="1524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133</xdr:row>
      <xdr:rowOff>0</xdr:rowOff>
    </xdr:from>
    <xdr:to>
      <xdr:col>4</xdr:col>
      <xdr:colOff>1</xdr:colOff>
      <xdr:row>143</xdr:row>
      <xdr:rowOff>0</xdr:rowOff>
    </xdr:to>
    <xdr:cxnSp macro="">
      <xdr:nvCxnSpPr>
        <xdr:cNvPr id="519" name="直線矢印コネクタ 1010">
          <a:extLst>
            <a:ext uri="{FF2B5EF4-FFF2-40B4-BE49-F238E27FC236}">
              <a16:creationId xmlns:a16="http://schemas.microsoft.com/office/drawing/2014/main" id="{00000000-0008-0000-0400-000007020000}"/>
            </a:ext>
          </a:extLst>
        </xdr:cNvPr>
        <xdr:cNvCxnSpPr>
          <a:stCxn id="453" idx="2"/>
          <a:endCxn id="481" idx="0"/>
        </xdr:cNvCxnSpPr>
      </xdr:nvCxnSpPr>
      <xdr:spPr>
        <a:xfrm>
          <a:off x="1066800" y="25450800"/>
          <a:ext cx="0" cy="1905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162</xdr:row>
      <xdr:rowOff>0</xdr:rowOff>
    </xdr:from>
    <xdr:to>
      <xdr:col>5</xdr:col>
      <xdr:colOff>0</xdr:colOff>
      <xdr:row>163</xdr:row>
      <xdr:rowOff>0</xdr:rowOff>
    </xdr:to>
    <xdr:sp macro="" textlink="" fLocksText="0">
      <xdr:nvSpPr>
        <xdr:cNvPr id="530" name="Rectangle: Rounded Corners 529">
          <a:extLst>
            <a:ext uri="{FF2B5EF4-FFF2-40B4-BE49-F238E27FC236}">
              <a16:creationId xmlns:a16="http://schemas.microsoft.com/office/drawing/2014/main" id="{00000000-0008-0000-0400-000012020000}"/>
            </a:ext>
          </a:extLst>
        </xdr:cNvPr>
        <xdr:cNvSpPr/>
      </xdr:nvSpPr>
      <xdr:spPr>
        <a:xfrm>
          <a:off x="800100" y="30975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ctr"/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71.8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1</xdr:colOff>
      <xdr:row>160</xdr:row>
      <xdr:rowOff>1</xdr:rowOff>
    </xdr:from>
    <xdr:to>
      <xdr:col>12</xdr:col>
      <xdr:colOff>240125</xdr:colOff>
      <xdr:row>162</xdr:row>
      <xdr:rowOff>1</xdr:rowOff>
    </xdr:to>
    <xdr:cxnSp macro="">
      <xdr:nvCxnSpPr>
        <xdr:cNvPr id="531" name="Connector: Elbow 530">
          <a:extLst>
            <a:ext uri="{FF2B5EF4-FFF2-40B4-BE49-F238E27FC236}">
              <a16:creationId xmlns:a16="http://schemas.microsoft.com/office/drawing/2014/main" id="{00000000-0008-0000-0400-000013020000}"/>
            </a:ext>
          </a:extLst>
        </xdr:cNvPr>
        <xdr:cNvCxnSpPr>
          <a:stCxn id="511" idx="2"/>
          <a:endCxn id="530" idx="0"/>
        </xdr:cNvCxnSpPr>
      </xdr:nvCxnSpPr>
      <xdr:spPr>
        <a:xfrm rot="5400000">
          <a:off x="1066800" y="30594300"/>
          <a:ext cx="2371725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</xdr:colOff>
      <xdr:row>144</xdr:row>
      <xdr:rowOff>188976</xdr:rowOff>
    </xdr:from>
    <xdr:to>
      <xdr:col>29</xdr:col>
      <xdr:colOff>0</xdr:colOff>
      <xdr:row>144</xdr:row>
      <xdr:rowOff>188976</xdr:rowOff>
    </xdr:to>
    <xdr:cxnSp macro="">
      <xdr:nvCxnSpPr>
        <xdr:cNvPr id="542" name="Straight Arrow Connector 541">
          <a:extLst>
            <a:ext uri="{FF2B5EF4-FFF2-40B4-BE49-F238E27FC236}">
              <a16:creationId xmlns:a16="http://schemas.microsoft.com/office/drawing/2014/main" id="{00000000-0008-0000-0400-00001E020000}"/>
            </a:ext>
          </a:extLst>
        </xdr:cNvPr>
        <xdr:cNvCxnSpPr>
          <a:stCxn id="481" idx="3"/>
          <a:endCxn id="479" idx="2"/>
        </xdr:cNvCxnSpPr>
      </xdr:nvCxnSpPr>
      <xdr:spPr>
        <a:xfrm>
          <a:off x="1866900" y="27736800"/>
          <a:ext cx="58674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132</xdr:row>
      <xdr:rowOff>0</xdr:rowOff>
    </xdr:from>
    <xdr:to>
      <xdr:col>25</xdr:col>
      <xdr:colOff>241787</xdr:colOff>
      <xdr:row>132</xdr:row>
      <xdr:rowOff>190499</xdr:rowOff>
    </xdr:to>
    <xdr:sp macro="" textlink="" fLocksText="0">
      <xdr:nvSpPr>
        <xdr:cNvPr id="552" name="四角形: 角を丸くする 1101">
          <a:extLst>
            <a:ext uri="{FF2B5EF4-FFF2-40B4-BE49-F238E27FC236}">
              <a16:creationId xmlns:a16="http://schemas.microsoft.com/office/drawing/2014/main" id="{00000000-0008-0000-0400-000028020000}"/>
            </a:ext>
          </a:extLst>
        </xdr:cNvPr>
        <xdr:cNvSpPr/>
      </xdr:nvSpPr>
      <xdr:spPr>
        <a:xfrm>
          <a:off x="5867400" y="25260300"/>
          <a:ext cx="1038225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en-US" sz="1000" b="1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確定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 editAs="oneCell">
    <xdr:from>
      <xdr:col>67</xdr:col>
      <xdr:colOff>0</xdr:colOff>
      <xdr:row>202</xdr:row>
      <xdr:rowOff>0</xdr:rowOff>
    </xdr:from>
    <xdr:to>
      <xdr:col>130</xdr:col>
      <xdr:colOff>49173</xdr:colOff>
      <xdr:row>203</xdr:row>
      <xdr:rowOff>152357</xdr:rowOff>
    </xdr:to>
    <xdr:pic>
      <xdr:nvPicPr>
        <xdr:cNvPr id="561" name="Picture 560">
          <a:extLst>
            <a:ext uri="{FF2B5EF4-FFF2-40B4-BE49-F238E27FC236}">
              <a16:creationId xmlns:a16="http://schemas.microsoft.com/office/drawing/2014/main" id="{00000000-0008-0000-0400-00003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907000" y="38595300"/>
          <a:ext cx="16849725" cy="342900"/>
        </a:xfrm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115</xdr:row>
      <xdr:rowOff>0</xdr:rowOff>
    </xdr:from>
    <xdr:to>
      <xdr:col>119</xdr:col>
      <xdr:colOff>92766</xdr:colOff>
      <xdr:row>133</xdr:row>
      <xdr:rowOff>161476</xdr:rowOff>
    </xdr:to>
    <xdr:pic>
      <xdr:nvPicPr>
        <xdr:cNvPr id="563" name="Picture 562">
          <a:extLst>
            <a:ext uri="{FF2B5EF4-FFF2-40B4-BE49-F238E27FC236}">
              <a16:creationId xmlns:a16="http://schemas.microsoft.com/office/drawing/2014/main" id="{00000000-0008-0000-0400-00003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640300" y="22021800"/>
          <a:ext cx="14230350" cy="35909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0</xdr:colOff>
      <xdr:row>10</xdr:row>
      <xdr:rowOff>179294</xdr:rowOff>
    </xdr:from>
    <xdr:to>
      <xdr:col>45</xdr:col>
      <xdr:colOff>0</xdr:colOff>
      <xdr:row>14</xdr:row>
      <xdr:rowOff>179294</xdr:rowOff>
    </xdr:to>
    <xdr:sp macro="" textlink="" fLocksText="0">
      <xdr:nvSpPr>
        <xdr:cNvPr id="2" name="四角形: 角を丸くする 3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10401300" y="2200275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KN1501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プリセットレイアウト一覧取得機能</a:t>
          </a:r>
        </a:p>
      </xdr:txBody>
    </xdr:sp>
    <xdr:clientData/>
  </xdr:twoCellAnchor>
  <xdr:twoCellAnchor>
    <xdr:from>
      <xdr:col>48</xdr:col>
      <xdr:colOff>0</xdr:colOff>
      <xdr:row>10</xdr:row>
      <xdr:rowOff>168088</xdr:rowOff>
    </xdr:from>
    <xdr:to>
      <xdr:col>54</xdr:col>
      <xdr:colOff>0</xdr:colOff>
      <xdr:row>14</xdr:row>
      <xdr:rowOff>168088</xdr:rowOff>
    </xdr:to>
    <xdr:sp macro="" textlink="" fLocksText="0">
      <xdr:nvSpPr>
        <xdr:cNvPr id="3" name="フローチャート: 磁気ディスク 194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12801600" y="219075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AP1501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プリセット取得API</a:t>
          </a:r>
        </a:p>
      </xdr:txBody>
    </xdr:sp>
    <xdr:clientData/>
  </xdr:twoCellAnchor>
  <xdr:twoCellAnchor>
    <xdr:from>
      <xdr:col>45</xdr:col>
      <xdr:colOff>0</xdr:colOff>
      <xdr:row>12</xdr:row>
      <xdr:rowOff>168088</xdr:rowOff>
    </xdr:from>
    <xdr:to>
      <xdr:col>48</xdr:col>
      <xdr:colOff>0</xdr:colOff>
      <xdr:row>12</xdr:row>
      <xdr:rowOff>179294</xdr:rowOff>
    </xdr:to>
    <xdr:cxnSp macro="">
      <xdr:nvCxnSpPr>
        <xdr:cNvPr id="4" name="直線矢印コネクタ 196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>
          <a:stCxn id="2" idx="3"/>
          <a:endCxn id="3" idx="2"/>
        </xdr:cNvCxnSpPr>
      </xdr:nvCxnSpPr>
      <xdr:spPr>
        <a:xfrm flipV="1">
          <a:off x="12001500" y="2571750"/>
          <a:ext cx="800100" cy="9525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19</xdr:row>
      <xdr:rowOff>11206</xdr:rowOff>
    </xdr:from>
    <xdr:to>
      <xdr:col>45</xdr:col>
      <xdr:colOff>0</xdr:colOff>
      <xdr:row>23</xdr:row>
      <xdr:rowOff>11206</xdr:rowOff>
    </xdr:to>
    <xdr:sp macro="" textlink="" fLocksText="0">
      <xdr:nvSpPr>
        <xdr:cNvPr id="8" name="四角形: 角を丸くする 3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10401300" y="3743325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KN8301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メインメッセージ一覧取得機能</a:t>
          </a:r>
        </a:p>
      </xdr:txBody>
    </xdr:sp>
    <xdr:clientData/>
  </xdr:twoCellAnchor>
  <xdr:twoCellAnchor>
    <xdr:from>
      <xdr:col>48</xdr:col>
      <xdr:colOff>0</xdr:colOff>
      <xdr:row>19</xdr:row>
      <xdr:rowOff>0</xdr:rowOff>
    </xdr:from>
    <xdr:to>
      <xdr:col>54</xdr:col>
      <xdr:colOff>0</xdr:colOff>
      <xdr:row>23</xdr:row>
      <xdr:rowOff>0</xdr:rowOff>
    </xdr:to>
    <xdr:sp macro="" textlink="" fLocksText="0">
      <xdr:nvSpPr>
        <xdr:cNvPr id="9" name="フローチャート: 磁気ディスク 194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>
          <a:off x="12801600" y="3733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AP1501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メッセージ種別取得API</a:t>
          </a:r>
        </a:p>
      </xdr:txBody>
    </xdr:sp>
    <xdr:clientData/>
  </xdr:twoCellAnchor>
  <xdr:twoCellAnchor>
    <xdr:from>
      <xdr:col>45</xdr:col>
      <xdr:colOff>0</xdr:colOff>
      <xdr:row>21</xdr:row>
      <xdr:rowOff>0</xdr:rowOff>
    </xdr:from>
    <xdr:to>
      <xdr:col>48</xdr:col>
      <xdr:colOff>0</xdr:colOff>
      <xdr:row>21</xdr:row>
      <xdr:rowOff>11206</xdr:rowOff>
    </xdr:to>
    <xdr:cxnSp macro="">
      <xdr:nvCxnSpPr>
        <xdr:cNvPr id="10" name="直線矢印コネクタ 196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CxnSpPr>
          <a:stCxn id="8" idx="3"/>
          <a:endCxn id="9" idx="2"/>
        </xdr:cNvCxnSpPr>
      </xdr:nvCxnSpPr>
      <xdr:spPr>
        <a:xfrm flipV="1">
          <a:off x="12001500" y="4114800"/>
          <a:ext cx="800100" cy="9525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80" customWidth="1"/>
    <col min="61" max="16384" width="2.77734375" style="180"/>
  </cols>
  <sheetData>
    <row r="1" spans="1:63" ht="24.95" customHeight="1" x14ac:dyDescent="0.25">
      <c r="A1" s="174" t="s">
        <v>125</v>
      </c>
      <c r="B1" s="175"/>
      <c r="C1" s="175"/>
      <c r="D1" s="175"/>
      <c r="E1" s="175"/>
      <c r="F1" s="175"/>
      <c r="G1" s="175"/>
      <c r="H1" s="175"/>
      <c r="I1" s="175"/>
      <c r="J1" s="176"/>
      <c r="K1" s="174" t="s">
        <v>126</v>
      </c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6"/>
      <c r="W1" s="177" t="s">
        <v>127</v>
      </c>
      <c r="X1" s="178"/>
      <c r="Y1" s="178"/>
      <c r="Z1" s="178"/>
      <c r="AA1" s="178"/>
      <c r="AB1" s="178"/>
      <c r="AC1" s="178"/>
      <c r="AD1" s="178"/>
      <c r="AE1" s="178"/>
      <c r="AF1" s="178"/>
      <c r="AG1" s="178"/>
      <c r="AH1" s="178"/>
      <c r="AI1" s="178"/>
      <c r="AJ1" s="178"/>
      <c r="AK1" s="178"/>
      <c r="AL1" s="178"/>
      <c r="AM1" s="178"/>
      <c r="AN1" s="178"/>
      <c r="AO1" s="179"/>
      <c r="AP1" s="174" t="s">
        <v>128</v>
      </c>
      <c r="AQ1" s="175"/>
      <c r="AR1" s="175"/>
      <c r="AS1" s="176"/>
      <c r="AT1" s="174" t="s">
        <v>129</v>
      </c>
      <c r="AU1" s="175"/>
      <c r="AV1" s="175"/>
      <c r="AW1" s="175"/>
      <c r="AX1" s="176"/>
      <c r="AY1" s="174" t="s">
        <v>130</v>
      </c>
      <c r="AZ1" s="175"/>
      <c r="BA1" s="175"/>
      <c r="BB1" s="176"/>
      <c r="BC1" s="174" t="s">
        <v>131</v>
      </c>
      <c r="BD1" s="175"/>
      <c r="BE1" s="175"/>
      <c r="BF1" s="175"/>
      <c r="BG1" s="176"/>
      <c r="BH1" s="174" t="s">
        <v>132</v>
      </c>
      <c r="BI1" s="175"/>
      <c r="BJ1" s="175"/>
      <c r="BK1" s="176"/>
    </row>
    <row r="2" spans="1:63" ht="15" customHeight="1" x14ac:dyDescent="0.25">
      <c r="A2" s="37" t="s">
        <v>133</v>
      </c>
      <c r="B2" s="181"/>
      <c r="C2" s="181"/>
      <c r="D2" s="181"/>
      <c r="E2" s="181"/>
      <c r="F2" s="181"/>
      <c r="G2" s="181"/>
      <c r="H2" s="181"/>
      <c r="I2" s="181"/>
      <c r="J2" s="182"/>
      <c r="K2" s="183" t="s">
        <v>10</v>
      </c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2"/>
      <c r="W2" s="184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185"/>
      <c r="AM2" s="185"/>
      <c r="AN2" s="185"/>
      <c r="AO2" s="186"/>
      <c r="AP2" s="183" t="str">
        <f>改訂履歴!$H$11</f>
        <v>TinNH</v>
      </c>
      <c r="AQ2" s="181"/>
      <c r="AR2" s="181"/>
      <c r="AS2" s="182"/>
      <c r="AT2" s="187">
        <f>改訂履歴!$B$11</f>
        <v>45441</v>
      </c>
      <c r="AU2" s="188"/>
      <c r="AV2" s="188"/>
      <c r="AW2" s="188"/>
      <c r="AX2" s="189"/>
      <c r="AY2" s="183" t="str">
        <f>LOOKUP(2,1/(改訂履歴!H11:H30000&lt;&gt;""),改訂履歴!H11:H30000)</f>
        <v>TinNH</v>
      </c>
      <c r="AZ2" s="181"/>
      <c r="BA2" s="181"/>
      <c r="BB2" s="182"/>
      <c r="BC2" s="187">
        <f>LOOKUP(2,1/(改訂履歴!B11:B30000&lt;&gt;""),改訂履歴!B11:B30000)</f>
        <v>45443</v>
      </c>
      <c r="BD2" s="188"/>
      <c r="BE2" s="188"/>
      <c r="BF2" s="188"/>
      <c r="BG2" s="189"/>
      <c r="BH2" s="190">
        <f>LOOKUP(2,1/(改訂履歴!O11:O30000&lt;&gt;""),改訂履歴!O11:O30000)</f>
        <v>0.2</v>
      </c>
      <c r="BI2" s="191"/>
      <c r="BJ2" s="191"/>
      <c r="BK2" s="192"/>
    </row>
    <row r="3" spans="1:63" ht="15" customHeight="1" x14ac:dyDescent="0.25">
      <c r="A3" s="193"/>
      <c r="B3" s="194"/>
      <c r="C3" s="194"/>
      <c r="D3" s="194"/>
      <c r="E3" s="194"/>
      <c r="F3" s="194"/>
      <c r="G3" s="194"/>
      <c r="H3" s="194"/>
      <c r="I3" s="194"/>
      <c r="J3" s="195"/>
      <c r="K3" s="193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5"/>
      <c r="W3" s="196"/>
      <c r="X3" s="197"/>
      <c r="Y3" s="197"/>
      <c r="Z3" s="197"/>
      <c r="AA3" s="197"/>
      <c r="AB3" s="197"/>
      <c r="AC3" s="197"/>
      <c r="AD3" s="197"/>
      <c r="AE3" s="197"/>
      <c r="AF3" s="197"/>
      <c r="AG3" s="197"/>
      <c r="AH3" s="197"/>
      <c r="AI3" s="197"/>
      <c r="AJ3" s="197"/>
      <c r="AK3" s="197"/>
      <c r="AL3" s="197"/>
      <c r="AM3" s="197"/>
      <c r="AN3" s="197"/>
      <c r="AO3" s="198"/>
      <c r="AP3" s="193"/>
      <c r="AQ3" s="194"/>
      <c r="AR3" s="194"/>
      <c r="AS3" s="195"/>
      <c r="AT3" s="199"/>
      <c r="AU3" s="200"/>
      <c r="AV3" s="200"/>
      <c r="AW3" s="200"/>
      <c r="AX3" s="201"/>
      <c r="AY3" s="193"/>
      <c r="AZ3" s="194"/>
      <c r="BA3" s="194"/>
      <c r="BB3" s="195"/>
      <c r="BC3" s="199"/>
      <c r="BD3" s="200"/>
      <c r="BE3" s="200"/>
      <c r="BF3" s="200"/>
      <c r="BG3" s="201"/>
      <c r="BH3" s="202"/>
      <c r="BI3" s="203"/>
      <c r="BJ3" s="203"/>
      <c r="BK3" s="204"/>
    </row>
    <row r="4" spans="1:63" ht="24.95" customHeight="1" x14ac:dyDescent="0.25">
      <c r="A4" s="174" t="s">
        <v>134</v>
      </c>
      <c r="B4" s="175"/>
      <c r="C4" s="175"/>
      <c r="D4" s="175"/>
      <c r="E4" s="175"/>
      <c r="F4" s="175"/>
      <c r="G4" s="176"/>
      <c r="H4" s="205" t="s">
        <v>37</v>
      </c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7"/>
      <c r="U4" s="174" t="s">
        <v>135</v>
      </c>
      <c r="V4" s="175"/>
      <c r="W4" s="175"/>
      <c r="X4" s="175"/>
      <c r="Y4" s="176"/>
      <c r="Z4" s="205" t="s">
        <v>11</v>
      </c>
      <c r="AA4" s="206"/>
      <c r="AB4" s="206"/>
      <c r="AC4" s="206"/>
      <c r="AD4" s="206"/>
      <c r="AE4" s="206"/>
      <c r="AF4" s="206"/>
      <c r="AG4" s="206"/>
      <c r="AH4" s="206"/>
      <c r="AI4" s="206"/>
      <c r="AJ4" s="206"/>
      <c r="AK4" s="206"/>
      <c r="AL4" s="206"/>
      <c r="AM4" s="206"/>
      <c r="AN4" s="206"/>
      <c r="AO4" s="207"/>
      <c r="AP4" s="205" t="str">
        <f t="array" aca="1" ref="AP4" ca="1">RIGHT(CELL("filename",$A$1),LEN(CELL("filename",$A$1))-FIND("]",CELL("filename",$A$1)))</f>
        <v>表紙</v>
      </c>
      <c r="AQ4" s="206"/>
      <c r="AR4" s="206"/>
      <c r="AS4" s="206"/>
      <c r="AT4" s="206"/>
      <c r="AU4" s="206"/>
      <c r="AV4" s="206"/>
      <c r="AW4" s="206"/>
      <c r="AX4" s="206"/>
      <c r="AY4" s="206"/>
      <c r="AZ4" s="206"/>
      <c r="BA4" s="206"/>
      <c r="BB4" s="206"/>
      <c r="BC4" s="206"/>
      <c r="BD4" s="206"/>
      <c r="BE4" s="206"/>
      <c r="BF4" s="206"/>
      <c r="BG4" s="206"/>
      <c r="BH4" s="206"/>
      <c r="BI4" s="206"/>
      <c r="BJ4" s="206"/>
      <c r="BK4" s="207"/>
    </row>
    <row r="5" spans="1:63" ht="5.0999999999999996" customHeight="1" x14ac:dyDescent="0.25">
      <c r="A5" s="208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  <c r="Z5" s="209"/>
      <c r="AA5" s="209"/>
      <c r="AB5" s="209"/>
      <c r="AC5" s="209"/>
      <c r="AD5" s="209"/>
      <c r="AE5" s="209"/>
      <c r="AF5" s="209"/>
      <c r="AG5" s="209"/>
      <c r="AH5" s="209"/>
      <c r="AI5" s="209"/>
      <c r="AJ5" s="209"/>
      <c r="AK5" s="209"/>
      <c r="AL5" s="209"/>
      <c r="AM5" s="209"/>
      <c r="AN5" s="209"/>
      <c r="AO5" s="209"/>
      <c r="AP5" s="209"/>
      <c r="AQ5" s="209"/>
      <c r="AR5" s="209"/>
      <c r="AS5" s="209"/>
      <c r="AT5" s="209"/>
      <c r="AU5" s="209"/>
      <c r="AV5" s="209"/>
      <c r="AW5" s="209"/>
      <c r="AX5" s="209"/>
      <c r="AY5" s="209"/>
      <c r="AZ5" s="209"/>
      <c r="BA5" s="209"/>
      <c r="BB5" s="209"/>
      <c r="BC5" s="209"/>
      <c r="BD5" s="209"/>
      <c r="BE5" s="209"/>
      <c r="BF5" s="209"/>
      <c r="BG5" s="209"/>
      <c r="BH5" s="209"/>
      <c r="BI5" s="209"/>
      <c r="BJ5" s="209"/>
      <c r="BK5" s="210"/>
    </row>
    <row r="6" spans="1:63" ht="15" customHeight="1" x14ac:dyDescent="0.25">
      <c r="A6" s="211"/>
      <c r="BK6" s="212"/>
    </row>
    <row r="7" spans="1:63" ht="15" customHeight="1" x14ac:dyDescent="0.25">
      <c r="A7" s="211"/>
      <c r="BK7" s="212"/>
    </row>
    <row r="8" spans="1:63" ht="15" customHeight="1" x14ac:dyDescent="0.25">
      <c r="A8" s="211"/>
      <c r="BK8" s="212"/>
    </row>
    <row r="9" spans="1:63" ht="15" customHeight="1" x14ac:dyDescent="0.25">
      <c r="A9" s="211"/>
      <c r="BK9" s="212"/>
    </row>
    <row r="10" spans="1:63" ht="15" customHeight="1" x14ac:dyDescent="0.25">
      <c r="A10" s="211"/>
      <c r="BK10" s="212"/>
    </row>
    <row r="11" spans="1:63" ht="15" customHeight="1" x14ac:dyDescent="0.25">
      <c r="A11" s="211"/>
      <c r="BK11" s="212"/>
    </row>
    <row r="12" spans="1:63" ht="15" customHeight="1" x14ac:dyDescent="0.25">
      <c r="A12" s="211"/>
      <c r="BK12" s="212"/>
    </row>
    <row r="13" spans="1:63" ht="15" customHeight="1" x14ac:dyDescent="0.25">
      <c r="A13" s="211"/>
      <c r="BK13" s="212"/>
    </row>
    <row r="14" spans="1:63" ht="15" customHeight="1" thickBot="1" x14ac:dyDescent="0.3">
      <c r="A14" s="211"/>
      <c r="BK14" s="212"/>
    </row>
    <row r="15" spans="1:63" ht="15" customHeight="1" thickTop="1" x14ac:dyDescent="0.25">
      <c r="A15" s="211"/>
      <c r="K15" s="213"/>
      <c r="L15" s="214"/>
      <c r="M15" s="214"/>
      <c r="N15" s="214"/>
      <c r="O15" s="214"/>
      <c r="P15" s="214"/>
      <c r="Q15" s="214"/>
      <c r="R15" s="214"/>
      <c r="S15" s="214"/>
      <c r="T15" s="214"/>
      <c r="U15" s="214"/>
      <c r="V15" s="214"/>
      <c r="W15" s="214"/>
      <c r="X15" s="214"/>
      <c r="Y15" s="214"/>
      <c r="Z15" s="214"/>
      <c r="AA15" s="214"/>
      <c r="AB15" s="214"/>
      <c r="AC15" s="214"/>
      <c r="AD15" s="214"/>
      <c r="AE15" s="214"/>
      <c r="AF15" s="214"/>
      <c r="AG15" s="214"/>
      <c r="AH15" s="214"/>
      <c r="AI15" s="214"/>
      <c r="AJ15" s="214"/>
      <c r="AK15" s="214"/>
      <c r="AL15" s="214"/>
      <c r="AM15" s="214"/>
      <c r="AN15" s="214"/>
      <c r="AO15" s="214"/>
      <c r="AP15" s="214"/>
      <c r="AQ15" s="214"/>
      <c r="AR15" s="214"/>
      <c r="AS15" s="214"/>
      <c r="AT15" s="214"/>
      <c r="AU15" s="214"/>
      <c r="AV15" s="214"/>
      <c r="AW15" s="214"/>
      <c r="AX15" s="214"/>
      <c r="AY15" s="214"/>
      <c r="AZ15" s="214"/>
      <c r="BA15" s="215"/>
      <c r="BK15" s="212"/>
    </row>
    <row r="16" spans="1:63" ht="15" customHeight="1" x14ac:dyDescent="0.25">
      <c r="A16" s="211"/>
      <c r="K16" s="216"/>
      <c r="L16" s="217" t="s">
        <v>136</v>
      </c>
      <c r="M16" s="218"/>
      <c r="N16" s="218"/>
      <c r="O16" s="218"/>
      <c r="P16" s="218"/>
      <c r="Q16" s="218"/>
      <c r="R16" s="218"/>
      <c r="S16" s="218"/>
      <c r="T16" s="218"/>
      <c r="U16" s="218"/>
      <c r="V16" s="218"/>
      <c r="W16" s="218"/>
      <c r="X16" s="218"/>
      <c r="Y16" s="218"/>
      <c r="Z16" s="218"/>
      <c r="AA16" s="218"/>
      <c r="AB16" s="218"/>
      <c r="AC16" s="218"/>
      <c r="AD16" s="218"/>
      <c r="AE16" s="218"/>
      <c r="AF16" s="218"/>
      <c r="AG16" s="218"/>
      <c r="AH16" s="218"/>
      <c r="AI16" s="218"/>
      <c r="AJ16" s="218"/>
      <c r="AK16" s="218"/>
      <c r="AL16" s="218"/>
      <c r="AM16" s="218"/>
      <c r="AN16" s="218"/>
      <c r="AO16" s="218"/>
      <c r="AP16" s="218"/>
      <c r="AQ16" s="218"/>
      <c r="AR16" s="218"/>
      <c r="AS16" s="218"/>
      <c r="AT16" s="218"/>
      <c r="AU16" s="218"/>
      <c r="AV16" s="218"/>
      <c r="AW16" s="218"/>
      <c r="AX16" s="218"/>
      <c r="AY16" s="218"/>
      <c r="AZ16" s="218"/>
      <c r="BA16" s="219"/>
      <c r="BK16" s="212"/>
    </row>
    <row r="17" spans="1:63" ht="15" customHeight="1" x14ac:dyDescent="0.25">
      <c r="A17" s="211"/>
      <c r="K17" s="216"/>
      <c r="L17" s="218"/>
      <c r="M17" s="218"/>
      <c r="N17" s="218"/>
      <c r="O17" s="218"/>
      <c r="P17" s="218"/>
      <c r="Q17" s="218"/>
      <c r="R17" s="218"/>
      <c r="S17" s="218"/>
      <c r="T17" s="218"/>
      <c r="U17" s="218"/>
      <c r="V17" s="218"/>
      <c r="W17" s="218"/>
      <c r="X17" s="218"/>
      <c r="Y17" s="218"/>
      <c r="Z17" s="218"/>
      <c r="AA17" s="218"/>
      <c r="AB17" s="218"/>
      <c r="AC17" s="218"/>
      <c r="AD17" s="218"/>
      <c r="AE17" s="218"/>
      <c r="AF17" s="218"/>
      <c r="AG17" s="218"/>
      <c r="AH17" s="218"/>
      <c r="AI17" s="218"/>
      <c r="AJ17" s="218"/>
      <c r="AK17" s="218"/>
      <c r="AL17" s="218"/>
      <c r="AM17" s="218"/>
      <c r="AN17" s="218"/>
      <c r="AO17" s="218"/>
      <c r="AP17" s="218"/>
      <c r="AQ17" s="218"/>
      <c r="AR17" s="218"/>
      <c r="AS17" s="218"/>
      <c r="AT17" s="218"/>
      <c r="AU17" s="218"/>
      <c r="AV17" s="218"/>
      <c r="AW17" s="218"/>
      <c r="AX17" s="218"/>
      <c r="AY17" s="218"/>
      <c r="AZ17" s="218"/>
      <c r="BA17" s="219"/>
      <c r="BK17" s="212"/>
    </row>
    <row r="18" spans="1:63" ht="15" customHeight="1" x14ac:dyDescent="0.25">
      <c r="A18" s="211"/>
      <c r="K18" s="216"/>
      <c r="L18" s="218"/>
      <c r="M18" s="218"/>
      <c r="N18" s="218"/>
      <c r="O18" s="218"/>
      <c r="P18" s="218"/>
      <c r="Q18" s="218"/>
      <c r="R18" s="218"/>
      <c r="S18" s="218"/>
      <c r="T18" s="218"/>
      <c r="U18" s="218"/>
      <c r="V18" s="218"/>
      <c r="W18" s="218"/>
      <c r="X18" s="218"/>
      <c r="Y18" s="218"/>
      <c r="Z18" s="218"/>
      <c r="AA18" s="218"/>
      <c r="AB18" s="218"/>
      <c r="AC18" s="218"/>
      <c r="AD18" s="218"/>
      <c r="AE18" s="218"/>
      <c r="AF18" s="218"/>
      <c r="AG18" s="218"/>
      <c r="AH18" s="218"/>
      <c r="AI18" s="218"/>
      <c r="AJ18" s="218"/>
      <c r="AK18" s="218"/>
      <c r="AL18" s="218"/>
      <c r="AM18" s="218"/>
      <c r="AN18" s="218"/>
      <c r="AO18" s="218"/>
      <c r="AP18" s="218"/>
      <c r="AQ18" s="218"/>
      <c r="AR18" s="218"/>
      <c r="AS18" s="218"/>
      <c r="AT18" s="218"/>
      <c r="AU18" s="218"/>
      <c r="AV18" s="218"/>
      <c r="AW18" s="218"/>
      <c r="AX18" s="218"/>
      <c r="AY18" s="218"/>
      <c r="AZ18" s="218"/>
      <c r="BA18" s="219"/>
      <c r="BK18" s="212"/>
    </row>
    <row r="19" spans="1:63" ht="15" customHeight="1" x14ac:dyDescent="0.25">
      <c r="A19" s="211"/>
      <c r="K19" s="216"/>
      <c r="L19" s="218"/>
      <c r="M19" s="218"/>
      <c r="N19" s="218"/>
      <c r="O19" s="218"/>
      <c r="P19" s="218"/>
      <c r="Q19" s="218"/>
      <c r="R19" s="218"/>
      <c r="S19" s="218"/>
      <c r="T19" s="218"/>
      <c r="U19" s="218"/>
      <c r="V19" s="218"/>
      <c r="W19" s="218"/>
      <c r="X19" s="218"/>
      <c r="Y19" s="218"/>
      <c r="Z19" s="218"/>
      <c r="AA19" s="218"/>
      <c r="AB19" s="218"/>
      <c r="AC19" s="218"/>
      <c r="AD19" s="218"/>
      <c r="AE19" s="218"/>
      <c r="AF19" s="218"/>
      <c r="AG19" s="218"/>
      <c r="AH19" s="218"/>
      <c r="AI19" s="218"/>
      <c r="AJ19" s="218"/>
      <c r="AK19" s="218"/>
      <c r="AL19" s="218"/>
      <c r="AM19" s="218"/>
      <c r="AN19" s="218"/>
      <c r="AO19" s="218"/>
      <c r="AP19" s="218"/>
      <c r="AQ19" s="218"/>
      <c r="AR19" s="218"/>
      <c r="AS19" s="218"/>
      <c r="AT19" s="218"/>
      <c r="AU19" s="218"/>
      <c r="AV19" s="218"/>
      <c r="AW19" s="218"/>
      <c r="AX19" s="218"/>
      <c r="AY19" s="218"/>
      <c r="AZ19" s="218"/>
      <c r="BA19" s="219"/>
      <c r="BK19" s="212"/>
    </row>
    <row r="20" spans="1:63" ht="15" customHeight="1" x14ac:dyDescent="0.25">
      <c r="A20" s="211"/>
      <c r="K20" s="216"/>
      <c r="L20" s="218"/>
      <c r="M20" s="218"/>
      <c r="N20" s="218"/>
      <c r="O20" s="218"/>
      <c r="P20" s="218"/>
      <c r="Q20" s="218"/>
      <c r="R20" s="218"/>
      <c r="S20" s="218"/>
      <c r="T20" s="218"/>
      <c r="U20" s="218"/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  <c r="AG20" s="218"/>
      <c r="AH20" s="218"/>
      <c r="AI20" s="218"/>
      <c r="AJ20" s="218"/>
      <c r="AK20" s="218"/>
      <c r="AL20" s="218"/>
      <c r="AM20" s="218"/>
      <c r="AN20" s="218"/>
      <c r="AO20" s="218"/>
      <c r="AP20" s="218"/>
      <c r="AQ20" s="218"/>
      <c r="AR20" s="218"/>
      <c r="AS20" s="218"/>
      <c r="AT20" s="218"/>
      <c r="AU20" s="218"/>
      <c r="AV20" s="218"/>
      <c r="AW20" s="218"/>
      <c r="AX20" s="218"/>
      <c r="AY20" s="218"/>
      <c r="AZ20" s="218"/>
      <c r="BA20" s="219"/>
      <c r="BK20" s="212"/>
    </row>
    <row r="21" spans="1:63" ht="15" customHeight="1" x14ac:dyDescent="0.25">
      <c r="A21" s="211"/>
      <c r="K21" s="216"/>
      <c r="L21" s="218"/>
      <c r="M21" s="218"/>
      <c r="N21" s="218"/>
      <c r="O21" s="218"/>
      <c r="P21" s="218"/>
      <c r="Q21" s="218"/>
      <c r="R21" s="218"/>
      <c r="S21" s="218"/>
      <c r="T21" s="218"/>
      <c r="U21" s="218"/>
      <c r="V21" s="218"/>
      <c r="W21" s="218"/>
      <c r="X21" s="218"/>
      <c r="Y21" s="218"/>
      <c r="Z21" s="218"/>
      <c r="AA21" s="218"/>
      <c r="AB21" s="218"/>
      <c r="AC21" s="218"/>
      <c r="AD21" s="218"/>
      <c r="AE21" s="218"/>
      <c r="AF21" s="218"/>
      <c r="AG21" s="218"/>
      <c r="AH21" s="218"/>
      <c r="AI21" s="218"/>
      <c r="AJ21" s="218"/>
      <c r="AK21" s="218"/>
      <c r="AL21" s="218"/>
      <c r="AM21" s="218"/>
      <c r="AN21" s="218"/>
      <c r="AO21" s="218"/>
      <c r="AP21" s="218"/>
      <c r="AQ21" s="218"/>
      <c r="AR21" s="218"/>
      <c r="AS21" s="218"/>
      <c r="AT21" s="218"/>
      <c r="AU21" s="218"/>
      <c r="AV21" s="218"/>
      <c r="AW21" s="218"/>
      <c r="AX21" s="218"/>
      <c r="AY21" s="218"/>
      <c r="AZ21" s="218"/>
      <c r="BA21" s="219"/>
      <c r="BK21" s="212"/>
    </row>
    <row r="22" spans="1:63" ht="15" customHeight="1" thickBot="1" x14ac:dyDescent="0.3">
      <c r="A22" s="211"/>
      <c r="K22" s="216"/>
      <c r="L22" s="220"/>
      <c r="M22" s="220"/>
      <c r="N22" s="220"/>
      <c r="O22" s="220"/>
      <c r="P22" s="220"/>
      <c r="Q22" s="220"/>
      <c r="R22" s="220"/>
      <c r="S22" s="220"/>
      <c r="T22" s="220"/>
      <c r="U22" s="220"/>
      <c r="V22" s="220"/>
      <c r="W22" s="220"/>
      <c r="X22" s="220"/>
      <c r="Y22" s="220"/>
      <c r="Z22" s="220"/>
      <c r="AA22" s="220"/>
      <c r="AB22" s="220"/>
      <c r="AC22" s="220"/>
      <c r="AD22" s="220"/>
      <c r="AE22" s="220"/>
      <c r="AF22" s="220"/>
      <c r="AG22" s="220"/>
      <c r="AH22" s="220"/>
      <c r="AI22" s="220"/>
      <c r="AJ22" s="220"/>
      <c r="AK22" s="220"/>
      <c r="AL22" s="220"/>
      <c r="AM22" s="220"/>
      <c r="AN22" s="220"/>
      <c r="AO22" s="220"/>
      <c r="AP22" s="220"/>
      <c r="AQ22" s="220"/>
      <c r="AR22" s="220"/>
      <c r="AS22" s="220"/>
      <c r="AT22" s="220"/>
      <c r="AU22" s="220"/>
      <c r="AV22" s="220"/>
      <c r="AW22" s="220"/>
      <c r="AX22" s="220"/>
      <c r="AY22" s="220"/>
      <c r="AZ22" s="220"/>
      <c r="BA22" s="219"/>
      <c r="BK22" s="212"/>
    </row>
    <row r="23" spans="1:63" ht="15" customHeight="1" x14ac:dyDescent="0.25">
      <c r="A23" s="211"/>
      <c r="K23" s="216"/>
      <c r="L23" s="221"/>
      <c r="M23" s="221"/>
      <c r="N23" s="221"/>
      <c r="O23" s="221"/>
      <c r="P23" s="221"/>
      <c r="Q23" s="221"/>
      <c r="R23" s="221"/>
      <c r="S23" s="221"/>
      <c r="T23" s="221"/>
      <c r="U23" s="221"/>
      <c r="V23" s="221"/>
      <c r="W23" s="221"/>
      <c r="X23" s="221"/>
      <c r="Y23" s="221"/>
      <c r="Z23" s="221"/>
      <c r="AA23" s="221"/>
      <c r="AB23" s="221"/>
      <c r="AC23" s="221"/>
      <c r="AD23" s="221"/>
      <c r="AE23" s="221"/>
      <c r="AF23" s="221"/>
      <c r="AG23" s="221"/>
      <c r="AH23" s="221"/>
      <c r="AI23" s="221"/>
      <c r="AJ23" s="221"/>
      <c r="AK23" s="221"/>
      <c r="AL23" s="221"/>
      <c r="AM23" s="221"/>
      <c r="AN23" s="221"/>
      <c r="AO23" s="221"/>
      <c r="AP23" s="221"/>
      <c r="AQ23" s="221"/>
      <c r="AR23" s="221"/>
      <c r="AS23" s="221"/>
      <c r="AT23" s="221"/>
      <c r="AU23" s="221"/>
      <c r="AV23" s="221"/>
      <c r="AW23" s="221"/>
      <c r="AX23" s="221"/>
      <c r="AY23" s="221"/>
      <c r="AZ23" s="221"/>
      <c r="BA23" s="219"/>
      <c r="BK23" s="212"/>
    </row>
    <row r="24" spans="1:63" ht="15" customHeight="1" x14ac:dyDescent="0.25">
      <c r="A24" s="211"/>
      <c r="K24" s="216"/>
      <c r="L24" s="218" t="str">
        <f>K2&amp;"/"&amp;H4&amp;"/"&amp;Z4</f>
        <v>POSサーバー/71_ノードマスタ設定/概要設計書</v>
      </c>
      <c r="M24" s="218"/>
      <c r="N24" s="218"/>
      <c r="O24" s="218"/>
      <c r="P24" s="218"/>
      <c r="Q24" s="218"/>
      <c r="R24" s="218"/>
      <c r="S24" s="218"/>
      <c r="T24" s="218"/>
      <c r="U24" s="218"/>
      <c r="V24" s="218"/>
      <c r="W24" s="218"/>
      <c r="X24" s="218"/>
      <c r="Y24" s="218"/>
      <c r="Z24" s="218"/>
      <c r="AA24" s="218"/>
      <c r="AB24" s="218"/>
      <c r="AC24" s="218"/>
      <c r="AD24" s="218"/>
      <c r="AE24" s="218"/>
      <c r="AF24" s="218"/>
      <c r="AG24" s="218"/>
      <c r="AH24" s="218"/>
      <c r="AI24" s="218"/>
      <c r="AJ24" s="218"/>
      <c r="AK24" s="218"/>
      <c r="AL24" s="218"/>
      <c r="AM24" s="218"/>
      <c r="AN24" s="218"/>
      <c r="AO24" s="218"/>
      <c r="AP24" s="218"/>
      <c r="AQ24" s="218"/>
      <c r="AR24" s="218"/>
      <c r="AS24" s="218"/>
      <c r="AT24" s="218"/>
      <c r="AU24" s="218"/>
      <c r="AV24" s="218"/>
      <c r="AW24" s="218"/>
      <c r="AX24" s="218"/>
      <c r="AY24" s="218"/>
      <c r="AZ24" s="218"/>
      <c r="BA24" s="219"/>
      <c r="BK24" s="212"/>
    </row>
    <row r="25" spans="1:63" ht="15" customHeight="1" x14ac:dyDescent="0.25">
      <c r="A25" s="211"/>
      <c r="K25" s="216"/>
      <c r="L25" s="218"/>
      <c r="M25" s="218"/>
      <c r="N25" s="218"/>
      <c r="O25" s="218"/>
      <c r="P25" s="218"/>
      <c r="Q25" s="218"/>
      <c r="R25" s="218"/>
      <c r="S25" s="218"/>
      <c r="T25" s="218"/>
      <c r="U25" s="218"/>
      <c r="V25" s="218"/>
      <c r="W25" s="218"/>
      <c r="X25" s="218"/>
      <c r="Y25" s="218"/>
      <c r="Z25" s="218"/>
      <c r="AA25" s="218"/>
      <c r="AB25" s="218"/>
      <c r="AC25" s="218"/>
      <c r="AD25" s="218"/>
      <c r="AE25" s="218"/>
      <c r="AF25" s="218"/>
      <c r="AG25" s="218"/>
      <c r="AH25" s="218"/>
      <c r="AI25" s="218"/>
      <c r="AJ25" s="218"/>
      <c r="AK25" s="218"/>
      <c r="AL25" s="218"/>
      <c r="AM25" s="218"/>
      <c r="AN25" s="218"/>
      <c r="AO25" s="218"/>
      <c r="AP25" s="218"/>
      <c r="AQ25" s="218"/>
      <c r="AR25" s="218"/>
      <c r="AS25" s="218"/>
      <c r="AT25" s="218"/>
      <c r="AU25" s="218"/>
      <c r="AV25" s="218"/>
      <c r="AW25" s="218"/>
      <c r="AX25" s="218"/>
      <c r="AY25" s="218"/>
      <c r="AZ25" s="218"/>
      <c r="BA25" s="219"/>
      <c r="BK25" s="212"/>
    </row>
    <row r="26" spans="1:63" ht="15" customHeight="1" x14ac:dyDescent="0.25">
      <c r="A26" s="211"/>
      <c r="K26" s="216"/>
      <c r="L26" s="218"/>
      <c r="M26" s="218"/>
      <c r="N26" s="218"/>
      <c r="O26" s="218"/>
      <c r="P26" s="218"/>
      <c r="Q26" s="218"/>
      <c r="R26" s="218"/>
      <c r="S26" s="218"/>
      <c r="T26" s="218"/>
      <c r="U26" s="218"/>
      <c r="V26" s="218"/>
      <c r="W26" s="218"/>
      <c r="X26" s="218"/>
      <c r="Y26" s="218"/>
      <c r="Z26" s="218"/>
      <c r="AA26" s="218"/>
      <c r="AB26" s="218"/>
      <c r="AC26" s="218"/>
      <c r="AD26" s="218"/>
      <c r="AE26" s="218"/>
      <c r="AF26" s="218"/>
      <c r="AG26" s="218"/>
      <c r="AH26" s="218"/>
      <c r="AI26" s="218"/>
      <c r="AJ26" s="218"/>
      <c r="AK26" s="218"/>
      <c r="AL26" s="218"/>
      <c r="AM26" s="218"/>
      <c r="AN26" s="218"/>
      <c r="AO26" s="218"/>
      <c r="AP26" s="218"/>
      <c r="AQ26" s="218"/>
      <c r="AR26" s="218"/>
      <c r="AS26" s="218"/>
      <c r="AT26" s="218"/>
      <c r="AU26" s="218"/>
      <c r="AV26" s="218"/>
      <c r="AW26" s="218"/>
      <c r="AX26" s="218"/>
      <c r="AY26" s="218"/>
      <c r="AZ26" s="218"/>
      <c r="BA26" s="219"/>
      <c r="BK26" s="212"/>
    </row>
    <row r="27" spans="1:63" ht="15" customHeight="1" x14ac:dyDescent="0.25">
      <c r="A27" s="211"/>
      <c r="K27" s="216"/>
      <c r="L27" s="218"/>
      <c r="M27" s="218"/>
      <c r="N27" s="218"/>
      <c r="O27" s="218"/>
      <c r="P27" s="218"/>
      <c r="Q27" s="218"/>
      <c r="R27" s="218"/>
      <c r="S27" s="218"/>
      <c r="T27" s="218"/>
      <c r="U27" s="218"/>
      <c r="V27" s="218"/>
      <c r="W27" s="218"/>
      <c r="X27" s="218"/>
      <c r="Y27" s="218"/>
      <c r="Z27" s="218"/>
      <c r="AA27" s="218"/>
      <c r="AB27" s="218"/>
      <c r="AC27" s="218"/>
      <c r="AD27" s="218"/>
      <c r="AE27" s="218"/>
      <c r="AF27" s="218"/>
      <c r="AG27" s="218"/>
      <c r="AH27" s="218"/>
      <c r="AI27" s="218"/>
      <c r="AJ27" s="218"/>
      <c r="AK27" s="218"/>
      <c r="AL27" s="218"/>
      <c r="AM27" s="218"/>
      <c r="AN27" s="218"/>
      <c r="AO27" s="218"/>
      <c r="AP27" s="218"/>
      <c r="AQ27" s="218"/>
      <c r="AR27" s="218"/>
      <c r="AS27" s="218"/>
      <c r="AT27" s="218"/>
      <c r="AU27" s="218"/>
      <c r="AV27" s="218"/>
      <c r="AW27" s="218"/>
      <c r="AX27" s="218"/>
      <c r="AY27" s="218"/>
      <c r="AZ27" s="218"/>
      <c r="BA27" s="219"/>
      <c r="BK27" s="212"/>
    </row>
    <row r="28" spans="1:63" ht="15" customHeight="1" x14ac:dyDescent="0.25">
      <c r="A28" s="211"/>
      <c r="K28" s="216"/>
      <c r="L28" s="218"/>
      <c r="M28" s="218"/>
      <c r="N28" s="218"/>
      <c r="O28" s="218"/>
      <c r="P28" s="218"/>
      <c r="Q28" s="218"/>
      <c r="R28" s="218"/>
      <c r="S28" s="218"/>
      <c r="T28" s="218"/>
      <c r="U28" s="218"/>
      <c r="V28" s="218"/>
      <c r="W28" s="218"/>
      <c r="X28" s="218"/>
      <c r="Y28" s="218"/>
      <c r="Z28" s="218"/>
      <c r="AA28" s="218"/>
      <c r="AB28" s="218"/>
      <c r="AC28" s="218"/>
      <c r="AD28" s="218"/>
      <c r="AE28" s="218"/>
      <c r="AF28" s="218"/>
      <c r="AG28" s="218"/>
      <c r="AH28" s="218"/>
      <c r="AI28" s="218"/>
      <c r="AJ28" s="218"/>
      <c r="AK28" s="218"/>
      <c r="AL28" s="218"/>
      <c r="AM28" s="218"/>
      <c r="AN28" s="218"/>
      <c r="AO28" s="218"/>
      <c r="AP28" s="218"/>
      <c r="AQ28" s="218"/>
      <c r="AR28" s="218"/>
      <c r="AS28" s="218"/>
      <c r="AT28" s="218"/>
      <c r="AU28" s="218"/>
      <c r="AV28" s="218"/>
      <c r="AW28" s="218"/>
      <c r="AX28" s="218"/>
      <c r="AY28" s="218"/>
      <c r="AZ28" s="218"/>
      <c r="BA28" s="219"/>
      <c r="BK28" s="212"/>
    </row>
    <row r="29" spans="1:63" ht="15" customHeight="1" x14ac:dyDescent="0.25">
      <c r="A29" s="211"/>
      <c r="K29" s="216"/>
      <c r="L29" s="218"/>
      <c r="M29" s="218"/>
      <c r="N29" s="218"/>
      <c r="O29" s="218"/>
      <c r="P29" s="218"/>
      <c r="Q29" s="218"/>
      <c r="R29" s="218"/>
      <c r="S29" s="218"/>
      <c r="T29" s="218"/>
      <c r="U29" s="218"/>
      <c r="V29" s="218"/>
      <c r="W29" s="218"/>
      <c r="X29" s="218"/>
      <c r="Y29" s="218"/>
      <c r="Z29" s="218"/>
      <c r="AA29" s="218"/>
      <c r="AB29" s="218"/>
      <c r="AC29" s="218"/>
      <c r="AD29" s="218"/>
      <c r="AE29" s="218"/>
      <c r="AF29" s="218"/>
      <c r="AG29" s="218"/>
      <c r="AH29" s="218"/>
      <c r="AI29" s="218"/>
      <c r="AJ29" s="218"/>
      <c r="AK29" s="218"/>
      <c r="AL29" s="218"/>
      <c r="AM29" s="218"/>
      <c r="AN29" s="218"/>
      <c r="AO29" s="218"/>
      <c r="AP29" s="218"/>
      <c r="AQ29" s="218"/>
      <c r="AR29" s="218"/>
      <c r="AS29" s="218"/>
      <c r="AT29" s="218"/>
      <c r="AU29" s="218"/>
      <c r="AV29" s="218"/>
      <c r="AW29" s="218"/>
      <c r="AX29" s="218"/>
      <c r="AY29" s="218"/>
      <c r="AZ29" s="218"/>
      <c r="BA29" s="219"/>
      <c r="BK29" s="212"/>
    </row>
    <row r="30" spans="1:63" ht="15" customHeight="1" x14ac:dyDescent="0.25">
      <c r="A30" s="211"/>
      <c r="K30" s="216"/>
      <c r="L30" s="218"/>
      <c r="M30" s="218"/>
      <c r="N30" s="218"/>
      <c r="O30" s="218"/>
      <c r="P30" s="218"/>
      <c r="Q30" s="218"/>
      <c r="R30" s="218"/>
      <c r="S30" s="218"/>
      <c r="T30" s="218"/>
      <c r="U30" s="218"/>
      <c r="V30" s="218"/>
      <c r="W30" s="218"/>
      <c r="X30" s="218"/>
      <c r="Y30" s="218"/>
      <c r="Z30" s="218"/>
      <c r="AA30" s="218"/>
      <c r="AB30" s="218"/>
      <c r="AC30" s="218"/>
      <c r="AD30" s="218"/>
      <c r="AE30" s="218"/>
      <c r="AF30" s="218"/>
      <c r="AG30" s="218"/>
      <c r="AH30" s="218"/>
      <c r="AI30" s="218"/>
      <c r="AJ30" s="218"/>
      <c r="AK30" s="218"/>
      <c r="AL30" s="218"/>
      <c r="AM30" s="218"/>
      <c r="AN30" s="218"/>
      <c r="AO30" s="218"/>
      <c r="AP30" s="218"/>
      <c r="AQ30" s="218"/>
      <c r="AR30" s="218"/>
      <c r="AS30" s="218"/>
      <c r="AT30" s="218"/>
      <c r="AU30" s="218"/>
      <c r="AV30" s="218"/>
      <c r="AW30" s="218"/>
      <c r="AX30" s="218"/>
      <c r="AY30" s="218"/>
      <c r="AZ30" s="218"/>
      <c r="BA30" s="219"/>
      <c r="BK30" s="212"/>
    </row>
    <row r="31" spans="1:63" ht="15" customHeight="1" x14ac:dyDescent="0.25">
      <c r="A31" s="211"/>
      <c r="K31" s="216"/>
      <c r="L31" s="218"/>
      <c r="M31" s="218"/>
      <c r="N31" s="218"/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Y31" s="218"/>
      <c r="Z31" s="218"/>
      <c r="AA31" s="218"/>
      <c r="AB31" s="218"/>
      <c r="AC31" s="218"/>
      <c r="AD31" s="218"/>
      <c r="AE31" s="218"/>
      <c r="AF31" s="218"/>
      <c r="AG31" s="218"/>
      <c r="AH31" s="218"/>
      <c r="AI31" s="218"/>
      <c r="AJ31" s="218"/>
      <c r="AK31" s="218"/>
      <c r="AL31" s="218"/>
      <c r="AM31" s="218"/>
      <c r="AN31" s="218"/>
      <c r="AO31" s="218"/>
      <c r="AP31" s="218"/>
      <c r="AQ31" s="218"/>
      <c r="AR31" s="218"/>
      <c r="AS31" s="218"/>
      <c r="AT31" s="218"/>
      <c r="AU31" s="218"/>
      <c r="AV31" s="218"/>
      <c r="AW31" s="218"/>
      <c r="AX31" s="218"/>
      <c r="AY31" s="218"/>
      <c r="AZ31" s="218"/>
      <c r="BA31" s="219"/>
      <c r="BK31" s="212"/>
    </row>
    <row r="32" spans="1:63" ht="15" customHeight="1" x14ac:dyDescent="0.25">
      <c r="A32" s="211"/>
      <c r="K32" s="216"/>
      <c r="L32" s="218"/>
      <c r="M32" s="218"/>
      <c r="N32" s="218"/>
      <c r="O32" s="218"/>
      <c r="P32" s="218"/>
      <c r="Q32" s="218"/>
      <c r="R32" s="218"/>
      <c r="S32" s="218"/>
      <c r="T32" s="218"/>
      <c r="U32" s="218"/>
      <c r="V32" s="218"/>
      <c r="W32" s="218"/>
      <c r="X32" s="218"/>
      <c r="Y32" s="218"/>
      <c r="Z32" s="218"/>
      <c r="AA32" s="218"/>
      <c r="AB32" s="218"/>
      <c r="AC32" s="218"/>
      <c r="AD32" s="218"/>
      <c r="AE32" s="218"/>
      <c r="AF32" s="218"/>
      <c r="AG32" s="218"/>
      <c r="AH32" s="218"/>
      <c r="AI32" s="218"/>
      <c r="AJ32" s="218"/>
      <c r="AK32" s="218"/>
      <c r="AL32" s="218"/>
      <c r="AM32" s="218"/>
      <c r="AN32" s="218"/>
      <c r="AO32" s="218"/>
      <c r="AP32" s="218"/>
      <c r="AQ32" s="218"/>
      <c r="AR32" s="218"/>
      <c r="AS32" s="218"/>
      <c r="AT32" s="218"/>
      <c r="AU32" s="218"/>
      <c r="AV32" s="218"/>
      <c r="AW32" s="218"/>
      <c r="AX32" s="218"/>
      <c r="AY32" s="218"/>
      <c r="AZ32" s="218"/>
      <c r="BA32" s="219"/>
      <c r="BK32" s="212"/>
    </row>
    <row r="33" spans="1:63" ht="15" customHeight="1" x14ac:dyDescent="0.25">
      <c r="A33" s="211"/>
      <c r="K33" s="216"/>
      <c r="L33" s="218"/>
      <c r="M33" s="218"/>
      <c r="N33" s="218"/>
      <c r="O33" s="218"/>
      <c r="P33" s="218"/>
      <c r="Q33" s="218"/>
      <c r="R33" s="218"/>
      <c r="S33" s="218"/>
      <c r="T33" s="218"/>
      <c r="U33" s="218"/>
      <c r="V33" s="218"/>
      <c r="W33" s="218"/>
      <c r="X33" s="218"/>
      <c r="Y33" s="218"/>
      <c r="Z33" s="218"/>
      <c r="AA33" s="218"/>
      <c r="AB33" s="218"/>
      <c r="AC33" s="218"/>
      <c r="AD33" s="218"/>
      <c r="AE33" s="218"/>
      <c r="AF33" s="218"/>
      <c r="AG33" s="218"/>
      <c r="AH33" s="218"/>
      <c r="AI33" s="218"/>
      <c r="AJ33" s="218"/>
      <c r="AK33" s="218"/>
      <c r="AL33" s="218"/>
      <c r="AM33" s="218"/>
      <c r="AN33" s="218"/>
      <c r="AO33" s="218"/>
      <c r="AP33" s="218"/>
      <c r="AQ33" s="218"/>
      <c r="AR33" s="218"/>
      <c r="AS33" s="218"/>
      <c r="AT33" s="218"/>
      <c r="AU33" s="218"/>
      <c r="AV33" s="218"/>
      <c r="AW33" s="218"/>
      <c r="AX33" s="218"/>
      <c r="AY33" s="218"/>
      <c r="AZ33" s="218"/>
      <c r="BA33" s="219"/>
      <c r="BK33" s="212"/>
    </row>
    <row r="34" spans="1:63" ht="15" customHeight="1" x14ac:dyDescent="0.25">
      <c r="A34" s="211"/>
      <c r="K34" s="216"/>
      <c r="L34" s="218"/>
      <c r="M34" s="218"/>
      <c r="N34" s="218"/>
      <c r="O34" s="218"/>
      <c r="P34" s="218"/>
      <c r="Q34" s="218"/>
      <c r="R34" s="218"/>
      <c r="S34" s="218"/>
      <c r="T34" s="218"/>
      <c r="U34" s="218"/>
      <c r="V34" s="218"/>
      <c r="W34" s="218"/>
      <c r="X34" s="218"/>
      <c r="Y34" s="218"/>
      <c r="Z34" s="218"/>
      <c r="AA34" s="218"/>
      <c r="AB34" s="218"/>
      <c r="AC34" s="218"/>
      <c r="AD34" s="218"/>
      <c r="AE34" s="218"/>
      <c r="AF34" s="218"/>
      <c r="AG34" s="218"/>
      <c r="AH34" s="218"/>
      <c r="AI34" s="218"/>
      <c r="AJ34" s="218"/>
      <c r="AK34" s="218"/>
      <c r="AL34" s="218"/>
      <c r="AM34" s="218"/>
      <c r="AN34" s="218"/>
      <c r="AO34" s="218"/>
      <c r="AP34" s="218"/>
      <c r="AQ34" s="218"/>
      <c r="AR34" s="218"/>
      <c r="AS34" s="218"/>
      <c r="AT34" s="218"/>
      <c r="AU34" s="218"/>
      <c r="AV34" s="218"/>
      <c r="AW34" s="218"/>
      <c r="AX34" s="218"/>
      <c r="AY34" s="218"/>
      <c r="AZ34" s="218"/>
      <c r="BA34" s="219"/>
      <c r="BK34" s="212"/>
    </row>
    <row r="35" spans="1:63" ht="15" customHeight="1" x14ac:dyDescent="0.25">
      <c r="A35" s="211"/>
      <c r="K35" s="216"/>
      <c r="L35" s="218"/>
      <c r="M35" s="218"/>
      <c r="N35" s="218"/>
      <c r="O35" s="218"/>
      <c r="P35" s="218"/>
      <c r="Q35" s="218"/>
      <c r="R35" s="218"/>
      <c r="S35" s="218"/>
      <c r="T35" s="218"/>
      <c r="U35" s="218"/>
      <c r="V35" s="218"/>
      <c r="W35" s="218"/>
      <c r="X35" s="218"/>
      <c r="Y35" s="218"/>
      <c r="Z35" s="218"/>
      <c r="AA35" s="218"/>
      <c r="AB35" s="218"/>
      <c r="AC35" s="218"/>
      <c r="AD35" s="218"/>
      <c r="AE35" s="218"/>
      <c r="AF35" s="218"/>
      <c r="AG35" s="218"/>
      <c r="AH35" s="218"/>
      <c r="AI35" s="218"/>
      <c r="AJ35" s="218"/>
      <c r="AK35" s="218"/>
      <c r="AL35" s="218"/>
      <c r="AM35" s="218"/>
      <c r="AN35" s="218"/>
      <c r="AO35" s="218"/>
      <c r="AP35" s="218"/>
      <c r="AQ35" s="218"/>
      <c r="AR35" s="218"/>
      <c r="AS35" s="218"/>
      <c r="AT35" s="218"/>
      <c r="AU35" s="218"/>
      <c r="AV35" s="218"/>
      <c r="AW35" s="218"/>
      <c r="AX35" s="218"/>
      <c r="AY35" s="218"/>
      <c r="AZ35" s="218"/>
      <c r="BA35" s="219"/>
      <c r="BK35" s="212"/>
    </row>
    <row r="36" spans="1:63" ht="15" customHeight="1" x14ac:dyDescent="0.25">
      <c r="A36" s="211"/>
      <c r="K36" s="216"/>
      <c r="L36" s="218"/>
      <c r="M36" s="218"/>
      <c r="N36" s="218"/>
      <c r="O36" s="218"/>
      <c r="P36" s="218"/>
      <c r="Q36" s="218"/>
      <c r="R36" s="218"/>
      <c r="S36" s="218"/>
      <c r="T36" s="218"/>
      <c r="U36" s="218"/>
      <c r="V36" s="218"/>
      <c r="W36" s="218"/>
      <c r="X36" s="218"/>
      <c r="Y36" s="218"/>
      <c r="Z36" s="218"/>
      <c r="AA36" s="218"/>
      <c r="AB36" s="218"/>
      <c r="AC36" s="218"/>
      <c r="AD36" s="218"/>
      <c r="AE36" s="218"/>
      <c r="AF36" s="218"/>
      <c r="AG36" s="218"/>
      <c r="AH36" s="218"/>
      <c r="AI36" s="218"/>
      <c r="AJ36" s="218"/>
      <c r="AK36" s="218"/>
      <c r="AL36" s="218"/>
      <c r="AM36" s="218"/>
      <c r="AN36" s="218"/>
      <c r="AO36" s="218"/>
      <c r="AP36" s="218"/>
      <c r="AQ36" s="218"/>
      <c r="AR36" s="218"/>
      <c r="AS36" s="218"/>
      <c r="AT36" s="218"/>
      <c r="AU36" s="218"/>
      <c r="AV36" s="218"/>
      <c r="AW36" s="218"/>
      <c r="AX36" s="218"/>
      <c r="AY36" s="218"/>
      <c r="AZ36" s="218"/>
      <c r="BA36" s="219"/>
      <c r="BK36" s="212"/>
    </row>
    <row r="37" spans="1:63" ht="15" customHeight="1" thickBot="1" x14ac:dyDescent="0.3">
      <c r="A37" s="211"/>
      <c r="K37" s="222"/>
      <c r="L37" s="223"/>
      <c r="M37" s="223"/>
      <c r="N37" s="223"/>
      <c r="O37" s="223"/>
      <c r="P37" s="223"/>
      <c r="Q37" s="223"/>
      <c r="R37" s="223"/>
      <c r="S37" s="223"/>
      <c r="T37" s="223"/>
      <c r="U37" s="223"/>
      <c r="V37" s="223"/>
      <c r="W37" s="223"/>
      <c r="X37" s="223"/>
      <c r="Y37" s="223"/>
      <c r="Z37" s="223"/>
      <c r="AA37" s="223"/>
      <c r="AB37" s="223"/>
      <c r="AC37" s="223"/>
      <c r="AD37" s="223"/>
      <c r="AE37" s="223"/>
      <c r="AF37" s="223"/>
      <c r="AG37" s="223"/>
      <c r="AH37" s="223"/>
      <c r="AI37" s="223"/>
      <c r="AJ37" s="223"/>
      <c r="AK37" s="223"/>
      <c r="AL37" s="223"/>
      <c r="AM37" s="223"/>
      <c r="AN37" s="223"/>
      <c r="AO37" s="223"/>
      <c r="AP37" s="223"/>
      <c r="AQ37" s="223"/>
      <c r="AR37" s="223"/>
      <c r="AS37" s="223"/>
      <c r="AT37" s="223"/>
      <c r="AU37" s="223"/>
      <c r="AV37" s="223"/>
      <c r="AW37" s="223"/>
      <c r="AX37" s="223"/>
      <c r="AY37" s="223"/>
      <c r="AZ37" s="223"/>
      <c r="BA37" s="224"/>
      <c r="BK37" s="212"/>
    </row>
    <row r="38" spans="1:63" ht="15" customHeight="1" thickTop="1" x14ac:dyDescent="0.25">
      <c r="A38" s="211"/>
      <c r="BK38" s="212"/>
    </row>
    <row r="39" spans="1:63" ht="15" customHeight="1" x14ac:dyDescent="0.25">
      <c r="A39" s="211"/>
      <c r="BK39" s="212"/>
    </row>
    <row r="40" spans="1:63" ht="15" customHeight="1" x14ac:dyDescent="0.25">
      <c r="A40" s="211"/>
      <c r="BK40" s="212"/>
    </row>
    <row r="41" spans="1:63" ht="15" customHeight="1" x14ac:dyDescent="0.25">
      <c r="A41" s="211"/>
      <c r="BK41" s="212"/>
    </row>
    <row r="42" spans="1:63" ht="15" customHeight="1" x14ac:dyDescent="0.25">
      <c r="A42" s="211"/>
      <c r="BK42" s="212"/>
    </row>
    <row r="43" spans="1:63" ht="15" customHeight="1" x14ac:dyDescent="0.25">
      <c r="A43" s="211"/>
      <c r="BK43" s="212"/>
    </row>
    <row r="44" spans="1:63" ht="15" customHeight="1" x14ac:dyDescent="0.25">
      <c r="A44" s="211"/>
      <c r="Q44" s="225" t="s">
        <v>137</v>
      </c>
      <c r="R44" s="226"/>
      <c r="S44" s="226"/>
      <c r="T44" s="226"/>
      <c r="U44" s="226"/>
      <c r="V44" s="226"/>
      <c r="W44" s="226"/>
      <c r="X44" s="226"/>
      <c r="Y44" s="226"/>
      <c r="Z44" s="227"/>
      <c r="AA44" s="225" t="s">
        <v>138</v>
      </c>
      <c r="AB44" s="226"/>
      <c r="AC44" s="226"/>
      <c r="AD44" s="226"/>
      <c r="AE44" s="226"/>
      <c r="AF44" s="226"/>
      <c r="AG44" s="226"/>
      <c r="AH44" s="226"/>
      <c r="AI44" s="226"/>
      <c r="AJ44" s="226"/>
      <c r="AK44" s="226"/>
      <c r="AL44" s="226"/>
      <c r="AM44" s="226"/>
      <c r="AN44" s="226"/>
      <c r="AO44" s="226"/>
      <c r="AP44" s="227"/>
      <c r="AQ44" s="225" t="s">
        <v>132</v>
      </c>
      <c r="AR44" s="226"/>
      <c r="AS44" s="226"/>
      <c r="AT44" s="226"/>
      <c r="AU44" s="227"/>
      <c r="BK44" s="212"/>
    </row>
    <row r="45" spans="1:63" ht="15" customHeight="1" x14ac:dyDescent="0.25">
      <c r="A45" s="211"/>
      <c r="Q45" s="228"/>
      <c r="R45" s="229"/>
      <c r="S45" s="229"/>
      <c r="T45" s="229"/>
      <c r="U45" s="229"/>
      <c r="V45" s="229"/>
      <c r="W45" s="229"/>
      <c r="X45" s="229"/>
      <c r="Y45" s="229"/>
      <c r="Z45" s="230"/>
      <c r="AA45" s="228"/>
      <c r="AB45" s="229"/>
      <c r="AC45" s="229"/>
      <c r="AD45" s="229"/>
      <c r="AE45" s="229"/>
      <c r="AF45" s="229"/>
      <c r="AG45" s="229"/>
      <c r="AH45" s="229"/>
      <c r="AI45" s="229"/>
      <c r="AJ45" s="229"/>
      <c r="AK45" s="229"/>
      <c r="AL45" s="229"/>
      <c r="AM45" s="229"/>
      <c r="AN45" s="229"/>
      <c r="AO45" s="229"/>
      <c r="AP45" s="230"/>
      <c r="AQ45" s="228"/>
      <c r="AR45" s="229"/>
      <c r="AS45" s="229"/>
      <c r="AT45" s="229"/>
      <c r="AU45" s="230"/>
      <c r="BK45" s="212"/>
    </row>
    <row r="46" spans="1:63" ht="15" customHeight="1" x14ac:dyDescent="0.25">
      <c r="A46" s="211"/>
      <c r="Q46" s="183"/>
      <c r="R46" s="181"/>
      <c r="S46" s="181"/>
      <c r="T46" s="181"/>
      <c r="U46" s="181"/>
      <c r="V46" s="181"/>
      <c r="W46" s="181"/>
      <c r="X46" s="181"/>
      <c r="Y46" s="181"/>
      <c r="Z46" s="182"/>
      <c r="AA46" s="183"/>
      <c r="AB46" s="181"/>
      <c r="AC46" s="181"/>
      <c r="AD46" s="181"/>
      <c r="AE46" s="181"/>
      <c r="AF46" s="181"/>
      <c r="AG46" s="181"/>
      <c r="AH46" s="181"/>
      <c r="AI46" s="181"/>
      <c r="AJ46" s="181"/>
      <c r="AK46" s="181"/>
      <c r="AL46" s="181"/>
      <c r="AM46" s="181"/>
      <c r="AN46" s="181"/>
      <c r="AO46" s="181"/>
      <c r="AP46" s="182"/>
      <c r="AQ46" s="183"/>
      <c r="AR46" s="181"/>
      <c r="AS46" s="181"/>
      <c r="AT46" s="181"/>
      <c r="AU46" s="182"/>
      <c r="BK46" s="212"/>
    </row>
    <row r="47" spans="1:63" ht="15" customHeight="1" x14ac:dyDescent="0.25">
      <c r="A47" s="211"/>
      <c r="Q47" s="231"/>
      <c r="R47" s="232"/>
      <c r="S47" s="232"/>
      <c r="T47" s="232"/>
      <c r="U47" s="232"/>
      <c r="V47" s="232"/>
      <c r="W47" s="232"/>
      <c r="X47" s="232"/>
      <c r="Y47" s="232"/>
      <c r="Z47" s="233"/>
      <c r="AA47" s="231"/>
      <c r="AB47" s="232"/>
      <c r="AC47" s="232"/>
      <c r="AD47" s="232"/>
      <c r="AE47" s="232"/>
      <c r="AF47" s="232"/>
      <c r="AG47" s="232"/>
      <c r="AH47" s="232"/>
      <c r="AI47" s="232"/>
      <c r="AJ47" s="232"/>
      <c r="AK47" s="232"/>
      <c r="AL47" s="232"/>
      <c r="AM47" s="232"/>
      <c r="AN47" s="232"/>
      <c r="AO47" s="232"/>
      <c r="AP47" s="233"/>
      <c r="AQ47" s="231"/>
      <c r="AR47" s="232"/>
      <c r="AS47" s="232"/>
      <c r="AT47" s="232"/>
      <c r="AU47" s="233"/>
      <c r="BK47" s="212"/>
    </row>
    <row r="48" spans="1:63" ht="15" customHeight="1" x14ac:dyDescent="0.25">
      <c r="A48" s="211"/>
      <c r="Q48" s="231"/>
      <c r="R48" s="232"/>
      <c r="S48" s="232"/>
      <c r="T48" s="232"/>
      <c r="U48" s="232"/>
      <c r="V48" s="232"/>
      <c r="W48" s="232"/>
      <c r="X48" s="232"/>
      <c r="Y48" s="232"/>
      <c r="Z48" s="233"/>
      <c r="AA48" s="231"/>
      <c r="AB48" s="232"/>
      <c r="AC48" s="232"/>
      <c r="AD48" s="232"/>
      <c r="AE48" s="232"/>
      <c r="AF48" s="232"/>
      <c r="AG48" s="232"/>
      <c r="AH48" s="232"/>
      <c r="AI48" s="232"/>
      <c r="AJ48" s="232"/>
      <c r="AK48" s="232"/>
      <c r="AL48" s="232"/>
      <c r="AM48" s="232"/>
      <c r="AN48" s="232"/>
      <c r="AO48" s="232"/>
      <c r="AP48" s="233"/>
      <c r="AQ48" s="231"/>
      <c r="AR48" s="232"/>
      <c r="AS48" s="232"/>
      <c r="AT48" s="232"/>
      <c r="AU48" s="233"/>
      <c r="BK48" s="212"/>
    </row>
    <row r="49" spans="1:63" ht="15" customHeight="1" x14ac:dyDescent="0.25">
      <c r="A49" s="211"/>
      <c r="Q49" s="193"/>
      <c r="R49" s="194"/>
      <c r="S49" s="194"/>
      <c r="T49" s="194"/>
      <c r="U49" s="194"/>
      <c r="V49" s="194"/>
      <c r="W49" s="194"/>
      <c r="X49" s="194"/>
      <c r="Y49" s="194"/>
      <c r="Z49" s="195"/>
      <c r="AA49" s="193"/>
      <c r="AB49" s="194"/>
      <c r="AC49" s="194"/>
      <c r="AD49" s="194"/>
      <c r="AE49" s="194"/>
      <c r="AF49" s="194"/>
      <c r="AG49" s="194"/>
      <c r="AH49" s="194"/>
      <c r="AI49" s="194"/>
      <c r="AJ49" s="194"/>
      <c r="AK49" s="194"/>
      <c r="AL49" s="194"/>
      <c r="AM49" s="194"/>
      <c r="AN49" s="194"/>
      <c r="AO49" s="194"/>
      <c r="AP49" s="195"/>
      <c r="AQ49" s="193"/>
      <c r="AR49" s="194"/>
      <c r="AS49" s="194"/>
      <c r="AT49" s="194"/>
      <c r="AU49" s="195"/>
      <c r="BK49" s="212"/>
    </row>
    <row r="50" spans="1:63" ht="15" customHeight="1" x14ac:dyDescent="0.25">
      <c r="A50" s="211"/>
      <c r="BK50" s="212"/>
    </row>
    <row r="51" spans="1:63" ht="15" customHeight="1" x14ac:dyDescent="0.25">
      <c r="A51" s="211"/>
      <c r="BK51" s="212"/>
    </row>
    <row r="52" spans="1:63" ht="15" customHeight="1" x14ac:dyDescent="0.25">
      <c r="A52" s="211"/>
      <c r="BK52" s="212"/>
    </row>
    <row r="53" spans="1:63" ht="15" customHeight="1" x14ac:dyDescent="0.25">
      <c r="A53" s="211"/>
      <c r="BK53" s="212"/>
    </row>
    <row r="54" spans="1:63" ht="15" customHeight="1" x14ac:dyDescent="0.25">
      <c r="A54" s="211"/>
      <c r="BK54" s="212"/>
    </row>
    <row r="55" spans="1:63" ht="15" customHeight="1" x14ac:dyDescent="0.25">
      <c r="A55" s="208"/>
      <c r="B55" s="209"/>
      <c r="C55" s="209"/>
      <c r="D55" s="209"/>
      <c r="E55" s="209"/>
      <c r="F55" s="209"/>
      <c r="G55" s="209"/>
      <c r="H55" s="209"/>
      <c r="I55" s="209"/>
      <c r="J55" s="209"/>
      <c r="K55" s="209"/>
      <c r="L55" s="209"/>
      <c r="M55" s="209"/>
      <c r="N55" s="209"/>
      <c r="O55" s="209"/>
      <c r="P55" s="209"/>
      <c r="Q55" s="209"/>
      <c r="R55" s="209"/>
      <c r="S55" s="209"/>
      <c r="T55" s="209"/>
      <c r="U55" s="209"/>
      <c r="V55" s="209"/>
      <c r="W55" s="209"/>
      <c r="X55" s="209"/>
      <c r="Y55" s="209"/>
      <c r="Z55" s="209"/>
      <c r="AA55" s="209"/>
      <c r="AB55" s="209"/>
      <c r="AC55" s="209"/>
      <c r="AD55" s="209"/>
      <c r="AE55" s="209"/>
      <c r="AF55" s="209"/>
      <c r="AG55" s="209"/>
      <c r="AH55" s="209"/>
      <c r="AI55" s="209"/>
      <c r="AJ55" s="209"/>
      <c r="AK55" s="209"/>
      <c r="AL55" s="209"/>
      <c r="AM55" s="209"/>
      <c r="AN55" s="209"/>
      <c r="AO55" s="209"/>
      <c r="AP55" s="209"/>
      <c r="AQ55" s="209"/>
      <c r="AR55" s="209"/>
      <c r="AS55" s="209"/>
      <c r="AT55" s="209"/>
      <c r="AU55" s="209"/>
      <c r="AV55" s="209"/>
      <c r="AW55" s="209"/>
      <c r="AX55" s="209"/>
      <c r="AY55" s="209"/>
      <c r="AZ55" s="209"/>
      <c r="BA55" s="209"/>
      <c r="BB55" s="209"/>
      <c r="BC55" s="209"/>
      <c r="BD55" s="209"/>
      <c r="BE55" s="209"/>
      <c r="BF55" s="209"/>
      <c r="BG55" s="209"/>
      <c r="BH55" s="209"/>
      <c r="BI55" s="209"/>
      <c r="BJ55" s="209"/>
      <c r="BK55" s="210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80" customWidth="1"/>
    <col min="61" max="16384" width="2.77734375" style="180"/>
  </cols>
  <sheetData>
    <row r="1" spans="1:63" ht="24.95" customHeight="1" x14ac:dyDescent="0.25">
      <c r="A1" s="174" t="s">
        <v>125</v>
      </c>
      <c r="B1" s="175"/>
      <c r="C1" s="175"/>
      <c r="D1" s="175"/>
      <c r="E1" s="175"/>
      <c r="F1" s="175"/>
      <c r="G1" s="175"/>
      <c r="H1" s="175"/>
      <c r="I1" s="175"/>
      <c r="J1" s="176"/>
      <c r="K1" s="174" t="s">
        <v>126</v>
      </c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6"/>
      <c r="W1" s="177" t="str">
        <f>IF(表紙!W1="","",表紙!W1)</f>
        <v>基本設計書</v>
      </c>
      <c r="X1" s="178"/>
      <c r="Y1" s="178"/>
      <c r="Z1" s="178"/>
      <c r="AA1" s="178"/>
      <c r="AB1" s="178"/>
      <c r="AC1" s="178"/>
      <c r="AD1" s="178"/>
      <c r="AE1" s="178"/>
      <c r="AF1" s="178"/>
      <c r="AG1" s="178"/>
      <c r="AH1" s="178"/>
      <c r="AI1" s="178"/>
      <c r="AJ1" s="178"/>
      <c r="AK1" s="178"/>
      <c r="AL1" s="178"/>
      <c r="AM1" s="178"/>
      <c r="AN1" s="178"/>
      <c r="AO1" s="179"/>
      <c r="AP1" s="174" t="s">
        <v>128</v>
      </c>
      <c r="AQ1" s="175"/>
      <c r="AR1" s="175"/>
      <c r="AS1" s="176"/>
      <c r="AT1" s="174" t="s">
        <v>129</v>
      </c>
      <c r="AU1" s="175"/>
      <c r="AV1" s="175"/>
      <c r="AW1" s="175"/>
      <c r="AX1" s="176"/>
      <c r="AY1" s="174" t="s">
        <v>130</v>
      </c>
      <c r="AZ1" s="175"/>
      <c r="BA1" s="175"/>
      <c r="BB1" s="176"/>
      <c r="BC1" s="174" t="s">
        <v>131</v>
      </c>
      <c r="BD1" s="175"/>
      <c r="BE1" s="175"/>
      <c r="BF1" s="175"/>
      <c r="BG1" s="176"/>
      <c r="BH1" s="174" t="s">
        <v>132</v>
      </c>
      <c r="BI1" s="175"/>
      <c r="BJ1" s="175"/>
      <c r="BK1" s="176"/>
    </row>
    <row r="2" spans="1:63" ht="15" customHeight="1" x14ac:dyDescent="0.25">
      <c r="A2" s="183" t="str">
        <f>IF(表紙!A2="","",表紙!A2)</f>
        <v>POSサーバー</v>
      </c>
      <c r="B2" s="181"/>
      <c r="C2" s="181"/>
      <c r="D2" s="181"/>
      <c r="E2" s="181"/>
      <c r="F2" s="181"/>
      <c r="G2" s="181"/>
      <c r="H2" s="181"/>
      <c r="I2" s="181"/>
      <c r="J2" s="182"/>
      <c r="K2" s="183" t="str">
        <f>IF(表紙!K2="","",表紙!K2)</f>
        <v>POSサーバー</v>
      </c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2"/>
      <c r="W2" s="184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185"/>
      <c r="AM2" s="185"/>
      <c r="AN2" s="185"/>
      <c r="AO2" s="186"/>
      <c r="AP2" s="183" t="str">
        <f>IF(表紙!AP2="","",表紙!AP2)</f>
        <v>TinNH</v>
      </c>
      <c r="AQ2" s="181"/>
      <c r="AR2" s="181"/>
      <c r="AS2" s="182"/>
      <c r="AT2" s="187">
        <f>IF(表紙!AT2="","",表紙!AT2)</f>
        <v>45441</v>
      </c>
      <c r="AU2" s="188"/>
      <c r="AV2" s="188"/>
      <c r="AW2" s="188"/>
      <c r="AX2" s="189"/>
      <c r="AY2" s="183" t="str">
        <f>IF(表紙!AY2="","",表紙!AY2)</f>
        <v>TinNH</v>
      </c>
      <c r="AZ2" s="181"/>
      <c r="BA2" s="181"/>
      <c r="BB2" s="182"/>
      <c r="BC2" s="187">
        <f>IF(表紙!BC2="","",表紙!BC2)</f>
        <v>45443</v>
      </c>
      <c r="BD2" s="188"/>
      <c r="BE2" s="188"/>
      <c r="BF2" s="188"/>
      <c r="BG2" s="189"/>
      <c r="BH2" s="183">
        <f>IF(表紙!BH2="","",表紙!BH2)</f>
        <v>0.2</v>
      </c>
      <c r="BI2" s="181"/>
      <c r="BJ2" s="181"/>
      <c r="BK2" s="182"/>
    </row>
    <row r="3" spans="1:63" ht="15" customHeight="1" x14ac:dyDescent="0.25">
      <c r="A3" s="193"/>
      <c r="B3" s="194"/>
      <c r="C3" s="194"/>
      <c r="D3" s="194"/>
      <c r="E3" s="194"/>
      <c r="F3" s="194"/>
      <c r="G3" s="194"/>
      <c r="H3" s="194"/>
      <c r="I3" s="194"/>
      <c r="J3" s="195"/>
      <c r="K3" s="193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5"/>
      <c r="W3" s="196"/>
      <c r="X3" s="197"/>
      <c r="Y3" s="197"/>
      <c r="Z3" s="197"/>
      <c r="AA3" s="197"/>
      <c r="AB3" s="197"/>
      <c r="AC3" s="197"/>
      <c r="AD3" s="197"/>
      <c r="AE3" s="197"/>
      <c r="AF3" s="197"/>
      <c r="AG3" s="197"/>
      <c r="AH3" s="197"/>
      <c r="AI3" s="197"/>
      <c r="AJ3" s="197"/>
      <c r="AK3" s="197"/>
      <c r="AL3" s="197"/>
      <c r="AM3" s="197"/>
      <c r="AN3" s="197"/>
      <c r="AO3" s="198"/>
      <c r="AP3" s="193"/>
      <c r="AQ3" s="194"/>
      <c r="AR3" s="194"/>
      <c r="AS3" s="195"/>
      <c r="AT3" s="199"/>
      <c r="AU3" s="200"/>
      <c r="AV3" s="200"/>
      <c r="AW3" s="200"/>
      <c r="AX3" s="201"/>
      <c r="AY3" s="193"/>
      <c r="AZ3" s="194"/>
      <c r="BA3" s="194"/>
      <c r="BB3" s="195"/>
      <c r="BC3" s="199"/>
      <c r="BD3" s="200"/>
      <c r="BE3" s="200"/>
      <c r="BF3" s="200"/>
      <c r="BG3" s="201"/>
      <c r="BH3" s="193"/>
      <c r="BI3" s="194"/>
      <c r="BJ3" s="194"/>
      <c r="BK3" s="195"/>
    </row>
    <row r="4" spans="1:63" ht="24.95" customHeight="1" x14ac:dyDescent="0.25">
      <c r="A4" s="174" t="s">
        <v>134</v>
      </c>
      <c r="B4" s="175"/>
      <c r="C4" s="175"/>
      <c r="D4" s="175"/>
      <c r="E4" s="175"/>
      <c r="F4" s="175"/>
      <c r="G4" s="176"/>
      <c r="H4" s="205" t="str">
        <f>IF(表紙!H4="","",表紙!H4)</f>
        <v>71_ノードマスタ設定</v>
      </c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7"/>
      <c r="U4" s="174" t="s">
        <v>135</v>
      </c>
      <c r="V4" s="175"/>
      <c r="W4" s="175"/>
      <c r="X4" s="175"/>
      <c r="Y4" s="176"/>
      <c r="Z4" s="205" t="str">
        <f>IF(表紙!Z4="","",表紙!Z4)</f>
        <v>概要設計書</v>
      </c>
      <c r="AA4" s="206"/>
      <c r="AB4" s="206"/>
      <c r="AC4" s="206"/>
      <c r="AD4" s="206"/>
      <c r="AE4" s="206"/>
      <c r="AF4" s="206"/>
      <c r="AG4" s="206"/>
      <c r="AH4" s="206"/>
      <c r="AI4" s="206"/>
      <c r="AJ4" s="206"/>
      <c r="AK4" s="206"/>
      <c r="AL4" s="206"/>
      <c r="AM4" s="206"/>
      <c r="AN4" s="206"/>
      <c r="AO4" s="207"/>
      <c r="AP4" s="205" t="str">
        <f t="array" aca="1" ref="AP4" ca="1">RIGHT(CELL("filename",$A$1),LEN(CELL("filename",$A$1))-FIND("]",CELL("filename",$A$1)))</f>
        <v>改訂履歴</v>
      </c>
      <c r="AQ4" s="206"/>
      <c r="AR4" s="206"/>
      <c r="AS4" s="206"/>
      <c r="AT4" s="206"/>
      <c r="AU4" s="206"/>
      <c r="AV4" s="206"/>
      <c r="AW4" s="206"/>
      <c r="AX4" s="206"/>
      <c r="AY4" s="206"/>
      <c r="AZ4" s="206"/>
      <c r="BA4" s="206"/>
      <c r="BB4" s="206"/>
      <c r="BC4" s="206"/>
      <c r="BD4" s="206"/>
      <c r="BE4" s="206"/>
      <c r="BF4" s="206"/>
      <c r="BG4" s="206"/>
      <c r="BH4" s="206"/>
      <c r="BI4" s="206"/>
      <c r="BJ4" s="206"/>
      <c r="BK4" s="207"/>
    </row>
    <row r="5" spans="1:63" ht="5.0999999999999996" customHeight="1" x14ac:dyDescent="0.25">
      <c r="A5" s="208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  <c r="Z5" s="209"/>
      <c r="AA5" s="209"/>
      <c r="AB5" s="209"/>
      <c r="AC5" s="209"/>
      <c r="AD5" s="209"/>
      <c r="AE5" s="209"/>
      <c r="AF5" s="209"/>
      <c r="AG5" s="209"/>
      <c r="AH5" s="209"/>
      <c r="AI5" s="209"/>
      <c r="AJ5" s="209"/>
      <c r="AK5" s="209"/>
      <c r="AL5" s="209"/>
      <c r="AM5" s="209"/>
      <c r="AN5" s="209"/>
      <c r="AO5" s="209"/>
      <c r="AP5" s="209"/>
      <c r="AQ5" s="209"/>
      <c r="AR5" s="209"/>
      <c r="AS5" s="209"/>
      <c r="AT5" s="209"/>
      <c r="AU5" s="209"/>
      <c r="AV5" s="209"/>
      <c r="AW5" s="209"/>
      <c r="AX5" s="209"/>
      <c r="AY5" s="209"/>
      <c r="AZ5" s="209"/>
      <c r="BA5" s="209"/>
      <c r="BB5" s="209"/>
      <c r="BC5" s="209"/>
      <c r="BD5" s="209"/>
      <c r="BE5" s="209"/>
      <c r="BF5" s="209"/>
      <c r="BG5" s="209"/>
      <c r="BH5" s="209"/>
      <c r="BI5" s="209"/>
      <c r="BJ5" s="209"/>
      <c r="BK5" s="210"/>
    </row>
    <row r="6" spans="1:63" ht="15" customHeight="1" x14ac:dyDescent="0.25">
      <c r="A6" s="211"/>
      <c r="BK6" s="212"/>
    </row>
    <row r="7" spans="1:63" ht="15" customHeight="1" x14ac:dyDescent="0.25">
      <c r="A7" s="211"/>
      <c r="BK7" s="212"/>
    </row>
    <row r="8" spans="1:63" ht="15" customHeight="1" x14ac:dyDescent="0.25">
      <c r="A8" s="211"/>
      <c r="B8" s="180" t="s">
        <v>9</v>
      </c>
      <c r="BK8" s="212"/>
    </row>
    <row r="9" spans="1:63" ht="15" customHeight="1" x14ac:dyDescent="0.25">
      <c r="A9" s="211"/>
      <c r="BK9" s="212"/>
    </row>
    <row r="10" spans="1:63" ht="15" customHeight="1" x14ac:dyDescent="0.25">
      <c r="A10" s="211"/>
      <c r="B10" s="234" t="s">
        <v>131</v>
      </c>
      <c r="C10" s="234"/>
      <c r="D10" s="234"/>
      <c r="E10" s="234"/>
      <c r="F10" s="234"/>
      <c r="G10" s="234"/>
      <c r="H10" s="234" t="s">
        <v>130</v>
      </c>
      <c r="I10" s="234"/>
      <c r="J10" s="234"/>
      <c r="K10" s="234"/>
      <c r="L10" s="234"/>
      <c r="M10" s="234"/>
      <c r="N10" s="234"/>
      <c r="O10" s="234" t="s">
        <v>132</v>
      </c>
      <c r="P10" s="234"/>
      <c r="Q10" s="234"/>
      <c r="R10" s="234"/>
      <c r="S10" s="234" t="s">
        <v>139</v>
      </c>
      <c r="T10" s="234"/>
      <c r="U10" s="234"/>
      <c r="V10" s="234"/>
      <c r="W10" s="234"/>
      <c r="X10" s="234"/>
      <c r="Y10" s="234"/>
      <c r="Z10" s="234"/>
      <c r="AA10" s="234"/>
      <c r="AB10" s="234"/>
      <c r="AC10" s="234"/>
      <c r="AD10" s="234"/>
      <c r="AE10" s="234"/>
      <c r="AF10" s="234"/>
      <c r="AG10" s="234"/>
      <c r="AH10" s="234"/>
      <c r="AI10" s="234"/>
      <c r="AJ10" s="234"/>
      <c r="AK10" s="234"/>
      <c r="AL10" s="234"/>
      <c r="AM10" s="234"/>
      <c r="AN10" s="234"/>
      <c r="AO10" s="234"/>
      <c r="AP10" s="234"/>
      <c r="AQ10" s="234"/>
      <c r="AR10" s="234"/>
      <c r="AS10" s="234"/>
      <c r="AT10" s="234"/>
      <c r="AU10" s="234"/>
      <c r="AV10" s="234"/>
      <c r="AW10" s="234"/>
      <c r="AX10" s="234" t="s">
        <v>137</v>
      </c>
      <c r="AY10" s="234"/>
      <c r="AZ10" s="234"/>
      <c r="BA10" s="234"/>
      <c r="BB10" s="234"/>
      <c r="BC10" s="234"/>
      <c r="BD10" s="234" t="s">
        <v>138</v>
      </c>
      <c r="BE10" s="234"/>
      <c r="BF10" s="234"/>
      <c r="BG10" s="234"/>
      <c r="BH10" s="234"/>
      <c r="BI10" s="234"/>
      <c r="BJ10" s="234"/>
      <c r="BK10" s="212"/>
    </row>
    <row r="11" spans="1:63" ht="15" customHeight="1" x14ac:dyDescent="0.25">
      <c r="A11" s="211"/>
      <c r="B11" s="187">
        <v>45441</v>
      </c>
      <c r="C11" s="181"/>
      <c r="D11" s="181"/>
      <c r="E11" s="181"/>
      <c r="F11" s="181"/>
      <c r="G11" s="182"/>
      <c r="H11" s="37" t="s">
        <v>140</v>
      </c>
      <c r="I11" s="181"/>
      <c r="J11" s="181"/>
      <c r="K11" s="181"/>
      <c r="L11" s="181"/>
      <c r="M11" s="181"/>
      <c r="N11" s="182"/>
      <c r="O11" s="183">
        <v>0.1</v>
      </c>
      <c r="P11" s="181"/>
      <c r="Q11" s="181"/>
      <c r="R11" s="181"/>
      <c r="S11" s="235" t="s">
        <v>15</v>
      </c>
      <c r="T11" s="236"/>
      <c r="U11" s="236"/>
      <c r="V11" s="236"/>
      <c r="W11" s="236"/>
      <c r="X11" s="236"/>
      <c r="Y11" s="236"/>
      <c r="Z11" s="236"/>
      <c r="AA11" s="236"/>
      <c r="AB11" s="236"/>
      <c r="AC11" s="236"/>
      <c r="AD11" s="236"/>
      <c r="AE11" s="236"/>
      <c r="AF11" s="236"/>
      <c r="AG11" s="236"/>
      <c r="AH11" s="236"/>
      <c r="AI11" s="236"/>
      <c r="AJ11" s="236"/>
      <c r="AK11" s="236"/>
      <c r="AL11" s="236"/>
      <c r="AM11" s="236"/>
      <c r="AN11" s="236"/>
      <c r="AO11" s="236"/>
      <c r="AP11" s="236"/>
      <c r="AQ11" s="236"/>
      <c r="AR11" s="236"/>
      <c r="AS11" s="236"/>
      <c r="AT11" s="236"/>
      <c r="AU11" s="236"/>
      <c r="AV11" s="236"/>
      <c r="AW11" s="237"/>
      <c r="AX11" s="238"/>
      <c r="AY11" s="238"/>
      <c r="AZ11" s="238"/>
      <c r="BA11" s="238"/>
      <c r="BB11" s="238"/>
      <c r="BC11" s="239"/>
      <c r="BD11" s="240"/>
      <c r="BE11" s="238"/>
      <c r="BF11" s="238"/>
      <c r="BG11" s="238"/>
      <c r="BH11" s="238"/>
      <c r="BI11" s="238"/>
      <c r="BJ11" s="239"/>
      <c r="BK11" s="212"/>
    </row>
    <row r="12" spans="1:63" ht="15" customHeight="1" x14ac:dyDescent="0.25">
      <c r="A12" s="211"/>
      <c r="B12" s="193"/>
      <c r="C12" s="194"/>
      <c r="D12" s="194"/>
      <c r="E12" s="194"/>
      <c r="F12" s="194"/>
      <c r="G12" s="195"/>
      <c r="H12" s="193"/>
      <c r="I12" s="194"/>
      <c r="J12" s="194"/>
      <c r="K12" s="194"/>
      <c r="L12" s="194"/>
      <c r="M12" s="194"/>
      <c r="N12" s="195"/>
      <c r="O12" s="193"/>
      <c r="P12" s="194"/>
      <c r="Q12" s="194"/>
      <c r="R12" s="194"/>
      <c r="S12" s="241"/>
      <c r="T12" s="242"/>
      <c r="U12" s="242"/>
      <c r="V12" s="242"/>
      <c r="W12" s="242"/>
      <c r="X12" s="242"/>
      <c r="Y12" s="242"/>
      <c r="Z12" s="242"/>
      <c r="AA12" s="242"/>
      <c r="AB12" s="242"/>
      <c r="AC12" s="242"/>
      <c r="AD12" s="242"/>
      <c r="AE12" s="242"/>
      <c r="AF12" s="242"/>
      <c r="AG12" s="242"/>
      <c r="AH12" s="242"/>
      <c r="AI12" s="242"/>
      <c r="AJ12" s="242"/>
      <c r="AK12" s="242"/>
      <c r="AL12" s="242"/>
      <c r="AM12" s="242"/>
      <c r="AN12" s="242"/>
      <c r="AO12" s="242"/>
      <c r="AP12" s="242"/>
      <c r="AQ12" s="242"/>
      <c r="AR12" s="242"/>
      <c r="AS12" s="242"/>
      <c r="AT12" s="242"/>
      <c r="AU12" s="242"/>
      <c r="AV12" s="242"/>
      <c r="AW12" s="243"/>
      <c r="AX12" s="244"/>
      <c r="AY12" s="244"/>
      <c r="AZ12" s="244"/>
      <c r="BA12" s="244"/>
      <c r="BB12" s="244"/>
      <c r="BC12" s="245"/>
      <c r="BD12" s="246"/>
      <c r="BE12" s="244"/>
      <c r="BF12" s="244"/>
      <c r="BG12" s="244"/>
      <c r="BH12" s="244"/>
      <c r="BI12" s="244"/>
      <c r="BJ12" s="245"/>
      <c r="BK12" s="212"/>
    </row>
    <row r="13" spans="1:63" ht="15" customHeight="1" x14ac:dyDescent="0.25">
      <c r="A13" s="211"/>
      <c r="B13" s="50">
        <v>45443</v>
      </c>
      <c r="C13" s="51"/>
      <c r="D13" s="51"/>
      <c r="E13" s="51"/>
      <c r="F13" s="51"/>
      <c r="G13" s="52"/>
      <c r="H13" s="56" t="s">
        <v>140</v>
      </c>
      <c r="I13" s="51"/>
      <c r="J13" s="51"/>
      <c r="K13" s="51"/>
      <c r="L13" s="51"/>
      <c r="M13" s="51"/>
      <c r="N13" s="52"/>
      <c r="O13" s="56">
        <v>0.2</v>
      </c>
      <c r="P13" s="51"/>
      <c r="Q13" s="51"/>
      <c r="R13" s="51"/>
      <c r="S13" s="57" t="s">
        <v>141</v>
      </c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9"/>
      <c r="AX13" s="238"/>
      <c r="AY13" s="238"/>
      <c r="AZ13" s="238"/>
      <c r="BA13" s="238"/>
      <c r="BB13" s="238"/>
      <c r="BC13" s="239"/>
      <c r="BD13" s="240"/>
      <c r="BE13" s="238"/>
      <c r="BF13" s="238"/>
      <c r="BG13" s="238"/>
      <c r="BH13" s="238"/>
      <c r="BI13" s="238"/>
      <c r="BJ13" s="239"/>
      <c r="BK13" s="212"/>
    </row>
    <row r="14" spans="1:63" ht="15" customHeight="1" x14ac:dyDescent="0.25">
      <c r="A14" s="211"/>
      <c r="B14" s="53"/>
      <c r="C14" s="54"/>
      <c r="D14" s="54"/>
      <c r="E14" s="54"/>
      <c r="F14" s="54"/>
      <c r="G14" s="55"/>
      <c r="H14" s="53"/>
      <c r="I14" s="54"/>
      <c r="J14" s="54"/>
      <c r="K14" s="54"/>
      <c r="L14" s="54"/>
      <c r="M14" s="54"/>
      <c r="N14" s="55"/>
      <c r="O14" s="53"/>
      <c r="P14" s="54"/>
      <c r="Q14" s="54"/>
      <c r="R14" s="54"/>
      <c r="S14" s="47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9"/>
      <c r="AX14" s="244"/>
      <c r="AY14" s="244"/>
      <c r="AZ14" s="244"/>
      <c r="BA14" s="244"/>
      <c r="BB14" s="244"/>
      <c r="BC14" s="245"/>
      <c r="BD14" s="246"/>
      <c r="BE14" s="244"/>
      <c r="BF14" s="244"/>
      <c r="BG14" s="244"/>
      <c r="BH14" s="244"/>
      <c r="BI14" s="244"/>
      <c r="BJ14" s="245"/>
      <c r="BK14" s="212"/>
    </row>
    <row r="15" spans="1:63" ht="15" customHeight="1" x14ac:dyDescent="0.25">
      <c r="A15" s="211"/>
      <c r="B15" s="183"/>
      <c r="C15" s="181"/>
      <c r="D15" s="181"/>
      <c r="E15" s="181"/>
      <c r="F15" s="181"/>
      <c r="G15" s="182"/>
      <c r="H15" s="183"/>
      <c r="I15" s="181"/>
      <c r="J15" s="181"/>
      <c r="K15" s="181"/>
      <c r="L15" s="181"/>
      <c r="M15" s="181"/>
      <c r="N15" s="182"/>
      <c r="O15" s="183"/>
      <c r="P15" s="181"/>
      <c r="Q15" s="181"/>
      <c r="R15" s="181"/>
      <c r="S15" s="235"/>
      <c r="T15" s="236"/>
      <c r="U15" s="236"/>
      <c r="V15" s="236"/>
      <c r="W15" s="236"/>
      <c r="X15" s="236"/>
      <c r="Y15" s="236"/>
      <c r="Z15" s="236"/>
      <c r="AA15" s="236"/>
      <c r="AB15" s="236"/>
      <c r="AC15" s="236"/>
      <c r="AD15" s="236"/>
      <c r="AE15" s="236"/>
      <c r="AF15" s="236"/>
      <c r="AG15" s="236"/>
      <c r="AH15" s="236"/>
      <c r="AI15" s="236"/>
      <c r="AJ15" s="236"/>
      <c r="AK15" s="236"/>
      <c r="AL15" s="236"/>
      <c r="AM15" s="236"/>
      <c r="AN15" s="236"/>
      <c r="AO15" s="236"/>
      <c r="AP15" s="236"/>
      <c r="AQ15" s="236"/>
      <c r="AR15" s="236"/>
      <c r="AS15" s="236"/>
      <c r="AT15" s="236"/>
      <c r="AU15" s="236"/>
      <c r="AV15" s="236"/>
      <c r="AW15" s="237"/>
      <c r="AX15" s="238"/>
      <c r="AY15" s="238"/>
      <c r="AZ15" s="238"/>
      <c r="BA15" s="238"/>
      <c r="BB15" s="238"/>
      <c r="BC15" s="239"/>
      <c r="BD15" s="240"/>
      <c r="BE15" s="238"/>
      <c r="BF15" s="238"/>
      <c r="BG15" s="238"/>
      <c r="BH15" s="238"/>
      <c r="BI15" s="238"/>
      <c r="BJ15" s="239"/>
      <c r="BK15" s="212"/>
    </row>
    <row r="16" spans="1:63" ht="15" customHeight="1" x14ac:dyDescent="0.25">
      <c r="A16" s="211"/>
      <c r="B16" s="193"/>
      <c r="C16" s="194"/>
      <c r="D16" s="194"/>
      <c r="E16" s="194"/>
      <c r="F16" s="194"/>
      <c r="G16" s="195"/>
      <c r="H16" s="193"/>
      <c r="I16" s="194"/>
      <c r="J16" s="194"/>
      <c r="K16" s="194"/>
      <c r="L16" s="194"/>
      <c r="M16" s="194"/>
      <c r="N16" s="195"/>
      <c r="O16" s="193"/>
      <c r="P16" s="194"/>
      <c r="Q16" s="194"/>
      <c r="R16" s="194"/>
      <c r="S16" s="241"/>
      <c r="T16" s="242"/>
      <c r="U16" s="242"/>
      <c r="V16" s="242"/>
      <c r="W16" s="242"/>
      <c r="X16" s="242"/>
      <c r="Y16" s="242"/>
      <c r="Z16" s="242"/>
      <c r="AA16" s="242"/>
      <c r="AB16" s="242"/>
      <c r="AC16" s="242"/>
      <c r="AD16" s="242"/>
      <c r="AE16" s="242"/>
      <c r="AF16" s="242"/>
      <c r="AG16" s="242"/>
      <c r="AH16" s="242"/>
      <c r="AI16" s="242"/>
      <c r="AJ16" s="242"/>
      <c r="AK16" s="242"/>
      <c r="AL16" s="242"/>
      <c r="AM16" s="242"/>
      <c r="AN16" s="242"/>
      <c r="AO16" s="242"/>
      <c r="AP16" s="242"/>
      <c r="AQ16" s="242"/>
      <c r="AR16" s="242"/>
      <c r="AS16" s="242"/>
      <c r="AT16" s="242"/>
      <c r="AU16" s="242"/>
      <c r="AV16" s="242"/>
      <c r="AW16" s="243"/>
      <c r="AX16" s="244"/>
      <c r="AY16" s="244"/>
      <c r="AZ16" s="244"/>
      <c r="BA16" s="244"/>
      <c r="BB16" s="244"/>
      <c r="BC16" s="245"/>
      <c r="BD16" s="246"/>
      <c r="BE16" s="244"/>
      <c r="BF16" s="244"/>
      <c r="BG16" s="244"/>
      <c r="BH16" s="244"/>
      <c r="BI16" s="244"/>
      <c r="BJ16" s="245"/>
      <c r="BK16" s="212"/>
    </row>
    <row r="17" spans="1:63" ht="15" customHeight="1" x14ac:dyDescent="0.25">
      <c r="A17" s="211"/>
      <c r="B17" s="183"/>
      <c r="C17" s="181"/>
      <c r="D17" s="181"/>
      <c r="E17" s="181"/>
      <c r="F17" s="181"/>
      <c r="G17" s="182"/>
      <c r="H17" s="183"/>
      <c r="I17" s="181"/>
      <c r="J17" s="181"/>
      <c r="K17" s="181"/>
      <c r="L17" s="181"/>
      <c r="M17" s="181"/>
      <c r="N17" s="182"/>
      <c r="O17" s="183"/>
      <c r="P17" s="181"/>
      <c r="Q17" s="181"/>
      <c r="R17" s="181"/>
      <c r="S17" s="235"/>
      <c r="T17" s="236"/>
      <c r="U17" s="236"/>
      <c r="V17" s="236"/>
      <c r="W17" s="236"/>
      <c r="X17" s="236"/>
      <c r="Y17" s="236"/>
      <c r="Z17" s="236"/>
      <c r="AA17" s="236"/>
      <c r="AB17" s="236"/>
      <c r="AC17" s="236"/>
      <c r="AD17" s="236"/>
      <c r="AE17" s="236"/>
      <c r="AF17" s="236"/>
      <c r="AG17" s="236"/>
      <c r="AH17" s="236"/>
      <c r="AI17" s="236"/>
      <c r="AJ17" s="236"/>
      <c r="AK17" s="236"/>
      <c r="AL17" s="236"/>
      <c r="AM17" s="236"/>
      <c r="AN17" s="236"/>
      <c r="AO17" s="236"/>
      <c r="AP17" s="236"/>
      <c r="AQ17" s="236"/>
      <c r="AR17" s="236"/>
      <c r="AS17" s="236"/>
      <c r="AT17" s="236"/>
      <c r="AU17" s="236"/>
      <c r="AV17" s="236"/>
      <c r="AW17" s="237"/>
      <c r="AX17" s="238"/>
      <c r="AY17" s="238"/>
      <c r="AZ17" s="238"/>
      <c r="BA17" s="238"/>
      <c r="BB17" s="238"/>
      <c r="BC17" s="239"/>
      <c r="BD17" s="240"/>
      <c r="BE17" s="238"/>
      <c r="BF17" s="238"/>
      <c r="BG17" s="238"/>
      <c r="BH17" s="238"/>
      <c r="BI17" s="238"/>
      <c r="BJ17" s="239"/>
      <c r="BK17" s="212"/>
    </row>
    <row r="18" spans="1:63" ht="15" customHeight="1" x14ac:dyDescent="0.25">
      <c r="A18" s="211"/>
      <c r="B18" s="193"/>
      <c r="C18" s="194"/>
      <c r="D18" s="194"/>
      <c r="E18" s="194"/>
      <c r="F18" s="194"/>
      <c r="G18" s="195"/>
      <c r="H18" s="193"/>
      <c r="I18" s="194"/>
      <c r="J18" s="194"/>
      <c r="K18" s="194"/>
      <c r="L18" s="194"/>
      <c r="M18" s="194"/>
      <c r="N18" s="195"/>
      <c r="O18" s="193"/>
      <c r="P18" s="194"/>
      <c r="Q18" s="194"/>
      <c r="R18" s="194"/>
      <c r="S18" s="241"/>
      <c r="T18" s="242"/>
      <c r="U18" s="242"/>
      <c r="V18" s="242"/>
      <c r="W18" s="242"/>
      <c r="X18" s="242"/>
      <c r="Y18" s="242"/>
      <c r="Z18" s="242"/>
      <c r="AA18" s="242"/>
      <c r="AB18" s="242"/>
      <c r="AC18" s="242"/>
      <c r="AD18" s="242"/>
      <c r="AE18" s="242"/>
      <c r="AF18" s="242"/>
      <c r="AG18" s="242"/>
      <c r="AH18" s="242"/>
      <c r="AI18" s="242"/>
      <c r="AJ18" s="242"/>
      <c r="AK18" s="242"/>
      <c r="AL18" s="242"/>
      <c r="AM18" s="242"/>
      <c r="AN18" s="242"/>
      <c r="AO18" s="242"/>
      <c r="AP18" s="242"/>
      <c r="AQ18" s="242"/>
      <c r="AR18" s="242"/>
      <c r="AS18" s="242"/>
      <c r="AT18" s="242"/>
      <c r="AU18" s="242"/>
      <c r="AV18" s="242"/>
      <c r="AW18" s="243"/>
      <c r="AX18" s="244"/>
      <c r="AY18" s="244"/>
      <c r="AZ18" s="244"/>
      <c r="BA18" s="244"/>
      <c r="BB18" s="244"/>
      <c r="BC18" s="245"/>
      <c r="BD18" s="246"/>
      <c r="BE18" s="244"/>
      <c r="BF18" s="244"/>
      <c r="BG18" s="244"/>
      <c r="BH18" s="244"/>
      <c r="BI18" s="244"/>
      <c r="BJ18" s="245"/>
      <c r="BK18" s="212"/>
    </row>
    <row r="19" spans="1:63" ht="15" customHeight="1" x14ac:dyDescent="0.25">
      <c r="A19" s="211"/>
      <c r="B19" s="183"/>
      <c r="C19" s="181"/>
      <c r="D19" s="181"/>
      <c r="E19" s="181"/>
      <c r="F19" s="181"/>
      <c r="G19" s="182"/>
      <c r="H19" s="183"/>
      <c r="I19" s="181"/>
      <c r="J19" s="181"/>
      <c r="K19" s="181"/>
      <c r="L19" s="181"/>
      <c r="M19" s="181"/>
      <c r="N19" s="182"/>
      <c r="O19" s="183"/>
      <c r="P19" s="181"/>
      <c r="Q19" s="181"/>
      <c r="R19" s="181"/>
      <c r="S19" s="235"/>
      <c r="T19" s="236"/>
      <c r="U19" s="236"/>
      <c r="V19" s="236"/>
      <c r="W19" s="236"/>
      <c r="X19" s="236"/>
      <c r="Y19" s="236"/>
      <c r="Z19" s="236"/>
      <c r="AA19" s="236"/>
      <c r="AB19" s="236"/>
      <c r="AC19" s="236"/>
      <c r="AD19" s="236"/>
      <c r="AE19" s="236"/>
      <c r="AF19" s="236"/>
      <c r="AG19" s="236"/>
      <c r="AH19" s="236"/>
      <c r="AI19" s="236"/>
      <c r="AJ19" s="236"/>
      <c r="AK19" s="236"/>
      <c r="AL19" s="236"/>
      <c r="AM19" s="236"/>
      <c r="AN19" s="236"/>
      <c r="AO19" s="236"/>
      <c r="AP19" s="236"/>
      <c r="AQ19" s="236"/>
      <c r="AR19" s="236"/>
      <c r="AS19" s="236"/>
      <c r="AT19" s="236"/>
      <c r="AU19" s="236"/>
      <c r="AV19" s="236"/>
      <c r="AW19" s="237"/>
      <c r="AX19" s="238"/>
      <c r="AY19" s="238"/>
      <c r="AZ19" s="238"/>
      <c r="BA19" s="238"/>
      <c r="BB19" s="238"/>
      <c r="BC19" s="239"/>
      <c r="BD19" s="240"/>
      <c r="BE19" s="238"/>
      <c r="BF19" s="238"/>
      <c r="BG19" s="238"/>
      <c r="BH19" s="238"/>
      <c r="BI19" s="238"/>
      <c r="BJ19" s="239"/>
      <c r="BK19" s="212"/>
    </row>
    <row r="20" spans="1:63" ht="15" customHeight="1" x14ac:dyDescent="0.25">
      <c r="A20" s="211"/>
      <c r="B20" s="193"/>
      <c r="C20" s="194"/>
      <c r="D20" s="194"/>
      <c r="E20" s="194"/>
      <c r="F20" s="194"/>
      <c r="G20" s="195"/>
      <c r="H20" s="193"/>
      <c r="I20" s="194"/>
      <c r="J20" s="194"/>
      <c r="K20" s="194"/>
      <c r="L20" s="194"/>
      <c r="M20" s="194"/>
      <c r="N20" s="195"/>
      <c r="O20" s="193"/>
      <c r="P20" s="194"/>
      <c r="Q20" s="194"/>
      <c r="R20" s="194"/>
      <c r="S20" s="241"/>
      <c r="T20" s="242"/>
      <c r="U20" s="242"/>
      <c r="V20" s="242"/>
      <c r="W20" s="242"/>
      <c r="X20" s="242"/>
      <c r="Y20" s="242"/>
      <c r="Z20" s="242"/>
      <c r="AA20" s="242"/>
      <c r="AB20" s="242"/>
      <c r="AC20" s="242"/>
      <c r="AD20" s="242"/>
      <c r="AE20" s="242"/>
      <c r="AF20" s="242"/>
      <c r="AG20" s="242"/>
      <c r="AH20" s="242"/>
      <c r="AI20" s="242"/>
      <c r="AJ20" s="242"/>
      <c r="AK20" s="242"/>
      <c r="AL20" s="242"/>
      <c r="AM20" s="242"/>
      <c r="AN20" s="242"/>
      <c r="AO20" s="242"/>
      <c r="AP20" s="242"/>
      <c r="AQ20" s="242"/>
      <c r="AR20" s="242"/>
      <c r="AS20" s="242"/>
      <c r="AT20" s="242"/>
      <c r="AU20" s="242"/>
      <c r="AV20" s="242"/>
      <c r="AW20" s="243"/>
      <c r="AX20" s="244"/>
      <c r="AY20" s="244"/>
      <c r="AZ20" s="244"/>
      <c r="BA20" s="244"/>
      <c r="BB20" s="244"/>
      <c r="BC20" s="245"/>
      <c r="BD20" s="246"/>
      <c r="BE20" s="244"/>
      <c r="BF20" s="244"/>
      <c r="BG20" s="244"/>
      <c r="BH20" s="244"/>
      <c r="BI20" s="244"/>
      <c r="BJ20" s="245"/>
      <c r="BK20" s="212"/>
    </row>
    <row r="21" spans="1:63" ht="15" customHeight="1" x14ac:dyDescent="0.25">
      <c r="A21" s="211"/>
      <c r="B21" s="183"/>
      <c r="C21" s="181"/>
      <c r="D21" s="181"/>
      <c r="E21" s="181"/>
      <c r="F21" s="181"/>
      <c r="G21" s="182"/>
      <c r="H21" s="183"/>
      <c r="I21" s="181"/>
      <c r="J21" s="181"/>
      <c r="K21" s="181"/>
      <c r="L21" s="181"/>
      <c r="M21" s="181"/>
      <c r="N21" s="182"/>
      <c r="O21" s="183"/>
      <c r="P21" s="181"/>
      <c r="Q21" s="181"/>
      <c r="R21" s="181"/>
      <c r="S21" s="235"/>
      <c r="T21" s="236"/>
      <c r="U21" s="236"/>
      <c r="V21" s="236"/>
      <c r="W21" s="236"/>
      <c r="X21" s="236"/>
      <c r="Y21" s="236"/>
      <c r="Z21" s="236"/>
      <c r="AA21" s="236"/>
      <c r="AB21" s="236"/>
      <c r="AC21" s="236"/>
      <c r="AD21" s="236"/>
      <c r="AE21" s="236"/>
      <c r="AF21" s="236"/>
      <c r="AG21" s="236"/>
      <c r="AH21" s="236"/>
      <c r="AI21" s="236"/>
      <c r="AJ21" s="236"/>
      <c r="AK21" s="236"/>
      <c r="AL21" s="236"/>
      <c r="AM21" s="236"/>
      <c r="AN21" s="236"/>
      <c r="AO21" s="236"/>
      <c r="AP21" s="236"/>
      <c r="AQ21" s="236"/>
      <c r="AR21" s="236"/>
      <c r="AS21" s="236"/>
      <c r="AT21" s="236"/>
      <c r="AU21" s="236"/>
      <c r="AV21" s="236"/>
      <c r="AW21" s="237"/>
      <c r="AX21" s="238"/>
      <c r="AY21" s="238"/>
      <c r="AZ21" s="238"/>
      <c r="BA21" s="238"/>
      <c r="BB21" s="238"/>
      <c r="BC21" s="239"/>
      <c r="BD21" s="240"/>
      <c r="BE21" s="238"/>
      <c r="BF21" s="238"/>
      <c r="BG21" s="238"/>
      <c r="BH21" s="238"/>
      <c r="BI21" s="238"/>
      <c r="BJ21" s="239"/>
      <c r="BK21" s="212"/>
    </row>
    <row r="22" spans="1:63" ht="15" customHeight="1" x14ac:dyDescent="0.25">
      <c r="A22" s="211"/>
      <c r="B22" s="193"/>
      <c r="C22" s="194"/>
      <c r="D22" s="194"/>
      <c r="E22" s="194"/>
      <c r="F22" s="194"/>
      <c r="G22" s="195"/>
      <c r="H22" s="193"/>
      <c r="I22" s="194"/>
      <c r="J22" s="194"/>
      <c r="K22" s="194"/>
      <c r="L22" s="194"/>
      <c r="M22" s="194"/>
      <c r="N22" s="195"/>
      <c r="O22" s="193"/>
      <c r="P22" s="194"/>
      <c r="Q22" s="194"/>
      <c r="R22" s="194"/>
      <c r="S22" s="241"/>
      <c r="T22" s="242"/>
      <c r="U22" s="242"/>
      <c r="V22" s="242"/>
      <c r="W22" s="242"/>
      <c r="X22" s="242"/>
      <c r="Y22" s="242"/>
      <c r="Z22" s="242"/>
      <c r="AA22" s="242"/>
      <c r="AB22" s="242"/>
      <c r="AC22" s="242"/>
      <c r="AD22" s="242"/>
      <c r="AE22" s="242"/>
      <c r="AF22" s="242"/>
      <c r="AG22" s="242"/>
      <c r="AH22" s="242"/>
      <c r="AI22" s="242"/>
      <c r="AJ22" s="242"/>
      <c r="AK22" s="242"/>
      <c r="AL22" s="242"/>
      <c r="AM22" s="242"/>
      <c r="AN22" s="242"/>
      <c r="AO22" s="242"/>
      <c r="AP22" s="242"/>
      <c r="AQ22" s="242"/>
      <c r="AR22" s="242"/>
      <c r="AS22" s="242"/>
      <c r="AT22" s="242"/>
      <c r="AU22" s="242"/>
      <c r="AV22" s="242"/>
      <c r="AW22" s="243"/>
      <c r="AX22" s="244"/>
      <c r="AY22" s="244"/>
      <c r="AZ22" s="244"/>
      <c r="BA22" s="244"/>
      <c r="BB22" s="244"/>
      <c r="BC22" s="245"/>
      <c r="BD22" s="246"/>
      <c r="BE22" s="244"/>
      <c r="BF22" s="244"/>
      <c r="BG22" s="244"/>
      <c r="BH22" s="244"/>
      <c r="BI22" s="244"/>
      <c r="BJ22" s="245"/>
      <c r="BK22" s="212"/>
    </row>
    <row r="23" spans="1:63" ht="15" customHeight="1" x14ac:dyDescent="0.25">
      <c r="A23" s="211"/>
      <c r="B23" s="183"/>
      <c r="C23" s="181"/>
      <c r="D23" s="181"/>
      <c r="E23" s="181"/>
      <c r="F23" s="181"/>
      <c r="G23" s="182"/>
      <c r="H23" s="183"/>
      <c r="I23" s="181"/>
      <c r="J23" s="181"/>
      <c r="K23" s="181"/>
      <c r="L23" s="181"/>
      <c r="M23" s="181"/>
      <c r="N23" s="182"/>
      <c r="O23" s="183"/>
      <c r="P23" s="181"/>
      <c r="Q23" s="181"/>
      <c r="R23" s="181"/>
      <c r="S23" s="235"/>
      <c r="T23" s="236"/>
      <c r="U23" s="236"/>
      <c r="V23" s="236"/>
      <c r="W23" s="236"/>
      <c r="X23" s="236"/>
      <c r="Y23" s="236"/>
      <c r="Z23" s="236"/>
      <c r="AA23" s="236"/>
      <c r="AB23" s="236"/>
      <c r="AC23" s="236"/>
      <c r="AD23" s="236"/>
      <c r="AE23" s="236"/>
      <c r="AF23" s="236"/>
      <c r="AG23" s="236"/>
      <c r="AH23" s="236"/>
      <c r="AI23" s="236"/>
      <c r="AJ23" s="236"/>
      <c r="AK23" s="236"/>
      <c r="AL23" s="236"/>
      <c r="AM23" s="236"/>
      <c r="AN23" s="236"/>
      <c r="AO23" s="236"/>
      <c r="AP23" s="236"/>
      <c r="AQ23" s="236"/>
      <c r="AR23" s="236"/>
      <c r="AS23" s="236"/>
      <c r="AT23" s="236"/>
      <c r="AU23" s="236"/>
      <c r="AV23" s="236"/>
      <c r="AW23" s="237"/>
      <c r="AX23" s="238"/>
      <c r="AY23" s="238"/>
      <c r="AZ23" s="238"/>
      <c r="BA23" s="238"/>
      <c r="BB23" s="238"/>
      <c r="BC23" s="239"/>
      <c r="BD23" s="240"/>
      <c r="BE23" s="238"/>
      <c r="BF23" s="238"/>
      <c r="BG23" s="238"/>
      <c r="BH23" s="238"/>
      <c r="BI23" s="238"/>
      <c r="BJ23" s="239"/>
      <c r="BK23" s="212"/>
    </row>
    <row r="24" spans="1:63" ht="15" customHeight="1" x14ac:dyDescent="0.25">
      <c r="A24" s="211"/>
      <c r="B24" s="193"/>
      <c r="C24" s="194"/>
      <c r="D24" s="194"/>
      <c r="E24" s="194"/>
      <c r="F24" s="194"/>
      <c r="G24" s="195"/>
      <c r="H24" s="193"/>
      <c r="I24" s="194"/>
      <c r="J24" s="194"/>
      <c r="K24" s="194"/>
      <c r="L24" s="194"/>
      <c r="M24" s="194"/>
      <c r="N24" s="195"/>
      <c r="O24" s="193"/>
      <c r="P24" s="194"/>
      <c r="Q24" s="194"/>
      <c r="R24" s="194"/>
      <c r="S24" s="241"/>
      <c r="T24" s="242"/>
      <c r="U24" s="242"/>
      <c r="V24" s="242"/>
      <c r="W24" s="242"/>
      <c r="X24" s="242"/>
      <c r="Y24" s="242"/>
      <c r="Z24" s="242"/>
      <c r="AA24" s="242"/>
      <c r="AB24" s="242"/>
      <c r="AC24" s="242"/>
      <c r="AD24" s="242"/>
      <c r="AE24" s="242"/>
      <c r="AF24" s="242"/>
      <c r="AG24" s="242"/>
      <c r="AH24" s="242"/>
      <c r="AI24" s="242"/>
      <c r="AJ24" s="242"/>
      <c r="AK24" s="242"/>
      <c r="AL24" s="242"/>
      <c r="AM24" s="242"/>
      <c r="AN24" s="242"/>
      <c r="AO24" s="242"/>
      <c r="AP24" s="242"/>
      <c r="AQ24" s="242"/>
      <c r="AR24" s="242"/>
      <c r="AS24" s="242"/>
      <c r="AT24" s="242"/>
      <c r="AU24" s="242"/>
      <c r="AV24" s="242"/>
      <c r="AW24" s="243"/>
      <c r="AX24" s="244"/>
      <c r="AY24" s="244"/>
      <c r="AZ24" s="244"/>
      <c r="BA24" s="244"/>
      <c r="BB24" s="244"/>
      <c r="BC24" s="245"/>
      <c r="BD24" s="246"/>
      <c r="BE24" s="244"/>
      <c r="BF24" s="244"/>
      <c r="BG24" s="244"/>
      <c r="BH24" s="244"/>
      <c r="BI24" s="244"/>
      <c r="BJ24" s="245"/>
      <c r="BK24" s="212"/>
    </row>
    <row r="25" spans="1:63" ht="15" customHeight="1" x14ac:dyDescent="0.25">
      <c r="A25" s="211"/>
      <c r="B25" s="183"/>
      <c r="C25" s="181"/>
      <c r="D25" s="181"/>
      <c r="E25" s="181"/>
      <c r="F25" s="181"/>
      <c r="G25" s="182"/>
      <c r="H25" s="183"/>
      <c r="I25" s="181"/>
      <c r="J25" s="181"/>
      <c r="K25" s="181"/>
      <c r="L25" s="181"/>
      <c r="M25" s="181"/>
      <c r="N25" s="182"/>
      <c r="O25" s="183"/>
      <c r="P25" s="181"/>
      <c r="Q25" s="181"/>
      <c r="R25" s="181"/>
      <c r="S25" s="235"/>
      <c r="T25" s="236"/>
      <c r="U25" s="236"/>
      <c r="V25" s="236"/>
      <c r="W25" s="236"/>
      <c r="X25" s="236"/>
      <c r="Y25" s="236"/>
      <c r="Z25" s="236"/>
      <c r="AA25" s="236"/>
      <c r="AB25" s="236"/>
      <c r="AC25" s="236"/>
      <c r="AD25" s="236"/>
      <c r="AE25" s="236"/>
      <c r="AF25" s="236"/>
      <c r="AG25" s="236"/>
      <c r="AH25" s="236"/>
      <c r="AI25" s="236"/>
      <c r="AJ25" s="236"/>
      <c r="AK25" s="236"/>
      <c r="AL25" s="236"/>
      <c r="AM25" s="236"/>
      <c r="AN25" s="236"/>
      <c r="AO25" s="236"/>
      <c r="AP25" s="236"/>
      <c r="AQ25" s="236"/>
      <c r="AR25" s="236"/>
      <c r="AS25" s="236"/>
      <c r="AT25" s="236"/>
      <c r="AU25" s="236"/>
      <c r="AV25" s="236"/>
      <c r="AW25" s="237"/>
      <c r="AX25" s="238"/>
      <c r="AY25" s="238"/>
      <c r="AZ25" s="238"/>
      <c r="BA25" s="238"/>
      <c r="BB25" s="238"/>
      <c r="BC25" s="239"/>
      <c r="BD25" s="240"/>
      <c r="BE25" s="238"/>
      <c r="BF25" s="238"/>
      <c r="BG25" s="238"/>
      <c r="BH25" s="238"/>
      <c r="BI25" s="238"/>
      <c r="BJ25" s="239"/>
      <c r="BK25" s="212"/>
    </row>
    <row r="26" spans="1:63" ht="15" customHeight="1" x14ac:dyDescent="0.25">
      <c r="A26" s="211"/>
      <c r="B26" s="193"/>
      <c r="C26" s="194"/>
      <c r="D26" s="194"/>
      <c r="E26" s="194"/>
      <c r="F26" s="194"/>
      <c r="G26" s="195"/>
      <c r="H26" s="193"/>
      <c r="I26" s="194"/>
      <c r="J26" s="194"/>
      <c r="K26" s="194"/>
      <c r="L26" s="194"/>
      <c r="M26" s="194"/>
      <c r="N26" s="195"/>
      <c r="O26" s="193"/>
      <c r="P26" s="194"/>
      <c r="Q26" s="194"/>
      <c r="R26" s="194"/>
      <c r="S26" s="241"/>
      <c r="T26" s="242"/>
      <c r="U26" s="242"/>
      <c r="V26" s="242"/>
      <c r="W26" s="242"/>
      <c r="X26" s="242"/>
      <c r="Y26" s="242"/>
      <c r="Z26" s="242"/>
      <c r="AA26" s="242"/>
      <c r="AB26" s="242"/>
      <c r="AC26" s="242"/>
      <c r="AD26" s="242"/>
      <c r="AE26" s="242"/>
      <c r="AF26" s="242"/>
      <c r="AG26" s="242"/>
      <c r="AH26" s="242"/>
      <c r="AI26" s="242"/>
      <c r="AJ26" s="242"/>
      <c r="AK26" s="242"/>
      <c r="AL26" s="242"/>
      <c r="AM26" s="242"/>
      <c r="AN26" s="242"/>
      <c r="AO26" s="242"/>
      <c r="AP26" s="242"/>
      <c r="AQ26" s="242"/>
      <c r="AR26" s="242"/>
      <c r="AS26" s="242"/>
      <c r="AT26" s="242"/>
      <c r="AU26" s="242"/>
      <c r="AV26" s="242"/>
      <c r="AW26" s="243"/>
      <c r="AX26" s="244"/>
      <c r="AY26" s="244"/>
      <c r="AZ26" s="244"/>
      <c r="BA26" s="244"/>
      <c r="BB26" s="244"/>
      <c r="BC26" s="245"/>
      <c r="BD26" s="246"/>
      <c r="BE26" s="244"/>
      <c r="BF26" s="244"/>
      <c r="BG26" s="244"/>
      <c r="BH26" s="244"/>
      <c r="BI26" s="244"/>
      <c r="BJ26" s="245"/>
      <c r="BK26" s="212"/>
    </row>
    <row r="27" spans="1:63" ht="15" customHeight="1" x14ac:dyDescent="0.25">
      <c r="A27" s="211"/>
      <c r="B27" s="183"/>
      <c r="C27" s="181"/>
      <c r="D27" s="181"/>
      <c r="E27" s="181"/>
      <c r="F27" s="181"/>
      <c r="G27" s="182"/>
      <c r="H27" s="183"/>
      <c r="I27" s="181"/>
      <c r="J27" s="181"/>
      <c r="K27" s="181"/>
      <c r="L27" s="181"/>
      <c r="M27" s="181"/>
      <c r="N27" s="182"/>
      <c r="O27" s="183"/>
      <c r="P27" s="181"/>
      <c r="Q27" s="181"/>
      <c r="R27" s="181"/>
      <c r="S27" s="235"/>
      <c r="T27" s="236"/>
      <c r="U27" s="236"/>
      <c r="V27" s="236"/>
      <c r="W27" s="236"/>
      <c r="X27" s="236"/>
      <c r="Y27" s="236"/>
      <c r="Z27" s="236"/>
      <c r="AA27" s="236"/>
      <c r="AB27" s="236"/>
      <c r="AC27" s="236"/>
      <c r="AD27" s="236"/>
      <c r="AE27" s="236"/>
      <c r="AF27" s="236"/>
      <c r="AG27" s="236"/>
      <c r="AH27" s="236"/>
      <c r="AI27" s="236"/>
      <c r="AJ27" s="236"/>
      <c r="AK27" s="236"/>
      <c r="AL27" s="236"/>
      <c r="AM27" s="236"/>
      <c r="AN27" s="236"/>
      <c r="AO27" s="236"/>
      <c r="AP27" s="236"/>
      <c r="AQ27" s="236"/>
      <c r="AR27" s="236"/>
      <c r="AS27" s="236"/>
      <c r="AT27" s="236"/>
      <c r="AU27" s="236"/>
      <c r="AV27" s="236"/>
      <c r="AW27" s="237"/>
      <c r="AX27" s="238"/>
      <c r="AY27" s="238"/>
      <c r="AZ27" s="238"/>
      <c r="BA27" s="238"/>
      <c r="BB27" s="238"/>
      <c r="BC27" s="239"/>
      <c r="BD27" s="240"/>
      <c r="BE27" s="238"/>
      <c r="BF27" s="238"/>
      <c r="BG27" s="238"/>
      <c r="BH27" s="238"/>
      <c r="BI27" s="238"/>
      <c r="BJ27" s="239"/>
      <c r="BK27" s="212"/>
    </row>
    <row r="28" spans="1:63" ht="15" customHeight="1" x14ac:dyDescent="0.25">
      <c r="A28" s="211"/>
      <c r="B28" s="193"/>
      <c r="C28" s="194"/>
      <c r="D28" s="194"/>
      <c r="E28" s="194"/>
      <c r="F28" s="194"/>
      <c r="G28" s="195"/>
      <c r="H28" s="193"/>
      <c r="I28" s="194"/>
      <c r="J28" s="194"/>
      <c r="K28" s="194"/>
      <c r="L28" s="194"/>
      <c r="M28" s="194"/>
      <c r="N28" s="195"/>
      <c r="O28" s="193"/>
      <c r="P28" s="194"/>
      <c r="Q28" s="194"/>
      <c r="R28" s="194"/>
      <c r="S28" s="241"/>
      <c r="T28" s="242"/>
      <c r="U28" s="242"/>
      <c r="V28" s="242"/>
      <c r="W28" s="242"/>
      <c r="X28" s="242"/>
      <c r="Y28" s="242"/>
      <c r="Z28" s="242"/>
      <c r="AA28" s="242"/>
      <c r="AB28" s="242"/>
      <c r="AC28" s="242"/>
      <c r="AD28" s="242"/>
      <c r="AE28" s="242"/>
      <c r="AF28" s="242"/>
      <c r="AG28" s="242"/>
      <c r="AH28" s="242"/>
      <c r="AI28" s="242"/>
      <c r="AJ28" s="242"/>
      <c r="AK28" s="242"/>
      <c r="AL28" s="242"/>
      <c r="AM28" s="242"/>
      <c r="AN28" s="242"/>
      <c r="AO28" s="242"/>
      <c r="AP28" s="242"/>
      <c r="AQ28" s="242"/>
      <c r="AR28" s="242"/>
      <c r="AS28" s="242"/>
      <c r="AT28" s="242"/>
      <c r="AU28" s="242"/>
      <c r="AV28" s="242"/>
      <c r="AW28" s="243"/>
      <c r="AX28" s="244"/>
      <c r="AY28" s="244"/>
      <c r="AZ28" s="244"/>
      <c r="BA28" s="244"/>
      <c r="BB28" s="244"/>
      <c r="BC28" s="245"/>
      <c r="BD28" s="246"/>
      <c r="BE28" s="244"/>
      <c r="BF28" s="244"/>
      <c r="BG28" s="244"/>
      <c r="BH28" s="244"/>
      <c r="BI28" s="244"/>
      <c r="BJ28" s="245"/>
      <c r="BK28" s="212"/>
    </row>
    <row r="29" spans="1:63" ht="15" customHeight="1" x14ac:dyDescent="0.25">
      <c r="A29" s="211"/>
      <c r="B29" s="183"/>
      <c r="C29" s="181"/>
      <c r="D29" s="181"/>
      <c r="E29" s="181"/>
      <c r="F29" s="181"/>
      <c r="G29" s="182"/>
      <c r="H29" s="183"/>
      <c r="I29" s="181"/>
      <c r="J29" s="181"/>
      <c r="K29" s="181"/>
      <c r="L29" s="181"/>
      <c r="M29" s="181"/>
      <c r="N29" s="182"/>
      <c r="O29" s="183"/>
      <c r="P29" s="181"/>
      <c r="Q29" s="181"/>
      <c r="R29" s="181"/>
      <c r="S29" s="235"/>
      <c r="T29" s="236"/>
      <c r="U29" s="236"/>
      <c r="V29" s="236"/>
      <c r="W29" s="236"/>
      <c r="X29" s="236"/>
      <c r="Y29" s="236"/>
      <c r="Z29" s="236"/>
      <c r="AA29" s="236"/>
      <c r="AB29" s="236"/>
      <c r="AC29" s="236"/>
      <c r="AD29" s="236"/>
      <c r="AE29" s="236"/>
      <c r="AF29" s="236"/>
      <c r="AG29" s="236"/>
      <c r="AH29" s="236"/>
      <c r="AI29" s="236"/>
      <c r="AJ29" s="236"/>
      <c r="AK29" s="236"/>
      <c r="AL29" s="236"/>
      <c r="AM29" s="236"/>
      <c r="AN29" s="236"/>
      <c r="AO29" s="236"/>
      <c r="AP29" s="236"/>
      <c r="AQ29" s="236"/>
      <c r="AR29" s="236"/>
      <c r="AS29" s="236"/>
      <c r="AT29" s="236"/>
      <c r="AU29" s="236"/>
      <c r="AV29" s="236"/>
      <c r="AW29" s="237"/>
      <c r="AX29" s="238"/>
      <c r="AY29" s="238"/>
      <c r="AZ29" s="238"/>
      <c r="BA29" s="238"/>
      <c r="BB29" s="238"/>
      <c r="BC29" s="239"/>
      <c r="BD29" s="240"/>
      <c r="BE29" s="238"/>
      <c r="BF29" s="238"/>
      <c r="BG29" s="238"/>
      <c r="BH29" s="238"/>
      <c r="BI29" s="238"/>
      <c r="BJ29" s="239"/>
      <c r="BK29" s="212"/>
    </row>
    <row r="30" spans="1:63" ht="15" customHeight="1" x14ac:dyDescent="0.25">
      <c r="A30" s="211"/>
      <c r="B30" s="193"/>
      <c r="C30" s="194"/>
      <c r="D30" s="194"/>
      <c r="E30" s="194"/>
      <c r="F30" s="194"/>
      <c r="G30" s="195"/>
      <c r="H30" s="193"/>
      <c r="I30" s="194"/>
      <c r="J30" s="194"/>
      <c r="K30" s="194"/>
      <c r="L30" s="194"/>
      <c r="M30" s="194"/>
      <c r="N30" s="195"/>
      <c r="O30" s="193"/>
      <c r="P30" s="194"/>
      <c r="Q30" s="194"/>
      <c r="R30" s="194"/>
      <c r="S30" s="241"/>
      <c r="T30" s="242"/>
      <c r="U30" s="242"/>
      <c r="V30" s="242"/>
      <c r="W30" s="242"/>
      <c r="X30" s="242"/>
      <c r="Y30" s="242"/>
      <c r="Z30" s="242"/>
      <c r="AA30" s="242"/>
      <c r="AB30" s="242"/>
      <c r="AC30" s="242"/>
      <c r="AD30" s="242"/>
      <c r="AE30" s="242"/>
      <c r="AF30" s="242"/>
      <c r="AG30" s="242"/>
      <c r="AH30" s="242"/>
      <c r="AI30" s="242"/>
      <c r="AJ30" s="242"/>
      <c r="AK30" s="242"/>
      <c r="AL30" s="242"/>
      <c r="AM30" s="242"/>
      <c r="AN30" s="242"/>
      <c r="AO30" s="242"/>
      <c r="AP30" s="242"/>
      <c r="AQ30" s="242"/>
      <c r="AR30" s="242"/>
      <c r="AS30" s="242"/>
      <c r="AT30" s="242"/>
      <c r="AU30" s="242"/>
      <c r="AV30" s="242"/>
      <c r="AW30" s="243"/>
      <c r="AX30" s="244"/>
      <c r="AY30" s="244"/>
      <c r="AZ30" s="244"/>
      <c r="BA30" s="244"/>
      <c r="BB30" s="244"/>
      <c r="BC30" s="245"/>
      <c r="BD30" s="246"/>
      <c r="BE30" s="244"/>
      <c r="BF30" s="244"/>
      <c r="BG30" s="244"/>
      <c r="BH30" s="244"/>
      <c r="BI30" s="244"/>
      <c r="BJ30" s="245"/>
      <c r="BK30" s="212"/>
    </row>
    <row r="31" spans="1:63" ht="15" customHeight="1" x14ac:dyDescent="0.25">
      <c r="A31" s="211"/>
      <c r="B31" s="183"/>
      <c r="C31" s="181"/>
      <c r="D31" s="181"/>
      <c r="E31" s="181"/>
      <c r="F31" s="181"/>
      <c r="G31" s="182"/>
      <c r="H31" s="183"/>
      <c r="I31" s="181"/>
      <c r="J31" s="181"/>
      <c r="K31" s="181"/>
      <c r="L31" s="181"/>
      <c r="M31" s="181"/>
      <c r="N31" s="182"/>
      <c r="O31" s="183"/>
      <c r="P31" s="181"/>
      <c r="Q31" s="181"/>
      <c r="R31" s="181"/>
      <c r="S31" s="235"/>
      <c r="T31" s="236"/>
      <c r="U31" s="236"/>
      <c r="V31" s="236"/>
      <c r="W31" s="236"/>
      <c r="X31" s="236"/>
      <c r="Y31" s="236"/>
      <c r="Z31" s="236"/>
      <c r="AA31" s="236"/>
      <c r="AB31" s="236"/>
      <c r="AC31" s="236"/>
      <c r="AD31" s="236"/>
      <c r="AE31" s="236"/>
      <c r="AF31" s="236"/>
      <c r="AG31" s="236"/>
      <c r="AH31" s="236"/>
      <c r="AI31" s="236"/>
      <c r="AJ31" s="236"/>
      <c r="AK31" s="236"/>
      <c r="AL31" s="236"/>
      <c r="AM31" s="236"/>
      <c r="AN31" s="236"/>
      <c r="AO31" s="236"/>
      <c r="AP31" s="236"/>
      <c r="AQ31" s="236"/>
      <c r="AR31" s="236"/>
      <c r="AS31" s="236"/>
      <c r="AT31" s="236"/>
      <c r="AU31" s="236"/>
      <c r="AV31" s="236"/>
      <c r="AW31" s="237"/>
      <c r="AX31" s="238"/>
      <c r="AY31" s="238"/>
      <c r="AZ31" s="238"/>
      <c r="BA31" s="238"/>
      <c r="BB31" s="238"/>
      <c r="BC31" s="239"/>
      <c r="BD31" s="240"/>
      <c r="BE31" s="238"/>
      <c r="BF31" s="238"/>
      <c r="BG31" s="238"/>
      <c r="BH31" s="238"/>
      <c r="BI31" s="238"/>
      <c r="BJ31" s="239"/>
      <c r="BK31" s="212"/>
    </row>
    <row r="32" spans="1:63" ht="15" customHeight="1" x14ac:dyDescent="0.25">
      <c r="A32" s="211"/>
      <c r="B32" s="193"/>
      <c r="C32" s="194"/>
      <c r="D32" s="194"/>
      <c r="E32" s="194"/>
      <c r="F32" s="194"/>
      <c r="G32" s="195"/>
      <c r="H32" s="193"/>
      <c r="I32" s="194"/>
      <c r="J32" s="194"/>
      <c r="K32" s="194"/>
      <c r="L32" s="194"/>
      <c r="M32" s="194"/>
      <c r="N32" s="195"/>
      <c r="O32" s="193"/>
      <c r="P32" s="194"/>
      <c r="Q32" s="194"/>
      <c r="R32" s="194"/>
      <c r="S32" s="241"/>
      <c r="T32" s="242"/>
      <c r="U32" s="242"/>
      <c r="V32" s="242"/>
      <c r="W32" s="242"/>
      <c r="X32" s="242"/>
      <c r="Y32" s="242"/>
      <c r="Z32" s="242"/>
      <c r="AA32" s="242"/>
      <c r="AB32" s="242"/>
      <c r="AC32" s="242"/>
      <c r="AD32" s="242"/>
      <c r="AE32" s="242"/>
      <c r="AF32" s="242"/>
      <c r="AG32" s="242"/>
      <c r="AH32" s="242"/>
      <c r="AI32" s="242"/>
      <c r="AJ32" s="242"/>
      <c r="AK32" s="242"/>
      <c r="AL32" s="242"/>
      <c r="AM32" s="242"/>
      <c r="AN32" s="242"/>
      <c r="AO32" s="242"/>
      <c r="AP32" s="242"/>
      <c r="AQ32" s="242"/>
      <c r="AR32" s="242"/>
      <c r="AS32" s="242"/>
      <c r="AT32" s="242"/>
      <c r="AU32" s="242"/>
      <c r="AV32" s="242"/>
      <c r="AW32" s="243"/>
      <c r="AX32" s="244"/>
      <c r="AY32" s="244"/>
      <c r="AZ32" s="244"/>
      <c r="BA32" s="244"/>
      <c r="BB32" s="244"/>
      <c r="BC32" s="245"/>
      <c r="BD32" s="246"/>
      <c r="BE32" s="244"/>
      <c r="BF32" s="244"/>
      <c r="BG32" s="244"/>
      <c r="BH32" s="244"/>
      <c r="BI32" s="244"/>
      <c r="BJ32" s="245"/>
      <c r="BK32" s="212"/>
    </row>
    <row r="33" spans="1:63" ht="15" customHeight="1" x14ac:dyDescent="0.25">
      <c r="A33" s="211"/>
      <c r="B33" s="183"/>
      <c r="C33" s="181"/>
      <c r="D33" s="181"/>
      <c r="E33" s="181"/>
      <c r="F33" s="181"/>
      <c r="G33" s="182"/>
      <c r="H33" s="183"/>
      <c r="I33" s="181"/>
      <c r="J33" s="181"/>
      <c r="K33" s="181"/>
      <c r="L33" s="181"/>
      <c r="M33" s="181"/>
      <c r="N33" s="182"/>
      <c r="O33" s="183"/>
      <c r="P33" s="181"/>
      <c r="Q33" s="181"/>
      <c r="R33" s="181"/>
      <c r="S33" s="235"/>
      <c r="T33" s="236"/>
      <c r="U33" s="236"/>
      <c r="V33" s="236"/>
      <c r="W33" s="236"/>
      <c r="X33" s="236"/>
      <c r="Y33" s="236"/>
      <c r="Z33" s="236"/>
      <c r="AA33" s="236"/>
      <c r="AB33" s="236"/>
      <c r="AC33" s="236"/>
      <c r="AD33" s="236"/>
      <c r="AE33" s="236"/>
      <c r="AF33" s="236"/>
      <c r="AG33" s="236"/>
      <c r="AH33" s="236"/>
      <c r="AI33" s="236"/>
      <c r="AJ33" s="236"/>
      <c r="AK33" s="236"/>
      <c r="AL33" s="236"/>
      <c r="AM33" s="236"/>
      <c r="AN33" s="236"/>
      <c r="AO33" s="236"/>
      <c r="AP33" s="236"/>
      <c r="AQ33" s="236"/>
      <c r="AR33" s="236"/>
      <c r="AS33" s="236"/>
      <c r="AT33" s="236"/>
      <c r="AU33" s="236"/>
      <c r="AV33" s="236"/>
      <c r="AW33" s="237"/>
      <c r="AX33" s="238"/>
      <c r="AY33" s="238"/>
      <c r="AZ33" s="238"/>
      <c r="BA33" s="238"/>
      <c r="BB33" s="238"/>
      <c r="BC33" s="239"/>
      <c r="BD33" s="240"/>
      <c r="BE33" s="238"/>
      <c r="BF33" s="238"/>
      <c r="BG33" s="238"/>
      <c r="BH33" s="238"/>
      <c r="BI33" s="238"/>
      <c r="BJ33" s="239"/>
      <c r="BK33" s="212"/>
    </row>
    <row r="34" spans="1:63" ht="15" customHeight="1" x14ac:dyDescent="0.25">
      <c r="A34" s="211"/>
      <c r="B34" s="193"/>
      <c r="C34" s="194"/>
      <c r="D34" s="194"/>
      <c r="E34" s="194"/>
      <c r="F34" s="194"/>
      <c r="G34" s="195"/>
      <c r="H34" s="193"/>
      <c r="I34" s="194"/>
      <c r="J34" s="194"/>
      <c r="K34" s="194"/>
      <c r="L34" s="194"/>
      <c r="M34" s="194"/>
      <c r="N34" s="195"/>
      <c r="O34" s="193"/>
      <c r="P34" s="194"/>
      <c r="Q34" s="194"/>
      <c r="R34" s="194"/>
      <c r="S34" s="241"/>
      <c r="T34" s="242"/>
      <c r="U34" s="242"/>
      <c r="V34" s="242"/>
      <c r="W34" s="242"/>
      <c r="X34" s="242"/>
      <c r="Y34" s="242"/>
      <c r="Z34" s="242"/>
      <c r="AA34" s="242"/>
      <c r="AB34" s="242"/>
      <c r="AC34" s="242"/>
      <c r="AD34" s="242"/>
      <c r="AE34" s="242"/>
      <c r="AF34" s="242"/>
      <c r="AG34" s="242"/>
      <c r="AH34" s="242"/>
      <c r="AI34" s="242"/>
      <c r="AJ34" s="242"/>
      <c r="AK34" s="242"/>
      <c r="AL34" s="242"/>
      <c r="AM34" s="242"/>
      <c r="AN34" s="242"/>
      <c r="AO34" s="242"/>
      <c r="AP34" s="242"/>
      <c r="AQ34" s="242"/>
      <c r="AR34" s="242"/>
      <c r="AS34" s="242"/>
      <c r="AT34" s="242"/>
      <c r="AU34" s="242"/>
      <c r="AV34" s="242"/>
      <c r="AW34" s="243"/>
      <c r="AX34" s="244"/>
      <c r="AY34" s="244"/>
      <c r="AZ34" s="244"/>
      <c r="BA34" s="244"/>
      <c r="BB34" s="244"/>
      <c r="BC34" s="245"/>
      <c r="BD34" s="246"/>
      <c r="BE34" s="244"/>
      <c r="BF34" s="244"/>
      <c r="BG34" s="244"/>
      <c r="BH34" s="244"/>
      <c r="BI34" s="244"/>
      <c r="BJ34" s="245"/>
      <c r="BK34" s="212"/>
    </row>
    <row r="35" spans="1:63" ht="15" customHeight="1" x14ac:dyDescent="0.25">
      <c r="A35" s="211"/>
      <c r="B35" s="183"/>
      <c r="C35" s="181"/>
      <c r="D35" s="181"/>
      <c r="E35" s="181"/>
      <c r="F35" s="181"/>
      <c r="G35" s="182"/>
      <c r="H35" s="183"/>
      <c r="I35" s="181"/>
      <c r="J35" s="181"/>
      <c r="K35" s="181"/>
      <c r="L35" s="181"/>
      <c r="M35" s="181"/>
      <c r="N35" s="182"/>
      <c r="O35" s="183"/>
      <c r="P35" s="181"/>
      <c r="Q35" s="181"/>
      <c r="R35" s="181"/>
      <c r="S35" s="235"/>
      <c r="T35" s="236"/>
      <c r="U35" s="236"/>
      <c r="V35" s="236"/>
      <c r="W35" s="236"/>
      <c r="X35" s="236"/>
      <c r="Y35" s="236"/>
      <c r="Z35" s="236"/>
      <c r="AA35" s="236"/>
      <c r="AB35" s="236"/>
      <c r="AC35" s="236"/>
      <c r="AD35" s="236"/>
      <c r="AE35" s="236"/>
      <c r="AF35" s="236"/>
      <c r="AG35" s="236"/>
      <c r="AH35" s="236"/>
      <c r="AI35" s="236"/>
      <c r="AJ35" s="236"/>
      <c r="AK35" s="236"/>
      <c r="AL35" s="236"/>
      <c r="AM35" s="236"/>
      <c r="AN35" s="236"/>
      <c r="AO35" s="236"/>
      <c r="AP35" s="236"/>
      <c r="AQ35" s="236"/>
      <c r="AR35" s="236"/>
      <c r="AS35" s="236"/>
      <c r="AT35" s="236"/>
      <c r="AU35" s="236"/>
      <c r="AV35" s="236"/>
      <c r="AW35" s="237"/>
      <c r="AX35" s="238"/>
      <c r="AY35" s="238"/>
      <c r="AZ35" s="238"/>
      <c r="BA35" s="238"/>
      <c r="BB35" s="238"/>
      <c r="BC35" s="239"/>
      <c r="BD35" s="240"/>
      <c r="BE35" s="238"/>
      <c r="BF35" s="238"/>
      <c r="BG35" s="238"/>
      <c r="BH35" s="238"/>
      <c r="BI35" s="238"/>
      <c r="BJ35" s="239"/>
      <c r="BK35" s="212"/>
    </row>
    <row r="36" spans="1:63" ht="15" customHeight="1" x14ac:dyDescent="0.25">
      <c r="A36" s="211"/>
      <c r="B36" s="193"/>
      <c r="C36" s="194"/>
      <c r="D36" s="194"/>
      <c r="E36" s="194"/>
      <c r="F36" s="194"/>
      <c r="G36" s="195"/>
      <c r="H36" s="193"/>
      <c r="I36" s="194"/>
      <c r="J36" s="194"/>
      <c r="K36" s="194"/>
      <c r="L36" s="194"/>
      <c r="M36" s="194"/>
      <c r="N36" s="195"/>
      <c r="O36" s="193"/>
      <c r="P36" s="194"/>
      <c r="Q36" s="194"/>
      <c r="R36" s="194"/>
      <c r="S36" s="241"/>
      <c r="T36" s="242"/>
      <c r="U36" s="242"/>
      <c r="V36" s="242"/>
      <c r="W36" s="242"/>
      <c r="X36" s="242"/>
      <c r="Y36" s="242"/>
      <c r="Z36" s="242"/>
      <c r="AA36" s="242"/>
      <c r="AB36" s="242"/>
      <c r="AC36" s="242"/>
      <c r="AD36" s="242"/>
      <c r="AE36" s="242"/>
      <c r="AF36" s="242"/>
      <c r="AG36" s="242"/>
      <c r="AH36" s="242"/>
      <c r="AI36" s="242"/>
      <c r="AJ36" s="242"/>
      <c r="AK36" s="242"/>
      <c r="AL36" s="242"/>
      <c r="AM36" s="242"/>
      <c r="AN36" s="242"/>
      <c r="AO36" s="242"/>
      <c r="AP36" s="242"/>
      <c r="AQ36" s="242"/>
      <c r="AR36" s="242"/>
      <c r="AS36" s="242"/>
      <c r="AT36" s="242"/>
      <c r="AU36" s="242"/>
      <c r="AV36" s="242"/>
      <c r="AW36" s="243"/>
      <c r="AX36" s="244"/>
      <c r="AY36" s="244"/>
      <c r="AZ36" s="244"/>
      <c r="BA36" s="244"/>
      <c r="BB36" s="244"/>
      <c r="BC36" s="245"/>
      <c r="BD36" s="246"/>
      <c r="BE36" s="244"/>
      <c r="BF36" s="244"/>
      <c r="BG36" s="244"/>
      <c r="BH36" s="244"/>
      <c r="BI36" s="244"/>
      <c r="BJ36" s="245"/>
      <c r="BK36" s="212"/>
    </row>
    <row r="37" spans="1:63" ht="15" customHeight="1" x14ac:dyDescent="0.25">
      <c r="A37" s="211"/>
      <c r="B37" s="183"/>
      <c r="C37" s="181"/>
      <c r="D37" s="181"/>
      <c r="E37" s="181"/>
      <c r="F37" s="181"/>
      <c r="G37" s="182"/>
      <c r="H37" s="183"/>
      <c r="I37" s="181"/>
      <c r="J37" s="181"/>
      <c r="K37" s="181"/>
      <c r="L37" s="181"/>
      <c r="M37" s="181"/>
      <c r="N37" s="182"/>
      <c r="O37" s="183"/>
      <c r="P37" s="181"/>
      <c r="Q37" s="181"/>
      <c r="R37" s="181"/>
      <c r="S37" s="235"/>
      <c r="T37" s="236"/>
      <c r="U37" s="236"/>
      <c r="V37" s="236"/>
      <c r="W37" s="236"/>
      <c r="X37" s="236"/>
      <c r="Y37" s="236"/>
      <c r="Z37" s="236"/>
      <c r="AA37" s="236"/>
      <c r="AB37" s="236"/>
      <c r="AC37" s="236"/>
      <c r="AD37" s="236"/>
      <c r="AE37" s="236"/>
      <c r="AF37" s="236"/>
      <c r="AG37" s="236"/>
      <c r="AH37" s="236"/>
      <c r="AI37" s="236"/>
      <c r="AJ37" s="236"/>
      <c r="AK37" s="236"/>
      <c r="AL37" s="236"/>
      <c r="AM37" s="236"/>
      <c r="AN37" s="236"/>
      <c r="AO37" s="236"/>
      <c r="AP37" s="236"/>
      <c r="AQ37" s="236"/>
      <c r="AR37" s="236"/>
      <c r="AS37" s="236"/>
      <c r="AT37" s="236"/>
      <c r="AU37" s="236"/>
      <c r="AV37" s="236"/>
      <c r="AW37" s="237"/>
      <c r="AX37" s="238"/>
      <c r="AY37" s="238"/>
      <c r="AZ37" s="238"/>
      <c r="BA37" s="238"/>
      <c r="BB37" s="238"/>
      <c r="BC37" s="239"/>
      <c r="BD37" s="240"/>
      <c r="BE37" s="238"/>
      <c r="BF37" s="238"/>
      <c r="BG37" s="238"/>
      <c r="BH37" s="238"/>
      <c r="BI37" s="238"/>
      <c r="BJ37" s="239"/>
      <c r="BK37" s="212"/>
    </row>
    <row r="38" spans="1:63" ht="15" customHeight="1" x14ac:dyDescent="0.25">
      <c r="A38" s="211"/>
      <c r="B38" s="193"/>
      <c r="C38" s="194"/>
      <c r="D38" s="194"/>
      <c r="E38" s="194"/>
      <c r="F38" s="194"/>
      <c r="G38" s="195"/>
      <c r="H38" s="193"/>
      <c r="I38" s="194"/>
      <c r="J38" s="194"/>
      <c r="K38" s="194"/>
      <c r="L38" s="194"/>
      <c r="M38" s="194"/>
      <c r="N38" s="195"/>
      <c r="O38" s="193"/>
      <c r="P38" s="194"/>
      <c r="Q38" s="194"/>
      <c r="R38" s="194"/>
      <c r="S38" s="241"/>
      <c r="T38" s="242"/>
      <c r="U38" s="242"/>
      <c r="V38" s="242"/>
      <c r="W38" s="242"/>
      <c r="X38" s="242"/>
      <c r="Y38" s="242"/>
      <c r="Z38" s="242"/>
      <c r="AA38" s="242"/>
      <c r="AB38" s="242"/>
      <c r="AC38" s="242"/>
      <c r="AD38" s="242"/>
      <c r="AE38" s="242"/>
      <c r="AF38" s="242"/>
      <c r="AG38" s="242"/>
      <c r="AH38" s="242"/>
      <c r="AI38" s="242"/>
      <c r="AJ38" s="242"/>
      <c r="AK38" s="242"/>
      <c r="AL38" s="242"/>
      <c r="AM38" s="242"/>
      <c r="AN38" s="242"/>
      <c r="AO38" s="242"/>
      <c r="AP38" s="242"/>
      <c r="AQ38" s="242"/>
      <c r="AR38" s="242"/>
      <c r="AS38" s="242"/>
      <c r="AT38" s="242"/>
      <c r="AU38" s="242"/>
      <c r="AV38" s="242"/>
      <c r="AW38" s="243"/>
      <c r="AX38" s="244"/>
      <c r="AY38" s="244"/>
      <c r="AZ38" s="244"/>
      <c r="BA38" s="244"/>
      <c r="BB38" s="244"/>
      <c r="BC38" s="245"/>
      <c r="BD38" s="246"/>
      <c r="BE38" s="244"/>
      <c r="BF38" s="244"/>
      <c r="BG38" s="244"/>
      <c r="BH38" s="244"/>
      <c r="BI38" s="244"/>
      <c r="BJ38" s="245"/>
      <c r="BK38" s="212"/>
    </row>
    <row r="39" spans="1:63" ht="15" customHeight="1" x14ac:dyDescent="0.25">
      <c r="A39" s="211"/>
      <c r="B39" s="183"/>
      <c r="C39" s="181"/>
      <c r="D39" s="181"/>
      <c r="E39" s="181"/>
      <c r="F39" s="181"/>
      <c r="G39" s="182"/>
      <c r="H39" s="183"/>
      <c r="I39" s="181"/>
      <c r="J39" s="181"/>
      <c r="K39" s="181"/>
      <c r="L39" s="181"/>
      <c r="M39" s="181"/>
      <c r="N39" s="182"/>
      <c r="O39" s="183"/>
      <c r="P39" s="181"/>
      <c r="Q39" s="181"/>
      <c r="R39" s="181"/>
      <c r="S39" s="235"/>
      <c r="T39" s="236"/>
      <c r="U39" s="236"/>
      <c r="V39" s="236"/>
      <c r="W39" s="236"/>
      <c r="X39" s="236"/>
      <c r="Y39" s="236"/>
      <c r="Z39" s="236"/>
      <c r="AA39" s="236"/>
      <c r="AB39" s="236"/>
      <c r="AC39" s="236"/>
      <c r="AD39" s="236"/>
      <c r="AE39" s="236"/>
      <c r="AF39" s="236"/>
      <c r="AG39" s="236"/>
      <c r="AH39" s="236"/>
      <c r="AI39" s="236"/>
      <c r="AJ39" s="236"/>
      <c r="AK39" s="236"/>
      <c r="AL39" s="236"/>
      <c r="AM39" s="236"/>
      <c r="AN39" s="236"/>
      <c r="AO39" s="236"/>
      <c r="AP39" s="236"/>
      <c r="AQ39" s="236"/>
      <c r="AR39" s="236"/>
      <c r="AS39" s="236"/>
      <c r="AT39" s="236"/>
      <c r="AU39" s="236"/>
      <c r="AV39" s="236"/>
      <c r="AW39" s="237"/>
      <c r="AX39" s="238"/>
      <c r="AY39" s="238"/>
      <c r="AZ39" s="238"/>
      <c r="BA39" s="238"/>
      <c r="BB39" s="238"/>
      <c r="BC39" s="239"/>
      <c r="BD39" s="240"/>
      <c r="BE39" s="238"/>
      <c r="BF39" s="238"/>
      <c r="BG39" s="238"/>
      <c r="BH39" s="238"/>
      <c r="BI39" s="238"/>
      <c r="BJ39" s="239"/>
      <c r="BK39" s="212"/>
    </row>
    <row r="40" spans="1:63" ht="15" customHeight="1" x14ac:dyDescent="0.25">
      <c r="A40" s="211"/>
      <c r="B40" s="193"/>
      <c r="C40" s="194"/>
      <c r="D40" s="194"/>
      <c r="E40" s="194"/>
      <c r="F40" s="194"/>
      <c r="G40" s="195"/>
      <c r="H40" s="193"/>
      <c r="I40" s="194"/>
      <c r="J40" s="194"/>
      <c r="K40" s="194"/>
      <c r="L40" s="194"/>
      <c r="M40" s="194"/>
      <c r="N40" s="195"/>
      <c r="O40" s="193"/>
      <c r="P40" s="194"/>
      <c r="Q40" s="194"/>
      <c r="R40" s="194"/>
      <c r="S40" s="241"/>
      <c r="T40" s="242"/>
      <c r="U40" s="242"/>
      <c r="V40" s="242"/>
      <c r="W40" s="242"/>
      <c r="X40" s="242"/>
      <c r="Y40" s="242"/>
      <c r="Z40" s="242"/>
      <c r="AA40" s="242"/>
      <c r="AB40" s="242"/>
      <c r="AC40" s="242"/>
      <c r="AD40" s="242"/>
      <c r="AE40" s="242"/>
      <c r="AF40" s="242"/>
      <c r="AG40" s="242"/>
      <c r="AH40" s="242"/>
      <c r="AI40" s="242"/>
      <c r="AJ40" s="242"/>
      <c r="AK40" s="242"/>
      <c r="AL40" s="242"/>
      <c r="AM40" s="242"/>
      <c r="AN40" s="242"/>
      <c r="AO40" s="242"/>
      <c r="AP40" s="242"/>
      <c r="AQ40" s="242"/>
      <c r="AR40" s="242"/>
      <c r="AS40" s="242"/>
      <c r="AT40" s="242"/>
      <c r="AU40" s="242"/>
      <c r="AV40" s="242"/>
      <c r="AW40" s="243"/>
      <c r="AX40" s="244"/>
      <c r="AY40" s="244"/>
      <c r="AZ40" s="244"/>
      <c r="BA40" s="244"/>
      <c r="BB40" s="244"/>
      <c r="BC40" s="245"/>
      <c r="BD40" s="246"/>
      <c r="BE40" s="244"/>
      <c r="BF40" s="244"/>
      <c r="BG40" s="244"/>
      <c r="BH40" s="244"/>
      <c r="BI40" s="244"/>
      <c r="BJ40" s="245"/>
      <c r="BK40" s="212"/>
    </row>
    <row r="41" spans="1:63" ht="15" customHeight="1" x14ac:dyDescent="0.25">
      <c r="A41" s="211"/>
      <c r="B41" s="183"/>
      <c r="C41" s="181"/>
      <c r="D41" s="181"/>
      <c r="E41" s="181"/>
      <c r="F41" s="181"/>
      <c r="G41" s="182"/>
      <c r="H41" s="183"/>
      <c r="I41" s="181"/>
      <c r="J41" s="181"/>
      <c r="K41" s="181"/>
      <c r="L41" s="181"/>
      <c r="M41" s="181"/>
      <c r="N41" s="182"/>
      <c r="O41" s="183"/>
      <c r="P41" s="181"/>
      <c r="Q41" s="181"/>
      <c r="R41" s="181"/>
      <c r="S41" s="235"/>
      <c r="T41" s="236"/>
      <c r="U41" s="236"/>
      <c r="V41" s="236"/>
      <c r="W41" s="236"/>
      <c r="X41" s="236"/>
      <c r="Y41" s="236"/>
      <c r="Z41" s="236"/>
      <c r="AA41" s="236"/>
      <c r="AB41" s="236"/>
      <c r="AC41" s="236"/>
      <c r="AD41" s="236"/>
      <c r="AE41" s="236"/>
      <c r="AF41" s="236"/>
      <c r="AG41" s="236"/>
      <c r="AH41" s="236"/>
      <c r="AI41" s="236"/>
      <c r="AJ41" s="236"/>
      <c r="AK41" s="236"/>
      <c r="AL41" s="236"/>
      <c r="AM41" s="236"/>
      <c r="AN41" s="236"/>
      <c r="AO41" s="236"/>
      <c r="AP41" s="236"/>
      <c r="AQ41" s="236"/>
      <c r="AR41" s="236"/>
      <c r="AS41" s="236"/>
      <c r="AT41" s="236"/>
      <c r="AU41" s="236"/>
      <c r="AV41" s="236"/>
      <c r="AW41" s="237"/>
      <c r="AX41" s="238"/>
      <c r="AY41" s="238"/>
      <c r="AZ41" s="238"/>
      <c r="BA41" s="238"/>
      <c r="BB41" s="238"/>
      <c r="BC41" s="239"/>
      <c r="BD41" s="240"/>
      <c r="BE41" s="238"/>
      <c r="BF41" s="238"/>
      <c r="BG41" s="238"/>
      <c r="BH41" s="238"/>
      <c r="BI41" s="238"/>
      <c r="BJ41" s="239"/>
      <c r="BK41" s="212"/>
    </row>
    <row r="42" spans="1:63" ht="15" customHeight="1" x14ac:dyDescent="0.25">
      <c r="A42" s="211"/>
      <c r="B42" s="193"/>
      <c r="C42" s="194"/>
      <c r="D42" s="194"/>
      <c r="E42" s="194"/>
      <c r="F42" s="194"/>
      <c r="G42" s="195"/>
      <c r="H42" s="193"/>
      <c r="I42" s="194"/>
      <c r="J42" s="194"/>
      <c r="K42" s="194"/>
      <c r="L42" s="194"/>
      <c r="M42" s="194"/>
      <c r="N42" s="195"/>
      <c r="O42" s="193"/>
      <c r="P42" s="194"/>
      <c r="Q42" s="194"/>
      <c r="R42" s="194"/>
      <c r="S42" s="241"/>
      <c r="T42" s="242"/>
      <c r="U42" s="242"/>
      <c r="V42" s="242"/>
      <c r="W42" s="242"/>
      <c r="X42" s="242"/>
      <c r="Y42" s="242"/>
      <c r="Z42" s="242"/>
      <c r="AA42" s="242"/>
      <c r="AB42" s="242"/>
      <c r="AC42" s="242"/>
      <c r="AD42" s="242"/>
      <c r="AE42" s="242"/>
      <c r="AF42" s="242"/>
      <c r="AG42" s="242"/>
      <c r="AH42" s="242"/>
      <c r="AI42" s="242"/>
      <c r="AJ42" s="242"/>
      <c r="AK42" s="242"/>
      <c r="AL42" s="242"/>
      <c r="AM42" s="242"/>
      <c r="AN42" s="242"/>
      <c r="AO42" s="242"/>
      <c r="AP42" s="242"/>
      <c r="AQ42" s="242"/>
      <c r="AR42" s="242"/>
      <c r="AS42" s="242"/>
      <c r="AT42" s="242"/>
      <c r="AU42" s="242"/>
      <c r="AV42" s="242"/>
      <c r="AW42" s="243"/>
      <c r="AX42" s="244"/>
      <c r="AY42" s="244"/>
      <c r="AZ42" s="244"/>
      <c r="BA42" s="244"/>
      <c r="BB42" s="244"/>
      <c r="BC42" s="245"/>
      <c r="BD42" s="246"/>
      <c r="BE42" s="244"/>
      <c r="BF42" s="244"/>
      <c r="BG42" s="244"/>
      <c r="BH42" s="244"/>
      <c r="BI42" s="244"/>
      <c r="BJ42" s="245"/>
      <c r="BK42" s="212"/>
    </row>
    <row r="43" spans="1:63" ht="15" customHeight="1" x14ac:dyDescent="0.25">
      <c r="A43" s="211"/>
      <c r="B43" s="183"/>
      <c r="C43" s="181"/>
      <c r="D43" s="181"/>
      <c r="E43" s="181"/>
      <c r="F43" s="181"/>
      <c r="G43" s="182"/>
      <c r="H43" s="183"/>
      <c r="I43" s="181"/>
      <c r="J43" s="181"/>
      <c r="K43" s="181"/>
      <c r="L43" s="181"/>
      <c r="M43" s="181"/>
      <c r="N43" s="182"/>
      <c r="O43" s="183"/>
      <c r="P43" s="181"/>
      <c r="Q43" s="181"/>
      <c r="R43" s="181"/>
      <c r="S43" s="235"/>
      <c r="T43" s="236"/>
      <c r="U43" s="236"/>
      <c r="V43" s="236"/>
      <c r="W43" s="236"/>
      <c r="X43" s="236"/>
      <c r="Y43" s="236"/>
      <c r="Z43" s="236"/>
      <c r="AA43" s="236"/>
      <c r="AB43" s="236"/>
      <c r="AC43" s="236"/>
      <c r="AD43" s="236"/>
      <c r="AE43" s="236"/>
      <c r="AF43" s="236"/>
      <c r="AG43" s="236"/>
      <c r="AH43" s="236"/>
      <c r="AI43" s="236"/>
      <c r="AJ43" s="236"/>
      <c r="AK43" s="236"/>
      <c r="AL43" s="236"/>
      <c r="AM43" s="236"/>
      <c r="AN43" s="236"/>
      <c r="AO43" s="236"/>
      <c r="AP43" s="236"/>
      <c r="AQ43" s="236"/>
      <c r="AR43" s="236"/>
      <c r="AS43" s="236"/>
      <c r="AT43" s="236"/>
      <c r="AU43" s="236"/>
      <c r="AV43" s="236"/>
      <c r="AW43" s="237"/>
      <c r="AX43" s="238"/>
      <c r="AY43" s="238"/>
      <c r="AZ43" s="238"/>
      <c r="BA43" s="238"/>
      <c r="BB43" s="238"/>
      <c r="BC43" s="239"/>
      <c r="BD43" s="240"/>
      <c r="BE43" s="238"/>
      <c r="BF43" s="238"/>
      <c r="BG43" s="238"/>
      <c r="BH43" s="238"/>
      <c r="BI43" s="238"/>
      <c r="BJ43" s="239"/>
      <c r="BK43" s="212"/>
    </row>
    <row r="44" spans="1:63" ht="15" customHeight="1" x14ac:dyDescent="0.25">
      <c r="A44" s="211"/>
      <c r="B44" s="193"/>
      <c r="C44" s="194"/>
      <c r="D44" s="194"/>
      <c r="E44" s="194"/>
      <c r="F44" s="194"/>
      <c r="G44" s="195"/>
      <c r="H44" s="193"/>
      <c r="I44" s="194"/>
      <c r="J44" s="194"/>
      <c r="K44" s="194"/>
      <c r="L44" s="194"/>
      <c r="M44" s="194"/>
      <c r="N44" s="195"/>
      <c r="O44" s="193"/>
      <c r="P44" s="194"/>
      <c r="Q44" s="194"/>
      <c r="R44" s="194"/>
      <c r="S44" s="241"/>
      <c r="T44" s="242"/>
      <c r="U44" s="242"/>
      <c r="V44" s="242"/>
      <c r="W44" s="242"/>
      <c r="X44" s="242"/>
      <c r="Y44" s="242"/>
      <c r="Z44" s="242"/>
      <c r="AA44" s="242"/>
      <c r="AB44" s="242"/>
      <c r="AC44" s="242"/>
      <c r="AD44" s="242"/>
      <c r="AE44" s="242"/>
      <c r="AF44" s="242"/>
      <c r="AG44" s="242"/>
      <c r="AH44" s="242"/>
      <c r="AI44" s="242"/>
      <c r="AJ44" s="242"/>
      <c r="AK44" s="242"/>
      <c r="AL44" s="242"/>
      <c r="AM44" s="242"/>
      <c r="AN44" s="242"/>
      <c r="AO44" s="242"/>
      <c r="AP44" s="242"/>
      <c r="AQ44" s="242"/>
      <c r="AR44" s="242"/>
      <c r="AS44" s="242"/>
      <c r="AT44" s="242"/>
      <c r="AU44" s="242"/>
      <c r="AV44" s="242"/>
      <c r="AW44" s="243"/>
      <c r="AX44" s="244"/>
      <c r="AY44" s="244"/>
      <c r="AZ44" s="244"/>
      <c r="BA44" s="244"/>
      <c r="BB44" s="244"/>
      <c r="BC44" s="245"/>
      <c r="BD44" s="246"/>
      <c r="BE44" s="244"/>
      <c r="BF44" s="244"/>
      <c r="BG44" s="244"/>
      <c r="BH44" s="244"/>
      <c r="BI44" s="244"/>
      <c r="BJ44" s="245"/>
      <c r="BK44" s="212"/>
    </row>
    <row r="45" spans="1:63" ht="15" customHeight="1" x14ac:dyDescent="0.25">
      <c r="A45" s="211"/>
      <c r="B45" s="183"/>
      <c r="C45" s="181"/>
      <c r="D45" s="181"/>
      <c r="E45" s="181"/>
      <c r="F45" s="181"/>
      <c r="G45" s="182"/>
      <c r="H45" s="183"/>
      <c r="I45" s="181"/>
      <c r="J45" s="181"/>
      <c r="K45" s="181"/>
      <c r="L45" s="181"/>
      <c r="M45" s="181"/>
      <c r="N45" s="182"/>
      <c r="O45" s="183"/>
      <c r="P45" s="181"/>
      <c r="Q45" s="181"/>
      <c r="R45" s="181"/>
      <c r="S45" s="235"/>
      <c r="T45" s="236"/>
      <c r="U45" s="236"/>
      <c r="V45" s="236"/>
      <c r="W45" s="236"/>
      <c r="X45" s="236"/>
      <c r="Y45" s="236"/>
      <c r="Z45" s="236"/>
      <c r="AA45" s="236"/>
      <c r="AB45" s="236"/>
      <c r="AC45" s="236"/>
      <c r="AD45" s="236"/>
      <c r="AE45" s="236"/>
      <c r="AF45" s="236"/>
      <c r="AG45" s="236"/>
      <c r="AH45" s="236"/>
      <c r="AI45" s="236"/>
      <c r="AJ45" s="236"/>
      <c r="AK45" s="236"/>
      <c r="AL45" s="236"/>
      <c r="AM45" s="236"/>
      <c r="AN45" s="236"/>
      <c r="AO45" s="236"/>
      <c r="AP45" s="236"/>
      <c r="AQ45" s="236"/>
      <c r="AR45" s="236"/>
      <c r="AS45" s="236"/>
      <c r="AT45" s="236"/>
      <c r="AU45" s="236"/>
      <c r="AV45" s="236"/>
      <c r="AW45" s="237"/>
      <c r="AX45" s="238"/>
      <c r="AY45" s="238"/>
      <c r="AZ45" s="238"/>
      <c r="BA45" s="238"/>
      <c r="BB45" s="238"/>
      <c r="BC45" s="239"/>
      <c r="BD45" s="240"/>
      <c r="BE45" s="238"/>
      <c r="BF45" s="238"/>
      <c r="BG45" s="238"/>
      <c r="BH45" s="238"/>
      <c r="BI45" s="238"/>
      <c r="BJ45" s="239"/>
      <c r="BK45" s="212"/>
    </row>
    <row r="46" spans="1:63" ht="15" customHeight="1" x14ac:dyDescent="0.25">
      <c r="A46" s="211"/>
      <c r="B46" s="193"/>
      <c r="C46" s="194"/>
      <c r="D46" s="194"/>
      <c r="E46" s="194"/>
      <c r="F46" s="194"/>
      <c r="G46" s="195"/>
      <c r="H46" s="193"/>
      <c r="I46" s="194"/>
      <c r="J46" s="194"/>
      <c r="K46" s="194"/>
      <c r="L46" s="194"/>
      <c r="M46" s="194"/>
      <c r="N46" s="195"/>
      <c r="O46" s="193"/>
      <c r="P46" s="194"/>
      <c r="Q46" s="194"/>
      <c r="R46" s="194"/>
      <c r="S46" s="241"/>
      <c r="T46" s="242"/>
      <c r="U46" s="242"/>
      <c r="V46" s="242"/>
      <c r="W46" s="242"/>
      <c r="X46" s="242"/>
      <c r="Y46" s="242"/>
      <c r="Z46" s="242"/>
      <c r="AA46" s="242"/>
      <c r="AB46" s="242"/>
      <c r="AC46" s="242"/>
      <c r="AD46" s="242"/>
      <c r="AE46" s="242"/>
      <c r="AF46" s="242"/>
      <c r="AG46" s="242"/>
      <c r="AH46" s="242"/>
      <c r="AI46" s="242"/>
      <c r="AJ46" s="242"/>
      <c r="AK46" s="242"/>
      <c r="AL46" s="242"/>
      <c r="AM46" s="242"/>
      <c r="AN46" s="242"/>
      <c r="AO46" s="242"/>
      <c r="AP46" s="242"/>
      <c r="AQ46" s="242"/>
      <c r="AR46" s="242"/>
      <c r="AS46" s="242"/>
      <c r="AT46" s="242"/>
      <c r="AU46" s="242"/>
      <c r="AV46" s="242"/>
      <c r="AW46" s="243"/>
      <c r="AX46" s="244"/>
      <c r="AY46" s="244"/>
      <c r="AZ46" s="244"/>
      <c r="BA46" s="244"/>
      <c r="BB46" s="244"/>
      <c r="BC46" s="245"/>
      <c r="BD46" s="246"/>
      <c r="BE46" s="244"/>
      <c r="BF46" s="244"/>
      <c r="BG46" s="244"/>
      <c r="BH46" s="244"/>
      <c r="BI46" s="244"/>
      <c r="BJ46" s="245"/>
      <c r="BK46" s="212"/>
    </row>
    <row r="47" spans="1:63" ht="15" customHeight="1" x14ac:dyDescent="0.25">
      <c r="A47" s="211"/>
      <c r="B47" s="183"/>
      <c r="C47" s="181"/>
      <c r="D47" s="181"/>
      <c r="E47" s="181"/>
      <c r="F47" s="181"/>
      <c r="G47" s="182"/>
      <c r="H47" s="183"/>
      <c r="I47" s="181"/>
      <c r="J47" s="181"/>
      <c r="K47" s="181"/>
      <c r="L47" s="181"/>
      <c r="M47" s="181"/>
      <c r="N47" s="182"/>
      <c r="O47" s="183"/>
      <c r="P47" s="181"/>
      <c r="Q47" s="181"/>
      <c r="R47" s="181"/>
      <c r="S47" s="235"/>
      <c r="T47" s="236"/>
      <c r="U47" s="236"/>
      <c r="V47" s="236"/>
      <c r="W47" s="236"/>
      <c r="X47" s="236"/>
      <c r="Y47" s="236"/>
      <c r="Z47" s="236"/>
      <c r="AA47" s="236"/>
      <c r="AB47" s="236"/>
      <c r="AC47" s="236"/>
      <c r="AD47" s="236"/>
      <c r="AE47" s="236"/>
      <c r="AF47" s="236"/>
      <c r="AG47" s="236"/>
      <c r="AH47" s="236"/>
      <c r="AI47" s="236"/>
      <c r="AJ47" s="236"/>
      <c r="AK47" s="236"/>
      <c r="AL47" s="236"/>
      <c r="AM47" s="236"/>
      <c r="AN47" s="236"/>
      <c r="AO47" s="236"/>
      <c r="AP47" s="236"/>
      <c r="AQ47" s="236"/>
      <c r="AR47" s="236"/>
      <c r="AS47" s="236"/>
      <c r="AT47" s="236"/>
      <c r="AU47" s="236"/>
      <c r="AV47" s="236"/>
      <c r="AW47" s="237"/>
      <c r="AX47" s="238"/>
      <c r="AY47" s="238"/>
      <c r="AZ47" s="238"/>
      <c r="BA47" s="238"/>
      <c r="BB47" s="238"/>
      <c r="BC47" s="239"/>
      <c r="BD47" s="240"/>
      <c r="BE47" s="238"/>
      <c r="BF47" s="238"/>
      <c r="BG47" s="238"/>
      <c r="BH47" s="238"/>
      <c r="BI47" s="238"/>
      <c r="BJ47" s="239"/>
      <c r="BK47" s="212"/>
    </row>
    <row r="48" spans="1:63" ht="15" customHeight="1" x14ac:dyDescent="0.25">
      <c r="A48" s="211"/>
      <c r="B48" s="193"/>
      <c r="C48" s="194"/>
      <c r="D48" s="194"/>
      <c r="E48" s="194"/>
      <c r="F48" s="194"/>
      <c r="G48" s="195"/>
      <c r="H48" s="193"/>
      <c r="I48" s="194"/>
      <c r="J48" s="194"/>
      <c r="K48" s="194"/>
      <c r="L48" s="194"/>
      <c r="M48" s="194"/>
      <c r="N48" s="195"/>
      <c r="O48" s="193"/>
      <c r="P48" s="194"/>
      <c r="Q48" s="194"/>
      <c r="R48" s="194"/>
      <c r="S48" s="241"/>
      <c r="T48" s="242"/>
      <c r="U48" s="242"/>
      <c r="V48" s="242"/>
      <c r="W48" s="242"/>
      <c r="X48" s="242"/>
      <c r="Y48" s="242"/>
      <c r="Z48" s="242"/>
      <c r="AA48" s="242"/>
      <c r="AB48" s="242"/>
      <c r="AC48" s="242"/>
      <c r="AD48" s="242"/>
      <c r="AE48" s="242"/>
      <c r="AF48" s="242"/>
      <c r="AG48" s="242"/>
      <c r="AH48" s="242"/>
      <c r="AI48" s="242"/>
      <c r="AJ48" s="242"/>
      <c r="AK48" s="242"/>
      <c r="AL48" s="242"/>
      <c r="AM48" s="242"/>
      <c r="AN48" s="242"/>
      <c r="AO48" s="242"/>
      <c r="AP48" s="242"/>
      <c r="AQ48" s="242"/>
      <c r="AR48" s="242"/>
      <c r="AS48" s="242"/>
      <c r="AT48" s="242"/>
      <c r="AU48" s="242"/>
      <c r="AV48" s="242"/>
      <c r="AW48" s="243"/>
      <c r="AX48" s="244"/>
      <c r="AY48" s="244"/>
      <c r="AZ48" s="244"/>
      <c r="BA48" s="244"/>
      <c r="BB48" s="244"/>
      <c r="BC48" s="245"/>
      <c r="BD48" s="246"/>
      <c r="BE48" s="244"/>
      <c r="BF48" s="244"/>
      <c r="BG48" s="244"/>
      <c r="BH48" s="244"/>
      <c r="BI48" s="244"/>
      <c r="BJ48" s="245"/>
      <c r="BK48" s="212"/>
    </row>
    <row r="49" spans="1:63" ht="15" customHeight="1" x14ac:dyDescent="0.25">
      <c r="A49" s="211"/>
      <c r="B49" s="183"/>
      <c r="C49" s="181"/>
      <c r="D49" s="181"/>
      <c r="E49" s="181"/>
      <c r="F49" s="181"/>
      <c r="G49" s="182"/>
      <c r="H49" s="183"/>
      <c r="I49" s="181"/>
      <c r="J49" s="181"/>
      <c r="K49" s="181"/>
      <c r="L49" s="181"/>
      <c r="M49" s="181"/>
      <c r="N49" s="182"/>
      <c r="O49" s="183"/>
      <c r="P49" s="181"/>
      <c r="Q49" s="181"/>
      <c r="R49" s="181"/>
      <c r="S49" s="235"/>
      <c r="T49" s="236"/>
      <c r="U49" s="236"/>
      <c r="V49" s="236"/>
      <c r="W49" s="236"/>
      <c r="X49" s="236"/>
      <c r="Y49" s="236"/>
      <c r="Z49" s="236"/>
      <c r="AA49" s="236"/>
      <c r="AB49" s="236"/>
      <c r="AC49" s="236"/>
      <c r="AD49" s="236"/>
      <c r="AE49" s="236"/>
      <c r="AF49" s="236"/>
      <c r="AG49" s="236"/>
      <c r="AH49" s="236"/>
      <c r="AI49" s="236"/>
      <c r="AJ49" s="236"/>
      <c r="AK49" s="236"/>
      <c r="AL49" s="236"/>
      <c r="AM49" s="236"/>
      <c r="AN49" s="236"/>
      <c r="AO49" s="236"/>
      <c r="AP49" s="236"/>
      <c r="AQ49" s="236"/>
      <c r="AR49" s="236"/>
      <c r="AS49" s="236"/>
      <c r="AT49" s="236"/>
      <c r="AU49" s="236"/>
      <c r="AV49" s="236"/>
      <c r="AW49" s="237"/>
      <c r="AX49" s="238"/>
      <c r="AY49" s="238"/>
      <c r="AZ49" s="238"/>
      <c r="BA49" s="238"/>
      <c r="BB49" s="238"/>
      <c r="BC49" s="239"/>
      <c r="BD49" s="240"/>
      <c r="BE49" s="238"/>
      <c r="BF49" s="238"/>
      <c r="BG49" s="238"/>
      <c r="BH49" s="238"/>
      <c r="BI49" s="238"/>
      <c r="BJ49" s="239"/>
      <c r="BK49" s="212"/>
    </row>
    <row r="50" spans="1:63" ht="15" customHeight="1" x14ac:dyDescent="0.25">
      <c r="A50" s="211"/>
      <c r="B50" s="193"/>
      <c r="C50" s="194"/>
      <c r="D50" s="194"/>
      <c r="E50" s="194"/>
      <c r="F50" s="194"/>
      <c r="G50" s="195"/>
      <c r="H50" s="193"/>
      <c r="I50" s="194"/>
      <c r="J50" s="194"/>
      <c r="K50" s="194"/>
      <c r="L50" s="194"/>
      <c r="M50" s="194"/>
      <c r="N50" s="195"/>
      <c r="O50" s="193"/>
      <c r="P50" s="194"/>
      <c r="Q50" s="194"/>
      <c r="R50" s="194"/>
      <c r="S50" s="241"/>
      <c r="T50" s="242"/>
      <c r="U50" s="242"/>
      <c r="V50" s="242"/>
      <c r="W50" s="242"/>
      <c r="X50" s="242"/>
      <c r="Y50" s="242"/>
      <c r="Z50" s="242"/>
      <c r="AA50" s="242"/>
      <c r="AB50" s="242"/>
      <c r="AC50" s="242"/>
      <c r="AD50" s="242"/>
      <c r="AE50" s="242"/>
      <c r="AF50" s="242"/>
      <c r="AG50" s="242"/>
      <c r="AH50" s="242"/>
      <c r="AI50" s="242"/>
      <c r="AJ50" s="242"/>
      <c r="AK50" s="242"/>
      <c r="AL50" s="242"/>
      <c r="AM50" s="242"/>
      <c r="AN50" s="242"/>
      <c r="AO50" s="242"/>
      <c r="AP50" s="242"/>
      <c r="AQ50" s="242"/>
      <c r="AR50" s="242"/>
      <c r="AS50" s="242"/>
      <c r="AT50" s="242"/>
      <c r="AU50" s="242"/>
      <c r="AV50" s="242"/>
      <c r="AW50" s="243"/>
      <c r="AX50" s="244"/>
      <c r="AY50" s="244"/>
      <c r="AZ50" s="244"/>
      <c r="BA50" s="244"/>
      <c r="BB50" s="244"/>
      <c r="BC50" s="245"/>
      <c r="BD50" s="246"/>
      <c r="BE50" s="244"/>
      <c r="BF50" s="244"/>
      <c r="BG50" s="244"/>
      <c r="BH50" s="244"/>
      <c r="BI50" s="244"/>
      <c r="BJ50" s="245"/>
      <c r="BK50" s="212"/>
    </row>
    <row r="51" spans="1:63" ht="15" customHeight="1" x14ac:dyDescent="0.25">
      <c r="A51" s="211"/>
      <c r="B51" s="183"/>
      <c r="C51" s="181"/>
      <c r="D51" s="181"/>
      <c r="E51" s="181"/>
      <c r="F51" s="181"/>
      <c r="G51" s="182"/>
      <c r="H51" s="183"/>
      <c r="I51" s="181"/>
      <c r="J51" s="181"/>
      <c r="K51" s="181"/>
      <c r="L51" s="181"/>
      <c r="M51" s="181"/>
      <c r="N51" s="182"/>
      <c r="O51" s="183"/>
      <c r="P51" s="181"/>
      <c r="Q51" s="181"/>
      <c r="R51" s="181"/>
      <c r="S51" s="235"/>
      <c r="T51" s="236"/>
      <c r="U51" s="236"/>
      <c r="V51" s="236"/>
      <c r="W51" s="236"/>
      <c r="X51" s="236"/>
      <c r="Y51" s="236"/>
      <c r="Z51" s="236"/>
      <c r="AA51" s="236"/>
      <c r="AB51" s="236"/>
      <c r="AC51" s="236"/>
      <c r="AD51" s="236"/>
      <c r="AE51" s="236"/>
      <c r="AF51" s="236"/>
      <c r="AG51" s="236"/>
      <c r="AH51" s="236"/>
      <c r="AI51" s="236"/>
      <c r="AJ51" s="236"/>
      <c r="AK51" s="236"/>
      <c r="AL51" s="236"/>
      <c r="AM51" s="236"/>
      <c r="AN51" s="236"/>
      <c r="AO51" s="236"/>
      <c r="AP51" s="236"/>
      <c r="AQ51" s="236"/>
      <c r="AR51" s="236"/>
      <c r="AS51" s="236"/>
      <c r="AT51" s="236"/>
      <c r="AU51" s="236"/>
      <c r="AV51" s="236"/>
      <c r="AW51" s="237"/>
      <c r="AX51" s="238"/>
      <c r="AY51" s="238"/>
      <c r="AZ51" s="238"/>
      <c r="BA51" s="238"/>
      <c r="BB51" s="238"/>
      <c r="BC51" s="239"/>
      <c r="BD51" s="240"/>
      <c r="BE51" s="238"/>
      <c r="BF51" s="238"/>
      <c r="BG51" s="238"/>
      <c r="BH51" s="238"/>
      <c r="BI51" s="238"/>
      <c r="BJ51" s="239"/>
      <c r="BK51" s="212"/>
    </row>
    <row r="52" spans="1:63" ht="15" customHeight="1" x14ac:dyDescent="0.25">
      <c r="A52" s="211"/>
      <c r="B52" s="193"/>
      <c r="C52" s="194"/>
      <c r="D52" s="194"/>
      <c r="E52" s="194"/>
      <c r="F52" s="194"/>
      <c r="G52" s="195"/>
      <c r="H52" s="193"/>
      <c r="I52" s="194"/>
      <c r="J52" s="194"/>
      <c r="K52" s="194"/>
      <c r="L52" s="194"/>
      <c r="M52" s="194"/>
      <c r="N52" s="195"/>
      <c r="O52" s="193"/>
      <c r="P52" s="194"/>
      <c r="Q52" s="194"/>
      <c r="R52" s="194"/>
      <c r="S52" s="241"/>
      <c r="T52" s="242"/>
      <c r="U52" s="242"/>
      <c r="V52" s="242"/>
      <c r="W52" s="242"/>
      <c r="X52" s="242"/>
      <c r="Y52" s="242"/>
      <c r="Z52" s="242"/>
      <c r="AA52" s="242"/>
      <c r="AB52" s="242"/>
      <c r="AC52" s="242"/>
      <c r="AD52" s="242"/>
      <c r="AE52" s="242"/>
      <c r="AF52" s="242"/>
      <c r="AG52" s="242"/>
      <c r="AH52" s="242"/>
      <c r="AI52" s="242"/>
      <c r="AJ52" s="242"/>
      <c r="AK52" s="242"/>
      <c r="AL52" s="242"/>
      <c r="AM52" s="242"/>
      <c r="AN52" s="242"/>
      <c r="AO52" s="242"/>
      <c r="AP52" s="242"/>
      <c r="AQ52" s="242"/>
      <c r="AR52" s="242"/>
      <c r="AS52" s="242"/>
      <c r="AT52" s="242"/>
      <c r="AU52" s="242"/>
      <c r="AV52" s="242"/>
      <c r="AW52" s="243"/>
      <c r="AX52" s="244"/>
      <c r="AY52" s="244"/>
      <c r="AZ52" s="244"/>
      <c r="BA52" s="244"/>
      <c r="BB52" s="244"/>
      <c r="BC52" s="245"/>
      <c r="BD52" s="246"/>
      <c r="BE52" s="244"/>
      <c r="BF52" s="244"/>
      <c r="BG52" s="244"/>
      <c r="BH52" s="244"/>
      <c r="BI52" s="244"/>
      <c r="BJ52" s="245"/>
      <c r="BK52" s="212"/>
    </row>
    <row r="53" spans="1:63" ht="15" customHeight="1" x14ac:dyDescent="0.25">
      <c r="A53" s="211"/>
      <c r="B53" s="183"/>
      <c r="C53" s="181"/>
      <c r="D53" s="181"/>
      <c r="E53" s="181"/>
      <c r="F53" s="181"/>
      <c r="G53" s="182"/>
      <c r="H53" s="183"/>
      <c r="I53" s="181"/>
      <c r="J53" s="181"/>
      <c r="K53" s="181"/>
      <c r="L53" s="181"/>
      <c r="M53" s="181"/>
      <c r="N53" s="182"/>
      <c r="O53" s="183"/>
      <c r="P53" s="181"/>
      <c r="Q53" s="181"/>
      <c r="R53" s="181"/>
      <c r="S53" s="235"/>
      <c r="T53" s="236"/>
      <c r="U53" s="236"/>
      <c r="V53" s="236"/>
      <c r="W53" s="236"/>
      <c r="X53" s="236"/>
      <c r="Y53" s="236"/>
      <c r="Z53" s="236"/>
      <c r="AA53" s="236"/>
      <c r="AB53" s="236"/>
      <c r="AC53" s="236"/>
      <c r="AD53" s="236"/>
      <c r="AE53" s="236"/>
      <c r="AF53" s="236"/>
      <c r="AG53" s="236"/>
      <c r="AH53" s="236"/>
      <c r="AI53" s="236"/>
      <c r="AJ53" s="236"/>
      <c r="AK53" s="236"/>
      <c r="AL53" s="236"/>
      <c r="AM53" s="236"/>
      <c r="AN53" s="236"/>
      <c r="AO53" s="236"/>
      <c r="AP53" s="236"/>
      <c r="AQ53" s="236"/>
      <c r="AR53" s="236"/>
      <c r="AS53" s="236"/>
      <c r="AT53" s="236"/>
      <c r="AU53" s="236"/>
      <c r="AV53" s="236"/>
      <c r="AW53" s="237"/>
      <c r="AX53" s="238"/>
      <c r="AY53" s="238"/>
      <c r="AZ53" s="238"/>
      <c r="BA53" s="238"/>
      <c r="BB53" s="238"/>
      <c r="BC53" s="239"/>
      <c r="BD53" s="240"/>
      <c r="BE53" s="238"/>
      <c r="BF53" s="238"/>
      <c r="BG53" s="238"/>
      <c r="BH53" s="238"/>
      <c r="BI53" s="238"/>
      <c r="BJ53" s="239"/>
      <c r="BK53" s="212"/>
    </row>
    <row r="54" spans="1:63" ht="15" customHeight="1" x14ac:dyDescent="0.25">
      <c r="A54" s="211"/>
      <c r="B54" s="193"/>
      <c r="C54" s="194"/>
      <c r="D54" s="194"/>
      <c r="E54" s="194"/>
      <c r="F54" s="194"/>
      <c r="G54" s="195"/>
      <c r="H54" s="193"/>
      <c r="I54" s="194"/>
      <c r="J54" s="194"/>
      <c r="K54" s="194"/>
      <c r="L54" s="194"/>
      <c r="M54" s="194"/>
      <c r="N54" s="195"/>
      <c r="O54" s="193"/>
      <c r="P54" s="194"/>
      <c r="Q54" s="194"/>
      <c r="R54" s="194"/>
      <c r="S54" s="241"/>
      <c r="T54" s="242"/>
      <c r="U54" s="242"/>
      <c r="V54" s="242"/>
      <c r="W54" s="242"/>
      <c r="X54" s="242"/>
      <c r="Y54" s="242"/>
      <c r="Z54" s="242"/>
      <c r="AA54" s="242"/>
      <c r="AB54" s="242"/>
      <c r="AC54" s="242"/>
      <c r="AD54" s="242"/>
      <c r="AE54" s="242"/>
      <c r="AF54" s="242"/>
      <c r="AG54" s="242"/>
      <c r="AH54" s="242"/>
      <c r="AI54" s="242"/>
      <c r="AJ54" s="242"/>
      <c r="AK54" s="242"/>
      <c r="AL54" s="242"/>
      <c r="AM54" s="242"/>
      <c r="AN54" s="242"/>
      <c r="AO54" s="242"/>
      <c r="AP54" s="242"/>
      <c r="AQ54" s="242"/>
      <c r="AR54" s="242"/>
      <c r="AS54" s="242"/>
      <c r="AT54" s="242"/>
      <c r="AU54" s="242"/>
      <c r="AV54" s="242"/>
      <c r="AW54" s="243"/>
      <c r="AX54" s="244"/>
      <c r="AY54" s="244"/>
      <c r="AZ54" s="244"/>
      <c r="BA54" s="244"/>
      <c r="BB54" s="244"/>
      <c r="BC54" s="245"/>
      <c r="BD54" s="246"/>
      <c r="BE54" s="244"/>
      <c r="BF54" s="244"/>
      <c r="BG54" s="244"/>
      <c r="BH54" s="244"/>
      <c r="BI54" s="244"/>
      <c r="BJ54" s="245"/>
      <c r="BK54" s="212"/>
    </row>
    <row r="55" spans="1:63" ht="15" customHeight="1" x14ac:dyDescent="0.25">
      <c r="A55" s="208"/>
      <c r="B55" s="209"/>
      <c r="C55" s="209"/>
      <c r="D55" s="209"/>
      <c r="E55" s="209"/>
      <c r="F55" s="209"/>
      <c r="G55" s="209"/>
      <c r="H55" s="209"/>
      <c r="I55" s="209"/>
      <c r="J55" s="209"/>
      <c r="K55" s="209"/>
      <c r="L55" s="209"/>
      <c r="M55" s="209"/>
      <c r="N55" s="209"/>
      <c r="O55" s="209"/>
      <c r="P55" s="209"/>
      <c r="Q55" s="209"/>
      <c r="R55" s="209"/>
      <c r="S55" s="209"/>
      <c r="T55" s="209"/>
      <c r="U55" s="209"/>
      <c r="V55" s="209"/>
      <c r="W55" s="209"/>
      <c r="X55" s="209"/>
      <c r="Y55" s="209"/>
      <c r="Z55" s="209"/>
      <c r="AA55" s="209"/>
      <c r="AB55" s="209"/>
      <c r="AC55" s="209"/>
      <c r="AD55" s="209"/>
      <c r="AE55" s="209"/>
      <c r="AF55" s="209"/>
      <c r="AG55" s="209"/>
      <c r="AH55" s="209"/>
      <c r="AI55" s="209"/>
      <c r="AJ55" s="209"/>
      <c r="AK55" s="209"/>
      <c r="AL55" s="209"/>
      <c r="AM55" s="209"/>
      <c r="AN55" s="209"/>
      <c r="AO55" s="209"/>
      <c r="AP55" s="209"/>
      <c r="AQ55" s="209"/>
      <c r="AR55" s="209"/>
      <c r="AS55" s="209"/>
      <c r="AT55" s="209"/>
      <c r="AU55" s="209"/>
      <c r="AV55" s="209"/>
      <c r="AW55" s="209"/>
      <c r="AX55" s="209"/>
      <c r="AY55" s="209"/>
      <c r="AZ55" s="209"/>
      <c r="BA55" s="209"/>
      <c r="BB55" s="209"/>
      <c r="BC55" s="209"/>
      <c r="BD55" s="209"/>
      <c r="BE55" s="209"/>
      <c r="BF55" s="209"/>
      <c r="BG55" s="209"/>
      <c r="BH55" s="209"/>
      <c r="BI55" s="209"/>
      <c r="BJ55" s="209"/>
      <c r="BK55" s="210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43960-0AE6-400E-AC04-424E7C94B598}">
  <sheetPr>
    <pageSetUpPr fitToPage="1"/>
  </sheetPr>
  <dimension ref="A1:BK62"/>
  <sheetViews>
    <sheetView view="pageBreakPreview" zoomScale="85" zoomScaleNormal="85" zoomScaleSheetLayoutView="85" workbookViewId="0">
      <selection sqref="A1:J1"/>
    </sheetView>
  </sheetViews>
  <sheetFormatPr defaultRowHeight="15.75" x14ac:dyDescent="0.25"/>
  <cols>
    <col min="1" max="63" width="2.77734375" style="247" customWidth="1"/>
    <col min="64" max="16384" width="8.88671875" style="247"/>
  </cols>
  <sheetData>
    <row r="1" spans="1:63" ht="24.95" customHeight="1" x14ac:dyDescent="0.25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6"/>
      <c r="K1" s="34" t="s">
        <v>2</v>
      </c>
      <c r="L1" s="35"/>
      <c r="M1" s="35"/>
      <c r="N1" s="35"/>
      <c r="O1" s="35"/>
      <c r="P1" s="35"/>
      <c r="Q1" s="35"/>
      <c r="R1" s="35"/>
      <c r="S1" s="35"/>
      <c r="T1" s="35"/>
      <c r="U1" s="35"/>
      <c r="V1" s="36"/>
      <c r="W1" s="38" t="str">
        <f>IF(表紙!W1="","",表紙!W1)</f>
        <v>基本設計書</v>
      </c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40"/>
      <c r="AP1" s="34" t="s">
        <v>3</v>
      </c>
      <c r="AQ1" s="35"/>
      <c r="AR1" s="35"/>
      <c r="AS1" s="36"/>
      <c r="AT1" s="34" t="s">
        <v>4</v>
      </c>
      <c r="AU1" s="35"/>
      <c r="AV1" s="35"/>
      <c r="AW1" s="35"/>
      <c r="AX1" s="36"/>
      <c r="AY1" s="34" t="s">
        <v>5</v>
      </c>
      <c r="AZ1" s="35"/>
      <c r="BA1" s="35"/>
      <c r="BB1" s="36"/>
      <c r="BC1" s="34" t="s">
        <v>6</v>
      </c>
      <c r="BD1" s="35"/>
      <c r="BE1" s="35"/>
      <c r="BF1" s="35"/>
      <c r="BG1" s="36"/>
      <c r="BH1" s="34" t="s">
        <v>7</v>
      </c>
      <c r="BI1" s="35"/>
      <c r="BJ1" s="35"/>
      <c r="BK1" s="36"/>
    </row>
    <row r="2" spans="1:63" ht="15" customHeight="1" x14ac:dyDescent="0.25">
      <c r="A2" s="248" t="str">
        <f>IF(表紙!A2="","",表紙!A2)</f>
        <v>POSサーバー</v>
      </c>
      <c r="B2" s="249"/>
      <c r="C2" s="249"/>
      <c r="D2" s="249"/>
      <c r="E2" s="249"/>
      <c r="F2" s="249"/>
      <c r="G2" s="249"/>
      <c r="H2" s="249"/>
      <c r="I2" s="249"/>
      <c r="J2" s="250"/>
      <c r="K2" s="248" t="str">
        <f>IF(表紙!K2="","",表紙!K2)</f>
        <v>POSサーバー</v>
      </c>
      <c r="L2" s="249"/>
      <c r="M2" s="249"/>
      <c r="N2" s="249"/>
      <c r="O2" s="249"/>
      <c r="P2" s="249"/>
      <c r="Q2" s="249"/>
      <c r="R2" s="249"/>
      <c r="S2" s="249"/>
      <c r="T2" s="249"/>
      <c r="U2" s="249"/>
      <c r="V2" s="250"/>
      <c r="W2" s="41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3"/>
      <c r="AP2" s="248" t="str">
        <f>IF(表紙!AP2="","",表紙!AP2)</f>
        <v>TinNH</v>
      </c>
      <c r="AQ2" s="249"/>
      <c r="AR2" s="249"/>
      <c r="AS2" s="250"/>
      <c r="AT2" s="251">
        <v>45084</v>
      </c>
      <c r="AU2" s="252"/>
      <c r="AV2" s="252"/>
      <c r="AW2" s="252"/>
      <c r="AX2" s="253"/>
      <c r="AY2" s="248" t="str">
        <f>IF(表紙!AY2="","",表紙!AY2)</f>
        <v>TinNH</v>
      </c>
      <c r="AZ2" s="249"/>
      <c r="BA2" s="249"/>
      <c r="BB2" s="250"/>
      <c r="BC2" s="251">
        <f>IF(表紙!BC2="","",表紙!BC2)</f>
        <v>45443</v>
      </c>
      <c r="BD2" s="252"/>
      <c r="BE2" s="252"/>
      <c r="BF2" s="252"/>
      <c r="BG2" s="253"/>
      <c r="BH2" s="248">
        <f>IF(表紙!BH2="","",表紙!BH2)</f>
        <v>0.2</v>
      </c>
      <c r="BI2" s="249"/>
      <c r="BJ2" s="249"/>
      <c r="BK2" s="250"/>
    </row>
    <row r="3" spans="1:63" ht="15" customHeight="1" x14ac:dyDescent="0.25">
      <c r="A3" s="254"/>
      <c r="B3" s="255"/>
      <c r="C3" s="255"/>
      <c r="D3" s="255"/>
      <c r="E3" s="255"/>
      <c r="F3" s="255"/>
      <c r="G3" s="255"/>
      <c r="H3" s="255"/>
      <c r="I3" s="255"/>
      <c r="J3" s="256"/>
      <c r="K3" s="254"/>
      <c r="L3" s="255"/>
      <c r="M3" s="255"/>
      <c r="N3" s="255"/>
      <c r="O3" s="255"/>
      <c r="P3" s="255"/>
      <c r="Q3" s="255"/>
      <c r="R3" s="255"/>
      <c r="S3" s="255"/>
      <c r="T3" s="255"/>
      <c r="U3" s="255"/>
      <c r="V3" s="256"/>
      <c r="W3" s="44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6"/>
      <c r="AP3" s="254"/>
      <c r="AQ3" s="255"/>
      <c r="AR3" s="255"/>
      <c r="AS3" s="256"/>
      <c r="AT3" s="257"/>
      <c r="AU3" s="258"/>
      <c r="AV3" s="258"/>
      <c r="AW3" s="258"/>
      <c r="AX3" s="259"/>
      <c r="AY3" s="254"/>
      <c r="AZ3" s="255"/>
      <c r="BA3" s="255"/>
      <c r="BB3" s="256"/>
      <c r="BC3" s="257"/>
      <c r="BD3" s="258"/>
      <c r="BE3" s="258"/>
      <c r="BF3" s="258"/>
      <c r="BG3" s="259"/>
      <c r="BH3" s="254"/>
      <c r="BI3" s="255"/>
      <c r="BJ3" s="255"/>
      <c r="BK3" s="256"/>
    </row>
    <row r="4" spans="1:63" ht="24.95" customHeight="1" x14ac:dyDescent="0.25">
      <c r="A4" s="34" t="s">
        <v>1</v>
      </c>
      <c r="B4" s="35"/>
      <c r="C4" s="35"/>
      <c r="D4" s="35"/>
      <c r="E4" s="35"/>
      <c r="F4" s="35"/>
      <c r="G4" s="36"/>
      <c r="H4" s="260" t="str">
        <f>IF(表紙!H4="","",表紙!H4)</f>
        <v>71_ノードマスタ設定</v>
      </c>
      <c r="I4" s="261"/>
      <c r="J4" s="261"/>
      <c r="K4" s="261"/>
      <c r="L4" s="261"/>
      <c r="M4" s="261"/>
      <c r="N4" s="261"/>
      <c r="O4" s="261"/>
      <c r="P4" s="261"/>
      <c r="Q4" s="261"/>
      <c r="R4" s="261"/>
      <c r="S4" s="261"/>
      <c r="T4" s="262"/>
      <c r="U4" s="34" t="s">
        <v>8</v>
      </c>
      <c r="V4" s="35"/>
      <c r="W4" s="35"/>
      <c r="X4" s="35"/>
      <c r="Y4" s="36"/>
      <c r="Z4" s="260" t="str">
        <f>IF(表紙!Z4="","",表紙!Z4)</f>
        <v>概要設計書</v>
      </c>
      <c r="AA4" s="261"/>
      <c r="AB4" s="261"/>
      <c r="AC4" s="261"/>
      <c r="AD4" s="261"/>
      <c r="AE4" s="261"/>
      <c r="AF4" s="261"/>
      <c r="AG4" s="261"/>
      <c r="AH4" s="261"/>
      <c r="AI4" s="261"/>
      <c r="AJ4" s="261"/>
      <c r="AK4" s="261"/>
      <c r="AL4" s="261"/>
      <c r="AM4" s="261"/>
      <c r="AN4" s="261"/>
      <c r="AO4" s="262"/>
      <c r="AP4" s="260" t="str">
        <f t="array" aca="1" ref="AP4" ca="1">RIGHT(CELL("filename",$A$1),LEN(CELL("filename",$A$1))-FIND("]",CELL("filename",$A$1)))</f>
        <v>業務フロー凡例</v>
      </c>
      <c r="AQ4" s="261"/>
      <c r="AR4" s="261"/>
      <c r="AS4" s="261"/>
      <c r="AT4" s="261"/>
      <c r="AU4" s="261"/>
      <c r="AV4" s="261"/>
      <c r="AW4" s="261"/>
      <c r="AX4" s="261"/>
      <c r="AY4" s="261"/>
      <c r="AZ4" s="261"/>
      <c r="BA4" s="261"/>
      <c r="BB4" s="261"/>
      <c r="BC4" s="261"/>
      <c r="BD4" s="261"/>
      <c r="BE4" s="261"/>
      <c r="BF4" s="261"/>
      <c r="BG4" s="261"/>
      <c r="BH4" s="261"/>
      <c r="BI4" s="261"/>
      <c r="BJ4" s="261"/>
      <c r="BK4" s="262"/>
    </row>
    <row r="5" spans="1:63" ht="5.0999999999999996" customHeight="1" x14ac:dyDescent="0.25">
      <c r="A5" s="263"/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4"/>
      <c r="AD5" s="264"/>
      <c r="AE5" s="264"/>
      <c r="AF5" s="264"/>
      <c r="AG5" s="264"/>
      <c r="AH5" s="264"/>
      <c r="AI5" s="264"/>
      <c r="AJ5" s="264"/>
      <c r="AK5" s="264"/>
      <c r="AL5" s="264"/>
      <c r="AM5" s="264"/>
      <c r="AN5" s="264"/>
      <c r="AO5" s="264"/>
      <c r="AP5" s="264"/>
      <c r="AQ5" s="264"/>
      <c r="AR5" s="264"/>
      <c r="AS5" s="264"/>
      <c r="AT5" s="264"/>
      <c r="AU5" s="264"/>
      <c r="AV5" s="264"/>
      <c r="AW5" s="264"/>
      <c r="AX5" s="264"/>
      <c r="AY5" s="264"/>
      <c r="AZ5" s="264"/>
      <c r="BA5" s="264"/>
      <c r="BB5" s="264"/>
      <c r="BC5" s="264"/>
      <c r="BD5" s="264"/>
      <c r="BE5" s="264"/>
      <c r="BF5" s="264"/>
      <c r="BG5" s="264"/>
      <c r="BH5" s="264"/>
      <c r="BI5" s="264"/>
      <c r="BJ5" s="264"/>
      <c r="BK5" s="265"/>
    </row>
    <row r="6" spans="1:63" ht="15" customHeight="1" x14ac:dyDescent="0.25">
      <c r="A6" s="266"/>
      <c r="B6" s="267"/>
      <c r="C6" s="268"/>
      <c r="D6" s="268"/>
      <c r="E6" s="268"/>
      <c r="F6" s="268"/>
      <c r="G6" s="268"/>
      <c r="H6" s="268"/>
      <c r="I6" s="268"/>
      <c r="J6" s="268"/>
      <c r="K6" s="268"/>
      <c r="L6" s="268"/>
      <c r="M6" s="268"/>
      <c r="N6" s="268"/>
      <c r="O6" s="268"/>
      <c r="P6" s="268"/>
      <c r="Q6" s="268"/>
      <c r="R6" s="268"/>
      <c r="S6" s="268"/>
      <c r="T6" s="268"/>
      <c r="U6" s="268"/>
      <c r="V6" s="268"/>
      <c r="W6" s="268"/>
      <c r="X6" s="268"/>
      <c r="Y6" s="268"/>
      <c r="Z6" s="268"/>
      <c r="AA6" s="268"/>
      <c r="AB6" s="268"/>
      <c r="AC6" s="268"/>
      <c r="AD6" s="268"/>
      <c r="AE6" s="269"/>
      <c r="AF6" s="267"/>
      <c r="AG6" s="268"/>
      <c r="AH6" s="268"/>
      <c r="AI6" s="268"/>
      <c r="AJ6" s="268"/>
      <c r="AK6" s="268"/>
      <c r="AL6" s="268"/>
      <c r="AM6" s="268"/>
      <c r="AN6" s="268"/>
      <c r="AO6" s="268"/>
      <c r="AP6" s="268"/>
      <c r="AQ6" s="268"/>
      <c r="AR6" s="268"/>
      <c r="AS6" s="268"/>
      <c r="AT6" s="268"/>
      <c r="AU6" s="268"/>
      <c r="AV6" s="268"/>
      <c r="AW6" s="268"/>
      <c r="AX6" s="268"/>
      <c r="AY6" s="268"/>
      <c r="AZ6" s="268"/>
      <c r="BA6" s="268"/>
      <c r="BB6" s="268"/>
      <c r="BC6" s="268"/>
      <c r="BD6" s="268"/>
      <c r="BE6" s="268"/>
      <c r="BF6" s="268"/>
      <c r="BG6" s="268"/>
      <c r="BH6" s="268"/>
      <c r="BI6" s="269"/>
      <c r="BJ6" s="268"/>
      <c r="BK6" s="270"/>
    </row>
    <row r="7" spans="1:63" ht="15" customHeight="1" x14ac:dyDescent="0.25">
      <c r="A7" s="266"/>
      <c r="B7" s="2" t="s">
        <v>12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3"/>
      <c r="AF7" s="2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3"/>
      <c r="BJ7" s="1"/>
      <c r="BK7" s="270"/>
    </row>
    <row r="8" spans="1:63" ht="15" customHeight="1" x14ac:dyDescent="0.25">
      <c r="A8" s="266"/>
      <c r="B8" s="267"/>
      <c r="C8" s="268"/>
      <c r="D8" s="268"/>
      <c r="E8" s="268"/>
      <c r="F8" s="268"/>
      <c r="G8" s="268"/>
      <c r="H8" s="268"/>
      <c r="I8" s="268"/>
      <c r="J8" s="268"/>
      <c r="K8" s="268"/>
      <c r="L8" s="268"/>
      <c r="M8" s="268"/>
      <c r="N8" s="268"/>
      <c r="O8" s="268"/>
      <c r="P8" s="268"/>
      <c r="Q8" s="268"/>
      <c r="R8" s="268"/>
      <c r="S8" s="268"/>
      <c r="T8" s="268"/>
      <c r="U8" s="268"/>
      <c r="V8" s="268"/>
      <c r="W8" s="268"/>
      <c r="X8" s="268"/>
      <c r="Y8" s="268"/>
      <c r="Z8" s="268"/>
      <c r="AA8" s="268"/>
      <c r="AB8" s="268"/>
      <c r="AC8" s="268"/>
      <c r="AD8" s="268"/>
      <c r="AE8" s="269"/>
      <c r="AF8" s="267"/>
      <c r="AG8" s="268"/>
      <c r="AH8" s="268"/>
      <c r="AI8" s="268"/>
      <c r="AJ8" s="268"/>
      <c r="AK8" s="268"/>
      <c r="AL8" s="268"/>
      <c r="AM8" s="268"/>
      <c r="AN8" s="268"/>
      <c r="AO8" s="268"/>
      <c r="AP8" s="268"/>
      <c r="AQ8" s="268"/>
      <c r="AR8" s="268"/>
      <c r="AS8" s="268"/>
      <c r="AT8" s="268"/>
      <c r="AU8" s="268"/>
      <c r="AV8" s="268"/>
      <c r="AW8" s="268"/>
      <c r="AX8" s="268"/>
      <c r="AY8" s="268"/>
      <c r="AZ8" s="268"/>
      <c r="BA8" s="268"/>
      <c r="BB8" s="268"/>
      <c r="BC8" s="268"/>
      <c r="BD8" s="268"/>
      <c r="BE8" s="268"/>
      <c r="BF8" s="268"/>
      <c r="BG8" s="268"/>
      <c r="BH8" s="268"/>
      <c r="BI8" s="269"/>
      <c r="BJ8" s="268"/>
      <c r="BK8" s="270"/>
    </row>
    <row r="9" spans="1:63" ht="15" customHeight="1" x14ac:dyDescent="0.25">
      <c r="A9" s="266"/>
      <c r="B9" s="267"/>
      <c r="C9" s="268"/>
      <c r="D9" s="268"/>
      <c r="E9" s="268"/>
      <c r="F9" s="268"/>
      <c r="G9" s="268"/>
      <c r="H9" s="268"/>
      <c r="I9" s="268"/>
      <c r="J9" s="268"/>
      <c r="K9" s="268"/>
      <c r="L9" s="268"/>
      <c r="M9" s="268"/>
      <c r="N9" s="268"/>
      <c r="O9" s="268"/>
      <c r="P9" s="268"/>
      <c r="Q9" s="268"/>
      <c r="R9" s="268"/>
      <c r="S9" s="268"/>
      <c r="T9" s="268"/>
      <c r="U9" s="268"/>
      <c r="V9" s="268"/>
      <c r="W9" s="268"/>
      <c r="X9" s="268"/>
      <c r="Y9" s="268"/>
      <c r="Z9" s="268"/>
      <c r="AA9" s="268"/>
      <c r="AB9" s="268"/>
      <c r="AC9" s="268"/>
      <c r="AD9" s="268"/>
      <c r="AE9" s="269"/>
      <c r="AF9" s="267"/>
      <c r="AG9" s="268"/>
      <c r="AH9" s="268"/>
      <c r="AI9" s="268"/>
      <c r="AJ9" s="268"/>
      <c r="AK9" s="268"/>
      <c r="AL9" s="268"/>
      <c r="AM9" s="268"/>
      <c r="AN9" s="268"/>
      <c r="AO9" s="268"/>
      <c r="AP9" s="268"/>
      <c r="AQ9" s="268"/>
      <c r="AR9" s="268"/>
      <c r="AS9" s="268"/>
      <c r="AT9" s="268"/>
      <c r="AU9" s="268"/>
      <c r="AV9" s="268"/>
      <c r="AW9" s="268"/>
      <c r="AX9" s="268"/>
      <c r="AY9" s="268"/>
      <c r="AZ9" s="268"/>
      <c r="BA9" s="268"/>
      <c r="BB9" s="268"/>
      <c r="BC9" s="268"/>
      <c r="BD9" s="268"/>
      <c r="BE9" s="268"/>
      <c r="BF9" s="268"/>
      <c r="BG9" s="268"/>
      <c r="BH9" s="268"/>
      <c r="BI9" s="269"/>
      <c r="BJ9" s="268"/>
      <c r="BK9" s="270"/>
    </row>
    <row r="10" spans="1:63" ht="15" customHeight="1" x14ac:dyDescent="0.25">
      <c r="A10" s="266"/>
      <c r="B10" s="267"/>
      <c r="C10" s="268"/>
      <c r="D10" s="268"/>
      <c r="E10" s="268"/>
      <c r="F10" s="268"/>
      <c r="G10" s="268"/>
      <c r="H10" s="268"/>
      <c r="I10" s="268"/>
      <c r="J10" s="268"/>
      <c r="K10" s="268"/>
      <c r="L10" s="268"/>
      <c r="M10" s="268"/>
      <c r="N10" s="268"/>
      <c r="O10" s="268"/>
      <c r="P10" s="268"/>
      <c r="Q10" s="268"/>
      <c r="R10" s="268"/>
      <c r="S10" s="268"/>
      <c r="T10" s="268"/>
      <c r="U10" s="268"/>
      <c r="V10" s="268"/>
      <c r="W10" s="268"/>
      <c r="X10" s="268"/>
      <c r="Y10" s="268"/>
      <c r="Z10" s="268"/>
      <c r="AA10" s="268"/>
      <c r="AB10" s="268"/>
      <c r="AC10" s="268"/>
      <c r="AD10" s="268"/>
      <c r="AE10" s="269"/>
      <c r="AF10" s="267"/>
      <c r="AG10" s="268"/>
      <c r="AH10" s="268"/>
      <c r="AI10" s="268"/>
      <c r="AJ10" s="268"/>
      <c r="AK10" s="268"/>
      <c r="AL10" s="268"/>
      <c r="AM10" s="268"/>
      <c r="AN10" s="268"/>
      <c r="AO10" s="268"/>
      <c r="AP10" s="268"/>
      <c r="AQ10" s="268"/>
      <c r="AR10" s="268"/>
      <c r="AS10" s="268"/>
      <c r="AT10" s="268"/>
      <c r="AU10" s="268"/>
      <c r="AV10" s="268"/>
      <c r="AW10" s="268"/>
      <c r="AX10" s="268"/>
      <c r="AY10" s="268"/>
      <c r="AZ10" s="268"/>
      <c r="BA10" s="268"/>
      <c r="BB10" s="268"/>
      <c r="BC10" s="268"/>
      <c r="BD10" s="268"/>
      <c r="BE10" s="268"/>
      <c r="BF10" s="268"/>
      <c r="BG10" s="268"/>
      <c r="BH10" s="268"/>
      <c r="BI10" s="269"/>
      <c r="BJ10" s="268"/>
      <c r="BK10" s="270"/>
    </row>
    <row r="11" spans="1:63" ht="15" customHeight="1" x14ac:dyDescent="0.25">
      <c r="A11" s="266"/>
      <c r="B11" s="267"/>
      <c r="C11" s="268"/>
      <c r="D11" s="268"/>
      <c r="E11" s="268"/>
      <c r="F11" s="268"/>
      <c r="G11" s="268"/>
      <c r="H11" s="268"/>
      <c r="I11" s="268"/>
      <c r="J11" s="268"/>
      <c r="K11" s="268"/>
      <c r="L11" s="268"/>
      <c r="M11" s="268"/>
      <c r="N11" s="268"/>
      <c r="O11" s="268"/>
      <c r="P11" s="268"/>
      <c r="Q11" s="268"/>
      <c r="R11" s="268"/>
      <c r="S11" s="268"/>
      <c r="T11" s="268"/>
      <c r="U11" s="268"/>
      <c r="V11" s="268"/>
      <c r="W11" s="268"/>
      <c r="X11" s="268"/>
      <c r="Y11" s="268"/>
      <c r="Z11" s="268"/>
      <c r="AA11" s="268"/>
      <c r="AB11" s="268"/>
      <c r="AC11" s="268"/>
      <c r="AD11" s="268"/>
      <c r="AE11" s="269"/>
      <c r="AF11" s="267"/>
      <c r="AG11" s="268"/>
      <c r="AH11" s="268"/>
      <c r="AI11" s="268"/>
      <c r="AJ11" s="268"/>
      <c r="AK11" s="268"/>
      <c r="AL11" s="268"/>
      <c r="AM11" s="268"/>
      <c r="AN11" s="268"/>
      <c r="AO11" s="268"/>
      <c r="AP11" s="268"/>
      <c r="AQ11" s="268"/>
      <c r="AR11" s="268"/>
      <c r="AS11" s="268"/>
      <c r="AT11" s="268"/>
      <c r="AU11" s="268"/>
      <c r="AV11" s="268"/>
      <c r="AW11" s="268"/>
      <c r="AX11" s="268"/>
      <c r="AY11" s="268"/>
      <c r="AZ11" s="268"/>
      <c r="BA11" s="268"/>
      <c r="BB11" s="268"/>
      <c r="BC11" s="268"/>
      <c r="BD11" s="268"/>
      <c r="BE11" s="268"/>
      <c r="BF11" s="268"/>
      <c r="BG11" s="268"/>
      <c r="BH11" s="268"/>
      <c r="BI11" s="269"/>
      <c r="BJ11" s="268"/>
      <c r="BK11" s="270"/>
    </row>
    <row r="12" spans="1:63" ht="15" customHeight="1" x14ac:dyDescent="0.25">
      <c r="A12" s="266"/>
      <c r="B12" s="267"/>
      <c r="C12" s="268"/>
      <c r="D12" s="268"/>
      <c r="E12" s="268"/>
      <c r="F12" s="268"/>
      <c r="G12" s="268"/>
      <c r="H12" s="268"/>
      <c r="I12" s="268"/>
      <c r="J12" s="268"/>
      <c r="K12" s="268"/>
      <c r="L12" s="268"/>
      <c r="M12" s="268"/>
      <c r="N12" s="268"/>
      <c r="O12" s="268"/>
      <c r="P12" s="268"/>
      <c r="Q12" s="268"/>
      <c r="R12" s="268"/>
      <c r="S12" s="268"/>
      <c r="T12" s="268"/>
      <c r="U12" s="268"/>
      <c r="V12" s="268"/>
      <c r="W12" s="268"/>
      <c r="X12" s="268"/>
      <c r="Y12" s="268"/>
      <c r="Z12" s="268"/>
      <c r="AA12" s="268"/>
      <c r="AB12" s="268"/>
      <c r="AC12" s="268"/>
      <c r="AD12" s="268"/>
      <c r="AE12" s="269"/>
      <c r="AF12" s="267"/>
      <c r="AG12" s="268"/>
      <c r="AH12" s="268"/>
      <c r="AI12" s="268"/>
      <c r="AJ12" s="268"/>
      <c r="AK12" s="268"/>
      <c r="AL12" s="268"/>
      <c r="AM12" s="268"/>
      <c r="AN12" s="268"/>
      <c r="AO12" s="268"/>
      <c r="AP12" s="268"/>
      <c r="AQ12" s="268"/>
      <c r="AR12" s="268"/>
      <c r="AS12" s="268"/>
      <c r="AT12" s="268"/>
      <c r="AU12" s="268"/>
      <c r="AV12" s="268"/>
      <c r="AW12" s="268"/>
      <c r="AX12" s="268"/>
      <c r="AY12" s="268"/>
      <c r="AZ12" s="268"/>
      <c r="BA12" s="268"/>
      <c r="BB12" s="268"/>
      <c r="BC12" s="268"/>
      <c r="BD12" s="268"/>
      <c r="BE12" s="268"/>
      <c r="BF12" s="268"/>
      <c r="BG12" s="268"/>
      <c r="BH12" s="268"/>
      <c r="BI12" s="269"/>
      <c r="BJ12" s="268"/>
      <c r="BK12" s="270"/>
    </row>
    <row r="13" spans="1:63" ht="15" customHeight="1" x14ac:dyDescent="0.25">
      <c r="A13" s="266"/>
      <c r="B13" s="267"/>
      <c r="C13" s="268"/>
      <c r="D13" s="268"/>
      <c r="E13" s="268"/>
      <c r="F13" s="268"/>
      <c r="G13" s="268"/>
      <c r="H13" s="268"/>
      <c r="I13" s="268"/>
      <c r="J13" s="268"/>
      <c r="K13" s="268"/>
      <c r="L13" s="268"/>
      <c r="M13" s="268"/>
      <c r="N13" s="268"/>
      <c r="O13" s="268"/>
      <c r="P13" s="268"/>
      <c r="Q13" s="268"/>
      <c r="R13" s="268"/>
      <c r="S13" s="268"/>
      <c r="T13" s="268"/>
      <c r="U13" s="268"/>
      <c r="V13" s="268"/>
      <c r="W13" s="268"/>
      <c r="X13" s="268"/>
      <c r="Y13" s="268"/>
      <c r="Z13" s="268"/>
      <c r="AA13" s="268"/>
      <c r="AB13" s="268"/>
      <c r="AC13" s="268"/>
      <c r="AD13" s="268"/>
      <c r="AE13" s="269"/>
      <c r="AF13" s="267"/>
      <c r="AG13" s="268"/>
      <c r="AH13" s="268"/>
      <c r="AI13" s="268"/>
      <c r="AJ13" s="268"/>
      <c r="AK13" s="268"/>
      <c r="AL13" s="268"/>
      <c r="AM13" s="268"/>
      <c r="AN13" s="268"/>
      <c r="AO13" s="268"/>
      <c r="AP13" s="268"/>
      <c r="AQ13" s="268"/>
      <c r="AR13" s="268"/>
      <c r="AS13" s="268"/>
      <c r="AT13" s="268"/>
      <c r="AU13" s="268"/>
      <c r="AV13" s="268"/>
      <c r="AW13" s="268"/>
      <c r="AX13" s="268"/>
      <c r="AY13" s="268"/>
      <c r="AZ13" s="268"/>
      <c r="BA13" s="268"/>
      <c r="BB13" s="268"/>
      <c r="BC13" s="268"/>
      <c r="BD13" s="268"/>
      <c r="BE13" s="268"/>
      <c r="BF13" s="268"/>
      <c r="BG13" s="268"/>
      <c r="BH13" s="268"/>
      <c r="BI13" s="269"/>
      <c r="BJ13" s="268"/>
      <c r="BK13" s="270"/>
    </row>
    <row r="14" spans="1:63" ht="15" customHeight="1" x14ac:dyDescent="0.25">
      <c r="A14" s="266"/>
      <c r="B14" s="267"/>
      <c r="C14" s="268"/>
      <c r="D14" s="268"/>
      <c r="E14" s="268"/>
      <c r="F14" s="268"/>
      <c r="G14" s="268"/>
      <c r="H14" s="268"/>
      <c r="I14" s="268"/>
      <c r="J14" s="268"/>
      <c r="K14" s="268"/>
      <c r="L14" s="268"/>
      <c r="M14" s="268"/>
      <c r="N14" s="268"/>
      <c r="O14" s="268"/>
      <c r="P14" s="268"/>
      <c r="Q14" s="268"/>
      <c r="R14" s="268"/>
      <c r="S14" s="268"/>
      <c r="T14" s="268"/>
      <c r="U14" s="268"/>
      <c r="V14" s="268"/>
      <c r="W14" s="268"/>
      <c r="X14" s="268"/>
      <c r="Y14" s="268"/>
      <c r="Z14" s="268"/>
      <c r="AA14" s="268"/>
      <c r="AB14" s="268"/>
      <c r="AC14" s="268"/>
      <c r="AD14" s="268"/>
      <c r="AE14" s="269"/>
      <c r="AF14" s="267"/>
      <c r="AG14" s="268"/>
      <c r="AH14" s="268"/>
      <c r="AI14" s="268"/>
      <c r="AJ14" s="268"/>
      <c r="AK14" s="268"/>
      <c r="AL14" s="268"/>
      <c r="AM14" s="268"/>
      <c r="AN14" s="268"/>
      <c r="AO14" s="268"/>
      <c r="AP14" s="268"/>
      <c r="AQ14" s="268"/>
      <c r="AR14" s="268"/>
      <c r="AS14" s="268"/>
      <c r="AT14" s="268"/>
      <c r="AU14" s="268"/>
      <c r="AV14" s="268"/>
      <c r="AW14" s="268"/>
      <c r="AX14" s="268"/>
      <c r="AY14" s="268"/>
      <c r="AZ14" s="268"/>
      <c r="BA14" s="268"/>
      <c r="BB14" s="268"/>
      <c r="BC14" s="268"/>
      <c r="BD14" s="268"/>
      <c r="BE14" s="268"/>
      <c r="BF14" s="268"/>
      <c r="BG14" s="268"/>
      <c r="BH14" s="268"/>
      <c r="BI14" s="269"/>
      <c r="BJ14" s="268"/>
      <c r="BK14" s="270"/>
    </row>
    <row r="15" spans="1:63" ht="15" customHeight="1" x14ac:dyDescent="0.25">
      <c r="A15" s="266"/>
      <c r="B15" s="267"/>
      <c r="C15" s="268"/>
      <c r="D15" s="268"/>
      <c r="E15" s="268"/>
      <c r="F15" s="268"/>
      <c r="G15" s="268"/>
      <c r="H15" s="268"/>
      <c r="I15" s="268"/>
      <c r="J15" s="268"/>
      <c r="K15" s="268"/>
      <c r="L15" s="268"/>
      <c r="M15" s="268"/>
      <c r="N15" s="268"/>
      <c r="O15" s="268"/>
      <c r="P15" s="268"/>
      <c r="Q15" s="268"/>
      <c r="R15" s="268"/>
      <c r="S15" s="268"/>
      <c r="T15" s="268"/>
      <c r="U15" s="268"/>
      <c r="V15" s="268"/>
      <c r="W15" s="268"/>
      <c r="X15" s="268"/>
      <c r="Y15" s="268"/>
      <c r="Z15" s="268"/>
      <c r="AA15" s="268"/>
      <c r="AB15" s="268"/>
      <c r="AC15" s="268"/>
      <c r="AD15" s="268"/>
      <c r="AE15" s="269"/>
      <c r="AF15" s="267"/>
      <c r="AG15" s="268"/>
      <c r="AH15" s="268"/>
      <c r="AI15" s="268"/>
      <c r="AJ15" s="268"/>
      <c r="AK15" s="268"/>
      <c r="AL15" s="268"/>
      <c r="AM15" s="268"/>
      <c r="AN15" s="268"/>
      <c r="AO15" s="268"/>
      <c r="AP15" s="268"/>
      <c r="AQ15" s="268"/>
      <c r="AR15" s="268"/>
      <c r="AS15" s="268"/>
      <c r="AT15" s="268"/>
      <c r="AU15" s="268"/>
      <c r="AV15" s="268"/>
      <c r="AW15" s="268"/>
      <c r="AX15" s="268"/>
      <c r="AY15" s="268"/>
      <c r="AZ15" s="268"/>
      <c r="BA15" s="268"/>
      <c r="BB15" s="268"/>
      <c r="BC15" s="268"/>
      <c r="BD15" s="268"/>
      <c r="BE15" s="268"/>
      <c r="BF15" s="268"/>
      <c r="BG15" s="268"/>
      <c r="BH15" s="268"/>
      <c r="BI15" s="269"/>
      <c r="BJ15" s="268"/>
      <c r="BK15" s="270"/>
    </row>
    <row r="16" spans="1:63" ht="15" customHeight="1" x14ac:dyDescent="0.25">
      <c r="A16" s="266"/>
      <c r="B16" s="267"/>
      <c r="C16" s="268"/>
      <c r="D16" s="268"/>
      <c r="E16" s="268"/>
      <c r="F16" s="268"/>
      <c r="G16" s="268"/>
      <c r="H16" s="268"/>
      <c r="I16" s="268"/>
      <c r="J16" s="268"/>
      <c r="K16" s="268"/>
      <c r="L16" s="268"/>
      <c r="M16" s="268"/>
      <c r="N16" s="268"/>
      <c r="O16" s="268"/>
      <c r="P16" s="268"/>
      <c r="Q16" s="268"/>
      <c r="R16" s="268"/>
      <c r="S16" s="268"/>
      <c r="T16" s="268"/>
      <c r="U16" s="268"/>
      <c r="V16" s="268"/>
      <c r="W16" s="268"/>
      <c r="X16" s="268"/>
      <c r="Y16" s="268"/>
      <c r="Z16" s="268"/>
      <c r="AA16" s="268"/>
      <c r="AB16" s="268"/>
      <c r="AC16" s="268"/>
      <c r="AD16" s="268"/>
      <c r="AE16" s="269"/>
      <c r="AF16" s="267"/>
      <c r="AG16" s="268"/>
      <c r="AH16" s="268"/>
      <c r="AI16" s="268"/>
      <c r="AJ16" s="268"/>
      <c r="AK16" s="268"/>
      <c r="AL16" s="268"/>
      <c r="AM16" s="268"/>
      <c r="AN16" s="268"/>
      <c r="AO16" s="268"/>
      <c r="AP16" s="268"/>
      <c r="AQ16" s="268"/>
      <c r="AR16" s="268"/>
      <c r="AS16" s="268"/>
      <c r="AT16" s="268"/>
      <c r="AU16" s="268"/>
      <c r="AV16" s="268"/>
      <c r="AW16" s="268"/>
      <c r="AX16" s="268"/>
      <c r="AY16" s="268"/>
      <c r="AZ16" s="268"/>
      <c r="BA16" s="268"/>
      <c r="BB16" s="268"/>
      <c r="BC16" s="268"/>
      <c r="BD16" s="268"/>
      <c r="BE16" s="268"/>
      <c r="BF16" s="268"/>
      <c r="BG16" s="268"/>
      <c r="BH16" s="268"/>
      <c r="BI16" s="269"/>
      <c r="BJ16" s="268"/>
      <c r="BK16" s="270"/>
    </row>
    <row r="17" spans="1:63" ht="15" customHeight="1" x14ac:dyDescent="0.25">
      <c r="A17" s="266"/>
      <c r="B17" s="267"/>
      <c r="C17" s="268"/>
      <c r="D17" s="268"/>
      <c r="E17" s="268"/>
      <c r="F17" s="268"/>
      <c r="G17" s="268"/>
      <c r="H17" s="268"/>
      <c r="I17" s="268"/>
      <c r="J17" s="268"/>
      <c r="K17" s="268"/>
      <c r="L17" s="268"/>
      <c r="M17" s="268"/>
      <c r="N17" s="268"/>
      <c r="O17" s="268"/>
      <c r="P17" s="268"/>
      <c r="Q17" s="268"/>
      <c r="R17" s="268"/>
      <c r="S17" s="268"/>
      <c r="T17" s="268"/>
      <c r="U17" s="268"/>
      <c r="V17" s="268"/>
      <c r="W17" s="268"/>
      <c r="X17" s="268"/>
      <c r="Y17" s="268"/>
      <c r="Z17" s="268"/>
      <c r="AA17" s="268"/>
      <c r="AB17" s="268"/>
      <c r="AC17" s="268"/>
      <c r="AD17" s="268"/>
      <c r="AE17" s="269"/>
      <c r="AF17" s="267"/>
      <c r="AG17" s="268"/>
      <c r="AH17" s="268"/>
      <c r="AI17" s="268"/>
      <c r="AJ17" s="268"/>
      <c r="AK17" s="268"/>
      <c r="AL17" s="268"/>
      <c r="AM17" s="268"/>
      <c r="AN17" s="268"/>
      <c r="AO17" s="268"/>
      <c r="AP17" s="268"/>
      <c r="AQ17" s="268"/>
      <c r="AR17" s="268"/>
      <c r="AS17" s="268"/>
      <c r="AT17" s="268"/>
      <c r="AU17" s="268"/>
      <c r="AV17" s="268"/>
      <c r="AW17" s="268"/>
      <c r="AX17" s="268"/>
      <c r="AY17" s="268"/>
      <c r="AZ17" s="268"/>
      <c r="BA17" s="268"/>
      <c r="BB17" s="268"/>
      <c r="BC17" s="268"/>
      <c r="BD17" s="268"/>
      <c r="BE17" s="268"/>
      <c r="BF17" s="268"/>
      <c r="BG17" s="268"/>
      <c r="BH17" s="268"/>
      <c r="BI17" s="269"/>
      <c r="BJ17" s="268"/>
      <c r="BK17" s="270"/>
    </row>
    <row r="18" spans="1:63" ht="15" customHeight="1" x14ac:dyDescent="0.25">
      <c r="A18" s="266"/>
      <c r="B18" s="267"/>
      <c r="C18" s="268"/>
      <c r="D18" s="268"/>
      <c r="E18" s="268"/>
      <c r="F18" s="268"/>
      <c r="G18" s="268"/>
      <c r="H18" s="268"/>
      <c r="I18" s="268"/>
      <c r="J18" s="268"/>
      <c r="K18" s="268"/>
      <c r="L18" s="268"/>
      <c r="M18" s="268"/>
      <c r="N18" s="268"/>
      <c r="O18" s="268"/>
      <c r="P18" s="268"/>
      <c r="Q18" s="268"/>
      <c r="R18" s="268"/>
      <c r="S18" s="268"/>
      <c r="T18" s="268"/>
      <c r="U18" s="268"/>
      <c r="V18" s="268"/>
      <c r="W18" s="268"/>
      <c r="X18" s="268"/>
      <c r="Y18" s="268"/>
      <c r="Z18" s="268"/>
      <c r="AA18" s="268"/>
      <c r="AB18" s="268"/>
      <c r="AC18" s="268"/>
      <c r="AD18" s="268"/>
      <c r="AE18" s="269"/>
      <c r="AF18" s="267"/>
      <c r="AG18" s="268"/>
      <c r="AH18" s="268"/>
      <c r="AI18" s="268"/>
      <c r="AJ18" s="268"/>
      <c r="AK18" s="268"/>
      <c r="AL18" s="268"/>
      <c r="AM18" s="268"/>
      <c r="AN18" s="268"/>
      <c r="AO18" s="268"/>
      <c r="AP18" s="268"/>
      <c r="AQ18" s="268"/>
      <c r="AR18" s="268"/>
      <c r="AS18" s="268"/>
      <c r="AT18" s="268"/>
      <c r="AU18" s="268"/>
      <c r="AV18" s="268"/>
      <c r="AW18" s="268"/>
      <c r="AX18" s="268"/>
      <c r="AY18" s="268"/>
      <c r="AZ18" s="268"/>
      <c r="BA18" s="268"/>
      <c r="BB18" s="268"/>
      <c r="BC18" s="268"/>
      <c r="BD18" s="268"/>
      <c r="BE18" s="268"/>
      <c r="BF18" s="268"/>
      <c r="BG18" s="268"/>
      <c r="BH18" s="268"/>
      <c r="BI18" s="269"/>
      <c r="BJ18" s="268"/>
      <c r="BK18" s="270"/>
    </row>
    <row r="19" spans="1:63" ht="15" customHeight="1" x14ac:dyDescent="0.25">
      <c r="A19" s="266"/>
      <c r="B19" s="267"/>
      <c r="C19" s="268"/>
      <c r="D19" s="268"/>
      <c r="E19" s="268"/>
      <c r="F19" s="268"/>
      <c r="G19" s="268"/>
      <c r="H19" s="268"/>
      <c r="I19" s="268"/>
      <c r="J19" s="268"/>
      <c r="K19" s="268"/>
      <c r="L19" s="268"/>
      <c r="M19" s="268"/>
      <c r="N19" s="268"/>
      <c r="O19" s="268"/>
      <c r="P19" s="268"/>
      <c r="Q19" s="268"/>
      <c r="R19" s="268"/>
      <c r="S19" s="268"/>
      <c r="T19" s="268"/>
      <c r="U19" s="268"/>
      <c r="V19" s="268"/>
      <c r="W19" s="268"/>
      <c r="X19" s="268"/>
      <c r="Y19" s="268"/>
      <c r="Z19" s="268"/>
      <c r="AA19" s="268"/>
      <c r="AB19" s="268"/>
      <c r="AC19" s="268"/>
      <c r="AD19" s="268"/>
      <c r="AE19" s="269"/>
      <c r="AF19" s="267"/>
      <c r="AG19" s="268"/>
      <c r="AH19" s="268"/>
      <c r="AI19" s="268"/>
      <c r="AJ19" s="268"/>
      <c r="AK19" s="268"/>
      <c r="AL19" s="268"/>
      <c r="AM19" s="268"/>
      <c r="AN19" s="268"/>
      <c r="AO19" s="268"/>
      <c r="AP19" s="268"/>
      <c r="AQ19" s="268"/>
      <c r="AR19" s="268"/>
      <c r="AS19" s="268"/>
      <c r="AT19" s="268"/>
      <c r="AU19" s="268"/>
      <c r="AV19" s="268"/>
      <c r="AW19" s="268"/>
      <c r="AX19" s="268"/>
      <c r="AY19" s="268"/>
      <c r="AZ19" s="268"/>
      <c r="BA19" s="268"/>
      <c r="BB19" s="268"/>
      <c r="BC19" s="268"/>
      <c r="BD19" s="268"/>
      <c r="BE19" s="268"/>
      <c r="BF19" s="268"/>
      <c r="BG19" s="268"/>
      <c r="BH19" s="268"/>
      <c r="BI19" s="269"/>
      <c r="BJ19" s="268"/>
      <c r="BK19" s="270"/>
    </row>
    <row r="20" spans="1:63" ht="15" customHeight="1" x14ac:dyDescent="0.25">
      <c r="A20" s="266"/>
      <c r="B20" s="267"/>
      <c r="C20" s="268"/>
      <c r="D20" s="268"/>
      <c r="E20" s="268"/>
      <c r="F20" s="268"/>
      <c r="G20" s="268"/>
      <c r="H20" s="268"/>
      <c r="I20" s="268"/>
      <c r="J20" s="268"/>
      <c r="K20" s="268"/>
      <c r="L20" s="268"/>
      <c r="M20" s="268"/>
      <c r="N20" s="268"/>
      <c r="O20" s="268"/>
      <c r="P20" s="268"/>
      <c r="Q20" s="268"/>
      <c r="R20" s="268"/>
      <c r="S20" s="268"/>
      <c r="T20" s="268"/>
      <c r="U20" s="268"/>
      <c r="V20" s="268"/>
      <c r="W20" s="268"/>
      <c r="X20" s="268"/>
      <c r="Y20" s="268"/>
      <c r="Z20" s="268"/>
      <c r="AA20" s="268"/>
      <c r="AB20" s="268"/>
      <c r="AC20" s="268"/>
      <c r="AD20" s="268"/>
      <c r="AE20" s="269"/>
      <c r="AF20" s="267"/>
      <c r="AG20" s="268"/>
      <c r="AH20" s="268"/>
      <c r="AI20" s="268"/>
      <c r="AJ20" s="268"/>
      <c r="AK20" s="268"/>
      <c r="AL20" s="268"/>
      <c r="AM20" s="268"/>
      <c r="AN20" s="268"/>
      <c r="AO20" s="268"/>
      <c r="AP20" s="268"/>
      <c r="AQ20" s="268"/>
      <c r="AR20" s="268"/>
      <c r="AS20" s="268"/>
      <c r="AT20" s="268"/>
      <c r="AU20" s="268"/>
      <c r="AV20" s="268"/>
      <c r="AW20" s="268"/>
      <c r="AX20" s="268"/>
      <c r="AY20" s="268"/>
      <c r="AZ20" s="268"/>
      <c r="BA20" s="268"/>
      <c r="BB20" s="268"/>
      <c r="BC20" s="268"/>
      <c r="BD20" s="268"/>
      <c r="BE20" s="268"/>
      <c r="BF20" s="268"/>
      <c r="BG20" s="268"/>
      <c r="BH20" s="268"/>
      <c r="BI20" s="269"/>
      <c r="BJ20" s="268"/>
      <c r="BK20" s="270"/>
    </row>
    <row r="21" spans="1:63" ht="15" customHeight="1" x14ac:dyDescent="0.25">
      <c r="A21" s="266"/>
      <c r="B21" s="267"/>
      <c r="C21" s="268"/>
      <c r="D21" s="268"/>
      <c r="E21" s="268"/>
      <c r="F21" s="268"/>
      <c r="G21" s="268"/>
      <c r="H21" s="268"/>
      <c r="I21" s="268"/>
      <c r="J21" s="268"/>
      <c r="K21" s="268"/>
      <c r="L21" s="268"/>
      <c r="M21" s="268"/>
      <c r="N21" s="268"/>
      <c r="O21" s="268"/>
      <c r="P21" s="268"/>
      <c r="Q21" s="268"/>
      <c r="R21" s="268"/>
      <c r="S21" s="268"/>
      <c r="T21" s="268"/>
      <c r="U21" s="268"/>
      <c r="V21" s="268"/>
      <c r="W21" s="268"/>
      <c r="X21" s="268"/>
      <c r="Y21" s="268"/>
      <c r="Z21" s="268"/>
      <c r="AA21" s="268"/>
      <c r="AB21" s="268"/>
      <c r="AC21" s="268"/>
      <c r="AD21" s="268"/>
      <c r="AE21" s="269"/>
      <c r="AF21" s="267"/>
      <c r="AG21" s="268"/>
      <c r="AH21" s="268"/>
      <c r="AI21" s="268"/>
      <c r="AJ21" s="268"/>
      <c r="AK21" s="268"/>
      <c r="AL21" s="268"/>
      <c r="AM21" s="268"/>
      <c r="AN21" s="268"/>
      <c r="AO21" s="268"/>
      <c r="AP21" s="268"/>
      <c r="AQ21" s="268"/>
      <c r="AR21" s="268"/>
      <c r="AS21" s="268"/>
      <c r="AT21" s="268"/>
      <c r="AU21" s="268"/>
      <c r="AV21" s="268"/>
      <c r="AW21" s="268"/>
      <c r="AX21" s="268"/>
      <c r="AY21" s="268"/>
      <c r="AZ21" s="268"/>
      <c r="BA21" s="268"/>
      <c r="BB21" s="268"/>
      <c r="BC21" s="268"/>
      <c r="BD21" s="268"/>
      <c r="BE21" s="268"/>
      <c r="BF21" s="268"/>
      <c r="BG21" s="268"/>
      <c r="BH21" s="268"/>
      <c r="BI21" s="269"/>
      <c r="BJ21" s="268"/>
      <c r="BK21" s="270"/>
    </row>
    <row r="22" spans="1:63" ht="15" customHeight="1" x14ac:dyDescent="0.25">
      <c r="A22" s="266"/>
      <c r="B22" s="2" t="s">
        <v>13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3"/>
      <c r="AF22" s="2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3"/>
      <c r="BJ22" s="1"/>
      <c r="BK22" s="270"/>
    </row>
    <row r="23" spans="1:63" ht="15" customHeight="1" x14ac:dyDescent="0.25">
      <c r="A23" s="266"/>
      <c r="B23" s="267"/>
      <c r="C23" s="268"/>
      <c r="D23" s="268"/>
      <c r="E23" s="268"/>
      <c r="F23" s="268"/>
      <c r="G23" s="268"/>
      <c r="H23" s="268"/>
      <c r="I23" s="268"/>
      <c r="J23" s="268"/>
      <c r="K23" s="268"/>
      <c r="L23" s="268"/>
      <c r="M23" s="268"/>
      <c r="N23" s="268"/>
      <c r="O23" s="268"/>
      <c r="P23" s="268"/>
      <c r="Q23" s="268"/>
      <c r="R23" s="268"/>
      <c r="S23" s="268"/>
      <c r="T23" s="268"/>
      <c r="U23" s="268"/>
      <c r="V23" s="268"/>
      <c r="W23" s="268"/>
      <c r="X23" s="268"/>
      <c r="Y23" s="268"/>
      <c r="Z23" s="268"/>
      <c r="AA23" s="268"/>
      <c r="AB23" s="268"/>
      <c r="AC23" s="268"/>
      <c r="AD23" s="268"/>
      <c r="AE23" s="269"/>
      <c r="AF23" s="267"/>
      <c r="AG23" s="268"/>
      <c r="AH23" s="268"/>
      <c r="AI23" s="268"/>
      <c r="AJ23" s="268"/>
      <c r="AK23" s="268"/>
      <c r="AL23" s="268"/>
      <c r="AM23" s="268"/>
      <c r="AN23" s="268"/>
      <c r="AO23" s="268"/>
      <c r="AP23" s="268"/>
      <c r="AQ23" s="268"/>
      <c r="AR23" s="268"/>
      <c r="AS23" s="268"/>
      <c r="AT23" s="268"/>
      <c r="AU23" s="268"/>
      <c r="AV23" s="268"/>
      <c r="AW23" s="268"/>
      <c r="AX23" s="268"/>
      <c r="AY23" s="268"/>
      <c r="AZ23" s="268"/>
      <c r="BA23" s="268"/>
      <c r="BB23" s="268"/>
      <c r="BC23" s="268"/>
      <c r="BD23" s="268"/>
      <c r="BE23" s="268"/>
      <c r="BF23" s="268"/>
      <c r="BG23" s="268"/>
      <c r="BH23" s="268"/>
      <c r="BI23" s="269"/>
      <c r="BJ23" s="268"/>
      <c r="BK23" s="270"/>
    </row>
    <row r="24" spans="1:63" ht="15" customHeight="1" x14ac:dyDescent="0.25">
      <c r="A24" s="266"/>
      <c r="B24" s="267"/>
      <c r="C24" s="268"/>
      <c r="D24" s="268"/>
      <c r="E24" s="268"/>
      <c r="F24" s="268"/>
      <c r="G24" s="268"/>
      <c r="H24" s="268"/>
      <c r="I24" s="268"/>
      <c r="J24" s="268"/>
      <c r="K24" s="268"/>
      <c r="L24" s="268"/>
      <c r="M24" s="268"/>
      <c r="N24" s="268"/>
      <c r="O24" s="268"/>
      <c r="P24" s="268"/>
      <c r="Q24" s="268"/>
      <c r="R24" s="268"/>
      <c r="S24" s="268"/>
      <c r="T24" s="268"/>
      <c r="U24" s="268"/>
      <c r="V24" s="268"/>
      <c r="W24" s="268"/>
      <c r="X24" s="268"/>
      <c r="Y24" s="268"/>
      <c r="Z24" s="268"/>
      <c r="AA24" s="268"/>
      <c r="AB24" s="268"/>
      <c r="AC24" s="268"/>
      <c r="AD24" s="268"/>
      <c r="AE24" s="269"/>
      <c r="AF24" s="267"/>
      <c r="AG24" s="268"/>
      <c r="AH24" s="268"/>
      <c r="AI24" s="268"/>
      <c r="AJ24" s="268"/>
      <c r="AK24" s="268"/>
      <c r="AL24" s="268"/>
      <c r="AM24" s="268"/>
      <c r="AN24" s="268"/>
      <c r="AO24" s="268"/>
      <c r="AP24" s="268"/>
      <c r="AQ24" s="268"/>
      <c r="AR24" s="268"/>
      <c r="AS24" s="268"/>
      <c r="AT24" s="268"/>
      <c r="AU24" s="268"/>
      <c r="AV24" s="268"/>
      <c r="AW24" s="268"/>
      <c r="AX24" s="268"/>
      <c r="AY24" s="268"/>
      <c r="AZ24" s="268"/>
      <c r="BA24" s="268"/>
      <c r="BB24" s="268"/>
      <c r="BC24" s="268"/>
      <c r="BD24" s="268"/>
      <c r="BE24" s="268"/>
      <c r="BF24" s="268"/>
      <c r="BG24" s="268"/>
      <c r="BH24" s="268"/>
      <c r="BI24" s="269"/>
      <c r="BJ24" s="268"/>
      <c r="BK24" s="270"/>
    </row>
    <row r="25" spans="1:63" ht="15" customHeight="1" x14ac:dyDescent="0.25">
      <c r="A25" s="266"/>
      <c r="B25" s="267"/>
      <c r="C25" s="268"/>
      <c r="D25" s="268"/>
      <c r="E25" s="268"/>
      <c r="F25" s="268"/>
      <c r="G25" s="268"/>
      <c r="H25" s="268"/>
      <c r="I25" s="268"/>
      <c r="J25" s="268"/>
      <c r="K25" s="268"/>
      <c r="L25" s="268"/>
      <c r="M25" s="268"/>
      <c r="N25" s="268"/>
      <c r="O25" s="268"/>
      <c r="P25" s="268"/>
      <c r="Q25" s="268"/>
      <c r="R25" s="268"/>
      <c r="S25" s="268"/>
      <c r="T25" s="268"/>
      <c r="U25" s="268"/>
      <c r="V25" s="268"/>
      <c r="W25" s="268"/>
      <c r="X25" s="268"/>
      <c r="Y25" s="268"/>
      <c r="Z25" s="268"/>
      <c r="AA25" s="268"/>
      <c r="AB25" s="268"/>
      <c r="AC25" s="268"/>
      <c r="AD25" s="268"/>
      <c r="AE25" s="269"/>
      <c r="AF25" s="267"/>
      <c r="AG25" s="268"/>
      <c r="AH25" s="268"/>
      <c r="AI25" s="268"/>
      <c r="AJ25" s="268"/>
      <c r="AK25" s="268"/>
      <c r="AL25" s="268"/>
      <c r="AM25" s="268"/>
      <c r="AN25" s="268"/>
      <c r="AO25" s="268"/>
      <c r="AP25" s="268"/>
      <c r="AQ25" s="268"/>
      <c r="AR25" s="268"/>
      <c r="AS25" s="268"/>
      <c r="AT25" s="268"/>
      <c r="AU25" s="268"/>
      <c r="AV25" s="268"/>
      <c r="AW25" s="268"/>
      <c r="AX25" s="268"/>
      <c r="AY25" s="268"/>
      <c r="AZ25" s="268"/>
      <c r="BA25" s="268"/>
      <c r="BB25" s="268"/>
      <c r="BC25" s="268"/>
      <c r="BD25" s="268"/>
      <c r="BE25" s="268"/>
      <c r="BF25" s="268"/>
      <c r="BG25" s="268"/>
      <c r="BH25" s="268"/>
      <c r="BI25" s="269"/>
      <c r="BJ25" s="268"/>
      <c r="BK25" s="270"/>
    </row>
    <row r="26" spans="1:63" ht="15" customHeight="1" x14ac:dyDescent="0.25">
      <c r="A26" s="266"/>
      <c r="B26" s="267"/>
      <c r="C26" s="268"/>
      <c r="D26" s="268"/>
      <c r="E26" s="268"/>
      <c r="F26" s="268"/>
      <c r="G26" s="268"/>
      <c r="H26" s="268"/>
      <c r="I26" s="268"/>
      <c r="J26" s="268"/>
      <c r="K26" s="268"/>
      <c r="L26" s="268"/>
      <c r="M26" s="268"/>
      <c r="N26" s="268"/>
      <c r="O26" s="268"/>
      <c r="P26" s="268"/>
      <c r="Q26" s="268"/>
      <c r="R26" s="268"/>
      <c r="S26" s="268"/>
      <c r="T26" s="268"/>
      <c r="U26" s="268"/>
      <c r="V26" s="268"/>
      <c r="W26" s="268"/>
      <c r="X26" s="268"/>
      <c r="Y26" s="268"/>
      <c r="Z26" s="268"/>
      <c r="AA26" s="268"/>
      <c r="AB26" s="268"/>
      <c r="AC26" s="268"/>
      <c r="AD26" s="268"/>
      <c r="AE26" s="269"/>
      <c r="AF26" s="267"/>
      <c r="AG26" s="268"/>
      <c r="AH26" s="268"/>
      <c r="AI26" s="268"/>
      <c r="AJ26" s="268"/>
      <c r="AK26" s="268"/>
      <c r="AL26" s="268"/>
      <c r="AM26" s="268"/>
      <c r="AN26" s="268"/>
      <c r="AO26" s="268"/>
      <c r="AP26" s="268"/>
      <c r="AQ26" s="268"/>
      <c r="AR26" s="268"/>
      <c r="AS26" s="268"/>
      <c r="AT26" s="268"/>
      <c r="AU26" s="268"/>
      <c r="AV26" s="268"/>
      <c r="AW26" s="268"/>
      <c r="AX26" s="268"/>
      <c r="AY26" s="268"/>
      <c r="AZ26" s="268"/>
      <c r="BA26" s="268"/>
      <c r="BB26" s="268"/>
      <c r="BC26" s="268"/>
      <c r="BD26" s="268"/>
      <c r="BE26" s="268"/>
      <c r="BF26" s="268"/>
      <c r="BG26" s="268"/>
      <c r="BH26" s="268"/>
      <c r="BI26" s="269"/>
      <c r="BJ26" s="268"/>
      <c r="BK26" s="270"/>
    </row>
    <row r="27" spans="1:63" ht="15" customHeight="1" x14ac:dyDescent="0.25">
      <c r="A27" s="266"/>
      <c r="B27" s="267"/>
      <c r="C27" s="268"/>
      <c r="D27" s="268"/>
      <c r="E27" s="268"/>
      <c r="F27" s="268"/>
      <c r="G27" s="268"/>
      <c r="H27" s="268"/>
      <c r="I27" s="268"/>
      <c r="J27" s="268"/>
      <c r="K27" s="268"/>
      <c r="L27" s="268"/>
      <c r="M27" s="268"/>
      <c r="N27" s="268"/>
      <c r="O27" s="268"/>
      <c r="P27" s="268"/>
      <c r="Q27" s="268"/>
      <c r="R27" s="268"/>
      <c r="S27" s="268"/>
      <c r="T27" s="268"/>
      <c r="U27" s="268"/>
      <c r="V27" s="268"/>
      <c r="W27" s="268"/>
      <c r="X27" s="268"/>
      <c r="Y27" s="268"/>
      <c r="Z27" s="268"/>
      <c r="AA27" s="268"/>
      <c r="AB27" s="268"/>
      <c r="AC27" s="268"/>
      <c r="AD27" s="268"/>
      <c r="AE27" s="269"/>
      <c r="AF27" s="267"/>
      <c r="AG27" s="268"/>
      <c r="AH27" s="268"/>
      <c r="AI27" s="268"/>
      <c r="AJ27" s="268"/>
      <c r="AK27" s="268"/>
      <c r="AL27" s="268"/>
      <c r="AM27" s="268"/>
      <c r="AN27" s="268"/>
      <c r="AO27" s="268"/>
      <c r="AP27" s="268"/>
      <c r="AQ27" s="268"/>
      <c r="AR27" s="268"/>
      <c r="AS27" s="268"/>
      <c r="AT27" s="268"/>
      <c r="AU27" s="268"/>
      <c r="AV27" s="268"/>
      <c r="AW27" s="268"/>
      <c r="AX27" s="268"/>
      <c r="AY27" s="268"/>
      <c r="AZ27" s="268"/>
      <c r="BA27" s="268"/>
      <c r="BB27" s="268"/>
      <c r="BC27" s="268"/>
      <c r="BD27" s="268"/>
      <c r="BE27" s="268"/>
      <c r="BF27" s="268"/>
      <c r="BG27" s="268"/>
      <c r="BH27" s="268"/>
      <c r="BI27" s="269"/>
      <c r="BJ27" s="268"/>
      <c r="BK27" s="270"/>
    </row>
    <row r="28" spans="1:63" ht="15" customHeight="1" x14ac:dyDescent="0.25">
      <c r="A28" s="266"/>
      <c r="B28" s="267"/>
      <c r="C28" s="268"/>
      <c r="D28" s="268"/>
      <c r="E28" s="268"/>
      <c r="F28" s="268"/>
      <c r="G28" s="268"/>
      <c r="H28" s="268"/>
      <c r="I28" s="268"/>
      <c r="J28" s="268"/>
      <c r="K28" s="268"/>
      <c r="L28" s="268"/>
      <c r="M28" s="268"/>
      <c r="N28" s="268"/>
      <c r="O28" s="268"/>
      <c r="P28" s="268"/>
      <c r="Q28" s="268"/>
      <c r="R28" s="268"/>
      <c r="S28" s="268"/>
      <c r="T28" s="268"/>
      <c r="U28" s="268"/>
      <c r="V28" s="268"/>
      <c r="W28" s="268"/>
      <c r="X28" s="268"/>
      <c r="Y28" s="268"/>
      <c r="Z28" s="268"/>
      <c r="AA28" s="268"/>
      <c r="AB28" s="268"/>
      <c r="AC28" s="268"/>
      <c r="AD28" s="268"/>
      <c r="AE28" s="269"/>
      <c r="AF28" s="267"/>
      <c r="AG28" s="268"/>
      <c r="AH28" s="268"/>
      <c r="AI28" s="268"/>
      <c r="AJ28" s="268"/>
      <c r="AK28" s="268"/>
      <c r="AL28" s="268"/>
      <c r="AM28" s="268"/>
      <c r="AN28" s="268"/>
      <c r="AO28" s="268"/>
      <c r="AP28" s="268"/>
      <c r="AQ28" s="268"/>
      <c r="AR28" s="268"/>
      <c r="AS28" s="268"/>
      <c r="AT28" s="268"/>
      <c r="AU28" s="268"/>
      <c r="AV28" s="268"/>
      <c r="AW28" s="268"/>
      <c r="AX28" s="268"/>
      <c r="AY28" s="268"/>
      <c r="AZ28" s="268"/>
      <c r="BA28" s="268"/>
      <c r="BB28" s="268"/>
      <c r="BC28" s="268"/>
      <c r="BD28" s="268"/>
      <c r="BE28" s="268"/>
      <c r="BF28" s="268"/>
      <c r="BG28" s="268"/>
      <c r="BH28" s="268"/>
      <c r="BI28" s="269"/>
      <c r="BJ28" s="268"/>
      <c r="BK28" s="270"/>
    </row>
    <row r="29" spans="1:63" ht="15" customHeight="1" x14ac:dyDescent="0.25">
      <c r="A29" s="266"/>
      <c r="B29" s="267"/>
      <c r="C29" s="268"/>
      <c r="D29" s="268"/>
      <c r="E29" s="268"/>
      <c r="F29" s="268"/>
      <c r="G29" s="268"/>
      <c r="H29" s="268"/>
      <c r="I29" s="268"/>
      <c r="J29" s="268"/>
      <c r="K29" s="268"/>
      <c r="L29" s="268"/>
      <c r="M29" s="268"/>
      <c r="N29" s="268"/>
      <c r="O29" s="268"/>
      <c r="P29" s="268"/>
      <c r="Q29" s="268"/>
      <c r="R29" s="268"/>
      <c r="S29" s="268"/>
      <c r="T29" s="268"/>
      <c r="U29" s="268"/>
      <c r="V29" s="268"/>
      <c r="W29" s="268"/>
      <c r="X29" s="268"/>
      <c r="Y29" s="268"/>
      <c r="Z29" s="268"/>
      <c r="AA29" s="268"/>
      <c r="AB29" s="268"/>
      <c r="AC29" s="268"/>
      <c r="AD29" s="268"/>
      <c r="AE29" s="269"/>
      <c r="AF29" s="267"/>
      <c r="AG29" s="268"/>
      <c r="AH29" s="268"/>
      <c r="AI29" s="268"/>
      <c r="AJ29" s="268"/>
      <c r="AK29" s="268"/>
      <c r="AL29" s="268"/>
      <c r="AM29" s="268"/>
      <c r="AN29" s="268"/>
      <c r="AO29" s="268"/>
      <c r="AP29" s="268"/>
      <c r="AQ29" s="268"/>
      <c r="AR29" s="268"/>
      <c r="AS29" s="268"/>
      <c r="AT29" s="268"/>
      <c r="AU29" s="268"/>
      <c r="AV29" s="268"/>
      <c r="AW29" s="268"/>
      <c r="AX29" s="268"/>
      <c r="AY29" s="268"/>
      <c r="AZ29" s="268"/>
      <c r="BA29" s="268"/>
      <c r="BB29" s="268"/>
      <c r="BC29" s="268"/>
      <c r="BD29" s="268"/>
      <c r="BE29" s="268"/>
      <c r="BF29" s="268"/>
      <c r="BG29" s="268"/>
      <c r="BH29" s="268"/>
      <c r="BI29" s="269"/>
      <c r="BJ29" s="268"/>
      <c r="BK29" s="270"/>
    </row>
    <row r="30" spans="1:63" ht="15" customHeight="1" x14ac:dyDescent="0.25">
      <c r="A30" s="266"/>
      <c r="B30" s="267"/>
      <c r="C30" s="268"/>
      <c r="D30" s="268"/>
      <c r="E30" s="268"/>
      <c r="F30" s="268"/>
      <c r="G30" s="268"/>
      <c r="H30" s="268"/>
      <c r="I30" s="268"/>
      <c r="J30" s="268"/>
      <c r="K30" s="268"/>
      <c r="L30" s="268"/>
      <c r="M30" s="268"/>
      <c r="N30" s="268"/>
      <c r="O30" s="268"/>
      <c r="P30" s="268"/>
      <c r="Q30" s="268"/>
      <c r="R30" s="268"/>
      <c r="S30" s="268"/>
      <c r="T30" s="268"/>
      <c r="U30" s="268"/>
      <c r="V30" s="268"/>
      <c r="W30" s="268"/>
      <c r="X30" s="268"/>
      <c r="Y30" s="268"/>
      <c r="Z30" s="268"/>
      <c r="AA30" s="268"/>
      <c r="AB30" s="268"/>
      <c r="AC30" s="268"/>
      <c r="AD30" s="268"/>
      <c r="AE30" s="269"/>
      <c r="AF30" s="267"/>
      <c r="AG30" s="268"/>
      <c r="AH30" s="268"/>
      <c r="AI30" s="268"/>
      <c r="AJ30" s="268"/>
      <c r="AK30" s="268"/>
      <c r="AL30" s="268"/>
      <c r="AM30" s="268"/>
      <c r="AN30" s="268"/>
      <c r="AO30" s="268"/>
      <c r="AP30" s="268"/>
      <c r="AQ30" s="268"/>
      <c r="AR30" s="268"/>
      <c r="AS30" s="268"/>
      <c r="AT30" s="268"/>
      <c r="AU30" s="268"/>
      <c r="AV30" s="268"/>
      <c r="AW30" s="268"/>
      <c r="AX30" s="268"/>
      <c r="AY30" s="268"/>
      <c r="AZ30" s="268"/>
      <c r="BA30" s="268"/>
      <c r="BB30" s="268"/>
      <c r="BC30" s="268"/>
      <c r="BD30" s="268"/>
      <c r="BE30" s="268"/>
      <c r="BF30" s="268"/>
      <c r="BG30" s="268"/>
      <c r="BH30" s="268"/>
      <c r="BI30" s="269"/>
      <c r="BJ30" s="268"/>
      <c r="BK30" s="270"/>
    </row>
    <row r="31" spans="1:63" ht="15" customHeight="1" x14ac:dyDescent="0.25">
      <c r="A31" s="266"/>
      <c r="B31" s="267"/>
      <c r="C31" s="268"/>
      <c r="D31" s="268"/>
      <c r="E31" s="268"/>
      <c r="F31" s="268"/>
      <c r="G31" s="268"/>
      <c r="H31" s="268"/>
      <c r="I31" s="268"/>
      <c r="J31" s="268"/>
      <c r="K31" s="268"/>
      <c r="L31" s="268"/>
      <c r="M31" s="268"/>
      <c r="N31" s="268"/>
      <c r="O31" s="268"/>
      <c r="P31" s="268"/>
      <c r="Q31" s="268"/>
      <c r="R31" s="268"/>
      <c r="S31" s="268"/>
      <c r="T31" s="268"/>
      <c r="U31" s="268"/>
      <c r="V31" s="268"/>
      <c r="W31" s="268"/>
      <c r="X31" s="268"/>
      <c r="Y31" s="268"/>
      <c r="Z31" s="268"/>
      <c r="AA31" s="268"/>
      <c r="AB31" s="268"/>
      <c r="AC31" s="268"/>
      <c r="AD31" s="268"/>
      <c r="AE31" s="269"/>
      <c r="AF31" s="267"/>
      <c r="AG31" s="268"/>
      <c r="AH31" s="268"/>
      <c r="AI31" s="268"/>
      <c r="AJ31" s="268"/>
      <c r="AK31" s="268"/>
      <c r="AL31" s="268"/>
      <c r="AM31" s="268"/>
      <c r="AN31" s="268"/>
      <c r="AO31" s="268"/>
      <c r="AP31" s="268"/>
      <c r="AQ31" s="268"/>
      <c r="AR31" s="268"/>
      <c r="AS31" s="268"/>
      <c r="AT31" s="268"/>
      <c r="AU31" s="268"/>
      <c r="AV31" s="268"/>
      <c r="AW31" s="268"/>
      <c r="AX31" s="268"/>
      <c r="AY31" s="268"/>
      <c r="AZ31" s="268"/>
      <c r="BA31" s="268"/>
      <c r="BB31" s="268"/>
      <c r="BC31" s="268"/>
      <c r="BD31" s="268"/>
      <c r="BE31" s="268"/>
      <c r="BF31" s="268"/>
      <c r="BG31" s="268"/>
      <c r="BH31" s="268"/>
      <c r="BI31" s="269"/>
      <c r="BJ31" s="268"/>
      <c r="BK31" s="270"/>
    </row>
    <row r="32" spans="1:63" ht="15" customHeight="1" x14ac:dyDescent="0.25">
      <c r="A32" s="266"/>
      <c r="B32" s="267"/>
      <c r="C32" s="268"/>
      <c r="D32" s="268"/>
      <c r="E32" s="268"/>
      <c r="F32" s="268"/>
      <c r="G32" s="268"/>
      <c r="H32" s="268"/>
      <c r="I32" s="268"/>
      <c r="J32" s="268"/>
      <c r="K32" s="268"/>
      <c r="L32" s="268"/>
      <c r="M32" s="268"/>
      <c r="N32" s="268"/>
      <c r="O32" s="268"/>
      <c r="P32" s="268"/>
      <c r="Q32" s="268"/>
      <c r="R32" s="268"/>
      <c r="S32" s="268"/>
      <c r="T32" s="268"/>
      <c r="U32" s="268"/>
      <c r="V32" s="268"/>
      <c r="W32" s="268"/>
      <c r="X32" s="268"/>
      <c r="Y32" s="268"/>
      <c r="Z32" s="268"/>
      <c r="AA32" s="268"/>
      <c r="AB32" s="268"/>
      <c r="AC32" s="268"/>
      <c r="AD32" s="268"/>
      <c r="AE32" s="269"/>
      <c r="AF32" s="267"/>
      <c r="AG32" s="268"/>
      <c r="AH32" s="268"/>
      <c r="AI32" s="268"/>
      <c r="AJ32" s="268"/>
      <c r="AK32" s="268"/>
      <c r="AL32" s="268"/>
      <c r="AM32" s="268"/>
      <c r="AN32" s="268"/>
      <c r="AO32" s="268"/>
      <c r="AP32" s="268"/>
      <c r="AQ32" s="268"/>
      <c r="AR32" s="268"/>
      <c r="AS32" s="268"/>
      <c r="AT32" s="268"/>
      <c r="AU32" s="268"/>
      <c r="AV32" s="268"/>
      <c r="AW32" s="268"/>
      <c r="AX32" s="268"/>
      <c r="AY32" s="268"/>
      <c r="AZ32" s="268"/>
      <c r="BA32" s="268"/>
      <c r="BB32" s="268"/>
      <c r="BC32" s="268"/>
      <c r="BD32" s="268"/>
      <c r="BE32" s="268"/>
      <c r="BF32" s="268"/>
      <c r="BG32" s="268"/>
      <c r="BH32" s="268"/>
      <c r="BI32" s="269"/>
      <c r="BJ32" s="268"/>
      <c r="BK32" s="270"/>
    </row>
    <row r="33" spans="1:63" ht="15" customHeight="1" x14ac:dyDescent="0.25">
      <c r="A33" s="266"/>
      <c r="B33" s="267"/>
      <c r="C33" s="268"/>
      <c r="D33" s="268"/>
      <c r="E33" s="268"/>
      <c r="F33" s="268"/>
      <c r="G33" s="268"/>
      <c r="H33" s="268"/>
      <c r="I33" s="268"/>
      <c r="J33" s="268"/>
      <c r="K33" s="268"/>
      <c r="L33" s="268"/>
      <c r="M33" s="268"/>
      <c r="N33" s="268"/>
      <c r="O33" s="268"/>
      <c r="P33" s="268"/>
      <c r="Q33" s="268"/>
      <c r="R33" s="268"/>
      <c r="S33" s="268"/>
      <c r="T33" s="268"/>
      <c r="U33" s="268"/>
      <c r="V33" s="268"/>
      <c r="W33" s="268"/>
      <c r="X33" s="268"/>
      <c r="Y33" s="268"/>
      <c r="Z33" s="268"/>
      <c r="AA33" s="268"/>
      <c r="AB33" s="268"/>
      <c r="AC33" s="268"/>
      <c r="AD33" s="268"/>
      <c r="AE33" s="269"/>
      <c r="AF33" s="267"/>
      <c r="AG33" s="268"/>
      <c r="AH33" s="268"/>
      <c r="AI33" s="268"/>
      <c r="AJ33" s="268"/>
      <c r="AK33" s="268"/>
      <c r="AL33" s="268"/>
      <c r="AM33" s="268"/>
      <c r="AN33" s="268"/>
      <c r="AO33" s="268"/>
      <c r="AP33" s="268"/>
      <c r="AQ33" s="268"/>
      <c r="AR33" s="268"/>
      <c r="AS33" s="268"/>
      <c r="AT33" s="268"/>
      <c r="AU33" s="268"/>
      <c r="AV33" s="268"/>
      <c r="AW33" s="268"/>
      <c r="AX33" s="268"/>
      <c r="AY33" s="268"/>
      <c r="AZ33" s="268"/>
      <c r="BA33" s="268"/>
      <c r="BB33" s="268"/>
      <c r="BC33" s="268"/>
      <c r="BD33" s="268"/>
      <c r="BE33" s="268"/>
      <c r="BF33" s="268"/>
      <c r="BG33" s="268"/>
      <c r="BH33" s="268"/>
      <c r="BI33" s="269"/>
      <c r="BJ33" s="268"/>
      <c r="BK33" s="270"/>
    </row>
    <row r="34" spans="1:63" ht="15" customHeight="1" x14ac:dyDescent="0.25">
      <c r="A34" s="266"/>
      <c r="B34" s="267"/>
      <c r="C34" s="268"/>
      <c r="D34" s="268"/>
      <c r="E34" s="268"/>
      <c r="F34" s="268"/>
      <c r="G34" s="268"/>
      <c r="H34" s="268"/>
      <c r="I34" s="268"/>
      <c r="J34" s="268"/>
      <c r="K34" s="268"/>
      <c r="L34" s="268"/>
      <c r="M34" s="268"/>
      <c r="N34" s="268"/>
      <c r="O34" s="268"/>
      <c r="P34" s="268"/>
      <c r="Q34" s="268"/>
      <c r="R34" s="268"/>
      <c r="S34" s="268"/>
      <c r="T34" s="268"/>
      <c r="U34" s="268"/>
      <c r="V34" s="268"/>
      <c r="W34" s="268"/>
      <c r="X34" s="268"/>
      <c r="Y34" s="268"/>
      <c r="Z34" s="268"/>
      <c r="AA34" s="268"/>
      <c r="AB34" s="268"/>
      <c r="AC34" s="268"/>
      <c r="AD34" s="268"/>
      <c r="AE34" s="269"/>
      <c r="AF34" s="267"/>
      <c r="AG34" s="268"/>
      <c r="AH34" s="268"/>
      <c r="AI34" s="268"/>
      <c r="AJ34" s="268"/>
      <c r="AK34" s="268"/>
      <c r="AL34" s="268"/>
      <c r="AM34" s="268"/>
      <c r="AN34" s="268"/>
      <c r="AO34" s="268"/>
      <c r="AP34" s="268"/>
      <c r="AQ34" s="268"/>
      <c r="AR34" s="268"/>
      <c r="AS34" s="268"/>
      <c r="AT34" s="268"/>
      <c r="AU34" s="268"/>
      <c r="AV34" s="268"/>
      <c r="AW34" s="268"/>
      <c r="AX34" s="268"/>
      <c r="AY34" s="268"/>
      <c r="AZ34" s="268"/>
      <c r="BA34" s="268"/>
      <c r="BB34" s="268"/>
      <c r="BC34" s="268"/>
      <c r="BD34" s="268"/>
      <c r="BE34" s="268"/>
      <c r="BF34" s="268"/>
      <c r="BG34" s="268"/>
      <c r="BH34" s="268"/>
      <c r="BI34" s="269"/>
      <c r="BJ34" s="268"/>
      <c r="BK34" s="270"/>
    </row>
    <row r="35" spans="1:63" ht="15" customHeight="1" x14ac:dyDescent="0.25">
      <c r="A35" s="266"/>
      <c r="B35" s="267"/>
      <c r="C35" s="268"/>
      <c r="D35" s="268"/>
      <c r="E35" s="268"/>
      <c r="F35" s="268"/>
      <c r="G35" s="268"/>
      <c r="H35" s="268"/>
      <c r="I35" s="268"/>
      <c r="J35" s="268"/>
      <c r="K35" s="268"/>
      <c r="L35" s="268"/>
      <c r="M35" s="268"/>
      <c r="N35" s="268"/>
      <c r="O35" s="268"/>
      <c r="P35" s="268"/>
      <c r="Q35" s="268"/>
      <c r="R35" s="268"/>
      <c r="S35" s="268"/>
      <c r="T35" s="268"/>
      <c r="U35" s="268"/>
      <c r="V35" s="268"/>
      <c r="W35" s="268"/>
      <c r="X35" s="268"/>
      <c r="Y35" s="268"/>
      <c r="Z35" s="268"/>
      <c r="AA35" s="268"/>
      <c r="AB35" s="268"/>
      <c r="AC35" s="268"/>
      <c r="AD35" s="268"/>
      <c r="AE35" s="269"/>
      <c r="AF35" s="267"/>
      <c r="AG35" s="268"/>
      <c r="AH35" s="268"/>
      <c r="AI35" s="268"/>
      <c r="AJ35" s="268"/>
      <c r="AK35" s="268"/>
      <c r="AL35" s="268"/>
      <c r="AM35" s="268"/>
      <c r="AN35" s="268"/>
      <c r="AO35" s="268"/>
      <c r="AP35" s="268"/>
      <c r="AQ35" s="268"/>
      <c r="AR35" s="268"/>
      <c r="AS35" s="268"/>
      <c r="AT35" s="268"/>
      <c r="AU35" s="268"/>
      <c r="AV35" s="268"/>
      <c r="AW35" s="268"/>
      <c r="AX35" s="268"/>
      <c r="AY35" s="268"/>
      <c r="AZ35" s="268"/>
      <c r="BA35" s="268"/>
      <c r="BB35" s="268"/>
      <c r="BC35" s="268"/>
      <c r="BD35" s="268"/>
      <c r="BE35" s="268"/>
      <c r="BF35" s="268"/>
      <c r="BG35" s="268"/>
      <c r="BH35" s="268"/>
      <c r="BI35" s="269"/>
      <c r="BJ35" s="268"/>
      <c r="BK35" s="270"/>
    </row>
    <row r="36" spans="1:63" ht="15" customHeight="1" x14ac:dyDescent="0.25">
      <c r="A36" s="266"/>
      <c r="B36" s="267"/>
      <c r="C36" s="268"/>
      <c r="D36" s="268"/>
      <c r="E36" s="268"/>
      <c r="F36" s="268"/>
      <c r="G36" s="268"/>
      <c r="H36" s="268"/>
      <c r="I36" s="268"/>
      <c r="J36" s="268"/>
      <c r="K36" s="268"/>
      <c r="L36" s="268"/>
      <c r="M36" s="268"/>
      <c r="N36" s="268"/>
      <c r="O36" s="268"/>
      <c r="P36" s="268"/>
      <c r="Q36" s="268"/>
      <c r="R36" s="268"/>
      <c r="S36" s="268"/>
      <c r="T36" s="268"/>
      <c r="U36" s="268"/>
      <c r="V36" s="268"/>
      <c r="W36" s="268"/>
      <c r="X36" s="268"/>
      <c r="Y36" s="268"/>
      <c r="Z36" s="268"/>
      <c r="AA36" s="268"/>
      <c r="AB36" s="268"/>
      <c r="AC36" s="268"/>
      <c r="AD36" s="268"/>
      <c r="AE36" s="269"/>
      <c r="AF36" s="267"/>
      <c r="AG36" s="268"/>
      <c r="AH36" s="268"/>
      <c r="AI36" s="268"/>
      <c r="AJ36" s="268"/>
      <c r="AK36" s="268"/>
      <c r="AL36" s="268"/>
      <c r="AM36" s="268"/>
      <c r="AN36" s="268"/>
      <c r="AO36" s="268"/>
      <c r="AP36" s="268"/>
      <c r="AQ36" s="268"/>
      <c r="AR36" s="268"/>
      <c r="AS36" s="268"/>
      <c r="AT36" s="268"/>
      <c r="AU36" s="268"/>
      <c r="AV36" s="268"/>
      <c r="AW36" s="268"/>
      <c r="AX36" s="268"/>
      <c r="AY36" s="268"/>
      <c r="AZ36" s="268"/>
      <c r="BA36" s="268"/>
      <c r="BB36" s="268"/>
      <c r="BC36" s="268"/>
      <c r="BD36" s="268"/>
      <c r="BE36" s="268"/>
      <c r="BF36" s="268"/>
      <c r="BG36" s="268"/>
      <c r="BH36" s="268"/>
      <c r="BI36" s="269"/>
      <c r="BJ36" s="268"/>
      <c r="BK36" s="270"/>
    </row>
    <row r="37" spans="1:63" ht="15" customHeight="1" x14ac:dyDescent="0.25">
      <c r="A37" s="266"/>
      <c r="B37" s="267"/>
      <c r="C37" s="268"/>
      <c r="D37" s="268"/>
      <c r="E37" s="268"/>
      <c r="F37" s="268"/>
      <c r="G37" s="268"/>
      <c r="H37" s="268"/>
      <c r="I37" s="268"/>
      <c r="J37" s="268"/>
      <c r="K37" s="268"/>
      <c r="L37" s="268"/>
      <c r="M37" s="268"/>
      <c r="N37" s="268"/>
      <c r="O37" s="268"/>
      <c r="P37" s="268"/>
      <c r="Q37" s="268"/>
      <c r="R37" s="268"/>
      <c r="S37" s="268"/>
      <c r="T37" s="268"/>
      <c r="U37" s="268"/>
      <c r="V37" s="268"/>
      <c r="W37" s="268"/>
      <c r="X37" s="268"/>
      <c r="Y37" s="268"/>
      <c r="Z37" s="268"/>
      <c r="AA37" s="268"/>
      <c r="AB37" s="268"/>
      <c r="AC37" s="268"/>
      <c r="AD37" s="268"/>
      <c r="AE37" s="268"/>
      <c r="AF37" s="267"/>
      <c r="AG37" s="268"/>
      <c r="AH37" s="268"/>
      <c r="AI37" s="268"/>
      <c r="AJ37" s="268"/>
      <c r="AK37" s="268"/>
      <c r="AL37" s="268"/>
      <c r="AM37" s="268"/>
      <c r="AN37" s="268"/>
      <c r="AO37" s="268"/>
      <c r="AP37" s="268"/>
      <c r="AQ37" s="268"/>
      <c r="AR37" s="268"/>
      <c r="AS37" s="268"/>
      <c r="AT37" s="268"/>
      <c r="AU37" s="268"/>
      <c r="AV37" s="268"/>
      <c r="AW37" s="268"/>
      <c r="AX37" s="268"/>
      <c r="AY37" s="268"/>
      <c r="AZ37" s="268"/>
      <c r="BA37" s="268"/>
      <c r="BB37" s="268"/>
      <c r="BC37" s="268"/>
      <c r="BD37" s="268"/>
      <c r="BE37" s="268"/>
      <c r="BF37" s="268"/>
      <c r="BG37" s="268"/>
      <c r="BH37" s="268"/>
      <c r="BI37" s="269"/>
      <c r="BJ37" s="268"/>
      <c r="BK37" s="270"/>
    </row>
    <row r="38" spans="1:63" ht="15" customHeight="1" x14ac:dyDescent="0.25">
      <c r="A38" s="266"/>
      <c r="B38" s="267"/>
      <c r="C38" s="268"/>
      <c r="D38" s="268"/>
      <c r="E38" s="268"/>
      <c r="F38" s="268"/>
      <c r="G38" s="268"/>
      <c r="H38" s="268"/>
      <c r="I38" s="268"/>
      <c r="J38" s="268"/>
      <c r="K38" s="268"/>
      <c r="L38" s="268"/>
      <c r="M38" s="268"/>
      <c r="N38" s="268"/>
      <c r="O38" s="268"/>
      <c r="P38" s="268"/>
      <c r="Q38" s="268"/>
      <c r="R38" s="268"/>
      <c r="S38" s="268"/>
      <c r="T38" s="268"/>
      <c r="U38" s="268"/>
      <c r="V38" s="268"/>
      <c r="W38" s="268"/>
      <c r="X38" s="268"/>
      <c r="Y38" s="268"/>
      <c r="Z38" s="268"/>
      <c r="AA38" s="268"/>
      <c r="AB38" s="268"/>
      <c r="AC38" s="268"/>
      <c r="AD38" s="268"/>
      <c r="AE38" s="268"/>
      <c r="AF38" s="267"/>
      <c r="AG38" s="268"/>
      <c r="AH38" s="268"/>
      <c r="AI38" s="268"/>
      <c r="AJ38" s="268"/>
      <c r="AK38" s="268"/>
      <c r="AL38" s="268"/>
      <c r="AM38" s="268"/>
      <c r="AN38" s="268"/>
      <c r="AO38" s="268"/>
      <c r="AP38" s="268"/>
      <c r="AQ38" s="268"/>
      <c r="AR38" s="268"/>
      <c r="AS38" s="268"/>
      <c r="AT38" s="268"/>
      <c r="AU38" s="268"/>
      <c r="AV38" s="268"/>
      <c r="AW38" s="268"/>
      <c r="AX38" s="268"/>
      <c r="AY38" s="268"/>
      <c r="AZ38" s="268"/>
      <c r="BA38" s="268"/>
      <c r="BB38" s="268"/>
      <c r="BC38" s="268"/>
      <c r="BD38" s="268"/>
      <c r="BE38" s="268"/>
      <c r="BF38" s="268"/>
      <c r="BG38" s="268"/>
      <c r="BH38" s="268"/>
      <c r="BI38" s="269"/>
      <c r="BJ38" s="268"/>
      <c r="BK38" s="270"/>
    </row>
    <row r="39" spans="1:63" ht="15" customHeight="1" x14ac:dyDescent="0.25">
      <c r="A39" s="266"/>
      <c r="B39" s="267"/>
      <c r="C39" s="268"/>
      <c r="D39" s="268"/>
      <c r="E39" s="268"/>
      <c r="F39" s="268"/>
      <c r="G39" s="268"/>
      <c r="H39" s="268"/>
      <c r="I39" s="268"/>
      <c r="J39" s="268"/>
      <c r="K39" s="268"/>
      <c r="L39" s="268"/>
      <c r="M39" s="268"/>
      <c r="N39" s="268"/>
      <c r="O39" s="268"/>
      <c r="P39" s="268"/>
      <c r="Q39" s="268"/>
      <c r="R39" s="268"/>
      <c r="S39" s="268"/>
      <c r="T39" s="268"/>
      <c r="U39" s="268"/>
      <c r="V39" s="268"/>
      <c r="W39" s="268"/>
      <c r="X39" s="268"/>
      <c r="Y39" s="268"/>
      <c r="Z39" s="268"/>
      <c r="AA39" s="268"/>
      <c r="AB39" s="268"/>
      <c r="AC39" s="268"/>
      <c r="AD39" s="268"/>
      <c r="AE39" s="268"/>
      <c r="AF39" s="267"/>
      <c r="AG39" s="268"/>
      <c r="AH39" s="268"/>
      <c r="AI39" s="268"/>
      <c r="AJ39" s="268"/>
      <c r="AK39" s="268"/>
      <c r="AL39" s="268"/>
      <c r="AM39" s="268"/>
      <c r="AN39" s="268"/>
      <c r="AO39" s="268"/>
      <c r="AP39" s="268"/>
      <c r="AQ39" s="268"/>
      <c r="AR39" s="268"/>
      <c r="AS39" s="268"/>
      <c r="AT39" s="268"/>
      <c r="AU39" s="268"/>
      <c r="AV39" s="268"/>
      <c r="AW39" s="268"/>
      <c r="AX39" s="268"/>
      <c r="AY39" s="268"/>
      <c r="AZ39" s="268"/>
      <c r="BA39" s="268"/>
      <c r="BB39" s="268"/>
      <c r="BC39" s="268"/>
      <c r="BD39" s="268"/>
      <c r="BE39" s="268"/>
      <c r="BF39" s="268"/>
      <c r="BG39" s="268"/>
      <c r="BH39" s="268"/>
      <c r="BI39" s="269"/>
      <c r="BJ39" s="268"/>
      <c r="BK39" s="270"/>
    </row>
    <row r="40" spans="1:63" ht="15" customHeight="1" x14ac:dyDescent="0.25">
      <c r="A40" s="266"/>
      <c r="B40" s="267"/>
      <c r="C40" s="268"/>
      <c r="D40" s="268"/>
      <c r="E40" s="268"/>
      <c r="F40" s="268"/>
      <c r="G40" s="268"/>
      <c r="H40" s="268"/>
      <c r="I40" s="268"/>
      <c r="J40" s="268"/>
      <c r="K40" s="268"/>
      <c r="L40" s="268"/>
      <c r="M40" s="268"/>
      <c r="N40" s="268"/>
      <c r="O40" s="268"/>
      <c r="P40" s="268"/>
      <c r="Q40" s="268"/>
      <c r="R40" s="268"/>
      <c r="S40" s="268"/>
      <c r="T40" s="268"/>
      <c r="U40" s="268"/>
      <c r="V40" s="268"/>
      <c r="W40" s="268"/>
      <c r="X40" s="268"/>
      <c r="Y40" s="268"/>
      <c r="Z40" s="268"/>
      <c r="AA40" s="268"/>
      <c r="AB40" s="268"/>
      <c r="AC40" s="268"/>
      <c r="AD40" s="268"/>
      <c r="AE40" s="268"/>
      <c r="AF40" s="267"/>
      <c r="AG40" s="268"/>
      <c r="AH40" s="268"/>
      <c r="AI40" s="268"/>
      <c r="AJ40" s="268"/>
      <c r="AK40" s="268"/>
      <c r="AL40" s="268"/>
      <c r="AM40" s="268"/>
      <c r="AN40" s="268"/>
      <c r="AO40" s="268"/>
      <c r="AP40" s="268"/>
      <c r="AQ40" s="268"/>
      <c r="AR40" s="268"/>
      <c r="AS40" s="268"/>
      <c r="AT40" s="268"/>
      <c r="AU40" s="268"/>
      <c r="AV40" s="268"/>
      <c r="AW40" s="268"/>
      <c r="AX40" s="268"/>
      <c r="AY40" s="268"/>
      <c r="AZ40" s="268"/>
      <c r="BA40" s="268"/>
      <c r="BB40" s="268"/>
      <c r="BC40" s="268"/>
      <c r="BD40" s="268"/>
      <c r="BE40" s="268"/>
      <c r="BF40" s="268"/>
      <c r="BG40" s="268"/>
      <c r="BH40" s="268"/>
      <c r="BI40" s="269"/>
      <c r="BJ40" s="268"/>
      <c r="BK40" s="270"/>
    </row>
    <row r="41" spans="1:63" ht="15" customHeight="1" x14ac:dyDescent="0.25">
      <c r="A41" s="266"/>
      <c r="B41" s="267"/>
      <c r="C41" s="268"/>
      <c r="D41" s="268"/>
      <c r="E41" s="268"/>
      <c r="F41" s="268"/>
      <c r="G41" s="268"/>
      <c r="H41" s="268"/>
      <c r="I41" s="268"/>
      <c r="J41" s="268"/>
      <c r="K41" s="268"/>
      <c r="L41" s="268"/>
      <c r="M41" s="268"/>
      <c r="N41" s="268"/>
      <c r="O41" s="268"/>
      <c r="P41" s="268"/>
      <c r="Q41" s="268"/>
      <c r="R41" s="268"/>
      <c r="S41" s="268"/>
      <c r="T41" s="268"/>
      <c r="U41" s="268"/>
      <c r="V41" s="268"/>
      <c r="W41" s="268"/>
      <c r="X41" s="268"/>
      <c r="Y41" s="268"/>
      <c r="Z41" s="268"/>
      <c r="AA41" s="268"/>
      <c r="AB41" s="268"/>
      <c r="AC41" s="268"/>
      <c r="AD41" s="268"/>
      <c r="AE41" s="268"/>
      <c r="AF41" s="267"/>
      <c r="AG41" s="268"/>
      <c r="AH41" s="268"/>
      <c r="AI41" s="268"/>
      <c r="AJ41" s="268"/>
      <c r="AK41" s="268"/>
      <c r="AL41" s="268"/>
      <c r="AM41" s="268"/>
      <c r="AN41" s="268"/>
      <c r="AO41" s="268"/>
      <c r="AP41" s="268"/>
      <c r="AQ41" s="268"/>
      <c r="AR41" s="268"/>
      <c r="AS41" s="268"/>
      <c r="AT41" s="268"/>
      <c r="AU41" s="268"/>
      <c r="AV41" s="268"/>
      <c r="AW41" s="268"/>
      <c r="AX41" s="268"/>
      <c r="AY41" s="268"/>
      <c r="AZ41" s="268"/>
      <c r="BA41" s="268"/>
      <c r="BB41" s="268"/>
      <c r="BC41" s="268"/>
      <c r="BD41" s="268"/>
      <c r="BE41" s="268"/>
      <c r="BF41" s="268"/>
      <c r="BG41" s="268"/>
      <c r="BH41" s="268"/>
      <c r="BI41" s="269"/>
      <c r="BJ41" s="268"/>
      <c r="BK41" s="270"/>
    </row>
    <row r="42" spans="1:63" ht="15" customHeight="1" x14ac:dyDescent="0.25">
      <c r="A42" s="266"/>
      <c r="B42" s="2" t="s">
        <v>14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3"/>
      <c r="AF42" s="2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3"/>
      <c r="BJ42" s="1"/>
      <c r="BK42" s="270"/>
    </row>
    <row r="43" spans="1:63" ht="15" customHeight="1" x14ac:dyDescent="0.25">
      <c r="A43" s="266"/>
      <c r="B43" s="267"/>
      <c r="C43" s="268"/>
      <c r="D43" s="268"/>
      <c r="E43" s="268"/>
      <c r="F43" s="268"/>
      <c r="G43" s="268"/>
      <c r="H43" s="268"/>
      <c r="I43" s="268"/>
      <c r="J43" s="268"/>
      <c r="K43" s="268"/>
      <c r="L43" s="268"/>
      <c r="M43" s="268"/>
      <c r="N43" s="268"/>
      <c r="O43" s="268"/>
      <c r="P43" s="268"/>
      <c r="Q43" s="268"/>
      <c r="R43" s="268"/>
      <c r="S43" s="268"/>
      <c r="T43" s="268"/>
      <c r="U43" s="268"/>
      <c r="V43" s="268"/>
      <c r="W43" s="268"/>
      <c r="X43" s="268"/>
      <c r="Y43" s="268"/>
      <c r="Z43" s="268"/>
      <c r="AA43" s="268"/>
      <c r="AB43" s="268"/>
      <c r="AC43" s="268"/>
      <c r="AD43" s="268"/>
      <c r="AE43" s="269"/>
      <c r="AF43" s="267"/>
      <c r="AG43" s="268"/>
      <c r="AH43" s="268"/>
      <c r="AI43" s="268"/>
      <c r="AJ43" s="268"/>
      <c r="AK43" s="268"/>
      <c r="AL43" s="268"/>
      <c r="AM43" s="268"/>
      <c r="AN43" s="268"/>
      <c r="AO43" s="268"/>
      <c r="AP43" s="268"/>
      <c r="AQ43" s="268"/>
      <c r="AR43" s="268"/>
      <c r="AS43" s="268"/>
      <c r="AT43" s="268"/>
      <c r="AU43" s="268"/>
      <c r="AV43" s="268"/>
      <c r="AW43" s="268"/>
      <c r="AX43" s="268"/>
      <c r="AY43" s="268"/>
      <c r="AZ43" s="268"/>
      <c r="BA43" s="268"/>
      <c r="BB43" s="268"/>
      <c r="BC43" s="268"/>
      <c r="BD43" s="268"/>
      <c r="BE43" s="268"/>
      <c r="BF43" s="268"/>
      <c r="BG43" s="268"/>
      <c r="BH43" s="268"/>
      <c r="BI43" s="269"/>
      <c r="BJ43" s="268"/>
      <c r="BK43" s="270"/>
    </row>
    <row r="44" spans="1:63" ht="15" customHeight="1" x14ac:dyDescent="0.25">
      <c r="A44" s="266"/>
      <c r="B44" s="267"/>
      <c r="C44" s="268"/>
      <c r="D44" s="268"/>
      <c r="E44" s="268"/>
      <c r="F44" s="268"/>
      <c r="G44" s="268"/>
      <c r="H44" s="268"/>
      <c r="I44" s="268"/>
      <c r="J44" s="268"/>
      <c r="K44" s="268"/>
      <c r="L44" s="268"/>
      <c r="M44" s="268"/>
      <c r="N44" s="268"/>
      <c r="O44" s="268"/>
      <c r="P44" s="268"/>
      <c r="Q44" s="268"/>
      <c r="R44" s="268"/>
      <c r="S44" s="268"/>
      <c r="T44" s="268"/>
      <c r="U44" s="268"/>
      <c r="V44" s="268"/>
      <c r="W44" s="268"/>
      <c r="X44" s="268"/>
      <c r="Y44" s="268"/>
      <c r="Z44" s="268"/>
      <c r="AA44" s="268"/>
      <c r="AB44" s="268"/>
      <c r="AC44" s="268"/>
      <c r="AD44" s="268"/>
      <c r="AE44" s="269"/>
      <c r="AF44" s="267"/>
      <c r="AG44" s="268"/>
      <c r="AH44" s="268"/>
      <c r="AI44" s="268"/>
      <c r="AJ44" s="268"/>
      <c r="AK44" s="268"/>
      <c r="AL44" s="268"/>
      <c r="AM44" s="268"/>
      <c r="AN44" s="268"/>
      <c r="AO44" s="268"/>
      <c r="AP44" s="268"/>
      <c r="AQ44" s="268"/>
      <c r="AR44" s="268"/>
      <c r="AS44" s="268"/>
      <c r="AT44" s="268"/>
      <c r="AU44" s="268"/>
      <c r="AV44" s="268"/>
      <c r="AW44" s="268"/>
      <c r="AX44" s="268"/>
      <c r="AY44" s="268"/>
      <c r="AZ44" s="268"/>
      <c r="BA44" s="268"/>
      <c r="BB44" s="268"/>
      <c r="BC44" s="268"/>
      <c r="BD44" s="268"/>
      <c r="BE44" s="268"/>
      <c r="BF44" s="268"/>
      <c r="BG44" s="268"/>
      <c r="BH44" s="268"/>
      <c r="BI44" s="269"/>
      <c r="BJ44" s="268"/>
      <c r="BK44" s="270"/>
    </row>
    <row r="45" spans="1:63" ht="15" customHeight="1" x14ac:dyDescent="0.25">
      <c r="A45" s="266"/>
      <c r="B45" s="267"/>
      <c r="C45" s="268"/>
      <c r="D45" s="268"/>
      <c r="E45" s="268"/>
      <c r="F45" s="268"/>
      <c r="G45" s="268"/>
      <c r="H45" s="268"/>
      <c r="I45" s="268"/>
      <c r="J45" s="268"/>
      <c r="K45" s="268"/>
      <c r="L45" s="268"/>
      <c r="M45" s="268"/>
      <c r="N45" s="268"/>
      <c r="O45" s="268"/>
      <c r="P45" s="268"/>
      <c r="Q45" s="268"/>
      <c r="R45" s="268"/>
      <c r="S45" s="268"/>
      <c r="T45" s="268"/>
      <c r="U45" s="268"/>
      <c r="V45" s="268"/>
      <c r="W45" s="268"/>
      <c r="X45" s="268"/>
      <c r="Y45" s="268"/>
      <c r="Z45" s="268"/>
      <c r="AA45" s="268"/>
      <c r="AB45" s="268"/>
      <c r="AC45" s="268"/>
      <c r="AD45" s="268"/>
      <c r="AE45" s="269"/>
      <c r="AF45" s="267"/>
      <c r="AG45" s="268"/>
      <c r="AH45" s="268"/>
      <c r="AI45" s="268"/>
      <c r="AJ45" s="268"/>
      <c r="AK45" s="268"/>
      <c r="AL45" s="268"/>
      <c r="AM45" s="268"/>
      <c r="AN45" s="268"/>
      <c r="AO45" s="268"/>
      <c r="AP45" s="268"/>
      <c r="AQ45" s="268"/>
      <c r="AR45" s="268"/>
      <c r="AS45" s="268"/>
      <c r="AT45" s="268"/>
      <c r="AU45" s="268"/>
      <c r="AV45" s="268"/>
      <c r="AW45" s="268"/>
      <c r="AX45" s="268"/>
      <c r="AY45" s="268"/>
      <c r="AZ45" s="268"/>
      <c r="BA45" s="268"/>
      <c r="BB45" s="268"/>
      <c r="BC45" s="268"/>
      <c r="BD45" s="268"/>
      <c r="BE45" s="268"/>
      <c r="BF45" s="268"/>
      <c r="BG45" s="268"/>
      <c r="BH45" s="268"/>
      <c r="BI45" s="269"/>
      <c r="BJ45" s="268"/>
      <c r="BK45" s="270"/>
    </row>
    <row r="46" spans="1:63" ht="15" customHeight="1" x14ac:dyDescent="0.25">
      <c r="A46" s="266"/>
      <c r="B46" s="267"/>
      <c r="C46" s="268"/>
      <c r="D46" s="268"/>
      <c r="E46" s="268"/>
      <c r="F46" s="268"/>
      <c r="G46" s="268"/>
      <c r="H46" s="268"/>
      <c r="I46" s="268"/>
      <c r="J46" s="268"/>
      <c r="K46" s="268"/>
      <c r="L46" s="268"/>
      <c r="M46" s="268"/>
      <c r="N46" s="268"/>
      <c r="O46" s="268"/>
      <c r="P46" s="268"/>
      <c r="Q46" s="268"/>
      <c r="R46" s="268"/>
      <c r="S46" s="268"/>
      <c r="T46" s="268"/>
      <c r="U46" s="268"/>
      <c r="V46" s="268"/>
      <c r="W46" s="268"/>
      <c r="X46" s="268"/>
      <c r="Y46" s="268"/>
      <c r="Z46" s="268"/>
      <c r="AA46" s="268"/>
      <c r="AB46" s="268"/>
      <c r="AC46" s="268"/>
      <c r="AD46" s="268"/>
      <c r="AE46" s="269"/>
      <c r="AF46" s="267"/>
      <c r="AG46" s="268"/>
      <c r="AH46" s="268"/>
      <c r="AI46" s="268"/>
      <c r="AJ46" s="268"/>
      <c r="AK46" s="268"/>
      <c r="AL46" s="268"/>
      <c r="AM46" s="268"/>
      <c r="AN46" s="268"/>
      <c r="AO46" s="268"/>
      <c r="AP46" s="268"/>
      <c r="AQ46" s="268"/>
      <c r="AR46" s="268"/>
      <c r="AS46" s="268"/>
      <c r="AT46" s="268"/>
      <c r="AU46" s="268"/>
      <c r="AV46" s="268"/>
      <c r="AW46" s="268"/>
      <c r="AX46" s="268"/>
      <c r="AY46" s="268"/>
      <c r="AZ46" s="268"/>
      <c r="BA46" s="268"/>
      <c r="BB46" s="268"/>
      <c r="BC46" s="268"/>
      <c r="BD46" s="268"/>
      <c r="BE46" s="268"/>
      <c r="BF46" s="268"/>
      <c r="BG46" s="268"/>
      <c r="BH46" s="268"/>
      <c r="BI46" s="269"/>
      <c r="BJ46" s="268"/>
      <c r="BK46" s="270"/>
    </row>
    <row r="47" spans="1:63" ht="15" customHeight="1" x14ac:dyDescent="0.25">
      <c r="A47" s="266"/>
      <c r="B47" s="267"/>
      <c r="C47" s="268"/>
      <c r="D47" s="268"/>
      <c r="E47" s="268"/>
      <c r="F47" s="268"/>
      <c r="G47" s="268"/>
      <c r="H47" s="268"/>
      <c r="I47" s="268"/>
      <c r="J47" s="268"/>
      <c r="K47" s="268"/>
      <c r="L47" s="268"/>
      <c r="M47" s="268"/>
      <c r="N47" s="268"/>
      <c r="O47" s="268"/>
      <c r="P47" s="268"/>
      <c r="Q47" s="268"/>
      <c r="R47" s="268"/>
      <c r="S47" s="268"/>
      <c r="T47" s="268"/>
      <c r="U47" s="268"/>
      <c r="V47" s="268"/>
      <c r="W47" s="268"/>
      <c r="X47" s="268"/>
      <c r="Y47" s="268"/>
      <c r="Z47" s="268"/>
      <c r="AA47" s="268"/>
      <c r="AB47" s="268"/>
      <c r="AC47" s="268"/>
      <c r="AD47" s="268"/>
      <c r="AE47" s="269"/>
      <c r="AF47" s="267"/>
      <c r="AG47" s="268"/>
      <c r="AH47" s="268"/>
      <c r="AI47" s="268"/>
      <c r="AJ47" s="268"/>
      <c r="AK47" s="268"/>
      <c r="AL47" s="268"/>
      <c r="AM47" s="268"/>
      <c r="AN47" s="268"/>
      <c r="AO47" s="268"/>
      <c r="AP47" s="268"/>
      <c r="AQ47" s="268"/>
      <c r="AR47" s="268"/>
      <c r="AS47" s="268"/>
      <c r="AT47" s="268"/>
      <c r="AU47" s="268"/>
      <c r="AV47" s="268"/>
      <c r="AW47" s="268"/>
      <c r="AX47" s="268"/>
      <c r="AY47" s="268"/>
      <c r="AZ47" s="268"/>
      <c r="BA47" s="268"/>
      <c r="BB47" s="268"/>
      <c r="BC47" s="268"/>
      <c r="BD47" s="268"/>
      <c r="BE47" s="268"/>
      <c r="BF47" s="268"/>
      <c r="BG47" s="268"/>
      <c r="BH47" s="268"/>
      <c r="BI47" s="269"/>
      <c r="BJ47" s="268"/>
      <c r="BK47" s="270"/>
    </row>
    <row r="48" spans="1:63" ht="15" customHeight="1" x14ac:dyDescent="0.25">
      <c r="A48" s="266"/>
      <c r="B48" s="267"/>
      <c r="C48" s="268"/>
      <c r="D48" s="268"/>
      <c r="E48" s="268"/>
      <c r="F48" s="268"/>
      <c r="G48" s="268"/>
      <c r="H48" s="268"/>
      <c r="I48" s="268"/>
      <c r="J48" s="268"/>
      <c r="K48" s="268"/>
      <c r="L48" s="268"/>
      <c r="M48" s="268"/>
      <c r="N48" s="268"/>
      <c r="O48" s="268"/>
      <c r="P48" s="268"/>
      <c r="Q48" s="268"/>
      <c r="R48" s="268"/>
      <c r="S48" s="268"/>
      <c r="T48" s="268"/>
      <c r="U48" s="268"/>
      <c r="V48" s="268"/>
      <c r="W48" s="268"/>
      <c r="X48" s="268"/>
      <c r="Y48" s="268"/>
      <c r="Z48" s="268"/>
      <c r="AA48" s="268"/>
      <c r="AB48" s="268"/>
      <c r="AC48" s="268"/>
      <c r="AD48" s="268"/>
      <c r="AE48" s="269"/>
      <c r="AF48" s="267"/>
      <c r="AG48" s="268"/>
      <c r="AH48" s="268"/>
      <c r="AI48" s="268"/>
      <c r="AJ48" s="268"/>
      <c r="AK48" s="268"/>
      <c r="AL48" s="268"/>
      <c r="AM48" s="268"/>
      <c r="AN48" s="268"/>
      <c r="AO48" s="268"/>
      <c r="AP48" s="268"/>
      <c r="AQ48" s="268"/>
      <c r="AR48" s="268"/>
      <c r="AS48" s="268"/>
      <c r="AT48" s="268"/>
      <c r="AU48" s="268"/>
      <c r="AV48" s="268"/>
      <c r="AW48" s="268"/>
      <c r="AX48" s="268"/>
      <c r="AY48" s="268"/>
      <c r="AZ48" s="268"/>
      <c r="BA48" s="268"/>
      <c r="BB48" s="268"/>
      <c r="BC48" s="268"/>
      <c r="BD48" s="268"/>
      <c r="BE48" s="268"/>
      <c r="BF48" s="268"/>
      <c r="BG48" s="268"/>
      <c r="BH48" s="268"/>
      <c r="BI48" s="269"/>
      <c r="BJ48" s="268"/>
      <c r="BK48" s="270"/>
    </row>
    <row r="49" spans="1:63" ht="15" customHeight="1" x14ac:dyDescent="0.25">
      <c r="A49" s="266"/>
      <c r="B49" s="267"/>
      <c r="C49" s="268"/>
      <c r="D49" s="268"/>
      <c r="E49" s="268"/>
      <c r="F49" s="268"/>
      <c r="G49" s="268"/>
      <c r="H49" s="268"/>
      <c r="I49" s="268"/>
      <c r="J49" s="268"/>
      <c r="K49" s="268"/>
      <c r="L49" s="268"/>
      <c r="M49" s="268"/>
      <c r="N49" s="268"/>
      <c r="O49" s="268"/>
      <c r="P49" s="268"/>
      <c r="Q49" s="268"/>
      <c r="R49" s="268"/>
      <c r="S49" s="268"/>
      <c r="T49" s="268"/>
      <c r="U49" s="268"/>
      <c r="V49" s="268"/>
      <c r="W49" s="268"/>
      <c r="X49" s="268"/>
      <c r="Y49" s="268"/>
      <c r="Z49" s="268"/>
      <c r="AA49" s="268"/>
      <c r="AB49" s="268"/>
      <c r="AC49" s="268"/>
      <c r="AD49" s="268"/>
      <c r="AE49" s="268"/>
      <c r="AF49" s="267"/>
      <c r="AG49" s="268"/>
      <c r="AH49" s="268"/>
      <c r="AI49" s="268"/>
      <c r="AJ49" s="268"/>
      <c r="AK49" s="268"/>
      <c r="AL49" s="268"/>
      <c r="AM49" s="268"/>
      <c r="AN49" s="268"/>
      <c r="AO49" s="268"/>
      <c r="AP49" s="268"/>
      <c r="AQ49" s="268"/>
      <c r="AR49" s="268"/>
      <c r="AS49" s="268"/>
      <c r="AT49" s="268"/>
      <c r="AU49" s="268"/>
      <c r="AV49" s="268"/>
      <c r="AW49" s="268"/>
      <c r="AX49" s="268"/>
      <c r="AY49" s="268"/>
      <c r="AZ49" s="268"/>
      <c r="BA49" s="268"/>
      <c r="BB49" s="268"/>
      <c r="BC49" s="268"/>
      <c r="BD49" s="268"/>
      <c r="BE49" s="268"/>
      <c r="BF49" s="268"/>
      <c r="BG49" s="268"/>
      <c r="BH49" s="268"/>
      <c r="BI49" s="269"/>
      <c r="BJ49" s="268"/>
      <c r="BK49" s="270"/>
    </row>
    <row r="50" spans="1:63" ht="15" customHeight="1" x14ac:dyDescent="0.25">
      <c r="A50" s="266"/>
      <c r="B50" s="267"/>
      <c r="C50" s="268"/>
      <c r="D50" s="268"/>
      <c r="E50" s="268"/>
      <c r="F50" s="268"/>
      <c r="G50" s="268"/>
      <c r="H50" s="268"/>
      <c r="I50" s="268"/>
      <c r="J50" s="268"/>
      <c r="K50" s="268"/>
      <c r="L50" s="268"/>
      <c r="M50" s="268"/>
      <c r="N50" s="268"/>
      <c r="O50" s="268"/>
      <c r="P50" s="268"/>
      <c r="Q50" s="268"/>
      <c r="R50" s="268"/>
      <c r="S50" s="268"/>
      <c r="T50" s="268"/>
      <c r="U50" s="268"/>
      <c r="V50" s="268"/>
      <c r="W50" s="268"/>
      <c r="X50" s="268"/>
      <c r="Y50" s="268"/>
      <c r="Z50" s="268"/>
      <c r="AA50" s="268"/>
      <c r="AB50" s="268"/>
      <c r="AC50" s="268"/>
      <c r="AD50" s="268"/>
      <c r="AE50" s="268"/>
      <c r="AF50" s="267"/>
      <c r="AG50" s="268"/>
      <c r="AH50" s="268"/>
      <c r="AI50" s="268"/>
      <c r="AJ50" s="268"/>
      <c r="AK50" s="268"/>
      <c r="AL50" s="268"/>
      <c r="AM50" s="268"/>
      <c r="AN50" s="268"/>
      <c r="AO50" s="268"/>
      <c r="AP50" s="268"/>
      <c r="AQ50" s="268"/>
      <c r="AR50" s="268"/>
      <c r="AS50" s="268"/>
      <c r="AT50" s="268"/>
      <c r="AU50" s="268"/>
      <c r="AV50" s="268"/>
      <c r="AW50" s="268"/>
      <c r="AX50" s="268"/>
      <c r="AY50" s="268"/>
      <c r="AZ50" s="268"/>
      <c r="BA50" s="268"/>
      <c r="BB50" s="268"/>
      <c r="BC50" s="268"/>
      <c r="BD50" s="268"/>
      <c r="BE50" s="268"/>
      <c r="BF50" s="268"/>
      <c r="BG50" s="268"/>
      <c r="BH50" s="268"/>
      <c r="BI50" s="269"/>
      <c r="BJ50" s="268"/>
      <c r="BK50" s="270"/>
    </row>
    <row r="51" spans="1:63" ht="15" customHeight="1" x14ac:dyDescent="0.25">
      <c r="A51" s="266"/>
      <c r="B51" s="267"/>
      <c r="C51" s="268"/>
      <c r="D51" s="268"/>
      <c r="E51" s="268"/>
      <c r="F51" s="268"/>
      <c r="G51" s="268"/>
      <c r="H51" s="268"/>
      <c r="I51" s="268"/>
      <c r="J51" s="268"/>
      <c r="K51" s="268"/>
      <c r="L51" s="268"/>
      <c r="M51" s="268"/>
      <c r="N51" s="268"/>
      <c r="O51" s="268"/>
      <c r="P51" s="268"/>
      <c r="Q51" s="268"/>
      <c r="R51" s="268"/>
      <c r="S51" s="268"/>
      <c r="T51" s="268"/>
      <c r="U51" s="268"/>
      <c r="V51" s="268"/>
      <c r="W51" s="268"/>
      <c r="X51" s="268"/>
      <c r="Y51" s="268"/>
      <c r="Z51" s="268"/>
      <c r="AA51" s="268"/>
      <c r="AB51" s="268"/>
      <c r="AC51" s="268"/>
      <c r="AD51" s="268"/>
      <c r="AE51" s="268"/>
      <c r="AF51" s="267"/>
      <c r="AG51" s="268"/>
      <c r="AH51" s="268"/>
      <c r="AI51" s="268"/>
      <c r="AJ51" s="268"/>
      <c r="AK51" s="268"/>
      <c r="AL51" s="268"/>
      <c r="AM51" s="268"/>
      <c r="AN51" s="268"/>
      <c r="AO51" s="268"/>
      <c r="AP51" s="268"/>
      <c r="AQ51" s="268"/>
      <c r="AR51" s="268"/>
      <c r="AS51" s="268"/>
      <c r="AT51" s="268"/>
      <c r="AU51" s="268"/>
      <c r="AV51" s="268"/>
      <c r="AW51" s="268"/>
      <c r="AX51" s="268"/>
      <c r="AY51" s="268"/>
      <c r="AZ51" s="268"/>
      <c r="BA51" s="268"/>
      <c r="BB51" s="268"/>
      <c r="BC51" s="268"/>
      <c r="BD51" s="268"/>
      <c r="BE51" s="268"/>
      <c r="BF51" s="268"/>
      <c r="BG51" s="268"/>
      <c r="BH51" s="268"/>
      <c r="BI51" s="269"/>
      <c r="BJ51" s="268"/>
      <c r="BK51" s="270"/>
    </row>
    <row r="52" spans="1:63" ht="15" customHeight="1" x14ac:dyDescent="0.25">
      <c r="A52" s="266"/>
      <c r="B52" s="267"/>
      <c r="C52" s="268"/>
      <c r="D52" s="268"/>
      <c r="E52" s="268"/>
      <c r="F52" s="268"/>
      <c r="G52" s="268"/>
      <c r="H52" s="268"/>
      <c r="I52" s="268"/>
      <c r="J52" s="268"/>
      <c r="K52" s="268"/>
      <c r="L52" s="268"/>
      <c r="M52" s="268"/>
      <c r="N52" s="268"/>
      <c r="O52" s="268"/>
      <c r="P52" s="268"/>
      <c r="Q52" s="268"/>
      <c r="R52" s="268"/>
      <c r="S52" s="268"/>
      <c r="T52" s="268"/>
      <c r="U52" s="268"/>
      <c r="V52" s="268"/>
      <c r="W52" s="268"/>
      <c r="X52" s="268"/>
      <c r="Y52" s="268"/>
      <c r="Z52" s="268"/>
      <c r="AA52" s="268"/>
      <c r="AB52" s="268"/>
      <c r="AC52" s="268"/>
      <c r="AD52" s="268"/>
      <c r="AE52" s="268"/>
      <c r="AF52" s="267"/>
      <c r="AG52" s="268"/>
      <c r="AH52" s="268"/>
      <c r="AI52" s="268"/>
      <c r="AJ52" s="268"/>
      <c r="AK52" s="268"/>
      <c r="AL52" s="268"/>
      <c r="AM52" s="268"/>
      <c r="AN52" s="268"/>
      <c r="AO52" s="268"/>
      <c r="AP52" s="268"/>
      <c r="AQ52" s="268"/>
      <c r="AR52" s="268"/>
      <c r="AS52" s="268"/>
      <c r="AT52" s="268"/>
      <c r="AU52" s="268"/>
      <c r="AV52" s="268"/>
      <c r="AW52" s="268"/>
      <c r="AX52" s="268"/>
      <c r="AY52" s="268"/>
      <c r="AZ52" s="268"/>
      <c r="BA52" s="268"/>
      <c r="BB52" s="268"/>
      <c r="BC52" s="268"/>
      <c r="BD52" s="268"/>
      <c r="BE52" s="268"/>
      <c r="BF52" s="268"/>
      <c r="BG52" s="268"/>
      <c r="BH52" s="268"/>
      <c r="BI52" s="269"/>
      <c r="BJ52" s="268"/>
      <c r="BK52" s="270"/>
    </row>
    <row r="53" spans="1:63" ht="15" customHeight="1" x14ac:dyDescent="0.25">
      <c r="A53" s="266"/>
      <c r="B53" s="267"/>
      <c r="C53" s="268"/>
      <c r="D53" s="268"/>
      <c r="E53" s="268"/>
      <c r="F53" s="268"/>
      <c r="G53" s="268"/>
      <c r="H53" s="268"/>
      <c r="I53" s="268"/>
      <c r="J53" s="268"/>
      <c r="K53" s="268"/>
      <c r="L53" s="268"/>
      <c r="M53" s="268"/>
      <c r="N53" s="268"/>
      <c r="O53" s="268"/>
      <c r="P53" s="268"/>
      <c r="Q53" s="268"/>
      <c r="R53" s="268"/>
      <c r="S53" s="268"/>
      <c r="T53" s="268"/>
      <c r="U53" s="268"/>
      <c r="V53" s="268"/>
      <c r="W53" s="268"/>
      <c r="X53" s="268"/>
      <c r="Y53" s="268"/>
      <c r="Z53" s="268"/>
      <c r="AA53" s="268"/>
      <c r="AB53" s="268"/>
      <c r="AC53" s="268"/>
      <c r="AD53" s="268"/>
      <c r="AE53" s="268"/>
      <c r="AF53" s="267"/>
      <c r="AG53" s="268"/>
      <c r="AH53" s="268"/>
      <c r="AI53" s="268"/>
      <c r="AJ53" s="268"/>
      <c r="AK53" s="268"/>
      <c r="AL53" s="268"/>
      <c r="AM53" s="268"/>
      <c r="AN53" s="268"/>
      <c r="AO53" s="268"/>
      <c r="AP53" s="268"/>
      <c r="AQ53" s="268"/>
      <c r="AR53" s="268"/>
      <c r="AS53" s="268"/>
      <c r="AT53" s="268"/>
      <c r="AU53" s="268"/>
      <c r="AV53" s="268"/>
      <c r="AW53" s="268"/>
      <c r="AX53" s="268"/>
      <c r="AY53" s="268"/>
      <c r="AZ53" s="268"/>
      <c r="BA53" s="268"/>
      <c r="BB53" s="268"/>
      <c r="BC53" s="268"/>
      <c r="BD53" s="268"/>
      <c r="BE53" s="268"/>
      <c r="BF53" s="268"/>
      <c r="BG53" s="268"/>
      <c r="BH53" s="268"/>
      <c r="BI53" s="269"/>
      <c r="BJ53" s="268"/>
      <c r="BK53" s="270"/>
    </row>
    <row r="54" spans="1:63" ht="15" customHeight="1" x14ac:dyDescent="0.25">
      <c r="A54" s="266"/>
      <c r="B54" s="267"/>
      <c r="C54" s="268"/>
      <c r="D54" s="268"/>
      <c r="E54" s="268"/>
      <c r="F54" s="268"/>
      <c r="G54" s="268"/>
      <c r="H54" s="268"/>
      <c r="I54" s="268"/>
      <c r="J54" s="268"/>
      <c r="K54" s="268"/>
      <c r="L54" s="268"/>
      <c r="M54" s="268"/>
      <c r="N54" s="268"/>
      <c r="O54" s="268"/>
      <c r="P54" s="268"/>
      <c r="Q54" s="268"/>
      <c r="R54" s="268"/>
      <c r="S54" s="268"/>
      <c r="T54" s="268"/>
      <c r="U54" s="268"/>
      <c r="V54" s="268"/>
      <c r="W54" s="268"/>
      <c r="X54" s="268"/>
      <c r="Y54" s="268"/>
      <c r="Z54" s="268"/>
      <c r="AA54" s="268"/>
      <c r="AB54" s="268"/>
      <c r="AC54" s="268"/>
      <c r="AD54" s="268"/>
      <c r="AE54" s="268"/>
      <c r="AF54" s="267"/>
      <c r="AG54" s="268"/>
      <c r="AH54" s="268"/>
      <c r="AI54" s="268"/>
      <c r="AJ54" s="268"/>
      <c r="AK54" s="268"/>
      <c r="AL54" s="268"/>
      <c r="AM54" s="268"/>
      <c r="AN54" s="268"/>
      <c r="AO54" s="268"/>
      <c r="AP54" s="268"/>
      <c r="AQ54" s="268"/>
      <c r="AR54" s="268"/>
      <c r="AS54" s="268"/>
      <c r="AT54" s="268"/>
      <c r="AU54" s="268"/>
      <c r="AV54" s="268"/>
      <c r="AW54" s="268"/>
      <c r="AX54" s="268"/>
      <c r="AY54" s="268"/>
      <c r="AZ54" s="268"/>
      <c r="BA54" s="268"/>
      <c r="BB54" s="268"/>
      <c r="BC54" s="268"/>
      <c r="BD54" s="268"/>
      <c r="BE54" s="268"/>
      <c r="BF54" s="268"/>
      <c r="BG54" s="268"/>
      <c r="BH54" s="268"/>
      <c r="BI54" s="269"/>
      <c r="BJ54" s="268"/>
      <c r="BK54" s="270"/>
    </row>
    <row r="55" spans="1:63" ht="15" customHeight="1" x14ac:dyDescent="0.25">
      <c r="A55" s="266"/>
      <c r="B55" s="267"/>
      <c r="C55" s="268"/>
      <c r="D55" s="268"/>
      <c r="E55" s="268"/>
      <c r="F55" s="268"/>
      <c r="G55" s="268"/>
      <c r="H55" s="268"/>
      <c r="I55" s="268"/>
      <c r="J55" s="268"/>
      <c r="K55" s="268"/>
      <c r="L55" s="268"/>
      <c r="M55" s="268"/>
      <c r="N55" s="268"/>
      <c r="O55" s="268"/>
      <c r="P55" s="268"/>
      <c r="Q55" s="268"/>
      <c r="R55" s="268"/>
      <c r="S55" s="268"/>
      <c r="T55" s="268"/>
      <c r="U55" s="268"/>
      <c r="V55" s="268"/>
      <c r="W55" s="268"/>
      <c r="X55" s="268"/>
      <c r="Y55" s="268"/>
      <c r="Z55" s="268"/>
      <c r="AA55" s="268"/>
      <c r="AB55" s="268"/>
      <c r="AC55" s="268"/>
      <c r="AD55" s="268"/>
      <c r="AE55" s="268"/>
      <c r="AF55" s="267"/>
      <c r="AG55" s="268"/>
      <c r="AH55" s="268"/>
      <c r="AI55" s="268"/>
      <c r="AJ55" s="268"/>
      <c r="AK55" s="268"/>
      <c r="AL55" s="268"/>
      <c r="AM55" s="268"/>
      <c r="AN55" s="268"/>
      <c r="AO55" s="268"/>
      <c r="AP55" s="268"/>
      <c r="AQ55" s="268"/>
      <c r="AR55" s="268"/>
      <c r="AS55" s="268"/>
      <c r="AT55" s="268"/>
      <c r="AU55" s="268"/>
      <c r="AV55" s="268"/>
      <c r="AW55" s="268"/>
      <c r="AX55" s="268"/>
      <c r="AY55" s="268"/>
      <c r="AZ55" s="268"/>
      <c r="BA55" s="268"/>
      <c r="BB55" s="268"/>
      <c r="BC55" s="268"/>
      <c r="BD55" s="268"/>
      <c r="BE55" s="268"/>
      <c r="BF55" s="268"/>
      <c r="BG55" s="268"/>
      <c r="BH55" s="268"/>
      <c r="BI55" s="269"/>
      <c r="BJ55" s="268"/>
      <c r="BK55" s="270"/>
    </row>
    <row r="56" spans="1:63" ht="15" customHeight="1" x14ac:dyDescent="0.25">
      <c r="A56" s="266"/>
      <c r="B56" s="267"/>
      <c r="C56" s="268"/>
      <c r="D56" s="268"/>
      <c r="E56" s="268"/>
      <c r="F56" s="268"/>
      <c r="G56" s="268"/>
      <c r="H56" s="268"/>
      <c r="I56" s="268"/>
      <c r="J56" s="268"/>
      <c r="K56" s="268"/>
      <c r="L56" s="268"/>
      <c r="M56" s="268"/>
      <c r="N56" s="268"/>
      <c r="O56" s="268"/>
      <c r="P56" s="268"/>
      <c r="Q56" s="268"/>
      <c r="R56" s="268"/>
      <c r="S56" s="268"/>
      <c r="T56" s="268"/>
      <c r="U56" s="268"/>
      <c r="V56" s="268"/>
      <c r="W56" s="268"/>
      <c r="X56" s="268"/>
      <c r="Y56" s="268"/>
      <c r="Z56" s="268"/>
      <c r="AA56" s="268"/>
      <c r="AB56" s="268"/>
      <c r="AC56" s="268"/>
      <c r="AD56" s="268"/>
      <c r="AE56" s="268"/>
      <c r="AF56" s="267"/>
      <c r="AG56" s="268"/>
      <c r="AH56" s="268"/>
      <c r="AI56" s="268"/>
      <c r="AJ56" s="268"/>
      <c r="AK56" s="268"/>
      <c r="AL56" s="268"/>
      <c r="AM56" s="268"/>
      <c r="AN56" s="268"/>
      <c r="AO56" s="268"/>
      <c r="AP56" s="268"/>
      <c r="AQ56" s="268"/>
      <c r="AR56" s="268"/>
      <c r="AS56" s="268"/>
      <c r="AT56" s="268"/>
      <c r="AU56" s="268"/>
      <c r="AV56" s="268"/>
      <c r="AW56" s="268"/>
      <c r="AX56" s="268"/>
      <c r="AY56" s="268"/>
      <c r="AZ56" s="268"/>
      <c r="BA56" s="268"/>
      <c r="BB56" s="268"/>
      <c r="BC56" s="268"/>
      <c r="BD56" s="268"/>
      <c r="BE56" s="268"/>
      <c r="BF56" s="268"/>
      <c r="BG56" s="268"/>
      <c r="BH56" s="268"/>
      <c r="BI56" s="269"/>
      <c r="BJ56" s="268"/>
      <c r="BK56" s="270"/>
    </row>
    <row r="57" spans="1:63" ht="15" customHeight="1" x14ac:dyDescent="0.25">
      <c r="A57" s="266"/>
      <c r="B57" s="267"/>
      <c r="C57" s="268"/>
      <c r="D57" s="268"/>
      <c r="E57" s="268"/>
      <c r="F57" s="268"/>
      <c r="G57" s="268"/>
      <c r="H57" s="268"/>
      <c r="I57" s="268"/>
      <c r="J57" s="268"/>
      <c r="K57" s="268"/>
      <c r="L57" s="268"/>
      <c r="M57" s="268"/>
      <c r="N57" s="268"/>
      <c r="O57" s="268"/>
      <c r="P57" s="268"/>
      <c r="Q57" s="268"/>
      <c r="R57" s="268"/>
      <c r="S57" s="268"/>
      <c r="T57" s="268"/>
      <c r="U57" s="268"/>
      <c r="V57" s="268"/>
      <c r="W57" s="268"/>
      <c r="X57" s="268"/>
      <c r="Y57" s="268"/>
      <c r="Z57" s="268"/>
      <c r="AA57" s="268"/>
      <c r="AB57" s="268"/>
      <c r="AC57" s="268"/>
      <c r="AD57" s="268"/>
      <c r="AE57" s="268"/>
      <c r="AF57" s="267"/>
      <c r="AG57" s="268"/>
      <c r="AH57" s="268"/>
      <c r="AI57" s="268"/>
      <c r="AJ57" s="268"/>
      <c r="AK57" s="268"/>
      <c r="AL57" s="268"/>
      <c r="AM57" s="268"/>
      <c r="AN57" s="268"/>
      <c r="AO57" s="268"/>
      <c r="AP57" s="268"/>
      <c r="AQ57" s="268"/>
      <c r="AR57" s="268"/>
      <c r="AS57" s="268"/>
      <c r="AT57" s="268"/>
      <c r="AU57" s="268"/>
      <c r="AV57" s="268"/>
      <c r="AW57" s="268"/>
      <c r="AX57" s="268"/>
      <c r="AY57" s="268"/>
      <c r="AZ57" s="268"/>
      <c r="BA57" s="268"/>
      <c r="BB57" s="268"/>
      <c r="BC57" s="268"/>
      <c r="BD57" s="268"/>
      <c r="BE57" s="268"/>
      <c r="BF57" s="268"/>
      <c r="BG57" s="268"/>
      <c r="BH57" s="268"/>
      <c r="BI57" s="269"/>
      <c r="BJ57" s="268"/>
      <c r="BK57" s="270"/>
    </row>
    <row r="58" spans="1:63" ht="15" customHeight="1" x14ac:dyDescent="0.25">
      <c r="A58" s="266"/>
      <c r="B58" s="267"/>
      <c r="C58" s="268"/>
      <c r="D58" s="268"/>
      <c r="E58" s="268"/>
      <c r="F58" s="268"/>
      <c r="G58" s="268"/>
      <c r="H58" s="268"/>
      <c r="I58" s="268"/>
      <c r="J58" s="268"/>
      <c r="K58" s="268"/>
      <c r="L58" s="268"/>
      <c r="M58" s="268"/>
      <c r="N58" s="268"/>
      <c r="O58" s="268"/>
      <c r="P58" s="268"/>
      <c r="Q58" s="268"/>
      <c r="R58" s="268"/>
      <c r="S58" s="268"/>
      <c r="T58" s="268"/>
      <c r="U58" s="268"/>
      <c r="V58" s="268"/>
      <c r="W58" s="268"/>
      <c r="X58" s="268"/>
      <c r="Y58" s="268"/>
      <c r="Z58" s="268"/>
      <c r="AA58" s="268"/>
      <c r="AB58" s="268"/>
      <c r="AC58" s="268"/>
      <c r="AD58" s="268"/>
      <c r="AE58" s="268"/>
      <c r="AF58" s="267"/>
      <c r="AG58" s="268"/>
      <c r="AH58" s="268"/>
      <c r="AI58" s="268"/>
      <c r="AJ58" s="268"/>
      <c r="AK58" s="268"/>
      <c r="AL58" s="268"/>
      <c r="AM58" s="268"/>
      <c r="AN58" s="268"/>
      <c r="AO58" s="268"/>
      <c r="AP58" s="268"/>
      <c r="AQ58" s="268"/>
      <c r="AR58" s="268"/>
      <c r="AS58" s="268"/>
      <c r="AT58" s="268"/>
      <c r="AU58" s="268"/>
      <c r="AV58" s="268"/>
      <c r="AW58" s="268"/>
      <c r="AX58" s="268"/>
      <c r="AY58" s="268"/>
      <c r="AZ58" s="268"/>
      <c r="BA58" s="268"/>
      <c r="BB58" s="268"/>
      <c r="BC58" s="268"/>
      <c r="BD58" s="268"/>
      <c r="BE58" s="268"/>
      <c r="BF58" s="268"/>
      <c r="BG58" s="268"/>
      <c r="BH58" s="268"/>
      <c r="BI58" s="269"/>
      <c r="BJ58" s="268"/>
      <c r="BK58" s="270"/>
    </row>
    <row r="59" spans="1:63" ht="15" customHeight="1" x14ac:dyDescent="0.25">
      <c r="A59" s="266"/>
      <c r="B59" s="267"/>
      <c r="C59" s="268"/>
      <c r="D59" s="268"/>
      <c r="E59" s="268"/>
      <c r="F59" s="268"/>
      <c r="G59" s="268"/>
      <c r="H59" s="268"/>
      <c r="I59" s="268"/>
      <c r="J59" s="268"/>
      <c r="K59" s="268"/>
      <c r="L59" s="268"/>
      <c r="M59" s="268"/>
      <c r="N59" s="268"/>
      <c r="O59" s="268"/>
      <c r="P59" s="268"/>
      <c r="Q59" s="268"/>
      <c r="R59" s="268"/>
      <c r="S59" s="268"/>
      <c r="T59" s="268"/>
      <c r="U59" s="268"/>
      <c r="V59" s="268"/>
      <c r="W59" s="268"/>
      <c r="X59" s="268"/>
      <c r="Y59" s="268"/>
      <c r="Z59" s="268"/>
      <c r="AA59" s="268"/>
      <c r="AB59" s="268"/>
      <c r="AC59" s="268"/>
      <c r="AD59" s="268"/>
      <c r="AE59" s="268"/>
      <c r="AF59" s="267"/>
      <c r="AG59" s="268"/>
      <c r="AH59" s="268"/>
      <c r="AI59" s="268"/>
      <c r="AJ59" s="268"/>
      <c r="AK59" s="268"/>
      <c r="AL59" s="268"/>
      <c r="AM59" s="268"/>
      <c r="AN59" s="268"/>
      <c r="AO59" s="268"/>
      <c r="AP59" s="268"/>
      <c r="AQ59" s="268"/>
      <c r="AR59" s="268"/>
      <c r="AS59" s="268"/>
      <c r="AT59" s="268"/>
      <c r="AU59" s="268"/>
      <c r="AV59" s="268"/>
      <c r="AW59" s="268"/>
      <c r="AX59" s="268"/>
      <c r="AY59" s="268"/>
      <c r="AZ59" s="268"/>
      <c r="BA59" s="268"/>
      <c r="BB59" s="268"/>
      <c r="BC59" s="268"/>
      <c r="BD59" s="268"/>
      <c r="BE59" s="268"/>
      <c r="BF59" s="268"/>
      <c r="BG59" s="268"/>
      <c r="BH59" s="268"/>
      <c r="BI59" s="269"/>
      <c r="BJ59" s="268"/>
      <c r="BK59" s="270"/>
    </row>
    <row r="60" spans="1:63" ht="15" customHeight="1" x14ac:dyDescent="0.25">
      <c r="A60" s="266"/>
      <c r="B60" s="267"/>
      <c r="C60" s="268"/>
      <c r="D60" s="268"/>
      <c r="E60" s="268"/>
      <c r="F60" s="268"/>
      <c r="G60" s="268"/>
      <c r="H60" s="268"/>
      <c r="I60" s="268"/>
      <c r="J60" s="268"/>
      <c r="K60" s="268"/>
      <c r="L60" s="268"/>
      <c r="M60" s="268"/>
      <c r="N60" s="268"/>
      <c r="O60" s="268"/>
      <c r="P60" s="268"/>
      <c r="Q60" s="268"/>
      <c r="R60" s="268"/>
      <c r="S60" s="268"/>
      <c r="T60" s="268"/>
      <c r="U60" s="268"/>
      <c r="V60" s="268"/>
      <c r="W60" s="268"/>
      <c r="X60" s="268"/>
      <c r="Y60" s="268"/>
      <c r="Z60" s="268"/>
      <c r="AA60" s="268"/>
      <c r="AB60" s="268"/>
      <c r="AC60" s="268"/>
      <c r="AD60" s="268"/>
      <c r="AE60" s="268"/>
      <c r="AF60" s="267"/>
      <c r="AG60" s="268"/>
      <c r="AH60" s="268"/>
      <c r="AI60" s="268"/>
      <c r="AJ60" s="268"/>
      <c r="AK60" s="268"/>
      <c r="AL60" s="268"/>
      <c r="AM60" s="268"/>
      <c r="AN60" s="268"/>
      <c r="AO60" s="268"/>
      <c r="AP60" s="268"/>
      <c r="AQ60" s="268"/>
      <c r="AR60" s="268"/>
      <c r="AS60" s="268"/>
      <c r="AT60" s="268"/>
      <c r="AU60" s="268"/>
      <c r="AV60" s="268"/>
      <c r="AW60" s="268"/>
      <c r="AX60" s="268"/>
      <c r="AY60" s="268"/>
      <c r="AZ60" s="268"/>
      <c r="BA60" s="268"/>
      <c r="BB60" s="268"/>
      <c r="BC60" s="268"/>
      <c r="BD60" s="268"/>
      <c r="BE60" s="268"/>
      <c r="BF60" s="268"/>
      <c r="BG60" s="268"/>
      <c r="BH60" s="268"/>
      <c r="BI60" s="269"/>
      <c r="BJ60" s="268"/>
      <c r="BK60" s="270"/>
    </row>
    <row r="61" spans="1:63" ht="15" customHeight="1" x14ac:dyDescent="0.25">
      <c r="A61" s="266"/>
      <c r="B61" s="267"/>
      <c r="C61" s="268"/>
      <c r="D61" s="268"/>
      <c r="E61" s="268"/>
      <c r="F61" s="268"/>
      <c r="G61" s="268"/>
      <c r="H61" s="268"/>
      <c r="I61" s="268"/>
      <c r="J61" s="268"/>
      <c r="K61" s="268"/>
      <c r="L61" s="268"/>
      <c r="M61" s="268"/>
      <c r="N61" s="268"/>
      <c r="O61" s="268"/>
      <c r="P61" s="268"/>
      <c r="Q61" s="268"/>
      <c r="R61" s="268"/>
      <c r="S61" s="268"/>
      <c r="T61" s="268"/>
      <c r="U61" s="268"/>
      <c r="V61" s="268"/>
      <c r="W61" s="268"/>
      <c r="X61" s="268"/>
      <c r="Y61" s="268"/>
      <c r="Z61" s="268"/>
      <c r="AA61" s="268"/>
      <c r="AB61" s="268"/>
      <c r="AC61" s="268"/>
      <c r="AD61" s="268"/>
      <c r="AE61" s="268"/>
      <c r="AF61" s="267"/>
      <c r="AG61" s="268"/>
      <c r="AH61" s="268"/>
      <c r="AI61" s="268"/>
      <c r="AJ61" s="268"/>
      <c r="AK61" s="268"/>
      <c r="AL61" s="268"/>
      <c r="AM61" s="268"/>
      <c r="AN61" s="268"/>
      <c r="AO61" s="268"/>
      <c r="AP61" s="268"/>
      <c r="AQ61" s="268"/>
      <c r="AR61" s="268"/>
      <c r="AS61" s="268"/>
      <c r="AT61" s="268"/>
      <c r="AU61" s="268"/>
      <c r="AV61" s="268"/>
      <c r="AW61" s="268"/>
      <c r="AX61" s="268"/>
      <c r="AY61" s="268"/>
      <c r="AZ61" s="268"/>
      <c r="BA61" s="268"/>
      <c r="BB61" s="268"/>
      <c r="BC61" s="268"/>
      <c r="BD61" s="268"/>
      <c r="BE61" s="268"/>
      <c r="BF61" s="268"/>
      <c r="BG61" s="268"/>
      <c r="BH61" s="268"/>
      <c r="BI61" s="269"/>
      <c r="BJ61" s="268"/>
      <c r="BK61" s="270"/>
    </row>
    <row r="62" spans="1:63" ht="15" customHeight="1" x14ac:dyDescent="0.25">
      <c r="A62" s="271"/>
      <c r="B62" s="272"/>
      <c r="C62" s="271"/>
      <c r="D62" s="271"/>
      <c r="E62" s="271"/>
      <c r="F62" s="271"/>
      <c r="G62" s="271"/>
      <c r="H62" s="271"/>
      <c r="I62" s="271"/>
      <c r="J62" s="271"/>
      <c r="K62" s="271"/>
      <c r="L62" s="271"/>
      <c r="M62" s="271"/>
      <c r="N62" s="271"/>
      <c r="O62" s="271"/>
      <c r="P62" s="271"/>
      <c r="Q62" s="271"/>
      <c r="R62" s="271"/>
      <c r="S62" s="271"/>
      <c r="T62" s="271"/>
      <c r="U62" s="271"/>
      <c r="V62" s="271"/>
      <c r="W62" s="271"/>
      <c r="X62" s="271"/>
      <c r="Y62" s="271"/>
      <c r="Z62" s="271"/>
      <c r="AA62" s="271"/>
      <c r="AB62" s="271"/>
      <c r="AC62" s="271"/>
      <c r="AD62" s="271"/>
      <c r="AE62" s="273"/>
      <c r="AF62" s="272"/>
      <c r="AG62" s="271"/>
      <c r="AH62" s="271"/>
      <c r="AI62" s="271"/>
      <c r="AJ62" s="271"/>
      <c r="AK62" s="271"/>
      <c r="AL62" s="271"/>
      <c r="AM62" s="271"/>
      <c r="AN62" s="271"/>
      <c r="AO62" s="271"/>
      <c r="AP62" s="271"/>
      <c r="AQ62" s="271"/>
      <c r="AR62" s="271"/>
      <c r="AS62" s="271"/>
      <c r="AT62" s="271"/>
      <c r="AU62" s="271"/>
      <c r="AV62" s="271"/>
      <c r="AW62" s="271"/>
      <c r="AX62" s="271"/>
      <c r="AY62" s="271"/>
      <c r="AZ62" s="271"/>
      <c r="BA62" s="271"/>
      <c r="BB62" s="271"/>
      <c r="BC62" s="271"/>
      <c r="BD62" s="271"/>
      <c r="BE62" s="271"/>
      <c r="BF62" s="271"/>
      <c r="BG62" s="271"/>
      <c r="BH62" s="271"/>
      <c r="BI62" s="273"/>
      <c r="BJ62" s="271"/>
      <c r="BK62" s="27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2" orientation="landscape" r:id="rId1"/>
  <headerFooter>
    <oddHeader>&amp;R&amp;F</oddHeader>
    <oddFooter>&amp;C&amp;P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D63B4-650D-4EED-B307-ED4AE419A86F}">
  <sheetPr>
    <pageSetUpPr fitToPage="1"/>
  </sheetPr>
  <dimension ref="A1:BM57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5" width="2.77734375" style="180" customWidth="1"/>
    <col min="66" max="16384" width="2.77734375" style="180"/>
  </cols>
  <sheetData>
    <row r="1" spans="1:65" ht="24.95" customHeight="1" x14ac:dyDescent="0.25">
      <c r="A1" s="174" t="s">
        <v>125</v>
      </c>
      <c r="B1" s="175"/>
      <c r="C1" s="175"/>
      <c r="D1" s="175"/>
      <c r="E1" s="175"/>
      <c r="F1" s="175"/>
      <c r="G1" s="175"/>
      <c r="H1" s="175"/>
      <c r="I1" s="175"/>
      <c r="J1" s="176"/>
      <c r="K1" s="174" t="s">
        <v>126</v>
      </c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6"/>
      <c r="W1" s="177" t="str">
        <f>IF(表紙!W1="","",表紙!W1)</f>
        <v>基本設計書</v>
      </c>
      <c r="X1" s="178"/>
      <c r="Y1" s="178"/>
      <c r="Z1" s="178"/>
      <c r="AA1" s="178"/>
      <c r="AB1" s="178"/>
      <c r="AC1" s="178"/>
      <c r="AD1" s="178"/>
      <c r="AE1" s="178"/>
      <c r="AF1" s="178"/>
      <c r="AG1" s="178"/>
      <c r="AH1" s="178"/>
      <c r="AI1" s="178"/>
      <c r="AJ1" s="178"/>
      <c r="AK1" s="178"/>
      <c r="AL1" s="178"/>
      <c r="AM1" s="178"/>
      <c r="AN1" s="178"/>
      <c r="AO1" s="179"/>
      <c r="AP1" s="174" t="s">
        <v>128</v>
      </c>
      <c r="AQ1" s="175"/>
      <c r="AR1" s="175"/>
      <c r="AS1" s="176"/>
      <c r="AT1" s="174" t="s">
        <v>129</v>
      </c>
      <c r="AU1" s="175"/>
      <c r="AV1" s="175"/>
      <c r="AW1" s="175"/>
      <c r="AX1" s="176"/>
      <c r="AY1" s="174" t="s">
        <v>130</v>
      </c>
      <c r="AZ1" s="175"/>
      <c r="BA1" s="175"/>
      <c r="BB1" s="176"/>
      <c r="BC1" s="174" t="s">
        <v>131</v>
      </c>
      <c r="BD1" s="175"/>
      <c r="BE1" s="175"/>
      <c r="BF1" s="175"/>
      <c r="BG1" s="176"/>
      <c r="BH1" s="174" t="s">
        <v>132</v>
      </c>
      <c r="BI1" s="175"/>
      <c r="BJ1" s="175"/>
      <c r="BK1" s="176"/>
    </row>
    <row r="2" spans="1:65" ht="15" customHeight="1" x14ac:dyDescent="0.25">
      <c r="A2" s="183" t="str">
        <f>IF(表紙!A2="","",表紙!A2)</f>
        <v>POSサーバー</v>
      </c>
      <c r="B2" s="181"/>
      <c r="C2" s="181"/>
      <c r="D2" s="181"/>
      <c r="E2" s="181"/>
      <c r="F2" s="181"/>
      <c r="G2" s="181"/>
      <c r="H2" s="181"/>
      <c r="I2" s="181"/>
      <c r="J2" s="182"/>
      <c r="K2" s="183" t="str">
        <f>IF(表紙!K2="","",表紙!K2)</f>
        <v>POSサーバー</v>
      </c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2"/>
      <c r="W2" s="184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185"/>
      <c r="AM2" s="185"/>
      <c r="AN2" s="185"/>
      <c r="AO2" s="186"/>
      <c r="AP2" s="183" t="str">
        <f>IF(表紙!AP2="","",表紙!AP2)</f>
        <v>TinNH</v>
      </c>
      <c r="AQ2" s="181"/>
      <c r="AR2" s="181"/>
      <c r="AS2" s="182"/>
      <c r="AT2" s="187">
        <f>IF(表紙!AT2="","",表紙!AT2)</f>
        <v>45441</v>
      </c>
      <c r="AU2" s="188"/>
      <c r="AV2" s="188"/>
      <c r="AW2" s="188"/>
      <c r="AX2" s="189"/>
      <c r="AY2" s="183" t="str">
        <f>IF(表紙!AY2="","",表紙!AY2)</f>
        <v>TinNH</v>
      </c>
      <c r="AZ2" s="181"/>
      <c r="BA2" s="181"/>
      <c r="BB2" s="182"/>
      <c r="BC2" s="187">
        <f>IF(表紙!BC2="","",表紙!BC2)</f>
        <v>45443</v>
      </c>
      <c r="BD2" s="188"/>
      <c r="BE2" s="188"/>
      <c r="BF2" s="188"/>
      <c r="BG2" s="189"/>
      <c r="BH2" s="183">
        <f>IF(表紙!BH2="","",表紙!BH2)</f>
        <v>0.2</v>
      </c>
      <c r="BI2" s="181"/>
      <c r="BJ2" s="181"/>
      <c r="BK2" s="182"/>
    </row>
    <row r="3" spans="1:65" ht="15" customHeight="1" x14ac:dyDescent="0.25">
      <c r="A3" s="193"/>
      <c r="B3" s="194"/>
      <c r="C3" s="194"/>
      <c r="D3" s="194"/>
      <c r="E3" s="194"/>
      <c r="F3" s="194"/>
      <c r="G3" s="194"/>
      <c r="H3" s="194"/>
      <c r="I3" s="194"/>
      <c r="J3" s="195"/>
      <c r="K3" s="193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5"/>
      <c r="W3" s="196"/>
      <c r="X3" s="197"/>
      <c r="Y3" s="197"/>
      <c r="Z3" s="197"/>
      <c r="AA3" s="197"/>
      <c r="AB3" s="197"/>
      <c r="AC3" s="197"/>
      <c r="AD3" s="197"/>
      <c r="AE3" s="197"/>
      <c r="AF3" s="197"/>
      <c r="AG3" s="197"/>
      <c r="AH3" s="197"/>
      <c r="AI3" s="197"/>
      <c r="AJ3" s="197"/>
      <c r="AK3" s="197"/>
      <c r="AL3" s="197"/>
      <c r="AM3" s="197"/>
      <c r="AN3" s="197"/>
      <c r="AO3" s="198"/>
      <c r="AP3" s="193"/>
      <c r="AQ3" s="194"/>
      <c r="AR3" s="194"/>
      <c r="AS3" s="195"/>
      <c r="AT3" s="199"/>
      <c r="AU3" s="200"/>
      <c r="AV3" s="200"/>
      <c r="AW3" s="200"/>
      <c r="AX3" s="201"/>
      <c r="AY3" s="193"/>
      <c r="AZ3" s="194"/>
      <c r="BA3" s="194"/>
      <c r="BB3" s="195"/>
      <c r="BC3" s="199"/>
      <c r="BD3" s="200"/>
      <c r="BE3" s="200"/>
      <c r="BF3" s="200"/>
      <c r="BG3" s="201"/>
      <c r="BH3" s="193"/>
      <c r="BI3" s="194"/>
      <c r="BJ3" s="194"/>
      <c r="BK3" s="195"/>
    </row>
    <row r="4" spans="1:65" ht="24.95" customHeight="1" x14ac:dyDescent="0.25">
      <c r="A4" s="174" t="s">
        <v>134</v>
      </c>
      <c r="B4" s="175"/>
      <c r="C4" s="175"/>
      <c r="D4" s="175"/>
      <c r="E4" s="175"/>
      <c r="F4" s="175"/>
      <c r="G4" s="176"/>
      <c r="H4" s="205" t="str">
        <f>IF(表紙!H4="","",表紙!H4)</f>
        <v>71_ノードマスタ設定</v>
      </c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7"/>
      <c r="U4" s="174" t="s">
        <v>135</v>
      </c>
      <c r="V4" s="175"/>
      <c r="W4" s="175"/>
      <c r="X4" s="175"/>
      <c r="Y4" s="176"/>
      <c r="Z4" s="205" t="str">
        <f>IF(表紙!Z4="","",表紙!Z4)</f>
        <v>概要設計書</v>
      </c>
      <c r="AA4" s="206"/>
      <c r="AB4" s="206"/>
      <c r="AC4" s="206"/>
      <c r="AD4" s="206"/>
      <c r="AE4" s="206"/>
      <c r="AF4" s="206"/>
      <c r="AG4" s="206"/>
      <c r="AH4" s="206"/>
      <c r="AI4" s="206"/>
      <c r="AJ4" s="206"/>
      <c r="AK4" s="206"/>
      <c r="AL4" s="206"/>
      <c r="AM4" s="206"/>
      <c r="AN4" s="206"/>
      <c r="AO4" s="207"/>
      <c r="AP4" s="205" t="str">
        <f t="array" aca="1" ref="AP4" ca="1">RIGHT(CELL("filename",$A$1),LEN(CELL("filename",$A$1))-FIND("]",CELL("filename",$A$1)))</f>
        <v>機能概要説明</v>
      </c>
      <c r="AQ4" s="206"/>
      <c r="AR4" s="206"/>
      <c r="AS4" s="206"/>
      <c r="AT4" s="206"/>
      <c r="AU4" s="206"/>
      <c r="AV4" s="206"/>
      <c r="AW4" s="206"/>
      <c r="AX4" s="206"/>
      <c r="AY4" s="206"/>
      <c r="AZ4" s="206"/>
      <c r="BA4" s="206"/>
      <c r="BB4" s="206"/>
      <c r="BC4" s="206"/>
      <c r="BD4" s="206"/>
      <c r="BE4" s="206"/>
      <c r="BF4" s="206"/>
      <c r="BG4" s="206"/>
      <c r="BH4" s="206"/>
      <c r="BI4" s="206"/>
      <c r="BJ4" s="206"/>
      <c r="BK4" s="207"/>
    </row>
    <row r="5" spans="1:65" ht="5.0999999999999996" customHeight="1" x14ac:dyDescent="0.25">
      <c r="A5" s="208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  <c r="Z5" s="209"/>
      <c r="AA5" s="209"/>
      <c r="AB5" s="209"/>
      <c r="AC5" s="209"/>
      <c r="AD5" s="209"/>
      <c r="AE5" s="209"/>
      <c r="AF5" s="209"/>
      <c r="AG5" s="209"/>
      <c r="AH5" s="209"/>
      <c r="AI5" s="209"/>
      <c r="AJ5" s="209"/>
      <c r="AK5" s="209"/>
      <c r="AL5" s="209"/>
      <c r="AM5" s="209"/>
      <c r="AN5" s="209"/>
      <c r="AO5" s="209"/>
      <c r="AP5" s="209"/>
      <c r="AQ5" s="209"/>
      <c r="AR5" s="209"/>
      <c r="AS5" s="209"/>
      <c r="AT5" s="209"/>
      <c r="AU5" s="209"/>
      <c r="AV5" s="209"/>
      <c r="AW5" s="209"/>
      <c r="AX5" s="209"/>
      <c r="AY5" s="209"/>
      <c r="AZ5" s="209"/>
      <c r="BA5" s="209"/>
      <c r="BB5" s="209"/>
      <c r="BC5" s="209"/>
      <c r="BD5" s="209"/>
      <c r="BE5" s="209"/>
      <c r="BF5" s="209"/>
      <c r="BG5" s="209"/>
      <c r="BH5" s="209"/>
      <c r="BI5" s="209"/>
      <c r="BJ5" s="209"/>
      <c r="BK5" s="210"/>
    </row>
    <row r="6" spans="1:65" ht="15" customHeight="1" x14ac:dyDescent="0.25">
      <c r="A6" s="211"/>
      <c r="BK6" s="212"/>
    </row>
    <row r="7" spans="1:65" ht="15" customHeight="1" x14ac:dyDescent="0.25">
      <c r="A7" s="211"/>
      <c r="B7" s="275"/>
      <c r="C7" s="276"/>
      <c r="D7" s="18" t="s">
        <v>31</v>
      </c>
      <c r="E7" s="18"/>
      <c r="F7" s="18"/>
      <c r="G7" s="18"/>
      <c r="H7" s="18"/>
      <c r="I7" s="18"/>
      <c r="J7" s="18"/>
      <c r="K7" s="19"/>
      <c r="L7" s="18"/>
      <c r="M7" s="18"/>
      <c r="N7" s="18"/>
      <c r="O7" s="18"/>
      <c r="P7" s="18"/>
      <c r="Q7" s="18"/>
      <c r="R7" s="18"/>
      <c r="S7" s="18"/>
      <c r="T7" s="19"/>
      <c r="U7" s="20"/>
      <c r="V7" s="18"/>
      <c r="W7" s="18"/>
      <c r="X7" s="18"/>
      <c r="Y7" s="18"/>
      <c r="Z7" s="18"/>
      <c r="AA7" s="18"/>
      <c r="AB7" s="18"/>
      <c r="AC7" s="19"/>
      <c r="AD7" s="20"/>
      <c r="AE7" s="18"/>
      <c r="AF7" s="18"/>
      <c r="AG7" s="18"/>
      <c r="AH7" s="18"/>
      <c r="AI7" s="18"/>
      <c r="AJ7" s="18"/>
      <c r="AK7" s="18"/>
      <c r="AL7" s="19"/>
      <c r="AM7" s="20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277"/>
      <c r="BE7" s="277"/>
      <c r="BF7" s="277"/>
      <c r="BG7" s="277"/>
      <c r="BH7" s="277"/>
      <c r="BI7" s="278"/>
      <c r="BJ7" s="277"/>
      <c r="BK7" s="212"/>
      <c r="BM7" s="4">
        <f t="shared" ref="BM7:BM11" si="0">IF(BM6=50,1,BM6+1)</f>
        <v>1</v>
      </c>
    </row>
    <row r="8" spans="1:65" ht="15" customHeight="1" x14ac:dyDescent="0.25">
      <c r="A8" s="211"/>
      <c r="D8" s="21"/>
      <c r="E8" s="21" t="s">
        <v>32</v>
      </c>
      <c r="F8" s="21"/>
      <c r="G8" s="21"/>
      <c r="H8" s="21"/>
      <c r="I8" s="21"/>
      <c r="J8" s="21"/>
      <c r="K8" s="22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K8" s="212"/>
      <c r="BM8" s="4">
        <f t="shared" si="0"/>
        <v>2</v>
      </c>
    </row>
    <row r="9" spans="1:65" ht="15" customHeight="1" x14ac:dyDescent="0.25">
      <c r="A9" s="211"/>
      <c r="D9" s="21"/>
      <c r="E9" s="21" t="s">
        <v>33</v>
      </c>
      <c r="F9" s="21"/>
      <c r="G9" s="21"/>
      <c r="H9" s="21"/>
      <c r="I9" s="21"/>
      <c r="J9" s="21"/>
      <c r="K9" s="22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K9" s="212"/>
      <c r="BM9" s="4">
        <f t="shared" si="0"/>
        <v>3</v>
      </c>
    </row>
    <row r="10" spans="1:65" ht="15" customHeight="1" x14ac:dyDescent="0.25">
      <c r="A10" s="211"/>
      <c r="D10" s="21"/>
      <c r="E10" s="21" t="s">
        <v>34</v>
      </c>
      <c r="F10" s="21"/>
      <c r="G10" s="21"/>
      <c r="H10" s="21"/>
      <c r="I10" s="21"/>
      <c r="J10" s="21"/>
      <c r="K10" s="22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K10" s="212"/>
      <c r="BM10" s="4">
        <f t="shared" si="0"/>
        <v>4</v>
      </c>
    </row>
    <row r="11" spans="1:65" s="280" customFormat="1" ht="15" customHeight="1" x14ac:dyDescent="0.25">
      <c r="A11" s="279"/>
      <c r="D11" s="22"/>
      <c r="E11" s="26" t="s">
        <v>142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K11" s="281"/>
      <c r="BM11" s="4">
        <f t="shared" si="0"/>
        <v>5</v>
      </c>
    </row>
    <row r="12" spans="1:65" s="280" customFormat="1" ht="15" customHeight="1" x14ac:dyDescent="0.25">
      <c r="A12" s="279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K12" s="281"/>
      <c r="BM12" s="4">
        <f t="shared" ref="BM12:BM44" si="1">IF(BM11=50,1,BM11+1)</f>
        <v>6</v>
      </c>
    </row>
    <row r="13" spans="1:65" s="280" customFormat="1" ht="15" customHeight="1" x14ac:dyDescent="0.25">
      <c r="A13" s="279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K13" s="281"/>
      <c r="BM13" s="4">
        <f t="shared" si="1"/>
        <v>7</v>
      </c>
    </row>
    <row r="14" spans="1:65" s="280" customFormat="1" ht="15" customHeight="1" x14ac:dyDescent="0.25">
      <c r="A14" s="279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K14" s="281"/>
      <c r="BM14" s="4">
        <f t="shared" si="1"/>
        <v>8</v>
      </c>
    </row>
    <row r="15" spans="1:65" s="280" customFormat="1" ht="15" customHeight="1" x14ac:dyDescent="0.25">
      <c r="A15" s="279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K15" s="281"/>
      <c r="BM15" s="4">
        <f t="shared" si="1"/>
        <v>9</v>
      </c>
    </row>
    <row r="16" spans="1:65" s="280" customFormat="1" ht="15" customHeight="1" x14ac:dyDescent="0.25">
      <c r="A16" s="279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K16" s="281"/>
      <c r="BM16" s="4">
        <f t="shared" si="1"/>
        <v>10</v>
      </c>
    </row>
    <row r="17" spans="1:65" s="280" customFormat="1" ht="15" customHeight="1" x14ac:dyDescent="0.25">
      <c r="A17" s="279"/>
      <c r="B17" s="282"/>
      <c r="D17" s="22"/>
      <c r="E17" s="22"/>
      <c r="F17" s="22"/>
      <c r="G17" s="22"/>
      <c r="H17" s="22"/>
      <c r="I17" s="22"/>
      <c r="J17" s="22"/>
      <c r="K17" s="23"/>
      <c r="L17" s="24"/>
      <c r="M17" s="22"/>
      <c r="N17" s="22"/>
      <c r="O17" s="22"/>
      <c r="P17" s="22"/>
      <c r="Q17" s="22"/>
      <c r="R17" s="22"/>
      <c r="S17" s="22"/>
      <c r="T17" s="23"/>
      <c r="U17" s="24"/>
      <c r="V17" s="22"/>
      <c r="W17" s="22"/>
      <c r="X17" s="22"/>
      <c r="Y17" s="22"/>
      <c r="Z17" s="22"/>
      <c r="AA17" s="22"/>
      <c r="AB17" s="22"/>
      <c r="AC17" s="23"/>
      <c r="AD17" s="24"/>
      <c r="AE17" s="22"/>
      <c r="AF17" s="22"/>
      <c r="AG17" s="22"/>
      <c r="AH17" s="22"/>
      <c r="AI17" s="22"/>
      <c r="AJ17" s="22"/>
      <c r="AK17" s="22"/>
      <c r="AL17" s="23"/>
      <c r="AM17" s="24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I17" s="283"/>
      <c r="BK17" s="281"/>
      <c r="BM17" s="4">
        <f t="shared" si="1"/>
        <v>11</v>
      </c>
    </row>
    <row r="18" spans="1:65" s="280" customFormat="1" ht="15" customHeight="1" x14ac:dyDescent="0.25">
      <c r="A18" s="279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K18" s="281"/>
      <c r="BM18" s="4">
        <f t="shared" si="1"/>
        <v>12</v>
      </c>
    </row>
    <row r="19" spans="1:65" s="280" customFormat="1" ht="15" customHeight="1" x14ac:dyDescent="0.25">
      <c r="A19" s="279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K19" s="281"/>
      <c r="BM19" s="4">
        <f>IF(BM18=50,1,BM18+1)</f>
        <v>13</v>
      </c>
    </row>
    <row r="20" spans="1:65" s="280" customFormat="1" ht="15" customHeight="1" x14ac:dyDescent="0.25">
      <c r="A20" s="279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K20" s="281"/>
      <c r="BM20" s="4">
        <f t="shared" si="1"/>
        <v>14</v>
      </c>
    </row>
    <row r="21" spans="1:65" s="280" customFormat="1" ht="15" customHeight="1" x14ac:dyDescent="0.25">
      <c r="A21" s="279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K21" s="281"/>
      <c r="BM21" s="4">
        <f t="shared" si="1"/>
        <v>15</v>
      </c>
    </row>
    <row r="22" spans="1:65" s="280" customFormat="1" ht="15" customHeight="1" x14ac:dyDescent="0.25">
      <c r="A22" s="279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K22" s="281"/>
      <c r="BM22" s="4">
        <f t="shared" si="1"/>
        <v>16</v>
      </c>
    </row>
    <row r="23" spans="1:65" s="280" customFormat="1" ht="15" customHeight="1" x14ac:dyDescent="0.25">
      <c r="A23" s="279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K23" s="281"/>
      <c r="BM23" s="4">
        <f t="shared" si="1"/>
        <v>17</v>
      </c>
    </row>
    <row r="24" spans="1:65" s="280" customFormat="1" ht="15" customHeight="1" x14ac:dyDescent="0.25">
      <c r="A24" s="279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K24" s="281"/>
      <c r="BM24" s="4">
        <f t="shared" si="1"/>
        <v>18</v>
      </c>
    </row>
    <row r="25" spans="1:65" s="280" customFormat="1" ht="15" customHeight="1" x14ac:dyDescent="0.25">
      <c r="A25" s="279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K25" s="281"/>
      <c r="BM25" s="4">
        <f t="shared" si="1"/>
        <v>19</v>
      </c>
    </row>
    <row r="26" spans="1:65" s="280" customFormat="1" ht="15" customHeight="1" x14ac:dyDescent="0.25">
      <c r="A26" s="279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K26" s="281"/>
      <c r="BM26" s="4">
        <f t="shared" si="1"/>
        <v>20</v>
      </c>
    </row>
    <row r="27" spans="1:65" s="280" customFormat="1" ht="15" customHeight="1" x14ac:dyDescent="0.25">
      <c r="A27" s="279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K27" s="281"/>
      <c r="BM27" s="4">
        <f t="shared" si="1"/>
        <v>21</v>
      </c>
    </row>
    <row r="28" spans="1:65" s="280" customFormat="1" ht="15" customHeight="1" x14ac:dyDescent="0.25">
      <c r="A28" s="279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K28" s="281"/>
      <c r="BM28" s="4">
        <f t="shared" si="1"/>
        <v>22</v>
      </c>
    </row>
    <row r="29" spans="1:65" s="280" customFormat="1" ht="15" customHeight="1" x14ac:dyDescent="0.25">
      <c r="A29" s="279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K29" s="281"/>
      <c r="BM29" s="4">
        <f t="shared" si="1"/>
        <v>23</v>
      </c>
    </row>
    <row r="30" spans="1:65" s="280" customFormat="1" ht="15" customHeight="1" x14ac:dyDescent="0.25">
      <c r="A30" s="279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K30" s="281"/>
      <c r="BM30" s="4">
        <f t="shared" si="1"/>
        <v>24</v>
      </c>
    </row>
    <row r="31" spans="1:65" s="280" customFormat="1" ht="15" customHeight="1" x14ac:dyDescent="0.25">
      <c r="A31" s="279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K31" s="281"/>
      <c r="BM31" s="4">
        <f t="shared" si="1"/>
        <v>25</v>
      </c>
    </row>
    <row r="32" spans="1:65" s="280" customFormat="1" ht="15" customHeight="1" x14ac:dyDescent="0.25">
      <c r="A32" s="279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K32" s="281"/>
      <c r="BM32" s="4">
        <f t="shared" si="1"/>
        <v>26</v>
      </c>
    </row>
    <row r="33" spans="1:65" s="280" customFormat="1" ht="15" customHeight="1" x14ac:dyDescent="0.25">
      <c r="A33" s="279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K33" s="281"/>
      <c r="BM33" s="4">
        <f t="shared" si="1"/>
        <v>27</v>
      </c>
    </row>
    <row r="34" spans="1:65" s="280" customFormat="1" ht="15" customHeight="1" x14ac:dyDescent="0.25">
      <c r="A34" s="279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K34" s="281"/>
      <c r="BM34" s="4">
        <f t="shared" si="1"/>
        <v>28</v>
      </c>
    </row>
    <row r="35" spans="1:65" s="280" customFormat="1" ht="15" customHeight="1" x14ac:dyDescent="0.25">
      <c r="A35" s="279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K35" s="281"/>
      <c r="BM35" s="4">
        <f t="shared" si="1"/>
        <v>29</v>
      </c>
    </row>
    <row r="36" spans="1:65" s="280" customFormat="1" ht="15" customHeight="1" x14ac:dyDescent="0.25">
      <c r="A36" s="279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K36" s="281"/>
      <c r="BM36" s="4">
        <f t="shared" si="1"/>
        <v>30</v>
      </c>
    </row>
    <row r="37" spans="1:65" s="280" customFormat="1" ht="15" customHeight="1" x14ac:dyDescent="0.25">
      <c r="A37" s="279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K37" s="281"/>
      <c r="BM37" s="4">
        <f t="shared" si="1"/>
        <v>31</v>
      </c>
    </row>
    <row r="38" spans="1:65" s="280" customFormat="1" ht="15" customHeight="1" x14ac:dyDescent="0.25">
      <c r="A38" s="279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K38" s="281"/>
      <c r="BM38" s="4">
        <f t="shared" si="1"/>
        <v>32</v>
      </c>
    </row>
    <row r="39" spans="1:65" s="280" customFormat="1" ht="15" customHeight="1" x14ac:dyDescent="0.25">
      <c r="A39" s="279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K39" s="281"/>
      <c r="BM39" s="4">
        <f t="shared" si="1"/>
        <v>33</v>
      </c>
    </row>
    <row r="40" spans="1:65" s="280" customFormat="1" ht="15" customHeight="1" x14ac:dyDescent="0.25">
      <c r="A40" s="279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K40" s="281"/>
      <c r="BM40" s="4">
        <f t="shared" si="1"/>
        <v>34</v>
      </c>
    </row>
    <row r="41" spans="1:65" s="280" customFormat="1" ht="15" customHeight="1" x14ac:dyDescent="0.25">
      <c r="A41" s="279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K41" s="281"/>
      <c r="BM41" s="4">
        <f t="shared" si="1"/>
        <v>35</v>
      </c>
    </row>
    <row r="42" spans="1:65" s="280" customFormat="1" ht="15" customHeight="1" x14ac:dyDescent="0.25">
      <c r="A42" s="279"/>
      <c r="BK42" s="281"/>
      <c r="BM42" s="4">
        <f t="shared" si="1"/>
        <v>36</v>
      </c>
    </row>
    <row r="43" spans="1:65" s="280" customFormat="1" ht="15" customHeight="1" x14ac:dyDescent="0.25">
      <c r="A43" s="279"/>
      <c r="BK43" s="281"/>
      <c r="BM43" s="4">
        <f t="shared" si="1"/>
        <v>37</v>
      </c>
    </row>
    <row r="44" spans="1:65" s="280" customFormat="1" ht="15" customHeight="1" x14ac:dyDescent="0.25">
      <c r="A44" s="279"/>
      <c r="BK44" s="281"/>
      <c r="BM44" s="4">
        <f t="shared" si="1"/>
        <v>38</v>
      </c>
    </row>
    <row r="45" spans="1:65" s="280" customFormat="1" ht="15" customHeight="1" x14ac:dyDescent="0.25">
      <c r="A45" s="279"/>
      <c r="BK45" s="281"/>
      <c r="BM45" s="4">
        <f t="shared" ref="BM45:BM57" si="2">IF(BM44=50,1,BM44+1)</f>
        <v>39</v>
      </c>
    </row>
    <row r="46" spans="1:65" s="280" customFormat="1" ht="15" customHeight="1" x14ac:dyDescent="0.25">
      <c r="A46" s="279"/>
      <c r="BK46" s="281"/>
      <c r="BM46" s="4">
        <f t="shared" si="2"/>
        <v>40</v>
      </c>
    </row>
    <row r="47" spans="1:65" s="280" customFormat="1" ht="15" customHeight="1" x14ac:dyDescent="0.25">
      <c r="A47" s="279"/>
      <c r="BK47" s="281"/>
      <c r="BM47" s="4">
        <f t="shared" si="2"/>
        <v>41</v>
      </c>
    </row>
    <row r="48" spans="1:65" s="280" customFormat="1" ht="15" customHeight="1" x14ac:dyDescent="0.25">
      <c r="A48" s="279"/>
      <c r="BK48" s="281"/>
      <c r="BM48" s="4">
        <f t="shared" si="2"/>
        <v>42</v>
      </c>
    </row>
    <row r="49" spans="1:65" s="280" customFormat="1" ht="15" customHeight="1" x14ac:dyDescent="0.25">
      <c r="A49" s="279"/>
      <c r="BK49" s="281"/>
      <c r="BM49" s="4">
        <f t="shared" si="2"/>
        <v>43</v>
      </c>
    </row>
    <row r="50" spans="1:65" s="280" customFormat="1" ht="15" customHeight="1" x14ac:dyDescent="0.25">
      <c r="A50" s="279"/>
      <c r="BK50" s="281"/>
      <c r="BM50" s="4">
        <f t="shared" si="2"/>
        <v>44</v>
      </c>
    </row>
    <row r="51" spans="1:65" s="280" customFormat="1" ht="15" customHeight="1" x14ac:dyDescent="0.25">
      <c r="A51" s="279"/>
      <c r="BK51" s="281"/>
      <c r="BM51" s="4">
        <f t="shared" si="2"/>
        <v>45</v>
      </c>
    </row>
    <row r="52" spans="1:65" s="280" customFormat="1" ht="15" customHeight="1" x14ac:dyDescent="0.25">
      <c r="A52" s="279"/>
      <c r="BK52" s="281"/>
      <c r="BM52" s="4">
        <f t="shared" si="2"/>
        <v>46</v>
      </c>
    </row>
    <row r="53" spans="1:65" s="280" customFormat="1" ht="15" customHeight="1" x14ac:dyDescent="0.25">
      <c r="A53" s="279"/>
      <c r="BK53" s="281"/>
      <c r="BM53" s="4">
        <f t="shared" si="2"/>
        <v>47</v>
      </c>
    </row>
    <row r="54" spans="1:65" s="280" customFormat="1" ht="15" customHeight="1" x14ac:dyDescent="0.25">
      <c r="A54" s="279"/>
      <c r="BK54" s="281"/>
      <c r="BM54" s="4">
        <f t="shared" si="2"/>
        <v>48</v>
      </c>
    </row>
    <row r="55" spans="1:65" s="280" customFormat="1" ht="15" customHeight="1" x14ac:dyDescent="0.25">
      <c r="A55" s="279"/>
      <c r="BK55" s="281"/>
      <c r="BM55" s="4">
        <f t="shared" si="2"/>
        <v>49</v>
      </c>
    </row>
    <row r="56" spans="1:65" s="280" customFormat="1" ht="15" customHeight="1" x14ac:dyDescent="0.25">
      <c r="A56" s="279"/>
      <c r="BK56" s="281"/>
      <c r="BM56" s="4">
        <f t="shared" si="2"/>
        <v>50</v>
      </c>
    </row>
    <row r="57" spans="1:65" s="280" customFormat="1" ht="15" customHeight="1" x14ac:dyDescent="0.25">
      <c r="A57" s="284"/>
      <c r="B57" s="285"/>
      <c r="C57" s="285"/>
      <c r="D57" s="285"/>
      <c r="E57" s="285"/>
      <c r="F57" s="285"/>
      <c r="G57" s="285"/>
      <c r="H57" s="285"/>
      <c r="I57" s="285"/>
      <c r="J57" s="285"/>
      <c r="K57" s="285"/>
      <c r="L57" s="285"/>
      <c r="M57" s="285"/>
      <c r="N57" s="285"/>
      <c r="O57" s="285"/>
      <c r="P57" s="285"/>
      <c r="Q57" s="285"/>
      <c r="R57" s="285"/>
      <c r="S57" s="285"/>
      <c r="T57" s="285"/>
      <c r="U57" s="285"/>
      <c r="V57" s="285"/>
      <c r="W57" s="285"/>
      <c r="X57" s="285"/>
      <c r="Y57" s="285"/>
      <c r="Z57" s="285"/>
      <c r="AA57" s="285"/>
      <c r="AB57" s="285"/>
      <c r="AC57" s="285"/>
      <c r="AD57" s="285"/>
      <c r="AE57" s="285"/>
      <c r="AF57" s="285"/>
      <c r="AG57" s="285"/>
      <c r="AH57" s="285"/>
      <c r="AI57" s="285"/>
      <c r="AJ57" s="285"/>
      <c r="AK57" s="285"/>
      <c r="AL57" s="285"/>
      <c r="AM57" s="285"/>
      <c r="AN57" s="285"/>
      <c r="AO57" s="285"/>
      <c r="AP57" s="285"/>
      <c r="AQ57" s="285"/>
      <c r="AR57" s="285"/>
      <c r="AS57" s="285"/>
      <c r="AT57" s="285"/>
      <c r="AU57" s="285"/>
      <c r="AV57" s="285"/>
      <c r="AW57" s="285"/>
      <c r="AX57" s="285"/>
      <c r="AY57" s="285"/>
      <c r="AZ57" s="285"/>
      <c r="BA57" s="285"/>
      <c r="BB57" s="285"/>
      <c r="BC57" s="285"/>
      <c r="BD57" s="285"/>
      <c r="BE57" s="285"/>
      <c r="BF57" s="285"/>
      <c r="BG57" s="285"/>
      <c r="BH57" s="285"/>
      <c r="BI57" s="285"/>
      <c r="BJ57" s="285"/>
      <c r="BK57" s="286"/>
      <c r="BM57" s="4">
        <f t="shared" si="2"/>
        <v>1</v>
      </c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6" orientation="landscape" r:id="rId1"/>
  <headerFooter>
    <oddHeader>&amp;R&amp;F</oddHeader>
    <oddFooter>&amp;C&amp;P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DA625-97BB-468D-8A87-EA93F2DFBE71}">
  <sheetPr>
    <pageSetUpPr fitToPage="1"/>
  </sheetPr>
  <dimension ref="A1:BP333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4" width="2.77734375" style="180" customWidth="1"/>
    <col min="65" max="65" width="3.21875" style="180" customWidth="1"/>
    <col min="66" max="68" width="2.77734375" style="180" customWidth="1"/>
    <col min="69" max="16384" width="2.77734375" style="180"/>
  </cols>
  <sheetData>
    <row r="1" spans="1:65" s="180" customFormat="1" ht="24.95" customHeight="1" x14ac:dyDescent="0.25">
      <c r="A1" s="174" t="s">
        <v>125</v>
      </c>
      <c r="B1" s="175"/>
      <c r="C1" s="175"/>
      <c r="D1" s="175"/>
      <c r="E1" s="175"/>
      <c r="F1" s="175"/>
      <c r="G1" s="175"/>
      <c r="H1" s="175"/>
      <c r="I1" s="175"/>
      <c r="J1" s="176"/>
      <c r="K1" s="174" t="s">
        <v>126</v>
      </c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6"/>
      <c r="W1" s="177" t="str">
        <f>IF(表紙!W1="","",表紙!W1)</f>
        <v>基本設計書</v>
      </c>
      <c r="X1" s="178"/>
      <c r="Y1" s="178"/>
      <c r="Z1" s="178"/>
      <c r="AA1" s="178"/>
      <c r="AB1" s="178"/>
      <c r="AC1" s="178"/>
      <c r="AD1" s="178"/>
      <c r="AE1" s="178"/>
      <c r="AF1" s="178"/>
      <c r="AG1" s="178"/>
      <c r="AH1" s="178"/>
      <c r="AI1" s="178"/>
      <c r="AJ1" s="178"/>
      <c r="AK1" s="178"/>
      <c r="AL1" s="178"/>
      <c r="AM1" s="178"/>
      <c r="AN1" s="178"/>
      <c r="AO1" s="179"/>
      <c r="AP1" s="174" t="s">
        <v>128</v>
      </c>
      <c r="AQ1" s="175"/>
      <c r="AR1" s="175"/>
      <c r="AS1" s="176"/>
      <c r="AT1" s="174" t="s">
        <v>129</v>
      </c>
      <c r="AU1" s="175"/>
      <c r="AV1" s="175"/>
      <c r="AW1" s="175"/>
      <c r="AX1" s="176"/>
      <c r="AY1" s="174" t="s">
        <v>130</v>
      </c>
      <c r="AZ1" s="175"/>
      <c r="BA1" s="175"/>
      <c r="BB1" s="176"/>
      <c r="BC1" s="174" t="s">
        <v>131</v>
      </c>
      <c r="BD1" s="175"/>
      <c r="BE1" s="175"/>
      <c r="BF1" s="175"/>
      <c r="BG1" s="176"/>
      <c r="BH1" s="174" t="s">
        <v>132</v>
      </c>
      <c r="BI1" s="175"/>
      <c r="BJ1" s="175"/>
      <c r="BK1" s="176"/>
    </row>
    <row r="2" spans="1:65" s="180" customFormat="1" ht="15" customHeight="1" x14ac:dyDescent="0.25">
      <c r="A2" s="183" t="str">
        <f>IF(表紙!A2="","",表紙!A2)</f>
        <v>POSサーバー</v>
      </c>
      <c r="B2" s="181"/>
      <c r="C2" s="181"/>
      <c r="D2" s="181"/>
      <c r="E2" s="181"/>
      <c r="F2" s="181"/>
      <c r="G2" s="181"/>
      <c r="H2" s="181"/>
      <c r="I2" s="181"/>
      <c r="J2" s="182"/>
      <c r="K2" s="183" t="str">
        <f>IF(表紙!K2="","",表紙!K2)</f>
        <v>POSサーバー</v>
      </c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2"/>
      <c r="W2" s="184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185"/>
      <c r="AM2" s="185"/>
      <c r="AN2" s="185"/>
      <c r="AO2" s="186"/>
      <c r="AP2" s="183" t="str">
        <f>IF(表紙!AP2="","",表紙!AP2)</f>
        <v>TinNH</v>
      </c>
      <c r="AQ2" s="181"/>
      <c r="AR2" s="181"/>
      <c r="AS2" s="182"/>
      <c r="AT2" s="187">
        <f>IF(表紙!AT2="","",表紙!AT2)</f>
        <v>45441</v>
      </c>
      <c r="AU2" s="188"/>
      <c r="AV2" s="188"/>
      <c r="AW2" s="188"/>
      <c r="AX2" s="189"/>
      <c r="AY2" s="183" t="str">
        <f>IF(表紙!AY2="","",表紙!AY2)</f>
        <v>TinNH</v>
      </c>
      <c r="AZ2" s="181"/>
      <c r="BA2" s="181"/>
      <c r="BB2" s="182"/>
      <c r="BC2" s="187">
        <f>IF(表紙!BC2="","",表紙!BC2)</f>
        <v>45443</v>
      </c>
      <c r="BD2" s="188"/>
      <c r="BE2" s="188"/>
      <c r="BF2" s="188"/>
      <c r="BG2" s="189"/>
      <c r="BH2" s="183">
        <f>IF(表紙!BH2="","",表紙!BH2)</f>
        <v>0.2</v>
      </c>
      <c r="BI2" s="181"/>
      <c r="BJ2" s="181"/>
      <c r="BK2" s="182"/>
    </row>
    <row r="3" spans="1:65" s="180" customFormat="1" ht="15" customHeight="1" x14ac:dyDescent="0.25">
      <c r="A3" s="193"/>
      <c r="B3" s="194"/>
      <c r="C3" s="194"/>
      <c r="D3" s="194"/>
      <c r="E3" s="194"/>
      <c r="F3" s="194"/>
      <c r="G3" s="194"/>
      <c r="H3" s="194"/>
      <c r="I3" s="194"/>
      <c r="J3" s="195"/>
      <c r="K3" s="193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5"/>
      <c r="W3" s="196"/>
      <c r="X3" s="197"/>
      <c r="Y3" s="197"/>
      <c r="Z3" s="197"/>
      <c r="AA3" s="197"/>
      <c r="AB3" s="197"/>
      <c r="AC3" s="197"/>
      <c r="AD3" s="197"/>
      <c r="AE3" s="197"/>
      <c r="AF3" s="197"/>
      <c r="AG3" s="197"/>
      <c r="AH3" s="197"/>
      <c r="AI3" s="197"/>
      <c r="AJ3" s="197"/>
      <c r="AK3" s="197"/>
      <c r="AL3" s="197"/>
      <c r="AM3" s="197"/>
      <c r="AN3" s="197"/>
      <c r="AO3" s="198"/>
      <c r="AP3" s="193"/>
      <c r="AQ3" s="194"/>
      <c r="AR3" s="194"/>
      <c r="AS3" s="195"/>
      <c r="AT3" s="199"/>
      <c r="AU3" s="200"/>
      <c r="AV3" s="200"/>
      <c r="AW3" s="200"/>
      <c r="AX3" s="201"/>
      <c r="AY3" s="193"/>
      <c r="AZ3" s="194"/>
      <c r="BA3" s="194"/>
      <c r="BB3" s="195"/>
      <c r="BC3" s="199"/>
      <c r="BD3" s="200"/>
      <c r="BE3" s="200"/>
      <c r="BF3" s="200"/>
      <c r="BG3" s="201"/>
      <c r="BH3" s="193"/>
      <c r="BI3" s="194"/>
      <c r="BJ3" s="194"/>
      <c r="BK3" s="195"/>
    </row>
    <row r="4" spans="1:65" s="180" customFormat="1" ht="24.95" customHeight="1" x14ac:dyDescent="0.25">
      <c r="A4" s="174" t="s">
        <v>134</v>
      </c>
      <c r="B4" s="175"/>
      <c r="C4" s="175"/>
      <c r="D4" s="175"/>
      <c r="E4" s="175"/>
      <c r="F4" s="175"/>
      <c r="G4" s="176"/>
      <c r="H4" s="205" t="str">
        <f>IF(表紙!H4="","",表紙!H4)</f>
        <v>71_ノードマスタ設定</v>
      </c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7"/>
      <c r="U4" s="174" t="s">
        <v>135</v>
      </c>
      <c r="V4" s="175"/>
      <c r="W4" s="175"/>
      <c r="X4" s="175"/>
      <c r="Y4" s="176"/>
      <c r="Z4" s="205" t="str">
        <f>IF(表紙!Z4="","",表紙!Z4)</f>
        <v>概要設計書</v>
      </c>
      <c r="AA4" s="206"/>
      <c r="AB4" s="206"/>
      <c r="AC4" s="206"/>
      <c r="AD4" s="206"/>
      <c r="AE4" s="206"/>
      <c r="AF4" s="206"/>
      <c r="AG4" s="206"/>
      <c r="AH4" s="206"/>
      <c r="AI4" s="206"/>
      <c r="AJ4" s="206"/>
      <c r="AK4" s="206"/>
      <c r="AL4" s="206"/>
      <c r="AM4" s="206"/>
      <c r="AN4" s="206"/>
      <c r="AO4" s="207"/>
      <c r="AP4" s="205" t="str">
        <f t="array" aca="1" ref="AP4" ca="1">RIGHT(CELL("filename",$A$1),LEN(CELL("filename",$A$1))-FIND("]",CELL("filename",$A$1)))</f>
        <v>機能概要</v>
      </c>
      <c r="AQ4" s="206"/>
      <c r="AR4" s="206"/>
      <c r="AS4" s="206"/>
      <c r="AT4" s="206"/>
      <c r="AU4" s="206"/>
      <c r="AV4" s="206"/>
      <c r="AW4" s="206"/>
      <c r="AX4" s="206"/>
      <c r="AY4" s="206"/>
      <c r="AZ4" s="206"/>
      <c r="BA4" s="206"/>
      <c r="BB4" s="206"/>
      <c r="BC4" s="206"/>
      <c r="BD4" s="206"/>
      <c r="BE4" s="206"/>
      <c r="BF4" s="206"/>
      <c r="BG4" s="206"/>
      <c r="BH4" s="206"/>
      <c r="BI4" s="206"/>
      <c r="BJ4" s="206"/>
      <c r="BK4" s="207"/>
    </row>
    <row r="5" spans="1:65" s="180" customFormat="1" ht="5.0999999999999996" customHeight="1" x14ac:dyDescent="0.25">
      <c r="A5" s="208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  <c r="Z5" s="209"/>
      <c r="AA5" s="209"/>
      <c r="AB5" s="209"/>
      <c r="AC5" s="209"/>
      <c r="AD5" s="209"/>
      <c r="AE5" s="209"/>
      <c r="AF5" s="209"/>
      <c r="AG5" s="209"/>
      <c r="AH5" s="209"/>
      <c r="AI5" s="209"/>
      <c r="AJ5" s="209"/>
      <c r="AK5" s="209"/>
      <c r="AL5" s="209"/>
      <c r="AM5" s="209"/>
      <c r="AN5" s="209"/>
      <c r="AO5" s="209"/>
      <c r="AP5" s="209"/>
      <c r="AQ5" s="209"/>
      <c r="AR5" s="209"/>
      <c r="AS5" s="209"/>
      <c r="AT5" s="209"/>
      <c r="AU5" s="209"/>
      <c r="AV5" s="209"/>
      <c r="AW5" s="209"/>
      <c r="AX5" s="209"/>
      <c r="AY5" s="209"/>
      <c r="AZ5" s="209"/>
      <c r="BA5" s="209"/>
      <c r="BB5" s="209"/>
      <c r="BC5" s="209"/>
      <c r="BD5" s="209"/>
      <c r="BE5" s="209"/>
      <c r="BF5" s="209"/>
      <c r="BG5" s="209"/>
      <c r="BH5" s="209"/>
      <c r="BI5" s="209"/>
      <c r="BJ5" s="209"/>
      <c r="BK5" s="210"/>
    </row>
    <row r="6" spans="1:65" s="180" customFormat="1" ht="15" customHeight="1" x14ac:dyDescent="0.25">
      <c r="A6" s="211"/>
      <c r="BK6" s="287"/>
    </row>
    <row r="7" spans="1:65" s="180" customFormat="1" ht="15" customHeight="1" x14ac:dyDescent="0.25">
      <c r="A7" s="211"/>
      <c r="B7" s="288" t="s">
        <v>143</v>
      </c>
      <c r="C7" s="289"/>
      <c r="D7" s="290"/>
      <c r="E7" s="290"/>
      <c r="F7" s="290"/>
      <c r="G7" s="290"/>
      <c r="H7" s="290"/>
      <c r="I7" s="290"/>
      <c r="J7" s="290"/>
      <c r="K7" s="291"/>
      <c r="L7" s="290"/>
      <c r="M7" s="290"/>
      <c r="N7" s="290"/>
      <c r="O7" s="290"/>
      <c r="P7" s="290"/>
      <c r="Q7" s="290"/>
      <c r="R7" s="290"/>
      <c r="S7" s="290"/>
      <c r="T7" s="291"/>
      <c r="U7" s="289"/>
      <c r="V7" s="290"/>
      <c r="W7" s="290"/>
      <c r="X7" s="290"/>
      <c r="Y7" s="290"/>
      <c r="Z7" s="290"/>
      <c r="AA7" s="290"/>
      <c r="AB7" s="290"/>
      <c r="AC7" s="291"/>
      <c r="AD7" s="289"/>
      <c r="AE7" s="290"/>
      <c r="AF7" s="290"/>
      <c r="AG7" s="290"/>
      <c r="AH7" s="290"/>
      <c r="AI7" s="290"/>
      <c r="AJ7" s="290"/>
      <c r="AK7" s="290"/>
      <c r="AL7" s="291"/>
      <c r="AM7" s="289"/>
      <c r="AN7" s="290"/>
      <c r="AO7" s="290"/>
      <c r="AP7" s="290"/>
      <c r="AQ7" s="290"/>
      <c r="AR7" s="290"/>
      <c r="AS7" s="290"/>
      <c r="AT7" s="290"/>
      <c r="AU7" s="290"/>
      <c r="AV7" s="290"/>
      <c r="AW7" s="290"/>
      <c r="AX7" s="290"/>
      <c r="AY7" s="290"/>
      <c r="AZ7" s="290"/>
      <c r="BA7" s="290"/>
      <c r="BB7" s="290"/>
      <c r="BC7" s="290"/>
      <c r="BD7" s="290"/>
      <c r="BE7" s="290"/>
      <c r="BF7" s="290"/>
      <c r="BG7" s="290"/>
      <c r="BH7" s="290"/>
      <c r="BI7" s="291"/>
      <c r="BJ7" s="290"/>
      <c r="BK7" s="212"/>
    </row>
    <row r="8" spans="1:65" s="180" customFormat="1" ht="15" customHeight="1" x14ac:dyDescent="0.25">
      <c r="A8" s="211"/>
      <c r="B8" s="292"/>
      <c r="K8" s="283"/>
      <c r="U8" s="292"/>
      <c r="AD8" s="292"/>
      <c r="AM8" s="292"/>
      <c r="BI8" s="293"/>
      <c r="BK8" s="212"/>
      <c r="BM8" s="4">
        <f t="shared" ref="BM8:BM71" si="0">IF(BM7=50,1,BM7+1)</f>
        <v>1</v>
      </c>
    </row>
    <row r="9" spans="1:65" s="180" customFormat="1" ht="15" customHeight="1" x14ac:dyDescent="0.25">
      <c r="A9" s="211"/>
      <c r="B9" s="292"/>
      <c r="K9" s="283"/>
      <c r="U9" s="292"/>
      <c r="AD9" s="292"/>
      <c r="AM9" s="292"/>
      <c r="BI9" s="293"/>
      <c r="BK9" s="212"/>
      <c r="BM9" s="4">
        <f t="shared" si="0"/>
        <v>2</v>
      </c>
    </row>
    <row r="10" spans="1:65" s="180" customFormat="1" ht="15" customHeight="1" x14ac:dyDescent="0.25">
      <c r="A10" s="211"/>
      <c r="B10" s="292"/>
      <c r="K10" s="283"/>
      <c r="U10" s="292"/>
      <c r="AD10" s="292"/>
      <c r="AM10" s="292"/>
      <c r="BI10" s="293"/>
      <c r="BK10" s="212"/>
      <c r="BM10" s="4">
        <f t="shared" si="0"/>
        <v>3</v>
      </c>
    </row>
    <row r="11" spans="1:65" s="180" customFormat="1" ht="15" customHeight="1" x14ac:dyDescent="0.25">
      <c r="A11" s="211"/>
      <c r="B11" s="292"/>
      <c r="K11" s="283"/>
      <c r="U11" s="292"/>
      <c r="AD11" s="292"/>
      <c r="AM11" s="292"/>
      <c r="BI11" s="293"/>
      <c r="BK11" s="212"/>
      <c r="BM11" s="4">
        <f t="shared" si="0"/>
        <v>4</v>
      </c>
    </row>
    <row r="12" spans="1:65" s="180" customFormat="1" ht="15" customHeight="1" x14ac:dyDescent="0.25">
      <c r="A12" s="211"/>
      <c r="B12" s="292"/>
      <c r="K12" s="283"/>
      <c r="U12" s="292"/>
      <c r="AD12" s="292"/>
      <c r="AM12" s="292"/>
      <c r="BI12" s="293"/>
      <c r="BK12" s="212"/>
      <c r="BM12" s="4">
        <f t="shared" si="0"/>
        <v>5</v>
      </c>
    </row>
    <row r="13" spans="1:65" s="180" customFormat="1" ht="15" customHeight="1" x14ac:dyDescent="0.25">
      <c r="A13" s="211"/>
      <c r="B13" s="292"/>
      <c r="K13" s="283"/>
      <c r="U13" s="292"/>
      <c r="AD13" s="292"/>
      <c r="AM13" s="292"/>
      <c r="BI13" s="293"/>
      <c r="BK13" s="212"/>
      <c r="BM13" s="4">
        <f t="shared" si="0"/>
        <v>6</v>
      </c>
    </row>
    <row r="14" spans="1:65" s="180" customFormat="1" ht="15" customHeight="1" x14ac:dyDescent="0.25">
      <c r="A14" s="211"/>
      <c r="B14" s="292"/>
      <c r="K14" s="283"/>
      <c r="U14" s="292"/>
      <c r="AD14" s="292"/>
      <c r="AM14" s="292"/>
      <c r="BI14" s="293"/>
      <c r="BK14" s="212"/>
      <c r="BM14" s="4">
        <f t="shared" si="0"/>
        <v>7</v>
      </c>
    </row>
    <row r="15" spans="1:65" s="180" customFormat="1" ht="15" customHeight="1" x14ac:dyDescent="0.25">
      <c r="A15" s="211"/>
      <c r="B15" s="292"/>
      <c r="K15" s="283"/>
      <c r="U15" s="292"/>
      <c r="AD15" s="292"/>
      <c r="AM15" s="292"/>
      <c r="BI15" s="293"/>
      <c r="BK15" s="212"/>
      <c r="BM15" s="4">
        <f t="shared" si="0"/>
        <v>8</v>
      </c>
    </row>
    <row r="16" spans="1:65" s="180" customFormat="1" ht="15" customHeight="1" x14ac:dyDescent="0.25">
      <c r="A16" s="211"/>
      <c r="B16" s="292"/>
      <c r="K16" s="283"/>
      <c r="U16" s="292"/>
      <c r="AD16" s="292"/>
      <c r="AM16" s="292"/>
      <c r="BI16" s="293"/>
      <c r="BK16" s="212"/>
      <c r="BM16" s="4">
        <f t="shared" si="0"/>
        <v>9</v>
      </c>
    </row>
    <row r="17" spans="1:65" s="180" customFormat="1" ht="15" customHeight="1" x14ac:dyDescent="0.25">
      <c r="A17" s="211"/>
      <c r="B17" s="294" t="s">
        <v>38</v>
      </c>
      <c r="C17" s="295"/>
      <c r="D17" s="295"/>
      <c r="E17" s="295"/>
      <c r="F17" s="295"/>
      <c r="G17" s="295"/>
      <c r="H17" s="295"/>
      <c r="I17" s="295"/>
      <c r="J17" s="295"/>
      <c r="K17" s="296"/>
      <c r="L17" s="294"/>
      <c r="M17" s="295"/>
      <c r="N17" s="295"/>
      <c r="O17" s="295"/>
      <c r="P17" s="295"/>
      <c r="Q17" s="295"/>
      <c r="R17" s="295"/>
      <c r="S17" s="295"/>
      <c r="T17" s="296"/>
      <c r="U17" s="294"/>
      <c r="V17" s="295"/>
      <c r="W17" s="295"/>
      <c r="X17" s="295"/>
      <c r="Y17" s="295"/>
      <c r="Z17" s="295"/>
      <c r="AA17" s="295"/>
      <c r="AB17" s="295"/>
      <c r="AC17" s="296"/>
      <c r="AD17" s="294"/>
      <c r="AE17" s="295"/>
      <c r="AF17" s="295"/>
      <c r="AG17" s="295"/>
      <c r="AH17" s="295"/>
      <c r="AI17" s="295"/>
      <c r="AJ17" s="295"/>
      <c r="AK17" s="295"/>
      <c r="AL17" s="296"/>
      <c r="AM17" s="294"/>
      <c r="AN17" s="295"/>
      <c r="AO17" s="295"/>
      <c r="AP17" s="295"/>
      <c r="AQ17" s="295"/>
      <c r="AR17" s="295"/>
      <c r="AS17" s="295"/>
      <c r="AT17" s="295"/>
      <c r="AU17" s="295"/>
      <c r="AV17" s="295"/>
      <c r="AW17" s="295"/>
      <c r="AX17" s="295"/>
      <c r="AY17" s="295"/>
      <c r="AZ17" s="295"/>
      <c r="BA17" s="295"/>
      <c r="BB17" s="295"/>
      <c r="BC17" s="295"/>
      <c r="BD17" s="295"/>
      <c r="BE17" s="295"/>
      <c r="BF17" s="295"/>
      <c r="BG17" s="295"/>
      <c r="BH17" s="295"/>
      <c r="BI17" s="296"/>
      <c r="BJ17" s="295"/>
      <c r="BK17" s="212"/>
      <c r="BM17" s="4">
        <f t="shared" si="0"/>
        <v>10</v>
      </c>
    </row>
    <row r="18" spans="1:65" s="180" customFormat="1" ht="15" customHeight="1" x14ac:dyDescent="0.25">
      <c r="A18" s="211"/>
      <c r="B18" s="292"/>
      <c r="K18" s="283"/>
      <c r="U18" s="292"/>
      <c r="AD18" s="292"/>
      <c r="AM18" s="292"/>
      <c r="BI18" s="293"/>
      <c r="BK18" s="212"/>
      <c r="BM18" s="4">
        <f t="shared" si="0"/>
        <v>11</v>
      </c>
    </row>
    <row r="19" spans="1:65" s="180" customFormat="1" ht="15" customHeight="1" x14ac:dyDescent="0.25">
      <c r="A19" s="211"/>
      <c r="B19" s="292"/>
      <c r="K19" s="283"/>
      <c r="U19" s="292"/>
      <c r="AD19" s="292"/>
      <c r="AM19" s="292"/>
      <c r="BI19" s="293"/>
      <c r="BK19" s="212"/>
      <c r="BM19" s="4">
        <f t="shared" si="0"/>
        <v>12</v>
      </c>
    </row>
    <row r="20" spans="1:65" s="180" customFormat="1" ht="15" customHeight="1" x14ac:dyDescent="0.25">
      <c r="A20" s="211"/>
      <c r="B20" s="292"/>
      <c r="K20" s="283"/>
      <c r="U20" s="292"/>
      <c r="AD20" s="292"/>
      <c r="AM20" s="292"/>
      <c r="BI20" s="293"/>
      <c r="BK20" s="212"/>
      <c r="BM20" s="4">
        <f t="shared" si="0"/>
        <v>13</v>
      </c>
    </row>
    <row r="21" spans="1:65" s="180" customFormat="1" ht="15" customHeight="1" x14ac:dyDescent="0.25">
      <c r="A21" s="211"/>
      <c r="B21" s="292"/>
      <c r="K21" s="283"/>
      <c r="U21" s="292"/>
      <c r="AD21" s="292"/>
      <c r="AM21" s="292"/>
      <c r="BI21" s="293"/>
      <c r="BK21" s="212"/>
      <c r="BM21" s="4">
        <f t="shared" si="0"/>
        <v>14</v>
      </c>
    </row>
    <row r="22" spans="1:65" s="280" customFormat="1" ht="15" customHeight="1" x14ac:dyDescent="0.25">
      <c r="A22" s="279"/>
      <c r="B22" s="292"/>
      <c r="K22" s="283"/>
      <c r="L22" s="282"/>
      <c r="T22" s="283"/>
      <c r="U22" s="282"/>
      <c r="AC22" s="283"/>
      <c r="AD22" s="282"/>
      <c r="AL22" s="283"/>
      <c r="AM22" s="282"/>
      <c r="BI22" s="293"/>
      <c r="BK22" s="281"/>
      <c r="BM22" s="4">
        <f t="shared" si="0"/>
        <v>15</v>
      </c>
    </row>
    <row r="23" spans="1:65" s="280" customFormat="1" ht="15" customHeight="1" x14ac:dyDescent="0.25">
      <c r="A23" s="279"/>
      <c r="B23" s="292"/>
      <c r="K23" s="283"/>
      <c r="L23" s="282"/>
      <c r="T23" s="283"/>
      <c r="U23" s="282"/>
      <c r="AC23" s="283"/>
      <c r="AD23" s="282"/>
      <c r="AL23" s="283"/>
      <c r="AM23" s="282"/>
      <c r="BI23" s="293"/>
      <c r="BK23" s="281"/>
      <c r="BM23" s="4">
        <f t="shared" si="0"/>
        <v>16</v>
      </c>
    </row>
    <row r="24" spans="1:65" s="280" customFormat="1" ht="15" customHeight="1" x14ac:dyDescent="0.25">
      <c r="A24" s="279"/>
      <c r="B24" s="292"/>
      <c r="K24" s="283"/>
      <c r="L24" s="282"/>
      <c r="T24" s="283"/>
      <c r="U24" s="282"/>
      <c r="AC24" s="283"/>
      <c r="AD24" s="282"/>
      <c r="AL24" s="283"/>
      <c r="AM24" s="282"/>
      <c r="BI24" s="293"/>
      <c r="BK24" s="281"/>
      <c r="BM24" s="4">
        <f t="shared" si="0"/>
        <v>17</v>
      </c>
    </row>
    <row r="25" spans="1:65" s="280" customFormat="1" ht="15" customHeight="1" x14ac:dyDescent="0.25">
      <c r="A25" s="279"/>
      <c r="B25" s="292"/>
      <c r="K25" s="283"/>
      <c r="L25" s="282"/>
      <c r="T25" s="283"/>
      <c r="U25" s="282"/>
      <c r="AC25" s="283"/>
      <c r="AD25" s="282"/>
      <c r="AL25" s="283"/>
      <c r="AM25" s="282"/>
      <c r="BI25" s="293"/>
      <c r="BK25" s="281"/>
      <c r="BM25" s="4">
        <f t="shared" si="0"/>
        <v>18</v>
      </c>
    </row>
    <row r="26" spans="1:65" s="280" customFormat="1" ht="15" customHeight="1" x14ac:dyDescent="0.25">
      <c r="A26" s="279"/>
      <c r="B26" s="292"/>
      <c r="K26" s="283"/>
      <c r="L26" s="282"/>
      <c r="T26" s="283"/>
      <c r="U26" s="282"/>
      <c r="AC26" s="283"/>
      <c r="AD26" s="282"/>
      <c r="AL26" s="283"/>
      <c r="AM26" s="282"/>
      <c r="BI26" s="293"/>
      <c r="BK26" s="281"/>
      <c r="BM26" s="4">
        <f t="shared" si="0"/>
        <v>19</v>
      </c>
    </row>
    <row r="27" spans="1:65" s="280" customFormat="1" ht="15" customHeight="1" x14ac:dyDescent="0.25">
      <c r="A27" s="279"/>
      <c r="B27" s="292"/>
      <c r="K27" s="283"/>
      <c r="L27" s="282"/>
      <c r="T27" s="283"/>
      <c r="U27" s="282"/>
      <c r="AC27" s="283"/>
      <c r="AD27" s="282"/>
      <c r="AL27" s="283"/>
      <c r="AM27" s="282"/>
      <c r="BI27" s="293"/>
      <c r="BK27" s="281"/>
      <c r="BM27" s="4">
        <f t="shared" si="0"/>
        <v>20</v>
      </c>
    </row>
    <row r="28" spans="1:65" s="280" customFormat="1" ht="15" customHeight="1" x14ac:dyDescent="0.25">
      <c r="A28" s="279"/>
      <c r="B28" s="292"/>
      <c r="K28" s="283"/>
      <c r="L28" s="282"/>
      <c r="T28" s="283"/>
      <c r="U28" s="282"/>
      <c r="AC28" s="283"/>
      <c r="AD28" s="282"/>
      <c r="AL28" s="283"/>
      <c r="AM28" s="282"/>
      <c r="BI28" s="293"/>
      <c r="BK28" s="281"/>
      <c r="BM28" s="4">
        <f t="shared" si="0"/>
        <v>21</v>
      </c>
    </row>
    <row r="29" spans="1:65" s="280" customFormat="1" ht="15" customHeight="1" x14ac:dyDescent="0.25">
      <c r="A29" s="279"/>
      <c r="B29" s="292"/>
      <c r="K29" s="283"/>
      <c r="L29" s="282"/>
      <c r="T29" s="283"/>
      <c r="U29" s="282"/>
      <c r="AC29" s="283"/>
      <c r="AD29" s="282"/>
      <c r="AL29" s="283"/>
      <c r="AM29" s="282"/>
      <c r="BI29" s="293"/>
      <c r="BK29" s="281"/>
      <c r="BM29" s="4">
        <f t="shared" si="0"/>
        <v>22</v>
      </c>
    </row>
    <row r="30" spans="1:65" s="280" customFormat="1" ht="15" customHeight="1" x14ac:dyDescent="0.25">
      <c r="A30" s="279"/>
      <c r="B30" s="292"/>
      <c r="K30" s="283"/>
      <c r="L30" s="282"/>
      <c r="T30" s="283"/>
      <c r="U30" s="282"/>
      <c r="AC30" s="283"/>
      <c r="AD30" s="282"/>
      <c r="AL30" s="283"/>
      <c r="AM30" s="282"/>
      <c r="BI30" s="293"/>
      <c r="BK30" s="281"/>
      <c r="BM30" s="4">
        <f t="shared" si="0"/>
        <v>23</v>
      </c>
    </row>
    <row r="31" spans="1:65" s="280" customFormat="1" ht="15" customHeight="1" x14ac:dyDescent="0.25">
      <c r="A31" s="279"/>
      <c r="B31" s="292"/>
      <c r="K31" s="283"/>
      <c r="L31" s="282"/>
      <c r="T31" s="283"/>
      <c r="U31" s="282"/>
      <c r="AC31" s="283"/>
      <c r="AD31" s="282"/>
      <c r="AL31" s="283"/>
      <c r="AM31" s="282"/>
      <c r="BI31" s="293"/>
      <c r="BK31" s="281"/>
      <c r="BM31" s="4">
        <f t="shared" si="0"/>
        <v>24</v>
      </c>
    </row>
    <row r="32" spans="1:65" s="280" customFormat="1" ht="15" customHeight="1" x14ac:dyDescent="0.25">
      <c r="A32" s="279"/>
      <c r="B32" s="292"/>
      <c r="K32" s="283"/>
      <c r="L32" s="282"/>
      <c r="T32" s="283"/>
      <c r="U32" s="282"/>
      <c r="AC32" s="283"/>
      <c r="AD32" s="282"/>
      <c r="AL32" s="283"/>
      <c r="AM32" s="282"/>
      <c r="BI32" s="293"/>
      <c r="BK32" s="281"/>
      <c r="BM32" s="4">
        <f t="shared" si="0"/>
        <v>25</v>
      </c>
    </row>
    <row r="33" spans="1:65" s="280" customFormat="1" ht="15" customHeight="1" x14ac:dyDescent="0.25">
      <c r="A33" s="279"/>
      <c r="B33" s="292"/>
      <c r="K33" s="283"/>
      <c r="L33" s="282"/>
      <c r="T33" s="283"/>
      <c r="U33" s="282"/>
      <c r="AC33" s="283"/>
      <c r="AD33" s="282"/>
      <c r="AL33" s="283"/>
      <c r="AM33" s="282"/>
      <c r="BI33" s="293"/>
      <c r="BK33" s="281"/>
      <c r="BM33" s="4">
        <f t="shared" si="0"/>
        <v>26</v>
      </c>
    </row>
    <row r="34" spans="1:65" s="280" customFormat="1" ht="15" customHeight="1" x14ac:dyDescent="0.25">
      <c r="A34" s="279"/>
      <c r="B34" s="292"/>
      <c r="K34" s="283"/>
      <c r="L34" s="282"/>
      <c r="T34" s="283"/>
      <c r="U34" s="282"/>
      <c r="AC34" s="283"/>
      <c r="AD34" s="282"/>
      <c r="AL34" s="283"/>
      <c r="AM34" s="282"/>
      <c r="BI34" s="293"/>
      <c r="BK34" s="281"/>
      <c r="BM34" s="4">
        <f t="shared" si="0"/>
        <v>27</v>
      </c>
    </row>
    <row r="35" spans="1:65" s="280" customFormat="1" ht="15" customHeight="1" x14ac:dyDescent="0.25">
      <c r="A35" s="279"/>
      <c r="B35" s="292"/>
      <c r="K35" s="283"/>
      <c r="L35" s="282"/>
      <c r="T35" s="283"/>
      <c r="U35" s="282"/>
      <c r="AC35" s="283"/>
      <c r="AD35" s="282"/>
      <c r="AL35" s="283"/>
      <c r="AM35" s="282"/>
      <c r="BI35" s="293"/>
      <c r="BK35" s="281"/>
      <c r="BM35" s="4">
        <f t="shared" si="0"/>
        <v>28</v>
      </c>
    </row>
    <row r="36" spans="1:65" s="280" customFormat="1" ht="15" customHeight="1" x14ac:dyDescent="0.25">
      <c r="A36" s="279"/>
      <c r="B36" s="292"/>
      <c r="K36" s="283"/>
      <c r="L36" s="282"/>
      <c r="T36" s="283"/>
      <c r="U36" s="282"/>
      <c r="AC36" s="283"/>
      <c r="AD36" s="282"/>
      <c r="AL36" s="283"/>
      <c r="AM36" s="282"/>
      <c r="BI36" s="293"/>
      <c r="BK36" s="281"/>
      <c r="BM36" s="4">
        <f t="shared" si="0"/>
        <v>29</v>
      </c>
    </row>
    <row r="37" spans="1:65" s="280" customFormat="1" ht="15" customHeight="1" x14ac:dyDescent="0.25">
      <c r="A37" s="279"/>
      <c r="B37" s="292"/>
      <c r="K37" s="283"/>
      <c r="L37" s="282"/>
      <c r="T37" s="283"/>
      <c r="U37" s="282"/>
      <c r="AC37" s="283"/>
      <c r="AD37" s="282"/>
      <c r="AL37" s="283"/>
      <c r="AM37" s="282"/>
      <c r="BI37" s="293"/>
      <c r="BK37" s="281"/>
      <c r="BM37" s="4">
        <f t="shared" si="0"/>
        <v>30</v>
      </c>
    </row>
    <row r="38" spans="1:65" s="280" customFormat="1" ht="15" customHeight="1" x14ac:dyDescent="0.25">
      <c r="A38" s="279"/>
      <c r="B38" s="292"/>
      <c r="K38" s="283"/>
      <c r="L38" s="282"/>
      <c r="T38" s="283"/>
      <c r="U38" s="282"/>
      <c r="AC38" s="283"/>
      <c r="AD38" s="282"/>
      <c r="AL38" s="283"/>
      <c r="AM38" s="282"/>
      <c r="BI38" s="293"/>
      <c r="BK38" s="281"/>
      <c r="BM38" s="4">
        <f t="shared" si="0"/>
        <v>31</v>
      </c>
    </row>
    <row r="39" spans="1:65" s="280" customFormat="1" ht="15" customHeight="1" x14ac:dyDescent="0.25">
      <c r="A39" s="279"/>
      <c r="B39" s="292"/>
      <c r="K39" s="283"/>
      <c r="L39" s="282"/>
      <c r="T39" s="283"/>
      <c r="U39" s="282"/>
      <c r="AC39" s="283"/>
      <c r="AD39" s="282"/>
      <c r="AL39" s="283"/>
      <c r="AM39" s="282"/>
      <c r="BI39" s="293"/>
      <c r="BK39" s="281"/>
      <c r="BM39" s="4">
        <f t="shared" si="0"/>
        <v>32</v>
      </c>
    </row>
    <row r="40" spans="1:65" s="280" customFormat="1" ht="15" customHeight="1" x14ac:dyDescent="0.25">
      <c r="A40" s="279"/>
      <c r="B40" s="292"/>
      <c r="K40" s="283"/>
      <c r="L40" s="282"/>
      <c r="T40" s="283"/>
      <c r="U40" s="282"/>
      <c r="AC40" s="283"/>
      <c r="AD40" s="282"/>
      <c r="AL40" s="283"/>
      <c r="AM40" s="282"/>
      <c r="BI40" s="293"/>
      <c r="BK40" s="281"/>
      <c r="BM40" s="4">
        <f t="shared" si="0"/>
        <v>33</v>
      </c>
    </row>
    <row r="41" spans="1:65" s="280" customFormat="1" ht="15" customHeight="1" x14ac:dyDescent="0.25">
      <c r="A41" s="279"/>
      <c r="B41" s="292"/>
      <c r="K41" s="283"/>
      <c r="L41" s="282"/>
      <c r="T41" s="283"/>
      <c r="U41" s="282"/>
      <c r="AC41" s="283"/>
      <c r="AD41" s="282"/>
      <c r="AL41" s="283"/>
      <c r="AM41" s="282"/>
      <c r="BI41" s="293"/>
      <c r="BK41" s="281"/>
      <c r="BM41" s="4">
        <f t="shared" si="0"/>
        <v>34</v>
      </c>
    </row>
    <row r="42" spans="1:65" s="280" customFormat="1" ht="15" customHeight="1" x14ac:dyDescent="0.25">
      <c r="A42" s="279"/>
      <c r="B42" s="282"/>
      <c r="K42" s="283"/>
      <c r="L42" s="282"/>
      <c r="T42" s="283"/>
      <c r="U42" s="282"/>
      <c r="AC42" s="283"/>
      <c r="AD42" s="282"/>
      <c r="AL42" s="283"/>
      <c r="AM42" s="282"/>
      <c r="BI42" s="293"/>
      <c r="BK42" s="281"/>
      <c r="BM42" s="4">
        <f t="shared" si="0"/>
        <v>35</v>
      </c>
    </row>
    <row r="43" spans="1:65" s="280" customFormat="1" ht="15" customHeight="1" x14ac:dyDescent="0.25">
      <c r="A43" s="279"/>
      <c r="B43" s="282"/>
      <c r="K43" s="283"/>
      <c r="L43" s="282"/>
      <c r="T43" s="283"/>
      <c r="U43" s="282"/>
      <c r="AA43" s="22"/>
      <c r="AC43" s="283"/>
      <c r="AD43" s="282"/>
      <c r="AL43" s="283"/>
      <c r="AM43" s="282"/>
      <c r="BI43" s="293"/>
      <c r="BK43" s="281"/>
      <c r="BM43" s="4">
        <f t="shared" si="0"/>
        <v>36</v>
      </c>
    </row>
    <row r="44" spans="1:65" s="280" customFormat="1" ht="15" customHeight="1" x14ac:dyDescent="0.25">
      <c r="A44" s="279"/>
      <c r="B44" s="282"/>
      <c r="K44" s="283"/>
      <c r="L44" s="282"/>
      <c r="T44" s="283"/>
      <c r="U44" s="282"/>
      <c r="AC44" s="283"/>
      <c r="AL44" s="283"/>
      <c r="AM44" s="282"/>
      <c r="BI44" s="293"/>
      <c r="BK44" s="281"/>
      <c r="BM44" s="4">
        <f t="shared" si="0"/>
        <v>37</v>
      </c>
    </row>
    <row r="45" spans="1:65" s="280" customFormat="1" ht="15" customHeight="1" x14ac:dyDescent="0.25">
      <c r="A45" s="279"/>
      <c r="B45" s="282"/>
      <c r="K45" s="283"/>
      <c r="L45" s="282"/>
      <c r="T45" s="283"/>
      <c r="U45" s="282"/>
      <c r="AC45" s="283"/>
      <c r="AD45" s="282"/>
      <c r="AL45" s="283"/>
      <c r="AM45" s="282"/>
      <c r="BI45" s="293"/>
      <c r="BK45" s="281"/>
      <c r="BM45" s="4">
        <f t="shared" si="0"/>
        <v>38</v>
      </c>
    </row>
    <row r="46" spans="1:65" s="280" customFormat="1" ht="15" customHeight="1" x14ac:dyDescent="0.25">
      <c r="A46" s="279"/>
      <c r="B46" s="282"/>
      <c r="K46" s="283"/>
      <c r="L46" s="282"/>
      <c r="T46" s="283"/>
      <c r="U46" s="282"/>
      <c r="AC46" s="283"/>
      <c r="AD46" s="282"/>
      <c r="AL46" s="283"/>
      <c r="AM46" s="282"/>
      <c r="BI46" s="293"/>
      <c r="BK46" s="281"/>
      <c r="BM46" s="4">
        <f t="shared" si="0"/>
        <v>39</v>
      </c>
    </row>
    <row r="47" spans="1:65" s="280" customFormat="1" ht="15" customHeight="1" x14ac:dyDescent="0.25">
      <c r="A47" s="279"/>
      <c r="B47" s="282"/>
      <c r="K47" s="283"/>
      <c r="L47" s="282"/>
      <c r="T47" s="283"/>
      <c r="U47" s="282"/>
      <c r="AC47" s="283"/>
      <c r="AD47" s="282"/>
      <c r="AL47" s="283"/>
      <c r="AM47" s="282"/>
      <c r="BI47" s="293"/>
      <c r="BK47" s="281"/>
      <c r="BM47" s="4">
        <f t="shared" si="0"/>
        <v>40</v>
      </c>
    </row>
    <row r="48" spans="1:65" s="280" customFormat="1" ht="15" customHeight="1" x14ac:dyDescent="0.25">
      <c r="A48" s="279"/>
      <c r="B48" s="282"/>
      <c r="K48" s="283"/>
      <c r="L48" s="282"/>
      <c r="T48" s="283"/>
      <c r="U48" s="282"/>
      <c r="AC48" s="283"/>
      <c r="AD48" s="282"/>
      <c r="AL48" s="283"/>
      <c r="AM48" s="282"/>
      <c r="BI48" s="293"/>
      <c r="BK48" s="281"/>
      <c r="BM48" s="4">
        <f t="shared" si="0"/>
        <v>41</v>
      </c>
    </row>
    <row r="49" spans="1:65" s="280" customFormat="1" ht="15" customHeight="1" x14ac:dyDescent="0.25">
      <c r="A49" s="279"/>
      <c r="B49" s="282"/>
      <c r="K49" s="283"/>
      <c r="L49" s="282"/>
      <c r="T49" s="283"/>
      <c r="U49" s="282"/>
      <c r="AC49" s="283"/>
      <c r="AD49" s="282"/>
      <c r="AF49" s="297"/>
      <c r="AL49" s="283"/>
      <c r="AM49" s="282"/>
      <c r="BI49" s="293"/>
      <c r="BK49" s="281"/>
      <c r="BM49" s="4">
        <f t="shared" si="0"/>
        <v>42</v>
      </c>
    </row>
    <row r="50" spans="1:65" s="280" customFormat="1" ht="15" customHeight="1" x14ac:dyDescent="0.25">
      <c r="A50" s="279"/>
      <c r="B50" s="282"/>
      <c r="K50" s="283"/>
      <c r="L50" s="282"/>
      <c r="T50" s="283"/>
      <c r="U50" s="282"/>
      <c r="AC50" s="283"/>
      <c r="AD50" s="282"/>
      <c r="AL50" s="283"/>
      <c r="AM50" s="282"/>
      <c r="BI50" s="293"/>
      <c r="BK50" s="281"/>
      <c r="BM50" s="4">
        <f t="shared" si="0"/>
        <v>43</v>
      </c>
    </row>
    <row r="51" spans="1:65" s="280" customFormat="1" ht="15" customHeight="1" x14ac:dyDescent="0.25">
      <c r="A51" s="279"/>
      <c r="B51" s="282"/>
      <c r="K51" s="283"/>
      <c r="L51" s="282"/>
      <c r="T51" s="283"/>
      <c r="U51" s="282"/>
      <c r="AC51" s="283"/>
      <c r="AD51" s="282"/>
      <c r="AL51" s="283"/>
      <c r="AM51" s="282"/>
      <c r="BI51" s="293"/>
      <c r="BK51" s="281"/>
      <c r="BM51" s="4">
        <f t="shared" si="0"/>
        <v>44</v>
      </c>
    </row>
    <row r="52" spans="1:65" s="280" customFormat="1" ht="15" customHeight="1" x14ac:dyDescent="0.25">
      <c r="A52" s="279"/>
      <c r="B52" s="282"/>
      <c r="K52" s="283"/>
      <c r="L52" s="282"/>
      <c r="T52" s="283"/>
      <c r="U52" s="282"/>
      <c r="AC52" s="283"/>
      <c r="AD52" s="282"/>
      <c r="AL52" s="283"/>
      <c r="AM52" s="282"/>
      <c r="BI52" s="293"/>
      <c r="BK52" s="281"/>
      <c r="BM52" s="4">
        <f t="shared" si="0"/>
        <v>45</v>
      </c>
    </row>
    <row r="53" spans="1:65" s="280" customFormat="1" ht="15" customHeight="1" x14ac:dyDescent="0.25">
      <c r="A53" s="279"/>
      <c r="B53" s="282"/>
      <c r="K53" s="283"/>
      <c r="L53" s="282"/>
      <c r="T53" s="283"/>
      <c r="U53" s="282"/>
      <c r="AC53" s="283"/>
      <c r="AD53" s="282"/>
      <c r="AL53" s="283"/>
      <c r="AM53" s="282"/>
      <c r="BI53" s="293"/>
      <c r="BK53" s="281"/>
      <c r="BM53" s="4">
        <f t="shared" si="0"/>
        <v>46</v>
      </c>
    </row>
    <row r="54" spans="1:65" s="280" customFormat="1" ht="15" customHeight="1" x14ac:dyDescent="0.25">
      <c r="A54" s="279"/>
      <c r="B54" s="282"/>
      <c r="K54" s="283"/>
      <c r="L54" s="282"/>
      <c r="T54" s="283"/>
      <c r="U54" s="282"/>
      <c r="AC54" s="283"/>
      <c r="AD54" s="282"/>
      <c r="AL54" s="283"/>
      <c r="AM54" s="282"/>
      <c r="BI54" s="293"/>
      <c r="BK54" s="281"/>
      <c r="BM54" s="4">
        <f t="shared" si="0"/>
        <v>47</v>
      </c>
    </row>
    <row r="55" spans="1:65" s="280" customFormat="1" ht="15" customHeight="1" x14ac:dyDescent="0.25">
      <c r="A55" s="279"/>
      <c r="B55" s="282"/>
      <c r="K55" s="283"/>
      <c r="L55" s="282"/>
      <c r="T55" s="283"/>
      <c r="U55" s="282"/>
      <c r="AC55" s="283"/>
      <c r="AD55" s="282"/>
      <c r="AL55" s="283"/>
      <c r="AM55" s="282"/>
      <c r="BI55" s="293"/>
      <c r="BK55" s="281"/>
      <c r="BM55" s="4">
        <f t="shared" si="0"/>
        <v>48</v>
      </c>
    </row>
    <row r="56" spans="1:65" s="280" customFormat="1" ht="15" customHeight="1" x14ac:dyDescent="0.25">
      <c r="A56" s="279"/>
      <c r="B56" s="282"/>
      <c r="K56" s="283"/>
      <c r="L56" s="282"/>
      <c r="T56" s="283"/>
      <c r="U56" s="282"/>
      <c r="AC56" s="283"/>
      <c r="AD56" s="282"/>
      <c r="AL56" s="283"/>
      <c r="AM56" s="282"/>
      <c r="BI56" s="293"/>
      <c r="BK56" s="281"/>
      <c r="BM56" s="4">
        <f t="shared" si="0"/>
        <v>49</v>
      </c>
    </row>
    <row r="57" spans="1:65" s="280" customFormat="1" ht="15" customHeight="1" x14ac:dyDescent="0.25">
      <c r="A57" s="279"/>
      <c r="B57" s="282"/>
      <c r="C57" s="180"/>
      <c r="D57" s="180"/>
      <c r="E57" s="180"/>
      <c r="F57" s="180"/>
      <c r="G57" s="180"/>
      <c r="H57" s="180"/>
      <c r="I57" s="180"/>
      <c r="J57" s="180"/>
      <c r="K57" s="180"/>
      <c r="L57" s="282"/>
      <c r="M57" s="180"/>
      <c r="N57" s="180"/>
      <c r="O57" s="180"/>
      <c r="P57" s="180"/>
      <c r="Q57" s="180"/>
      <c r="R57" s="180"/>
      <c r="S57" s="180"/>
      <c r="T57" s="180"/>
      <c r="U57" s="282"/>
      <c r="V57" s="180"/>
      <c r="W57" s="180"/>
      <c r="X57" s="180"/>
      <c r="Y57" s="180"/>
      <c r="Z57" s="180"/>
      <c r="AA57" s="180"/>
      <c r="AB57" s="180"/>
      <c r="AC57" s="180"/>
      <c r="AD57" s="282"/>
      <c r="AE57" s="180"/>
      <c r="AF57" s="180"/>
      <c r="AG57" s="180"/>
      <c r="AH57" s="180"/>
      <c r="AI57" s="180"/>
      <c r="AJ57" s="180"/>
      <c r="AL57" s="283"/>
      <c r="AM57" s="282"/>
      <c r="BI57" s="293"/>
      <c r="BK57" s="281"/>
      <c r="BM57" s="4">
        <f t="shared" si="0"/>
        <v>50</v>
      </c>
    </row>
    <row r="58" spans="1:65" s="280" customFormat="1" ht="15" customHeight="1" x14ac:dyDescent="0.25">
      <c r="A58" s="279"/>
      <c r="B58" s="282"/>
      <c r="C58" s="180"/>
      <c r="D58" s="180"/>
      <c r="E58" s="180"/>
      <c r="F58" s="180"/>
      <c r="G58" s="180"/>
      <c r="H58" s="180"/>
      <c r="I58" s="180"/>
      <c r="J58" s="180"/>
      <c r="K58" s="180"/>
      <c r="L58" s="282"/>
      <c r="M58" s="180"/>
      <c r="N58" s="180"/>
      <c r="O58" s="180"/>
      <c r="P58" s="180"/>
      <c r="Q58" s="180"/>
      <c r="R58" s="180"/>
      <c r="S58" s="180"/>
      <c r="T58" s="180"/>
      <c r="U58" s="282"/>
      <c r="V58" s="180"/>
      <c r="W58" s="180"/>
      <c r="X58" s="180"/>
      <c r="Y58" s="180"/>
      <c r="Z58" s="180"/>
      <c r="AA58" s="180"/>
      <c r="AB58" s="180"/>
      <c r="AC58" s="180"/>
      <c r="AD58" s="282"/>
      <c r="AE58" s="180"/>
      <c r="AF58" s="180"/>
      <c r="AG58" s="180"/>
      <c r="AH58" s="180"/>
      <c r="AI58" s="180"/>
      <c r="AJ58" s="180"/>
      <c r="AL58" s="283"/>
      <c r="AM58" s="282"/>
      <c r="BI58" s="293"/>
      <c r="BK58" s="281"/>
      <c r="BM58" s="4">
        <f t="shared" si="0"/>
        <v>1</v>
      </c>
    </row>
    <row r="59" spans="1:65" s="280" customFormat="1" ht="15" customHeight="1" x14ac:dyDescent="0.25">
      <c r="A59" s="279"/>
      <c r="B59" s="282"/>
      <c r="C59" s="180"/>
      <c r="D59" s="180"/>
      <c r="E59" s="180"/>
      <c r="F59" s="180"/>
      <c r="G59" s="180"/>
      <c r="H59" s="180"/>
      <c r="I59" s="180"/>
      <c r="J59" s="180"/>
      <c r="K59" s="180"/>
      <c r="L59" s="282"/>
      <c r="M59" s="180"/>
      <c r="N59" s="180"/>
      <c r="O59" s="180"/>
      <c r="P59" s="180"/>
      <c r="Q59" s="180"/>
      <c r="R59" s="180"/>
      <c r="S59" s="180"/>
      <c r="T59" s="180"/>
      <c r="U59" s="282"/>
      <c r="V59" s="180"/>
      <c r="W59" s="180"/>
      <c r="X59" s="180"/>
      <c r="Y59" s="180"/>
      <c r="Z59" s="180"/>
      <c r="AA59" s="180"/>
      <c r="AB59" s="180"/>
      <c r="AC59" s="180"/>
      <c r="AD59" s="282"/>
      <c r="AE59" s="180"/>
      <c r="AF59" s="180"/>
      <c r="AG59" s="180"/>
      <c r="AH59" s="180"/>
      <c r="AI59" s="180"/>
      <c r="AJ59" s="180"/>
      <c r="AL59" s="283"/>
      <c r="AM59" s="282"/>
      <c r="BI59" s="293"/>
      <c r="BK59" s="281"/>
      <c r="BM59" s="4">
        <f t="shared" si="0"/>
        <v>2</v>
      </c>
    </row>
    <row r="60" spans="1:65" s="280" customFormat="1" ht="15" customHeight="1" x14ac:dyDescent="0.25">
      <c r="A60" s="279"/>
      <c r="B60" s="282"/>
      <c r="C60" s="180"/>
      <c r="D60" s="180"/>
      <c r="E60" s="180"/>
      <c r="F60" s="180"/>
      <c r="G60" s="180"/>
      <c r="H60" s="180"/>
      <c r="I60" s="180"/>
      <c r="J60" s="180"/>
      <c r="K60" s="180"/>
      <c r="L60" s="282"/>
      <c r="M60" s="180"/>
      <c r="N60" s="180"/>
      <c r="O60" s="180"/>
      <c r="P60" s="180"/>
      <c r="Q60" s="180"/>
      <c r="R60" s="180"/>
      <c r="S60" s="180"/>
      <c r="T60" s="180"/>
      <c r="U60" s="282"/>
      <c r="V60" s="180"/>
      <c r="W60" s="180"/>
      <c r="X60" s="180"/>
      <c r="Y60" s="180"/>
      <c r="Z60" s="180"/>
      <c r="AA60" s="180"/>
      <c r="AB60" s="180"/>
      <c r="AC60" s="180"/>
      <c r="AD60" s="282"/>
      <c r="AE60" s="180"/>
      <c r="AF60" s="180"/>
      <c r="AG60" s="180"/>
      <c r="AH60" s="180"/>
      <c r="AI60" s="180"/>
      <c r="AJ60" s="180"/>
      <c r="AL60" s="283"/>
      <c r="AM60" s="282"/>
      <c r="BI60" s="293"/>
      <c r="BK60" s="281"/>
      <c r="BM60" s="4">
        <f t="shared" si="0"/>
        <v>3</v>
      </c>
    </row>
    <row r="61" spans="1:65" s="280" customFormat="1" ht="15" customHeight="1" x14ac:dyDescent="0.25">
      <c r="A61" s="298"/>
      <c r="B61" s="282"/>
      <c r="C61" s="180"/>
      <c r="D61" s="180"/>
      <c r="E61" s="180"/>
      <c r="F61" s="180"/>
      <c r="G61" s="180"/>
      <c r="H61" s="180"/>
      <c r="I61" s="180"/>
      <c r="J61" s="180"/>
      <c r="K61" s="180"/>
      <c r="L61" s="282"/>
      <c r="M61" s="180"/>
      <c r="N61" s="180"/>
      <c r="O61" s="180"/>
      <c r="P61" s="180"/>
      <c r="Q61" s="180"/>
      <c r="R61" s="180"/>
      <c r="S61" s="180"/>
      <c r="T61" s="180"/>
      <c r="U61" s="282"/>
      <c r="V61" s="180"/>
      <c r="W61" s="180"/>
      <c r="X61" s="180"/>
      <c r="Y61" s="180"/>
      <c r="Z61" s="180"/>
      <c r="AA61" s="180"/>
      <c r="AB61" s="180"/>
      <c r="AC61" s="180"/>
      <c r="AD61" s="282"/>
      <c r="AE61" s="180"/>
      <c r="AF61" s="180"/>
      <c r="AG61" s="180"/>
      <c r="AH61" s="180"/>
      <c r="AI61" s="180"/>
      <c r="AJ61" s="180"/>
      <c r="AK61" s="299"/>
      <c r="AL61" s="300"/>
      <c r="AM61" s="282"/>
      <c r="AN61" s="299"/>
      <c r="AO61" s="299"/>
      <c r="AP61" s="299"/>
      <c r="AQ61" s="299"/>
      <c r="AR61" s="299"/>
      <c r="AS61" s="299"/>
      <c r="AT61" s="299"/>
      <c r="AU61" s="299"/>
      <c r="AV61" s="299"/>
      <c r="AW61" s="299"/>
      <c r="AX61" s="299"/>
      <c r="AY61" s="299"/>
      <c r="AZ61" s="299"/>
      <c r="BA61" s="299"/>
      <c r="BB61" s="299"/>
      <c r="BC61" s="299"/>
      <c r="BD61" s="299"/>
      <c r="BE61" s="299"/>
      <c r="BF61" s="299"/>
      <c r="BG61" s="299"/>
      <c r="BH61" s="299"/>
      <c r="BI61" s="293"/>
      <c r="BJ61" s="299"/>
      <c r="BK61" s="301"/>
      <c r="BM61" s="4">
        <f t="shared" si="0"/>
        <v>4</v>
      </c>
    </row>
    <row r="62" spans="1:65" s="180" customFormat="1" ht="15" customHeight="1" x14ac:dyDescent="0.25">
      <c r="B62" s="282"/>
      <c r="L62" s="282"/>
      <c r="U62" s="282"/>
      <c r="AD62" s="282"/>
      <c r="AM62" s="282"/>
      <c r="BI62" s="293"/>
      <c r="BK62" s="212"/>
      <c r="BM62" s="4">
        <f t="shared" si="0"/>
        <v>5</v>
      </c>
    </row>
    <row r="63" spans="1:65" s="180" customFormat="1" ht="15" customHeight="1" x14ac:dyDescent="0.25">
      <c r="B63" s="282"/>
      <c r="L63" s="282"/>
      <c r="U63" s="282"/>
      <c r="AD63" s="282"/>
      <c r="AM63" s="282"/>
      <c r="BI63" s="293"/>
      <c r="BK63" s="212"/>
      <c r="BM63" s="4">
        <f t="shared" si="0"/>
        <v>6</v>
      </c>
    </row>
    <row r="64" spans="1:65" s="180" customFormat="1" ht="15" customHeight="1" x14ac:dyDescent="0.25">
      <c r="B64" s="282"/>
      <c r="L64" s="282"/>
      <c r="U64" s="282"/>
      <c r="AD64" s="282"/>
      <c r="AM64" s="282"/>
      <c r="BI64" s="293"/>
      <c r="BK64" s="212"/>
      <c r="BM64" s="4">
        <f t="shared" si="0"/>
        <v>7</v>
      </c>
    </row>
    <row r="65" spans="2:67" s="180" customFormat="1" ht="15" customHeight="1" x14ac:dyDescent="0.25">
      <c r="B65" s="282"/>
      <c r="L65" s="282"/>
      <c r="U65" s="282"/>
      <c r="AD65" s="282"/>
      <c r="AM65" s="282"/>
      <c r="BI65" s="293"/>
      <c r="BK65" s="212"/>
      <c r="BM65" s="4">
        <f t="shared" si="0"/>
        <v>8</v>
      </c>
    </row>
    <row r="66" spans="2:67" s="180" customFormat="1" ht="15" customHeight="1" x14ac:dyDescent="0.25">
      <c r="B66" s="282"/>
      <c r="L66" s="282"/>
      <c r="U66" s="282"/>
      <c r="AD66" s="282"/>
      <c r="AM66" s="282"/>
      <c r="BI66" s="293"/>
      <c r="BK66" s="212"/>
      <c r="BM66" s="4">
        <f t="shared" si="0"/>
        <v>9</v>
      </c>
    </row>
    <row r="67" spans="2:67" s="180" customFormat="1" ht="15" customHeight="1" x14ac:dyDescent="0.25">
      <c r="B67" s="282"/>
      <c r="L67" s="282"/>
      <c r="U67" s="282"/>
      <c r="AD67" s="282"/>
      <c r="AM67" s="282"/>
      <c r="BI67" s="293"/>
      <c r="BK67" s="212"/>
      <c r="BM67" s="4">
        <f t="shared" si="0"/>
        <v>10</v>
      </c>
    </row>
    <row r="68" spans="2:67" s="180" customFormat="1" ht="15" customHeight="1" x14ac:dyDescent="0.25">
      <c r="B68" s="282"/>
      <c r="L68" s="282"/>
      <c r="U68" s="282"/>
      <c r="AD68" s="282"/>
      <c r="AM68" s="282"/>
      <c r="BI68" s="293"/>
      <c r="BK68" s="212"/>
      <c r="BM68" s="4">
        <f t="shared" si="0"/>
        <v>11</v>
      </c>
      <c r="BO68" s="180" t="s">
        <v>35</v>
      </c>
    </row>
    <row r="69" spans="2:67" s="180" customFormat="1" ht="15" customHeight="1" x14ac:dyDescent="0.25">
      <c r="B69" s="282"/>
      <c r="L69" s="282"/>
      <c r="U69" s="282"/>
      <c r="AD69" s="282"/>
      <c r="AM69" s="282"/>
      <c r="BI69" s="293"/>
      <c r="BK69" s="212"/>
      <c r="BM69" s="4">
        <f t="shared" si="0"/>
        <v>12</v>
      </c>
    </row>
    <row r="70" spans="2:67" s="180" customFormat="1" ht="15" customHeight="1" x14ac:dyDescent="0.25">
      <c r="B70" s="282"/>
      <c r="L70" s="282"/>
      <c r="U70" s="282"/>
      <c r="AD70" s="282"/>
      <c r="AM70" s="282"/>
      <c r="BI70" s="293"/>
      <c r="BK70" s="212"/>
      <c r="BM70" s="4">
        <f t="shared" si="0"/>
        <v>13</v>
      </c>
    </row>
    <row r="71" spans="2:67" s="180" customFormat="1" ht="15" customHeight="1" x14ac:dyDescent="0.25">
      <c r="B71" s="282"/>
      <c r="L71" s="282"/>
      <c r="U71" s="282"/>
      <c r="AD71" s="282"/>
      <c r="AM71" s="282"/>
      <c r="BI71" s="293"/>
      <c r="BK71" s="212"/>
      <c r="BM71" s="4">
        <f t="shared" si="0"/>
        <v>14</v>
      </c>
    </row>
    <row r="72" spans="2:67" s="180" customFormat="1" ht="15" customHeight="1" x14ac:dyDescent="0.25">
      <c r="B72" s="282"/>
      <c r="L72" s="282"/>
      <c r="U72" s="282"/>
      <c r="AD72" s="282"/>
      <c r="AM72" s="282"/>
      <c r="BI72" s="293"/>
      <c r="BK72" s="212"/>
      <c r="BM72" s="4">
        <f t="shared" ref="BM72:BM135" si="1">IF(BM71=50,1,BM71+1)</f>
        <v>15</v>
      </c>
    </row>
    <row r="73" spans="2:67" s="180" customFormat="1" ht="15" customHeight="1" x14ac:dyDescent="0.25">
      <c r="B73" s="282"/>
      <c r="L73" s="282"/>
      <c r="U73" s="282"/>
      <c r="AD73" s="282"/>
      <c r="AM73" s="282"/>
      <c r="BI73" s="293"/>
      <c r="BK73" s="212"/>
      <c r="BM73" s="4">
        <f t="shared" si="1"/>
        <v>16</v>
      </c>
    </row>
    <row r="74" spans="2:67" s="180" customFormat="1" ht="15" customHeight="1" x14ac:dyDescent="0.25">
      <c r="B74" s="282"/>
      <c r="L74" s="282"/>
      <c r="U74" s="282"/>
      <c r="AD74" s="282"/>
      <c r="AM74" s="282"/>
      <c r="BI74" s="293"/>
      <c r="BK74" s="212"/>
      <c r="BM74" s="4">
        <f t="shared" si="1"/>
        <v>17</v>
      </c>
    </row>
    <row r="75" spans="2:67" s="180" customFormat="1" ht="15" customHeight="1" x14ac:dyDescent="0.25">
      <c r="B75" s="282"/>
      <c r="L75" s="282"/>
      <c r="U75" s="282"/>
      <c r="AD75" s="282"/>
      <c r="AM75" s="282"/>
      <c r="BI75" s="293"/>
      <c r="BK75" s="212"/>
      <c r="BM75" s="4">
        <f t="shared" si="1"/>
        <v>18</v>
      </c>
    </row>
    <row r="76" spans="2:67" s="180" customFormat="1" ht="15" customHeight="1" x14ac:dyDescent="0.25">
      <c r="B76" s="282"/>
      <c r="L76" s="282"/>
      <c r="U76" s="282"/>
      <c r="AD76" s="282"/>
      <c r="AM76" s="282"/>
      <c r="BI76" s="293"/>
      <c r="BK76" s="212"/>
      <c r="BM76" s="4">
        <f t="shared" si="1"/>
        <v>19</v>
      </c>
    </row>
    <row r="77" spans="2:67" s="180" customFormat="1" ht="15" customHeight="1" x14ac:dyDescent="0.25">
      <c r="B77" s="282"/>
      <c r="L77" s="282"/>
      <c r="U77" s="282"/>
      <c r="AD77" s="282"/>
      <c r="AM77" s="282"/>
      <c r="BI77" s="293"/>
      <c r="BK77" s="212"/>
      <c r="BM77" s="4">
        <f t="shared" si="1"/>
        <v>20</v>
      </c>
    </row>
    <row r="78" spans="2:67" s="180" customFormat="1" ht="15" customHeight="1" x14ac:dyDescent="0.25">
      <c r="B78" s="282"/>
      <c r="L78" s="282"/>
      <c r="U78" s="282"/>
      <c r="AD78" s="282"/>
      <c r="AM78" s="282"/>
      <c r="BI78" s="293"/>
      <c r="BK78" s="212"/>
      <c r="BM78" s="4">
        <f t="shared" si="1"/>
        <v>21</v>
      </c>
    </row>
    <row r="79" spans="2:67" s="180" customFormat="1" ht="15" customHeight="1" x14ac:dyDescent="0.25">
      <c r="B79" s="282"/>
      <c r="L79" s="282"/>
      <c r="U79" s="282"/>
      <c r="AD79" s="282"/>
      <c r="AM79" s="282"/>
      <c r="BI79" s="293"/>
      <c r="BK79" s="212"/>
      <c r="BM79" s="4">
        <f t="shared" si="1"/>
        <v>22</v>
      </c>
    </row>
    <row r="80" spans="2:67" s="180" customFormat="1" ht="15" customHeight="1" x14ac:dyDescent="0.25">
      <c r="B80" s="282"/>
      <c r="L80" s="282"/>
      <c r="U80" s="282"/>
      <c r="AD80" s="282"/>
      <c r="AM80" s="282"/>
      <c r="BI80" s="293"/>
      <c r="BK80" s="212"/>
      <c r="BM80" s="4">
        <f t="shared" si="1"/>
        <v>23</v>
      </c>
    </row>
    <row r="81" spans="2:67" s="180" customFormat="1" ht="15" customHeight="1" x14ac:dyDescent="0.25">
      <c r="B81" s="282"/>
      <c r="L81" s="282"/>
      <c r="U81" s="282"/>
      <c r="AD81" s="282"/>
      <c r="AM81" s="282"/>
      <c r="BI81" s="293"/>
      <c r="BK81" s="212"/>
      <c r="BM81" s="4">
        <f t="shared" si="1"/>
        <v>24</v>
      </c>
    </row>
    <row r="82" spans="2:67" s="180" customFormat="1" ht="15" customHeight="1" x14ac:dyDescent="0.25">
      <c r="B82" s="282"/>
      <c r="L82" s="282"/>
      <c r="U82" s="282"/>
      <c r="AD82" s="282"/>
      <c r="AM82" s="282"/>
      <c r="BI82" s="293"/>
      <c r="BK82" s="212"/>
      <c r="BM82" s="4">
        <f t="shared" si="1"/>
        <v>25</v>
      </c>
    </row>
    <row r="83" spans="2:67" s="180" customFormat="1" ht="15" customHeight="1" x14ac:dyDescent="0.25">
      <c r="B83" s="282"/>
      <c r="L83" s="282"/>
      <c r="U83" s="282"/>
      <c r="AD83" s="282"/>
      <c r="AM83" s="282"/>
      <c r="BI83" s="293"/>
      <c r="BK83" s="212"/>
      <c r="BM83" s="4">
        <f t="shared" si="1"/>
        <v>26</v>
      </c>
    </row>
    <row r="84" spans="2:67" s="180" customFormat="1" ht="15" customHeight="1" x14ac:dyDescent="0.25">
      <c r="B84" s="282"/>
      <c r="L84" s="282"/>
      <c r="U84" s="282"/>
      <c r="AD84" s="282"/>
      <c r="AM84" s="282"/>
      <c r="BI84" s="293"/>
      <c r="BK84" s="212"/>
      <c r="BM84" s="4">
        <f t="shared" si="1"/>
        <v>27</v>
      </c>
    </row>
    <row r="85" spans="2:67" s="180" customFormat="1" ht="15" customHeight="1" x14ac:dyDescent="0.25">
      <c r="B85" s="282"/>
      <c r="L85" s="282"/>
      <c r="U85" s="282"/>
      <c r="AD85" s="282"/>
      <c r="AM85" s="282"/>
      <c r="BI85" s="293"/>
      <c r="BK85" s="212"/>
      <c r="BM85" s="4">
        <f t="shared" si="1"/>
        <v>28</v>
      </c>
    </row>
    <row r="86" spans="2:67" s="180" customFormat="1" ht="15" customHeight="1" x14ac:dyDescent="0.25">
      <c r="B86" s="282"/>
      <c r="L86" s="282"/>
      <c r="U86" s="282"/>
      <c r="AD86" s="282"/>
      <c r="AM86" s="282"/>
      <c r="BI86" s="293"/>
      <c r="BK86" s="212"/>
      <c r="BM86" s="4">
        <f t="shared" si="1"/>
        <v>29</v>
      </c>
    </row>
    <row r="87" spans="2:67" s="180" customFormat="1" ht="15" customHeight="1" x14ac:dyDescent="0.25">
      <c r="B87" s="282"/>
      <c r="L87" s="282"/>
      <c r="U87" s="282"/>
      <c r="AD87" s="282"/>
      <c r="AM87" s="282"/>
      <c r="BI87" s="293"/>
      <c r="BK87" s="212"/>
      <c r="BM87" s="4">
        <f t="shared" si="1"/>
        <v>30</v>
      </c>
    </row>
    <row r="88" spans="2:67" s="180" customFormat="1" ht="15" customHeight="1" x14ac:dyDescent="0.25">
      <c r="B88" s="282"/>
      <c r="L88" s="282"/>
      <c r="U88" s="282"/>
      <c r="AD88" s="282"/>
      <c r="AM88" s="282"/>
      <c r="BI88" s="293"/>
      <c r="BK88" s="212"/>
      <c r="BM88" s="4">
        <f t="shared" si="1"/>
        <v>31</v>
      </c>
    </row>
    <row r="89" spans="2:67" s="180" customFormat="1" ht="15" customHeight="1" x14ac:dyDescent="0.25">
      <c r="B89" s="282"/>
      <c r="L89" s="282"/>
      <c r="U89" s="282"/>
      <c r="AD89" s="282"/>
      <c r="AM89" s="282"/>
      <c r="BI89" s="293"/>
      <c r="BK89" s="212"/>
      <c r="BM89" s="4">
        <f t="shared" si="1"/>
        <v>32</v>
      </c>
    </row>
    <row r="90" spans="2:67" s="180" customFormat="1" ht="15" customHeight="1" x14ac:dyDescent="0.25">
      <c r="B90" s="282"/>
      <c r="L90" s="282"/>
      <c r="U90" s="282"/>
      <c r="AD90" s="282"/>
      <c r="AM90" s="282"/>
      <c r="BI90" s="293"/>
      <c r="BK90" s="212"/>
      <c r="BM90" s="4">
        <f t="shared" si="1"/>
        <v>33</v>
      </c>
    </row>
    <row r="91" spans="2:67" s="180" customFormat="1" ht="15" customHeight="1" x14ac:dyDescent="0.25">
      <c r="B91" s="282"/>
      <c r="L91" s="282"/>
      <c r="U91" s="282"/>
      <c r="AD91" s="282"/>
      <c r="AM91" s="282"/>
      <c r="BI91" s="293"/>
      <c r="BK91" s="212"/>
      <c r="BM91" s="4">
        <f t="shared" si="1"/>
        <v>34</v>
      </c>
    </row>
    <row r="92" spans="2:67" s="180" customFormat="1" ht="15" customHeight="1" x14ac:dyDescent="0.25">
      <c r="B92" s="282"/>
      <c r="L92" s="282"/>
      <c r="U92" s="282"/>
      <c r="AD92" s="282"/>
      <c r="AM92" s="282"/>
      <c r="BI92" s="293"/>
      <c r="BK92" s="212"/>
      <c r="BM92" s="4">
        <f t="shared" si="1"/>
        <v>35</v>
      </c>
      <c r="BO92" s="180" t="s">
        <v>36</v>
      </c>
    </row>
    <row r="93" spans="2:67" s="180" customFormat="1" ht="15" customHeight="1" x14ac:dyDescent="0.25">
      <c r="B93" s="282"/>
      <c r="L93" s="282"/>
      <c r="U93" s="282"/>
      <c r="AD93" s="282"/>
      <c r="AM93" s="282"/>
      <c r="BI93" s="293"/>
      <c r="BK93" s="212"/>
      <c r="BM93" s="4">
        <f t="shared" si="1"/>
        <v>36</v>
      </c>
    </row>
    <row r="94" spans="2:67" s="180" customFormat="1" ht="15" customHeight="1" x14ac:dyDescent="0.25">
      <c r="B94" s="282"/>
      <c r="L94" s="282"/>
      <c r="U94" s="282"/>
      <c r="AD94" s="282"/>
      <c r="AM94" s="282"/>
      <c r="BI94" s="293"/>
      <c r="BK94" s="212"/>
      <c r="BM94" s="4">
        <f t="shared" si="1"/>
        <v>37</v>
      </c>
    </row>
    <row r="95" spans="2:67" s="180" customFormat="1" ht="15" customHeight="1" x14ac:dyDescent="0.25">
      <c r="B95" s="282"/>
      <c r="L95" s="282"/>
      <c r="U95" s="282"/>
      <c r="AD95" s="282"/>
      <c r="AM95" s="282"/>
      <c r="BI95" s="293"/>
      <c r="BK95" s="212"/>
      <c r="BM95" s="4">
        <f t="shared" si="1"/>
        <v>38</v>
      </c>
    </row>
    <row r="96" spans="2:67" s="180" customFormat="1" ht="15" customHeight="1" x14ac:dyDescent="0.25">
      <c r="B96" s="282"/>
      <c r="L96" s="282"/>
      <c r="U96" s="282"/>
      <c r="AD96" s="282"/>
      <c r="AM96" s="282"/>
      <c r="BI96" s="293"/>
      <c r="BK96" s="212"/>
      <c r="BM96" s="4">
        <f t="shared" si="1"/>
        <v>39</v>
      </c>
    </row>
    <row r="97" spans="2:65" s="180" customFormat="1" ht="15" customHeight="1" x14ac:dyDescent="0.25">
      <c r="B97" s="282"/>
      <c r="L97" s="282"/>
      <c r="U97" s="282"/>
      <c r="AD97" s="282"/>
      <c r="AM97" s="282"/>
      <c r="BI97" s="293"/>
      <c r="BK97" s="212"/>
      <c r="BM97" s="4">
        <f t="shared" si="1"/>
        <v>40</v>
      </c>
    </row>
    <row r="98" spans="2:65" s="180" customFormat="1" ht="15" customHeight="1" x14ac:dyDescent="0.25">
      <c r="B98" s="282"/>
      <c r="L98" s="282"/>
      <c r="U98" s="282"/>
      <c r="AD98" s="282"/>
      <c r="AM98" s="282"/>
      <c r="BI98" s="293"/>
      <c r="BK98" s="212"/>
      <c r="BM98" s="4">
        <f t="shared" si="1"/>
        <v>41</v>
      </c>
    </row>
    <row r="99" spans="2:65" s="180" customFormat="1" ht="15" customHeight="1" x14ac:dyDescent="0.25">
      <c r="B99" s="282"/>
      <c r="L99" s="282"/>
      <c r="U99" s="282"/>
      <c r="AD99" s="282"/>
      <c r="AM99" s="282"/>
      <c r="BI99" s="293"/>
      <c r="BK99" s="212"/>
      <c r="BM99" s="4">
        <f t="shared" si="1"/>
        <v>42</v>
      </c>
    </row>
    <row r="100" spans="2:65" s="180" customFormat="1" ht="15" customHeight="1" x14ac:dyDescent="0.25">
      <c r="B100" s="282"/>
      <c r="L100" s="282"/>
      <c r="U100" s="282"/>
      <c r="AD100" s="282"/>
      <c r="AM100" s="282"/>
      <c r="BI100" s="293"/>
      <c r="BK100" s="212"/>
      <c r="BM100" s="4">
        <f t="shared" si="1"/>
        <v>43</v>
      </c>
    </row>
    <row r="101" spans="2:65" s="180" customFormat="1" ht="15" customHeight="1" x14ac:dyDescent="0.25">
      <c r="B101" s="282"/>
      <c r="L101" s="282"/>
      <c r="U101" s="282"/>
      <c r="AD101" s="282"/>
      <c r="AM101" s="282"/>
      <c r="BI101" s="293"/>
      <c r="BK101" s="212"/>
      <c r="BM101" s="4">
        <f t="shared" si="1"/>
        <v>44</v>
      </c>
    </row>
    <row r="102" spans="2:65" s="180" customFormat="1" ht="15" customHeight="1" x14ac:dyDescent="0.25">
      <c r="B102" s="282"/>
      <c r="L102" s="282"/>
      <c r="U102" s="282"/>
      <c r="AD102" s="282"/>
      <c r="AM102" s="282"/>
      <c r="BI102" s="293"/>
      <c r="BK102" s="212"/>
      <c r="BM102" s="4">
        <f t="shared" si="1"/>
        <v>45</v>
      </c>
    </row>
    <row r="103" spans="2:65" s="180" customFormat="1" ht="15" customHeight="1" x14ac:dyDescent="0.25">
      <c r="B103" s="282"/>
      <c r="L103" s="282"/>
      <c r="U103" s="282"/>
      <c r="AD103" s="282"/>
      <c r="AM103" s="282"/>
      <c r="BI103" s="293"/>
      <c r="BK103" s="212"/>
      <c r="BM103" s="4">
        <f t="shared" si="1"/>
        <v>46</v>
      </c>
    </row>
    <row r="104" spans="2:65" s="180" customFormat="1" ht="15" customHeight="1" x14ac:dyDescent="0.25">
      <c r="B104" s="282"/>
      <c r="L104" s="282"/>
      <c r="U104" s="282"/>
      <c r="AD104" s="282"/>
      <c r="AM104" s="282"/>
      <c r="BI104" s="293"/>
      <c r="BK104" s="212"/>
      <c r="BM104" s="4">
        <f t="shared" si="1"/>
        <v>47</v>
      </c>
    </row>
    <row r="105" spans="2:65" s="180" customFormat="1" ht="15" customHeight="1" x14ac:dyDescent="0.25">
      <c r="B105" s="282"/>
      <c r="L105" s="282"/>
      <c r="U105" s="282"/>
      <c r="AD105" s="282"/>
      <c r="AM105" s="282"/>
      <c r="BI105" s="293"/>
      <c r="BK105" s="212"/>
      <c r="BM105" s="4">
        <f t="shared" si="1"/>
        <v>48</v>
      </c>
    </row>
    <row r="106" spans="2:65" s="180" customFormat="1" ht="15" customHeight="1" x14ac:dyDescent="0.25">
      <c r="B106" s="282"/>
      <c r="L106" s="282"/>
      <c r="U106" s="282"/>
      <c r="AD106" s="282"/>
      <c r="AM106" s="282"/>
      <c r="BI106" s="293"/>
      <c r="BK106" s="212"/>
      <c r="BM106" s="4">
        <f t="shared" si="1"/>
        <v>49</v>
      </c>
    </row>
    <row r="107" spans="2:65" s="180" customFormat="1" ht="15" customHeight="1" x14ac:dyDescent="0.25">
      <c r="B107" s="282"/>
      <c r="L107" s="282"/>
      <c r="U107" s="282"/>
      <c r="AD107" s="282"/>
      <c r="AM107" s="282"/>
      <c r="BI107" s="293"/>
      <c r="BK107" s="212"/>
      <c r="BM107" s="4">
        <f t="shared" si="1"/>
        <v>50</v>
      </c>
    </row>
    <row r="108" spans="2:65" s="180" customFormat="1" ht="15" customHeight="1" x14ac:dyDescent="0.25">
      <c r="B108" s="282"/>
      <c r="L108" s="282"/>
      <c r="U108" s="282"/>
      <c r="AD108" s="282"/>
      <c r="AM108" s="282"/>
      <c r="BI108" s="293"/>
      <c r="BK108" s="212"/>
      <c r="BM108" s="4">
        <f t="shared" si="1"/>
        <v>1</v>
      </c>
    </row>
    <row r="109" spans="2:65" s="180" customFormat="1" ht="15" customHeight="1" x14ac:dyDescent="0.25">
      <c r="B109" s="282"/>
      <c r="L109" s="282"/>
      <c r="U109" s="282"/>
      <c r="AD109" s="282"/>
      <c r="AM109" s="282"/>
      <c r="BI109" s="293"/>
      <c r="BK109" s="212"/>
      <c r="BM109" s="4">
        <f t="shared" si="1"/>
        <v>2</v>
      </c>
    </row>
    <row r="110" spans="2:65" s="180" customFormat="1" ht="15" customHeight="1" x14ac:dyDescent="0.25">
      <c r="B110" s="282"/>
      <c r="L110" s="282"/>
      <c r="U110" s="282"/>
      <c r="AD110" s="282"/>
      <c r="AM110" s="282"/>
      <c r="BI110" s="293"/>
      <c r="BK110" s="212"/>
      <c r="BM110" s="4">
        <f t="shared" si="1"/>
        <v>3</v>
      </c>
    </row>
    <row r="111" spans="2:65" s="180" customFormat="1" ht="15" customHeight="1" x14ac:dyDescent="0.25">
      <c r="B111" s="282"/>
      <c r="L111" s="282"/>
      <c r="U111" s="282"/>
      <c r="AD111" s="282"/>
      <c r="AM111" s="282"/>
      <c r="BI111" s="293"/>
      <c r="BK111" s="212"/>
      <c r="BM111" s="4">
        <f t="shared" si="1"/>
        <v>4</v>
      </c>
    </row>
    <row r="112" spans="2:65" s="180" customFormat="1" ht="15" customHeight="1" x14ac:dyDescent="0.25">
      <c r="B112" s="282"/>
      <c r="L112" s="282"/>
      <c r="U112" s="282"/>
      <c r="AD112" s="282"/>
      <c r="AM112" s="282"/>
      <c r="BI112" s="293"/>
      <c r="BK112" s="212"/>
      <c r="BM112" s="4">
        <f t="shared" si="1"/>
        <v>5</v>
      </c>
    </row>
    <row r="113" spans="2:65" s="180" customFormat="1" ht="15" customHeight="1" x14ac:dyDescent="0.25">
      <c r="B113" s="282"/>
      <c r="L113" s="282"/>
      <c r="U113" s="282"/>
      <c r="AD113" s="282"/>
      <c r="AM113" s="282"/>
      <c r="BI113" s="293"/>
      <c r="BK113" s="212"/>
      <c r="BM113" s="4">
        <f t="shared" si="1"/>
        <v>6</v>
      </c>
    </row>
    <row r="114" spans="2:65" s="180" customFormat="1" ht="15" customHeight="1" x14ac:dyDescent="0.25">
      <c r="B114" s="25" t="s">
        <v>144</v>
      </c>
      <c r="C114" s="295"/>
      <c r="D114" s="295"/>
      <c r="E114" s="295"/>
      <c r="F114" s="295"/>
      <c r="G114" s="295"/>
      <c r="H114" s="295"/>
      <c r="I114" s="295"/>
      <c r="J114" s="295"/>
      <c r="K114" s="295"/>
      <c r="L114" s="295"/>
      <c r="M114" s="295"/>
      <c r="N114" s="295"/>
      <c r="O114" s="295"/>
      <c r="P114" s="295"/>
      <c r="Q114" s="295"/>
      <c r="R114" s="295"/>
      <c r="S114" s="295"/>
      <c r="T114" s="295"/>
      <c r="U114" s="295"/>
      <c r="V114" s="295"/>
      <c r="W114" s="295"/>
      <c r="X114" s="295"/>
      <c r="Y114" s="295"/>
      <c r="Z114" s="295"/>
      <c r="AA114" s="295"/>
      <c r="AB114" s="295"/>
      <c r="AC114" s="295"/>
      <c r="AD114" s="295"/>
      <c r="AE114" s="295"/>
      <c r="AF114" s="295"/>
      <c r="AG114" s="295"/>
      <c r="AH114" s="295"/>
      <c r="AI114" s="295"/>
      <c r="AJ114" s="295"/>
      <c r="AK114" s="295"/>
      <c r="AL114" s="295"/>
      <c r="AM114" s="295"/>
      <c r="AN114" s="295"/>
      <c r="AO114" s="295"/>
      <c r="AP114" s="295"/>
      <c r="AQ114" s="295"/>
      <c r="AR114" s="295"/>
      <c r="AS114" s="295"/>
      <c r="AT114" s="295"/>
      <c r="AU114" s="295"/>
      <c r="AV114" s="295"/>
      <c r="AW114" s="295"/>
      <c r="AX114" s="295"/>
      <c r="AY114" s="295"/>
      <c r="AZ114" s="295"/>
      <c r="BA114" s="295"/>
      <c r="BB114" s="295"/>
      <c r="BC114" s="295"/>
      <c r="BD114" s="295"/>
      <c r="BE114" s="295"/>
      <c r="BF114" s="295"/>
      <c r="BG114" s="295"/>
      <c r="BH114" s="295"/>
      <c r="BI114" s="302"/>
      <c r="BJ114" s="295"/>
      <c r="BK114" s="212"/>
      <c r="BM114" s="4">
        <f t="shared" si="1"/>
        <v>7</v>
      </c>
    </row>
    <row r="115" spans="2:65" s="180" customFormat="1" ht="15" customHeight="1" x14ac:dyDescent="0.25">
      <c r="B115" s="282"/>
      <c r="L115" s="282"/>
      <c r="U115" s="282"/>
      <c r="AD115" s="282"/>
      <c r="AM115" s="282"/>
      <c r="BI115" s="293"/>
      <c r="BK115" s="212"/>
      <c r="BM115" s="4">
        <f t="shared" si="1"/>
        <v>8</v>
      </c>
    </row>
    <row r="116" spans="2:65" s="180" customFormat="1" ht="15" customHeight="1" x14ac:dyDescent="0.25">
      <c r="B116" s="282"/>
      <c r="L116" s="282"/>
      <c r="U116" s="282"/>
      <c r="AD116" s="282"/>
      <c r="AM116" s="282"/>
      <c r="BI116" s="293"/>
      <c r="BK116" s="212"/>
      <c r="BM116" s="4">
        <f t="shared" si="1"/>
        <v>9</v>
      </c>
    </row>
    <row r="117" spans="2:65" s="180" customFormat="1" ht="15" customHeight="1" x14ac:dyDescent="0.25">
      <c r="B117" s="282"/>
      <c r="L117" s="282"/>
      <c r="U117" s="282"/>
      <c r="AD117" s="282"/>
      <c r="AM117" s="282"/>
      <c r="BI117" s="293"/>
      <c r="BK117" s="212"/>
      <c r="BM117" s="4">
        <f t="shared" si="1"/>
        <v>10</v>
      </c>
    </row>
    <row r="118" spans="2:65" s="180" customFormat="1" ht="15" customHeight="1" x14ac:dyDescent="0.25">
      <c r="B118" s="282"/>
      <c r="L118" s="282"/>
      <c r="U118" s="282"/>
      <c r="AD118" s="282"/>
      <c r="AM118" s="282"/>
      <c r="BI118" s="293"/>
      <c r="BK118" s="212"/>
      <c r="BM118" s="4">
        <f t="shared" si="1"/>
        <v>11</v>
      </c>
    </row>
    <row r="119" spans="2:65" s="180" customFormat="1" ht="15" customHeight="1" x14ac:dyDescent="0.25">
      <c r="B119" s="282"/>
      <c r="L119" s="282"/>
      <c r="U119" s="282"/>
      <c r="AD119" s="282"/>
      <c r="AM119" s="282"/>
      <c r="BI119" s="293"/>
      <c r="BK119" s="212"/>
      <c r="BM119" s="4">
        <f t="shared" si="1"/>
        <v>12</v>
      </c>
    </row>
    <row r="120" spans="2:65" s="180" customFormat="1" ht="15" customHeight="1" x14ac:dyDescent="0.25">
      <c r="B120" s="282"/>
      <c r="L120" s="282"/>
      <c r="U120" s="282"/>
      <c r="AD120" s="282"/>
      <c r="AM120" s="282"/>
      <c r="BI120" s="293"/>
      <c r="BK120" s="212"/>
      <c r="BM120" s="4">
        <f t="shared" si="1"/>
        <v>13</v>
      </c>
    </row>
    <row r="121" spans="2:65" s="180" customFormat="1" ht="15" customHeight="1" x14ac:dyDescent="0.25">
      <c r="B121" s="282"/>
      <c r="L121" s="282"/>
      <c r="U121" s="282"/>
      <c r="AD121" s="282"/>
      <c r="AM121" s="282"/>
      <c r="BI121" s="293"/>
      <c r="BK121" s="212"/>
      <c r="BM121" s="4">
        <f t="shared" si="1"/>
        <v>14</v>
      </c>
    </row>
    <row r="122" spans="2:65" s="180" customFormat="1" ht="15" customHeight="1" x14ac:dyDescent="0.25">
      <c r="B122" s="282"/>
      <c r="L122" s="282"/>
      <c r="U122" s="282"/>
      <c r="AD122" s="282"/>
      <c r="AM122" s="282"/>
      <c r="BI122" s="293"/>
      <c r="BK122" s="212"/>
      <c r="BM122" s="4">
        <f t="shared" si="1"/>
        <v>15</v>
      </c>
    </row>
    <row r="123" spans="2:65" s="180" customFormat="1" ht="15" customHeight="1" x14ac:dyDescent="0.25">
      <c r="B123" s="282"/>
      <c r="L123" s="282"/>
      <c r="U123" s="282"/>
      <c r="AD123" s="282"/>
      <c r="AM123" s="282"/>
      <c r="BI123" s="293"/>
      <c r="BK123" s="212"/>
      <c r="BM123" s="4">
        <f t="shared" si="1"/>
        <v>16</v>
      </c>
    </row>
    <row r="124" spans="2:65" s="180" customFormat="1" ht="15" customHeight="1" x14ac:dyDescent="0.25">
      <c r="B124" s="282"/>
      <c r="L124" s="282"/>
      <c r="U124" s="282"/>
      <c r="AD124" s="282"/>
      <c r="AM124" s="282"/>
      <c r="BI124" s="293"/>
      <c r="BK124" s="212"/>
      <c r="BM124" s="4">
        <f t="shared" si="1"/>
        <v>17</v>
      </c>
    </row>
    <row r="125" spans="2:65" s="180" customFormat="1" ht="15" customHeight="1" x14ac:dyDescent="0.25">
      <c r="B125" s="282"/>
      <c r="L125" s="282"/>
      <c r="U125" s="282"/>
      <c r="AD125" s="282"/>
      <c r="AM125" s="282"/>
      <c r="BI125" s="293"/>
      <c r="BK125" s="212"/>
      <c r="BM125" s="4">
        <f t="shared" si="1"/>
        <v>18</v>
      </c>
    </row>
    <row r="126" spans="2:65" s="180" customFormat="1" ht="15" customHeight="1" x14ac:dyDescent="0.25">
      <c r="B126" s="282"/>
      <c r="L126" s="282"/>
      <c r="U126" s="282"/>
      <c r="AD126" s="282"/>
      <c r="AM126" s="282"/>
      <c r="BI126" s="293"/>
      <c r="BK126" s="212"/>
      <c r="BM126" s="4">
        <f t="shared" si="1"/>
        <v>19</v>
      </c>
    </row>
    <row r="127" spans="2:65" s="180" customFormat="1" ht="15" customHeight="1" x14ac:dyDescent="0.25">
      <c r="B127" s="282"/>
      <c r="L127" s="282"/>
      <c r="U127" s="282"/>
      <c r="AD127" s="282"/>
      <c r="AM127" s="282"/>
      <c r="BI127" s="293"/>
      <c r="BK127" s="212"/>
      <c r="BM127" s="4">
        <f t="shared" si="1"/>
        <v>20</v>
      </c>
    </row>
    <row r="128" spans="2:65" s="180" customFormat="1" ht="15" customHeight="1" x14ac:dyDescent="0.25">
      <c r="B128" s="282"/>
      <c r="L128" s="282"/>
      <c r="U128" s="282"/>
      <c r="AD128" s="282"/>
      <c r="AM128" s="282"/>
      <c r="BI128" s="293"/>
      <c r="BK128" s="212"/>
      <c r="BM128" s="4">
        <f t="shared" si="1"/>
        <v>21</v>
      </c>
    </row>
    <row r="129" spans="2:65" s="180" customFormat="1" ht="15" customHeight="1" x14ac:dyDescent="0.25">
      <c r="B129" s="282"/>
      <c r="L129" s="282"/>
      <c r="U129" s="282"/>
      <c r="AD129" s="282"/>
      <c r="AM129" s="282"/>
      <c r="BI129" s="293"/>
      <c r="BK129" s="212"/>
      <c r="BM129" s="4">
        <f t="shared" si="1"/>
        <v>22</v>
      </c>
    </row>
    <row r="130" spans="2:65" s="180" customFormat="1" ht="15" customHeight="1" x14ac:dyDescent="0.25">
      <c r="B130" s="282"/>
      <c r="L130" s="282"/>
      <c r="U130" s="282"/>
      <c r="AD130" s="282"/>
      <c r="AM130" s="282"/>
      <c r="BI130" s="293"/>
      <c r="BK130" s="212"/>
      <c r="BM130" s="4">
        <f t="shared" si="1"/>
        <v>23</v>
      </c>
    </row>
    <row r="131" spans="2:65" s="180" customFormat="1" ht="15" customHeight="1" x14ac:dyDescent="0.25">
      <c r="B131" s="282"/>
      <c r="L131" s="282"/>
      <c r="U131" s="282"/>
      <c r="AD131" s="282"/>
      <c r="AM131" s="282"/>
      <c r="BI131" s="293"/>
      <c r="BK131" s="212"/>
      <c r="BM131" s="4">
        <f t="shared" si="1"/>
        <v>24</v>
      </c>
    </row>
    <row r="132" spans="2:65" s="180" customFormat="1" ht="15" customHeight="1" x14ac:dyDescent="0.25">
      <c r="B132" s="282"/>
      <c r="L132" s="282"/>
      <c r="U132" s="282"/>
      <c r="AD132" s="282"/>
      <c r="AM132" s="282"/>
      <c r="BI132" s="293"/>
      <c r="BK132" s="212"/>
      <c r="BM132" s="4">
        <f t="shared" si="1"/>
        <v>25</v>
      </c>
    </row>
    <row r="133" spans="2:65" s="180" customFormat="1" ht="15" customHeight="1" x14ac:dyDescent="0.25">
      <c r="B133" s="282"/>
      <c r="L133" s="282"/>
      <c r="U133" s="282"/>
      <c r="AD133" s="282"/>
      <c r="AM133" s="282"/>
      <c r="BI133" s="293"/>
      <c r="BK133" s="212"/>
      <c r="BM133" s="4">
        <f t="shared" si="1"/>
        <v>26</v>
      </c>
    </row>
    <row r="134" spans="2:65" s="180" customFormat="1" ht="15" customHeight="1" x14ac:dyDescent="0.25">
      <c r="B134" s="282"/>
      <c r="C134" s="297"/>
      <c r="L134" s="282"/>
      <c r="U134" s="282"/>
      <c r="AD134" s="282"/>
      <c r="AM134" s="282"/>
      <c r="BI134" s="293"/>
      <c r="BK134" s="212"/>
      <c r="BM134" s="4">
        <f t="shared" si="1"/>
        <v>27</v>
      </c>
    </row>
    <row r="135" spans="2:65" s="180" customFormat="1" ht="15" customHeight="1" x14ac:dyDescent="0.25">
      <c r="B135" s="282"/>
      <c r="L135" s="282"/>
      <c r="U135" s="282"/>
      <c r="AD135" s="282"/>
      <c r="AM135" s="282"/>
      <c r="BI135" s="293"/>
      <c r="BK135" s="212"/>
      <c r="BM135" s="4">
        <f t="shared" si="1"/>
        <v>28</v>
      </c>
    </row>
    <row r="136" spans="2:65" s="180" customFormat="1" ht="15" customHeight="1" x14ac:dyDescent="0.25">
      <c r="B136" s="282"/>
      <c r="L136" s="282"/>
      <c r="U136" s="282"/>
      <c r="AD136" s="282"/>
      <c r="AM136" s="282"/>
      <c r="BI136" s="293"/>
      <c r="BK136" s="212"/>
      <c r="BM136" s="4">
        <f t="shared" ref="BM136:BM199" si="2">IF(BM135=50,1,BM135+1)</f>
        <v>29</v>
      </c>
    </row>
    <row r="137" spans="2:65" s="180" customFormat="1" ht="15" customHeight="1" x14ac:dyDescent="0.25">
      <c r="B137" s="282"/>
      <c r="L137" s="282"/>
      <c r="U137" s="282"/>
      <c r="AD137" s="282"/>
      <c r="AM137" s="282"/>
      <c r="BI137" s="293"/>
      <c r="BK137" s="212"/>
      <c r="BM137" s="4">
        <f t="shared" si="2"/>
        <v>30</v>
      </c>
    </row>
    <row r="138" spans="2:65" s="180" customFormat="1" ht="15" customHeight="1" x14ac:dyDescent="0.25">
      <c r="B138" s="282"/>
      <c r="L138" s="282"/>
      <c r="U138" s="282"/>
      <c r="AD138" s="282"/>
      <c r="AM138" s="282"/>
      <c r="BI138" s="293"/>
      <c r="BK138" s="212"/>
      <c r="BM138" s="4">
        <f t="shared" si="2"/>
        <v>31</v>
      </c>
    </row>
    <row r="139" spans="2:65" s="180" customFormat="1" ht="15" customHeight="1" x14ac:dyDescent="0.25">
      <c r="B139" s="282"/>
      <c r="L139" s="282"/>
      <c r="U139" s="282"/>
      <c r="AD139" s="282"/>
      <c r="AM139" s="282"/>
      <c r="BI139" s="293"/>
      <c r="BK139" s="212"/>
      <c r="BM139" s="4">
        <f t="shared" si="2"/>
        <v>32</v>
      </c>
    </row>
    <row r="140" spans="2:65" s="180" customFormat="1" ht="15" customHeight="1" x14ac:dyDescent="0.25">
      <c r="B140" s="282"/>
      <c r="L140" s="282"/>
      <c r="U140" s="282"/>
      <c r="AD140" s="282"/>
      <c r="AM140" s="282"/>
      <c r="BI140" s="293"/>
      <c r="BK140" s="212"/>
      <c r="BM140" s="4">
        <f t="shared" si="2"/>
        <v>33</v>
      </c>
    </row>
    <row r="141" spans="2:65" s="180" customFormat="1" ht="15" customHeight="1" x14ac:dyDescent="0.25">
      <c r="B141" s="282"/>
      <c r="L141" s="282"/>
      <c r="U141" s="282"/>
      <c r="AD141" s="282"/>
      <c r="AM141" s="282"/>
      <c r="BI141" s="293"/>
      <c r="BK141" s="212"/>
      <c r="BM141" s="4">
        <f t="shared" si="2"/>
        <v>34</v>
      </c>
    </row>
    <row r="142" spans="2:65" s="180" customFormat="1" ht="15" customHeight="1" x14ac:dyDescent="0.25">
      <c r="B142" s="282"/>
      <c r="L142" s="282"/>
      <c r="U142" s="282"/>
      <c r="AD142" s="282"/>
      <c r="AM142" s="282"/>
      <c r="BI142" s="293"/>
      <c r="BK142" s="212"/>
      <c r="BM142" s="4">
        <f t="shared" si="2"/>
        <v>35</v>
      </c>
    </row>
    <row r="143" spans="2:65" s="180" customFormat="1" ht="15" customHeight="1" x14ac:dyDescent="0.25">
      <c r="B143" s="282"/>
      <c r="L143" s="282"/>
      <c r="U143" s="282"/>
      <c r="AD143" s="282"/>
      <c r="AM143" s="282"/>
      <c r="BI143" s="293"/>
      <c r="BK143" s="212"/>
      <c r="BM143" s="4">
        <f t="shared" si="2"/>
        <v>36</v>
      </c>
    </row>
    <row r="144" spans="2:65" s="180" customFormat="1" ht="15" customHeight="1" x14ac:dyDescent="0.25">
      <c r="B144" s="282"/>
      <c r="L144" s="282"/>
      <c r="U144" s="282"/>
      <c r="AD144" s="282"/>
      <c r="AM144" s="282"/>
      <c r="BI144" s="293"/>
      <c r="BK144" s="212"/>
      <c r="BM144" s="4">
        <f t="shared" si="2"/>
        <v>37</v>
      </c>
    </row>
    <row r="145" spans="2:65" s="180" customFormat="1" ht="15" customHeight="1" x14ac:dyDescent="0.25">
      <c r="B145" s="282"/>
      <c r="L145" s="282"/>
      <c r="U145" s="282"/>
      <c r="AD145" s="282"/>
      <c r="AM145" s="282"/>
      <c r="BI145" s="293"/>
      <c r="BK145" s="212"/>
      <c r="BM145" s="4">
        <f t="shared" si="2"/>
        <v>38</v>
      </c>
    </row>
    <row r="146" spans="2:65" s="180" customFormat="1" ht="15" customHeight="1" x14ac:dyDescent="0.25">
      <c r="B146" s="282"/>
      <c r="L146" s="282"/>
      <c r="U146" s="282"/>
      <c r="AD146" s="282"/>
      <c r="AM146" s="282"/>
      <c r="BI146" s="293"/>
      <c r="BK146" s="212"/>
      <c r="BM146" s="4">
        <f t="shared" si="2"/>
        <v>39</v>
      </c>
    </row>
    <row r="147" spans="2:65" s="180" customFormat="1" ht="15" customHeight="1" x14ac:dyDescent="0.25">
      <c r="B147" s="282"/>
      <c r="L147" s="282"/>
      <c r="U147" s="282"/>
      <c r="AD147" s="282"/>
      <c r="AM147" s="282"/>
      <c r="BI147" s="293"/>
      <c r="BK147" s="212"/>
      <c r="BM147" s="4">
        <f t="shared" si="2"/>
        <v>40</v>
      </c>
    </row>
    <row r="148" spans="2:65" s="180" customFormat="1" ht="15" customHeight="1" x14ac:dyDescent="0.25">
      <c r="B148" s="282"/>
      <c r="L148" s="282"/>
      <c r="U148" s="282"/>
      <c r="AD148" s="282"/>
      <c r="AM148" s="282"/>
      <c r="BI148" s="293"/>
      <c r="BK148" s="212"/>
      <c r="BM148" s="4">
        <f t="shared" si="2"/>
        <v>41</v>
      </c>
    </row>
    <row r="149" spans="2:65" s="180" customFormat="1" ht="15" customHeight="1" x14ac:dyDescent="0.25">
      <c r="B149" s="282"/>
      <c r="L149" s="282"/>
      <c r="U149" s="282"/>
      <c r="AD149" s="282"/>
      <c r="AM149" s="282"/>
      <c r="BI149" s="293"/>
      <c r="BK149" s="212"/>
      <c r="BM149" s="4">
        <f t="shared" si="2"/>
        <v>42</v>
      </c>
    </row>
    <row r="150" spans="2:65" s="180" customFormat="1" ht="15" customHeight="1" x14ac:dyDescent="0.25">
      <c r="B150" s="282"/>
      <c r="L150" s="282"/>
      <c r="U150" s="282"/>
      <c r="AD150" s="282"/>
      <c r="AM150" s="282"/>
      <c r="BI150" s="293"/>
      <c r="BK150" s="212"/>
      <c r="BM150" s="4">
        <f t="shared" si="2"/>
        <v>43</v>
      </c>
    </row>
    <row r="151" spans="2:65" s="180" customFormat="1" ht="15" customHeight="1" x14ac:dyDescent="0.25">
      <c r="B151" s="282"/>
      <c r="L151" s="282"/>
      <c r="U151" s="282"/>
      <c r="AD151" s="282"/>
      <c r="AM151" s="282"/>
      <c r="BI151" s="293"/>
      <c r="BK151" s="212"/>
      <c r="BM151" s="4">
        <f t="shared" si="2"/>
        <v>44</v>
      </c>
    </row>
    <row r="152" spans="2:65" s="180" customFormat="1" ht="15" customHeight="1" x14ac:dyDescent="0.25">
      <c r="B152" s="282"/>
      <c r="L152" s="282"/>
      <c r="U152" s="282"/>
      <c r="AD152" s="282"/>
      <c r="AM152" s="282"/>
      <c r="BI152" s="293"/>
      <c r="BK152" s="212"/>
      <c r="BM152" s="4">
        <f t="shared" si="2"/>
        <v>45</v>
      </c>
    </row>
    <row r="153" spans="2:65" s="180" customFormat="1" ht="15" customHeight="1" x14ac:dyDescent="0.25">
      <c r="B153" s="282"/>
      <c r="L153" s="282"/>
      <c r="U153" s="282"/>
      <c r="AD153" s="282"/>
      <c r="AM153" s="282"/>
      <c r="BI153" s="293"/>
      <c r="BK153" s="212"/>
      <c r="BM153" s="4">
        <f t="shared" si="2"/>
        <v>46</v>
      </c>
    </row>
    <row r="154" spans="2:65" s="180" customFormat="1" ht="15" customHeight="1" x14ac:dyDescent="0.25">
      <c r="B154" s="282"/>
      <c r="L154" s="282"/>
      <c r="U154" s="282"/>
      <c r="AD154" s="282"/>
      <c r="AM154" s="282"/>
      <c r="BI154" s="293"/>
      <c r="BK154" s="212"/>
      <c r="BM154" s="4">
        <f t="shared" si="2"/>
        <v>47</v>
      </c>
    </row>
    <row r="155" spans="2:65" s="180" customFormat="1" ht="15" customHeight="1" x14ac:dyDescent="0.25">
      <c r="B155" s="282"/>
      <c r="L155" s="282"/>
      <c r="U155" s="282"/>
      <c r="AD155" s="282"/>
      <c r="AM155" s="282"/>
      <c r="BI155" s="293"/>
      <c r="BK155" s="212"/>
      <c r="BM155" s="4">
        <f t="shared" si="2"/>
        <v>48</v>
      </c>
    </row>
    <row r="156" spans="2:65" s="180" customFormat="1" ht="15" customHeight="1" x14ac:dyDescent="0.25">
      <c r="B156" s="282"/>
      <c r="L156" s="282"/>
      <c r="U156" s="282"/>
      <c r="AD156" s="282"/>
      <c r="AM156" s="282"/>
      <c r="BI156" s="293"/>
      <c r="BK156" s="212"/>
      <c r="BM156" s="4">
        <f t="shared" si="2"/>
        <v>49</v>
      </c>
    </row>
    <row r="157" spans="2:65" s="180" customFormat="1" ht="15" customHeight="1" x14ac:dyDescent="0.25">
      <c r="B157" s="282"/>
      <c r="L157" s="282"/>
      <c r="U157" s="282"/>
      <c r="AD157" s="282"/>
      <c r="AM157" s="282"/>
      <c r="BI157" s="293"/>
      <c r="BK157" s="212"/>
      <c r="BM157" s="4">
        <f t="shared" si="2"/>
        <v>50</v>
      </c>
    </row>
    <row r="158" spans="2:65" s="180" customFormat="1" ht="15" customHeight="1" x14ac:dyDescent="0.25">
      <c r="B158" s="282"/>
      <c r="L158" s="282"/>
      <c r="U158" s="282"/>
      <c r="AD158" s="282"/>
      <c r="AM158" s="282"/>
      <c r="BI158" s="293"/>
      <c r="BK158" s="212"/>
      <c r="BM158" s="4">
        <f t="shared" si="2"/>
        <v>1</v>
      </c>
    </row>
    <row r="159" spans="2:65" s="180" customFormat="1" ht="15" customHeight="1" x14ac:dyDescent="0.25">
      <c r="B159" s="282"/>
      <c r="L159" s="282"/>
      <c r="U159" s="282"/>
      <c r="AD159" s="282"/>
      <c r="AM159" s="282"/>
      <c r="BI159" s="293"/>
      <c r="BK159" s="212"/>
      <c r="BM159" s="4">
        <f t="shared" si="2"/>
        <v>2</v>
      </c>
    </row>
    <row r="160" spans="2:65" s="180" customFormat="1" ht="15" customHeight="1" x14ac:dyDescent="0.25">
      <c r="B160" s="282"/>
      <c r="L160" s="282"/>
      <c r="U160" s="282"/>
      <c r="AD160" s="282"/>
      <c r="AM160" s="282"/>
      <c r="BI160" s="293"/>
      <c r="BK160" s="212"/>
      <c r="BM160" s="4">
        <f t="shared" si="2"/>
        <v>3</v>
      </c>
    </row>
    <row r="161" spans="2:65" s="180" customFormat="1" ht="15" customHeight="1" x14ac:dyDescent="0.25">
      <c r="B161" s="282"/>
      <c r="L161" s="282"/>
      <c r="U161" s="282"/>
      <c r="AD161" s="282"/>
      <c r="AM161" s="282"/>
      <c r="BI161" s="293"/>
      <c r="BK161" s="212"/>
      <c r="BM161" s="4">
        <f t="shared" si="2"/>
        <v>4</v>
      </c>
    </row>
    <row r="162" spans="2:65" s="180" customFormat="1" ht="15" customHeight="1" x14ac:dyDescent="0.25">
      <c r="B162" s="282"/>
      <c r="L162" s="282"/>
      <c r="U162" s="282"/>
      <c r="AD162" s="282"/>
      <c r="AM162" s="282"/>
      <c r="BI162" s="293"/>
      <c r="BK162" s="212"/>
      <c r="BM162" s="4">
        <f t="shared" si="2"/>
        <v>5</v>
      </c>
    </row>
    <row r="163" spans="2:65" s="180" customFormat="1" ht="15" customHeight="1" x14ac:dyDescent="0.25">
      <c r="B163" s="282"/>
      <c r="L163" s="282"/>
      <c r="U163" s="282"/>
      <c r="AD163" s="282"/>
      <c r="AM163" s="282"/>
      <c r="BI163" s="293"/>
      <c r="BK163" s="212"/>
      <c r="BM163" s="4">
        <f t="shared" si="2"/>
        <v>6</v>
      </c>
    </row>
    <row r="164" spans="2:65" s="180" customFormat="1" ht="15" customHeight="1" x14ac:dyDescent="0.25">
      <c r="B164" s="282"/>
      <c r="L164" s="282"/>
      <c r="U164" s="282"/>
      <c r="AD164" s="282"/>
      <c r="AM164" s="282"/>
      <c r="BI164" s="293"/>
      <c r="BK164" s="212"/>
      <c r="BM164" s="4">
        <f t="shared" si="2"/>
        <v>7</v>
      </c>
    </row>
    <row r="165" spans="2:65" s="180" customFormat="1" ht="15" customHeight="1" x14ac:dyDescent="0.25">
      <c r="B165" s="282"/>
      <c r="L165" s="282"/>
      <c r="U165" s="282"/>
      <c r="AD165" s="282"/>
      <c r="AM165" s="282"/>
      <c r="BI165" s="293"/>
      <c r="BK165" s="212"/>
      <c r="BM165" s="4">
        <f t="shared" si="2"/>
        <v>8</v>
      </c>
    </row>
    <row r="166" spans="2:65" s="180" customFormat="1" ht="15" customHeight="1" x14ac:dyDescent="0.25">
      <c r="B166" s="282"/>
      <c r="L166" s="282"/>
      <c r="U166" s="282"/>
      <c r="AD166" s="282"/>
      <c r="AM166" s="282"/>
      <c r="BI166" s="293"/>
      <c r="BK166" s="212"/>
      <c r="BM166" s="4">
        <f t="shared" si="2"/>
        <v>9</v>
      </c>
    </row>
    <row r="167" spans="2:65" s="180" customFormat="1" ht="15" customHeight="1" x14ac:dyDescent="0.25">
      <c r="B167" s="282"/>
      <c r="L167" s="282"/>
      <c r="U167" s="282"/>
      <c r="AD167" s="282"/>
      <c r="AM167" s="282"/>
      <c r="BI167" s="293"/>
      <c r="BK167" s="212"/>
      <c r="BM167" s="4">
        <f t="shared" si="2"/>
        <v>10</v>
      </c>
    </row>
    <row r="168" spans="2:65" s="180" customFormat="1" ht="15" customHeight="1" x14ac:dyDescent="0.25">
      <c r="B168" s="282"/>
      <c r="L168" s="282"/>
      <c r="U168" s="282"/>
      <c r="AD168" s="282"/>
      <c r="AM168" s="282"/>
      <c r="BI168" s="293"/>
      <c r="BK168" s="212"/>
      <c r="BM168" s="4">
        <f t="shared" si="2"/>
        <v>11</v>
      </c>
    </row>
    <row r="169" spans="2:65" s="180" customFormat="1" ht="15" customHeight="1" x14ac:dyDescent="0.25">
      <c r="B169" s="25" t="s">
        <v>145</v>
      </c>
      <c r="C169" s="295"/>
      <c r="D169" s="295"/>
      <c r="E169" s="295"/>
      <c r="F169" s="295"/>
      <c r="G169" s="295"/>
      <c r="H169" s="295"/>
      <c r="I169" s="295"/>
      <c r="J169" s="295"/>
      <c r="K169" s="295"/>
      <c r="L169" s="295"/>
      <c r="M169" s="295"/>
      <c r="N169" s="295"/>
      <c r="O169" s="295"/>
      <c r="P169" s="295"/>
      <c r="Q169" s="295"/>
      <c r="R169" s="295"/>
      <c r="S169" s="295"/>
      <c r="T169" s="295"/>
      <c r="U169" s="295"/>
      <c r="V169" s="295"/>
      <c r="W169" s="295"/>
      <c r="X169" s="295"/>
      <c r="Y169" s="295"/>
      <c r="Z169" s="295"/>
      <c r="AA169" s="295"/>
      <c r="AB169" s="295"/>
      <c r="AC169" s="295"/>
      <c r="AD169" s="295"/>
      <c r="AE169" s="295"/>
      <c r="AF169" s="295"/>
      <c r="AG169" s="295"/>
      <c r="AH169" s="295"/>
      <c r="AI169" s="295"/>
      <c r="AJ169" s="295"/>
      <c r="AK169" s="295"/>
      <c r="AL169" s="295"/>
      <c r="AM169" s="295"/>
      <c r="AN169" s="295"/>
      <c r="AO169" s="295"/>
      <c r="AP169" s="295"/>
      <c r="AQ169" s="295"/>
      <c r="AR169" s="295"/>
      <c r="AS169" s="295"/>
      <c r="AT169" s="295"/>
      <c r="AU169" s="295"/>
      <c r="AV169" s="295"/>
      <c r="AW169" s="295"/>
      <c r="AX169" s="295"/>
      <c r="AY169" s="295"/>
      <c r="AZ169" s="295"/>
      <c r="BA169" s="295"/>
      <c r="BB169" s="295"/>
      <c r="BC169" s="295"/>
      <c r="BD169" s="295"/>
      <c r="BE169" s="295"/>
      <c r="BF169" s="295"/>
      <c r="BG169" s="295"/>
      <c r="BH169" s="295"/>
      <c r="BI169" s="302"/>
      <c r="BJ169" s="295"/>
      <c r="BK169" s="212"/>
      <c r="BM169" s="4">
        <f t="shared" si="2"/>
        <v>12</v>
      </c>
    </row>
    <row r="170" spans="2:65" s="180" customFormat="1" ht="15" customHeight="1" x14ac:dyDescent="0.25">
      <c r="B170" s="282"/>
      <c r="L170" s="282"/>
      <c r="U170" s="282"/>
      <c r="AD170" s="282"/>
      <c r="AM170" s="282"/>
      <c r="BI170" s="293"/>
      <c r="BK170" s="212"/>
      <c r="BM170" s="4">
        <f t="shared" si="2"/>
        <v>13</v>
      </c>
    </row>
    <row r="171" spans="2:65" s="180" customFormat="1" ht="15" customHeight="1" x14ac:dyDescent="0.25">
      <c r="B171" s="282"/>
      <c r="L171" s="282"/>
      <c r="U171" s="282"/>
      <c r="AD171" s="282"/>
      <c r="AM171" s="282"/>
      <c r="BI171" s="293"/>
      <c r="BK171" s="212"/>
      <c r="BM171" s="4">
        <f t="shared" si="2"/>
        <v>14</v>
      </c>
    </row>
    <row r="172" spans="2:65" s="180" customFormat="1" ht="15" customHeight="1" x14ac:dyDescent="0.25">
      <c r="B172" s="282"/>
      <c r="L172" s="282"/>
      <c r="U172" s="282"/>
      <c r="AD172" s="282"/>
      <c r="AM172" s="282"/>
      <c r="BI172" s="293"/>
      <c r="BK172" s="212"/>
      <c r="BM172" s="4">
        <f t="shared" si="2"/>
        <v>15</v>
      </c>
    </row>
    <row r="173" spans="2:65" s="180" customFormat="1" ht="15" customHeight="1" x14ac:dyDescent="0.25">
      <c r="B173" s="282"/>
      <c r="L173" s="282"/>
      <c r="U173" s="282"/>
      <c r="AD173" s="282"/>
      <c r="AM173" s="282"/>
      <c r="BI173" s="293"/>
      <c r="BK173" s="212"/>
      <c r="BM173" s="4">
        <f t="shared" si="2"/>
        <v>16</v>
      </c>
    </row>
    <row r="174" spans="2:65" s="180" customFormat="1" ht="15" customHeight="1" x14ac:dyDescent="0.25">
      <c r="B174" s="282"/>
      <c r="L174" s="282"/>
      <c r="U174" s="282"/>
      <c r="AD174" s="282"/>
      <c r="AM174" s="282"/>
      <c r="BI174" s="293"/>
      <c r="BK174" s="212"/>
      <c r="BM174" s="4">
        <f t="shared" si="2"/>
        <v>17</v>
      </c>
    </row>
    <row r="175" spans="2:65" s="180" customFormat="1" ht="15" customHeight="1" x14ac:dyDescent="0.25">
      <c r="B175" s="282"/>
      <c r="L175" s="282"/>
      <c r="U175" s="282"/>
      <c r="AD175" s="282"/>
      <c r="AM175" s="282"/>
      <c r="BI175" s="293"/>
      <c r="BK175" s="212"/>
      <c r="BM175" s="4">
        <f t="shared" si="2"/>
        <v>18</v>
      </c>
    </row>
    <row r="176" spans="2:65" s="180" customFormat="1" ht="15" customHeight="1" x14ac:dyDescent="0.25">
      <c r="B176" s="282"/>
      <c r="L176" s="282"/>
      <c r="U176" s="282"/>
      <c r="AD176" s="282"/>
      <c r="AM176" s="282"/>
      <c r="BI176" s="293"/>
      <c r="BK176" s="212"/>
      <c r="BM176" s="4">
        <f t="shared" si="2"/>
        <v>19</v>
      </c>
    </row>
    <row r="177" spans="2:65" s="180" customFormat="1" ht="15" customHeight="1" x14ac:dyDescent="0.25">
      <c r="B177" s="282"/>
      <c r="L177" s="282"/>
      <c r="U177" s="282"/>
      <c r="AD177" s="282"/>
      <c r="AM177" s="282"/>
      <c r="BI177" s="293"/>
      <c r="BK177" s="212"/>
      <c r="BM177" s="4">
        <f t="shared" si="2"/>
        <v>20</v>
      </c>
    </row>
    <row r="178" spans="2:65" s="180" customFormat="1" ht="15" customHeight="1" x14ac:dyDescent="0.25">
      <c r="B178" s="282"/>
      <c r="L178" s="282"/>
      <c r="U178" s="282"/>
      <c r="AD178" s="282"/>
      <c r="AM178" s="282"/>
      <c r="BI178" s="293"/>
      <c r="BK178" s="212"/>
      <c r="BM178" s="4">
        <f t="shared" si="2"/>
        <v>21</v>
      </c>
    </row>
    <row r="179" spans="2:65" s="180" customFormat="1" ht="15" customHeight="1" x14ac:dyDescent="0.25">
      <c r="B179" s="282"/>
      <c r="L179" s="282"/>
      <c r="U179" s="282"/>
      <c r="AD179" s="282"/>
      <c r="AM179" s="282"/>
      <c r="BI179" s="293"/>
      <c r="BK179" s="212"/>
      <c r="BM179" s="4">
        <f t="shared" si="2"/>
        <v>22</v>
      </c>
    </row>
    <row r="180" spans="2:65" s="180" customFormat="1" ht="15" customHeight="1" x14ac:dyDescent="0.25">
      <c r="B180" s="282"/>
      <c r="L180" s="282"/>
      <c r="U180" s="282"/>
      <c r="AD180" s="282"/>
      <c r="AM180" s="282"/>
      <c r="BI180" s="293"/>
      <c r="BK180" s="212"/>
      <c r="BM180" s="4">
        <f t="shared" si="2"/>
        <v>23</v>
      </c>
    </row>
    <row r="181" spans="2:65" s="180" customFormat="1" ht="15" customHeight="1" x14ac:dyDescent="0.25">
      <c r="B181" s="282"/>
      <c r="L181" s="282"/>
      <c r="U181" s="282"/>
      <c r="AD181" s="282"/>
      <c r="AM181" s="282"/>
      <c r="BI181" s="293"/>
      <c r="BK181" s="212"/>
      <c r="BM181" s="4">
        <f t="shared" si="2"/>
        <v>24</v>
      </c>
    </row>
    <row r="182" spans="2:65" s="180" customFormat="1" ht="15" customHeight="1" x14ac:dyDescent="0.25">
      <c r="B182" s="282"/>
      <c r="L182" s="282"/>
      <c r="U182" s="282"/>
      <c r="AD182" s="282"/>
      <c r="AM182" s="282"/>
      <c r="BI182" s="293"/>
      <c r="BK182" s="212"/>
      <c r="BM182" s="4">
        <f t="shared" si="2"/>
        <v>25</v>
      </c>
    </row>
    <row r="183" spans="2:65" s="180" customFormat="1" ht="15" customHeight="1" x14ac:dyDescent="0.25">
      <c r="B183" s="282"/>
      <c r="L183" s="282"/>
      <c r="U183" s="282"/>
      <c r="AD183" s="282"/>
      <c r="AM183" s="282"/>
      <c r="BI183" s="293"/>
      <c r="BK183" s="212"/>
      <c r="BM183" s="4">
        <f t="shared" si="2"/>
        <v>26</v>
      </c>
    </row>
    <row r="184" spans="2:65" s="180" customFormat="1" ht="15" customHeight="1" x14ac:dyDescent="0.25">
      <c r="B184" s="282"/>
      <c r="L184" s="282"/>
      <c r="U184" s="282"/>
      <c r="AD184" s="282"/>
      <c r="AM184" s="282"/>
      <c r="BI184" s="293"/>
      <c r="BK184" s="212"/>
      <c r="BM184" s="4">
        <f t="shared" si="2"/>
        <v>27</v>
      </c>
    </row>
    <row r="185" spans="2:65" s="180" customFormat="1" ht="15" customHeight="1" x14ac:dyDescent="0.25">
      <c r="B185" s="282"/>
      <c r="L185" s="282"/>
      <c r="U185" s="282"/>
      <c r="AD185" s="282"/>
      <c r="AM185" s="282"/>
      <c r="BI185" s="293"/>
      <c r="BK185" s="212"/>
      <c r="BM185" s="4">
        <f t="shared" si="2"/>
        <v>28</v>
      </c>
    </row>
    <row r="186" spans="2:65" s="180" customFormat="1" ht="15" customHeight="1" x14ac:dyDescent="0.25">
      <c r="B186" s="282"/>
      <c r="L186" s="282"/>
      <c r="U186" s="282"/>
      <c r="AD186" s="282"/>
      <c r="AM186" s="282"/>
      <c r="BI186" s="293"/>
      <c r="BK186" s="212"/>
      <c r="BM186" s="4">
        <f t="shared" si="2"/>
        <v>29</v>
      </c>
    </row>
    <row r="187" spans="2:65" s="180" customFormat="1" ht="15" customHeight="1" x14ac:dyDescent="0.25">
      <c r="B187" s="282"/>
      <c r="L187" s="282"/>
      <c r="U187" s="282"/>
      <c r="AD187" s="282"/>
      <c r="AM187" s="282"/>
      <c r="BI187" s="293"/>
      <c r="BK187" s="212"/>
      <c r="BM187" s="4">
        <f t="shared" si="2"/>
        <v>30</v>
      </c>
    </row>
    <row r="188" spans="2:65" s="180" customFormat="1" ht="15" customHeight="1" x14ac:dyDescent="0.25">
      <c r="B188" s="282"/>
      <c r="L188" s="282"/>
      <c r="U188" s="282"/>
      <c r="AD188" s="282"/>
      <c r="AM188" s="282"/>
      <c r="BI188" s="293"/>
      <c r="BK188" s="212"/>
      <c r="BM188" s="4">
        <f t="shared" si="2"/>
        <v>31</v>
      </c>
    </row>
    <row r="189" spans="2:65" s="180" customFormat="1" ht="15" customHeight="1" x14ac:dyDescent="0.25">
      <c r="B189" s="282"/>
      <c r="L189" s="282"/>
      <c r="U189" s="282"/>
      <c r="AD189" s="282"/>
      <c r="AM189" s="282"/>
      <c r="BI189" s="293"/>
      <c r="BK189" s="212"/>
      <c r="BM189" s="4">
        <f t="shared" si="2"/>
        <v>32</v>
      </c>
    </row>
    <row r="190" spans="2:65" s="180" customFormat="1" ht="15" customHeight="1" x14ac:dyDescent="0.25">
      <c r="B190" s="282"/>
      <c r="L190" s="282"/>
      <c r="U190" s="282"/>
      <c r="AD190" s="282"/>
      <c r="AM190" s="282"/>
      <c r="BI190" s="293"/>
      <c r="BK190" s="212"/>
      <c r="BM190" s="4">
        <f t="shared" si="2"/>
        <v>33</v>
      </c>
    </row>
    <row r="191" spans="2:65" s="180" customFormat="1" ht="15" customHeight="1" x14ac:dyDescent="0.25">
      <c r="B191" s="282"/>
      <c r="L191" s="282"/>
      <c r="U191" s="282"/>
      <c r="AD191" s="282"/>
      <c r="AM191" s="282"/>
      <c r="BI191" s="293"/>
      <c r="BK191" s="212"/>
      <c r="BM191" s="4">
        <f t="shared" si="2"/>
        <v>34</v>
      </c>
    </row>
    <row r="192" spans="2:65" s="180" customFormat="1" ht="15" customHeight="1" x14ac:dyDescent="0.25">
      <c r="B192" s="282"/>
      <c r="L192" s="282"/>
      <c r="U192" s="282"/>
      <c r="AD192" s="282"/>
      <c r="AM192" s="282"/>
      <c r="BI192" s="293"/>
      <c r="BK192" s="212"/>
      <c r="BM192" s="4">
        <f t="shared" si="2"/>
        <v>35</v>
      </c>
    </row>
    <row r="193" spans="2:68" s="180" customFormat="1" ht="15" customHeight="1" x14ac:dyDescent="0.25">
      <c r="B193" s="282"/>
      <c r="L193" s="282"/>
      <c r="U193" s="282"/>
      <c r="AD193" s="282"/>
      <c r="AM193" s="282"/>
      <c r="BI193" s="293"/>
      <c r="BK193" s="212"/>
      <c r="BM193" s="4">
        <f t="shared" si="2"/>
        <v>36</v>
      </c>
    </row>
    <row r="194" spans="2:68" s="180" customFormat="1" ht="15" customHeight="1" x14ac:dyDescent="0.25">
      <c r="B194" s="282"/>
      <c r="L194" s="282"/>
      <c r="U194" s="282"/>
      <c r="AD194" s="282"/>
      <c r="AM194" s="282"/>
      <c r="BI194" s="293"/>
      <c r="BK194" s="212"/>
      <c r="BM194" s="4">
        <f t="shared" si="2"/>
        <v>37</v>
      </c>
    </row>
    <row r="195" spans="2:68" s="180" customFormat="1" ht="15" customHeight="1" x14ac:dyDescent="0.25">
      <c r="B195" s="282"/>
      <c r="L195" s="282"/>
      <c r="U195" s="282"/>
      <c r="AD195" s="282"/>
      <c r="AM195" s="282"/>
      <c r="BI195" s="293"/>
      <c r="BK195" s="212"/>
      <c r="BM195" s="4">
        <f t="shared" si="2"/>
        <v>38</v>
      </c>
    </row>
    <row r="196" spans="2:68" s="180" customFormat="1" ht="15" customHeight="1" x14ac:dyDescent="0.25">
      <c r="B196" s="282"/>
      <c r="L196" s="282"/>
      <c r="U196" s="282"/>
      <c r="AD196" s="282"/>
      <c r="AM196" s="282"/>
      <c r="BI196" s="293"/>
      <c r="BK196" s="212"/>
      <c r="BM196" s="4">
        <f t="shared" si="2"/>
        <v>39</v>
      </c>
    </row>
    <row r="197" spans="2:68" s="180" customFormat="1" ht="15" customHeight="1" x14ac:dyDescent="0.25">
      <c r="B197" s="282"/>
      <c r="L197" s="282"/>
      <c r="U197" s="282"/>
      <c r="AD197" s="282"/>
      <c r="AM197" s="282"/>
      <c r="BI197" s="293"/>
      <c r="BK197" s="212"/>
      <c r="BM197" s="4">
        <f t="shared" si="2"/>
        <v>40</v>
      </c>
    </row>
    <row r="198" spans="2:68" s="180" customFormat="1" ht="15" customHeight="1" x14ac:dyDescent="0.25">
      <c r="B198" s="25" t="s">
        <v>146</v>
      </c>
      <c r="C198" s="295"/>
      <c r="D198" s="295"/>
      <c r="E198" s="295"/>
      <c r="F198" s="295"/>
      <c r="G198" s="295"/>
      <c r="H198" s="295"/>
      <c r="I198" s="295"/>
      <c r="J198" s="295"/>
      <c r="K198" s="295"/>
      <c r="L198" s="295"/>
      <c r="M198" s="295"/>
      <c r="N198" s="295"/>
      <c r="O198" s="295"/>
      <c r="P198" s="295"/>
      <c r="Q198" s="295"/>
      <c r="R198" s="295"/>
      <c r="S198" s="295"/>
      <c r="T198" s="295"/>
      <c r="U198" s="295"/>
      <c r="V198" s="295"/>
      <c r="W198" s="295"/>
      <c r="X198" s="295"/>
      <c r="Y198" s="295"/>
      <c r="Z198" s="295"/>
      <c r="AA198" s="295"/>
      <c r="AB198" s="295"/>
      <c r="AC198" s="295"/>
      <c r="AD198" s="295"/>
      <c r="AE198" s="295"/>
      <c r="AF198" s="295"/>
      <c r="AG198" s="295"/>
      <c r="AH198" s="295"/>
      <c r="AI198" s="295"/>
      <c r="AJ198" s="295"/>
      <c r="AK198" s="295"/>
      <c r="AL198" s="295"/>
      <c r="AM198" s="295"/>
      <c r="AN198" s="295"/>
      <c r="AO198" s="295"/>
      <c r="AP198" s="295"/>
      <c r="AQ198" s="295"/>
      <c r="AR198" s="295"/>
      <c r="AS198" s="295"/>
      <c r="AT198" s="295"/>
      <c r="AU198" s="295"/>
      <c r="AV198" s="295"/>
      <c r="AW198" s="295"/>
      <c r="AX198" s="295"/>
      <c r="AY198" s="295"/>
      <c r="AZ198" s="295"/>
      <c r="BA198" s="295"/>
      <c r="BB198" s="295"/>
      <c r="BC198" s="295"/>
      <c r="BD198" s="295"/>
      <c r="BE198" s="295"/>
      <c r="BF198" s="295"/>
      <c r="BG198" s="295"/>
      <c r="BH198" s="295"/>
      <c r="BI198" s="302"/>
      <c r="BJ198" s="295"/>
      <c r="BK198" s="212"/>
      <c r="BM198" s="4">
        <f t="shared" si="2"/>
        <v>41</v>
      </c>
    </row>
    <row r="199" spans="2:68" s="180" customFormat="1" ht="15" customHeight="1" x14ac:dyDescent="0.25">
      <c r="B199" s="282"/>
      <c r="L199" s="282"/>
      <c r="U199" s="282"/>
      <c r="AD199" s="282"/>
      <c r="AM199" s="282"/>
      <c r="BI199" s="293"/>
      <c r="BK199" s="212"/>
      <c r="BM199" s="4">
        <f t="shared" si="2"/>
        <v>42</v>
      </c>
    </row>
    <row r="200" spans="2:68" s="180" customFormat="1" ht="15" customHeight="1" x14ac:dyDescent="0.25">
      <c r="B200" s="282"/>
      <c r="L200" s="282"/>
      <c r="U200" s="282"/>
      <c r="AD200" s="282"/>
      <c r="AM200" s="282"/>
      <c r="BI200" s="293"/>
      <c r="BK200" s="212"/>
      <c r="BM200" s="4">
        <f t="shared" ref="BM200:BM263" si="3">IF(BM199=50,1,BM199+1)</f>
        <v>43</v>
      </c>
    </row>
    <row r="201" spans="2:68" s="180" customFormat="1" ht="15" customHeight="1" x14ac:dyDescent="0.25">
      <c r="B201" s="282"/>
      <c r="L201" s="282"/>
      <c r="U201" s="282"/>
      <c r="AD201" s="282"/>
      <c r="AM201" s="282"/>
      <c r="BI201" s="293"/>
      <c r="BK201" s="212"/>
      <c r="BM201" s="4">
        <f t="shared" si="3"/>
        <v>44</v>
      </c>
      <c r="BP201" s="180" t="s">
        <v>121</v>
      </c>
    </row>
    <row r="202" spans="2:68" s="180" customFormat="1" ht="15" customHeight="1" x14ac:dyDescent="0.25">
      <c r="B202" s="282"/>
      <c r="L202" s="282"/>
      <c r="U202" s="282"/>
      <c r="AD202" s="282"/>
      <c r="AM202" s="282"/>
      <c r="BI202" s="293"/>
      <c r="BK202" s="212"/>
      <c r="BM202" s="4">
        <f t="shared" si="3"/>
        <v>45</v>
      </c>
    </row>
    <row r="203" spans="2:68" s="180" customFormat="1" ht="15" customHeight="1" x14ac:dyDescent="0.25">
      <c r="B203" s="282"/>
      <c r="L203" s="282"/>
      <c r="U203" s="282"/>
      <c r="AD203" s="282"/>
      <c r="AM203" s="282"/>
      <c r="BI203" s="293"/>
      <c r="BK203" s="212"/>
      <c r="BM203" s="4">
        <f t="shared" si="3"/>
        <v>46</v>
      </c>
    </row>
    <row r="204" spans="2:68" s="180" customFormat="1" ht="15" customHeight="1" x14ac:dyDescent="0.25">
      <c r="B204" s="282"/>
      <c r="L204" s="282"/>
      <c r="U204" s="282"/>
      <c r="AD204" s="282"/>
      <c r="AM204" s="282"/>
      <c r="BI204" s="293"/>
      <c r="BK204" s="212"/>
      <c r="BM204" s="4">
        <f t="shared" si="3"/>
        <v>47</v>
      </c>
    </row>
    <row r="205" spans="2:68" s="180" customFormat="1" ht="15" customHeight="1" x14ac:dyDescent="0.25">
      <c r="B205" s="282"/>
      <c r="L205" s="282"/>
      <c r="U205" s="282"/>
      <c r="AD205" s="282"/>
      <c r="AM205" s="282"/>
      <c r="BI205" s="293"/>
      <c r="BK205" s="212"/>
      <c r="BM205" s="4">
        <f t="shared" si="3"/>
        <v>48</v>
      </c>
    </row>
    <row r="206" spans="2:68" s="180" customFormat="1" ht="15" customHeight="1" x14ac:dyDescent="0.25">
      <c r="B206" s="282"/>
      <c r="L206" s="282"/>
      <c r="U206" s="282"/>
      <c r="AD206" s="282"/>
      <c r="AM206" s="282"/>
      <c r="BI206" s="293"/>
      <c r="BK206" s="212"/>
      <c r="BM206" s="4">
        <f t="shared" si="3"/>
        <v>49</v>
      </c>
    </row>
    <row r="207" spans="2:68" s="180" customFormat="1" ht="15" customHeight="1" x14ac:dyDescent="0.25">
      <c r="B207" s="282"/>
      <c r="L207" s="282"/>
      <c r="U207" s="282"/>
      <c r="AD207" s="282"/>
      <c r="AM207" s="282"/>
      <c r="BI207" s="293"/>
      <c r="BK207" s="212"/>
      <c r="BM207" s="4">
        <f t="shared" si="3"/>
        <v>50</v>
      </c>
    </row>
    <row r="208" spans="2:68" s="180" customFormat="1" ht="15" customHeight="1" x14ac:dyDescent="0.25">
      <c r="B208" s="282"/>
      <c r="L208" s="282"/>
      <c r="U208" s="282"/>
      <c r="AD208" s="282"/>
      <c r="AM208" s="282"/>
      <c r="BI208" s="293"/>
      <c r="BK208" s="212"/>
      <c r="BM208" s="4">
        <f t="shared" si="3"/>
        <v>1</v>
      </c>
    </row>
    <row r="209" spans="2:65" s="180" customFormat="1" ht="15" customHeight="1" x14ac:dyDescent="0.25">
      <c r="B209" s="282"/>
      <c r="L209" s="282"/>
      <c r="U209" s="282"/>
      <c r="AD209" s="282"/>
      <c r="AM209" s="282"/>
      <c r="BI209" s="293"/>
      <c r="BK209" s="212"/>
      <c r="BM209" s="4">
        <f t="shared" si="3"/>
        <v>2</v>
      </c>
    </row>
    <row r="210" spans="2:65" s="180" customFormat="1" ht="15" customHeight="1" x14ac:dyDescent="0.25">
      <c r="B210" s="282"/>
      <c r="L210" s="282"/>
      <c r="U210" s="282"/>
      <c r="AD210" s="282"/>
      <c r="AM210" s="282"/>
      <c r="BI210" s="293"/>
      <c r="BK210" s="212"/>
      <c r="BM210" s="4">
        <f t="shared" si="3"/>
        <v>3</v>
      </c>
    </row>
    <row r="211" spans="2:65" s="180" customFormat="1" ht="15" customHeight="1" x14ac:dyDescent="0.25">
      <c r="B211" s="25" t="s">
        <v>147</v>
      </c>
      <c r="C211" s="295"/>
      <c r="D211" s="295"/>
      <c r="E211" s="295"/>
      <c r="F211" s="295"/>
      <c r="G211" s="295"/>
      <c r="H211" s="295"/>
      <c r="I211" s="295"/>
      <c r="J211" s="295"/>
      <c r="K211" s="295"/>
      <c r="L211" s="295"/>
      <c r="M211" s="295"/>
      <c r="N211" s="295"/>
      <c r="O211" s="295"/>
      <c r="P211" s="295"/>
      <c r="Q211" s="295"/>
      <c r="R211" s="295"/>
      <c r="S211" s="295"/>
      <c r="T211" s="295"/>
      <c r="U211" s="295"/>
      <c r="V211" s="295"/>
      <c r="W211" s="295"/>
      <c r="X211" s="295"/>
      <c r="Y211" s="295"/>
      <c r="Z211" s="295"/>
      <c r="AA211" s="295"/>
      <c r="AB211" s="295"/>
      <c r="AC211" s="295"/>
      <c r="AD211" s="295"/>
      <c r="AE211" s="295"/>
      <c r="AF211" s="295"/>
      <c r="AG211" s="295"/>
      <c r="AH211" s="295"/>
      <c r="AI211" s="295"/>
      <c r="AJ211" s="295"/>
      <c r="AK211" s="295"/>
      <c r="AL211" s="295"/>
      <c r="AM211" s="295"/>
      <c r="AN211" s="295"/>
      <c r="AO211" s="295"/>
      <c r="AP211" s="295"/>
      <c r="AQ211" s="295"/>
      <c r="AR211" s="295"/>
      <c r="AS211" s="295"/>
      <c r="AT211" s="295"/>
      <c r="AU211" s="295"/>
      <c r="AV211" s="295"/>
      <c r="AW211" s="295"/>
      <c r="AX211" s="295"/>
      <c r="AY211" s="295"/>
      <c r="AZ211" s="295"/>
      <c r="BA211" s="295"/>
      <c r="BB211" s="295"/>
      <c r="BC211" s="295"/>
      <c r="BD211" s="295"/>
      <c r="BE211" s="295"/>
      <c r="BF211" s="295"/>
      <c r="BG211" s="295"/>
      <c r="BH211" s="295"/>
      <c r="BI211" s="302"/>
      <c r="BJ211" s="295"/>
      <c r="BK211" s="212"/>
      <c r="BM211" s="4">
        <f t="shared" si="3"/>
        <v>4</v>
      </c>
    </row>
    <row r="212" spans="2:65" s="180" customFormat="1" ht="15" customHeight="1" x14ac:dyDescent="0.25">
      <c r="B212" s="282"/>
      <c r="L212" s="282"/>
      <c r="U212" s="282"/>
      <c r="AD212" s="282"/>
      <c r="AM212" s="282"/>
      <c r="BI212" s="293"/>
      <c r="BK212" s="212"/>
      <c r="BM212" s="4">
        <f t="shared" si="3"/>
        <v>5</v>
      </c>
    </row>
    <row r="213" spans="2:65" s="180" customFormat="1" ht="15" customHeight="1" x14ac:dyDescent="0.25">
      <c r="B213" s="282"/>
      <c r="L213" s="282"/>
      <c r="U213" s="282"/>
      <c r="AD213" s="282"/>
      <c r="AM213" s="282"/>
      <c r="BI213" s="293"/>
      <c r="BK213" s="212"/>
      <c r="BM213" s="4">
        <f t="shared" si="3"/>
        <v>6</v>
      </c>
    </row>
    <row r="214" spans="2:65" s="180" customFormat="1" ht="15" customHeight="1" x14ac:dyDescent="0.25">
      <c r="B214" s="282"/>
      <c r="L214" s="282"/>
      <c r="U214" s="282"/>
      <c r="AD214" s="282"/>
      <c r="AM214" s="282"/>
      <c r="BI214" s="293"/>
      <c r="BK214" s="212"/>
      <c r="BM214" s="4">
        <f t="shared" si="3"/>
        <v>7</v>
      </c>
    </row>
    <row r="215" spans="2:65" s="180" customFormat="1" ht="15" customHeight="1" x14ac:dyDescent="0.25">
      <c r="B215" s="282"/>
      <c r="L215" s="282"/>
      <c r="U215" s="282"/>
      <c r="AD215" s="282"/>
      <c r="AM215" s="282"/>
      <c r="BI215" s="293"/>
      <c r="BK215" s="212"/>
      <c r="BM215" s="4">
        <f t="shared" si="3"/>
        <v>8</v>
      </c>
    </row>
    <row r="216" spans="2:65" s="180" customFormat="1" ht="15" customHeight="1" x14ac:dyDescent="0.25">
      <c r="B216" s="282"/>
      <c r="L216" s="282"/>
      <c r="U216" s="282"/>
      <c r="AD216" s="282"/>
      <c r="AM216" s="282"/>
      <c r="BI216" s="293"/>
      <c r="BK216" s="212"/>
      <c r="BM216" s="4">
        <f t="shared" si="3"/>
        <v>9</v>
      </c>
    </row>
    <row r="217" spans="2:65" s="180" customFormat="1" ht="15" customHeight="1" x14ac:dyDescent="0.25">
      <c r="B217" s="282"/>
      <c r="L217" s="282"/>
      <c r="U217" s="282"/>
      <c r="AD217" s="282"/>
      <c r="AM217" s="282"/>
      <c r="BI217" s="293"/>
      <c r="BK217" s="212"/>
      <c r="BM217" s="4">
        <f t="shared" si="3"/>
        <v>10</v>
      </c>
    </row>
    <row r="218" spans="2:65" s="180" customFormat="1" ht="15" customHeight="1" x14ac:dyDescent="0.25">
      <c r="B218" s="282"/>
      <c r="L218" s="282"/>
      <c r="U218" s="282"/>
      <c r="AD218" s="282"/>
      <c r="AM218" s="282"/>
      <c r="BI218" s="293"/>
      <c r="BK218" s="212"/>
      <c r="BM218" s="4">
        <f t="shared" si="3"/>
        <v>11</v>
      </c>
    </row>
    <row r="219" spans="2:65" s="180" customFormat="1" ht="15" customHeight="1" x14ac:dyDescent="0.25">
      <c r="B219" s="282"/>
      <c r="L219" s="282"/>
      <c r="U219" s="282"/>
      <c r="AD219" s="282"/>
      <c r="AM219" s="282"/>
      <c r="BI219" s="293"/>
      <c r="BK219" s="212"/>
      <c r="BM219" s="4">
        <f t="shared" si="3"/>
        <v>12</v>
      </c>
    </row>
    <row r="220" spans="2:65" s="180" customFormat="1" ht="15" customHeight="1" x14ac:dyDescent="0.25">
      <c r="B220" s="282"/>
      <c r="L220" s="282"/>
      <c r="U220" s="282"/>
      <c r="AD220" s="282"/>
      <c r="AM220" s="282"/>
      <c r="BI220" s="293"/>
      <c r="BK220" s="212"/>
      <c r="BM220" s="4">
        <f t="shared" si="3"/>
        <v>13</v>
      </c>
    </row>
    <row r="221" spans="2:65" s="180" customFormat="1" ht="15" customHeight="1" x14ac:dyDescent="0.25">
      <c r="B221" s="282"/>
      <c r="L221" s="282"/>
      <c r="U221" s="282"/>
      <c r="AD221" s="282"/>
      <c r="AM221" s="282"/>
      <c r="BI221" s="293"/>
      <c r="BK221" s="212"/>
      <c r="BM221" s="4">
        <f t="shared" si="3"/>
        <v>14</v>
      </c>
    </row>
    <row r="222" spans="2:65" s="180" customFormat="1" ht="15" customHeight="1" x14ac:dyDescent="0.25">
      <c r="B222" s="282"/>
      <c r="L222" s="282"/>
      <c r="U222" s="282"/>
      <c r="AD222" s="282"/>
      <c r="AM222" s="282"/>
      <c r="BI222" s="293"/>
      <c r="BK222" s="212"/>
      <c r="BM222" s="4">
        <f t="shared" si="3"/>
        <v>15</v>
      </c>
    </row>
    <row r="223" spans="2:65" s="180" customFormat="1" ht="15" customHeight="1" x14ac:dyDescent="0.25">
      <c r="B223" s="282"/>
      <c r="L223" s="282"/>
      <c r="U223" s="282"/>
      <c r="AD223" s="282"/>
      <c r="AM223" s="282"/>
      <c r="BI223" s="293"/>
      <c r="BK223" s="212"/>
      <c r="BM223" s="4">
        <f t="shared" si="3"/>
        <v>16</v>
      </c>
    </row>
    <row r="224" spans="2:65" s="180" customFormat="1" ht="15" customHeight="1" x14ac:dyDescent="0.25">
      <c r="B224" s="282"/>
      <c r="L224" s="282"/>
      <c r="U224" s="282"/>
      <c r="AD224" s="282"/>
      <c r="AM224" s="282"/>
      <c r="BI224" s="293"/>
      <c r="BK224" s="212"/>
      <c r="BM224" s="4">
        <f t="shared" si="3"/>
        <v>17</v>
      </c>
    </row>
    <row r="225" spans="2:65" s="180" customFormat="1" ht="15" customHeight="1" x14ac:dyDescent="0.25">
      <c r="B225" s="282"/>
      <c r="L225" s="282"/>
      <c r="U225" s="282"/>
      <c r="AD225" s="282"/>
      <c r="AM225" s="282"/>
      <c r="BI225" s="293"/>
      <c r="BK225" s="212"/>
      <c r="BM225" s="4">
        <f t="shared" si="3"/>
        <v>18</v>
      </c>
    </row>
    <row r="226" spans="2:65" s="180" customFormat="1" ht="15" customHeight="1" x14ac:dyDescent="0.25">
      <c r="B226" s="282"/>
      <c r="L226" s="282"/>
      <c r="U226" s="282"/>
      <c r="AD226" s="282"/>
      <c r="AM226" s="282"/>
      <c r="BI226" s="293"/>
      <c r="BK226" s="212"/>
      <c r="BM226" s="4">
        <f t="shared" si="3"/>
        <v>19</v>
      </c>
    </row>
    <row r="227" spans="2:65" s="180" customFormat="1" ht="15" customHeight="1" x14ac:dyDescent="0.25">
      <c r="B227" s="282"/>
      <c r="L227" s="282"/>
      <c r="U227" s="282"/>
      <c r="AD227" s="282"/>
      <c r="AM227" s="282"/>
      <c r="BI227" s="293"/>
      <c r="BK227" s="212"/>
      <c r="BM227" s="4">
        <f t="shared" si="3"/>
        <v>20</v>
      </c>
    </row>
    <row r="228" spans="2:65" s="180" customFormat="1" ht="15" customHeight="1" x14ac:dyDescent="0.25">
      <c r="B228" s="282"/>
      <c r="L228" s="282"/>
      <c r="U228" s="282"/>
      <c r="AD228" s="282"/>
      <c r="AM228" s="282"/>
      <c r="BI228" s="293"/>
      <c r="BK228" s="212"/>
      <c r="BM228" s="4">
        <f t="shared" si="3"/>
        <v>21</v>
      </c>
    </row>
    <row r="229" spans="2:65" s="180" customFormat="1" ht="15" customHeight="1" x14ac:dyDescent="0.25">
      <c r="B229" s="282"/>
      <c r="L229" s="282"/>
      <c r="U229" s="282"/>
      <c r="AD229" s="282"/>
      <c r="AM229" s="282"/>
      <c r="BI229" s="293"/>
      <c r="BK229" s="212"/>
      <c r="BM229" s="4">
        <f t="shared" si="3"/>
        <v>22</v>
      </c>
    </row>
    <row r="230" spans="2:65" s="180" customFormat="1" ht="15" customHeight="1" x14ac:dyDescent="0.25">
      <c r="B230" s="282"/>
      <c r="L230" s="282"/>
      <c r="U230" s="282"/>
      <c r="AD230" s="282"/>
      <c r="AM230" s="282"/>
      <c r="BI230" s="293"/>
      <c r="BK230" s="212"/>
      <c r="BM230" s="4">
        <f t="shared" si="3"/>
        <v>23</v>
      </c>
    </row>
    <row r="231" spans="2:65" s="180" customFormat="1" ht="15" customHeight="1" x14ac:dyDescent="0.25">
      <c r="B231" s="282"/>
      <c r="L231" s="282"/>
      <c r="U231" s="282"/>
      <c r="AD231" s="282"/>
      <c r="AM231" s="282"/>
      <c r="BI231" s="293"/>
      <c r="BK231" s="212"/>
      <c r="BM231" s="4">
        <f t="shared" si="3"/>
        <v>24</v>
      </c>
    </row>
    <row r="232" spans="2:65" s="180" customFormat="1" ht="15" customHeight="1" x14ac:dyDescent="0.25">
      <c r="B232" s="282"/>
      <c r="L232" s="282"/>
      <c r="U232" s="282"/>
      <c r="AD232" s="282"/>
      <c r="AM232" s="282"/>
      <c r="BI232" s="293"/>
      <c r="BK232" s="212"/>
      <c r="BM232" s="4">
        <f t="shared" si="3"/>
        <v>25</v>
      </c>
    </row>
    <row r="233" spans="2:65" s="180" customFormat="1" ht="15" customHeight="1" x14ac:dyDescent="0.25">
      <c r="B233" s="282"/>
      <c r="L233" s="282"/>
      <c r="U233" s="282"/>
      <c r="AD233" s="282"/>
      <c r="AM233" s="282"/>
      <c r="BI233" s="293"/>
      <c r="BK233" s="212"/>
      <c r="BM233" s="4">
        <f t="shared" si="3"/>
        <v>26</v>
      </c>
    </row>
    <row r="234" spans="2:65" s="180" customFormat="1" ht="15" customHeight="1" x14ac:dyDescent="0.25">
      <c r="B234" s="282"/>
      <c r="L234" s="282"/>
      <c r="U234" s="282"/>
      <c r="AD234" s="282"/>
      <c r="AM234" s="282"/>
      <c r="BI234" s="293"/>
      <c r="BK234" s="212"/>
      <c r="BM234" s="4">
        <f t="shared" si="3"/>
        <v>27</v>
      </c>
    </row>
    <row r="235" spans="2:65" s="180" customFormat="1" ht="15" customHeight="1" x14ac:dyDescent="0.25">
      <c r="B235" s="282"/>
      <c r="L235" s="282"/>
      <c r="U235" s="282"/>
      <c r="AD235" s="282"/>
      <c r="AM235" s="282"/>
      <c r="BI235" s="293"/>
      <c r="BK235" s="212"/>
      <c r="BM235" s="4">
        <f t="shared" si="3"/>
        <v>28</v>
      </c>
    </row>
    <row r="236" spans="2:65" s="180" customFormat="1" ht="15" customHeight="1" x14ac:dyDescent="0.25">
      <c r="B236" s="282"/>
      <c r="L236" s="282"/>
      <c r="U236" s="282"/>
      <c r="AD236" s="282"/>
      <c r="AM236" s="282"/>
      <c r="BI236" s="293"/>
      <c r="BK236" s="212"/>
      <c r="BM236" s="4">
        <f t="shared" si="3"/>
        <v>29</v>
      </c>
    </row>
    <row r="237" spans="2:65" s="180" customFormat="1" ht="15" customHeight="1" x14ac:dyDescent="0.25">
      <c r="B237" s="282"/>
      <c r="L237" s="282"/>
      <c r="U237" s="282"/>
      <c r="AD237" s="282"/>
      <c r="AM237" s="282"/>
      <c r="BI237" s="293"/>
      <c r="BK237" s="212"/>
      <c r="BM237" s="4">
        <f t="shared" si="3"/>
        <v>30</v>
      </c>
    </row>
    <row r="238" spans="2:65" s="180" customFormat="1" ht="15" customHeight="1" x14ac:dyDescent="0.25">
      <c r="B238" s="282"/>
      <c r="L238" s="282"/>
      <c r="U238" s="282"/>
      <c r="AD238" s="282"/>
      <c r="AM238" s="282"/>
      <c r="BI238" s="293"/>
      <c r="BK238" s="212"/>
      <c r="BM238" s="4">
        <f t="shared" si="3"/>
        <v>31</v>
      </c>
    </row>
    <row r="239" spans="2:65" s="180" customFormat="1" ht="15" customHeight="1" x14ac:dyDescent="0.25">
      <c r="B239" s="282"/>
      <c r="L239" s="282"/>
      <c r="U239" s="282"/>
      <c r="AD239" s="282"/>
      <c r="AM239" s="282"/>
      <c r="BI239" s="293"/>
      <c r="BK239" s="212"/>
      <c r="BM239" s="4">
        <f t="shared" si="3"/>
        <v>32</v>
      </c>
    </row>
    <row r="240" spans="2:65" s="180" customFormat="1" ht="15" customHeight="1" x14ac:dyDescent="0.25">
      <c r="B240" s="282"/>
      <c r="L240" s="282"/>
      <c r="U240" s="282"/>
      <c r="AD240" s="282"/>
      <c r="AM240" s="282"/>
      <c r="BI240" s="293"/>
      <c r="BK240" s="212"/>
      <c r="BM240" s="4">
        <f t="shared" si="3"/>
        <v>33</v>
      </c>
    </row>
    <row r="241" spans="2:65" s="180" customFormat="1" ht="15" customHeight="1" x14ac:dyDescent="0.25">
      <c r="B241" s="282"/>
      <c r="L241" s="282"/>
      <c r="U241" s="282"/>
      <c r="AD241" s="282"/>
      <c r="AM241" s="282"/>
      <c r="BI241" s="293"/>
      <c r="BK241" s="212"/>
      <c r="BM241" s="4">
        <f t="shared" si="3"/>
        <v>34</v>
      </c>
    </row>
    <row r="242" spans="2:65" s="180" customFormat="1" ht="15" customHeight="1" x14ac:dyDescent="0.25">
      <c r="B242" s="282"/>
      <c r="L242" s="282"/>
      <c r="U242" s="282"/>
      <c r="AD242" s="282"/>
      <c r="AM242" s="282"/>
      <c r="BI242" s="293"/>
      <c r="BK242" s="212"/>
      <c r="BM242" s="4">
        <f t="shared" si="3"/>
        <v>35</v>
      </c>
    </row>
    <row r="243" spans="2:65" s="180" customFormat="1" ht="15" customHeight="1" x14ac:dyDescent="0.25">
      <c r="B243" s="282"/>
      <c r="L243" s="282"/>
      <c r="U243" s="282"/>
      <c r="AD243" s="282"/>
      <c r="AM243" s="282"/>
      <c r="BI243" s="293"/>
      <c r="BK243" s="212"/>
      <c r="BM243" s="4">
        <f t="shared" si="3"/>
        <v>36</v>
      </c>
    </row>
    <row r="244" spans="2:65" s="180" customFormat="1" ht="15" customHeight="1" x14ac:dyDescent="0.25">
      <c r="B244" s="282"/>
      <c r="L244" s="282"/>
      <c r="U244" s="282"/>
      <c r="AD244" s="282"/>
      <c r="AM244" s="282"/>
      <c r="BI244" s="293"/>
      <c r="BK244" s="212"/>
      <c r="BM244" s="4">
        <f t="shared" si="3"/>
        <v>37</v>
      </c>
    </row>
    <row r="245" spans="2:65" s="180" customFormat="1" ht="15" customHeight="1" x14ac:dyDescent="0.25">
      <c r="B245" s="282"/>
      <c r="L245" s="282"/>
      <c r="U245" s="282"/>
      <c r="AD245" s="282"/>
      <c r="AM245" s="282"/>
      <c r="BI245" s="293"/>
      <c r="BK245" s="212"/>
      <c r="BM245" s="4">
        <f t="shared" si="3"/>
        <v>38</v>
      </c>
    </row>
    <row r="246" spans="2:65" s="180" customFormat="1" ht="15" customHeight="1" x14ac:dyDescent="0.25">
      <c r="B246" s="282"/>
      <c r="L246" s="282"/>
      <c r="U246" s="282"/>
      <c r="AD246" s="282"/>
      <c r="AM246" s="282"/>
      <c r="BI246" s="293"/>
      <c r="BK246" s="212"/>
      <c r="BM246" s="4">
        <f t="shared" si="3"/>
        <v>39</v>
      </c>
    </row>
    <row r="247" spans="2:65" s="180" customFormat="1" ht="15" customHeight="1" x14ac:dyDescent="0.25">
      <c r="B247" s="282"/>
      <c r="L247" s="282"/>
      <c r="U247" s="282"/>
      <c r="AD247" s="282"/>
      <c r="AM247" s="282"/>
      <c r="BI247" s="293"/>
      <c r="BK247" s="212"/>
      <c r="BM247" s="4">
        <f t="shared" si="3"/>
        <v>40</v>
      </c>
    </row>
    <row r="248" spans="2:65" s="180" customFormat="1" ht="15" customHeight="1" x14ac:dyDescent="0.25">
      <c r="B248" s="282"/>
      <c r="L248" s="282"/>
      <c r="U248" s="282"/>
      <c r="AD248" s="282"/>
      <c r="AM248" s="282"/>
      <c r="BI248" s="293"/>
      <c r="BK248" s="212"/>
      <c r="BM248" s="4">
        <f t="shared" si="3"/>
        <v>41</v>
      </c>
    </row>
    <row r="249" spans="2:65" s="180" customFormat="1" ht="15" customHeight="1" x14ac:dyDescent="0.25">
      <c r="B249" s="282"/>
      <c r="L249" s="282"/>
      <c r="U249" s="282"/>
      <c r="AD249" s="282"/>
      <c r="AM249" s="282"/>
      <c r="BI249" s="293"/>
      <c r="BK249" s="212"/>
      <c r="BM249" s="4">
        <f t="shared" si="3"/>
        <v>42</v>
      </c>
    </row>
    <row r="250" spans="2:65" s="180" customFormat="1" ht="15" customHeight="1" x14ac:dyDescent="0.25">
      <c r="B250" s="282"/>
      <c r="L250" s="282"/>
      <c r="U250" s="282"/>
      <c r="AD250" s="282"/>
      <c r="AM250" s="282"/>
      <c r="BI250" s="293"/>
      <c r="BK250" s="212"/>
      <c r="BM250" s="4">
        <f t="shared" si="3"/>
        <v>43</v>
      </c>
    </row>
    <row r="251" spans="2:65" s="180" customFormat="1" ht="15" customHeight="1" x14ac:dyDescent="0.25">
      <c r="B251" s="282"/>
      <c r="L251" s="282"/>
      <c r="U251" s="282"/>
      <c r="AD251" s="282"/>
      <c r="AM251" s="282"/>
      <c r="BI251" s="293"/>
      <c r="BK251" s="212"/>
      <c r="BM251" s="4">
        <f t="shared" si="3"/>
        <v>44</v>
      </c>
    </row>
    <row r="252" spans="2:65" s="180" customFormat="1" ht="15" customHeight="1" x14ac:dyDescent="0.25">
      <c r="B252" s="282"/>
      <c r="L252" s="282"/>
      <c r="U252" s="282"/>
      <c r="AD252" s="282"/>
      <c r="AM252" s="282"/>
      <c r="BI252" s="293"/>
      <c r="BK252" s="212"/>
      <c r="BM252" s="4">
        <f t="shared" si="3"/>
        <v>45</v>
      </c>
    </row>
    <row r="253" spans="2:65" s="180" customFormat="1" ht="15" customHeight="1" x14ac:dyDescent="0.25">
      <c r="B253" s="282"/>
      <c r="L253" s="282"/>
      <c r="U253" s="282"/>
      <c r="AD253" s="282"/>
      <c r="AM253" s="282"/>
      <c r="BI253" s="293"/>
      <c r="BK253" s="212"/>
      <c r="BM253" s="4">
        <f t="shared" si="3"/>
        <v>46</v>
      </c>
    </row>
    <row r="254" spans="2:65" s="180" customFormat="1" ht="15" customHeight="1" x14ac:dyDescent="0.25">
      <c r="B254" s="282"/>
      <c r="L254" s="282"/>
      <c r="U254" s="282"/>
      <c r="AD254" s="282"/>
      <c r="AM254" s="282"/>
      <c r="BI254" s="293"/>
      <c r="BK254" s="212"/>
      <c r="BM254" s="4">
        <f t="shared" si="3"/>
        <v>47</v>
      </c>
    </row>
    <row r="255" spans="2:65" s="180" customFormat="1" ht="15" customHeight="1" x14ac:dyDescent="0.25">
      <c r="B255" s="282"/>
      <c r="L255" s="282"/>
      <c r="U255" s="282"/>
      <c r="AD255" s="282"/>
      <c r="AM255" s="282"/>
      <c r="BI255" s="293"/>
      <c r="BK255" s="212"/>
      <c r="BM255" s="4">
        <f t="shared" si="3"/>
        <v>48</v>
      </c>
    </row>
    <row r="256" spans="2:65" s="180" customFormat="1" ht="15" customHeight="1" x14ac:dyDescent="0.25">
      <c r="B256" s="282"/>
      <c r="L256" s="282"/>
      <c r="U256" s="282"/>
      <c r="AD256" s="282"/>
      <c r="AM256" s="282"/>
      <c r="BI256" s="293"/>
      <c r="BK256" s="212"/>
      <c r="BM256" s="4">
        <f t="shared" si="3"/>
        <v>49</v>
      </c>
    </row>
    <row r="257" spans="2:65" s="180" customFormat="1" ht="15" customHeight="1" x14ac:dyDescent="0.25">
      <c r="B257" s="25" t="s">
        <v>148</v>
      </c>
      <c r="C257" s="295"/>
      <c r="D257" s="295"/>
      <c r="E257" s="295"/>
      <c r="F257" s="295"/>
      <c r="G257" s="295"/>
      <c r="H257" s="295"/>
      <c r="I257" s="295"/>
      <c r="J257" s="295"/>
      <c r="K257" s="295"/>
      <c r="L257" s="295"/>
      <c r="M257" s="295"/>
      <c r="N257" s="295"/>
      <c r="O257" s="295"/>
      <c r="P257" s="295"/>
      <c r="Q257" s="295"/>
      <c r="R257" s="295"/>
      <c r="S257" s="295"/>
      <c r="T257" s="295"/>
      <c r="U257" s="295"/>
      <c r="V257" s="295"/>
      <c r="W257" s="295"/>
      <c r="X257" s="295"/>
      <c r="Y257" s="295"/>
      <c r="Z257" s="295"/>
      <c r="AA257" s="295"/>
      <c r="AB257" s="295"/>
      <c r="AC257" s="295"/>
      <c r="AD257" s="295"/>
      <c r="AE257" s="295"/>
      <c r="AF257" s="295"/>
      <c r="AG257" s="295"/>
      <c r="AH257" s="295"/>
      <c r="AI257" s="295"/>
      <c r="AJ257" s="295"/>
      <c r="AK257" s="295"/>
      <c r="AL257" s="295"/>
      <c r="AM257" s="295"/>
      <c r="AN257" s="295"/>
      <c r="AO257" s="295"/>
      <c r="AP257" s="295"/>
      <c r="AQ257" s="295"/>
      <c r="AR257" s="295"/>
      <c r="AS257" s="295"/>
      <c r="AT257" s="295"/>
      <c r="AU257" s="295"/>
      <c r="AV257" s="295"/>
      <c r="AW257" s="295"/>
      <c r="AX257" s="295"/>
      <c r="AY257" s="295"/>
      <c r="AZ257" s="295"/>
      <c r="BA257" s="295"/>
      <c r="BB257" s="295"/>
      <c r="BC257" s="295"/>
      <c r="BD257" s="295"/>
      <c r="BE257" s="295"/>
      <c r="BF257" s="295"/>
      <c r="BG257" s="295"/>
      <c r="BH257" s="295"/>
      <c r="BI257" s="302"/>
      <c r="BJ257" s="295"/>
      <c r="BK257" s="212"/>
      <c r="BM257" s="4">
        <f t="shared" si="3"/>
        <v>50</v>
      </c>
    </row>
    <row r="258" spans="2:65" s="180" customFormat="1" ht="15" customHeight="1" x14ac:dyDescent="0.25">
      <c r="B258" s="282"/>
      <c r="L258" s="282"/>
      <c r="U258" s="282"/>
      <c r="AD258" s="282"/>
      <c r="AM258" s="282"/>
      <c r="BI258" s="293"/>
      <c r="BK258" s="212"/>
      <c r="BM258" s="4">
        <f t="shared" si="3"/>
        <v>1</v>
      </c>
    </row>
    <row r="259" spans="2:65" s="180" customFormat="1" ht="15" customHeight="1" x14ac:dyDescent="0.25">
      <c r="B259" s="282"/>
      <c r="L259" s="282"/>
      <c r="U259" s="282"/>
      <c r="AD259" s="282"/>
      <c r="AM259" s="282"/>
      <c r="BI259" s="293"/>
      <c r="BK259" s="212"/>
      <c r="BM259" s="4">
        <f t="shared" si="3"/>
        <v>2</v>
      </c>
    </row>
    <row r="260" spans="2:65" s="180" customFormat="1" ht="15" customHeight="1" x14ac:dyDescent="0.25">
      <c r="B260" s="282"/>
      <c r="L260" s="282"/>
      <c r="U260" s="282"/>
      <c r="AD260" s="282"/>
      <c r="AM260" s="282"/>
      <c r="BI260" s="293"/>
      <c r="BK260" s="212"/>
      <c r="BM260" s="4">
        <f t="shared" si="3"/>
        <v>3</v>
      </c>
    </row>
    <row r="261" spans="2:65" s="180" customFormat="1" ht="15" customHeight="1" x14ac:dyDescent="0.25">
      <c r="B261" s="282"/>
      <c r="L261" s="282"/>
      <c r="U261" s="282"/>
      <c r="AD261" s="282"/>
      <c r="AM261" s="282"/>
      <c r="BI261" s="293"/>
      <c r="BK261" s="212"/>
      <c r="BM261" s="4">
        <f t="shared" si="3"/>
        <v>4</v>
      </c>
    </row>
    <row r="262" spans="2:65" s="180" customFormat="1" ht="15" customHeight="1" x14ac:dyDescent="0.25">
      <c r="B262" s="282"/>
      <c r="L262" s="282"/>
      <c r="U262" s="282"/>
      <c r="AD262" s="282"/>
      <c r="AM262" s="282"/>
      <c r="BI262" s="293"/>
      <c r="BK262" s="212"/>
      <c r="BM262" s="4">
        <f t="shared" si="3"/>
        <v>5</v>
      </c>
    </row>
    <row r="263" spans="2:65" s="180" customFormat="1" ht="15" customHeight="1" x14ac:dyDescent="0.25">
      <c r="B263" s="282"/>
      <c r="L263" s="282"/>
      <c r="U263" s="282"/>
      <c r="AD263" s="282"/>
      <c r="AM263" s="282"/>
      <c r="BI263" s="293"/>
      <c r="BK263" s="212"/>
      <c r="BM263" s="4">
        <f t="shared" si="3"/>
        <v>6</v>
      </c>
    </row>
    <row r="264" spans="2:65" s="180" customFormat="1" ht="15" customHeight="1" x14ac:dyDescent="0.25">
      <c r="B264" s="282"/>
      <c r="L264" s="282"/>
      <c r="U264" s="282"/>
      <c r="AD264" s="282"/>
      <c r="AM264" s="282"/>
      <c r="BI264" s="293"/>
      <c r="BK264" s="212"/>
      <c r="BM264" s="4">
        <f t="shared" ref="BM264:BM327" si="4">IF(BM263=50,1,BM263+1)</f>
        <v>7</v>
      </c>
    </row>
    <row r="265" spans="2:65" s="180" customFormat="1" ht="15" customHeight="1" x14ac:dyDescent="0.25">
      <c r="B265" s="282"/>
      <c r="L265" s="282"/>
      <c r="U265" s="282"/>
      <c r="AD265" s="282"/>
      <c r="AM265" s="282"/>
      <c r="BI265" s="293"/>
      <c r="BK265" s="212"/>
      <c r="BM265" s="4">
        <f t="shared" si="4"/>
        <v>8</v>
      </c>
    </row>
    <row r="266" spans="2:65" s="180" customFormat="1" ht="15" customHeight="1" x14ac:dyDescent="0.25">
      <c r="B266" s="282"/>
      <c r="L266" s="282"/>
      <c r="U266" s="282"/>
      <c r="AD266" s="282"/>
      <c r="AM266" s="282"/>
      <c r="BI266" s="293"/>
      <c r="BK266" s="212"/>
      <c r="BM266" s="4">
        <f t="shared" si="4"/>
        <v>9</v>
      </c>
    </row>
    <row r="267" spans="2:65" s="180" customFormat="1" ht="15" customHeight="1" x14ac:dyDescent="0.25">
      <c r="B267" s="282"/>
      <c r="L267" s="282"/>
      <c r="U267" s="282"/>
      <c r="AD267" s="282"/>
      <c r="AM267" s="282"/>
      <c r="BI267" s="293"/>
      <c r="BK267" s="212"/>
      <c r="BM267" s="4">
        <f t="shared" si="4"/>
        <v>10</v>
      </c>
    </row>
    <row r="268" spans="2:65" s="180" customFormat="1" ht="15" customHeight="1" x14ac:dyDescent="0.25">
      <c r="B268" s="282"/>
      <c r="L268" s="282"/>
      <c r="U268" s="282"/>
      <c r="AD268" s="282"/>
      <c r="AM268" s="282"/>
      <c r="BI268" s="293"/>
      <c r="BK268" s="212"/>
      <c r="BM268" s="4">
        <f t="shared" si="4"/>
        <v>11</v>
      </c>
    </row>
    <row r="269" spans="2:65" s="180" customFormat="1" ht="15" customHeight="1" x14ac:dyDescent="0.25">
      <c r="B269" s="282"/>
      <c r="L269" s="282"/>
      <c r="U269" s="282"/>
      <c r="AD269" s="282"/>
      <c r="AM269" s="282"/>
      <c r="BI269" s="293"/>
      <c r="BK269" s="212"/>
      <c r="BM269" s="4">
        <f t="shared" si="4"/>
        <v>12</v>
      </c>
    </row>
    <row r="270" spans="2:65" s="180" customFormat="1" ht="15" customHeight="1" x14ac:dyDescent="0.25">
      <c r="B270" s="282"/>
      <c r="L270" s="282"/>
      <c r="U270" s="282"/>
      <c r="AD270" s="282"/>
      <c r="AM270" s="282"/>
      <c r="BI270" s="293"/>
      <c r="BK270" s="212"/>
      <c r="BM270" s="4">
        <f t="shared" si="4"/>
        <v>13</v>
      </c>
    </row>
    <row r="271" spans="2:65" s="180" customFormat="1" ht="15" customHeight="1" x14ac:dyDescent="0.25">
      <c r="B271" s="282"/>
      <c r="L271" s="282"/>
      <c r="U271" s="282"/>
      <c r="AD271" s="282"/>
      <c r="AM271" s="282"/>
      <c r="BI271" s="293"/>
      <c r="BK271" s="212"/>
      <c r="BM271" s="4">
        <f t="shared" si="4"/>
        <v>14</v>
      </c>
    </row>
    <row r="272" spans="2:65" s="180" customFormat="1" ht="15" customHeight="1" x14ac:dyDescent="0.25">
      <c r="B272" s="282"/>
      <c r="L272" s="282"/>
      <c r="U272" s="282"/>
      <c r="AD272" s="282"/>
      <c r="AM272" s="282"/>
      <c r="BI272" s="293"/>
      <c r="BK272" s="212"/>
      <c r="BM272" s="4">
        <f t="shared" si="4"/>
        <v>15</v>
      </c>
    </row>
    <row r="273" spans="2:65" s="180" customFormat="1" ht="15" customHeight="1" x14ac:dyDescent="0.25">
      <c r="B273" s="282"/>
      <c r="L273" s="282"/>
      <c r="U273" s="282"/>
      <c r="AD273" s="282"/>
      <c r="AM273" s="282"/>
      <c r="BI273" s="293"/>
      <c r="BK273" s="212"/>
      <c r="BM273" s="4">
        <f t="shared" si="4"/>
        <v>16</v>
      </c>
    </row>
    <row r="274" spans="2:65" s="180" customFormat="1" ht="15" customHeight="1" x14ac:dyDescent="0.25">
      <c r="B274" s="282"/>
      <c r="L274" s="282"/>
      <c r="U274" s="282"/>
      <c r="AD274" s="282"/>
      <c r="AM274" s="282"/>
      <c r="BI274" s="293"/>
      <c r="BK274" s="212"/>
      <c r="BM274" s="4">
        <f t="shared" si="4"/>
        <v>17</v>
      </c>
    </row>
    <row r="275" spans="2:65" s="180" customFormat="1" ht="15" customHeight="1" x14ac:dyDescent="0.25">
      <c r="B275" s="282"/>
      <c r="L275" s="282"/>
      <c r="U275" s="282"/>
      <c r="AD275" s="282"/>
      <c r="AM275" s="282"/>
      <c r="BI275" s="293"/>
      <c r="BK275" s="212"/>
      <c r="BM275" s="4">
        <f t="shared" si="4"/>
        <v>18</v>
      </c>
    </row>
    <row r="276" spans="2:65" s="180" customFormat="1" ht="15" customHeight="1" x14ac:dyDescent="0.25">
      <c r="B276" s="282"/>
      <c r="L276" s="282"/>
      <c r="U276" s="282"/>
      <c r="AD276" s="282"/>
      <c r="AM276" s="282"/>
      <c r="BI276" s="293"/>
      <c r="BK276" s="212"/>
      <c r="BM276" s="4">
        <f t="shared" si="4"/>
        <v>19</v>
      </c>
    </row>
    <row r="277" spans="2:65" s="180" customFormat="1" ht="15" customHeight="1" x14ac:dyDescent="0.25">
      <c r="B277" s="282"/>
      <c r="L277" s="282"/>
      <c r="U277" s="282"/>
      <c r="AD277" s="282"/>
      <c r="AM277" s="282"/>
      <c r="BI277" s="293"/>
      <c r="BK277" s="212"/>
      <c r="BM277" s="4">
        <f t="shared" si="4"/>
        <v>20</v>
      </c>
    </row>
    <row r="278" spans="2:65" s="180" customFormat="1" ht="15" customHeight="1" x14ac:dyDescent="0.25">
      <c r="B278" s="282"/>
      <c r="L278" s="282"/>
      <c r="U278" s="282"/>
      <c r="AD278" s="282"/>
      <c r="AM278" s="282"/>
      <c r="BI278" s="293"/>
      <c r="BK278" s="212"/>
      <c r="BM278" s="4">
        <f t="shared" si="4"/>
        <v>21</v>
      </c>
    </row>
    <row r="279" spans="2:65" s="180" customFormat="1" ht="15" customHeight="1" x14ac:dyDescent="0.25">
      <c r="B279" s="282"/>
      <c r="L279" s="282"/>
      <c r="U279" s="282"/>
      <c r="AD279" s="282"/>
      <c r="AM279" s="282"/>
      <c r="BI279" s="293"/>
      <c r="BK279" s="212"/>
      <c r="BM279" s="4">
        <f t="shared" si="4"/>
        <v>22</v>
      </c>
    </row>
    <row r="280" spans="2:65" s="180" customFormat="1" ht="15" customHeight="1" x14ac:dyDescent="0.25">
      <c r="B280" s="282"/>
      <c r="L280" s="282"/>
      <c r="U280" s="282"/>
      <c r="AD280" s="282"/>
      <c r="AM280" s="282"/>
      <c r="BI280" s="293"/>
      <c r="BK280" s="212"/>
      <c r="BM280" s="4">
        <f t="shared" si="4"/>
        <v>23</v>
      </c>
    </row>
    <row r="281" spans="2:65" s="180" customFormat="1" ht="15" customHeight="1" x14ac:dyDescent="0.25">
      <c r="B281" s="282"/>
      <c r="L281" s="282"/>
      <c r="U281" s="282"/>
      <c r="AD281" s="282"/>
      <c r="AM281" s="282"/>
      <c r="BI281" s="293"/>
      <c r="BK281" s="212"/>
      <c r="BM281" s="4">
        <f t="shared" si="4"/>
        <v>24</v>
      </c>
    </row>
    <row r="282" spans="2:65" s="180" customFormat="1" ht="15" customHeight="1" x14ac:dyDescent="0.25">
      <c r="B282" s="282"/>
      <c r="L282" s="282"/>
      <c r="U282" s="282"/>
      <c r="AD282" s="282"/>
      <c r="AM282" s="282"/>
      <c r="BI282" s="293"/>
      <c r="BK282" s="212"/>
      <c r="BM282" s="4">
        <f t="shared" si="4"/>
        <v>25</v>
      </c>
    </row>
    <row r="283" spans="2:65" s="180" customFormat="1" ht="15" customHeight="1" x14ac:dyDescent="0.25">
      <c r="B283" s="282"/>
      <c r="L283" s="282"/>
      <c r="U283" s="282"/>
      <c r="AD283" s="282"/>
      <c r="AM283" s="282"/>
      <c r="BI283" s="293"/>
      <c r="BK283" s="212"/>
      <c r="BM283" s="4">
        <f t="shared" si="4"/>
        <v>26</v>
      </c>
    </row>
    <row r="284" spans="2:65" s="180" customFormat="1" ht="15" customHeight="1" x14ac:dyDescent="0.25">
      <c r="B284" s="282"/>
      <c r="L284" s="282"/>
      <c r="U284" s="282"/>
      <c r="AD284" s="282"/>
      <c r="AM284" s="282"/>
      <c r="BI284" s="293"/>
      <c r="BK284" s="212"/>
      <c r="BM284" s="4">
        <f t="shared" si="4"/>
        <v>27</v>
      </c>
    </row>
    <row r="285" spans="2:65" s="180" customFormat="1" ht="15" customHeight="1" x14ac:dyDescent="0.25">
      <c r="B285" s="282"/>
      <c r="L285" s="282"/>
      <c r="U285" s="282"/>
      <c r="AD285" s="282"/>
      <c r="AM285" s="282"/>
      <c r="BI285" s="293"/>
      <c r="BK285" s="212"/>
      <c r="BM285" s="4">
        <f t="shared" si="4"/>
        <v>28</v>
      </c>
    </row>
    <row r="286" spans="2:65" s="180" customFormat="1" ht="15" customHeight="1" x14ac:dyDescent="0.25">
      <c r="B286" s="282"/>
      <c r="L286" s="282"/>
      <c r="U286" s="282"/>
      <c r="AD286" s="282"/>
      <c r="AM286" s="282"/>
      <c r="BI286" s="293"/>
      <c r="BK286" s="212"/>
      <c r="BM286" s="4">
        <f t="shared" si="4"/>
        <v>29</v>
      </c>
    </row>
    <row r="287" spans="2:65" s="180" customFormat="1" ht="15" customHeight="1" x14ac:dyDescent="0.25">
      <c r="B287" s="282"/>
      <c r="L287" s="282"/>
      <c r="U287" s="282"/>
      <c r="AD287" s="282"/>
      <c r="AM287" s="282"/>
      <c r="BI287" s="293"/>
      <c r="BK287" s="212"/>
      <c r="BM287" s="4">
        <f t="shared" si="4"/>
        <v>30</v>
      </c>
    </row>
    <row r="288" spans="2:65" s="180" customFormat="1" ht="15" customHeight="1" x14ac:dyDescent="0.25">
      <c r="B288" s="282"/>
      <c r="L288" s="282"/>
      <c r="U288" s="282"/>
      <c r="AD288" s="282"/>
      <c r="AM288" s="282"/>
      <c r="BI288" s="293"/>
      <c r="BK288" s="212"/>
      <c r="BM288" s="4">
        <f t="shared" si="4"/>
        <v>31</v>
      </c>
    </row>
    <row r="289" spans="2:65" s="180" customFormat="1" ht="15" customHeight="1" x14ac:dyDescent="0.25">
      <c r="B289" s="282"/>
      <c r="L289" s="282"/>
      <c r="U289" s="282"/>
      <c r="AD289" s="282"/>
      <c r="AM289" s="282"/>
      <c r="BI289" s="293"/>
      <c r="BK289" s="212"/>
      <c r="BM289" s="4">
        <f t="shared" si="4"/>
        <v>32</v>
      </c>
    </row>
    <row r="290" spans="2:65" s="180" customFormat="1" ht="15" customHeight="1" x14ac:dyDescent="0.25">
      <c r="B290" s="282"/>
      <c r="L290" s="282"/>
      <c r="U290" s="282"/>
      <c r="AD290" s="282"/>
      <c r="AM290" s="282"/>
      <c r="BI290" s="293"/>
      <c r="BK290" s="212"/>
      <c r="BM290" s="4">
        <f t="shared" si="4"/>
        <v>33</v>
      </c>
    </row>
    <row r="291" spans="2:65" s="180" customFormat="1" ht="15" customHeight="1" x14ac:dyDescent="0.25">
      <c r="B291" s="282"/>
      <c r="L291" s="282"/>
      <c r="U291" s="282"/>
      <c r="AD291" s="282"/>
      <c r="AM291" s="282"/>
      <c r="BI291" s="293"/>
      <c r="BK291" s="212"/>
      <c r="BM291" s="4">
        <f t="shared" si="4"/>
        <v>34</v>
      </c>
    </row>
    <row r="292" spans="2:65" s="180" customFormat="1" ht="15" customHeight="1" x14ac:dyDescent="0.25">
      <c r="B292" s="282"/>
      <c r="L292" s="282"/>
      <c r="U292" s="282"/>
      <c r="AD292" s="282"/>
      <c r="AM292" s="282"/>
      <c r="BI292" s="293"/>
      <c r="BK292" s="212"/>
      <c r="BM292" s="4">
        <f t="shared" si="4"/>
        <v>35</v>
      </c>
    </row>
    <row r="293" spans="2:65" s="180" customFormat="1" ht="15" customHeight="1" x14ac:dyDescent="0.25">
      <c r="B293" s="282"/>
      <c r="L293" s="282"/>
      <c r="U293" s="282"/>
      <c r="AD293" s="282"/>
      <c r="AM293" s="282"/>
      <c r="BI293" s="293"/>
      <c r="BK293" s="212"/>
      <c r="BM293" s="4">
        <f t="shared" si="4"/>
        <v>36</v>
      </c>
    </row>
    <row r="294" spans="2:65" s="180" customFormat="1" ht="15" customHeight="1" x14ac:dyDescent="0.25">
      <c r="B294" s="282"/>
      <c r="L294" s="282"/>
      <c r="U294" s="282"/>
      <c r="AD294" s="282"/>
      <c r="AM294" s="282"/>
      <c r="BI294" s="293"/>
      <c r="BK294" s="212"/>
      <c r="BM294" s="4">
        <f t="shared" si="4"/>
        <v>37</v>
      </c>
    </row>
    <row r="295" spans="2:65" s="180" customFormat="1" ht="15" customHeight="1" x14ac:dyDescent="0.25">
      <c r="B295" s="282"/>
      <c r="L295" s="282"/>
      <c r="U295" s="282"/>
      <c r="AD295" s="282"/>
      <c r="AM295" s="282"/>
      <c r="BI295" s="293"/>
      <c r="BK295" s="212"/>
      <c r="BM295" s="4">
        <f t="shared" si="4"/>
        <v>38</v>
      </c>
    </row>
    <row r="296" spans="2:65" s="180" customFormat="1" ht="15" customHeight="1" x14ac:dyDescent="0.25">
      <c r="B296" s="282"/>
      <c r="L296" s="282"/>
      <c r="U296" s="282"/>
      <c r="AD296" s="282"/>
      <c r="AM296" s="282"/>
      <c r="BI296" s="293"/>
      <c r="BK296" s="212"/>
      <c r="BM296" s="4">
        <f t="shared" si="4"/>
        <v>39</v>
      </c>
    </row>
    <row r="297" spans="2:65" s="180" customFormat="1" ht="15" customHeight="1" x14ac:dyDescent="0.25">
      <c r="B297" s="282"/>
      <c r="L297" s="282"/>
      <c r="U297" s="282"/>
      <c r="AD297" s="282"/>
      <c r="AM297" s="282"/>
      <c r="BI297" s="293"/>
      <c r="BK297" s="212"/>
      <c r="BM297" s="4">
        <f t="shared" si="4"/>
        <v>40</v>
      </c>
    </row>
    <row r="298" spans="2:65" s="180" customFormat="1" ht="15" customHeight="1" x14ac:dyDescent="0.25">
      <c r="B298" s="282"/>
      <c r="L298" s="282"/>
      <c r="U298" s="282"/>
      <c r="AD298" s="282"/>
      <c r="AM298" s="282"/>
      <c r="BI298" s="293"/>
      <c r="BK298" s="212"/>
      <c r="BM298" s="4">
        <f t="shared" si="4"/>
        <v>41</v>
      </c>
    </row>
    <row r="299" spans="2:65" s="180" customFormat="1" ht="15" customHeight="1" x14ac:dyDescent="0.25">
      <c r="B299" s="25" t="s">
        <v>149</v>
      </c>
      <c r="C299" s="295"/>
      <c r="D299" s="295"/>
      <c r="E299" s="295"/>
      <c r="F299" s="295"/>
      <c r="G299" s="295"/>
      <c r="H299" s="295"/>
      <c r="I299" s="295"/>
      <c r="J299" s="295"/>
      <c r="K299" s="295"/>
      <c r="L299" s="295"/>
      <c r="M299" s="295"/>
      <c r="N299" s="295"/>
      <c r="O299" s="295"/>
      <c r="P299" s="295"/>
      <c r="Q299" s="295"/>
      <c r="R299" s="295"/>
      <c r="S299" s="295"/>
      <c r="T299" s="295"/>
      <c r="U299" s="295"/>
      <c r="V299" s="295"/>
      <c r="W299" s="295"/>
      <c r="X299" s="295"/>
      <c r="Y299" s="295"/>
      <c r="Z299" s="295"/>
      <c r="AA299" s="295"/>
      <c r="AB299" s="295"/>
      <c r="AC299" s="295"/>
      <c r="AD299" s="295"/>
      <c r="AE299" s="295"/>
      <c r="AF299" s="295"/>
      <c r="AG299" s="295"/>
      <c r="AH299" s="295"/>
      <c r="AI299" s="295"/>
      <c r="AJ299" s="295"/>
      <c r="AK299" s="295"/>
      <c r="AL299" s="295"/>
      <c r="AM299" s="295"/>
      <c r="AN299" s="295"/>
      <c r="AO299" s="295"/>
      <c r="AP299" s="295"/>
      <c r="AQ299" s="295"/>
      <c r="AR299" s="295"/>
      <c r="AS299" s="295"/>
      <c r="AT299" s="295"/>
      <c r="AU299" s="295"/>
      <c r="AV299" s="295"/>
      <c r="AW299" s="295"/>
      <c r="AX299" s="295"/>
      <c r="AY299" s="295"/>
      <c r="AZ299" s="295"/>
      <c r="BA299" s="295"/>
      <c r="BB299" s="295"/>
      <c r="BC299" s="295"/>
      <c r="BD299" s="295"/>
      <c r="BE299" s="295"/>
      <c r="BF299" s="295"/>
      <c r="BG299" s="295"/>
      <c r="BH299" s="295"/>
      <c r="BI299" s="302"/>
      <c r="BJ299" s="303"/>
      <c r="BK299" s="212"/>
      <c r="BM299" s="4">
        <f t="shared" si="4"/>
        <v>42</v>
      </c>
    </row>
    <row r="300" spans="2:65" s="180" customFormat="1" ht="15" customHeight="1" x14ac:dyDescent="0.25">
      <c r="B300" s="282"/>
      <c r="L300" s="282"/>
      <c r="U300" s="282"/>
      <c r="AD300" s="282"/>
      <c r="AM300" s="282"/>
      <c r="BI300" s="293"/>
      <c r="BK300" s="212"/>
      <c r="BM300" s="4">
        <f t="shared" si="4"/>
        <v>43</v>
      </c>
    </row>
    <row r="301" spans="2:65" s="180" customFormat="1" ht="15" customHeight="1" x14ac:dyDescent="0.25">
      <c r="B301" s="282"/>
      <c r="L301" s="282"/>
      <c r="U301" s="282"/>
      <c r="AD301" s="282"/>
      <c r="AM301" s="282"/>
      <c r="BI301" s="293"/>
      <c r="BK301" s="212"/>
      <c r="BM301" s="4">
        <f t="shared" si="4"/>
        <v>44</v>
      </c>
    </row>
    <row r="302" spans="2:65" s="180" customFormat="1" ht="15" customHeight="1" x14ac:dyDescent="0.25">
      <c r="B302" s="282"/>
      <c r="L302" s="282"/>
      <c r="U302" s="282"/>
      <c r="AD302" s="282"/>
      <c r="AM302" s="282"/>
      <c r="BI302" s="293"/>
      <c r="BK302" s="212"/>
      <c r="BM302" s="4">
        <f t="shared" si="4"/>
        <v>45</v>
      </c>
    </row>
    <row r="303" spans="2:65" s="180" customFormat="1" ht="15" customHeight="1" x14ac:dyDescent="0.25">
      <c r="B303" s="282"/>
      <c r="L303" s="282"/>
      <c r="U303" s="282"/>
      <c r="AD303" s="282"/>
      <c r="AM303" s="282"/>
      <c r="BI303" s="293"/>
      <c r="BK303" s="212"/>
      <c r="BM303" s="4">
        <f t="shared" si="4"/>
        <v>46</v>
      </c>
    </row>
    <row r="304" spans="2:65" s="180" customFormat="1" ht="15" customHeight="1" x14ac:dyDescent="0.25">
      <c r="B304" s="282"/>
      <c r="L304" s="282"/>
      <c r="U304" s="282"/>
      <c r="AD304" s="282"/>
      <c r="AM304" s="282"/>
      <c r="BI304" s="293"/>
      <c r="BK304" s="212"/>
      <c r="BM304" s="4">
        <f t="shared" si="4"/>
        <v>47</v>
      </c>
    </row>
    <row r="305" spans="2:65" s="180" customFormat="1" ht="15" customHeight="1" x14ac:dyDescent="0.25">
      <c r="B305" s="282"/>
      <c r="L305" s="282"/>
      <c r="U305" s="282"/>
      <c r="AD305" s="282"/>
      <c r="AM305" s="282"/>
      <c r="BI305" s="293"/>
      <c r="BK305" s="212"/>
      <c r="BM305" s="4">
        <f t="shared" si="4"/>
        <v>48</v>
      </c>
    </row>
    <row r="306" spans="2:65" s="180" customFormat="1" ht="15" customHeight="1" x14ac:dyDescent="0.25">
      <c r="B306" s="282"/>
      <c r="L306" s="282"/>
      <c r="U306" s="282"/>
      <c r="AD306" s="282"/>
      <c r="AM306" s="282"/>
      <c r="BI306" s="293"/>
      <c r="BK306" s="212"/>
      <c r="BM306" s="4">
        <f t="shared" si="4"/>
        <v>49</v>
      </c>
    </row>
    <row r="307" spans="2:65" s="180" customFormat="1" ht="15" customHeight="1" x14ac:dyDescent="0.25">
      <c r="B307" s="282"/>
      <c r="L307" s="282"/>
      <c r="U307" s="282"/>
      <c r="AD307" s="282"/>
      <c r="AM307" s="282"/>
      <c r="BI307" s="293"/>
      <c r="BK307" s="212"/>
      <c r="BM307" s="4">
        <f t="shared" si="4"/>
        <v>50</v>
      </c>
    </row>
    <row r="308" spans="2:65" s="180" customFormat="1" ht="15" customHeight="1" x14ac:dyDescent="0.25">
      <c r="B308" s="282"/>
      <c r="L308" s="282"/>
      <c r="U308" s="282"/>
      <c r="AD308" s="282"/>
      <c r="AM308" s="282"/>
      <c r="BI308" s="293"/>
      <c r="BK308" s="212"/>
      <c r="BM308" s="4">
        <f t="shared" si="4"/>
        <v>1</v>
      </c>
    </row>
    <row r="309" spans="2:65" s="180" customFormat="1" ht="15" customHeight="1" x14ac:dyDescent="0.25">
      <c r="B309" s="282"/>
      <c r="L309" s="282"/>
      <c r="U309" s="282"/>
      <c r="AD309" s="282"/>
      <c r="AM309" s="282"/>
      <c r="BI309" s="293"/>
      <c r="BK309" s="212"/>
      <c r="BM309" s="4">
        <f t="shared" si="4"/>
        <v>2</v>
      </c>
    </row>
    <row r="310" spans="2:65" s="180" customFormat="1" ht="15" customHeight="1" x14ac:dyDescent="0.25">
      <c r="B310" s="282"/>
      <c r="L310" s="282"/>
      <c r="U310" s="282"/>
      <c r="AD310" s="282"/>
      <c r="AM310" s="282"/>
      <c r="BI310" s="293"/>
      <c r="BK310" s="212"/>
      <c r="BM310" s="4">
        <f t="shared" si="4"/>
        <v>3</v>
      </c>
    </row>
    <row r="311" spans="2:65" s="180" customFormat="1" ht="15" customHeight="1" x14ac:dyDescent="0.25">
      <c r="B311" s="282"/>
      <c r="L311" s="282"/>
      <c r="U311" s="282"/>
      <c r="AD311" s="282"/>
      <c r="AM311" s="282"/>
      <c r="BI311" s="293"/>
      <c r="BK311" s="212"/>
      <c r="BM311" s="4">
        <f t="shared" si="4"/>
        <v>4</v>
      </c>
    </row>
    <row r="312" spans="2:65" s="180" customFormat="1" ht="15" customHeight="1" x14ac:dyDescent="0.25">
      <c r="B312" s="282"/>
      <c r="L312" s="282"/>
      <c r="U312" s="282"/>
      <c r="AD312" s="282"/>
      <c r="AM312" s="282"/>
      <c r="BI312" s="293"/>
      <c r="BK312" s="212"/>
      <c r="BM312" s="4">
        <f t="shared" si="4"/>
        <v>5</v>
      </c>
    </row>
    <row r="313" spans="2:65" s="180" customFormat="1" ht="15" customHeight="1" x14ac:dyDescent="0.25">
      <c r="B313" s="282"/>
      <c r="L313" s="282"/>
      <c r="U313" s="282"/>
      <c r="AD313" s="282"/>
      <c r="AM313" s="282"/>
      <c r="BI313" s="293"/>
      <c r="BK313" s="212"/>
      <c r="BM313" s="4">
        <f t="shared" si="4"/>
        <v>6</v>
      </c>
    </row>
    <row r="314" spans="2:65" s="180" customFormat="1" ht="15" customHeight="1" x14ac:dyDescent="0.25">
      <c r="B314" s="282"/>
      <c r="L314" s="282"/>
      <c r="U314" s="282"/>
      <c r="AD314" s="282"/>
      <c r="AM314" s="282"/>
      <c r="BI314" s="293"/>
      <c r="BK314" s="212"/>
      <c r="BM314" s="4">
        <f t="shared" si="4"/>
        <v>7</v>
      </c>
    </row>
    <row r="315" spans="2:65" s="180" customFormat="1" ht="15" customHeight="1" x14ac:dyDescent="0.25">
      <c r="B315" s="282"/>
      <c r="L315" s="282"/>
      <c r="U315" s="282"/>
      <c r="AD315" s="282"/>
      <c r="AM315" s="282"/>
      <c r="BI315" s="293"/>
      <c r="BK315" s="212"/>
      <c r="BM315" s="4">
        <f t="shared" si="4"/>
        <v>8</v>
      </c>
    </row>
    <row r="316" spans="2:65" s="180" customFormat="1" ht="15" customHeight="1" x14ac:dyDescent="0.25">
      <c r="B316" s="282"/>
      <c r="L316" s="282"/>
      <c r="U316" s="282"/>
      <c r="AD316" s="282"/>
      <c r="AM316" s="282"/>
      <c r="BI316" s="293"/>
      <c r="BK316" s="212"/>
      <c r="BM316" s="4">
        <f t="shared" si="4"/>
        <v>9</v>
      </c>
    </row>
    <row r="317" spans="2:65" s="180" customFormat="1" ht="15" customHeight="1" x14ac:dyDescent="0.25">
      <c r="B317" s="282"/>
      <c r="L317" s="282"/>
      <c r="U317" s="282"/>
      <c r="AD317" s="282"/>
      <c r="AM317" s="282"/>
      <c r="BI317" s="293"/>
      <c r="BK317" s="212"/>
      <c r="BM317" s="4">
        <f t="shared" si="4"/>
        <v>10</v>
      </c>
    </row>
    <row r="318" spans="2:65" s="180" customFormat="1" ht="15" customHeight="1" x14ac:dyDescent="0.25">
      <c r="B318" s="282"/>
      <c r="L318" s="282"/>
      <c r="U318" s="282"/>
      <c r="AD318" s="282"/>
      <c r="AM318" s="282"/>
      <c r="BI318" s="293"/>
      <c r="BK318" s="212"/>
      <c r="BM318" s="4">
        <f t="shared" si="4"/>
        <v>11</v>
      </c>
    </row>
    <row r="319" spans="2:65" s="180" customFormat="1" ht="15" customHeight="1" x14ac:dyDescent="0.25">
      <c r="B319" s="25" t="s">
        <v>150</v>
      </c>
      <c r="C319" s="295"/>
      <c r="D319" s="295"/>
      <c r="E319" s="295"/>
      <c r="F319" s="295"/>
      <c r="G319" s="295"/>
      <c r="H319" s="295"/>
      <c r="I319" s="295"/>
      <c r="J319" s="295"/>
      <c r="K319" s="295"/>
      <c r="L319" s="295"/>
      <c r="M319" s="295"/>
      <c r="N319" s="295"/>
      <c r="O319" s="295"/>
      <c r="P319" s="295"/>
      <c r="Q319" s="295"/>
      <c r="R319" s="295"/>
      <c r="S319" s="295"/>
      <c r="T319" s="295"/>
      <c r="U319" s="295"/>
      <c r="V319" s="295"/>
      <c r="W319" s="295"/>
      <c r="X319" s="295"/>
      <c r="Y319" s="295"/>
      <c r="Z319" s="295"/>
      <c r="AA319" s="295"/>
      <c r="AB319" s="295"/>
      <c r="AC319" s="295"/>
      <c r="AD319" s="295"/>
      <c r="AE319" s="295"/>
      <c r="AF319" s="295"/>
      <c r="AG319" s="295"/>
      <c r="AH319" s="295"/>
      <c r="AI319" s="295"/>
      <c r="AJ319" s="295"/>
      <c r="AK319" s="295"/>
      <c r="AL319" s="295"/>
      <c r="AM319" s="295"/>
      <c r="AN319" s="295"/>
      <c r="AO319" s="295"/>
      <c r="AP319" s="295"/>
      <c r="AQ319" s="295"/>
      <c r="AR319" s="295"/>
      <c r="AS319" s="295"/>
      <c r="AT319" s="295"/>
      <c r="AU319" s="295"/>
      <c r="AV319" s="295"/>
      <c r="AW319" s="295"/>
      <c r="AX319" s="295"/>
      <c r="AY319" s="295"/>
      <c r="AZ319" s="295"/>
      <c r="BA319" s="295"/>
      <c r="BB319" s="295"/>
      <c r="BC319" s="295"/>
      <c r="BD319" s="295"/>
      <c r="BE319" s="295"/>
      <c r="BF319" s="295"/>
      <c r="BG319" s="295"/>
      <c r="BH319" s="304"/>
      <c r="BI319" s="302"/>
      <c r="BJ319" s="304"/>
      <c r="BK319" s="212"/>
      <c r="BM319" s="4">
        <f t="shared" si="4"/>
        <v>12</v>
      </c>
    </row>
    <row r="320" spans="2:65" s="180" customFormat="1" ht="15" customHeight="1" x14ac:dyDescent="0.25">
      <c r="B320" s="282"/>
      <c r="L320" s="282"/>
      <c r="U320" s="282"/>
      <c r="AD320" s="282"/>
      <c r="AM320" s="282"/>
      <c r="BI320" s="293"/>
      <c r="BK320" s="212"/>
      <c r="BM320" s="4">
        <f t="shared" si="4"/>
        <v>13</v>
      </c>
    </row>
    <row r="321" spans="1:65" s="180" customFormat="1" ht="15" customHeight="1" x14ac:dyDescent="0.25">
      <c r="B321" s="282"/>
      <c r="L321" s="282"/>
      <c r="U321" s="282"/>
      <c r="AD321" s="282"/>
      <c r="AM321" s="282"/>
      <c r="BI321" s="293"/>
      <c r="BK321" s="212"/>
      <c r="BM321" s="4">
        <f t="shared" si="4"/>
        <v>14</v>
      </c>
    </row>
    <row r="322" spans="1:65" s="180" customFormat="1" ht="15" customHeight="1" x14ac:dyDescent="0.25">
      <c r="B322" s="282"/>
      <c r="L322" s="282"/>
      <c r="U322" s="282"/>
      <c r="AD322" s="282"/>
      <c r="AM322" s="282"/>
      <c r="BI322" s="293"/>
      <c r="BK322" s="212"/>
      <c r="BM322" s="4">
        <f t="shared" si="4"/>
        <v>15</v>
      </c>
    </row>
    <row r="323" spans="1:65" s="180" customFormat="1" ht="15" customHeight="1" x14ac:dyDescent="0.25">
      <c r="B323" s="282"/>
      <c r="L323" s="282"/>
      <c r="U323" s="282"/>
      <c r="AD323" s="282"/>
      <c r="AM323" s="282"/>
      <c r="BI323" s="293"/>
      <c r="BK323" s="212"/>
      <c r="BM323" s="4">
        <f t="shared" si="4"/>
        <v>16</v>
      </c>
    </row>
    <row r="324" spans="1:65" s="180" customFormat="1" ht="15" customHeight="1" x14ac:dyDescent="0.25">
      <c r="B324" s="282"/>
      <c r="L324" s="282"/>
      <c r="U324" s="282"/>
      <c r="AD324" s="282"/>
      <c r="AM324" s="282"/>
      <c r="BI324" s="293"/>
      <c r="BK324" s="212"/>
      <c r="BM324" s="4">
        <f t="shared" si="4"/>
        <v>17</v>
      </c>
    </row>
    <row r="325" spans="1:65" s="180" customFormat="1" ht="15" customHeight="1" x14ac:dyDescent="0.25">
      <c r="B325" s="282"/>
      <c r="L325" s="282"/>
      <c r="U325" s="282"/>
      <c r="AD325" s="282"/>
      <c r="AM325" s="282"/>
      <c r="BI325" s="293"/>
      <c r="BK325" s="212"/>
      <c r="BM325" s="4">
        <f t="shared" si="4"/>
        <v>18</v>
      </c>
    </row>
    <row r="326" spans="1:65" s="180" customFormat="1" ht="15" customHeight="1" x14ac:dyDescent="0.25">
      <c r="B326" s="282"/>
      <c r="L326" s="282"/>
      <c r="U326" s="282"/>
      <c r="AD326" s="282"/>
      <c r="AM326" s="282"/>
      <c r="BI326" s="293"/>
      <c r="BK326" s="212"/>
      <c r="BM326" s="4">
        <f t="shared" si="4"/>
        <v>19</v>
      </c>
    </row>
    <row r="327" spans="1:65" s="180" customFormat="1" ht="15" customHeight="1" x14ac:dyDescent="0.25">
      <c r="B327" s="282"/>
      <c r="L327" s="282"/>
      <c r="U327" s="282"/>
      <c r="AD327" s="282"/>
      <c r="AM327" s="282"/>
      <c r="BI327" s="293"/>
      <c r="BK327" s="212"/>
      <c r="BM327" s="4">
        <f t="shared" si="4"/>
        <v>20</v>
      </c>
    </row>
    <row r="328" spans="1:65" s="180" customFormat="1" ht="15" customHeight="1" x14ac:dyDescent="0.25">
      <c r="B328" s="282"/>
      <c r="L328" s="282"/>
      <c r="U328" s="282"/>
      <c r="AD328" s="282"/>
      <c r="AM328" s="282"/>
      <c r="BI328" s="293"/>
      <c r="BK328" s="212"/>
      <c r="BM328" s="4">
        <f t="shared" ref="BM328:BM333" si="5">IF(BM327=50,1,BM327+1)</f>
        <v>21</v>
      </c>
    </row>
    <row r="329" spans="1:65" s="180" customFormat="1" ht="15" customHeight="1" x14ac:dyDescent="0.25">
      <c r="B329" s="282"/>
      <c r="L329" s="282"/>
      <c r="U329" s="282"/>
      <c r="AD329" s="282"/>
      <c r="AM329" s="282"/>
      <c r="BI329" s="293"/>
      <c r="BK329" s="212"/>
      <c r="BM329" s="4">
        <f t="shared" si="5"/>
        <v>22</v>
      </c>
    </row>
    <row r="330" spans="1:65" s="180" customFormat="1" ht="15" customHeight="1" x14ac:dyDescent="0.25">
      <c r="B330" s="282"/>
      <c r="L330" s="282"/>
      <c r="U330" s="282"/>
      <c r="AD330" s="282"/>
      <c r="AM330" s="282"/>
      <c r="BI330" s="293"/>
      <c r="BK330" s="212"/>
      <c r="BM330" s="4">
        <f t="shared" si="5"/>
        <v>23</v>
      </c>
    </row>
    <row r="331" spans="1:65" s="180" customFormat="1" ht="15" customHeight="1" x14ac:dyDescent="0.25">
      <c r="B331" s="282"/>
      <c r="L331" s="282"/>
      <c r="U331" s="282"/>
      <c r="AD331" s="282"/>
      <c r="AM331" s="282"/>
      <c r="BI331" s="293"/>
      <c r="BK331" s="212"/>
      <c r="BM331" s="4">
        <f t="shared" si="5"/>
        <v>24</v>
      </c>
    </row>
    <row r="332" spans="1:65" s="180" customFormat="1" ht="15" customHeight="1" x14ac:dyDescent="0.25">
      <c r="B332" s="282"/>
      <c r="L332" s="282"/>
      <c r="U332" s="282"/>
      <c r="AD332" s="282"/>
      <c r="AM332" s="282"/>
      <c r="BI332" s="293"/>
      <c r="BK332" s="212"/>
      <c r="BM332" s="4">
        <f t="shared" si="5"/>
        <v>25</v>
      </c>
    </row>
    <row r="333" spans="1:65" s="180" customFormat="1" ht="15" customHeight="1" x14ac:dyDescent="0.25">
      <c r="A333" s="209"/>
      <c r="B333" s="305"/>
      <c r="C333" s="209"/>
      <c r="D333" s="209"/>
      <c r="E333" s="209"/>
      <c r="F333" s="209"/>
      <c r="G333" s="209"/>
      <c r="H333" s="209"/>
      <c r="I333" s="209"/>
      <c r="J333" s="209"/>
      <c r="K333" s="209"/>
      <c r="L333" s="305"/>
      <c r="M333" s="209"/>
      <c r="N333" s="209"/>
      <c r="O333" s="209"/>
      <c r="P333" s="209"/>
      <c r="Q333" s="209"/>
      <c r="R333" s="209"/>
      <c r="S333" s="209"/>
      <c r="T333" s="209"/>
      <c r="U333" s="305"/>
      <c r="V333" s="209"/>
      <c r="W333" s="209"/>
      <c r="X333" s="209"/>
      <c r="Y333" s="209"/>
      <c r="Z333" s="209"/>
      <c r="AA333" s="209"/>
      <c r="AB333" s="209"/>
      <c r="AC333" s="209"/>
      <c r="AD333" s="305"/>
      <c r="AE333" s="209"/>
      <c r="AF333" s="209"/>
      <c r="AG333" s="209"/>
      <c r="AH333" s="209"/>
      <c r="AI333" s="209"/>
      <c r="AJ333" s="209"/>
      <c r="AK333" s="209"/>
      <c r="AL333" s="209"/>
      <c r="AM333" s="305"/>
      <c r="AN333" s="209"/>
      <c r="AO333" s="209"/>
      <c r="AP333" s="209"/>
      <c r="AQ333" s="209"/>
      <c r="AR333" s="209"/>
      <c r="AS333" s="209"/>
      <c r="AT333" s="209"/>
      <c r="AU333" s="209"/>
      <c r="AV333" s="209"/>
      <c r="AW333" s="209"/>
      <c r="AX333" s="209"/>
      <c r="AY333" s="209"/>
      <c r="AZ333" s="209"/>
      <c r="BA333" s="209"/>
      <c r="BB333" s="209"/>
      <c r="BC333" s="209"/>
      <c r="BD333" s="209"/>
      <c r="BE333" s="209"/>
      <c r="BF333" s="209"/>
      <c r="BG333" s="209"/>
      <c r="BH333" s="209"/>
      <c r="BI333" s="306"/>
      <c r="BJ333" s="209"/>
      <c r="BK333" s="210"/>
      <c r="BM333" s="4">
        <f t="shared" si="5"/>
        <v>26</v>
      </c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10" orientation="landscape" r:id="rId1"/>
  <headerFooter>
    <oddHeader>&amp;R&amp;F</oddHeader>
    <oddFooter>&amp;C&amp;P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5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3.21875" style="4" customWidth="1"/>
    <col min="64" max="16384" width="10.109375" style="4"/>
  </cols>
  <sheetData>
    <row r="1" spans="1:63" ht="24.95" customHeight="1" x14ac:dyDescent="0.25">
      <c r="A1" s="307" t="s">
        <v>125</v>
      </c>
      <c r="B1" s="308"/>
      <c r="C1" s="308"/>
      <c r="D1" s="308"/>
      <c r="E1" s="308"/>
      <c r="F1" s="308"/>
      <c r="G1" s="308"/>
      <c r="H1" s="308"/>
      <c r="I1" s="308"/>
      <c r="J1" s="309"/>
      <c r="K1" s="307" t="s">
        <v>126</v>
      </c>
      <c r="L1" s="308"/>
      <c r="M1" s="308"/>
      <c r="N1" s="308"/>
      <c r="O1" s="308"/>
      <c r="P1" s="308"/>
      <c r="Q1" s="308"/>
      <c r="R1" s="308"/>
      <c r="S1" s="308"/>
      <c r="T1" s="308"/>
      <c r="U1" s="308"/>
      <c r="V1" s="309"/>
      <c r="W1" s="310" t="str">
        <f>IF(表紙!W1="","",表紙!W1)</f>
        <v>基本設計書</v>
      </c>
      <c r="X1" s="311"/>
      <c r="Y1" s="311"/>
      <c r="Z1" s="311"/>
      <c r="AA1" s="311"/>
      <c r="AB1" s="311"/>
      <c r="AC1" s="311"/>
      <c r="AD1" s="311"/>
      <c r="AE1" s="311"/>
      <c r="AF1" s="311"/>
      <c r="AG1" s="311"/>
      <c r="AH1" s="311"/>
      <c r="AI1" s="311"/>
      <c r="AJ1" s="311"/>
      <c r="AK1" s="311"/>
      <c r="AL1" s="311"/>
      <c r="AM1" s="311"/>
      <c r="AN1" s="311"/>
      <c r="AO1" s="312"/>
      <c r="AP1" s="174" t="s">
        <v>128</v>
      </c>
      <c r="AQ1" s="175"/>
      <c r="AR1" s="175"/>
      <c r="AS1" s="176"/>
      <c r="AT1" s="174" t="s">
        <v>129</v>
      </c>
      <c r="AU1" s="175"/>
      <c r="AV1" s="175"/>
      <c r="AW1" s="175"/>
      <c r="AX1" s="176"/>
      <c r="AY1" s="174" t="s">
        <v>130</v>
      </c>
      <c r="AZ1" s="175"/>
      <c r="BA1" s="175"/>
      <c r="BB1" s="176"/>
      <c r="BC1" s="174" t="s">
        <v>131</v>
      </c>
      <c r="BD1" s="175"/>
      <c r="BE1" s="175"/>
      <c r="BF1" s="175"/>
      <c r="BG1" s="176"/>
      <c r="BH1" s="174" t="s">
        <v>132</v>
      </c>
      <c r="BI1" s="175"/>
      <c r="BJ1" s="175"/>
      <c r="BK1" s="176"/>
    </row>
    <row r="2" spans="1:63" ht="15" customHeight="1" x14ac:dyDescent="0.25">
      <c r="A2" s="60" t="str">
        <f>IF(表紙!A2="","",表紙!A2)</f>
        <v>POSサーバー</v>
      </c>
      <c r="B2" s="61"/>
      <c r="C2" s="61"/>
      <c r="D2" s="61"/>
      <c r="E2" s="61"/>
      <c r="F2" s="61"/>
      <c r="G2" s="61"/>
      <c r="H2" s="61"/>
      <c r="I2" s="61"/>
      <c r="J2" s="62"/>
      <c r="K2" s="60" t="str">
        <f>IF(表紙!K2="","",表紙!K2)</f>
        <v>POSサーバー</v>
      </c>
      <c r="L2" s="61"/>
      <c r="M2" s="61"/>
      <c r="N2" s="61"/>
      <c r="O2" s="61"/>
      <c r="P2" s="61"/>
      <c r="Q2" s="61"/>
      <c r="R2" s="61"/>
      <c r="S2" s="61"/>
      <c r="T2" s="61"/>
      <c r="U2" s="61"/>
      <c r="V2" s="62"/>
      <c r="W2" s="313"/>
      <c r="X2" s="314"/>
      <c r="Y2" s="314"/>
      <c r="Z2" s="314"/>
      <c r="AA2" s="314"/>
      <c r="AB2" s="314"/>
      <c r="AC2" s="314"/>
      <c r="AD2" s="314"/>
      <c r="AE2" s="314"/>
      <c r="AF2" s="314"/>
      <c r="AG2" s="314"/>
      <c r="AH2" s="314"/>
      <c r="AI2" s="314"/>
      <c r="AJ2" s="314"/>
      <c r="AK2" s="314"/>
      <c r="AL2" s="314"/>
      <c r="AM2" s="314"/>
      <c r="AN2" s="314"/>
      <c r="AO2" s="315"/>
      <c r="AP2" s="183" t="str">
        <f>IF(表紙!AP2="","",表紙!AP2)</f>
        <v>TinNH</v>
      </c>
      <c r="AQ2" s="181"/>
      <c r="AR2" s="181"/>
      <c r="AS2" s="182"/>
      <c r="AT2" s="187">
        <f>IF(表紙!AT2="","",表紙!AT2)</f>
        <v>45441</v>
      </c>
      <c r="AU2" s="188"/>
      <c r="AV2" s="188"/>
      <c r="AW2" s="188"/>
      <c r="AX2" s="189"/>
      <c r="AY2" s="183" t="str">
        <f>IF(表紙!AY2="","",表紙!AY2)</f>
        <v>TinNH</v>
      </c>
      <c r="AZ2" s="181"/>
      <c r="BA2" s="181"/>
      <c r="BB2" s="182"/>
      <c r="BC2" s="187">
        <f>IF(表紙!BC2="","",表紙!BC2)</f>
        <v>45443</v>
      </c>
      <c r="BD2" s="188"/>
      <c r="BE2" s="188"/>
      <c r="BF2" s="188"/>
      <c r="BG2" s="189"/>
      <c r="BH2" s="183">
        <f>IF(表紙!BH2="","",表紙!BH2)</f>
        <v>0.2</v>
      </c>
      <c r="BI2" s="181"/>
      <c r="BJ2" s="181"/>
      <c r="BK2" s="182"/>
    </row>
    <row r="3" spans="1:63" ht="15" customHeight="1" x14ac:dyDescent="0.25">
      <c r="A3" s="63"/>
      <c r="B3" s="64"/>
      <c r="C3" s="64"/>
      <c r="D3" s="64"/>
      <c r="E3" s="64"/>
      <c r="F3" s="64"/>
      <c r="G3" s="64"/>
      <c r="H3" s="64"/>
      <c r="I3" s="64"/>
      <c r="J3" s="65"/>
      <c r="K3" s="63"/>
      <c r="L3" s="64"/>
      <c r="M3" s="64"/>
      <c r="N3" s="64"/>
      <c r="O3" s="64"/>
      <c r="P3" s="64"/>
      <c r="Q3" s="64"/>
      <c r="R3" s="64"/>
      <c r="S3" s="64"/>
      <c r="T3" s="64"/>
      <c r="U3" s="64"/>
      <c r="V3" s="65"/>
      <c r="W3" s="316"/>
      <c r="X3" s="317"/>
      <c r="Y3" s="317"/>
      <c r="Z3" s="317"/>
      <c r="AA3" s="317"/>
      <c r="AB3" s="317"/>
      <c r="AC3" s="317"/>
      <c r="AD3" s="317"/>
      <c r="AE3" s="317"/>
      <c r="AF3" s="317"/>
      <c r="AG3" s="317"/>
      <c r="AH3" s="317"/>
      <c r="AI3" s="317"/>
      <c r="AJ3" s="317"/>
      <c r="AK3" s="317"/>
      <c r="AL3" s="317"/>
      <c r="AM3" s="317"/>
      <c r="AN3" s="317"/>
      <c r="AO3" s="318"/>
      <c r="AP3" s="193"/>
      <c r="AQ3" s="194"/>
      <c r="AR3" s="194"/>
      <c r="AS3" s="195"/>
      <c r="AT3" s="199"/>
      <c r="AU3" s="200"/>
      <c r="AV3" s="200"/>
      <c r="AW3" s="200"/>
      <c r="AX3" s="201"/>
      <c r="AY3" s="193"/>
      <c r="AZ3" s="194"/>
      <c r="BA3" s="194"/>
      <c r="BB3" s="195"/>
      <c r="BC3" s="199"/>
      <c r="BD3" s="200"/>
      <c r="BE3" s="200"/>
      <c r="BF3" s="200"/>
      <c r="BG3" s="201"/>
      <c r="BH3" s="193"/>
      <c r="BI3" s="194"/>
      <c r="BJ3" s="194"/>
      <c r="BK3" s="195"/>
    </row>
    <row r="4" spans="1:63" ht="24.95" customHeight="1" x14ac:dyDescent="0.25">
      <c r="A4" s="307" t="s">
        <v>134</v>
      </c>
      <c r="B4" s="308"/>
      <c r="C4" s="308"/>
      <c r="D4" s="308"/>
      <c r="E4" s="308"/>
      <c r="F4" s="308"/>
      <c r="G4" s="309"/>
      <c r="H4" s="66" t="str">
        <f>IF(表紙!H4="","",表紙!H4)</f>
        <v>71_ノードマスタ設定</v>
      </c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8"/>
      <c r="U4" s="307" t="s">
        <v>135</v>
      </c>
      <c r="V4" s="308"/>
      <c r="W4" s="308"/>
      <c r="X4" s="308"/>
      <c r="Y4" s="309"/>
      <c r="Z4" s="66" t="str">
        <f>IF(表紙!Z4="","",表紙!Z4)</f>
        <v>概要設計書</v>
      </c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8"/>
      <c r="AP4" s="69" t="str">
        <f ca="1">MID(CELL("filename",A1),FIND("]",CELL("filename",A1))+1,255)</f>
        <v>画面設計書</v>
      </c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8"/>
    </row>
    <row r="5" spans="1:63" ht="5.0999999999999996" customHeight="1" x14ac:dyDescent="0.25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7"/>
    </row>
    <row r="6" spans="1:63" ht="15" customHeight="1" x14ac:dyDescent="0.25">
      <c r="A6" s="8"/>
      <c r="BK6" s="9"/>
    </row>
    <row r="7" spans="1:63" ht="15" customHeight="1" x14ac:dyDescent="0.25">
      <c r="A7" s="8"/>
      <c r="B7" s="319" t="s">
        <v>16</v>
      </c>
      <c r="C7" s="319"/>
      <c r="D7" s="319"/>
      <c r="E7" s="319"/>
      <c r="F7" s="319"/>
      <c r="G7" s="319"/>
      <c r="H7" s="319"/>
      <c r="I7" s="319"/>
      <c r="J7" s="319"/>
      <c r="AE7" s="10"/>
      <c r="BK7" s="9"/>
    </row>
    <row r="8" spans="1:63" ht="15" customHeight="1" x14ac:dyDescent="0.25">
      <c r="A8" s="8"/>
      <c r="BK8" s="9"/>
    </row>
    <row r="9" spans="1:63" ht="15" customHeight="1" x14ac:dyDescent="0.25">
      <c r="A9" s="8"/>
      <c r="BK9" s="9"/>
    </row>
    <row r="10" spans="1:63" ht="15" customHeight="1" x14ac:dyDescent="0.25">
      <c r="A10" s="8"/>
      <c r="BK10" s="9"/>
    </row>
    <row r="11" spans="1:63" ht="15" customHeight="1" x14ac:dyDescent="0.25">
      <c r="A11" s="8"/>
      <c r="BK11" s="9"/>
    </row>
    <row r="12" spans="1:63" ht="15" customHeight="1" x14ac:dyDescent="0.25">
      <c r="A12" s="8"/>
      <c r="BK12" s="9"/>
    </row>
    <row r="13" spans="1:63" ht="15" customHeight="1" x14ac:dyDescent="0.25">
      <c r="A13" s="8"/>
      <c r="BK13" s="9"/>
    </row>
    <row r="14" spans="1:63" ht="15" customHeight="1" x14ac:dyDescent="0.25">
      <c r="A14" s="8"/>
      <c r="BK14" s="9"/>
    </row>
    <row r="15" spans="1:63" ht="15" customHeight="1" x14ac:dyDescent="0.25">
      <c r="A15" s="8"/>
      <c r="BK15" s="9"/>
    </row>
    <row r="16" spans="1:63" ht="15" customHeight="1" x14ac:dyDescent="0.25">
      <c r="A16" s="8"/>
      <c r="BK16" s="9"/>
    </row>
    <row r="17" spans="1:63" ht="15" customHeight="1" x14ac:dyDescent="0.25">
      <c r="A17" s="8"/>
      <c r="BK17" s="9"/>
    </row>
    <row r="18" spans="1:63" ht="15" customHeight="1" x14ac:dyDescent="0.25">
      <c r="A18" s="8"/>
      <c r="BK18" s="9"/>
    </row>
    <row r="19" spans="1:63" ht="15" customHeight="1" x14ac:dyDescent="0.25">
      <c r="A19" s="8"/>
      <c r="BK19" s="9"/>
    </row>
    <row r="20" spans="1:63" ht="15" customHeight="1" x14ac:dyDescent="0.25">
      <c r="A20" s="8"/>
      <c r="BK20" s="9"/>
    </row>
    <row r="21" spans="1:63" ht="15" customHeight="1" x14ac:dyDescent="0.25">
      <c r="A21" s="8"/>
      <c r="BK21" s="9"/>
    </row>
    <row r="22" spans="1:63" ht="15" customHeight="1" x14ac:dyDescent="0.25">
      <c r="A22" s="8"/>
      <c r="BK22" s="9"/>
    </row>
    <row r="23" spans="1:63" ht="15" customHeight="1" x14ac:dyDescent="0.25">
      <c r="A23" s="8"/>
      <c r="BK23" s="9"/>
    </row>
    <row r="24" spans="1:63" ht="15" customHeight="1" x14ac:dyDescent="0.25">
      <c r="A24" s="8"/>
      <c r="BK24" s="9"/>
    </row>
    <row r="25" spans="1:63" ht="14.25" customHeight="1" x14ac:dyDescent="0.25">
      <c r="A25" s="8"/>
      <c r="BK25" s="9"/>
    </row>
    <row r="26" spans="1:63" ht="15" customHeight="1" x14ac:dyDescent="0.25">
      <c r="A26" s="8"/>
      <c r="BK26" s="9"/>
    </row>
    <row r="27" spans="1:63" ht="15" customHeight="1" x14ac:dyDescent="0.25">
      <c r="A27" s="8"/>
      <c r="BK27" s="9"/>
    </row>
    <row r="28" spans="1:63" x14ac:dyDescent="0.25">
      <c r="BK28" s="9"/>
    </row>
    <row r="29" spans="1:63" x14ac:dyDescent="0.25">
      <c r="BK29" s="9"/>
    </row>
    <row r="30" spans="1:63" x14ac:dyDescent="0.25">
      <c r="BK30" s="9"/>
    </row>
    <row r="31" spans="1:63" x14ac:dyDescent="0.25">
      <c r="BK31" s="9"/>
    </row>
    <row r="32" spans="1:63" x14ac:dyDescent="0.25">
      <c r="BK32" s="9"/>
    </row>
    <row r="33" spans="1:63" x14ac:dyDescent="0.25">
      <c r="BK33" s="9"/>
    </row>
    <row r="34" spans="1:63" x14ac:dyDescent="0.25">
      <c r="BK34" s="9"/>
    </row>
    <row r="35" spans="1:63" ht="15" customHeight="1" x14ac:dyDescent="0.25">
      <c r="A35" s="8"/>
      <c r="B35" s="10" t="s">
        <v>153</v>
      </c>
      <c r="BK35" s="9"/>
    </row>
    <row r="36" spans="1:63" x14ac:dyDescent="0.25">
      <c r="BK36" s="9"/>
    </row>
    <row r="37" spans="1:63" ht="15.75" customHeight="1" x14ac:dyDescent="0.25">
      <c r="B37" s="70" t="s">
        <v>154</v>
      </c>
      <c r="C37" s="71"/>
      <c r="D37" s="76" t="s">
        <v>155</v>
      </c>
      <c r="E37" s="77"/>
      <c r="F37" s="77"/>
      <c r="G37" s="77"/>
      <c r="H37" s="77"/>
      <c r="I37" s="77"/>
      <c r="J37" s="71"/>
      <c r="K37" s="76" t="s">
        <v>156</v>
      </c>
      <c r="L37" s="77"/>
      <c r="M37" s="71"/>
      <c r="N37" s="80" t="s">
        <v>17</v>
      </c>
      <c r="O37" s="83" t="s">
        <v>157</v>
      </c>
      <c r="P37" s="101" t="s">
        <v>158</v>
      </c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  <c r="AF37" s="102"/>
      <c r="AG37" s="102"/>
      <c r="AH37" s="102"/>
      <c r="AI37" s="102"/>
      <c r="AJ37" s="102"/>
      <c r="AK37" s="102"/>
      <c r="AL37" s="102"/>
      <c r="AM37" s="102"/>
      <c r="AN37" s="102"/>
      <c r="AO37" s="102"/>
      <c r="AP37" s="102"/>
      <c r="AQ37" s="103"/>
      <c r="AR37" s="86" t="s">
        <v>159</v>
      </c>
      <c r="AS37" s="87"/>
      <c r="AT37" s="87"/>
      <c r="AU37" s="87"/>
      <c r="AV37" s="87"/>
      <c r="AW37" s="87"/>
      <c r="AX37" s="87"/>
      <c r="AY37" s="87"/>
      <c r="AZ37" s="87"/>
      <c r="BA37" s="87"/>
      <c r="BB37" s="90"/>
      <c r="BC37" s="104" t="s">
        <v>160</v>
      </c>
      <c r="BD37" s="105"/>
      <c r="BE37" s="105"/>
      <c r="BF37" s="105"/>
      <c r="BG37" s="105"/>
      <c r="BH37" s="105"/>
      <c r="BI37" s="105"/>
      <c r="BJ37" s="106"/>
      <c r="BK37" s="9"/>
    </row>
    <row r="38" spans="1:63" ht="15.75" customHeight="1" x14ac:dyDescent="0.25">
      <c r="B38" s="72"/>
      <c r="C38" s="73"/>
      <c r="D38" s="72"/>
      <c r="E38" s="78"/>
      <c r="F38" s="78"/>
      <c r="G38" s="78"/>
      <c r="H38" s="78"/>
      <c r="I38" s="78"/>
      <c r="J38" s="73"/>
      <c r="K38" s="72"/>
      <c r="L38" s="78"/>
      <c r="M38" s="73"/>
      <c r="N38" s="81"/>
      <c r="O38" s="84"/>
      <c r="P38" s="113" t="s">
        <v>161</v>
      </c>
      <c r="Q38" s="114"/>
      <c r="R38" s="114"/>
      <c r="S38" s="114"/>
      <c r="T38" s="114"/>
      <c r="U38" s="114"/>
      <c r="V38" s="114"/>
      <c r="W38" s="115"/>
      <c r="X38" s="116" t="s">
        <v>162</v>
      </c>
      <c r="Y38" s="117"/>
      <c r="Z38" s="118"/>
      <c r="AA38" s="116" t="s">
        <v>163</v>
      </c>
      <c r="AB38" s="117"/>
      <c r="AC38" s="117"/>
      <c r="AD38" s="117"/>
      <c r="AE38" s="117"/>
      <c r="AF38" s="117"/>
      <c r="AG38" s="117"/>
      <c r="AH38" s="118"/>
      <c r="AI38" s="116" t="s">
        <v>164</v>
      </c>
      <c r="AJ38" s="117"/>
      <c r="AK38" s="117"/>
      <c r="AL38" s="117"/>
      <c r="AM38" s="117"/>
      <c r="AN38" s="117"/>
      <c r="AO38" s="117"/>
      <c r="AP38" s="117"/>
      <c r="AQ38" s="118"/>
      <c r="AR38" s="122" t="s">
        <v>18</v>
      </c>
      <c r="AS38" s="124" t="s">
        <v>165</v>
      </c>
      <c r="AT38" s="126" t="s">
        <v>166</v>
      </c>
      <c r="AU38" s="86" t="s">
        <v>161</v>
      </c>
      <c r="AV38" s="87"/>
      <c r="AW38" s="87"/>
      <c r="AX38" s="87"/>
      <c r="AY38" s="87"/>
      <c r="AZ38" s="87"/>
      <c r="BA38" s="87"/>
      <c r="BB38" s="90"/>
      <c r="BC38" s="107"/>
      <c r="BD38" s="108"/>
      <c r="BE38" s="108"/>
      <c r="BF38" s="108"/>
      <c r="BG38" s="108"/>
      <c r="BH38" s="108"/>
      <c r="BI38" s="108"/>
      <c r="BJ38" s="109"/>
      <c r="BK38" s="9"/>
    </row>
    <row r="39" spans="1:63" x14ac:dyDescent="0.25">
      <c r="B39" s="74"/>
      <c r="C39" s="75"/>
      <c r="D39" s="74"/>
      <c r="E39" s="79"/>
      <c r="F39" s="79"/>
      <c r="G39" s="79"/>
      <c r="H39" s="79"/>
      <c r="I39" s="79"/>
      <c r="J39" s="75"/>
      <c r="K39" s="74"/>
      <c r="L39" s="79"/>
      <c r="M39" s="75"/>
      <c r="N39" s="82"/>
      <c r="O39" s="85"/>
      <c r="P39" s="101" t="s">
        <v>167</v>
      </c>
      <c r="Q39" s="102"/>
      <c r="R39" s="102"/>
      <c r="S39" s="103"/>
      <c r="T39" s="101" t="s">
        <v>155</v>
      </c>
      <c r="U39" s="102"/>
      <c r="V39" s="102"/>
      <c r="W39" s="103"/>
      <c r="X39" s="119"/>
      <c r="Y39" s="120"/>
      <c r="Z39" s="121"/>
      <c r="AA39" s="119"/>
      <c r="AB39" s="120"/>
      <c r="AC39" s="120"/>
      <c r="AD39" s="120"/>
      <c r="AE39" s="120"/>
      <c r="AF39" s="120"/>
      <c r="AG39" s="120"/>
      <c r="AH39" s="121"/>
      <c r="AI39" s="119"/>
      <c r="AJ39" s="120"/>
      <c r="AK39" s="120"/>
      <c r="AL39" s="120"/>
      <c r="AM39" s="120"/>
      <c r="AN39" s="120"/>
      <c r="AO39" s="120"/>
      <c r="AP39" s="120"/>
      <c r="AQ39" s="121"/>
      <c r="AR39" s="123"/>
      <c r="AS39" s="125"/>
      <c r="AT39" s="127"/>
      <c r="AU39" s="86" t="s">
        <v>167</v>
      </c>
      <c r="AV39" s="87"/>
      <c r="AW39" s="87"/>
      <c r="AX39" s="88"/>
      <c r="AY39" s="89" t="s">
        <v>155</v>
      </c>
      <c r="AZ39" s="87"/>
      <c r="BA39" s="87"/>
      <c r="BB39" s="90"/>
      <c r="BC39" s="110"/>
      <c r="BD39" s="111"/>
      <c r="BE39" s="111"/>
      <c r="BF39" s="111"/>
      <c r="BG39" s="111"/>
      <c r="BH39" s="111"/>
      <c r="BI39" s="111"/>
      <c r="BJ39" s="112"/>
      <c r="BK39" s="9"/>
    </row>
    <row r="40" spans="1:63" ht="15.75" customHeight="1" x14ac:dyDescent="0.25">
      <c r="B40" s="91">
        <v>1</v>
      </c>
      <c r="C40" s="92"/>
      <c r="D40" s="93"/>
      <c r="E40" s="94"/>
      <c r="F40" s="94"/>
      <c r="G40" s="94"/>
      <c r="H40" s="94"/>
      <c r="I40" s="94"/>
      <c r="J40" s="95"/>
      <c r="K40" s="96" t="s">
        <v>19</v>
      </c>
      <c r="L40" s="97"/>
      <c r="M40" s="98"/>
      <c r="N40" s="11" t="s">
        <v>20</v>
      </c>
      <c r="O40" s="12" t="s">
        <v>21</v>
      </c>
      <c r="P40" s="99" t="s">
        <v>20</v>
      </c>
      <c r="Q40" s="100"/>
      <c r="R40" s="100"/>
      <c r="S40" s="92"/>
      <c r="T40" s="99" t="s">
        <v>20</v>
      </c>
      <c r="U40" s="100"/>
      <c r="V40" s="100"/>
      <c r="W40" s="92"/>
      <c r="X40" s="128" t="s">
        <v>151</v>
      </c>
      <c r="Y40" s="129"/>
      <c r="Z40" s="130"/>
      <c r="AA40" s="91" t="s">
        <v>22</v>
      </c>
      <c r="AB40" s="100"/>
      <c r="AC40" s="100"/>
      <c r="AD40" s="100"/>
      <c r="AE40" s="100"/>
      <c r="AF40" s="100"/>
      <c r="AG40" s="100"/>
      <c r="AH40" s="92"/>
      <c r="AI40" s="131" t="s">
        <v>20</v>
      </c>
      <c r="AJ40" s="132"/>
      <c r="AK40" s="132"/>
      <c r="AL40" s="132"/>
      <c r="AM40" s="132"/>
      <c r="AN40" s="132"/>
      <c r="AO40" s="132"/>
      <c r="AP40" s="132"/>
      <c r="AQ40" s="133"/>
      <c r="AR40" s="13" t="s">
        <v>20</v>
      </c>
      <c r="AS40" s="13" t="s">
        <v>22</v>
      </c>
      <c r="AT40" s="13" t="s">
        <v>22</v>
      </c>
      <c r="AU40" s="91" t="s">
        <v>23</v>
      </c>
      <c r="AV40" s="100"/>
      <c r="AW40" s="100"/>
      <c r="AX40" s="92"/>
      <c r="AY40" s="91" t="s">
        <v>22</v>
      </c>
      <c r="AZ40" s="100"/>
      <c r="BA40" s="100"/>
      <c r="BB40" s="92"/>
      <c r="BC40" s="320"/>
      <c r="BD40" s="321"/>
      <c r="BE40" s="321"/>
      <c r="BF40" s="321"/>
      <c r="BG40" s="321"/>
      <c r="BH40" s="321"/>
      <c r="BI40" s="321"/>
      <c r="BJ40" s="322"/>
      <c r="BK40" s="9"/>
    </row>
    <row r="41" spans="1:63" x14ac:dyDescent="0.25">
      <c r="B41" s="134">
        <v>2</v>
      </c>
      <c r="C41" s="135"/>
      <c r="D41" s="141"/>
      <c r="E41" s="142"/>
      <c r="F41" s="142"/>
      <c r="G41" s="142"/>
      <c r="H41" s="142"/>
      <c r="I41" s="142"/>
      <c r="J41" s="143"/>
      <c r="K41" s="96" t="s">
        <v>19</v>
      </c>
      <c r="L41" s="97"/>
      <c r="M41" s="98"/>
      <c r="N41" s="12" t="s">
        <v>24</v>
      </c>
      <c r="O41" s="12" t="s">
        <v>21</v>
      </c>
      <c r="P41" s="134" t="s">
        <v>23</v>
      </c>
      <c r="Q41" s="140"/>
      <c r="R41" s="140"/>
      <c r="S41" s="135"/>
      <c r="T41" s="134" t="s">
        <v>23</v>
      </c>
      <c r="U41" s="140"/>
      <c r="V41" s="140"/>
      <c r="W41" s="135"/>
      <c r="X41" s="151" t="s">
        <v>168</v>
      </c>
      <c r="Y41" s="152"/>
      <c r="Z41" s="153"/>
      <c r="AA41" s="134" t="s">
        <v>22</v>
      </c>
      <c r="AB41" s="140"/>
      <c r="AC41" s="140"/>
      <c r="AD41" s="140"/>
      <c r="AE41" s="140"/>
      <c r="AF41" s="140"/>
      <c r="AG41" s="140"/>
      <c r="AH41" s="135"/>
      <c r="AI41" s="147" t="s">
        <v>22</v>
      </c>
      <c r="AJ41" s="148"/>
      <c r="AK41" s="148"/>
      <c r="AL41" s="148"/>
      <c r="AM41" s="148"/>
      <c r="AN41" s="148"/>
      <c r="AO41" s="148"/>
      <c r="AP41" s="148"/>
      <c r="AQ41" s="149"/>
      <c r="AR41" s="14" t="s">
        <v>20</v>
      </c>
      <c r="AS41" s="14" t="s">
        <v>22</v>
      </c>
      <c r="AT41" s="14" t="s">
        <v>22</v>
      </c>
      <c r="AU41" s="134" t="s">
        <v>23</v>
      </c>
      <c r="AV41" s="140"/>
      <c r="AW41" s="140"/>
      <c r="AX41" s="135"/>
      <c r="AY41" s="134" t="s">
        <v>22</v>
      </c>
      <c r="AZ41" s="140"/>
      <c r="BA41" s="140"/>
      <c r="BB41" s="135"/>
      <c r="BC41" s="150"/>
      <c r="BD41" s="323"/>
      <c r="BE41" s="323"/>
      <c r="BF41" s="323"/>
      <c r="BG41" s="323"/>
      <c r="BH41" s="323"/>
      <c r="BI41" s="323"/>
      <c r="BJ41" s="324"/>
      <c r="BK41" s="9"/>
    </row>
    <row r="42" spans="1:63" x14ac:dyDescent="0.25">
      <c r="B42" s="134">
        <v>3</v>
      </c>
      <c r="C42" s="135"/>
      <c r="D42" s="136"/>
      <c r="E42" s="137"/>
      <c r="F42" s="137"/>
      <c r="G42" s="137"/>
      <c r="H42" s="137"/>
      <c r="I42" s="137"/>
      <c r="J42" s="138"/>
      <c r="K42" s="96" t="s">
        <v>19</v>
      </c>
      <c r="L42" s="97"/>
      <c r="M42" s="98"/>
      <c r="N42" s="12" t="s">
        <v>25</v>
      </c>
      <c r="O42" s="12" t="s">
        <v>20</v>
      </c>
      <c r="P42" s="139" t="s">
        <v>20</v>
      </c>
      <c r="Q42" s="140"/>
      <c r="R42" s="140"/>
      <c r="S42" s="135"/>
      <c r="T42" s="134"/>
      <c r="U42" s="140"/>
      <c r="V42" s="140"/>
      <c r="W42" s="135"/>
      <c r="X42" s="144" t="s">
        <v>20</v>
      </c>
      <c r="Y42" s="145"/>
      <c r="Z42" s="146"/>
      <c r="AA42" s="134" t="s">
        <v>22</v>
      </c>
      <c r="AB42" s="140"/>
      <c r="AC42" s="140"/>
      <c r="AD42" s="140"/>
      <c r="AE42" s="140"/>
      <c r="AF42" s="140"/>
      <c r="AG42" s="140"/>
      <c r="AH42" s="135"/>
      <c r="AI42" s="147" t="s">
        <v>22</v>
      </c>
      <c r="AJ42" s="148"/>
      <c r="AK42" s="148"/>
      <c r="AL42" s="148"/>
      <c r="AM42" s="148"/>
      <c r="AN42" s="148"/>
      <c r="AO42" s="148"/>
      <c r="AP42" s="148"/>
      <c r="AQ42" s="149"/>
      <c r="AR42" s="14" t="s">
        <v>20</v>
      </c>
      <c r="AS42" s="14" t="s">
        <v>22</v>
      </c>
      <c r="AT42" s="14" t="s">
        <v>22</v>
      </c>
      <c r="AU42" s="134" t="s">
        <v>23</v>
      </c>
      <c r="AV42" s="140"/>
      <c r="AW42" s="140"/>
      <c r="AX42" s="135"/>
      <c r="AY42" s="134" t="s">
        <v>22</v>
      </c>
      <c r="AZ42" s="140"/>
      <c r="BA42" s="140"/>
      <c r="BB42" s="135"/>
      <c r="BC42" s="325"/>
      <c r="BD42" s="323"/>
      <c r="BE42" s="323"/>
      <c r="BF42" s="323"/>
      <c r="BG42" s="323"/>
      <c r="BH42" s="323"/>
      <c r="BI42" s="323"/>
      <c r="BJ42" s="324"/>
      <c r="BK42" s="9"/>
    </row>
    <row r="43" spans="1:63" x14ac:dyDescent="0.25">
      <c r="B43" s="134">
        <v>4</v>
      </c>
      <c r="C43" s="135"/>
      <c r="D43" s="326"/>
      <c r="E43" s="327"/>
      <c r="F43" s="327"/>
      <c r="G43" s="327"/>
      <c r="H43" s="327"/>
      <c r="I43" s="327"/>
      <c r="J43" s="328"/>
      <c r="K43" s="96" t="s">
        <v>19</v>
      </c>
      <c r="L43" s="97"/>
      <c r="M43" s="98"/>
      <c r="N43" s="15" t="s">
        <v>24</v>
      </c>
      <c r="O43" s="12" t="s">
        <v>21</v>
      </c>
      <c r="P43" s="134" t="s">
        <v>23</v>
      </c>
      <c r="Q43" s="140"/>
      <c r="R43" s="140"/>
      <c r="S43" s="135"/>
      <c r="T43" s="134" t="s">
        <v>23</v>
      </c>
      <c r="U43" s="140"/>
      <c r="V43" s="140"/>
      <c r="W43" s="135"/>
      <c r="X43" s="154" t="s">
        <v>152</v>
      </c>
      <c r="Y43" s="140"/>
      <c r="Z43" s="135"/>
      <c r="AA43" s="134" t="s">
        <v>22</v>
      </c>
      <c r="AB43" s="140"/>
      <c r="AC43" s="140"/>
      <c r="AD43" s="140"/>
      <c r="AE43" s="140"/>
      <c r="AF43" s="140"/>
      <c r="AG43" s="140"/>
      <c r="AH43" s="135"/>
      <c r="AI43" s="147" t="s">
        <v>22</v>
      </c>
      <c r="AJ43" s="148"/>
      <c r="AK43" s="148"/>
      <c r="AL43" s="148"/>
      <c r="AM43" s="148"/>
      <c r="AN43" s="148"/>
      <c r="AO43" s="148"/>
      <c r="AP43" s="148"/>
      <c r="AQ43" s="149"/>
      <c r="AR43" s="14" t="s">
        <v>20</v>
      </c>
      <c r="AS43" s="14" t="s">
        <v>22</v>
      </c>
      <c r="AT43" s="14" t="s">
        <v>22</v>
      </c>
      <c r="AU43" s="134" t="s">
        <v>23</v>
      </c>
      <c r="AV43" s="140"/>
      <c r="AW43" s="140"/>
      <c r="AX43" s="135"/>
      <c r="AY43" s="134" t="s">
        <v>22</v>
      </c>
      <c r="AZ43" s="140"/>
      <c r="BA43" s="140"/>
      <c r="BB43" s="135"/>
      <c r="BC43" s="329"/>
      <c r="BD43" s="330"/>
      <c r="BE43" s="330"/>
      <c r="BF43" s="330"/>
      <c r="BG43" s="330"/>
      <c r="BH43" s="330"/>
      <c r="BI43" s="330"/>
      <c r="BJ43" s="331"/>
      <c r="BK43" s="9"/>
    </row>
    <row r="44" spans="1:63" x14ac:dyDescent="0.25">
      <c r="B44" s="134">
        <v>5</v>
      </c>
      <c r="C44" s="135"/>
      <c r="D44" s="136"/>
      <c r="E44" s="137"/>
      <c r="F44" s="137"/>
      <c r="G44" s="137"/>
      <c r="H44" s="137"/>
      <c r="I44" s="137"/>
      <c r="J44" s="138"/>
      <c r="K44" s="96" t="s">
        <v>26</v>
      </c>
      <c r="L44" s="97"/>
      <c r="M44" s="98"/>
      <c r="N44" s="15" t="s">
        <v>25</v>
      </c>
      <c r="O44" s="12" t="s">
        <v>20</v>
      </c>
      <c r="P44" s="134" t="s">
        <v>23</v>
      </c>
      <c r="Q44" s="140"/>
      <c r="R44" s="140"/>
      <c r="S44" s="135"/>
      <c r="T44" s="134" t="s">
        <v>23</v>
      </c>
      <c r="U44" s="140"/>
      <c r="V44" s="140"/>
      <c r="W44" s="135"/>
      <c r="X44" s="154" t="s">
        <v>20</v>
      </c>
      <c r="Y44" s="140"/>
      <c r="Z44" s="135"/>
      <c r="AA44" s="134" t="s">
        <v>22</v>
      </c>
      <c r="AB44" s="140"/>
      <c r="AC44" s="140"/>
      <c r="AD44" s="140"/>
      <c r="AE44" s="140"/>
      <c r="AF44" s="140"/>
      <c r="AG44" s="140"/>
      <c r="AH44" s="135"/>
      <c r="AI44" s="147" t="s">
        <v>22</v>
      </c>
      <c r="AJ44" s="148"/>
      <c r="AK44" s="148"/>
      <c r="AL44" s="148"/>
      <c r="AM44" s="148"/>
      <c r="AN44" s="148"/>
      <c r="AO44" s="148"/>
      <c r="AP44" s="148"/>
      <c r="AQ44" s="149"/>
      <c r="AR44" s="14" t="s">
        <v>20</v>
      </c>
      <c r="AS44" s="14" t="s">
        <v>22</v>
      </c>
      <c r="AT44" s="14" t="s">
        <v>22</v>
      </c>
      <c r="AU44" s="134" t="s">
        <v>23</v>
      </c>
      <c r="AV44" s="140"/>
      <c r="AW44" s="140"/>
      <c r="AX44" s="135"/>
      <c r="AY44" s="134" t="s">
        <v>22</v>
      </c>
      <c r="AZ44" s="140"/>
      <c r="BA44" s="140"/>
      <c r="BB44" s="135"/>
      <c r="BC44" s="325"/>
      <c r="BD44" s="323"/>
      <c r="BE44" s="323"/>
      <c r="BF44" s="323"/>
      <c r="BG44" s="323"/>
      <c r="BH44" s="323"/>
      <c r="BI44" s="323"/>
      <c r="BJ44" s="324"/>
      <c r="BK44" s="9"/>
    </row>
    <row r="45" spans="1:63" x14ac:dyDescent="0.25">
      <c r="B45" s="155">
        <v>6</v>
      </c>
      <c r="C45" s="157"/>
      <c r="D45" s="161"/>
      <c r="E45" s="162"/>
      <c r="F45" s="162"/>
      <c r="G45" s="162"/>
      <c r="H45" s="162"/>
      <c r="I45" s="162"/>
      <c r="J45" s="163"/>
      <c r="K45" s="164" t="s">
        <v>27</v>
      </c>
      <c r="L45" s="165"/>
      <c r="M45" s="166"/>
      <c r="N45" s="16" t="s">
        <v>25</v>
      </c>
      <c r="O45" s="16" t="s">
        <v>21</v>
      </c>
      <c r="P45" s="155" t="s">
        <v>23</v>
      </c>
      <c r="Q45" s="156"/>
      <c r="R45" s="156"/>
      <c r="S45" s="157"/>
      <c r="T45" s="155" t="s">
        <v>23</v>
      </c>
      <c r="U45" s="156"/>
      <c r="V45" s="156"/>
      <c r="W45" s="157"/>
      <c r="X45" s="167" t="s">
        <v>169</v>
      </c>
      <c r="Y45" s="168"/>
      <c r="Z45" s="169"/>
      <c r="AA45" s="155" t="s">
        <v>22</v>
      </c>
      <c r="AB45" s="156"/>
      <c r="AC45" s="156"/>
      <c r="AD45" s="156"/>
      <c r="AE45" s="156"/>
      <c r="AF45" s="156"/>
      <c r="AG45" s="156"/>
      <c r="AH45" s="157"/>
      <c r="AI45" s="158" t="s">
        <v>28</v>
      </c>
      <c r="AJ45" s="159"/>
      <c r="AK45" s="159"/>
      <c r="AL45" s="159"/>
      <c r="AM45" s="159"/>
      <c r="AN45" s="159"/>
      <c r="AO45" s="159"/>
      <c r="AP45" s="159"/>
      <c r="AQ45" s="160"/>
      <c r="AR45" s="17" t="s">
        <v>20</v>
      </c>
      <c r="AS45" s="17" t="s">
        <v>22</v>
      </c>
      <c r="AT45" s="17" t="s">
        <v>22</v>
      </c>
      <c r="AU45" s="155" t="s">
        <v>23</v>
      </c>
      <c r="AV45" s="156"/>
      <c r="AW45" s="156"/>
      <c r="AX45" s="157"/>
      <c r="AY45" s="155" t="s">
        <v>22</v>
      </c>
      <c r="AZ45" s="156"/>
      <c r="BA45" s="156"/>
      <c r="BB45" s="157"/>
      <c r="BC45" s="332" t="s">
        <v>29</v>
      </c>
      <c r="BD45" s="333"/>
      <c r="BE45" s="333"/>
      <c r="BF45" s="333"/>
      <c r="BG45" s="333"/>
      <c r="BH45" s="333"/>
      <c r="BI45" s="333"/>
      <c r="BJ45" s="334"/>
      <c r="BK45" s="9"/>
    </row>
    <row r="46" spans="1:63" x14ac:dyDescent="0.25">
      <c r="BK46" s="9"/>
    </row>
    <row r="47" spans="1:63" x14ac:dyDescent="0.25">
      <c r="BK47" s="9"/>
    </row>
    <row r="48" spans="1:63" x14ac:dyDescent="0.25">
      <c r="BK48" s="9"/>
    </row>
    <row r="49" spans="1:63" x14ac:dyDescent="0.25">
      <c r="BK49" s="9"/>
    </row>
    <row r="50" spans="1:63" x14ac:dyDescent="0.25">
      <c r="BK50" s="9"/>
    </row>
    <row r="51" spans="1:63" x14ac:dyDescent="0.25">
      <c r="BK51" s="9"/>
    </row>
    <row r="52" spans="1:63" x14ac:dyDescent="0.25">
      <c r="BK52" s="9"/>
    </row>
    <row r="53" spans="1:63" x14ac:dyDescent="0.25">
      <c r="BK53" s="9"/>
    </row>
    <row r="54" spans="1:63" x14ac:dyDescent="0.25">
      <c r="BK54" s="9"/>
    </row>
    <row r="55" spans="1:63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7"/>
    </row>
  </sheetData>
  <mergeCells count="106">
    <mergeCell ref="AA45:AH45"/>
    <mergeCell ref="AI45:AQ45"/>
    <mergeCell ref="AU45:AX45"/>
    <mergeCell ref="AY45:BB45"/>
    <mergeCell ref="BC45:BJ45"/>
    <mergeCell ref="B45:C45"/>
    <mergeCell ref="D45:J45"/>
    <mergeCell ref="K45:M45"/>
    <mergeCell ref="P45:S45"/>
    <mergeCell ref="T45:W45"/>
    <mergeCell ref="X45:Z45"/>
    <mergeCell ref="X44:Z44"/>
    <mergeCell ref="AA44:AH44"/>
    <mergeCell ref="AI44:AQ44"/>
    <mergeCell ref="AU44:AX44"/>
    <mergeCell ref="AY44:BB44"/>
    <mergeCell ref="BC44:BJ44"/>
    <mergeCell ref="AA43:AH43"/>
    <mergeCell ref="AI43:AQ43"/>
    <mergeCell ref="AU43:AX43"/>
    <mergeCell ref="AY43:BB43"/>
    <mergeCell ref="BC43:BJ43"/>
    <mergeCell ref="X43:Z43"/>
    <mergeCell ref="B44:C44"/>
    <mergeCell ref="D44:J44"/>
    <mergeCell ref="K44:M44"/>
    <mergeCell ref="P44:S44"/>
    <mergeCell ref="T44:W44"/>
    <mergeCell ref="B43:C43"/>
    <mergeCell ref="D43:J43"/>
    <mergeCell ref="K43:M43"/>
    <mergeCell ref="P43:S43"/>
    <mergeCell ref="T43:W43"/>
    <mergeCell ref="X42:Z42"/>
    <mergeCell ref="AA42:AH42"/>
    <mergeCell ref="AI42:AQ42"/>
    <mergeCell ref="AU42:AX42"/>
    <mergeCell ref="AY42:BB42"/>
    <mergeCell ref="BC42:BJ42"/>
    <mergeCell ref="AA41:AH41"/>
    <mergeCell ref="AI41:AQ41"/>
    <mergeCell ref="AU41:AX41"/>
    <mergeCell ref="AY41:BB41"/>
    <mergeCell ref="BC41:BJ41"/>
    <mergeCell ref="X41:Z41"/>
    <mergeCell ref="B42:C42"/>
    <mergeCell ref="D42:J42"/>
    <mergeCell ref="K42:M42"/>
    <mergeCell ref="P42:S42"/>
    <mergeCell ref="T42:W42"/>
    <mergeCell ref="B41:C41"/>
    <mergeCell ref="D41:J41"/>
    <mergeCell ref="K41:M41"/>
    <mergeCell ref="P41:S41"/>
    <mergeCell ref="T41:W41"/>
    <mergeCell ref="B40:C40"/>
    <mergeCell ref="D40:J40"/>
    <mergeCell ref="K40:M40"/>
    <mergeCell ref="P40:S40"/>
    <mergeCell ref="T40:W40"/>
    <mergeCell ref="P37:AQ37"/>
    <mergeCell ref="AR37:BB37"/>
    <mergeCell ref="BC37:BJ39"/>
    <mergeCell ref="P38:W38"/>
    <mergeCell ref="X38:Z39"/>
    <mergeCell ref="AA38:AH39"/>
    <mergeCell ref="AI38:AQ39"/>
    <mergeCell ref="AR38:AR39"/>
    <mergeCell ref="AS38:AS39"/>
    <mergeCell ref="AT38:AT39"/>
    <mergeCell ref="X40:Z40"/>
    <mergeCell ref="AA40:AH40"/>
    <mergeCell ref="AI40:AQ40"/>
    <mergeCell ref="AU40:AX40"/>
    <mergeCell ref="AY40:BB40"/>
    <mergeCell ref="BC40:BJ40"/>
    <mergeCell ref="AU38:BB38"/>
    <mergeCell ref="P39:S39"/>
    <mergeCell ref="T39:W39"/>
    <mergeCell ref="A4:G4"/>
    <mergeCell ref="H4:T4"/>
    <mergeCell ref="U4:Y4"/>
    <mergeCell ref="Z4:AO4"/>
    <mergeCell ref="AP4:BK4"/>
    <mergeCell ref="B37:C39"/>
    <mergeCell ref="D37:J39"/>
    <mergeCell ref="K37:M39"/>
    <mergeCell ref="N37:N39"/>
    <mergeCell ref="O37:O39"/>
    <mergeCell ref="AU39:AX39"/>
    <mergeCell ref="AY39:BB39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dataValidations count="1">
    <dataValidation type="list" allowBlank="1" showInputMessage="1" showErrorMessage="1" sqref="O40:O45" xr:uid="{00000000-0002-0000-0500-000000000000}">
      <formula1>"－,●"</formula1>
    </dataValidation>
  </dataValidations>
  <pageMargins left="0.7" right="0.7" top="0.75" bottom="0.75" header="0.3" footer="0.3"/>
  <pageSetup scale="3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1A055-719B-4C1D-931A-2CF436FA7579}">
  <sheetPr>
    <pageSetUpPr fitToPage="1"/>
  </sheetPr>
  <dimension ref="A1:BK77"/>
  <sheetViews>
    <sheetView view="pageBreakPreview" zoomScale="85" zoomScaleNormal="8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80" customWidth="1"/>
    <col min="61" max="16384" width="2.77734375" style="180"/>
  </cols>
  <sheetData>
    <row r="1" spans="1:63" ht="24.95" customHeight="1" x14ac:dyDescent="0.25">
      <c r="A1" s="307" t="s">
        <v>125</v>
      </c>
      <c r="B1" s="308"/>
      <c r="C1" s="308"/>
      <c r="D1" s="308"/>
      <c r="E1" s="308"/>
      <c r="F1" s="308"/>
      <c r="G1" s="308"/>
      <c r="H1" s="308"/>
      <c r="I1" s="308"/>
      <c r="J1" s="309"/>
      <c r="K1" s="307" t="s">
        <v>126</v>
      </c>
      <c r="L1" s="308"/>
      <c r="M1" s="308"/>
      <c r="N1" s="308"/>
      <c r="O1" s="308"/>
      <c r="P1" s="308"/>
      <c r="Q1" s="308"/>
      <c r="R1" s="308"/>
      <c r="S1" s="308"/>
      <c r="T1" s="308"/>
      <c r="U1" s="308"/>
      <c r="V1" s="309"/>
      <c r="W1" s="310" t="str">
        <f>IF(表紙!W1="","",表紙!W1)</f>
        <v>基本設計書</v>
      </c>
      <c r="X1" s="311"/>
      <c r="Y1" s="311"/>
      <c r="Z1" s="311"/>
      <c r="AA1" s="311"/>
      <c r="AB1" s="311"/>
      <c r="AC1" s="311"/>
      <c r="AD1" s="311"/>
      <c r="AE1" s="311"/>
      <c r="AF1" s="311"/>
      <c r="AG1" s="311"/>
      <c r="AH1" s="311"/>
      <c r="AI1" s="311"/>
      <c r="AJ1" s="311"/>
      <c r="AK1" s="311"/>
      <c r="AL1" s="311"/>
      <c r="AM1" s="311"/>
      <c r="AN1" s="311"/>
      <c r="AO1" s="312"/>
      <c r="AP1" s="174" t="s">
        <v>128</v>
      </c>
      <c r="AQ1" s="175"/>
      <c r="AR1" s="175"/>
      <c r="AS1" s="176"/>
      <c r="AT1" s="174" t="s">
        <v>129</v>
      </c>
      <c r="AU1" s="175"/>
      <c r="AV1" s="175"/>
      <c r="AW1" s="175"/>
      <c r="AX1" s="176"/>
      <c r="AY1" s="174" t="s">
        <v>130</v>
      </c>
      <c r="AZ1" s="175"/>
      <c r="BA1" s="175"/>
      <c r="BB1" s="176"/>
      <c r="BC1" s="174" t="s">
        <v>131</v>
      </c>
      <c r="BD1" s="175"/>
      <c r="BE1" s="175"/>
      <c r="BF1" s="175"/>
      <c r="BG1" s="176"/>
      <c r="BH1" s="174" t="s">
        <v>132</v>
      </c>
      <c r="BI1" s="175"/>
      <c r="BJ1" s="175"/>
      <c r="BK1" s="176"/>
    </row>
    <row r="2" spans="1:63" ht="15" customHeight="1" x14ac:dyDescent="0.25">
      <c r="A2" s="60" t="str">
        <f>IF(表紙!A2="","",表紙!A2)</f>
        <v>POSサーバー</v>
      </c>
      <c r="B2" s="61"/>
      <c r="C2" s="61"/>
      <c r="D2" s="61"/>
      <c r="E2" s="61"/>
      <c r="F2" s="61"/>
      <c r="G2" s="61"/>
      <c r="H2" s="61"/>
      <c r="I2" s="61"/>
      <c r="J2" s="62"/>
      <c r="K2" s="60" t="str">
        <f>IF(表紙!K2="","",表紙!K2)</f>
        <v>POSサーバー</v>
      </c>
      <c r="L2" s="61"/>
      <c r="M2" s="61"/>
      <c r="N2" s="61"/>
      <c r="O2" s="61"/>
      <c r="P2" s="61"/>
      <c r="Q2" s="61"/>
      <c r="R2" s="61"/>
      <c r="S2" s="61"/>
      <c r="T2" s="61"/>
      <c r="U2" s="61"/>
      <c r="V2" s="62"/>
      <c r="W2" s="313"/>
      <c r="X2" s="314"/>
      <c r="Y2" s="314"/>
      <c r="Z2" s="314"/>
      <c r="AA2" s="314"/>
      <c r="AB2" s="314"/>
      <c r="AC2" s="314"/>
      <c r="AD2" s="314"/>
      <c r="AE2" s="314"/>
      <c r="AF2" s="314"/>
      <c r="AG2" s="314"/>
      <c r="AH2" s="314"/>
      <c r="AI2" s="314"/>
      <c r="AJ2" s="314"/>
      <c r="AK2" s="314"/>
      <c r="AL2" s="314"/>
      <c r="AM2" s="314"/>
      <c r="AN2" s="314"/>
      <c r="AO2" s="315"/>
      <c r="AP2" s="183" t="str">
        <f>IF(表紙!AP2="","",表紙!AP2)</f>
        <v>TinNH</v>
      </c>
      <c r="AQ2" s="181"/>
      <c r="AR2" s="181"/>
      <c r="AS2" s="182"/>
      <c r="AT2" s="187">
        <f>IF(表紙!AT2="","",表紙!AT2)</f>
        <v>45441</v>
      </c>
      <c r="AU2" s="188"/>
      <c r="AV2" s="188"/>
      <c r="AW2" s="188"/>
      <c r="AX2" s="189"/>
      <c r="AY2" s="183" t="str">
        <f>IF(表紙!AY2="","",表紙!AY2)</f>
        <v>TinNH</v>
      </c>
      <c r="AZ2" s="181"/>
      <c r="BA2" s="181"/>
      <c r="BB2" s="182"/>
      <c r="BC2" s="187">
        <f>IF(表紙!BC2="","",表紙!BC2)</f>
        <v>45443</v>
      </c>
      <c r="BD2" s="188"/>
      <c r="BE2" s="188"/>
      <c r="BF2" s="188"/>
      <c r="BG2" s="189"/>
      <c r="BH2" s="183">
        <f>IF(表紙!BH2="","",表紙!BH2)</f>
        <v>0.2</v>
      </c>
      <c r="BI2" s="181"/>
      <c r="BJ2" s="181"/>
      <c r="BK2" s="182"/>
    </row>
    <row r="3" spans="1:63" ht="15" customHeight="1" x14ac:dyDescent="0.25">
      <c r="A3" s="63"/>
      <c r="B3" s="64"/>
      <c r="C3" s="64"/>
      <c r="D3" s="64"/>
      <c r="E3" s="64"/>
      <c r="F3" s="64"/>
      <c r="G3" s="64"/>
      <c r="H3" s="64"/>
      <c r="I3" s="64"/>
      <c r="J3" s="65"/>
      <c r="K3" s="63"/>
      <c r="L3" s="64"/>
      <c r="M3" s="64"/>
      <c r="N3" s="64"/>
      <c r="O3" s="64"/>
      <c r="P3" s="64"/>
      <c r="Q3" s="64"/>
      <c r="R3" s="64"/>
      <c r="S3" s="64"/>
      <c r="T3" s="64"/>
      <c r="U3" s="64"/>
      <c r="V3" s="65"/>
      <c r="W3" s="316"/>
      <c r="X3" s="317"/>
      <c r="Y3" s="317"/>
      <c r="Z3" s="317"/>
      <c r="AA3" s="317"/>
      <c r="AB3" s="317"/>
      <c r="AC3" s="317"/>
      <c r="AD3" s="317"/>
      <c r="AE3" s="317"/>
      <c r="AF3" s="317"/>
      <c r="AG3" s="317"/>
      <c r="AH3" s="317"/>
      <c r="AI3" s="317"/>
      <c r="AJ3" s="317"/>
      <c r="AK3" s="317"/>
      <c r="AL3" s="317"/>
      <c r="AM3" s="317"/>
      <c r="AN3" s="317"/>
      <c r="AO3" s="318"/>
      <c r="AP3" s="193"/>
      <c r="AQ3" s="194"/>
      <c r="AR3" s="194"/>
      <c r="AS3" s="195"/>
      <c r="AT3" s="199"/>
      <c r="AU3" s="200"/>
      <c r="AV3" s="200"/>
      <c r="AW3" s="200"/>
      <c r="AX3" s="201"/>
      <c r="AY3" s="193"/>
      <c r="AZ3" s="194"/>
      <c r="BA3" s="194"/>
      <c r="BB3" s="195"/>
      <c r="BC3" s="199"/>
      <c r="BD3" s="200"/>
      <c r="BE3" s="200"/>
      <c r="BF3" s="200"/>
      <c r="BG3" s="201"/>
      <c r="BH3" s="193"/>
      <c r="BI3" s="194"/>
      <c r="BJ3" s="194"/>
      <c r="BK3" s="195"/>
    </row>
    <row r="4" spans="1:63" ht="24.95" customHeight="1" x14ac:dyDescent="0.25">
      <c r="A4" s="307" t="s">
        <v>134</v>
      </c>
      <c r="B4" s="308"/>
      <c r="C4" s="308"/>
      <c r="D4" s="308"/>
      <c r="E4" s="308"/>
      <c r="F4" s="308"/>
      <c r="G4" s="309"/>
      <c r="H4" s="66" t="str">
        <f>IF(表紙!H4="","",表紙!H4)</f>
        <v>71_ノードマスタ設定</v>
      </c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8"/>
      <c r="U4" s="307" t="s">
        <v>135</v>
      </c>
      <c r="V4" s="308"/>
      <c r="W4" s="308"/>
      <c r="X4" s="308"/>
      <c r="Y4" s="309"/>
      <c r="Z4" s="66" t="str">
        <f>IF(表紙!Z4="","",表紙!Z4)</f>
        <v>概要設計書</v>
      </c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8"/>
      <c r="AP4" s="69" t="str">
        <f ca="1">MID(CELL("filename",A1),FIND("]",CELL("filename",A1))+1,255)</f>
        <v>参照</v>
      </c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8"/>
    </row>
    <row r="5" spans="1:63" ht="5.0999999999999996" customHeight="1" x14ac:dyDescent="0.25">
      <c r="A5" s="208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  <c r="Z5" s="209"/>
      <c r="AA5" s="209"/>
      <c r="AB5" s="209"/>
      <c r="AC5" s="209"/>
      <c r="AD5" s="209"/>
      <c r="AE5" s="209"/>
      <c r="AF5" s="209"/>
      <c r="AG5" s="209"/>
      <c r="AH5" s="209"/>
      <c r="AI5" s="209"/>
      <c r="AJ5" s="209"/>
      <c r="AK5" s="209"/>
      <c r="AL5" s="209"/>
      <c r="AM5" s="209"/>
      <c r="AN5" s="209"/>
      <c r="AO5" s="209"/>
      <c r="AP5" s="209"/>
      <c r="AQ5" s="209"/>
      <c r="AR5" s="209"/>
      <c r="AS5" s="209"/>
      <c r="AT5" s="209"/>
      <c r="AU5" s="209"/>
      <c r="AV5" s="209"/>
      <c r="AW5" s="209"/>
      <c r="AX5" s="209"/>
      <c r="AY5" s="209"/>
      <c r="AZ5" s="209"/>
      <c r="BA5" s="209"/>
      <c r="BB5" s="209"/>
      <c r="BC5" s="209"/>
      <c r="BD5" s="209"/>
      <c r="BE5" s="209"/>
      <c r="BF5" s="209"/>
      <c r="BG5" s="209"/>
      <c r="BH5" s="209"/>
      <c r="BI5" s="209"/>
      <c r="BJ5" s="209"/>
      <c r="BK5" s="210"/>
    </row>
    <row r="6" spans="1:63" ht="15" customHeight="1" x14ac:dyDescent="0.25">
      <c r="A6" s="211"/>
      <c r="BK6" s="212"/>
    </row>
    <row r="7" spans="1:63" ht="15" customHeight="1" x14ac:dyDescent="0.25">
      <c r="A7" s="211"/>
      <c r="B7" s="288"/>
      <c r="C7" s="289"/>
      <c r="D7" s="290"/>
      <c r="E7" s="290"/>
      <c r="F7" s="290"/>
      <c r="G7" s="290"/>
      <c r="H7" s="290"/>
      <c r="I7" s="290"/>
      <c r="J7" s="290"/>
      <c r="K7" s="290"/>
      <c r="L7" s="290"/>
      <c r="M7" s="290"/>
      <c r="N7" s="290"/>
      <c r="O7" s="290"/>
      <c r="P7" s="290"/>
      <c r="Q7" s="290"/>
      <c r="R7" s="290"/>
      <c r="S7" s="290"/>
      <c r="T7" s="291"/>
      <c r="U7" s="289"/>
      <c r="V7" s="290"/>
      <c r="W7" s="290"/>
      <c r="X7" s="290"/>
      <c r="Y7" s="290"/>
      <c r="Z7" s="290"/>
      <c r="AA7" s="290"/>
      <c r="AB7" s="290"/>
      <c r="AC7" s="291"/>
      <c r="AD7" s="289"/>
      <c r="AE7" s="290"/>
      <c r="AF7" s="290"/>
      <c r="AG7" s="290"/>
      <c r="AH7" s="290"/>
      <c r="AI7" s="290"/>
      <c r="AJ7" s="290"/>
      <c r="AK7" s="290"/>
      <c r="AL7" s="291"/>
      <c r="AM7" s="289"/>
      <c r="AN7" s="290"/>
      <c r="AO7" s="290"/>
      <c r="AP7" s="290"/>
      <c r="AQ7" s="290"/>
      <c r="AR7" s="290"/>
      <c r="AS7" s="290"/>
      <c r="AT7" s="290"/>
      <c r="AU7" s="290"/>
      <c r="AV7" s="290"/>
      <c r="AW7" s="290"/>
      <c r="AX7" s="290"/>
      <c r="AY7" s="290"/>
      <c r="AZ7" s="290"/>
      <c r="BA7" s="290"/>
      <c r="BB7" s="290"/>
      <c r="BC7" s="290"/>
      <c r="BD7" s="290"/>
      <c r="BE7" s="290"/>
      <c r="BF7" s="290"/>
      <c r="BG7" s="290"/>
      <c r="BH7" s="290"/>
      <c r="BI7" s="291"/>
      <c r="BJ7" s="290"/>
      <c r="BK7" s="212"/>
    </row>
    <row r="8" spans="1:63" ht="15" customHeight="1" x14ac:dyDescent="0.25">
      <c r="A8" s="211"/>
      <c r="C8" s="292"/>
      <c r="U8" s="292"/>
      <c r="AD8" s="292"/>
      <c r="AM8" s="292"/>
      <c r="BI8" s="293"/>
    </row>
    <row r="9" spans="1:63" ht="15" customHeight="1" x14ac:dyDescent="0.25">
      <c r="A9" s="211"/>
      <c r="C9" s="28" t="s">
        <v>39</v>
      </c>
      <c r="I9" s="27" t="s">
        <v>170</v>
      </c>
      <c r="L9" s="27"/>
      <c r="U9" s="292"/>
      <c r="V9" s="28" t="s">
        <v>122</v>
      </c>
      <c r="AD9" s="292"/>
      <c r="AE9" s="30" t="s">
        <v>123</v>
      </c>
      <c r="AM9" s="292"/>
      <c r="AN9" s="30" t="s">
        <v>116</v>
      </c>
      <c r="BI9" s="293"/>
    </row>
    <row r="10" spans="1:63" ht="15" customHeight="1" x14ac:dyDescent="0.25">
      <c r="A10" s="211"/>
      <c r="C10" s="335" t="s">
        <v>171</v>
      </c>
      <c r="D10" s="336" t="s">
        <v>172</v>
      </c>
      <c r="E10" s="336"/>
      <c r="F10" s="336"/>
      <c r="G10" s="336"/>
      <c r="I10" s="335" t="s">
        <v>171</v>
      </c>
      <c r="J10" s="337" t="s">
        <v>173</v>
      </c>
      <c r="K10" s="338"/>
      <c r="L10" s="338"/>
      <c r="M10" s="338"/>
      <c r="N10" s="338"/>
      <c r="O10" s="338"/>
      <c r="P10" s="338"/>
      <c r="Q10" s="338"/>
      <c r="R10" s="339"/>
      <c r="S10" s="339"/>
      <c r="T10" s="339"/>
      <c r="U10" s="292"/>
      <c r="V10" s="29" t="s">
        <v>171</v>
      </c>
      <c r="W10" s="173" t="s">
        <v>114</v>
      </c>
      <c r="X10" s="173"/>
      <c r="Y10" s="173"/>
      <c r="Z10" s="173"/>
      <c r="AA10" s="173"/>
      <c r="AB10" s="173"/>
      <c r="AC10" s="173"/>
      <c r="AD10" s="292"/>
      <c r="AE10" s="29" t="s">
        <v>171</v>
      </c>
      <c r="AF10" s="173" t="s">
        <v>115</v>
      </c>
      <c r="AG10" s="173"/>
      <c r="AH10" s="173"/>
      <c r="AI10" s="173"/>
      <c r="AJ10" s="173"/>
      <c r="AK10" s="173"/>
      <c r="AL10" s="173"/>
      <c r="AM10" s="292"/>
      <c r="AN10" s="180" t="s">
        <v>118</v>
      </c>
      <c r="BI10" s="293"/>
    </row>
    <row r="11" spans="1:63" ht="15" customHeight="1" x14ac:dyDescent="0.25">
      <c r="A11" s="211"/>
      <c r="C11" s="340">
        <v>1</v>
      </c>
      <c r="D11" s="341" t="s">
        <v>40</v>
      </c>
      <c r="E11" s="341"/>
      <c r="F11" s="341"/>
      <c r="G11" s="341"/>
      <c r="I11" s="340">
        <v>1</v>
      </c>
      <c r="J11" s="341" t="s">
        <v>45</v>
      </c>
      <c r="K11" s="341" t="s">
        <v>45</v>
      </c>
      <c r="L11" s="341" t="s">
        <v>45</v>
      </c>
      <c r="M11" s="341" t="s">
        <v>45</v>
      </c>
      <c r="N11" s="341" t="s">
        <v>45</v>
      </c>
      <c r="O11" s="341" t="s">
        <v>45</v>
      </c>
      <c r="P11" s="341" t="s">
        <v>45</v>
      </c>
      <c r="Q11" s="341" t="s">
        <v>45</v>
      </c>
      <c r="R11" s="342"/>
      <c r="S11" s="342"/>
      <c r="T11" s="342"/>
      <c r="U11" s="292"/>
      <c r="V11" s="343">
        <v>1</v>
      </c>
      <c r="W11" s="344" t="s">
        <v>124</v>
      </c>
      <c r="X11" s="345" t="s">
        <v>124</v>
      </c>
      <c r="Y11" s="345" t="s">
        <v>124</v>
      </c>
      <c r="Z11" s="345" t="s">
        <v>124</v>
      </c>
      <c r="AA11" s="345" t="s">
        <v>124</v>
      </c>
      <c r="AB11" s="345" t="s">
        <v>124</v>
      </c>
      <c r="AC11" s="346" t="s">
        <v>124</v>
      </c>
      <c r="AD11" s="292"/>
      <c r="AE11" s="343">
        <v>1</v>
      </c>
      <c r="AF11" s="344" t="s">
        <v>117</v>
      </c>
      <c r="AG11" s="345" t="s">
        <v>124</v>
      </c>
      <c r="AH11" s="345" t="s">
        <v>124</v>
      </c>
      <c r="AI11" s="345" t="s">
        <v>124</v>
      </c>
      <c r="AJ11" s="345" t="s">
        <v>124</v>
      </c>
      <c r="AK11" s="345" t="s">
        <v>124</v>
      </c>
      <c r="AL11" s="346" t="s">
        <v>124</v>
      </c>
      <c r="AM11" s="292"/>
      <c r="BI11" s="293"/>
    </row>
    <row r="12" spans="1:63" ht="15" customHeight="1" x14ac:dyDescent="0.25">
      <c r="A12" s="211"/>
      <c r="C12" s="340">
        <v>2</v>
      </c>
      <c r="D12" s="341" t="s">
        <v>41</v>
      </c>
      <c r="E12" s="341"/>
      <c r="F12" s="341"/>
      <c r="G12" s="341"/>
      <c r="I12" s="340">
        <v>2</v>
      </c>
      <c r="J12" s="341" t="s">
        <v>46</v>
      </c>
      <c r="K12" s="341" t="s">
        <v>46</v>
      </c>
      <c r="L12" s="341" t="s">
        <v>46</v>
      </c>
      <c r="M12" s="341" t="s">
        <v>46</v>
      </c>
      <c r="N12" s="341" t="s">
        <v>46</v>
      </c>
      <c r="O12" s="341" t="s">
        <v>46</v>
      </c>
      <c r="P12" s="341" t="s">
        <v>46</v>
      </c>
      <c r="Q12" s="341" t="s">
        <v>46</v>
      </c>
      <c r="R12" s="342"/>
      <c r="S12" s="342"/>
      <c r="T12" s="342"/>
      <c r="U12" s="292"/>
      <c r="V12" s="343">
        <v>2</v>
      </c>
      <c r="W12" s="344" t="s">
        <v>45</v>
      </c>
      <c r="X12" s="345" t="s">
        <v>45</v>
      </c>
      <c r="Y12" s="345" t="s">
        <v>45</v>
      </c>
      <c r="Z12" s="345" t="s">
        <v>45</v>
      </c>
      <c r="AA12" s="345" t="s">
        <v>45</v>
      </c>
      <c r="AB12" s="345" t="s">
        <v>45</v>
      </c>
      <c r="AC12" s="346" t="s">
        <v>45</v>
      </c>
      <c r="AD12" s="292"/>
      <c r="AM12" s="292"/>
      <c r="AX12" s="180" t="s">
        <v>30</v>
      </c>
      <c r="BI12" s="293"/>
    </row>
    <row r="13" spans="1:63" ht="15" customHeight="1" x14ac:dyDescent="0.25">
      <c r="A13" s="211"/>
      <c r="C13" s="340">
        <v>3</v>
      </c>
      <c r="D13" s="341" t="s">
        <v>42</v>
      </c>
      <c r="E13" s="341"/>
      <c r="F13" s="341"/>
      <c r="G13" s="341"/>
      <c r="I13" s="340">
        <v>3</v>
      </c>
      <c r="J13" s="341" t="s">
        <v>47</v>
      </c>
      <c r="K13" s="341" t="s">
        <v>47</v>
      </c>
      <c r="L13" s="341" t="s">
        <v>47</v>
      </c>
      <c r="M13" s="341" t="s">
        <v>47</v>
      </c>
      <c r="N13" s="341" t="s">
        <v>47</v>
      </c>
      <c r="O13" s="341" t="s">
        <v>47</v>
      </c>
      <c r="P13" s="341" t="s">
        <v>47</v>
      </c>
      <c r="Q13" s="341" t="s">
        <v>47</v>
      </c>
      <c r="R13" s="347"/>
      <c r="S13" s="347"/>
      <c r="T13" s="347"/>
      <c r="U13" s="292"/>
      <c r="V13" s="343">
        <v>3</v>
      </c>
      <c r="W13" s="344" t="s">
        <v>66</v>
      </c>
      <c r="X13" s="345" t="s">
        <v>66</v>
      </c>
      <c r="Y13" s="345" t="s">
        <v>66</v>
      </c>
      <c r="Z13" s="345" t="s">
        <v>66</v>
      </c>
      <c r="AA13" s="345" t="s">
        <v>66</v>
      </c>
      <c r="AB13" s="345" t="s">
        <v>66</v>
      </c>
      <c r="AC13" s="346" t="s">
        <v>66</v>
      </c>
      <c r="AD13" s="292"/>
      <c r="AM13" s="292"/>
      <c r="BI13" s="293"/>
    </row>
    <row r="14" spans="1:63" ht="15" customHeight="1" x14ac:dyDescent="0.25">
      <c r="A14" s="211"/>
      <c r="C14" s="340">
        <v>4</v>
      </c>
      <c r="D14" s="341" t="s">
        <v>43</v>
      </c>
      <c r="E14" s="341"/>
      <c r="F14" s="341"/>
      <c r="G14" s="341"/>
      <c r="I14" s="340">
        <v>4</v>
      </c>
      <c r="J14" s="341" t="s">
        <v>48</v>
      </c>
      <c r="K14" s="341" t="s">
        <v>48</v>
      </c>
      <c r="L14" s="341" t="s">
        <v>48</v>
      </c>
      <c r="M14" s="341" t="s">
        <v>48</v>
      </c>
      <c r="N14" s="341" t="s">
        <v>48</v>
      </c>
      <c r="O14" s="341" t="s">
        <v>48</v>
      </c>
      <c r="P14" s="341" t="s">
        <v>48</v>
      </c>
      <c r="Q14" s="341" t="s">
        <v>48</v>
      </c>
      <c r="R14" s="347"/>
      <c r="S14" s="347"/>
      <c r="T14" s="347"/>
      <c r="U14" s="292"/>
      <c r="V14" s="343">
        <v>4</v>
      </c>
      <c r="W14" s="344" t="s">
        <v>67</v>
      </c>
      <c r="X14" s="345" t="s">
        <v>67</v>
      </c>
      <c r="Y14" s="345" t="s">
        <v>67</v>
      </c>
      <c r="Z14" s="345" t="s">
        <v>67</v>
      </c>
      <c r="AA14" s="345" t="s">
        <v>67</v>
      </c>
      <c r="AB14" s="345" t="s">
        <v>67</v>
      </c>
      <c r="AC14" s="346" t="s">
        <v>67</v>
      </c>
      <c r="AD14" s="292"/>
      <c r="AM14" s="292"/>
      <c r="BI14" s="293"/>
    </row>
    <row r="15" spans="1:63" ht="15" customHeight="1" x14ac:dyDescent="0.25">
      <c r="A15" s="211"/>
      <c r="C15" s="340">
        <v>5</v>
      </c>
      <c r="D15" s="341" t="s">
        <v>44</v>
      </c>
      <c r="E15" s="341"/>
      <c r="F15" s="341"/>
      <c r="G15" s="341"/>
      <c r="I15" s="340">
        <v>5</v>
      </c>
      <c r="J15" s="341" t="s">
        <v>49</v>
      </c>
      <c r="K15" s="341" t="s">
        <v>49</v>
      </c>
      <c r="L15" s="341" t="s">
        <v>49</v>
      </c>
      <c r="M15" s="341" t="s">
        <v>49</v>
      </c>
      <c r="N15" s="341" t="s">
        <v>49</v>
      </c>
      <c r="O15" s="341" t="s">
        <v>49</v>
      </c>
      <c r="P15" s="341" t="s">
        <v>49</v>
      </c>
      <c r="Q15" s="341" t="s">
        <v>49</v>
      </c>
      <c r="R15" s="347"/>
      <c r="S15" s="347"/>
      <c r="T15" s="347"/>
      <c r="U15" s="292"/>
      <c r="V15" s="343">
        <v>5</v>
      </c>
      <c r="W15" s="344" t="s">
        <v>62</v>
      </c>
      <c r="X15" s="345" t="s">
        <v>62</v>
      </c>
      <c r="Y15" s="345" t="s">
        <v>62</v>
      </c>
      <c r="Z15" s="345" t="s">
        <v>62</v>
      </c>
      <c r="AA15" s="345" t="s">
        <v>62</v>
      </c>
      <c r="AB15" s="345" t="s">
        <v>62</v>
      </c>
      <c r="AC15" s="346" t="s">
        <v>62</v>
      </c>
      <c r="AD15" s="292"/>
      <c r="AM15" s="292"/>
      <c r="BI15" s="293"/>
    </row>
    <row r="16" spans="1:63" ht="15" customHeight="1" x14ac:dyDescent="0.25">
      <c r="A16" s="211"/>
      <c r="C16" s="292"/>
      <c r="I16" s="340">
        <v>6</v>
      </c>
      <c r="J16" s="341" t="s">
        <v>174</v>
      </c>
      <c r="K16" s="341" t="s">
        <v>174</v>
      </c>
      <c r="L16" s="341" t="s">
        <v>174</v>
      </c>
      <c r="M16" s="341" t="s">
        <v>174</v>
      </c>
      <c r="N16" s="341" t="s">
        <v>174</v>
      </c>
      <c r="O16" s="341" t="s">
        <v>174</v>
      </c>
      <c r="P16" s="341" t="s">
        <v>174</v>
      </c>
      <c r="Q16" s="341" t="s">
        <v>174</v>
      </c>
      <c r="R16" s="347"/>
      <c r="S16" s="347"/>
      <c r="T16" s="347"/>
      <c r="U16" s="292"/>
      <c r="V16" s="343">
        <v>6</v>
      </c>
      <c r="W16" s="344" t="s">
        <v>68</v>
      </c>
      <c r="X16" s="345" t="s">
        <v>68</v>
      </c>
      <c r="Y16" s="345" t="s">
        <v>68</v>
      </c>
      <c r="Z16" s="345" t="s">
        <v>68</v>
      </c>
      <c r="AA16" s="345" t="s">
        <v>68</v>
      </c>
      <c r="AB16" s="345" t="s">
        <v>68</v>
      </c>
      <c r="AC16" s="346" t="s">
        <v>68</v>
      </c>
      <c r="AD16" s="292"/>
      <c r="AE16" s="32" t="s">
        <v>175</v>
      </c>
      <c r="AM16" s="292"/>
      <c r="BI16" s="293"/>
    </row>
    <row r="17" spans="1:61" ht="15" customHeight="1" x14ac:dyDescent="0.25">
      <c r="A17" s="211"/>
      <c r="C17" s="292"/>
      <c r="I17" s="340">
        <v>7</v>
      </c>
      <c r="J17" s="341" t="s">
        <v>176</v>
      </c>
      <c r="K17" s="341" t="s">
        <v>176</v>
      </c>
      <c r="L17" s="341" t="s">
        <v>176</v>
      </c>
      <c r="M17" s="341" t="s">
        <v>176</v>
      </c>
      <c r="N17" s="341" t="s">
        <v>176</v>
      </c>
      <c r="O17" s="341" t="s">
        <v>176</v>
      </c>
      <c r="P17" s="341" t="s">
        <v>176</v>
      </c>
      <c r="Q17" s="341" t="s">
        <v>176</v>
      </c>
      <c r="R17" s="347"/>
      <c r="S17" s="347"/>
      <c r="T17" s="347"/>
      <c r="U17" s="292"/>
      <c r="V17" s="343">
        <v>7</v>
      </c>
      <c r="W17" s="344" t="s">
        <v>61</v>
      </c>
      <c r="X17" s="345" t="s">
        <v>61</v>
      </c>
      <c r="Y17" s="345" t="s">
        <v>61</v>
      </c>
      <c r="Z17" s="345" t="s">
        <v>61</v>
      </c>
      <c r="AA17" s="345" t="s">
        <v>61</v>
      </c>
      <c r="AB17" s="345" t="s">
        <v>61</v>
      </c>
      <c r="AC17" s="346" t="s">
        <v>61</v>
      </c>
      <c r="AD17" s="292"/>
      <c r="AE17" s="29" t="s">
        <v>171</v>
      </c>
      <c r="AF17" s="173" t="s">
        <v>120</v>
      </c>
      <c r="AG17" s="173"/>
      <c r="AH17" s="173"/>
      <c r="AI17" s="173"/>
      <c r="AJ17" s="173"/>
      <c r="AK17" s="173"/>
      <c r="AL17" s="173"/>
      <c r="AM17" s="292"/>
      <c r="AN17" s="31" t="s">
        <v>177</v>
      </c>
      <c r="BI17" s="293"/>
    </row>
    <row r="18" spans="1:61" ht="15" customHeight="1" x14ac:dyDescent="0.25">
      <c r="A18" s="211"/>
      <c r="C18" s="292"/>
      <c r="I18" s="340">
        <v>8</v>
      </c>
      <c r="J18" s="341" t="s">
        <v>178</v>
      </c>
      <c r="K18" s="341" t="s">
        <v>178</v>
      </c>
      <c r="L18" s="341" t="s">
        <v>178</v>
      </c>
      <c r="M18" s="341" t="s">
        <v>178</v>
      </c>
      <c r="N18" s="341" t="s">
        <v>178</v>
      </c>
      <c r="O18" s="341" t="s">
        <v>178</v>
      </c>
      <c r="P18" s="341" t="s">
        <v>178</v>
      </c>
      <c r="Q18" s="341" t="s">
        <v>178</v>
      </c>
      <c r="R18" s="347"/>
      <c r="S18" s="347"/>
      <c r="T18" s="347"/>
      <c r="U18" s="292"/>
      <c r="V18" s="343">
        <v>8</v>
      </c>
      <c r="W18" s="344" t="s">
        <v>69</v>
      </c>
      <c r="X18" s="345" t="s">
        <v>69</v>
      </c>
      <c r="Y18" s="345" t="s">
        <v>69</v>
      </c>
      <c r="Z18" s="345" t="s">
        <v>69</v>
      </c>
      <c r="AA18" s="345" t="s">
        <v>69</v>
      </c>
      <c r="AB18" s="345" t="s">
        <v>69</v>
      </c>
      <c r="AC18" s="346" t="s">
        <v>69</v>
      </c>
      <c r="AD18" s="292"/>
      <c r="AE18" s="33">
        <v>1</v>
      </c>
      <c r="AF18" s="170" t="s">
        <v>179</v>
      </c>
      <c r="AG18" s="171" t="s">
        <v>180</v>
      </c>
      <c r="AH18" s="171" t="s">
        <v>180</v>
      </c>
      <c r="AI18" s="171" t="s">
        <v>180</v>
      </c>
      <c r="AJ18" s="171" t="s">
        <v>180</v>
      </c>
      <c r="AK18" s="171" t="s">
        <v>180</v>
      </c>
      <c r="AL18" s="172" t="s">
        <v>180</v>
      </c>
      <c r="AM18" s="292"/>
      <c r="AN18" s="180" t="s">
        <v>119</v>
      </c>
      <c r="BI18" s="293"/>
    </row>
    <row r="19" spans="1:61" ht="15" customHeight="1" x14ac:dyDescent="0.25">
      <c r="A19" s="211"/>
      <c r="C19" s="292"/>
      <c r="I19" s="340">
        <v>9</v>
      </c>
      <c r="J19" s="341" t="s">
        <v>181</v>
      </c>
      <c r="K19" s="341" t="s">
        <v>181</v>
      </c>
      <c r="L19" s="341" t="s">
        <v>181</v>
      </c>
      <c r="M19" s="341" t="s">
        <v>181</v>
      </c>
      <c r="N19" s="341" t="s">
        <v>181</v>
      </c>
      <c r="O19" s="341" t="s">
        <v>181</v>
      </c>
      <c r="P19" s="341" t="s">
        <v>181</v>
      </c>
      <c r="Q19" s="341" t="s">
        <v>181</v>
      </c>
      <c r="R19" s="347"/>
      <c r="S19" s="347"/>
      <c r="T19" s="347"/>
      <c r="U19" s="292"/>
      <c r="V19" s="343">
        <v>9</v>
      </c>
      <c r="W19" s="344" t="s">
        <v>58</v>
      </c>
      <c r="X19" s="345" t="s">
        <v>58</v>
      </c>
      <c r="Y19" s="345" t="s">
        <v>58</v>
      </c>
      <c r="Z19" s="345" t="s">
        <v>58</v>
      </c>
      <c r="AA19" s="345" t="s">
        <v>58</v>
      </c>
      <c r="AB19" s="345" t="s">
        <v>58</v>
      </c>
      <c r="AC19" s="346" t="s">
        <v>58</v>
      </c>
      <c r="AD19" s="292"/>
      <c r="AE19" s="33">
        <v>2</v>
      </c>
      <c r="AF19" s="170" t="s">
        <v>182</v>
      </c>
      <c r="AG19" s="171" t="s">
        <v>180</v>
      </c>
      <c r="AH19" s="171" t="s">
        <v>180</v>
      </c>
      <c r="AI19" s="171" t="s">
        <v>180</v>
      </c>
      <c r="AJ19" s="171" t="s">
        <v>180</v>
      </c>
      <c r="AK19" s="171" t="s">
        <v>180</v>
      </c>
      <c r="AL19" s="172" t="s">
        <v>180</v>
      </c>
      <c r="AM19" s="292"/>
      <c r="BI19" s="293"/>
    </row>
    <row r="20" spans="1:61" ht="15" customHeight="1" x14ac:dyDescent="0.25">
      <c r="A20" s="211"/>
      <c r="C20" s="292"/>
      <c r="I20" s="340">
        <v>10</v>
      </c>
      <c r="J20" s="341" t="s">
        <v>183</v>
      </c>
      <c r="K20" s="341" t="s">
        <v>183</v>
      </c>
      <c r="L20" s="341" t="s">
        <v>183</v>
      </c>
      <c r="M20" s="341" t="s">
        <v>183</v>
      </c>
      <c r="N20" s="341" t="s">
        <v>183</v>
      </c>
      <c r="O20" s="341" t="s">
        <v>183</v>
      </c>
      <c r="P20" s="341" t="s">
        <v>183</v>
      </c>
      <c r="Q20" s="341" t="s">
        <v>183</v>
      </c>
      <c r="R20" s="347"/>
      <c r="S20" s="347"/>
      <c r="T20" s="347"/>
      <c r="U20" s="292"/>
      <c r="V20" s="343">
        <v>10</v>
      </c>
      <c r="W20" s="344" t="s">
        <v>70</v>
      </c>
      <c r="X20" s="345" t="s">
        <v>70</v>
      </c>
      <c r="Y20" s="345" t="s">
        <v>70</v>
      </c>
      <c r="Z20" s="345" t="s">
        <v>70</v>
      </c>
      <c r="AA20" s="345" t="s">
        <v>70</v>
      </c>
      <c r="AB20" s="345" t="s">
        <v>70</v>
      </c>
      <c r="AC20" s="346" t="s">
        <v>70</v>
      </c>
      <c r="AD20" s="292"/>
      <c r="AE20" s="33">
        <v>3</v>
      </c>
      <c r="AF20" s="170" t="s">
        <v>184</v>
      </c>
      <c r="AG20" s="171" t="s">
        <v>180</v>
      </c>
      <c r="AH20" s="171" t="s">
        <v>180</v>
      </c>
      <c r="AI20" s="171" t="s">
        <v>180</v>
      </c>
      <c r="AJ20" s="171" t="s">
        <v>180</v>
      </c>
      <c r="AK20" s="171" t="s">
        <v>180</v>
      </c>
      <c r="AL20" s="172" t="s">
        <v>180</v>
      </c>
      <c r="AM20" s="292"/>
      <c r="BI20" s="293"/>
    </row>
    <row r="21" spans="1:61" ht="15" customHeight="1" x14ac:dyDescent="0.25">
      <c r="A21" s="211"/>
      <c r="C21" s="292"/>
      <c r="I21" s="340">
        <v>11</v>
      </c>
      <c r="J21" s="341" t="s">
        <v>50</v>
      </c>
      <c r="K21" s="341" t="s">
        <v>50</v>
      </c>
      <c r="L21" s="341" t="s">
        <v>50</v>
      </c>
      <c r="M21" s="341" t="s">
        <v>50</v>
      </c>
      <c r="N21" s="341" t="s">
        <v>50</v>
      </c>
      <c r="O21" s="341" t="s">
        <v>50</v>
      </c>
      <c r="P21" s="341" t="s">
        <v>50</v>
      </c>
      <c r="Q21" s="341" t="s">
        <v>50</v>
      </c>
      <c r="R21" s="347"/>
      <c r="S21" s="347"/>
      <c r="T21" s="347"/>
      <c r="U21" s="292"/>
      <c r="V21" s="343">
        <v>11</v>
      </c>
      <c r="W21" s="344" t="s">
        <v>71</v>
      </c>
      <c r="X21" s="345" t="s">
        <v>71</v>
      </c>
      <c r="Y21" s="345" t="s">
        <v>71</v>
      </c>
      <c r="Z21" s="345" t="s">
        <v>71</v>
      </c>
      <c r="AA21" s="345" t="s">
        <v>71</v>
      </c>
      <c r="AB21" s="345" t="s">
        <v>71</v>
      </c>
      <c r="AC21" s="346" t="s">
        <v>71</v>
      </c>
      <c r="AD21" s="292"/>
      <c r="AE21" s="33">
        <v>4</v>
      </c>
      <c r="AF21" s="170" t="s">
        <v>185</v>
      </c>
      <c r="AG21" s="171" t="s">
        <v>180</v>
      </c>
      <c r="AH21" s="171" t="s">
        <v>180</v>
      </c>
      <c r="AI21" s="171" t="s">
        <v>180</v>
      </c>
      <c r="AJ21" s="171" t="s">
        <v>180</v>
      </c>
      <c r="AK21" s="171" t="s">
        <v>180</v>
      </c>
      <c r="AL21" s="172" t="s">
        <v>180</v>
      </c>
      <c r="AM21" s="292"/>
      <c r="BI21" s="293"/>
    </row>
    <row r="22" spans="1:61" ht="15" customHeight="1" x14ac:dyDescent="0.25">
      <c r="A22" s="211"/>
      <c r="C22" s="292"/>
      <c r="I22" s="340">
        <v>12</v>
      </c>
      <c r="J22" s="341" t="s">
        <v>51</v>
      </c>
      <c r="K22" s="341" t="s">
        <v>51</v>
      </c>
      <c r="L22" s="341" t="s">
        <v>51</v>
      </c>
      <c r="M22" s="341" t="s">
        <v>51</v>
      </c>
      <c r="N22" s="341" t="s">
        <v>51</v>
      </c>
      <c r="O22" s="341" t="s">
        <v>51</v>
      </c>
      <c r="P22" s="341" t="s">
        <v>51</v>
      </c>
      <c r="Q22" s="341" t="s">
        <v>51</v>
      </c>
      <c r="R22" s="347"/>
      <c r="S22" s="347"/>
      <c r="T22" s="347"/>
      <c r="U22" s="292"/>
      <c r="V22" s="343">
        <v>12</v>
      </c>
      <c r="W22" s="344" t="s">
        <v>72</v>
      </c>
      <c r="X22" s="345" t="s">
        <v>72</v>
      </c>
      <c r="Y22" s="345" t="s">
        <v>72</v>
      </c>
      <c r="Z22" s="345" t="s">
        <v>72</v>
      </c>
      <c r="AA22" s="345" t="s">
        <v>72</v>
      </c>
      <c r="AB22" s="345" t="s">
        <v>72</v>
      </c>
      <c r="AC22" s="346" t="s">
        <v>72</v>
      </c>
      <c r="AD22" s="292"/>
      <c r="AM22" s="292"/>
      <c r="BI22" s="293"/>
    </row>
    <row r="23" spans="1:61" ht="15" customHeight="1" x14ac:dyDescent="0.25">
      <c r="A23" s="211"/>
      <c r="C23" s="292"/>
      <c r="I23" s="340">
        <v>13</v>
      </c>
      <c r="J23" s="341" t="s">
        <v>52</v>
      </c>
      <c r="K23" s="341" t="s">
        <v>52</v>
      </c>
      <c r="L23" s="341" t="s">
        <v>52</v>
      </c>
      <c r="M23" s="341" t="s">
        <v>52</v>
      </c>
      <c r="N23" s="341" t="s">
        <v>52</v>
      </c>
      <c r="O23" s="341" t="s">
        <v>52</v>
      </c>
      <c r="P23" s="341" t="s">
        <v>52</v>
      </c>
      <c r="Q23" s="341" t="s">
        <v>52</v>
      </c>
      <c r="R23" s="347"/>
      <c r="S23" s="347"/>
      <c r="T23" s="347"/>
      <c r="U23" s="292"/>
      <c r="V23" s="343">
        <v>13</v>
      </c>
      <c r="W23" s="344" t="s">
        <v>73</v>
      </c>
      <c r="X23" s="345" t="s">
        <v>73</v>
      </c>
      <c r="Y23" s="345" t="s">
        <v>73</v>
      </c>
      <c r="Z23" s="345" t="s">
        <v>73</v>
      </c>
      <c r="AA23" s="345" t="s">
        <v>73</v>
      </c>
      <c r="AB23" s="345" t="s">
        <v>73</v>
      </c>
      <c r="AC23" s="346" t="s">
        <v>73</v>
      </c>
      <c r="AD23" s="292"/>
      <c r="AM23" s="292"/>
      <c r="BI23" s="293"/>
    </row>
    <row r="24" spans="1:61" ht="15" customHeight="1" x14ac:dyDescent="0.25">
      <c r="A24" s="211"/>
      <c r="C24" s="292"/>
      <c r="I24" s="340">
        <v>14</v>
      </c>
      <c r="J24" s="341" t="s">
        <v>53</v>
      </c>
      <c r="K24" s="341" t="s">
        <v>53</v>
      </c>
      <c r="L24" s="341" t="s">
        <v>53</v>
      </c>
      <c r="M24" s="341" t="s">
        <v>53</v>
      </c>
      <c r="N24" s="341" t="s">
        <v>53</v>
      </c>
      <c r="O24" s="341" t="s">
        <v>53</v>
      </c>
      <c r="P24" s="341" t="s">
        <v>53</v>
      </c>
      <c r="Q24" s="341" t="s">
        <v>53</v>
      </c>
      <c r="R24" s="347"/>
      <c r="S24" s="347"/>
      <c r="T24" s="347"/>
      <c r="U24" s="292"/>
      <c r="V24" s="343">
        <v>14</v>
      </c>
      <c r="W24" s="344" t="s">
        <v>74</v>
      </c>
      <c r="X24" s="345" t="s">
        <v>74</v>
      </c>
      <c r="Y24" s="345" t="s">
        <v>74</v>
      </c>
      <c r="Z24" s="345" t="s">
        <v>74</v>
      </c>
      <c r="AA24" s="345" t="s">
        <v>74</v>
      </c>
      <c r="AB24" s="345" t="s">
        <v>74</v>
      </c>
      <c r="AC24" s="346" t="s">
        <v>74</v>
      </c>
      <c r="AD24" s="292"/>
      <c r="AM24" s="292"/>
      <c r="BI24" s="293"/>
    </row>
    <row r="25" spans="1:61" ht="15" customHeight="1" x14ac:dyDescent="0.25">
      <c r="A25" s="211"/>
      <c r="C25" s="292"/>
      <c r="I25" s="340">
        <v>15</v>
      </c>
      <c r="J25" s="341" t="s">
        <v>54</v>
      </c>
      <c r="K25" s="341" t="s">
        <v>54</v>
      </c>
      <c r="L25" s="341" t="s">
        <v>54</v>
      </c>
      <c r="M25" s="341" t="s">
        <v>54</v>
      </c>
      <c r="N25" s="341" t="s">
        <v>54</v>
      </c>
      <c r="O25" s="341" t="s">
        <v>54</v>
      </c>
      <c r="P25" s="341" t="s">
        <v>54</v>
      </c>
      <c r="Q25" s="341" t="s">
        <v>54</v>
      </c>
      <c r="R25" s="347"/>
      <c r="S25" s="347"/>
      <c r="T25" s="347"/>
      <c r="U25" s="292"/>
      <c r="V25" s="343">
        <v>15</v>
      </c>
      <c r="W25" s="344" t="s">
        <v>56</v>
      </c>
      <c r="X25" s="345" t="s">
        <v>56</v>
      </c>
      <c r="Y25" s="345" t="s">
        <v>56</v>
      </c>
      <c r="Z25" s="345" t="s">
        <v>56</v>
      </c>
      <c r="AA25" s="345" t="s">
        <v>56</v>
      </c>
      <c r="AB25" s="345" t="s">
        <v>56</v>
      </c>
      <c r="AC25" s="346" t="s">
        <v>56</v>
      </c>
      <c r="AD25" s="292"/>
      <c r="AM25" s="292"/>
      <c r="BI25" s="293"/>
    </row>
    <row r="26" spans="1:61" ht="15" customHeight="1" x14ac:dyDescent="0.25">
      <c r="A26" s="211"/>
      <c r="C26" s="292"/>
      <c r="I26" s="340">
        <v>16</v>
      </c>
      <c r="J26" s="341" t="s">
        <v>55</v>
      </c>
      <c r="K26" s="341" t="s">
        <v>55</v>
      </c>
      <c r="L26" s="341" t="s">
        <v>55</v>
      </c>
      <c r="M26" s="341" t="s">
        <v>55</v>
      </c>
      <c r="N26" s="341" t="s">
        <v>55</v>
      </c>
      <c r="O26" s="341" t="s">
        <v>55</v>
      </c>
      <c r="P26" s="341" t="s">
        <v>55</v>
      </c>
      <c r="Q26" s="341" t="s">
        <v>55</v>
      </c>
      <c r="R26" s="347"/>
      <c r="S26" s="347"/>
      <c r="T26" s="347"/>
      <c r="U26" s="292"/>
      <c r="V26" s="343">
        <v>16</v>
      </c>
      <c r="W26" s="344" t="s">
        <v>43</v>
      </c>
      <c r="X26" s="345" t="s">
        <v>43</v>
      </c>
      <c r="Y26" s="345" t="s">
        <v>43</v>
      </c>
      <c r="Z26" s="345" t="s">
        <v>43</v>
      </c>
      <c r="AA26" s="345" t="s">
        <v>43</v>
      </c>
      <c r="AB26" s="345" t="s">
        <v>43</v>
      </c>
      <c r="AC26" s="346" t="s">
        <v>43</v>
      </c>
      <c r="AD26" s="292"/>
      <c r="AM26" s="292"/>
      <c r="BI26" s="293"/>
    </row>
    <row r="27" spans="1:61" ht="15" customHeight="1" x14ac:dyDescent="0.25">
      <c r="A27" s="211"/>
      <c r="C27" s="292"/>
      <c r="I27" s="340">
        <v>17</v>
      </c>
      <c r="J27" s="341" t="s">
        <v>56</v>
      </c>
      <c r="K27" s="341" t="s">
        <v>56</v>
      </c>
      <c r="L27" s="341" t="s">
        <v>56</v>
      </c>
      <c r="M27" s="341" t="s">
        <v>56</v>
      </c>
      <c r="N27" s="341" t="s">
        <v>56</v>
      </c>
      <c r="O27" s="341" t="s">
        <v>56</v>
      </c>
      <c r="P27" s="341" t="s">
        <v>56</v>
      </c>
      <c r="Q27" s="341" t="s">
        <v>56</v>
      </c>
      <c r="R27" s="347"/>
      <c r="S27" s="347"/>
      <c r="T27" s="347"/>
      <c r="U27" s="292"/>
      <c r="V27" s="343">
        <v>17</v>
      </c>
      <c r="W27" s="344" t="s">
        <v>75</v>
      </c>
      <c r="X27" s="345" t="s">
        <v>75</v>
      </c>
      <c r="Y27" s="345" t="s">
        <v>75</v>
      </c>
      <c r="Z27" s="345" t="s">
        <v>75</v>
      </c>
      <c r="AA27" s="345" t="s">
        <v>75</v>
      </c>
      <c r="AB27" s="345" t="s">
        <v>75</v>
      </c>
      <c r="AC27" s="346" t="s">
        <v>75</v>
      </c>
      <c r="AD27" s="292"/>
      <c r="AM27" s="292"/>
      <c r="BI27" s="293"/>
    </row>
    <row r="28" spans="1:61" ht="15" customHeight="1" x14ac:dyDescent="0.25">
      <c r="A28" s="211"/>
      <c r="C28" s="292"/>
      <c r="I28" s="340">
        <v>18</v>
      </c>
      <c r="J28" s="341" t="s">
        <v>57</v>
      </c>
      <c r="K28" s="341" t="s">
        <v>57</v>
      </c>
      <c r="L28" s="341" t="s">
        <v>57</v>
      </c>
      <c r="M28" s="341" t="s">
        <v>57</v>
      </c>
      <c r="N28" s="341" t="s">
        <v>57</v>
      </c>
      <c r="O28" s="341" t="s">
        <v>57</v>
      </c>
      <c r="P28" s="341" t="s">
        <v>57</v>
      </c>
      <c r="Q28" s="341" t="s">
        <v>57</v>
      </c>
      <c r="R28" s="347"/>
      <c r="S28" s="347"/>
      <c r="T28" s="347"/>
      <c r="U28" s="292"/>
      <c r="V28" s="343">
        <v>18</v>
      </c>
      <c r="W28" s="344" t="s">
        <v>76</v>
      </c>
      <c r="X28" s="345" t="s">
        <v>76</v>
      </c>
      <c r="Y28" s="345" t="s">
        <v>76</v>
      </c>
      <c r="Z28" s="345" t="s">
        <v>76</v>
      </c>
      <c r="AA28" s="345" t="s">
        <v>76</v>
      </c>
      <c r="AB28" s="345" t="s">
        <v>76</v>
      </c>
      <c r="AC28" s="346" t="s">
        <v>76</v>
      </c>
      <c r="AD28" s="292"/>
      <c r="AM28" s="292"/>
      <c r="BI28" s="293"/>
    </row>
    <row r="29" spans="1:61" ht="15" customHeight="1" x14ac:dyDescent="0.25">
      <c r="A29" s="211"/>
      <c r="C29" s="292"/>
      <c r="I29" s="340">
        <v>19</v>
      </c>
      <c r="J29" s="341" t="s">
        <v>58</v>
      </c>
      <c r="K29" s="341" t="s">
        <v>58</v>
      </c>
      <c r="L29" s="341" t="s">
        <v>58</v>
      </c>
      <c r="M29" s="341" t="s">
        <v>58</v>
      </c>
      <c r="N29" s="341" t="s">
        <v>58</v>
      </c>
      <c r="O29" s="341" t="s">
        <v>58</v>
      </c>
      <c r="P29" s="341" t="s">
        <v>58</v>
      </c>
      <c r="Q29" s="341" t="s">
        <v>58</v>
      </c>
      <c r="R29" s="347"/>
      <c r="S29" s="347"/>
      <c r="T29" s="347"/>
      <c r="U29" s="292"/>
      <c r="V29" s="343">
        <v>19</v>
      </c>
      <c r="W29" s="344" t="s">
        <v>49</v>
      </c>
      <c r="X29" s="345" t="s">
        <v>49</v>
      </c>
      <c r="Y29" s="345" t="s">
        <v>49</v>
      </c>
      <c r="Z29" s="345" t="s">
        <v>49</v>
      </c>
      <c r="AA29" s="345" t="s">
        <v>49</v>
      </c>
      <c r="AB29" s="345" t="s">
        <v>49</v>
      </c>
      <c r="AC29" s="346" t="s">
        <v>49</v>
      </c>
      <c r="AD29" s="292"/>
      <c r="AM29" s="292"/>
      <c r="BI29" s="293"/>
    </row>
    <row r="30" spans="1:61" ht="15" customHeight="1" x14ac:dyDescent="0.25">
      <c r="A30" s="211"/>
      <c r="C30" s="292"/>
      <c r="I30" s="340">
        <v>20</v>
      </c>
      <c r="J30" s="341" t="s">
        <v>59</v>
      </c>
      <c r="K30" s="341" t="s">
        <v>59</v>
      </c>
      <c r="L30" s="341" t="s">
        <v>59</v>
      </c>
      <c r="M30" s="341" t="s">
        <v>59</v>
      </c>
      <c r="N30" s="341" t="s">
        <v>59</v>
      </c>
      <c r="O30" s="341" t="s">
        <v>59</v>
      </c>
      <c r="P30" s="341" t="s">
        <v>59</v>
      </c>
      <c r="Q30" s="341" t="s">
        <v>59</v>
      </c>
      <c r="R30" s="347"/>
      <c r="S30" s="347"/>
      <c r="T30" s="347"/>
      <c r="U30" s="292"/>
      <c r="V30" s="343">
        <v>20</v>
      </c>
      <c r="W30" s="344" t="s">
        <v>42</v>
      </c>
      <c r="X30" s="345" t="s">
        <v>42</v>
      </c>
      <c r="Y30" s="345" t="s">
        <v>42</v>
      </c>
      <c r="Z30" s="345" t="s">
        <v>42</v>
      </c>
      <c r="AA30" s="345" t="s">
        <v>42</v>
      </c>
      <c r="AB30" s="345" t="s">
        <v>42</v>
      </c>
      <c r="AC30" s="346" t="s">
        <v>42</v>
      </c>
      <c r="AD30" s="292"/>
      <c r="AM30" s="292"/>
      <c r="BI30" s="293"/>
    </row>
    <row r="31" spans="1:61" ht="15" customHeight="1" x14ac:dyDescent="0.25">
      <c r="A31" s="211"/>
      <c r="C31" s="292"/>
      <c r="I31" s="340">
        <v>21</v>
      </c>
      <c r="J31" s="341" t="s">
        <v>60</v>
      </c>
      <c r="K31" s="341" t="s">
        <v>60</v>
      </c>
      <c r="L31" s="341" t="s">
        <v>60</v>
      </c>
      <c r="M31" s="341" t="s">
        <v>60</v>
      </c>
      <c r="N31" s="341" t="s">
        <v>60</v>
      </c>
      <c r="O31" s="341" t="s">
        <v>60</v>
      </c>
      <c r="P31" s="341" t="s">
        <v>60</v>
      </c>
      <c r="Q31" s="341" t="s">
        <v>60</v>
      </c>
      <c r="R31" s="342"/>
      <c r="S31" s="342"/>
      <c r="T31" s="342"/>
      <c r="U31" s="292"/>
      <c r="V31" s="343">
        <v>21</v>
      </c>
      <c r="W31" s="344" t="s">
        <v>77</v>
      </c>
      <c r="X31" s="345" t="s">
        <v>77</v>
      </c>
      <c r="Y31" s="345" t="s">
        <v>77</v>
      </c>
      <c r="Z31" s="345" t="s">
        <v>77</v>
      </c>
      <c r="AA31" s="345" t="s">
        <v>77</v>
      </c>
      <c r="AB31" s="345" t="s">
        <v>77</v>
      </c>
      <c r="AC31" s="346" t="s">
        <v>77</v>
      </c>
      <c r="AD31" s="292"/>
      <c r="AM31" s="292"/>
      <c r="BI31" s="293"/>
    </row>
    <row r="32" spans="1:61" ht="15" customHeight="1" x14ac:dyDescent="0.25">
      <c r="A32" s="211"/>
      <c r="C32" s="292"/>
      <c r="I32" s="340">
        <v>22</v>
      </c>
      <c r="J32" s="341" t="s">
        <v>61</v>
      </c>
      <c r="K32" s="341" t="s">
        <v>61</v>
      </c>
      <c r="L32" s="341" t="s">
        <v>61</v>
      </c>
      <c r="M32" s="341" t="s">
        <v>61</v>
      </c>
      <c r="N32" s="341" t="s">
        <v>61</v>
      </c>
      <c r="O32" s="341" t="s">
        <v>61</v>
      </c>
      <c r="P32" s="341" t="s">
        <v>61</v>
      </c>
      <c r="Q32" s="341" t="s">
        <v>61</v>
      </c>
      <c r="R32" s="342"/>
      <c r="S32" s="342"/>
      <c r="T32" s="342"/>
      <c r="U32" s="292"/>
      <c r="V32" s="343">
        <v>22</v>
      </c>
      <c r="W32" s="344" t="s">
        <v>78</v>
      </c>
      <c r="X32" s="345" t="s">
        <v>78</v>
      </c>
      <c r="Y32" s="345" t="s">
        <v>78</v>
      </c>
      <c r="Z32" s="345" t="s">
        <v>78</v>
      </c>
      <c r="AA32" s="345" t="s">
        <v>78</v>
      </c>
      <c r="AB32" s="345" t="s">
        <v>78</v>
      </c>
      <c r="AC32" s="346" t="s">
        <v>78</v>
      </c>
      <c r="AD32" s="292"/>
      <c r="AM32" s="292"/>
      <c r="BI32" s="293"/>
    </row>
    <row r="33" spans="1:61" ht="15" customHeight="1" x14ac:dyDescent="0.25">
      <c r="A33" s="211"/>
      <c r="C33" s="292"/>
      <c r="I33" s="340">
        <v>23</v>
      </c>
      <c r="J33" s="341" t="s">
        <v>62</v>
      </c>
      <c r="K33" s="341" t="s">
        <v>62</v>
      </c>
      <c r="L33" s="341" t="s">
        <v>62</v>
      </c>
      <c r="M33" s="341" t="s">
        <v>62</v>
      </c>
      <c r="N33" s="341" t="s">
        <v>62</v>
      </c>
      <c r="O33" s="341" t="s">
        <v>62</v>
      </c>
      <c r="P33" s="341" t="s">
        <v>62</v>
      </c>
      <c r="Q33" s="341" t="s">
        <v>62</v>
      </c>
      <c r="R33" s="342"/>
      <c r="S33" s="342"/>
      <c r="T33" s="342"/>
      <c r="U33" s="292"/>
      <c r="V33" s="343">
        <v>23</v>
      </c>
      <c r="W33" s="344" t="s">
        <v>79</v>
      </c>
      <c r="X33" s="345" t="s">
        <v>79</v>
      </c>
      <c r="Y33" s="345" t="s">
        <v>79</v>
      </c>
      <c r="Z33" s="345" t="s">
        <v>79</v>
      </c>
      <c r="AA33" s="345" t="s">
        <v>79</v>
      </c>
      <c r="AB33" s="345" t="s">
        <v>79</v>
      </c>
      <c r="AC33" s="346" t="s">
        <v>79</v>
      </c>
      <c r="AD33" s="292"/>
      <c r="AM33" s="292"/>
      <c r="BI33" s="293"/>
    </row>
    <row r="34" spans="1:61" ht="15" customHeight="1" x14ac:dyDescent="0.25">
      <c r="A34" s="211"/>
      <c r="C34" s="292"/>
      <c r="I34" s="340">
        <v>24</v>
      </c>
      <c r="J34" s="341" t="s">
        <v>43</v>
      </c>
      <c r="K34" s="341" t="s">
        <v>43</v>
      </c>
      <c r="L34" s="341" t="s">
        <v>43</v>
      </c>
      <c r="M34" s="341" t="s">
        <v>43</v>
      </c>
      <c r="N34" s="341" t="s">
        <v>43</v>
      </c>
      <c r="O34" s="341" t="s">
        <v>43</v>
      </c>
      <c r="P34" s="341" t="s">
        <v>43</v>
      </c>
      <c r="Q34" s="341" t="s">
        <v>43</v>
      </c>
      <c r="R34" s="347"/>
      <c r="S34" s="347"/>
      <c r="T34" s="347"/>
      <c r="U34" s="292"/>
      <c r="V34" s="343">
        <v>24</v>
      </c>
      <c r="W34" s="344" t="s">
        <v>80</v>
      </c>
      <c r="X34" s="345" t="s">
        <v>80</v>
      </c>
      <c r="Y34" s="345" t="s">
        <v>80</v>
      </c>
      <c r="Z34" s="345" t="s">
        <v>80</v>
      </c>
      <c r="AA34" s="345" t="s">
        <v>80</v>
      </c>
      <c r="AB34" s="345" t="s">
        <v>80</v>
      </c>
      <c r="AC34" s="346" t="s">
        <v>80</v>
      </c>
      <c r="AD34" s="292"/>
      <c r="AM34" s="292"/>
      <c r="BI34" s="293"/>
    </row>
    <row r="35" spans="1:61" ht="15" customHeight="1" x14ac:dyDescent="0.25">
      <c r="A35" s="211"/>
      <c r="C35" s="292"/>
      <c r="I35" s="340">
        <v>25</v>
      </c>
      <c r="J35" s="341" t="s">
        <v>63</v>
      </c>
      <c r="K35" s="341" t="s">
        <v>63</v>
      </c>
      <c r="L35" s="341" t="s">
        <v>63</v>
      </c>
      <c r="M35" s="341" t="s">
        <v>63</v>
      </c>
      <c r="N35" s="341" t="s">
        <v>63</v>
      </c>
      <c r="O35" s="341" t="s">
        <v>63</v>
      </c>
      <c r="P35" s="341" t="s">
        <v>63</v>
      </c>
      <c r="Q35" s="341" t="s">
        <v>63</v>
      </c>
      <c r="R35" s="347"/>
      <c r="S35" s="347"/>
      <c r="T35" s="347"/>
      <c r="U35" s="292"/>
      <c r="V35" s="343">
        <v>25</v>
      </c>
      <c r="W35" s="344" t="s">
        <v>81</v>
      </c>
      <c r="X35" s="345" t="s">
        <v>81</v>
      </c>
      <c r="Y35" s="345" t="s">
        <v>81</v>
      </c>
      <c r="Z35" s="345" t="s">
        <v>81</v>
      </c>
      <c r="AA35" s="345" t="s">
        <v>81</v>
      </c>
      <c r="AB35" s="345" t="s">
        <v>81</v>
      </c>
      <c r="AC35" s="346" t="s">
        <v>81</v>
      </c>
      <c r="AD35" s="292"/>
      <c r="AM35" s="292"/>
      <c r="BI35" s="293"/>
    </row>
    <row r="36" spans="1:61" ht="15" customHeight="1" x14ac:dyDescent="0.25">
      <c r="A36" s="211"/>
      <c r="C36" s="292"/>
      <c r="I36" s="340">
        <v>26</v>
      </c>
      <c r="J36" s="341" t="s">
        <v>64</v>
      </c>
      <c r="K36" s="341" t="s">
        <v>64</v>
      </c>
      <c r="L36" s="341" t="s">
        <v>64</v>
      </c>
      <c r="M36" s="341" t="s">
        <v>64</v>
      </c>
      <c r="N36" s="341" t="s">
        <v>64</v>
      </c>
      <c r="O36" s="341" t="s">
        <v>64</v>
      </c>
      <c r="P36" s="341" t="s">
        <v>64</v>
      </c>
      <c r="Q36" s="341" t="s">
        <v>64</v>
      </c>
      <c r="R36" s="342"/>
      <c r="S36" s="342"/>
      <c r="T36" s="342"/>
      <c r="U36" s="292"/>
      <c r="V36" s="343">
        <v>26</v>
      </c>
      <c r="W36" s="344" t="s">
        <v>82</v>
      </c>
      <c r="X36" s="345" t="s">
        <v>82</v>
      </c>
      <c r="Y36" s="345" t="s">
        <v>82</v>
      </c>
      <c r="Z36" s="345" t="s">
        <v>82</v>
      </c>
      <c r="AA36" s="345" t="s">
        <v>82</v>
      </c>
      <c r="AB36" s="345" t="s">
        <v>82</v>
      </c>
      <c r="AC36" s="346" t="s">
        <v>82</v>
      </c>
      <c r="AD36" s="292"/>
      <c r="AM36" s="292"/>
      <c r="BI36" s="293"/>
    </row>
    <row r="37" spans="1:61" ht="15" customHeight="1" x14ac:dyDescent="0.25">
      <c r="A37" s="211"/>
      <c r="C37" s="292"/>
      <c r="I37" s="340">
        <v>27</v>
      </c>
      <c r="J37" s="341" t="s">
        <v>65</v>
      </c>
      <c r="K37" s="341" t="s">
        <v>65</v>
      </c>
      <c r="L37" s="341" t="s">
        <v>65</v>
      </c>
      <c r="M37" s="341" t="s">
        <v>65</v>
      </c>
      <c r="N37" s="341" t="s">
        <v>65</v>
      </c>
      <c r="O37" s="341" t="s">
        <v>65</v>
      </c>
      <c r="P37" s="341" t="s">
        <v>65</v>
      </c>
      <c r="Q37" s="341" t="s">
        <v>65</v>
      </c>
      <c r="R37" s="342"/>
      <c r="S37" s="342"/>
      <c r="T37" s="342"/>
      <c r="U37" s="292"/>
      <c r="V37" s="343">
        <v>27</v>
      </c>
      <c r="W37" s="344" t="s">
        <v>83</v>
      </c>
      <c r="X37" s="345" t="s">
        <v>83</v>
      </c>
      <c r="Y37" s="345" t="s">
        <v>83</v>
      </c>
      <c r="Z37" s="345" t="s">
        <v>83</v>
      </c>
      <c r="AA37" s="345" t="s">
        <v>83</v>
      </c>
      <c r="AB37" s="345" t="s">
        <v>83</v>
      </c>
      <c r="AC37" s="346" t="s">
        <v>83</v>
      </c>
      <c r="AD37" s="292"/>
      <c r="AM37" s="292"/>
      <c r="BI37" s="293"/>
    </row>
    <row r="38" spans="1:61" ht="15" customHeight="1" x14ac:dyDescent="0.25">
      <c r="A38" s="211"/>
      <c r="C38" s="292"/>
      <c r="U38" s="292"/>
      <c r="V38" s="343">
        <v>28</v>
      </c>
      <c r="W38" s="344" t="s">
        <v>84</v>
      </c>
      <c r="X38" s="345" t="s">
        <v>84</v>
      </c>
      <c r="Y38" s="345" t="s">
        <v>84</v>
      </c>
      <c r="Z38" s="345" t="s">
        <v>84</v>
      </c>
      <c r="AA38" s="345" t="s">
        <v>84</v>
      </c>
      <c r="AB38" s="345" t="s">
        <v>84</v>
      </c>
      <c r="AC38" s="346" t="s">
        <v>84</v>
      </c>
      <c r="AD38" s="292"/>
      <c r="AM38" s="292"/>
      <c r="BI38" s="293"/>
    </row>
    <row r="39" spans="1:61" ht="15" customHeight="1" x14ac:dyDescent="0.25">
      <c r="A39" s="211"/>
      <c r="C39" s="292"/>
      <c r="U39" s="292"/>
      <c r="V39" s="343">
        <v>29</v>
      </c>
      <c r="W39" s="344" t="s">
        <v>85</v>
      </c>
      <c r="X39" s="345" t="s">
        <v>85</v>
      </c>
      <c r="Y39" s="345" t="s">
        <v>85</v>
      </c>
      <c r="Z39" s="345" t="s">
        <v>85</v>
      </c>
      <c r="AA39" s="345" t="s">
        <v>85</v>
      </c>
      <c r="AB39" s="345" t="s">
        <v>85</v>
      </c>
      <c r="AC39" s="346" t="s">
        <v>85</v>
      </c>
      <c r="AD39" s="292"/>
      <c r="AM39" s="292"/>
      <c r="BI39" s="293"/>
    </row>
    <row r="40" spans="1:61" ht="15" customHeight="1" x14ac:dyDescent="0.25">
      <c r="A40" s="211"/>
      <c r="C40" s="292"/>
      <c r="U40" s="292"/>
      <c r="V40" s="343">
        <v>30</v>
      </c>
      <c r="W40" s="344" t="s">
        <v>86</v>
      </c>
      <c r="X40" s="345" t="s">
        <v>86</v>
      </c>
      <c r="Y40" s="345" t="s">
        <v>86</v>
      </c>
      <c r="Z40" s="345" t="s">
        <v>86</v>
      </c>
      <c r="AA40" s="345" t="s">
        <v>86</v>
      </c>
      <c r="AB40" s="345" t="s">
        <v>86</v>
      </c>
      <c r="AC40" s="346" t="s">
        <v>86</v>
      </c>
      <c r="AD40" s="292"/>
      <c r="AM40" s="292"/>
      <c r="BI40" s="293"/>
    </row>
    <row r="41" spans="1:61" ht="15" customHeight="1" x14ac:dyDescent="0.25">
      <c r="A41" s="211"/>
      <c r="C41" s="292"/>
      <c r="U41" s="292"/>
      <c r="V41" s="343">
        <v>31</v>
      </c>
      <c r="W41" s="344" t="s">
        <v>87</v>
      </c>
      <c r="X41" s="345" t="s">
        <v>87</v>
      </c>
      <c r="Y41" s="345" t="s">
        <v>87</v>
      </c>
      <c r="Z41" s="345" t="s">
        <v>87</v>
      </c>
      <c r="AA41" s="345" t="s">
        <v>87</v>
      </c>
      <c r="AB41" s="345" t="s">
        <v>87</v>
      </c>
      <c r="AC41" s="346" t="s">
        <v>87</v>
      </c>
      <c r="AD41" s="292"/>
      <c r="AM41" s="292"/>
      <c r="BI41" s="293"/>
    </row>
    <row r="42" spans="1:61" ht="15" customHeight="1" x14ac:dyDescent="0.25">
      <c r="A42" s="211"/>
      <c r="C42" s="292"/>
      <c r="U42" s="292"/>
      <c r="V42" s="343">
        <v>32</v>
      </c>
      <c r="W42" s="344" t="s">
        <v>44</v>
      </c>
      <c r="X42" s="345" t="s">
        <v>44</v>
      </c>
      <c r="Y42" s="345" t="s">
        <v>44</v>
      </c>
      <c r="Z42" s="345" t="s">
        <v>44</v>
      </c>
      <c r="AA42" s="345" t="s">
        <v>44</v>
      </c>
      <c r="AB42" s="345" t="s">
        <v>44</v>
      </c>
      <c r="AC42" s="346" t="s">
        <v>44</v>
      </c>
      <c r="AD42" s="292"/>
      <c r="AM42" s="292"/>
      <c r="BI42" s="293"/>
    </row>
    <row r="43" spans="1:61" ht="15" customHeight="1" x14ac:dyDescent="0.25">
      <c r="A43" s="211"/>
      <c r="C43" s="292"/>
      <c r="U43" s="292"/>
      <c r="V43" s="343">
        <v>33</v>
      </c>
      <c r="W43" s="344" t="s">
        <v>88</v>
      </c>
      <c r="X43" s="345" t="s">
        <v>88</v>
      </c>
      <c r="Y43" s="345" t="s">
        <v>88</v>
      </c>
      <c r="Z43" s="345" t="s">
        <v>88</v>
      </c>
      <c r="AA43" s="345" t="s">
        <v>88</v>
      </c>
      <c r="AB43" s="345" t="s">
        <v>88</v>
      </c>
      <c r="AC43" s="346" t="s">
        <v>88</v>
      </c>
      <c r="AD43" s="292"/>
      <c r="AM43" s="292"/>
      <c r="BI43" s="293"/>
    </row>
    <row r="44" spans="1:61" ht="15" customHeight="1" x14ac:dyDescent="0.25">
      <c r="A44" s="211"/>
      <c r="C44" s="292"/>
      <c r="U44" s="292"/>
      <c r="V44" s="343">
        <v>34</v>
      </c>
      <c r="W44" s="344" t="s">
        <v>89</v>
      </c>
      <c r="X44" s="345" t="s">
        <v>89</v>
      </c>
      <c r="Y44" s="345" t="s">
        <v>89</v>
      </c>
      <c r="Z44" s="345" t="s">
        <v>89</v>
      </c>
      <c r="AA44" s="345" t="s">
        <v>89</v>
      </c>
      <c r="AB44" s="345" t="s">
        <v>89</v>
      </c>
      <c r="AC44" s="346" t="s">
        <v>89</v>
      </c>
      <c r="AD44" s="292"/>
      <c r="AM44" s="292"/>
      <c r="BI44" s="293"/>
    </row>
    <row r="45" spans="1:61" ht="15" customHeight="1" x14ac:dyDescent="0.25">
      <c r="A45" s="211"/>
      <c r="C45" s="292"/>
      <c r="U45" s="292"/>
      <c r="V45" s="343">
        <v>35</v>
      </c>
      <c r="W45" s="344" t="s">
        <v>90</v>
      </c>
      <c r="X45" s="345" t="s">
        <v>90</v>
      </c>
      <c r="Y45" s="345" t="s">
        <v>90</v>
      </c>
      <c r="Z45" s="345" t="s">
        <v>90</v>
      </c>
      <c r="AA45" s="345" t="s">
        <v>90</v>
      </c>
      <c r="AB45" s="345" t="s">
        <v>90</v>
      </c>
      <c r="AC45" s="346" t="s">
        <v>90</v>
      </c>
      <c r="AD45" s="292"/>
      <c r="AM45" s="292"/>
      <c r="BI45" s="293"/>
    </row>
    <row r="46" spans="1:61" ht="15" customHeight="1" x14ac:dyDescent="0.25">
      <c r="A46" s="211"/>
      <c r="C46" s="292"/>
      <c r="U46" s="292"/>
      <c r="V46" s="343">
        <v>36</v>
      </c>
      <c r="W46" s="344" t="s">
        <v>91</v>
      </c>
      <c r="X46" s="345" t="s">
        <v>91</v>
      </c>
      <c r="Y46" s="345" t="s">
        <v>91</v>
      </c>
      <c r="Z46" s="345" t="s">
        <v>91</v>
      </c>
      <c r="AA46" s="345" t="s">
        <v>91</v>
      </c>
      <c r="AB46" s="345" t="s">
        <v>91</v>
      </c>
      <c r="AC46" s="346" t="s">
        <v>91</v>
      </c>
      <c r="AD46" s="292"/>
      <c r="AM46" s="292"/>
      <c r="BI46" s="293"/>
    </row>
    <row r="47" spans="1:61" ht="15" customHeight="1" x14ac:dyDescent="0.25">
      <c r="A47" s="211"/>
      <c r="C47" s="292"/>
      <c r="U47" s="292"/>
      <c r="V47" s="343">
        <v>37</v>
      </c>
      <c r="W47" s="344" t="s">
        <v>92</v>
      </c>
      <c r="X47" s="345" t="s">
        <v>92</v>
      </c>
      <c r="Y47" s="345" t="s">
        <v>92</v>
      </c>
      <c r="Z47" s="345" t="s">
        <v>92</v>
      </c>
      <c r="AA47" s="345" t="s">
        <v>92</v>
      </c>
      <c r="AB47" s="345" t="s">
        <v>92</v>
      </c>
      <c r="AC47" s="346" t="s">
        <v>92</v>
      </c>
      <c r="AD47" s="292"/>
      <c r="AM47" s="292"/>
      <c r="BI47" s="293"/>
    </row>
    <row r="48" spans="1:61" ht="15" customHeight="1" x14ac:dyDescent="0.25">
      <c r="A48" s="211"/>
      <c r="C48" s="292"/>
      <c r="U48" s="292"/>
      <c r="V48" s="343">
        <v>38</v>
      </c>
      <c r="W48" s="344" t="s">
        <v>93</v>
      </c>
      <c r="X48" s="345" t="s">
        <v>93</v>
      </c>
      <c r="Y48" s="345" t="s">
        <v>93</v>
      </c>
      <c r="Z48" s="345" t="s">
        <v>93</v>
      </c>
      <c r="AA48" s="345" t="s">
        <v>93</v>
      </c>
      <c r="AB48" s="345" t="s">
        <v>93</v>
      </c>
      <c r="AC48" s="346" t="s">
        <v>93</v>
      </c>
      <c r="AD48" s="292"/>
      <c r="AM48" s="292"/>
      <c r="BI48" s="293"/>
    </row>
    <row r="49" spans="1:61" ht="15" customHeight="1" x14ac:dyDescent="0.25">
      <c r="A49" s="211"/>
      <c r="C49" s="292"/>
      <c r="U49" s="292"/>
      <c r="V49" s="343">
        <v>39</v>
      </c>
      <c r="W49" s="344" t="s">
        <v>94</v>
      </c>
      <c r="X49" s="345" t="s">
        <v>94</v>
      </c>
      <c r="Y49" s="345" t="s">
        <v>94</v>
      </c>
      <c r="Z49" s="345" t="s">
        <v>94</v>
      </c>
      <c r="AA49" s="345" t="s">
        <v>94</v>
      </c>
      <c r="AB49" s="345" t="s">
        <v>94</v>
      </c>
      <c r="AC49" s="346" t="s">
        <v>94</v>
      </c>
      <c r="AD49" s="292"/>
      <c r="AM49" s="292"/>
      <c r="BI49" s="293"/>
    </row>
    <row r="50" spans="1:61" ht="15" customHeight="1" x14ac:dyDescent="0.25">
      <c r="A50" s="211"/>
      <c r="C50" s="292"/>
      <c r="U50" s="292"/>
      <c r="V50" s="343">
        <v>40</v>
      </c>
      <c r="W50" s="344" t="s">
        <v>95</v>
      </c>
      <c r="X50" s="345" t="s">
        <v>95</v>
      </c>
      <c r="Y50" s="345" t="s">
        <v>95</v>
      </c>
      <c r="Z50" s="345" t="s">
        <v>95</v>
      </c>
      <c r="AA50" s="345" t="s">
        <v>95</v>
      </c>
      <c r="AB50" s="345" t="s">
        <v>95</v>
      </c>
      <c r="AC50" s="346" t="s">
        <v>95</v>
      </c>
      <c r="AD50" s="292"/>
      <c r="AM50" s="292"/>
      <c r="BI50" s="293"/>
    </row>
    <row r="51" spans="1:61" ht="15" customHeight="1" x14ac:dyDescent="0.25">
      <c r="A51" s="211"/>
      <c r="C51" s="292"/>
      <c r="U51" s="292"/>
      <c r="V51" s="343">
        <v>41</v>
      </c>
      <c r="W51" s="344" t="s">
        <v>96</v>
      </c>
      <c r="X51" s="345" t="s">
        <v>96</v>
      </c>
      <c r="Y51" s="345" t="s">
        <v>96</v>
      </c>
      <c r="Z51" s="345" t="s">
        <v>96</v>
      </c>
      <c r="AA51" s="345" t="s">
        <v>96</v>
      </c>
      <c r="AB51" s="345" t="s">
        <v>96</v>
      </c>
      <c r="AC51" s="346" t="s">
        <v>96</v>
      </c>
      <c r="AD51" s="292"/>
      <c r="AM51" s="292"/>
      <c r="BI51" s="293"/>
    </row>
    <row r="52" spans="1:61" ht="15" customHeight="1" x14ac:dyDescent="0.25">
      <c r="A52" s="211"/>
      <c r="C52" s="292"/>
      <c r="U52" s="292"/>
      <c r="V52" s="343">
        <v>42</v>
      </c>
      <c r="W52" s="344" t="s">
        <v>97</v>
      </c>
      <c r="X52" s="345" t="s">
        <v>97</v>
      </c>
      <c r="Y52" s="345" t="s">
        <v>97</v>
      </c>
      <c r="Z52" s="345" t="s">
        <v>97</v>
      </c>
      <c r="AA52" s="345" t="s">
        <v>97</v>
      </c>
      <c r="AB52" s="345" t="s">
        <v>97</v>
      </c>
      <c r="AC52" s="346" t="s">
        <v>97</v>
      </c>
      <c r="AD52" s="292"/>
      <c r="AM52" s="292"/>
      <c r="BI52" s="293"/>
    </row>
    <row r="53" spans="1:61" ht="15" customHeight="1" x14ac:dyDescent="0.25">
      <c r="A53" s="211"/>
      <c r="C53" s="292"/>
      <c r="U53" s="292"/>
      <c r="V53" s="343">
        <v>43</v>
      </c>
      <c r="W53" s="344" t="s">
        <v>98</v>
      </c>
      <c r="X53" s="345" t="s">
        <v>98</v>
      </c>
      <c r="Y53" s="345" t="s">
        <v>98</v>
      </c>
      <c r="Z53" s="345" t="s">
        <v>98</v>
      </c>
      <c r="AA53" s="345" t="s">
        <v>98</v>
      </c>
      <c r="AB53" s="345" t="s">
        <v>98</v>
      </c>
      <c r="AC53" s="346" t="s">
        <v>98</v>
      </c>
      <c r="AD53" s="292"/>
      <c r="AM53" s="292"/>
      <c r="BI53" s="293"/>
    </row>
    <row r="54" spans="1:61" ht="15" customHeight="1" x14ac:dyDescent="0.25">
      <c r="A54" s="211"/>
      <c r="C54" s="292"/>
      <c r="U54" s="292"/>
      <c r="V54" s="343">
        <v>44</v>
      </c>
      <c r="W54" s="344" t="s">
        <v>99</v>
      </c>
      <c r="X54" s="345" t="s">
        <v>99</v>
      </c>
      <c r="Y54" s="345" t="s">
        <v>99</v>
      </c>
      <c r="Z54" s="345" t="s">
        <v>99</v>
      </c>
      <c r="AA54" s="345" t="s">
        <v>99</v>
      </c>
      <c r="AB54" s="345" t="s">
        <v>99</v>
      </c>
      <c r="AC54" s="346" t="s">
        <v>99</v>
      </c>
      <c r="AD54" s="292"/>
      <c r="AM54" s="292"/>
      <c r="BI54" s="293"/>
    </row>
    <row r="55" spans="1:61" ht="15" customHeight="1" x14ac:dyDescent="0.25">
      <c r="A55" s="211"/>
      <c r="C55" s="292"/>
      <c r="U55" s="292"/>
      <c r="V55" s="343">
        <v>45</v>
      </c>
      <c r="W55" s="344" t="s">
        <v>100</v>
      </c>
      <c r="X55" s="345" t="s">
        <v>100</v>
      </c>
      <c r="Y55" s="345" t="s">
        <v>100</v>
      </c>
      <c r="Z55" s="345" t="s">
        <v>100</v>
      </c>
      <c r="AA55" s="345" t="s">
        <v>100</v>
      </c>
      <c r="AB55" s="345" t="s">
        <v>100</v>
      </c>
      <c r="AC55" s="346" t="s">
        <v>100</v>
      </c>
      <c r="AD55" s="292"/>
      <c r="AM55" s="292"/>
      <c r="BI55" s="293"/>
    </row>
    <row r="56" spans="1:61" ht="15" customHeight="1" x14ac:dyDescent="0.25">
      <c r="A56" s="211"/>
      <c r="C56" s="292"/>
      <c r="U56" s="292"/>
      <c r="V56" s="343">
        <v>46</v>
      </c>
      <c r="W56" s="344" t="s">
        <v>57</v>
      </c>
      <c r="X56" s="345" t="s">
        <v>57</v>
      </c>
      <c r="Y56" s="345" t="s">
        <v>57</v>
      </c>
      <c r="Z56" s="345" t="s">
        <v>57</v>
      </c>
      <c r="AA56" s="345" t="s">
        <v>57</v>
      </c>
      <c r="AB56" s="345" t="s">
        <v>57</v>
      </c>
      <c r="AC56" s="346" t="s">
        <v>57</v>
      </c>
      <c r="AD56" s="292"/>
      <c r="AM56" s="292"/>
      <c r="BI56" s="293"/>
    </row>
    <row r="57" spans="1:61" ht="15" customHeight="1" x14ac:dyDescent="0.25">
      <c r="A57" s="211"/>
      <c r="C57" s="292"/>
      <c r="U57" s="292"/>
      <c r="V57" s="343">
        <v>47</v>
      </c>
      <c r="W57" s="344" t="s">
        <v>101</v>
      </c>
      <c r="X57" s="345" t="s">
        <v>101</v>
      </c>
      <c r="Y57" s="345" t="s">
        <v>101</v>
      </c>
      <c r="Z57" s="345" t="s">
        <v>101</v>
      </c>
      <c r="AA57" s="345" t="s">
        <v>101</v>
      </c>
      <c r="AB57" s="345" t="s">
        <v>101</v>
      </c>
      <c r="AC57" s="346" t="s">
        <v>101</v>
      </c>
      <c r="AD57" s="292"/>
      <c r="AM57" s="292"/>
      <c r="BI57" s="293"/>
    </row>
    <row r="58" spans="1:61" ht="15" customHeight="1" x14ac:dyDescent="0.25">
      <c r="A58" s="211"/>
      <c r="C58" s="292"/>
      <c r="U58" s="292"/>
      <c r="V58" s="343">
        <v>48</v>
      </c>
      <c r="W58" s="344" t="s">
        <v>51</v>
      </c>
      <c r="X58" s="345" t="s">
        <v>51</v>
      </c>
      <c r="Y58" s="345" t="s">
        <v>51</v>
      </c>
      <c r="Z58" s="345" t="s">
        <v>51</v>
      </c>
      <c r="AA58" s="345" t="s">
        <v>51</v>
      </c>
      <c r="AB58" s="345" t="s">
        <v>51</v>
      </c>
      <c r="AC58" s="346" t="s">
        <v>51</v>
      </c>
      <c r="AD58" s="292"/>
      <c r="AM58" s="292"/>
      <c r="BI58" s="293"/>
    </row>
    <row r="59" spans="1:61" ht="15" customHeight="1" x14ac:dyDescent="0.25">
      <c r="A59" s="211"/>
      <c r="C59" s="292"/>
      <c r="U59" s="292"/>
      <c r="V59" s="343">
        <v>49</v>
      </c>
      <c r="W59" s="344" t="s">
        <v>102</v>
      </c>
      <c r="X59" s="345" t="s">
        <v>102</v>
      </c>
      <c r="Y59" s="345" t="s">
        <v>102</v>
      </c>
      <c r="Z59" s="345" t="s">
        <v>102</v>
      </c>
      <c r="AA59" s="345" t="s">
        <v>102</v>
      </c>
      <c r="AB59" s="345" t="s">
        <v>102</v>
      </c>
      <c r="AC59" s="346" t="s">
        <v>102</v>
      </c>
      <c r="AD59" s="292"/>
      <c r="AM59" s="292"/>
      <c r="BI59" s="293"/>
    </row>
    <row r="60" spans="1:61" ht="15" customHeight="1" x14ac:dyDescent="0.25">
      <c r="A60" s="211"/>
      <c r="C60" s="292"/>
      <c r="U60" s="292"/>
      <c r="V60" s="343">
        <v>50</v>
      </c>
      <c r="W60" s="344" t="s">
        <v>103</v>
      </c>
      <c r="X60" s="345" t="s">
        <v>103</v>
      </c>
      <c r="Y60" s="345" t="s">
        <v>103</v>
      </c>
      <c r="Z60" s="345" t="s">
        <v>103</v>
      </c>
      <c r="AA60" s="345" t="s">
        <v>103</v>
      </c>
      <c r="AB60" s="345" t="s">
        <v>103</v>
      </c>
      <c r="AC60" s="346" t="s">
        <v>103</v>
      </c>
      <c r="AD60" s="292"/>
      <c r="AM60" s="292"/>
      <c r="BI60" s="293"/>
    </row>
    <row r="61" spans="1:61" ht="15" customHeight="1" x14ac:dyDescent="0.25">
      <c r="A61" s="211"/>
      <c r="C61" s="292"/>
      <c r="U61" s="292"/>
      <c r="V61" s="343">
        <v>51</v>
      </c>
      <c r="W61" s="344" t="s">
        <v>104</v>
      </c>
      <c r="X61" s="345" t="s">
        <v>104</v>
      </c>
      <c r="Y61" s="345" t="s">
        <v>104</v>
      </c>
      <c r="Z61" s="345" t="s">
        <v>104</v>
      </c>
      <c r="AA61" s="345" t="s">
        <v>104</v>
      </c>
      <c r="AB61" s="345" t="s">
        <v>104</v>
      </c>
      <c r="AC61" s="346" t="s">
        <v>104</v>
      </c>
      <c r="AD61" s="292"/>
      <c r="AM61" s="292"/>
      <c r="BI61" s="293"/>
    </row>
    <row r="62" spans="1:61" ht="15" customHeight="1" x14ac:dyDescent="0.25">
      <c r="A62" s="211"/>
      <c r="C62" s="292"/>
      <c r="U62" s="292"/>
      <c r="V62" s="343">
        <v>52</v>
      </c>
      <c r="W62" s="344" t="s">
        <v>105</v>
      </c>
      <c r="X62" s="345" t="s">
        <v>105</v>
      </c>
      <c r="Y62" s="345" t="s">
        <v>105</v>
      </c>
      <c r="Z62" s="345" t="s">
        <v>105</v>
      </c>
      <c r="AA62" s="345" t="s">
        <v>105</v>
      </c>
      <c r="AB62" s="345" t="s">
        <v>105</v>
      </c>
      <c r="AC62" s="346" t="s">
        <v>105</v>
      </c>
      <c r="AD62" s="292"/>
      <c r="AM62" s="292"/>
      <c r="BI62" s="293"/>
    </row>
    <row r="63" spans="1:61" ht="15" customHeight="1" x14ac:dyDescent="0.25">
      <c r="A63" s="211"/>
      <c r="C63" s="292"/>
      <c r="U63" s="292"/>
      <c r="V63" s="343">
        <v>53</v>
      </c>
      <c r="W63" s="344" t="s">
        <v>106</v>
      </c>
      <c r="X63" s="345" t="s">
        <v>106</v>
      </c>
      <c r="Y63" s="345" t="s">
        <v>106</v>
      </c>
      <c r="Z63" s="345" t="s">
        <v>106</v>
      </c>
      <c r="AA63" s="345" t="s">
        <v>106</v>
      </c>
      <c r="AB63" s="345" t="s">
        <v>106</v>
      </c>
      <c r="AC63" s="346" t="s">
        <v>106</v>
      </c>
      <c r="AD63" s="292"/>
      <c r="AM63" s="292"/>
      <c r="BI63" s="293"/>
    </row>
    <row r="64" spans="1:61" ht="15" customHeight="1" x14ac:dyDescent="0.25">
      <c r="A64" s="211"/>
      <c r="C64" s="292"/>
      <c r="U64" s="292"/>
      <c r="V64" s="343">
        <v>54</v>
      </c>
      <c r="W64" s="344" t="s">
        <v>107</v>
      </c>
      <c r="X64" s="345" t="s">
        <v>107</v>
      </c>
      <c r="Y64" s="345" t="s">
        <v>107</v>
      </c>
      <c r="Z64" s="345" t="s">
        <v>107</v>
      </c>
      <c r="AA64" s="345" t="s">
        <v>107</v>
      </c>
      <c r="AB64" s="345" t="s">
        <v>107</v>
      </c>
      <c r="AC64" s="346" t="s">
        <v>107</v>
      </c>
      <c r="AD64" s="292"/>
      <c r="AM64" s="292"/>
      <c r="BI64" s="293"/>
    </row>
    <row r="65" spans="1:63" ht="15" customHeight="1" x14ac:dyDescent="0.25">
      <c r="A65" s="211"/>
      <c r="C65" s="292"/>
      <c r="U65" s="292"/>
      <c r="V65" s="343">
        <v>55</v>
      </c>
      <c r="W65" s="344" t="s">
        <v>108</v>
      </c>
      <c r="X65" s="345" t="s">
        <v>108</v>
      </c>
      <c r="Y65" s="345" t="s">
        <v>108</v>
      </c>
      <c r="Z65" s="345" t="s">
        <v>108</v>
      </c>
      <c r="AA65" s="345" t="s">
        <v>108</v>
      </c>
      <c r="AB65" s="345" t="s">
        <v>108</v>
      </c>
      <c r="AC65" s="346" t="s">
        <v>108</v>
      </c>
      <c r="AD65" s="292"/>
      <c r="AM65" s="292"/>
      <c r="BI65" s="293"/>
    </row>
    <row r="66" spans="1:63" ht="15" customHeight="1" x14ac:dyDescent="0.25">
      <c r="A66" s="211"/>
      <c r="C66" s="292"/>
      <c r="U66" s="292"/>
      <c r="V66" s="343">
        <v>56</v>
      </c>
      <c r="W66" s="344" t="s">
        <v>109</v>
      </c>
      <c r="X66" s="345" t="s">
        <v>109</v>
      </c>
      <c r="Y66" s="345" t="s">
        <v>109</v>
      </c>
      <c r="Z66" s="345" t="s">
        <v>109</v>
      </c>
      <c r="AA66" s="345" t="s">
        <v>109</v>
      </c>
      <c r="AB66" s="345" t="s">
        <v>109</v>
      </c>
      <c r="AC66" s="346" t="s">
        <v>109</v>
      </c>
      <c r="AD66" s="292"/>
      <c r="AM66" s="292"/>
      <c r="BI66" s="293"/>
    </row>
    <row r="67" spans="1:63" ht="15" customHeight="1" x14ac:dyDescent="0.25">
      <c r="A67" s="211"/>
      <c r="C67" s="292"/>
      <c r="U67" s="292"/>
      <c r="V67" s="343">
        <v>57</v>
      </c>
      <c r="W67" s="344" t="s">
        <v>40</v>
      </c>
      <c r="X67" s="345" t="s">
        <v>40</v>
      </c>
      <c r="Y67" s="345" t="s">
        <v>40</v>
      </c>
      <c r="Z67" s="345" t="s">
        <v>40</v>
      </c>
      <c r="AA67" s="345" t="s">
        <v>40</v>
      </c>
      <c r="AB67" s="345" t="s">
        <v>40</v>
      </c>
      <c r="AC67" s="346" t="s">
        <v>40</v>
      </c>
      <c r="AD67" s="292"/>
      <c r="AM67" s="292"/>
      <c r="BI67" s="293"/>
    </row>
    <row r="68" spans="1:63" ht="15" customHeight="1" x14ac:dyDescent="0.25">
      <c r="A68" s="211"/>
      <c r="C68" s="292"/>
      <c r="U68" s="292"/>
      <c r="V68" s="343">
        <v>58</v>
      </c>
      <c r="W68" s="344" t="s">
        <v>110</v>
      </c>
      <c r="X68" s="345" t="s">
        <v>110</v>
      </c>
      <c r="Y68" s="345" t="s">
        <v>110</v>
      </c>
      <c r="Z68" s="345" t="s">
        <v>110</v>
      </c>
      <c r="AA68" s="345" t="s">
        <v>110</v>
      </c>
      <c r="AB68" s="345" t="s">
        <v>110</v>
      </c>
      <c r="AC68" s="346" t="s">
        <v>110</v>
      </c>
      <c r="AD68" s="292"/>
      <c r="AM68" s="292"/>
      <c r="BI68" s="293"/>
    </row>
    <row r="69" spans="1:63" ht="15" customHeight="1" x14ac:dyDescent="0.25">
      <c r="A69" s="211"/>
      <c r="C69" s="292"/>
      <c r="U69" s="292"/>
      <c r="V69" s="343">
        <v>59</v>
      </c>
      <c r="W69" s="344" t="s">
        <v>111</v>
      </c>
      <c r="X69" s="345" t="s">
        <v>111</v>
      </c>
      <c r="Y69" s="345" t="s">
        <v>111</v>
      </c>
      <c r="Z69" s="345" t="s">
        <v>111</v>
      </c>
      <c r="AA69" s="345" t="s">
        <v>111</v>
      </c>
      <c r="AB69" s="345" t="s">
        <v>111</v>
      </c>
      <c r="AC69" s="346" t="s">
        <v>111</v>
      </c>
      <c r="AD69" s="292"/>
      <c r="AM69" s="292"/>
      <c r="BI69" s="293"/>
    </row>
    <row r="70" spans="1:63" ht="15" customHeight="1" x14ac:dyDescent="0.25">
      <c r="A70" s="211"/>
      <c r="C70" s="292"/>
      <c r="U70" s="292"/>
      <c r="V70" s="343">
        <v>60</v>
      </c>
      <c r="W70" s="344" t="s">
        <v>63</v>
      </c>
      <c r="X70" s="345" t="s">
        <v>63</v>
      </c>
      <c r="Y70" s="345" t="s">
        <v>63</v>
      </c>
      <c r="Z70" s="345" t="s">
        <v>63</v>
      </c>
      <c r="AA70" s="345" t="s">
        <v>63</v>
      </c>
      <c r="AB70" s="345" t="s">
        <v>63</v>
      </c>
      <c r="AC70" s="346" t="s">
        <v>63</v>
      </c>
      <c r="AD70" s="292"/>
      <c r="AM70" s="292"/>
      <c r="BI70" s="293"/>
    </row>
    <row r="71" spans="1:63" ht="15" customHeight="1" x14ac:dyDescent="0.25">
      <c r="A71" s="211"/>
      <c r="C71" s="292"/>
      <c r="U71" s="292"/>
      <c r="V71" s="343">
        <v>61</v>
      </c>
      <c r="W71" s="344" t="s">
        <v>112</v>
      </c>
      <c r="X71" s="345" t="s">
        <v>112</v>
      </c>
      <c r="Y71" s="345" t="s">
        <v>112</v>
      </c>
      <c r="Z71" s="345" t="s">
        <v>112</v>
      </c>
      <c r="AA71" s="345" t="s">
        <v>112</v>
      </c>
      <c r="AB71" s="345" t="s">
        <v>112</v>
      </c>
      <c r="AC71" s="346" t="s">
        <v>112</v>
      </c>
      <c r="AD71" s="292"/>
      <c r="AM71" s="292"/>
      <c r="BI71" s="293"/>
    </row>
    <row r="72" spans="1:63" ht="15" customHeight="1" x14ac:dyDescent="0.25">
      <c r="A72" s="211"/>
      <c r="C72" s="292"/>
      <c r="U72" s="292"/>
      <c r="V72" s="343">
        <v>62</v>
      </c>
      <c r="W72" s="344" t="s">
        <v>113</v>
      </c>
      <c r="X72" s="345" t="s">
        <v>113</v>
      </c>
      <c r="Y72" s="345" t="s">
        <v>113</v>
      </c>
      <c r="Z72" s="345" t="s">
        <v>113</v>
      </c>
      <c r="AA72" s="345" t="s">
        <v>113</v>
      </c>
      <c r="AB72" s="345" t="s">
        <v>113</v>
      </c>
      <c r="AC72" s="346" t="s">
        <v>113</v>
      </c>
      <c r="AD72" s="292"/>
      <c r="AM72" s="292"/>
      <c r="BI72" s="293"/>
    </row>
    <row r="73" spans="1:63" ht="15" customHeight="1" x14ac:dyDescent="0.25">
      <c r="A73" s="211"/>
      <c r="C73" s="292"/>
      <c r="U73" s="292"/>
      <c r="AD73" s="292"/>
      <c r="AM73" s="292"/>
      <c r="BI73" s="293"/>
    </row>
    <row r="74" spans="1:63" ht="15" customHeight="1" x14ac:dyDescent="0.25">
      <c r="A74" s="211"/>
      <c r="C74" s="292"/>
      <c r="U74" s="292"/>
      <c r="AD74" s="292"/>
      <c r="AM74" s="292"/>
      <c r="BI74" s="293"/>
    </row>
    <row r="75" spans="1:63" ht="15" customHeight="1" x14ac:dyDescent="0.25">
      <c r="A75" s="211"/>
      <c r="C75" s="292"/>
      <c r="U75" s="292"/>
      <c r="AD75" s="292"/>
      <c r="AM75" s="292"/>
      <c r="BI75" s="293"/>
    </row>
    <row r="76" spans="1:63" ht="15" customHeight="1" x14ac:dyDescent="0.25">
      <c r="A76" s="211"/>
      <c r="C76" s="292"/>
      <c r="U76" s="292"/>
      <c r="AD76" s="292"/>
      <c r="AM76" s="292"/>
      <c r="BI76" s="293"/>
    </row>
    <row r="77" spans="1:63" ht="15" customHeight="1" x14ac:dyDescent="0.25">
      <c r="A77" s="208"/>
      <c r="B77" s="348"/>
      <c r="C77" s="209"/>
      <c r="D77" s="209"/>
      <c r="E77" s="209"/>
      <c r="F77" s="209"/>
      <c r="G77" s="209"/>
      <c r="H77" s="209"/>
      <c r="I77" s="209"/>
      <c r="J77" s="209"/>
      <c r="K77" s="209"/>
      <c r="L77" s="209"/>
      <c r="M77" s="209"/>
      <c r="N77" s="209"/>
      <c r="O77" s="209"/>
      <c r="P77" s="209"/>
      <c r="Q77" s="209"/>
      <c r="R77" s="209"/>
      <c r="S77" s="209"/>
      <c r="T77" s="209"/>
      <c r="U77" s="348"/>
      <c r="V77" s="209"/>
      <c r="W77" s="209"/>
      <c r="X77" s="209"/>
      <c r="Y77" s="209"/>
      <c r="Z77" s="209"/>
      <c r="AA77" s="209"/>
      <c r="AB77" s="209"/>
      <c r="AC77" s="209"/>
      <c r="AD77" s="348"/>
      <c r="AE77" s="209"/>
      <c r="AF77" s="209"/>
      <c r="AG77" s="209"/>
      <c r="AH77" s="209"/>
      <c r="AI77" s="209"/>
      <c r="AJ77" s="209"/>
      <c r="AK77" s="209"/>
      <c r="AL77" s="209"/>
      <c r="AM77" s="348"/>
      <c r="AN77" s="209"/>
      <c r="AO77" s="209"/>
      <c r="AP77" s="209"/>
      <c r="AQ77" s="209"/>
      <c r="AR77" s="209"/>
      <c r="AS77" s="209"/>
      <c r="AT77" s="209"/>
      <c r="AU77" s="209"/>
      <c r="AV77" s="209"/>
      <c r="AW77" s="209"/>
      <c r="AX77" s="209"/>
      <c r="AY77" s="209"/>
      <c r="AZ77" s="209"/>
      <c r="BA77" s="209"/>
      <c r="BB77" s="209"/>
      <c r="BC77" s="209"/>
      <c r="BD77" s="209"/>
      <c r="BE77" s="209"/>
      <c r="BF77" s="209"/>
      <c r="BG77" s="209"/>
      <c r="BH77" s="209"/>
      <c r="BI77" s="306"/>
      <c r="BJ77" s="209"/>
      <c r="BK77" s="210"/>
    </row>
  </sheetData>
  <mergeCells count="124">
    <mergeCell ref="A4:G4"/>
    <mergeCell ref="D15:G15"/>
    <mergeCell ref="D10:G10"/>
    <mergeCell ref="D11:G11"/>
    <mergeCell ref="D12:G12"/>
    <mergeCell ref="D13:G13"/>
    <mergeCell ref="D14:G14"/>
    <mergeCell ref="J18:Q18"/>
    <mergeCell ref="J19:Q19"/>
    <mergeCell ref="W15:AC15"/>
    <mergeCell ref="W16:AC16"/>
    <mergeCell ref="W17:AC17"/>
    <mergeCell ref="W18:AC18"/>
    <mergeCell ref="W10:AC10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AP4:BK4"/>
    <mergeCell ref="Z4:AO4"/>
    <mergeCell ref="U4:Y4"/>
    <mergeCell ref="H4:T4"/>
    <mergeCell ref="W35:AC35"/>
    <mergeCell ref="W36:AC36"/>
    <mergeCell ref="W37:AC37"/>
    <mergeCell ref="W38:AC38"/>
    <mergeCell ref="W29:AC29"/>
    <mergeCell ref="W30:AC30"/>
    <mergeCell ref="W31:AC31"/>
    <mergeCell ref="W32:AC32"/>
    <mergeCell ref="W33:AC33"/>
    <mergeCell ref="W39:AC39"/>
    <mergeCell ref="W40:AC40"/>
    <mergeCell ref="W63:AC63"/>
    <mergeCell ref="W64:AC64"/>
    <mergeCell ref="W65:AC65"/>
    <mergeCell ref="W53:AC53"/>
    <mergeCell ref="W54:AC54"/>
    <mergeCell ref="W55:AC55"/>
    <mergeCell ref="W56:AC56"/>
    <mergeCell ref="W57:AC57"/>
    <mergeCell ref="W58:AC58"/>
    <mergeCell ref="W59:AC59"/>
    <mergeCell ref="W60:AC60"/>
    <mergeCell ref="W61:AC61"/>
    <mergeCell ref="W62:AC62"/>
    <mergeCell ref="W71:AC71"/>
    <mergeCell ref="W72:AC72"/>
    <mergeCell ref="W41:AC41"/>
    <mergeCell ref="W42:AC42"/>
    <mergeCell ref="W43:AC43"/>
    <mergeCell ref="W44:AC44"/>
    <mergeCell ref="W45:AC45"/>
    <mergeCell ref="W46:AC46"/>
    <mergeCell ref="W47:AC47"/>
    <mergeCell ref="W48:AC48"/>
    <mergeCell ref="W49:AC49"/>
    <mergeCell ref="W50:AC50"/>
    <mergeCell ref="W51:AC51"/>
    <mergeCell ref="W52:AC52"/>
    <mergeCell ref="W66:AC66"/>
    <mergeCell ref="W67:AC67"/>
    <mergeCell ref="W68:AC68"/>
    <mergeCell ref="W69:AC69"/>
    <mergeCell ref="W70:AC70"/>
    <mergeCell ref="J35:Q35"/>
    <mergeCell ref="J36:Q36"/>
    <mergeCell ref="J37:Q37"/>
    <mergeCell ref="J13:Q13"/>
    <mergeCell ref="J14:Q14"/>
    <mergeCell ref="J15:Q15"/>
    <mergeCell ref="J16:Q16"/>
    <mergeCell ref="J17:Q17"/>
    <mergeCell ref="J10:Q10"/>
    <mergeCell ref="J11:Q11"/>
    <mergeCell ref="J12:Q12"/>
    <mergeCell ref="J20:Q20"/>
    <mergeCell ref="J21:Q21"/>
    <mergeCell ref="J22:Q22"/>
    <mergeCell ref="J23:Q23"/>
    <mergeCell ref="J24:Q24"/>
    <mergeCell ref="J25:Q25"/>
    <mergeCell ref="J26:Q26"/>
    <mergeCell ref="J27:Q27"/>
    <mergeCell ref="J28:Q28"/>
    <mergeCell ref="J29:Q29"/>
    <mergeCell ref="J30:Q30"/>
    <mergeCell ref="J31:Q31"/>
    <mergeCell ref="J32:Q32"/>
    <mergeCell ref="AF20:AL20"/>
    <mergeCell ref="AF21:AL21"/>
    <mergeCell ref="AF10:AL10"/>
    <mergeCell ref="AF11:AL11"/>
    <mergeCell ref="AF17:AL17"/>
    <mergeCell ref="AF18:AL18"/>
    <mergeCell ref="AF19:AL19"/>
    <mergeCell ref="J33:Q33"/>
    <mergeCell ref="J34:Q34"/>
    <mergeCell ref="W11:AC11"/>
    <mergeCell ref="W12:AC12"/>
    <mergeCell ref="W13:AC13"/>
    <mergeCell ref="W34:AC34"/>
    <mergeCell ref="W24:AC24"/>
    <mergeCell ref="W25:AC25"/>
    <mergeCell ref="W26:AC26"/>
    <mergeCell ref="W27:AC27"/>
    <mergeCell ref="W28:AC28"/>
    <mergeCell ref="W19:AC19"/>
    <mergeCell ref="W20:AC20"/>
    <mergeCell ref="W21:AC21"/>
    <mergeCell ref="W22:AC22"/>
    <mergeCell ref="W23:AC23"/>
    <mergeCell ref="W14:AC1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43" orientation="landscape" r:id="rId1"/>
  <headerFooter>
    <oddHeader>&amp;R&amp;F</oddHeader>
    <oddFooter>&amp;C&amp;P / &amp;N ページ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23E278-843E-48C0-B7E2-08CEFEFEB581}"/>
</file>

<file path=customXml/itemProps2.xml><?xml version="1.0" encoding="utf-8"?>
<ds:datastoreItem xmlns:ds="http://schemas.openxmlformats.org/officeDocument/2006/customXml" ds:itemID="{AB07DE98-5A9F-432E-8719-010C842EB246}"/>
</file>

<file path=customXml/itemProps3.xml><?xml version="1.0" encoding="utf-8"?>
<ds:datastoreItem xmlns:ds="http://schemas.openxmlformats.org/officeDocument/2006/customXml" ds:itemID="{D02EAC9D-E5F8-4984-9BBF-E848264D9AE5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11</vt:i4>
      </vt:variant>
    </vt:vector>
  </HeadingPairs>
  <TitlesOfParts>
    <vt:vector size="18" baseType="lpstr">
      <vt:lpstr>表紙</vt:lpstr>
      <vt:lpstr>改訂履歴</vt:lpstr>
      <vt:lpstr>業務フロー凡例</vt:lpstr>
      <vt:lpstr>機能概要説明</vt:lpstr>
      <vt:lpstr>機能概要</vt:lpstr>
      <vt:lpstr>画面設計書</vt:lpstr>
      <vt:lpstr>参照</vt:lpstr>
      <vt:lpstr>参照!Print_Area</vt:lpstr>
      <vt:lpstr>改訂履歴!Print_Area</vt:lpstr>
      <vt:lpstr>機能概要!Print_Area</vt:lpstr>
      <vt:lpstr>機能概要説明!Print_Area</vt:lpstr>
      <vt:lpstr>表紙!Print_Area</vt:lpstr>
      <vt:lpstr>参照!Print_Titles</vt:lpstr>
      <vt:lpstr>改訂履歴!Print_Titles</vt:lpstr>
      <vt:lpstr>業務フロー凡例!Print_Titles</vt:lpstr>
      <vt:lpstr>機能概要!Print_Titles</vt:lpstr>
      <vt:lpstr>機能概要説明!Print_Titles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</cp:lastModifiedBy>
  <dcterms:created xsi:type="dcterms:W3CDTF">2015-06-05T18:19:34Z</dcterms:created>
  <dcterms:modified xsi:type="dcterms:W3CDTF">2024-06-07T09:58:48Z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