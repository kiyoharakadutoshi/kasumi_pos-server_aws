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30_POSサーバー/10_機能概要_画面遷移/"/>
    </mc:Choice>
  </mc:AlternateContent>
  <xr:revisionPtr revIDLastSave="3" documentId="13_ncr:1_{C9E72BB8-0ECB-4DE9-9E89-7D595EB47133}" xr6:coauthVersionLast="47" xr6:coauthVersionMax="47" xr10:uidLastSave="{314259B1-9FB4-490E-9BAE-1A1348ACA467}"/>
  <bookViews>
    <workbookView xWindow="-120" yWindow="-16320" windowWidth="38640" windowHeight="16440" activeTab="4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機能概要!$A$1:$BK$240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4">機能概要!$1:$5</definedName>
    <definedName name="_xlnm.Print_Titles" localSheetId="3">機能概要説明!$1:$5</definedName>
    <definedName name="_xlnm.Print_Titles" localSheetId="2">業務フロー凡例!$1:$5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145" i="5" s="1"/>
  <c r="BM146" i="5" s="1"/>
  <c r="BM147" i="5" s="1"/>
  <c r="BM148" i="5" s="1"/>
  <c r="BM149" i="5" s="1"/>
  <c r="BM150" i="5" s="1"/>
  <c r="BM151" i="5" s="1"/>
  <c r="BM152" i="5" s="1"/>
  <c r="BM153" i="5" s="1"/>
  <c r="BM154" i="5" s="1"/>
  <c r="BM155" i="5" s="1"/>
  <c r="BM156" i="5" s="1"/>
  <c r="BM157" i="5" s="1"/>
  <c r="BM158" i="5" s="1"/>
  <c r="BM159" i="5" s="1"/>
  <c r="BM160" i="5" s="1"/>
  <c r="BM161" i="5" s="1"/>
  <c r="BM162" i="5" s="1"/>
  <c r="BM163" i="5" s="1"/>
  <c r="BM164" i="5" s="1"/>
  <c r="BM165" i="5" s="1"/>
  <c r="BM166" i="5" s="1"/>
  <c r="BM167" i="5" s="1"/>
  <c r="BM168" i="5" s="1"/>
  <c r="BM169" i="5" s="1"/>
  <c r="BM170" i="5" s="1"/>
  <c r="BM171" i="5" s="1"/>
  <c r="BM172" i="5" s="1"/>
  <c r="BM173" i="5" s="1"/>
  <c r="BM174" i="5" s="1"/>
  <c r="BM175" i="5" s="1"/>
  <c r="BM176" i="5" s="1"/>
  <c r="BM177" i="5" s="1"/>
  <c r="BM178" i="5" s="1"/>
  <c r="BM179" i="5" s="1"/>
  <c r="BM180" i="5" s="1"/>
  <c r="BM181" i="5" s="1"/>
  <c r="BM182" i="5" s="1"/>
  <c r="BM183" i="5" s="1"/>
  <c r="BM184" i="5" s="1"/>
  <c r="BM185" i="5" s="1"/>
  <c r="BM186" i="5" s="1"/>
  <c r="BM187" i="5" s="1"/>
  <c r="BM188" i="5" s="1"/>
  <c r="BM189" i="5" s="1"/>
  <c r="BM190" i="5" s="1"/>
  <c r="BM191" i="5" s="1"/>
  <c r="BM192" i="5" s="1"/>
  <c r="BM193" i="5" s="1"/>
  <c r="BM194" i="5" s="1"/>
  <c r="BM195" i="5" s="1"/>
  <c r="BM196" i="5" s="1"/>
  <c r="BM197" i="5" s="1"/>
  <c r="BM198" i="5" s="1"/>
  <c r="BM199" i="5" s="1"/>
  <c r="BM200" i="5" s="1"/>
  <c r="BM201" i="5" s="1"/>
  <c r="BM202" i="5" s="1"/>
  <c r="BM203" i="5" s="1"/>
  <c r="BM204" i="5" s="1"/>
  <c r="BM205" i="5" s="1"/>
  <c r="BM206" i="5" s="1"/>
  <c r="BM207" i="5" s="1"/>
  <c r="BM208" i="5" s="1"/>
  <c r="BM209" i="5" s="1"/>
  <c r="BM210" i="5" s="1"/>
  <c r="BM211" i="5" s="1"/>
  <c r="BM212" i="5" s="1"/>
  <c r="BM213" i="5" s="1"/>
  <c r="BM214" i="5" s="1"/>
  <c r="BM215" i="5" s="1"/>
  <c r="BM216" i="5" s="1"/>
  <c r="BM217" i="5" s="1"/>
  <c r="BM218" i="5" s="1"/>
  <c r="BM219" i="5" s="1"/>
  <c r="BM220" i="5" s="1"/>
  <c r="BM221" i="5" s="1"/>
  <c r="BM222" i="5" s="1"/>
  <c r="BM223" i="5" s="1"/>
  <c r="BM224" i="5" s="1"/>
  <c r="BM225" i="5" s="1"/>
  <c r="BM226" i="5" s="1"/>
  <c r="BM227" i="5" s="1"/>
  <c r="BM228" i="5" s="1"/>
  <c r="BM229" i="5" s="1"/>
  <c r="BM230" i="5" s="1"/>
  <c r="BM231" i="5" s="1"/>
  <c r="BM232" i="5" s="1"/>
  <c r="BM233" i="5" s="1"/>
  <c r="BM234" i="5" s="1"/>
  <c r="BM235" i="5" s="1"/>
  <c r="BM236" i="5" s="1"/>
  <c r="BM237" i="5" s="1"/>
  <c r="BM238" i="5" s="1"/>
  <c r="AP4" i="5" a="1"/>
  <c r="AP4" i="5" s="1"/>
  <c r="Z4" i="5"/>
  <c r="H4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3" s="1"/>
  <c r="BC2" i="4"/>
  <c r="BC2" i="5" s="1"/>
  <c r="AY2" i="4"/>
  <c r="AY2" i="7" s="1"/>
  <c r="AT2" i="4"/>
  <c r="AT2" i="5" s="1"/>
  <c r="AP2" i="4"/>
  <c r="AT2" i="3" l="1"/>
  <c r="AT2" i="2"/>
  <c r="AT2" i="8"/>
  <c r="AY2" i="6"/>
  <c r="AY2" i="8"/>
  <c r="AY2" i="5"/>
  <c r="AP2" i="8"/>
  <c r="AP2" i="5"/>
  <c r="AP2" i="7"/>
  <c r="AP2" i="2"/>
  <c r="BC2" i="2"/>
  <c r="BC2" i="3"/>
  <c r="BC2" i="8"/>
  <c r="BC2" i="6"/>
  <c r="BC2" i="7"/>
  <c r="AP2" i="3"/>
  <c r="BH2" i="8"/>
  <c r="BH2" i="6"/>
  <c r="BH2" i="5"/>
  <c r="BH2" i="7"/>
  <c r="BH2" i="2"/>
  <c r="AP2" i="6"/>
  <c r="AY2" i="3"/>
  <c r="AT2" i="7"/>
  <c r="AY2" i="2"/>
</calcChain>
</file>

<file path=xl/sharedStrings.xml><?xml version="1.0" encoding="utf-8"?>
<sst xmlns="http://schemas.openxmlformats.org/spreadsheetml/2006/main" count="203" uniqueCount="84">
  <si>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</si>
  <si>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</si>
  <si>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</si>
  <si>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</si>
  <si>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</si>
  <si>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</si>
  <si>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</si>
  <si>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</si>
  <si>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</si>
  <si>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</si>
  <si>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</si>
  <si>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</si>
  <si>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</si>
  <si>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</si>
  <si>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</si>
  <si>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</si>
  <si>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</si>
  <si>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</si>
  <si>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</si>
  <si>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</si>
  <si>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</si>
  <si>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</si>
  <si>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</si>
  <si>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</si>
  <si>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</si>
  <si>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</si>
  <si>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</si>
  <si>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</si>
  <si>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</si>
  <si>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</si>
  <si>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店舗マスタ設定機能では次のことが可能になる。</t>
    </r>
  </si>
  <si>
    <r>
      <rPr>
        <sz val="11"/>
        <color rgb="FF000000"/>
        <rFont val="Meiryo UI"/>
        <family val="2"/>
      </rPr>
      <t>・店舗マスタ情報を更新する。</t>
    </r>
  </si>
  <si>
    <r>
      <rPr>
        <sz val="11"/>
        <color rgb="FF000000"/>
        <rFont val="Meiryo UI"/>
        <family val="2"/>
      </rPr>
      <t>・店舗マスタを新規作成する。</t>
    </r>
  </si>
  <si>
    <r>
      <rPr>
        <sz val="11"/>
        <color rgb="FF000000"/>
        <rFont val="Meiryo UI"/>
        <family val="2"/>
      </rPr>
      <t>・店舗マスタを削除する。</t>
    </r>
  </si>
  <si>
    <r>
      <rPr>
        <sz val="11"/>
        <color rgb="FF000000"/>
        <rFont val="Meiryo UI"/>
        <family val="2"/>
      </rPr>
      <t>・既存の店舗から店舗の新規作成をコピーする。</t>
    </r>
  </si>
  <si>
    <r>
      <rPr>
        <sz val="11"/>
        <color rgb="FF000000"/>
        <rFont val="Meiryo UI"/>
        <family val="2"/>
      </rPr>
      <t>82_店舗マスタ設定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</si>
  <si>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</si>
  <si>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</si>
  <si>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</si>
  <si>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</si>
  <si>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</si>
  <si>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</si>
  <si>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</si>
  <si>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</si>
  <si>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</si>
  <si>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</si>
  <si>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</si>
  <si>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</si>
  <si>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</si>
  <si>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</si>
  <si>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</si>
  <si>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SonMNT</t>
  </si>
  <si>
    <t>82_店舗マスタ設定</t>
  </si>
  <si>
    <t>FC8201_店舗マスタ削除機能</t>
  </si>
  <si>
    <t>FC8202_店舗マスタ情報編集機能</t>
  </si>
  <si>
    <t>FC8203_店舗マスタ追加機能</t>
  </si>
  <si>
    <t>FC8204_店舗マスタコピーと作成機能</t>
  </si>
  <si>
    <t>FC8205_店舗設定情報保存機能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</si>
  <si>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</si>
  <si>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</si>
  <si>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</si>
  <si>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</si>
  <si>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</si>
  <si>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</si>
  <si>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</si>
  <si>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</si>
  <si>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</si>
  <si>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</si>
  <si>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</si>
  <si>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</si>
  <si>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</si>
  <si>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</si>
  <si>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</si>
  <si>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</si>
  <si>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</si>
  <si>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</si>
  <si>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</si>
  <si>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t>TuyenNH</t>
  </si>
  <si>
    <t>[機能概要]</t>
  </si>
  <si>
    <t>[基本ポイント]項目を追加</t>
  </si>
  <si>
    <t>DunT</t>
  </si>
  <si>
    <t>店舗の休業日項目を追加</t>
  </si>
  <si>
    <t>FC8206_店舗マスタ設定出力機能</t>
  </si>
  <si>
    <t>■店舗一覧</t>
    <rPh sb="1" eb="3">
      <t>テンポ</t>
    </rPh>
    <rPh sb="3" eb="5">
      <t>イチラン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</si>
</sst>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¥&quot;* #,##0_-;\-&quot;¥&quot;* #,##0_-;_-&quot;¥&quot;* &quot;-&quot;_-;_-@_-"/>
    <numFmt numFmtId="177" formatCode="_-* #,##0_-;\-* #,##0_-;_-* &quot;-&quot;_-;_-@_-"/>
    <numFmt numFmtId="178" formatCode="_-&quot;¥&quot;* #,##0.00_-;\-&quot;¥&quot;* #,##0.00_-;_-&quot;¥&quot;* &quot;-&quot;??_-;_-@_-"/>
    <numFmt numFmtId="179" formatCode="_-* #,##0.00_-;\-* #,##0.00_-;_-* &quot;-&quot;??_-;_-@_-"/>
  </numFmts>
  <fonts count="20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Yu Gothic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B050"/>
      <name val="Meiryo UI"/>
      <family val="3"/>
    </font>
    <font>
      <sz val="6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79992065187536243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32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0" xfId="7" quotePrefix="1" applyFont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18" xfId="7" applyFont="1" applyBorder="1">
      <alignment vertical="center"/>
    </xf>
    <xf numFmtId="0" fontId="14" fillId="3" borderId="0" xfId="7" applyFont="1" applyFill="1">
      <alignment vertical="center"/>
    </xf>
    <xf numFmtId="0" fontId="14" fillId="3" borderId="19" xfId="7" applyFont="1" applyFill="1" applyBorder="1">
      <alignment vertical="center"/>
    </xf>
    <xf numFmtId="0" fontId="14" fillId="3" borderId="18" xfId="7" applyFont="1" applyFill="1" applyBorder="1">
      <alignment vertical="center"/>
    </xf>
    <xf numFmtId="0" fontId="14" fillId="0" borderId="0" xfId="6" applyFont="1" applyAlignment="1">
      <alignment vertical="center"/>
    </xf>
    <xf numFmtId="0" fontId="14" fillId="0" borderId="20" xfId="0" applyFont="1" applyBorder="1"/>
    <xf numFmtId="0" fontId="14" fillId="0" borderId="21" xfId="0" applyFont="1" applyBorder="1"/>
    <xf numFmtId="0" fontId="6" fillId="3" borderId="18" xfId="7" applyFont="1" applyFill="1" applyBorder="1">
      <alignment vertical="center"/>
    </xf>
    <xf numFmtId="0" fontId="6" fillId="3" borderId="0" xfId="7" applyFont="1" applyFill="1">
      <alignment vertical="center"/>
    </xf>
    <xf numFmtId="0" fontId="6" fillId="3" borderId="19" xfId="7" applyFont="1" applyFill="1" applyBorder="1">
      <alignment vertical="center"/>
    </xf>
    <xf numFmtId="0" fontId="6" fillId="0" borderId="1" xfId="7" applyFont="1" applyBorder="1">
      <alignment vertical="center"/>
    </xf>
    <xf numFmtId="0" fontId="9" fillId="0" borderId="1" xfId="7" applyBorder="1">
      <alignment vertical="center"/>
    </xf>
    <xf numFmtId="0" fontId="18" fillId="8" borderId="18" xfId="7" applyFont="1" applyFill="1" applyBorder="1">
      <alignment vertical="center"/>
    </xf>
    <xf numFmtId="0" fontId="9" fillId="8" borderId="0" xfId="7" applyFill="1">
      <alignment vertical="center"/>
    </xf>
    <xf numFmtId="0" fontId="9" fillId="8" borderId="19" xfId="7" applyFill="1" applyBorder="1">
      <alignment vertical="center"/>
    </xf>
    <xf numFmtId="0" fontId="9" fillId="8" borderId="18" xfId="7" applyFill="1" applyBorder="1">
      <alignment vertical="center"/>
    </xf>
    <xf numFmtId="0" fontId="9" fillId="0" borderId="4" xfId="7" applyBorder="1">
      <alignment vertical="center"/>
    </xf>
    <xf numFmtId="0" fontId="9" fillId="0" borderId="0" xfId="7">
      <alignment vertical="center"/>
    </xf>
    <xf numFmtId="0" fontId="9" fillId="0" borderId="18" xfId="7" applyBorder="1">
      <alignment vertical="center"/>
    </xf>
    <xf numFmtId="0" fontId="9" fillId="0" borderId="19" xfId="7" applyBorder="1">
      <alignment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2" fontId="14" fillId="0" borderId="31" xfId="0" applyNumberFormat="1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14" fontId="14" fillId="0" borderId="30" xfId="0" applyNumberFormat="1" applyFont="1" applyBorder="1" applyAlignment="1">
      <alignment horizontal="center" vertical="center"/>
    </xf>
    <xf numFmtId="14" fontId="14" fillId="0" borderId="31" xfId="0" applyNumberFormat="1" applyFont="1" applyBorder="1" applyAlignment="1">
      <alignment horizontal="center" vertical="center"/>
    </xf>
    <xf numFmtId="14" fontId="14" fillId="0" borderId="32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0" borderId="33" xfId="0" applyFont="1" applyBorder="1"/>
    <xf numFmtId="0" fontId="14" fillId="0" borderId="34" xfId="0" applyFont="1" applyBorder="1"/>
    <xf numFmtId="0" fontId="14" fillId="0" borderId="22" xfId="0" applyFont="1" applyBorder="1"/>
    <xf numFmtId="0" fontId="14" fillId="0" borderId="31" xfId="0" applyFont="1" applyBorder="1"/>
    <xf numFmtId="0" fontId="14" fillId="0" borderId="3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30" xfId="0" applyFont="1" applyBorder="1"/>
    <xf numFmtId="0" fontId="14" fillId="0" borderId="2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0" fillId="2" borderId="0" xfId="0" applyFont="1" applyFill="1"/>
    <xf numFmtId="0" fontId="6" fillId="0" borderId="35" xfId="0" applyFont="1" applyBorder="1"/>
    <xf numFmtId="0" fontId="6" fillId="0" borderId="36" xfId="0" applyFont="1" applyBorder="1"/>
    <xf numFmtId="0" fontId="6" fillId="0" borderId="37" xfId="0" applyFont="1" applyBorder="1"/>
    <xf numFmtId="14" fontId="17" fillId="0" borderId="30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3" xfId="0" applyFont="1" applyBorder="1"/>
    <xf numFmtId="0" fontId="17" fillId="0" borderId="34" xfId="0" applyFont="1" applyBorder="1"/>
    <xf numFmtId="0" fontId="17" fillId="0" borderId="22" xfId="0" applyFont="1" applyBorder="1"/>
    <xf numFmtId="0" fontId="17" fillId="0" borderId="35" xfId="0" applyFont="1" applyBorder="1"/>
    <xf numFmtId="0" fontId="17" fillId="0" borderId="36" xfId="0" applyFont="1" applyBorder="1"/>
    <xf numFmtId="0" fontId="17" fillId="0" borderId="37" xfId="0" applyFont="1" applyBorder="1"/>
    <xf numFmtId="14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3" xfId="0" applyFont="1" applyBorder="1"/>
    <xf numFmtId="0" fontId="6" fillId="0" borderId="34" xfId="0" applyFont="1" applyBorder="1"/>
    <xf numFmtId="0" fontId="6" fillId="0" borderId="22" xfId="0" applyFont="1" applyBorder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2" fillId="0" borderId="30" xfId="6" applyFont="1" applyBorder="1" applyAlignment="1">
      <alignment horizontal="center" vertical="center"/>
    </xf>
    <xf numFmtId="0" fontId="12" fillId="0" borderId="31" xfId="6" applyFont="1" applyBorder="1" applyAlignment="1">
      <alignment horizontal="center" vertical="center"/>
    </xf>
    <xf numFmtId="0" fontId="12" fillId="0" borderId="32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7" borderId="30" xfId="6" applyFont="1" applyFill="1" applyBorder="1" applyAlignment="1">
      <alignment vertical="center" wrapText="1"/>
    </xf>
    <xf numFmtId="0" fontId="6" fillId="7" borderId="32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7" borderId="30" xfId="6" applyFont="1" applyFill="1" applyBorder="1" applyAlignment="1">
      <alignment vertical="center"/>
    </xf>
    <xf numFmtId="0" fontId="6" fillId="7" borderId="31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44" xfId="6" applyFont="1" applyFill="1" applyBorder="1" applyAlignment="1">
      <alignment vertical="center" shrinkToFit="1"/>
    </xf>
    <xf numFmtId="0" fontId="6" fillId="7" borderId="46" xfId="6" applyFont="1" applyFill="1" applyBorder="1" applyAlignment="1">
      <alignment vertical="center" shrinkToFit="1"/>
    </xf>
    <xf numFmtId="0" fontId="6" fillId="7" borderId="45" xfId="6" applyFont="1" applyFill="1" applyBorder="1" applyAlignment="1">
      <alignment vertical="center" shrinkToFit="1"/>
    </xf>
    <xf numFmtId="0" fontId="7" fillId="7" borderId="44" xfId="6" applyFont="1" applyFill="1" applyBorder="1" applyAlignment="1">
      <alignment vertical="center" wrapText="1"/>
    </xf>
    <xf numFmtId="0" fontId="7" fillId="7" borderId="46" xfId="6" applyFont="1" applyFill="1" applyBorder="1" applyAlignment="1">
      <alignment vertical="center" wrapText="1"/>
    </xf>
    <xf numFmtId="0" fontId="7" fillId="7" borderId="45" xfId="6" applyFont="1" applyFill="1" applyBorder="1" applyAlignment="1">
      <alignment vertical="center" wrapText="1"/>
    </xf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47" xfId="6" applyFont="1" applyFill="1" applyBorder="1" applyAlignment="1">
      <alignment vertical="center"/>
    </xf>
    <xf numFmtId="0" fontId="7" fillId="5" borderId="4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4" borderId="27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/>
    </xf>
    <xf numFmtId="0" fontId="6" fillId="4" borderId="29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32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4" borderId="27" xfId="6" applyFont="1" applyFill="1" applyBorder="1"/>
    <xf numFmtId="0" fontId="7" fillId="4" borderId="28" xfId="6" applyFont="1" applyFill="1" applyBorder="1"/>
    <xf numFmtId="0" fontId="7" fillId="4" borderId="29" xfId="6" applyFont="1" applyFill="1" applyBorder="1"/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44" xfId="6" applyFont="1" applyFill="1" applyBorder="1" applyAlignment="1">
      <alignment vertical="center" wrapText="1"/>
    </xf>
    <xf numFmtId="0" fontId="7" fillId="5" borderId="45" xfId="6" applyFont="1" applyFill="1" applyBorder="1" applyAlignment="1">
      <alignment vertical="center" wrapText="1"/>
    </xf>
    <xf numFmtId="0" fontId="7" fillId="5" borderId="32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6" fillId="0" borderId="38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 wrapText="1"/>
    </xf>
    <xf numFmtId="0" fontId="6" fillId="0" borderId="39" xfId="6" quotePrefix="1" applyFont="1" applyBorder="1" applyAlignment="1">
      <alignment vertical="center" wrapText="1"/>
    </xf>
    <xf numFmtId="0" fontId="6" fillId="0" borderId="40" xfId="6" quotePrefix="1" applyFont="1" applyBorder="1" applyAlignment="1">
      <alignment vertical="center" wrapText="1"/>
    </xf>
    <xf numFmtId="0" fontId="7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7" fillId="0" borderId="38" xfId="6" quotePrefix="1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40" xfId="6" applyFont="1" applyBorder="1" applyAlignment="1">
      <alignment horizontal="center" vertical="center" wrapText="1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14" fillId="0" borderId="38" xfId="6" applyFont="1" applyBorder="1" applyAlignment="1">
      <alignment vertical="center"/>
    </xf>
    <xf numFmtId="0" fontId="14" fillId="0" borderId="39" xfId="6" applyFont="1" applyBorder="1" applyAlignment="1">
      <alignment vertical="center"/>
    </xf>
    <xf numFmtId="0" fontId="14" fillId="0" borderId="40" xfId="6" applyFont="1" applyBorder="1" applyAlignment="1">
      <alignment vertical="center"/>
    </xf>
    <xf numFmtId="0" fontId="8" fillId="0" borderId="38" xfId="6" applyFont="1" applyBorder="1" applyAlignment="1">
      <alignment vertical="center" wrapText="1"/>
    </xf>
    <xf numFmtId="0" fontId="7" fillId="0" borderId="38" xfId="6" quotePrefix="1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14" fillId="0" borderId="41" xfId="6" quotePrefix="1" applyFont="1" applyBorder="1" applyAlignment="1">
      <alignment vertical="center"/>
    </xf>
    <xf numFmtId="0" fontId="14" fillId="0" borderId="42" xfId="6" quotePrefix="1" applyFont="1" applyBorder="1" applyAlignment="1">
      <alignment vertical="center"/>
    </xf>
    <xf numFmtId="0" fontId="14" fillId="0" borderId="43" xfId="6" quotePrefix="1" applyFont="1" applyBorder="1" applyAlignment="1">
      <alignment vertical="center"/>
    </xf>
    <xf numFmtId="0" fontId="6" fillId="0" borderId="38" xfId="6" quotePrefix="1" applyFont="1" applyBorder="1" applyAlignment="1">
      <alignment horizontal="center" vertical="center"/>
    </xf>
    <xf numFmtId="0" fontId="14" fillId="0" borderId="41" xfId="6" applyFont="1" applyBorder="1" applyAlignment="1">
      <alignment vertical="center"/>
    </xf>
    <xf numFmtId="0" fontId="14" fillId="0" borderId="42" xfId="6" applyFont="1" applyBorder="1" applyAlignment="1">
      <alignment vertical="center"/>
    </xf>
    <xf numFmtId="0" fontId="14" fillId="0" borderId="43" xfId="6" applyFont="1" applyBorder="1" applyAlignment="1">
      <alignment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14" fillId="0" borderId="35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 2" xfId="7" xr:uid="{00000000-0005-0000-0000-000007000000}"/>
    <cellStyle name="Percent" xfId="1" xr:uid="{00000000-0005-0000-0000-000001000000}"/>
    <cellStyle name="標準" xfId="0" builtinId="0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200</xdr:row>
      <xdr:rowOff>0</xdr:rowOff>
    </xdr:from>
    <xdr:to>
      <xdr:col>61</xdr:col>
      <xdr:colOff>0</xdr:colOff>
      <xdr:row>204</xdr:row>
      <xdr:rowOff>0</xdr:rowOff>
    </xdr:to>
    <xdr:sp macro="" textlink="" fLocksText="0">
      <xdr:nvSpPr>
        <xdr:cNvPr id="306" name="吹き出し: 線 2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/>
      </xdr:nvSpPr>
      <xdr:spPr>
        <a:xfrm>
          <a:off x="10134600" y="38214300"/>
          <a:ext cx="6134100" cy="762000"/>
        </a:xfrm>
        <a:prstGeom prst="borderCallout1">
          <a:avLst>
            <a:gd name="adj1" fmla="val 54828"/>
            <a:gd name="adj2" fmla="val -151"/>
            <a:gd name="adj3" fmla="val 70937"/>
            <a:gd name="adj4" fmla="val -1316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画面でユーザーが店舗を削除、更新、追加、またはコピーしたかを確認する。店舗を削除、更新、追加、またはコピーした場合、店舗マスタ設定保存を実行する。上記以外の場合、エラーモダールを表示する。</a:t>
          </a:r>
        </a:p>
      </xdr:txBody>
    </xdr:sp>
    <xdr:clientData/>
  </xdr:twoCellAnchor>
  <xdr:twoCellAnchor>
    <xdr:from>
      <xdr:col>38</xdr:col>
      <xdr:colOff>0</xdr:colOff>
      <xdr:row>85</xdr:row>
      <xdr:rowOff>0</xdr:rowOff>
    </xdr:from>
    <xdr:to>
      <xdr:col>61</xdr:col>
      <xdr:colOff>0</xdr:colOff>
      <xdr:row>95</xdr:row>
      <xdr:rowOff>0</xdr:rowOff>
    </xdr:to>
    <xdr:sp macro="" textlink="" fLocksText="0">
      <xdr:nvSpPr>
        <xdr:cNvPr id="156" name="吹き出し: 線 2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/>
      </xdr:nvSpPr>
      <xdr:spPr>
        <a:xfrm>
          <a:off x="10134600" y="16306800"/>
          <a:ext cx="6134100" cy="1905000"/>
        </a:xfrm>
        <a:prstGeom prst="borderCallout1">
          <a:avLst>
            <a:gd name="adj1" fmla="val 58357"/>
            <a:gd name="adj2" fmla="val -151"/>
            <a:gd name="adj3" fmla="val 70994"/>
            <a:gd name="adj4" fmla="val -1343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店舗情報編集機能：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・バリデーションチェックを行う。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+以下の項目の入力必須をチェックする。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[店舖名称]、[店舗略称]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+[郵便番号]：最大7文字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上記を満たさない場合、エラーモダールを表示する。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・バリデーションチェックが成功した後、SC8201画面に戻り、ユーザーが選択したレコードを編集した情報を更新する。</a:t>
          </a:r>
        </a:p>
      </xdr:txBody>
    </xdr:sp>
    <xdr:clientData/>
  </xdr:twoCellAnchor>
  <xdr:twoCellAnchor>
    <xdr:from>
      <xdr:col>38</xdr:col>
      <xdr:colOff>0</xdr:colOff>
      <xdr:row>55</xdr:row>
      <xdr:rowOff>0</xdr:rowOff>
    </xdr:from>
    <xdr:to>
      <xdr:col>61</xdr:col>
      <xdr:colOff>0</xdr:colOff>
      <xdr:row>67</xdr:row>
      <xdr:rowOff>0</xdr:rowOff>
    </xdr:to>
    <xdr:sp macro="" textlink="" fLocksText="0">
      <xdr:nvSpPr>
        <xdr:cNvPr id="141" name="吹き出し: 線 2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/>
      </xdr:nvSpPr>
      <xdr:spPr>
        <a:xfrm>
          <a:off x="10134600" y="10591800"/>
          <a:ext cx="6134100" cy="2286000"/>
        </a:xfrm>
        <a:prstGeom prst="borderCallout1">
          <a:avLst>
            <a:gd name="adj1" fmla="val 48455"/>
            <a:gd name="adj2" fmla="val 263"/>
            <a:gd name="adj3" fmla="val 47219"/>
            <a:gd name="adj4" fmla="val -1321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店舗削除機能：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・選択されたレコードがインターフェース上で削除対象としてマークされていない場合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[AP8202_店舗マスタ削除バリデーションチェック]APIを呼び出して、ユーザーが選択した店舗に売上実績が存在しているかを確認する。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+店舗に売上実績が存在している場合、画面ではエラーモダールを表示する。メッセージ： 売上実績が存在する店舗は削除できません。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+店舗に売上実績が存在していない場合、[SC8201_店舗マスタ設定]画面に戻る。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・選択されたレコードがインターフェース上で削除対象としてマークされている場合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レコードの削除を取り消す。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8</xdr:col>
      <xdr:colOff>6465</xdr:colOff>
      <xdr:row>12</xdr:row>
      <xdr:rowOff>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1638300"/>
          <a:ext cx="160972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8</xdr:col>
      <xdr:colOff>0</xdr:colOff>
      <xdr:row>15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400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82_店舗マスタ設定</a:t>
          </a:r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8</xdr:col>
      <xdr:colOff>0</xdr:colOff>
      <xdr:row>22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</a:t>
          </a:r>
        </a:p>
      </xdr:txBody>
    </xdr:sp>
    <xdr:clientData/>
  </xdr:twoCellAnchor>
  <xdr:twoCellAnchor>
    <xdr:from>
      <xdr:col>38</xdr:col>
      <xdr:colOff>0</xdr:colOff>
      <xdr:row>12</xdr:row>
      <xdr:rowOff>0</xdr:rowOff>
    </xdr:from>
    <xdr:to>
      <xdr:col>61</xdr:col>
      <xdr:colOff>0</xdr:colOff>
      <xdr:row>14</xdr:row>
      <xdr:rowOff>0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134600" y="2400300"/>
          <a:ext cx="6134100" cy="381000"/>
        </a:xfrm>
        <a:prstGeom prst="borderCallout1">
          <a:avLst>
            <a:gd name="adj1" fmla="val 54828"/>
            <a:gd name="adj2" fmla="val -151"/>
            <a:gd name="adj3" fmla="val 51165"/>
            <a:gd name="adj4" fmla="val -13025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ID Menu item MF082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0</xdr:colOff>
      <xdr:row>18</xdr:row>
      <xdr:rowOff>0</xdr:rowOff>
    </xdr:to>
    <xdr:cxnSp macro="">
      <xdr:nvCxnSpPr>
        <xdr:cNvPr id="17" name="直線矢印コネクタ 101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38</xdr:row>
      <xdr:rowOff>190499</xdr:rowOff>
    </xdr:from>
    <xdr:to>
      <xdr:col>8</xdr:col>
      <xdr:colOff>0</xdr:colOff>
      <xdr:row>42</xdr:row>
      <xdr:rowOff>190499</xdr:rowOff>
    </xdr:to>
    <xdr:sp macro="" textlink="" fLocksText="0">
      <xdr:nvSpPr>
        <xdr:cNvPr id="28" name="正方形/長方形 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533400" y="754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</a:t>
          </a:r>
        </a:p>
      </xdr:txBody>
    </xdr:sp>
    <xdr:clientData/>
  </xdr:twoCellAnchor>
  <xdr:twoCellAnchor>
    <xdr:from>
      <xdr:col>5</xdr:col>
      <xdr:colOff>0</xdr:colOff>
      <xdr:row>42</xdr:row>
      <xdr:rowOff>190499</xdr:rowOff>
    </xdr:from>
    <xdr:to>
      <xdr:col>5</xdr:col>
      <xdr:colOff>0</xdr:colOff>
      <xdr:row>44</xdr:row>
      <xdr:rowOff>190499</xdr:rowOff>
    </xdr:to>
    <xdr:cxnSp macro="">
      <xdr:nvCxnSpPr>
        <xdr:cNvPr id="30" name="直線矢印コネクタ 1010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28" idx="2"/>
          <a:endCxn id="40" idx="0"/>
        </xdr:cNvCxnSpPr>
      </xdr:nvCxnSpPr>
      <xdr:spPr>
        <a:xfrm>
          <a:off x="1333500" y="830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</xdr:row>
      <xdr:rowOff>190499</xdr:rowOff>
    </xdr:from>
    <xdr:to>
      <xdr:col>3</xdr:col>
      <xdr:colOff>0</xdr:colOff>
      <xdr:row>37</xdr:row>
      <xdr:rowOff>0</xdr:rowOff>
    </xdr:to>
    <xdr:sp macro="" textlink="" fLocksText="0">
      <xdr:nvSpPr>
        <xdr:cNvPr id="33" name="Rectangle: Rounded Corners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266700" y="697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3</xdr:col>
      <xdr:colOff>0</xdr:colOff>
      <xdr:row>36</xdr:row>
      <xdr:rowOff>95250</xdr:rowOff>
    </xdr:from>
    <xdr:to>
      <xdr:col>5</xdr:col>
      <xdr:colOff>0</xdr:colOff>
      <xdr:row>38</xdr:row>
      <xdr:rowOff>190499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33" idx="3"/>
          <a:endCxn id="28" idx="0"/>
        </xdr:cNvCxnSpPr>
      </xdr:nvCxnSpPr>
      <xdr:spPr>
        <a:xfrm>
          <a:off x="800100" y="706755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44</xdr:row>
      <xdr:rowOff>190499</xdr:rowOff>
    </xdr:from>
    <xdr:to>
      <xdr:col>7</xdr:col>
      <xdr:colOff>0</xdr:colOff>
      <xdr:row>46</xdr:row>
      <xdr:rowOff>190499</xdr:rowOff>
    </xdr:to>
    <xdr:sp macro="" textlink="" fLocksText="0">
      <xdr:nvSpPr>
        <xdr:cNvPr id="40" name="四角形: 角を丸くする 1101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00100" y="868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8</xdr:col>
      <xdr:colOff>0</xdr:colOff>
      <xdr:row>44</xdr:row>
      <xdr:rowOff>190499</xdr:rowOff>
    </xdr:from>
    <xdr:to>
      <xdr:col>12</xdr:col>
      <xdr:colOff>0</xdr:colOff>
      <xdr:row>46</xdr:row>
      <xdr:rowOff>190499</xdr:rowOff>
    </xdr:to>
    <xdr:sp macro="" textlink="" fLocksText="0">
      <xdr:nvSpPr>
        <xdr:cNvPr id="41" name="四角形: 角を丸くする 1101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133600" y="868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13</xdr:col>
      <xdr:colOff>0</xdr:colOff>
      <xdr:row>44</xdr:row>
      <xdr:rowOff>190499</xdr:rowOff>
    </xdr:from>
    <xdr:to>
      <xdr:col>17</xdr:col>
      <xdr:colOff>0</xdr:colOff>
      <xdr:row>46</xdr:row>
      <xdr:rowOff>190499</xdr:rowOff>
    </xdr:to>
    <xdr:sp macro="" textlink="" fLocksText="0">
      <xdr:nvSpPr>
        <xdr:cNvPr id="43" name="四角形: 角を丸くする 110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3467100" y="868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コピー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2800</xdr:colOff>
      <xdr:row>44</xdr:row>
      <xdr:rowOff>190499</xdr:rowOff>
    </xdr:from>
    <xdr:to>
      <xdr:col>22</xdr:col>
      <xdr:colOff>0</xdr:colOff>
      <xdr:row>46</xdr:row>
      <xdr:rowOff>190499</xdr:rowOff>
    </xdr:to>
    <xdr:sp macro="" textlink="" fLocksText="0">
      <xdr:nvSpPr>
        <xdr:cNvPr id="44" name="四角形: 角を丸くする 110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4800600" y="868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42</xdr:row>
      <xdr:rowOff>190499</xdr:rowOff>
    </xdr:from>
    <xdr:to>
      <xdr:col>9</xdr:col>
      <xdr:colOff>235322</xdr:colOff>
      <xdr:row>44</xdr:row>
      <xdr:rowOff>190499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28" idx="2"/>
          <a:endCxn id="41" idx="0"/>
        </xdr:cNvCxnSpPr>
      </xdr:nvCxnSpPr>
      <xdr:spPr>
        <a:xfrm rot="16200000" flipH="1">
          <a:off x="1304925" y="8305800"/>
          <a:ext cx="13335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42</xdr:row>
      <xdr:rowOff>190499</xdr:rowOff>
    </xdr:from>
    <xdr:to>
      <xdr:col>14</xdr:col>
      <xdr:colOff>235323</xdr:colOff>
      <xdr:row>44</xdr:row>
      <xdr:rowOff>190499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28" idx="2"/>
          <a:endCxn id="43" idx="0"/>
        </xdr:cNvCxnSpPr>
      </xdr:nvCxnSpPr>
      <xdr:spPr>
        <a:xfrm rot="16200000" flipH="1">
          <a:off x="1304925" y="8305800"/>
          <a:ext cx="26670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42</xdr:row>
      <xdr:rowOff>190499</xdr:rowOff>
    </xdr:from>
    <xdr:to>
      <xdr:col>20</xdr:col>
      <xdr:colOff>1399</xdr:colOff>
      <xdr:row>44</xdr:row>
      <xdr:rowOff>190499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>
          <a:stCxn id="28" idx="2"/>
          <a:endCxn id="44" idx="0"/>
        </xdr:cNvCxnSpPr>
      </xdr:nvCxnSpPr>
      <xdr:spPr>
        <a:xfrm rot="16200000" flipH="1">
          <a:off x="1304925" y="8305800"/>
          <a:ext cx="40290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46</xdr:row>
      <xdr:rowOff>190499</xdr:rowOff>
    </xdr:from>
    <xdr:to>
      <xdr:col>10</xdr:col>
      <xdr:colOff>1</xdr:colOff>
      <xdr:row>48</xdr:row>
      <xdr:rowOff>190499</xdr:rowOff>
    </xdr:to>
    <xdr:cxnSp macro="">
      <xdr:nvCxnSpPr>
        <xdr:cNvPr id="66" name="直線矢印コネクタ 1010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41" idx="2"/>
          <a:endCxn id="69" idx="0"/>
        </xdr:cNvCxnSpPr>
      </xdr:nvCxnSpPr>
      <xdr:spPr>
        <a:xfrm>
          <a:off x="2667000" y="906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48</xdr:row>
      <xdr:rowOff>190499</xdr:rowOff>
    </xdr:from>
    <xdr:to>
      <xdr:col>11</xdr:col>
      <xdr:colOff>1</xdr:colOff>
      <xdr:row>50</xdr:row>
      <xdr:rowOff>0</xdr:rowOff>
    </xdr:to>
    <xdr:sp macro="" textlink="" fLocksText="0">
      <xdr:nvSpPr>
        <xdr:cNvPr id="69" name="Rectangle: Rounded Corners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2400300" y="944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82.3</a:t>
          </a:r>
        </a:p>
      </xdr:txBody>
    </xdr:sp>
    <xdr:clientData/>
  </xdr:twoCellAnchor>
  <xdr:twoCellAnchor>
    <xdr:from>
      <xdr:col>4</xdr:col>
      <xdr:colOff>0</xdr:colOff>
      <xdr:row>48</xdr:row>
      <xdr:rowOff>190499</xdr:rowOff>
    </xdr:from>
    <xdr:to>
      <xdr:col>6</xdr:col>
      <xdr:colOff>1</xdr:colOff>
      <xdr:row>50</xdr:row>
      <xdr:rowOff>0</xdr:rowOff>
    </xdr:to>
    <xdr:sp macro="" textlink="" fLocksText="0">
      <xdr:nvSpPr>
        <xdr:cNvPr id="71" name="Rectangle: Rounded Corners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1066800" y="944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82.2</a:t>
          </a:r>
        </a:p>
      </xdr:txBody>
    </xdr:sp>
    <xdr:clientData/>
  </xdr:twoCellAnchor>
  <xdr:twoCellAnchor>
    <xdr:from>
      <xdr:col>14</xdr:col>
      <xdr:colOff>2802</xdr:colOff>
      <xdr:row>48</xdr:row>
      <xdr:rowOff>190499</xdr:rowOff>
    </xdr:from>
    <xdr:to>
      <xdr:col>16</xdr:col>
      <xdr:colOff>1</xdr:colOff>
      <xdr:row>50</xdr:row>
      <xdr:rowOff>0</xdr:rowOff>
    </xdr:to>
    <xdr:sp macro="" textlink="" fLocksText="0">
      <xdr:nvSpPr>
        <xdr:cNvPr id="77" name="Rectangle: Rounded Corners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3733800" y="944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82.5</a:t>
          </a:r>
        </a:p>
      </xdr:txBody>
    </xdr:sp>
    <xdr:clientData/>
  </xdr:twoCellAnchor>
  <xdr:twoCellAnchor>
    <xdr:from>
      <xdr:col>15</xdr:col>
      <xdr:colOff>0</xdr:colOff>
      <xdr:row>46</xdr:row>
      <xdr:rowOff>190499</xdr:rowOff>
    </xdr:from>
    <xdr:to>
      <xdr:col>15</xdr:col>
      <xdr:colOff>1401</xdr:colOff>
      <xdr:row>48</xdr:row>
      <xdr:rowOff>190499</xdr:rowOff>
    </xdr:to>
    <xdr:cxnSp macro="">
      <xdr:nvCxnSpPr>
        <xdr:cNvPr id="78" name="直線矢印コネクタ 1010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CxnSpPr>
          <a:stCxn id="43" idx="2"/>
          <a:endCxn id="77" idx="0"/>
        </xdr:cNvCxnSpPr>
      </xdr:nvCxnSpPr>
      <xdr:spPr>
        <a:xfrm>
          <a:off x="4000500" y="906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2801</xdr:colOff>
      <xdr:row>48</xdr:row>
      <xdr:rowOff>190499</xdr:rowOff>
    </xdr:from>
    <xdr:to>
      <xdr:col>21</xdr:col>
      <xdr:colOff>1</xdr:colOff>
      <xdr:row>50</xdr:row>
      <xdr:rowOff>0</xdr:rowOff>
    </xdr:to>
    <xdr:sp macro="" textlink="" fLocksText="0">
      <xdr:nvSpPr>
        <xdr:cNvPr id="80" name="Rectangle: Rounded Corners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5067300" y="944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82.6</a:t>
          </a:r>
        </a:p>
      </xdr:txBody>
    </xdr:sp>
    <xdr:clientData/>
  </xdr:twoCellAnchor>
  <xdr:twoCellAnchor>
    <xdr:from>
      <xdr:col>20</xdr:col>
      <xdr:colOff>1400</xdr:colOff>
      <xdr:row>46</xdr:row>
      <xdr:rowOff>190499</xdr:rowOff>
    </xdr:from>
    <xdr:to>
      <xdr:col>20</xdr:col>
      <xdr:colOff>1401</xdr:colOff>
      <xdr:row>48</xdr:row>
      <xdr:rowOff>190499</xdr:rowOff>
    </xdr:to>
    <xdr:cxnSp macro="">
      <xdr:nvCxnSpPr>
        <xdr:cNvPr id="81" name="直線矢印コネクタ 101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CxnSpPr>
          <a:stCxn id="44" idx="2"/>
          <a:endCxn id="80" idx="0"/>
        </xdr:cNvCxnSpPr>
      </xdr:nvCxnSpPr>
      <xdr:spPr>
        <a:xfrm>
          <a:off x="5334000" y="906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55</xdr:row>
      <xdr:rowOff>0</xdr:rowOff>
    </xdr:from>
    <xdr:to>
      <xdr:col>6</xdr:col>
      <xdr:colOff>1</xdr:colOff>
      <xdr:row>55</xdr:row>
      <xdr:rowOff>190499</xdr:rowOff>
    </xdr:to>
    <xdr:sp macro="" textlink="" fLocksText="0">
      <xdr:nvSpPr>
        <xdr:cNvPr id="83" name="Rectangle: Rounded Corners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1066800" y="1059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82.2</a:t>
          </a:r>
        </a:p>
      </xdr:txBody>
    </xdr:sp>
    <xdr:clientData/>
  </xdr:twoCellAnchor>
  <xdr:twoCellAnchor>
    <xdr:from>
      <xdr:col>2</xdr:col>
      <xdr:colOff>0</xdr:colOff>
      <xdr:row>57</xdr:row>
      <xdr:rowOff>190499</xdr:rowOff>
    </xdr:from>
    <xdr:to>
      <xdr:col>8</xdr:col>
      <xdr:colOff>0</xdr:colOff>
      <xdr:row>61</xdr:row>
      <xdr:rowOff>190499</xdr:rowOff>
    </xdr:to>
    <xdr:sp macro="" textlink="" fLocksText="0">
      <xdr:nvSpPr>
        <xdr:cNvPr id="84" name="四角形: 角を丸くする 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533400" y="11163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削除可能店舗チェック機能</a:t>
          </a:r>
        </a:p>
      </xdr:txBody>
    </xdr:sp>
    <xdr:clientData/>
  </xdr:twoCellAnchor>
  <xdr:twoCellAnchor>
    <xdr:from>
      <xdr:col>5</xdr:col>
      <xdr:colOff>0</xdr:colOff>
      <xdr:row>55</xdr:row>
      <xdr:rowOff>190499</xdr:rowOff>
    </xdr:from>
    <xdr:to>
      <xdr:col>5</xdr:col>
      <xdr:colOff>1</xdr:colOff>
      <xdr:row>57</xdr:row>
      <xdr:rowOff>190499</xdr:rowOff>
    </xdr:to>
    <xdr:cxnSp macro="">
      <xdr:nvCxnSpPr>
        <xdr:cNvPr id="85" name="直線矢印コネクタ 1010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83" idx="2"/>
          <a:endCxn id="84" idx="0"/>
        </xdr:cNvCxnSpPr>
      </xdr:nvCxnSpPr>
      <xdr:spPr>
        <a:xfrm flipH="1">
          <a:off x="1333500" y="1078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</xdr:row>
      <xdr:rowOff>2241</xdr:rowOff>
    </xdr:from>
    <xdr:to>
      <xdr:col>7</xdr:col>
      <xdr:colOff>0</xdr:colOff>
      <xdr:row>26</xdr:row>
      <xdr:rowOff>2241</xdr:rowOff>
    </xdr:to>
    <xdr:sp macro="" textlink="" fLocksText="0">
      <xdr:nvSpPr>
        <xdr:cNvPr id="93" name="四角形: 角を丸くする 1101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800100" y="4686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0</xdr:colOff>
      <xdr:row>24</xdr:row>
      <xdr:rowOff>2241</xdr:rowOff>
    </xdr:to>
    <xdr:cxnSp macro="">
      <xdr:nvCxnSpPr>
        <xdr:cNvPr id="94" name="直線矢印コネクタ 1010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CxnSpPr>
          <a:stCxn id="4" idx="2"/>
          <a:endCxn id="93" idx="0"/>
        </xdr:cNvCxnSpPr>
      </xdr:nvCxnSpPr>
      <xdr:spPr>
        <a:xfrm>
          <a:off x="1333500" y="430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30</xdr:row>
      <xdr:rowOff>11204</xdr:rowOff>
    </xdr:from>
    <xdr:to>
      <xdr:col>8</xdr:col>
      <xdr:colOff>0</xdr:colOff>
      <xdr:row>34</xdr:row>
      <xdr:rowOff>11204</xdr:rowOff>
    </xdr:to>
    <xdr:sp macro="" textlink="" fLocksText="0">
      <xdr:nvSpPr>
        <xdr:cNvPr id="99" name="四角形: 角を丸くする 3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470647" y="5838263"/>
          <a:ext cx="1411941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店舗マスタ検索</a:t>
          </a:r>
        </a:p>
      </xdr:txBody>
    </xdr:sp>
    <xdr:clientData/>
  </xdr:twoCellAnchor>
  <xdr:twoCellAnchor>
    <xdr:from>
      <xdr:col>5</xdr:col>
      <xdr:colOff>0</xdr:colOff>
      <xdr:row>26</xdr:row>
      <xdr:rowOff>2241</xdr:rowOff>
    </xdr:from>
    <xdr:to>
      <xdr:col>5</xdr:col>
      <xdr:colOff>0</xdr:colOff>
      <xdr:row>30</xdr:row>
      <xdr:rowOff>11204</xdr:rowOff>
    </xdr:to>
    <xdr:cxnSp macro="">
      <xdr:nvCxnSpPr>
        <xdr:cNvPr id="100" name="直線矢印コネクタ 1010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CxnSpPr>
          <a:stCxn id="93" idx="2"/>
          <a:endCxn id="99" idx="0"/>
        </xdr:cNvCxnSpPr>
      </xdr:nvCxnSpPr>
      <xdr:spPr>
        <a:xfrm>
          <a:off x="1333500" y="50673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190499</xdr:rowOff>
    </xdr:from>
    <xdr:to>
      <xdr:col>5</xdr:col>
      <xdr:colOff>0</xdr:colOff>
      <xdr:row>48</xdr:row>
      <xdr:rowOff>190499</xdr:rowOff>
    </xdr:to>
    <xdr:cxnSp macro="">
      <xdr:nvCxnSpPr>
        <xdr:cNvPr id="106" name="直線矢印コネクタ 1010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CxnSpPr>
          <a:stCxn id="40" idx="2"/>
          <a:endCxn id="71" idx="0"/>
        </xdr:cNvCxnSpPr>
      </xdr:nvCxnSpPr>
      <xdr:spPr>
        <a:xfrm>
          <a:off x="1333500" y="906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34</xdr:row>
      <xdr:rowOff>11204</xdr:rowOff>
    </xdr:from>
    <xdr:to>
      <xdr:col>5</xdr:col>
      <xdr:colOff>0</xdr:colOff>
      <xdr:row>38</xdr:row>
      <xdr:rowOff>190499</xdr:rowOff>
    </xdr:to>
    <xdr:cxnSp macro="">
      <xdr:nvCxnSpPr>
        <xdr:cNvPr id="109" name="直線矢印コネクタ 1010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CxnSpPr>
          <a:stCxn id="99" idx="2"/>
          <a:endCxn id="28" idx="0"/>
        </xdr:cNvCxnSpPr>
      </xdr:nvCxnSpPr>
      <xdr:spPr>
        <a:xfrm>
          <a:off x="1333500" y="6600825"/>
          <a:ext cx="0" cy="942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29</xdr:row>
      <xdr:rowOff>190499</xdr:rowOff>
    </xdr:from>
    <xdr:to>
      <xdr:col>35</xdr:col>
      <xdr:colOff>0</xdr:colOff>
      <xdr:row>33</xdr:row>
      <xdr:rowOff>188405</xdr:rowOff>
    </xdr:to>
    <xdr:sp macro="" textlink="" fLocksText="0">
      <xdr:nvSpPr>
        <xdr:cNvPr id="112" name="フローチャート: 磁気ディスク 194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7734300" y="5829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AP8201: 店舗マスタ検索</a:t>
          </a:r>
        </a:p>
      </xdr:txBody>
    </xdr:sp>
    <xdr:clientData/>
  </xdr:twoCellAnchor>
  <xdr:twoCellAnchor>
    <xdr:from>
      <xdr:col>8</xdr:col>
      <xdr:colOff>0</xdr:colOff>
      <xdr:row>31</xdr:row>
      <xdr:rowOff>189452</xdr:rowOff>
    </xdr:from>
    <xdr:to>
      <xdr:col>29</xdr:col>
      <xdr:colOff>0</xdr:colOff>
      <xdr:row>32</xdr:row>
      <xdr:rowOff>11204</xdr:rowOff>
    </xdr:to>
    <xdr:cxnSp macro="">
      <xdr:nvCxnSpPr>
        <xdr:cNvPr id="113" name="直線矢印コネクタ 196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99" idx="3"/>
          <a:endCxn id="112" idx="2"/>
        </xdr:cNvCxnSpPr>
      </xdr:nvCxnSpPr>
      <xdr:spPr>
        <a:xfrm flipV="1">
          <a:off x="2133600" y="6210300"/>
          <a:ext cx="56007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24</xdr:row>
      <xdr:rowOff>0</xdr:rowOff>
    </xdr:from>
    <xdr:to>
      <xdr:col>14</xdr:col>
      <xdr:colOff>2</xdr:colOff>
      <xdr:row>26</xdr:row>
      <xdr:rowOff>0</xdr:rowOff>
    </xdr:to>
    <xdr:sp macro="" textlink="" fLocksText="0">
      <xdr:nvSpPr>
        <xdr:cNvPr id="115" name="四角形: 角を丸くする 1101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2667000" y="4686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2802</xdr:colOff>
      <xdr:row>28</xdr:row>
      <xdr:rowOff>0</xdr:rowOff>
    </xdr:from>
    <xdr:to>
      <xdr:col>13</xdr:col>
      <xdr:colOff>1</xdr:colOff>
      <xdr:row>29</xdr:row>
      <xdr:rowOff>1</xdr:rowOff>
    </xdr:to>
    <xdr:sp macro="" textlink="" fLocksText="0">
      <xdr:nvSpPr>
        <xdr:cNvPr id="116" name="Rectangle: Rounded Corners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2933700" y="544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82.4</a:t>
          </a:r>
        </a:p>
      </xdr:txBody>
    </xdr:sp>
    <xdr:clientData/>
  </xdr:twoCellAnchor>
  <xdr:twoCellAnchor>
    <xdr:from>
      <xdr:col>12</xdr:col>
      <xdr:colOff>1</xdr:colOff>
      <xdr:row>26</xdr:row>
      <xdr:rowOff>0</xdr:rowOff>
    </xdr:from>
    <xdr:to>
      <xdr:col>12</xdr:col>
      <xdr:colOff>1402</xdr:colOff>
      <xdr:row>28</xdr:row>
      <xdr:rowOff>0</xdr:rowOff>
    </xdr:to>
    <xdr:cxnSp macro="">
      <xdr:nvCxnSpPr>
        <xdr:cNvPr id="117" name="直線矢印コネクタ 1010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CxnSpPr>
          <a:stCxn id="115" idx="2"/>
          <a:endCxn id="116" idx="0"/>
        </xdr:cNvCxnSpPr>
      </xdr:nvCxnSpPr>
      <xdr:spPr>
        <a:xfrm>
          <a:off x="3200400" y="5067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22</xdr:row>
      <xdr:rowOff>0</xdr:rowOff>
    </xdr:from>
    <xdr:to>
      <xdr:col>12</xdr:col>
      <xdr:colOff>0</xdr:colOff>
      <xdr:row>24</xdr:row>
      <xdr:rowOff>0</xdr:rowOff>
    </xdr:to>
    <xdr:cxnSp macro="">
      <xdr:nvCxnSpPr>
        <xdr:cNvPr id="118" name="Connector: Elbow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>
          <a:stCxn id="4" idx="2"/>
          <a:endCxn id="115" idx="0"/>
        </xdr:cNvCxnSpPr>
      </xdr:nvCxnSpPr>
      <xdr:spPr>
        <a:xfrm rot="16200000" flipH="1">
          <a:off x="1304925" y="4305300"/>
          <a:ext cx="18954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36</xdr:row>
      <xdr:rowOff>0</xdr:rowOff>
    </xdr:from>
    <xdr:to>
      <xdr:col>61</xdr:col>
      <xdr:colOff>0</xdr:colOff>
      <xdr:row>43</xdr:row>
      <xdr:rowOff>0</xdr:rowOff>
    </xdr:to>
    <xdr:sp macro="" textlink="" fLocksText="0">
      <xdr:nvSpPr>
        <xdr:cNvPr id="123" name="吹き出し: 線 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10134600" y="6972300"/>
          <a:ext cx="6134100" cy="1333500"/>
        </a:xfrm>
        <a:prstGeom prst="borderCallout1">
          <a:avLst>
            <a:gd name="adj1" fmla="val 54828"/>
            <a:gd name="adj2" fmla="val -151"/>
            <a:gd name="adj3" fmla="val 70283"/>
            <a:gd name="adj4" fmla="val -13107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KN8201_店舗マスタ検索機能を実行した後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検索後にレコードがある場合、検索結果エリアに検索できたレコード情報を表示し、検索結果エリアの1つのレコードを選択すると「削除」、「編集」、「コピー」、「確定」ボタンを有効にする。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・検索後にレコードがない場合、「データが見つかりませんでした。」メッセージを含むエラーモダールを表示する。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59</xdr:row>
      <xdr:rowOff>189452</xdr:rowOff>
    </xdr:from>
    <xdr:to>
      <xdr:col>29</xdr:col>
      <xdr:colOff>0</xdr:colOff>
      <xdr:row>59</xdr:row>
      <xdr:rowOff>190499</xdr:rowOff>
    </xdr:to>
    <xdr:cxnSp macro="">
      <xdr:nvCxnSpPr>
        <xdr:cNvPr id="124" name="直線矢印コネクタ 196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CxnSpPr>
          <a:stCxn id="84" idx="3"/>
          <a:endCxn id="127" idx="2"/>
        </xdr:cNvCxnSpPr>
      </xdr:nvCxnSpPr>
      <xdr:spPr>
        <a:xfrm flipV="1">
          <a:off x="2133600" y="11544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57</xdr:row>
      <xdr:rowOff>190499</xdr:rowOff>
    </xdr:from>
    <xdr:to>
      <xdr:col>35</xdr:col>
      <xdr:colOff>0</xdr:colOff>
      <xdr:row>61</xdr:row>
      <xdr:rowOff>188405</xdr:rowOff>
    </xdr:to>
    <xdr:sp macro="" textlink="" fLocksText="0">
      <xdr:nvSpPr>
        <xdr:cNvPr id="127" name="フローチャート: 磁気ディスク 194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/>
      </xdr:nvSpPr>
      <xdr:spPr>
        <a:xfrm>
          <a:off x="7734300" y="11163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AP8202_削除可能店舗チェック機能</a:t>
          </a:r>
        </a:p>
      </xdr:txBody>
    </xdr:sp>
    <xdr:clientData/>
  </xdr:twoCellAnchor>
  <xdr:twoCellAnchor>
    <xdr:from>
      <xdr:col>2</xdr:col>
      <xdr:colOff>0</xdr:colOff>
      <xdr:row>63</xdr:row>
      <xdr:rowOff>190499</xdr:rowOff>
    </xdr:from>
    <xdr:to>
      <xdr:col>8</xdr:col>
      <xdr:colOff>0</xdr:colOff>
      <xdr:row>67</xdr:row>
      <xdr:rowOff>190499</xdr:rowOff>
    </xdr:to>
    <xdr:sp macro="" textlink="" fLocksText="0">
      <xdr:nvSpPr>
        <xdr:cNvPr id="129" name="正方形/長方形 1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533400" y="12306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</a:t>
          </a:r>
        </a:p>
      </xdr:txBody>
    </xdr:sp>
    <xdr:clientData/>
  </xdr:twoCellAnchor>
  <xdr:twoCellAnchor>
    <xdr:from>
      <xdr:col>5</xdr:col>
      <xdr:colOff>0</xdr:colOff>
      <xdr:row>61</xdr:row>
      <xdr:rowOff>190499</xdr:rowOff>
    </xdr:from>
    <xdr:to>
      <xdr:col>5</xdr:col>
      <xdr:colOff>0</xdr:colOff>
      <xdr:row>63</xdr:row>
      <xdr:rowOff>190499</xdr:rowOff>
    </xdr:to>
    <xdr:cxnSp macro="">
      <xdr:nvCxnSpPr>
        <xdr:cNvPr id="131" name="直線矢印コネクタ 1010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CxnSpPr>
          <a:stCxn id="84" idx="2"/>
          <a:endCxn id="129" idx="0"/>
        </xdr:cNvCxnSpPr>
      </xdr:nvCxnSpPr>
      <xdr:spPr>
        <a:xfrm>
          <a:off x="1333500" y="1192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67</xdr:row>
      <xdr:rowOff>190499</xdr:rowOff>
    </xdr:from>
    <xdr:to>
      <xdr:col>5</xdr:col>
      <xdr:colOff>0</xdr:colOff>
      <xdr:row>70</xdr:row>
      <xdr:rowOff>0</xdr:rowOff>
    </xdr:to>
    <xdr:cxnSp macro="">
      <xdr:nvCxnSpPr>
        <xdr:cNvPr id="132" name="直線矢印コネクタ 1010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CxnSpPr>
          <a:stCxn id="129" idx="2"/>
          <a:endCxn id="139" idx="0"/>
        </xdr:cNvCxnSpPr>
      </xdr:nvCxnSpPr>
      <xdr:spPr>
        <a:xfrm>
          <a:off x="1333500" y="13068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70</xdr:row>
      <xdr:rowOff>0</xdr:rowOff>
    </xdr:from>
    <xdr:to>
      <xdr:col>6</xdr:col>
      <xdr:colOff>0</xdr:colOff>
      <xdr:row>71</xdr:row>
      <xdr:rowOff>0</xdr:rowOff>
    </xdr:to>
    <xdr:sp macro="" textlink="" fLocksText="0">
      <xdr:nvSpPr>
        <xdr:cNvPr id="139" name="Rectangle: Rounded Corners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1066800" y="13449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4</xdr:col>
      <xdr:colOff>0</xdr:colOff>
      <xdr:row>76</xdr:row>
      <xdr:rowOff>0</xdr:rowOff>
    </xdr:from>
    <xdr:to>
      <xdr:col>6</xdr:col>
      <xdr:colOff>1</xdr:colOff>
      <xdr:row>77</xdr:row>
      <xdr:rowOff>1</xdr:rowOff>
    </xdr:to>
    <xdr:sp macro="" textlink="" fLocksText="0">
      <xdr:nvSpPr>
        <xdr:cNvPr id="142" name="Rectangle: Rounded Corners 141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1066800" y="1459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82.3</a:t>
          </a:r>
        </a:p>
      </xdr:txBody>
    </xdr:sp>
    <xdr:clientData/>
  </xdr:twoCellAnchor>
  <xdr:twoCellAnchor>
    <xdr:from>
      <xdr:col>2</xdr:col>
      <xdr:colOff>0</xdr:colOff>
      <xdr:row>91</xdr:row>
      <xdr:rowOff>0</xdr:rowOff>
    </xdr:from>
    <xdr:to>
      <xdr:col>8</xdr:col>
      <xdr:colOff>0</xdr:colOff>
      <xdr:row>95</xdr:row>
      <xdr:rowOff>0</xdr:rowOff>
    </xdr:to>
    <xdr:sp macro="" textlink="" fLocksText="0">
      <xdr:nvSpPr>
        <xdr:cNvPr id="143" name="四角形: 角を丸くする 3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/>
      </xdr:nvSpPr>
      <xdr:spPr>
        <a:xfrm>
          <a:off x="533400" y="17449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商品マスタ情報編集機能</a:t>
          </a:r>
        </a:p>
      </xdr:txBody>
    </xdr:sp>
    <xdr:clientData/>
  </xdr:twoCellAnchor>
  <xdr:twoCellAnchor>
    <xdr:from>
      <xdr:col>2</xdr:col>
      <xdr:colOff>0</xdr:colOff>
      <xdr:row>97</xdr:row>
      <xdr:rowOff>0</xdr:rowOff>
    </xdr:from>
    <xdr:to>
      <xdr:col>8</xdr:col>
      <xdr:colOff>0</xdr:colOff>
      <xdr:row>101</xdr:row>
      <xdr:rowOff>0</xdr:rowOff>
    </xdr:to>
    <xdr:sp macro="" textlink="" fLocksText="0">
      <xdr:nvSpPr>
        <xdr:cNvPr id="146" name="正方形/長方形 1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470647" y="18590559"/>
          <a:ext cx="1411941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</a:t>
          </a:r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5</xdr:col>
      <xdr:colOff>0</xdr:colOff>
      <xdr:row>97</xdr:row>
      <xdr:rowOff>0</xdr:rowOff>
    </xdr:to>
    <xdr:cxnSp macro="">
      <xdr:nvCxnSpPr>
        <xdr:cNvPr id="147" name="直線矢印コネクタ 1010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CxnSpPr>
          <a:stCxn id="143" idx="2"/>
          <a:endCxn id="146" idx="0"/>
        </xdr:cNvCxnSpPr>
      </xdr:nvCxnSpPr>
      <xdr:spPr>
        <a:xfrm>
          <a:off x="1333500" y="18211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101</xdr:row>
      <xdr:rowOff>0</xdr:rowOff>
    </xdr:from>
    <xdr:to>
      <xdr:col>5</xdr:col>
      <xdr:colOff>0</xdr:colOff>
      <xdr:row>103</xdr:row>
      <xdr:rowOff>0</xdr:rowOff>
    </xdr:to>
    <xdr:cxnSp macro="">
      <xdr:nvCxnSpPr>
        <xdr:cNvPr id="148" name="直線矢印コネクタ 1010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CxnSpPr>
          <a:stCxn id="146" idx="2"/>
          <a:endCxn id="149" idx="0"/>
        </xdr:cNvCxnSpPr>
      </xdr:nvCxnSpPr>
      <xdr:spPr>
        <a:xfrm flipH="1">
          <a:off x="1304925" y="193548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103</xdr:row>
      <xdr:rowOff>0</xdr:rowOff>
    </xdr:from>
    <xdr:to>
      <xdr:col>6</xdr:col>
      <xdr:colOff>0</xdr:colOff>
      <xdr:row>104</xdr:row>
      <xdr:rowOff>1</xdr:rowOff>
    </xdr:to>
    <xdr:sp macro="" textlink="" fLocksText="0">
      <xdr:nvSpPr>
        <xdr:cNvPr id="149" name="Rectangle: Rounded Corners 148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1038225" y="19735800"/>
          <a:ext cx="56197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38</xdr:col>
      <xdr:colOff>0</xdr:colOff>
      <xdr:row>68</xdr:row>
      <xdr:rowOff>0</xdr:rowOff>
    </xdr:from>
    <xdr:to>
      <xdr:col>61</xdr:col>
      <xdr:colOff>0</xdr:colOff>
      <xdr:row>73</xdr:row>
      <xdr:rowOff>0</xdr:rowOff>
    </xdr:to>
    <xdr:sp macro="" textlink="" fLocksText="0">
      <xdr:nvSpPr>
        <xdr:cNvPr id="155" name="吹き出し: 線 2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/>
      </xdr:nvSpPr>
      <xdr:spPr>
        <a:xfrm>
          <a:off x="10134600" y="13068300"/>
          <a:ext cx="6134100" cy="952500"/>
        </a:xfrm>
        <a:prstGeom prst="borderCallout1">
          <a:avLst>
            <a:gd name="adj1" fmla="val 54828"/>
            <a:gd name="adj2" fmla="val -151"/>
            <a:gd name="adj3" fmla="val -40110"/>
            <a:gd name="adj4" fmla="val -1323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削除後の画面状態：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・画面ではユーザーが削除したレコードを赤い取り消し線でマークする。 (フォントエンドのみにレコードが削除済みとしてマークされる。ユーザーが[確定]ボタンをタッチすると、このレコードがデータベースから削除される)</a:t>
          </a:r>
        </a:p>
      </xdr:txBody>
    </xdr:sp>
    <xdr:clientData/>
  </xdr:twoCellAnchor>
  <xdr:twoCellAnchor>
    <xdr:from>
      <xdr:col>38</xdr:col>
      <xdr:colOff>0</xdr:colOff>
      <xdr:row>96</xdr:row>
      <xdr:rowOff>0</xdr:rowOff>
    </xdr:from>
    <xdr:to>
      <xdr:col>61</xdr:col>
      <xdr:colOff>0</xdr:colOff>
      <xdr:row>103</xdr:row>
      <xdr:rowOff>0</xdr:rowOff>
    </xdr:to>
    <xdr:sp macro="" textlink="" fLocksText="0">
      <xdr:nvSpPr>
        <xdr:cNvPr id="157" name="吹き出し: 線 2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10134600" y="18402300"/>
          <a:ext cx="6134100" cy="1333500"/>
        </a:xfrm>
        <a:prstGeom prst="borderCallout1">
          <a:avLst>
            <a:gd name="adj1" fmla="val 54828"/>
            <a:gd name="adj2" fmla="val -151"/>
            <a:gd name="adj3" fmla="val 51525"/>
            <a:gd name="adj4" fmla="val -13114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編集後の画面状態：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・SC8201画面では、 ユーザーが選択したレコードに編集内容がある項目の値を赤色で表示する (編集された項目では編集前の値と編集後の値を表示する。)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・この編集情報はフロントエンドのみに実行されたので、「確定」ボタンをタッチしてこの編集情報をデータベースに保存する必要がある。</a:t>
          </a:r>
        </a:p>
      </xdr:txBody>
    </xdr:sp>
    <xdr:clientData/>
  </xdr:twoCellAnchor>
  <xdr:twoCellAnchor>
    <xdr:from>
      <xdr:col>2</xdr:col>
      <xdr:colOff>0</xdr:colOff>
      <xdr:row>79</xdr:row>
      <xdr:rowOff>0</xdr:rowOff>
    </xdr:from>
    <xdr:to>
      <xdr:col>8</xdr:col>
      <xdr:colOff>0</xdr:colOff>
      <xdr:row>83</xdr:row>
      <xdr:rowOff>0</xdr:rowOff>
    </xdr:to>
    <xdr:sp macro="" textlink="" fLocksText="0">
      <xdr:nvSpPr>
        <xdr:cNvPr id="158" name="正方形/長方形 19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533400" y="15163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MD8202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商品マスタ編集モダール</a:t>
          </a:r>
        </a:p>
      </xdr:txBody>
    </xdr:sp>
    <xdr:clientData/>
  </xdr:twoCellAnchor>
  <xdr:twoCellAnchor>
    <xdr:from>
      <xdr:col>5</xdr:col>
      <xdr:colOff>0</xdr:colOff>
      <xdr:row>83</xdr:row>
      <xdr:rowOff>0</xdr:rowOff>
    </xdr:from>
    <xdr:to>
      <xdr:col>5</xdr:col>
      <xdr:colOff>0</xdr:colOff>
      <xdr:row>85</xdr:row>
      <xdr:rowOff>0</xdr:rowOff>
    </xdr:to>
    <xdr:cxnSp macro="">
      <xdr:nvCxnSpPr>
        <xdr:cNvPr id="160" name="直線矢印コネクタ 1010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CxnSpPr>
          <a:stCxn id="158" idx="2"/>
          <a:endCxn id="165" idx="0"/>
        </xdr:cNvCxnSpPr>
      </xdr:nvCxnSpPr>
      <xdr:spPr>
        <a:xfrm>
          <a:off x="1333500" y="1592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75</xdr:row>
      <xdr:rowOff>67235</xdr:rowOff>
    </xdr:from>
    <xdr:to>
      <xdr:col>61</xdr:col>
      <xdr:colOff>0</xdr:colOff>
      <xdr:row>84</xdr:row>
      <xdr:rowOff>0</xdr:rowOff>
    </xdr:to>
    <xdr:sp macro="" textlink="" fLocksText="0">
      <xdr:nvSpPr>
        <xdr:cNvPr id="163" name="吹き出し: 線 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/>
      </xdr:nvSpPr>
      <xdr:spPr>
        <a:xfrm>
          <a:off x="8942294" y="14466794"/>
          <a:ext cx="5412441" cy="1647265"/>
        </a:xfrm>
        <a:prstGeom prst="borderCallout1">
          <a:avLst>
            <a:gd name="adj1" fmla="val 54828"/>
            <a:gd name="adj2" fmla="val -151"/>
            <a:gd name="adj3" fmla="val 60893"/>
            <a:gd name="adj4" fmla="val -13066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MD8202モダールには以下の項目の情報が含まれている。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[店舗コード]：読み取り専用で表示する。[店舖名称]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[店舗略称]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[郵便番号]：数字のみ入力可能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[住所]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[電話番号]：数字のみ入力可能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[業態]：3つのオプションを含むプルダウン。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 Food Square (FS) ：専門性が高い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‣Food Market (FM) ：スタンダード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‣Food Off Stocker (FO) ：価格重視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基本ポイント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7</xdr:col>
      <xdr:colOff>0</xdr:colOff>
      <xdr:row>87</xdr:row>
      <xdr:rowOff>0</xdr:rowOff>
    </xdr:to>
    <xdr:sp macro="" textlink="" fLocksText="0">
      <xdr:nvSpPr>
        <xdr:cNvPr id="165" name="四角形: 角を丸くする 1101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/>
      </xdr:nvSpPr>
      <xdr:spPr>
        <a:xfrm>
          <a:off x="800100" y="1630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0</xdr:colOff>
      <xdr:row>85</xdr:row>
      <xdr:rowOff>0</xdr:rowOff>
    </xdr:from>
    <xdr:to>
      <xdr:col>14</xdr:col>
      <xdr:colOff>0</xdr:colOff>
      <xdr:row>87</xdr:row>
      <xdr:rowOff>0</xdr:rowOff>
    </xdr:to>
    <xdr:sp macro="" textlink="" fLocksText="0">
      <xdr:nvSpPr>
        <xdr:cNvPr id="167" name="四角形: 角を丸くする 1101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SpPr/>
      </xdr:nvSpPr>
      <xdr:spPr>
        <a:xfrm>
          <a:off x="2667000" y="1630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83</xdr:row>
      <xdr:rowOff>0</xdr:rowOff>
    </xdr:from>
    <xdr:to>
      <xdr:col>12</xdr:col>
      <xdr:colOff>0</xdr:colOff>
      <xdr:row>85</xdr:row>
      <xdr:rowOff>0</xdr:rowOff>
    </xdr:to>
    <xdr:cxnSp macro="">
      <xdr:nvCxnSpPr>
        <xdr:cNvPr id="170" name="Connector: Elbow 169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CxnSpPr>
          <a:stCxn id="158" idx="2"/>
          <a:endCxn id="167" idx="0"/>
        </xdr:cNvCxnSpPr>
      </xdr:nvCxnSpPr>
      <xdr:spPr>
        <a:xfrm rot="16200000" flipH="1">
          <a:off x="1333500" y="15925800"/>
          <a:ext cx="18669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87</xdr:row>
      <xdr:rowOff>0</xdr:rowOff>
    </xdr:from>
    <xdr:to>
      <xdr:col>5</xdr:col>
      <xdr:colOff>0</xdr:colOff>
      <xdr:row>91</xdr:row>
      <xdr:rowOff>0</xdr:rowOff>
    </xdr:to>
    <xdr:cxnSp macro="">
      <xdr:nvCxnSpPr>
        <xdr:cNvPr id="173" name="直線矢印コネクタ 1010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CxnSpPr>
          <a:stCxn id="165" idx="2"/>
          <a:endCxn id="143" idx="0"/>
        </xdr:cNvCxnSpPr>
      </xdr:nvCxnSpPr>
      <xdr:spPr>
        <a:xfrm>
          <a:off x="1333500" y="16687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1</xdr:colOff>
      <xdr:row>89</xdr:row>
      <xdr:rowOff>0</xdr:rowOff>
    </xdr:to>
    <xdr:cxnSp macro="">
      <xdr:nvCxnSpPr>
        <xdr:cNvPr id="176" name="直線矢印コネクタ 1010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CxnSpPr>
          <a:stCxn id="167" idx="2"/>
          <a:endCxn id="177" idx="0"/>
        </xdr:cNvCxnSpPr>
      </xdr:nvCxnSpPr>
      <xdr:spPr>
        <a:xfrm>
          <a:off x="3200400" y="1668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89</xdr:row>
      <xdr:rowOff>0</xdr:rowOff>
    </xdr:from>
    <xdr:to>
      <xdr:col>13</xdr:col>
      <xdr:colOff>0</xdr:colOff>
      <xdr:row>90</xdr:row>
      <xdr:rowOff>0</xdr:rowOff>
    </xdr:to>
    <xdr:sp macro="" textlink="" fLocksText="0">
      <xdr:nvSpPr>
        <xdr:cNvPr id="177" name="Rectangle: Rounded Corners 176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2933700" y="1706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</a:t>
          </a:r>
        </a:p>
      </xdr:txBody>
    </xdr:sp>
    <xdr:clientData/>
  </xdr:twoCellAnchor>
  <xdr:twoCellAnchor>
    <xdr:from>
      <xdr:col>5</xdr:col>
      <xdr:colOff>0</xdr:colOff>
      <xdr:row>77</xdr:row>
      <xdr:rowOff>1</xdr:rowOff>
    </xdr:from>
    <xdr:to>
      <xdr:col>5</xdr:col>
      <xdr:colOff>0</xdr:colOff>
      <xdr:row>79</xdr:row>
      <xdr:rowOff>0</xdr:rowOff>
    </xdr:to>
    <xdr:cxnSp macro="">
      <xdr:nvCxnSpPr>
        <xdr:cNvPr id="195" name="直線矢印コネクタ 1010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CxnSpPr>
          <a:stCxn id="142" idx="2"/>
          <a:endCxn id="158" idx="0"/>
        </xdr:cNvCxnSpPr>
      </xdr:nvCxnSpPr>
      <xdr:spPr>
        <a:xfrm>
          <a:off x="1333500" y="14782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119</xdr:row>
      <xdr:rowOff>0</xdr:rowOff>
    </xdr:from>
    <xdr:to>
      <xdr:col>61</xdr:col>
      <xdr:colOff>0</xdr:colOff>
      <xdr:row>131</xdr:row>
      <xdr:rowOff>0</xdr:rowOff>
    </xdr:to>
    <xdr:sp macro="" textlink="" fLocksText="0">
      <xdr:nvSpPr>
        <xdr:cNvPr id="200" name="吹き出し: 線 2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SpPr/>
      </xdr:nvSpPr>
      <xdr:spPr>
        <a:xfrm>
          <a:off x="10134600" y="22783800"/>
          <a:ext cx="6134100" cy="2286000"/>
        </a:xfrm>
        <a:prstGeom prst="borderCallout1">
          <a:avLst>
            <a:gd name="adj1" fmla="val 40449"/>
            <a:gd name="adj2" fmla="val 56"/>
            <a:gd name="adj3" fmla="val 84964"/>
            <a:gd name="adj4" fmla="val -1308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店舗追加機能：</a:t>
          </a:r>
          <a:endParaRPr lang="en-US" altLang="ja-JP" sz="1000" b="1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・バリデーションチェックを行う。 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+以下の項目の入力必須をチェックする。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[店舖名称]、[店舗略称]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+[郵便番号]：最大7文字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+[店舗コード]項目にユーザーが入力した値が末登録であること。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・バリデーションチェックが成功した場合、SC8201画面に戻り、ユーザーが選択したレコードを編集した情報を更新する。</a:t>
          </a:r>
        </a:p>
      </xdr:txBody>
    </xdr:sp>
    <xdr:clientData/>
  </xdr:twoCellAnchor>
  <xdr:twoCellAnchor>
    <xdr:from>
      <xdr:col>4</xdr:col>
      <xdr:colOff>7132</xdr:colOff>
      <xdr:row>112</xdr:row>
      <xdr:rowOff>0</xdr:rowOff>
    </xdr:from>
    <xdr:to>
      <xdr:col>6</xdr:col>
      <xdr:colOff>7133</xdr:colOff>
      <xdr:row>113</xdr:row>
      <xdr:rowOff>0</xdr:rowOff>
    </xdr:to>
    <xdr:sp macro="" textlink="" fLocksText="0">
      <xdr:nvSpPr>
        <xdr:cNvPr id="201" name="Rectangle: Rounded Corners 200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/>
      </xdr:nvSpPr>
      <xdr:spPr>
        <a:xfrm>
          <a:off x="1076325" y="21450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82.4</a:t>
          </a:r>
        </a:p>
      </xdr:txBody>
    </xdr:sp>
    <xdr:clientData/>
  </xdr:twoCellAnchor>
  <xdr:twoCellAnchor>
    <xdr:from>
      <xdr:col>2</xdr:col>
      <xdr:colOff>7132</xdr:colOff>
      <xdr:row>127</xdr:row>
      <xdr:rowOff>0</xdr:rowOff>
    </xdr:from>
    <xdr:to>
      <xdr:col>8</xdr:col>
      <xdr:colOff>0</xdr:colOff>
      <xdr:row>131</xdr:row>
      <xdr:rowOff>0</xdr:rowOff>
    </xdr:to>
    <xdr:sp macro="" textlink="" fLocksText="0">
      <xdr:nvSpPr>
        <xdr:cNvPr id="202" name="四角形: 角を丸くする 3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/>
      </xdr:nvSpPr>
      <xdr:spPr>
        <a:xfrm>
          <a:off x="542925" y="24307800"/>
          <a:ext cx="1590675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KN8204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商品マスタ追加機能</a:t>
          </a:r>
        </a:p>
      </xdr:txBody>
    </xdr:sp>
    <xdr:clientData/>
  </xdr:twoCellAnchor>
  <xdr:twoCellAnchor>
    <xdr:from>
      <xdr:col>8</xdr:col>
      <xdr:colOff>0</xdr:colOff>
      <xdr:row>128</xdr:row>
      <xdr:rowOff>189453</xdr:rowOff>
    </xdr:from>
    <xdr:to>
      <xdr:col>29</xdr:col>
      <xdr:colOff>7132</xdr:colOff>
      <xdr:row>129</xdr:row>
      <xdr:rowOff>0</xdr:rowOff>
    </xdr:to>
    <xdr:cxnSp macro="">
      <xdr:nvCxnSpPr>
        <xdr:cNvPr id="203" name="直線矢印コネクタ 196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CxnSpPr>
          <a:stCxn id="202" idx="3"/>
          <a:endCxn id="204" idx="2"/>
        </xdr:cNvCxnSpPr>
      </xdr:nvCxnSpPr>
      <xdr:spPr>
        <a:xfrm flipV="1">
          <a:off x="2133600" y="24688800"/>
          <a:ext cx="561022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7132</xdr:colOff>
      <xdr:row>127</xdr:row>
      <xdr:rowOff>0</xdr:rowOff>
    </xdr:from>
    <xdr:to>
      <xdr:col>35</xdr:col>
      <xdr:colOff>7132</xdr:colOff>
      <xdr:row>130</xdr:row>
      <xdr:rowOff>188406</xdr:rowOff>
    </xdr:to>
    <xdr:sp macro="" textlink="" fLocksText="0">
      <xdr:nvSpPr>
        <xdr:cNvPr id="204" name="フローチャート: 磁気ディスク 194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/>
      </xdr:nvSpPr>
      <xdr:spPr>
        <a:xfrm>
          <a:off x="7743825" y="24307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AP8203: 商品マスタ追加のバリデーションチェック</a:t>
          </a:r>
        </a:p>
      </xdr:txBody>
    </xdr:sp>
    <xdr:clientData/>
  </xdr:twoCellAnchor>
  <xdr:twoCellAnchor>
    <xdr:from>
      <xdr:col>2</xdr:col>
      <xdr:colOff>7132</xdr:colOff>
      <xdr:row>133</xdr:row>
      <xdr:rowOff>0</xdr:rowOff>
    </xdr:from>
    <xdr:to>
      <xdr:col>8</xdr:col>
      <xdr:colOff>0</xdr:colOff>
      <xdr:row>137</xdr:row>
      <xdr:rowOff>0</xdr:rowOff>
    </xdr:to>
    <xdr:sp macro="" textlink="" fLocksText="0">
      <xdr:nvSpPr>
        <xdr:cNvPr id="205" name="正方形/長方形 1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/>
      </xdr:nvSpPr>
      <xdr:spPr>
        <a:xfrm>
          <a:off x="542925" y="25450800"/>
          <a:ext cx="15906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</a:t>
          </a:r>
        </a:p>
      </xdr:txBody>
    </xdr:sp>
    <xdr:clientData/>
  </xdr:twoCellAnchor>
  <xdr:twoCellAnchor>
    <xdr:from>
      <xdr:col>5</xdr:col>
      <xdr:colOff>3566</xdr:colOff>
      <xdr:row>131</xdr:row>
      <xdr:rowOff>0</xdr:rowOff>
    </xdr:from>
    <xdr:to>
      <xdr:col>5</xdr:col>
      <xdr:colOff>3566</xdr:colOff>
      <xdr:row>133</xdr:row>
      <xdr:rowOff>0</xdr:rowOff>
    </xdr:to>
    <xdr:cxnSp macro="">
      <xdr:nvCxnSpPr>
        <xdr:cNvPr id="206" name="直線矢印コネクタ 1010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CxnSpPr>
          <a:stCxn id="202" idx="2"/>
          <a:endCxn id="205" idx="0"/>
        </xdr:cNvCxnSpPr>
      </xdr:nvCxnSpPr>
      <xdr:spPr>
        <a:xfrm>
          <a:off x="1333500" y="25069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3566</xdr:colOff>
      <xdr:row>137</xdr:row>
      <xdr:rowOff>0</xdr:rowOff>
    </xdr:from>
    <xdr:to>
      <xdr:col>5</xdr:col>
      <xdr:colOff>3566</xdr:colOff>
      <xdr:row>139</xdr:row>
      <xdr:rowOff>0</xdr:rowOff>
    </xdr:to>
    <xdr:cxnSp macro="">
      <xdr:nvCxnSpPr>
        <xdr:cNvPr id="207" name="直線矢印コネクタ 1010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CxnSpPr>
          <a:stCxn id="205" idx="2"/>
          <a:endCxn id="208" idx="0"/>
        </xdr:cNvCxnSpPr>
      </xdr:nvCxnSpPr>
      <xdr:spPr>
        <a:xfrm>
          <a:off x="1333500" y="26212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139</xdr:row>
      <xdr:rowOff>0</xdr:rowOff>
    </xdr:from>
    <xdr:to>
      <xdr:col>6</xdr:col>
      <xdr:colOff>7132</xdr:colOff>
      <xdr:row>140</xdr:row>
      <xdr:rowOff>1</xdr:rowOff>
    </xdr:to>
    <xdr:sp macro="" textlink="" fLocksText="0">
      <xdr:nvSpPr>
        <xdr:cNvPr id="208" name="Rectangle: Rounded Corners 207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SpPr/>
      </xdr:nvSpPr>
      <xdr:spPr>
        <a:xfrm>
          <a:off x="1066800" y="26593800"/>
          <a:ext cx="54292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38</xdr:col>
      <xdr:colOff>0</xdr:colOff>
      <xdr:row>132</xdr:row>
      <xdr:rowOff>0</xdr:rowOff>
    </xdr:from>
    <xdr:to>
      <xdr:col>61</xdr:col>
      <xdr:colOff>0</xdr:colOff>
      <xdr:row>139</xdr:row>
      <xdr:rowOff>0</xdr:rowOff>
    </xdr:to>
    <xdr:sp macro="" textlink="" fLocksText="0">
      <xdr:nvSpPr>
        <xdr:cNvPr id="210" name="吹き出し: 線 2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/>
      </xdr:nvSpPr>
      <xdr:spPr>
        <a:xfrm>
          <a:off x="10134600" y="25260300"/>
          <a:ext cx="6134100" cy="1333500"/>
        </a:xfrm>
        <a:prstGeom prst="borderCallout1">
          <a:avLst>
            <a:gd name="adj1" fmla="val 54828"/>
            <a:gd name="adj2" fmla="val -151"/>
            <a:gd name="adj3" fmla="val 53525"/>
            <a:gd name="adj4" fmla="val -1316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追加後の画面状態：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・SC8201画面の検索結果エリアでは、作成された店舗マスタ内容を含むレコードを追加して、赤色で表示する。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・この店舗マスタ情報はフロントエンドのみに保存されたので、「確定」ボタンをタッチしてこの編集情報をデータベースに保存する必要がある。</a:t>
          </a:r>
        </a:p>
      </xdr:txBody>
    </xdr:sp>
    <xdr:clientData/>
  </xdr:twoCellAnchor>
  <xdr:twoCellAnchor>
    <xdr:from>
      <xdr:col>2</xdr:col>
      <xdr:colOff>0</xdr:colOff>
      <xdr:row>115</xdr:row>
      <xdr:rowOff>0</xdr:rowOff>
    </xdr:from>
    <xdr:to>
      <xdr:col>8</xdr:col>
      <xdr:colOff>0</xdr:colOff>
      <xdr:row>119</xdr:row>
      <xdr:rowOff>0</xdr:rowOff>
    </xdr:to>
    <xdr:sp macro="" textlink="" fLocksText="0">
      <xdr:nvSpPr>
        <xdr:cNvPr id="211" name="正方形/長方形 19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/>
      </xdr:nvSpPr>
      <xdr:spPr>
        <a:xfrm>
          <a:off x="533400" y="22021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MD8203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商品マスタ追加モダール</a:t>
          </a:r>
        </a:p>
      </xdr:txBody>
    </xdr:sp>
    <xdr:clientData/>
  </xdr:twoCellAnchor>
  <xdr:twoCellAnchor>
    <xdr:from>
      <xdr:col>5</xdr:col>
      <xdr:colOff>0</xdr:colOff>
      <xdr:row>119</xdr:row>
      <xdr:rowOff>0</xdr:rowOff>
    </xdr:from>
    <xdr:to>
      <xdr:col>5</xdr:col>
      <xdr:colOff>7132</xdr:colOff>
      <xdr:row>121</xdr:row>
      <xdr:rowOff>0</xdr:rowOff>
    </xdr:to>
    <xdr:cxnSp macro="">
      <xdr:nvCxnSpPr>
        <xdr:cNvPr id="212" name="直線矢印コネクタ 1010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CxnSpPr>
          <a:stCxn id="211" idx="2"/>
          <a:endCxn id="214" idx="0"/>
        </xdr:cNvCxnSpPr>
      </xdr:nvCxnSpPr>
      <xdr:spPr>
        <a:xfrm>
          <a:off x="1333500" y="227838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108</xdr:row>
      <xdr:rowOff>0</xdr:rowOff>
    </xdr:from>
    <xdr:to>
      <xdr:col>61</xdr:col>
      <xdr:colOff>0</xdr:colOff>
      <xdr:row>118</xdr:row>
      <xdr:rowOff>0</xdr:rowOff>
    </xdr:to>
    <xdr:sp macro="" textlink="" fLocksText="0">
      <xdr:nvSpPr>
        <xdr:cNvPr id="213" name="吹き出し: 線 2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SpPr/>
      </xdr:nvSpPr>
      <xdr:spPr>
        <a:xfrm>
          <a:off x="8942294" y="20686059"/>
          <a:ext cx="5412441" cy="1905000"/>
        </a:xfrm>
        <a:prstGeom prst="borderCallout1">
          <a:avLst>
            <a:gd name="adj1" fmla="val 54828"/>
            <a:gd name="adj2" fmla="val -151"/>
            <a:gd name="adj3" fmla="val 84213"/>
            <a:gd name="adj4" fmla="val -1321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Modalモダールには以下の項目の情報が含まれている。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・[店舗コード]： 5文字の数字入力可能。[登录]ボタンをタッチすると、「0」を自動的に埋め込む。[店舖名称]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[店舗略称]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[郵便番号]：数字のみ入力可能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[住所]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[電話番号]：数字のみ入力可能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[業態]：3つのオプションを含むプルダウン。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 Food Square (FS) ：専門性が高い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‣Food Market (FM) ：スタンダード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‣Food Off Stocker (FO) ：価格重視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基本ポイント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店舗の休業日（複数の日付を入力可能）</a:t>
          </a:r>
          <a:endParaRPr lang="en-US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7132</xdr:colOff>
      <xdr:row>121</xdr:row>
      <xdr:rowOff>0</xdr:rowOff>
    </xdr:from>
    <xdr:to>
      <xdr:col>7</xdr:col>
      <xdr:colOff>7132</xdr:colOff>
      <xdr:row>123</xdr:row>
      <xdr:rowOff>0</xdr:rowOff>
    </xdr:to>
    <xdr:sp macro="" textlink="" fLocksText="0">
      <xdr:nvSpPr>
        <xdr:cNvPr id="214" name="四角形: 角を丸くする 1101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/>
      </xdr:nvSpPr>
      <xdr:spPr>
        <a:xfrm>
          <a:off x="809625" y="23164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登录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7132</xdr:colOff>
      <xdr:row>121</xdr:row>
      <xdr:rowOff>0</xdr:rowOff>
    </xdr:from>
    <xdr:to>
      <xdr:col>14</xdr:col>
      <xdr:colOff>7132</xdr:colOff>
      <xdr:row>123</xdr:row>
      <xdr:rowOff>0</xdr:rowOff>
    </xdr:to>
    <xdr:sp macro="" textlink="" fLocksText="0">
      <xdr:nvSpPr>
        <xdr:cNvPr id="215" name="四角形: 角を丸くする 1101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SpPr/>
      </xdr:nvSpPr>
      <xdr:spPr>
        <a:xfrm>
          <a:off x="2676525" y="23164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119</xdr:row>
      <xdr:rowOff>0</xdr:rowOff>
    </xdr:from>
    <xdr:to>
      <xdr:col>12</xdr:col>
      <xdr:colOff>7132</xdr:colOff>
      <xdr:row>121</xdr:row>
      <xdr:rowOff>0</xdr:rowOff>
    </xdr:to>
    <xdr:cxnSp macro="">
      <xdr:nvCxnSpPr>
        <xdr:cNvPr id="216" name="Connector: Elbow 215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CxnSpPr>
          <a:stCxn id="211" idx="2"/>
          <a:endCxn id="215" idx="0"/>
        </xdr:cNvCxnSpPr>
      </xdr:nvCxnSpPr>
      <xdr:spPr>
        <a:xfrm rot="16200000" flipH="1">
          <a:off x="1333500" y="22783800"/>
          <a:ext cx="18764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3566</xdr:colOff>
      <xdr:row>123</xdr:row>
      <xdr:rowOff>0</xdr:rowOff>
    </xdr:from>
    <xdr:to>
      <xdr:col>5</xdr:col>
      <xdr:colOff>7132</xdr:colOff>
      <xdr:row>127</xdr:row>
      <xdr:rowOff>0</xdr:rowOff>
    </xdr:to>
    <xdr:cxnSp macro="">
      <xdr:nvCxnSpPr>
        <xdr:cNvPr id="217" name="直線矢印コネクタ 1010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CxnSpPr>
          <a:stCxn id="214" idx="2"/>
          <a:endCxn id="202" idx="0"/>
        </xdr:cNvCxnSpPr>
      </xdr:nvCxnSpPr>
      <xdr:spPr>
        <a:xfrm flipH="1">
          <a:off x="1333500" y="23545800"/>
          <a:ext cx="952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7132</xdr:colOff>
      <xdr:row>123</xdr:row>
      <xdr:rowOff>0</xdr:rowOff>
    </xdr:from>
    <xdr:to>
      <xdr:col>12</xdr:col>
      <xdr:colOff>7133</xdr:colOff>
      <xdr:row>125</xdr:row>
      <xdr:rowOff>0</xdr:rowOff>
    </xdr:to>
    <xdr:cxnSp macro="">
      <xdr:nvCxnSpPr>
        <xdr:cNvPr id="218" name="直線矢印コネクタ 1010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CxnSpPr>
          <a:stCxn id="215" idx="2"/>
          <a:endCxn id="219" idx="0"/>
        </xdr:cNvCxnSpPr>
      </xdr:nvCxnSpPr>
      <xdr:spPr>
        <a:xfrm>
          <a:off x="3209925" y="2354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7132</xdr:colOff>
      <xdr:row>125</xdr:row>
      <xdr:rowOff>0</xdr:rowOff>
    </xdr:from>
    <xdr:to>
      <xdr:col>13</xdr:col>
      <xdr:colOff>7132</xdr:colOff>
      <xdr:row>126</xdr:row>
      <xdr:rowOff>0</xdr:rowOff>
    </xdr:to>
    <xdr:sp macro="" textlink="" fLocksText="0">
      <xdr:nvSpPr>
        <xdr:cNvPr id="219" name="Rectangle: Rounded Corners 218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SpPr/>
      </xdr:nvSpPr>
      <xdr:spPr>
        <a:xfrm>
          <a:off x="2943225" y="23926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5</xdr:col>
      <xdr:colOff>0</xdr:colOff>
      <xdr:row>113</xdr:row>
      <xdr:rowOff>0</xdr:rowOff>
    </xdr:from>
    <xdr:to>
      <xdr:col>5</xdr:col>
      <xdr:colOff>7132</xdr:colOff>
      <xdr:row>115</xdr:row>
      <xdr:rowOff>0</xdr:rowOff>
    </xdr:to>
    <xdr:cxnSp macro="">
      <xdr:nvCxnSpPr>
        <xdr:cNvPr id="226" name="直線矢印コネクタ 1010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CxnSpPr>
          <a:stCxn id="201" idx="2"/>
          <a:endCxn id="211" idx="0"/>
        </xdr:cNvCxnSpPr>
      </xdr:nvCxnSpPr>
      <xdr:spPr>
        <a:xfrm flipH="1">
          <a:off x="1333500" y="216408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7132</xdr:colOff>
      <xdr:row>145</xdr:row>
      <xdr:rowOff>0</xdr:rowOff>
    </xdr:from>
    <xdr:to>
      <xdr:col>6</xdr:col>
      <xdr:colOff>7133</xdr:colOff>
      <xdr:row>146</xdr:row>
      <xdr:rowOff>1</xdr:rowOff>
    </xdr:to>
    <xdr:sp macro="" textlink="" fLocksText="0">
      <xdr:nvSpPr>
        <xdr:cNvPr id="227" name="Rectangle: Rounded Corners 226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/>
      </xdr:nvSpPr>
      <xdr:spPr>
        <a:xfrm>
          <a:off x="1076325" y="27736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82.5</a:t>
          </a:r>
        </a:p>
      </xdr:txBody>
    </xdr:sp>
    <xdr:clientData/>
  </xdr:twoCellAnchor>
  <xdr:twoCellAnchor>
    <xdr:from>
      <xdr:col>5</xdr:col>
      <xdr:colOff>0</xdr:colOff>
      <xdr:row>152</xdr:row>
      <xdr:rowOff>0</xdr:rowOff>
    </xdr:from>
    <xdr:to>
      <xdr:col>5</xdr:col>
      <xdr:colOff>0</xdr:colOff>
      <xdr:row>154</xdr:row>
      <xdr:rowOff>1</xdr:rowOff>
    </xdr:to>
    <xdr:cxnSp macro="">
      <xdr:nvCxnSpPr>
        <xdr:cNvPr id="228" name="直線矢印コネクタ 1010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CxnSpPr>
          <a:stCxn id="333" idx="2"/>
          <a:endCxn id="230" idx="0"/>
        </xdr:cNvCxnSpPr>
      </xdr:nvCxnSpPr>
      <xdr:spPr>
        <a:xfrm>
          <a:off x="1333500" y="29070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164</xdr:row>
      <xdr:rowOff>0</xdr:rowOff>
    </xdr:from>
    <xdr:to>
      <xdr:col>8</xdr:col>
      <xdr:colOff>0</xdr:colOff>
      <xdr:row>168</xdr:row>
      <xdr:rowOff>0</xdr:rowOff>
    </xdr:to>
    <xdr:sp macro="" textlink="" fLocksText="0">
      <xdr:nvSpPr>
        <xdr:cNvPr id="229" name="正方形/長方形 19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/>
      </xdr:nvSpPr>
      <xdr:spPr>
        <a:xfrm>
          <a:off x="470647" y="31354059"/>
          <a:ext cx="1411941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MD8201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店舗コピーモダール</a:t>
          </a:r>
        </a:p>
      </xdr:txBody>
    </xdr:sp>
    <xdr:clientData/>
  </xdr:twoCellAnchor>
  <xdr:twoCellAnchor>
    <xdr:from>
      <xdr:col>2</xdr:col>
      <xdr:colOff>0</xdr:colOff>
      <xdr:row>154</xdr:row>
      <xdr:rowOff>1</xdr:rowOff>
    </xdr:from>
    <xdr:to>
      <xdr:col>8</xdr:col>
      <xdr:colOff>0</xdr:colOff>
      <xdr:row>155</xdr:row>
      <xdr:rowOff>1</xdr:rowOff>
    </xdr:to>
    <xdr:sp macro="" textlink="" fLocksText="0">
      <xdr:nvSpPr>
        <xdr:cNvPr id="230" name="Rectangle: Rounded Corners 229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/>
      </xdr:nvSpPr>
      <xdr:spPr>
        <a:xfrm>
          <a:off x="533400" y="29451300"/>
          <a:ext cx="16002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</a:p>
      </xdr:txBody>
    </xdr:sp>
    <xdr:clientData/>
  </xdr:twoCellAnchor>
  <xdr:twoCellAnchor>
    <xdr:from>
      <xdr:col>10</xdr:col>
      <xdr:colOff>7132</xdr:colOff>
      <xdr:row>154</xdr:row>
      <xdr:rowOff>0</xdr:rowOff>
    </xdr:from>
    <xdr:to>
      <xdr:col>16</xdr:col>
      <xdr:colOff>7132</xdr:colOff>
      <xdr:row>155</xdr:row>
      <xdr:rowOff>0</xdr:rowOff>
    </xdr:to>
    <xdr:sp macro="" textlink="" fLocksText="0">
      <xdr:nvSpPr>
        <xdr:cNvPr id="231" name="Rectangle: Rounded Corners 230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SpPr/>
      </xdr:nvSpPr>
      <xdr:spPr>
        <a:xfrm>
          <a:off x="2676525" y="29451300"/>
          <a:ext cx="16002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</a:p>
      </xdr:txBody>
    </xdr:sp>
    <xdr:clientData/>
  </xdr:twoCellAnchor>
  <xdr:twoCellAnchor>
    <xdr:from>
      <xdr:col>5</xdr:col>
      <xdr:colOff>0</xdr:colOff>
      <xdr:row>152</xdr:row>
      <xdr:rowOff>0</xdr:rowOff>
    </xdr:from>
    <xdr:to>
      <xdr:col>13</xdr:col>
      <xdr:colOff>7132</xdr:colOff>
      <xdr:row>154</xdr:row>
      <xdr:rowOff>0</xdr:rowOff>
    </xdr:to>
    <xdr:cxnSp macro="">
      <xdr:nvCxnSpPr>
        <xdr:cNvPr id="232" name="Connector: Elbow 231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CxnSpPr>
          <a:stCxn id="333" idx="2"/>
          <a:endCxn id="231" idx="0"/>
        </xdr:cNvCxnSpPr>
      </xdr:nvCxnSpPr>
      <xdr:spPr>
        <a:xfrm rot="16200000" flipH="1">
          <a:off x="1333500" y="29070300"/>
          <a:ext cx="21431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7132</xdr:colOff>
      <xdr:row>157</xdr:row>
      <xdr:rowOff>0</xdr:rowOff>
    </xdr:from>
    <xdr:to>
      <xdr:col>16</xdr:col>
      <xdr:colOff>7132</xdr:colOff>
      <xdr:row>161</xdr:row>
      <xdr:rowOff>0</xdr:rowOff>
    </xdr:to>
    <xdr:sp macro="" textlink="" fLocksText="0">
      <xdr:nvSpPr>
        <xdr:cNvPr id="233" name="正方形/長方形 1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SpPr/>
      </xdr:nvSpPr>
      <xdr:spPr>
        <a:xfrm>
          <a:off x="2360367" y="30020559"/>
          <a:ext cx="1411941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vi-VN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12</xdr:col>
      <xdr:colOff>11784</xdr:colOff>
      <xdr:row>161</xdr:row>
      <xdr:rowOff>0</xdr:rowOff>
    </xdr:from>
    <xdr:to>
      <xdr:col>14</xdr:col>
      <xdr:colOff>11784</xdr:colOff>
      <xdr:row>162</xdr:row>
      <xdr:rowOff>0</xdr:rowOff>
    </xdr:to>
    <xdr:sp macro="" textlink="" fLocksText="0">
      <xdr:nvSpPr>
        <xdr:cNvPr id="234" name="四角形: 角を丸くする 294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SpPr/>
      </xdr:nvSpPr>
      <xdr:spPr>
        <a:xfrm>
          <a:off x="3209925" y="30784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7132</xdr:colOff>
      <xdr:row>155</xdr:row>
      <xdr:rowOff>0</xdr:rowOff>
    </xdr:from>
    <xdr:to>
      <xdr:col>13</xdr:col>
      <xdr:colOff>7132</xdr:colOff>
      <xdr:row>157</xdr:row>
      <xdr:rowOff>0</xdr:rowOff>
    </xdr:to>
    <xdr:cxnSp macro="">
      <xdr:nvCxnSpPr>
        <xdr:cNvPr id="235" name="直線矢印コネクタ 1010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CxnSpPr>
          <a:stCxn id="231" idx="2"/>
          <a:endCxn id="233" idx="0"/>
        </xdr:cNvCxnSpPr>
      </xdr:nvCxnSpPr>
      <xdr:spPr>
        <a:xfrm>
          <a:off x="3476625" y="29641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155</xdr:row>
      <xdr:rowOff>1</xdr:rowOff>
    </xdr:from>
    <xdr:to>
      <xdr:col>5</xdr:col>
      <xdr:colOff>0</xdr:colOff>
      <xdr:row>164</xdr:row>
      <xdr:rowOff>0</xdr:rowOff>
    </xdr:to>
    <xdr:cxnSp macro="">
      <xdr:nvCxnSpPr>
        <xdr:cNvPr id="236" name="直線矢印コネクタ 1010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CxnSpPr>
          <a:stCxn id="230" idx="2"/>
          <a:endCxn id="229" idx="0"/>
        </xdr:cNvCxnSpPr>
      </xdr:nvCxnSpPr>
      <xdr:spPr>
        <a:xfrm>
          <a:off x="1333500" y="29641800"/>
          <a:ext cx="0" cy="1714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168</xdr:row>
      <xdr:rowOff>0</xdr:rowOff>
    </xdr:from>
    <xdr:to>
      <xdr:col>5</xdr:col>
      <xdr:colOff>0</xdr:colOff>
      <xdr:row>170</xdr:row>
      <xdr:rowOff>0</xdr:rowOff>
    </xdr:to>
    <xdr:cxnSp macro="">
      <xdr:nvCxnSpPr>
        <xdr:cNvPr id="237" name="直線矢印コネクタ 1010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CxnSpPr>
          <a:stCxn id="229" idx="2"/>
          <a:endCxn id="240" idx="0"/>
        </xdr:cNvCxnSpPr>
      </xdr:nvCxnSpPr>
      <xdr:spPr>
        <a:xfrm>
          <a:off x="1333500" y="32118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170</xdr:row>
      <xdr:rowOff>0</xdr:rowOff>
    </xdr:from>
    <xdr:to>
      <xdr:col>7</xdr:col>
      <xdr:colOff>0</xdr:colOff>
      <xdr:row>172</xdr:row>
      <xdr:rowOff>0</xdr:rowOff>
    </xdr:to>
    <xdr:sp macro="" textlink="" fLocksText="0">
      <xdr:nvSpPr>
        <xdr:cNvPr id="240" name="四角形: 角を丸くする 1101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SpPr/>
      </xdr:nvSpPr>
      <xdr:spPr>
        <a:xfrm>
          <a:off x="800100" y="32499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コピー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14</xdr:col>
      <xdr:colOff>0</xdr:colOff>
      <xdr:row>172</xdr:row>
      <xdr:rowOff>0</xdr:rowOff>
    </xdr:to>
    <xdr:sp macro="" textlink="" fLocksText="0">
      <xdr:nvSpPr>
        <xdr:cNvPr id="241" name="四角形: 角を丸くする 1101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SpPr/>
      </xdr:nvSpPr>
      <xdr:spPr>
        <a:xfrm>
          <a:off x="2667000" y="32499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168</xdr:row>
      <xdr:rowOff>0</xdr:rowOff>
    </xdr:from>
    <xdr:to>
      <xdr:col>12</xdr:col>
      <xdr:colOff>0</xdr:colOff>
      <xdr:row>170</xdr:row>
      <xdr:rowOff>0</xdr:rowOff>
    </xdr:to>
    <xdr:cxnSp macro="">
      <xdr:nvCxnSpPr>
        <xdr:cNvPr id="242" name="Connector: Elbow 241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CxnSpPr>
          <a:stCxn id="229" idx="2"/>
          <a:endCxn id="241" idx="0"/>
        </xdr:cNvCxnSpPr>
      </xdr:nvCxnSpPr>
      <xdr:spPr>
        <a:xfrm rot="16200000" flipH="1">
          <a:off x="1333500" y="32118300"/>
          <a:ext cx="18669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172</xdr:row>
      <xdr:rowOff>0</xdr:rowOff>
    </xdr:from>
    <xdr:to>
      <xdr:col>12</xdr:col>
      <xdr:colOff>1</xdr:colOff>
      <xdr:row>174</xdr:row>
      <xdr:rowOff>0</xdr:rowOff>
    </xdr:to>
    <xdr:cxnSp macro="">
      <xdr:nvCxnSpPr>
        <xdr:cNvPr id="243" name="直線矢印コネクタ 1010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CxnSpPr>
          <a:stCxn id="241" idx="2"/>
          <a:endCxn id="244" idx="0"/>
        </xdr:cNvCxnSpPr>
      </xdr:nvCxnSpPr>
      <xdr:spPr>
        <a:xfrm>
          <a:off x="3200400" y="32880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174</xdr:row>
      <xdr:rowOff>0</xdr:rowOff>
    </xdr:from>
    <xdr:to>
      <xdr:col>13</xdr:col>
      <xdr:colOff>0</xdr:colOff>
      <xdr:row>175</xdr:row>
      <xdr:rowOff>0</xdr:rowOff>
    </xdr:to>
    <xdr:sp macro="" textlink="" fLocksText="0">
      <xdr:nvSpPr>
        <xdr:cNvPr id="244" name="Rectangle: Rounded Corners 243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/>
      </xdr:nvSpPr>
      <xdr:spPr>
        <a:xfrm>
          <a:off x="2933700" y="3326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38</xdr:col>
      <xdr:colOff>0</xdr:colOff>
      <xdr:row>169</xdr:row>
      <xdr:rowOff>0</xdr:rowOff>
    </xdr:from>
    <xdr:to>
      <xdr:col>61</xdr:col>
      <xdr:colOff>0</xdr:colOff>
      <xdr:row>180</xdr:row>
      <xdr:rowOff>0</xdr:rowOff>
    </xdr:to>
    <xdr:sp macro="" textlink="" fLocksText="0">
      <xdr:nvSpPr>
        <xdr:cNvPr id="261" name="吹き出し: 線 2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SpPr/>
      </xdr:nvSpPr>
      <xdr:spPr>
        <a:xfrm>
          <a:off x="10134600" y="32308800"/>
          <a:ext cx="6134100" cy="2095500"/>
        </a:xfrm>
        <a:prstGeom prst="borderCallout1">
          <a:avLst>
            <a:gd name="adj1" fmla="val 54828"/>
            <a:gd name="adj2" fmla="val -151"/>
            <a:gd name="adj3" fmla="val 82023"/>
            <a:gd name="adj4" fmla="val -1331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店舗マスタコピー機能：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・バリデーションチェックを行う。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+以下の項目の入力必須をチェックする。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[店舖名称]、[店舗略称]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+[郵便番号]：最大7文字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+[店舗コード]項目にユーザーが入力した値が末登録であること。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・バリデーションチェックが成功した場合、SC8201画面に戻り、ユーザーが選択したレコードを編集した情報を更新する。</a:t>
          </a:r>
        </a:p>
      </xdr:txBody>
    </xdr:sp>
    <xdr:clientData/>
  </xdr:twoCellAnchor>
  <xdr:twoCellAnchor>
    <xdr:from>
      <xdr:col>2</xdr:col>
      <xdr:colOff>0</xdr:colOff>
      <xdr:row>176</xdr:row>
      <xdr:rowOff>0</xdr:rowOff>
    </xdr:from>
    <xdr:to>
      <xdr:col>8</xdr:col>
      <xdr:colOff>0</xdr:colOff>
      <xdr:row>180</xdr:row>
      <xdr:rowOff>0</xdr:rowOff>
    </xdr:to>
    <xdr:sp macro="" textlink="" fLocksText="0">
      <xdr:nvSpPr>
        <xdr:cNvPr id="262" name="四角形: 角を丸くする 3">
          <a:extLst>
            <a:ext uri="{FF2B5EF4-FFF2-40B4-BE49-F238E27FC236}">
              <a16:creationId xmlns:a16="http://schemas.microsoft.com/office/drawing/2014/main" id="{00000000-0008-0000-0400-000006010000}"/>
            </a:ext>
          </a:extLst>
        </xdr:cNvPr>
        <xdr:cNvSpPr/>
      </xdr:nvSpPr>
      <xdr:spPr>
        <a:xfrm>
          <a:off x="533400" y="33642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KN8206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店舗マスタコピー機能</a:t>
          </a:r>
        </a:p>
      </xdr:txBody>
    </xdr:sp>
    <xdr:clientData/>
  </xdr:twoCellAnchor>
  <xdr:twoCellAnchor>
    <xdr:from>
      <xdr:col>8</xdr:col>
      <xdr:colOff>0</xdr:colOff>
      <xdr:row>177</xdr:row>
      <xdr:rowOff>189453</xdr:rowOff>
    </xdr:from>
    <xdr:to>
      <xdr:col>29</xdr:col>
      <xdr:colOff>0</xdr:colOff>
      <xdr:row>178</xdr:row>
      <xdr:rowOff>0</xdr:rowOff>
    </xdr:to>
    <xdr:cxnSp macro="">
      <xdr:nvCxnSpPr>
        <xdr:cNvPr id="263" name="直線矢印コネクタ 196"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CxnSpPr>
          <a:stCxn id="262" idx="3"/>
          <a:endCxn id="264" idx="2"/>
        </xdr:cNvCxnSpPr>
      </xdr:nvCxnSpPr>
      <xdr:spPr>
        <a:xfrm flipV="1">
          <a:off x="2133600" y="34023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176</xdr:row>
      <xdr:rowOff>0</xdr:rowOff>
    </xdr:from>
    <xdr:to>
      <xdr:col>35</xdr:col>
      <xdr:colOff>0</xdr:colOff>
      <xdr:row>179</xdr:row>
      <xdr:rowOff>188406</xdr:rowOff>
    </xdr:to>
    <xdr:sp macro="" textlink="" fLocksText="0">
      <xdr:nvSpPr>
        <xdr:cNvPr id="264" name="フローチャート: 磁気ディスク 194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SpPr/>
      </xdr:nvSpPr>
      <xdr:spPr>
        <a:xfrm>
          <a:off x="7734300" y="33642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AP8204: 商品マスタ追加のバリデーションチェック</a:t>
          </a:r>
        </a:p>
      </xdr:txBody>
    </xdr:sp>
    <xdr:clientData/>
  </xdr:twoCellAnchor>
  <xdr:twoCellAnchor>
    <xdr:from>
      <xdr:col>2</xdr:col>
      <xdr:colOff>0</xdr:colOff>
      <xdr:row>182</xdr:row>
      <xdr:rowOff>0</xdr:rowOff>
    </xdr:from>
    <xdr:to>
      <xdr:col>8</xdr:col>
      <xdr:colOff>0</xdr:colOff>
      <xdr:row>186</xdr:row>
      <xdr:rowOff>0</xdr:rowOff>
    </xdr:to>
    <xdr:sp macro="" textlink="" fLocksText="0">
      <xdr:nvSpPr>
        <xdr:cNvPr id="265" name="正方形/長方形 1">
          <a:extLst>
            <a:ext uri="{FF2B5EF4-FFF2-40B4-BE49-F238E27FC236}">
              <a16:creationId xmlns:a16="http://schemas.microsoft.com/office/drawing/2014/main" id="{00000000-0008-0000-0400-000009010000}"/>
            </a:ext>
          </a:extLst>
        </xdr:cNvPr>
        <xdr:cNvSpPr/>
      </xdr:nvSpPr>
      <xdr:spPr>
        <a:xfrm>
          <a:off x="533400" y="34785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</a:t>
          </a:r>
        </a:p>
      </xdr:txBody>
    </xdr:sp>
    <xdr:clientData/>
  </xdr:twoCellAnchor>
  <xdr:twoCellAnchor>
    <xdr:from>
      <xdr:col>5</xdr:col>
      <xdr:colOff>0</xdr:colOff>
      <xdr:row>180</xdr:row>
      <xdr:rowOff>0</xdr:rowOff>
    </xdr:from>
    <xdr:to>
      <xdr:col>5</xdr:col>
      <xdr:colOff>0</xdr:colOff>
      <xdr:row>182</xdr:row>
      <xdr:rowOff>0</xdr:rowOff>
    </xdr:to>
    <xdr:cxnSp macro="">
      <xdr:nvCxnSpPr>
        <xdr:cNvPr id="266" name="直線矢印コネクタ 1010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CxnSpPr>
          <a:stCxn id="262" idx="2"/>
          <a:endCxn id="265" idx="0"/>
        </xdr:cNvCxnSpPr>
      </xdr:nvCxnSpPr>
      <xdr:spPr>
        <a:xfrm>
          <a:off x="1333500" y="3440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231758</xdr:colOff>
      <xdr:row>186</xdr:row>
      <xdr:rowOff>0</xdr:rowOff>
    </xdr:from>
    <xdr:to>
      <xdr:col>5</xdr:col>
      <xdr:colOff>0</xdr:colOff>
      <xdr:row>188</xdr:row>
      <xdr:rowOff>1</xdr:rowOff>
    </xdr:to>
    <xdr:cxnSp macro="">
      <xdr:nvCxnSpPr>
        <xdr:cNvPr id="267" name="直線矢印コネクタ 1010">
          <a:extLst>
            <a:ext uri="{FF2B5EF4-FFF2-40B4-BE49-F238E27FC236}">
              <a16:creationId xmlns:a16="http://schemas.microsoft.com/office/drawing/2014/main" id="{00000000-0008-0000-0400-00000B010000}"/>
            </a:ext>
          </a:extLst>
        </xdr:cNvPr>
        <xdr:cNvCxnSpPr>
          <a:stCxn id="265" idx="2"/>
          <a:endCxn id="268" idx="0"/>
        </xdr:cNvCxnSpPr>
      </xdr:nvCxnSpPr>
      <xdr:spPr>
        <a:xfrm flipH="1">
          <a:off x="1295400" y="35547300"/>
          <a:ext cx="3810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228191</xdr:colOff>
      <xdr:row>188</xdr:row>
      <xdr:rowOff>1</xdr:rowOff>
    </xdr:from>
    <xdr:to>
      <xdr:col>6</xdr:col>
      <xdr:colOff>0</xdr:colOff>
      <xdr:row>189</xdr:row>
      <xdr:rowOff>1</xdr:rowOff>
    </xdr:to>
    <xdr:sp macro="" textlink="" fLocksText="0">
      <xdr:nvSpPr>
        <xdr:cNvPr id="268" name="Rectangle: Rounded Corners 267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SpPr/>
      </xdr:nvSpPr>
      <xdr:spPr>
        <a:xfrm>
          <a:off x="1028700" y="35928300"/>
          <a:ext cx="5715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38</xdr:col>
      <xdr:colOff>0</xdr:colOff>
      <xdr:row>181</xdr:row>
      <xdr:rowOff>0</xdr:rowOff>
    </xdr:from>
    <xdr:to>
      <xdr:col>61</xdr:col>
      <xdr:colOff>0</xdr:colOff>
      <xdr:row>191</xdr:row>
      <xdr:rowOff>22412</xdr:rowOff>
    </xdr:to>
    <xdr:sp macro="" textlink="" fLocksText="0">
      <xdr:nvSpPr>
        <xdr:cNvPr id="269" name="吹き出し: 線 2"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SpPr/>
      </xdr:nvSpPr>
      <xdr:spPr>
        <a:xfrm>
          <a:off x="8942294" y="34592559"/>
          <a:ext cx="5412441" cy="1927412"/>
        </a:xfrm>
        <a:prstGeom prst="borderCallout1">
          <a:avLst>
            <a:gd name="adj1" fmla="val 54828"/>
            <a:gd name="adj2" fmla="val -151"/>
            <a:gd name="adj3" fmla="val 22870"/>
            <a:gd name="adj4" fmla="val -1304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コピー後の画面状態： 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・SC8201画面の検索結果エリアでは、作成された店舗マスタ内容を含むレコードを追加して、赤色で表示する。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・この店舗マスタ情報はフロントエンドのみに保存されたので、「確定」ボタンをタッチしてこの編集情報をデータベースに保存する必要がある。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・コピー機能を実行した後、コピー中のレコードの編集機能と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確定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機能のみを実行できる。ユーザーが[削除]、[編集] (コピー対象以外のレコードを選択)、[新規]、[コピー]ボタンをタッチすると、エラーモダールを表示する。メッセージ：「コピー中は反映ボタンを押すまで 新規追加・編集・削除 コピーはできません。」</a:t>
          </a:r>
        </a:p>
      </xdr:txBody>
    </xdr:sp>
    <xdr:clientData/>
  </xdr:twoCellAnchor>
  <xdr:twoCellAnchor>
    <xdr:from>
      <xdr:col>5</xdr:col>
      <xdr:colOff>0</xdr:colOff>
      <xdr:row>172</xdr:row>
      <xdr:rowOff>0</xdr:rowOff>
    </xdr:from>
    <xdr:to>
      <xdr:col>5</xdr:col>
      <xdr:colOff>0</xdr:colOff>
      <xdr:row>176</xdr:row>
      <xdr:rowOff>0</xdr:rowOff>
    </xdr:to>
    <xdr:cxnSp macro="">
      <xdr:nvCxnSpPr>
        <xdr:cNvPr id="270" name="直線矢印コネクタ 1010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CxnSpPr>
          <a:stCxn id="240" idx="2"/>
          <a:endCxn id="262" idx="0"/>
        </xdr:cNvCxnSpPr>
      </xdr:nvCxnSpPr>
      <xdr:spPr>
        <a:xfrm>
          <a:off x="1333500" y="32880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155</xdr:row>
      <xdr:rowOff>78441</xdr:rowOff>
    </xdr:from>
    <xdr:to>
      <xdr:col>61</xdr:col>
      <xdr:colOff>0</xdr:colOff>
      <xdr:row>168</xdr:row>
      <xdr:rowOff>0</xdr:rowOff>
    </xdr:to>
    <xdr:sp macro="" textlink="" fLocksText="0">
      <xdr:nvSpPr>
        <xdr:cNvPr id="273" name="吹き出し: 線 2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SpPr/>
      </xdr:nvSpPr>
      <xdr:spPr>
        <a:xfrm>
          <a:off x="8942294" y="29718000"/>
          <a:ext cx="5412441" cy="2398059"/>
        </a:xfrm>
        <a:prstGeom prst="borderCallout1">
          <a:avLst>
            <a:gd name="adj1" fmla="val 54828"/>
            <a:gd name="adj2" fmla="val -151"/>
            <a:gd name="adj3" fmla="val 80447"/>
            <a:gd name="adj4" fmla="val -1295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MD8204モダールには以下の項目の情報が含まれている。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[店舗コード]：5文字の数字入力可能。「コピー」ボタンをタッチすると、「0」を自動的に埋め込む。[店舖名称]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[店舗略称]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[郵便番号]数字のみ入力可能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[住所]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[電話番号]：数字のみ入力可能。[業態]：3つのオプションを含むプルダウン。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 Food Square (FS) ：専門性が高い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‣Food Market (FM) ：スタンダード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‣Food Off Stocker (FO) ：価格重視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基本ポイント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[コピー元店舗]：ユーザーが選択した店舗コードと店舗名称を読み取り専用で表示する(例: 09176 検証店)  </a:t>
          </a:r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6</xdr:col>
      <xdr:colOff>1</xdr:colOff>
      <xdr:row>200</xdr:row>
      <xdr:rowOff>1</xdr:rowOff>
    </xdr:to>
    <xdr:sp macro="" textlink="" fLocksText="0">
      <xdr:nvSpPr>
        <xdr:cNvPr id="274" name="Rectangle: Rounded Corners 273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SpPr/>
      </xdr:nvSpPr>
      <xdr:spPr>
        <a:xfrm>
          <a:off x="1066800" y="3802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82.6</a:t>
          </a:r>
        </a:p>
      </xdr:txBody>
    </xdr:sp>
    <xdr:clientData/>
  </xdr:twoCellAnchor>
  <xdr:twoCellAnchor>
    <xdr:from>
      <xdr:col>5</xdr:col>
      <xdr:colOff>0</xdr:colOff>
      <xdr:row>200</xdr:row>
      <xdr:rowOff>1</xdr:rowOff>
    </xdr:from>
    <xdr:to>
      <xdr:col>5</xdr:col>
      <xdr:colOff>0</xdr:colOff>
      <xdr:row>202</xdr:row>
      <xdr:rowOff>0</xdr:rowOff>
    </xdr:to>
    <xdr:cxnSp macro="">
      <xdr:nvCxnSpPr>
        <xdr:cNvPr id="275" name="直線矢印コネクタ 1010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CxnSpPr>
          <a:stCxn id="274" idx="2"/>
          <a:endCxn id="278" idx="0"/>
        </xdr:cNvCxnSpPr>
      </xdr:nvCxnSpPr>
      <xdr:spPr>
        <a:xfrm>
          <a:off x="1333500" y="3821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202</xdr:row>
      <xdr:rowOff>0</xdr:rowOff>
    </xdr:from>
    <xdr:to>
      <xdr:col>8</xdr:col>
      <xdr:colOff>0</xdr:colOff>
      <xdr:row>204</xdr:row>
      <xdr:rowOff>0</xdr:rowOff>
    </xdr:to>
    <xdr:sp macro="" textlink="" fLocksText="0">
      <xdr:nvSpPr>
        <xdr:cNvPr id="278" name="Rectangle: Rounded Corners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533400" y="38595300"/>
          <a:ext cx="16002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店舗マスタ情報を変更した</a:t>
          </a:r>
        </a:p>
      </xdr:txBody>
    </xdr:sp>
    <xdr:clientData/>
  </xdr:twoCellAnchor>
  <xdr:twoCellAnchor>
    <xdr:from>
      <xdr:col>11</xdr:col>
      <xdr:colOff>0</xdr:colOff>
      <xdr:row>202</xdr:row>
      <xdr:rowOff>0</xdr:rowOff>
    </xdr:from>
    <xdr:to>
      <xdr:col>17</xdr:col>
      <xdr:colOff>0</xdr:colOff>
      <xdr:row>204</xdr:row>
      <xdr:rowOff>11206</xdr:rowOff>
    </xdr:to>
    <xdr:sp macro="" textlink="" fLocksText="0">
      <xdr:nvSpPr>
        <xdr:cNvPr id="281" name="Rectangle: Rounded Corners 280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/>
      </xdr:nvSpPr>
      <xdr:spPr>
        <a:xfrm>
          <a:off x="2933700" y="38595300"/>
          <a:ext cx="1600200" cy="3905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店舗マスタ情報を変更した</a:t>
          </a:r>
        </a:p>
      </xdr:txBody>
    </xdr:sp>
    <xdr:clientData/>
  </xdr:twoCellAnchor>
  <xdr:twoCellAnchor>
    <xdr:from>
      <xdr:col>5</xdr:col>
      <xdr:colOff>1</xdr:colOff>
      <xdr:row>200</xdr:row>
      <xdr:rowOff>0</xdr:rowOff>
    </xdr:from>
    <xdr:to>
      <xdr:col>14</xdr:col>
      <xdr:colOff>2</xdr:colOff>
      <xdr:row>201</xdr:row>
      <xdr:rowOff>190499</xdr:rowOff>
    </xdr:to>
    <xdr:cxnSp macro="">
      <xdr:nvCxnSpPr>
        <xdr:cNvPr id="282" name="Connector: Elbow 281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CxnSpPr>
          <a:stCxn id="274" idx="2"/>
          <a:endCxn id="281" idx="0"/>
        </xdr:cNvCxnSpPr>
      </xdr:nvCxnSpPr>
      <xdr:spPr>
        <a:xfrm rot="16200000" flipH="1">
          <a:off x="1333500" y="382143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206</xdr:row>
      <xdr:rowOff>0</xdr:rowOff>
    </xdr:from>
    <xdr:to>
      <xdr:col>17</xdr:col>
      <xdr:colOff>0</xdr:colOff>
      <xdr:row>210</xdr:row>
      <xdr:rowOff>0</xdr:rowOff>
    </xdr:to>
    <xdr:sp macro="" textlink="" fLocksText="0">
      <xdr:nvSpPr>
        <xdr:cNvPr id="288" name="正方形/長方形 1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SpPr/>
      </xdr:nvSpPr>
      <xdr:spPr>
        <a:xfrm>
          <a:off x="2933700" y="39357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vi-VN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13</xdr:col>
      <xdr:colOff>4652</xdr:colOff>
      <xdr:row>210</xdr:row>
      <xdr:rowOff>0</xdr:rowOff>
    </xdr:from>
    <xdr:to>
      <xdr:col>15</xdr:col>
      <xdr:colOff>4652</xdr:colOff>
      <xdr:row>211</xdr:row>
      <xdr:rowOff>0</xdr:rowOff>
    </xdr:to>
    <xdr:sp macro="" textlink="" fLocksText="0">
      <xdr:nvSpPr>
        <xdr:cNvPr id="289" name="四角形: 角を丸くする 294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SpPr/>
      </xdr:nvSpPr>
      <xdr:spPr>
        <a:xfrm>
          <a:off x="3467100" y="401193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204</xdr:row>
      <xdr:rowOff>11206</xdr:rowOff>
    </xdr:from>
    <xdr:to>
      <xdr:col>14</xdr:col>
      <xdr:colOff>1</xdr:colOff>
      <xdr:row>206</xdr:row>
      <xdr:rowOff>0</xdr:rowOff>
    </xdr:to>
    <xdr:cxnSp macro="">
      <xdr:nvCxnSpPr>
        <xdr:cNvPr id="290" name="直線矢印コネクタ 1010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CxnSpPr>
          <a:stCxn id="281" idx="2"/>
          <a:endCxn id="288" idx="0"/>
        </xdr:cNvCxnSpPr>
      </xdr:nvCxnSpPr>
      <xdr:spPr>
        <a:xfrm>
          <a:off x="3733800" y="38985825"/>
          <a:ext cx="0" cy="371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204</xdr:row>
      <xdr:rowOff>0</xdr:rowOff>
    </xdr:from>
    <xdr:to>
      <xdr:col>5</xdr:col>
      <xdr:colOff>0</xdr:colOff>
      <xdr:row>213</xdr:row>
      <xdr:rowOff>0</xdr:rowOff>
    </xdr:to>
    <xdr:cxnSp macro="">
      <xdr:nvCxnSpPr>
        <xdr:cNvPr id="295" name="直線矢印コネクタ 1010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CxnSpPr>
          <a:stCxn id="278" idx="2"/>
          <a:endCxn id="298" idx="0"/>
        </xdr:cNvCxnSpPr>
      </xdr:nvCxnSpPr>
      <xdr:spPr>
        <a:xfrm>
          <a:off x="1333500" y="38976300"/>
          <a:ext cx="0" cy="1714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213</xdr:row>
      <xdr:rowOff>0</xdr:rowOff>
    </xdr:from>
    <xdr:to>
      <xdr:col>8</xdr:col>
      <xdr:colOff>0</xdr:colOff>
      <xdr:row>217</xdr:row>
      <xdr:rowOff>0</xdr:rowOff>
    </xdr:to>
    <xdr:sp macro="" textlink="" fLocksText="0">
      <xdr:nvSpPr>
        <xdr:cNvPr id="298" name="四角形: 角を丸くする 3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SpPr/>
      </xdr:nvSpPr>
      <xdr:spPr>
        <a:xfrm>
          <a:off x="533400" y="40690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KN8207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店舗マスタ設定情報保存</a:t>
          </a:r>
        </a:p>
      </xdr:txBody>
    </xdr:sp>
    <xdr:clientData/>
  </xdr:twoCellAnchor>
  <xdr:twoCellAnchor>
    <xdr:from>
      <xdr:col>8</xdr:col>
      <xdr:colOff>0</xdr:colOff>
      <xdr:row>214</xdr:row>
      <xdr:rowOff>189453</xdr:rowOff>
    </xdr:from>
    <xdr:to>
      <xdr:col>29</xdr:col>
      <xdr:colOff>0</xdr:colOff>
      <xdr:row>215</xdr:row>
      <xdr:rowOff>0</xdr:rowOff>
    </xdr:to>
    <xdr:cxnSp macro="">
      <xdr:nvCxnSpPr>
        <xdr:cNvPr id="300" name="直線矢印コネクタ 196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CxnSpPr>
          <a:stCxn id="298" idx="3"/>
          <a:endCxn id="301" idx="2"/>
        </xdr:cNvCxnSpPr>
      </xdr:nvCxnSpPr>
      <xdr:spPr>
        <a:xfrm flipV="1">
          <a:off x="2133600" y="41071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213</xdr:row>
      <xdr:rowOff>0</xdr:rowOff>
    </xdr:from>
    <xdr:to>
      <xdr:col>35</xdr:col>
      <xdr:colOff>0</xdr:colOff>
      <xdr:row>216</xdr:row>
      <xdr:rowOff>188406</xdr:rowOff>
    </xdr:to>
    <xdr:sp macro="" textlink="" fLocksText="0">
      <xdr:nvSpPr>
        <xdr:cNvPr id="301" name="フローチャート: 磁気ディスク 194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/>
      </xdr:nvSpPr>
      <xdr:spPr>
        <a:xfrm>
          <a:off x="7734300" y="40690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AP8205: 店舗マスタ設定情報保存</a:t>
          </a:r>
        </a:p>
      </xdr:txBody>
    </xdr:sp>
    <xdr:clientData/>
  </xdr:twoCellAnchor>
  <xdr:twoCellAnchor>
    <xdr:from>
      <xdr:col>4</xdr:col>
      <xdr:colOff>231758</xdr:colOff>
      <xdr:row>217</xdr:row>
      <xdr:rowOff>0</xdr:rowOff>
    </xdr:from>
    <xdr:to>
      <xdr:col>5</xdr:col>
      <xdr:colOff>0</xdr:colOff>
      <xdr:row>219</xdr:row>
      <xdr:rowOff>0</xdr:rowOff>
    </xdr:to>
    <xdr:cxnSp macro="">
      <xdr:nvCxnSpPr>
        <xdr:cNvPr id="303" name="直線矢印コネクタ 1010">
          <a:extLst>
            <a:ext uri="{FF2B5EF4-FFF2-40B4-BE49-F238E27FC236}">
              <a16:creationId xmlns:a16="http://schemas.microsoft.com/office/drawing/2014/main" id="{00000000-0008-0000-0400-00002F010000}"/>
            </a:ext>
          </a:extLst>
        </xdr:cNvPr>
        <xdr:cNvCxnSpPr>
          <a:stCxn id="298" idx="2"/>
          <a:endCxn id="310" idx="0"/>
        </xdr:cNvCxnSpPr>
      </xdr:nvCxnSpPr>
      <xdr:spPr>
        <a:xfrm flipH="1">
          <a:off x="1295400" y="41452800"/>
          <a:ext cx="3810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</xdr:row>
      <xdr:rowOff>0</xdr:rowOff>
    </xdr:from>
    <xdr:to>
      <xdr:col>3</xdr:col>
      <xdr:colOff>1</xdr:colOff>
      <xdr:row>17</xdr:row>
      <xdr:rowOff>1</xdr:rowOff>
    </xdr:to>
    <xdr:sp macro="" textlink="" fLocksText="0">
      <xdr:nvSpPr>
        <xdr:cNvPr id="307" name="Rectangle: Rounded Corners 306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SpPr/>
      </xdr:nvSpPr>
      <xdr:spPr>
        <a:xfrm>
          <a:off x="266700" y="316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</a:t>
          </a:r>
        </a:p>
      </xdr:txBody>
    </xdr:sp>
    <xdr:clientData/>
  </xdr:twoCellAnchor>
  <xdr:twoCellAnchor>
    <xdr:from>
      <xdr:col>3</xdr:col>
      <xdr:colOff>1</xdr:colOff>
      <xdr:row>16</xdr:row>
      <xdr:rowOff>95251</xdr:rowOff>
    </xdr:from>
    <xdr:to>
      <xdr:col>5</xdr:col>
      <xdr:colOff>0</xdr:colOff>
      <xdr:row>18</xdr:row>
      <xdr:rowOff>0</xdr:rowOff>
    </xdr:to>
    <xdr:cxnSp macro="">
      <xdr:nvCxnSpPr>
        <xdr:cNvPr id="308" name="Connector: Elbow 307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CxnSpPr>
          <a:stCxn id="307" idx="3"/>
          <a:endCxn id="4" idx="0"/>
        </xdr:cNvCxnSpPr>
      </xdr:nvCxnSpPr>
      <xdr:spPr>
        <a:xfrm>
          <a:off x="800100" y="3257550"/>
          <a:ext cx="533400" cy="28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228191</xdr:colOff>
      <xdr:row>219</xdr:row>
      <xdr:rowOff>0</xdr:rowOff>
    </xdr:from>
    <xdr:to>
      <xdr:col>6</xdr:col>
      <xdr:colOff>0</xdr:colOff>
      <xdr:row>220</xdr:row>
      <xdr:rowOff>0</xdr:rowOff>
    </xdr:to>
    <xdr:sp macro="" textlink="" fLocksText="0">
      <xdr:nvSpPr>
        <xdr:cNvPr id="310" name="Rectangle: Rounded Corners 309">
          <a:extLst>
            <a:ext uri="{FF2B5EF4-FFF2-40B4-BE49-F238E27FC236}">
              <a16:creationId xmlns:a16="http://schemas.microsoft.com/office/drawing/2014/main" id="{00000000-0008-0000-0400-000036010000}"/>
            </a:ext>
          </a:extLst>
        </xdr:cNvPr>
        <xdr:cNvSpPr/>
      </xdr:nvSpPr>
      <xdr:spPr>
        <a:xfrm>
          <a:off x="1028700" y="41833800"/>
          <a:ext cx="5715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</a:t>
          </a:r>
        </a:p>
      </xdr:txBody>
    </xdr:sp>
    <xdr:clientData/>
  </xdr:twoCellAnchor>
  <xdr:twoCellAnchor>
    <xdr:from>
      <xdr:col>38</xdr:col>
      <xdr:colOff>0</xdr:colOff>
      <xdr:row>210</xdr:row>
      <xdr:rowOff>0</xdr:rowOff>
    </xdr:from>
    <xdr:to>
      <xdr:col>61</xdr:col>
      <xdr:colOff>0</xdr:colOff>
      <xdr:row>213</xdr:row>
      <xdr:rowOff>0</xdr:rowOff>
    </xdr:to>
    <xdr:sp macro="" textlink="" fLocksText="0">
      <xdr:nvSpPr>
        <xdr:cNvPr id="313" name="吹き出し: 線 2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SpPr/>
      </xdr:nvSpPr>
      <xdr:spPr>
        <a:xfrm>
          <a:off x="10134600" y="40119300"/>
          <a:ext cx="6134100" cy="571500"/>
        </a:xfrm>
        <a:prstGeom prst="borderCallout1">
          <a:avLst>
            <a:gd name="adj1" fmla="val 54828"/>
            <a:gd name="adj2" fmla="val -151"/>
            <a:gd name="adj3" fmla="val 150839"/>
            <a:gd name="adj4" fmla="val -1314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店舗マスタを削除、編集、作成、コピーした場合、変更情報をデータベースに保存する。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148</xdr:row>
      <xdr:rowOff>0</xdr:rowOff>
    </xdr:from>
    <xdr:to>
      <xdr:col>8</xdr:col>
      <xdr:colOff>0</xdr:colOff>
      <xdr:row>152</xdr:row>
      <xdr:rowOff>0</xdr:rowOff>
    </xdr:to>
    <xdr:sp macro="" textlink="" fLocksText="0">
      <xdr:nvSpPr>
        <xdr:cNvPr id="333" name="四角形: 角を丸くする 3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SpPr/>
      </xdr:nvSpPr>
      <xdr:spPr>
        <a:xfrm>
          <a:off x="470647" y="28306059"/>
          <a:ext cx="1411941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KN8205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店舗マスタコピー前のバリデーションチェック機能 </a:t>
          </a:r>
        </a:p>
      </xdr:txBody>
    </xdr:sp>
    <xdr:clientData/>
  </xdr:twoCellAnchor>
  <xdr:twoCellAnchor>
    <xdr:from>
      <xdr:col>5</xdr:col>
      <xdr:colOff>0</xdr:colOff>
      <xdr:row>146</xdr:row>
      <xdr:rowOff>1</xdr:rowOff>
    </xdr:from>
    <xdr:to>
      <xdr:col>5</xdr:col>
      <xdr:colOff>7132</xdr:colOff>
      <xdr:row>148</xdr:row>
      <xdr:rowOff>0</xdr:rowOff>
    </xdr:to>
    <xdr:cxnSp macro="">
      <xdr:nvCxnSpPr>
        <xdr:cNvPr id="334" name="直線矢印コネクタ 1010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CxnSpPr>
          <a:stCxn id="227" idx="2"/>
          <a:endCxn id="333" idx="0"/>
        </xdr:cNvCxnSpPr>
      </xdr:nvCxnSpPr>
      <xdr:spPr>
        <a:xfrm flipH="1">
          <a:off x="1333500" y="279273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148</xdr:row>
      <xdr:rowOff>0</xdr:rowOff>
    </xdr:from>
    <xdr:to>
      <xdr:col>61</xdr:col>
      <xdr:colOff>0</xdr:colOff>
      <xdr:row>152</xdr:row>
      <xdr:rowOff>0</xdr:rowOff>
    </xdr:to>
    <xdr:sp macro="" textlink="" fLocksText="0">
      <xdr:nvSpPr>
        <xdr:cNvPr id="347" name="吹き出し: 線 2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SpPr/>
      </xdr:nvSpPr>
      <xdr:spPr>
        <a:xfrm>
          <a:off x="10134600" y="28308300"/>
          <a:ext cx="6134100" cy="762000"/>
        </a:xfrm>
        <a:prstGeom prst="borderCallout1">
          <a:avLst>
            <a:gd name="adj1" fmla="val 54828"/>
            <a:gd name="adj2" fmla="val -151"/>
            <a:gd name="adj3" fmla="val 54106"/>
            <a:gd name="adj4" fmla="val -1329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・ユーザーが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せずに編集、削除、追加のアクションを実行しているかを確認する。上記のように実行している場合、エラーになる。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15</xdr:row>
      <xdr:rowOff>0</xdr:rowOff>
    </xdr:from>
    <xdr:to>
      <xdr:col>61</xdr:col>
      <xdr:colOff>0</xdr:colOff>
      <xdr:row>30</xdr:row>
      <xdr:rowOff>0</xdr:rowOff>
    </xdr:to>
    <xdr:sp macro="" textlink="" fLocksText="0">
      <xdr:nvSpPr>
        <xdr:cNvPr id="47" name="吹き出し: 線 2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0134600" y="2971800"/>
          <a:ext cx="6134100" cy="2857500"/>
        </a:xfrm>
        <a:prstGeom prst="borderCallout1">
          <a:avLst>
            <a:gd name="adj1" fmla="val 40648"/>
            <a:gd name="adj2" fmla="val 56"/>
            <a:gd name="adj3" fmla="val 33890"/>
            <a:gd name="adj4" fmla="val -1304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・検索入力エリアには以下の項目が含まれている。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[店舗名称]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[店舗コード]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・検索結果エリアには以下の項目が含まれている。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[店舗コード]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[店舖名称]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[店舗略称]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[郵便番号]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[住所]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[電話番号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基本ポイント</a:t>
          </a:r>
          <a:r>
            <a: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endParaRPr lang="en-US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・ボタンエリア：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削除: 無効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編集：無効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新規: 有効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コピー: 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確定: 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</a:p>
      </xdr:txBody>
    </xdr:sp>
    <xdr:clientData/>
  </xdr:twoCellAnchor>
  <xdr:twoCellAnchor editAs="oneCell">
    <xdr:from>
      <xdr:col>66</xdr:col>
      <xdr:colOff>0</xdr:colOff>
      <xdr:row>14</xdr:row>
      <xdr:rowOff>0</xdr:rowOff>
    </xdr:from>
    <xdr:to>
      <xdr:col>94</xdr:col>
      <xdr:colOff>83059</xdr:colOff>
      <xdr:row>30</xdr:row>
      <xdr:rowOff>95250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1353" y="2779059"/>
          <a:ext cx="6672118" cy="3143250"/>
        </a:xfrm>
        <a:prstGeom prst="rect">
          <a:avLst/>
        </a:prstGeom>
      </xdr:spPr>
    </xdr:pic>
    <xdr:clientData/>
  </xdr:twoCellAnchor>
  <xdr:twoCellAnchor editAs="oneCell">
    <xdr:from>
      <xdr:col>95</xdr:col>
      <xdr:colOff>1</xdr:colOff>
      <xdr:row>14</xdr:row>
      <xdr:rowOff>1</xdr:rowOff>
    </xdr:from>
    <xdr:to>
      <xdr:col>124</xdr:col>
      <xdr:colOff>224598</xdr:colOff>
      <xdr:row>31</xdr:row>
      <xdr:rowOff>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36500" y="2781300"/>
          <a:ext cx="7962900" cy="32385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56</xdr:row>
      <xdr:rowOff>0</xdr:rowOff>
    </xdr:from>
    <xdr:to>
      <xdr:col>95</xdr:col>
      <xdr:colOff>0</xdr:colOff>
      <xdr:row>72</xdr:row>
      <xdr:rowOff>158603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02200" y="10782300"/>
          <a:ext cx="7734300" cy="3209925"/>
        </a:xfrm>
        <a:prstGeom prst="rect">
          <a:avLst/>
        </a:prstGeom>
      </xdr:spPr>
    </xdr:pic>
    <xdr:clientData/>
  </xdr:twoCellAnchor>
  <xdr:twoCellAnchor editAs="oneCell">
    <xdr:from>
      <xdr:col>89</xdr:col>
      <xdr:colOff>1</xdr:colOff>
      <xdr:row>87</xdr:row>
      <xdr:rowOff>1</xdr:rowOff>
    </xdr:from>
    <xdr:to>
      <xdr:col>114</xdr:col>
      <xdr:colOff>166076</xdr:colOff>
      <xdr:row>102</xdr:row>
      <xdr:rowOff>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36300" y="16687800"/>
          <a:ext cx="6829425" cy="2857500"/>
        </a:xfrm>
        <a:prstGeom prst="rect">
          <a:avLst/>
        </a:prstGeom>
      </xdr:spPr>
    </xdr:pic>
    <xdr:clientData/>
  </xdr:twoCellAnchor>
  <xdr:twoCellAnchor editAs="oneCell">
    <xdr:from>
      <xdr:col>89</xdr:col>
      <xdr:colOff>1</xdr:colOff>
      <xdr:row>117</xdr:row>
      <xdr:rowOff>0</xdr:rowOff>
    </xdr:from>
    <xdr:to>
      <xdr:col>115</xdr:col>
      <xdr:colOff>1</xdr:colOff>
      <xdr:row>131</xdr:row>
      <xdr:rowOff>133909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736300" y="22402800"/>
          <a:ext cx="6934200" cy="2800350"/>
        </a:xfrm>
        <a:prstGeom prst="rect">
          <a:avLst/>
        </a:prstGeom>
      </xdr:spPr>
    </xdr:pic>
    <xdr:clientData/>
  </xdr:twoCellAnchor>
  <xdr:twoCellAnchor editAs="oneCell">
    <xdr:from>
      <xdr:col>66</xdr:col>
      <xdr:colOff>6464</xdr:colOff>
      <xdr:row>117</xdr:row>
      <xdr:rowOff>1</xdr:rowOff>
    </xdr:from>
    <xdr:to>
      <xdr:col>88</xdr:col>
      <xdr:colOff>19991</xdr:colOff>
      <xdr:row>130</xdr:row>
      <xdr:rowOff>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11725" y="22402800"/>
          <a:ext cx="5876925" cy="24765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165</xdr:row>
      <xdr:rowOff>0</xdr:rowOff>
    </xdr:from>
    <xdr:to>
      <xdr:col>92</xdr:col>
      <xdr:colOff>0</xdr:colOff>
      <xdr:row>179</xdr:row>
      <xdr:rowOff>133909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02200" y="31546800"/>
          <a:ext cx="6934200" cy="280035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148</xdr:row>
      <xdr:rowOff>0</xdr:rowOff>
    </xdr:from>
    <xdr:to>
      <xdr:col>89</xdr:col>
      <xdr:colOff>187210</xdr:colOff>
      <xdr:row>164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02200" y="28308300"/>
          <a:ext cx="6324600" cy="30480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87</xdr:row>
      <xdr:rowOff>0</xdr:rowOff>
    </xdr:from>
    <xdr:to>
      <xdr:col>88</xdr:col>
      <xdr:colOff>137509</xdr:colOff>
      <xdr:row>101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602200" y="16687800"/>
          <a:ext cx="6000750" cy="2667000"/>
        </a:xfrm>
        <a:prstGeom prst="rect">
          <a:avLst/>
        </a:prstGeom>
      </xdr:spPr>
    </xdr:pic>
    <xdr:clientData/>
  </xdr:twoCellAnchor>
  <xdr:twoCellAnchor>
    <xdr:from>
      <xdr:col>93</xdr:col>
      <xdr:colOff>179295</xdr:colOff>
      <xdr:row>9</xdr:row>
      <xdr:rowOff>78441</xdr:rowOff>
    </xdr:from>
    <xdr:to>
      <xdr:col>105</xdr:col>
      <xdr:colOff>22412</xdr:colOff>
      <xdr:row>13</xdr:row>
      <xdr:rowOff>78441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F9B9B0FA-5A1E-4BCC-9B75-FEBD216E973B}"/>
            </a:ext>
          </a:extLst>
        </xdr:cNvPr>
        <xdr:cNvSpPr/>
      </xdr:nvSpPr>
      <xdr:spPr>
        <a:xfrm>
          <a:off x="22064383" y="1905000"/>
          <a:ext cx="2667000" cy="762000"/>
        </a:xfrm>
        <a:prstGeom prst="borderCallout1">
          <a:avLst>
            <a:gd name="adj1" fmla="val 48161"/>
            <a:gd name="adj2" fmla="val -238"/>
            <a:gd name="adj3" fmla="val 215930"/>
            <a:gd name="adj4" fmla="val -28165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電話番号</a:t>
          </a:r>
          <a:r>
            <a:rPr lang="en-US" altLang="ja-JP" sz="1100" baseline="0">
              <a:solidFill>
                <a:srgbClr val="FF0000"/>
              </a:solidFill>
            </a:rPr>
            <a:t>]</a:t>
          </a:r>
          <a:r>
            <a:rPr lang="ja-JP" altLang="en-US" sz="1100" baseline="0">
              <a:solidFill>
                <a:srgbClr val="FF0000"/>
              </a:solidFill>
            </a:rPr>
            <a:t>の後に</a:t>
          </a:r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基本ポイント</a:t>
          </a:r>
          <a:r>
            <a:rPr lang="en-US" altLang="ja-JP" sz="1100" baseline="0">
              <a:solidFill>
                <a:srgbClr val="FF0000"/>
              </a:solidFill>
            </a:rPr>
            <a:t>] </a:t>
          </a:r>
          <a:r>
            <a:rPr lang="ja-JP" altLang="en-US" sz="1100" baseline="0">
              <a:solidFill>
                <a:srgbClr val="FF0000"/>
              </a:solidFill>
            </a:rPr>
            <a:t>項目を追加で表示する。</a:t>
          </a:r>
          <a:endParaRPr lang="en-US" altLang="ja-JP" sz="1100" baseline="0">
            <a:solidFill>
              <a:srgbClr val="FF0000"/>
            </a:solidFill>
          </a:endParaRPr>
        </a:p>
        <a:p>
          <a:pPr algn="l"/>
          <a:endParaRPr lang="vi-VN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70</xdr:col>
      <xdr:colOff>224118</xdr:colOff>
      <xdr:row>102</xdr:row>
      <xdr:rowOff>168088</xdr:rowOff>
    </xdr:from>
    <xdr:to>
      <xdr:col>82</xdr:col>
      <xdr:colOff>67236</xdr:colOff>
      <xdr:row>106</xdr:row>
      <xdr:rowOff>168088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EB5B173E-2270-4FD8-ABBD-87DD886948EF}"/>
            </a:ext>
          </a:extLst>
        </xdr:cNvPr>
        <xdr:cNvSpPr/>
      </xdr:nvSpPr>
      <xdr:spPr>
        <a:xfrm>
          <a:off x="16696765" y="19711147"/>
          <a:ext cx="2667000" cy="762000"/>
        </a:xfrm>
        <a:prstGeom prst="borderCallout1">
          <a:avLst>
            <a:gd name="adj1" fmla="val 40808"/>
            <a:gd name="adj2" fmla="val -1919"/>
            <a:gd name="adj3" fmla="val -125246"/>
            <a:gd name="adj4" fmla="val -31947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業態</a:t>
          </a:r>
          <a:r>
            <a:rPr lang="en-US" altLang="ja-JP" sz="1100" baseline="0">
              <a:solidFill>
                <a:srgbClr val="FF0000"/>
              </a:solidFill>
            </a:rPr>
            <a:t>]</a:t>
          </a:r>
          <a:r>
            <a:rPr lang="ja-JP" altLang="en-US" sz="1100" baseline="0">
              <a:solidFill>
                <a:srgbClr val="FF0000"/>
              </a:solidFill>
            </a:rPr>
            <a:t>項目の後に</a:t>
          </a:r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基本ポイント</a:t>
          </a:r>
          <a:r>
            <a:rPr lang="en-US" altLang="ja-JP" sz="1100" baseline="0">
              <a:solidFill>
                <a:srgbClr val="FF0000"/>
              </a:solidFill>
            </a:rPr>
            <a:t>] </a:t>
          </a:r>
          <a:r>
            <a:rPr lang="ja-JP" altLang="en-US" sz="1100" baseline="0">
              <a:solidFill>
                <a:srgbClr val="FF0000"/>
              </a:solidFill>
            </a:rPr>
            <a:t>項目を追加で表示する。</a:t>
          </a:r>
          <a:r>
            <a:rPr lang="en-US" altLang="ja-JP" sz="1100" baseline="0">
              <a:solidFill>
                <a:srgbClr val="FF0000"/>
              </a:solidFill>
            </a:rPr>
            <a:t> </a:t>
          </a:r>
          <a:endParaRPr lang="vi-VN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71</xdr:col>
      <xdr:colOff>168087</xdr:colOff>
      <xdr:row>132</xdr:row>
      <xdr:rowOff>44824</xdr:rowOff>
    </xdr:from>
    <xdr:to>
      <xdr:col>83</xdr:col>
      <xdr:colOff>11205</xdr:colOff>
      <xdr:row>136</xdr:row>
      <xdr:rowOff>44824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33D8F2FE-CA1A-4858-84C0-0EB580961A25}"/>
            </a:ext>
          </a:extLst>
        </xdr:cNvPr>
        <xdr:cNvSpPr/>
      </xdr:nvSpPr>
      <xdr:spPr>
        <a:xfrm>
          <a:off x="16876058" y="25302883"/>
          <a:ext cx="2667000" cy="762000"/>
        </a:xfrm>
        <a:prstGeom prst="borderCallout1">
          <a:avLst>
            <a:gd name="adj1" fmla="val 40808"/>
            <a:gd name="adj2" fmla="val -1919"/>
            <a:gd name="adj3" fmla="val -125246"/>
            <a:gd name="adj4" fmla="val -31947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業態</a:t>
          </a:r>
          <a:r>
            <a:rPr lang="en-US" altLang="ja-JP" sz="1100" baseline="0">
              <a:solidFill>
                <a:srgbClr val="FF0000"/>
              </a:solidFill>
            </a:rPr>
            <a:t>]</a:t>
          </a:r>
          <a:r>
            <a:rPr lang="ja-JP" altLang="en-US" sz="1100" baseline="0">
              <a:solidFill>
                <a:srgbClr val="FF0000"/>
              </a:solidFill>
            </a:rPr>
            <a:t>項目の後に</a:t>
          </a:r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基本ポイント</a:t>
          </a:r>
          <a:r>
            <a:rPr lang="en-US" altLang="ja-JP" sz="1100" baseline="0">
              <a:solidFill>
                <a:srgbClr val="FF0000"/>
              </a:solidFill>
            </a:rPr>
            <a:t>] </a:t>
          </a:r>
          <a:r>
            <a:rPr lang="ja-JP" altLang="en-US" sz="1100" baseline="0">
              <a:solidFill>
                <a:srgbClr val="FF0000"/>
              </a:solidFill>
            </a:rPr>
            <a:t>項目を追加で表示する。</a:t>
          </a:r>
          <a:r>
            <a:rPr lang="en-US" altLang="ja-JP" sz="1100" baseline="0">
              <a:solidFill>
                <a:srgbClr val="FF0000"/>
              </a:solidFill>
            </a:rPr>
            <a:t> </a:t>
          </a:r>
          <a:endParaRPr lang="vi-VN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93</xdr:col>
      <xdr:colOff>190500</xdr:colOff>
      <xdr:row>162</xdr:row>
      <xdr:rowOff>89647</xdr:rowOff>
    </xdr:from>
    <xdr:to>
      <xdr:col>105</xdr:col>
      <xdr:colOff>33617</xdr:colOff>
      <xdr:row>166</xdr:row>
      <xdr:rowOff>89647</xdr:rowOff>
    </xdr:to>
    <xdr:sp macro="" textlink="">
      <xdr:nvSpPr>
        <xdr:cNvPr id="8" name="Callout: Line 7">
          <a:extLst>
            <a:ext uri="{FF2B5EF4-FFF2-40B4-BE49-F238E27FC236}">
              <a16:creationId xmlns:a16="http://schemas.microsoft.com/office/drawing/2014/main" id="{22F656F8-5B8E-4443-9D6F-3658C6C4FA21}"/>
            </a:ext>
          </a:extLst>
        </xdr:cNvPr>
        <xdr:cNvSpPr/>
      </xdr:nvSpPr>
      <xdr:spPr>
        <a:xfrm>
          <a:off x="22075588" y="31062706"/>
          <a:ext cx="2667000" cy="762000"/>
        </a:xfrm>
        <a:prstGeom prst="borderCallout1">
          <a:avLst>
            <a:gd name="adj1" fmla="val 40808"/>
            <a:gd name="adj2" fmla="val -1919"/>
            <a:gd name="adj3" fmla="val -78187"/>
            <a:gd name="adj4" fmla="val -108418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業態</a:t>
          </a:r>
          <a:r>
            <a:rPr lang="en-US" altLang="ja-JP" sz="1100" baseline="0">
              <a:solidFill>
                <a:srgbClr val="FF0000"/>
              </a:solidFill>
            </a:rPr>
            <a:t>]</a:t>
          </a:r>
          <a:r>
            <a:rPr lang="ja-JP" altLang="en-US" sz="1100" baseline="0">
              <a:solidFill>
                <a:srgbClr val="FF0000"/>
              </a:solidFill>
            </a:rPr>
            <a:t>項目の後に</a:t>
          </a:r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基本ポイント</a:t>
          </a:r>
          <a:r>
            <a:rPr lang="en-US" altLang="ja-JP" sz="1100" baseline="0">
              <a:solidFill>
                <a:srgbClr val="FF0000"/>
              </a:solidFill>
            </a:rPr>
            <a:t>] </a:t>
          </a:r>
          <a:r>
            <a:rPr lang="ja-JP" altLang="en-US" sz="1100" baseline="0">
              <a:solidFill>
                <a:srgbClr val="FF0000"/>
              </a:solidFill>
            </a:rPr>
            <a:t>項目を追加で表示する。</a:t>
          </a:r>
          <a:r>
            <a:rPr lang="en-US" altLang="ja-JP" sz="1100" baseline="0">
              <a:solidFill>
                <a:srgbClr val="FF0000"/>
              </a:solidFill>
            </a:rPr>
            <a:t> </a:t>
          </a:r>
          <a:endParaRPr lang="vi-VN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</xdr:colOff>
      <xdr:row>43</xdr:row>
      <xdr:rowOff>0</xdr:rowOff>
    </xdr:from>
    <xdr:to>
      <xdr:col>25</xdr:col>
      <xdr:colOff>233925</xdr:colOff>
      <xdr:row>45</xdr:row>
      <xdr:rowOff>1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8D6A2D73-6EF4-46B5-9E6C-9958379936E1}"/>
            </a:ext>
          </a:extLst>
        </xdr:cNvPr>
        <xdr:cNvCxnSpPr/>
      </xdr:nvCxnSpPr>
      <xdr:spPr>
        <a:xfrm rot="16200000" flipH="1">
          <a:off x="3456315" y="6023863"/>
          <a:ext cx="381001" cy="494039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190500</xdr:colOff>
      <xdr:row>45</xdr:row>
      <xdr:rowOff>11206</xdr:rowOff>
    </xdr:from>
    <xdr:to>
      <xdr:col>28</xdr:col>
      <xdr:colOff>8406</xdr:colOff>
      <xdr:row>47</xdr:row>
      <xdr:rowOff>11206</xdr:rowOff>
    </xdr:to>
    <xdr:sp macro="" textlink="" fLocksText="0">
      <xdr:nvSpPr>
        <xdr:cNvPr id="14" name="四角形: 角を丸くする 1101">
          <a:extLst>
            <a:ext uri="{FF2B5EF4-FFF2-40B4-BE49-F238E27FC236}">
              <a16:creationId xmlns:a16="http://schemas.microsoft.com/office/drawing/2014/main" id="{57271B05-AD00-469F-86E9-0B82BA4486B3}"/>
            </a:ext>
          </a:extLst>
        </xdr:cNvPr>
        <xdr:cNvSpPr/>
      </xdr:nvSpPr>
      <xdr:spPr>
        <a:xfrm>
          <a:off x="5602941" y="8695765"/>
          <a:ext cx="994524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</a:t>
          </a:r>
          <a:r>
            <a:rPr lang="ja-JP" altLang="en-US" sz="1000" b="0" i="0" u="none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出力アイコン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25</xdr:col>
      <xdr:colOff>11206</xdr:colOff>
      <xdr:row>49</xdr:row>
      <xdr:rowOff>11206</xdr:rowOff>
    </xdr:from>
    <xdr:to>
      <xdr:col>27</xdr:col>
      <xdr:colOff>8406</xdr:colOff>
      <xdr:row>50</xdr:row>
      <xdr:rowOff>11207</xdr:rowOff>
    </xdr:to>
    <xdr:sp macro="" textlink="" fLocksText="0">
      <xdr:nvSpPr>
        <xdr:cNvPr id="15" name="Rectangle: Rounded Corners 14">
          <a:extLst>
            <a:ext uri="{FF2B5EF4-FFF2-40B4-BE49-F238E27FC236}">
              <a16:creationId xmlns:a16="http://schemas.microsoft.com/office/drawing/2014/main" id="{CC92B5E1-4D7D-47A0-85FB-5CE920114521}"/>
            </a:ext>
          </a:extLst>
        </xdr:cNvPr>
        <xdr:cNvSpPr/>
      </xdr:nvSpPr>
      <xdr:spPr>
        <a:xfrm>
          <a:off x="5894294" y="9457765"/>
          <a:ext cx="467847" cy="190501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82.7</a:t>
          </a:r>
        </a:p>
      </xdr:txBody>
    </xdr:sp>
    <xdr:clientData/>
  </xdr:twoCellAnchor>
  <xdr:twoCellAnchor>
    <xdr:from>
      <xdr:col>25</xdr:col>
      <xdr:colOff>217115</xdr:colOff>
      <xdr:row>47</xdr:row>
      <xdr:rowOff>11206</xdr:rowOff>
    </xdr:from>
    <xdr:to>
      <xdr:col>26</xdr:col>
      <xdr:colOff>9806</xdr:colOff>
      <xdr:row>49</xdr:row>
      <xdr:rowOff>11206</xdr:rowOff>
    </xdr:to>
    <xdr:cxnSp macro="">
      <xdr:nvCxnSpPr>
        <xdr:cNvPr id="16" name="直線矢印コネクタ 1010">
          <a:extLst>
            <a:ext uri="{FF2B5EF4-FFF2-40B4-BE49-F238E27FC236}">
              <a16:creationId xmlns:a16="http://schemas.microsoft.com/office/drawing/2014/main" id="{DE0ADC06-EF07-48C8-B051-241916ECE03A}"/>
            </a:ext>
          </a:extLst>
        </xdr:cNvPr>
        <xdr:cNvCxnSpPr>
          <a:cxnSpLocks/>
          <a:stCxn id="14" idx="2"/>
          <a:endCxn id="15" idx="0"/>
        </xdr:cNvCxnSpPr>
      </xdr:nvCxnSpPr>
      <xdr:spPr>
        <a:xfrm>
          <a:off x="6100203" y="9076765"/>
          <a:ext cx="2801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224</xdr:row>
      <xdr:rowOff>0</xdr:rowOff>
    </xdr:from>
    <xdr:to>
      <xdr:col>6</xdr:col>
      <xdr:colOff>1</xdr:colOff>
      <xdr:row>225</xdr:row>
      <xdr:rowOff>1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CE7FC1EE-325E-44CF-8EBE-BC6AFBF8F249}"/>
            </a:ext>
          </a:extLst>
        </xdr:cNvPr>
        <xdr:cNvSpPr/>
      </xdr:nvSpPr>
      <xdr:spPr>
        <a:xfrm>
          <a:off x="952500" y="43167300"/>
          <a:ext cx="476251" cy="190501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82.6</a:t>
          </a:r>
        </a:p>
      </xdr:txBody>
    </xdr:sp>
    <xdr:clientData/>
  </xdr:twoCellAnchor>
  <xdr:twoCellAnchor>
    <xdr:from>
      <xdr:col>5</xdr:col>
      <xdr:colOff>0</xdr:colOff>
      <xdr:row>225</xdr:row>
      <xdr:rowOff>1</xdr:rowOff>
    </xdr:from>
    <xdr:to>
      <xdr:col>5</xdr:col>
      <xdr:colOff>0</xdr:colOff>
      <xdr:row>228</xdr:row>
      <xdr:rowOff>190498</xdr:rowOff>
    </xdr:to>
    <xdr:cxnSp macro="">
      <xdr:nvCxnSpPr>
        <xdr:cNvPr id="10" name="直線矢印コネクタ 1010">
          <a:extLst>
            <a:ext uri="{FF2B5EF4-FFF2-40B4-BE49-F238E27FC236}">
              <a16:creationId xmlns:a16="http://schemas.microsoft.com/office/drawing/2014/main" id="{28B1FAB9-617E-4E99-994A-8B3473CBBC4E}"/>
            </a:ext>
          </a:extLst>
        </xdr:cNvPr>
        <xdr:cNvCxnSpPr>
          <a:cxnSpLocks/>
          <a:stCxn id="9" idx="2"/>
          <a:endCxn id="12" idx="0"/>
        </xdr:cNvCxnSpPr>
      </xdr:nvCxnSpPr>
      <xdr:spPr>
        <a:xfrm>
          <a:off x="1190625" y="43357801"/>
          <a:ext cx="0" cy="7619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228</xdr:row>
      <xdr:rowOff>190498</xdr:rowOff>
    </xdr:from>
    <xdr:to>
      <xdr:col>8</xdr:col>
      <xdr:colOff>0</xdr:colOff>
      <xdr:row>232</xdr:row>
      <xdr:rowOff>190498</xdr:rowOff>
    </xdr:to>
    <xdr:sp macro="" textlink="" fLocksText="0">
      <xdr:nvSpPr>
        <xdr:cNvPr id="12" name="四角形: 角を丸くする 3">
          <a:extLst>
            <a:ext uri="{FF2B5EF4-FFF2-40B4-BE49-F238E27FC236}">
              <a16:creationId xmlns:a16="http://schemas.microsoft.com/office/drawing/2014/main" id="{ED480CB7-E0AF-4EAC-BEEE-2E485F74F4AF}"/>
            </a:ext>
          </a:extLst>
        </xdr:cNvPr>
        <xdr:cNvSpPr/>
      </xdr:nvSpPr>
      <xdr:spPr>
        <a:xfrm>
          <a:off x="476250" y="44119798"/>
          <a:ext cx="142875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KN8209</a:t>
          </a:r>
          <a:b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</a:b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店舗マスタ出力機能</a:t>
          </a:r>
          <a:endParaRPr lang="en-US" altLang="ja-JP" sz="10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230</xdr:row>
      <xdr:rowOff>189451</xdr:rowOff>
    </xdr:from>
    <xdr:to>
      <xdr:col>29</xdr:col>
      <xdr:colOff>0</xdr:colOff>
      <xdr:row>230</xdr:row>
      <xdr:rowOff>190498</xdr:rowOff>
    </xdr:to>
    <xdr:cxnSp macro="">
      <xdr:nvCxnSpPr>
        <xdr:cNvPr id="18" name="直線矢印コネクタ 196">
          <a:extLst>
            <a:ext uri="{FF2B5EF4-FFF2-40B4-BE49-F238E27FC236}">
              <a16:creationId xmlns:a16="http://schemas.microsoft.com/office/drawing/2014/main" id="{C2703EC0-8DE4-453D-B7C5-601F246EC7F6}"/>
            </a:ext>
          </a:extLst>
        </xdr:cNvPr>
        <xdr:cNvCxnSpPr>
          <a:stCxn id="12" idx="3"/>
          <a:endCxn id="19" idx="2"/>
        </xdr:cNvCxnSpPr>
      </xdr:nvCxnSpPr>
      <xdr:spPr>
        <a:xfrm flipV="1">
          <a:off x="1905000" y="44499751"/>
          <a:ext cx="5000625" cy="1047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228</xdr:row>
      <xdr:rowOff>190498</xdr:rowOff>
    </xdr:from>
    <xdr:to>
      <xdr:col>35</xdr:col>
      <xdr:colOff>0</xdr:colOff>
      <xdr:row>232</xdr:row>
      <xdr:rowOff>188404</xdr:rowOff>
    </xdr:to>
    <xdr:sp macro="" textlink="" fLocksText="0">
      <xdr:nvSpPr>
        <xdr:cNvPr id="19" name="フローチャート: 磁気ディスク 194">
          <a:extLst>
            <a:ext uri="{FF2B5EF4-FFF2-40B4-BE49-F238E27FC236}">
              <a16:creationId xmlns:a16="http://schemas.microsoft.com/office/drawing/2014/main" id="{52DC951D-89EE-496E-B569-01AAEC2EA02A}"/>
            </a:ext>
          </a:extLst>
        </xdr:cNvPr>
        <xdr:cNvSpPr/>
      </xdr:nvSpPr>
      <xdr:spPr>
        <a:xfrm>
          <a:off x="6905625" y="44119798"/>
          <a:ext cx="1428750" cy="759906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AP8206: </a:t>
          </a:r>
          <a:r>
            <a:rPr kumimoji="0" lang="ja-JP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店舗マスタ出力</a:t>
          </a:r>
          <a:endParaRPr lang="en-US" altLang="ja-JP" sz="1000" b="0" i="0" u="none" baseline="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231758</xdr:colOff>
      <xdr:row>232</xdr:row>
      <xdr:rowOff>190498</xdr:rowOff>
    </xdr:from>
    <xdr:to>
      <xdr:col>5</xdr:col>
      <xdr:colOff>0</xdr:colOff>
      <xdr:row>234</xdr:row>
      <xdr:rowOff>190498</xdr:rowOff>
    </xdr:to>
    <xdr:cxnSp macro="">
      <xdr:nvCxnSpPr>
        <xdr:cNvPr id="20" name="直線矢印コネクタ 1010">
          <a:extLst>
            <a:ext uri="{FF2B5EF4-FFF2-40B4-BE49-F238E27FC236}">
              <a16:creationId xmlns:a16="http://schemas.microsoft.com/office/drawing/2014/main" id="{CB8F97E4-A6E9-4F13-89B1-CAF6279A2329}"/>
            </a:ext>
          </a:extLst>
        </xdr:cNvPr>
        <xdr:cNvCxnSpPr>
          <a:cxnSpLocks/>
          <a:stCxn id="12" idx="2"/>
          <a:endCxn id="21" idx="0"/>
        </xdr:cNvCxnSpPr>
      </xdr:nvCxnSpPr>
      <xdr:spPr>
        <a:xfrm flipH="1">
          <a:off x="1184258" y="44881798"/>
          <a:ext cx="6367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228191</xdr:colOff>
      <xdr:row>234</xdr:row>
      <xdr:rowOff>190498</xdr:rowOff>
    </xdr:from>
    <xdr:to>
      <xdr:col>6</xdr:col>
      <xdr:colOff>0</xdr:colOff>
      <xdr:row>235</xdr:row>
      <xdr:rowOff>190498</xdr:rowOff>
    </xdr:to>
    <xdr:sp macro="" textlink="" fLocksText="0">
      <xdr:nvSpPr>
        <xdr:cNvPr id="21" name="Rectangle: Rounded Corners 20">
          <a:extLst>
            <a:ext uri="{FF2B5EF4-FFF2-40B4-BE49-F238E27FC236}">
              <a16:creationId xmlns:a16="http://schemas.microsoft.com/office/drawing/2014/main" id="{A55A837A-9AD6-4C29-A790-1D2B8675A14F}"/>
            </a:ext>
          </a:extLst>
        </xdr:cNvPr>
        <xdr:cNvSpPr/>
      </xdr:nvSpPr>
      <xdr:spPr>
        <a:xfrm>
          <a:off x="942566" y="45262798"/>
          <a:ext cx="486184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</a:t>
          </a:r>
        </a:p>
      </xdr:txBody>
    </xdr:sp>
    <xdr:clientData/>
  </xdr:twoCellAnchor>
  <xdr:twoCellAnchor>
    <xdr:from>
      <xdr:col>38</xdr:col>
      <xdr:colOff>0</xdr:colOff>
      <xdr:row>225</xdr:row>
      <xdr:rowOff>190498</xdr:rowOff>
    </xdr:from>
    <xdr:to>
      <xdr:col>61</xdr:col>
      <xdr:colOff>0</xdr:colOff>
      <xdr:row>228</xdr:row>
      <xdr:rowOff>190498</xdr:rowOff>
    </xdr:to>
    <xdr:sp macro="" textlink="" fLocksText="0">
      <xdr:nvSpPr>
        <xdr:cNvPr id="22" name="吹き出し: 線 2">
          <a:extLst>
            <a:ext uri="{FF2B5EF4-FFF2-40B4-BE49-F238E27FC236}">
              <a16:creationId xmlns:a16="http://schemas.microsoft.com/office/drawing/2014/main" id="{F60410BC-84F6-4C6D-97AA-6081441CB392}"/>
            </a:ext>
          </a:extLst>
        </xdr:cNvPr>
        <xdr:cNvSpPr/>
      </xdr:nvSpPr>
      <xdr:spPr>
        <a:xfrm>
          <a:off x="9048750" y="43548298"/>
          <a:ext cx="5476875" cy="571500"/>
        </a:xfrm>
        <a:prstGeom prst="borderCallout1">
          <a:avLst>
            <a:gd name="adj1" fmla="val 54828"/>
            <a:gd name="adj2" fmla="val -151"/>
            <a:gd name="adj3" fmla="val 150839"/>
            <a:gd name="adj4" fmla="val -1314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店舗マスタの新規作成・編集・削除が行われた場合、その情報が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DB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に反映される。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257735</xdr:colOff>
      <xdr:row>6</xdr:row>
      <xdr:rowOff>33618</xdr:rowOff>
    </xdr:from>
    <xdr:to>
      <xdr:col>42</xdr:col>
      <xdr:colOff>80220</xdr:colOff>
      <xdr:row>32</xdr:row>
      <xdr:rowOff>89648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F7B00E1-9678-AFD3-6C8D-354B16BDE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8470" y="1288677"/>
          <a:ext cx="10187926" cy="5053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style="18" customWidth="1"/>
    <col min="61" max="16384" width="2.77734375" style="18"/>
  </cols>
  <sheetData>
    <row r="1" spans="1:63" ht="24.95" customHeight="1">
      <c r="A1" s="96" t="s">
        <v>36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37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17" t="s">
        <v>38</v>
      </c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9"/>
      <c r="AP1" s="96" t="s">
        <v>39</v>
      </c>
      <c r="AQ1" s="97"/>
      <c r="AR1" s="97"/>
      <c r="AS1" s="98"/>
      <c r="AT1" s="96" t="s">
        <v>40</v>
      </c>
      <c r="AU1" s="97"/>
      <c r="AV1" s="97"/>
      <c r="AW1" s="97"/>
      <c r="AX1" s="98"/>
      <c r="AY1" s="96" t="s">
        <v>41</v>
      </c>
      <c r="AZ1" s="97"/>
      <c r="BA1" s="97"/>
      <c r="BB1" s="98"/>
      <c r="BC1" s="96" t="s">
        <v>42</v>
      </c>
      <c r="BD1" s="97"/>
      <c r="BE1" s="97"/>
      <c r="BF1" s="97"/>
      <c r="BG1" s="98"/>
      <c r="BH1" s="96" t="s">
        <v>43</v>
      </c>
      <c r="BI1" s="97"/>
      <c r="BJ1" s="97"/>
      <c r="BK1" s="98"/>
    </row>
    <row r="2" spans="1:63" ht="15" customHeight="1">
      <c r="A2" s="116" t="s">
        <v>44</v>
      </c>
      <c r="B2" s="82"/>
      <c r="C2" s="82"/>
      <c r="D2" s="82"/>
      <c r="E2" s="82"/>
      <c r="F2" s="82"/>
      <c r="G2" s="82"/>
      <c r="H2" s="82"/>
      <c r="I2" s="82"/>
      <c r="J2" s="83"/>
      <c r="K2" s="81" t="s">
        <v>10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20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2"/>
      <c r="AP2" s="81" t="str">
        <f>改訂履歴!$H$11</f>
        <v>SonMNT</v>
      </c>
      <c r="AQ2" s="82"/>
      <c r="AR2" s="82"/>
      <c r="AS2" s="83"/>
      <c r="AT2" s="110">
        <f>改訂履歴!$B$11</f>
        <v>45453</v>
      </c>
      <c r="AU2" s="111"/>
      <c r="AV2" s="111"/>
      <c r="AW2" s="111"/>
      <c r="AX2" s="112"/>
      <c r="AY2" s="81" t="str">
        <f>LOOKUP(2,1/(改訂履歴!H11:H30000&lt;&gt;""),改訂履歴!H11:H30000)</f>
        <v>DunT</v>
      </c>
      <c r="AZ2" s="82"/>
      <c r="BA2" s="82"/>
      <c r="BB2" s="83"/>
      <c r="BC2" s="110">
        <f>LOOKUP(2,1/(改訂履歴!B11:B30000&lt;&gt;""),改訂履歴!B11:B30000)</f>
        <v>45581</v>
      </c>
      <c r="BD2" s="111"/>
      <c r="BE2" s="111"/>
      <c r="BF2" s="111"/>
      <c r="BG2" s="112"/>
      <c r="BH2" s="104">
        <f>LOOKUP(2,1/(改訂履歴!O11:O30000&lt;&gt;""),改訂履歴!O11:O30000)</f>
        <v>0.21</v>
      </c>
      <c r="BI2" s="105"/>
      <c r="BJ2" s="105"/>
      <c r="BK2" s="106"/>
    </row>
    <row r="3" spans="1:63" ht="15" customHeight="1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123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5"/>
      <c r="AP3" s="87"/>
      <c r="AQ3" s="88"/>
      <c r="AR3" s="88"/>
      <c r="AS3" s="89"/>
      <c r="AT3" s="113"/>
      <c r="AU3" s="114"/>
      <c r="AV3" s="114"/>
      <c r="AW3" s="114"/>
      <c r="AX3" s="115"/>
      <c r="AY3" s="87"/>
      <c r="AZ3" s="88"/>
      <c r="BA3" s="88"/>
      <c r="BB3" s="89"/>
      <c r="BC3" s="113"/>
      <c r="BD3" s="114"/>
      <c r="BE3" s="114"/>
      <c r="BF3" s="114"/>
      <c r="BG3" s="115"/>
      <c r="BH3" s="107"/>
      <c r="BI3" s="108"/>
      <c r="BJ3" s="108"/>
      <c r="BK3" s="109"/>
    </row>
    <row r="4" spans="1:63" ht="24.95" customHeight="1">
      <c r="A4" s="96" t="s">
        <v>45</v>
      </c>
      <c r="B4" s="97"/>
      <c r="C4" s="97"/>
      <c r="D4" s="97"/>
      <c r="E4" s="97"/>
      <c r="F4" s="97"/>
      <c r="G4" s="98"/>
      <c r="H4" s="101" t="s">
        <v>35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96" t="s">
        <v>46</v>
      </c>
      <c r="V4" s="97"/>
      <c r="W4" s="97"/>
      <c r="X4" s="97"/>
      <c r="Y4" s="98"/>
      <c r="Z4" s="101" t="s">
        <v>11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1" t="str">
        <f t="array" aca="1" ref="AP4" ca="1">RIGHT(CELL("filename",$A$1),LEN(CELL("filename",$A$1))-FIND("]",CELL("filename",$A$1)))</f>
        <v>表紙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3" ht="5.0999999999999996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>
      <c r="A6" s="22"/>
      <c r="BK6" s="23"/>
    </row>
    <row r="7" spans="1:63" ht="15" customHeight="1">
      <c r="A7" s="22"/>
      <c r="BK7" s="23"/>
    </row>
    <row r="8" spans="1:63" ht="15" customHeight="1">
      <c r="A8" s="22"/>
      <c r="BK8" s="23"/>
    </row>
    <row r="9" spans="1:63" ht="15" customHeight="1">
      <c r="A9" s="22"/>
      <c r="BK9" s="23"/>
    </row>
    <row r="10" spans="1:63" ht="15" customHeight="1">
      <c r="A10" s="22"/>
      <c r="BK10" s="23"/>
    </row>
    <row r="11" spans="1:63" ht="15" customHeight="1">
      <c r="A11" s="22"/>
      <c r="BK11" s="23"/>
    </row>
    <row r="12" spans="1:63" ht="15" customHeight="1">
      <c r="A12" s="22"/>
      <c r="BK12" s="23"/>
    </row>
    <row r="13" spans="1:63" ht="15" customHeight="1">
      <c r="A13" s="22"/>
      <c r="BK13" s="23"/>
    </row>
    <row r="14" spans="1:63" ht="15" customHeight="1" thickBot="1">
      <c r="A14" s="22"/>
      <c r="BK14" s="23"/>
    </row>
    <row r="15" spans="1:63" ht="15" customHeight="1" thickTop="1">
      <c r="A15" s="22"/>
      <c r="K15" s="24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6"/>
      <c r="BK15" s="23"/>
    </row>
    <row r="16" spans="1:63" ht="15" customHeight="1">
      <c r="A16" s="22"/>
      <c r="K16" s="27"/>
      <c r="L16" s="99" t="s">
        <v>47</v>
      </c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28"/>
      <c r="BK16" s="23"/>
    </row>
    <row r="17" spans="1:63" ht="15" customHeight="1">
      <c r="A17" s="22"/>
      <c r="K17" s="27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28"/>
      <c r="BK17" s="23"/>
    </row>
    <row r="18" spans="1:63" ht="15" customHeight="1">
      <c r="A18" s="22"/>
      <c r="K18" s="27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28"/>
      <c r="BK18" s="23"/>
    </row>
    <row r="19" spans="1:63" ht="15" customHeight="1">
      <c r="A19" s="22"/>
      <c r="K19" s="27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28"/>
      <c r="BK19" s="23"/>
    </row>
    <row r="20" spans="1:63" ht="15" customHeight="1">
      <c r="A20" s="22"/>
      <c r="K20" s="27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28"/>
      <c r="BK20" s="23"/>
    </row>
    <row r="21" spans="1:63" ht="15" customHeight="1">
      <c r="A21" s="22"/>
      <c r="K21" s="27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28"/>
      <c r="BK21" s="23"/>
    </row>
    <row r="22" spans="1:63" ht="15" customHeight="1" thickBot="1">
      <c r="A22" s="22"/>
      <c r="K22" s="27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8"/>
      <c r="BK22" s="23"/>
    </row>
    <row r="23" spans="1:63" ht="15" customHeight="1">
      <c r="A23" s="22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28"/>
      <c r="BK23" s="23"/>
    </row>
    <row r="24" spans="1:63" ht="15" customHeight="1">
      <c r="A24" s="22"/>
      <c r="K24" s="27"/>
      <c r="L24" s="100" t="str">
        <f>K2&amp;"/"&amp;H4&amp;"/"&amp;Z4</f>
        <v>POSサーバー/82_店舗マスタ設定/概要設計書</v>
      </c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28"/>
      <c r="BK24" s="23"/>
    </row>
    <row r="25" spans="1:63" ht="15" customHeight="1">
      <c r="A25" s="22"/>
      <c r="K25" s="27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28"/>
      <c r="BK25" s="23"/>
    </row>
    <row r="26" spans="1:63" ht="15" customHeight="1">
      <c r="A26" s="22"/>
      <c r="K26" s="27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28"/>
      <c r="BK26" s="23"/>
    </row>
    <row r="27" spans="1:63" ht="15" customHeight="1">
      <c r="A27" s="22"/>
      <c r="K27" s="27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28"/>
      <c r="BK27" s="23"/>
    </row>
    <row r="28" spans="1:63" ht="15" customHeight="1">
      <c r="A28" s="22"/>
      <c r="K28" s="27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28"/>
      <c r="BK28" s="23"/>
    </row>
    <row r="29" spans="1:63" ht="15" customHeight="1">
      <c r="A29" s="22"/>
      <c r="K29" s="27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28"/>
      <c r="BK29" s="23"/>
    </row>
    <row r="30" spans="1:63" ht="15" customHeight="1">
      <c r="A30" s="22"/>
      <c r="K30" s="27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28"/>
      <c r="BK30" s="23"/>
    </row>
    <row r="31" spans="1:63" ht="15" customHeight="1">
      <c r="A31" s="22"/>
      <c r="K31" s="27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28"/>
      <c r="BK31" s="23"/>
    </row>
    <row r="32" spans="1:63" ht="15" customHeight="1">
      <c r="A32" s="22"/>
      <c r="K32" s="27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28"/>
      <c r="BK32" s="23"/>
    </row>
    <row r="33" spans="1:63" ht="15" customHeight="1">
      <c r="A33" s="22"/>
      <c r="K33" s="27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28"/>
      <c r="BK33" s="23"/>
    </row>
    <row r="34" spans="1:63" ht="15" customHeight="1">
      <c r="A34" s="22"/>
      <c r="K34" s="27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28"/>
      <c r="BK34" s="23"/>
    </row>
    <row r="35" spans="1:63" ht="15" customHeight="1">
      <c r="A35" s="22"/>
      <c r="K35" s="27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28"/>
      <c r="BK35" s="23"/>
    </row>
    <row r="36" spans="1:63" ht="15" customHeight="1">
      <c r="A36" s="22"/>
      <c r="K36" s="27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28"/>
      <c r="BK36" s="23"/>
    </row>
    <row r="37" spans="1:63" ht="15" customHeight="1" thickBot="1">
      <c r="A37" s="22"/>
      <c r="K37" s="31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3"/>
      <c r="BK37" s="23"/>
    </row>
    <row r="38" spans="1:63" ht="15" customHeight="1" thickTop="1">
      <c r="A38" s="22"/>
      <c r="BK38" s="23"/>
    </row>
    <row r="39" spans="1:63" ht="15" customHeight="1">
      <c r="A39" s="22"/>
      <c r="BK39" s="23"/>
    </row>
    <row r="40" spans="1:63" ht="15" customHeight="1">
      <c r="A40" s="22"/>
      <c r="BK40" s="23"/>
    </row>
    <row r="41" spans="1:63" ht="15" customHeight="1">
      <c r="A41" s="22"/>
      <c r="BK41" s="23"/>
    </row>
    <row r="42" spans="1:63" ht="15" customHeight="1">
      <c r="A42" s="22"/>
      <c r="BK42" s="23"/>
    </row>
    <row r="43" spans="1:63" ht="15" customHeight="1">
      <c r="A43" s="22"/>
      <c r="BK43" s="23"/>
    </row>
    <row r="44" spans="1:63" ht="15" customHeight="1">
      <c r="A44" s="22"/>
      <c r="Q44" s="90" t="s">
        <v>48</v>
      </c>
      <c r="R44" s="91"/>
      <c r="S44" s="91"/>
      <c r="T44" s="91"/>
      <c r="U44" s="91"/>
      <c r="V44" s="91"/>
      <c r="W44" s="91"/>
      <c r="X44" s="91"/>
      <c r="Y44" s="91"/>
      <c r="Z44" s="92"/>
      <c r="AA44" s="90" t="s">
        <v>49</v>
      </c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2"/>
      <c r="AQ44" s="90" t="s">
        <v>43</v>
      </c>
      <c r="AR44" s="91"/>
      <c r="AS44" s="91"/>
      <c r="AT44" s="91"/>
      <c r="AU44" s="92"/>
      <c r="BK44" s="23"/>
    </row>
    <row r="45" spans="1:63" ht="15" customHeight="1">
      <c r="A45" s="22"/>
      <c r="Q45" s="93"/>
      <c r="R45" s="94"/>
      <c r="S45" s="94"/>
      <c r="T45" s="94"/>
      <c r="U45" s="94"/>
      <c r="V45" s="94"/>
      <c r="W45" s="94"/>
      <c r="X45" s="94"/>
      <c r="Y45" s="94"/>
      <c r="Z45" s="95"/>
      <c r="AA45" s="93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5"/>
      <c r="AQ45" s="93"/>
      <c r="AR45" s="94"/>
      <c r="AS45" s="94"/>
      <c r="AT45" s="94"/>
      <c r="AU45" s="95"/>
      <c r="BK45" s="23"/>
    </row>
    <row r="46" spans="1:63" ht="15" customHeight="1">
      <c r="A46" s="22"/>
      <c r="Q46" s="81"/>
      <c r="R46" s="82"/>
      <c r="S46" s="82"/>
      <c r="T46" s="82"/>
      <c r="U46" s="82"/>
      <c r="V46" s="82"/>
      <c r="W46" s="82"/>
      <c r="X46" s="82"/>
      <c r="Y46" s="82"/>
      <c r="Z46" s="83"/>
      <c r="AA46" s="81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3"/>
      <c r="AQ46" s="81"/>
      <c r="AR46" s="82"/>
      <c r="AS46" s="82"/>
      <c r="AT46" s="82"/>
      <c r="AU46" s="83"/>
      <c r="BK46" s="23"/>
    </row>
    <row r="47" spans="1:63" ht="15" customHeight="1">
      <c r="A47" s="22"/>
      <c r="Q47" s="84"/>
      <c r="R47" s="85"/>
      <c r="S47" s="85"/>
      <c r="T47" s="85"/>
      <c r="U47" s="85"/>
      <c r="V47" s="85"/>
      <c r="W47" s="85"/>
      <c r="X47" s="85"/>
      <c r="Y47" s="85"/>
      <c r="Z47" s="86"/>
      <c r="AA47" s="84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6"/>
      <c r="AQ47" s="84"/>
      <c r="AR47" s="85"/>
      <c r="AS47" s="85"/>
      <c r="AT47" s="85"/>
      <c r="AU47" s="86"/>
      <c r="BK47" s="23"/>
    </row>
    <row r="48" spans="1:63" ht="15" customHeight="1">
      <c r="A48" s="22"/>
      <c r="Q48" s="84"/>
      <c r="R48" s="85"/>
      <c r="S48" s="85"/>
      <c r="T48" s="85"/>
      <c r="U48" s="85"/>
      <c r="V48" s="85"/>
      <c r="W48" s="85"/>
      <c r="X48" s="85"/>
      <c r="Y48" s="85"/>
      <c r="Z48" s="86"/>
      <c r="AA48" s="84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6"/>
      <c r="AQ48" s="84"/>
      <c r="AR48" s="85"/>
      <c r="AS48" s="85"/>
      <c r="AT48" s="85"/>
      <c r="AU48" s="86"/>
      <c r="BK48" s="23"/>
    </row>
    <row r="49" spans="1:63" ht="15" customHeight="1">
      <c r="A49" s="22"/>
      <c r="Q49" s="87"/>
      <c r="R49" s="88"/>
      <c r="S49" s="88"/>
      <c r="T49" s="88"/>
      <c r="U49" s="88"/>
      <c r="V49" s="88"/>
      <c r="W49" s="88"/>
      <c r="X49" s="88"/>
      <c r="Y49" s="88"/>
      <c r="Z49" s="89"/>
      <c r="AA49" s="87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9"/>
      <c r="AQ49" s="87"/>
      <c r="AR49" s="88"/>
      <c r="AS49" s="88"/>
      <c r="AT49" s="88"/>
      <c r="AU49" s="89"/>
      <c r="BK49" s="23"/>
    </row>
    <row r="50" spans="1:63" ht="15" customHeight="1">
      <c r="A50" s="22"/>
      <c r="BK50" s="23"/>
    </row>
    <row r="51" spans="1:63" ht="15" customHeight="1">
      <c r="A51" s="22"/>
      <c r="BK51" s="23"/>
    </row>
    <row r="52" spans="1:63" ht="15" customHeight="1">
      <c r="A52" s="22"/>
      <c r="BK52" s="23"/>
    </row>
    <row r="53" spans="1:63" ht="15" customHeight="1">
      <c r="A53" s="22"/>
      <c r="BK53" s="23"/>
    </row>
    <row r="54" spans="1:63" ht="15" customHeight="1">
      <c r="A54" s="22"/>
      <c r="BK54" s="23"/>
    </row>
    <row r="55" spans="1:63" ht="15" customHeight="1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style="18" customWidth="1"/>
    <col min="61" max="16384" width="2.77734375" style="18"/>
  </cols>
  <sheetData>
    <row r="1" spans="1:63" ht="24.95" customHeight="1">
      <c r="A1" s="96" t="s">
        <v>36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37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17" t="str">
        <f>IF(表紙!W1="","",表紙!W1)</f>
        <v>基本設計書</v>
      </c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9"/>
      <c r="AP1" s="96" t="s">
        <v>39</v>
      </c>
      <c r="AQ1" s="97"/>
      <c r="AR1" s="97"/>
      <c r="AS1" s="98"/>
      <c r="AT1" s="96" t="s">
        <v>40</v>
      </c>
      <c r="AU1" s="97"/>
      <c r="AV1" s="97"/>
      <c r="AW1" s="97"/>
      <c r="AX1" s="98"/>
      <c r="AY1" s="96" t="s">
        <v>41</v>
      </c>
      <c r="AZ1" s="97"/>
      <c r="BA1" s="97"/>
      <c r="BB1" s="98"/>
      <c r="BC1" s="96" t="s">
        <v>42</v>
      </c>
      <c r="BD1" s="97"/>
      <c r="BE1" s="97"/>
      <c r="BF1" s="97"/>
      <c r="BG1" s="98"/>
      <c r="BH1" s="96" t="s">
        <v>43</v>
      </c>
      <c r="BI1" s="97"/>
      <c r="BJ1" s="97"/>
      <c r="BK1" s="98"/>
    </row>
    <row r="2" spans="1:63" ht="15" customHeight="1">
      <c r="A2" s="81" t="str">
        <f>IF(表紙!A2="","",表紙!A2)</f>
        <v>POSサーバー</v>
      </c>
      <c r="B2" s="82"/>
      <c r="C2" s="82"/>
      <c r="D2" s="82"/>
      <c r="E2" s="82"/>
      <c r="F2" s="82"/>
      <c r="G2" s="82"/>
      <c r="H2" s="82"/>
      <c r="I2" s="82"/>
      <c r="J2" s="83"/>
      <c r="K2" s="81" t="str">
        <f>IF(表紙!K2="","",表紙!K2)</f>
        <v>POSサーバー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20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2"/>
      <c r="AP2" s="81" t="str">
        <f>IF(表紙!AP2="","",表紙!AP2)</f>
        <v>SonMNT</v>
      </c>
      <c r="AQ2" s="82"/>
      <c r="AR2" s="82"/>
      <c r="AS2" s="83"/>
      <c r="AT2" s="110">
        <f>IF(表紙!AT2="","",表紙!AT2)</f>
        <v>45453</v>
      </c>
      <c r="AU2" s="111"/>
      <c r="AV2" s="111"/>
      <c r="AW2" s="111"/>
      <c r="AX2" s="112"/>
      <c r="AY2" s="81" t="str">
        <f>IF(表紙!AY2="","",表紙!AY2)</f>
        <v>DunT</v>
      </c>
      <c r="AZ2" s="82"/>
      <c r="BA2" s="82"/>
      <c r="BB2" s="83"/>
      <c r="BC2" s="110">
        <f>IF(表紙!BC2="","",表紙!BC2)</f>
        <v>45581</v>
      </c>
      <c r="BD2" s="111"/>
      <c r="BE2" s="111"/>
      <c r="BF2" s="111"/>
      <c r="BG2" s="112"/>
      <c r="BH2" s="81">
        <f>IF(表紙!BH2="","",表紙!BH2)</f>
        <v>0.21</v>
      </c>
      <c r="BI2" s="82"/>
      <c r="BJ2" s="82"/>
      <c r="BK2" s="83"/>
    </row>
    <row r="3" spans="1:63" ht="15" customHeight="1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123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5"/>
      <c r="AP3" s="87"/>
      <c r="AQ3" s="88"/>
      <c r="AR3" s="88"/>
      <c r="AS3" s="89"/>
      <c r="AT3" s="113"/>
      <c r="AU3" s="114"/>
      <c r="AV3" s="114"/>
      <c r="AW3" s="114"/>
      <c r="AX3" s="115"/>
      <c r="AY3" s="87"/>
      <c r="AZ3" s="88"/>
      <c r="BA3" s="88"/>
      <c r="BB3" s="89"/>
      <c r="BC3" s="113"/>
      <c r="BD3" s="114"/>
      <c r="BE3" s="114"/>
      <c r="BF3" s="114"/>
      <c r="BG3" s="115"/>
      <c r="BH3" s="87"/>
      <c r="BI3" s="88"/>
      <c r="BJ3" s="88"/>
      <c r="BK3" s="89"/>
    </row>
    <row r="4" spans="1:63" ht="24.95" customHeight="1">
      <c r="A4" s="96" t="s">
        <v>45</v>
      </c>
      <c r="B4" s="97"/>
      <c r="C4" s="97"/>
      <c r="D4" s="97"/>
      <c r="E4" s="97"/>
      <c r="F4" s="97"/>
      <c r="G4" s="98"/>
      <c r="H4" s="101" t="str">
        <f>IF(表紙!H4="","",表紙!H4)</f>
        <v>82_店舗マスタ設定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96" t="s">
        <v>46</v>
      </c>
      <c r="V4" s="97"/>
      <c r="W4" s="97"/>
      <c r="X4" s="97"/>
      <c r="Y4" s="98"/>
      <c r="Z4" s="101" t="str">
        <f>IF(表紙!Z4="","",表紙!Z4)</f>
        <v>概要設計書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1" t="str">
        <f t="array" aca="1" ref="AP4" ca="1">RIGHT(CELL("filename",$A$1),LEN(CELL("filename",$A$1))-FIND("]",CELL("filename",$A$1)))</f>
        <v>改訂履歴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3" ht="5.0999999999999996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>
      <c r="A6" s="22"/>
      <c r="BK6" s="23"/>
    </row>
    <row r="7" spans="1:63" ht="15" customHeight="1">
      <c r="A7" s="22"/>
      <c r="BK7" s="23"/>
    </row>
    <row r="8" spans="1:63" ht="15" customHeight="1">
      <c r="A8" s="22"/>
      <c r="B8" s="18" t="s">
        <v>9</v>
      </c>
      <c r="BK8" s="23"/>
    </row>
    <row r="9" spans="1:63" ht="15" customHeight="1">
      <c r="A9" s="22"/>
      <c r="BK9" s="23"/>
    </row>
    <row r="10" spans="1:63" ht="15" customHeight="1">
      <c r="A10" s="22"/>
      <c r="B10" s="138" t="s">
        <v>42</v>
      </c>
      <c r="C10" s="138"/>
      <c r="D10" s="138"/>
      <c r="E10" s="138"/>
      <c r="F10" s="138"/>
      <c r="G10" s="138"/>
      <c r="H10" s="138" t="s">
        <v>41</v>
      </c>
      <c r="I10" s="138"/>
      <c r="J10" s="138"/>
      <c r="K10" s="138"/>
      <c r="L10" s="138"/>
      <c r="M10" s="138"/>
      <c r="N10" s="138"/>
      <c r="O10" s="138" t="s">
        <v>43</v>
      </c>
      <c r="P10" s="138"/>
      <c r="Q10" s="138"/>
      <c r="R10" s="138"/>
      <c r="S10" s="138" t="s">
        <v>50</v>
      </c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 t="s">
        <v>48</v>
      </c>
      <c r="AY10" s="138"/>
      <c r="AZ10" s="138"/>
      <c r="BA10" s="138"/>
      <c r="BB10" s="138"/>
      <c r="BC10" s="138"/>
      <c r="BD10" s="138" t="s">
        <v>49</v>
      </c>
      <c r="BE10" s="138"/>
      <c r="BF10" s="138"/>
      <c r="BG10" s="138"/>
      <c r="BH10" s="138"/>
      <c r="BI10" s="138"/>
      <c r="BJ10" s="138"/>
      <c r="BK10" s="23"/>
    </row>
    <row r="11" spans="1:63" ht="15" customHeight="1">
      <c r="A11" s="22"/>
      <c r="B11" s="110">
        <v>45453</v>
      </c>
      <c r="C11" s="82"/>
      <c r="D11" s="82"/>
      <c r="E11" s="82"/>
      <c r="F11" s="82"/>
      <c r="G11" s="83"/>
      <c r="H11" s="116" t="s">
        <v>51</v>
      </c>
      <c r="I11" s="82"/>
      <c r="J11" s="82"/>
      <c r="K11" s="82"/>
      <c r="L11" s="82"/>
      <c r="M11" s="82"/>
      <c r="N11" s="83"/>
      <c r="O11" s="81">
        <v>0.1</v>
      </c>
      <c r="P11" s="82"/>
      <c r="Q11" s="82"/>
      <c r="R11" s="82"/>
      <c r="S11" s="126" t="s">
        <v>15</v>
      </c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8"/>
      <c r="AX11" s="129"/>
      <c r="AY11" s="129"/>
      <c r="AZ11" s="129"/>
      <c r="BA11" s="129"/>
      <c r="BB11" s="129"/>
      <c r="BC11" s="130"/>
      <c r="BD11" s="133"/>
      <c r="BE11" s="129"/>
      <c r="BF11" s="129"/>
      <c r="BG11" s="129"/>
      <c r="BH11" s="129"/>
      <c r="BI11" s="129"/>
      <c r="BJ11" s="130"/>
      <c r="BK11" s="23"/>
    </row>
    <row r="12" spans="1:63" ht="15" customHeight="1">
      <c r="A12" s="22"/>
      <c r="B12" s="87"/>
      <c r="C12" s="88"/>
      <c r="D12" s="88"/>
      <c r="E12" s="88"/>
      <c r="F12" s="88"/>
      <c r="G12" s="89"/>
      <c r="H12" s="87"/>
      <c r="I12" s="88"/>
      <c r="J12" s="88"/>
      <c r="K12" s="88"/>
      <c r="L12" s="88"/>
      <c r="M12" s="88"/>
      <c r="N12" s="89"/>
      <c r="O12" s="87"/>
      <c r="P12" s="88"/>
      <c r="Q12" s="88"/>
      <c r="R12" s="88"/>
      <c r="S12" s="135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7"/>
      <c r="AX12" s="131"/>
      <c r="AY12" s="131"/>
      <c r="AZ12" s="131"/>
      <c r="BA12" s="131"/>
      <c r="BB12" s="131"/>
      <c r="BC12" s="132"/>
      <c r="BD12" s="134"/>
      <c r="BE12" s="131"/>
      <c r="BF12" s="131"/>
      <c r="BG12" s="131"/>
      <c r="BH12" s="131"/>
      <c r="BI12" s="131"/>
      <c r="BJ12" s="132"/>
      <c r="BK12" s="23"/>
    </row>
    <row r="13" spans="1:63" ht="15" customHeight="1">
      <c r="A13" s="22"/>
      <c r="B13" s="155">
        <v>45551</v>
      </c>
      <c r="C13" s="156"/>
      <c r="D13" s="156"/>
      <c r="E13" s="156"/>
      <c r="F13" s="156"/>
      <c r="G13" s="157"/>
      <c r="H13" s="161" t="s">
        <v>77</v>
      </c>
      <c r="I13" s="156"/>
      <c r="J13" s="156"/>
      <c r="K13" s="156"/>
      <c r="L13" s="156"/>
      <c r="M13" s="156"/>
      <c r="N13" s="157"/>
      <c r="O13" s="161">
        <v>0.2</v>
      </c>
      <c r="P13" s="156"/>
      <c r="Q13" s="156"/>
      <c r="R13" s="156"/>
      <c r="S13" s="162" t="s">
        <v>78</v>
      </c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4"/>
      <c r="AX13" s="129"/>
      <c r="AY13" s="129"/>
      <c r="AZ13" s="129"/>
      <c r="BA13" s="129"/>
      <c r="BB13" s="129"/>
      <c r="BC13" s="130"/>
      <c r="BD13" s="133"/>
      <c r="BE13" s="129"/>
      <c r="BF13" s="129"/>
      <c r="BG13" s="129"/>
      <c r="BH13" s="129"/>
      <c r="BI13" s="129"/>
      <c r="BJ13" s="130"/>
      <c r="BK13" s="23"/>
    </row>
    <row r="14" spans="1:63" ht="15" customHeight="1">
      <c r="A14" s="22"/>
      <c r="B14" s="158"/>
      <c r="C14" s="159"/>
      <c r="D14" s="159"/>
      <c r="E14" s="159"/>
      <c r="F14" s="159"/>
      <c r="G14" s="160"/>
      <c r="H14" s="158"/>
      <c r="I14" s="159"/>
      <c r="J14" s="159"/>
      <c r="K14" s="159"/>
      <c r="L14" s="159"/>
      <c r="M14" s="159"/>
      <c r="N14" s="160"/>
      <c r="O14" s="158"/>
      <c r="P14" s="159"/>
      <c r="Q14" s="159"/>
      <c r="R14" s="159"/>
      <c r="S14" s="139" t="s">
        <v>79</v>
      </c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1"/>
      <c r="AX14" s="131"/>
      <c r="AY14" s="131"/>
      <c r="AZ14" s="131"/>
      <c r="BA14" s="131"/>
      <c r="BB14" s="131"/>
      <c r="BC14" s="132"/>
      <c r="BD14" s="134"/>
      <c r="BE14" s="131"/>
      <c r="BF14" s="131"/>
      <c r="BG14" s="131"/>
      <c r="BH14" s="131"/>
      <c r="BI14" s="131"/>
      <c r="BJ14" s="132"/>
      <c r="BK14" s="23"/>
    </row>
    <row r="15" spans="1:63" ht="15" customHeight="1">
      <c r="A15" s="22"/>
      <c r="B15" s="142">
        <v>45581</v>
      </c>
      <c r="C15" s="143"/>
      <c r="D15" s="143"/>
      <c r="E15" s="143"/>
      <c r="F15" s="143"/>
      <c r="G15" s="144"/>
      <c r="H15" s="148" t="s">
        <v>80</v>
      </c>
      <c r="I15" s="143"/>
      <c r="J15" s="143"/>
      <c r="K15" s="143"/>
      <c r="L15" s="143"/>
      <c r="M15" s="143"/>
      <c r="N15" s="144"/>
      <c r="O15" s="148">
        <v>0.21</v>
      </c>
      <c r="P15" s="143"/>
      <c r="Q15" s="143"/>
      <c r="R15" s="143"/>
      <c r="S15" s="149" t="s">
        <v>78</v>
      </c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1"/>
      <c r="AX15" s="129"/>
      <c r="AY15" s="129"/>
      <c r="AZ15" s="129"/>
      <c r="BA15" s="129"/>
      <c r="BB15" s="129"/>
      <c r="BC15" s="130"/>
      <c r="BD15" s="133"/>
      <c r="BE15" s="129"/>
      <c r="BF15" s="129"/>
      <c r="BG15" s="129"/>
      <c r="BH15" s="129"/>
      <c r="BI15" s="129"/>
      <c r="BJ15" s="130"/>
      <c r="BK15" s="23"/>
    </row>
    <row r="16" spans="1:63" ht="15" customHeight="1">
      <c r="A16" s="22"/>
      <c r="B16" s="145"/>
      <c r="C16" s="146"/>
      <c r="D16" s="146"/>
      <c r="E16" s="146"/>
      <c r="F16" s="146"/>
      <c r="G16" s="147"/>
      <c r="H16" s="145"/>
      <c r="I16" s="146"/>
      <c r="J16" s="146"/>
      <c r="K16" s="146"/>
      <c r="L16" s="146"/>
      <c r="M16" s="146"/>
      <c r="N16" s="147"/>
      <c r="O16" s="145"/>
      <c r="P16" s="146"/>
      <c r="Q16" s="146"/>
      <c r="R16" s="146"/>
      <c r="S16" s="152" t="s">
        <v>81</v>
      </c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4"/>
      <c r="AX16" s="131"/>
      <c r="AY16" s="131"/>
      <c r="AZ16" s="131"/>
      <c r="BA16" s="131"/>
      <c r="BB16" s="131"/>
      <c r="BC16" s="132"/>
      <c r="BD16" s="134"/>
      <c r="BE16" s="131"/>
      <c r="BF16" s="131"/>
      <c r="BG16" s="131"/>
      <c r="BH16" s="131"/>
      <c r="BI16" s="131"/>
      <c r="BJ16" s="132"/>
      <c r="BK16" s="23"/>
    </row>
    <row r="17" spans="1:63" ht="15" customHeight="1">
      <c r="A17" s="22"/>
      <c r="B17" s="81"/>
      <c r="C17" s="82"/>
      <c r="D17" s="82"/>
      <c r="E17" s="82"/>
      <c r="F17" s="82"/>
      <c r="G17" s="83"/>
      <c r="H17" s="81"/>
      <c r="I17" s="82"/>
      <c r="J17" s="82"/>
      <c r="K17" s="82"/>
      <c r="L17" s="82"/>
      <c r="M17" s="82"/>
      <c r="N17" s="83"/>
      <c r="O17" s="81"/>
      <c r="P17" s="82"/>
      <c r="Q17" s="82"/>
      <c r="R17" s="82"/>
      <c r="S17" s="126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8"/>
      <c r="AX17" s="129"/>
      <c r="AY17" s="129"/>
      <c r="AZ17" s="129"/>
      <c r="BA17" s="129"/>
      <c r="BB17" s="129"/>
      <c r="BC17" s="130"/>
      <c r="BD17" s="133"/>
      <c r="BE17" s="129"/>
      <c r="BF17" s="129"/>
      <c r="BG17" s="129"/>
      <c r="BH17" s="129"/>
      <c r="BI17" s="129"/>
      <c r="BJ17" s="130"/>
      <c r="BK17" s="23"/>
    </row>
    <row r="18" spans="1:63" ht="15" customHeight="1">
      <c r="A18" s="22"/>
      <c r="B18" s="87"/>
      <c r="C18" s="88"/>
      <c r="D18" s="88"/>
      <c r="E18" s="88"/>
      <c r="F18" s="88"/>
      <c r="G18" s="89"/>
      <c r="H18" s="87"/>
      <c r="I18" s="88"/>
      <c r="J18" s="88"/>
      <c r="K18" s="88"/>
      <c r="L18" s="88"/>
      <c r="M18" s="88"/>
      <c r="N18" s="89"/>
      <c r="O18" s="87"/>
      <c r="P18" s="88"/>
      <c r="Q18" s="88"/>
      <c r="R18" s="88"/>
      <c r="S18" s="135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7"/>
      <c r="AX18" s="131"/>
      <c r="AY18" s="131"/>
      <c r="AZ18" s="131"/>
      <c r="BA18" s="131"/>
      <c r="BB18" s="131"/>
      <c r="BC18" s="132"/>
      <c r="BD18" s="134"/>
      <c r="BE18" s="131"/>
      <c r="BF18" s="131"/>
      <c r="BG18" s="131"/>
      <c r="BH18" s="131"/>
      <c r="BI18" s="131"/>
      <c r="BJ18" s="132"/>
      <c r="BK18" s="23"/>
    </row>
    <row r="19" spans="1:63" ht="15" customHeight="1">
      <c r="A19" s="22"/>
      <c r="B19" s="81"/>
      <c r="C19" s="82"/>
      <c r="D19" s="82"/>
      <c r="E19" s="82"/>
      <c r="F19" s="82"/>
      <c r="G19" s="83"/>
      <c r="H19" s="81"/>
      <c r="I19" s="82"/>
      <c r="J19" s="82"/>
      <c r="K19" s="82"/>
      <c r="L19" s="82"/>
      <c r="M19" s="82"/>
      <c r="N19" s="83"/>
      <c r="O19" s="81"/>
      <c r="P19" s="82"/>
      <c r="Q19" s="82"/>
      <c r="R19" s="82"/>
      <c r="S19" s="126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8"/>
      <c r="AX19" s="129"/>
      <c r="AY19" s="129"/>
      <c r="AZ19" s="129"/>
      <c r="BA19" s="129"/>
      <c r="BB19" s="129"/>
      <c r="BC19" s="130"/>
      <c r="BD19" s="133"/>
      <c r="BE19" s="129"/>
      <c r="BF19" s="129"/>
      <c r="BG19" s="129"/>
      <c r="BH19" s="129"/>
      <c r="BI19" s="129"/>
      <c r="BJ19" s="130"/>
      <c r="BK19" s="23"/>
    </row>
    <row r="20" spans="1:63" ht="15" customHeight="1">
      <c r="A20" s="22"/>
      <c r="B20" s="87"/>
      <c r="C20" s="88"/>
      <c r="D20" s="88"/>
      <c r="E20" s="88"/>
      <c r="F20" s="88"/>
      <c r="G20" s="89"/>
      <c r="H20" s="87"/>
      <c r="I20" s="88"/>
      <c r="J20" s="88"/>
      <c r="K20" s="88"/>
      <c r="L20" s="88"/>
      <c r="M20" s="88"/>
      <c r="N20" s="89"/>
      <c r="O20" s="87"/>
      <c r="P20" s="88"/>
      <c r="Q20" s="88"/>
      <c r="R20" s="88"/>
      <c r="S20" s="135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7"/>
      <c r="AX20" s="131"/>
      <c r="AY20" s="131"/>
      <c r="AZ20" s="131"/>
      <c r="BA20" s="131"/>
      <c r="BB20" s="131"/>
      <c r="BC20" s="132"/>
      <c r="BD20" s="134"/>
      <c r="BE20" s="131"/>
      <c r="BF20" s="131"/>
      <c r="BG20" s="131"/>
      <c r="BH20" s="131"/>
      <c r="BI20" s="131"/>
      <c r="BJ20" s="132"/>
      <c r="BK20" s="23"/>
    </row>
    <row r="21" spans="1:63" ht="15" customHeight="1">
      <c r="A21" s="22"/>
      <c r="B21" s="81"/>
      <c r="C21" s="82"/>
      <c r="D21" s="82"/>
      <c r="E21" s="82"/>
      <c r="F21" s="82"/>
      <c r="G21" s="83"/>
      <c r="H21" s="81"/>
      <c r="I21" s="82"/>
      <c r="J21" s="82"/>
      <c r="K21" s="82"/>
      <c r="L21" s="82"/>
      <c r="M21" s="82"/>
      <c r="N21" s="83"/>
      <c r="O21" s="81"/>
      <c r="P21" s="82"/>
      <c r="Q21" s="82"/>
      <c r="R21" s="82"/>
      <c r="S21" s="126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8"/>
      <c r="AX21" s="129"/>
      <c r="AY21" s="129"/>
      <c r="AZ21" s="129"/>
      <c r="BA21" s="129"/>
      <c r="BB21" s="129"/>
      <c r="BC21" s="130"/>
      <c r="BD21" s="133"/>
      <c r="BE21" s="129"/>
      <c r="BF21" s="129"/>
      <c r="BG21" s="129"/>
      <c r="BH21" s="129"/>
      <c r="BI21" s="129"/>
      <c r="BJ21" s="130"/>
      <c r="BK21" s="23"/>
    </row>
    <row r="22" spans="1:63" ht="15" customHeight="1">
      <c r="A22" s="22"/>
      <c r="B22" s="87"/>
      <c r="C22" s="88"/>
      <c r="D22" s="88"/>
      <c r="E22" s="88"/>
      <c r="F22" s="88"/>
      <c r="G22" s="89"/>
      <c r="H22" s="87"/>
      <c r="I22" s="88"/>
      <c r="J22" s="88"/>
      <c r="K22" s="88"/>
      <c r="L22" s="88"/>
      <c r="M22" s="88"/>
      <c r="N22" s="89"/>
      <c r="O22" s="87"/>
      <c r="P22" s="88"/>
      <c r="Q22" s="88"/>
      <c r="R22" s="88"/>
      <c r="S22" s="135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7"/>
      <c r="AX22" s="131"/>
      <c r="AY22" s="131"/>
      <c r="AZ22" s="131"/>
      <c r="BA22" s="131"/>
      <c r="BB22" s="131"/>
      <c r="BC22" s="132"/>
      <c r="BD22" s="134"/>
      <c r="BE22" s="131"/>
      <c r="BF22" s="131"/>
      <c r="BG22" s="131"/>
      <c r="BH22" s="131"/>
      <c r="BI22" s="131"/>
      <c r="BJ22" s="132"/>
      <c r="BK22" s="23"/>
    </row>
    <row r="23" spans="1:63" ht="15" customHeight="1">
      <c r="A23" s="22"/>
      <c r="B23" s="81"/>
      <c r="C23" s="82"/>
      <c r="D23" s="82"/>
      <c r="E23" s="82"/>
      <c r="F23" s="82"/>
      <c r="G23" s="83"/>
      <c r="H23" s="81"/>
      <c r="I23" s="82"/>
      <c r="J23" s="82"/>
      <c r="K23" s="82"/>
      <c r="L23" s="82"/>
      <c r="M23" s="82"/>
      <c r="N23" s="83"/>
      <c r="O23" s="81"/>
      <c r="P23" s="82"/>
      <c r="Q23" s="82"/>
      <c r="R23" s="82"/>
      <c r="S23" s="126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8"/>
      <c r="AX23" s="129"/>
      <c r="AY23" s="129"/>
      <c r="AZ23" s="129"/>
      <c r="BA23" s="129"/>
      <c r="BB23" s="129"/>
      <c r="BC23" s="130"/>
      <c r="BD23" s="133"/>
      <c r="BE23" s="129"/>
      <c r="BF23" s="129"/>
      <c r="BG23" s="129"/>
      <c r="BH23" s="129"/>
      <c r="BI23" s="129"/>
      <c r="BJ23" s="130"/>
      <c r="BK23" s="23"/>
    </row>
    <row r="24" spans="1:63" ht="15" customHeight="1">
      <c r="A24" s="22"/>
      <c r="B24" s="87"/>
      <c r="C24" s="88"/>
      <c r="D24" s="88"/>
      <c r="E24" s="88"/>
      <c r="F24" s="88"/>
      <c r="G24" s="89"/>
      <c r="H24" s="87"/>
      <c r="I24" s="88"/>
      <c r="J24" s="88"/>
      <c r="K24" s="88"/>
      <c r="L24" s="88"/>
      <c r="M24" s="88"/>
      <c r="N24" s="89"/>
      <c r="O24" s="87"/>
      <c r="P24" s="88"/>
      <c r="Q24" s="88"/>
      <c r="R24" s="88"/>
      <c r="S24" s="135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7"/>
      <c r="AX24" s="131"/>
      <c r="AY24" s="131"/>
      <c r="AZ24" s="131"/>
      <c r="BA24" s="131"/>
      <c r="BB24" s="131"/>
      <c r="BC24" s="132"/>
      <c r="BD24" s="134"/>
      <c r="BE24" s="131"/>
      <c r="BF24" s="131"/>
      <c r="BG24" s="131"/>
      <c r="BH24" s="131"/>
      <c r="BI24" s="131"/>
      <c r="BJ24" s="132"/>
      <c r="BK24" s="23"/>
    </row>
    <row r="25" spans="1:63" ht="15" customHeight="1">
      <c r="A25" s="22"/>
      <c r="B25" s="81"/>
      <c r="C25" s="82"/>
      <c r="D25" s="82"/>
      <c r="E25" s="82"/>
      <c r="F25" s="82"/>
      <c r="G25" s="83"/>
      <c r="H25" s="81"/>
      <c r="I25" s="82"/>
      <c r="J25" s="82"/>
      <c r="K25" s="82"/>
      <c r="L25" s="82"/>
      <c r="M25" s="82"/>
      <c r="N25" s="83"/>
      <c r="O25" s="81"/>
      <c r="P25" s="82"/>
      <c r="Q25" s="82"/>
      <c r="R25" s="82"/>
      <c r="S25" s="126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8"/>
      <c r="AX25" s="129"/>
      <c r="AY25" s="129"/>
      <c r="AZ25" s="129"/>
      <c r="BA25" s="129"/>
      <c r="BB25" s="129"/>
      <c r="BC25" s="130"/>
      <c r="BD25" s="133"/>
      <c r="BE25" s="129"/>
      <c r="BF25" s="129"/>
      <c r="BG25" s="129"/>
      <c r="BH25" s="129"/>
      <c r="BI25" s="129"/>
      <c r="BJ25" s="130"/>
      <c r="BK25" s="23"/>
    </row>
    <row r="26" spans="1:63" ht="15" customHeight="1">
      <c r="A26" s="22"/>
      <c r="B26" s="87"/>
      <c r="C26" s="88"/>
      <c r="D26" s="88"/>
      <c r="E26" s="88"/>
      <c r="F26" s="88"/>
      <c r="G26" s="89"/>
      <c r="H26" s="87"/>
      <c r="I26" s="88"/>
      <c r="J26" s="88"/>
      <c r="K26" s="88"/>
      <c r="L26" s="88"/>
      <c r="M26" s="88"/>
      <c r="N26" s="89"/>
      <c r="O26" s="87"/>
      <c r="P26" s="88"/>
      <c r="Q26" s="88"/>
      <c r="R26" s="88"/>
      <c r="S26" s="135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7"/>
      <c r="AX26" s="131"/>
      <c r="AY26" s="131"/>
      <c r="AZ26" s="131"/>
      <c r="BA26" s="131"/>
      <c r="BB26" s="131"/>
      <c r="BC26" s="132"/>
      <c r="BD26" s="134"/>
      <c r="BE26" s="131"/>
      <c r="BF26" s="131"/>
      <c r="BG26" s="131"/>
      <c r="BH26" s="131"/>
      <c r="BI26" s="131"/>
      <c r="BJ26" s="132"/>
      <c r="BK26" s="23"/>
    </row>
    <row r="27" spans="1:63" ht="15" customHeight="1">
      <c r="A27" s="22"/>
      <c r="B27" s="81"/>
      <c r="C27" s="82"/>
      <c r="D27" s="82"/>
      <c r="E27" s="82"/>
      <c r="F27" s="82"/>
      <c r="G27" s="83"/>
      <c r="H27" s="81"/>
      <c r="I27" s="82"/>
      <c r="J27" s="82"/>
      <c r="K27" s="82"/>
      <c r="L27" s="82"/>
      <c r="M27" s="82"/>
      <c r="N27" s="83"/>
      <c r="O27" s="81"/>
      <c r="P27" s="82"/>
      <c r="Q27" s="82"/>
      <c r="R27" s="82"/>
      <c r="S27" s="126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8"/>
      <c r="AX27" s="129"/>
      <c r="AY27" s="129"/>
      <c r="AZ27" s="129"/>
      <c r="BA27" s="129"/>
      <c r="BB27" s="129"/>
      <c r="BC27" s="130"/>
      <c r="BD27" s="133"/>
      <c r="BE27" s="129"/>
      <c r="BF27" s="129"/>
      <c r="BG27" s="129"/>
      <c r="BH27" s="129"/>
      <c r="BI27" s="129"/>
      <c r="BJ27" s="130"/>
      <c r="BK27" s="23"/>
    </row>
    <row r="28" spans="1:63" ht="15" customHeight="1">
      <c r="A28" s="22"/>
      <c r="B28" s="87"/>
      <c r="C28" s="88"/>
      <c r="D28" s="88"/>
      <c r="E28" s="88"/>
      <c r="F28" s="88"/>
      <c r="G28" s="89"/>
      <c r="H28" s="87"/>
      <c r="I28" s="88"/>
      <c r="J28" s="88"/>
      <c r="K28" s="88"/>
      <c r="L28" s="88"/>
      <c r="M28" s="88"/>
      <c r="N28" s="89"/>
      <c r="O28" s="87"/>
      <c r="P28" s="88"/>
      <c r="Q28" s="88"/>
      <c r="R28" s="88"/>
      <c r="S28" s="135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7"/>
      <c r="AX28" s="131"/>
      <c r="AY28" s="131"/>
      <c r="AZ28" s="131"/>
      <c r="BA28" s="131"/>
      <c r="BB28" s="131"/>
      <c r="BC28" s="132"/>
      <c r="BD28" s="134"/>
      <c r="BE28" s="131"/>
      <c r="BF28" s="131"/>
      <c r="BG28" s="131"/>
      <c r="BH28" s="131"/>
      <c r="BI28" s="131"/>
      <c r="BJ28" s="132"/>
      <c r="BK28" s="23"/>
    </row>
    <row r="29" spans="1:63" ht="15" customHeight="1">
      <c r="A29" s="22"/>
      <c r="B29" s="81"/>
      <c r="C29" s="82"/>
      <c r="D29" s="82"/>
      <c r="E29" s="82"/>
      <c r="F29" s="82"/>
      <c r="G29" s="83"/>
      <c r="H29" s="81"/>
      <c r="I29" s="82"/>
      <c r="J29" s="82"/>
      <c r="K29" s="82"/>
      <c r="L29" s="82"/>
      <c r="M29" s="82"/>
      <c r="N29" s="83"/>
      <c r="O29" s="81"/>
      <c r="P29" s="82"/>
      <c r="Q29" s="82"/>
      <c r="R29" s="82"/>
      <c r="S29" s="126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8"/>
      <c r="AX29" s="129"/>
      <c r="AY29" s="129"/>
      <c r="AZ29" s="129"/>
      <c r="BA29" s="129"/>
      <c r="BB29" s="129"/>
      <c r="BC29" s="130"/>
      <c r="BD29" s="133"/>
      <c r="BE29" s="129"/>
      <c r="BF29" s="129"/>
      <c r="BG29" s="129"/>
      <c r="BH29" s="129"/>
      <c r="BI29" s="129"/>
      <c r="BJ29" s="130"/>
      <c r="BK29" s="23"/>
    </row>
    <row r="30" spans="1:63" ht="15" customHeight="1">
      <c r="A30" s="22"/>
      <c r="B30" s="87"/>
      <c r="C30" s="88"/>
      <c r="D30" s="88"/>
      <c r="E30" s="88"/>
      <c r="F30" s="88"/>
      <c r="G30" s="89"/>
      <c r="H30" s="87"/>
      <c r="I30" s="88"/>
      <c r="J30" s="88"/>
      <c r="K30" s="88"/>
      <c r="L30" s="88"/>
      <c r="M30" s="88"/>
      <c r="N30" s="89"/>
      <c r="O30" s="87"/>
      <c r="P30" s="88"/>
      <c r="Q30" s="88"/>
      <c r="R30" s="88"/>
      <c r="S30" s="135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7"/>
      <c r="AX30" s="131"/>
      <c r="AY30" s="131"/>
      <c r="AZ30" s="131"/>
      <c r="BA30" s="131"/>
      <c r="BB30" s="131"/>
      <c r="BC30" s="132"/>
      <c r="BD30" s="134"/>
      <c r="BE30" s="131"/>
      <c r="BF30" s="131"/>
      <c r="BG30" s="131"/>
      <c r="BH30" s="131"/>
      <c r="BI30" s="131"/>
      <c r="BJ30" s="132"/>
      <c r="BK30" s="23"/>
    </row>
    <row r="31" spans="1:63" ht="15" customHeight="1">
      <c r="A31" s="22"/>
      <c r="B31" s="81"/>
      <c r="C31" s="82"/>
      <c r="D31" s="82"/>
      <c r="E31" s="82"/>
      <c r="F31" s="82"/>
      <c r="G31" s="83"/>
      <c r="H31" s="81"/>
      <c r="I31" s="82"/>
      <c r="J31" s="82"/>
      <c r="K31" s="82"/>
      <c r="L31" s="82"/>
      <c r="M31" s="82"/>
      <c r="N31" s="83"/>
      <c r="O31" s="81"/>
      <c r="P31" s="82"/>
      <c r="Q31" s="82"/>
      <c r="R31" s="82"/>
      <c r="S31" s="126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8"/>
      <c r="AX31" s="129"/>
      <c r="AY31" s="129"/>
      <c r="AZ31" s="129"/>
      <c r="BA31" s="129"/>
      <c r="BB31" s="129"/>
      <c r="BC31" s="130"/>
      <c r="BD31" s="133"/>
      <c r="BE31" s="129"/>
      <c r="BF31" s="129"/>
      <c r="BG31" s="129"/>
      <c r="BH31" s="129"/>
      <c r="BI31" s="129"/>
      <c r="BJ31" s="130"/>
      <c r="BK31" s="23"/>
    </row>
    <row r="32" spans="1:63" ht="15" customHeight="1">
      <c r="A32" s="22"/>
      <c r="B32" s="87"/>
      <c r="C32" s="88"/>
      <c r="D32" s="88"/>
      <c r="E32" s="88"/>
      <c r="F32" s="88"/>
      <c r="G32" s="89"/>
      <c r="H32" s="87"/>
      <c r="I32" s="88"/>
      <c r="J32" s="88"/>
      <c r="K32" s="88"/>
      <c r="L32" s="88"/>
      <c r="M32" s="88"/>
      <c r="N32" s="89"/>
      <c r="O32" s="87"/>
      <c r="P32" s="88"/>
      <c r="Q32" s="88"/>
      <c r="R32" s="88"/>
      <c r="S32" s="135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7"/>
      <c r="AX32" s="131"/>
      <c r="AY32" s="131"/>
      <c r="AZ32" s="131"/>
      <c r="BA32" s="131"/>
      <c r="BB32" s="131"/>
      <c r="BC32" s="132"/>
      <c r="BD32" s="134"/>
      <c r="BE32" s="131"/>
      <c r="BF32" s="131"/>
      <c r="BG32" s="131"/>
      <c r="BH32" s="131"/>
      <c r="BI32" s="131"/>
      <c r="BJ32" s="132"/>
      <c r="BK32" s="23"/>
    </row>
    <row r="33" spans="1:63" ht="15" customHeight="1">
      <c r="A33" s="22"/>
      <c r="B33" s="81"/>
      <c r="C33" s="82"/>
      <c r="D33" s="82"/>
      <c r="E33" s="82"/>
      <c r="F33" s="82"/>
      <c r="G33" s="83"/>
      <c r="H33" s="81"/>
      <c r="I33" s="82"/>
      <c r="J33" s="82"/>
      <c r="K33" s="82"/>
      <c r="L33" s="82"/>
      <c r="M33" s="82"/>
      <c r="N33" s="83"/>
      <c r="O33" s="81"/>
      <c r="P33" s="82"/>
      <c r="Q33" s="82"/>
      <c r="R33" s="82"/>
      <c r="S33" s="126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8"/>
      <c r="AX33" s="129"/>
      <c r="AY33" s="129"/>
      <c r="AZ33" s="129"/>
      <c r="BA33" s="129"/>
      <c r="BB33" s="129"/>
      <c r="BC33" s="130"/>
      <c r="BD33" s="133"/>
      <c r="BE33" s="129"/>
      <c r="BF33" s="129"/>
      <c r="BG33" s="129"/>
      <c r="BH33" s="129"/>
      <c r="BI33" s="129"/>
      <c r="BJ33" s="130"/>
      <c r="BK33" s="23"/>
    </row>
    <row r="34" spans="1:63" ht="15" customHeight="1">
      <c r="A34" s="22"/>
      <c r="B34" s="87"/>
      <c r="C34" s="88"/>
      <c r="D34" s="88"/>
      <c r="E34" s="88"/>
      <c r="F34" s="88"/>
      <c r="G34" s="89"/>
      <c r="H34" s="87"/>
      <c r="I34" s="88"/>
      <c r="J34" s="88"/>
      <c r="K34" s="88"/>
      <c r="L34" s="88"/>
      <c r="M34" s="88"/>
      <c r="N34" s="89"/>
      <c r="O34" s="87"/>
      <c r="P34" s="88"/>
      <c r="Q34" s="88"/>
      <c r="R34" s="88"/>
      <c r="S34" s="135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7"/>
      <c r="AX34" s="131"/>
      <c r="AY34" s="131"/>
      <c r="AZ34" s="131"/>
      <c r="BA34" s="131"/>
      <c r="BB34" s="131"/>
      <c r="BC34" s="132"/>
      <c r="BD34" s="134"/>
      <c r="BE34" s="131"/>
      <c r="BF34" s="131"/>
      <c r="BG34" s="131"/>
      <c r="BH34" s="131"/>
      <c r="BI34" s="131"/>
      <c r="BJ34" s="132"/>
      <c r="BK34" s="23"/>
    </row>
    <row r="35" spans="1:63" ht="15" customHeight="1">
      <c r="A35" s="22"/>
      <c r="B35" s="81"/>
      <c r="C35" s="82"/>
      <c r="D35" s="82"/>
      <c r="E35" s="82"/>
      <c r="F35" s="82"/>
      <c r="G35" s="83"/>
      <c r="H35" s="81"/>
      <c r="I35" s="82"/>
      <c r="J35" s="82"/>
      <c r="K35" s="82"/>
      <c r="L35" s="82"/>
      <c r="M35" s="82"/>
      <c r="N35" s="83"/>
      <c r="O35" s="81"/>
      <c r="P35" s="82"/>
      <c r="Q35" s="82"/>
      <c r="R35" s="82"/>
      <c r="S35" s="126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8"/>
      <c r="AX35" s="129"/>
      <c r="AY35" s="129"/>
      <c r="AZ35" s="129"/>
      <c r="BA35" s="129"/>
      <c r="BB35" s="129"/>
      <c r="BC35" s="130"/>
      <c r="BD35" s="133"/>
      <c r="BE35" s="129"/>
      <c r="BF35" s="129"/>
      <c r="BG35" s="129"/>
      <c r="BH35" s="129"/>
      <c r="BI35" s="129"/>
      <c r="BJ35" s="130"/>
      <c r="BK35" s="23"/>
    </row>
    <row r="36" spans="1:63" ht="15" customHeight="1">
      <c r="A36" s="22"/>
      <c r="B36" s="87"/>
      <c r="C36" s="88"/>
      <c r="D36" s="88"/>
      <c r="E36" s="88"/>
      <c r="F36" s="88"/>
      <c r="G36" s="89"/>
      <c r="H36" s="87"/>
      <c r="I36" s="88"/>
      <c r="J36" s="88"/>
      <c r="K36" s="88"/>
      <c r="L36" s="88"/>
      <c r="M36" s="88"/>
      <c r="N36" s="89"/>
      <c r="O36" s="87"/>
      <c r="P36" s="88"/>
      <c r="Q36" s="88"/>
      <c r="R36" s="88"/>
      <c r="S36" s="135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7"/>
      <c r="AX36" s="131"/>
      <c r="AY36" s="131"/>
      <c r="AZ36" s="131"/>
      <c r="BA36" s="131"/>
      <c r="BB36" s="131"/>
      <c r="BC36" s="132"/>
      <c r="BD36" s="134"/>
      <c r="BE36" s="131"/>
      <c r="BF36" s="131"/>
      <c r="BG36" s="131"/>
      <c r="BH36" s="131"/>
      <c r="BI36" s="131"/>
      <c r="BJ36" s="132"/>
      <c r="BK36" s="23"/>
    </row>
    <row r="37" spans="1:63" ht="15" customHeight="1">
      <c r="A37" s="22"/>
      <c r="B37" s="81"/>
      <c r="C37" s="82"/>
      <c r="D37" s="82"/>
      <c r="E37" s="82"/>
      <c r="F37" s="82"/>
      <c r="G37" s="83"/>
      <c r="H37" s="81"/>
      <c r="I37" s="82"/>
      <c r="J37" s="82"/>
      <c r="K37" s="82"/>
      <c r="L37" s="82"/>
      <c r="M37" s="82"/>
      <c r="N37" s="83"/>
      <c r="O37" s="81"/>
      <c r="P37" s="82"/>
      <c r="Q37" s="82"/>
      <c r="R37" s="82"/>
      <c r="S37" s="126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8"/>
      <c r="AX37" s="129"/>
      <c r="AY37" s="129"/>
      <c r="AZ37" s="129"/>
      <c r="BA37" s="129"/>
      <c r="BB37" s="129"/>
      <c r="BC37" s="130"/>
      <c r="BD37" s="133"/>
      <c r="BE37" s="129"/>
      <c r="BF37" s="129"/>
      <c r="BG37" s="129"/>
      <c r="BH37" s="129"/>
      <c r="BI37" s="129"/>
      <c r="BJ37" s="130"/>
      <c r="BK37" s="23"/>
    </row>
    <row r="38" spans="1:63" ht="15" customHeight="1">
      <c r="A38" s="22"/>
      <c r="B38" s="87"/>
      <c r="C38" s="88"/>
      <c r="D38" s="88"/>
      <c r="E38" s="88"/>
      <c r="F38" s="88"/>
      <c r="G38" s="89"/>
      <c r="H38" s="87"/>
      <c r="I38" s="88"/>
      <c r="J38" s="88"/>
      <c r="K38" s="88"/>
      <c r="L38" s="88"/>
      <c r="M38" s="88"/>
      <c r="N38" s="89"/>
      <c r="O38" s="87"/>
      <c r="P38" s="88"/>
      <c r="Q38" s="88"/>
      <c r="R38" s="88"/>
      <c r="S38" s="135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7"/>
      <c r="AX38" s="131"/>
      <c r="AY38" s="131"/>
      <c r="AZ38" s="131"/>
      <c r="BA38" s="131"/>
      <c r="BB38" s="131"/>
      <c r="BC38" s="132"/>
      <c r="BD38" s="134"/>
      <c r="BE38" s="131"/>
      <c r="BF38" s="131"/>
      <c r="BG38" s="131"/>
      <c r="BH38" s="131"/>
      <c r="BI38" s="131"/>
      <c r="BJ38" s="132"/>
      <c r="BK38" s="23"/>
    </row>
    <row r="39" spans="1:63" ht="15" customHeight="1">
      <c r="A39" s="22"/>
      <c r="B39" s="81"/>
      <c r="C39" s="82"/>
      <c r="D39" s="82"/>
      <c r="E39" s="82"/>
      <c r="F39" s="82"/>
      <c r="G39" s="83"/>
      <c r="H39" s="81"/>
      <c r="I39" s="82"/>
      <c r="J39" s="82"/>
      <c r="K39" s="82"/>
      <c r="L39" s="82"/>
      <c r="M39" s="82"/>
      <c r="N39" s="83"/>
      <c r="O39" s="81"/>
      <c r="P39" s="82"/>
      <c r="Q39" s="82"/>
      <c r="R39" s="82"/>
      <c r="S39" s="126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8"/>
      <c r="AX39" s="129"/>
      <c r="AY39" s="129"/>
      <c r="AZ39" s="129"/>
      <c r="BA39" s="129"/>
      <c r="BB39" s="129"/>
      <c r="BC39" s="130"/>
      <c r="BD39" s="133"/>
      <c r="BE39" s="129"/>
      <c r="BF39" s="129"/>
      <c r="BG39" s="129"/>
      <c r="BH39" s="129"/>
      <c r="BI39" s="129"/>
      <c r="BJ39" s="130"/>
      <c r="BK39" s="23"/>
    </row>
    <row r="40" spans="1:63" ht="15" customHeight="1">
      <c r="A40" s="22"/>
      <c r="B40" s="87"/>
      <c r="C40" s="88"/>
      <c r="D40" s="88"/>
      <c r="E40" s="88"/>
      <c r="F40" s="88"/>
      <c r="G40" s="89"/>
      <c r="H40" s="87"/>
      <c r="I40" s="88"/>
      <c r="J40" s="88"/>
      <c r="K40" s="88"/>
      <c r="L40" s="88"/>
      <c r="M40" s="88"/>
      <c r="N40" s="89"/>
      <c r="O40" s="87"/>
      <c r="P40" s="88"/>
      <c r="Q40" s="88"/>
      <c r="R40" s="88"/>
      <c r="S40" s="135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7"/>
      <c r="AX40" s="131"/>
      <c r="AY40" s="131"/>
      <c r="AZ40" s="131"/>
      <c r="BA40" s="131"/>
      <c r="BB40" s="131"/>
      <c r="BC40" s="132"/>
      <c r="BD40" s="134"/>
      <c r="BE40" s="131"/>
      <c r="BF40" s="131"/>
      <c r="BG40" s="131"/>
      <c r="BH40" s="131"/>
      <c r="BI40" s="131"/>
      <c r="BJ40" s="132"/>
      <c r="BK40" s="23"/>
    </row>
    <row r="41" spans="1:63" ht="15" customHeight="1">
      <c r="A41" s="22"/>
      <c r="B41" s="81"/>
      <c r="C41" s="82"/>
      <c r="D41" s="82"/>
      <c r="E41" s="82"/>
      <c r="F41" s="82"/>
      <c r="G41" s="83"/>
      <c r="H41" s="81"/>
      <c r="I41" s="82"/>
      <c r="J41" s="82"/>
      <c r="K41" s="82"/>
      <c r="L41" s="82"/>
      <c r="M41" s="82"/>
      <c r="N41" s="83"/>
      <c r="O41" s="81"/>
      <c r="P41" s="82"/>
      <c r="Q41" s="82"/>
      <c r="R41" s="82"/>
      <c r="S41" s="126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8"/>
      <c r="AX41" s="129"/>
      <c r="AY41" s="129"/>
      <c r="AZ41" s="129"/>
      <c r="BA41" s="129"/>
      <c r="BB41" s="129"/>
      <c r="BC41" s="130"/>
      <c r="BD41" s="133"/>
      <c r="BE41" s="129"/>
      <c r="BF41" s="129"/>
      <c r="BG41" s="129"/>
      <c r="BH41" s="129"/>
      <c r="BI41" s="129"/>
      <c r="BJ41" s="130"/>
      <c r="BK41" s="23"/>
    </row>
    <row r="42" spans="1:63" ht="15" customHeight="1">
      <c r="A42" s="22"/>
      <c r="B42" s="87"/>
      <c r="C42" s="88"/>
      <c r="D42" s="88"/>
      <c r="E42" s="88"/>
      <c r="F42" s="88"/>
      <c r="G42" s="89"/>
      <c r="H42" s="87"/>
      <c r="I42" s="88"/>
      <c r="J42" s="88"/>
      <c r="K42" s="88"/>
      <c r="L42" s="88"/>
      <c r="M42" s="88"/>
      <c r="N42" s="89"/>
      <c r="O42" s="87"/>
      <c r="P42" s="88"/>
      <c r="Q42" s="88"/>
      <c r="R42" s="88"/>
      <c r="S42" s="135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7"/>
      <c r="AX42" s="131"/>
      <c r="AY42" s="131"/>
      <c r="AZ42" s="131"/>
      <c r="BA42" s="131"/>
      <c r="BB42" s="131"/>
      <c r="BC42" s="132"/>
      <c r="BD42" s="134"/>
      <c r="BE42" s="131"/>
      <c r="BF42" s="131"/>
      <c r="BG42" s="131"/>
      <c r="BH42" s="131"/>
      <c r="BI42" s="131"/>
      <c r="BJ42" s="132"/>
      <c r="BK42" s="23"/>
    </row>
    <row r="43" spans="1:63" ht="15" customHeight="1">
      <c r="A43" s="22"/>
      <c r="B43" s="81"/>
      <c r="C43" s="82"/>
      <c r="D43" s="82"/>
      <c r="E43" s="82"/>
      <c r="F43" s="82"/>
      <c r="G43" s="83"/>
      <c r="H43" s="81"/>
      <c r="I43" s="82"/>
      <c r="J43" s="82"/>
      <c r="K43" s="82"/>
      <c r="L43" s="82"/>
      <c r="M43" s="82"/>
      <c r="N43" s="83"/>
      <c r="O43" s="81"/>
      <c r="P43" s="82"/>
      <c r="Q43" s="82"/>
      <c r="R43" s="82"/>
      <c r="S43" s="126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8"/>
      <c r="AX43" s="129"/>
      <c r="AY43" s="129"/>
      <c r="AZ43" s="129"/>
      <c r="BA43" s="129"/>
      <c r="BB43" s="129"/>
      <c r="BC43" s="130"/>
      <c r="BD43" s="133"/>
      <c r="BE43" s="129"/>
      <c r="BF43" s="129"/>
      <c r="BG43" s="129"/>
      <c r="BH43" s="129"/>
      <c r="BI43" s="129"/>
      <c r="BJ43" s="130"/>
      <c r="BK43" s="23"/>
    </row>
    <row r="44" spans="1:63" ht="15" customHeight="1">
      <c r="A44" s="22"/>
      <c r="B44" s="87"/>
      <c r="C44" s="88"/>
      <c r="D44" s="88"/>
      <c r="E44" s="88"/>
      <c r="F44" s="88"/>
      <c r="G44" s="89"/>
      <c r="H44" s="87"/>
      <c r="I44" s="88"/>
      <c r="J44" s="88"/>
      <c r="K44" s="88"/>
      <c r="L44" s="88"/>
      <c r="M44" s="88"/>
      <c r="N44" s="89"/>
      <c r="O44" s="87"/>
      <c r="P44" s="88"/>
      <c r="Q44" s="88"/>
      <c r="R44" s="88"/>
      <c r="S44" s="135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7"/>
      <c r="AX44" s="131"/>
      <c r="AY44" s="131"/>
      <c r="AZ44" s="131"/>
      <c r="BA44" s="131"/>
      <c r="BB44" s="131"/>
      <c r="BC44" s="132"/>
      <c r="BD44" s="134"/>
      <c r="BE44" s="131"/>
      <c r="BF44" s="131"/>
      <c r="BG44" s="131"/>
      <c r="BH44" s="131"/>
      <c r="BI44" s="131"/>
      <c r="BJ44" s="132"/>
      <c r="BK44" s="23"/>
    </row>
    <row r="45" spans="1:63" ht="15" customHeight="1">
      <c r="A45" s="22"/>
      <c r="B45" s="81"/>
      <c r="C45" s="82"/>
      <c r="D45" s="82"/>
      <c r="E45" s="82"/>
      <c r="F45" s="82"/>
      <c r="G45" s="83"/>
      <c r="H45" s="81"/>
      <c r="I45" s="82"/>
      <c r="J45" s="82"/>
      <c r="K45" s="82"/>
      <c r="L45" s="82"/>
      <c r="M45" s="82"/>
      <c r="N45" s="83"/>
      <c r="O45" s="81"/>
      <c r="P45" s="82"/>
      <c r="Q45" s="82"/>
      <c r="R45" s="82"/>
      <c r="S45" s="126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8"/>
      <c r="AX45" s="129"/>
      <c r="AY45" s="129"/>
      <c r="AZ45" s="129"/>
      <c r="BA45" s="129"/>
      <c r="BB45" s="129"/>
      <c r="BC45" s="130"/>
      <c r="BD45" s="133"/>
      <c r="BE45" s="129"/>
      <c r="BF45" s="129"/>
      <c r="BG45" s="129"/>
      <c r="BH45" s="129"/>
      <c r="BI45" s="129"/>
      <c r="BJ45" s="130"/>
      <c r="BK45" s="23"/>
    </row>
    <row r="46" spans="1:63" ht="15" customHeight="1">
      <c r="A46" s="22"/>
      <c r="B46" s="87"/>
      <c r="C46" s="88"/>
      <c r="D46" s="88"/>
      <c r="E46" s="88"/>
      <c r="F46" s="88"/>
      <c r="G46" s="89"/>
      <c r="H46" s="87"/>
      <c r="I46" s="88"/>
      <c r="J46" s="88"/>
      <c r="K46" s="88"/>
      <c r="L46" s="88"/>
      <c r="M46" s="88"/>
      <c r="N46" s="89"/>
      <c r="O46" s="87"/>
      <c r="P46" s="88"/>
      <c r="Q46" s="88"/>
      <c r="R46" s="88"/>
      <c r="S46" s="135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7"/>
      <c r="AX46" s="131"/>
      <c r="AY46" s="131"/>
      <c r="AZ46" s="131"/>
      <c r="BA46" s="131"/>
      <c r="BB46" s="131"/>
      <c r="BC46" s="132"/>
      <c r="BD46" s="134"/>
      <c r="BE46" s="131"/>
      <c r="BF46" s="131"/>
      <c r="BG46" s="131"/>
      <c r="BH46" s="131"/>
      <c r="BI46" s="131"/>
      <c r="BJ46" s="132"/>
      <c r="BK46" s="23"/>
    </row>
    <row r="47" spans="1:63" ht="15" customHeight="1">
      <c r="A47" s="22"/>
      <c r="B47" s="81"/>
      <c r="C47" s="82"/>
      <c r="D47" s="82"/>
      <c r="E47" s="82"/>
      <c r="F47" s="82"/>
      <c r="G47" s="83"/>
      <c r="H47" s="81"/>
      <c r="I47" s="82"/>
      <c r="J47" s="82"/>
      <c r="K47" s="82"/>
      <c r="L47" s="82"/>
      <c r="M47" s="82"/>
      <c r="N47" s="83"/>
      <c r="O47" s="81"/>
      <c r="P47" s="82"/>
      <c r="Q47" s="82"/>
      <c r="R47" s="82"/>
      <c r="S47" s="126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8"/>
      <c r="AX47" s="129"/>
      <c r="AY47" s="129"/>
      <c r="AZ47" s="129"/>
      <c r="BA47" s="129"/>
      <c r="BB47" s="129"/>
      <c r="BC47" s="130"/>
      <c r="BD47" s="133"/>
      <c r="BE47" s="129"/>
      <c r="BF47" s="129"/>
      <c r="BG47" s="129"/>
      <c r="BH47" s="129"/>
      <c r="BI47" s="129"/>
      <c r="BJ47" s="130"/>
      <c r="BK47" s="23"/>
    </row>
    <row r="48" spans="1:63" ht="15" customHeight="1">
      <c r="A48" s="22"/>
      <c r="B48" s="87"/>
      <c r="C48" s="88"/>
      <c r="D48" s="88"/>
      <c r="E48" s="88"/>
      <c r="F48" s="88"/>
      <c r="G48" s="89"/>
      <c r="H48" s="87"/>
      <c r="I48" s="88"/>
      <c r="J48" s="88"/>
      <c r="K48" s="88"/>
      <c r="L48" s="88"/>
      <c r="M48" s="88"/>
      <c r="N48" s="89"/>
      <c r="O48" s="87"/>
      <c r="P48" s="88"/>
      <c r="Q48" s="88"/>
      <c r="R48" s="88"/>
      <c r="S48" s="135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7"/>
      <c r="AX48" s="131"/>
      <c r="AY48" s="131"/>
      <c r="AZ48" s="131"/>
      <c r="BA48" s="131"/>
      <c r="BB48" s="131"/>
      <c r="BC48" s="132"/>
      <c r="BD48" s="134"/>
      <c r="BE48" s="131"/>
      <c r="BF48" s="131"/>
      <c r="BG48" s="131"/>
      <c r="BH48" s="131"/>
      <c r="BI48" s="131"/>
      <c r="BJ48" s="132"/>
      <c r="BK48" s="23"/>
    </row>
    <row r="49" spans="1:63" ht="15" customHeight="1">
      <c r="A49" s="22"/>
      <c r="B49" s="81"/>
      <c r="C49" s="82"/>
      <c r="D49" s="82"/>
      <c r="E49" s="82"/>
      <c r="F49" s="82"/>
      <c r="G49" s="83"/>
      <c r="H49" s="81"/>
      <c r="I49" s="82"/>
      <c r="J49" s="82"/>
      <c r="K49" s="82"/>
      <c r="L49" s="82"/>
      <c r="M49" s="82"/>
      <c r="N49" s="83"/>
      <c r="O49" s="81"/>
      <c r="P49" s="82"/>
      <c r="Q49" s="82"/>
      <c r="R49" s="82"/>
      <c r="S49" s="126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8"/>
      <c r="AX49" s="129"/>
      <c r="AY49" s="129"/>
      <c r="AZ49" s="129"/>
      <c r="BA49" s="129"/>
      <c r="BB49" s="129"/>
      <c r="BC49" s="130"/>
      <c r="BD49" s="133"/>
      <c r="BE49" s="129"/>
      <c r="BF49" s="129"/>
      <c r="BG49" s="129"/>
      <c r="BH49" s="129"/>
      <c r="BI49" s="129"/>
      <c r="BJ49" s="130"/>
      <c r="BK49" s="23"/>
    </row>
    <row r="50" spans="1:63" ht="15" customHeight="1">
      <c r="A50" s="22"/>
      <c r="B50" s="87"/>
      <c r="C50" s="88"/>
      <c r="D50" s="88"/>
      <c r="E50" s="88"/>
      <c r="F50" s="88"/>
      <c r="G50" s="89"/>
      <c r="H50" s="87"/>
      <c r="I50" s="88"/>
      <c r="J50" s="88"/>
      <c r="K50" s="88"/>
      <c r="L50" s="88"/>
      <c r="M50" s="88"/>
      <c r="N50" s="89"/>
      <c r="O50" s="87"/>
      <c r="P50" s="88"/>
      <c r="Q50" s="88"/>
      <c r="R50" s="88"/>
      <c r="S50" s="135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7"/>
      <c r="AX50" s="131"/>
      <c r="AY50" s="131"/>
      <c r="AZ50" s="131"/>
      <c r="BA50" s="131"/>
      <c r="BB50" s="131"/>
      <c r="BC50" s="132"/>
      <c r="BD50" s="134"/>
      <c r="BE50" s="131"/>
      <c r="BF50" s="131"/>
      <c r="BG50" s="131"/>
      <c r="BH50" s="131"/>
      <c r="BI50" s="131"/>
      <c r="BJ50" s="132"/>
      <c r="BK50" s="23"/>
    </row>
    <row r="51" spans="1:63" ht="15" customHeight="1">
      <c r="A51" s="22"/>
      <c r="B51" s="81"/>
      <c r="C51" s="82"/>
      <c r="D51" s="82"/>
      <c r="E51" s="82"/>
      <c r="F51" s="82"/>
      <c r="G51" s="83"/>
      <c r="H51" s="81"/>
      <c r="I51" s="82"/>
      <c r="J51" s="82"/>
      <c r="K51" s="82"/>
      <c r="L51" s="82"/>
      <c r="M51" s="82"/>
      <c r="N51" s="83"/>
      <c r="O51" s="81"/>
      <c r="P51" s="82"/>
      <c r="Q51" s="82"/>
      <c r="R51" s="82"/>
      <c r="S51" s="126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8"/>
      <c r="AX51" s="129"/>
      <c r="AY51" s="129"/>
      <c r="AZ51" s="129"/>
      <c r="BA51" s="129"/>
      <c r="BB51" s="129"/>
      <c r="BC51" s="130"/>
      <c r="BD51" s="133"/>
      <c r="BE51" s="129"/>
      <c r="BF51" s="129"/>
      <c r="BG51" s="129"/>
      <c r="BH51" s="129"/>
      <c r="BI51" s="129"/>
      <c r="BJ51" s="130"/>
      <c r="BK51" s="23"/>
    </row>
    <row r="52" spans="1:63" ht="15" customHeight="1">
      <c r="A52" s="22"/>
      <c r="B52" s="87"/>
      <c r="C52" s="88"/>
      <c r="D52" s="88"/>
      <c r="E52" s="88"/>
      <c r="F52" s="88"/>
      <c r="G52" s="89"/>
      <c r="H52" s="87"/>
      <c r="I52" s="88"/>
      <c r="J52" s="88"/>
      <c r="K52" s="88"/>
      <c r="L52" s="88"/>
      <c r="M52" s="88"/>
      <c r="N52" s="89"/>
      <c r="O52" s="87"/>
      <c r="P52" s="88"/>
      <c r="Q52" s="88"/>
      <c r="R52" s="88"/>
      <c r="S52" s="135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7"/>
      <c r="AX52" s="131"/>
      <c r="AY52" s="131"/>
      <c r="AZ52" s="131"/>
      <c r="BA52" s="131"/>
      <c r="BB52" s="131"/>
      <c r="BC52" s="132"/>
      <c r="BD52" s="134"/>
      <c r="BE52" s="131"/>
      <c r="BF52" s="131"/>
      <c r="BG52" s="131"/>
      <c r="BH52" s="131"/>
      <c r="BI52" s="131"/>
      <c r="BJ52" s="132"/>
      <c r="BK52" s="23"/>
    </row>
    <row r="53" spans="1:63" ht="15" customHeight="1">
      <c r="A53" s="22"/>
      <c r="B53" s="81"/>
      <c r="C53" s="82"/>
      <c r="D53" s="82"/>
      <c r="E53" s="82"/>
      <c r="F53" s="82"/>
      <c r="G53" s="83"/>
      <c r="H53" s="81"/>
      <c r="I53" s="82"/>
      <c r="J53" s="82"/>
      <c r="K53" s="82"/>
      <c r="L53" s="82"/>
      <c r="M53" s="82"/>
      <c r="N53" s="83"/>
      <c r="O53" s="81"/>
      <c r="P53" s="82"/>
      <c r="Q53" s="82"/>
      <c r="R53" s="82"/>
      <c r="S53" s="126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8"/>
      <c r="AX53" s="129"/>
      <c r="AY53" s="129"/>
      <c r="AZ53" s="129"/>
      <c r="BA53" s="129"/>
      <c r="BB53" s="129"/>
      <c r="BC53" s="130"/>
      <c r="BD53" s="133"/>
      <c r="BE53" s="129"/>
      <c r="BF53" s="129"/>
      <c r="BG53" s="129"/>
      <c r="BH53" s="129"/>
      <c r="BI53" s="129"/>
      <c r="BJ53" s="130"/>
      <c r="BK53" s="23"/>
    </row>
    <row r="54" spans="1:63" ht="15" customHeight="1">
      <c r="A54" s="22"/>
      <c r="B54" s="87"/>
      <c r="C54" s="88"/>
      <c r="D54" s="88"/>
      <c r="E54" s="88"/>
      <c r="F54" s="88"/>
      <c r="G54" s="89"/>
      <c r="H54" s="87"/>
      <c r="I54" s="88"/>
      <c r="J54" s="88"/>
      <c r="K54" s="88"/>
      <c r="L54" s="88"/>
      <c r="M54" s="88"/>
      <c r="N54" s="89"/>
      <c r="O54" s="87"/>
      <c r="P54" s="88"/>
      <c r="Q54" s="88"/>
      <c r="R54" s="88"/>
      <c r="S54" s="135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7"/>
      <c r="AX54" s="131"/>
      <c r="AY54" s="131"/>
      <c r="AZ54" s="131"/>
      <c r="BA54" s="131"/>
      <c r="BB54" s="131"/>
      <c r="BC54" s="132"/>
      <c r="BD54" s="134"/>
      <c r="BE54" s="131"/>
      <c r="BF54" s="131"/>
      <c r="BG54" s="131"/>
      <c r="BH54" s="131"/>
      <c r="BI54" s="131"/>
      <c r="BJ54" s="132"/>
      <c r="BK54" s="23"/>
    </row>
    <row r="55" spans="1:63" ht="15" customHeight="1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/>
  <cols>
    <col min="1" max="63" width="2.77734375" customWidth="1"/>
  </cols>
  <sheetData>
    <row r="1" spans="1:63" ht="24.9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7"/>
      <c r="K1" s="165" t="s">
        <v>2</v>
      </c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7"/>
      <c r="W1" s="180" t="str">
        <f>IF(表紙!W1="","",表紙!W1)</f>
        <v>基本設計書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165" t="s">
        <v>3</v>
      </c>
      <c r="AQ1" s="166"/>
      <c r="AR1" s="166"/>
      <c r="AS1" s="167"/>
      <c r="AT1" s="165" t="s">
        <v>4</v>
      </c>
      <c r="AU1" s="166"/>
      <c r="AV1" s="166"/>
      <c r="AW1" s="166"/>
      <c r="AX1" s="167"/>
      <c r="AY1" s="165" t="s">
        <v>5</v>
      </c>
      <c r="AZ1" s="166"/>
      <c r="BA1" s="166"/>
      <c r="BB1" s="167"/>
      <c r="BC1" s="165" t="s">
        <v>6</v>
      </c>
      <c r="BD1" s="166"/>
      <c r="BE1" s="166"/>
      <c r="BF1" s="166"/>
      <c r="BG1" s="167"/>
      <c r="BH1" s="165" t="s">
        <v>7</v>
      </c>
      <c r="BI1" s="166"/>
      <c r="BJ1" s="166"/>
      <c r="BK1" s="167"/>
    </row>
    <row r="2" spans="1:63" ht="15" customHeight="1">
      <c r="A2" s="168" t="str">
        <f>IF(表紙!A2="","",表紙!A2)</f>
        <v>POSサーバー</v>
      </c>
      <c r="B2" s="169"/>
      <c r="C2" s="169"/>
      <c r="D2" s="169"/>
      <c r="E2" s="169"/>
      <c r="F2" s="169"/>
      <c r="G2" s="169"/>
      <c r="H2" s="169"/>
      <c r="I2" s="169"/>
      <c r="J2" s="170"/>
      <c r="K2" s="168" t="str">
        <f>IF(表紙!K2="","",表紙!K2)</f>
        <v>POSサーバー</v>
      </c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70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68" t="str">
        <f>IF(表紙!AP2="","",表紙!AP2)</f>
        <v>SonMNT</v>
      </c>
      <c r="AQ2" s="169"/>
      <c r="AR2" s="169"/>
      <c r="AS2" s="170"/>
      <c r="AT2" s="174">
        <v>45084</v>
      </c>
      <c r="AU2" s="175"/>
      <c r="AV2" s="175"/>
      <c r="AW2" s="175"/>
      <c r="AX2" s="176"/>
      <c r="AY2" s="168" t="str">
        <f>IF(表紙!AY2="","",表紙!AY2)</f>
        <v>DunT</v>
      </c>
      <c r="AZ2" s="169"/>
      <c r="BA2" s="169"/>
      <c r="BB2" s="170"/>
      <c r="BC2" s="174">
        <f>IF(表紙!BC2="","",表紙!BC2)</f>
        <v>45581</v>
      </c>
      <c r="BD2" s="175"/>
      <c r="BE2" s="175"/>
      <c r="BF2" s="175"/>
      <c r="BG2" s="176"/>
      <c r="BH2" s="168">
        <f>IF(表紙!BH2="","",表紙!BH2)</f>
        <v>0.21</v>
      </c>
      <c r="BI2" s="169"/>
      <c r="BJ2" s="169"/>
      <c r="BK2" s="170"/>
    </row>
    <row r="3" spans="1:63" ht="15" customHeight="1">
      <c r="A3" s="171"/>
      <c r="B3" s="172"/>
      <c r="C3" s="172"/>
      <c r="D3" s="172"/>
      <c r="E3" s="172"/>
      <c r="F3" s="172"/>
      <c r="G3" s="172"/>
      <c r="H3" s="172"/>
      <c r="I3" s="172"/>
      <c r="J3" s="173"/>
      <c r="K3" s="171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71"/>
      <c r="AQ3" s="172"/>
      <c r="AR3" s="172"/>
      <c r="AS3" s="173"/>
      <c r="AT3" s="177"/>
      <c r="AU3" s="178"/>
      <c r="AV3" s="178"/>
      <c r="AW3" s="178"/>
      <c r="AX3" s="179"/>
      <c r="AY3" s="171"/>
      <c r="AZ3" s="172"/>
      <c r="BA3" s="172"/>
      <c r="BB3" s="173"/>
      <c r="BC3" s="177"/>
      <c r="BD3" s="178"/>
      <c r="BE3" s="178"/>
      <c r="BF3" s="178"/>
      <c r="BG3" s="179"/>
      <c r="BH3" s="171"/>
      <c r="BI3" s="172"/>
      <c r="BJ3" s="172"/>
      <c r="BK3" s="173"/>
    </row>
    <row r="4" spans="1:63" ht="24.95" customHeight="1">
      <c r="A4" s="165" t="s">
        <v>1</v>
      </c>
      <c r="B4" s="166"/>
      <c r="C4" s="166"/>
      <c r="D4" s="166"/>
      <c r="E4" s="166"/>
      <c r="F4" s="166"/>
      <c r="G4" s="167"/>
      <c r="H4" s="189" t="str">
        <f>IF(表紙!H4="","",表紙!H4)</f>
        <v>82_店舗マスタ設定</v>
      </c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1"/>
      <c r="U4" s="165" t="s">
        <v>8</v>
      </c>
      <c r="V4" s="166"/>
      <c r="W4" s="166"/>
      <c r="X4" s="166"/>
      <c r="Y4" s="167"/>
      <c r="Z4" s="189" t="str">
        <f>IF(表紙!Z4="","",表紙!Z4)</f>
        <v>概要設計書</v>
      </c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1"/>
      <c r="AP4" s="189" t="str">
        <f t="array" aca="1" ref="AP4" ca="1">RIGHT(CELL("filename",$A$1),LEN(CELL("filename",$A$1))-FIND("]",CELL("filename",$A$1)))</f>
        <v>業務フロー凡例</v>
      </c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1"/>
    </row>
    <row r="5" spans="1:63" ht="5.0999999999999996" customHeight="1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6"/>
    </row>
    <row r="6" spans="1:63" ht="15" customHeight="1">
      <c r="A6" s="37"/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/>
      <c r="AF6" s="38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0"/>
      <c r="BJ6" s="39"/>
      <c r="BK6" s="41"/>
    </row>
    <row r="7" spans="1:63" ht="15" customHeight="1">
      <c r="A7" s="37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41"/>
    </row>
    <row r="8" spans="1:63" ht="15" customHeight="1">
      <c r="A8" s="37"/>
      <c r="B8" s="38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40"/>
      <c r="AF8" s="38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40"/>
      <c r="BJ8" s="39"/>
      <c r="BK8" s="41"/>
    </row>
    <row r="9" spans="1:63" ht="15" customHeight="1">
      <c r="A9" s="37"/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40"/>
      <c r="AF9" s="38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40"/>
      <c r="BJ9" s="39"/>
      <c r="BK9" s="41"/>
    </row>
    <row r="10" spans="1:63" ht="15" customHeight="1">
      <c r="A10" s="37"/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40"/>
      <c r="AF10" s="38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40"/>
      <c r="BJ10" s="39"/>
      <c r="BK10" s="41"/>
    </row>
    <row r="11" spans="1:63" ht="15" customHeight="1">
      <c r="A11" s="37"/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40"/>
      <c r="AF11" s="38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40"/>
      <c r="BJ11" s="39"/>
      <c r="BK11" s="41"/>
    </row>
    <row r="12" spans="1:63" ht="15" customHeight="1">
      <c r="A12" s="37"/>
      <c r="B12" s="38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40"/>
      <c r="AF12" s="38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40"/>
      <c r="BJ12" s="39"/>
      <c r="BK12" s="41"/>
    </row>
    <row r="13" spans="1:63" ht="15" customHeight="1">
      <c r="A13" s="37"/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40"/>
      <c r="AF13" s="38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40"/>
      <c r="BJ13" s="39"/>
      <c r="BK13" s="41"/>
    </row>
    <row r="14" spans="1:63" ht="15" customHeight="1">
      <c r="A14" s="37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40"/>
      <c r="AF14" s="38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40"/>
      <c r="BJ14" s="39"/>
      <c r="BK14" s="41"/>
    </row>
    <row r="15" spans="1:63" ht="15" customHeight="1">
      <c r="A15" s="37"/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40"/>
      <c r="AF15" s="38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40"/>
      <c r="BJ15" s="39"/>
      <c r="BK15" s="41"/>
    </row>
    <row r="16" spans="1:63" ht="15" customHeight="1">
      <c r="A16" s="37"/>
      <c r="B16" s="38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40"/>
      <c r="AF16" s="38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40"/>
      <c r="BJ16" s="39"/>
      <c r="BK16" s="41"/>
    </row>
    <row r="17" spans="1:63" ht="15" customHeight="1">
      <c r="A17" s="37"/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40"/>
      <c r="AF17" s="38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40"/>
      <c r="BJ17" s="39"/>
      <c r="BK17" s="41"/>
    </row>
    <row r="18" spans="1:63" ht="15" customHeight="1">
      <c r="A18" s="37"/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40"/>
      <c r="AF18" s="38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40"/>
      <c r="BJ18" s="39"/>
      <c r="BK18" s="41"/>
    </row>
    <row r="19" spans="1:63" ht="15" customHeight="1">
      <c r="A19" s="37"/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40"/>
      <c r="AF19" s="38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40"/>
      <c r="BJ19" s="39"/>
      <c r="BK19" s="41"/>
    </row>
    <row r="20" spans="1:63" ht="15" customHeight="1">
      <c r="A20" s="37"/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40"/>
      <c r="AF20" s="38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40"/>
      <c r="BJ20" s="39"/>
      <c r="BK20" s="41"/>
    </row>
    <row r="21" spans="1:63" ht="15" customHeight="1">
      <c r="A21" s="37"/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40"/>
      <c r="AF21" s="38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40"/>
      <c r="BJ21" s="39"/>
      <c r="BK21" s="41"/>
    </row>
    <row r="22" spans="1:63" ht="15" customHeight="1">
      <c r="A22" s="37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41"/>
    </row>
    <row r="23" spans="1:63" ht="15" customHeight="1">
      <c r="A23" s="37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40"/>
      <c r="AF23" s="38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40"/>
      <c r="BJ23" s="39"/>
      <c r="BK23" s="41"/>
    </row>
    <row r="24" spans="1:63" ht="15" customHeight="1">
      <c r="A24" s="37"/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40"/>
      <c r="AF24" s="38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40"/>
      <c r="BJ24" s="39"/>
      <c r="BK24" s="41"/>
    </row>
    <row r="25" spans="1:63" ht="15" customHeight="1">
      <c r="A25" s="37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40"/>
      <c r="AF25" s="38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40"/>
      <c r="BJ25" s="39"/>
      <c r="BK25" s="41"/>
    </row>
    <row r="26" spans="1:63" ht="15" customHeight="1">
      <c r="A26" s="37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40"/>
      <c r="AF26" s="38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40"/>
      <c r="BJ26" s="39"/>
      <c r="BK26" s="41"/>
    </row>
    <row r="27" spans="1:63" ht="15" customHeight="1">
      <c r="A27" s="37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40"/>
      <c r="AF27" s="38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0"/>
      <c r="BJ27" s="39"/>
      <c r="BK27" s="41"/>
    </row>
    <row r="28" spans="1:63" ht="15" customHeight="1">
      <c r="A28" s="37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40"/>
      <c r="AF28" s="38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40"/>
      <c r="BJ28" s="39"/>
      <c r="BK28" s="41"/>
    </row>
    <row r="29" spans="1:63" ht="15" customHeight="1">
      <c r="A29" s="37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40"/>
      <c r="AF29" s="38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40"/>
      <c r="BJ29" s="39"/>
      <c r="BK29" s="41"/>
    </row>
    <row r="30" spans="1:63" ht="15" customHeight="1">
      <c r="A30" s="37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40"/>
      <c r="AF30" s="38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40"/>
      <c r="BJ30" s="39"/>
      <c r="BK30" s="41"/>
    </row>
    <row r="31" spans="1:63" ht="15" customHeight="1">
      <c r="A31" s="37"/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40"/>
      <c r="AF31" s="38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40"/>
      <c r="BJ31" s="39"/>
      <c r="BK31" s="41"/>
    </row>
    <row r="32" spans="1:63" ht="15" customHeight="1">
      <c r="A32" s="37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40"/>
      <c r="AF32" s="38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40"/>
      <c r="BJ32" s="39"/>
      <c r="BK32" s="41"/>
    </row>
    <row r="33" spans="1:63" ht="15" customHeight="1">
      <c r="A33" s="37"/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40"/>
      <c r="AF33" s="38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40"/>
      <c r="BJ33" s="39"/>
      <c r="BK33" s="41"/>
    </row>
    <row r="34" spans="1:63" ht="15" customHeight="1">
      <c r="A34" s="37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40"/>
      <c r="AF34" s="38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40"/>
      <c r="BJ34" s="39"/>
      <c r="BK34" s="41"/>
    </row>
    <row r="35" spans="1:63" ht="15" customHeight="1">
      <c r="A35" s="37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40"/>
      <c r="AF35" s="38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40"/>
      <c r="BJ35" s="39"/>
      <c r="BK35" s="41"/>
    </row>
    <row r="36" spans="1:63" ht="15" customHeight="1">
      <c r="A36" s="37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40"/>
      <c r="AF36" s="38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39"/>
      <c r="BK36" s="41"/>
    </row>
    <row r="37" spans="1:63" ht="15" customHeight="1">
      <c r="A37" s="37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8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40"/>
      <c r="BJ37" s="39"/>
      <c r="BK37" s="41"/>
    </row>
    <row r="38" spans="1:63" ht="15" customHeight="1">
      <c r="A38" s="37"/>
      <c r="B38" s="38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8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39"/>
      <c r="BK38" s="41"/>
    </row>
    <row r="39" spans="1:63" ht="15" customHeight="1">
      <c r="A39" s="37"/>
      <c r="B39" s="38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8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40"/>
      <c r="BJ39" s="39"/>
      <c r="BK39" s="41"/>
    </row>
    <row r="40" spans="1:63" ht="15" customHeight="1">
      <c r="A40" s="37"/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8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40"/>
      <c r="BJ40" s="39"/>
      <c r="BK40" s="41"/>
    </row>
    <row r="41" spans="1:63" ht="15" customHeight="1">
      <c r="A41" s="37"/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8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40"/>
      <c r="BJ41" s="39"/>
      <c r="BK41" s="41"/>
    </row>
    <row r="42" spans="1:63" ht="15" customHeight="1">
      <c r="A42" s="37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41"/>
    </row>
    <row r="43" spans="1:63" ht="15" customHeight="1">
      <c r="A43" s="37"/>
      <c r="B43" s="38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40"/>
      <c r="AF43" s="38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40"/>
      <c r="BJ43" s="39"/>
      <c r="BK43" s="41"/>
    </row>
    <row r="44" spans="1:63" ht="15" customHeight="1">
      <c r="A44" s="37"/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40"/>
      <c r="AF44" s="38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40"/>
      <c r="BJ44" s="39"/>
      <c r="BK44" s="41"/>
    </row>
    <row r="45" spans="1:63" ht="15" customHeight="1">
      <c r="A45" s="37"/>
      <c r="B45" s="38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40"/>
      <c r="AF45" s="38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40"/>
      <c r="BJ45" s="39"/>
      <c r="BK45" s="41"/>
    </row>
    <row r="46" spans="1:63" ht="15" customHeight="1">
      <c r="A46" s="37"/>
      <c r="B46" s="38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40"/>
      <c r="AF46" s="38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40"/>
      <c r="BJ46" s="39"/>
      <c r="BK46" s="41"/>
    </row>
    <row r="47" spans="1:63" ht="15" customHeight="1">
      <c r="A47" s="37"/>
      <c r="B47" s="38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40"/>
      <c r="AF47" s="38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40"/>
      <c r="BJ47" s="39"/>
      <c r="BK47" s="41"/>
    </row>
    <row r="48" spans="1:63" ht="15" customHeight="1">
      <c r="A48" s="37"/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40"/>
      <c r="AF48" s="38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40"/>
      <c r="BJ48" s="39"/>
      <c r="BK48" s="41"/>
    </row>
    <row r="49" spans="1:63" ht="15" customHeight="1">
      <c r="A49" s="37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8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40"/>
      <c r="BJ49" s="39"/>
      <c r="BK49" s="41"/>
    </row>
    <row r="50" spans="1:63" ht="15" customHeight="1">
      <c r="A50" s="37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8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40"/>
      <c r="BJ50" s="39"/>
      <c r="BK50" s="41"/>
    </row>
    <row r="51" spans="1:63" ht="15" customHeight="1">
      <c r="A51" s="37"/>
      <c r="B51" s="38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8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40"/>
      <c r="BJ51" s="39"/>
      <c r="BK51" s="41"/>
    </row>
    <row r="52" spans="1:63" ht="15" customHeight="1">
      <c r="A52" s="37"/>
      <c r="B52" s="38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8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40"/>
      <c r="BJ52" s="39"/>
      <c r="BK52" s="41"/>
    </row>
    <row r="53" spans="1:63" ht="15" customHeight="1">
      <c r="A53" s="37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8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40"/>
      <c r="BJ53" s="39"/>
      <c r="BK53" s="41"/>
    </row>
    <row r="54" spans="1:63" ht="15" customHeight="1">
      <c r="A54" s="37"/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8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40"/>
      <c r="BJ54" s="39"/>
      <c r="BK54" s="41"/>
    </row>
    <row r="55" spans="1:63" ht="15" customHeight="1">
      <c r="A55" s="37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8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39"/>
      <c r="BK55" s="41"/>
    </row>
    <row r="56" spans="1:63" ht="15" customHeight="1">
      <c r="A56" s="37"/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8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40"/>
      <c r="BJ56" s="39"/>
      <c r="BK56" s="41"/>
    </row>
    <row r="57" spans="1:63" ht="15" customHeight="1">
      <c r="A57" s="37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8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39"/>
      <c r="BK57" s="41"/>
    </row>
    <row r="58" spans="1:63" ht="15" customHeight="1">
      <c r="A58" s="37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8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40"/>
      <c r="BJ58" s="39"/>
      <c r="BK58" s="41"/>
    </row>
    <row r="59" spans="1:63" ht="15" customHeight="1">
      <c r="A59" s="37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8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39"/>
      <c r="BK59" s="41"/>
    </row>
    <row r="60" spans="1:63" ht="15" customHeight="1">
      <c r="A60" s="37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8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40"/>
      <c r="BJ60" s="39"/>
      <c r="BK60" s="41"/>
    </row>
    <row r="61" spans="1:63" ht="15" customHeight="1">
      <c r="A61" s="37"/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8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39"/>
      <c r="BK61" s="41"/>
    </row>
    <row r="62" spans="1:63" ht="15" customHeight="1">
      <c r="A62" s="42"/>
      <c r="B62" s="43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4"/>
      <c r="AF62" s="43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4"/>
      <c r="BJ62" s="42"/>
      <c r="BK62" s="4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5" width="2.77734375" style="18" customWidth="1"/>
    <col min="66" max="16384" width="2.77734375" style="18"/>
  </cols>
  <sheetData>
    <row r="1" spans="1:65" ht="24.95" customHeight="1">
      <c r="A1" s="96" t="s">
        <v>36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37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17" t="str">
        <f>IF(表紙!W1="","",表紙!W1)</f>
        <v>基本設計書</v>
      </c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9"/>
      <c r="AP1" s="96" t="s">
        <v>39</v>
      </c>
      <c r="AQ1" s="97"/>
      <c r="AR1" s="97"/>
      <c r="AS1" s="98"/>
      <c r="AT1" s="96" t="s">
        <v>40</v>
      </c>
      <c r="AU1" s="97"/>
      <c r="AV1" s="97"/>
      <c r="AW1" s="97"/>
      <c r="AX1" s="98"/>
      <c r="AY1" s="96" t="s">
        <v>41</v>
      </c>
      <c r="AZ1" s="97"/>
      <c r="BA1" s="97"/>
      <c r="BB1" s="98"/>
      <c r="BC1" s="96" t="s">
        <v>42</v>
      </c>
      <c r="BD1" s="97"/>
      <c r="BE1" s="97"/>
      <c r="BF1" s="97"/>
      <c r="BG1" s="98"/>
      <c r="BH1" s="96" t="s">
        <v>43</v>
      </c>
      <c r="BI1" s="97"/>
      <c r="BJ1" s="97"/>
      <c r="BK1" s="98"/>
    </row>
    <row r="2" spans="1:65" ht="15" customHeight="1">
      <c r="A2" s="81" t="str">
        <f>IF(表紙!A2="","",表紙!A2)</f>
        <v>POSサーバー</v>
      </c>
      <c r="B2" s="82"/>
      <c r="C2" s="82"/>
      <c r="D2" s="82"/>
      <c r="E2" s="82"/>
      <c r="F2" s="82"/>
      <c r="G2" s="82"/>
      <c r="H2" s="82"/>
      <c r="I2" s="82"/>
      <c r="J2" s="83"/>
      <c r="K2" s="81" t="str">
        <f>IF(表紙!K2="","",表紙!K2)</f>
        <v>POSサーバー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20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2"/>
      <c r="AP2" s="81" t="str">
        <f>IF(表紙!AP2="","",表紙!AP2)</f>
        <v>SonMNT</v>
      </c>
      <c r="AQ2" s="82"/>
      <c r="AR2" s="82"/>
      <c r="AS2" s="83"/>
      <c r="AT2" s="110">
        <f>IF(表紙!AT2="","",表紙!AT2)</f>
        <v>45453</v>
      </c>
      <c r="AU2" s="111"/>
      <c r="AV2" s="111"/>
      <c r="AW2" s="111"/>
      <c r="AX2" s="112"/>
      <c r="AY2" s="81" t="str">
        <f>IF(表紙!AY2="","",表紙!AY2)</f>
        <v>DunT</v>
      </c>
      <c r="AZ2" s="82"/>
      <c r="BA2" s="82"/>
      <c r="BB2" s="83"/>
      <c r="BC2" s="110">
        <f>IF(表紙!BC2="","",表紙!BC2)</f>
        <v>45581</v>
      </c>
      <c r="BD2" s="111"/>
      <c r="BE2" s="111"/>
      <c r="BF2" s="111"/>
      <c r="BG2" s="112"/>
      <c r="BH2" s="81">
        <f>IF(表紙!BH2="","",表紙!BH2)</f>
        <v>0.21</v>
      </c>
      <c r="BI2" s="82"/>
      <c r="BJ2" s="82"/>
      <c r="BK2" s="83"/>
    </row>
    <row r="3" spans="1:65" ht="15" customHeight="1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123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5"/>
      <c r="AP3" s="87"/>
      <c r="AQ3" s="88"/>
      <c r="AR3" s="88"/>
      <c r="AS3" s="89"/>
      <c r="AT3" s="113"/>
      <c r="AU3" s="114"/>
      <c r="AV3" s="114"/>
      <c r="AW3" s="114"/>
      <c r="AX3" s="115"/>
      <c r="AY3" s="87"/>
      <c r="AZ3" s="88"/>
      <c r="BA3" s="88"/>
      <c r="BB3" s="89"/>
      <c r="BC3" s="113"/>
      <c r="BD3" s="114"/>
      <c r="BE3" s="114"/>
      <c r="BF3" s="114"/>
      <c r="BG3" s="115"/>
      <c r="BH3" s="87"/>
      <c r="BI3" s="88"/>
      <c r="BJ3" s="88"/>
      <c r="BK3" s="89"/>
    </row>
    <row r="4" spans="1:65" ht="24.95" customHeight="1">
      <c r="A4" s="96" t="s">
        <v>45</v>
      </c>
      <c r="B4" s="97"/>
      <c r="C4" s="97"/>
      <c r="D4" s="97"/>
      <c r="E4" s="97"/>
      <c r="F4" s="97"/>
      <c r="G4" s="98"/>
      <c r="H4" s="101" t="str">
        <f>IF(表紙!H4="","",表紙!H4)</f>
        <v>82_店舗マスタ設定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96" t="s">
        <v>46</v>
      </c>
      <c r="V4" s="97"/>
      <c r="W4" s="97"/>
      <c r="X4" s="97"/>
      <c r="Y4" s="98"/>
      <c r="Z4" s="101" t="str">
        <f>IF(表紙!Z4="","",表紙!Z4)</f>
        <v>概要設計書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1" t="str">
        <f t="array" aca="1" ref="AP4" ca="1">RIGHT(CELL("filename",$A$1),LEN(CELL("filename",$A$1))-FIND("]",CELL("filename",$A$1)))</f>
        <v>機能概要説明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5" ht="5.0999999999999996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5" ht="15" customHeight="1">
      <c r="A6" s="22"/>
      <c r="BK6" s="23"/>
    </row>
    <row r="7" spans="1:65" ht="15" customHeight="1">
      <c r="A7" s="22"/>
      <c r="D7" s="18" t="s">
        <v>30</v>
      </c>
      <c r="L7" s="46"/>
      <c r="BK7" s="23"/>
      <c r="BM7" s="4">
        <f t="shared" ref="BM7:BM11" si="0">IF(BM6=50,1,BM6+1)</f>
        <v>1</v>
      </c>
    </row>
    <row r="8" spans="1:65" ht="15" customHeight="1">
      <c r="A8" s="22"/>
      <c r="E8" s="47" t="s">
        <v>32</v>
      </c>
      <c r="L8" s="46"/>
      <c r="BK8" s="23"/>
      <c r="BM8" s="4">
        <f t="shared" si="0"/>
        <v>2</v>
      </c>
    </row>
    <row r="9" spans="1:65" ht="15" customHeight="1">
      <c r="A9" s="22"/>
      <c r="E9" s="47" t="s">
        <v>31</v>
      </c>
      <c r="L9" s="46"/>
      <c r="BK9" s="23"/>
      <c r="BM9" s="4">
        <f t="shared" si="0"/>
        <v>3</v>
      </c>
    </row>
    <row r="10" spans="1:65" ht="15" customHeight="1">
      <c r="A10" s="22"/>
      <c r="E10" s="47" t="s">
        <v>33</v>
      </c>
      <c r="L10" s="46"/>
      <c r="BK10" s="23"/>
      <c r="BM10" s="4">
        <f t="shared" si="0"/>
        <v>4</v>
      </c>
    </row>
    <row r="11" spans="1:65" s="46" customFormat="1" ht="15" customHeight="1">
      <c r="A11" s="48"/>
      <c r="E11" s="49" t="s">
        <v>34</v>
      </c>
      <c r="BK11" s="50"/>
      <c r="BM11" s="4">
        <f t="shared" si="0"/>
        <v>5</v>
      </c>
    </row>
    <row r="12" spans="1:65" s="46" customFormat="1" ht="15" customHeight="1">
      <c r="A12" s="48"/>
      <c r="BK12" s="50"/>
      <c r="BM12" s="4">
        <f t="shared" ref="BM12:BM44" si="1">IF(BM11=50,1,BM11+1)</f>
        <v>6</v>
      </c>
    </row>
    <row r="13" spans="1:65" s="46" customFormat="1" ht="15" customHeight="1">
      <c r="A13" s="48"/>
      <c r="BK13" s="50"/>
      <c r="BM13" s="4">
        <f t="shared" si="1"/>
        <v>7</v>
      </c>
    </row>
    <row r="14" spans="1:65" s="46" customFormat="1" ht="15" customHeight="1">
      <c r="A14" s="48"/>
      <c r="BK14" s="50"/>
      <c r="BM14" s="4">
        <f t="shared" si="1"/>
        <v>8</v>
      </c>
    </row>
    <row r="15" spans="1:65" s="46" customFormat="1" ht="15" customHeight="1">
      <c r="A15" s="48"/>
      <c r="BK15" s="50"/>
      <c r="BM15" s="4">
        <f t="shared" si="1"/>
        <v>9</v>
      </c>
    </row>
    <row r="16" spans="1:65" s="46" customFormat="1" ht="15" customHeight="1">
      <c r="A16" s="48"/>
      <c r="BK16" s="50"/>
      <c r="BM16" s="4">
        <f t="shared" si="1"/>
        <v>10</v>
      </c>
    </row>
    <row r="17" spans="1:65" s="46" customFormat="1" ht="15" customHeight="1">
      <c r="A17" s="48"/>
      <c r="BK17" s="50"/>
      <c r="BM17" s="4">
        <f t="shared" si="1"/>
        <v>11</v>
      </c>
    </row>
    <row r="18" spans="1:65" s="46" customFormat="1" ht="15" customHeight="1">
      <c r="A18" s="48"/>
      <c r="BK18" s="50"/>
      <c r="BM18" s="4">
        <f t="shared" si="1"/>
        <v>12</v>
      </c>
    </row>
    <row r="19" spans="1:65" s="46" customFormat="1" ht="15" customHeight="1">
      <c r="A19" s="48"/>
      <c r="BK19" s="50"/>
      <c r="BM19" s="4">
        <f t="shared" si="1"/>
        <v>13</v>
      </c>
    </row>
    <row r="20" spans="1:65" s="46" customFormat="1" ht="15" customHeight="1">
      <c r="A20" s="48"/>
      <c r="BK20" s="50"/>
      <c r="BM20" s="4">
        <f t="shared" si="1"/>
        <v>14</v>
      </c>
    </row>
    <row r="21" spans="1:65" s="46" customFormat="1" ht="15" customHeight="1">
      <c r="A21" s="48"/>
      <c r="BK21" s="50"/>
      <c r="BM21" s="4">
        <f t="shared" si="1"/>
        <v>15</v>
      </c>
    </row>
    <row r="22" spans="1:65" s="46" customFormat="1" ht="15" customHeight="1">
      <c r="A22" s="48"/>
      <c r="BK22" s="50"/>
      <c r="BM22" s="4">
        <f t="shared" si="1"/>
        <v>16</v>
      </c>
    </row>
    <row r="23" spans="1:65" s="46" customFormat="1" ht="15" customHeight="1">
      <c r="A23" s="48"/>
      <c r="BK23" s="50"/>
      <c r="BM23" s="4">
        <f t="shared" si="1"/>
        <v>17</v>
      </c>
    </row>
    <row r="24" spans="1:65" s="46" customFormat="1" ht="15" customHeight="1">
      <c r="A24" s="48"/>
      <c r="BK24" s="50"/>
      <c r="BM24" s="4">
        <f t="shared" si="1"/>
        <v>18</v>
      </c>
    </row>
    <row r="25" spans="1:65" s="46" customFormat="1" ht="15" customHeight="1">
      <c r="A25" s="48"/>
      <c r="BK25" s="50"/>
      <c r="BM25" s="4">
        <f t="shared" si="1"/>
        <v>19</v>
      </c>
    </row>
    <row r="26" spans="1:65" s="46" customFormat="1" ht="15" customHeight="1">
      <c r="A26" s="48"/>
      <c r="BK26" s="50"/>
      <c r="BM26" s="4">
        <f t="shared" si="1"/>
        <v>20</v>
      </c>
    </row>
    <row r="27" spans="1:65" s="46" customFormat="1" ht="15" customHeight="1">
      <c r="A27" s="48"/>
      <c r="BK27" s="50"/>
      <c r="BM27" s="4">
        <f t="shared" si="1"/>
        <v>21</v>
      </c>
    </row>
    <row r="28" spans="1:65" s="46" customFormat="1" ht="15" customHeight="1">
      <c r="A28" s="48"/>
      <c r="BK28" s="50"/>
      <c r="BM28" s="4">
        <f t="shared" si="1"/>
        <v>22</v>
      </c>
    </row>
    <row r="29" spans="1:65" s="46" customFormat="1" ht="15" customHeight="1">
      <c r="A29" s="48"/>
      <c r="BK29" s="50"/>
      <c r="BM29" s="4">
        <f t="shared" si="1"/>
        <v>23</v>
      </c>
    </row>
    <row r="30" spans="1:65" s="46" customFormat="1" ht="15" customHeight="1">
      <c r="A30" s="48"/>
      <c r="BK30" s="50"/>
      <c r="BM30" s="4">
        <f t="shared" si="1"/>
        <v>24</v>
      </c>
    </row>
    <row r="31" spans="1:65" s="46" customFormat="1" ht="15" customHeight="1">
      <c r="A31" s="48"/>
      <c r="BK31" s="50"/>
      <c r="BM31" s="4">
        <f t="shared" si="1"/>
        <v>25</v>
      </c>
    </row>
    <row r="32" spans="1:65" s="46" customFormat="1" ht="15" customHeight="1">
      <c r="A32" s="48"/>
      <c r="BK32" s="50"/>
      <c r="BM32" s="4">
        <f t="shared" si="1"/>
        <v>26</v>
      </c>
    </row>
    <row r="33" spans="1:65" s="46" customFormat="1" ht="15" customHeight="1">
      <c r="A33" s="48"/>
      <c r="BK33" s="50"/>
      <c r="BM33" s="4">
        <f t="shared" si="1"/>
        <v>27</v>
      </c>
    </row>
    <row r="34" spans="1:65" s="46" customFormat="1" ht="15" customHeight="1">
      <c r="A34" s="48"/>
      <c r="BK34" s="50"/>
      <c r="BM34" s="4">
        <f t="shared" si="1"/>
        <v>28</v>
      </c>
    </row>
    <row r="35" spans="1:65" s="46" customFormat="1" ht="15" customHeight="1">
      <c r="A35" s="48"/>
      <c r="BK35" s="50"/>
      <c r="BM35" s="4">
        <f t="shared" si="1"/>
        <v>29</v>
      </c>
    </row>
    <row r="36" spans="1:65" s="46" customFormat="1" ht="15" customHeight="1">
      <c r="A36" s="48"/>
      <c r="BK36" s="50"/>
      <c r="BM36" s="4">
        <f t="shared" si="1"/>
        <v>30</v>
      </c>
    </row>
    <row r="37" spans="1:65" s="46" customFormat="1" ht="15" customHeight="1">
      <c r="A37" s="48"/>
      <c r="BK37" s="50"/>
      <c r="BM37" s="4">
        <f t="shared" si="1"/>
        <v>31</v>
      </c>
    </row>
    <row r="38" spans="1:65" s="46" customFormat="1" ht="15" customHeight="1">
      <c r="A38" s="48"/>
      <c r="BK38" s="50"/>
      <c r="BM38" s="4">
        <f t="shared" si="1"/>
        <v>32</v>
      </c>
    </row>
    <row r="39" spans="1:65" s="46" customFormat="1" ht="15" customHeight="1">
      <c r="A39" s="48"/>
      <c r="BK39" s="50"/>
      <c r="BM39" s="4">
        <f t="shared" si="1"/>
        <v>33</v>
      </c>
    </row>
    <row r="40" spans="1:65" s="46" customFormat="1" ht="15" customHeight="1">
      <c r="A40" s="48"/>
      <c r="BK40" s="50"/>
      <c r="BM40" s="4">
        <f t="shared" si="1"/>
        <v>34</v>
      </c>
    </row>
    <row r="41" spans="1:65" s="46" customFormat="1" ht="15" customHeight="1">
      <c r="A41" s="48"/>
      <c r="BK41" s="50"/>
      <c r="BM41" s="4">
        <f t="shared" si="1"/>
        <v>35</v>
      </c>
    </row>
    <row r="42" spans="1:65" s="46" customFormat="1" ht="15" customHeight="1">
      <c r="A42" s="48"/>
      <c r="BK42" s="50"/>
      <c r="BM42" s="4">
        <f t="shared" si="1"/>
        <v>36</v>
      </c>
    </row>
    <row r="43" spans="1:65" s="46" customFormat="1" ht="15" customHeight="1">
      <c r="A43" s="48"/>
      <c r="BK43" s="50"/>
      <c r="BM43" s="4">
        <f t="shared" si="1"/>
        <v>37</v>
      </c>
    </row>
    <row r="44" spans="1:65" s="46" customFormat="1" ht="15" customHeight="1">
      <c r="A44" s="48"/>
      <c r="BK44" s="50"/>
      <c r="BM44" s="4">
        <f t="shared" si="1"/>
        <v>38</v>
      </c>
    </row>
    <row r="45" spans="1:65" s="46" customFormat="1" ht="15" customHeight="1">
      <c r="A45" s="48"/>
      <c r="BK45" s="50"/>
      <c r="BM45" s="4">
        <f t="shared" ref="BM45:BM57" si="2">IF(BM44=50,1,BM44+1)</f>
        <v>39</v>
      </c>
    </row>
    <row r="46" spans="1:65" s="46" customFormat="1" ht="15" customHeight="1">
      <c r="A46" s="48"/>
      <c r="BK46" s="50"/>
      <c r="BM46" s="4">
        <f t="shared" si="2"/>
        <v>40</v>
      </c>
    </row>
    <row r="47" spans="1:65" s="46" customFormat="1" ht="15" customHeight="1">
      <c r="A47" s="48"/>
      <c r="BK47" s="50"/>
      <c r="BM47" s="4">
        <f t="shared" si="2"/>
        <v>41</v>
      </c>
    </row>
    <row r="48" spans="1:65" s="46" customFormat="1" ht="15" customHeight="1">
      <c r="A48" s="48"/>
      <c r="BK48" s="50"/>
      <c r="BM48" s="4">
        <f t="shared" si="2"/>
        <v>42</v>
      </c>
    </row>
    <row r="49" spans="1:65" s="46" customFormat="1" ht="15" customHeight="1">
      <c r="A49" s="48"/>
      <c r="BK49" s="50"/>
      <c r="BM49" s="4">
        <f t="shared" si="2"/>
        <v>43</v>
      </c>
    </row>
    <row r="50" spans="1:65" s="46" customFormat="1" ht="15" customHeight="1">
      <c r="A50" s="48"/>
      <c r="BK50" s="50"/>
      <c r="BM50" s="4">
        <f t="shared" si="2"/>
        <v>44</v>
      </c>
    </row>
    <row r="51" spans="1:65" s="46" customFormat="1" ht="15" customHeight="1">
      <c r="A51" s="48"/>
      <c r="BK51" s="50"/>
      <c r="BM51" s="4">
        <f t="shared" si="2"/>
        <v>45</v>
      </c>
    </row>
    <row r="52" spans="1:65" s="46" customFormat="1" ht="15" customHeight="1">
      <c r="A52" s="48"/>
      <c r="BK52" s="50"/>
      <c r="BM52" s="4">
        <f t="shared" si="2"/>
        <v>46</v>
      </c>
    </row>
    <row r="53" spans="1:65" s="46" customFormat="1" ht="15" customHeight="1">
      <c r="A53" s="48"/>
      <c r="BK53" s="50"/>
      <c r="BM53" s="4">
        <f t="shared" si="2"/>
        <v>47</v>
      </c>
    </row>
    <row r="54" spans="1:65" s="46" customFormat="1" ht="15" customHeight="1">
      <c r="A54" s="48"/>
      <c r="BK54" s="50"/>
      <c r="BM54" s="4">
        <f t="shared" si="2"/>
        <v>48</v>
      </c>
    </row>
    <row r="55" spans="1:65" s="46" customFormat="1" ht="15" customHeight="1">
      <c r="A55" s="48"/>
      <c r="BK55" s="50"/>
      <c r="BM55" s="4">
        <f t="shared" si="2"/>
        <v>49</v>
      </c>
    </row>
    <row r="56" spans="1:65" s="46" customFormat="1" ht="15" customHeight="1">
      <c r="A56" s="48"/>
      <c r="BK56" s="50"/>
      <c r="BM56" s="4">
        <f t="shared" si="2"/>
        <v>50</v>
      </c>
    </row>
    <row r="57" spans="1:65" s="46" customFormat="1" ht="15" customHeight="1">
      <c r="A57" s="5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3"/>
      <c r="BM57" s="4">
        <f t="shared" si="2"/>
        <v>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BM238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5" width="2.77734375" style="18" customWidth="1"/>
    <col min="66" max="16384" width="2.77734375" style="18"/>
  </cols>
  <sheetData>
    <row r="1" spans="1:65" ht="24.95" customHeight="1">
      <c r="A1" s="96" t="s">
        <v>36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37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17" t="str">
        <f>IF(表紙!W1="","",表紙!W1)</f>
        <v>基本設計書</v>
      </c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9"/>
      <c r="AP1" s="96" t="s">
        <v>39</v>
      </c>
      <c r="AQ1" s="97"/>
      <c r="AR1" s="97"/>
      <c r="AS1" s="98"/>
      <c r="AT1" s="96" t="s">
        <v>40</v>
      </c>
      <c r="AU1" s="97"/>
      <c r="AV1" s="97"/>
      <c r="AW1" s="97"/>
      <c r="AX1" s="98"/>
      <c r="AY1" s="96" t="s">
        <v>41</v>
      </c>
      <c r="AZ1" s="97"/>
      <c r="BA1" s="97"/>
      <c r="BB1" s="98"/>
      <c r="BC1" s="96" t="s">
        <v>42</v>
      </c>
      <c r="BD1" s="97"/>
      <c r="BE1" s="97"/>
      <c r="BF1" s="97"/>
      <c r="BG1" s="98"/>
      <c r="BH1" s="96" t="s">
        <v>43</v>
      </c>
      <c r="BI1" s="97"/>
      <c r="BJ1" s="97"/>
      <c r="BK1" s="98"/>
    </row>
    <row r="2" spans="1:65" ht="15" customHeight="1">
      <c r="A2" s="81" t="str">
        <f>IF(表紙!A2="","",表紙!A2)</f>
        <v>POSサーバー</v>
      </c>
      <c r="B2" s="82"/>
      <c r="C2" s="82"/>
      <c r="D2" s="82"/>
      <c r="E2" s="82"/>
      <c r="F2" s="82"/>
      <c r="G2" s="82"/>
      <c r="H2" s="82"/>
      <c r="I2" s="82"/>
      <c r="J2" s="83"/>
      <c r="K2" s="81" t="str">
        <f>IF(表紙!K2="","",表紙!K2)</f>
        <v>POSサーバー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20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2"/>
      <c r="AP2" s="81" t="str">
        <f>IF(表紙!AP2="","",表紙!AP2)</f>
        <v>SonMNT</v>
      </c>
      <c r="AQ2" s="82"/>
      <c r="AR2" s="82"/>
      <c r="AS2" s="83"/>
      <c r="AT2" s="110">
        <f>IF(表紙!AT2="","",表紙!AT2)</f>
        <v>45453</v>
      </c>
      <c r="AU2" s="111"/>
      <c r="AV2" s="111"/>
      <c r="AW2" s="111"/>
      <c r="AX2" s="112"/>
      <c r="AY2" s="81" t="str">
        <f>IF(表紙!AY2="","",表紙!AY2)</f>
        <v>DunT</v>
      </c>
      <c r="AZ2" s="82"/>
      <c r="BA2" s="82"/>
      <c r="BB2" s="83"/>
      <c r="BC2" s="110">
        <f>IF(表紙!BC2="","",表紙!BC2)</f>
        <v>45581</v>
      </c>
      <c r="BD2" s="111"/>
      <c r="BE2" s="111"/>
      <c r="BF2" s="111"/>
      <c r="BG2" s="112"/>
      <c r="BH2" s="81">
        <f>IF(表紙!BH2="","",表紙!BH2)</f>
        <v>0.21</v>
      </c>
      <c r="BI2" s="82"/>
      <c r="BJ2" s="82"/>
      <c r="BK2" s="83"/>
    </row>
    <row r="3" spans="1:65" ht="15" customHeight="1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123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5"/>
      <c r="AP3" s="87"/>
      <c r="AQ3" s="88"/>
      <c r="AR3" s="88"/>
      <c r="AS3" s="89"/>
      <c r="AT3" s="113"/>
      <c r="AU3" s="114"/>
      <c r="AV3" s="114"/>
      <c r="AW3" s="114"/>
      <c r="AX3" s="115"/>
      <c r="AY3" s="87"/>
      <c r="AZ3" s="88"/>
      <c r="BA3" s="88"/>
      <c r="BB3" s="89"/>
      <c r="BC3" s="113"/>
      <c r="BD3" s="114"/>
      <c r="BE3" s="114"/>
      <c r="BF3" s="114"/>
      <c r="BG3" s="115"/>
      <c r="BH3" s="87"/>
      <c r="BI3" s="88"/>
      <c r="BJ3" s="88"/>
      <c r="BK3" s="89"/>
    </row>
    <row r="4" spans="1:65" ht="24.95" customHeight="1">
      <c r="A4" s="96" t="s">
        <v>45</v>
      </c>
      <c r="B4" s="97"/>
      <c r="C4" s="97"/>
      <c r="D4" s="97"/>
      <c r="E4" s="97"/>
      <c r="F4" s="97"/>
      <c r="G4" s="98"/>
      <c r="H4" s="101" t="str">
        <f>IF(表紙!H4="","",表紙!H4)</f>
        <v>82_店舗マスタ設定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96" t="s">
        <v>46</v>
      </c>
      <c r="V4" s="97"/>
      <c r="W4" s="97"/>
      <c r="X4" s="97"/>
      <c r="Y4" s="98"/>
      <c r="Z4" s="101" t="str">
        <f>IF(表紙!Z4="","",表紙!Z4)</f>
        <v>概要設計書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1" t="str">
        <f t="array" aca="1" ref="AP4" ca="1">RIGHT(CELL("filename",$A$1),LEN(CELL("filename",$A$1))-FIND("]",CELL("filename",$A$1)))</f>
        <v>機能概要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5" ht="5.0999999999999996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5" ht="15" customHeight="1">
      <c r="A6" s="22"/>
      <c r="BK6" s="23"/>
    </row>
    <row r="7" spans="1:65" ht="15" customHeight="1">
      <c r="A7" s="22"/>
      <c r="B7" s="54" t="s">
        <v>52</v>
      </c>
      <c r="C7" s="55"/>
      <c r="D7" s="56"/>
      <c r="E7" s="56"/>
      <c r="F7" s="56"/>
      <c r="G7" s="56"/>
      <c r="H7" s="56"/>
      <c r="I7" s="56"/>
      <c r="J7" s="56"/>
      <c r="K7" s="57"/>
      <c r="L7" s="56"/>
      <c r="M7" s="56"/>
      <c r="N7" s="56"/>
      <c r="O7" s="56"/>
      <c r="P7" s="56"/>
      <c r="Q7" s="56"/>
      <c r="R7" s="56"/>
      <c r="S7" s="56"/>
      <c r="T7" s="57"/>
      <c r="U7" s="55"/>
      <c r="V7" s="56"/>
      <c r="W7" s="56"/>
      <c r="X7" s="56"/>
      <c r="Y7" s="56"/>
      <c r="Z7" s="56"/>
      <c r="AA7" s="56"/>
      <c r="AB7" s="56"/>
      <c r="AC7" s="57"/>
      <c r="AD7" s="55"/>
      <c r="AE7" s="56"/>
      <c r="AF7" s="56"/>
      <c r="AG7" s="56"/>
      <c r="AH7" s="56"/>
      <c r="AI7" s="56"/>
      <c r="AJ7" s="56"/>
      <c r="AK7" s="56"/>
      <c r="AL7" s="57"/>
      <c r="AM7" s="55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7"/>
      <c r="BJ7" s="56"/>
      <c r="BK7" s="23"/>
    </row>
    <row r="8" spans="1:65" ht="15" customHeight="1">
      <c r="A8" s="22"/>
      <c r="B8" s="58"/>
      <c r="K8" s="59"/>
      <c r="U8" s="58"/>
      <c r="AD8" s="58"/>
      <c r="AM8" s="58"/>
      <c r="BI8" s="60"/>
      <c r="BK8" s="23"/>
      <c r="BM8" s="4">
        <f t="shared" ref="BM8:BM71" si="0">IF(BM7=50,1,BM7+1)</f>
        <v>1</v>
      </c>
    </row>
    <row r="9" spans="1:65" ht="15" customHeight="1">
      <c r="A9" s="22"/>
      <c r="B9" s="58"/>
      <c r="K9" s="59"/>
      <c r="U9" s="58"/>
      <c r="AD9" s="58"/>
      <c r="AM9" s="58"/>
      <c r="BI9" s="60"/>
      <c r="BK9" s="23"/>
      <c r="BM9" s="4">
        <f t="shared" si="0"/>
        <v>2</v>
      </c>
    </row>
    <row r="10" spans="1:65" ht="15" customHeight="1">
      <c r="A10" s="22"/>
      <c r="B10" s="58"/>
      <c r="K10" s="59"/>
      <c r="U10" s="58"/>
      <c r="AD10" s="58"/>
      <c r="AM10" s="58"/>
      <c r="BI10" s="60"/>
      <c r="BK10" s="23"/>
      <c r="BM10" s="4">
        <f t="shared" si="0"/>
        <v>3</v>
      </c>
    </row>
    <row r="11" spans="1:65" ht="15" customHeight="1">
      <c r="A11" s="22"/>
      <c r="B11" s="58"/>
      <c r="K11" s="59"/>
      <c r="U11" s="58"/>
      <c r="AD11" s="58"/>
      <c r="AM11" s="58"/>
      <c r="BI11" s="60"/>
      <c r="BK11" s="23"/>
      <c r="BM11" s="4">
        <f t="shared" si="0"/>
        <v>4</v>
      </c>
    </row>
    <row r="12" spans="1:65" ht="15" customHeight="1">
      <c r="A12" s="22"/>
      <c r="B12" s="58"/>
      <c r="K12" s="59"/>
      <c r="U12" s="58"/>
      <c r="AD12" s="58"/>
      <c r="AM12" s="58"/>
      <c r="BI12" s="60"/>
      <c r="BK12" s="23"/>
      <c r="BM12" s="4">
        <f t="shared" si="0"/>
        <v>5</v>
      </c>
    </row>
    <row r="13" spans="1:65" ht="15" customHeight="1">
      <c r="A13" s="22"/>
      <c r="B13" s="58"/>
      <c r="K13" s="59"/>
      <c r="U13" s="58"/>
      <c r="AD13" s="58"/>
      <c r="AM13" s="58"/>
      <c r="BI13" s="60"/>
      <c r="BK13" s="23"/>
      <c r="BM13" s="4">
        <f t="shared" si="0"/>
        <v>6</v>
      </c>
    </row>
    <row r="14" spans="1:65" ht="15" customHeight="1">
      <c r="A14" s="22"/>
      <c r="B14" s="58"/>
      <c r="K14" s="59"/>
      <c r="U14" s="58"/>
      <c r="AD14" s="58"/>
      <c r="AM14" s="58"/>
      <c r="BI14" s="60"/>
      <c r="BK14" s="23"/>
      <c r="BM14" s="4">
        <f t="shared" si="0"/>
        <v>7</v>
      </c>
    </row>
    <row r="15" spans="1:65" ht="15" customHeight="1">
      <c r="A15" s="22"/>
      <c r="B15" s="58"/>
      <c r="K15" s="59"/>
      <c r="U15" s="58"/>
      <c r="AD15" s="58"/>
      <c r="AM15" s="58"/>
      <c r="BI15" s="60"/>
      <c r="BK15" s="23"/>
      <c r="BM15" s="4">
        <f t="shared" si="0"/>
        <v>8</v>
      </c>
    </row>
    <row r="16" spans="1:65" ht="15" customHeight="1">
      <c r="A16" s="22"/>
      <c r="B16" s="58"/>
      <c r="K16" s="59"/>
      <c r="U16" s="58"/>
      <c r="AD16" s="58"/>
      <c r="AM16" s="58"/>
      <c r="BI16" s="60"/>
      <c r="BK16" s="23"/>
      <c r="BM16" s="4">
        <f t="shared" si="0"/>
        <v>9</v>
      </c>
    </row>
    <row r="17" spans="1:65" ht="15" customHeight="1">
      <c r="A17" s="22"/>
      <c r="B17" s="58"/>
      <c r="K17" s="59"/>
      <c r="U17" s="58"/>
      <c r="AD17" s="58"/>
      <c r="AM17" s="58"/>
      <c r="BI17" s="60"/>
      <c r="BK17" s="23"/>
      <c r="BM17" s="4">
        <f t="shared" si="0"/>
        <v>10</v>
      </c>
    </row>
    <row r="18" spans="1:65" ht="15" customHeight="1">
      <c r="A18" s="22"/>
      <c r="B18" s="58"/>
      <c r="K18" s="59"/>
      <c r="U18" s="58"/>
      <c r="AD18" s="58"/>
      <c r="AM18" s="58"/>
      <c r="BI18" s="60"/>
      <c r="BK18" s="23"/>
      <c r="BM18" s="4">
        <f t="shared" si="0"/>
        <v>11</v>
      </c>
    </row>
    <row r="19" spans="1:65" ht="15" customHeight="1">
      <c r="A19" s="22"/>
      <c r="B19" s="58"/>
      <c r="K19" s="59"/>
      <c r="U19" s="58"/>
      <c r="AD19" s="58"/>
      <c r="AM19" s="58"/>
      <c r="BI19" s="60"/>
      <c r="BK19" s="23"/>
      <c r="BM19" s="4">
        <f t="shared" si="0"/>
        <v>12</v>
      </c>
    </row>
    <row r="20" spans="1:65" ht="15" customHeight="1">
      <c r="A20" s="22"/>
      <c r="B20" s="58"/>
      <c r="K20" s="59"/>
      <c r="U20" s="58"/>
      <c r="AD20" s="58"/>
      <c r="AM20" s="58"/>
      <c r="BI20" s="60"/>
      <c r="BK20" s="23"/>
      <c r="BM20" s="4">
        <f t="shared" si="0"/>
        <v>13</v>
      </c>
    </row>
    <row r="21" spans="1:65" ht="15" customHeight="1">
      <c r="A21" s="22"/>
      <c r="B21" s="58"/>
      <c r="K21" s="59"/>
      <c r="U21" s="58"/>
      <c r="AD21" s="58"/>
      <c r="AM21" s="58"/>
      <c r="BI21" s="60"/>
      <c r="BK21" s="23"/>
      <c r="BM21" s="4">
        <f t="shared" si="0"/>
        <v>14</v>
      </c>
    </row>
    <row r="22" spans="1:65" s="46" customFormat="1" ht="15" customHeight="1">
      <c r="A22" s="48"/>
      <c r="B22" s="58"/>
      <c r="K22" s="59"/>
      <c r="L22" s="61"/>
      <c r="T22" s="59"/>
      <c r="U22" s="61"/>
      <c r="AC22" s="59"/>
      <c r="AD22" s="61"/>
      <c r="AL22" s="59"/>
      <c r="AM22" s="61"/>
      <c r="BI22" s="59"/>
      <c r="BK22" s="50"/>
      <c r="BM22" s="4">
        <f t="shared" si="0"/>
        <v>15</v>
      </c>
    </row>
    <row r="23" spans="1:65" s="46" customFormat="1" ht="15" customHeight="1">
      <c r="A23" s="48"/>
      <c r="B23" s="58"/>
      <c r="K23" s="59"/>
      <c r="L23" s="61"/>
      <c r="T23" s="59"/>
      <c r="U23" s="61"/>
      <c r="AC23" s="59"/>
      <c r="AD23" s="61"/>
      <c r="AL23" s="59"/>
      <c r="AM23" s="61"/>
      <c r="BI23" s="59"/>
      <c r="BK23" s="50"/>
      <c r="BM23" s="4">
        <f t="shared" si="0"/>
        <v>16</v>
      </c>
    </row>
    <row r="24" spans="1:65" s="46" customFormat="1" ht="15" customHeight="1">
      <c r="A24" s="48"/>
      <c r="B24" s="58"/>
      <c r="K24" s="59"/>
      <c r="L24" s="61"/>
      <c r="T24" s="59"/>
      <c r="U24" s="61"/>
      <c r="AC24" s="59"/>
      <c r="AD24" s="61"/>
      <c r="AL24" s="59"/>
      <c r="AM24" s="61"/>
      <c r="BI24" s="59"/>
      <c r="BK24" s="50"/>
      <c r="BM24" s="4">
        <f t="shared" si="0"/>
        <v>17</v>
      </c>
    </row>
    <row r="25" spans="1:65" s="46" customFormat="1" ht="15" customHeight="1">
      <c r="A25" s="48"/>
      <c r="B25" s="58"/>
      <c r="K25" s="59"/>
      <c r="L25" s="61"/>
      <c r="T25" s="59"/>
      <c r="U25" s="61"/>
      <c r="AC25" s="59"/>
      <c r="AD25" s="61"/>
      <c r="AL25" s="59"/>
      <c r="AM25" s="61"/>
      <c r="BI25" s="59"/>
      <c r="BK25" s="50"/>
      <c r="BM25" s="4">
        <f t="shared" si="0"/>
        <v>18</v>
      </c>
    </row>
    <row r="26" spans="1:65" s="46" customFormat="1" ht="15" customHeight="1">
      <c r="A26" s="48"/>
      <c r="B26" s="58"/>
      <c r="K26" s="59"/>
      <c r="L26" s="61"/>
      <c r="T26" s="59"/>
      <c r="U26" s="61"/>
      <c r="AC26" s="59"/>
      <c r="AD26" s="61"/>
      <c r="AL26" s="59"/>
      <c r="AM26" s="61"/>
      <c r="BI26" s="59"/>
      <c r="BK26" s="50"/>
      <c r="BM26" s="4">
        <f t="shared" si="0"/>
        <v>19</v>
      </c>
    </row>
    <row r="27" spans="1:65" s="46" customFormat="1" ht="15" customHeight="1">
      <c r="A27" s="48"/>
      <c r="B27" s="58"/>
      <c r="K27" s="59"/>
      <c r="L27" s="61"/>
      <c r="T27" s="59"/>
      <c r="U27" s="61"/>
      <c r="AC27" s="59"/>
      <c r="AD27" s="61"/>
      <c r="AL27" s="59"/>
      <c r="AM27" s="61"/>
      <c r="BI27" s="59"/>
      <c r="BK27" s="50"/>
      <c r="BM27" s="4">
        <f t="shared" si="0"/>
        <v>20</v>
      </c>
    </row>
    <row r="28" spans="1:65" s="46" customFormat="1" ht="15" customHeight="1">
      <c r="A28" s="48"/>
      <c r="B28" s="58"/>
      <c r="K28" s="59"/>
      <c r="L28" s="61"/>
      <c r="T28" s="59"/>
      <c r="U28" s="61"/>
      <c r="AC28" s="59"/>
      <c r="AD28" s="61"/>
      <c r="AL28" s="59"/>
      <c r="AM28" s="61"/>
      <c r="BI28" s="59"/>
      <c r="BK28" s="50"/>
      <c r="BM28" s="4">
        <f t="shared" si="0"/>
        <v>21</v>
      </c>
    </row>
    <row r="29" spans="1:65" s="46" customFormat="1" ht="15" customHeight="1">
      <c r="A29" s="48"/>
      <c r="B29" s="58"/>
      <c r="K29" s="59"/>
      <c r="L29" s="61"/>
      <c r="T29" s="59"/>
      <c r="U29" s="61"/>
      <c r="AC29" s="59"/>
      <c r="AD29" s="61"/>
      <c r="AL29" s="59"/>
      <c r="AM29" s="61"/>
      <c r="BI29" s="59"/>
      <c r="BK29" s="50"/>
      <c r="BM29" s="4">
        <f t="shared" si="0"/>
        <v>22</v>
      </c>
    </row>
    <row r="30" spans="1:65" s="46" customFormat="1" ht="15" customHeight="1">
      <c r="A30" s="48"/>
      <c r="B30" s="58"/>
      <c r="K30" s="59"/>
      <c r="L30" s="61"/>
      <c r="T30" s="59"/>
      <c r="U30" s="61"/>
      <c r="AC30" s="59"/>
      <c r="AD30" s="61"/>
      <c r="AL30" s="59"/>
      <c r="AM30" s="61"/>
      <c r="BI30" s="59"/>
      <c r="BK30" s="50"/>
      <c r="BM30" s="4">
        <f t="shared" si="0"/>
        <v>23</v>
      </c>
    </row>
    <row r="31" spans="1:65" s="46" customFormat="1" ht="15" customHeight="1">
      <c r="A31" s="48"/>
      <c r="B31" s="58"/>
      <c r="K31" s="59"/>
      <c r="L31" s="61"/>
      <c r="T31" s="59"/>
      <c r="U31" s="61"/>
      <c r="AC31" s="59"/>
      <c r="AD31" s="61"/>
      <c r="AL31" s="59"/>
      <c r="AM31" s="61"/>
      <c r="BI31" s="59"/>
      <c r="BK31" s="50"/>
      <c r="BM31" s="4">
        <f t="shared" si="0"/>
        <v>24</v>
      </c>
    </row>
    <row r="32" spans="1:65" s="46" customFormat="1" ht="15" customHeight="1">
      <c r="A32" s="48"/>
      <c r="B32" s="58"/>
      <c r="K32" s="59"/>
      <c r="L32" s="61"/>
      <c r="T32" s="59"/>
      <c r="U32" s="61"/>
      <c r="AC32" s="59"/>
      <c r="AD32" s="61"/>
      <c r="AL32" s="59"/>
      <c r="AM32" s="61"/>
      <c r="BI32" s="59"/>
      <c r="BK32" s="50"/>
      <c r="BM32" s="4">
        <f t="shared" si="0"/>
        <v>25</v>
      </c>
    </row>
    <row r="33" spans="1:65" s="46" customFormat="1" ht="15" customHeight="1">
      <c r="A33" s="48"/>
      <c r="B33" s="58"/>
      <c r="K33" s="59"/>
      <c r="L33" s="61"/>
      <c r="T33" s="59"/>
      <c r="U33" s="61"/>
      <c r="AC33" s="59"/>
      <c r="AD33" s="61"/>
      <c r="AL33" s="59"/>
      <c r="AM33" s="61"/>
      <c r="BI33" s="59"/>
      <c r="BK33" s="50"/>
      <c r="BM33" s="4">
        <f t="shared" si="0"/>
        <v>26</v>
      </c>
    </row>
    <row r="34" spans="1:65" s="46" customFormat="1" ht="15" customHeight="1">
      <c r="A34" s="48"/>
      <c r="B34" s="58"/>
      <c r="K34" s="59"/>
      <c r="L34" s="61"/>
      <c r="T34" s="59"/>
      <c r="U34" s="61"/>
      <c r="AC34" s="59"/>
      <c r="AD34" s="61"/>
      <c r="AL34" s="59"/>
      <c r="AM34" s="61"/>
      <c r="BI34" s="59"/>
      <c r="BK34" s="50"/>
      <c r="BM34" s="4">
        <f t="shared" si="0"/>
        <v>27</v>
      </c>
    </row>
    <row r="35" spans="1:65" s="46" customFormat="1" ht="15" customHeight="1">
      <c r="A35" s="48"/>
      <c r="B35" s="58"/>
      <c r="K35" s="59"/>
      <c r="L35" s="61"/>
      <c r="T35" s="59"/>
      <c r="U35" s="61"/>
      <c r="AC35" s="59"/>
      <c r="AD35" s="61"/>
      <c r="AL35" s="59"/>
      <c r="AM35" s="61"/>
      <c r="BI35" s="59"/>
      <c r="BK35" s="50"/>
      <c r="BM35" s="4">
        <f t="shared" si="0"/>
        <v>28</v>
      </c>
    </row>
    <row r="36" spans="1:65" s="46" customFormat="1" ht="15" customHeight="1">
      <c r="A36" s="48"/>
      <c r="B36" s="58"/>
      <c r="K36" s="59"/>
      <c r="L36" s="61"/>
      <c r="T36" s="59"/>
      <c r="U36" s="61"/>
      <c r="AC36" s="59"/>
      <c r="AD36" s="61"/>
      <c r="AL36" s="59"/>
      <c r="AM36" s="61"/>
      <c r="BI36" s="59"/>
      <c r="BK36" s="50"/>
      <c r="BM36" s="4">
        <f t="shared" si="0"/>
        <v>29</v>
      </c>
    </row>
    <row r="37" spans="1:65" s="46" customFormat="1" ht="15" customHeight="1">
      <c r="A37" s="48"/>
      <c r="B37" s="58"/>
      <c r="K37" s="59"/>
      <c r="L37" s="61"/>
      <c r="T37" s="59"/>
      <c r="U37" s="61"/>
      <c r="AC37" s="59"/>
      <c r="AD37" s="61"/>
      <c r="AL37" s="59"/>
      <c r="AM37" s="61"/>
      <c r="BI37" s="59"/>
      <c r="BK37" s="50"/>
      <c r="BM37" s="4">
        <f t="shared" si="0"/>
        <v>30</v>
      </c>
    </row>
    <row r="38" spans="1:65" s="46" customFormat="1" ht="15" customHeight="1">
      <c r="A38" s="48"/>
      <c r="B38" s="58"/>
      <c r="K38" s="59"/>
      <c r="L38" s="61"/>
      <c r="T38" s="59"/>
      <c r="U38" s="61"/>
      <c r="AC38" s="59"/>
      <c r="AD38" s="61"/>
      <c r="AL38" s="59"/>
      <c r="AM38" s="61"/>
      <c r="BI38" s="59"/>
      <c r="BK38" s="50"/>
      <c r="BM38" s="4">
        <f t="shared" si="0"/>
        <v>31</v>
      </c>
    </row>
    <row r="39" spans="1:65" s="46" customFormat="1" ht="15" customHeight="1">
      <c r="A39" s="48"/>
      <c r="B39" s="58"/>
      <c r="K39" s="59"/>
      <c r="L39" s="61"/>
      <c r="T39" s="59"/>
      <c r="U39" s="61"/>
      <c r="AC39" s="59"/>
      <c r="AD39" s="61"/>
      <c r="AL39" s="59"/>
      <c r="AM39" s="61"/>
      <c r="BI39" s="59"/>
      <c r="BK39" s="50"/>
      <c r="BM39" s="4">
        <f t="shared" si="0"/>
        <v>32</v>
      </c>
    </row>
    <row r="40" spans="1:65" s="46" customFormat="1" ht="15" customHeight="1">
      <c r="A40" s="48"/>
      <c r="B40" s="58"/>
      <c r="K40" s="59"/>
      <c r="L40" s="61"/>
      <c r="T40" s="59"/>
      <c r="U40" s="61"/>
      <c r="AC40" s="59"/>
      <c r="AD40" s="61"/>
      <c r="AL40" s="59"/>
      <c r="AM40" s="61"/>
      <c r="BI40" s="59"/>
      <c r="BK40" s="50"/>
      <c r="BM40" s="4">
        <f t="shared" si="0"/>
        <v>33</v>
      </c>
    </row>
    <row r="41" spans="1:65" s="46" customFormat="1" ht="15" customHeight="1">
      <c r="A41" s="48"/>
      <c r="B41" s="58"/>
      <c r="K41" s="59"/>
      <c r="L41" s="61"/>
      <c r="T41" s="59"/>
      <c r="U41" s="61"/>
      <c r="AC41" s="59"/>
      <c r="AD41" s="61"/>
      <c r="AL41" s="59"/>
      <c r="AM41" s="61"/>
      <c r="BI41" s="59"/>
      <c r="BK41" s="50"/>
      <c r="BM41" s="4">
        <f t="shared" si="0"/>
        <v>34</v>
      </c>
    </row>
    <row r="42" spans="1:65" s="46" customFormat="1" ht="15" customHeight="1">
      <c r="A42" s="48"/>
      <c r="B42" s="61"/>
      <c r="K42" s="59"/>
      <c r="L42" s="61"/>
      <c r="T42" s="59"/>
      <c r="U42" s="61"/>
      <c r="AC42" s="59"/>
      <c r="AD42" s="61"/>
      <c r="AL42" s="59"/>
      <c r="AM42" s="61"/>
      <c r="BI42" s="59"/>
      <c r="BK42" s="50"/>
      <c r="BM42" s="4">
        <f t="shared" si="0"/>
        <v>35</v>
      </c>
    </row>
    <row r="43" spans="1:65" s="46" customFormat="1" ht="15" customHeight="1">
      <c r="A43" s="48"/>
      <c r="B43" s="61"/>
      <c r="K43" s="59"/>
      <c r="L43" s="61"/>
      <c r="T43" s="59"/>
      <c r="U43" s="61"/>
      <c r="AC43" s="59"/>
      <c r="AD43" s="61"/>
      <c r="AL43" s="59"/>
      <c r="AM43" s="61"/>
      <c r="BI43" s="59"/>
      <c r="BK43" s="50"/>
      <c r="BM43" s="4">
        <f t="shared" si="0"/>
        <v>36</v>
      </c>
    </row>
    <row r="44" spans="1:65" s="46" customFormat="1" ht="15" customHeight="1">
      <c r="A44" s="48"/>
      <c r="B44" s="61"/>
      <c r="K44" s="59"/>
      <c r="L44" s="61"/>
      <c r="T44" s="59"/>
      <c r="U44" s="61"/>
      <c r="AC44" s="59"/>
      <c r="AL44" s="59"/>
      <c r="AM44" s="61"/>
      <c r="BI44" s="59"/>
      <c r="BK44" s="50"/>
      <c r="BM44" s="4">
        <f t="shared" si="0"/>
        <v>37</v>
      </c>
    </row>
    <row r="45" spans="1:65" s="46" customFormat="1" ht="15" customHeight="1">
      <c r="A45" s="48"/>
      <c r="B45" s="61"/>
      <c r="K45" s="59"/>
      <c r="L45" s="61"/>
      <c r="T45" s="59"/>
      <c r="U45" s="61"/>
      <c r="AC45" s="59"/>
      <c r="AD45" s="61"/>
      <c r="AL45" s="59"/>
      <c r="AM45" s="61"/>
      <c r="BI45" s="59"/>
      <c r="BK45" s="50"/>
      <c r="BM45" s="4">
        <f t="shared" si="0"/>
        <v>38</v>
      </c>
    </row>
    <row r="46" spans="1:65" s="46" customFormat="1" ht="15" customHeight="1">
      <c r="A46" s="48"/>
      <c r="B46" s="61"/>
      <c r="K46" s="59"/>
      <c r="L46" s="61"/>
      <c r="T46" s="59"/>
      <c r="U46" s="61"/>
      <c r="AC46" s="59"/>
      <c r="AD46" s="61"/>
      <c r="AL46" s="59"/>
      <c r="AM46" s="61"/>
      <c r="BI46" s="59"/>
      <c r="BK46" s="50"/>
      <c r="BM46" s="4">
        <f t="shared" si="0"/>
        <v>39</v>
      </c>
    </row>
    <row r="47" spans="1:65" s="46" customFormat="1" ht="15" customHeight="1">
      <c r="A47" s="48"/>
      <c r="B47" s="61"/>
      <c r="K47" s="59"/>
      <c r="L47" s="61"/>
      <c r="T47" s="59"/>
      <c r="U47" s="61"/>
      <c r="AC47" s="59"/>
      <c r="AD47" s="61"/>
      <c r="AL47" s="59"/>
      <c r="AM47" s="61"/>
      <c r="BI47" s="59"/>
      <c r="BK47" s="50"/>
      <c r="BM47" s="4">
        <f t="shared" si="0"/>
        <v>40</v>
      </c>
    </row>
    <row r="48" spans="1:65" s="46" customFormat="1" ht="15" customHeight="1">
      <c r="A48" s="48"/>
      <c r="B48" s="61"/>
      <c r="K48" s="59"/>
      <c r="L48" s="61"/>
      <c r="T48" s="59"/>
      <c r="U48" s="61"/>
      <c r="AC48" s="59"/>
      <c r="AD48" s="61"/>
      <c r="AL48" s="59"/>
      <c r="AM48" s="61"/>
      <c r="BI48" s="59"/>
      <c r="BK48" s="50"/>
      <c r="BM48" s="4">
        <f t="shared" si="0"/>
        <v>41</v>
      </c>
    </row>
    <row r="49" spans="1:65" s="46" customFormat="1" ht="15" customHeight="1">
      <c r="A49" s="48"/>
      <c r="B49" s="61"/>
      <c r="K49" s="59"/>
      <c r="L49" s="61"/>
      <c r="T49" s="59"/>
      <c r="U49" s="61"/>
      <c r="AC49" s="59"/>
      <c r="AD49" s="61"/>
      <c r="AL49" s="59"/>
      <c r="AM49" s="61"/>
      <c r="BI49" s="59"/>
      <c r="BK49" s="50"/>
      <c r="BM49" s="4">
        <f t="shared" si="0"/>
        <v>42</v>
      </c>
    </row>
    <row r="50" spans="1:65" s="46" customFormat="1" ht="15" customHeight="1">
      <c r="A50" s="48"/>
      <c r="B50" s="61"/>
      <c r="K50" s="59"/>
      <c r="L50" s="61"/>
      <c r="T50" s="59"/>
      <c r="U50" s="61"/>
      <c r="AC50" s="59"/>
      <c r="AD50" s="61"/>
      <c r="AL50" s="59"/>
      <c r="AM50" s="61"/>
      <c r="BI50" s="59"/>
      <c r="BK50" s="50"/>
      <c r="BM50" s="4">
        <f t="shared" si="0"/>
        <v>43</v>
      </c>
    </row>
    <row r="51" spans="1:65" s="46" customFormat="1" ht="15" customHeight="1">
      <c r="A51" s="48"/>
      <c r="B51" s="61"/>
      <c r="K51" s="59"/>
      <c r="L51" s="61"/>
      <c r="T51" s="59"/>
      <c r="U51" s="61"/>
      <c r="AC51" s="59"/>
      <c r="AD51" s="61"/>
      <c r="AL51" s="59"/>
      <c r="AM51" s="61"/>
      <c r="BI51" s="59"/>
      <c r="BK51" s="50"/>
      <c r="BM51" s="4">
        <f t="shared" si="0"/>
        <v>44</v>
      </c>
    </row>
    <row r="52" spans="1:65" s="46" customFormat="1" ht="15" customHeight="1">
      <c r="A52" s="48"/>
      <c r="B52" s="61"/>
      <c r="K52" s="59"/>
      <c r="L52" s="61"/>
      <c r="T52" s="59"/>
      <c r="U52" s="61"/>
      <c r="AC52" s="59"/>
      <c r="AD52" s="61"/>
      <c r="AL52" s="59"/>
      <c r="AM52" s="61"/>
      <c r="BI52" s="59"/>
      <c r="BK52" s="50"/>
      <c r="BM52" s="4">
        <f t="shared" si="0"/>
        <v>45</v>
      </c>
    </row>
    <row r="53" spans="1:65" s="46" customFormat="1" ht="15" customHeight="1">
      <c r="A53" s="48"/>
      <c r="B53" s="68" t="s">
        <v>53</v>
      </c>
      <c r="C53" s="69"/>
      <c r="D53" s="69"/>
      <c r="E53" s="69"/>
      <c r="F53" s="69"/>
      <c r="G53" s="69"/>
      <c r="H53" s="69"/>
      <c r="I53" s="69"/>
      <c r="J53" s="69"/>
      <c r="K53" s="70"/>
      <c r="L53" s="64"/>
      <c r="M53" s="62"/>
      <c r="N53" s="62"/>
      <c r="O53" s="62"/>
      <c r="P53" s="62"/>
      <c r="Q53" s="62"/>
      <c r="R53" s="62"/>
      <c r="S53" s="62"/>
      <c r="T53" s="63"/>
      <c r="U53" s="64"/>
      <c r="V53" s="62"/>
      <c r="W53" s="62"/>
      <c r="X53" s="62"/>
      <c r="Y53" s="62"/>
      <c r="Z53" s="62"/>
      <c r="AA53" s="62"/>
      <c r="AB53" s="62"/>
      <c r="AC53" s="63"/>
      <c r="AD53" s="64"/>
      <c r="AE53" s="62"/>
      <c r="AF53" s="62"/>
      <c r="AG53" s="62"/>
      <c r="AH53" s="62"/>
      <c r="AI53" s="62"/>
      <c r="AJ53" s="62"/>
      <c r="AK53" s="62"/>
      <c r="AL53" s="63"/>
      <c r="AM53" s="64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3"/>
      <c r="BJ53" s="62"/>
      <c r="BK53" s="50"/>
      <c r="BM53" s="4">
        <f t="shared" si="0"/>
        <v>46</v>
      </c>
    </row>
    <row r="54" spans="1:65" s="46" customFormat="1" ht="15" customHeight="1">
      <c r="A54" s="48"/>
      <c r="B54" s="61"/>
      <c r="K54" s="59"/>
      <c r="L54" s="61"/>
      <c r="T54" s="59"/>
      <c r="U54" s="61"/>
      <c r="AC54" s="59"/>
      <c r="AD54" s="61"/>
      <c r="AL54" s="59"/>
      <c r="AM54" s="61"/>
      <c r="BI54" s="59"/>
      <c r="BK54" s="50"/>
      <c r="BM54" s="4">
        <f t="shared" si="0"/>
        <v>47</v>
      </c>
    </row>
    <row r="55" spans="1:65" s="46" customFormat="1" ht="15" customHeight="1">
      <c r="A55" s="48"/>
      <c r="B55" s="61"/>
      <c r="K55" s="59"/>
      <c r="L55" s="61"/>
      <c r="T55" s="59"/>
      <c r="U55" s="61"/>
      <c r="AC55" s="59"/>
      <c r="AD55" s="61"/>
      <c r="AL55" s="59"/>
      <c r="AM55" s="61"/>
      <c r="BI55" s="59"/>
      <c r="BK55" s="50"/>
      <c r="BM55" s="4">
        <f t="shared" si="0"/>
        <v>48</v>
      </c>
    </row>
    <row r="56" spans="1:65" s="46" customFormat="1" ht="15" customHeight="1">
      <c r="A56" s="48"/>
      <c r="B56" s="61"/>
      <c r="K56" s="59"/>
      <c r="L56" s="61"/>
      <c r="T56" s="59"/>
      <c r="U56" s="61"/>
      <c r="AC56" s="59"/>
      <c r="AD56" s="61"/>
      <c r="AL56" s="59"/>
      <c r="AM56" s="61"/>
      <c r="BI56" s="59"/>
      <c r="BK56" s="50"/>
      <c r="BM56" s="4">
        <f t="shared" si="0"/>
        <v>49</v>
      </c>
    </row>
    <row r="57" spans="1:65" s="46" customFormat="1" ht="15" customHeight="1">
      <c r="A57" s="48"/>
      <c r="B57" s="61"/>
      <c r="K57" s="59"/>
      <c r="L57" s="61"/>
      <c r="T57" s="59"/>
      <c r="U57" s="61"/>
      <c r="AC57" s="59"/>
      <c r="AD57" s="61"/>
      <c r="AL57" s="59"/>
      <c r="AM57" s="61"/>
      <c r="BI57" s="59"/>
      <c r="BK57" s="50"/>
      <c r="BM57" s="4">
        <f t="shared" si="0"/>
        <v>50</v>
      </c>
    </row>
    <row r="58" spans="1:65" s="46" customFormat="1" ht="15" customHeight="1">
      <c r="A58" s="48"/>
      <c r="B58" s="61"/>
      <c r="K58" s="59"/>
      <c r="L58" s="61"/>
      <c r="T58" s="59"/>
      <c r="U58" s="61"/>
      <c r="AC58" s="59"/>
      <c r="AD58" s="61"/>
      <c r="AL58" s="59"/>
      <c r="AM58" s="61"/>
      <c r="BI58" s="59"/>
      <c r="BK58" s="50"/>
      <c r="BM58" s="4">
        <f t="shared" si="0"/>
        <v>1</v>
      </c>
    </row>
    <row r="59" spans="1:65" s="46" customFormat="1" ht="15" customHeight="1">
      <c r="A59" s="48"/>
      <c r="B59" s="61"/>
      <c r="K59" s="59"/>
      <c r="L59" s="61"/>
      <c r="T59" s="59"/>
      <c r="U59" s="61"/>
      <c r="AC59" s="59"/>
      <c r="AD59" s="61"/>
      <c r="AL59" s="59"/>
      <c r="AM59" s="61"/>
      <c r="BI59" s="59"/>
      <c r="BK59" s="50"/>
      <c r="BM59" s="4">
        <f t="shared" si="0"/>
        <v>2</v>
      </c>
    </row>
    <row r="60" spans="1:65" s="46" customFormat="1" ht="15" customHeight="1">
      <c r="A60" s="48"/>
      <c r="B60" s="61"/>
      <c r="K60" s="59"/>
      <c r="L60" s="61"/>
      <c r="T60" s="59"/>
      <c r="U60" s="61"/>
      <c r="AC60" s="59"/>
      <c r="AD60" s="61"/>
      <c r="AL60" s="59"/>
      <c r="AM60" s="61"/>
      <c r="BI60" s="59"/>
      <c r="BK60" s="50"/>
      <c r="BM60" s="4">
        <f t="shared" si="0"/>
        <v>3</v>
      </c>
    </row>
    <row r="61" spans="1:65" s="46" customFormat="1" ht="15" customHeight="1">
      <c r="A61" s="48"/>
      <c r="B61" s="61"/>
      <c r="K61" s="59"/>
      <c r="L61" s="61"/>
      <c r="T61" s="59"/>
      <c r="U61" s="61"/>
      <c r="AC61" s="59"/>
      <c r="AD61" s="61"/>
      <c r="AL61" s="59"/>
      <c r="AM61" s="61"/>
      <c r="BI61" s="59"/>
      <c r="BK61" s="50"/>
      <c r="BM61" s="4">
        <f t="shared" si="0"/>
        <v>4</v>
      </c>
    </row>
    <row r="62" spans="1:65" s="46" customFormat="1" ht="15" customHeight="1">
      <c r="A62" s="48"/>
      <c r="B62" s="61"/>
      <c r="K62" s="59"/>
      <c r="L62" s="61"/>
      <c r="T62" s="59"/>
      <c r="U62" s="61"/>
      <c r="AC62" s="59"/>
      <c r="AD62" s="61"/>
      <c r="AL62" s="59"/>
      <c r="AM62" s="61"/>
      <c r="BI62" s="59"/>
      <c r="BK62" s="50"/>
      <c r="BM62" s="4">
        <f t="shared" si="0"/>
        <v>5</v>
      </c>
    </row>
    <row r="63" spans="1:65" s="46" customFormat="1" ht="15" customHeight="1">
      <c r="A63" s="48"/>
      <c r="B63" s="61"/>
      <c r="K63" s="59"/>
      <c r="L63" s="61"/>
      <c r="T63" s="59"/>
      <c r="U63" s="61"/>
      <c r="AC63" s="59"/>
      <c r="AD63" s="61"/>
      <c r="AL63" s="59"/>
      <c r="AM63" s="61"/>
      <c r="BI63" s="59"/>
      <c r="BK63" s="50"/>
      <c r="BM63" s="4">
        <f t="shared" si="0"/>
        <v>6</v>
      </c>
    </row>
    <row r="64" spans="1:65" s="46" customFormat="1" ht="15" customHeight="1">
      <c r="A64" s="48"/>
      <c r="B64" s="61"/>
      <c r="K64" s="59"/>
      <c r="L64" s="61"/>
      <c r="T64" s="59"/>
      <c r="U64" s="61"/>
      <c r="AC64" s="59"/>
      <c r="AD64" s="61"/>
      <c r="AL64" s="59"/>
      <c r="AM64" s="61"/>
      <c r="BI64" s="59"/>
      <c r="BK64" s="50"/>
      <c r="BM64" s="4">
        <f t="shared" si="0"/>
        <v>7</v>
      </c>
    </row>
    <row r="65" spans="1:65" s="46" customFormat="1" ht="15" customHeight="1">
      <c r="A65" s="48"/>
      <c r="B65" s="61"/>
      <c r="K65" s="59"/>
      <c r="L65" s="61"/>
      <c r="T65" s="59"/>
      <c r="U65" s="61"/>
      <c r="AC65" s="59"/>
      <c r="AD65" s="61"/>
      <c r="AL65" s="59"/>
      <c r="AM65" s="61"/>
      <c r="BI65" s="59"/>
      <c r="BK65" s="50"/>
      <c r="BM65" s="4">
        <f t="shared" si="0"/>
        <v>8</v>
      </c>
    </row>
    <row r="66" spans="1:65" s="46" customFormat="1" ht="15" customHeight="1">
      <c r="A66" s="48"/>
      <c r="B66" s="61"/>
      <c r="K66" s="59"/>
      <c r="L66" s="61"/>
      <c r="T66" s="59"/>
      <c r="U66" s="61"/>
      <c r="AC66" s="59"/>
      <c r="AD66" s="61"/>
      <c r="AL66" s="59"/>
      <c r="AM66" s="61"/>
      <c r="BI66" s="59"/>
      <c r="BK66" s="50"/>
      <c r="BM66" s="4">
        <f t="shared" si="0"/>
        <v>9</v>
      </c>
    </row>
    <row r="67" spans="1:65" s="46" customFormat="1" ht="15" customHeight="1">
      <c r="A67" s="48"/>
      <c r="B67" s="61"/>
      <c r="K67" s="59"/>
      <c r="L67" s="61"/>
      <c r="T67" s="59"/>
      <c r="U67" s="61"/>
      <c r="AC67" s="59"/>
      <c r="AD67" s="61"/>
      <c r="AL67" s="59"/>
      <c r="AM67" s="61"/>
      <c r="BI67" s="59"/>
      <c r="BK67" s="50"/>
      <c r="BM67" s="4">
        <f t="shared" si="0"/>
        <v>10</v>
      </c>
    </row>
    <row r="68" spans="1:65" s="46" customFormat="1" ht="15" customHeight="1">
      <c r="A68" s="48"/>
      <c r="B68" s="61"/>
      <c r="K68" s="59"/>
      <c r="L68" s="61"/>
      <c r="T68" s="59"/>
      <c r="U68" s="61"/>
      <c r="AC68" s="59"/>
      <c r="AD68" s="61"/>
      <c r="AL68" s="59"/>
      <c r="AM68" s="61"/>
      <c r="BI68" s="59"/>
      <c r="BK68" s="50"/>
      <c r="BM68" s="4">
        <f t="shared" si="0"/>
        <v>11</v>
      </c>
    </row>
    <row r="69" spans="1:65" s="46" customFormat="1" ht="15" customHeight="1">
      <c r="A69" s="48"/>
      <c r="B69" s="61"/>
      <c r="K69" s="59"/>
      <c r="L69" s="61"/>
      <c r="T69" s="59"/>
      <c r="U69" s="61"/>
      <c r="AC69" s="59"/>
      <c r="AD69" s="61"/>
      <c r="AL69" s="59"/>
      <c r="AM69" s="61"/>
      <c r="BI69" s="59"/>
      <c r="BK69" s="50"/>
      <c r="BM69" s="4">
        <f t="shared" si="0"/>
        <v>12</v>
      </c>
    </row>
    <row r="70" spans="1:65" s="46" customFormat="1" ht="15" customHeight="1">
      <c r="A70" s="48"/>
      <c r="B70" s="61"/>
      <c r="K70" s="59"/>
      <c r="L70" s="61"/>
      <c r="T70" s="59"/>
      <c r="U70" s="61"/>
      <c r="AC70" s="59"/>
      <c r="AD70" s="61"/>
      <c r="AL70" s="59"/>
      <c r="AM70" s="61"/>
      <c r="BI70" s="59"/>
      <c r="BK70" s="50"/>
      <c r="BM70" s="4">
        <f t="shared" si="0"/>
        <v>13</v>
      </c>
    </row>
    <row r="71" spans="1:65" s="46" customFormat="1" ht="15" customHeight="1">
      <c r="A71" s="48"/>
      <c r="B71" s="61"/>
      <c r="K71" s="59"/>
      <c r="L71" s="61"/>
      <c r="T71" s="59"/>
      <c r="U71" s="61"/>
      <c r="AC71" s="59"/>
      <c r="AD71" s="61"/>
      <c r="AL71" s="59"/>
      <c r="AM71" s="61"/>
      <c r="BI71" s="59"/>
      <c r="BK71" s="50"/>
      <c r="BM71" s="4">
        <f t="shared" si="0"/>
        <v>14</v>
      </c>
    </row>
    <row r="72" spans="1:65" s="46" customFormat="1" ht="15" customHeight="1">
      <c r="A72" s="48"/>
      <c r="B72" s="61"/>
      <c r="K72" s="59"/>
      <c r="L72" s="61"/>
      <c r="T72" s="59"/>
      <c r="U72" s="61"/>
      <c r="AC72" s="59"/>
      <c r="AD72" s="61"/>
      <c r="AL72" s="59"/>
      <c r="AM72" s="61"/>
      <c r="BI72" s="59"/>
      <c r="BK72" s="50"/>
      <c r="BM72" s="4">
        <f t="shared" ref="BM72:BM135" si="1">IF(BM71=50,1,BM71+1)</f>
        <v>15</v>
      </c>
    </row>
    <row r="73" spans="1:65" s="46" customFormat="1" ht="15" customHeight="1">
      <c r="A73" s="48"/>
      <c r="B73" s="61"/>
      <c r="K73" s="59"/>
      <c r="L73" s="61"/>
      <c r="T73" s="59"/>
      <c r="U73" s="61"/>
      <c r="AC73" s="59"/>
      <c r="AD73" s="61"/>
      <c r="AL73" s="59"/>
      <c r="AM73" s="61"/>
      <c r="BI73" s="59"/>
      <c r="BK73" s="50"/>
      <c r="BM73" s="4">
        <f t="shared" si="1"/>
        <v>16</v>
      </c>
    </row>
    <row r="74" spans="1:65" s="46" customFormat="1" ht="15" customHeight="1">
      <c r="A74" s="48"/>
      <c r="B74" s="61"/>
      <c r="K74" s="59"/>
      <c r="L74" s="61"/>
      <c r="T74" s="59"/>
      <c r="U74" s="61"/>
      <c r="AC74" s="59"/>
      <c r="AD74" s="61"/>
      <c r="AL74" s="59"/>
      <c r="AM74" s="61"/>
      <c r="BI74" s="59"/>
      <c r="BK74" s="50"/>
      <c r="BM74" s="4">
        <f t="shared" si="1"/>
        <v>17</v>
      </c>
    </row>
    <row r="75" spans="1:65" s="46" customFormat="1" ht="15" customHeight="1">
      <c r="A75" s="48"/>
      <c r="B75" s="68" t="s">
        <v>54</v>
      </c>
      <c r="C75" s="69"/>
      <c r="D75" s="69"/>
      <c r="E75" s="69"/>
      <c r="F75" s="69"/>
      <c r="G75" s="69"/>
      <c r="H75" s="69"/>
      <c r="I75" s="69"/>
      <c r="J75" s="69"/>
      <c r="K75" s="70"/>
      <c r="L75" s="64"/>
      <c r="M75" s="62"/>
      <c r="N75" s="62"/>
      <c r="O75" s="62"/>
      <c r="P75" s="62"/>
      <c r="Q75" s="62"/>
      <c r="R75" s="62"/>
      <c r="S75" s="62"/>
      <c r="T75" s="63"/>
      <c r="U75" s="64"/>
      <c r="V75" s="62"/>
      <c r="W75" s="62"/>
      <c r="X75" s="62"/>
      <c r="Y75" s="62"/>
      <c r="Z75" s="62"/>
      <c r="AA75" s="62"/>
      <c r="AB75" s="62"/>
      <c r="AC75" s="63"/>
      <c r="AD75" s="64"/>
      <c r="AE75" s="62"/>
      <c r="AF75" s="62"/>
      <c r="AG75" s="62"/>
      <c r="AH75" s="62"/>
      <c r="AI75" s="62"/>
      <c r="AJ75" s="62"/>
      <c r="AK75" s="62"/>
      <c r="AL75" s="63"/>
      <c r="AM75" s="64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3"/>
      <c r="BJ75" s="62"/>
      <c r="BK75" s="50"/>
      <c r="BM75" s="4">
        <f t="shared" si="1"/>
        <v>18</v>
      </c>
    </row>
    <row r="76" spans="1:65" s="46" customFormat="1" ht="15" customHeight="1">
      <c r="A76" s="48"/>
      <c r="B76" s="61"/>
      <c r="K76" s="59"/>
      <c r="L76" s="61"/>
      <c r="T76" s="59"/>
      <c r="U76" s="61"/>
      <c r="AC76" s="59"/>
      <c r="AD76" s="61"/>
      <c r="AL76" s="59"/>
      <c r="AM76" s="61"/>
      <c r="BI76" s="59"/>
      <c r="BK76" s="50"/>
      <c r="BM76" s="4">
        <f t="shared" si="1"/>
        <v>19</v>
      </c>
    </row>
    <row r="77" spans="1:65" s="46" customFormat="1" ht="15" customHeight="1">
      <c r="A77" s="48"/>
      <c r="B77" s="61"/>
      <c r="K77" s="59"/>
      <c r="L77" s="61"/>
      <c r="T77" s="59"/>
      <c r="U77" s="61"/>
      <c r="AC77" s="59"/>
      <c r="AD77" s="61"/>
      <c r="AL77" s="59"/>
      <c r="AM77" s="61"/>
      <c r="BI77" s="59"/>
      <c r="BK77" s="50"/>
      <c r="BM77" s="4">
        <f t="shared" si="1"/>
        <v>20</v>
      </c>
    </row>
    <row r="78" spans="1:65" s="46" customFormat="1" ht="15" customHeight="1">
      <c r="A78" s="48"/>
      <c r="B78" s="61"/>
      <c r="K78" s="59"/>
      <c r="L78" s="61"/>
      <c r="T78" s="59"/>
      <c r="U78" s="61"/>
      <c r="AC78" s="59"/>
      <c r="AD78" s="61"/>
      <c r="AL78" s="59"/>
      <c r="AM78" s="61"/>
      <c r="BI78" s="59"/>
      <c r="BK78" s="50"/>
      <c r="BM78" s="4">
        <f t="shared" si="1"/>
        <v>21</v>
      </c>
    </row>
    <row r="79" spans="1:65" s="46" customFormat="1" ht="15" customHeight="1">
      <c r="A79" s="48"/>
      <c r="B79" s="61"/>
      <c r="K79" s="59"/>
      <c r="L79" s="61"/>
      <c r="T79" s="59"/>
      <c r="U79" s="61"/>
      <c r="AC79" s="59"/>
      <c r="AD79" s="61"/>
      <c r="AL79" s="59"/>
      <c r="AM79" s="61"/>
      <c r="BI79" s="59"/>
      <c r="BK79" s="50"/>
      <c r="BM79" s="4">
        <f t="shared" si="1"/>
        <v>22</v>
      </c>
    </row>
    <row r="80" spans="1:65" s="46" customFormat="1" ht="15" customHeight="1">
      <c r="A80" s="48"/>
      <c r="B80" s="61"/>
      <c r="K80" s="59"/>
      <c r="L80" s="61"/>
      <c r="T80" s="59"/>
      <c r="U80" s="61"/>
      <c r="AC80" s="59"/>
      <c r="AD80" s="61"/>
      <c r="AL80" s="59"/>
      <c r="AM80" s="61"/>
      <c r="BI80" s="59"/>
      <c r="BK80" s="50"/>
      <c r="BM80" s="4">
        <f t="shared" si="1"/>
        <v>23</v>
      </c>
    </row>
    <row r="81" spans="1:65" s="46" customFormat="1" ht="15" customHeight="1">
      <c r="A81" s="48"/>
      <c r="B81" s="61"/>
      <c r="K81" s="59"/>
      <c r="L81" s="61"/>
      <c r="T81" s="59"/>
      <c r="U81" s="61"/>
      <c r="AC81" s="59"/>
      <c r="AD81" s="61"/>
      <c r="AL81" s="59"/>
      <c r="AM81" s="61"/>
      <c r="BI81" s="59"/>
      <c r="BK81" s="50"/>
      <c r="BM81" s="4">
        <f t="shared" si="1"/>
        <v>24</v>
      </c>
    </row>
    <row r="82" spans="1:65" s="46" customFormat="1" ht="15" customHeight="1">
      <c r="A82" s="48"/>
      <c r="B82" s="61"/>
      <c r="K82" s="59"/>
      <c r="L82" s="61"/>
      <c r="T82" s="59"/>
      <c r="U82" s="61"/>
      <c r="AC82" s="59"/>
      <c r="AD82" s="61"/>
      <c r="AL82" s="59"/>
      <c r="AM82" s="61"/>
      <c r="BI82" s="59"/>
      <c r="BK82" s="50"/>
      <c r="BM82" s="4">
        <f t="shared" si="1"/>
        <v>25</v>
      </c>
    </row>
    <row r="83" spans="1:65" s="46" customFormat="1" ht="15" customHeight="1">
      <c r="A83" s="48"/>
      <c r="B83" s="61"/>
      <c r="K83" s="59"/>
      <c r="L83" s="61"/>
      <c r="T83" s="59"/>
      <c r="U83" s="61"/>
      <c r="AC83" s="59"/>
      <c r="AD83" s="61"/>
      <c r="AL83" s="59"/>
      <c r="AM83" s="61"/>
      <c r="BI83" s="59"/>
      <c r="BK83" s="50"/>
      <c r="BM83" s="4">
        <f t="shared" si="1"/>
        <v>26</v>
      </c>
    </row>
    <row r="84" spans="1:65" s="46" customFormat="1" ht="15" customHeight="1">
      <c r="A84" s="48"/>
      <c r="B84" s="61"/>
      <c r="K84" s="59"/>
      <c r="L84" s="61"/>
      <c r="T84" s="59"/>
      <c r="U84" s="61"/>
      <c r="AC84" s="59"/>
      <c r="AD84" s="61"/>
      <c r="AL84" s="59"/>
      <c r="AM84" s="61"/>
      <c r="BI84" s="59"/>
      <c r="BK84" s="50"/>
      <c r="BM84" s="4">
        <f t="shared" si="1"/>
        <v>27</v>
      </c>
    </row>
    <row r="85" spans="1:65" s="46" customFormat="1" ht="15" customHeight="1">
      <c r="A85" s="48"/>
      <c r="B85" s="61"/>
      <c r="K85" s="59"/>
      <c r="L85" s="61"/>
      <c r="T85" s="59"/>
      <c r="U85" s="61"/>
      <c r="AC85" s="59"/>
      <c r="AD85" s="61"/>
      <c r="AL85" s="59"/>
      <c r="AM85" s="61"/>
      <c r="BI85" s="59"/>
      <c r="BK85" s="50"/>
      <c r="BM85" s="4">
        <f t="shared" si="1"/>
        <v>28</v>
      </c>
    </row>
    <row r="86" spans="1:65" s="46" customFormat="1" ht="15" customHeight="1">
      <c r="A86" s="48"/>
      <c r="B86" s="61"/>
      <c r="K86" s="59"/>
      <c r="L86" s="61"/>
      <c r="T86" s="59"/>
      <c r="U86" s="61"/>
      <c r="AC86" s="59"/>
      <c r="AD86" s="61"/>
      <c r="AL86" s="59"/>
      <c r="AM86" s="61"/>
      <c r="BI86" s="59"/>
      <c r="BK86" s="50"/>
      <c r="BM86" s="4">
        <f t="shared" si="1"/>
        <v>29</v>
      </c>
    </row>
    <row r="87" spans="1:65" s="46" customFormat="1" ht="15" customHeight="1">
      <c r="A87" s="48"/>
      <c r="B87" s="61"/>
      <c r="K87" s="59"/>
      <c r="L87" s="61"/>
      <c r="T87" s="59"/>
      <c r="U87" s="61"/>
      <c r="AC87" s="59"/>
      <c r="AD87" s="61"/>
      <c r="AL87" s="59"/>
      <c r="AM87" s="61"/>
      <c r="BI87" s="59"/>
      <c r="BK87" s="50"/>
      <c r="BM87" s="4">
        <f t="shared" si="1"/>
        <v>30</v>
      </c>
    </row>
    <row r="88" spans="1:65" s="46" customFormat="1" ht="15" customHeight="1">
      <c r="A88" s="48"/>
      <c r="B88" s="61"/>
      <c r="K88" s="59"/>
      <c r="L88" s="61"/>
      <c r="T88" s="59"/>
      <c r="U88" s="61"/>
      <c r="AC88" s="59"/>
      <c r="AD88" s="61"/>
      <c r="AL88" s="59"/>
      <c r="AM88" s="61"/>
      <c r="BI88" s="59"/>
      <c r="BK88" s="50"/>
      <c r="BM88" s="4">
        <f t="shared" si="1"/>
        <v>31</v>
      </c>
    </row>
    <row r="89" spans="1:65" s="46" customFormat="1" ht="15" customHeight="1">
      <c r="A89" s="48"/>
      <c r="B89" s="61"/>
      <c r="K89" s="59"/>
      <c r="L89" s="61"/>
      <c r="T89" s="59"/>
      <c r="U89" s="61"/>
      <c r="AC89" s="59"/>
      <c r="AD89" s="61"/>
      <c r="AL89" s="59"/>
      <c r="AM89" s="61"/>
      <c r="BI89" s="59"/>
      <c r="BK89" s="50"/>
      <c r="BM89" s="4">
        <f t="shared" si="1"/>
        <v>32</v>
      </c>
    </row>
    <row r="90" spans="1:65" s="46" customFormat="1" ht="15" customHeight="1">
      <c r="A90" s="48"/>
      <c r="B90" s="61"/>
      <c r="K90" s="59"/>
      <c r="L90" s="61"/>
      <c r="T90" s="59"/>
      <c r="U90" s="61"/>
      <c r="AC90" s="59"/>
      <c r="AD90" s="61"/>
      <c r="AL90" s="59"/>
      <c r="AM90" s="61"/>
      <c r="BI90" s="59"/>
      <c r="BK90" s="50"/>
      <c r="BM90" s="4">
        <f t="shared" si="1"/>
        <v>33</v>
      </c>
    </row>
    <row r="91" spans="1:65" s="46" customFormat="1" ht="15" customHeight="1">
      <c r="A91" s="48"/>
      <c r="B91" s="61"/>
      <c r="K91" s="59"/>
      <c r="L91" s="61"/>
      <c r="T91" s="59"/>
      <c r="U91" s="61"/>
      <c r="AC91" s="59"/>
      <c r="AD91" s="61"/>
      <c r="AL91" s="59"/>
      <c r="AM91" s="61"/>
      <c r="BI91" s="59"/>
      <c r="BK91" s="50"/>
      <c r="BM91" s="4">
        <f t="shared" si="1"/>
        <v>34</v>
      </c>
    </row>
    <row r="92" spans="1:65" s="46" customFormat="1" ht="15" customHeight="1">
      <c r="A92" s="48"/>
      <c r="B92" s="61"/>
      <c r="K92" s="59"/>
      <c r="L92" s="61"/>
      <c r="T92" s="59"/>
      <c r="U92" s="61"/>
      <c r="AC92" s="59"/>
      <c r="AD92" s="61"/>
      <c r="AL92" s="59"/>
      <c r="AM92" s="61"/>
      <c r="BI92" s="59"/>
      <c r="BK92" s="50"/>
      <c r="BM92" s="4">
        <f t="shared" si="1"/>
        <v>35</v>
      </c>
    </row>
    <row r="93" spans="1:65" s="46" customFormat="1" ht="15" customHeight="1">
      <c r="A93" s="48"/>
      <c r="B93" s="61"/>
      <c r="K93" s="59"/>
      <c r="L93" s="61"/>
      <c r="T93" s="59"/>
      <c r="U93" s="61"/>
      <c r="AC93" s="59"/>
      <c r="AD93" s="61"/>
      <c r="AL93" s="59"/>
      <c r="AM93" s="61"/>
      <c r="BI93" s="59"/>
      <c r="BK93" s="50"/>
      <c r="BM93" s="4">
        <f t="shared" si="1"/>
        <v>36</v>
      </c>
    </row>
    <row r="94" spans="1:65" s="46" customFormat="1" ht="15" customHeight="1">
      <c r="A94" s="48"/>
      <c r="B94" s="61"/>
      <c r="K94" s="59"/>
      <c r="L94" s="61"/>
      <c r="T94" s="59"/>
      <c r="U94" s="61"/>
      <c r="AC94" s="59"/>
      <c r="AD94" s="61"/>
      <c r="AL94" s="59"/>
      <c r="AM94" s="61"/>
      <c r="BI94" s="59"/>
      <c r="BK94" s="50"/>
      <c r="BM94" s="4">
        <f t="shared" si="1"/>
        <v>37</v>
      </c>
    </row>
    <row r="95" spans="1:65" s="46" customFormat="1" ht="15" customHeight="1">
      <c r="A95" s="48"/>
      <c r="B95" s="61"/>
      <c r="K95" s="59"/>
      <c r="L95" s="61"/>
      <c r="T95" s="59"/>
      <c r="U95" s="61"/>
      <c r="AC95" s="59"/>
      <c r="AD95" s="61"/>
      <c r="AL95" s="59"/>
      <c r="AM95" s="61"/>
      <c r="BI95" s="59"/>
      <c r="BK95" s="50"/>
      <c r="BM95" s="4">
        <f t="shared" si="1"/>
        <v>38</v>
      </c>
    </row>
    <row r="96" spans="1:65" s="46" customFormat="1" ht="15" customHeight="1">
      <c r="A96" s="48"/>
      <c r="B96" s="61"/>
      <c r="K96" s="59"/>
      <c r="L96" s="61"/>
      <c r="T96" s="59"/>
      <c r="U96" s="61"/>
      <c r="AC96" s="59"/>
      <c r="AD96" s="61"/>
      <c r="AL96" s="59"/>
      <c r="AM96" s="61"/>
      <c r="BI96" s="59"/>
      <c r="BK96" s="50"/>
      <c r="BM96" s="4">
        <f t="shared" si="1"/>
        <v>39</v>
      </c>
    </row>
    <row r="97" spans="1:65" s="46" customFormat="1" ht="15" customHeight="1">
      <c r="A97" s="48"/>
      <c r="B97" s="61"/>
      <c r="K97" s="59"/>
      <c r="L97" s="61"/>
      <c r="T97" s="59"/>
      <c r="U97" s="61"/>
      <c r="AC97" s="59"/>
      <c r="AD97" s="61"/>
      <c r="AL97" s="59"/>
      <c r="AM97" s="61"/>
      <c r="BI97" s="59"/>
      <c r="BK97" s="50"/>
      <c r="BM97" s="4">
        <f t="shared" si="1"/>
        <v>40</v>
      </c>
    </row>
    <row r="98" spans="1:65" s="46" customFormat="1" ht="15" customHeight="1">
      <c r="A98" s="48"/>
      <c r="B98" s="61"/>
      <c r="K98" s="59"/>
      <c r="L98" s="61"/>
      <c r="T98" s="59"/>
      <c r="U98" s="61"/>
      <c r="AC98" s="59"/>
      <c r="AD98" s="61"/>
      <c r="AL98" s="59"/>
      <c r="AM98" s="61"/>
      <c r="BI98" s="59"/>
      <c r="BK98" s="50"/>
      <c r="BM98" s="4">
        <f t="shared" si="1"/>
        <v>41</v>
      </c>
    </row>
    <row r="99" spans="1:65" s="46" customFormat="1" ht="15" customHeight="1">
      <c r="A99" s="48"/>
      <c r="B99" s="61"/>
      <c r="K99" s="59"/>
      <c r="L99" s="61"/>
      <c r="T99" s="59"/>
      <c r="U99" s="61"/>
      <c r="AC99" s="59"/>
      <c r="AD99" s="61"/>
      <c r="AL99" s="59"/>
      <c r="AM99" s="61"/>
      <c r="BI99" s="59"/>
      <c r="BK99" s="50"/>
      <c r="BM99" s="4">
        <f t="shared" si="1"/>
        <v>42</v>
      </c>
    </row>
    <row r="100" spans="1:65" s="46" customFormat="1" ht="15" customHeight="1">
      <c r="A100" s="48"/>
      <c r="B100" s="61"/>
      <c r="K100" s="59"/>
      <c r="L100" s="61"/>
      <c r="T100" s="59"/>
      <c r="U100" s="61"/>
      <c r="AC100" s="59"/>
      <c r="AD100" s="61"/>
      <c r="AL100" s="59"/>
      <c r="AM100" s="61"/>
      <c r="BI100" s="59"/>
      <c r="BK100" s="50"/>
      <c r="BM100" s="4">
        <f t="shared" si="1"/>
        <v>43</v>
      </c>
    </row>
    <row r="101" spans="1:65" s="46" customFormat="1" ht="15" customHeight="1">
      <c r="A101" s="48"/>
      <c r="B101" s="61"/>
      <c r="K101" s="59"/>
      <c r="L101" s="61"/>
      <c r="T101" s="59"/>
      <c r="U101" s="61"/>
      <c r="AC101" s="59"/>
      <c r="AD101" s="61"/>
      <c r="AL101" s="59"/>
      <c r="AM101" s="61"/>
      <c r="BI101" s="59"/>
      <c r="BK101" s="50"/>
      <c r="BM101" s="4">
        <f t="shared" si="1"/>
        <v>44</v>
      </c>
    </row>
    <row r="102" spans="1:65" s="46" customFormat="1" ht="15" customHeight="1">
      <c r="A102" s="48"/>
      <c r="B102" s="61"/>
      <c r="K102" s="59"/>
      <c r="L102" s="61"/>
      <c r="T102" s="59"/>
      <c r="U102" s="61"/>
      <c r="AC102" s="59"/>
      <c r="AD102" s="61"/>
      <c r="AL102" s="59"/>
      <c r="AM102" s="61"/>
      <c r="BI102" s="59"/>
      <c r="BK102" s="50"/>
      <c r="BM102" s="4">
        <f t="shared" si="1"/>
        <v>45</v>
      </c>
    </row>
    <row r="103" spans="1:65" s="46" customFormat="1" ht="15" customHeight="1">
      <c r="A103" s="48"/>
      <c r="B103" s="61"/>
      <c r="K103" s="59"/>
      <c r="L103" s="61"/>
      <c r="T103" s="59"/>
      <c r="U103" s="61"/>
      <c r="AC103" s="59"/>
      <c r="AD103" s="61"/>
      <c r="AL103" s="59"/>
      <c r="AM103" s="61"/>
      <c r="BI103" s="59"/>
      <c r="BK103" s="50"/>
      <c r="BM103" s="4">
        <f t="shared" si="1"/>
        <v>46</v>
      </c>
    </row>
    <row r="104" spans="1:65" s="46" customFormat="1" ht="15" customHeight="1">
      <c r="A104" s="48"/>
      <c r="B104" s="61"/>
      <c r="K104" s="59"/>
      <c r="L104" s="61"/>
      <c r="T104" s="59"/>
      <c r="U104" s="61"/>
      <c r="AC104" s="59"/>
      <c r="AD104" s="61"/>
      <c r="AL104" s="59"/>
      <c r="AM104" s="61"/>
      <c r="BI104" s="59"/>
      <c r="BK104" s="50"/>
      <c r="BM104" s="4">
        <f t="shared" si="1"/>
        <v>47</v>
      </c>
    </row>
    <row r="105" spans="1:65" s="46" customFormat="1" ht="15" customHeight="1">
      <c r="A105" s="48"/>
      <c r="B105" s="61"/>
      <c r="K105" s="59"/>
      <c r="L105" s="61"/>
      <c r="T105" s="59"/>
      <c r="U105" s="61"/>
      <c r="AC105" s="59"/>
      <c r="AD105" s="61"/>
      <c r="AL105" s="59"/>
      <c r="AM105" s="61"/>
      <c r="BI105" s="59"/>
      <c r="BK105" s="50"/>
      <c r="BM105" s="4">
        <f t="shared" si="1"/>
        <v>48</v>
      </c>
    </row>
    <row r="106" spans="1:65" s="46" customFormat="1" ht="15" customHeight="1">
      <c r="A106" s="48"/>
      <c r="B106" s="61"/>
      <c r="K106" s="59"/>
      <c r="L106" s="61"/>
      <c r="T106" s="59"/>
      <c r="U106" s="61"/>
      <c r="AC106" s="59"/>
      <c r="AD106" s="61"/>
      <c r="AL106" s="59"/>
      <c r="AM106" s="61"/>
      <c r="BI106" s="59"/>
      <c r="BK106" s="50"/>
      <c r="BM106" s="4">
        <f t="shared" si="1"/>
        <v>49</v>
      </c>
    </row>
    <row r="107" spans="1:65" s="46" customFormat="1" ht="15" customHeight="1">
      <c r="A107" s="71"/>
      <c r="B107" s="68" t="s">
        <v>55</v>
      </c>
      <c r="C107" s="69"/>
      <c r="D107" s="69"/>
      <c r="E107" s="69"/>
      <c r="F107" s="69"/>
      <c r="G107" s="69"/>
      <c r="H107" s="69"/>
      <c r="I107" s="69"/>
      <c r="J107" s="69"/>
      <c r="K107" s="70"/>
      <c r="L107" s="64"/>
      <c r="M107" s="62"/>
      <c r="N107" s="62"/>
      <c r="O107" s="62"/>
      <c r="P107" s="62"/>
      <c r="Q107" s="62"/>
      <c r="R107" s="62"/>
      <c r="S107" s="62"/>
      <c r="T107" s="63"/>
      <c r="U107" s="64"/>
      <c r="V107" s="62"/>
      <c r="W107" s="62"/>
      <c r="X107" s="62"/>
      <c r="Y107" s="62"/>
      <c r="Z107" s="62"/>
      <c r="AA107" s="62"/>
      <c r="AB107" s="62"/>
      <c r="AC107" s="63"/>
      <c r="AD107" s="64"/>
      <c r="AE107" s="62"/>
      <c r="AF107" s="62"/>
      <c r="AG107" s="62"/>
      <c r="AH107" s="62"/>
      <c r="AI107" s="62"/>
      <c r="AJ107" s="62"/>
      <c r="AK107" s="62"/>
      <c r="AL107" s="63"/>
      <c r="AM107" s="64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3"/>
      <c r="BJ107" s="62"/>
      <c r="BK107" s="50"/>
      <c r="BM107" s="4">
        <f t="shared" si="1"/>
        <v>50</v>
      </c>
    </row>
    <row r="108" spans="1:65" s="46" customFormat="1" ht="15" customHeight="1">
      <c r="A108" s="48"/>
      <c r="B108" s="61"/>
      <c r="K108" s="59"/>
      <c r="L108" s="61"/>
      <c r="T108" s="59"/>
      <c r="U108" s="61"/>
      <c r="AC108" s="59"/>
      <c r="AD108" s="61"/>
      <c r="AL108" s="59"/>
      <c r="AM108" s="61"/>
      <c r="BI108" s="59"/>
      <c r="BK108" s="50"/>
      <c r="BM108" s="4">
        <f t="shared" si="1"/>
        <v>1</v>
      </c>
    </row>
    <row r="109" spans="1:65" s="46" customFormat="1" ht="15" customHeight="1">
      <c r="A109" s="48"/>
      <c r="B109" s="61"/>
      <c r="K109" s="59"/>
      <c r="L109" s="61"/>
      <c r="T109" s="59"/>
      <c r="U109" s="61"/>
      <c r="AC109" s="59"/>
      <c r="AD109" s="61"/>
      <c r="AL109" s="59"/>
      <c r="AM109" s="61"/>
      <c r="BI109" s="59"/>
      <c r="BK109" s="50"/>
      <c r="BM109" s="4">
        <f t="shared" si="1"/>
        <v>2</v>
      </c>
    </row>
    <row r="110" spans="1:65" s="46" customFormat="1" ht="15" customHeight="1">
      <c r="A110" s="48"/>
      <c r="B110" s="61"/>
      <c r="K110" s="59"/>
      <c r="L110" s="61"/>
      <c r="T110" s="59"/>
      <c r="U110" s="61"/>
      <c r="AC110" s="59"/>
      <c r="AD110" s="61"/>
      <c r="AL110" s="59"/>
      <c r="AM110" s="61"/>
      <c r="BI110" s="59"/>
      <c r="BK110" s="50"/>
      <c r="BM110" s="4">
        <f t="shared" si="1"/>
        <v>3</v>
      </c>
    </row>
    <row r="111" spans="1:65" s="46" customFormat="1" ht="15" customHeight="1">
      <c r="A111" s="48"/>
      <c r="B111" s="61"/>
      <c r="K111" s="59"/>
      <c r="L111" s="61"/>
      <c r="T111" s="59"/>
      <c r="U111" s="61"/>
      <c r="AC111" s="59"/>
      <c r="AD111" s="61"/>
      <c r="AL111" s="59"/>
      <c r="AM111" s="61"/>
      <c r="BI111" s="59"/>
      <c r="BK111" s="50"/>
      <c r="BM111" s="4">
        <f t="shared" si="1"/>
        <v>4</v>
      </c>
    </row>
    <row r="112" spans="1:65" s="46" customFormat="1" ht="15" customHeight="1">
      <c r="A112" s="48"/>
      <c r="B112" s="61"/>
      <c r="K112" s="59"/>
      <c r="L112" s="61"/>
      <c r="T112" s="59"/>
      <c r="U112" s="61"/>
      <c r="AC112" s="59"/>
      <c r="AD112" s="61"/>
      <c r="AL112" s="59"/>
      <c r="AM112" s="61"/>
      <c r="BI112" s="59"/>
      <c r="BK112" s="50"/>
      <c r="BM112" s="4">
        <f t="shared" si="1"/>
        <v>5</v>
      </c>
    </row>
    <row r="113" spans="1:65" s="46" customFormat="1" ht="15" customHeight="1">
      <c r="A113" s="48"/>
      <c r="B113" s="61"/>
      <c r="K113" s="59"/>
      <c r="L113" s="61"/>
      <c r="T113" s="59"/>
      <c r="U113" s="61"/>
      <c r="AC113" s="59"/>
      <c r="AD113" s="61"/>
      <c r="AL113" s="59"/>
      <c r="AM113" s="61"/>
      <c r="BI113" s="59"/>
      <c r="BK113" s="50"/>
      <c r="BM113" s="4">
        <f t="shared" si="1"/>
        <v>6</v>
      </c>
    </row>
    <row r="114" spans="1:65" s="46" customFormat="1" ht="15" customHeight="1">
      <c r="A114" s="48"/>
      <c r="B114" s="61"/>
      <c r="K114" s="59"/>
      <c r="L114" s="61"/>
      <c r="T114" s="59"/>
      <c r="U114" s="61"/>
      <c r="AC114" s="59"/>
      <c r="AD114" s="61"/>
      <c r="AL114" s="59"/>
      <c r="AM114" s="61"/>
      <c r="BI114" s="59"/>
      <c r="BK114" s="50"/>
      <c r="BM114" s="4">
        <f t="shared" si="1"/>
        <v>7</v>
      </c>
    </row>
    <row r="115" spans="1:65" s="46" customFormat="1" ht="15" customHeight="1">
      <c r="A115" s="48"/>
      <c r="B115" s="61"/>
      <c r="K115" s="59"/>
      <c r="L115" s="61"/>
      <c r="T115" s="59"/>
      <c r="U115" s="61"/>
      <c r="AC115" s="59"/>
      <c r="AD115" s="61"/>
      <c r="AL115" s="59"/>
      <c r="AM115" s="61"/>
      <c r="BI115" s="59"/>
      <c r="BK115" s="50"/>
      <c r="BM115" s="4">
        <f t="shared" si="1"/>
        <v>8</v>
      </c>
    </row>
    <row r="116" spans="1:65" s="46" customFormat="1" ht="15" customHeight="1">
      <c r="A116" s="48"/>
      <c r="B116" s="61"/>
      <c r="K116" s="59"/>
      <c r="L116" s="61"/>
      <c r="T116" s="59"/>
      <c r="U116" s="61"/>
      <c r="AC116" s="59"/>
      <c r="AD116" s="61"/>
      <c r="AL116" s="59"/>
      <c r="AM116" s="61"/>
      <c r="BI116" s="59"/>
      <c r="BK116" s="50"/>
      <c r="BM116" s="4">
        <f t="shared" si="1"/>
        <v>9</v>
      </c>
    </row>
    <row r="117" spans="1:65" s="46" customFormat="1" ht="15" customHeight="1">
      <c r="A117" s="48"/>
      <c r="B117" s="61"/>
      <c r="K117" s="59"/>
      <c r="L117" s="61"/>
      <c r="T117" s="59"/>
      <c r="U117" s="61"/>
      <c r="AC117" s="59"/>
      <c r="AD117" s="61"/>
      <c r="AL117" s="59"/>
      <c r="AM117" s="61"/>
      <c r="BI117" s="59"/>
      <c r="BK117" s="50"/>
      <c r="BM117" s="4">
        <f t="shared" si="1"/>
        <v>10</v>
      </c>
    </row>
    <row r="118" spans="1:65" s="46" customFormat="1" ht="15" customHeight="1">
      <c r="A118" s="48"/>
      <c r="B118" s="61"/>
      <c r="K118" s="59"/>
      <c r="L118" s="61"/>
      <c r="T118" s="59"/>
      <c r="U118" s="61"/>
      <c r="AC118" s="59"/>
      <c r="AD118" s="61"/>
      <c r="AL118" s="59"/>
      <c r="AM118" s="61"/>
      <c r="BI118" s="59"/>
      <c r="BK118" s="50"/>
      <c r="BM118" s="4">
        <f t="shared" si="1"/>
        <v>11</v>
      </c>
    </row>
    <row r="119" spans="1:65" s="46" customFormat="1" ht="15" customHeight="1">
      <c r="A119" s="48"/>
      <c r="B119" s="61"/>
      <c r="K119" s="59"/>
      <c r="L119" s="61"/>
      <c r="T119" s="59"/>
      <c r="U119" s="61"/>
      <c r="AC119" s="59"/>
      <c r="AD119" s="61"/>
      <c r="AL119" s="59"/>
      <c r="AM119" s="61"/>
      <c r="BI119" s="59"/>
      <c r="BK119" s="50"/>
      <c r="BM119" s="4">
        <f t="shared" si="1"/>
        <v>12</v>
      </c>
    </row>
    <row r="120" spans="1:65" s="46" customFormat="1" ht="15" customHeight="1">
      <c r="A120" s="48"/>
      <c r="B120" s="61"/>
      <c r="K120" s="59"/>
      <c r="L120" s="61"/>
      <c r="T120" s="59"/>
      <c r="U120" s="61"/>
      <c r="AC120" s="59"/>
      <c r="AD120" s="61"/>
      <c r="AL120" s="59"/>
      <c r="AM120" s="61"/>
      <c r="BI120" s="59"/>
      <c r="BK120" s="50"/>
      <c r="BM120" s="4">
        <f t="shared" si="1"/>
        <v>13</v>
      </c>
    </row>
    <row r="121" spans="1:65" s="46" customFormat="1" ht="15" customHeight="1">
      <c r="A121" s="48"/>
      <c r="B121" s="61"/>
      <c r="K121" s="59"/>
      <c r="L121" s="61"/>
      <c r="T121" s="59"/>
      <c r="U121" s="61"/>
      <c r="AC121" s="59"/>
      <c r="AD121" s="61"/>
      <c r="AL121" s="59"/>
      <c r="AM121" s="61"/>
      <c r="BI121" s="59"/>
      <c r="BK121" s="50"/>
      <c r="BM121" s="4">
        <f t="shared" si="1"/>
        <v>14</v>
      </c>
    </row>
    <row r="122" spans="1:65" s="46" customFormat="1" ht="15" customHeight="1">
      <c r="A122" s="48"/>
      <c r="B122" s="61"/>
      <c r="K122" s="59"/>
      <c r="L122" s="61"/>
      <c r="T122" s="59"/>
      <c r="U122" s="61"/>
      <c r="AC122" s="59"/>
      <c r="AD122" s="61"/>
      <c r="AL122" s="59"/>
      <c r="AM122" s="61"/>
      <c r="BI122" s="59"/>
      <c r="BK122" s="50"/>
      <c r="BM122" s="4">
        <f t="shared" si="1"/>
        <v>15</v>
      </c>
    </row>
    <row r="123" spans="1:65" s="46" customFormat="1" ht="15" customHeight="1">
      <c r="A123" s="48"/>
      <c r="B123" s="61"/>
      <c r="K123" s="59"/>
      <c r="L123" s="61"/>
      <c r="T123" s="59"/>
      <c r="U123" s="61"/>
      <c r="AC123" s="59"/>
      <c r="AD123" s="61"/>
      <c r="AL123" s="59"/>
      <c r="AM123" s="61"/>
      <c r="BI123" s="59"/>
      <c r="BK123" s="50"/>
      <c r="BM123" s="4">
        <f t="shared" si="1"/>
        <v>16</v>
      </c>
    </row>
    <row r="124" spans="1:65" s="46" customFormat="1" ht="15" customHeight="1">
      <c r="A124" s="48"/>
      <c r="B124" s="61"/>
      <c r="K124" s="59"/>
      <c r="L124" s="61"/>
      <c r="T124" s="59"/>
      <c r="U124" s="61"/>
      <c r="AC124" s="59"/>
      <c r="AD124" s="61"/>
      <c r="AL124" s="59"/>
      <c r="AM124" s="61"/>
      <c r="BI124" s="59"/>
      <c r="BK124" s="50"/>
      <c r="BM124" s="4">
        <f t="shared" si="1"/>
        <v>17</v>
      </c>
    </row>
    <row r="125" spans="1:65" s="46" customFormat="1" ht="15" customHeight="1">
      <c r="A125" s="48"/>
      <c r="B125" s="61"/>
      <c r="K125" s="59"/>
      <c r="L125" s="61"/>
      <c r="T125" s="59"/>
      <c r="U125" s="61"/>
      <c r="AC125" s="59"/>
      <c r="AD125" s="61"/>
      <c r="AL125" s="59"/>
      <c r="AM125" s="61"/>
      <c r="BI125" s="59"/>
      <c r="BK125" s="50"/>
      <c r="BM125" s="4">
        <f t="shared" si="1"/>
        <v>18</v>
      </c>
    </row>
    <row r="126" spans="1:65" s="46" customFormat="1" ht="15" customHeight="1">
      <c r="A126" s="48"/>
      <c r="B126" s="61"/>
      <c r="K126" s="59"/>
      <c r="L126" s="61"/>
      <c r="T126" s="59"/>
      <c r="U126" s="61"/>
      <c r="AC126" s="59"/>
      <c r="AD126" s="61"/>
      <c r="AL126" s="59"/>
      <c r="AM126" s="61"/>
      <c r="BI126" s="59"/>
      <c r="BK126" s="50"/>
      <c r="BM126" s="4">
        <f t="shared" si="1"/>
        <v>19</v>
      </c>
    </row>
    <row r="127" spans="1:65" s="46" customFormat="1" ht="15" customHeight="1">
      <c r="A127" s="48"/>
      <c r="B127" s="61"/>
      <c r="K127" s="59"/>
      <c r="L127" s="61"/>
      <c r="T127" s="59"/>
      <c r="U127" s="61"/>
      <c r="AC127" s="59"/>
      <c r="AD127" s="61"/>
      <c r="AL127" s="59"/>
      <c r="AM127" s="61"/>
      <c r="BI127" s="59"/>
      <c r="BK127" s="50"/>
      <c r="BM127" s="4">
        <f t="shared" si="1"/>
        <v>20</v>
      </c>
    </row>
    <row r="128" spans="1:65" s="46" customFormat="1" ht="15" customHeight="1">
      <c r="A128" s="48"/>
      <c r="B128" s="61"/>
      <c r="K128" s="59"/>
      <c r="L128" s="61"/>
      <c r="T128" s="59"/>
      <c r="U128" s="61"/>
      <c r="AC128" s="59"/>
      <c r="AD128" s="61"/>
      <c r="AL128" s="59"/>
      <c r="AM128" s="61"/>
      <c r="BI128" s="59"/>
      <c r="BK128" s="50"/>
      <c r="BM128" s="4">
        <f t="shared" si="1"/>
        <v>21</v>
      </c>
    </row>
    <row r="129" spans="1:65" s="46" customFormat="1" ht="15" customHeight="1">
      <c r="A129" s="48"/>
      <c r="B129" s="61"/>
      <c r="K129" s="59"/>
      <c r="L129" s="61"/>
      <c r="T129" s="59"/>
      <c r="U129" s="61"/>
      <c r="AC129" s="59"/>
      <c r="AD129" s="61"/>
      <c r="AL129" s="59"/>
      <c r="AM129" s="61"/>
      <c r="BI129" s="59"/>
      <c r="BK129" s="50"/>
      <c r="BM129" s="4">
        <f t="shared" si="1"/>
        <v>22</v>
      </c>
    </row>
    <row r="130" spans="1:65" s="46" customFormat="1" ht="15" customHeight="1">
      <c r="A130" s="48"/>
      <c r="B130" s="61"/>
      <c r="K130" s="59"/>
      <c r="L130" s="61"/>
      <c r="T130" s="59"/>
      <c r="U130" s="61"/>
      <c r="AC130" s="59"/>
      <c r="AD130" s="61"/>
      <c r="AL130" s="59"/>
      <c r="AM130" s="61"/>
      <c r="BI130" s="59"/>
      <c r="BK130" s="50"/>
      <c r="BM130" s="4">
        <f t="shared" si="1"/>
        <v>23</v>
      </c>
    </row>
    <row r="131" spans="1:65" s="46" customFormat="1" ht="15" customHeight="1">
      <c r="A131" s="48"/>
      <c r="B131" s="61"/>
      <c r="K131" s="59"/>
      <c r="L131" s="61"/>
      <c r="T131" s="59"/>
      <c r="U131" s="61"/>
      <c r="AC131" s="59"/>
      <c r="AD131" s="61"/>
      <c r="AL131" s="59"/>
      <c r="AM131" s="61"/>
      <c r="BI131" s="59"/>
      <c r="BK131" s="50"/>
      <c r="BM131" s="4">
        <f t="shared" si="1"/>
        <v>24</v>
      </c>
    </row>
    <row r="132" spans="1:65" s="46" customFormat="1" ht="15" customHeight="1">
      <c r="A132" s="48"/>
      <c r="B132" s="61"/>
      <c r="K132" s="59"/>
      <c r="L132" s="61"/>
      <c r="T132" s="59"/>
      <c r="U132" s="61"/>
      <c r="AC132" s="59"/>
      <c r="AD132" s="61"/>
      <c r="AL132" s="59"/>
      <c r="AM132" s="61"/>
      <c r="BI132" s="59"/>
      <c r="BK132" s="50"/>
      <c r="BM132" s="4">
        <f t="shared" si="1"/>
        <v>25</v>
      </c>
    </row>
    <row r="133" spans="1:65" s="46" customFormat="1" ht="15" customHeight="1">
      <c r="A133" s="48"/>
      <c r="B133" s="61"/>
      <c r="K133" s="59"/>
      <c r="L133" s="61"/>
      <c r="T133" s="59"/>
      <c r="U133" s="61"/>
      <c r="AC133" s="59"/>
      <c r="AD133" s="61"/>
      <c r="AL133" s="59"/>
      <c r="AM133" s="61"/>
      <c r="BI133" s="59"/>
      <c r="BK133" s="50"/>
      <c r="BM133" s="4">
        <f t="shared" si="1"/>
        <v>26</v>
      </c>
    </row>
    <row r="134" spans="1:65" s="46" customFormat="1" ht="15" customHeight="1">
      <c r="A134" s="48"/>
      <c r="B134" s="61"/>
      <c r="K134" s="59"/>
      <c r="L134" s="61"/>
      <c r="T134" s="59"/>
      <c r="U134" s="61"/>
      <c r="AC134" s="59"/>
      <c r="AD134" s="61"/>
      <c r="AL134" s="59"/>
      <c r="AM134" s="61"/>
      <c r="BI134" s="59"/>
      <c r="BK134" s="50"/>
      <c r="BM134" s="4">
        <f t="shared" si="1"/>
        <v>27</v>
      </c>
    </row>
    <row r="135" spans="1:65" s="46" customFormat="1" ht="15" customHeight="1">
      <c r="A135" s="48"/>
      <c r="B135" s="61"/>
      <c r="K135" s="59"/>
      <c r="L135" s="61"/>
      <c r="T135" s="59"/>
      <c r="U135" s="61"/>
      <c r="AC135" s="59"/>
      <c r="AD135" s="61"/>
      <c r="AL135" s="59"/>
      <c r="AM135" s="61"/>
      <c r="BI135" s="59"/>
      <c r="BK135" s="50"/>
      <c r="BM135" s="4">
        <f t="shared" si="1"/>
        <v>28</v>
      </c>
    </row>
    <row r="136" spans="1:65" s="46" customFormat="1" ht="15" customHeight="1">
      <c r="A136" s="48"/>
      <c r="B136" s="61"/>
      <c r="K136" s="59"/>
      <c r="L136" s="61"/>
      <c r="T136" s="59"/>
      <c r="U136" s="61"/>
      <c r="AC136" s="59"/>
      <c r="AD136" s="61"/>
      <c r="AL136" s="59"/>
      <c r="AM136" s="61"/>
      <c r="BI136" s="59"/>
      <c r="BK136" s="50"/>
      <c r="BM136" s="4">
        <f t="shared" ref="BM136:BM199" si="2">IF(BM135=50,1,BM135+1)</f>
        <v>29</v>
      </c>
    </row>
    <row r="137" spans="1:65" s="46" customFormat="1" ht="15" customHeight="1">
      <c r="A137" s="48"/>
      <c r="B137" s="61"/>
      <c r="K137" s="59"/>
      <c r="L137" s="61"/>
      <c r="T137" s="59"/>
      <c r="U137" s="61"/>
      <c r="AC137" s="59"/>
      <c r="AD137" s="61"/>
      <c r="AL137" s="59"/>
      <c r="AM137" s="61"/>
      <c r="BI137" s="59"/>
      <c r="BK137" s="50"/>
      <c r="BM137" s="4">
        <f t="shared" si="2"/>
        <v>30</v>
      </c>
    </row>
    <row r="138" spans="1:65" s="46" customFormat="1" ht="15" customHeight="1">
      <c r="A138" s="48"/>
      <c r="B138" s="61"/>
      <c r="K138" s="59"/>
      <c r="L138" s="61"/>
      <c r="T138" s="59"/>
      <c r="U138" s="61"/>
      <c r="AC138" s="59"/>
      <c r="AD138" s="61"/>
      <c r="AL138" s="59"/>
      <c r="AM138" s="61"/>
      <c r="BI138" s="59"/>
      <c r="BK138" s="50"/>
      <c r="BM138" s="4">
        <f t="shared" si="2"/>
        <v>31</v>
      </c>
    </row>
    <row r="139" spans="1:65" s="46" customFormat="1" ht="15" customHeight="1">
      <c r="A139" s="48"/>
      <c r="B139" s="61"/>
      <c r="K139" s="59"/>
      <c r="L139" s="61"/>
      <c r="T139" s="59"/>
      <c r="U139" s="61"/>
      <c r="AC139" s="59"/>
      <c r="AD139" s="61"/>
      <c r="AL139" s="59"/>
      <c r="AM139" s="61"/>
      <c r="BI139" s="59"/>
      <c r="BK139" s="50"/>
      <c r="BM139" s="4">
        <f t="shared" si="2"/>
        <v>32</v>
      </c>
    </row>
    <row r="140" spans="1:65" s="46" customFormat="1" ht="15" customHeight="1">
      <c r="A140" s="48"/>
      <c r="B140" s="61"/>
      <c r="K140" s="59"/>
      <c r="L140" s="61"/>
      <c r="T140" s="59"/>
      <c r="U140" s="61"/>
      <c r="AC140" s="59"/>
      <c r="AD140" s="61"/>
      <c r="AL140" s="59"/>
      <c r="AM140" s="61"/>
      <c r="BI140" s="59"/>
      <c r="BK140" s="50"/>
      <c r="BM140" s="4">
        <f t="shared" si="2"/>
        <v>33</v>
      </c>
    </row>
    <row r="141" spans="1:65" s="46" customFormat="1" ht="15" customHeight="1">
      <c r="A141" s="48"/>
      <c r="B141" s="61"/>
      <c r="K141" s="59"/>
      <c r="L141" s="61"/>
      <c r="T141" s="59"/>
      <c r="U141" s="61"/>
      <c r="AC141" s="59"/>
      <c r="AD141" s="61"/>
      <c r="AL141" s="59"/>
      <c r="AM141" s="61"/>
      <c r="BI141" s="59"/>
      <c r="BK141" s="50"/>
      <c r="BM141" s="4">
        <f t="shared" si="2"/>
        <v>34</v>
      </c>
    </row>
    <row r="142" spans="1:65" s="46" customFormat="1" ht="15" customHeight="1">
      <c r="A142" s="48"/>
      <c r="B142" s="61"/>
      <c r="K142" s="59"/>
      <c r="L142" s="61"/>
      <c r="T142" s="59"/>
      <c r="U142" s="61"/>
      <c r="AC142" s="59"/>
      <c r="AD142" s="61"/>
      <c r="AL142" s="59"/>
      <c r="AM142" s="61"/>
      <c r="BI142" s="59"/>
      <c r="BK142" s="50"/>
      <c r="BM142" s="4">
        <f t="shared" si="2"/>
        <v>35</v>
      </c>
    </row>
    <row r="143" spans="1:65" s="46" customFormat="1" ht="15" customHeight="1">
      <c r="A143" s="48"/>
      <c r="B143" s="61"/>
      <c r="K143" s="59"/>
      <c r="L143" s="61"/>
      <c r="T143" s="59"/>
      <c r="U143" s="61"/>
      <c r="AC143" s="59"/>
      <c r="AD143" s="61"/>
      <c r="AL143" s="59"/>
      <c r="AM143" s="61"/>
      <c r="BI143" s="59"/>
      <c r="BK143" s="50"/>
      <c r="BM143" s="4">
        <f t="shared" si="2"/>
        <v>36</v>
      </c>
    </row>
    <row r="144" spans="1:65" s="46" customFormat="1" ht="15" customHeight="1">
      <c r="A144" s="48"/>
      <c r="B144" s="68" t="s">
        <v>56</v>
      </c>
      <c r="C144" s="62"/>
      <c r="D144" s="62"/>
      <c r="E144" s="62"/>
      <c r="F144" s="62"/>
      <c r="G144" s="62"/>
      <c r="H144" s="62"/>
      <c r="I144" s="62"/>
      <c r="J144" s="62"/>
      <c r="K144" s="63"/>
      <c r="L144" s="64"/>
      <c r="M144" s="62"/>
      <c r="N144" s="62"/>
      <c r="O144" s="62"/>
      <c r="P144" s="62"/>
      <c r="Q144" s="62"/>
      <c r="R144" s="62"/>
      <c r="S144" s="62"/>
      <c r="T144" s="63"/>
      <c r="U144" s="64"/>
      <c r="V144" s="62"/>
      <c r="W144" s="62"/>
      <c r="X144" s="62"/>
      <c r="Y144" s="62"/>
      <c r="Z144" s="62"/>
      <c r="AA144" s="62"/>
      <c r="AB144" s="62"/>
      <c r="AC144" s="63"/>
      <c r="AD144" s="64"/>
      <c r="AE144" s="62"/>
      <c r="AF144" s="62"/>
      <c r="AG144" s="62"/>
      <c r="AH144" s="62"/>
      <c r="AI144" s="62"/>
      <c r="AJ144" s="62"/>
      <c r="AK144" s="62"/>
      <c r="AL144" s="63"/>
      <c r="AM144" s="64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3"/>
      <c r="BJ144" s="62"/>
      <c r="BK144" s="50"/>
      <c r="BM144" s="4">
        <f t="shared" si="2"/>
        <v>37</v>
      </c>
    </row>
    <row r="145" spans="1:65" s="46" customFormat="1" ht="15" customHeight="1">
      <c r="A145" s="48"/>
      <c r="B145" s="61"/>
      <c r="K145" s="59"/>
      <c r="L145" s="61"/>
      <c r="T145" s="59"/>
      <c r="U145" s="61"/>
      <c r="AC145" s="59"/>
      <c r="AD145" s="61"/>
      <c r="AL145" s="59"/>
      <c r="AM145" s="61"/>
      <c r="BI145" s="59"/>
      <c r="BK145" s="50"/>
      <c r="BM145" s="4">
        <f t="shared" si="2"/>
        <v>38</v>
      </c>
    </row>
    <row r="146" spans="1:65" s="46" customFormat="1" ht="15" customHeight="1">
      <c r="A146" s="48"/>
      <c r="B146" s="61"/>
      <c r="K146" s="59"/>
      <c r="L146" s="61"/>
      <c r="T146" s="59"/>
      <c r="U146" s="61"/>
      <c r="AC146" s="59"/>
      <c r="AD146" s="61"/>
      <c r="AL146" s="59"/>
      <c r="AM146" s="61"/>
      <c r="BI146" s="59"/>
      <c r="BK146" s="50"/>
      <c r="BM146" s="4">
        <f t="shared" si="2"/>
        <v>39</v>
      </c>
    </row>
    <row r="147" spans="1:65" s="46" customFormat="1" ht="15" customHeight="1">
      <c r="A147" s="48"/>
      <c r="B147" s="61"/>
      <c r="K147" s="59"/>
      <c r="L147" s="61"/>
      <c r="T147" s="59"/>
      <c r="U147" s="61"/>
      <c r="AC147" s="59"/>
      <c r="AD147" s="61"/>
      <c r="AL147" s="59"/>
      <c r="AM147" s="61"/>
      <c r="BI147" s="59"/>
      <c r="BK147" s="50"/>
      <c r="BM147" s="4">
        <f t="shared" si="2"/>
        <v>40</v>
      </c>
    </row>
    <row r="148" spans="1:65" s="46" customFormat="1" ht="15" customHeight="1">
      <c r="A148" s="48"/>
      <c r="B148" s="61"/>
      <c r="K148" s="59"/>
      <c r="L148" s="61"/>
      <c r="T148" s="59"/>
      <c r="U148" s="61"/>
      <c r="AC148" s="59"/>
      <c r="AD148" s="61"/>
      <c r="AL148" s="59"/>
      <c r="AM148" s="61"/>
      <c r="BI148" s="59"/>
      <c r="BK148" s="50"/>
      <c r="BM148" s="4">
        <f t="shared" si="2"/>
        <v>41</v>
      </c>
    </row>
    <row r="149" spans="1:65" s="46" customFormat="1" ht="15" customHeight="1">
      <c r="A149" s="48"/>
      <c r="B149" s="61"/>
      <c r="K149" s="59"/>
      <c r="L149" s="61"/>
      <c r="T149" s="59"/>
      <c r="U149" s="61"/>
      <c r="AC149" s="59"/>
      <c r="AD149" s="61"/>
      <c r="AL149" s="59"/>
      <c r="AM149" s="61"/>
      <c r="BI149" s="59"/>
      <c r="BK149" s="50"/>
      <c r="BM149" s="4">
        <f t="shared" si="2"/>
        <v>42</v>
      </c>
    </row>
    <row r="150" spans="1:65" s="46" customFormat="1" ht="15" customHeight="1">
      <c r="A150" s="48"/>
      <c r="B150" s="61"/>
      <c r="K150" s="59"/>
      <c r="L150" s="61"/>
      <c r="T150" s="59"/>
      <c r="U150" s="61"/>
      <c r="AC150" s="59"/>
      <c r="AD150" s="61"/>
      <c r="AL150" s="59"/>
      <c r="AM150" s="61"/>
      <c r="BI150" s="59"/>
      <c r="BK150" s="50"/>
      <c r="BM150" s="4">
        <f t="shared" si="2"/>
        <v>43</v>
      </c>
    </row>
    <row r="151" spans="1:65" s="46" customFormat="1" ht="15" customHeight="1">
      <c r="A151" s="48"/>
      <c r="B151" s="61"/>
      <c r="K151" s="59"/>
      <c r="L151" s="61"/>
      <c r="T151" s="59"/>
      <c r="U151" s="61"/>
      <c r="AC151" s="59"/>
      <c r="AD151" s="61"/>
      <c r="AL151" s="59"/>
      <c r="AM151" s="61"/>
      <c r="BI151" s="59"/>
      <c r="BK151" s="50"/>
      <c r="BM151" s="4">
        <f t="shared" si="2"/>
        <v>44</v>
      </c>
    </row>
    <row r="152" spans="1:65" s="46" customFormat="1" ht="15" customHeight="1">
      <c r="A152" s="48"/>
      <c r="B152" s="61"/>
      <c r="K152" s="59"/>
      <c r="L152" s="61"/>
      <c r="T152" s="59"/>
      <c r="U152" s="61"/>
      <c r="AC152" s="59"/>
      <c r="AD152" s="61"/>
      <c r="AL152" s="59"/>
      <c r="AM152" s="61"/>
      <c r="BI152" s="59"/>
      <c r="BK152" s="50"/>
      <c r="BM152" s="4">
        <f t="shared" si="2"/>
        <v>45</v>
      </c>
    </row>
    <row r="153" spans="1:65" s="46" customFormat="1" ht="15" customHeight="1">
      <c r="A153" s="48"/>
      <c r="B153" s="61"/>
      <c r="K153" s="59"/>
      <c r="L153" s="61"/>
      <c r="T153" s="59"/>
      <c r="U153" s="61"/>
      <c r="AC153" s="59"/>
      <c r="AD153" s="61"/>
      <c r="AL153" s="59"/>
      <c r="AM153" s="61"/>
      <c r="BI153" s="59"/>
      <c r="BK153" s="50"/>
      <c r="BM153" s="4">
        <f t="shared" si="2"/>
        <v>46</v>
      </c>
    </row>
    <row r="154" spans="1:65" s="46" customFormat="1" ht="15" customHeight="1">
      <c r="A154" s="48"/>
      <c r="B154" s="61"/>
      <c r="K154" s="59"/>
      <c r="L154" s="61"/>
      <c r="T154" s="59"/>
      <c r="U154" s="61"/>
      <c r="AC154" s="59"/>
      <c r="AD154" s="61"/>
      <c r="AL154" s="59"/>
      <c r="AM154" s="61"/>
      <c r="BI154" s="59"/>
      <c r="BK154" s="50"/>
      <c r="BM154" s="4">
        <f t="shared" si="2"/>
        <v>47</v>
      </c>
    </row>
    <row r="155" spans="1:65" s="46" customFormat="1" ht="15" customHeight="1">
      <c r="A155" s="48"/>
      <c r="B155" s="61"/>
      <c r="K155" s="59"/>
      <c r="L155" s="61"/>
      <c r="T155" s="59"/>
      <c r="U155" s="61"/>
      <c r="AC155" s="59"/>
      <c r="AD155" s="61"/>
      <c r="AL155" s="59"/>
      <c r="AM155" s="61"/>
      <c r="BI155" s="59"/>
      <c r="BK155" s="50"/>
      <c r="BM155" s="4">
        <f t="shared" si="2"/>
        <v>48</v>
      </c>
    </row>
    <row r="156" spans="1:65" s="46" customFormat="1" ht="15" customHeight="1">
      <c r="A156" s="48"/>
      <c r="B156" s="61"/>
      <c r="K156" s="59"/>
      <c r="L156" s="61"/>
      <c r="T156" s="59"/>
      <c r="U156" s="61"/>
      <c r="AC156" s="59"/>
      <c r="AD156" s="61"/>
      <c r="AL156" s="59"/>
      <c r="AM156" s="61"/>
      <c r="BI156" s="59"/>
      <c r="BK156" s="50"/>
      <c r="BM156" s="4">
        <f t="shared" si="2"/>
        <v>49</v>
      </c>
    </row>
    <row r="157" spans="1:65" s="46" customFormat="1" ht="15" customHeight="1">
      <c r="A157" s="48"/>
      <c r="B157" s="61"/>
      <c r="K157" s="59"/>
      <c r="L157" s="61"/>
      <c r="T157" s="59"/>
      <c r="U157" s="61"/>
      <c r="AC157" s="59"/>
      <c r="AD157" s="61"/>
      <c r="AL157" s="59"/>
      <c r="AM157" s="61"/>
      <c r="BI157" s="59"/>
      <c r="BK157" s="50"/>
      <c r="BM157" s="4">
        <f t="shared" si="2"/>
        <v>50</v>
      </c>
    </row>
    <row r="158" spans="1:65" s="46" customFormat="1" ht="15" customHeight="1">
      <c r="A158" s="48"/>
      <c r="B158" s="61"/>
      <c r="K158" s="59"/>
      <c r="L158" s="61"/>
      <c r="T158" s="59"/>
      <c r="U158" s="61"/>
      <c r="AC158" s="59"/>
      <c r="AD158" s="61"/>
      <c r="AL158" s="59"/>
      <c r="AM158" s="61"/>
      <c r="BI158" s="59"/>
      <c r="BK158" s="50"/>
      <c r="BM158" s="4">
        <f t="shared" si="2"/>
        <v>1</v>
      </c>
    </row>
    <row r="159" spans="1:65" s="46" customFormat="1" ht="15" customHeight="1">
      <c r="A159" s="48"/>
      <c r="B159" s="61"/>
      <c r="K159" s="59"/>
      <c r="L159" s="61"/>
      <c r="T159" s="59"/>
      <c r="U159" s="61"/>
      <c r="AC159" s="59"/>
      <c r="AD159" s="61"/>
      <c r="AL159" s="59"/>
      <c r="AM159" s="61"/>
      <c r="BI159" s="59"/>
      <c r="BK159" s="50"/>
      <c r="BM159" s="4">
        <f t="shared" si="2"/>
        <v>2</v>
      </c>
    </row>
    <row r="160" spans="1:65" s="46" customFormat="1" ht="15" customHeight="1">
      <c r="A160" s="48"/>
      <c r="B160" s="61"/>
      <c r="K160" s="59"/>
      <c r="L160" s="61"/>
      <c r="T160" s="59"/>
      <c r="U160" s="61"/>
      <c r="AC160" s="59"/>
      <c r="AD160" s="61"/>
      <c r="AL160" s="59"/>
      <c r="AM160" s="61"/>
      <c r="BI160" s="59"/>
      <c r="BK160" s="50"/>
      <c r="BM160" s="4">
        <f t="shared" si="2"/>
        <v>3</v>
      </c>
    </row>
    <row r="161" spans="1:65" s="46" customFormat="1" ht="15" customHeight="1">
      <c r="A161" s="48"/>
      <c r="B161" s="61"/>
      <c r="K161" s="59"/>
      <c r="L161" s="61"/>
      <c r="T161" s="59"/>
      <c r="U161" s="61"/>
      <c r="AC161" s="59"/>
      <c r="AD161" s="61"/>
      <c r="AL161" s="59"/>
      <c r="AM161" s="61"/>
      <c r="BI161" s="59"/>
      <c r="BK161" s="50"/>
      <c r="BM161" s="4">
        <f t="shared" si="2"/>
        <v>4</v>
      </c>
    </row>
    <row r="162" spans="1:65" s="46" customFormat="1" ht="15" customHeight="1">
      <c r="A162" s="48"/>
      <c r="B162" s="61"/>
      <c r="K162" s="59"/>
      <c r="L162" s="61"/>
      <c r="T162" s="59"/>
      <c r="U162" s="61"/>
      <c r="AC162" s="59"/>
      <c r="AD162" s="61"/>
      <c r="AL162" s="59"/>
      <c r="AM162" s="61"/>
      <c r="BI162" s="59"/>
      <c r="BK162" s="50"/>
      <c r="BM162" s="4">
        <f t="shared" si="2"/>
        <v>5</v>
      </c>
    </row>
    <row r="163" spans="1:65" s="46" customFormat="1" ht="15" customHeight="1">
      <c r="A163" s="48"/>
      <c r="B163" s="61"/>
      <c r="K163" s="59"/>
      <c r="L163" s="61"/>
      <c r="T163" s="59"/>
      <c r="U163" s="61"/>
      <c r="AC163" s="59"/>
      <c r="AD163" s="61"/>
      <c r="AL163" s="59"/>
      <c r="AM163" s="61"/>
      <c r="BI163" s="59"/>
      <c r="BK163" s="50"/>
      <c r="BM163" s="4">
        <f t="shared" si="2"/>
        <v>6</v>
      </c>
    </row>
    <row r="164" spans="1:65" s="46" customFormat="1" ht="15" customHeight="1">
      <c r="A164" s="48"/>
      <c r="B164" s="61"/>
      <c r="K164" s="59"/>
      <c r="L164" s="61"/>
      <c r="T164" s="59"/>
      <c r="U164" s="61"/>
      <c r="AC164" s="59"/>
      <c r="AD164" s="61"/>
      <c r="AL164" s="59"/>
      <c r="AM164" s="61"/>
      <c r="BI164" s="59"/>
      <c r="BK164" s="50"/>
      <c r="BM164" s="4">
        <f t="shared" si="2"/>
        <v>7</v>
      </c>
    </row>
    <row r="165" spans="1:65" s="46" customFormat="1" ht="15" customHeight="1">
      <c r="A165" s="48"/>
      <c r="B165" s="61"/>
      <c r="K165" s="59"/>
      <c r="L165" s="61"/>
      <c r="T165" s="59"/>
      <c r="U165" s="61"/>
      <c r="AC165" s="59"/>
      <c r="AD165" s="61"/>
      <c r="AL165" s="59"/>
      <c r="AM165" s="61"/>
      <c r="BI165" s="59"/>
      <c r="BK165" s="50"/>
      <c r="BM165" s="4">
        <f t="shared" si="2"/>
        <v>8</v>
      </c>
    </row>
    <row r="166" spans="1:65" s="46" customFormat="1" ht="15" customHeight="1">
      <c r="A166" s="48"/>
      <c r="B166" s="61"/>
      <c r="K166" s="59"/>
      <c r="L166" s="61"/>
      <c r="T166" s="59"/>
      <c r="U166" s="61"/>
      <c r="AC166" s="59"/>
      <c r="AD166" s="61"/>
      <c r="AL166" s="59"/>
      <c r="AM166" s="61"/>
      <c r="BI166" s="59"/>
      <c r="BK166" s="50"/>
      <c r="BM166" s="4">
        <f t="shared" si="2"/>
        <v>9</v>
      </c>
    </row>
    <row r="167" spans="1:65" s="46" customFormat="1" ht="15" customHeight="1">
      <c r="A167" s="48"/>
      <c r="B167" s="61"/>
      <c r="K167" s="59"/>
      <c r="L167" s="61"/>
      <c r="T167" s="59"/>
      <c r="U167" s="61"/>
      <c r="AC167" s="59"/>
      <c r="AD167" s="61"/>
      <c r="AL167" s="59"/>
      <c r="AM167" s="61"/>
      <c r="BI167" s="59"/>
      <c r="BK167" s="50"/>
      <c r="BM167" s="4">
        <f t="shared" si="2"/>
        <v>10</v>
      </c>
    </row>
    <row r="168" spans="1:65" s="46" customFormat="1" ht="15" customHeight="1">
      <c r="A168" s="48"/>
      <c r="B168" s="61"/>
      <c r="K168" s="59"/>
      <c r="L168" s="61"/>
      <c r="T168" s="59"/>
      <c r="U168" s="61"/>
      <c r="AC168" s="59"/>
      <c r="AD168" s="61"/>
      <c r="AL168" s="59"/>
      <c r="AM168" s="61"/>
      <c r="BI168" s="59"/>
      <c r="BK168" s="50"/>
      <c r="BM168" s="4">
        <f t="shared" si="2"/>
        <v>11</v>
      </c>
    </row>
    <row r="169" spans="1:65" s="46" customFormat="1" ht="15" customHeight="1">
      <c r="A169" s="48"/>
      <c r="B169" s="61"/>
      <c r="K169" s="59"/>
      <c r="L169" s="61"/>
      <c r="T169" s="59"/>
      <c r="U169" s="61"/>
      <c r="AC169" s="59"/>
      <c r="AD169" s="61"/>
      <c r="AL169" s="59"/>
      <c r="AM169" s="61"/>
      <c r="BI169" s="59"/>
      <c r="BK169" s="50"/>
      <c r="BM169" s="4">
        <f t="shared" si="2"/>
        <v>12</v>
      </c>
    </row>
    <row r="170" spans="1:65" s="46" customFormat="1" ht="15" customHeight="1">
      <c r="A170" s="48"/>
      <c r="B170" s="61"/>
      <c r="K170" s="59"/>
      <c r="L170" s="61"/>
      <c r="T170" s="59"/>
      <c r="U170" s="61"/>
      <c r="AC170" s="59"/>
      <c r="AD170" s="61"/>
      <c r="AL170" s="59"/>
      <c r="AM170" s="61"/>
      <c r="BI170" s="59"/>
      <c r="BK170" s="50"/>
      <c r="BM170" s="4">
        <f t="shared" si="2"/>
        <v>13</v>
      </c>
    </row>
    <row r="171" spans="1:65" s="46" customFormat="1" ht="15" customHeight="1">
      <c r="A171" s="48"/>
      <c r="B171" s="61"/>
      <c r="K171" s="59"/>
      <c r="L171" s="61"/>
      <c r="T171" s="59"/>
      <c r="U171" s="61"/>
      <c r="AC171" s="59"/>
      <c r="AD171" s="61"/>
      <c r="AL171" s="59"/>
      <c r="AM171" s="61"/>
      <c r="BI171" s="59"/>
      <c r="BK171" s="50"/>
      <c r="BM171" s="4">
        <f t="shared" si="2"/>
        <v>14</v>
      </c>
    </row>
    <row r="172" spans="1:65" s="46" customFormat="1" ht="15" customHeight="1">
      <c r="A172" s="48"/>
      <c r="B172" s="61"/>
      <c r="K172" s="59"/>
      <c r="L172" s="61"/>
      <c r="T172" s="59"/>
      <c r="U172" s="61"/>
      <c r="AC172" s="59"/>
      <c r="AD172" s="61"/>
      <c r="AL172" s="59"/>
      <c r="AM172" s="61"/>
      <c r="BI172" s="59"/>
      <c r="BK172" s="50"/>
      <c r="BM172" s="4">
        <f t="shared" si="2"/>
        <v>15</v>
      </c>
    </row>
    <row r="173" spans="1:65" s="46" customFormat="1" ht="15" customHeight="1">
      <c r="A173" s="48"/>
      <c r="B173" s="61"/>
      <c r="K173" s="59"/>
      <c r="L173" s="61"/>
      <c r="T173" s="59"/>
      <c r="U173" s="61"/>
      <c r="AC173" s="59"/>
      <c r="AD173" s="61"/>
      <c r="AL173" s="59"/>
      <c r="AM173" s="61"/>
      <c r="BI173" s="59"/>
      <c r="BK173" s="50"/>
      <c r="BM173" s="4">
        <f t="shared" si="2"/>
        <v>16</v>
      </c>
    </row>
    <row r="174" spans="1:65" s="46" customFormat="1" ht="15" customHeight="1">
      <c r="A174" s="48"/>
      <c r="B174" s="61"/>
      <c r="K174" s="59"/>
      <c r="L174" s="61"/>
      <c r="T174" s="59"/>
      <c r="U174" s="61"/>
      <c r="AC174" s="59"/>
      <c r="AD174" s="61"/>
      <c r="AL174" s="59"/>
      <c r="AM174" s="61"/>
      <c r="BI174" s="59"/>
      <c r="BK174" s="50"/>
      <c r="BM174" s="4">
        <f t="shared" si="2"/>
        <v>17</v>
      </c>
    </row>
    <row r="175" spans="1:65" s="46" customFormat="1" ht="15" customHeight="1">
      <c r="A175" s="48"/>
      <c r="B175" s="61"/>
      <c r="K175" s="59"/>
      <c r="L175" s="61"/>
      <c r="T175" s="59"/>
      <c r="U175" s="61"/>
      <c r="AC175" s="59"/>
      <c r="AD175" s="61"/>
      <c r="AL175" s="59"/>
      <c r="AM175" s="61"/>
      <c r="BI175" s="59"/>
      <c r="BK175" s="50"/>
      <c r="BM175" s="4">
        <f t="shared" si="2"/>
        <v>18</v>
      </c>
    </row>
    <row r="176" spans="1:65" s="46" customFormat="1" ht="15" customHeight="1">
      <c r="A176" s="48"/>
      <c r="B176" s="61"/>
      <c r="K176" s="59"/>
      <c r="L176" s="61"/>
      <c r="T176" s="59"/>
      <c r="U176" s="61"/>
      <c r="AC176" s="59"/>
      <c r="AD176" s="61"/>
      <c r="AL176" s="59"/>
      <c r="AM176" s="61"/>
      <c r="BI176" s="59"/>
      <c r="BK176" s="50"/>
      <c r="BM176" s="4">
        <f t="shared" si="2"/>
        <v>19</v>
      </c>
    </row>
    <row r="177" spans="1:65" s="46" customFormat="1" ht="15" customHeight="1">
      <c r="A177" s="48"/>
      <c r="B177" s="61"/>
      <c r="K177" s="59"/>
      <c r="L177" s="61"/>
      <c r="T177" s="59"/>
      <c r="U177" s="61"/>
      <c r="AC177" s="59"/>
      <c r="AD177" s="61"/>
      <c r="AL177" s="59"/>
      <c r="AM177" s="61"/>
      <c r="BI177" s="59"/>
      <c r="BK177" s="50"/>
      <c r="BM177" s="4">
        <f t="shared" si="2"/>
        <v>20</v>
      </c>
    </row>
    <row r="178" spans="1:65" s="46" customFormat="1" ht="15" customHeight="1">
      <c r="A178" s="48"/>
      <c r="B178" s="61"/>
      <c r="K178" s="59"/>
      <c r="L178" s="61"/>
      <c r="T178" s="59"/>
      <c r="U178" s="61"/>
      <c r="AC178" s="59"/>
      <c r="AD178" s="61"/>
      <c r="AL178" s="59"/>
      <c r="AM178" s="61"/>
      <c r="BI178" s="59"/>
      <c r="BK178" s="50"/>
      <c r="BM178" s="4">
        <f t="shared" si="2"/>
        <v>21</v>
      </c>
    </row>
    <row r="179" spans="1:65" s="46" customFormat="1" ht="15" customHeight="1">
      <c r="A179" s="48"/>
      <c r="B179" s="61"/>
      <c r="K179" s="59"/>
      <c r="L179" s="61"/>
      <c r="T179" s="59"/>
      <c r="U179" s="61"/>
      <c r="AC179" s="59"/>
      <c r="AD179" s="61"/>
      <c r="AL179" s="59"/>
      <c r="AM179" s="61"/>
      <c r="BI179" s="59"/>
      <c r="BK179" s="50"/>
      <c r="BM179" s="4">
        <f t="shared" si="2"/>
        <v>22</v>
      </c>
    </row>
    <row r="180" spans="1:65" s="46" customFormat="1" ht="15" customHeight="1">
      <c r="A180" s="48"/>
      <c r="B180" s="61"/>
      <c r="K180" s="59"/>
      <c r="L180" s="61"/>
      <c r="T180" s="59"/>
      <c r="U180" s="61"/>
      <c r="AC180" s="59"/>
      <c r="AD180" s="61"/>
      <c r="AL180" s="59"/>
      <c r="AM180" s="61"/>
      <c r="BI180" s="59"/>
      <c r="BK180" s="50"/>
      <c r="BM180" s="4">
        <f t="shared" si="2"/>
        <v>23</v>
      </c>
    </row>
    <row r="181" spans="1:65" s="46" customFormat="1" ht="15" customHeight="1">
      <c r="A181" s="48"/>
      <c r="B181" s="61"/>
      <c r="K181" s="59"/>
      <c r="L181" s="61"/>
      <c r="T181" s="59"/>
      <c r="U181" s="61"/>
      <c r="AC181" s="59"/>
      <c r="AD181" s="61"/>
      <c r="AL181" s="59"/>
      <c r="AM181" s="61"/>
      <c r="BI181" s="59"/>
      <c r="BK181" s="50"/>
      <c r="BM181" s="4">
        <f t="shared" si="2"/>
        <v>24</v>
      </c>
    </row>
    <row r="182" spans="1:65" s="46" customFormat="1" ht="15" customHeight="1">
      <c r="A182" s="48"/>
      <c r="B182" s="61"/>
      <c r="K182" s="59"/>
      <c r="L182" s="61"/>
      <c r="T182" s="59"/>
      <c r="U182" s="61"/>
      <c r="AC182" s="59"/>
      <c r="AD182" s="61"/>
      <c r="AL182" s="59"/>
      <c r="AM182" s="61"/>
      <c r="BI182" s="59"/>
      <c r="BK182" s="50"/>
      <c r="BM182" s="4">
        <f t="shared" si="2"/>
        <v>25</v>
      </c>
    </row>
    <row r="183" spans="1:65" s="46" customFormat="1" ht="15" customHeight="1">
      <c r="A183" s="48"/>
      <c r="B183" s="61"/>
      <c r="K183" s="59"/>
      <c r="L183" s="61"/>
      <c r="T183" s="59"/>
      <c r="U183" s="61"/>
      <c r="AC183" s="59"/>
      <c r="AD183" s="61"/>
      <c r="AL183" s="59"/>
      <c r="AM183" s="61"/>
      <c r="BI183" s="59"/>
      <c r="BK183" s="50"/>
      <c r="BM183" s="4">
        <f t="shared" si="2"/>
        <v>26</v>
      </c>
    </row>
    <row r="184" spans="1:65" s="46" customFormat="1" ht="15" customHeight="1">
      <c r="A184" s="48"/>
      <c r="B184" s="61"/>
      <c r="K184" s="59"/>
      <c r="L184" s="61"/>
      <c r="T184" s="59"/>
      <c r="U184" s="61"/>
      <c r="AC184" s="59"/>
      <c r="AD184" s="61"/>
      <c r="AL184" s="59"/>
      <c r="AM184" s="61"/>
      <c r="BI184" s="59"/>
      <c r="BK184" s="50"/>
      <c r="BM184" s="4">
        <f t="shared" si="2"/>
        <v>27</v>
      </c>
    </row>
    <row r="185" spans="1:65" s="46" customFormat="1" ht="15" customHeight="1">
      <c r="A185" s="48"/>
      <c r="B185" s="61"/>
      <c r="K185" s="59"/>
      <c r="L185" s="61"/>
      <c r="T185" s="59"/>
      <c r="U185" s="61"/>
      <c r="AC185" s="59"/>
      <c r="AD185" s="61"/>
      <c r="AL185" s="59"/>
      <c r="AM185" s="61"/>
      <c r="BI185" s="59"/>
      <c r="BK185" s="50"/>
      <c r="BM185" s="4">
        <f t="shared" si="2"/>
        <v>28</v>
      </c>
    </row>
    <row r="186" spans="1:65" s="46" customFormat="1" ht="15" customHeight="1">
      <c r="A186" s="48"/>
      <c r="B186" s="61"/>
      <c r="K186" s="59"/>
      <c r="L186" s="61"/>
      <c r="T186" s="59"/>
      <c r="U186" s="61"/>
      <c r="AC186" s="59"/>
      <c r="AD186" s="61"/>
      <c r="AL186" s="59"/>
      <c r="AM186" s="61"/>
      <c r="BI186" s="59"/>
      <c r="BK186" s="50"/>
      <c r="BM186" s="4">
        <f t="shared" si="2"/>
        <v>29</v>
      </c>
    </row>
    <row r="187" spans="1:65" s="46" customFormat="1" ht="15" customHeight="1">
      <c r="A187" s="48"/>
      <c r="B187" s="61"/>
      <c r="K187" s="59"/>
      <c r="L187" s="61"/>
      <c r="T187" s="59"/>
      <c r="U187" s="61"/>
      <c r="AC187" s="59"/>
      <c r="AD187" s="61"/>
      <c r="AL187" s="59"/>
      <c r="AM187" s="61"/>
      <c r="BI187" s="59"/>
      <c r="BK187" s="50"/>
      <c r="BM187" s="4">
        <f t="shared" si="2"/>
        <v>30</v>
      </c>
    </row>
    <row r="188" spans="1:65" s="46" customFormat="1" ht="15" customHeight="1">
      <c r="A188" s="48"/>
      <c r="B188" s="61"/>
      <c r="K188" s="59"/>
      <c r="L188" s="61"/>
      <c r="T188" s="59"/>
      <c r="U188" s="61"/>
      <c r="AC188" s="59"/>
      <c r="AD188" s="61"/>
      <c r="AL188" s="59"/>
      <c r="AM188" s="61"/>
      <c r="BI188" s="59"/>
      <c r="BK188" s="50"/>
      <c r="BM188" s="4">
        <f t="shared" si="2"/>
        <v>31</v>
      </c>
    </row>
    <row r="189" spans="1:65" s="46" customFormat="1" ht="15" customHeight="1">
      <c r="A189" s="48"/>
      <c r="B189" s="61"/>
      <c r="K189" s="59"/>
      <c r="L189" s="61"/>
      <c r="T189" s="59"/>
      <c r="U189" s="61"/>
      <c r="AC189" s="59"/>
      <c r="AD189" s="61"/>
      <c r="AL189" s="59"/>
      <c r="AM189" s="61"/>
      <c r="BI189" s="59"/>
      <c r="BK189" s="50"/>
      <c r="BM189" s="4">
        <f t="shared" si="2"/>
        <v>32</v>
      </c>
    </row>
    <row r="190" spans="1:65" s="46" customFormat="1" ht="15" customHeight="1">
      <c r="A190" s="48"/>
      <c r="B190" s="61"/>
      <c r="K190" s="59"/>
      <c r="L190" s="61"/>
      <c r="T190" s="59"/>
      <c r="U190" s="61"/>
      <c r="AC190" s="59"/>
      <c r="AD190" s="61"/>
      <c r="AL190" s="59"/>
      <c r="AM190" s="61"/>
      <c r="BI190" s="59"/>
      <c r="BK190" s="50"/>
      <c r="BM190" s="4">
        <f t="shared" si="2"/>
        <v>33</v>
      </c>
    </row>
    <row r="191" spans="1:65" s="46" customFormat="1" ht="15" customHeight="1">
      <c r="A191" s="48"/>
      <c r="B191" s="61"/>
      <c r="K191" s="59"/>
      <c r="L191" s="61"/>
      <c r="T191" s="59"/>
      <c r="U191" s="61"/>
      <c r="AC191" s="59"/>
      <c r="AD191" s="61"/>
      <c r="AL191" s="59"/>
      <c r="AM191" s="61"/>
      <c r="BI191" s="59"/>
      <c r="BK191" s="50"/>
      <c r="BM191" s="4">
        <f t="shared" si="2"/>
        <v>34</v>
      </c>
    </row>
    <row r="192" spans="1:65" s="46" customFormat="1" ht="15" customHeight="1">
      <c r="A192" s="48"/>
      <c r="B192" s="61"/>
      <c r="K192" s="59"/>
      <c r="L192" s="61"/>
      <c r="T192" s="59"/>
      <c r="U192" s="61"/>
      <c r="AC192" s="59"/>
      <c r="AD192" s="61"/>
      <c r="AL192" s="59"/>
      <c r="AM192" s="61"/>
      <c r="BI192" s="59"/>
      <c r="BK192" s="50"/>
      <c r="BM192" s="4">
        <f t="shared" si="2"/>
        <v>35</v>
      </c>
    </row>
    <row r="193" spans="1:65" s="46" customFormat="1" ht="15" customHeight="1">
      <c r="A193" s="48"/>
      <c r="B193" s="61"/>
      <c r="K193" s="59"/>
      <c r="L193" s="61"/>
      <c r="T193" s="59"/>
      <c r="U193" s="61"/>
      <c r="AC193" s="59"/>
      <c r="AD193" s="61"/>
      <c r="AL193" s="59"/>
      <c r="AM193" s="61"/>
      <c r="BI193" s="59"/>
      <c r="BK193" s="50"/>
      <c r="BM193" s="4">
        <f t="shared" si="2"/>
        <v>36</v>
      </c>
    </row>
    <row r="194" spans="1:65" s="46" customFormat="1" ht="15" customHeight="1">
      <c r="A194" s="48"/>
      <c r="B194" s="61"/>
      <c r="K194" s="59"/>
      <c r="L194" s="61"/>
      <c r="T194" s="59"/>
      <c r="U194" s="61"/>
      <c r="AC194" s="59"/>
      <c r="AD194" s="61"/>
      <c r="AL194" s="59"/>
      <c r="AM194" s="61"/>
      <c r="BI194" s="59"/>
      <c r="BK194" s="50"/>
      <c r="BM194" s="4">
        <f t="shared" si="2"/>
        <v>37</v>
      </c>
    </row>
    <row r="195" spans="1:65" s="46" customFormat="1" ht="15" customHeight="1">
      <c r="A195" s="48"/>
      <c r="B195" s="61"/>
      <c r="K195" s="59"/>
      <c r="L195" s="61"/>
      <c r="T195" s="59"/>
      <c r="U195" s="61"/>
      <c r="AC195" s="59"/>
      <c r="AD195" s="61"/>
      <c r="AL195" s="59"/>
      <c r="AM195" s="61"/>
      <c r="BI195" s="59"/>
      <c r="BK195" s="50"/>
      <c r="BM195" s="4">
        <f t="shared" si="2"/>
        <v>38</v>
      </c>
    </row>
    <row r="196" spans="1:65" s="46" customFormat="1" ht="15" customHeight="1">
      <c r="A196" s="48"/>
      <c r="B196" s="61"/>
      <c r="K196" s="59"/>
      <c r="L196" s="61"/>
      <c r="T196" s="59"/>
      <c r="U196" s="61"/>
      <c r="AC196" s="59"/>
      <c r="AD196" s="61"/>
      <c r="AL196" s="59"/>
      <c r="AM196" s="61"/>
      <c r="BI196" s="59"/>
      <c r="BK196" s="50"/>
      <c r="BM196" s="4">
        <f t="shared" si="2"/>
        <v>39</v>
      </c>
    </row>
    <row r="197" spans="1:65" s="46" customFormat="1" ht="15" customHeight="1">
      <c r="A197" s="48"/>
      <c r="B197" s="61"/>
      <c r="K197" s="59"/>
      <c r="L197" s="61"/>
      <c r="T197" s="59"/>
      <c r="U197" s="61"/>
      <c r="AC197" s="59"/>
      <c r="AD197" s="61"/>
      <c r="AL197" s="59"/>
      <c r="AM197" s="61"/>
      <c r="BI197" s="59"/>
      <c r="BK197" s="50"/>
      <c r="BM197" s="4">
        <f t="shared" si="2"/>
        <v>40</v>
      </c>
    </row>
    <row r="198" spans="1:65" s="46" customFormat="1" ht="15" customHeight="1">
      <c r="A198" s="48"/>
      <c r="B198" s="68" t="s">
        <v>57</v>
      </c>
      <c r="C198" s="62"/>
      <c r="D198" s="62"/>
      <c r="E198" s="62"/>
      <c r="F198" s="62"/>
      <c r="G198" s="62"/>
      <c r="H198" s="62"/>
      <c r="I198" s="62"/>
      <c r="J198" s="62"/>
      <c r="K198" s="63"/>
      <c r="L198" s="64"/>
      <c r="M198" s="62"/>
      <c r="N198" s="62"/>
      <c r="O198" s="62"/>
      <c r="P198" s="62"/>
      <c r="Q198" s="62"/>
      <c r="R198" s="62"/>
      <c r="S198" s="62"/>
      <c r="T198" s="63"/>
      <c r="U198" s="64"/>
      <c r="V198" s="62"/>
      <c r="W198" s="62"/>
      <c r="X198" s="62"/>
      <c r="Y198" s="62"/>
      <c r="Z198" s="62"/>
      <c r="AA198" s="62"/>
      <c r="AB198" s="62"/>
      <c r="AC198" s="63"/>
      <c r="AD198" s="64"/>
      <c r="AE198" s="62"/>
      <c r="AF198" s="62"/>
      <c r="AG198" s="62"/>
      <c r="AH198" s="62"/>
      <c r="AI198" s="62"/>
      <c r="AJ198" s="62"/>
      <c r="AK198" s="62"/>
      <c r="AL198" s="63"/>
      <c r="AM198" s="64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3"/>
      <c r="BJ198" s="62"/>
      <c r="BK198" s="50"/>
      <c r="BM198" s="4">
        <f t="shared" si="2"/>
        <v>41</v>
      </c>
    </row>
    <row r="199" spans="1:65" s="46" customFormat="1" ht="15" customHeight="1">
      <c r="A199" s="48"/>
      <c r="B199" s="61"/>
      <c r="K199" s="59"/>
      <c r="L199" s="61"/>
      <c r="T199" s="59"/>
      <c r="U199" s="61"/>
      <c r="AC199" s="59"/>
      <c r="AD199" s="61"/>
      <c r="AL199" s="59"/>
      <c r="AM199" s="61"/>
      <c r="BI199" s="59"/>
      <c r="BK199" s="50"/>
      <c r="BM199" s="4">
        <f t="shared" si="2"/>
        <v>42</v>
      </c>
    </row>
    <row r="200" spans="1:65" s="46" customFormat="1" ht="15" customHeight="1">
      <c r="A200" s="48"/>
      <c r="B200" s="61"/>
      <c r="K200" s="59"/>
      <c r="L200" s="61"/>
      <c r="T200" s="59"/>
      <c r="U200" s="61"/>
      <c r="AC200" s="59"/>
      <c r="AD200" s="61"/>
      <c r="AL200" s="59"/>
      <c r="AM200" s="61"/>
      <c r="BI200" s="59"/>
      <c r="BK200" s="50"/>
      <c r="BM200" s="4">
        <f t="shared" ref="BM200:BM238" si="3">IF(BM199=50,1,BM199+1)</f>
        <v>43</v>
      </c>
    </row>
    <row r="201" spans="1:65" s="46" customFormat="1" ht="15" customHeight="1">
      <c r="A201" s="48"/>
      <c r="B201" s="61"/>
      <c r="K201" s="59"/>
      <c r="L201" s="61"/>
      <c r="T201" s="59"/>
      <c r="U201" s="61"/>
      <c r="AC201" s="59"/>
      <c r="AD201" s="61"/>
      <c r="AL201" s="59"/>
      <c r="AM201" s="61"/>
      <c r="BI201" s="59"/>
      <c r="BK201" s="50"/>
      <c r="BM201" s="4">
        <f t="shared" si="3"/>
        <v>44</v>
      </c>
    </row>
    <row r="202" spans="1:65" s="46" customFormat="1" ht="15" customHeight="1">
      <c r="A202" s="48"/>
      <c r="B202" s="61"/>
      <c r="K202" s="59"/>
      <c r="L202" s="61"/>
      <c r="T202" s="59"/>
      <c r="U202" s="61"/>
      <c r="AC202" s="59"/>
      <c r="AD202" s="61"/>
      <c r="AL202" s="59"/>
      <c r="AM202" s="61"/>
      <c r="BI202" s="59"/>
      <c r="BK202" s="50"/>
      <c r="BM202" s="4">
        <f t="shared" si="3"/>
        <v>45</v>
      </c>
    </row>
    <row r="203" spans="1:65" s="46" customFormat="1" ht="15" customHeight="1">
      <c r="A203" s="48"/>
      <c r="B203" s="61"/>
      <c r="K203" s="59"/>
      <c r="L203" s="61"/>
      <c r="T203" s="59"/>
      <c r="U203" s="61"/>
      <c r="AC203" s="59"/>
      <c r="AD203" s="61"/>
      <c r="AL203" s="59"/>
      <c r="AM203" s="61"/>
      <c r="BI203" s="59"/>
      <c r="BK203" s="50"/>
      <c r="BM203" s="4">
        <f t="shared" si="3"/>
        <v>46</v>
      </c>
    </row>
    <row r="204" spans="1:65" s="46" customFormat="1" ht="15" customHeight="1">
      <c r="A204" s="48"/>
      <c r="B204" s="61"/>
      <c r="K204" s="59"/>
      <c r="L204" s="61"/>
      <c r="T204" s="59"/>
      <c r="U204" s="61"/>
      <c r="AC204" s="59"/>
      <c r="AD204" s="61"/>
      <c r="AL204" s="59"/>
      <c r="AM204" s="61"/>
      <c r="BI204" s="59"/>
      <c r="BK204" s="50"/>
      <c r="BM204" s="4">
        <f t="shared" si="3"/>
        <v>47</v>
      </c>
    </row>
    <row r="205" spans="1:65" s="46" customFormat="1" ht="15" customHeight="1">
      <c r="A205" s="48"/>
      <c r="B205" s="61"/>
      <c r="K205" s="59"/>
      <c r="L205" s="61"/>
      <c r="T205" s="59"/>
      <c r="U205" s="61"/>
      <c r="AC205" s="59"/>
      <c r="AD205" s="61"/>
      <c r="AL205" s="59"/>
      <c r="AM205" s="61"/>
      <c r="BI205" s="59"/>
      <c r="BK205" s="50"/>
      <c r="BM205" s="4">
        <f t="shared" si="3"/>
        <v>48</v>
      </c>
    </row>
    <row r="206" spans="1:65" s="46" customFormat="1" ht="15" customHeight="1">
      <c r="A206" s="48"/>
      <c r="B206" s="61"/>
      <c r="K206" s="59"/>
      <c r="L206" s="61"/>
      <c r="T206" s="59"/>
      <c r="U206" s="61"/>
      <c r="AC206" s="59"/>
      <c r="AD206" s="61"/>
      <c r="AL206" s="59"/>
      <c r="AM206" s="61"/>
      <c r="BI206" s="59"/>
      <c r="BK206" s="50"/>
      <c r="BM206" s="4">
        <f t="shared" si="3"/>
        <v>49</v>
      </c>
    </row>
    <row r="207" spans="1:65" s="46" customFormat="1" ht="15" customHeight="1">
      <c r="A207" s="48"/>
      <c r="B207" s="61"/>
      <c r="K207" s="59"/>
      <c r="L207" s="61"/>
      <c r="T207" s="59"/>
      <c r="U207" s="61"/>
      <c r="AC207" s="59"/>
      <c r="AD207" s="61"/>
      <c r="AL207" s="59"/>
      <c r="AM207" s="61"/>
      <c r="BI207" s="59"/>
      <c r="BK207" s="50"/>
      <c r="BM207" s="4">
        <f t="shared" si="3"/>
        <v>50</v>
      </c>
    </row>
    <row r="208" spans="1:65" s="46" customFormat="1" ht="15" customHeight="1">
      <c r="A208" s="48"/>
      <c r="B208" s="61"/>
      <c r="K208" s="59"/>
      <c r="L208" s="61"/>
      <c r="T208" s="59"/>
      <c r="U208" s="61"/>
      <c r="AC208" s="59"/>
      <c r="AD208" s="61"/>
      <c r="AL208" s="59"/>
      <c r="AM208" s="61"/>
      <c r="BI208" s="59"/>
      <c r="BK208" s="50"/>
      <c r="BM208" s="4">
        <f t="shared" si="3"/>
        <v>1</v>
      </c>
    </row>
    <row r="209" spans="1:65" s="46" customFormat="1" ht="15" customHeight="1">
      <c r="A209" s="48"/>
      <c r="B209" s="61"/>
      <c r="K209" s="59"/>
      <c r="L209" s="61"/>
      <c r="T209" s="59"/>
      <c r="U209" s="61"/>
      <c r="AC209" s="59"/>
      <c r="AD209" s="61"/>
      <c r="AL209" s="59"/>
      <c r="AM209" s="61"/>
      <c r="BI209" s="59"/>
      <c r="BK209" s="50"/>
      <c r="BM209" s="4">
        <f t="shared" si="3"/>
        <v>2</v>
      </c>
    </row>
    <row r="210" spans="1:65" s="46" customFormat="1" ht="15" customHeight="1">
      <c r="A210" s="48"/>
      <c r="B210" s="61"/>
      <c r="K210" s="59"/>
      <c r="L210" s="61"/>
      <c r="T210" s="59"/>
      <c r="U210" s="61"/>
      <c r="AC210" s="59"/>
      <c r="AD210" s="61"/>
      <c r="AL210" s="59"/>
      <c r="AM210" s="61"/>
      <c r="BI210" s="59"/>
      <c r="BK210" s="50"/>
      <c r="BM210" s="4">
        <f t="shared" si="3"/>
        <v>3</v>
      </c>
    </row>
    <row r="211" spans="1:65" s="46" customFormat="1" ht="15" customHeight="1">
      <c r="A211" s="48"/>
      <c r="B211" s="61"/>
      <c r="K211" s="59"/>
      <c r="L211" s="61"/>
      <c r="T211" s="59"/>
      <c r="U211" s="61"/>
      <c r="AC211" s="59"/>
      <c r="AD211" s="61"/>
      <c r="AL211" s="59"/>
      <c r="AM211" s="61"/>
      <c r="BI211" s="59"/>
      <c r="BK211" s="50"/>
      <c r="BM211" s="4">
        <f t="shared" si="3"/>
        <v>4</v>
      </c>
    </row>
    <row r="212" spans="1:65" s="46" customFormat="1" ht="15" customHeight="1">
      <c r="A212" s="48"/>
      <c r="B212" s="61"/>
      <c r="K212" s="59"/>
      <c r="L212" s="61"/>
      <c r="T212" s="59"/>
      <c r="U212" s="61"/>
      <c r="AC212" s="59"/>
      <c r="AD212" s="61"/>
      <c r="AL212" s="59"/>
      <c r="AM212" s="61"/>
      <c r="BI212" s="59"/>
      <c r="BK212" s="50"/>
      <c r="BM212" s="4">
        <f t="shared" si="3"/>
        <v>5</v>
      </c>
    </row>
    <row r="213" spans="1:65" s="46" customFormat="1" ht="15" customHeight="1">
      <c r="A213" s="48"/>
      <c r="B213" s="61"/>
      <c r="K213" s="59"/>
      <c r="L213" s="61"/>
      <c r="T213" s="59"/>
      <c r="U213" s="61"/>
      <c r="AC213" s="59"/>
      <c r="AD213" s="61"/>
      <c r="AL213" s="59"/>
      <c r="AM213" s="61"/>
      <c r="BI213" s="59"/>
      <c r="BK213" s="50"/>
      <c r="BM213" s="4">
        <f t="shared" si="3"/>
        <v>6</v>
      </c>
    </row>
    <row r="214" spans="1:65" s="46" customFormat="1" ht="15" customHeight="1">
      <c r="A214" s="48"/>
      <c r="B214" s="61"/>
      <c r="K214" s="59"/>
      <c r="L214" s="61"/>
      <c r="T214" s="59"/>
      <c r="U214" s="61"/>
      <c r="AC214" s="59"/>
      <c r="AD214" s="61"/>
      <c r="AL214" s="59"/>
      <c r="AM214" s="61"/>
      <c r="BI214" s="59"/>
      <c r="BK214" s="50"/>
      <c r="BM214" s="4">
        <f t="shared" si="3"/>
        <v>7</v>
      </c>
    </row>
    <row r="215" spans="1:65" s="46" customFormat="1" ht="15" customHeight="1">
      <c r="A215" s="48"/>
      <c r="B215" s="61"/>
      <c r="K215" s="59"/>
      <c r="L215" s="61"/>
      <c r="T215" s="59"/>
      <c r="U215" s="61"/>
      <c r="AC215" s="59"/>
      <c r="AD215" s="61"/>
      <c r="AL215" s="59"/>
      <c r="AM215" s="61"/>
      <c r="BI215" s="59"/>
      <c r="BK215" s="50"/>
      <c r="BM215" s="4">
        <f t="shared" si="3"/>
        <v>8</v>
      </c>
    </row>
    <row r="216" spans="1:65" s="46" customFormat="1" ht="15" customHeight="1">
      <c r="A216" s="48"/>
      <c r="B216" s="61"/>
      <c r="K216" s="59"/>
      <c r="L216" s="61"/>
      <c r="T216" s="59"/>
      <c r="U216" s="61"/>
      <c r="AC216" s="59"/>
      <c r="AD216" s="61"/>
      <c r="AL216" s="59"/>
      <c r="AM216" s="61"/>
      <c r="BI216" s="59"/>
      <c r="BK216" s="50"/>
      <c r="BM216" s="4">
        <f t="shared" si="3"/>
        <v>9</v>
      </c>
    </row>
    <row r="217" spans="1:65" s="46" customFormat="1" ht="15" customHeight="1">
      <c r="A217" s="48"/>
      <c r="B217" s="61"/>
      <c r="K217" s="59"/>
      <c r="L217" s="61"/>
      <c r="T217" s="59"/>
      <c r="U217" s="61"/>
      <c r="AC217" s="59"/>
      <c r="AD217" s="61"/>
      <c r="AL217" s="59"/>
      <c r="AM217" s="61"/>
      <c r="BI217" s="59"/>
      <c r="BK217" s="50"/>
      <c r="BM217" s="4">
        <f t="shared" si="3"/>
        <v>10</v>
      </c>
    </row>
    <row r="218" spans="1:65" s="46" customFormat="1" ht="15" customHeight="1">
      <c r="A218" s="48"/>
      <c r="B218" s="61"/>
      <c r="K218" s="59"/>
      <c r="L218" s="61"/>
      <c r="T218" s="59"/>
      <c r="U218" s="61"/>
      <c r="AC218" s="59"/>
      <c r="AD218" s="61"/>
      <c r="AL218" s="59"/>
      <c r="AM218" s="61"/>
      <c r="BI218" s="59"/>
      <c r="BK218" s="50"/>
      <c r="BM218" s="4">
        <f t="shared" si="3"/>
        <v>11</v>
      </c>
    </row>
    <row r="219" spans="1:65" s="46" customFormat="1" ht="15" customHeight="1">
      <c r="A219" s="48"/>
      <c r="B219" s="61"/>
      <c r="K219" s="59"/>
      <c r="L219" s="61"/>
      <c r="T219" s="59"/>
      <c r="U219" s="61"/>
      <c r="AC219" s="59"/>
      <c r="AD219" s="61"/>
      <c r="AL219" s="59"/>
      <c r="AM219" s="61"/>
      <c r="BI219" s="59"/>
      <c r="BK219" s="50"/>
      <c r="BM219" s="4">
        <f t="shared" si="3"/>
        <v>12</v>
      </c>
    </row>
    <row r="220" spans="1:65" s="46" customFormat="1" ht="15" customHeight="1">
      <c r="A220" s="48"/>
      <c r="B220" s="61"/>
      <c r="K220" s="59"/>
      <c r="L220" s="61"/>
      <c r="T220" s="59"/>
      <c r="U220" s="61"/>
      <c r="AC220" s="59"/>
      <c r="AD220" s="61"/>
      <c r="AL220" s="59"/>
      <c r="AM220" s="61"/>
      <c r="BI220" s="59"/>
      <c r="BK220" s="50"/>
      <c r="BM220" s="4">
        <f t="shared" si="3"/>
        <v>13</v>
      </c>
    </row>
    <row r="221" spans="1:65" s="46" customFormat="1" ht="15" customHeight="1">
      <c r="A221" s="48"/>
      <c r="B221" s="61"/>
      <c r="K221" s="59"/>
      <c r="L221" s="61"/>
      <c r="T221" s="59"/>
      <c r="U221" s="61"/>
      <c r="AC221" s="59"/>
      <c r="AD221" s="61"/>
      <c r="AL221" s="59"/>
      <c r="AM221" s="61"/>
      <c r="BI221" s="59"/>
      <c r="BK221" s="50"/>
      <c r="BM221" s="4">
        <f t="shared" si="3"/>
        <v>14</v>
      </c>
    </row>
    <row r="222" spans="1:65" s="46" customFormat="1" ht="15" customHeight="1">
      <c r="BM222" s="4">
        <f>IF(BM221=50,1,BM221+1)</f>
        <v>15</v>
      </c>
    </row>
    <row r="223" spans="1:65" s="78" customFormat="1" ht="15" customHeight="1">
      <c r="A223" s="72"/>
      <c r="B223" s="73" t="s">
        <v>82</v>
      </c>
      <c r="C223" s="74"/>
      <c r="D223" s="74"/>
      <c r="E223" s="74"/>
      <c r="F223" s="74"/>
      <c r="G223" s="74"/>
      <c r="H223" s="74"/>
      <c r="I223" s="74"/>
      <c r="J223" s="74"/>
      <c r="K223" s="75"/>
      <c r="L223" s="76"/>
      <c r="M223" s="74"/>
      <c r="N223" s="74"/>
      <c r="O223" s="74"/>
      <c r="P223" s="74"/>
      <c r="Q223" s="74"/>
      <c r="R223" s="74"/>
      <c r="S223" s="74"/>
      <c r="T223" s="75"/>
      <c r="U223" s="76"/>
      <c r="V223" s="74"/>
      <c r="W223" s="74"/>
      <c r="X223" s="74"/>
      <c r="Y223" s="74"/>
      <c r="Z223" s="74"/>
      <c r="AA223" s="74"/>
      <c r="AB223" s="74"/>
      <c r="AC223" s="75"/>
      <c r="AD223" s="76"/>
      <c r="AE223" s="74"/>
      <c r="AF223" s="74"/>
      <c r="AG223" s="74"/>
      <c r="AH223" s="74"/>
      <c r="AI223" s="74"/>
      <c r="AJ223" s="74"/>
      <c r="AK223" s="74"/>
      <c r="AL223" s="75"/>
      <c r="AM223" s="76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5"/>
      <c r="BJ223" s="74"/>
      <c r="BK223" s="77"/>
      <c r="BM223" s="4">
        <f>IF(BM222=50,1,BM222+1)</f>
        <v>16</v>
      </c>
    </row>
    <row r="224" spans="1:65" s="78" customFormat="1" ht="15" customHeight="1">
      <c r="A224" s="72"/>
      <c r="B224" s="79"/>
      <c r="K224" s="80"/>
      <c r="L224" s="79"/>
      <c r="T224" s="80"/>
      <c r="U224" s="79"/>
      <c r="AC224" s="80"/>
      <c r="AD224" s="79"/>
      <c r="AL224" s="80"/>
      <c r="AM224" s="79"/>
      <c r="BI224" s="80"/>
      <c r="BK224" s="77"/>
      <c r="BM224" s="4">
        <f t="shared" si="3"/>
        <v>17</v>
      </c>
    </row>
    <row r="225" spans="1:65" s="78" customFormat="1" ht="15" customHeight="1">
      <c r="A225" s="72"/>
      <c r="B225" s="79"/>
      <c r="K225" s="80"/>
      <c r="L225" s="79"/>
      <c r="T225" s="80"/>
      <c r="U225" s="79"/>
      <c r="AC225" s="80"/>
      <c r="AD225" s="79"/>
      <c r="AL225" s="80"/>
      <c r="AM225" s="79"/>
      <c r="BI225" s="80"/>
      <c r="BK225" s="77"/>
      <c r="BM225" s="4">
        <f t="shared" si="3"/>
        <v>18</v>
      </c>
    </row>
    <row r="226" spans="1:65" s="78" customFormat="1" ht="15" customHeight="1">
      <c r="A226" s="72"/>
      <c r="B226" s="79"/>
      <c r="K226" s="80"/>
      <c r="L226" s="79"/>
      <c r="T226" s="80"/>
      <c r="U226" s="79"/>
      <c r="AC226" s="80"/>
      <c r="AD226" s="79"/>
      <c r="AL226" s="80"/>
      <c r="AM226" s="79"/>
      <c r="BI226" s="80"/>
      <c r="BK226" s="77"/>
      <c r="BM226" s="4">
        <f t="shared" si="3"/>
        <v>19</v>
      </c>
    </row>
    <row r="227" spans="1:65" s="78" customFormat="1" ht="15" customHeight="1">
      <c r="A227" s="72"/>
      <c r="B227" s="79"/>
      <c r="K227" s="80"/>
      <c r="L227" s="79"/>
      <c r="T227" s="80"/>
      <c r="U227" s="79"/>
      <c r="AC227" s="80"/>
      <c r="AD227" s="79"/>
      <c r="AL227" s="80"/>
      <c r="AM227" s="79"/>
      <c r="BI227" s="80"/>
      <c r="BK227" s="77"/>
      <c r="BM227" s="4">
        <f t="shared" si="3"/>
        <v>20</v>
      </c>
    </row>
    <row r="228" spans="1:65" s="78" customFormat="1" ht="15" customHeight="1">
      <c r="A228" s="72"/>
      <c r="B228" s="79"/>
      <c r="K228" s="80"/>
      <c r="L228" s="79"/>
      <c r="T228" s="80"/>
      <c r="U228" s="79"/>
      <c r="AC228" s="80"/>
      <c r="AD228" s="79"/>
      <c r="AL228" s="80"/>
      <c r="AM228" s="79"/>
      <c r="BI228" s="80"/>
      <c r="BK228" s="77"/>
      <c r="BM228" s="4">
        <f t="shared" si="3"/>
        <v>21</v>
      </c>
    </row>
    <row r="229" spans="1:65" s="78" customFormat="1" ht="15" customHeight="1">
      <c r="A229" s="72"/>
      <c r="B229" s="79"/>
      <c r="K229" s="80"/>
      <c r="L229" s="79"/>
      <c r="T229" s="80"/>
      <c r="U229" s="79"/>
      <c r="AC229" s="80"/>
      <c r="AD229" s="79"/>
      <c r="AL229" s="80"/>
      <c r="AM229" s="79"/>
      <c r="BI229" s="80"/>
      <c r="BK229" s="77"/>
      <c r="BM229" s="4">
        <f t="shared" si="3"/>
        <v>22</v>
      </c>
    </row>
    <row r="230" spans="1:65" s="78" customFormat="1" ht="15" customHeight="1">
      <c r="A230" s="72"/>
      <c r="B230" s="79"/>
      <c r="K230" s="80"/>
      <c r="L230" s="79"/>
      <c r="T230" s="80"/>
      <c r="U230" s="79"/>
      <c r="AC230" s="80"/>
      <c r="AD230" s="79"/>
      <c r="AL230" s="80"/>
      <c r="AM230" s="79"/>
      <c r="BI230" s="80"/>
      <c r="BK230" s="77"/>
      <c r="BM230" s="4">
        <f t="shared" si="3"/>
        <v>23</v>
      </c>
    </row>
    <row r="231" spans="1:65" s="78" customFormat="1" ht="15" customHeight="1">
      <c r="A231" s="72"/>
      <c r="B231" s="79"/>
      <c r="K231" s="80"/>
      <c r="L231" s="79"/>
      <c r="T231" s="80"/>
      <c r="U231" s="79"/>
      <c r="AC231" s="80"/>
      <c r="AD231" s="79"/>
      <c r="AL231" s="80"/>
      <c r="AM231" s="79"/>
      <c r="BI231" s="80"/>
      <c r="BK231" s="77"/>
      <c r="BM231" s="4">
        <f t="shared" si="3"/>
        <v>24</v>
      </c>
    </row>
    <row r="232" spans="1:65" s="78" customFormat="1" ht="15" customHeight="1">
      <c r="A232" s="72"/>
      <c r="B232" s="79"/>
      <c r="K232" s="80"/>
      <c r="L232" s="79"/>
      <c r="T232" s="80"/>
      <c r="U232" s="79"/>
      <c r="AC232" s="80"/>
      <c r="AD232" s="79"/>
      <c r="AL232" s="80"/>
      <c r="AM232" s="79"/>
      <c r="BI232" s="80"/>
      <c r="BK232" s="77"/>
      <c r="BM232" s="4">
        <f t="shared" si="3"/>
        <v>25</v>
      </c>
    </row>
    <row r="233" spans="1:65" s="78" customFormat="1" ht="15" customHeight="1">
      <c r="A233" s="72"/>
      <c r="B233" s="79"/>
      <c r="K233" s="80"/>
      <c r="L233" s="79"/>
      <c r="T233" s="80"/>
      <c r="U233" s="79"/>
      <c r="AC233" s="80"/>
      <c r="AD233" s="79"/>
      <c r="AL233" s="80"/>
      <c r="AM233" s="79"/>
      <c r="BI233" s="80"/>
      <c r="BK233" s="77"/>
      <c r="BM233" s="4">
        <f t="shared" si="3"/>
        <v>26</v>
      </c>
    </row>
    <row r="234" spans="1:65" s="78" customFormat="1" ht="15" customHeight="1">
      <c r="A234" s="72"/>
      <c r="B234" s="79"/>
      <c r="K234" s="80"/>
      <c r="L234" s="79"/>
      <c r="T234" s="80"/>
      <c r="U234" s="79"/>
      <c r="AC234" s="80"/>
      <c r="AD234" s="79"/>
      <c r="AL234" s="80"/>
      <c r="AM234" s="79"/>
      <c r="BI234" s="80"/>
      <c r="BK234" s="77"/>
      <c r="BM234" s="4">
        <f t="shared" si="3"/>
        <v>27</v>
      </c>
    </row>
    <row r="235" spans="1:65" s="78" customFormat="1" ht="15" customHeight="1">
      <c r="A235" s="72"/>
      <c r="B235" s="79"/>
      <c r="K235" s="80"/>
      <c r="L235" s="79"/>
      <c r="T235" s="80"/>
      <c r="U235" s="79"/>
      <c r="AC235" s="80"/>
      <c r="AD235" s="79"/>
      <c r="AL235" s="80"/>
      <c r="AM235" s="79"/>
      <c r="BI235" s="80"/>
      <c r="BK235" s="77"/>
      <c r="BM235" s="4">
        <f t="shared" si="3"/>
        <v>28</v>
      </c>
    </row>
    <row r="236" spans="1:65" s="78" customFormat="1" ht="15" customHeight="1">
      <c r="A236" s="72"/>
      <c r="B236" s="79"/>
      <c r="K236" s="80"/>
      <c r="L236" s="79"/>
      <c r="T236" s="80"/>
      <c r="U236" s="79"/>
      <c r="AC236" s="80"/>
      <c r="AD236" s="79"/>
      <c r="AL236" s="80"/>
      <c r="AM236" s="79"/>
      <c r="BI236" s="80"/>
      <c r="BK236" s="77"/>
      <c r="BM236" s="4">
        <f t="shared" si="3"/>
        <v>29</v>
      </c>
    </row>
    <row r="237" spans="1:65" s="78" customFormat="1" ht="15" customHeight="1">
      <c r="A237" s="72"/>
      <c r="B237" s="79"/>
      <c r="K237" s="80"/>
      <c r="L237" s="79"/>
      <c r="T237" s="80"/>
      <c r="U237" s="79"/>
      <c r="AC237" s="80"/>
      <c r="AD237" s="79"/>
      <c r="AL237" s="80"/>
      <c r="AM237" s="79"/>
      <c r="BI237" s="80"/>
      <c r="BK237" s="77"/>
      <c r="BM237" s="4">
        <f t="shared" si="3"/>
        <v>30</v>
      </c>
    </row>
    <row r="238" spans="1:65" s="78" customFormat="1" ht="15" customHeight="1">
      <c r="A238" s="72"/>
      <c r="B238" s="79"/>
      <c r="K238" s="80"/>
      <c r="L238" s="79"/>
      <c r="T238" s="80"/>
      <c r="U238" s="79"/>
      <c r="AC238" s="80"/>
      <c r="AD238" s="79"/>
      <c r="AL238" s="80"/>
      <c r="AM238" s="79"/>
      <c r="BI238" s="80"/>
      <c r="BK238" s="77"/>
      <c r="BM238" s="4">
        <f t="shared" si="3"/>
        <v>31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14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activeCell="T45" sqref="T45:W45"/>
    </sheetView>
  </sheetViews>
  <sheetFormatPr defaultColWidth="10.109375" defaultRowHeight="15.75"/>
  <cols>
    <col min="1" max="63" width="3.21875" style="4" customWidth="1"/>
    <col min="64" max="16384" width="10.109375" style="4"/>
  </cols>
  <sheetData>
    <row r="1" spans="1:63" ht="24.95" customHeight="1">
      <c r="A1" s="198" t="s">
        <v>36</v>
      </c>
      <c r="B1" s="199"/>
      <c r="C1" s="199"/>
      <c r="D1" s="199"/>
      <c r="E1" s="199"/>
      <c r="F1" s="199"/>
      <c r="G1" s="199"/>
      <c r="H1" s="199"/>
      <c r="I1" s="199"/>
      <c r="J1" s="200"/>
      <c r="K1" s="198" t="s">
        <v>37</v>
      </c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200"/>
      <c r="W1" s="201" t="str">
        <f>IF(表紙!W1="","",表紙!W1)</f>
        <v>基本設計書</v>
      </c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3"/>
      <c r="AP1" s="96" t="s">
        <v>39</v>
      </c>
      <c r="AQ1" s="97"/>
      <c r="AR1" s="97"/>
      <c r="AS1" s="98"/>
      <c r="AT1" s="96" t="s">
        <v>40</v>
      </c>
      <c r="AU1" s="97"/>
      <c r="AV1" s="97"/>
      <c r="AW1" s="97"/>
      <c r="AX1" s="98"/>
      <c r="AY1" s="96" t="s">
        <v>41</v>
      </c>
      <c r="AZ1" s="97"/>
      <c r="BA1" s="97"/>
      <c r="BB1" s="98"/>
      <c r="BC1" s="96" t="s">
        <v>42</v>
      </c>
      <c r="BD1" s="97"/>
      <c r="BE1" s="97"/>
      <c r="BF1" s="97"/>
      <c r="BG1" s="98"/>
      <c r="BH1" s="96" t="s">
        <v>43</v>
      </c>
      <c r="BI1" s="97"/>
      <c r="BJ1" s="97"/>
      <c r="BK1" s="98"/>
    </row>
    <row r="2" spans="1:63" ht="15" customHeight="1">
      <c r="A2" s="192" t="str">
        <f>IF(表紙!A2="","",表紙!A2)</f>
        <v>POSサーバー</v>
      </c>
      <c r="B2" s="193"/>
      <c r="C2" s="193"/>
      <c r="D2" s="193"/>
      <c r="E2" s="193"/>
      <c r="F2" s="193"/>
      <c r="G2" s="193"/>
      <c r="H2" s="193"/>
      <c r="I2" s="193"/>
      <c r="J2" s="194"/>
      <c r="K2" s="192" t="str">
        <f>IF(表紙!K2="","",表紙!K2)</f>
        <v>POSサーバー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04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6"/>
      <c r="AP2" s="81" t="str">
        <f>IF(表紙!AP2="","",表紙!AP2)</f>
        <v>SonMNT</v>
      </c>
      <c r="AQ2" s="82"/>
      <c r="AR2" s="82"/>
      <c r="AS2" s="83"/>
      <c r="AT2" s="110">
        <f>IF(表紙!AT2="","",表紙!AT2)</f>
        <v>45453</v>
      </c>
      <c r="AU2" s="111"/>
      <c r="AV2" s="111"/>
      <c r="AW2" s="111"/>
      <c r="AX2" s="112"/>
      <c r="AY2" s="81" t="str">
        <f>IF(表紙!AY2="","",表紙!AY2)</f>
        <v>DunT</v>
      </c>
      <c r="AZ2" s="82"/>
      <c r="BA2" s="82"/>
      <c r="BB2" s="83"/>
      <c r="BC2" s="110">
        <f>IF(表紙!BC2="","",表紙!BC2)</f>
        <v>45581</v>
      </c>
      <c r="BD2" s="111"/>
      <c r="BE2" s="111"/>
      <c r="BF2" s="111"/>
      <c r="BG2" s="112"/>
      <c r="BH2" s="81">
        <f>IF(表紙!BH2="","",表紙!BH2)</f>
        <v>0.21</v>
      </c>
      <c r="BI2" s="82"/>
      <c r="BJ2" s="82"/>
      <c r="BK2" s="83"/>
    </row>
    <row r="3" spans="1:63" ht="15" customHeight="1">
      <c r="A3" s="195"/>
      <c r="B3" s="196"/>
      <c r="C3" s="196"/>
      <c r="D3" s="196"/>
      <c r="E3" s="196"/>
      <c r="F3" s="196"/>
      <c r="G3" s="196"/>
      <c r="H3" s="196"/>
      <c r="I3" s="196"/>
      <c r="J3" s="197"/>
      <c r="K3" s="195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7"/>
      <c r="W3" s="207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9"/>
      <c r="AP3" s="87"/>
      <c r="AQ3" s="88"/>
      <c r="AR3" s="88"/>
      <c r="AS3" s="89"/>
      <c r="AT3" s="113"/>
      <c r="AU3" s="114"/>
      <c r="AV3" s="114"/>
      <c r="AW3" s="114"/>
      <c r="AX3" s="115"/>
      <c r="AY3" s="87"/>
      <c r="AZ3" s="88"/>
      <c r="BA3" s="88"/>
      <c r="BB3" s="89"/>
      <c r="BC3" s="113"/>
      <c r="BD3" s="114"/>
      <c r="BE3" s="114"/>
      <c r="BF3" s="114"/>
      <c r="BG3" s="115"/>
      <c r="BH3" s="87"/>
      <c r="BI3" s="88"/>
      <c r="BJ3" s="88"/>
      <c r="BK3" s="89"/>
    </row>
    <row r="4" spans="1:63" ht="24.95" customHeight="1">
      <c r="A4" s="198" t="s">
        <v>45</v>
      </c>
      <c r="B4" s="199"/>
      <c r="C4" s="199"/>
      <c r="D4" s="199"/>
      <c r="E4" s="199"/>
      <c r="F4" s="199"/>
      <c r="G4" s="200"/>
      <c r="H4" s="210" t="str">
        <f>IF(表紙!H4="","",表紙!H4)</f>
        <v>82_店舗マスタ設定</v>
      </c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  <c r="U4" s="198" t="s">
        <v>46</v>
      </c>
      <c r="V4" s="199"/>
      <c r="W4" s="199"/>
      <c r="X4" s="199"/>
      <c r="Y4" s="200"/>
      <c r="Z4" s="210" t="str">
        <f>IF(表紙!Z4="","",表紙!Z4)</f>
        <v>概要設計書</v>
      </c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2"/>
      <c r="AP4" s="213" t="str">
        <f ca="1">MID(CELL("filename",A1),FIND("]",CELL("filename",A1))+1,255)</f>
        <v>画面設計書</v>
      </c>
      <c r="AQ4" s="211"/>
      <c r="AR4" s="211"/>
      <c r="AS4" s="211"/>
      <c r="AT4" s="211"/>
      <c r="AU4" s="211"/>
      <c r="AV4" s="211"/>
      <c r="AW4" s="211"/>
      <c r="AX4" s="211"/>
      <c r="AY4" s="211"/>
      <c r="AZ4" s="211"/>
      <c r="BA4" s="211"/>
      <c r="BB4" s="211"/>
      <c r="BC4" s="211"/>
      <c r="BD4" s="211"/>
      <c r="BE4" s="211"/>
      <c r="BF4" s="211"/>
      <c r="BG4" s="211"/>
      <c r="BH4" s="211"/>
      <c r="BI4" s="211"/>
      <c r="BJ4" s="211"/>
      <c r="BK4" s="212"/>
    </row>
    <row r="5" spans="1:63" ht="5.0999999999999996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>
      <c r="A6" s="8"/>
      <c r="BK6" s="9"/>
    </row>
    <row r="7" spans="1:63" ht="15" customHeight="1">
      <c r="A7" s="8"/>
      <c r="B7" s="10" t="s">
        <v>83</v>
      </c>
      <c r="C7" s="65"/>
      <c r="D7" s="65"/>
      <c r="E7" s="65"/>
      <c r="F7" s="65"/>
      <c r="G7" s="65"/>
      <c r="H7" s="65"/>
      <c r="I7" s="65"/>
      <c r="J7" s="65"/>
      <c r="AE7" s="10"/>
      <c r="BK7" s="9"/>
    </row>
    <row r="8" spans="1:63" ht="15" customHeight="1">
      <c r="A8" s="8"/>
      <c r="BK8" s="9"/>
    </row>
    <row r="9" spans="1:63" ht="15" customHeight="1">
      <c r="A9" s="8"/>
      <c r="BK9" s="9"/>
    </row>
    <row r="10" spans="1:63" ht="15" customHeight="1">
      <c r="A10" s="8"/>
      <c r="BK10" s="9"/>
    </row>
    <row r="11" spans="1:63" ht="15" customHeight="1">
      <c r="A11" s="8"/>
      <c r="BK11" s="9"/>
    </row>
    <row r="12" spans="1:63" ht="15" customHeight="1">
      <c r="A12" s="8"/>
      <c r="BK12" s="9"/>
    </row>
    <row r="13" spans="1:63" ht="15" customHeight="1">
      <c r="A13" s="8"/>
      <c r="BK13" s="9"/>
    </row>
    <row r="14" spans="1:63" ht="15" customHeight="1">
      <c r="A14" s="8"/>
      <c r="BK14" s="9"/>
    </row>
    <row r="15" spans="1:63" ht="15" customHeight="1">
      <c r="A15" s="8"/>
      <c r="BK15" s="9"/>
    </row>
    <row r="16" spans="1:63" ht="15" customHeight="1">
      <c r="A16" s="8"/>
      <c r="BK16" s="9"/>
    </row>
    <row r="17" spans="1:63" ht="15" customHeight="1">
      <c r="A17" s="8"/>
      <c r="BK17" s="9"/>
    </row>
    <row r="18" spans="1:63" ht="15" customHeight="1">
      <c r="A18" s="8"/>
      <c r="BK18" s="9"/>
    </row>
    <row r="19" spans="1:63" ht="15" customHeight="1">
      <c r="A19" s="8"/>
      <c r="BK19" s="9"/>
    </row>
    <row r="20" spans="1:63" ht="15" customHeight="1">
      <c r="A20" s="8"/>
      <c r="BK20" s="9"/>
    </row>
    <row r="21" spans="1:63" ht="15" customHeight="1">
      <c r="A21" s="8"/>
      <c r="BK21" s="9"/>
    </row>
    <row r="22" spans="1:63" ht="15" customHeight="1">
      <c r="A22" s="8"/>
      <c r="BK22" s="9"/>
    </row>
    <row r="23" spans="1:63" ht="15" customHeight="1">
      <c r="A23" s="8"/>
      <c r="BK23" s="9"/>
    </row>
    <row r="24" spans="1:63" ht="15" customHeight="1">
      <c r="A24" s="8"/>
      <c r="BK24" s="9"/>
    </row>
    <row r="25" spans="1:63" ht="14.25" customHeight="1">
      <c r="A25" s="8"/>
      <c r="BK25" s="9"/>
    </row>
    <row r="26" spans="1:63" ht="15" customHeight="1">
      <c r="A26" s="8"/>
      <c r="BK26" s="9"/>
    </row>
    <row r="27" spans="1:63" ht="15" customHeight="1">
      <c r="A27" s="8"/>
      <c r="BK27" s="9"/>
    </row>
    <row r="28" spans="1:63">
      <c r="BK28" s="9"/>
    </row>
    <row r="29" spans="1:63">
      <c r="BK29" s="9"/>
    </row>
    <row r="30" spans="1:63">
      <c r="BK30" s="9"/>
    </row>
    <row r="31" spans="1:63">
      <c r="BK31" s="9"/>
    </row>
    <row r="32" spans="1:63">
      <c r="BK32" s="9"/>
    </row>
    <row r="33" spans="1:63">
      <c r="BK33" s="9"/>
    </row>
    <row r="34" spans="1:63">
      <c r="BK34" s="9"/>
    </row>
    <row r="35" spans="1:63" ht="15" customHeight="1">
      <c r="A35" s="8"/>
      <c r="B35" s="10" t="s">
        <v>60</v>
      </c>
      <c r="BK35" s="9"/>
    </row>
    <row r="36" spans="1:63">
      <c r="BK36" s="9"/>
    </row>
    <row r="37" spans="1:63" ht="15.75" customHeight="1">
      <c r="B37" s="214" t="s">
        <v>61</v>
      </c>
      <c r="C37" s="215"/>
      <c r="D37" s="220" t="s">
        <v>62</v>
      </c>
      <c r="E37" s="221"/>
      <c r="F37" s="221"/>
      <c r="G37" s="221"/>
      <c r="H37" s="221"/>
      <c r="I37" s="221"/>
      <c r="J37" s="215"/>
      <c r="K37" s="220" t="s">
        <v>63</v>
      </c>
      <c r="L37" s="221"/>
      <c r="M37" s="215"/>
      <c r="N37" s="224" t="s">
        <v>16</v>
      </c>
      <c r="O37" s="227" t="s">
        <v>64</v>
      </c>
      <c r="P37" s="245" t="s">
        <v>65</v>
      </c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7"/>
      <c r="AR37" s="230" t="s">
        <v>66</v>
      </c>
      <c r="AS37" s="231"/>
      <c r="AT37" s="231"/>
      <c r="AU37" s="231"/>
      <c r="AV37" s="231"/>
      <c r="AW37" s="231"/>
      <c r="AX37" s="231"/>
      <c r="AY37" s="231"/>
      <c r="AZ37" s="231"/>
      <c r="BA37" s="231"/>
      <c r="BB37" s="234"/>
      <c r="BC37" s="248" t="s">
        <v>67</v>
      </c>
      <c r="BD37" s="249"/>
      <c r="BE37" s="249"/>
      <c r="BF37" s="249"/>
      <c r="BG37" s="249"/>
      <c r="BH37" s="249"/>
      <c r="BI37" s="249"/>
      <c r="BJ37" s="250"/>
      <c r="BK37" s="9"/>
    </row>
    <row r="38" spans="1:63" ht="15.75" customHeight="1">
      <c r="B38" s="216"/>
      <c r="C38" s="217"/>
      <c r="D38" s="216"/>
      <c r="E38" s="222"/>
      <c r="F38" s="222"/>
      <c r="G38" s="222"/>
      <c r="H38" s="222"/>
      <c r="I38" s="222"/>
      <c r="J38" s="217"/>
      <c r="K38" s="216"/>
      <c r="L38" s="222"/>
      <c r="M38" s="217"/>
      <c r="N38" s="225"/>
      <c r="O38" s="228"/>
      <c r="P38" s="257" t="s">
        <v>68</v>
      </c>
      <c r="Q38" s="258"/>
      <c r="R38" s="258"/>
      <c r="S38" s="258"/>
      <c r="T38" s="258"/>
      <c r="U38" s="258"/>
      <c r="V38" s="258"/>
      <c r="W38" s="259"/>
      <c r="X38" s="260" t="s">
        <v>69</v>
      </c>
      <c r="Y38" s="261"/>
      <c r="Z38" s="262"/>
      <c r="AA38" s="260" t="s">
        <v>70</v>
      </c>
      <c r="AB38" s="261"/>
      <c r="AC38" s="261"/>
      <c r="AD38" s="261"/>
      <c r="AE38" s="261"/>
      <c r="AF38" s="261"/>
      <c r="AG38" s="261"/>
      <c r="AH38" s="262"/>
      <c r="AI38" s="260" t="s">
        <v>71</v>
      </c>
      <c r="AJ38" s="261"/>
      <c r="AK38" s="261"/>
      <c r="AL38" s="261"/>
      <c r="AM38" s="261"/>
      <c r="AN38" s="261"/>
      <c r="AO38" s="261"/>
      <c r="AP38" s="261"/>
      <c r="AQ38" s="262"/>
      <c r="AR38" s="266" t="s">
        <v>17</v>
      </c>
      <c r="AS38" s="268" t="s">
        <v>72</v>
      </c>
      <c r="AT38" s="270" t="s">
        <v>73</v>
      </c>
      <c r="AU38" s="230" t="s">
        <v>68</v>
      </c>
      <c r="AV38" s="231"/>
      <c r="AW38" s="231"/>
      <c r="AX38" s="231"/>
      <c r="AY38" s="231"/>
      <c r="AZ38" s="231"/>
      <c r="BA38" s="231"/>
      <c r="BB38" s="234"/>
      <c r="BC38" s="251"/>
      <c r="BD38" s="252"/>
      <c r="BE38" s="252"/>
      <c r="BF38" s="252"/>
      <c r="BG38" s="252"/>
      <c r="BH38" s="252"/>
      <c r="BI38" s="252"/>
      <c r="BJ38" s="253"/>
      <c r="BK38" s="9"/>
    </row>
    <row r="39" spans="1:63">
      <c r="B39" s="218"/>
      <c r="C39" s="219"/>
      <c r="D39" s="218"/>
      <c r="E39" s="223"/>
      <c r="F39" s="223"/>
      <c r="G39" s="223"/>
      <c r="H39" s="223"/>
      <c r="I39" s="223"/>
      <c r="J39" s="219"/>
      <c r="K39" s="218"/>
      <c r="L39" s="223"/>
      <c r="M39" s="219"/>
      <c r="N39" s="226"/>
      <c r="O39" s="229"/>
      <c r="P39" s="245" t="s">
        <v>74</v>
      </c>
      <c r="Q39" s="246"/>
      <c r="R39" s="246"/>
      <c r="S39" s="247"/>
      <c r="T39" s="245" t="s">
        <v>62</v>
      </c>
      <c r="U39" s="246"/>
      <c r="V39" s="246"/>
      <c r="W39" s="247"/>
      <c r="X39" s="263"/>
      <c r="Y39" s="264"/>
      <c r="Z39" s="265"/>
      <c r="AA39" s="263"/>
      <c r="AB39" s="264"/>
      <c r="AC39" s="264"/>
      <c r="AD39" s="264"/>
      <c r="AE39" s="264"/>
      <c r="AF39" s="264"/>
      <c r="AG39" s="264"/>
      <c r="AH39" s="265"/>
      <c r="AI39" s="263"/>
      <c r="AJ39" s="264"/>
      <c r="AK39" s="264"/>
      <c r="AL39" s="264"/>
      <c r="AM39" s="264"/>
      <c r="AN39" s="264"/>
      <c r="AO39" s="264"/>
      <c r="AP39" s="264"/>
      <c r="AQ39" s="265"/>
      <c r="AR39" s="267"/>
      <c r="AS39" s="269"/>
      <c r="AT39" s="271"/>
      <c r="AU39" s="230" t="s">
        <v>74</v>
      </c>
      <c r="AV39" s="231"/>
      <c r="AW39" s="231"/>
      <c r="AX39" s="232"/>
      <c r="AY39" s="233" t="s">
        <v>62</v>
      </c>
      <c r="AZ39" s="231"/>
      <c r="BA39" s="231"/>
      <c r="BB39" s="234"/>
      <c r="BC39" s="254"/>
      <c r="BD39" s="255"/>
      <c r="BE39" s="255"/>
      <c r="BF39" s="255"/>
      <c r="BG39" s="255"/>
      <c r="BH39" s="255"/>
      <c r="BI39" s="255"/>
      <c r="BJ39" s="256"/>
      <c r="BK39" s="9"/>
    </row>
    <row r="40" spans="1:63" ht="15.75" customHeight="1">
      <c r="B40" s="235">
        <v>1</v>
      </c>
      <c r="C40" s="236"/>
      <c r="D40" s="237"/>
      <c r="E40" s="238"/>
      <c r="F40" s="238"/>
      <c r="G40" s="238"/>
      <c r="H40" s="238"/>
      <c r="I40" s="238"/>
      <c r="J40" s="239"/>
      <c r="K40" s="240" t="s">
        <v>18</v>
      </c>
      <c r="L40" s="241"/>
      <c r="M40" s="242"/>
      <c r="N40" s="11" t="s">
        <v>19</v>
      </c>
      <c r="O40" s="12" t="s">
        <v>20</v>
      </c>
      <c r="P40" s="243" t="s">
        <v>19</v>
      </c>
      <c r="Q40" s="244"/>
      <c r="R40" s="244"/>
      <c r="S40" s="236"/>
      <c r="T40" s="243" t="s">
        <v>19</v>
      </c>
      <c r="U40" s="244"/>
      <c r="V40" s="244"/>
      <c r="W40" s="236"/>
      <c r="X40" s="272" t="s">
        <v>58</v>
      </c>
      <c r="Y40" s="273"/>
      <c r="Z40" s="274"/>
      <c r="AA40" s="235" t="s">
        <v>21</v>
      </c>
      <c r="AB40" s="244"/>
      <c r="AC40" s="244"/>
      <c r="AD40" s="244"/>
      <c r="AE40" s="244"/>
      <c r="AF40" s="244"/>
      <c r="AG40" s="244"/>
      <c r="AH40" s="236"/>
      <c r="AI40" s="275" t="s">
        <v>19</v>
      </c>
      <c r="AJ40" s="276"/>
      <c r="AK40" s="276"/>
      <c r="AL40" s="276"/>
      <c r="AM40" s="276"/>
      <c r="AN40" s="276"/>
      <c r="AO40" s="276"/>
      <c r="AP40" s="276"/>
      <c r="AQ40" s="277"/>
      <c r="AR40" s="13" t="s">
        <v>19</v>
      </c>
      <c r="AS40" s="13" t="s">
        <v>21</v>
      </c>
      <c r="AT40" s="13" t="s">
        <v>21</v>
      </c>
      <c r="AU40" s="235" t="s">
        <v>22</v>
      </c>
      <c r="AV40" s="244"/>
      <c r="AW40" s="244"/>
      <c r="AX40" s="236"/>
      <c r="AY40" s="235" t="s">
        <v>21</v>
      </c>
      <c r="AZ40" s="244"/>
      <c r="BA40" s="244"/>
      <c r="BB40" s="236"/>
      <c r="BC40" s="278"/>
      <c r="BD40" s="279"/>
      <c r="BE40" s="279"/>
      <c r="BF40" s="279"/>
      <c r="BG40" s="279"/>
      <c r="BH40" s="279"/>
      <c r="BI40" s="279"/>
      <c r="BJ40" s="280"/>
      <c r="BK40" s="9"/>
    </row>
    <row r="41" spans="1:63">
      <c r="B41" s="281">
        <v>2</v>
      </c>
      <c r="C41" s="282"/>
      <c r="D41" s="288"/>
      <c r="E41" s="289"/>
      <c r="F41" s="289"/>
      <c r="G41" s="289"/>
      <c r="H41" s="289"/>
      <c r="I41" s="289"/>
      <c r="J41" s="290"/>
      <c r="K41" s="240" t="s">
        <v>18</v>
      </c>
      <c r="L41" s="241"/>
      <c r="M41" s="242"/>
      <c r="N41" s="12" t="s">
        <v>23</v>
      </c>
      <c r="O41" s="12" t="s">
        <v>20</v>
      </c>
      <c r="P41" s="281" t="s">
        <v>22</v>
      </c>
      <c r="Q41" s="287"/>
      <c r="R41" s="287"/>
      <c r="S41" s="282"/>
      <c r="T41" s="281" t="s">
        <v>22</v>
      </c>
      <c r="U41" s="287"/>
      <c r="V41" s="287"/>
      <c r="W41" s="282"/>
      <c r="X41" s="301" t="s">
        <v>75</v>
      </c>
      <c r="Y41" s="302"/>
      <c r="Z41" s="303"/>
      <c r="AA41" s="281" t="s">
        <v>21</v>
      </c>
      <c r="AB41" s="287"/>
      <c r="AC41" s="287"/>
      <c r="AD41" s="287"/>
      <c r="AE41" s="287"/>
      <c r="AF41" s="287"/>
      <c r="AG41" s="287"/>
      <c r="AH41" s="282"/>
      <c r="AI41" s="294" t="s">
        <v>21</v>
      </c>
      <c r="AJ41" s="295"/>
      <c r="AK41" s="295"/>
      <c r="AL41" s="295"/>
      <c r="AM41" s="295"/>
      <c r="AN41" s="295"/>
      <c r="AO41" s="295"/>
      <c r="AP41" s="295"/>
      <c r="AQ41" s="296"/>
      <c r="AR41" s="14" t="s">
        <v>19</v>
      </c>
      <c r="AS41" s="14" t="s">
        <v>21</v>
      </c>
      <c r="AT41" s="14" t="s">
        <v>21</v>
      </c>
      <c r="AU41" s="281" t="s">
        <v>22</v>
      </c>
      <c r="AV41" s="287"/>
      <c r="AW41" s="287"/>
      <c r="AX41" s="282"/>
      <c r="AY41" s="281" t="s">
        <v>21</v>
      </c>
      <c r="AZ41" s="287"/>
      <c r="BA41" s="287"/>
      <c r="BB41" s="282"/>
      <c r="BC41" s="300"/>
      <c r="BD41" s="298"/>
      <c r="BE41" s="298"/>
      <c r="BF41" s="298"/>
      <c r="BG41" s="298"/>
      <c r="BH41" s="298"/>
      <c r="BI41" s="298"/>
      <c r="BJ41" s="299"/>
      <c r="BK41" s="9"/>
    </row>
    <row r="42" spans="1:63">
      <c r="B42" s="281">
        <v>3</v>
      </c>
      <c r="C42" s="282"/>
      <c r="D42" s="283"/>
      <c r="E42" s="284"/>
      <c r="F42" s="284"/>
      <c r="G42" s="284"/>
      <c r="H42" s="284"/>
      <c r="I42" s="284"/>
      <c r="J42" s="285"/>
      <c r="K42" s="240" t="s">
        <v>18</v>
      </c>
      <c r="L42" s="241"/>
      <c r="M42" s="242"/>
      <c r="N42" s="12" t="s">
        <v>24</v>
      </c>
      <c r="O42" s="12" t="s">
        <v>19</v>
      </c>
      <c r="P42" s="286" t="s">
        <v>19</v>
      </c>
      <c r="Q42" s="287"/>
      <c r="R42" s="287"/>
      <c r="S42" s="282"/>
      <c r="T42" s="281"/>
      <c r="U42" s="287"/>
      <c r="V42" s="287"/>
      <c r="W42" s="282"/>
      <c r="X42" s="291" t="s">
        <v>19</v>
      </c>
      <c r="Y42" s="292"/>
      <c r="Z42" s="293"/>
      <c r="AA42" s="281" t="s">
        <v>21</v>
      </c>
      <c r="AB42" s="287"/>
      <c r="AC42" s="287"/>
      <c r="AD42" s="287"/>
      <c r="AE42" s="287"/>
      <c r="AF42" s="287"/>
      <c r="AG42" s="287"/>
      <c r="AH42" s="282"/>
      <c r="AI42" s="294" t="s">
        <v>21</v>
      </c>
      <c r="AJ42" s="295"/>
      <c r="AK42" s="295"/>
      <c r="AL42" s="295"/>
      <c r="AM42" s="295"/>
      <c r="AN42" s="295"/>
      <c r="AO42" s="295"/>
      <c r="AP42" s="295"/>
      <c r="AQ42" s="296"/>
      <c r="AR42" s="14" t="s">
        <v>19</v>
      </c>
      <c r="AS42" s="14" t="s">
        <v>21</v>
      </c>
      <c r="AT42" s="14" t="s">
        <v>21</v>
      </c>
      <c r="AU42" s="281" t="s">
        <v>22</v>
      </c>
      <c r="AV42" s="287"/>
      <c r="AW42" s="287"/>
      <c r="AX42" s="282"/>
      <c r="AY42" s="281" t="s">
        <v>21</v>
      </c>
      <c r="AZ42" s="287"/>
      <c r="BA42" s="287"/>
      <c r="BB42" s="282"/>
      <c r="BC42" s="297"/>
      <c r="BD42" s="298"/>
      <c r="BE42" s="298"/>
      <c r="BF42" s="298"/>
      <c r="BG42" s="298"/>
      <c r="BH42" s="298"/>
      <c r="BI42" s="298"/>
      <c r="BJ42" s="299"/>
      <c r="BK42" s="9"/>
    </row>
    <row r="43" spans="1:63">
      <c r="B43" s="281">
        <v>4</v>
      </c>
      <c r="C43" s="282"/>
      <c r="D43" s="304"/>
      <c r="E43" s="305"/>
      <c r="F43" s="305"/>
      <c r="G43" s="305"/>
      <c r="H43" s="305"/>
      <c r="I43" s="305"/>
      <c r="J43" s="306"/>
      <c r="K43" s="240" t="s">
        <v>18</v>
      </c>
      <c r="L43" s="241"/>
      <c r="M43" s="242"/>
      <c r="N43" s="15" t="s">
        <v>23</v>
      </c>
      <c r="O43" s="12" t="s">
        <v>20</v>
      </c>
      <c r="P43" s="281" t="s">
        <v>22</v>
      </c>
      <c r="Q43" s="287"/>
      <c r="R43" s="287"/>
      <c r="S43" s="282"/>
      <c r="T43" s="281" t="s">
        <v>22</v>
      </c>
      <c r="U43" s="287"/>
      <c r="V43" s="287"/>
      <c r="W43" s="282"/>
      <c r="X43" s="307" t="s">
        <v>59</v>
      </c>
      <c r="Y43" s="287"/>
      <c r="Z43" s="282"/>
      <c r="AA43" s="281" t="s">
        <v>21</v>
      </c>
      <c r="AB43" s="287"/>
      <c r="AC43" s="287"/>
      <c r="AD43" s="287"/>
      <c r="AE43" s="287"/>
      <c r="AF43" s="287"/>
      <c r="AG43" s="287"/>
      <c r="AH43" s="282"/>
      <c r="AI43" s="294" t="s">
        <v>21</v>
      </c>
      <c r="AJ43" s="295"/>
      <c r="AK43" s="295"/>
      <c r="AL43" s="295"/>
      <c r="AM43" s="295"/>
      <c r="AN43" s="295"/>
      <c r="AO43" s="295"/>
      <c r="AP43" s="295"/>
      <c r="AQ43" s="296"/>
      <c r="AR43" s="14" t="s">
        <v>19</v>
      </c>
      <c r="AS43" s="14" t="s">
        <v>21</v>
      </c>
      <c r="AT43" s="14" t="s">
        <v>21</v>
      </c>
      <c r="AU43" s="281" t="s">
        <v>22</v>
      </c>
      <c r="AV43" s="287"/>
      <c r="AW43" s="287"/>
      <c r="AX43" s="282"/>
      <c r="AY43" s="281" t="s">
        <v>21</v>
      </c>
      <c r="AZ43" s="287"/>
      <c r="BA43" s="287"/>
      <c r="BB43" s="282"/>
      <c r="BC43" s="308"/>
      <c r="BD43" s="309"/>
      <c r="BE43" s="309"/>
      <c r="BF43" s="309"/>
      <c r="BG43" s="309"/>
      <c r="BH43" s="309"/>
      <c r="BI43" s="309"/>
      <c r="BJ43" s="310"/>
      <c r="BK43" s="9"/>
    </row>
    <row r="44" spans="1:63">
      <c r="B44" s="281">
        <v>5</v>
      </c>
      <c r="C44" s="282"/>
      <c r="D44" s="283"/>
      <c r="E44" s="284"/>
      <c r="F44" s="284"/>
      <c r="G44" s="284"/>
      <c r="H44" s="284"/>
      <c r="I44" s="284"/>
      <c r="J44" s="285"/>
      <c r="K44" s="240" t="s">
        <v>25</v>
      </c>
      <c r="L44" s="241"/>
      <c r="M44" s="242"/>
      <c r="N44" s="15" t="s">
        <v>24</v>
      </c>
      <c r="O44" s="12" t="s">
        <v>19</v>
      </c>
      <c r="P44" s="281" t="s">
        <v>22</v>
      </c>
      <c r="Q44" s="287"/>
      <c r="R44" s="287"/>
      <c r="S44" s="282"/>
      <c r="T44" s="281" t="s">
        <v>22</v>
      </c>
      <c r="U44" s="287"/>
      <c r="V44" s="287"/>
      <c r="W44" s="282"/>
      <c r="X44" s="307" t="s">
        <v>19</v>
      </c>
      <c r="Y44" s="287"/>
      <c r="Z44" s="282"/>
      <c r="AA44" s="281" t="s">
        <v>21</v>
      </c>
      <c r="AB44" s="287"/>
      <c r="AC44" s="287"/>
      <c r="AD44" s="287"/>
      <c r="AE44" s="287"/>
      <c r="AF44" s="287"/>
      <c r="AG44" s="287"/>
      <c r="AH44" s="282"/>
      <c r="AI44" s="294" t="s">
        <v>21</v>
      </c>
      <c r="AJ44" s="295"/>
      <c r="AK44" s="295"/>
      <c r="AL44" s="295"/>
      <c r="AM44" s="295"/>
      <c r="AN44" s="295"/>
      <c r="AO44" s="295"/>
      <c r="AP44" s="295"/>
      <c r="AQ44" s="296"/>
      <c r="AR44" s="14" t="s">
        <v>19</v>
      </c>
      <c r="AS44" s="14" t="s">
        <v>21</v>
      </c>
      <c r="AT44" s="14" t="s">
        <v>21</v>
      </c>
      <c r="AU44" s="281" t="s">
        <v>22</v>
      </c>
      <c r="AV44" s="287"/>
      <c r="AW44" s="287"/>
      <c r="AX44" s="282"/>
      <c r="AY44" s="281" t="s">
        <v>21</v>
      </c>
      <c r="AZ44" s="287"/>
      <c r="BA44" s="287"/>
      <c r="BB44" s="282"/>
      <c r="BC44" s="297"/>
      <c r="BD44" s="298"/>
      <c r="BE44" s="298"/>
      <c r="BF44" s="298"/>
      <c r="BG44" s="298"/>
      <c r="BH44" s="298"/>
      <c r="BI44" s="298"/>
      <c r="BJ44" s="299"/>
      <c r="BK44" s="9"/>
    </row>
    <row r="45" spans="1:63">
      <c r="B45" s="311">
        <v>6</v>
      </c>
      <c r="C45" s="313"/>
      <c r="D45" s="320"/>
      <c r="E45" s="321"/>
      <c r="F45" s="321"/>
      <c r="G45" s="321"/>
      <c r="H45" s="321"/>
      <c r="I45" s="321"/>
      <c r="J45" s="322"/>
      <c r="K45" s="323" t="s">
        <v>26</v>
      </c>
      <c r="L45" s="324"/>
      <c r="M45" s="325"/>
      <c r="N45" s="16" t="s">
        <v>24</v>
      </c>
      <c r="O45" s="16" t="s">
        <v>20</v>
      </c>
      <c r="P45" s="311" t="s">
        <v>22</v>
      </c>
      <c r="Q45" s="312"/>
      <c r="R45" s="312"/>
      <c r="S45" s="313"/>
      <c r="T45" s="311" t="s">
        <v>22</v>
      </c>
      <c r="U45" s="312"/>
      <c r="V45" s="312"/>
      <c r="W45" s="313"/>
      <c r="X45" s="326" t="s">
        <v>76</v>
      </c>
      <c r="Y45" s="327"/>
      <c r="Z45" s="328"/>
      <c r="AA45" s="311" t="s">
        <v>21</v>
      </c>
      <c r="AB45" s="312"/>
      <c r="AC45" s="312"/>
      <c r="AD45" s="312"/>
      <c r="AE45" s="312"/>
      <c r="AF45" s="312"/>
      <c r="AG45" s="312"/>
      <c r="AH45" s="313"/>
      <c r="AI45" s="314" t="s">
        <v>27</v>
      </c>
      <c r="AJ45" s="315"/>
      <c r="AK45" s="315"/>
      <c r="AL45" s="315"/>
      <c r="AM45" s="315"/>
      <c r="AN45" s="315"/>
      <c r="AO45" s="315"/>
      <c r="AP45" s="315"/>
      <c r="AQ45" s="316"/>
      <c r="AR45" s="17" t="s">
        <v>19</v>
      </c>
      <c r="AS45" s="17" t="s">
        <v>21</v>
      </c>
      <c r="AT45" s="17" t="s">
        <v>21</v>
      </c>
      <c r="AU45" s="311" t="s">
        <v>22</v>
      </c>
      <c r="AV45" s="312"/>
      <c r="AW45" s="312"/>
      <c r="AX45" s="313"/>
      <c r="AY45" s="311" t="s">
        <v>21</v>
      </c>
      <c r="AZ45" s="312"/>
      <c r="BA45" s="312"/>
      <c r="BB45" s="313"/>
      <c r="BC45" s="317" t="s">
        <v>28</v>
      </c>
      <c r="BD45" s="318"/>
      <c r="BE45" s="318"/>
      <c r="BF45" s="318"/>
      <c r="BG45" s="318"/>
      <c r="BH45" s="318"/>
      <c r="BI45" s="318"/>
      <c r="BJ45" s="319"/>
      <c r="BK45" s="9"/>
    </row>
    <row r="46" spans="1:63">
      <c r="BK46" s="9"/>
    </row>
    <row r="47" spans="1:63">
      <c r="BK47" s="9"/>
    </row>
    <row r="48" spans="1:63">
      <c r="BK48" s="9"/>
    </row>
    <row r="49" spans="1:63">
      <c r="BK49" s="9"/>
    </row>
    <row r="50" spans="1:63">
      <c r="BK50" s="9"/>
    </row>
    <row r="51" spans="1:63">
      <c r="BK51" s="9"/>
    </row>
    <row r="52" spans="1:63">
      <c r="BK52" s="9"/>
    </row>
    <row r="53" spans="1:63">
      <c r="BK53" s="9"/>
    </row>
    <row r="54" spans="1:63">
      <c r="BK54" s="9"/>
    </row>
    <row r="55" spans="1:6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9"/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/>
  <cols>
    <col min="1" max="60" width="2.77734375" style="18" customWidth="1"/>
    <col min="61" max="16384" width="2.77734375" style="18"/>
  </cols>
  <sheetData>
    <row r="1" spans="1:63" ht="24.95" customHeight="1">
      <c r="A1" s="198" t="s">
        <v>36</v>
      </c>
      <c r="B1" s="199"/>
      <c r="C1" s="199"/>
      <c r="D1" s="199"/>
      <c r="E1" s="199"/>
      <c r="F1" s="199"/>
      <c r="G1" s="199"/>
      <c r="H1" s="199"/>
      <c r="I1" s="199"/>
      <c r="J1" s="200"/>
      <c r="K1" s="198" t="s">
        <v>37</v>
      </c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200"/>
      <c r="W1" s="201" t="str">
        <f>IF(表紙!W1="","",表紙!W1)</f>
        <v>基本設計書</v>
      </c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3"/>
      <c r="AP1" s="96" t="s">
        <v>39</v>
      </c>
      <c r="AQ1" s="97"/>
      <c r="AR1" s="97"/>
      <c r="AS1" s="98"/>
      <c r="AT1" s="96" t="s">
        <v>40</v>
      </c>
      <c r="AU1" s="97"/>
      <c r="AV1" s="97"/>
      <c r="AW1" s="97"/>
      <c r="AX1" s="98"/>
      <c r="AY1" s="96" t="s">
        <v>41</v>
      </c>
      <c r="AZ1" s="97"/>
      <c r="BA1" s="97"/>
      <c r="BB1" s="98"/>
      <c r="BC1" s="96" t="s">
        <v>42</v>
      </c>
      <c r="BD1" s="97"/>
      <c r="BE1" s="97"/>
      <c r="BF1" s="97"/>
      <c r="BG1" s="98"/>
      <c r="BH1" s="96" t="s">
        <v>43</v>
      </c>
      <c r="BI1" s="97"/>
      <c r="BJ1" s="97"/>
      <c r="BK1" s="98"/>
    </row>
    <row r="2" spans="1:63" ht="15" customHeight="1">
      <c r="A2" s="192" t="str">
        <f>IF(表紙!A2="","",表紙!A2)</f>
        <v>POSサーバー</v>
      </c>
      <c r="B2" s="193"/>
      <c r="C2" s="193"/>
      <c r="D2" s="193"/>
      <c r="E2" s="193"/>
      <c r="F2" s="193"/>
      <c r="G2" s="193"/>
      <c r="H2" s="193"/>
      <c r="I2" s="193"/>
      <c r="J2" s="194"/>
      <c r="K2" s="192" t="str">
        <f>IF(表紙!K2="","",表紙!K2)</f>
        <v>POSサーバー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04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6"/>
      <c r="AP2" s="81" t="str">
        <f>IF(表紙!AP2="","",表紙!AP2)</f>
        <v>SonMNT</v>
      </c>
      <c r="AQ2" s="82"/>
      <c r="AR2" s="82"/>
      <c r="AS2" s="83"/>
      <c r="AT2" s="110">
        <f>IF(表紙!AT2="","",表紙!AT2)</f>
        <v>45453</v>
      </c>
      <c r="AU2" s="111"/>
      <c r="AV2" s="111"/>
      <c r="AW2" s="111"/>
      <c r="AX2" s="112"/>
      <c r="AY2" s="81" t="str">
        <f>IF(表紙!AY2="","",表紙!AY2)</f>
        <v>DunT</v>
      </c>
      <c r="AZ2" s="82"/>
      <c r="BA2" s="82"/>
      <c r="BB2" s="83"/>
      <c r="BC2" s="110">
        <f>IF(表紙!BC2="","",表紙!BC2)</f>
        <v>45581</v>
      </c>
      <c r="BD2" s="111"/>
      <c r="BE2" s="111"/>
      <c r="BF2" s="111"/>
      <c r="BG2" s="112"/>
      <c r="BH2" s="81">
        <f>IF(表紙!BH2="","",表紙!BH2)</f>
        <v>0.21</v>
      </c>
      <c r="BI2" s="82"/>
      <c r="BJ2" s="82"/>
      <c r="BK2" s="83"/>
    </row>
    <row r="3" spans="1:63" ht="15" customHeight="1">
      <c r="A3" s="195"/>
      <c r="B3" s="196"/>
      <c r="C3" s="196"/>
      <c r="D3" s="196"/>
      <c r="E3" s="196"/>
      <c r="F3" s="196"/>
      <c r="G3" s="196"/>
      <c r="H3" s="196"/>
      <c r="I3" s="196"/>
      <c r="J3" s="197"/>
      <c r="K3" s="195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7"/>
      <c r="W3" s="207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9"/>
      <c r="AP3" s="87"/>
      <c r="AQ3" s="88"/>
      <c r="AR3" s="88"/>
      <c r="AS3" s="89"/>
      <c r="AT3" s="113"/>
      <c r="AU3" s="114"/>
      <c r="AV3" s="114"/>
      <c r="AW3" s="114"/>
      <c r="AX3" s="115"/>
      <c r="AY3" s="87"/>
      <c r="AZ3" s="88"/>
      <c r="BA3" s="88"/>
      <c r="BB3" s="89"/>
      <c r="BC3" s="113"/>
      <c r="BD3" s="114"/>
      <c r="BE3" s="114"/>
      <c r="BF3" s="114"/>
      <c r="BG3" s="115"/>
      <c r="BH3" s="87"/>
      <c r="BI3" s="88"/>
      <c r="BJ3" s="88"/>
      <c r="BK3" s="89"/>
    </row>
    <row r="4" spans="1:63" ht="24.95" customHeight="1">
      <c r="A4" s="198" t="s">
        <v>45</v>
      </c>
      <c r="B4" s="199"/>
      <c r="C4" s="199"/>
      <c r="D4" s="199"/>
      <c r="E4" s="199"/>
      <c r="F4" s="199"/>
      <c r="G4" s="200"/>
      <c r="H4" s="210" t="str">
        <f>IF(表紙!H4="","",表紙!H4)</f>
        <v>82_店舗マスタ設定</v>
      </c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  <c r="U4" s="198" t="s">
        <v>46</v>
      </c>
      <c r="V4" s="199"/>
      <c r="W4" s="199"/>
      <c r="X4" s="199"/>
      <c r="Y4" s="200"/>
      <c r="Z4" s="210" t="str">
        <f>IF(表紙!Z4="","",表紙!Z4)</f>
        <v>概要設計書</v>
      </c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2"/>
      <c r="AP4" s="213" t="str">
        <f ca="1">MID(CELL("filename",A1),FIND("]",CELL("filename",A1))+1,255)</f>
        <v>テンプレート</v>
      </c>
      <c r="AQ4" s="211"/>
      <c r="AR4" s="211"/>
      <c r="AS4" s="211"/>
      <c r="AT4" s="211"/>
      <c r="AU4" s="211"/>
      <c r="AV4" s="211"/>
      <c r="AW4" s="211"/>
      <c r="AX4" s="211"/>
      <c r="AY4" s="211"/>
      <c r="AZ4" s="211"/>
      <c r="BA4" s="211"/>
      <c r="BB4" s="211"/>
      <c r="BC4" s="211"/>
      <c r="BD4" s="211"/>
      <c r="BE4" s="211"/>
      <c r="BF4" s="211"/>
      <c r="BG4" s="211"/>
      <c r="BH4" s="211"/>
      <c r="BI4" s="211"/>
      <c r="BJ4" s="211"/>
      <c r="BK4" s="212"/>
    </row>
    <row r="5" spans="1:63" ht="5.0999999999999996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>
      <c r="A6" s="22"/>
      <c r="BK6" s="23"/>
    </row>
    <row r="7" spans="1:63" ht="15" customHeight="1">
      <c r="A7" s="22"/>
      <c r="B7" s="54"/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7"/>
      <c r="U7" s="55"/>
      <c r="V7" s="56"/>
      <c r="W7" s="56"/>
      <c r="X7" s="56"/>
      <c r="Y7" s="56"/>
      <c r="Z7" s="56"/>
      <c r="AA7" s="56"/>
      <c r="AB7" s="56"/>
      <c r="AC7" s="57"/>
      <c r="AD7" s="55"/>
      <c r="AE7" s="56"/>
      <c r="AF7" s="56"/>
      <c r="AG7" s="56"/>
      <c r="AH7" s="56"/>
      <c r="AI7" s="56"/>
      <c r="AJ7" s="56"/>
      <c r="AK7" s="56"/>
      <c r="AL7" s="57"/>
      <c r="AM7" s="55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7"/>
      <c r="BJ7" s="56"/>
      <c r="BK7" s="23"/>
    </row>
    <row r="8" spans="1:63" ht="15" customHeight="1">
      <c r="A8" s="22"/>
      <c r="C8" s="58"/>
      <c r="U8" s="58"/>
      <c r="AD8" s="58"/>
      <c r="AM8" s="58"/>
      <c r="BI8" s="60"/>
    </row>
    <row r="9" spans="1:63" ht="15" customHeight="1">
      <c r="A9" s="22"/>
      <c r="C9" s="58"/>
      <c r="U9" s="58"/>
      <c r="AD9" s="58"/>
      <c r="AM9" s="58"/>
      <c r="BI9" s="60"/>
    </row>
    <row r="10" spans="1:63" ht="15" customHeight="1">
      <c r="A10" s="22"/>
      <c r="C10" s="58"/>
      <c r="U10" s="58"/>
      <c r="AD10" s="58"/>
      <c r="AM10" s="58"/>
      <c r="BI10" s="60"/>
    </row>
    <row r="11" spans="1:63" ht="15" customHeight="1">
      <c r="A11" s="22"/>
      <c r="C11" s="58"/>
      <c r="U11" s="58"/>
      <c r="AD11" s="58"/>
      <c r="AM11" s="58"/>
      <c r="BI11" s="60"/>
    </row>
    <row r="12" spans="1:63" ht="15" customHeight="1">
      <c r="A12" s="22"/>
      <c r="C12" s="58"/>
      <c r="U12" s="58"/>
      <c r="AD12" s="58"/>
      <c r="AM12" s="58"/>
      <c r="AX12" s="18" t="s">
        <v>29</v>
      </c>
      <c r="BI12" s="60"/>
    </row>
    <row r="13" spans="1:63" ht="15" customHeight="1">
      <c r="A13" s="22"/>
      <c r="C13" s="58"/>
      <c r="U13" s="58"/>
      <c r="AD13" s="58"/>
      <c r="AM13" s="58"/>
      <c r="BI13" s="60"/>
    </row>
    <row r="14" spans="1:63" ht="15" customHeight="1">
      <c r="A14" s="22"/>
      <c r="C14" s="58"/>
      <c r="U14" s="58"/>
      <c r="AD14" s="58"/>
      <c r="AM14" s="58"/>
      <c r="BI14" s="60"/>
    </row>
    <row r="15" spans="1:63" ht="15" customHeight="1">
      <c r="A15" s="22"/>
      <c r="C15" s="58"/>
      <c r="U15" s="58"/>
      <c r="AD15" s="58"/>
      <c r="AM15" s="58"/>
      <c r="BI15" s="60"/>
    </row>
    <row r="16" spans="1:63" ht="15" customHeight="1">
      <c r="A16" s="22"/>
      <c r="C16" s="58"/>
      <c r="U16" s="58"/>
      <c r="AD16" s="58"/>
      <c r="AM16" s="58"/>
      <c r="BI16" s="60"/>
    </row>
    <row r="17" spans="1:61" ht="15" customHeight="1">
      <c r="A17" s="22"/>
      <c r="C17" s="58"/>
      <c r="U17" s="58"/>
      <c r="AD17" s="58"/>
      <c r="AM17" s="58"/>
      <c r="BI17" s="60"/>
    </row>
    <row r="18" spans="1:61" ht="15" customHeight="1">
      <c r="A18" s="22"/>
      <c r="C18" s="58"/>
      <c r="U18" s="58"/>
      <c r="AD18" s="58"/>
      <c r="AM18" s="58"/>
      <c r="BI18" s="60"/>
    </row>
    <row r="19" spans="1:61" ht="15" customHeight="1">
      <c r="A19" s="22"/>
      <c r="C19" s="58"/>
      <c r="U19" s="58"/>
      <c r="AD19" s="58"/>
      <c r="AM19" s="58"/>
      <c r="BI19" s="60"/>
    </row>
    <row r="20" spans="1:61" ht="15" customHeight="1">
      <c r="A20" s="22"/>
      <c r="C20" s="58"/>
      <c r="U20" s="58"/>
      <c r="AD20" s="58"/>
      <c r="AM20" s="58"/>
      <c r="BI20" s="60"/>
    </row>
    <row r="21" spans="1:61" ht="15" customHeight="1">
      <c r="A21" s="22"/>
      <c r="C21" s="58"/>
      <c r="U21" s="58"/>
      <c r="AD21" s="58"/>
      <c r="AM21" s="58"/>
      <c r="BI21" s="60"/>
    </row>
    <row r="22" spans="1:61" ht="15" customHeight="1">
      <c r="A22" s="22"/>
      <c r="C22" s="58"/>
      <c r="U22" s="58"/>
      <c r="AD22" s="58"/>
      <c r="AM22" s="58"/>
      <c r="BI22" s="60"/>
    </row>
    <row r="23" spans="1:61" ht="15" customHeight="1">
      <c r="A23" s="22"/>
      <c r="C23" s="58"/>
      <c r="U23" s="58"/>
      <c r="AD23" s="58"/>
      <c r="AM23" s="58"/>
      <c r="BI23" s="60"/>
    </row>
    <row r="24" spans="1:61" ht="15" customHeight="1">
      <c r="A24" s="22"/>
      <c r="C24" s="58"/>
      <c r="U24" s="58"/>
      <c r="AD24" s="58"/>
      <c r="AM24" s="58"/>
      <c r="BI24" s="60"/>
    </row>
    <row r="25" spans="1:61" ht="15" customHeight="1">
      <c r="A25" s="22"/>
      <c r="C25" s="58"/>
      <c r="U25" s="58"/>
      <c r="AD25" s="58"/>
      <c r="AM25" s="58"/>
      <c r="BI25" s="60"/>
    </row>
    <row r="26" spans="1:61" ht="15" customHeight="1">
      <c r="A26" s="22"/>
      <c r="C26" s="58"/>
      <c r="U26" s="58"/>
      <c r="AD26" s="58"/>
      <c r="AM26" s="58"/>
      <c r="BI26" s="60"/>
    </row>
    <row r="27" spans="1:61" ht="15" customHeight="1">
      <c r="A27" s="22"/>
      <c r="C27" s="58"/>
      <c r="U27" s="58"/>
      <c r="AD27" s="58"/>
      <c r="AM27" s="58"/>
      <c r="BI27" s="60"/>
    </row>
    <row r="28" spans="1:61" ht="15" customHeight="1">
      <c r="A28" s="22"/>
      <c r="C28" s="58"/>
      <c r="U28" s="58"/>
      <c r="AD28" s="58"/>
      <c r="AM28" s="58"/>
      <c r="BI28" s="60"/>
    </row>
    <row r="29" spans="1:61" ht="15" customHeight="1">
      <c r="A29" s="22"/>
      <c r="C29" s="58"/>
      <c r="U29" s="58"/>
      <c r="AD29" s="58"/>
      <c r="AM29" s="58"/>
      <c r="BI29" s="60"/>
    </row>
    <row r="30" spans="1:61" ht="15" customHeight="1">
      <c r="A30" s="22"/>
      <c r="C30" s="58"/>
      <c r="U30" s="58"/>
      <c r="AD30" s="58"/>
      <c r="AM30" s="58"/>
      <c r="BI30" s="60"/>
    </row>
    <row r="31" spans="1:61" ht="15" customHeight="1">
      <c r="A31" s="22"/>
      <c r="C31" s="58"/>
      <c r="U31" s="58"/>
      <c r="AD31" s="58"/>
      <c r="AM31" s="58"/>
      <c r="BI31" s="60"/>
    </row>
    <row r="32" spans="1:61" ht="15" customHeight="1">
      <c r="A32" s="22"/>
      <c r="C32" s="58"/>
      <c r="U32" s="58"/>
      <c r="AD32" s="58"/>
      <c r="AM32" s="58"/>
      <c r="BI32" s="60"/>
    </row>
    <row r="33" spans="1:61" ht="15" customHeight="1">
      <c r="A33" s="22"/>
      <c r="C33" s="58"/>
      <c r="U33" s="58"/>
      <c r="AD33" s="58"/>
      <c r="AM33" s="58"/>
      <c r="BI33" s="60"/>
    </row>
    <row r="34" spans="1:61" ht="15" customHeight="1">
      <c r="A34" s="22"/>
      <c r="C34" s="58"/>
      <c r="U34" s="58"/>
      <c r="AD34" s="58"/>
      <c r="AM34" s="58"/>
      <c r="BI34" s="60"/>
    </row>
    <row r="35" spans="1:61" ht="15" customHeight="1">
      <c r="A35" s="22"/>
      <c r="C35" s="58"/>
      <c r="U35" s="58"/>
      <c r="AD35" s="58"/>
      <c r="AM35" s="58"/>
      <c r="BI35" s="60"/>
    </row>
    <row r="36" spans="1:61" ht="15" customHeight="1">
      <c r="A36" s="22"/>
      <c r="C36" s="58"/>
      <c r="U36" s="58"/>
      <c r="AD36" s="58"/>
      <c r="AM36" s="58"/>
      <c r="BI36" s="60"/>
    </row>
    <row r="37" spans="1:61" ht="15" customHeight="1">
      <c r="A37" s="22"/>
      <c r="C37" s="58"/>
      <c r="U37" s="58"/>
      <c r="AD37" s="58"/>
      <c r="AM37" s="58"/>
      <c r="BI37" s="60"/>
    </row>
    <row r="38" spans="1:61" ht="15" customHeight="1">
      <c r="A38" s="22"/>
      <c r="C38" s="58"/>
      <c r="U38" s="58"/>
      <c r="AD38" s="58"/>
      <c r="AM38" s="58"/>
      <c r="BI38" s="60"/>
    </row>
    <row r="39" spans="1:61" ht="15" customHeight="1">
      <c r="A39" s="22"/>
      <c r="C39" s="58"/>
      <c r="U39" s="58"/>
      <c r="AD39" s="58"/>
      <c r="AM39" s="58"/>
      <c r="BI39" s="60"/>
    </row>
    <row r="40" spans="1:61" ht="15" customHeight="1">
      <c r="A40" s="22"/>
      <c r="C40" s="58"/>
      <c r="U40" s="58"/>
      <c r="AD40" s="58"/>
      <c r="AM40" s="58"/>
      <c r="BI40" s="60"/>
    </row>
    <row r="41" spans="1:61" ht="15" customHeight="1">
      <c r="A41" s="22"/>
      <c r="C41" s="58"/>
      <c r="U41" s="58"/>
      <c r="AD41" s="58"/>
      <c r="AM41" s="58"/>
      <c r="BI41" s="60"/>
    </row>
    <row r="42" spans="1:61" ht="15" customHeight="1">
      <c r="A42" s="22"/>
      <c r="C42" s="58"/>
      <c r="U42" s="58"/>
      <c r="AD42" s="58"/>
      <c r="AM42" s="58"/>
      <c r="BI42" s="60"/>
    </row>
    <row r="43" spans="1:61" ht="15" customHeight="1">
      <c r="A43" s="22"/>
      <c r="C43" s="58"/>
      <c r="U43" s="58"/>
      <c r="AD43" s="58"/>
      <c r="AM43" s="58"/>
      <c r="BI43" s="60"/>
    </row>
    <row r="44" spans="1:61" ht="15" customHeight="1">
      <c r="A44" s="22"/>
      <c r="C44" s="58"/>
      <c r="U44" s="58"/>
      <c r="AD44" s="58"/>
      <c r="AM44" s="58"/>
      <c r="BI44" s="60"/>
    </row>
    <row r="45" spans="1:61" ht="15" customHeight="1">
      <c r="A45" s="22"/>
      <c r="C45" s="58"/>
      <c r="U45" s="58"/>
      <c r="AD45" s="58"/>
      <c r="AM45" s="58"/>
      <c r="BI45" s="60"/>
    </row>
    <row r="46" spans="1:61" ht="15" customHeight="1">
      <c r="A46" s="22"/>
      <c r="C46" s="58"/>
      <c r="U46" s="58"/>
      <c r="AD46" s="58"/>
      <c r="AM46" s="58"/>
      <c r="BI46" s="60"/>
    </row>
    <row r="47" spans="1:61" ht="15" customHeight="1">
      <c r="A47" s="22"/>
      <c r="C47" s="58"/>
      <c r="U47" s="58"/>
      <c r="AD47" s="58"/>
      <c r="AM47" s="58"/>
      <c r="BI47" s="60"/>
    </row>
    <row r="48" spans="1:61" ht="15" customHeight="1">
      <c r="A48" s="22"/>
      <c r="C48" s="58"/>
      <c r="U48" s="58"/>
      <c r="AD48" s="58"/>
      <c r="AM48" s="58"/>
      <c r="BI48" s="60"/>
    </row>
    <row r="49" spans="1:63" ht="15" customHeight="1">
      <c r="A49" s="22"/>
      <c r="C49" s="58"/>
      <c r="U49" s="58"/>
      <c r="AD49" s="58"/>
      <c r="AM49" s="58"/>
      <c r="BI49" s="60"/>
    </row>
    <row r="50" spans="1:63" ht="15" customHeight="1">
      <c r="A50" s="22"/>
      <c r="C50" s="58"/>
      <c r="U50" s="58"/>
      <c r="AD50" s="58"/>
      <c r="AM50" s="58"/>
      <c r="BI50" s="60"/>
    </row>
    <row r="51" spans="1:63" ht="15" customHeight="1">
      <c r="A51" s="22"/>
      <c r="C51" s="58"/>
      <c r="U51" s="58"/>
      <c r="AD51" s="58"/>
      <c r="AM51" s="58"/>
      <c r="BI51" s="60"/>
    </row>
    <row r="52" spans="1:63" ht="15" customHeight="1">
      <c r="A52" s="22"/>
      <c r="C52" s="58"/>
      <c r="U52" s="58"/>
      <c r="AD52" s="58"/>
      <c r="AM52" s="58"/>
      <c r="BI52" s="60"/>
    </row>
    <row r="53" spans="1:63" ht="15" customHeight="1">
      <c r="A53" s="22"/>
      <c r="C53" s="58"/>
      <c r="U53" s="58"/>
      <c r="AD53" s="58"/>
      <c r="AM53" s="58"/>
      <c r="BI53" s="60"/>
    </row>
    <row r="54" spans="1:63" ht="15" customHeight="1">
      <c r="A54" s="22"/>
      <c r="C54" s="58"/>
      <c r="U54" s="58"/>
      <c r="AD54" s="58"/>
      <c r="AM54" s="58"/>
      <c r="BI54" s="60"/>
    </row>
    <row r="55" spans="1:63" ht="15" customHeight="1">
      <c r="A55" s="19"/>
      <c r="B55" s="66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66"/>
      <c r="V55" s="20"/>
      <c r="W55" s="20"/>
      <c r="X55" s="20"/>
      <c r="Y55" s="20"/>
      <c r="Z55" s="20"/>
      <c r="AA55" s="20"/>
      <c r="AB55" s="20"/>
      <c r="AC55" s="20"/>
      <c r="AD55" s="66"/>
      <c r="AE55" s="20"/>
      <c r="AF55" s="20"/>
      <c r="AG55" s="20"/>
      <c r="AH55" s="20"/>
      <c r="AI55" s="20"/>
      <c r="AJ55" s="20"/>
      <c r="AK55" s="20"/>
      <c r="AL55" s="20"/>
      <c r="AM55" s="66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67"/>
      <c r="BJ55" s="20"/>
      <c r="BK55" s="21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84DCC7-23AB-415A-86A3-EF32D0A97A5E}"/>
</file>

<file path=customXml/itemProps2.xml><?xml version="1.0" encoding="utf-8"?>
<ds:datastoreItem xmlns:ds="http://schemas.openxmlformats.org/officeDocument/2006/customXml" ds:itemID="{D6EE8589-A552-48F6-B240-C74C74ABACD8}"/>
</file>

<file path=customXml/itemProps3.xml><?xml version="1.0" encoding="utf-8"?>
<ds:datastoreItem xmlns:ds="http://schemas.openxmlformats.org/officeDocument/2006/customXml" ds:itemID="{68D6CB83-B2C4-42E1-A4A3-EFC96333BFB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機能概要!Print_Titles</vt:lpstr>
      <vt:lpstr>機能概要説明!Print_Titles</vt:lpstr>
      <vt:lpstr>業務フロー凡例!Print_Titles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Thanh Nguyên</cp:lastModifiedBy>
  <dcterms:created xsi:type="dcterms:W3CDTF">2015-06-05T18:19:34Z</dcterms:created>
  <dcterms:modified xsi:type="dcterms:W3CDTF">2025-05-09T10:34:43Z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