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29FBF5DA-C37D-4131-99EA-7AD7FE20EF51}"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指摘履歴" sheetId="9" r:id="rId3"/>
    <sheet name="業務フロー" sheetId="6" r:id="rId4"/>
    <sheet name="機能概要説明" sheetId="8" r:id="rId5"/>
    <sheet name="機能概要" sheetId="5" r:id="rId6"/>
    <sheet name="画面イメージ" sheetId="10" r:id="rId7"/>
    <sheet name="画面設計書" sheetId="7" r:id="rId8"/>
    <sheet name="テンプレート" sheetId="2" r:id="rId9"/>
  </sheets>
  <definedNames>
    <definedName name="_xlnm.Print_Area" localSheetId="8">テンプレート!$A$1:$BK$55</definedName>
    <definedName name="_xlnm.Print_Area" localSheetId="2">指摘履歴!$A$1:$BK$55</definedName>
    <definedName name="_xlnm.Print_Area" localSheetId="1">改訂履歴!$A$1:$BK$55</definedName>
    <definedName name="_xlnm.Print_Area" localSheetId="5">機能概要!$A$1:$BK$240</definedName>
    <definedName name="_xlnm.Print_Area" localSheetId="4">機能概要説明!$A$1:$BK$57</definedName>
    <definedName name="_xlnm.Print_Area" localSheetId="6">画面イメージ!$A$1:$AU$85</definedName>
    <definedName name="_xlnm.Print_Area" localSheetId="0">表紙!$A$1:$BK$55</definedName>
    <definedName name="_xlnm.Print_Titles" localSheetId="8">テンプレート!$1:$5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AT2" i="2"/>
  <c r="K2" i="2"/>
  <c r="A2" i="2"/>
  <c r="W1" i="2"/>
  <c r="AP4" i="7"/>
  <c r="Z4" i="7"/>
  <c r="H4"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6" i="5" s="1"/>
  <c r="BM107" i="5" s="1"/>
  <c r="BM108" i="5" s="1"/>
  <c r="BM109" i="5" s="1"/>
  <c r="BM110" i="5" s="1"/>
  <c r="BM111" i="5" s="1"/>
  <c r="BM112" i="5" s="1"/>
  <c r="BM113" i="5" s="1"/>
  <c r="BM114" i="5" s="1"/>
  <c r="BM115" i="5" s="1"/>
  <c r="BM116" i="5" s="1"/>
  <c r="BM117" i="5" s="1"/>
  <c r="BM118" i="5" s="1"/>
  <c r="BM119"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198" i="5" s="1"/>
  <c r="BM199" i="5" s="1"/>
  <c r="BM200" i="5" s="1"/>
  <c r="BM201" i="5" s="1"/>
  <c r="BM202" i="5" s="1"/>
  <c r="BM203" i="5" s="1"/>
  <c r="BM204" i="5" s="1"/>
  <c r="BM205" i="5" s="1"/>
  <c r="BM206" i="5" s="1"/>
  <c r="BM207" i="5" s="1"/>
  <c r="BM208" i="5" s="1"/>
  <c r="BM209" i="5" s="1"/>
  <c r="BM210" i="5" s="1"/>
  <c r="BM211" i="5" s="1"/>
  <c r="BM212" i="5" s="1"/>
  <c r="BM213" i="5" s="1"/>
  <c r="BM214" i="5" s="1"/>
  <c r="BM215" i="5" s="1"/>
  <c r="BM216" i="5" s="1"/>
  <c r="BM217" i="5" s="1"/>
  <c r="BM218" i="5" s="1"/>
  <c r="BM219" i="5" s="1"/>
  <c r="BM220" i="5" s="1"/>
  <c r="BM221" i="5" s="1"/>
  <c r="BM222" i="5" s="1"/>
  <c r="BM223" i="5" s="1"/>
  <c r="BM224" i="5" s="1"/>
  <c r="BM225" i="5" s="1"/>
  <c r="BM226" i="5" s="1"/>
  <c r="BM227" i="5" s="1"/>
  <c r="BM228" i="5" s="1"/>
  <c r="BM229" i="5" s="1"/>
  <c r="BM230" i="5" s="1"/>
  <c r="BM231" i="5" s="1"/>
  <c r="BM232" i="5" s="1"/>
  <c r="BM233" i="5" s="1"/>
  <c r="BM234" i="5" s="1"/>
  <c r="BM235" i="5" s="1"/>
  <c r="BM236" i="5" s="1"/>
  <c r="BM237" i="5" s="1"/>
  <c r="BM238" i="5" s="1"/>
  <c r="BM239" i="5" s="1"/>
  <c r="BM240" i="5" s="1"/>
  <c r="AP4" i="5" a="1"/>
  <c r="AP4" i="5" s="1"/>
  <c r="Z4" i="5"/>
  <c r="BC2" i="5"/>
  <c r="K2" i="5"/>
  <c r="A2" i="5"/>
  <c r="W1" i="5"/>
  <c r="BM8" i="8"/>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7" i="8"/>
  <c r="AP4" i="8" a="1"/>
  <c r="AP4" i="8" s="1"/>
  <c r="Z4" i="8"/>
  <c r="H4" i="8"/>
  <c r="K2" i="8"/>
  <c r="A2" i="8"/>
  <c r="W1" i="8"/>
  <c r="AP4" i="6" a="1"/>
  <c r="AP4" i="6" s="1"/>
  <c r="Z4" i="6"/>
  <c r="H4" i="6"/>
  <c r="K2" i="6"/>
  <c r="A2" i="6"/>
  <c r="W1" i="6"/>
  <c r="AP4" i="3" a="1"/>
  <c r="AP4" i="3" s="1"/>
  <c r="Z4" i="3"/>
  <c r="H4" i="3"/>
  <c r="AT2" i="3"/>
  <c r="K2" i="3"/>
  <c r="A2" i="3"/>
  <c r="W1" i="3"/>
  <c r="L24" i="4"/>
  <c r="AP4" i="4" a="1"/>
  <c r="AP4" i="4" s="1"/>
  <c r="BH2" i="4"/>
  <c r="BC2" i="4"/>
  <c r="BC2" i="2" s="1"/>
  <c r="AY2" i="4"/>
  <c r="AT2" i="4"/>
  <c r="AT2" i="5" s="1"/>
  <c r="AP2" i="4"/>
  <c r="BH2" i="8" l="1"/>
  <c r="BH2" i="6"/>
  <c r="BH2" i="5"/>
  <c r="BH2" i="7"/>
  <c r="BH2" i="2"/>
  <c r="BH2" i="3"/>
  <c r="AY2" i="7"/>
  <c r="AY2" i="2"/>
  <c r="AY2" i="3"/>
  <c r="AY2" i="5"/>
  <c r="AY2" i="6"/>
  <c r="AP2" i="8"/>
  <c r="AP2" i="5"/>
  <c r="AP2" i="7"/>
  <c r="AP2" i="2"/>
  <c r="AP2" i="6"/>
  <c r="AP2" i="3"/>
  <c r="AY2" i="8"/>
  <c r="AT2" i="8"/>
  <c r="BC2" i="7"/>
  <c r="BC2" i="6"/>
  <c r="BC2" i="8"/>
  <c r="AT2" i="7"/>
  <c r="BC2" i="3"/>
</calcChain>
</file>

<file path=xl/sharedStrings.xml><?xml version="1.0" encoding="utf-8"?>
<sst xmlns="http://schemas.openxmlformats.org/spreadsheetml/2006/main" count="282" uniqueCount="137">
  <si>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</si>
  <si>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</si>
  <si>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</si>
  <si>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</si>
  <si>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</si>
  <si>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</si>
  <si>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</si>
  <si>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</si>
  <si>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</si>
  <si>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</si>
  <si>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t>
    </r>
  </si>
  <si>
    <r>
      <rPr>
        <sz val="11"/>
        <color rgb="FF000000"/>
        <rFont val="Meiryo UI"/>
        <family val="2"/>
      </rPr>
      <t>概要設計</t>
    </r>
  </si>
  <si>
    <r>
      <rPr>
        <sz val="11"/>
        <color rgb="FF000000"/>
        <rFont val="Meiryo UI"/>
        <family val="2"/>
      </rPr>
      <t>新規</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</si>
  <si>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</si>
  <si>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</si>
  <si>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</si>
  <si>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</si>
  <si>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</si>
  <si>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</si>
  <si>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</si>
  <si>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</si>
  <si>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</si>
  <si>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</si>
  <si>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</si>
  <si>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</si>
  <si>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</si>
  <si>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有効</t>
    </r>
  </si>
  <si>
    <r>
      <rPr>
        <sz val="11"/>
        <color rgb="FF000000"/>
        <rFont val="Meiryo UI"/>
        <family val="2"/>
      </rPr>
      <t>Login-01/EmployeeMaster</t>
    </r>
  </si>
  <si>
    <r>
      <rPr>
        <sz val="11"/>
        <color rgb="FF000000"/>
        <rFont val="Meiryo UI"/>
        <family val="2"/>
      </rPr>
      <t>POSサーバー</t>
    </r>
  </si>
  <si>
    <t>`</t>
  </si>
  <si>
    <r>
      <rPr>
        <sz val="11"/>
        <color rgb="FF000000"/>
        <rFont val="Meiryo UI"/>
        <family val="2"/>
      </rPr>
      <t>TinNH</t>
    </r>
  </si>
  <si>
    <r>
      <rPr>
        <sz val="11"/>
        <color rgb="FF000000"/>
        <rFont val="Meiryo UI"/>
        <family val="2"/>
      </rPr>
      <t>サンプル：</t>
    </r>
  </si>
  <si>
    <r>
      <rPr>
        <sz val="11"/>
        <color rgb="FF000000"/>
        <rFont val="Meiryo UI"/>
        <family val="2"/>
      </rPr>
      <t>StoreIdが「09999」以外である。</t>
    </r>
  </si>
  <si>
    <r>
      <rPr>
        <sz val="11"/>
        <color rgb="FF000000"/>
        <rFont val="Meiryo UI"/>
        <family val="2"/>
      </rPr>
      <t>StoreIdが「09999」である。</t>
    </r>
  </si>
  <si>
    <r>
      <rPr>
        <sz val="11"/>
        <color rgb="FF000000"/>
        <rFont val="Meiryo UI"/>
        <family val="2"/>
      </rPr>
      <t>お客様から送付された資料による更新</t>
    </r>
  </si>
  <si>
    <r>
      <rPr>
        <sz val="11"/>
        <color rgb="FF000000"/>
        <rFont val="Meiryo UI"/>
        <family val="2"/>
      </rPr>
      <t>FC9601_カテゴリ割引レシートクーポン追加・編集機能</t>
    </r>
  </si>
  <si>
    <r>
      <rPr>
        <sz val="11"/>
        <color rgb="FF000000"/>
        <rFont val="Meiryo UI"/>
        <family val="2"/>
      </rPr>
      <t>カテゴリ割引レシートクーポン設定機能では次のことが可能になる。</t>
    </r>
  </si>
  <si>
    <r>
      <rPr>
        <sz val="11"/>
        <color rgb="FF000000"/>
        <rFont val="Meiryo UI"/>
        <family val="2"/>
      </rPr>
      <t>・1つ又は複数の店舗のカテゴリのレシートクーポンを閲覧、追加、編集、削除する。</t>
    </r>
  </si>
  <si>
    <r>
      <rPr>
        <sz val="11"/>
        <color rgb="FF000000"/>
        <rFont val="Meiryo UI"/>
        <family val="2"/>
      </rPr>
      <t>・カテゴリ割引レシートクーポンは、ユーザーが発券期間内にお買い物をした場合にお買い上げレシートの後に印刷されるカテゴリのクーポン券である。</t>
    </r>
  </si>
  <si>
    <r>
      <rPr>
        <sz val="11"/>
        <color rgb="FF000000"/>
        <rFont val="Meiryo UI"/>
        <family val="2"/>
      </rPr>
      <t>・また、クーポン券に印字されている期間内でのお買い物時に使用できるものとなる。</t>
    </r>
  </si>
  <si>
    <r>
      <rPr>
        <sz val="11"/>
        <color rgb="FF000000"/>
        <rFont val="Meiryo UI"/>
        <family val="2"/>
      </rPr>
      <t>6月27日にお客様から送付された資料による更新</t>
    </r>
  </si>
  <si>
    <r>
      <rPr>
        <sz val="11"/>
        <color rgb="FF000000"/>
        <rFont val="Meiryo UI"/>
        <family val="2"/>
      </rPr>
      <t>佐々木</t>
    </r>
  </si>
  <si>
    <r>
      <rPr>
        <sz val="11"/>
        <color rgb="FFFFFFFF"/>
        <rFont val="Meiryo UI"/>
        <family val="3"/>
        <charset val="128"/>
      </rPr>
      <t>確認者</t>
    </r>
  </si>
  <si>
    <r>
      <rPr>
        <sz val="11"/>
        <color rgb="FFFFFFFF"/>
        <rFont val="Meiryo UI"/>
        <family val="3"/>
        <charset val="128"/>
      </rPr>
      <t>確認日</t>
    </r>
  </si>
  <si>
    <r>
      <rPr>
        <sz val="11"/>
        <color rgb="FFFFFFFF"/>
        <rFont val="Meiryo UI"/>
        <family val="3"/>
        <charset val="128"/>
      </rPr>
      <t>更新内容</t>
    </r>
  </si>
  <si>
    <r>
      <rPr>
        <sz val="11"/>
        <color rgb="FF000000"/>
        <rFont val="Meiryo UI"/>
        <family val="2"/>
      </rPr>
      <t>■改訂履歴</t>
    </r>
  </si>
  <si>
    <r>
      <rPr>
        <sz val="11"/>
        <color rgb="FF000000"/>
        <rFont val="Meiryo UI"/>
        <family val="2"/>
      </rPr>
      <t>機能概要</t>
    </r>
  </si>
  <si>
    <r>
      <rPr>
        <sz val="11"/>
        <color rgb="FF000000"/>
        <rFont val="Meiryo UI"/>
        <family val="2"/>
      </rPr>
      <t>カテゴリ（階層）設定画面が記載されていません。</t>
    </r>
  </si>
  <si>
    <r>
      <rPr>
        <sz val="11"/>
        <color rgb="FF000000"/>
        <rFont val="Meiryo UI"/>
        <family val="2"/>
      </rPr>
      <t>メッセージ（表・裏）複数行設定が必要です。</t>
    </r>
  </si>
  <si>
    <r>
      <rPr>
        <sz val="18"/>
        <color rgb="FF000000"/>
        <rFont val="Meiryo UI"/>
        <family val="3"/>
      </rPr>
      <t>基本設計書</t>
    </r>
  </si>
  <si>
    <r>
      <rPr>
        <sz val="11"/>
        <color rgb="FF000000"/>
        <rFont val="Meiryo UI"/>
        <family val="2"/>
      </rPr>
      <t>96_カテゴリ割引レシートクーポン設定</t>
    </r>
  </si>
  <si>
    <r>
      <rPr>
        <sz val="11"/>
        <color rgb="FF000000"/>
        <rFont val="Meiryo UI"/>
        <family val="2"/>
      </rPr>
      <t>概要設計書</t>
    </r>
  </si>
  <si>
    <r>
      <rPr>
        <b/>
        <sz val="11"/>
        <color rgb="FF000000"/>
        <rFont val="Meiryo UI"/>
        <family val="2"/>
      </rPr>
      <t>　店舗</t>
    </r>
  </si>
  <si>
    <r>
      <rPr>
        <b/>
        <sz val="11"/>
        <color rgb="FF000000"/>
        <rFont val="Meiryo UI"/>
        <family val="2"/>
      </rPr>
      <t>　タイトル</t>
    </r>
  </si>
  <si>
    <r>
      <rPr>
        <b/>
        <sz val="11"/>
        <color rgb="FF000000"/>
        <rFont val="Meiryo UI"/>
        <family val="2"/>
      </rPr>
      <t>　印字期間</t>
    </r>
  </si>
  <si>
    <t>～</t>
  </si>
  <si>
    <r>
      <rPr>
        <b/>
        <sz val="11"/>
        <color rgb="FF000000"/>
        <rFont val="Meiryo UI"/>
        <family val="2"/>
      </rPr>
      <t>　利用可能期間</t>
    </r>
  </si>
  <si>
    <r>
      <rPr>
        <b/>
        <sz val="11"/>
        <color rgb="FF000000"/>
        <rFont val="Meiryo UI"/>
        <family val="2"/>
      </rPr>
      <t>　クーポン券コード</t>
    </r>
  </si>
  <si>
    <r>
      <rPr>
        <b/>
        <sz val="11"/>
        <color rgb="FF000000"/>
        <rFont val="Meiryo UI"/>
        <family val="2"/>
      </rPr>
      <t>　表面</t>
    </r>
  </si>
  <si>
    <r>
      <rPr>
        <b/>
        <sz val="11"/>
        <color rgb="FF000000"/>
        <rFont val="Meiryo UI"/>
        <family val="2"/>
      </rPr>
      <t>　　メッセージ</t>
    </r>
  </si>
  <si>
    <r>
      <rPr>
        <b/>
        <sz val="11"/>
        <color rgb="FF000000"/>
        <rFont val="Meiryo UI"/>
        <family val="2"/>
      </rPr>
      <t>　裏面</t>
    </r>
  </si>
  <si>
    <r>
      <rPr>
        <b/>
        <sz val="11"/>
        <color rgb="FF000000"/>
        <rFont val="Meiryo UI"/>
        <family val="2"/>
      </rPr>
      <t>　　タイトル</t>
    </r>
  </si>
  <si>
    <r>
      <rPr>
        <b/>
        <sz val="11"/>
        <color rgb="FF000000"/>
        <rFont val="Meiryo UI"/>
        <family val="2"/>
      </rPr>
      <t>　更新日</t>
    </r>
  </si>
  <si>
    <r>
      <rPr>
        <b/>
        <sz val="11"/>
        <color rgb="FF000000"/>
        <rFont val="Meiryo UI"/>
        <family val="2"/>
      </rPr>
      <t>　更新者</t>
    </r>
  </si>
  <si>
    <r>
      <rPr>
        <sz val="36"/>
        <color rgb="FFFFFFFF"/>
        <rFont val="ＭＳ Ｐゴシック"/>
        <family val="2"/>
      </rPr>
      <t>新規</t>
    </r>
  </si>
  <si>
    <t xml:space="preserve">                                                                              ▼</t>
  </si>
  <si>
    <t xml:space="preserve">                                                                           ▼</t>
  </si>
  <si>
    <r>
      <rPr>
        <sz val="11"/>
        <color rgb="FF000000"/>
        <rFont val="Meiryo UI"/>
        <family val="2"/>
      </rPr>
      <t>yy/mm/dd</t>
    </r>
  </si>
  <si>
    <r>
      <rPr>
        <sz val="11"/>
        <color rgb="FF000000"/>
        <rFont val="Meiryo UI"/>
        <family val="2"/>
      </rPr>
      <t>〇〇</t>
    </r>
  </si>
  <si>
    <t>+</t>
  </si>
  <si>
    <t>-</t>
  </si>
  <si>
    <r>
      <rPr>
        <sz val="36"/>
        <color rgb="FFFFFFFF"/>
        <rFont val="ＭＳ Ｐゴシック"/>
        <family val="2"/>
      </rPr>
      <t>編集</t>
    </r>
  </si>
  <si>
    <t xml:space="preserve">                                                                              </t>
  </si>
  <si>
    <t xml:space="preserve">  </t>
  </si>
  <si>
    <r>
      <rPr>
        <sz val="11"/>
        <color rgb="FF000000"/>
        <rFont val="Meiryo UI"/>
        <family val="2"/>
      </rPr>
      <t>佐々木</t>
    </r>
  </si>
  <si>
    <r>
      <rPr>
        <sz val="11"/>
        <color rgb="FF000000"/>
        <rFont val="Meiryo UI"/>
        <family val="2"/>
      </rPr>
      <t>機能概要</t>
    </r>
  </si>
  <si>
    <r>
      <rPr>
        <b/>
        <sz val="11"/>
        <color rgb="FF000000"/>
        <rFont val="Meiryo UI"/>
        <family val="2"/>
      </rPr>
      <t>　店舗</t>
    </r>
  </si>
  <si>
    <r>
      <rPr>
        <b/>
        <sz val="11"/>
        <color rgb="FF000000"/>
        <rFont val="Meiryo UI"/>
        <family val="2"/>
      </rPr>
      <t>　タイトル</t>
    </r>
  </si>
  <si>
    <r>
      <rPr>
        <b/>
        <sz val="11"/>
        <color rgb="FF000000"/>
        <rFont val="Meiryo UI"/>
        <family val="2"/>
      </rPr>
      <t>　印字期間</t>
    </r>
  </si>
  <si>
    <r>
      <rPr>
        <b/>
        <sz val="11"/>
        <color rgb="FF000000"/>
        <rFont val="Meiryo UI"/>
        <family val="2"/>
      </rPr>
      <t>　利用可能期間</t>
    </r>
  </si>
  <si>
    <r>
      <rPr>
        <b/>
        <sz val="11"/>
        <color rgb="FF000000"/>
        <rFont val="Meiryo UI"/>
        <family val="2"/>
      </rPr>
      <t>　クーポン券コード</t>
    </r>
  </si>
  <si>
    <r>
      <rPr>
        <b/>
        <sz val="11"/>
        <color rgb="FF000000"/>
        <rFont val="Meiryo UI"/>
        <family val="2"/>
      </rPr>
      <t>　表面</t>
    </r>
  </si>
  <si>
    <r>
      <rPr>
        <b/>
        <sz val="11"/>
        <color rgb="FF000000"/>
        <rFont val="Meiryo UI"/>
        <family val="2"/>
      </rPr>
      <t>　　メッセージ</t>
    </r>
  </si>
  <si>
    <r>
      <rPr>
        <b/>
        <sz val="11"/>
        <color rgb="FF000000"/>
        <rFont val="Meiryo UI"/>
        <family val="2"/>
      </rPr>
      <t>　裏面</t>
    </r>
  </si>
  <si>
    <r>
      <rPr>
        <b/>
        <sz val="11"/>
        <color rgb="FF000000"/>
        <rFont val="Meiryo UI"/>
        <family val="2"/>
      </rPr>
      <t>　　タイトル</t>
    </r>
  </si>
  <si>
    <r>
      <rPr>
        <b/>
        <sz val="11"/>
        <color rgb="FF000000"/>
        <rFont val="Meiryo UI"/>
        <family val="2"/>
      </rPr>
      <t>　更新日</t>
    </r>
  </si>
  <si>
    <r>
      <rPr>
        <b/>
        <sz val="11"/>
        <color rgb="FF000000"/>
        <rFont val="Meiryo UI"/>
        <family val="2"/>
      </rPr>
      <t>　更新者</t>
    </r>
  </si>
  <si>
    <r>
      <rPr>
        <sz val="11"/>
        <color rgb="FF000000"/>
        <rFont val="Meiryo UI"/>
        <family val="2"/>
      </rPr>
      <t>yy/mm/dd</t>
    </r>
  </si>
  <si>
    <r>
      <rPr>
        <sz val="11"/>
        <color rgb="FF000000"/>
        <rFont val="Meiryo UI"/>
        <family val="2"/>
      </rPr>
      <t>〇〇</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</si>
  <si>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</si>
  <si>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</si>
  <si>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</si>
  <si>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</si>
  <si>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</si>
  <si>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</si>
  <si>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</si>
  <si>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</si>
  <si>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</si>
  <si>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</si>
  <si>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</si>
  <si>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</si>
  <si>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</si>
  <si>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</si>
  <si>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</si>
  <si>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</si>
  <si>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TinNH</t>
  </si>
  <si>
    <t>AnhNM</t>
  </si>
  <si>
    <t>機能概要</t>
  </si>
  <si>
    <t>・カテゴリ（階層）設定画面の記載を追加する。
・複数のメッセージ（表・裏）作成の記載を追加する。</t>
  </si>
  <si>
    <t>カスミ</t>
  </si>
  <si>
    <t>佐々木</t>
  </si>
  <si>
    <t>指摘履歴</t>
  </si>
  <si>
    <r>
      <rPr>
        <sz val="11"/>
        <color rgb="FFFFFFFF"/>
        <rFont val="Meiryo UI"/>
        <family val="2"/>
      </rPr>
      <t>●1_自動釣銭機</t>
    </r>
  </si>
  <si>
    <r>
      <rPr>
        <sz val="11"/>
        <color rgb="FFFFFFFF"/>
        <rFont val="Meiryo UI"/>
        <family val="2"/>
      </rPr>
      <t>●1_レジ周辺機器</t>
    </r>
  </si>
  <si>
    <r>
      <rPr>
        <sz val="11"/>
        <color rgb="FFFFFFFF"/>
        <rFont val="Meiryo UI"/>
        <family val="2"/>
      </rPr>
      <t>●外部連携</t>
    </r>
  </si>
  <si>
    <t>96_カテゴリ割引レシートクーポン設定</t>
  </si>
  <si>
    <t>レシートクーポン削除機能</t>
  </si>
  <si>
    <t>編集可能レシートクーポン確認機能</t>
  </si>
  <si>
    <t>レシートクーポン変更保存機能</t>
  </si>
  <si>
    <t>■画面項目定義</t>
  </si>
  <si>
    <t>画面項目ID</t>
  </si>
  <si>
    <t>項目</t>
  </si>
  <si>
    <t>タイプ</t>
  </si>
  <si>
    <t>多言語対象</t>
  </si>
  <si>
    <t>出力</t>
  </si>
  <si>
    <t>インプット</t>
  </si>
  <si>
    <t>備考</t>
  </si>
  <si>
    <t>マッピングデータ</t>
  </si>
  <si>
    <t>初期値</t>
  </si>
  <si>
    <t>表示コントロール</t>
  </si>
  <si>
    <t>Control enable</t>
  </si>
  <si>
    <t>数字</t>
  </si>
  <si>
    <t>桁</t>
  </si>
  <si>
    <t>API名</t>
  </si>
  <si>
    <t>Android POS Control</t>
  </si>
  <si>
    <r>
      <rPr>
        <sz val="11"/>
        <color rgb="FF000000"/>
        <rFont val="Meiryo UI"/>
        <family val="2"/>
      </rPr>
      <t>User ID</t>
    </r>
  </si>
  <si>
    <r>
      <rPr>
        <sz val="11"/>
        <color rgb="FF000000"/>
        <rFont val="Meiryo UI"/>
        <family val="2"/>
      </rPr>
      <t>Login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</si>
</sst>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32">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8"/>
      <color rgb="FF000000"/>
      <name val="Meiryo UI"/>
      <family val="3"/>
    </font>
    <font>
      <b/>
      <sz val="11"/>
      <name val="Meiryo UI"/>
      <family val="2"/>
    </font>
    <font>
      <sz val="11"/>
      <color rgb="FF0000FF"/>
      <name val="Meiryo UI"/>
      <family val="2"/>
    </font>
    <font>
      <sz val="11"/>
      <color theme="5" tint="-0.24994659260841701"/>
      <name val="Meiryo UI"/>
      <family val="2"/>
    </font>
    <font>
      <sz val="10"/>
      <color theme="1"/>
      <name val="Meiryo UI"/>
      <family val="2"/>
    </font>
    <font>
      <sz val="11"/>
      <name val="ＭＳ Ｐゴシック"/>
      <family val="3"/>
      <charset val="128"/>
    </font>
    <font>
      <sz val="9"/>
      <name val="Meiryo UI"/>
      <family val="2"/>
    </font>
    <font>
      <b/>
      <sz val="16"/>
      <color rgb="FF555555"/>
      <name val="Meiryo UI"/>
      <family val="2"/>
    </font>
    <font>
      <b/>
      <sz val="11"/>
      <color rgb="FF555555"/>
      <name val="ＭＳ Ｐゴシック"/>
      <family val="3"/>
      <charset val="128"/>
    </font>
    <font>
      <sz val="14"/>
      <color rgb="FF555555"/>
      <name val="Meiryo UI"/>
      <family val="2"/>
    </font>
    <font>
      <sz val="14"/>
      <color rgb="FF555555"/>
      <name val="ＭＳ Ｐゴシック"/>
      <family val="3"/>
      <charset val="128"/>
    </font>
    <font>
      <sz val="36"/>
      <color rgb="FFFFFFFF"/>
      <name val="ＭＳ Ｐゴシック"/>
      <family val="2"/>
    </font>
    <font>
      <b/>
      <sz val="11"/>
      <color rgb="FF000000"/>
      <name val="Meiryo UI"/>
      <family val="2"/>
    </font>
    <font>
      <sz val="11"/>
      <name val="Meiryo UI"/>
      <family val="3"/>
      <charset val="128"/>
    </font>
    <font>
      <sz val="11"/>
      <name val="Meiryo UI"/>
      <family val="2"/>
    </font>
    <font>
      <sz val="36"/>
      <color rgb="FFFFFFFF"/>
      <name val="Meiryo UI"/>
      <family val="2"/>
    </font>
    <font>
      <sz val="11"/>
      <color theme="0"/>
      <name val="Meiryo UI"/>
      <family val="2"/>
    </font>
    <font>
      <sz val="11"/>
      <color rgb="FFFFFFFF"/>
      <name val="Meiryo UI"/>
      <family val="2"/>
    </font>
    <font>
      <sz val="18"/>
      <name val="Meiryo UI"/>
      <family val="2"/>
    </font>
    <font>
      <sz val="18"/>
      <color rgb="FF000000"/>
      <name val="Meiryo UI"/>
      <family val="2"/>
    </font>
    <font>
      <sz val="24"/>
      <color rgb="FF000000"/>
      <name val="Meiryo UI"/>
      <family val="2"/>
    </font>
    <font>
      <b/>
      <sz val="24"/>
      <name val="Meiryo UI"/>
      <family val="2"/>
    </font>
    <font>
      <sz val="11"/>
      <color rgb="FF0000CC"/>
      <name val="Meiryo UI"/>
      <family val="2"/>
    </font>
  </fonts>
  <fills count="15">
    <fill>
      <patternFill patternType="none"/>
    </fill>
    <fill>
      <patternFill patternType="gray125"/>
    </fill>
    <fill>
      <patternFill patternType="solid">
        <fgColor rgb="FF333399"/>
        <bgColor indexed="64"/>
      </patternFill>
    </fill>
    <fill>
      <patternFill patternType="solid">
        <fgColor theme="7" tint="0.79995117038483843"/>
        <bgColor indexed="64"/>
      </patternFill>
    </fill>
    <fill>
      <patternFill patternType="solid">
        <fgColor theme="4" tint="0.79989013336588644"/>
        <bgColor indexed="64"/>
      </patternFill>
    </fill>
    <fill>
      <patternFill patternType="solid">
        <fgColor rgb="FFFEFFF7"/>
        <bgColor indexed="64"/>
      </patternFill>
    </fill>
    <fill>
      <patternFill patternType="solid">
        <fgColor theme="0"/>
        <bgColor indexed="64"/>
      </patternFill>
    </fill>
    <fill>
      <patternFill patternType="solid">
        <fgColor rgb="FFD9DCE1"/>
        <bgColor indexed="64"/>
      </patternFill>
    </fill>
    <fill>
      <patternFill patternType="solid">
        <fgColor rgb="FFB0B9D7"/>
        <bgColor indexed="64"/>
      </patternFill>
    </fill>
    <fill>
      <patternFill patternType="solid">
        <fgColor rgb="FFEDEDED"/>
        <bgColor indexed="64"/>
      </patternFill>
    </fill>
    <fill>
      <patternFill patternType="solid">
        <fgColor rgb="FF545F95"/>
        <bgColor indexed="64"/>
      </patternFill>
    </fill>
    <fill>
      <patternFill patternType="solid">
        <fgColor rgb="FF639554"/>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s>
  <borders count="68">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rgb="FF989898"/>
      </left>
      <right/>
      <top/>
      <bottom/>
      <diagonal/>
    </border>
    <border>
      <left/>
      <right style="medium">
        <color rgb="FF989898"/>
      </right>
      <top/>
      <bottom/>
      <diagonal/>
    </border>
    <border>
      <left style="medium">
        <color rgb="FF989898"/>
      </left>
      <right/>
      <top style="medium">
        <color rgb="FF989898"/>
      </top>
      <bottom/>
      <diagonal/>
    </border>
    <border>
      <left/>
      <right/>
      <top style="medium">
        <color rgb="FF989898"/>
      </top>
      <bottom/>
      <diagonal/>
    </border>
    <border>
      <left/>
      <right style="medium">
        <color rgb="FF989898"/>
      </right>
      <top style="medium">
        <color rgb="FF989898"/>
      </top>
      <bottom/>
      <diagonal/>
    </border>
    <border>
      <left style="medium">
        <color rgb="FF989898"/>
      </left>
      <right/>
      <top style="medium">
        <color rgb="FF989898"/>
      </top>
      <bottom style="medium">
        <color rgb="FF989898"/>
      </bottom>
      <diagonal/>
    </border>
    <border>
      <left/>
      <right/>
      <top style="medium">
        <color rgb="FF989898"/>
      </top>
      <bottom style="medium">
        <color rgb="FF989898"/>
      </bottom>
      <diagonal/>
    </border>
    <border>
      <left/>
      <right style="medium">
        <color rgb="FF989898"/>
      </right>
      <top style="medium">
        <color rgb="FF989898"/>
      </top>
      <bottom style="medium">
        <color rgb="FF989898"/>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10">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22" fillId="0" borderId="0">
      <alignment vertical="center"/>
    </xf>
    <xf numFmtId="0" fontId="13" fillId="0" borderId="0"/>
    <xf numFmtId="0" fontId="14" fillId="0" borderId="0">
      <alignment vertical="center"/>
    </xf>
  </cellStyleXfs>
  <cellXfs count="43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7" fillId="3" borderId="18" xfId="7" applyFont="1" applyFill="1" applyBorder="1">
      <alignment vertical="center"/>
    </xf>
    <xf numFmtId="0" fontId="10" fillId="0" borderId="18" xfId="7" applyFont="1" applyBorder="1">
      <alignment vertical="center"/>
    </xf>
    <xf numFmtId="0" fontId="10" fillId="0" borderId="0" xfId="0" applyFont="1"/>
    <xf numFmtId="0" fontId="10" fillId="0" borderId="19" xfId="7" applyFont="1" applyBorder="1">
      <alignment vertical="center"/>
    </xf>
    <xf numFmtId="0" fontId="12" fillId="0" borderId="0" xfId="0" applyFont="1"/>
    <xf numFmtId="0" fontId="13" fillId="0" borderId="0" xfId="8" applyAlignment="1">
      <alignment vertical="center"/>
    </xf>
    <xf numFmtId="0" fontId="14" fillId="0" borderId="0" xfId="9">
      <alignment vertical="center"/>
    </xf>
    <xf numFmtId="0" fontId="0" fillId="5" borderId="28" xfId="8" applyFont="1" applyFill="1" applyBorder="1" applyAlignment="1">
      <alignment vertical="center"/>
    </xf>
    <xf numFmtId="0" fontId="0" fillId="5" borderId="0" xfId="8" applyFont="1" applyFill="1" applyAlignment="1">
      <alignment vertical="center"/>
    </xf>
    <xf numFmtId="0" fontId="0" fillId="5" borderId="29" xfId="8" applyFont="1" applyFill="1" applyBorder="1" applyAlignment="1">
      <alignment vertical="center"/>
    </xf>
    <xf numFmtId="0" fontId="0" fillId="5" borderId="30" xfId="8" applyFont="1" applyFill="1" applyBorder="1" applyAlignment="1">
      <alignment vertical="center"/>
    </xf>
    <xf numFmtId="0" fontId="0" fillId="5" borderId="31" xfId="8" applyFont="1" applyFill="1" applyBorder="1" applyAlignment="1">
      <alignment vertical="center"/>
    </xf>
    <xf numFmtId="0" fontId="0" fillId="5" borderId="32" xfId="8" applyFont="1" applyFill="1" applyBorder="1" applyAlignment="1">
      <alignment vertical="center"/>
    </xf>
    <xf numFmtId="0" fontId="0" fillId="5" borderId="0" xfId="8" applyFont="1" applyFill="1" applyAlignment="1">
      <alignment horizontal="center" vertical="center"/>
    </xf>
    <xf numFmtId="0" fontId="0" fillId="5" borderId="0" xfId="8" applyFont="1" applyFill="1" applyAlignment="1">
      <alignment horizontal="left" vertical="center"/>
    </xf>
    <xf numFmtId="0" fontId="15" fillId="6" borderId="33" xfId="8" applyFont="1" applyFill="1" applyBorder="1" applyAlignment="1">
      <alignment vertical="center"/>
    </xf>
    <xf numFmtId="0" fontId="15" fillId="6" borderId="34" xfId="8" applyFont="1" applyFill="1" applyBorder="1" applyAlignment="1">
      <alignment vertical="center"/>
    </xf>
    <xf numFmtId="0" fontId="15" fillId="6" borderId="35" xfId="8" applyFont="1" applyFill="1" applyBorder="1" applyAlignment="1">
      <alignment vertical="center"/>
    </xf>
    <xf numFmtId="0" fontId="0" fillId="5" borderId="36" xfId="8" applyFont="1" applyFill="1" applyBorder="1" applyAlignment="1">
      <alignment vertical="center"/>
    </xf>
    <xf numFmtId="0" fontId="0" fillId="5" borderId="37" xfId="8" applyFont="1" applyFill="1" applyBorder="1" applyAlignment="1">
      <alignment vertical="center"/>
    </xf>
    <xf numFmtId="0" fontId="0" fillId="5" borderId="38" xfId="8" applyFont="1" applyFill="1" applyBorder="1" applyAlignment="1">
      <alignment vertical="center"/>
    </xf>
    <xf numFmtId="0" fontId="0" fillId="0" borderId="0" xfId="9" applyFont="1">
      <alignment vertical="center"/>
    </xf>
    <xf numFmtId="0" fontId="14" fillId="0" borderId="35" xfId="9" applyBorder="1">
      <alignment vertical="center"/>
    </xf>
    <xf numFmtId="0" fontId="15" fillId="6" borderId="34" xfId="8" applyFont="1" applyFill="1" applyBorder="1" applyAlignment="1">
      <alignment horizontal="left" vertical="center" indent="1"/>
    </xf>
    <xf numFmtId="0" fontId="0" fillId="5" borderId="0" xfId="8" applyFont="1" applyFill="1" applyAlignment="1">
      <alignment horizontal="left" vertical="center" indent="1"/>
    </xf>
    <xf numFmtId="0" fontId="0" fillId="5" borderId="35" xfId="8" applyFont="1" applyFill="1" applyBorder="1" applyAlignment="1">
      <alignment vertical="center"/>
    </xf>
    <xf numFmtId="0" fontId="10" fillId="5" borderId="28" xfId="8" quotePrefix="1" applyFont="1" applyFill="1" applyBorder="1" applyAlignment="1">
      <alignment vertical="top"/>
    </xf>
    <xf numFmtId="0" fontId="10" fillId="5" borderId="28" xfId="8" applyFont="1" applyFill="1" applyBorder="1" applyAlignment="1">
      <alignment vertical="center"/>
    </xf>
    <xf numFmtId="0" fontId="14" fillId="6" borderId="35" xfId="9" applyFill="1" applyBorder="1">
      <alignment vertical="center"/>
    </xf>
    <xf numFmtId="0" fontId="0" fillId="5" borderId="0" xfId="8" quotePrefix="1" applyFont="1" applyFill="1" applyAlignment="1">
      <alignment vertical="center"/>
    </xf>
    <xf numFmtId="0" fontId="10" fillId="5" borderId="0" xfId="8" applyFont="1" applyFill="1" applyAlignment="1">
      <alignment vertical="center"/>
    </xf>
    <xf numFmtId="0" fontId="23" fillId="0" borderId="0" xfId="0" applyFont="1"/>
    <xf numFmtId="0" fontId="23" fillId="0" borderId="2" xfId="0" applyFont="1" applyBorder="1"/>
    <xf numFmtId="0" fontId="23" fillId="0" borderId="3" xfId="0" applyFont="1" applyBorder="1"/>
    <xf numFmtId="0" fontId="23" fillId="0" borderId="5" xfId="0" applyFont="1" applyBorder="1"/>
    <xf numFmtId="0" fontId="23" fillId="0" borderId="1" xfId="0" applyFont="1" applyBorder="1"/>
    <xf numFmtId="0" fontId="23" fillId="0" borderId="4" xfId="0" applyFont="1" applyBorder="1"/>
    <xf numFmtId="0" fontId="23" fillId="0" borderId="7" xfId="0" applyFont="1" applyBorder="1"/>
    <xf numFmtId="0" fontId="23" fillId="0" borderId="8" xfId="0" applyFont="1" applyBorder="1"/>
    <xf numFmtId="0" fontId="23" fillId="0" borderId="11" xfId="0" applyFont="1" applyBorder="1"/>
    <xf numFmtId="0" fontId="23" fillId="0" borderId="6" xfId="0" applyFont="1" applyBorder="1"/>
    <xf numFmtId="0" fontId="23" fillId="0" borderId="12" xfId="0" applyFont="1" applyBorder="1"/>
    <xf numFmtId="0" fontId="23" fillId="0" borderId="14" xfId="0" applyFont="1" applyBorder="1"/>
    <xf numFmtId="0" fontId="23" fillId="0" borderId="15" xfId="0" applyFont="1" applyBorder="1"/>
    <xf numFmtId="0" fontId="23" fillId="0" borderId="9" xfId="0" applyFont="1" applyBorder="1"/>
    <xf numFmtId="0" fontId="23" fillId="0" borderId="10" xfId="0" applyFont="1" applyBorder="1"/>
    <xf numFmtId="0" fontId="23" fillId="0" borderId="13" xfId="0" applyFont="1" applyBorder="1"/>
    <xf numFmtId="0" fontId="23" fillId="0" borderId="27" xfId="0" applyFont="1" applyBorder="1"/>
    <xf numFmtId="0" fontId="23" fillId="0" borderId="1" xfId="0" applyFont="1" applyBorder="1" applyAlignment="1">
      <alignment vertical="center"/>
    </xf>
    <xf numFmtId="0" fontId="23" fillId="0" borderId="18" xfId="0" applyFont="1" applyBorder="1" applyAlignment="1">
      <alignment vertical="center"/>
    </xf>
    <xf numFmtId="0" fontId="23" fillId="0" borderId="0" xfId="0" applyFont="1" applyAlignment="1">
      <alignment vertical="center"/>
    </xf>
    <xf numFmtId="0" fontId="23" fillId="0" borderId="19" xfId="0" applyFont="1" applyBorder="1" applyAlignment="1">
      <alignment vertical="center"/>
    </xf>
    <xf numFmtId="0" fontId="23" fillId="0" borderId="4" xfId="0" applyFont="1" applyBorder="1" applyAlignment="1">
      <alignment vertical="center"/>
    </xf>
    <xf numFmtId="0" fontId="25" fillId="2" borderId="18" xfId="0" applyFont="1" applyFill="1" applyBorder="1" applyAlignment="1">
      <alignment vertical="center"/>
    </xf>
    <xf numFmtId="0" fontId="25" fillId="2" borderId="0" xfId="0" applyFont="1" applyFill="1" applyAlignment="1">
      <alignment vertical="center"/>
    </xf>
    <xf numFmtId="0" fontId="25" fillId="2" borderId="19" xfId="0" applyFont="1" applyFill="1" applyBorder="1" applyAlignment="1">
      <alignment vertical="center"/>
    </xf>
    <xf numFmtId="0" fontId="23" fillId="0" borderId="3" xfId="0" applyFont="1" applyBorder="1" applyAlignment="1">
      <alignment vertical="center"/>
    </xf>
    <xf numFmtId="0" fontId="23" fillId="0" borderId="20" xfId="0" applyFont="1" applyBorder="1" applyAlignment="1">
      <alignment vertical="center"/>
    </xf>
    <xf numFmtId="0" fontId="23" fillId="0" borderId="21" xfId="0" applyFont="1" applyBorder="1" applyAlignment="1">
      <alignment vertical="center"/>
    </xf>
    <xf numFmtId="0" fontId="23" fillId="0" borderId="5" xfId="0" applyFont="1" applyBorder="1" applyAlignment="1">
      <alignment vertical="center"/>
    </xf>
    <xf numFmtId="0" fontId="23" fillId="0" borderId="0" xfId="7" applyFont="1">
      <alignment vertical="center"/>
    </xf>
    <xf numFmtId="0" fontId="23" fillId="0" borderId="0" xfId="0" quotePrefix="1" applyFont="1"/>
    <xf numFmtId="0" fontId="23" fillId="0" borderId="0" xfId="7" quotePrefix="1" applyFont="1">
      <alignment vertical="center"/>
    </xf>
    <xf numFmtId="0" fontId="23" fillId="0" borderId="1" xfId="7" applyFont="1" applyBorder="1">
      <alignment vertical="center"/>
    </xf>
    <xf numFmtId="0" fontId="23" fillId="0" borderId="4" xfId="7" applyFont="1" applyBorder="1">
      <alignment vertical="center"/>
    </xf>
    <xf numFmtId="0" fontId="23" fillId="0" borderId="2" xfId="7" applyFont="1" applyBorder="1">
      <alignment vertical="center"/>
    </xf>
    <xf numFmtId="0" fontId="23" fillId="0" borderId="3" xfId="7" applyFont="1" applyBorder="1">
      <alignment vertical="center"/>
    </xf>
    <xf numFmtId="0" fontId="23" fillId="0" borderId="5" xfId="7" applyFont="1" applyBorder="1">
      <alignment vertical="center"/>
    </xf>
    <xf numFmtId="0" fontId="26" fillId="2" borderId="0" xfId="0" applyFont="1" applyFill="1" applyAlignment="1">
      <alignment vertical="center"/>
    </xf>
    <xf numFmtId="0" fontId="25" fillId="2" borderId="16" xfId="0" applyFont="1" applyFill="1" applyBorder="1" applyAlignment="1">
      <alignment vertical="center"/>
    </xf>
    <xf numFmtId="0" fontId="25" fillId="2" borderId="17" xfId="0" applyFont="1" applyFill="1" applyBorder="1" applyAlignment="1">
      <alignment vertical="center"/>
    </xf>
    <xf numFmtId="0" fontId="23" fillId="0" borderId="18" xfId="0" applyFont="1" applyBorder="1"/>
    <xf numFmtId="0" fontId="23" fillId="0" borderId="19" xfId="7" applyFont="1" applyBorder="1">
      <alignment vertical="center"/>
    </xf>
    <xf numFmtId="0" fontId="23" fillId="0" borderId="19" xfId="0" applyFont="1" applyBorder="1"/>
    <xf numFmtId="0" fontId="23" fillId="4" borderId="18" xfId="7" applyFont="1" applyFill="1" applyBorder="1">
      <alignment vertical="center"/>
    </xf>
    <xf numFmtId="0" fontId="23" fillId="4" borderId="0" xfId="7" applyFont="1" applyFill="1">
      <alignment vertical="center"/>
    </xf>
    <xf numFmtId="0" fontId="23" fillId="4" borderId="19" xfId="7" applyFont="1" applyFill="1" applyBorder="1">
      <alignment vertical="center"/>
    </xf>
    <xf numFmtId="0" fontId="23" fillId="0" borderId="18" xfId="7" applyFont="1" applyBorder="1">
      <alignment vertical="center"/>
    </xf>
    <xf numFmtId="0" fontId="31" fillId="0" borderId="0" xfId="0" applyFont="1"/>
    <xf numFmtId="0" fontId="31" fillId="0" borderId="18" xfId="0" applyFont="1" applyBorder="1"/>
    <xf numFmtId="0" fontId="31" fillId="0" borderId="19" xfId="7" applyFont="1" applyBorder="1">
      <alignment vertical="center"/>
    </xf>
    <xf numFmtId="0" fontId="31" fillId="0" borderId="18" xfId="7" applyFont="1" applyBorder="1">
      <alignment vertical="center"/>
    </xf>
    <xf numFmtId="0" fontId="23" fillId="3" borderId="0" xfId="7" applyFont="1" applyFill="1">
      <alignment vertical="center"/>
    </xf>
    <xf numFmtId="0" fontId="23" fillId="3" borderId="19" xfId="7" applyFont="1" applyFill="1" applyBorder="1">
      <alignment vertical="center"/>
    </xf>
    <xf numFmtId="0" fontId="23" fillId="3" borderId="18" xfId="7" applyFont="1" applyFill="1" applyBorder="1">
      <alignment vertical="center"/>
    </xf>
    <xf numFmtId="0" fontId="23" fillId="0" borderId="21" xfId="0" applyFont="1" applyBorder="1"/>
    <xf numFmtId="0" fontId="23" fillId="0" borderId="20" xfId="0" applyFont="1" applyBorder="1"/>
    <xf numFmtId="0" fontId="23" fillId="0" borderId="0" xfId="6" applyFont="1" applyAlignment="1">
      <alignment vertical="center"/>
    </xf>
    <xf numFmtId="0" fontId="23" fillId="0" borderId="39" xfId="0" applyFont="1" applyBorder="1" applyAlignment="1">
      <alignment horizontal="center" vertical="center"/>
    </xf>
    <xf numFmtId="0" fontId="23" fillId="0" borderId="40" xfId="0" applyFont="1" applyBorder="1" applyAlignment="1">
      <alignment horizontal="center" vertical="center"/>
    </xf>
    <xf numFmtId="0" fontId="23" fillId="0" borderId="27" xfId="0" applyFont="1" applyBorder="1" applyAlignment="1">
      <alignment horizontal="center" vertical="center"/>
    </xf>
    <xf numFmtId="0" fontId="23" fillId="0" borderId="1" xfId="0" applyFont="1" applyBorder="1" applyAlignment="1">
      <alignment horizontal="center" vertical="center"/>
    </xf>
    <xf numFmtId="0" fontId="23" fillId="0" borderId="0" xfId="0" applyFont="1" applyAlignment="1">
      <alignment horizontal="center" vertical="center"/>
    </xf>
    <xf numFmtId="0" fontId="23" fillId="0" borderId="4" xfId="0"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5" xfId="0" applyFont="1" applyBorder="1" applyAlignment="1">
      <alignment horizontal="center" vertical="center"/>
    </xf>
    <xf numFmtId="0" fontId="25" fillId="2" borderId="39" xfId="0" applyFont="1" applyFill="1" applyBorder="1" applyAlignment="1">
      <alignment horizontal="center" vertical="center"/>
    </xf>
    <xf numFmtId="0" fontId="25" fillId="2" borderId="40" xfId="0" applyFont="1" applyFill="1" applyBorder="1" applyAlignment="1">
      <alignment horizontal="center" vertical="center"/>
    </xf>
    <xf numFmtId="0" fontId="25" fillId="2" borderId="27" xfId="0" applyFont="1" applyFill="1" applyBorder="1" applyAlignment="1">
      <alignment horizontal="center" vertical="center"/>
    </xf>
    <xf numFmtId="0" fontId="25" fillId="2" borderId="2" xfId="0" applyFont="1" applyFill="1" applyBorder="1" applyAlignment="1">
      <alignment horizontal="center" vertical="center"/>
    </xf>
    <xf numFmtId="0" fontId="25" fillId="2" borderId="3" xfId="0" applyFont="1" applyFill="1" applyBorder="1" applyAlignment="1">
      <alignment horizontal="center" vertical="center"/>
    </xf>
    <xf numFmtId="0" fontId="25" fillId="2" borderId="5" xfId="0" applyFont="1" applyFill="1" applyBorder="1" applyAlignment="1">
      <alignment horizontal="center" vertical="center"/>
    </xf>
    <xf numFmtId="0" fontId="25" fillId="2" borderId="41" xfId="0" applyFont="1" applyFill="1" applyBorder="1" applyAlignment="1">
      <alignment horizontal="center" vertical="center"/>
    </xf>
    <xf numFmtId="0" fontId="25" fillId="2" borderId="42" xfId="0" applyFont="1" applyFill="1" applyBorder="1" applyAlignment="1">
      <alignment horizontal="center" vertical="center"/>
    </xf>
    <xf numFmtId="0" fontId="25" fillId="2" borderId="43" xfId="0" applyFont="1" applyFill="1" applyBorder="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23" fillId="0" borderId="41" xfId="0" applyFont="1" applyBorder="1" applyAlignment="1">
      <alignment horizontal="center" vertical="center"/>
    </xf>
    <xf numFmtId="0" fontId="23" fillId="0" borderId="42" xfId="0" applyFont="1" applyBorder="1" applyAlignment="1">
      <alignment horizontal="center" vertical="center"/>
    </xf>
    <xf numFmtId="0" fontId="23" fillId="0" borderId="43" xfId="0" applyFont="1" applyBorder="1" applyAlignment="1">
      <alignment horizontal="center" vertical="center"/>
    </xf>
    <xf numFmtId="2" fontId="23" fillId="0" borderId="39" xfId="0" applyNumberFormat="1" applyFont="1" applyBorder="1" applyAlignment="1">
      <alignment horizontal="center" vertical="center"/>
    </xf>
    <xf numFmtId="2" fontId="23" fillId="0" borderId="40" xfId="0" applyNumberFormat="1" applyFont="1" applyBorder="1" applyAlignment="1">
      <alignment horizontal="center" vertical="center"/>
    </xf>
    <xf numFmtId="2" fontId="23" fillId="0" borderId="27" xfId="0" applyNumberFormat="1" applyFont="1" applyBorder="1" applyAlignment="1">
      <alignment horizontal="center" vertical="center"/>
    </xf>
    <xf numFmtId="2" fontId="23" fillId="0" borderId="2" xfId="0" applyNumberFormat="1" applyFont="1" applyBorder="1" applyAlignment="1">
      <alignment horizontal="center" vertical="center"/>
    </xf>
    <xf numFmtId="2" fontId="23" fillId="0" borderId="3" xfId="0" applyNumberFormat="1" applyFont="1" applyBorder="1" applyAlignment="1">
      <alignment horizontal="center" vertical="center"/>
    </xf>
    <xf numFmtId="2" fontId="23" fillId="0" borderId="5" xfId="0" applyNumberFormat="1" applyFont="1" applyBorder="1" applyAlignment="1">
      <alignment horizontal="center" vertical="center"/>
    </xf>
    <xf numFmtId="14" fontId="23" fillId="0" borderId="39" xfId="0" applyNumberFormat="1" applyFont="1" applyBorder="1" applyAlignment="1">
      <alignment horizontal="center" vertical="center"/>
    </xf>
    <xf numFmtId="14" fontId="23" fillId="0" borderId="40" xfId="0" applyNumberFormat="1" applyFont="1" applyBorder="1" applyAlignment="1">
      <alignment horizontal="center" vertical="center"/>
    </xf>
    <xf numFmtId="14" fontId="23" fillId="0" borderId="27" xfId="0" applyNumberFormat="1" applyFont="1" applyBorder="1" applyAlignment="1">
      <alignment horizontal="center" vertical="center"/>
    </xf>
    <xf numFmtId="14" fontId="23" fillId="0" borderId="2" xfId="0" applyNumberFormat="1" applyFont="1" applyBorder="1" applyAlignment="1">
      <alignment horizontal="center" vertical="center"/>
    </xf>
    <xf numFmtId="14" fontId="23" fillId="0" borderId="3" xfId="0" applyNumberFormat="1" applyFont="1" applyBorder="1" applyAlignment="1">
      <alignment horizontal="center" vertical="center"/>
    </xf>
    <xf numFmtId="14" fontId="23" fillId="0" borderId="5" xfId="0" applyNumberFormat="1" applyFont="1" applyBorder="1" applyAlignment="1">
      <alignment horizontal="center" vertical="center"/>
    </xf>
    <xf numFmtId="0" fontId="7" fillId="0" borderId="39" xfId="0" applyFont="1" applyBorder="1" applyAlignment="1">
      <alignment horizontal="center" vertical="center"/>
    </xf>
    <xf numFmtId="0" fontId="27" fillId="0" borderId="39" xfId="0" applyFont="1" applyBorder="1" applyAlignment="1">
      <alignment horizontal="center" vertical="center"/>
    </xf>
    <xf numFmtId="0" fontId="27" fillId="0" borderId="40" xfId="0" applyFont="1" applyBorder="1" applyAlignment="1">
      <alignment horizontal="center" vertical="center"/>
    </xf>
    <xf numFmtId="0" fontId="27" fillId="0" borderId="27" xfId="0" applyFont="1" applyBorder="1" applyAlignment="1">
      <alignment horizontal="center" vertical="center"/>
    </xf>
    <xf numFmtId="0" fontId="27" fillId="0" borderId="1" xfId="0" applyFont="1" applyBorder="1" applyAlignment="1">
      <alignment horizontal="center" vertical="center"/>
    </xf>
    <xf numFmtId="0" fontId="27" fillId="0" borderId="0" xfId="0" applyFont="1" applyAlignment="1">
      <alignment horizontal="center" vertical="center"/>
    </xf>
    <xf numFmtId="0" fontId="27" fillId="0" borderId="4" xfId="0" applyFont="1" applyBorder="1" applyAlignment="1">
      <alignment horizontal="center" vertical="center"/>
    </xf>
    <xf numFmtId="0" fontId="27" fillId="0" borderId="2" xfId="0" applyFont="1" applyBorder="1" applyAlignment="1">
      <alignment horizontal="center" vertical="center"/>
    </xf>
    <xf numFmtId="0" fontId="27" fillId="0" borderId="3" xfId="0" applyFont="1" applyBorder="1" applyAlignment="1">
      <alignment horizontal="center" vertical="center"/>
    </xf>
    <xf numFmtId="0" fontId="27" fillId="0" borderId="5" xfId="0" applyFont="1" applyBorder="1" applyAlignment="1">
      <alignment horizontal="center" vertical="center"/>
    </xf>
    <xf numFmtId="0" fontId="23" fillId="0" borderId="44" xfId="0" applyFont="1" applyBorder="1"/>
    <xf numFmtId="0" fontId="23" fillId="0" borderId="45" xfId="0" applyFont="1" applyBorder="1"/>
    <xf numFmtId="0" fontId="23" fillId="0" borderId="22" xfId="0" applyFont="1" applyBorder="1"/>
    <xf numFmtId="0" fontId="23" fillId="0" borderId="40" xfId="0" applyFont="1" applyBorder="1"/>
    <xf numFmtId="0" fontId="23" fillId="0" borderId="27" xfId="0" applyFont="1" applyBorder="1"/>
    <xf numFmtId="0" fontId="23" fillId="0" borderId="3" xfId="0" applyFont="1" applyBorder="1"/>
    <xf numFmtId="0" fontId="23" fillId="0" borderId="5" xfId="0" applyFont="1" applyBorder="1"/>
    <xf numFmtId="0" fontId="23" fillId="0" borderId="39" xfId="0" applyFont="1" applyBorder="1"/>
    <xf numFmtId="0" fontId="23" fillId="0" borderId="2" xfId="0" applyFont="1" applyBorder="1"/>
    <xf numFmtId="0" fontId="23" fillId="0" borderId="46" xfId="0" applyFont="1" applyBorder="1"/>
    <xf numFmtId="0" fontId="23" fillId="0" borderId="47" xfId="0" applyFont="1" applyBorder="1"/>
    <xf numFmtId="0" fontId="23" fillId="0" borderId="48" xfId="0" applyFont="1" applyBorder="1"/>
    <xf numFmtId="0" fontId="25" fillId="2" borderId="0" xfId="0" applyFont="1" applyFill="1"/>
    <xf numFmtId="14" fontId="11" fillId="0" borderId="39" xfId="0" applyNumberFormat="1" applyFont="1" applyBorder="1" applyAlignment="1">
      <alignment horizontal="center" vertical="center"/>
    </xf>
    <xf numFmtId="0" fontId="11" fillId="0" borderId="40" xfId="0" applyFont="1" applyBorder="1" applyAlignment="1">
      <alignment horizontal="center" vertical="center"/>
    </xf>
    <xf numFmtId="0" fontId="11" fillId="0" borderId="27"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xf>
    <xf numFmtId="0" fontId="11" fillId="0" borderId="39" xfId="0" applyFont="1" applyBorder="1" applyAlignment="1">
      <alignment horizontal="center" vertical="center"/>
    </xf>
    <xf numFmtId="0" fontId="11" fillId="0" borderId="44" xfId="0" applyFont="1" applyBorder="1"/>
    <xf numFmtId="0" fontId="11" fillId="0" borderId="45" xfId="0" applyFont="1" applyBorder="1"/>
    <xf numFmtId="0" fontId="11" fillId="0" borderId="22" xfId="0" applyFont="1" applyBorder="1"/>
    <xf numFmtId="0" fontId="31" fillId="0" borderId="40" xfId="0" applyFont="1" applyBorder="1"/>
    <xf numFmtId="0" fontId="31" fillId="0" borderId="27" xfId="0" applyFont="1" applyBorder="1"/>
    <xf numFmtId="0" fontId="31" fillId="0" borderId="3" xfId="0" applyFont="1" applyBorder="1"/>
    <xf numFmtId="0" fontId="31" fillId="0" borderId="5" xfId="0" applyFont="1" applyBorder="1"/>
    <xf numFmtId="0" fontId="31" fillId="0" borderId="39" xfId="0" applyFont="1" applyBorder="1"/>
    <xf numFmtId="0" fontId="31" fillId="0" borderId="2" xfId="0" applyFont="1" applyBorder="1"/>
    <xf numFmtId="0" fontId="11" fillId="0" borderId="46" xfId="0" quotePrefix="1" applyFont="1" applyBorder="1" applyAlignment="1">
      <alignment wrapText="1"/>
    </xf>
    <xf numFmtId="0" fontId="11" fillId="0" borderId="47" xfId="0" applyFont="1" applyBorder="1"/>
    <xf numFmtId="0" fontId="11" fillId="0" borderId="48" xfId="0" applyFont="1" applyBorder="1"/>
    <xf numFmtId="0" fontId="2" fillId="2" borderId="41"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43" xfId="0" applyFont="1" applyFill="1" applyBorder="1" applyAlignment="1">
      <alignment horizontal="center"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3" fillId="0" borderId="27"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39" xfId="0" applyBorder="1"/>
    <xf numFmtId="0" fontId="0" fillId="0" borderId="40" xfId="0" applyBorder="1"/>
    <xf numFmtId="0" fontId="0" fillId="0" borderId="27" xfId="0" applyBorder="1"/>
    <xf numFmtId="0" fontId="0" fillId="0" borderId="2" xfId="0" applyBorder="1"/>
    <xf numFmtId="0" fontId="0" fillId="0" borderId="3" xfId="0" applyBorder="1"/>
    <xf numFmtId="0" fontId="0" fillId="0" borderId="5" xfId="0" applyBorder="1"/>
    <xf numFmtId="0" fontId="0" fillId="0" borderId="46" xfId="0" applyBorder="1"/>
    <xf numFmtId="0" fontId="0" fillId="0" borderId="47" xfId="0" applyBorder="1"/>
    <xf numFmtId="0" fontId="0" fillId="0" borderId="48" xfId="0" applyBorder="1"/>
    <xf numFmtId="0" fontId="2" fillId="2" borderId="0" xfId="0" applyFont="1" applyFill="1"/>
    <xf numFmtId="14" fontId="0" fillId="0" borderId="39" xfId="0" applyNumberFormat="1" applyBorder="1" applyAlignment="1">
      <alignment horizontal="center" vertical="center"/>
    </xf>
    <xf numFmtId="0" fontId="0" fillId="0" borderId="44" xfId="0" applyBorder="1"/>
    <xf numFmtId="0" fontId="0" fillId="0" borderId="45" xfId="0" applyBorder="1"/>
    <xf numFmtId="0" fontId="0" fillId="0" borderId="22" xfId="0" applyBorder="1"/>
    <xf numFmtId="0" fontId="4" fillId="2" borderId="0" xfId="0" applyFont="1" applyFill="1"/>
    <xf numFmtId="14" fontId="12" fillId="0" borderId="39" xfId="0" applyNumberFormat="1" applyFont="1" applyBorder="1" applyAlignment="1">
      <alignment horizontal="center" vertical="center"/>
    </xf>
    <xf numFmtId="0" fontId="12" fillId="0" borderId="40" xfId="0" applyFont="1" applyBorder="1" applyAlignment="1">
      <alignment horizontal="center" vertical="center"/>
    </xf>
    <xf numFmtId="0" fontId="12" fillId="0" borderId="27"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2" fillId="0" borderId="39" xfId="0" applyFont="1" applyBorder="1" applyAlignment="1">
      <alignment horizontal="center" vertical="center"/>
    </xf>
    <xf numFmtId="0" fontId="12" fillId="0" borderId="44" xfId="0" applyFont="1" applyBorder="1"/>
    <xf numFmtId="0" fontId="12" fillId="0" borderId="45" xfId="0" applyFont="1" applyBorder="1"/>
    <xf numFmtId="0" fontId="12" fillId="0" borderId="22" xfId="0" applyFont="1" applyBorder="1"/>
    <xf numFmtId="0" fontId="12" fillId="0" borderId="46" xfId="0" applyFont="1" applyBorder="1"/>
    <xf numFmtId="0" fontId="12" fillId="0" borderId="47" xfId="0" applyFont="1" applyBorder="1"/>
    <xf numFmtId="0" fontId="12" fillId="0" borderId="48" xfId="0" applyFont="1" applyBorder="1"/>
    <xf numFmtId="0" fontId="0" fillId="7" borderId="33" xfId="8" applyFont="1" applyFill="1" applyBorder="1" applyAlignment="1">
      <alignment horizontal="left" vertical="center"/>
    </xf>
    <xf numFmtId="0" fontId="0" fillId="7" borderId="34" xfId="8" applyFont="1" applyFill="1" applyBorder="1" applyAlignment="1">
      <alignment horizontal="left" vertical="center"/>
    </xf>
    <xf numFmtId="0" fontId="0" fillId="7" borderId="35" xfId="8" applyFont="1" applyFill="1" applyBorder="1" applyAlignment="1">
      <alignment horizontal="left" vertical="center"/>
    </xf>
    <xf numFmtId="0" fontId="10" fillId="8" borderId="33" xfId="8" applyFont="1" applyFill="1" applyBorder="1" applyAlignment="1">
      <alignment horizontal="left" vertical="center"/>
    </xf>
    <xf numFmtId="0" fontId="10" fillId="8" borderId="34" xfId="8" applyFont="1" applyFill="1" applyBorder="1" applyAlignment="1">
      <alignment horizontal="left" vertical="center"/>
    </xf>
    <xf numFmtId="0" fontId="10" fillId="8" borderId="35" xfId="8" applyFont="1" applyFill="1" applyBorder="1" applyAlignment="1">
      <alignment horizontal="left" vertical="center"/>
    </xf>
    <xf numFmtId="0" fontId="15" fillId="6" borderId="33" xfId="8" applyFont="1" applyFill="1" applyBorder="1" applyAlignment="1">
      <alignment horizontal="center" vertical="center"/>
    </xf>
    <xf numFmtId="0" fontId="15" fillId="6" borderId="34" xfId="8" applyFont="1" applyFill="1" applyBorder="1" applyAlignment="1">
      <alignment horizontal="center" vertical="center"/>
    </xf>
    <xf numFmtId="0" fontId="0" fillId="6" borderId="33" xfId="8" applyFont="1" applyFill="1" applyBorder="1" applyAlignment="1">
      <alignment horizontal="right" vertical="center"/>
    </xf>
    <xf numFmtId="0" fontId="0" fillId="6" borderId="34" xfId="8" applyFont="1" applyFill="1" applyBorder="1" applyAlignment="1">
      <alignment horizontal="right" vertical="center"/>
    </xf>
    <xf numFmtId="0" fontId="0" fillId="6" borderId="35" xfId="8" applyFont="1" applyFill="1" applyBorder="1" applyAlignment="1">
      <alignment horizontal="right" vertical="center"/>
    </xf>
    <xf numFmtId="0" fontId="0" fillId="6" borderId="33" xfId="8" applyFont="1" applyFill="1" applyBorder="1" applyAlignment="1">
      <alignment horizontal="center" vertical="center"/>
    </xf>
    <xf numFmtId="0" fontId="0" fillId="6" borderId="34" xfId="8" applyFont="1" applyFill="1" applyBorder="1" applyAlignment="1">
      <alignment horizontal="center" vertical="center"/>
    </xf>
    <xf numFmtId="0" fontId="0" fillId="6" borderId="35" xfId="8" applyFont="1" applyFill="1" applyBorder="1" applyAlignment="1">
      <alignment horizontal="center" vertical="center"/>
    </xf>
    <xf numFmtId="0" fontId="0" fillId="7" borderId="33" xfId="8" applyFont="1" applyFill="1" applyBorder="1" applyAlignment="1">
      <alignment horizontal="center" vertical="center"/>
    </xf>
    <xf numFmtId="0" fontId="0" fillId="7" borderId="34" xfId="8" applyFont="1" applyFill="1" applyBorder="1" applyAlignment="1">
      <alignment horizontal="center" vertical="center"/>
    </xf>
    <xf numFmtId="0" fontId="0" fillId="7" borderId="35" xfId="8" applyFont="1" applyFill="1" applyBorder="1" applyAlignment="1">
      <alignment horizontal="center" vertical="center"/>
    </xf>
    <xf numFmtId="0" fontId="0" fillId="5" borderId="33" xfId="8" applyFont="1" applyFill="1" applyBorder="1" applyAlignment="1">
      <alignment horizontal="center" vertical="center"/>
    </xf>
    <xf numFmtId="0" fontId="0" fillId="5" borderId="34" xfId="8" applyFont="1" applyFill="1" applyBorder="1" applyAlignment="1">
      <alignment horizontal="center" vertical="center"/>
    </xf>
    <xf numFmtId="0" fontId="18" fillId="0" borderId="49" xfId="9" applyFont="1" applyBorder="1" applyAlignment="1">
      <alignment horizontal="left" vertical="center"/>
    </xf>
    <xf numFmtId="0" fontId="18" fillId="0" borderId="0" xfId="9" applyFont="1" applyAlignment="1">
      <alignment horizontal="left" vertical="center"/>
    </xf>
    <xf numFmtId="0" fontId="18" fillId="0" borderId="49" xfId="9" applyFont="1" applyBorder="1" applyAlignment="1">
      <alignment horizontal="right" vertical="center"/>
    </xf>
    <xf numFmtId="0" fontId="19" fillId="0" borderId="0" xfId="9" applyFont="1" applyAlignment="1">
      <alignment horizontal="right" vertical="center"/>
    </xf>
    <xf numFmtId="0" fontId="19" fillId="0" borderId="50" xfId="9" applyFont="1" applyBorder="1" applyAlignment="1">
      <alignment horizontal="right" vertical="center"/>
    </xf>
    <xf numFmtId="0" fontId="18" fillId="0" borderId="51" xfId="9" applyFont="1" applyBorder="1" applyAlignment="1">
      <alignment horizontal="right" vertical="center"/>
    </xf>
    <xf numFmtId="0" fontId="19" fillId="0" borderId="52" xfId="9" applyFont="1" applyBorder="1" applyAlignment="1">
      <alignment horizontal="right" vertical="center"/>
    </xf>
    <xf numFmtId="0" fontId="19" fillId="0" borderId="53" xfId="9" applyFont="1" applyBorder="1" applyAlignment="1">
      <alignment horizontal="right" vertical="center"/>
    </xf>
    <xf numFmtId="0" fontId="16" fillId="9" borderId="51" xfId="9" applyFont="1" applyFill="1" applyBorder="1" applyAlignment="1">
      <alignment horizontal="center" vertical="center"/>
    </xf>
    <xf numFmtId="0" fontId="16" fillId="9" borderId="52" xfId="9" applyFont="1" applyFill="1" applyBorder="1" applyAlignment="1">
      <alignment horizontal="center" vertical="center"/>
    </xf>
    <xf numFmtId="0" fontId="17" fillId="9" borderId="52" xfId="9" applyFont="1" applyFill="1" applyBorder="1" applyAlignment="1">
      <alignment horizontal="center" vertical="center"/>
    </xf>
    <xf numFmtId="0" fontId="17" fillId="9" borderId="53" xfId="9" applyFont="1" applyFill="1" applyBorder="1" applyAlignment="1">
      <alignment horizontal="center" vertical="center"/>
    </xf>
    <xf numFmtId="0" fontId="18" fillId="0" borderId="0" xfId="9" applyFont="1" applyAlignment="1">
      <alignment horizontal="right" vertical="center"/>
    </xf>
    <xf numFmtId="49" fontId="18" fillId="0" borderId="49" xfId="9" applyNumberFormat="1" applyFont="1" applyBorder="1" applyAlignment="1">
      <alignment horizontal="center" vertical="center"/>
    </xf>
    <xf numFmtId="49" fontId="18" fillId="0" borderId="0" xfId="9" applyNumberFormat="1" applyFont="1" applyAlignment="1">
      <alignment horizontal="center" vertical="center"/>
    </xf>
    <xf numFmtId="49" fontId="18" fillId="0" borderId="50" xfId="9" applyNumberFormat="1" applyFont="1" applyBorder="1" applyAlignment="1">
      <alignment horizontal="center" vertical="center"/>
    </xf>
    <xf numFmtId="0" fontId="20" fillId="10" borderId="30" xfId="8" applyFont="1" applyFill="1" applyBorder="1" applyAlignment="1">
      <alignment horizontal="left" vertical="center" indent="1"/>
    </xf>
    <xf numFmtId="0" fontId="20" fillId="10" borderId="31" xfId="8" applyFont="1" applyFill="1" applyBorder="1" applyAlignment="1">
      <alignment horizontal="left" vertical="center" indent="1"/>
    </xf>
    <xf numFmtId="0" fontId="20" fillId="10" borderId="28" xfId="8" applyFont="1" applyFill="1" applyBorder="1" applyAlignment="1">
      <alignment horizontal="left" vertical="center" indent="1"/>
    </xf>
    <xf numFmtId="0" fontId="20" fillId="10" borderId="0" xfId="8" applyFont="1" applyFill="1" applyAlignment="1">
      <alignment horizontal="left" vertical="center" indent="1"/>
    </xf>
    <xf numFmtId="0" fontId="20" fillId="10" borderId="36" xfId="8" applyFont="1" applyFill="1" applyBorder="1" applyAlignment="1">
      <alignment horizontal="left" vertical="center" indent="1"/>
    </xf>
    <xf numFmtId="0" fontId="20" fillId="10" borderId="37" xfId="8" applyFont="1" applyFill="1" applyBorder="1" applyAlignment="1">
      <alignment horizontal="left" vertical="center" indent="1"/>
    </xf>
    <xf numFmtId="0" fontId="24" fillId="10" borderId="37" xfId="8" applyFont="1" applyFill="1" applyBorder="1" applyAlignment="1">
      <alignment horizontal="left" vertical="center" indent="1"/>
    </xf>
    <xf numFmtId="0" fontId="18" fillId="0" borderId="54" xfId="9" applyFont="1" applyBorder="1" applyAlignment="1">
      <alignment horizontal="left" vertical="center"/>
    </xf>
    <xf numFmtId="0" fontId="18" fillId="0" borderId="55" xfId="9" applyFont="1" applyBorder="1" applyAlignment="1">
      <alignment horizontal="left" vertical="center"/>
    </xf>
    <xf numFmtId="0" fontId="18" fillId="0" borderId="54" xfId="9" applyFont="1" applyBorder="1" applyAlignment="1">
      <alignment horizontal="right" vertical="center"/>
    </xf>
    <xf numFmtId="0" fontId="19" fillId="0" borderId="55" xfId="9" applyFont="1" applyBorder="1" applyAlignment="1">
      <alignment horizontal="right" vertical="center"/>
    </xf>
    <xf numFmtId="0" fontId="19" fillId="0" borderId="56" xfId="9" applyFont="1" applyBorder="1" applyAlignment="1">
      <alignment horizontal="right" vertical="center"/>
    </xf>
    <xf numFmtId="0" fontId="18" fillId="0" borderId="55" xfId="9" applyFont="1" applyBorder="1" applyAlignment="1">
      <alignment horizontal="right" vertical="center"/>
    </xf>
    <xf numFmtId="49" fontId="18" fillId="0" borderId="54" xfId="9" applyNumberFormat="1" applyFont="1" applyBorder="1" applyAlignment="1">
      <alignment horizontal="center" vertical="center"/>
    </xf>
    <xf numFmtId="49" fontId="18" fillId="0" borderId="55" xfId="9" applyNumberFormat="1" applyFont="1" applyBorder="1" applyAlignment="1">
      <alignment horizontal="center" vertical="center"/>
    </xf>
    <xf numFmtId="49" fontId="18" fillId="0" borderId="56" xfId="9" applyNumberFormat="1" applyFont="1" applyBorder="1" applyAlignment="1">
      <alignment horizontal="center" vertical="center"/>
    </xf>
    <xf numFmtId="0" fontId="18" fillId="0" borderId="51" xfId="9" applyFont="1" applyBorder="1" applyAlignment="1">
      <alignment horizontal="left" vertical="center"/>
    </xf>
    <xf numFmtId="0" fontId="18" fillId="0" borderId="52" xfId="9" applyFont="1" applyBorder="1" applyAlignment="1">
      <alignment horizontal="left" vertical="center"/>
    </xf>
    <xf numFmtId="0" fontId="18" fillId="0" borderId="52" xfId="9" applyFont="1" applyBorder="1" applyAlignment="1">
      <alignment horizontal="right" vertical="center"/>
    </xf>
    <xf numFmtId="49" fontId="18" fillId="0" borderId="51" xfId="9" applyNumberFormat="1" applyFont="1" applyBorder="1" applyAlignment="1">
      <alignment horizontal="center" vertical="center"/>
    </xf>
    <xf numFmtId="49" fontId="18" fillId="0" borderId="52" xfId="9" applyNumberFormat="1" applyFont="1" applyBorder="1" applyAlignment="1">
      <alignment horizontal="center" vertical="center"/>
    </xf>
    <xf numFmtId="49" fontId="18" fillId="0" borderId="53" xfId="9" applyNumberFormat="1" applyFont="1" applyBorder="1" applyAlignment="1">
      <alignment horizontal="center" vertical="center"/>
    </xf>
    <xf numFmtId="0" fontId="16" fillId="9" borderId="53" xfId="9" applyFont="1" applyFill="1" applyBorder="1" applyAlignment="1">
      <alignment horizontal="center" vertical="center"/>
    </xf>
    <xf numFmtId="0" fontId="20" fillId="11" borderId="30" xfId="8" applyFont="1" applyFill="1" applyBorder="1" applyAlignment="1">
      <alignment horizontal="left" vertical="center" indent="1"/>
    </xf>
    <xf numFmtId="0" fontId="20" fillId="11" borderId="31" xfId="8" applyFont="1" applyFill="1" applyBorder="1" applyAlignment="1">
      <alignment horizontal="left" vertical="center" indent="1"/>
    </xf>
    <xf numFmtId="0" fontId="20" fillId="11" borderId="28" xfId="8" applyFont="1" applyFill="1" applyBorder="1" applyAlignment="1">
      <alignment horizontal="left" vertical="center" indent="1"/>
    </xf>
    <xf numFmtId="0" fontId="20" fillId="11" borderId="0" xfId="8" applyFont="1" applyFill="1" applyAlignment="1">
      <alignment horizontal="left" vertical="center" indent="1"/>
    </xf>
    <xf numFmtId="0" fontId="20" fillId="11" borderId="36" xfId="8" applyFont="1" applyFill="1" applyBorder="1" applyAlignment="1">
      <alignment horizontal="left" vertical="center" indent="1"/>
    </xf>
    <xf numFmtId="0" fontId="20" fillId="11" borderId="37" xfId="8" applyFont="1" applyFill="1" applyBorder="1" applyAlignment="1">
      <alignment horizontal="left" vertical="center" indent="1"/>
    </xf>
    <xf numFmtId="0" fontId="0" fillId="7" borderId="33" xfId="8" applyFont="1" applyFill="1" applyBorder="1" applyAlignment="1">
      <alignment horizontal="right" vertical="center"/>
    </xf>
    <xf numFmtId="0" fontId="0" fillId="7" borderId="34" xfId="8" applyFont="1" applyFill="1" applyBorder="1" applyAlignment="1">
      <alignment horizontal="right" vertical="center"/>
    </xf>
    <xf numFmtId="0" fontId="0" fillId="7" borderId="35" xfId="8" applyFont="1" applyFill="1" applyBorder="1" applyAlignment="1">
      <alignment horizontal="right" vertical="center"/>
    </xf>
    <xf numFmtId="0" fontId="6" fillId="0" borderId="39" xfId="6" applyFont="1" applyBorder="1" applyAlignment="1">
      <alignment horizontal="center" vertical="center"/>
    </xf>
    <xf numFmtId="0" fontId="6" fillId="0" borderId="40" xfId="6" applyFont="1" applyBorder="1" applyAlignment="1">
      <alignment horizontal="center" vertical="center"/>
    </xf>
    <xf numFmtId="0" fontId="6" fillId="0" borderId="27"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25" fillId="2" borderId="41" xfId="6" applyFont="1" applyFill="1" applyBorder="1" applyAlignment="1">
      <alignment horizontal="center" vertical="center"/>
    </xf>
    <xf numFmtId="0" fontId="25" fillId="2" borderId="42" xfId="6" applyFont="1" applyFill="1" applyBorder="1" applyAlignment="1">
      <alignment horizontal="center" vertical="center"/>
    </xf>
    <xf numFmtId="0" fontId="25" fillId="2" borderId="43" xfId="6" applyFont="1" applyFill="1" applyBorder="1" applyAlignment="1">
      <alignment horizontal="center" vertical="center"/>
    </xf>
    <xf numFmtId="0" fontId="27" fillId="0" borderId="39" xfId="6" applyFont="1" applyBorder="1" applyAlignment="1">
      <alignment horizontal="center" vertical="center"/>
    </xf>
    <xf numFmtId="0" fontId="27" fillId="0" borderId="40" xfId="6" applyFont="1" applyBorder="1" applyAlignment="1">
      <alignment horizontal="center" vertical="center"/>
    </xf>
    <xf numFmtId="0" fontId="27" fillId="0" borderId="27" xfId="6" applyFont="1" applyBorder="1" applyAlignment="1">
      <alignment horizontal="center" vertical="center"/>
    </xf>
    <xf numFmtId="0" fontId="27" fillId="0" borderId="1" xfId="6" applyFont="1" applyBorder="1" applyAlignment="1">
      <alignment horizontal="center" vertical="center"/>
    </xf>
    <xf numFmtId="0" fontId="27" fillId="0" borderId="0" xfId="6" applyFont="1" applyAlignment="1">
      <alignment horizontal="center" vertical="center"/>
    </xf>
    <xf numFmtId="0" fontId="27" fillId="0" borderId="4" xfId="6" applyFont="1" applyBorder="1" applyAlignment="1">
      <alignment horizontal="center" vertical="center"/>
    </xf>
    <xf numFmtId="0" fontId="27" fillId="0" borderId="2" xfId="6" applyFont="1" applyBorder="1" applyAlignment="1">
      <alignment horizontal="center" vertical="center"/>
    </xf>
    <xf numFmtId="0" fontId="27" fillId="0" borderId="3" xfId="6" applyFont="1" applyBorder="1" applyAlignment="1">
      <alignment horizontal="center" vertical="center"/>
    </xf>
    <xf numFmtId="0" fontId="27" fillId="0" borderId="5" xfId="6" applyFont="1" applyBorder="1" applyAlignment="1">
      <alignment horizontal="center" vertical="center"/>
    </xf>
    <xf numFmtId="0" fontId="6" fillId="0" borderId="41" xfId="6" applyFont="1" applyBorder="1" applyAlignment="1">
      <alignment horizontal="center" vertical="center"/>
    </xf>
    <xf numFmtId="0" fontId="6" fillId="0" borderId="42" xfId="6" applyFont="1" applyBorder="1" applyAlignment="1">
      <alignment horizontal="center" vertical="center"/>
    </xf>
    <xf numFmtId="0" fontId="6" fillId="0" borderId="43" xfId="6" applyFont="1" applyBorder="1" applyAlignment="1">
      <alignment horizontal="center" vertical="center"/>
    </xf>
    <xf numFmtId="0" fontId="7" fillId="0" borderId="41" xfId="6" applyFont="1" applyBorder="1" applyAlignment="1">
      <alignment horizontal="center" vertical="center"/>
    </xf>
    <xf numFmtId="0" fontId="7" fillId="12" borderId="39" xfId="6" applyFont="1" applyFill="1" applyBorder="1" applyAlignment="1">
      <alignment vertical="center" wrapText="1"/>
    </xf>
    <xf numFmtId="0" fontId="6" fillId="12" borderId="27" xfId="6" applyFont="1" applyFill="1" applyBorder="1" applyAlignment="1">
      <alignment vertical="center"/>
    </xf>
    <xf numFmtId="0" fontId="6" fillId="12" borderId="1" xfId="6" applyFont="1" applyFill="1" applyBorder="1" applyAlignment="1">
      <alignment vertical="center"/>
    </xf>
    <xf numFmtId="0" fontId="6" fillId="12" borderId="4" xfId="6" applyFont="1" applyFill="1" applyBorder="1" applyAlignment="1">
      <alignment vertical="center"/>
    </xf>
    <xf numFmtId="0" fontId="6" fillId="12" borderId="2" xfId="6" applyFont="1" applyFill="1" applyBorder="1" applyAlignment="1">
      <alignment vertical="center"/>
    </xf>
    <xf numFmtId="0" fontId="6" fillId="12" borderId="5" xfId="6" applyFont="1" applyFill="1" applyBorder="1" applyAlignment="1">
      <alignment vertical="center"/>
    </xf>
    <xf numFmtId="0" fontId="7" fillId="12" borderId="39" xfId="6" applyFont="1" applyFill="1" applyBorder="1" applyAlignment="1">
      <alignment vertical="center"/>
    </xf>
    <xf numFmtId="0" fontId="6" fillId="12" borderId="40" xfId="6" applyFont="1" applyFill="1" applyBorder="1" applyAlignment="1">
      <alignment vertical="center"/>
    </xf>
    <xf numFmtId="0" fontId="6" fillId="12" borderId="0" xfId="6" applyFont="1" applyFill="1" applyAlignment="1">
      <alignment vertical="center"/>
    </xf>
    <xf numFmtId="0" fontId="6" fillId="12" borderId="3" xfId="6" applyFont="1" applyFill="1" applyBorder="1" applyAlignment="1">
      <alignment vertical="center"/>
    </xf>
    <xf numFmtId="0" fontId="6" fillId="12" borderId="57" xfId="6" applyFont="1" applyFill="1" applyBorder="1" applyAlignment="1">
      <alignment vertical="center" shrinkToFit="1"/>
    </xf>
    <xf numFmtId="0" fontId="6" fillId="12" borderId="58" xfId="6" applyFont="1" applyFill="1" applyBorder="1" applyAlignment="1">
      <alignment vertical="center" shrinkToFit="1"/>
    </xf>
    <xf numFmtId="0" fontId="6" fillId="12" borderId="59" xfId="6" applyFont="1" applyFill="1" applyBorder="1" applyAlignment="1">
      <alignment vertical="center" shrinkToFit="1"/>
    </xf>
    <xf numFmtId="0" fontId="7" fillId="12" borderId="57" xfId="6" applyFont="1" applyFill="1" applyBorder="1" applyAlignment="1">
      <alignment vertical="center" wrapText="1"/>
    </xf>
    <xf numFmtId="0" fontId="7" fillId="12" borderId="58" xfId="6" applyFont="1" applyFill="1" applyBorder="1" applyAlignment="1">
      <alignment vertical="center" wrapText="1"/>
    </xf>
    <xf numFmtId="0" fontId="7" fillId="12" borderId="59" xfId="6" applyFont="1" applyFill="1" applyBorder="1" applyAlignment="1">
      <alignment vertical="center" wrapText="1"/>
    </xf>
    <xf numFmtId="0" fontId="7" fillId="13" borderId="41" xfId="6" applyFont="1" applyFill="1" applyBorder="1" applyAlignment="1">
      <alignment vertical="center"/>
    </xf>
    <xf numFmtId="0" fontId="6" fillId="13" borderId="42" xfId="6" applyFont="1" applyFill="1" applyBorder="1" applyAlignment="1">
      <alignment vertical="center"/>
    </xf>
    <xf numFmtId="0" fontId="6" fillId="13" borderId="60" xfId="6" applyFont="1" applyFill="1" applyBorder="1" applyAlignment="1">
      <alignment vertical="center"/>
    </xf>
    <xf numFmtId="0" fontId="7" fillId="13" borderId="61" xfId="6" applyFont="1" applyFill="1" applyBorder="1" applyAlignment="1">
      <alignment vertical="center"/>
    </xf>
    <xf numFmtId="0" fontId="6" fillId="13" borderId="43" xfId="6" applyFont="1" applyFill="1" applyBorder="1" applyAlignment="1">
      <alignment vertical="center"/>
    </xf>
    <xf numFmtId="0" fontId="6" fillId="0" borderId="44" xfId="6" applyFont="1" applyBorder="1" applyAlignment="1">
      <alignment horizontal="center" vertical="center"/>
    </xf>
    <xf numFmtId="0" fontId="6" fillId="0" borderId="22" xfId="6" applyFont="1" applyBorder="1" applyAlignment="1">
      <alignment horizontal="center" vertical="center"/>
    </xf>
    <xf numFmtId="0" fontId="6" fillId="0" borderId="44" xfId="6" applyFont="1" applyBorder="1" applyAlignment="1">
      <alignment vertical="center"/>
    </xf>
    <xf numFmtId="0" fontId="6" fillId="0" borderId="45" xfId="6" applyFont="1" applyBorder="1" applyAlignment="1">
      <alignment vertical="center"/>
    </xf>
    <xf numFmtId="0" fontId="6" fillId="0" borderId="22" xfId="6" applyFont="1" applyBorder="1" applyAlignment="1">
      <alignment vertical="center"/>
    </xf>
    <xf numFmtId="0" fontId="6" fillId="0" borderId="62" xfId="6" applyFont="1" applyBorder="1" applyAlignment="1">
      <alignment vertical="center"/>
    </xf>
    <xf numFmtId="0" fontId="6" fillId="0" borderId="63" xfId="6" applyFont="1" applyBorder="1" applyAlignment="1">
      <alignment vertical="center"/>
    </xf>
    <xf numFmtId="0" fontId="6" fillId="0" borderId="64" xfId="6" applyFont="1" applyBorder="1" applyAlignment="1">
      <alignment vertical="center"/>
    </xf>
    <xf numFmtId="0" fontId="7" fillId="0" borderId="44" xfId="6" applyFont="1" applyBorder="1" applyAlignment="1">
      <alignment horizontal="center" vertical="center"/>
    </xf>
    <xf numFmtId="0" fontId="6" fillId="0" borderId="45" xfId="6" applyFont="1" applyBorder="1" applyAlignment="1">
      <alignment horizontal="center" vertical="center"/>
    </xf>
    <xf numFmtId="0" fontId="7" fillId="14" borderId="41" xfId="6" applyFont="1" applyFill="1" applyBorder="1" applyAlignment="1">
      <alignment vertical="center"/>
    </xf>
    <xf numFmtId="0" fontId="6" fillId="14" borderId="42" xfId="6" applyFont="1" applyFill="1" applyBorder="1" applyAlignment="1">
      <alignment vertical="center"/>
    </xf>
    <xf numFmtId="0" fontId="6" fillId="14" borderId="43" xfId="6" applyFont="1" applyFill="1" applyBorder="1" applyAlignment="1">
      <alignment vertical="center"/>
    </xf>
    <xf numFmtId="0" fontId="7" fillId="6" borderId="39" xfId="6" applyFont="1" applyFill="1" applyBorder="1" applyAlignment="1">
      <alignment vertical="center"/>
    </xf>
    <xf numFmtId="0" fontId="6" fillId="6" borderId="40" xfId="6" applyFont="1" applyFill="1" applyBorder="1" applyAlignment="1">
      <alignment vertical="center"/>
    </xf>
    <xf numFmtId="0" fontId="6" fillId="6" borderId="27"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14" borderId="41" xfId="6" applyFont="1" applyFill="1" applyBorder="1"/>
    <xf numFmtId="0" fontId="7" fillId="14" borderId="42" xfId="6" applyFont="1" applyFill="1" applyBorder="1"/>
    <xf numFmtId="0" fontId="7" fillId="14" borderId="43" xfId="6" applyFont="1" applyFill="1" applyBorder="1"/>
    <xf numFmtId="0" fontId="7" fillId="14" borderId="39" xfId="6" applyFont="1" applyFill="1" applyBorder="1" applyAlignment="1">
      <alignment vertical="center"/>
    </xf>
    <xf numFmtId="0" fontId="6" fillId="14" borderId="40" xfId="6" applyFont="1" applyFill="1" applyBorder="1" applyAlignment="1">
      <alignment vertical="center"/>
    </xf>
    <xf numFmtId="0" fontId="6" fillId="14" borderId="27" xfId="6" applyFont="1" applyFill="1" applyBorder="1" applyAlignment="1">
      <alignment vertical="center"/>
    </xf>
    <xf numFmtId="0" fontId="6" fillId="14" borderId="2" xfId="6" applyFont="1" applyFill="1" applyBorder="1" applyAlignment="1">
      <alignment vertical="center"/>
    </xf>
    <xf numFmtId="0" fontId="6" fillId="14" borderId="3" xfId="6" applyFont="1" applyFill="1" applyBorder="1" applyAlignment="1">
      <alignment vertical="center"/>
    </xf>
    <xf numFmtId="0" fontId="6" fillId="14" borderId="5" xfId="6" applyFont="1" applyFill="1" applyBorder="1" applyAlignment="1">
      <alignment vertical="center"/>
    </xf>
    <xf numFmtId="0" fontId="6" fillId="13" borderId="39" xfId="6" applyFont="1" applyFill="1" applyBorder="1" applyAlignment="1">
      <alignment vertical="center" wrapText="1"/>
    </xf>
    <xf numFmtId="0" fontId="6" fillId="13" borderId="2" xfId="6" applyFont="1" applyFill="1" applyBorder="1" applyAlignment="1">
      <alignment vertical="center" wrapText="1"/>
    </xf>
    <xf numFmtId="0" fontId="7" fillId="13" borderId="57" xfId="6" applyFont="1" applyFill="1" applyBorder="1" applyAlignment="1">
      <alignment vertical="center" wrapText="1"/>
    </xf>
    <xf numFmtId="0" fontId="7" fillId="13" borderId="59" xfId="6" applyFont="1" applyFill="1" applyBorder="1" applyAlignment="1">
      <alignment vertical="center" wrapText="1"/>
    </xf>
    <xf numFmtId="0" fontId="7" fillId="13" borderId="27" xfId="6" applyFont="1" applyFill="1" applyBorder="1" applyAlignment="1">
      <alignment vertical="center" wrapText="1"/>
    </xf>
    <xf numFmtId="0" fontId="7" fillId="13" borderId="5" xfId="6" applyFont="1" applyFill="1" applyBorder="1" applyAlignment="1">
      <alignment vertical="center" wrapText="1"/>
    </xf>
    <xf numFmtId="0" fontId="7" fillId="0" borderId="44" xfId="6" applyFont="1" applyBorder="1" applyAlignment="1">
      <alignment horizontal="center" vertical="center" wrapText="1"/>
    </xf>
    <xf numFmtId="0" fontId="7" fillId="0" borderId="45"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44" xfId="6" applyFont="1" applyBorder="1" applyAlignment="1">
      <alignment horizontal="left" vertical="center"/>
    </xf>
    <xf numFmtId="0" fontId="6" fillId="0" borderId="45" xfId="6" applyFont="1" applyBorder="1" applyAlignment="1">
      <alignment horizontal="left" vertical="center"/>
    </xf>
    <xf numFmtId="0" fontId="6" fillId="0" borderId="22" xfId="6" applyFont="1" applyBorder="1" applyAlignment="1">
      <alignment horizontal="left" vertical="center"/>
    </xf>
    <xf numFmtId="0" fontId="23" fillId="0" borderId="44" xfId="6" applyFont="1" applyBorder="1" applyAlignment="1">
      <alignment vertical="center" wrapText="1"/>
    </xf>
    <xf numFmtId="0" fontId="23" fillId="0" borderId="45" xfId="6" applyFont="1" applyBorder="1" applyAlignment="1">
      <alignment vertical="center" wrapText="1"/>
    </xf>
    <xf numFmtId="0" fontId="23" fillId="0" borderId="22" xfId="6" applyFont="1" applyBorder="1" applyAlignment="1">
      <alignment vertical="center" wrapText="1"/>
    </xf>
    <xf numFmtId="0" fontId="6" fillId="0" borderId="62" xfId="6" applyFont="1" applyBorder="1" applyAlignment="1">
      <alignment horizontal="center" vertical="center"/>
    </xf>
    <xf numFmtId="0" fontId="6" fillId="0" borderId="64" xfId="6" applyFont="1" applyBorder="1" applyAlignment="1">
      <alignment horizontal="center" vertical="center"/>
    </xf>
    <xf numFmtId="0" fontId="6" fillId="0" borderId="62" xfId="6" quotePrefix="1" applyFont="1" applyBorder="1" applyAlignment="1">
      <alignment vertical="center" wrapText="1"/>
    </xf>
    <xf numFmtId="0" fontId="6" fillId="0" borderId="63" xfId="6" quotePrefix="1" applyFont="1" applyBorder="1" applyAlignment="1">
      <alignment vertical="center" wrapText="1"/>
    </xf>
    <xf numFmtId="0" fontId="6" fillId="0" borderId="64" xfId="6" quotePrefix="1" applyFont="1" applyBorder="1" applyAlignment="1">
      <alignment vertical="center" wrapText="1"/>
    </xf>
    <xf numFmtId="0" fontId="7" fillId="0" borderId="62" xfId="6" applyFont="1" applyBorder="1" applyAlignment="1">
      <alignment horizontal="center" vertical="center"/>
    </xf>
    <xf numFmtId="0" fontId="6" fillId="0" borderId="63" xfId="6" applyFont="1" applyBorder="1" applyAlignment="1">
      <alignment horizontal="center" vertical="center"/>
    </xf>
    <xf numFmtId="0" fontId="6" fillId="0" borderId="62" xfId="6" quotePrefix="1" applyFont="1" applyBorder="1" applyAlignment="1">
      <alignment vertical="center"/>
    </xf>
    <xf numFmtId="0" fontId="6" fillId="0" borderId="63" xfId="6" quotePrefix="1" applyFont="1" applyBorder="1" applyAlignment="1">
      <alignment vertical="center"/>
    </xf>
    <xf numFmtId="0" fontId="6" fillId="0" borderId="64" xfId="6" quotePrefix="1" applyFont="1" applyBorder="1" applyAlignment="1">
      <alignment vertical="center"/>
    </xf>
    <xf numFmtId="0" fontId="7" fillId="0" borderId="62" xfId="6" quotePrefix="1" applyFont="1" applyBorder="1" applyAlignment="1">
      <alignment horizontal="center" vertical="center" wrapText="1"/>
    </xf>
    <xf numFmtId="0" fontId="7" fillId="0" borderId="63" xfId="6" applyFont="1" applyBorder="1" applyAlignment="1">
      <alignment horizontal="center" vertical="center" wrapText="1"/>
    </xf>
    <xf numFmtId="0" fontId="7" fillId="0" borderId="64" xfId="6" applyFont="1" applyBorder="1" applyAlignment="1">
      <alignment horizontal="center" vertical="center" wrapText="1"/>
    </xf>
    <xf numFmtId="0" fontId="6" fillId="0" borderId="62" xfId="6" applyFont="1" applyBorder="1" applyAlignment="1">
      <alignment horizontal="left" vertical="center"/>
    </xf>
    <xf numFmtId="0" fontId="6" fillId="0" borderId="63" xfId="6" applyFont="1" applyBorder="1" applyAlignment="1">
      <alignment horizontal="left" vertical="center"/>
    </xf>
    <xf numFmtId="0" fontId="6" fillId="0" borderId="64" xfId="6" applyFont="1" applyBorder="1" applyAlignment="1">
      <alignment horizontal="left" vertical="center"/>
    </xf>
    <xf numFmtId="0" fontId="23" fillId="0" borderId="62" xfId="6" applyFont="1" applyBorder="1" applyAlignment="1">
      <alignment vertical="center"/>
    </xf>
    <xf numFmtId="0" fontId="23" fillId="0" borderId="63" xfId="6" applyFont="1" applyBorder="1" applyAlignment="1">
      <alignment vertical="center"/>
    </xf>
    <xf numFmtId="0" fontId="23" fillId="0" borderId="64" xfId="6" applyFont="1" applyBorder="1" applyAlignment="1">
      <alignment vertical="center"/>
    </xf>
    <xf numFmtId="0" fontId="8" fillId="0" borderId="62" xfId="6" applyFont="1" applyBorder="1" applyAlignment="1">
      <alignment vertical="center" wrapText="1"/>
    </xf>
    <xf numFmtId="0" fontId="7" fillId="0" borderId="62" xfId="6" quotePrefix="1" applyFont="1" applyBorder="1" applyAlignment="1">
      <alignment horizontal="center" vertical="center"/>
    </xf>
    <xf numFmtId="0" fontId="7" fillId="0" borderId="63" xfId="6" applyFont="1" applyBorder="1" applyAlignment="1">
      <alignment horizontal="center" vertical="center"/>
    </xf>
    <xf numFmtId="0" fontId="7" fillId="0" borderId="64" xfId="6" applyFont="1" applyBorder="1" applyAlignment="1">
      <alignment horizontal="center" vertical="center"/>
    </xf>
    <xf numFmtId="0" fontId="23" fillId="0" borderId="65" xfId="6" quotePrefix="1" applyFont="1" applyBorder="1" applyAlignment="1">
      <alignment vertical="center"/>
    </xf>
    <xf numFmtId="0" fontId="23" fillId="0" borderId="66" xfId="6" quotePrefix="1" applyFont="1" applyBorder="1" applyAlignment="1">
      <alignment vertical="center"/>
    </xf>
    <xf numFmtId="0" fontId="23" fillId="0" borderId="67" xfId="6" quotePrefix="1" applyFont="1" applyBorder="1" applyAlignment="1">
      <alignment vertical="center"/>
    </xf>
    <xf numFmtId="0" fontId="6" fillId="0" borderId="62" xfId="6" quotePrefix="1" applyFont="1" applyBorder="1" applyAlignment="1">
      <alignment horizontal="center" vertical="center"/>
    </xf>
    <xf numFmtId="0" fontId="23" fillId="0" borderId="65" xfId="6" applyFont="1" applyBorder="1" applyAlignment="1">
      <alignment vertical="center"/>
    </xf>
    <xf numFmtId="0" fontId="23" fillId="0" borderId="66" xfId="6" applyFont="1" applyBorder="1" applyAlignment="1">
      <alignment vertical="center"/>
    </xf>
    <xf numFmtId="0" fontId="23" fillId="0" borderId="67" xfId="6" applyFont="1" applyBorder="1" applyAlignment="1">
      <alignment vertical="center"/>
    </xf>
    <xf numFmtId="0" fontId="6" fillId="0" borderId="46" xfId="6" applyFont="1" applyBorder="1" applyAlignment="1">
      <alignment horizontal="center" vertical="center"/>
    </xf>
    <xf numFmtId="0" fontId="6" fillId="0" borderId="47" xfId="6" applyFont="1" applyBorder="1" applyAlignment="1">
      <alignment horizontal="center" vertical="center"/>
    </xf>
    <xf numFmtId="0" fontId="6" fillId="0" borderId="48" xfId="6" applyFont="1" applyBorder="1" applyAlignment="1">
      <alignment horizontal="center" vertical="center"/>
    </xf>
    <xf numFmtId="0" fontId="6" fillId="0" borderId="46" xfId="6" applyFont="1" applyBorder="1" applyAlignment="1">
      <alignment horizontal="left" vertical="center"/>
    </xf>
    <xf numFmtId="0" fontId="6" fillId="0" borderId="47" xfId="6" applyFont="1" applyBorder="1" applyAlignment="1">
      <alignment horizontal="left" vertical="center"/>
    </xf>
    <xf numFmtId="0" fontId="6" fillId="0" borderId="48" xfId="6" applyFont="1" applyBorder="1" applyAlignment="1">
      <alignment horizontal="left" vertical="center"/>
    </xf>
    <xf numFmtId="0" fontId="23" fillId="0" borderId="46" xfId="6" applyFont="1" applyBorder="1" applyAlignment="1">
      <alignment vertical="center"/>
    </xf>
    <xf numFmtId="0" fontId="23" fillId="0" borderId="47" xfId="6" applyFont="1" applyBorder="1" applyAlignment="1">
      <alignment vertical="center"/>
    </xf>
    <xf numFmtId="0" fontId="23" fillId="0" borderId="48" xfId="6" applyFont="1" applyBorder="1" applyAlignment="1">
      <alignment vertical="center"/>
    </xf>
    <xf numFmtId="0" fontId="6" fillId="0" borderId="46" xfId="6" quotePrefix="1" applyFont="1" applyBorder="1" applyAlignment="1">
      <alignment vertical="center"/>
    </xf>
    <xf numFmtId="0" fontId="6" fillId="0" borderId="47" xfId="6" quotePrefix="1" applyFont="1" applyBorder="1" applyAlignment="1">
      <alignment vertical="center"/>
    </xf>
    <xf numFmtId="0" fontId="6" fillId="0" borderId="48" xfId="6" quotePrefix="1" applyFont="1" applyBorder="1" applyAlignment="1">
      <alignment vertical="center"/>
    </xf>
    <xf numFmtId="0" fontId="6" fillId="0" borderId="46" xfId="6" applyFont="1" applyBorder="1" applyAlignment="1">
      <alignment vertical="center"/>
    </xf>
    <xf numFmtId="0" fontId="6" fillId="0" borderId="47" xfId="6" applyFont="1" applyBorder="1" applyAlignment="1">
      <alignment vertical="center"/>
    </xf>
    <xf numFmtId="0" fontId="6" fillId="0" borderId="48" xfId="6" applyFont="1" applyBorder="1" applyAlignment="1">
      <alignment vertical="center"/>
    </xf>
    <xf numFmtId="0" fontId="7" fillId="0" borderId="46" xfId="6" quotePrefix="1" applyFont="1" applyBorder="1" applyAlignment="1">
      <alignment horizontal="center" vertical="center"/>
    </xf>
    <xf numFmtId="0" fontId="7" fillId="0" borderId="47" xfId="6" applyFont="1" applyBorder="1" applyAlignment="1">
      <alignment horizontal="center" vertical="center"/>
    </xf>
    <xf numFmtId="0" fontId="7" fillId="0" borderId="48" xfId="6" applyFont="1" applyBorder="1" applyAlignment="1">
      <alignment horizontal="center" vertical="center"/>
    </xf>
  </cellXfs>
  <cellStyles count="1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9" xr:uid="{00000000-0005-0000-0000-000009000000}"/>
    <cellStyle name="Normal 3"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3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3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3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3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3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3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3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3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3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3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3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3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3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3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3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3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3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3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3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3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3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3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3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3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3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3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3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3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3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3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0</xdr:colOff>
      <xdr:row>82</xdr:row>
      <xdr:rowOff>0</xdr:rowOff>
    </xdr:from>
    <xdr:to>
      <xdr:col>61</xdr:col>
      <xdr:colOff>0</xdr:colOff>
      <xdr:row>85</xdr:row>
      <xdr:rowOff>0</xdr:rowOff>
    </xdr:to>
    <xdr:sp macro="" textlink="" fLocksText="0">
      <xdr:nvSpPr>
        <xdr:cNvPr id="106" name="吹き出し: 線 2">
          <a:extLst>
            <a:ext uri="{FF2B5EF4-FFF2-40B4-BE49-F238E27FC236}">
              <a16:creationId xmlns:a16="http://schemas.microsoft.com/office/drawing/2014/main" id="{00000000-0008-0000-0500-00006A000000}"/>
            </a:ext>
          </a:extLst>
        </xdr:cNvPr>
        <xdr:cNvSpPr/>
      </xdr:nvSpPr>
      <xdr:spPr>
        <a:xfrm>
          <a:off x="10134600" y="15735300"/>
          <a:ext cx="6134100" cy="571500"/>
        </a:xfrm>
        <a:prstGeom prst="borderCallout1">
          <a:avLst>
            <a:gd name="adj1" fmla="val 48210"/>
            <a:gd name="adj2" fmla="val 884"/>
            <a:gd name="adj3" fmla="val 14206"/>
            <a:gd name="adj4" fmla="val -13468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.コードと名称を含むカテゴリ一覧をDBから取得し、MD9601_カテゴリ割引レシートクーポン追加・編集モーダルの「カテゴリ」ドロップダウンリスト項目に値を埋め込む。</a:t>
          </a:r>
        </a:p>
      </xdr:txBody>
    </xdr:sp>
    <xdr:clientData/>
  </xdr:twoCellAnchor>
  <xdr:twoCellAnchor>
    <xdr:from>
      <xdr:col>38</xdr:col>
      <xdr:colOff>0</xdr:colOff>
      <xdr:row>86</xdr:row>
      <xdr:rowOff>0</xdr:rowOff>
    </xdr:from>
    <xdr:to>
      <xdr:col>61</xdr:col>
      <xdr:colOff>0</xdr:colOff>
      <xdr:row>122</xdr:row>
      <xdr:rowOff>156882</xdr:rowOff>
    </xdr:to>
    <xdr:sp macro="" textlink="" fLocksText="0">
      <xdr:nvSpPr>
        <xdr:cNvPr id="56" name="吹き出し: 線 2">
          <a:extLst>
            <a:ext uri="{FF2B5EF4-FFF2-40B4-BE49-F238E27FC236}">
              <a16:creationId xmlns:a16="http://schemas.microsoft.com/office/drawing/2014/main" id="{00000000-0008-0000-0500-000038000000}"/>
            </a:ext>
          </a:extLst>
        </xdr:cNvPr>
        <xdr:cNvSpPr/>
      </xdr:nvSpPr>
      <xdr:spPr>
        <a:xfrm>
          <a:off x="8942294" y="16495059"/>
          <a:ext cx="5412441" cy="7014882"/>
        </a:xfrm>
        <a:prstGeom prst="borderCallout1">
          <a:avLst>
            <a:gd name="adj1" fmla="val 48210"/>
            <a:gd name="adj2" fmla="val 884"/>
            <a:gd name="adj3" fmla="val 8107"/>
            <a:gd name="adj4" fmla="val -13651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1" i="0" u="none" baseline="0">
              <a:solidFill>
                <a:srgbClr val="000000"/>
              </a:solidFill>
              <a:latin typeface="Meiryo UI" panose="020B0604030504040204" pitchFamily="34" charset="-128"/>
              <a:ea typeface="Meiryo UI" panose="020B0604030504040204" pitchFamily="34" charset="-128"/>
            </a:rPr>
            <a:t>初期化</a:t>
          </a:r>
          <a:r>
            <a:rPr lang="en-US" altLang="ja-JP" sz="1000" b="0" i="0" u="none" baseline="0">
              <a:solidFill>
                <a:srgbClr val="000000"/>
              </a:solidFill>
              <a:latin typeface="Meiryo UI" panose="020B0604030504040204" pitchFamily="34" charset="-128"/>
              <a:ea typeface="Meiryo UI" panose="020B0604030504040204" pitchFamily="34" charset="-128"/>
            </a:rPr>
            <a:t>：</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・[店舗]: 選択必須 (この項目の機能のQ&amp;A中)</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+追加の場合: MD1501_店舗一覧モダールで選択した店舗一覧の最初の店舗を表示する。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+タッチすると、MD1501_店舗一覧モダールで選択した店舗のドロップダウンリストを表示する。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・[タイトル]項目([表面]と[裏面]) ：入力必須</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・[印字期間]、[利用可能期間]: 「yyyy/MM/dd hh:mm: ss」で表示する。（形式： 「から～まで」）。選択必須。デートピッカーで選択する。終了時刻&gt;開始時刻であること。</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・[クーポン券コード]入力項目:</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+数字のみ入力、最大8桁、入力必須。</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+8桁を入力した場合、自動的にフォーカスアウトする。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+1桁以上を入力した場合、フォーカスアウト時に8桁を構成するために先頭に「0」を自動追加する。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+入力しない場合、フォーカスアウト時に「0」を自動追加しない。</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・[メッセージ] ([表面]と[裏面]): 選択必須。タッチすると、一覧を表示して </a:t>
          </a:r>
          <a:r>
            <a:rPr lang="en-US" altLang="ja-JP" sz="1000" b="0" i="0" u="none" baseline="0">
              <a:solidFill>
                <a:srgbClr val="0000FF"/>
              </a:solidFill>
              <a:latin typeface="Meiryo UI" panose="020B0604030504040204" pitchFamily="34" charset="-128"/>
              <a:ea typeface="Meiryo UI" panose="020B0604030504040204" pitchFamily="34" charset="-128"/>
            </a:rPr>
            <a:t>複数のメッセージを選択可能する。</a:t>
          </a:r>
          <a:r>
            <a:rPr lang="en-US" altLang="ja-JP" sz="1000" b="0" i="0" u="none" baseline="0">
              <a:solidFill>
                <a:srgbClr val="000000"/>
              </a:solidFill>
              <a:latin typeface="Meiryo UI" panose="020B0604030504040204" pitchFamily="34" charset="-128"/>
              <a:ea typeface="Meiryo UI" panose="020B0604030504040204" pitchFamily="34" charset="-128"/>
            </a:rPr>
            <a:t>KN8302_レシートマスタリスト取得機能からデータを取得する。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・[更新日]：yyyy/MM/ddの形式で表示する。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 </a:t>
          </a:r>
          <a:r>
            <a:rPr lang="en-US" altLang="ja-JP" sz="1000" b="0" i="0" u="none" baseline="0">
              <a:solidFill>
                <a:srgbClr val="000000"/>
              </a:solidFill>
              <a:latin typeface="Meiryo UI" panose="020B0604030504040204" pitchFamily="34" charset="-128"/>
              <a:ea typeface="Meiryo UI" panose="020B0604030504040204" pitchFamily="34" charset="-128"/>
            </a:rPr>
            <a:t>追加の場合、現在日を表示する。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 </a:t>
          </a:r>
          <a:r>
            <a:rPr lang="en-US" altLang="ja-JP" sz="1000" b="0" i="0" u="none" baseline="0">
              <a:solidFill>
                <a:srgbClr val="000000"/>
              </a:solidFill>
              <a:latin typeface="Meiryo UI" panose="020B0604030504040204" pitchFamily="34" charset="-128"/>
              <a:ea typeface="Meiryo UI" panose="020B0604030504040204" pitchFamily="34" charset="-128"/>
            </a:rPr>
            <a:t>編集の場合、最終更新日を表示する。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[更新者]：更新者を表示する。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 </a:t>
          </a:r>
          <a:r>
            <a:rPr lang="en-US" altLang="ja-JP" sz="1000" b="0" i="0" u="none" baseline="0">
              <a:solidFill>
                <a:srgbClr val="000000"/>
              </a:solidFill>
              <a:latin typeface="Meiryo UI" panose="020B0604030504040204" pitchFamily="34" charset="-128"/>
              <a:ea typeface="Meiryo UI" panose="020B0604030504040204" pitchFamily="34" charset="-128"/>
            </a:rPr>
            <a:t>追加の場合、ログインしているユーザー名を表示する。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 </a:t>
          </a:r>
          <a:r>
            <a:rPr lang="en-US" altLang="ja-JP" sz="1000" b="0" i="0" u="none" baseline="0">
              <a:solidFill>
                <a:srgbClr val="000000"/>
              </a:solidFill>
              <a:latin typeface="Meiryo UI" panose="020B0604030504040204" pitchFamily="34" charset="-128"/>
              <a:ea typeface="Meiryo UI" panose="020B0604030504040204" pitchFamily="34" charset="-128"/>
            </a:rPr>
            <a:t>編集の場合、最後に更新されたユーザー名を表示する。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ヘッダーのテキストと背景を変更して、追加と編集を区別する。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・追加の場合、画面上の項目がブランクになる。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・編集の場合 画面上の該当項目にレシートデータを埋め込む。[店舖]項目、[クーポン券コード]項目：無効</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・「取消」ボタン：モダールを閉じてSC9601_カテゴリ割引レシートクーポン設定画面を表示する。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 KN9602_入力項目のバリデーションチェック機能を実行する。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・[検索]ボタン: [カテゴリ（階層）設定」 を検索し、新規・編集モーダルを表示する。編集・新規モーダルで、取扱有無と下位階層も同設定を設定可能とする。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+取扱有無：以下2つの状態を含む</a:t>
          </a:r>
          <a:r>
            <a:rPr lang="ja-JP" altLang="en-US" sz="1000" b="0" i="0" u="none" baseline="0">
              <a:solidFill>
                <a:srgbClr val="0000FF"/>
              </a:solidFill>
              <a:latin typeface="Meiryo UI" panose="020B0604030504040204" pitchFamily="34" charset="-128"/>
              <a:ea typeface="Meiryo UI" panose="020B0604030504040204" pitchFamily="34" charset="-128"/>
            </a:rPr>
            <a:t>。</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有：●、無: 〇。</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初期化の場合、デフォルト：無/〇。タッチすると、 有と無の2つの状態が切り替わる。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+下位階層も同設定：</a:t>
          </a:r>
        </a:p>
      </xdr:txBody>
    </xdr:sp>
    <xdr:clientData/>
  </xdr:twoCellAnchor>
  <xdr:twoCellAnchor>
    <xdr:from>
      <xdr:col>38</xdr:col>
      <xdr:colOff>0</xdr:colOff>
      <xdr:row>29</xdr:row>
      <xdr:rowOff>0</xdr:rowOff>
    </xdr:from>
    <xdr:to>
      <xdr:col>61</xdr:col>
      <xdr:colOff>0</xdr:colOff>
      <xdr:row>37</xdr:row>
      <xdr:rowOff>11206</xdr:rowOff>
    </xdr:to>
    <xdr:sp macro="" textlink="" fLocksText="0">
      <xdr:nvSpPr>
        <xdr:cNvPr id="38" name="吹き出し: 線 2">
          <a:extLst>
            <a:ext uri="{FF2B5EF4-FFF2-40B4-BE49-F238E27FC236}">
              <a16:creationId xmlns:a16="http://schemas.microsoft.com/office/drawing/2014/main" id="{00000000-0008-0000-0500-000026000000}"/>
            </a:ext>
          </a:extLst>
        </xdr:cNvPr>
        <xdr:cNvSpPr/>
      </xdr:nvSpPr>
      <xdr:spPr>
        <a:xfrm>
          <a:off x="10134600" y="5638800"/>
          <a:ext cx="6134100" cy="1533525"/>
        </a:xfrm>
        <a:prstGeom prst="borderCallout1">
          <a:avLst>
            <a:gd name="adj1" fmla="val 48210"/>
            <a:gd name="adj2" fmla="val 884"/>
            <a:gd name="adj3" fmla="val 47040"/>
            <a:gd name="adj4" fmla="val -13452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店舗の条件でAPIからカテゴリ割引レシートクーポン一覧取得を実行する。SC9601_カテゴリ割引レシートクーポン設定画面を表示する。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・初めて画面に入った場合又は、入力条件を入力していない場合、全て取得する。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・検索条件が存在していない場合、「データが見つかりませんでした。」メッセージを表示する。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・検索結果が1000件を超えた場合、最初の1000件と以下の赤いメッセージを表示する。「検索結果が1000件を超えたため、最初の1000件を表示しています。」</a:t>
          </a:r>
        </a:p>
      </xdr:txBody>
    </xdr:sp>
    <xdr:clientData/>
  </xdr:twoCellAnchor>
  <xdr:twoCellAnchor>
    <xdr:from>
      <xdr:col>38</xdr:col>
      <xdr:colOff>0</xdr:colOff>
      <xdr:row>40</xdr:row>
      <xdr:rowOff>1</xdr:rowOff>
    </xdr:from>
    <xdr:to>
      <xdr:col>61</xdr:col>
      <xdr:colOff>0</xdr:colOff>
      <xdr:row>66</xdr:row>
      <xdr:rowOff>179294</xdr:rowOff>
    </xdr:to>
    <xdr:sp macro="" textlink="" fLocksText="0">
      <xdr:nvSpPr>
        <xdr:cNvPr id="41" name="吹き出し: 線 2">
          <a:extLst>
            <a:ext uri="{FF2B5EF4-FFF2-40B4-BE49-F238E27FC236}">
              <a16:creationId xmlns:a16="http://schemas.microsoft.com/office/drawing/2014/main" id="{00000000-0008-0000-0500-000029000000}"/>
            </a:ext>
          </a:extLst>
        </xdr:cNvPr>
        <xdr:cNvSpPr/>
      </xdr:nvSpPr>
      <xdr:spPr>
        <a:xfrm>
          <a:off x="8942294" y="7732060"/>
          <a:ext cx="5412441" cy="5132293"/>
        </a:xfrm>
        <a:prstGeom prst="borderCallout1">
          <a:avLst>
            <a:gd name="adj1" fmla="val 48210"/>
            <a:gd name="adj2" fmla="val 884"/>
            <a:gd name="adj3" fmla="val 25123"/>
            <a:gd name="adj4" fmla="val -13472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初期化：</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・[カテゴリ割引レシートクーポン一覧]: 全てのレシートクーポンを以下の優先順位に並べ替えられた店舗に従って表示する。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*[店舗コード]:昇順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*[印字期間【From】]:昇順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*[印字期間【To】]:昇順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*[利用可能期間【From】]:昇順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*[利用可能期間【To】]:昇順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*[クーポンコード]</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・[登録店舗]エリア: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レシートクーポン作成が登録された店舗の一覧を表示する。登録店舗にチェックを入れる。データはMD1501_店舗一覧モダールから取得される。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◦Idが09999の店舗を選択した場合、[登録店舗]エリアを表示する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◦Idが09999以外の店舗を選択した場合、[登録店舗]エリアを表示しない。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◦「全選択」又は「全解除」ボタンをタッチして、全て店舗を選択又は選択解除する。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+[削除]、[編集]、[新規]ボタン：有効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+[確定]ボタン：無効。レシートクーポンデータの変更があった場合、「確定」ボタンを有効にする。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+検索条件エリアには以下が含まれている。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[店名]: MD1501_店舗一覧モダールで選択された店舗一覧を含むドロップダウンリスト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*[タイトル]: タイトル検索条件テキストボックス。部分一致で検索する。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*[クーポン券コード]: クーポン券コード検索条件テキストボックス。数字のみ入力、最大8</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。1</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以上を入力した場合、フォーカスアウト時に8</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を構成するために先頭に「0」を自動追加する。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*[検索]ボタン: 検索条件に従ってKN9601_カテゴリ割引レシートクーポン一覧取得機能を実行する。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15</xdr:col>
      <xdr:colOff>0</xdr:colOff>
      <xdr:row>197</xdr:row>
      <xdr:rowOff>179294</xdr:rowOff>
    </xdr:from>
    <xdr:to>
      <xdr:col>19</xdr:col>
      <xdr:colOff>0</xdr:colOff>
      <xdr:row>209</xdr:row>
      <xdr:rowOff>0</xdr:rowOff>
    </xdr:to>
    <xdr:cxnSp macro="">
      <xdr:nvCxnSpPr>
        <xdr:cNvPr id="149" name="直線矢印コネクタ 1010">
          <a:extLst>
            <a:ext uri="{FF2B5EF4-FFF2-40B4-BE49-F238E27FC236}">
              <a16:creationId xmlns:a16="http://schemas.microsoft.com/office/drawing/2014/main" id="{00000000-0008-0000-0500-000095000000}"/>
            </a:ext>
          </a:extLst>
        </xdr:cNvPr>
        <xdr:cNvCxnSpPr>
          <a:stCxn id="139" idx="2"/>
          <a:endCxn id="153" idx="0"/>
        </xdr:cNvCxnSpPr>
      </xdr:nvCxnSpPr>
      <xdr:spPr>
        <a:xfrm rot="5400000">
          <a:off x="4000500" y="37823775"/>
          <a:ext cx="1066800" cy="2105025"/>
        </a:xfrm>
        <a:prstGeom prst="bentConnector3">
          <a:avLst>
            <a:gd name="adj1" fmla="val 8138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146</xdr:row>
      <xdr:rowOff>2</xdr:rowOff>
    </xdr:from>
    <xdr:to>
      <xdr:col>61</xdr:col>
      <xdr:colOff>0</xdr:colOff>
      <xdr:row>148</xdr:row>
      <xdr:rowOff>2</xdr:rowOff>
    </xdr:to>
    <xdr:sp macro="" textlink="" fLocksText="0">
      <xdr:nvSpPr>
        <xdr:cNvPr id="276" name="吹き出し: 線 2">
          <a:extLst>
            <a:ext uri="{FF2B5EF4-FFF2-40B4-BE49-F238E27FC236}">
              <a16:creationId xmlns:a16="http://schemas.microsoft.com/office/drawing/2014/main" id="{00000000-0008-0000-0500-000014010000}"/>
            </a:ext>
          </a:extLst>
        </xdr:cNvPr>
        <xdr:cNvSpPr/>
      </xdr:nvSpPr>
      <xdr:spPr>
        <a:xfrm>
          <a:off x="10134600" y="27927300"/>
          <a:ext cx="6134100" cy="381000"/>
        </a:xfrm>
        <a:prstGeom prst="borderCallout1">
          <a:avLst>
            <a:gd name="adj1" fmla="val 46335"/>
            <a:gd name="adj2" fmla="val 188"/>
            <a:gd name="adj3" fmla="val -886470"/>
            <a:gd name="adj4" fmla="val -13239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カテゴリ割引一覧を取得する。</a:t>
          </a:r>
        </a:p>
      </xdr:txBody>
    </xdr:sp>
    <xdr:clientData/>
  </xdr:twoCellAnchor>
  <xdr:twoCellAnchor>
    <xdr:from>
      <xdr:col>38</xdr:col>
      <xdr:colOff>0</xdr:colOff>
      <xdr:row>148</xdr:row>
      <xdr:rowOff>179296</xdr:rowOff>
    </xdr:from>
    <xdr:to>
      <xdr:col>61</xdr:col>
      <xdr:colOff>0</xdr:colOff>
      <xdr:row>153</xdr:row>
      <xdr:rowOff>179296</xdr:rowOff>
    </xdr:to>
    <xdr:sp macro="" textlink="" fLocksText="0">
      <xdr:nvSpPr>
        <xdr:cNvPr id="277" name="吹き出し: 線 2">
          <a:extLst>
            <a:ext uri="{FF2B5EF4-FFF2-40B4-BE49-F238E27FC236}">
              <a16:creationId xmlns:a16="http://schemas.microsoft.com/office/drawing/2014/main" id="{00000000-0008-0000-0500-000015010000}"/>
            </a:ext>
          </a:extLst>
        </xdr:cNvPr>
        <xdr:cNvSpPr/>
      </xdr:nvSpPr>
      <xdr:spPr>
        <a:xfrm>
          <a:off x="10134600" y="28489275"/>
          <a:ext cx="6134100" cy="952500"/>
        </a:xfrm>
        <a:prstGeom prst="borderCallout1">
          <a:avLst>
            <a:gd name="adj1" fmla="val 46335"/>
            <a:gd name="adj2" fmla="val 188"/>
            <a:gd name="adj3" fmla="val -292668"/>
            <a:gd name="adj4" fmla="val -13218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カテゴリ割引一覧を表示する。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・[選択]ボタン：値を選択し、テキストボックスにデータ（コードと名称）を埋め込む。</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・[戻る]ボタン：モダールを閉じてMD9601_カテゴリ割引レシートクーポン追加・編集モダールに戻る。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11206</xdr:colOff>
      <xdr:row>129</xdr:row>
      <xdr:rowOff>2</xdr:rowOff>
    </xdr:from>
    <xdr:to>
      <xdr:col>61</xdr:col>
      <xdr:colOff>11206</xdr:colOff>
      <xdr:row>145</xdr:row>
      <xdr:rowOff>2</xdr:rowOff>
    </xdr:to>
    <xdr:sp macro="" textlink="" fLocksText="0">
      <xdr:nvSpPr>
        <xdr:cNvPr id="73" name="吹き出し: 線 2">
          <a:extLst>
            <a:ext uri="{FF2B5EF4-FFF2-40B4-BE49-F238E27FC236}">
              <a16:creationId xmlns:a16="http://schemas.microsoft.com/office/drawing/2014/main" id="{00000000-0008-0000-0500-000049000000}"/>
            </a:ext>
          </a:extLst>
        </xdr:cNvPr>
        <xdr:cNvSpPr/>
      </xdr:nvSpPr>
      <xdr:spPr>
        <a:xfrm>
          <a:off x="10144125" y="24688800"/>
          <a:ext cx="6134100" cy="3048000"/>
        </a:xfrm>
        <a:prstGeom prst="borderCallout1">
          <a:avLst>
            <a:gd name="adj1" fmla="val 46335"/>
            <a:gd name="adj2" fmla="val 188"/>
            <a:gd name="adj3" fmla="val -131572"/>
            <a:gd name="adj4" fmla="val -10314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入力項目のバリデーションチェック：入力なしのバリデーションチェック、[印字期間]： 開始日&gt;= 終了日、[利用可能期間]：開始日&gt;= 終了日、利用可能期間 &gt;= 印字期間</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・エラーの場合、以下のようにエラーメッセージを含むエラーモダールを表示する。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+タイトルが入力されていないエラー：タイトルを入力してください。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+クーポン券コードが存在していないエラー: 使用できないクーポン券コードです。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・バリデーションチェックOKの場合、レシートクーポンを作成する。追加の場合：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+[登録店舗（対象店舗）]エリアが表示されない場合、 ヘッダー上の「店舗」項目にある全て店舗のレシートクーポンを作成する。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+登録店舗エリアが表示された場合、[登録店舗（対象店舗）]エリアにチェックを入れた店舗のレシートクーポンを作成する。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編集の場合：情報の更新のみを行う。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モダールを閉じて、レシートクーポン一覧にデータを追加、更新する。</a:t>
          </a:r>
        </a:p>
      </xdr:txBody>
    </xdr:sp>
    <xdr:clientData/>
  </xdr:twoCellAnchor>
  <xdr:twoCellAnchor>
    <xdr:from>
      <xdr:col>38</xdr:col>
      <xdr:colOff>0</xdr:colOff>
      <xdr:row>218</xdr:row>
      <xdr:rowOff>0</xdr:rowOff>
    </xdr:from>
    <xdr:to>
      <xdr:col>61</xdr:col>
      <xdr:colOff>0</xdr:colOff>
      <xdr:row>237</xdr:row>
      <xdr:rowOff>0</xdr:rowOff>
    </xdr:to>
    <xdr:sp macro="" textlink="" fLocksText="0">
      <xdr:nvSpPr>
        <xdr:cNvPr id="99" name="吹き出し: 線 2">
          <a:extLst>
            <a:ext uri="{FF2B5EF4-FFF2-40B4-BE49-F238E27FC236}">
              <a16:creationId xmlns:a16="http://schemas.microsoft.com/office/drawing/2014/main" id="{00000000-0008-0000-0500-000063000000}"/>
            </a:ext>
          </a:extLst>
        </xdr:cNvPr>
        <xdr:cNvSpPr/>
      </xdr:nvSpPr>
      <xdr:spPr>
        <a:xfrm>
          <a:off x="10134600" y="41643300"/>
          <a:ext cx="6134100" cy="3619500"/>
        </a:xfrm>
        <a:prstGeom prst="borderCallout1">
          <a:avLst>
            <a:gd name="adj1" fmla="val 46335"/>
            <a:gd name="adj2" fmla="val 188"/>
            <a:gd name="adj3" fmla="val 27969"/>
            <a:gd name="adj4" fmla="val -13228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レシートクーポン情報保存APIを呼び出す。</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レコード追加の場合：</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+ヘッダーの[店舗」にIDが09999の店舗がある場合、[登録店舗]エリアにチェックを入れた店舗のレコードを作成する。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+ヘッダーの[店舗」にIDが09999の店舗がない場合、ヘッダー「店舗」の店舗のみのレコードを作成する。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・レコード編集の場合：</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+デフォルト店舗に属しないレコードを更新すると、そのレコードのみを更新する。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+デフォルト店舗に属するレコードを更新すると、[登録店舗]エリアにチェックを入れた店舗に属する同じクーポン券コードのレコード情報を更新する。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・レコード削除の場合：</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+デフォルト店舗に属しないレコードを削除すると、そのレコードのみを削除する。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+デフォルト店舗に属するレコードを削除すると、[登録店舗]エリアにチェックを入れた店舗に属する同一クーポン券コードのレコードを削除する。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・レシートクーポン作成が除外された店舗の状態を更新する。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vi-VN"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213</xdr:row>
      <xdr:rowOff>0</xdr:rowOff>
    </xdr:from>
    <xdr:to>
      <xdr:col>61</xdr:col>
      <xdr:colOff>0</xdr:colOff>
      <xdr:row>217</xdr:row>
      <xdr:rowOff>0</xdr:rowOff>
    </xdr:to>
    <xdr:sp macro="" textlink="" fLocksText="0">
      <xdr:nvSpPr>
        <xdr:cNvPr id="108" name="吹き出し: 線 2">
          <a:extLst>
            <a:ext uri="{FF2B5EF4-FFF2-40B4-BE49-F238E27FC236}">
              <a16:creationId xmlns:a16="http://schemas.microsoft.com/office/drawing/2014/main" id="{00000000-0008-0000-0500-00006C000000}"/>
            </a:ext>
          </a:extLst>
        </xdr:cNvPr>
        <xdr:cNvSpPr/>
      </xdr:nvSpPr>
      <xdr:spPr>
        <a:xfrm>
          <a:off x="10134600" y="40690800"/>
          <a:ext cx="6134100" cy="762000"/>
        </a:xfrm>
        <a:prstGeom prst="borderCallout1">
          <a:avLst>
            <a:gd name="adj1" fmla="val 46335"/>
            <a:gd name="adj2" fmla="val 188"/>
            <a:gd name="adj3" fmla="val 225056"/>
            <a:gd name="adj4" fmla="val -13396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altLang="ja-JP" sz="1000" b="0" i="0" u="none" baseline="0">
              <a:solidFill>
                <a:srgbClr val="000000"/>
              </a:solidFill>
              <a:latin typeface="Meiryo UI" panose="020B0604030504040204" pitchFamily="34" charset="-128"/>
              <a:ea typeface="Meiryo UI" panose="020B0604030504040204" pitchFamily="34" charset="-128"/>
            </a:rPr>
            <a:t>・レシート更新があった場合、KN9606_カテゴリ割引レシートクーポン更新機能を実行する。</a:t>
          </a:r>
          <a:endParaRPr lang="en-US" sz="10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37</xdr:col>
      <xdr:colOff>235322</xdr:colOff>
      <xdr:row>72</xdr:row>
      <xdr:rowOff>11206</xdr:rowOff>
    </xdr:from>
    <xdr:to>
      <xdr:col>60</xdr:col>
      <xdr:colOff>235322</xdr:colOff>
      <xdr:row>81</xdr:row>
      <xdr:rowOff>0</xdr:rowOff>
    </xdr:to>
    <xdr:sp macro="" textlink="" fLocksText="0">
      <xdr:nvSpPr>
        <xdr:cNvPr id="67" name="吹き出し: 線 2">
          <a:extLst>
            <a:ext uri="{FF2B5EF4-FFF2-40B4-BE49-F238E27FC236}">
              <a16:creationId xmlns:a16="http://schemas.microsoft.com/office/drawing/2014/main" id="{00000000-0008-0000-0500-000043000000}"/>
            </a:ext>
          </a:extLst>
        </xdr:cNvPr>
        <xdr:cNvSpPr/>
      </xdr:nvSpPr>
      <xdr:spPr>
        <a:xfrm>
          <a:off x="10106025" y="13839825"/>
          <a:ext cx="6134100" cy="1704975"/>
        </a:xfrm>
        <a:prstGeom prst="borderCallout1">
          <a:avLst>
            <a:gd name="adj1" fmla="val 48210"/>
            <a:gd name="adj2" fmla="val 884"/>
            <a:gd name="adj3" fmla="val 35945"/>
            <a:gd name="adj4" fmla="val -1355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「新規」ボタンタッチ：</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ヘッダーの[店舗」にIDが09999の店舗がある場合：情報モダールを表示する。他の店舗と同じクーポン券コードのレシートクーポンを作成すると、その店舗のレコードを更新する。メッセージ：「他の店舗でクーポン券コードが重複するマスタがある ウクーポン 場合、該当するレコードを更新します。」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モダール上の「はい」をタッチすると、MD9601_カテゴリ割引レシートクーポン追加・編集モダールを表示する。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・上記以外の場合、MD9601_カテゴリ割引レシートクーポン追加・編集モダールを表示する。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37</xdr:row>
      <xdr:rowOff>179295</xdr:rowOff>
    </xdr:from>
    <xdr:to>
      <xdr:col>61</xdr:col>
      <xdr:colOff>0</xdr:colOff>
      <xdr:row>38</xdr:row>
      <xdr:rowOff>179295</xdr:rowOff>
    </xdr:to>
    <xdr:sp macro="" textlink="" fLocksText="0">
      <xdr:nvSpPr>
        <xdr:cNvPr id="2" name="吹き出し: 線 2">
          <a:extLst>
            <a:ext uri="{FF2B5EF4-FFF2-40B4-BE49-F238E27FC236}">
              <a16:creationId xmlns:a16="http://schemas.microsoft.com/office/drawing/2014/main" id="{00000000-0008-0000-0500-000002000000}"/>
            </a:ext>
          </a:extLst>
        </xdr:cNvPr>
        <xdr:cNvSpPr/>
      </xdr:nvSpPr>
      <xdr:spPr>
        <a:xfrm>
          <a:off x="10134600" y="7343775"/>
          <a:ext cx="6134100" cy="190500"/>
        </a:xfrm>
        <a:prstGeom prst="borderCallout1">
          <a:avLst>
            <a:gd name="adj1" fmla="val 48210"/>
            <a:gd name="adj2" fmla="val 884"/>
            <a:gd name="adj3" fmla="val 4323"/>
            <a:gd name="adj4" fmla="val -9312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メッセージタイプをレシートとしてメッセージマスターリスト取得APIを呼び出す。</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16</xdr:col>
      <xdr:colOff>235323</xdr:colOff>
      <xdr:row>105</xdr:row>
      <xdr:rowOff>106452</xdr:rowOff>
    </xdr:from>
    <xdr:to>
      <xdr:col>29</xdr:col>
      <xdr:colOff>33618</xdr:colOff>
      <xdr:row>105</xdr:row>
      <xdr:rowOff>112056</xdr:rowOff>
    </xdr:to>
    <xdr:cxnSp macro="">
      <xdr:nvCxnSpPr>
        <xdr:cNvPr id="4" name="Straight Arrow Connector 3">
          <a:extLst>
            <a:ext uri="{FF2B5EF4-FFF2-40B4-BE49-F238E27FC236}">
              <a16:creationId xmlns:a16="http://schemas.microsoft.com/office/drawing/2014/main" id="{00000000-0008-0000-0500-000004000000}"/>
            </a:ext>
          </a:extLst>
        </xdr:cNvPr>
        <xdr:cNvCxnSpPr>
          <a:stCxn id="70" idx="3"/>
          <a:endCxn id="5" idx="2"/>
        </xdr:cNvCxnSpPr>
      </xdr:nvCxnSpPr>
      <xdr:spPr>
        <a:xfrm>
          <a:off x="4505325" y="20221575"/>
          <a:ext cx="3267075"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33618</xdr:colOff>
      <xdr:row>103</xdr:row>
      <xdr:rowOff>33611</xdr:rowOff>
    </xdr:from>
    <xdr:to>
      <xdr:col>35</xdr:col>
      <xdr:colOff>33618</xdr:colOff>
      <xdr:row>108</xdr:row>
      <xdr:rowOff>0</xdr:rowOff>
    </xdr:to>
    <xdr:sp macro="" textlink="" fLocksText="0">
      <xdr:nvSpPr>
        <xdr:cNvPr id="5" name="フローチャート: 磁気ディスク 194">
          <a:extLst>
            <a:ext uri="{FF2B5EF4-FFF2-40B4-BE49-F238E27FC236}">
              <a16:creationId xmlns:a16="http://schemas.microsoft.com/office/drawing/2014/main" id="{00000000-0008-0000-0500-000005000000}"/>
            </a:ext>
          </a:extLst>
        </xdr:cNvPr>
        <xdr:cNvSpPr/>
      </xdr:nvSpPr>
      <xdr:spPr>
        <a:xfrm>
          <a:off x="7772400" y="19773900"/>
          <a:ext cx="1600200" cy="9144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AP9602</a:t>
          </a:r>
        </a:p>
        <a:p>
          <a:pPr algn="ctr">
            <a:defRPr lang="en-US" altLang="ja-JP" sz="900" b="0" i="0" u="none" baseline="0">
              <a:solidFill>
                <a:schemeClr val="tx1"/>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カテゴリ割引レシートクーポンデータ確認</a:t>
          </a:r>
        </a:p>
      </xdr:txBody>
    </xdr:sp>
    <xdr:clientData/>
  </xdr:twoCellAnchor>
  <xdr:twoCellAnchor>
    <xdr:from>
      <xdr:col>2</xdr:col>
      <xdr:colOff>0</xdr:colOff>
      <xdr:row>200</xdr:row>
      <xdr:rowOff>0</xdr:rowOff>
    </xdr:from>
    <xdr:to>
      <xdr:col>8</xdr:col>
      <xdr:colOff>0</xdr:colOff>
      <xdr:row>204</xdr:row>
      <xdr:rowOff>0</xdr:rowOff>
    </xdr:to>
    <xdr:sp macro="" textlink="" fLocksText="0">
      <xdr:nvSpPr>
        <xdr:cNvPr id="6" name="正方形/長方形 19">
          <a:extLst>
            <a:ext uri="{FF2B5EF4-FFF2-40B4-BE49-F238E27FC236}">
              <a16:creationId xmlns:a16="http://schemas.microsoft.com/office/drawing/2014/main" id="{00000000-0008-0000-0500-000006000000}"/>
            </a:ext>
          </a:extLst>
        </xdr:cNvPr>
        <xdr:cNvSpPr/>
      </xdr:nvSpPr>
      <xdr:spPr>
        <a:xfrm>
          <a:off x="533400" y="38214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選択不可エラーモダール</a:t>
          </a:r>
        </a:p>
      </xdr:txBody>
    </xdr:sp>
    <xdr:clientData/>
  </xdr:twoCellAnchor>
  <xdr:twoCellAnchor>
    <xdr:from>
      <xdr:col>38</xdr:col>
      <xdr:colOff>0</xdr:colOff>
      <xdr:row>171</xdr:row>
      <xdr:rowOff>0</xdr:rowOff>
    </xdr:from>
    <xdr:to>
      <xdr:col>61</xdr:col>
      <xdr:colOff>0</xdr:colOff>
      <xdr:row>176</xdr:row>
      <xdr:rowOff>0</xdr:rowOff>
    </xdr:to>
    <xdr:sp macro="" textlink="" fLocksText="0">
      <xdr:nvSpPr>
        <xdr:cNvPr id="7" name="吹き出し: 線 2">
          <a:extLst>
            <a:ext uri="{FF2B5EF4-FFF2-40B4-BE49-F238E27FC236}">
              <a16:creationId xmlns:a16="http://schemas.microsoft.com/office/drawing/2014/main" id="{00000000-0008-0000-0500-000007000000}"/>
            </a:ext>
          </a:extLst>
        </xdr:cNvPr>
        <xdr:cNvSpPr/>
      </xdr:nvSpPr>
      <xdr:spPr>
        <a:xfrm>
          <a:off x="10134600" y="32689800"/>
          <a:ext cx="6134100" cy="952500"/>
        </a:xfrm>
        <a:prstGeom prst="borderCallout1">
          <a:avLst>
            <a:gd name="adj1" fmla="val 46335"/>
            <a:gd name="adj2" fmla="val 188"/>
            <a:gd name="adj3" fmla="val 60392"/>
            <a:gd name="adj4" fmla="val -7062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確認モダールにはデフォルト店舗に属するクーポンレシートを削除すると、同じクーポンを持つ他の店舗のレシートクーポンに影響を与える。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「はい」をタッチして、UI上のレシートクーポンを削除する。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・「取消」をタッチして、モダールを取り消す。</a:t>
          </a:r>
        </a:p>
      </xdr:txBody>
    </xdr:sp>
    <xdr:clientData/>
  </xdr:twoCellAnchor>
  <xdr:twoCellAnchor>
    <xdr:from>
      <xdr:col>9</xdr:col>
      <xdr:colOff>0</xdr:colOff>
      <xdr:row>172</xdr:row>
      <xdr:rowOff>0</xdr:rowOff>
    </xdr:from>
    <xdr:to>
      <xdr:col>15</xdr:col>
      <xdr:colOff>0</xdr:colOff>
      <xdr:row>176</xdr:row>
      <xdr:rowOff>0</xdr:rowOff>
    </xdr:to>
    <xdr:sp macro="" textlink="" fLocksText="0">
      <xdr:nvSpPr>
        <xdr:cNvPr id="8" name="正方形/長方形 19">
          <a:extLst>
            <a:ext uri="{FF2B5EF4-FFF2-40B4-BE49-F238E27FC236}">
              <a16:creationId xmlns:a16="http://schemas.microsoft.com/office/drawing/2014/main" id="{00000000-0008-0000-0500-000008000000}"/>
            </a:ext>
          </a:extLst>
        </xdr:cNvPr>
        <xdr:cNvSpPr/>
      </xdr:nvSpPr>
      <xdr:spPr>
        <a:xfrm>
          <a:off x="2400300" y="32880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選択不可エラーモダール</a:t>
          </a:r>
        </a:p>
      </xdr:txBody>
    </xdr:sp>
    <xdr:clientData/>
  </xdr:twoCellAnchor>
  <xdr:twoCellAnchor>
    <xdr:from>
      <xdr:col>38</xdr:col>
      <xdr:colOff>0</xdr:colOff>
      <xdr:row>157</xdr:row>
      <xdr:rowOff>0</xdr:rowOff>
    </xdr:from>
    <xdr:to>
      <xdr:col>61</xdr:col>
      <xdr:colOff>0</xdr:colOff>
      <xdr:row>167</xdr:row>
      <xdr:rowOff>0</xdr:rowOff>
    </xdr:to>
    <xdr:sp macro="" textlink="" fLocksText="0">
      <xdr:nvSpPr>
        <xdr:cNvPr id="9" name="吹き出し: 線 2">
          <a:extLst>
            <a:ext uri="{FF2B5EF4-FFF2-40B4-BE49-F238E27FC236}">
              <a16:creationId xmlns:a16="http://schemas.microsoft.com/office/drawing/2014/main" id="{00000000-0008-0000-0500-000009000000}"/>
            </a:ext>
          </a:extLst>
        </xdr:cNvPr>
        <xdr:cNvSpPr/>
      </xdr:nvSpPr>
      <xdr:spPr>
        <a:xfrm>
          <a:off x="10134600" y="30022800"/>
          <a:ext cx="6134100" cy="1905000"/>
        </a:xfrm>
        <a:prstGeom prst="borderCallout1">
          <a:avLst>
            <a:gd name="adj1" fmla="val 46335"/>
            <a:gd name="adj2" fmla="val 188"/>
            <a:gd name="adj3" fmla="val 49425"/>
            <a:gd name="adj4" fmla="val -13045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レシートクーポン削除機能を実行する。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・レシートクーポンが一時削除された場合、削除を取り消す。画面上のレコードの取り消し線を削除する。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・削除された該当レシートクーポン(StoreId = 09999 で同じクーポン券コード)があるレシートクーポンを削除した場合、「デフォルト店舗を編集済の為選択できません。」エラーモーダルが表示される。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09999のレシートクーポンを削除した場合、「他の店舗でクーポン券コードが重複するマスタがある場合、該当するレコードを更新します。 よろしいですか。」確認モダールが表示される。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・上記以外の場合、UI上のレシートクーポンを削除する。</a:t>
          </a:r>
        </a:p>
      </xdr:txBody>
    </xdr:sp>
    <xdr:clientData/>
  </xdr:twoCellAnchor>
  <xdr:twoCellAnchor>
    <xdr:from>
      <xdr:col>2</xdr:col>
      <xdr:colOff>11209</xdr:colOff>
      <xdr:row>8</xdr:row>
      <xdr:rowOff>0</xdr:rowOff>
    </xdr:from>
    <xdr:to>
      <xdr:col>8</xdr:col>
      <xdr:colOff>0</xdr:colOff>
      <xdr:row>12</xdr:row>
      <xdr:rowOff>1200</xdr:rowOff>
    </xdr:to>
    <xdr:sp macro="" textlink="" fLocksText="0">
      <xdr:nvSpPr>
        <xdr:cNvPr id="10" name="四角形: 角を丸くする 21">
          <a:extLst>
            <a:ext uri="{FF2B5EF4-FFF2-40B4-BE49-F238E27FC236}">
              <a16:creationId xmlns:a16="http://schemas.microsoft.com/office/drawing/2014/main" id="{00000000-0008-0000-0500-00000A000000}"/>
            </a:ext>
          </a:extLst>
        </xdr:cNvPr>
        <xdr:cNvSpPr/>
      </xdr:nvSpPr>
      <xdr:spPr>
        <a:xfrm>
          <a:off x="542925" y="1638300"/>
          <a:ext cx="15906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xdr:colOff>
      <xdr:row>12</xdr:row>
      <xdr:rowOff>0</xdr:rowOff>
    </xdr:from>
    <xdr:to>
      <xdr:col>8</xdr:col>
      <xdr:colOff>0</xdr:colOff>
      <xdr:row>15</xdr:row>
      <xdr:rowOff>0</xdr:rowOff>
    </xdr:to>
    <xdr:sp macro="" textlink="" fLocksText="0">
      <xdr:nvSpPr>
        <xdr:cNvPr id="11" name="四角形: 角を丸くする 1101">
          <a:extLst>
            <a:ext uri="{FF2B5EF4-FFF2-40B4-BE49-F238E27FC236}">
              <a16:creationId xmlns:a16="http://schemas.microsoft.com/office/drawing/2014/main" id="{00000000-0008-0000-0500-00000B000000}"/>
            </a:ext>
          </a:extLst>
        </xdr:cNvPr>
        <xdr:cNvSpPr/>
      </xdr:nvSpPr>
      <xdr:spPr>
        <a:xfrm>
          <a:off x="533400" y="24003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96 カテゴリ割引レシートクーポン設定</a:t>
          </a:r>
        </a:p>
      </xdr:txBody>
    </xdr:sp>
    <xdr:clientData/>
  </xdr:twoCellAnchor>
  <xdr:twoCellAnchor>
    <xdr:from>
      <xdr:col>2</xdr:col>
      <xdr:colOff>0</xdr:colOff>
      <xdr:row>17</xdr:row>
      <xdr:rowOff>0</xdr:rowOff>
    </xdr:from>
    <xdr:to>
      <xdr:col>8</xdr:col>
      <xdr:colOff>0</xdr:colOff>
      <xdr:row>21</xdr:row>
      <xdr:rowOff>0</xdr:rowOff>
    </xdr:to>
    <xdr:sp macro="" textlink="" fLocksText="0">
      <xdr:nvSpPr>
        <xdr:cNvPr id="12" name="正方形/長方形 1">
          <a:extLst>
            <a:ext uri="{FF2B5EF4-FFF2-40B4-BE49-F238E27FC236}">
              <a16:creationId xmlns:a16="http://schemas.microsoft.com/office/drawing/2014/main" id="{00000000-0008-0000-0500-00000C000000}"/>
            </a:ext>
          </a:extLst>
        </xdr:cNvPr>
        <xdr:cNvSpPr/>
      </xdr:nvSpPr>
      <xdr:spPr>
        <a:xfrm>
          <a:off x="533400" y="3352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SC9601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カテゴリ割引レシートクーポン設定画面</a:t>
          </a:r>
        </a:p>
      </xdr:txBody>
    </xdr:sp>
    <xdr:clientData/>
  </xdr:twoCellAnchor>
  <xdr:twoCellAnchor>
    <xdr:from>
      <xdr:col>5</xdr:col>
      <xdr:colOff>0</xdr:colOff>
      <xdr:row>15</xdr:row>
      <xdr:rowOff>0</xdr:rowOff>
    </xdr:from>
    <xdr:to>
      <xdr:col>5</xdr:col>
      <xdr:colOff>1</xdr:colOff>
      <xdr:row>17</xdr:row>
      <xdr:rowOff>0</xdr:rowOff>
    </xdr:to>
    <xdr:cxnSp macro="">
      <xdr:nvCxnSpPr>
        <xdr:cNvPr id="13" name="直線矢印コネクタ 1010">
          <a:extLst>
            <a:ext uri="{FF2B5EF4-FFF2-40B4-BE49-F238E27FC236}">
              <a16:creationId xmlns:a16="http://schemas.microsoft.com/office/drawing/2014/main" id="{00000000-0008-0000-0500-00000D000000}"/>
            </a:ext>
          </a:extLst>
        </xdr:cNvPr>
        <xdr:cNvCxnSpPr>
          <a:stCxn id="11" idx="2"/>
          <a:endCxn id="12" idx="0"/>
        </xdr:cNvCxnSpPr>
      </xdr:nvCxnSpPr>
      <xdr:spPr>
        <a:xfrm flipH="1">
          <a:off x="1333500" y="297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23</xdr:row>
      <xdr:rowOff>0</xdr:rowOff>
    </xdr:from>
    <xdr:to>
      <xdr:col>7</xdr:col>
      <xdr:colOff>0</xdr:colOff>
      <xdr:row>24</xdr:row>
      <xdr:rowOff>0</xdr:rowOff>
    </xdr:to>
    <xdr:sp macro="" textlink="" fLocksText="0">
      <xdr:nvSpPr>
        <xdr:cNvPr id="19" name="四角形: 角を丸くする 1101">
          <a:extLst>
            <a:ext uri="{FF2B5EF4-FFF2-40B4-BE49-F238E27FC236}">
              <a16:creationId xmlns:a16="http://schemas.microsoft.com/office/drawing/2014/main" id="{00000000-0008-0000-0500-000013000000}"/>
            </a:ext>
          </a:extLst>
        </xdr:cNvPr>
        <xdr:cNvSpPr/>
      </xdr:nvSpPr>
      <xdr:spPr>
        <a:xfrm>
          <a:off x="800100" y="44958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1</xdr:colOff>
      <xdr:row>18</xdr:row>
      <xdr:rowOff>190498</xdr:rowOff>
    </xdr:from>
    <xdr:to>
      <xdr:col>61</xdr:col>
      <xdr:colOff>1</xdr:colOff>
      <xdr:row>23</xdr:row>
      <xdr:rowOff>168087</xdr:rowOff>
    </xdr:to>
    <xdr:sp macro="" textlink="" fLocksText="0">
      <xdr:nvSpPr>
        <xdr:cNvPr id="22" name="吹き出し: 線 2">
          <a:extLst>
            <a:ext uri="{FF2B5EF4-FFF2-40B4-BE49-F238E27FC236}">
              <a16:creationId xmlns:a16="http://schemas.microsoft.com/office/drawing/2014/main" id="{00000000-0008-0000-0500-000016000000}"/>
            </a:ext>
          </a:extLst>
        </xdr:cNvPr>
        <xdr:cNvSpPr/>
      </xdr:nvSpPr>
      <xdr:spPr>
        <a:xfrm>
          <a:off x="10134600" y="3733800"/>
          <a:ext cx="6134100" cy="933450"/>
        </a:xfrm>
        <a:prstGeom prst="borderCallout1">
          <a:avLst>
            <a:gd name="adj1" fmla="val 51887"/>
            <a:gd name="adj2" fmla="val 470"/>
            <a:gd name="adj3" fmla="val 92533"/>
            <a:gd name="adj4" fmla="val -13497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kern="0" spc="0" baseline="0">
              <a:ln>
                <a:noFill/>
              </a:ln>
              <a:solidFill>
                <a:srgbClr val="0000FF"/>
              </a:solidFill>
              <a:latin typeface="Meiryo UI" panose="020B0604030504040204" pitchFamily="34" charset="-128"/>
              <a:ea typeface="Meiryo UI" panose="020B0604030504040204" pitchFamily="34" charset="-128"/>
            </a:rPr>
            <a:t>00_共通のフローをご参照ください。</a:t>
          </a:r>
        </a:p>
        <a:p>
          <a:pPr>
            <a:defRPr lang="en-US" altLang="ja-JP" sz="1000" b="0" i="0" u="none" kern="0" spc="0" baseline="0">
              <a:ln>
                <a:noFill/>
              </a:ln>
              <a:solidFill>
                <a:srgbClr val="0000FF"/>
              </a:solidFill>
              <a:latin typeface="Meiryo UI" panose="020B0604030504040204" pitchFamily="34" charset="-128"/>
              <a:ea typeface="Meiryo UI" panose="020B0604030504040204" pitchFamily="34" charset="-128"/>
              <a:cs typeface="+mn-cs"/>
            </a:defRPr>
          </a:pPr>
          <a:r>
            <a:rPr lang="en-US" altLang="ja-JP" sz="1000" b="0" i="0" u="none" kern="0" spc="0" baseline="0">
              <a:ln>
                <a:noFill/>
              </a:ln>
              <a:solidFill>
                <a:srgbClr val="0000FF"/>
              </a:solidFill>
              <a:latin typeface="Meiryo UI" panose="020B0604030504040204" pitchFamily="34" charset="-128"/>
              <a:ea typeface="Meiryo UI" panose="020B0604030504040204" pitchFamily="34" charset="-128"/>
            </a:rPr>
            <a:t>複数の店舗を選択可能とする。</a:t>
          </a:r>
        </a:p>
        <a:p>
          <a:pPr>
            <a:defRPr lang="en-US" altLang="ja-JP" sz="1000" b="0" i="0" u="none" kern="0" spc="0" baseline="0">
              <a:ln>
                <a:noFill/>
              </a:ln>
              <a:solidFill>
                <a:srgbClr val="0000FF"/>
              </a:solidFill>
              <a:latin typeface="Meiryo UI" panose="020B0604030504040204" pitchFamily="34" charset="-128"/>
              <a:ea typeface="Meiryo UI" panose="020B0604030504040204" pitchFamily="34" charset="-128"/>
              <a:cs typeface="+mn-cs"/>
            </a:defRPr>
          </a:pPr>
          <a:r>
            <a:rPr lang="en-US" altLang="ja-JP" sz="1000" b="0" i="0" u="none" kern="0" spc="0" baseline="0">
              <a:ln>
                <a:noFill/>
              </a:ln>
              <a:solidFill>
                <a:srgbClr val="0000FF"/>
              </a:solidFill>
              <a:latin typeface="Meiryo UI" panose="020B0604030504040204" pitchFamily="34" charset="-128"/>
              <a:ea typeface="Meiryo UI" panose="020B0604030504040204" pitchFamily="34" charset="-128"/>
            </a:rPr>
            <a:t>店舗ID =09999を選択した場合、対象店舗一覧を表示する。</a:t>
          </a:r>
        </a:p>
      </xdr:txBody>
    </xdr:sp>
    <xdr:clientData/>
  </xdr:twoCellAnchor>
  <xdr:twoCellAnchor>
    <xdr:from>
      <xdr:col>2</xdr:col>
      <xdr:colOff>0</xdr:colOff>
      <xdr:row>45</xdr:row>
      <xdr:rowOff>0</xdr:rowOff>
    </xdr:from>
    <xdr:to>
      <xdr:col>8</xdr:col>
      <xdr:colOff>0</xdr:colOff>
      <xdr:row>49</xdr:row>
      <xdr:rowOff>0</xdr:rowOff>
    </xdr:to>
    <xdr:sp macro="" textlink="" fLocksText="0">
      <xdr:nvSpPr>
        <xdr:cNvPr id="23" name="正方形/長方形 1">
          <a:extLst>
            <a:ext uri="{FF2B5EF4-FFF2-40B4-BE49-F238E27FC236}">
              <a16:creationId xmlns:a16="http://schemas.microsoft.com/office/drawing/2014/main" id="{00000000-0008-0000-0500-000017000000}"/>
            </a:ext>
          </a:extLst>
        </xdr:cNvPr>
        <xdr:cNvSpPr/>
      </xdr:nvSpPr>
      <xdr:spPr>
        <a:xfrm>
          <a:off x="533400" y="8686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sz="1000" b="0" i="0" u="none" baseline="0">
              <a:solidFill>
                <a:srgbClr val="000000"/>
              </a:solidFill>
              <a:latin typeface="Meiryo UI" panose="020B0604030504040204" pitchFamily="34" charset="-128"/>
              <a:ea typeface="Meiryo UI" panose="020B0604030504040204" pitchFamily="34" charset="-128"/>
            </a:rPr>
            <a:t>SC9601</a:t>
          </a:r>
          <a:endParaRPr lang="en-US" sz="1000">
            <a:solidFill>
              <a:srgbClr val="000000"/>
            </a:solidFill>
            <a:latin typeface="Meiryo UI" panose="020B0604030504040204" pitchFamily="34" charset="-128"/>
            <a:ea typeface="Meiryo UI" panose="020B0604030504040204" pitchFamily="34" charset="-128"/>
          </a:endParaRPr>
        </a:p>
        <a:p>
          <a:pPr algn="ctr">
            <a:defRPr lang="en-US" sz="1000" b="0"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カテゴリ割引レシートクーポン設定画面</a:t>
          </a:r>
        </a:p>
      </xdr:txBody>
    </xdr:sp>
    <xdr:clientData/>
  </xdr:twoCellAnchor>
  <xdr:twoCellAnchor>
    <xdr:from>
      <xdr:col>5</xdr:col>
      <xdr:colOff>0</xdr:colOff>
      <xdr:row>21</xdr:row>
      <xdr:rowOff>0</xdr:rowOff>
    </xdr:from>
    <xdr:to>
      <xdr:col>5</xdr:col>
      <xdr:colOff>0</xdr:colOff>
      <xdr:row>23</xdr:row>
      <xdr:rowOff>0</xdr:rowOff>
    </xdr:to>
    <xdr:cxnSp macro="">
      <xdr:nvCxnSpPr>
        <xdr:cNvPr id="24" name="Straight Arrow Connector 23">
          <a:extLst>
            <a:ext uri="{FF2B5EF4-FFF2-40B4-BE49-F238E27FC236}">
              <a16:creationId xmlns:a16="http://schemas.microsoft.com/office/drawing/2014/main" id="{00000000-0008-0000-0500-000018000000}"/>
            </a:ext>
          </a:extLst>
        </xdr:cNvPr>
        <xdr:cNvCxnSpPr>
          <a:stCxn id="12" idx="2"/>
          <a:endCxn id="19" idx="0"/>
        </xdr:cNvCxnSpPr>
      </xdr:nvCxnSpPr>
      <xdr:spPr>
        <a:xfrm>
          <a:off x="1333500" y="411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32</xdr:row>
      <xdr:rowOff>0</xdr:rowOff>
    </xdr:from>
    <xdr:to>
      <xdr:col>6</xdr:col>
      <xdr:colOff>0</xdr:colOff>
      <xdr:row>33</xdr:row>
      <xdr:rowOff>0</xdr:rowOff>
    </xdr:to>
    <xdr:sp macro="" textlink="" fLocksText="0">
      <xdr:nvSpPr>
        <xdr:cNvPr id="28" name="Rectangle: Rounded Corners 27">
          <a:extLst>
            <a:ext uri="{FF2B5EF4-FFF2-40B4-BE49-F238E27FC236}">
              <a16:creationId xmlns:a16="http://schemas.microsoft.com/office/drawing/2014/main" id="{00000000-0008-0000-0500-00001C000000}"/>
            </a:ext>
          </a:extLst>
        </xdr:cNvPr>
        <xdr:cNvSpPr/>
      </xdr:nvSpPr>
      <xdr:spPr>
        <a:xfrm>
          <a:off x="1066800" y="621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01</a:t>
          </a:r>
        </a:p>
      </xdr:txBody>
    </xdr:sp>
    <xdr:clientData/>
  </xdr:twoCellAnchor>
  <xdr:twoCellAnchor>
    <xdr:from>
      <xdr:col>2</xdr:col>
      <xdr:colOff>0</xdr:colOff>
      <xdr:row>30</xdr:row>
      <xdr:rowOff>0</xdr:rowOff>
    </xdr:from>
    <xdr:to>
      <xdr:col>8</xdr:col>
      <xdr:colOff>0</xdr:colOff>
      <xdr:row>34</xdr:row>
      <xdr:rowOff>0</xdr:rowOff>
    </xdr:to>
    <xdr:sp macro="" textlink="" fLocksText="0">
      <xdr:nvSpPr>
        <xdr:cNvPr id="34" name="四角形: 角を丸くする 3">
          <a:extLst>
            <a:ext uri="{FF2B5EF4-FFF2-40B4-BE49-F238E27FC236}">
              <a16:creationId xmlns:a16="http://schemas.microsoft.com/office/drawing/2014/main" id="{00000000-0008-0000-0500-000022000000}"/>
            </a:ext>
          </a:extLst>
        </xdr:cNvPr>
        <xdr:cNvSpPr/>
      </xdr:nvSpPr>
      <xdr:spPr>
        <a:xfrm>
          <a:off x="533400" y="582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KN9601</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カテゴリ割引レシートクーポン一覧取得機能</a:t>
          </a:r>
        </a:p>
      </xdr:txBody>
    </xdr:sp>
    <xdr:clientData/>
  </xdr:twoCellAnchor>
  <xdr:twoCellAnchor>
    <xdr:from>
      <xdr:col>1</xdr:col>
      <xdr:colOff>134470</xdr:colOff>
      <xdr:row>42</xdr:row>
      <xdr:rowOff>78441</xdr:rowOff>
    </xdr:from>
    <xdr:to>
      <xdr:col>3</xdr:col>
      <xdr:colOff>134470</xdr:colOff>
      <xdr:row>43</xdr:row>
      <xdr:rowOff>78441</xdr:rowOff>
    </xdr:to>
    <xdr:sp macro="" textlink="" fLocksText="0">
      <xdr:nvSpPr>
        <xdr:cNvPr id="35" name="Rectangle: Rounded Corners 34">
          <a:extLst>
            <a:ext uri="{FF2B5EF4-FFF2-40B4-BE49-F238E27FC236}">
              <a16:creationId xmlns:a16="http://schemas.microsoft.com/office/drawing/2014/main" id="{00000000-0008-0000-0500-000023000000}"/>
            </a:ext>
          </a:extLst>
        </xdr:cNvPr>
        <xdr:cNvSpPr/>
      </xdr:nvSpPr>
      <xdr:spPr>
        <a:xfrm>
          <a:off x="400050" y="81915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a:t>
          </a:r>
        </a:p>
      </xdr:txBody>
    </xdr:sp>
    <xdr:clientData/>
  </xdr:twoCellAnchor>
  <xdr:twoCellAnchor>
    <xdr:from>
      <xdr:col>3</xdr:col>
      <xdr:colOff>134470</xdr:colOff>
      <xdr:row>42</xdr:row>
      <xdr:rowOff>173691</xdr:rowOff>
    </xdr:from>
    <xdr:to>
      <xdr:col>5</xdr:col>
      <xdr:colOff>0</xdr:colOff>
      <xdr:row>45</xdr:row>
      <xdr:rowOff>0</xdr:rowOff>
    </xdr:to>
    <xdr:cxnSp macro="">
      <xdr:nvCxnSpPr>
        <xdr:cNvPr id="36" name="Connector: Elbow 35">
          <a:extLst>
            <a:ext uri="{FF2B5EF4-FFF2-40B4-BE49-F238E27FC236}">
              <a16:creationId xmlns:a16="http://schemas.microsoft.com/office/drawing/2014/main" id="{00000000-0008-0000-0500-000024000000}"/>
            </a:ext>
          </a:extLst>
        </xdr:cNvPr>
        <xdr:cNvCxnSpPr>
          <a:stCxn id="35" idx="3"/>
          <a:endCxn id="23" idx="0"/>
        </xdr:cNvCxnSpPr>
      </xdr:nvCxnSpPr>
      <xdr:spPr>
        <a:xfrm>
          <a:off x="933450" y="8286750"/>
          <a:ext cx="400050" cy="4000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24</xdr:row>
      <xdr:rowOff>0</xdr:rowOff>
    </xdr:from>
    <xdr:to>
      <xdr:col>5</xdr:col>
      <xdr:colOff>0</xdr:colOff>
      <xdr:row>30</xdr:row>
      <xdr:rowOff>0</xdr:rowOff>
    </xdr:to>
    <xdr:cxnSp macro="">
      <xdr:nvCxnSpPr>
        <xdr:cNvPr id="37" name="直線矢印コネクタ 1010">
          <a:extLst>
            <a:ext uri="{FF2B5EF4-FFF2-40B4-BE49-F238E27FC236}">
              <a16:creationId xmlns:a16="http://schemas.microsoft.com/office/drawing/2014/main" id="{00000000-0008-0000-0500-000025000000}"/>
            </a:ext>
          </a:extLst>
        </xdr:cNvPr>
        <xdr:cNvCxnSpPr>
          <a:stCxn id="19" idx="2"/>
          <a:endCxn id="34" idx="0"/>
        </xdr:cNvCxnSpPr>
      </xdr:nvCxnSpPr>
      <xdr:spPr>
        <a:xfrm>
          <a:off x="1333500" y="4686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30</xdr:row>
      <xdr:rowOff>0</xdr:rowOff>
    </xdr:from>
    <xdr:to>
      <xdr:col>35</xdr:col>
      <xdr:colOff>0</xdr:colOff>
      <xdr:row>34</xdr:row>
      <xdr:rowOff>0</xdr:rowOff>
    </xdr:to>
    <xdr:sp macro="" textlink="" fLocksText="0">
      <xdr:nvSpPr>
        <xdr:cNvPr id="39" name="フローチャート: 磁気ディスク 194">
          <a:extLst>
            <a:ext uri="{FF2B5EF4-FFF2-40B4-BE49-F238E27FC236}">
              <a16:creationId xmlns:a16="http://schemas.microsoft.com/office/drawing/2014/main" id="{00000000-0008-0000-0500-000027000000}"/>
            </a:ext>
          </a:extLst>
        </xdr:cNvPr>
        <xdr:cNvSpPr/>
      </xdr:nvSpPr>
      <xdr:spPr>
        <a:xfrm>
          <a:off x="7734300" y="5829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AP9601</a:t>
          </a: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カテゴリ割引レシートクーポン一覧取得</a:t>
          </a:r>
        </a:p>
      </xdr:txBody>
    </xdr:sp>
    <xdr:clientData/>
  </xdr:twoCellAnchor>
  <xdr:twoCellAnchor>
    <xdr:from>
      <xdr:col>8</xdr:col>
      <xdr:colOff>0</xdr:colOff>
      <xdr:row>32</xdr:row>
      <xdr:rowOff>0</xdr:rowOff>
    </xdr:from>
    <xdr:to>
      <xdr:col>29</xdr:col>
      <xdr:colOff>0</xdr:colOff>
      <xdr:row>32</xdr:row>
      <xdr:rowOff>0</xdr:rowOff>
    </xdr:to>
    <xdr:cxnSp macro="">
      <xdr:nvCxnSpPr>
        <xdr:cNvPr id="40" name="Straight Arrow Connector 39">
          <a:extLst>
            <a:ext uri="{FF2B5EF4-FFF2-40B4-BE49-F238E27FC236}">
              <a16:creationId xmlns:a16="http://schemas.microsoft.com/office/drawing/2014/main" id="{00000000-0008-0000-0500-000028000000}"/>
            </a:ext>
          </a:extLst>
        </xdr:cNvPr>
        <xdr:cNvCxnSpPr>
          <a:stCxn id="34" idx="3"/>
          <a:endCxn id="39" idx="2"/>
        </xdr:cNvCxnSpPr>
      </xdr:nvCxnSpPr>
      <xdr:spPr>
        <a:xfrm>
          <a:off x="2133600" y="6210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1</xdr:colOff>
      <xdr:row>55</xdr:row>
      <xdr:rowOff>0</xdr:rowOff>
    </xdr:from>
    <xdr:to>
      <xdr:col>10</xdr:col>
      <xdr:colOff>224118</xdr:colOff>
      <xdr:row>56</xdr:row>
      <xdr:rowOff>180975</xdr:rowOff>
    </xdr:to>
    <xdr:sp macro="" textlink="" fLocksText="0">
      <xdr:nvSpPr>
        <xdr:cNvPr id="42" name="四角形: 角を丸くする 1101">
          <a:extLst>
            <a:ext uri="{FF2B5EF4-FFF2-40B4-BE49-F238E27FC236}">
              <a16:creationId xmlns:a16="http://schemas.microsoft.com/office/drawing/2014/main" id="{00000000-0008-0000-0500-00002A000000}"/>
            </a:ext>
          </a:extLst>
        </xdr:cNvPr>
        <xdr:cNvSpPr/>
      </xdr:nvSpPr>
      <xdr:spPr>
        <a:xfrm>
          <a:off x="2133600" y="10591800"/>
          <a:ext cx="7620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削除</a:t>
          </a:r>
        </a:p>
      </xdr:txBody>
    </xdr:sp>
    <xdr:clientData/>
  </xdr:twoCellAnchor>
  <xdr:twoCellAnchor>
    <xdr:from>
      <xdr:col>12</xdr:col>
      <xdr:colOff>11208</xdr:colOff>
      <xdr:row>55</xdr:row>
      <xdr:rowOff>0</xdr:rowOff>
    </xdr:from>
    <xdr:to>
      <xdr:col>15</xdr:col>
      <xdr:colOff>11207</xdr:colOff>
      <xdr:row>57</xdr:row>
      <xdr:rowOff>0</xdr:rowOff>
    </xdr:to>
    <xdr:sp macro="" textlink="" fLocksText="0">
      <xdr:nvSpPr>
        <xdr:cNvPr id="43" name="四角形: 角を丸くする 1101">
          <a:extLst>
            <a:ext uri="{FF2B5EF4-FFF2-40B4-BE49-F238E27FC236}">
              <a16:creationId xmlns:a16="http://schemas.microsoft.com/office/drawing/2014/main" id="{00000000-0008-0000-0500-00002B000000}"/>
            </a:ext>
          </a:extLst>
        </xdr:cNvPr>
        <xdr:cNvSpPr/>
      </xdr:nvSpPr>
      <xdr:spPr>
        <a:xfrm>
          <a:off x="3209925" y="10591800"/>
          <a:ext cx="8001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編集</a:t>
          </a:r>
        </a:p>
      </xdr:txBody>
    </xdr:sp>
    <xdr:clientData/>
  </xdr:twoCellAnchor>
  <xdr:twoCellAnchor>
    <xdr:from>
      <xdr:col>3</xdr:col>
      <xdr:colOff>11205</xdr:colOff>
      <xdr:row>55</xdr:row>
      <xdr:rowOff>0</xdr:rowOff>
    </xdr:from>
    <xdr:to>
      <xdr:col>6</xdr:col>
      <xdr:colOff>224118</xdr:colOff>
      <xdr:row>57</xdr:row>
      <xdr:rowOff>0</xdr:rowOff>
    </xdr:to>
    <xdr:sp macro="" textlink="" fLocksText="0">
      <xdr:nvSpPr>
        <xdr:cNvPr id="44" name="四角形: 角を丸くする 1101">
          <a:extLst>
            <a:ext uri="{FF2B5EF4-FFF2-40B4-BE49-F238E27FC236}">
              <a16:creationId xmlns:a16="http://schemas.microsoft.com/office/drawing/2014/main" id="{00000000-0008-0000-0500-00002C000000}"/>
            </a:ext>
          </a:extLst>
        </xdr:cNvPr>
        <xdr:cNvSpPr/>
      </xdr:nvSpPr>
      <xdr:spPr>
        <a:xfrm>
          <a:off x="809625" y="10591800"/>
          <a:ext cx="10191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新規</a:t>
          </a:r>
        </a:p>
      </xdr:txBody>
    </xdr:sp>
    <xdr:clientData/>
  </xdr:twoCellAnchor>
  <xdr:twoCellAnchor>
    <xdr:from>
      <xdr:col>15</xdr:col>
      <xdr:colOff>226919</xdr:colOff>
      <xdr:row>55</xdr:row>
      <xdr:rowOff>0</xdr:rowOff>
    </xdr:from>
    <xdr:to>
      <xdr:col>19</xdr:col>
      <xdr:colOff>224119</xdr:colOff>
      <xdr:row>57</xdr:row>
      <xdr:rowOff>0</xdr:rowOff>
    </xdr:to>
    <xdr:sp macro="" textlink="" fLocksText="0">
      <xdr:nvSpPr>
        <xdr:cNvPr id="45" name="四角形: 角を丸くする 1101">
          <a:extLst>
            <a:ext uri="{FF2B5EF4-FFF2-40B4-BE49-F238E27FC236}">
              <a16:creationId xmlns:a16="http://schemas.microsoft.com/office/drawing/2014/main" id="{00000000-0008-0000-0500-00002D000000}"/>
            </a:ext>
          </a:extLst>
        </xdr:cNvPr>
        <xdr:cNvSpPr/>
      </xdr:nvSpPr>
      <xdr:spPr>
        <a:xfrm>
          <a:off x="4229100" y="10591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決定</a:t>
          </a:r>
        </a:p>
      </xdr:txBody>
    </xdr:sp>
    <xdr:clientData/>
  </xdr:twoCellAnchor>
  <xdr:twoCellAnchor>
    <xdr:from>
      <xdr:col>4</xdr:col>
      <xdr:colOff>235323</xdr:colOff>
      <xdr:row>49</xdr:row>
      <xdr:rowOff>0</xdr:rowOff>
    </xdr:from>
    <xdr:to>
      <xdr:col>9</xdr:col>
      <xdr:colOff>112058</xdr:colOff>
      <xdr:row>55</xdr:row>
      <xdr:rowOff>0</xdr:rowOff>
    </xdr:to>
    <xdr:cxnSp macro="">
      <xdr:nvCxnSpPr>
        <xdr:cNvPr id="46" name="Connector: Elbow 45">
          <a:extLst>
            <a:ext uri="{FF2B5EF4-FFF2-40B4-BE49-F238E27FC236}">
              <a16:creationId xmlns:a16="http://schemas.microsoft.com/office/drawing/2014/main" id="{00000000-0008-0000-0500-00002E000000}"/>
            </a:ext>
          </a:extLst>
        </xdr:cNvPr>
        <xdr:cNvCxnSpPr>
          <a:stCxn id="23" idx="2"/>
          <a:endCxn id="42" idx="0"/>
        </xdr:cNvCxnSpPr>
      </xdr:nvCxnSpPr>
      <xdr:spPr>
        <a:xfrm rot="16200000" flipH="1">
          <a:off x="1304925" y="9448800"/>
          <a:ext cx="12096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49</xdr:row>
      <xdr:rowOff>0</xdr:rowOff>
    </xdr:from>
    <xdr:to>
      <xdr:col>5</xdr:col>
      <xdr:colOff>0</xdr:colOff>
      <xdr:row>55</xdr:row>
      <xdr:rowOff>0</xdr:rowOff>
    </xdr:to>
    <xdr:cxnSp macro="">
      <xdr:nvCxnSpPr>
        <xdr:cNvPr id="47" name="Connector: Elbow 85">
          <a:extLst>
            <a:ext uri="{FF2B5EF4-FFF2-40B4-BE49-F238E27FC236}">
              <a16:creationId xmlns:a16="http://schemas.microsoft.com/office/drawing/2014/main" id="{00000000-0008-0000-0500-00002F000000}"/>
            </a:ext>
          </a:extLst>
        </xdr:cNvPr>
        <xdr:cNvCxnSpPr>
          <a:stCxn id="23" idx="2"/>
          <a:endCxn id="44" idx="0"/>
        </xdr:cNvCxnSpPr>
      </xdr:nvCxnSpPr>
      <xdr:spPr>
        <a:xfrm>
          <a:off x="1333500" y="94488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49</xdr:row>
      <xdr:rowOff>0</xdr:rowOff>
    </xdr:from>
    <xdr:to>
      <xdr:col>17</xdr:col>
      <xdr:colOff>225518</xdr:colOff>
      <xdr:row>55</xdr:row>
      <xdr:rowOff>0</xdr:rowOff>
    </xdr:to>
    <xdr:cxnSp macro="">
      <xdr:nvCxnSpPr>
        <xdr:cNvPr id="48" name="Connector: Elbow 47">
          <a:extLst>
            <a:ext uri="{FF2B5EF4-FFF2-40B4-BE49-F238E27FC236}">
              <a16:creationId xmlns:a16="http://schemas.microsoft.com/office/drawing/2014/main" id="{00000000-0008-0000-0500-000030000000}"/>
            </a:ext>
          </a:extLst>
        </xdr:cNvPr>
        <xdr:cNvCxnSpPr>
          <a:stCxn id="23" idx="2"/>
          <a:endCxn id="45" idx="0"/>
        </xdr:cNvCxnSpPr>
      </xdr:nvCxnSpPr>
      <xdr:spPr>
        <a:xfrm rot="16200000" flipH="1">
          <a:off x="1304925" y="9448800"/>
          <a:ext cx="34575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86</xdr:row>
      <xdr:rowOff>0</xdr:rowOff>
    </xdr:from>
    <xdr:to>
      <xdr:col>8</xdr:col>
      <xdr:colOff>0</xdr:colOff>
      <xdr:row>89</xdr:row>
      <xdr:rowOff>190493</xdr:rowOff>
    </xdr:to>
    <xdr:sp macro="" textlink="" fLocksText="0">
      <xdr:nvSpPr>
        <xdr:cNvPr id="49" name="正方形/長方形 19">
          <a:extLst>
            <a:ext uri="{FF2B5EF4-FFF2-40B4-BE49-F238E27FC236}">
              <a16:creationId xmlns:a16="http://schemas.microsoft.com/office/drawing/2014/main" id="{00000000-0008-0000-0500-000031000000}"/>
            </a:ext>
          </a:extLst>
        </xdr:cNvPr>
        <xdr:cNvSpPr/>
      </xdr:nvSpPr>
      <xdr:spPr>
        <a:xfrm>
          <a:off x="533400" y="16497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MD9601</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カテゴリ割引レシートクーポン追加・編集モダール</a:t>
          </a:r>
        </a:p>
      </xdr:txBody>
    </xdr:sp>
    <xdr:clientData/>
  </xdr:twoCellAnchor>
  <xdr:twoCellAnchor>
    <xdr:from>
      <xdr:col>17</xdr:col>
      <xdr:colOff>0</xdr:colOff>
      <xdr:row>58</xdr:row>
      <xdr:rowOff>179295</xdr:rowOff>
    </xdr:from>
    <xdr:to>
      <xdr:col>19</xdr:col>
      <xdr:colOff>0</xdr:colOff>
      <xdr:row>59</xdr:row>
      <xdr:rowOff>179295</xdr:rowOff>
    </xdr:to>
    <xdr:sp macro="" textlink="" fLocksText="0">
      <xdr:nvSpPr>
        <xdr:cNvPr id="50" name="Rectangle: Rounded Corners 49">
          <a:extLst>
            <a:ext uri="{FF2B5EF4-FFF2-40B4-BE49-F238E27FC236}">
              <a16:creationId xmlns:a16="http://schemas.microsoft.com/office/drawing/2014/main" id="{00000000-0008-0000-0500-000032000000}"/>
            </a:ext>
          </a:extLst>
        </xdr:cNvPr>
        <xdr:cNvSpPr/>
      </xdr:nvSpPr>
      <xdr:spPr>
        <a:xfrm>
          <a:off x="4533900" y="11344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96.3</a:t>
          </a:r>
        </a:p>
      </xdr:txBody>
    </xdr:sp>
    <xdr:clientData/>
  </xdr:twoCellAnchor>
  <xdr:twoCellAnchor>
    <xdr:from>
      <xdr:col>17</xdr:col>
      <xdr:colOff>225519</xdr:colOff>
      <xdr:row>57</xdr:row>
      <xdr:rowOff>0</xdr:rowOff>
    </xdr:from>
    <xdr:to>
      <xdr:col>18</xdr:col>
      <xdr:colOff>0</xdr:colOff>
      <xdr:row>58</xdr:row>
      <xdr:rowOff>179295</xdr:rowOff>
    </xdr:to>
    <xdr:cxnSp macro="">
      <xdr:nvCxnSpPr>
        <xdr:cNvPr id="51" name="直線矢印コネクタ 1010">
          <a:extLst>
            <a:ext uri="{FF2B5EF4-FFF2-40B4-BE49-F238E27FC236}">
              <a16:creationId xmlns:a16="http://schemas.microsoft.com/office/drawing/2014/main" id="{00000000-0008-0000-0500-000033000000}"/>
            </a:ext>
          </a:extLst>
        </xdr:cNvPr>
        <xdr:cNvCxnSpPr>
          <a:stCxn id="45" idx="2"/>
          <a:endCxn id="50" idx="0"/>
        </xdr:cNvCxnSpPr>
      </xdr:nvCxnSpPr>
      <xdr:spPr>
        <a:xfrm>
          <a:off x="4762500" y="10972800"/>
          <a:ext cx="3810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34</xdr:row>
      <xdr:rowOff>0</xdr:rowOff>
    </xdr:from>
    <xdr:to>
      <xdr:col>5</xdr:col>
      <xdr:colOff>0</xdr:colOff>
      <xdr:row>45</xdr:row>
      <xdr:rowOff>0</xdr:rowOff>
    </xdr:to>
    <xdr:cxnSp macro="">
      <xdr:nvCxnSpPr>
        <xdr:cNvPr id="52" name="直線矢印コネクタ 1010">
          <a:extLst>
            <a:ext uri="{FF2B5EF4-FFF2-40B4-BE49-F238E27FC236}">
              <a16:creationId xmlns:a16="http://schemas.microsoft.com/office/drawing/2014/main" id="{00000000-0008-0000-0500-000034000000}"/>
            </a:ext>
          </a:extLst>
        </xdr:cNvPr>
        <xdr:cNvCxnSpPr>
          <a:stCxn id="34" idx="2"/>
          <a:endCxn id="23" idx="0"/>
        </xdr:cNvCxnSpPr>
      </xdr:nvCxnSpPr>
      <xdr:spPr>
        <a:xfrm>
          <a:off x="1333500" y="6591300"/>
          <a:ext cx="0" cy="2095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93</xdr:row>
      <xdr:rowOff>190486</xdr:rowOff>
    </xdr:from>
    <xdr:to>
      <xdr:col>10</xdr:col>
      <xdr:colOff>0</xdr:colOff>
      <xdr:row>95</xdr:row>
      <xdr:rowOff>190486</xdr:rowOff>
    </xdr:to>
    <xdr:sp macro="" textlink="" fLocksText="0">
      <xdr:nvSpPr>
        <xdr:cNvPr id="53" name="四角形: 角を丸くする 1101">
          <a:extLst>
            <a:ext uri="{FF2B5EF4-FFF2-40B4-BE49-F238E27FC236}">
              <a16:creationId xmlns:a16="http://schemas.microsoft.com/office/drawing/2014/main" id="{00000000-0008-0000-0500-000035000000}"/>
            </a:ext>
          </a:extLst>
        </xdr:cNvPr>
        <xdr:cNvSpPr/>
      </xdr:nvSpPr>
      <xdr:spPr>
        <a:xfrm>
          <a:off x="2133600" y="18021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0" i="0" u="none" baseline="0">
              <a:solidFill>
                <a:srgbClr val="FFFFFF"/>
              </a:solidFill>
              <a:latin typeface="Meiryo UI" panose="020B0604030504040204" pitchFamily="34" charset="-128"/>
              <a:ea typeface="Meiryo UI" panose="020B0604030504040204" pitchFamily="34" charset="-128"/>
            </a:rPr>
            <a:t>前画面</a:t>
          </a:r>
        </a:p>
      </xdr:txBody>
    </xdr:sp>
    <xdr:clientData/>
  </xdr:twoCellAnchor>
  <xdr:twoCellAnchor>
    <xdr:from>
      <xdr:col>12</xdr:col>
      <xdr:colOff>1</xdr:colOff>
      <xdr:row>93</xdr:row>
      <xdr:rowOff>190485</xdr:rowOff>
    </xdr:from>
    <xdr:to>
      <xdr:col>16</xdr:col>
      <xdr:colOff>2</xdr:colOff>
      <xdr:row>95</xdr:row>
      <xdr:rowOff>190485</xdr:rowOff>
    </xdr:to>
    <xdr:sp macro="" textlink="" fLocksText="0">
      <xdr:nvSpPr>
        <xdr:cNvPr id="54" name="四角形: 角を丸くする 1101">
          <a:extLst>
            <a:ext uri="{FF2B5EF4-FFF2-40B4-BE49-F238E27FC236}">
              <a16:creationId xmlns:a16="http://schemas.microsoft.com/office/drawing/2014/main" id="{00000000-0008-0000-0500-000036000000}"/>
            </a:ext>
          </a:extLst>
        </xdr:cNvPr>
        <xdr:cNvSpPr/>
      </xdr:nvSpPr>
      <xdr:spPr>
        <a:xfrm>
          <a:off x="3200400" y="18021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更新</a:t>
          </a:r>
        </a:p>
      </xdr:txBody>
    </xdr:sp>
    <xdr:clientData/>
  </xdr:twoCellAnchor>
  <xdr:twoCellAnchor>
    <xdr:from>
      <xdr:col>5</xdr:col>
      <xdr:colOff>1</xdr:colOff>
      <xdr:row>89</xdr:row>
      <xdr:rowOff>190492</xdr:rowOff>
    </xdr:from>
    <xdr:to>
      <xdr:col>9</xdr:col>
      <xdr:colOff>1</xdr:colOff>
      <xdr:row>93</xdr:row>
      <xdr:rowOff>190485</xdr:rowOff>
    </xdr:to>
    <xdr:cxnSp macro="">
      <xdr:nvCxnSpPr>
        <xdr:cNvPr id="55" name="Connector: Elbow 54">
          <a:extLst>
            <a:ext uri="{FF2B5EF4-FFF2-40B4-BE49-F238E27FC236}">
              <a16:creationId xmlns:a16="http://schemas.microsoft.com/office/drawing/2014/main" id="{00000000-0008-0000-0500-000037000000}"/>
            </a:ext>
          </a:extLst>
        </xdr:cNvPr>
        <xdr:cNvCxnSpPr>
          <a:stCxn id="49" idx="2"/>
          <a:endCxn id="53" idx="0"/>
        </xdr:cNvCxnSpPr>
      </xdr:nvCxnSpPr>
      <xdr:spPr>
        <a:xfrm rot="16200000" flipH="1">
          <a:off x="1333500" y="17259300"/>
          <a:ext cx="1066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73</xdr:row>
      <xdr:rowOff>11199</xdr:rowOff>
    </xdr:from>
    <xdr:to>
      <xdr:col>8</xdr:col>
      <xdr:colOff>0</xdr:colOff>
      <xdr:row>77</xdr:row>
      <xdr:rowOff>11199</xdr:rowOff>
    </xdr:to>
    <xdr:sp macro="" textlink="" fLocksText="0">
      <xdr:nvSpPr>
        <xdr:cNvPr id="61" name="正方形/長方形 19">
          <a:extLst>
            <a:ext uri="{FF2B5EF4-FFF2-40B4-BE49-F238E27FC236}">
              <a16:creationId xmlns:a16="http://schemas.microsoft.com/office/drawing/2014/main" id="{00000000-0008-0000-0500-00003D000000}"/>
            </a:ext>
          </a:extLst>
        </xdr:cNvPr>
        <xdr:cNvSpPr/>
      </xdr:nvSpPr>
      <xdr:spPr>
        <a:xfrm>
          <a:off x="533400" y="140303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MD_INFO</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重複したレシートクーポン追加通知モダール</a:t>
          </a:r>
        </a:p>
      </xdr:txBody>
    </xdr:sp>
    <xdr:clientData/>
  </xdr:twoCellAnchor>
  <xdr:twoCellAnchor>
    <xdr:from>
      <xdr:col>5</xdr:col>
      <xdr:colOff>0</xdr:colOff>
      <xdr:row>57</xdr:row>
      <xdr:rowOff>0</xdr:rowOff>
    </xdr:from>
    <xdr:to>
      <xdr:col>5</xdr:col>
      <xdr:colOff>0</xdr:colOff>
      <xdr:row>68</xdr:row>
      <xdr:rowOff>190493</xdr:rowOff>
    </xdr:to>
    <xdr:cxnSp macro="">
      <xdr:nvCxnSpPr>
        <xdr:cNvPr id="62" name="直線矢印コネクタ 1010">
          <a:extLst>
            <a:ext uri="{FF2B5EF4-FFF2-40B4-BE49-F238E27FC236}">
              <a16:creationId xmlns:a16="http://schemas.microsoft.com/office/drawing/2014/main" id="{00000000-0008-0000-0500-00003E000000}"/>
            </a:ext>
          </a:extLst>
        </xdr:cNvPr>
        <xdr:cNvCxnSpPr>
          <a:stCxn id="44" idx="2"/>
          <a:endCxn id="171" idx="0"/>
        </xdr:cNvCxnSpPr>
      </xdr:nvCxnSpPr>
      <xdr:spPr>
        <a:xfrm>
          <a:off x="1333500" y="10972800"/>
          <a:ext cx="0"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235322</xdr:colOff>
      <xdr:row>78</xdr:row>
      <xdr:rowOff>22405</xdr:rowOff>
    </xdr:from>
    <xdr:to>
      <xdr:col>5</xdr:col>
      <xdr:colOff>0</xdr:colOff>
      <xdr:row>79</xdr:row>
      <xdr:rowOff>2</xdr:rowOff>
    </xdr:to>
    <xdr:cxnSp macro="">
      <xdr:nvCxnSpPr>
        <xdr:cNvPr id="63" name="Connector: Elbow 177">
          <a:extLst>
            <a:ext uri="{FF2B5EF4-FFF2-40B4-BE49-F238E27FC236}">
              <a16:creationId xmlns:a16="http://schemas.microsoft.com/office/drawing/2014/main" id="{00000000-0008-0000-0500-00003F000000}"/>
            </a:ext>
          </a:extLst>
        </xdr:cNvPr>
        <xdr:cNvCxnSpPr>
          <a:stCxn id="66" idx="2"/>
          <a:endCxn id="82" idx="0"/>
        </xdr:cNvCxnSpPr>
      </xdr:nvCxnSpPr>
      <xdr:spPr>
        <a:xfrm flipH="1">
          <a:off x="1304925" y="14992350"/>
          <a:ext cx="28575" cy="1714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123266</xdr:colOff>
      <xdr:row>57</xdr:row>
      <xdr:rowOff>0</xdr:rowOff>
    </xdr:from>
    <xdr:to>
      <xdr:col>13</xdr:col>
      <xdr:colOff>128869</xdr:colOff>
      <xdr:row>58</xdr:row>
      <xdr:rowOff>179294</xdr:rowOff>
    </xdr:to>
    <xdr:cxnSp macro="">
      <xdr:nvCxnSpPr>
        <xdr:cNvPr id="64" name="直線矢印コネクタ 1010">
          <a:extLst>
            <a:ext uri="{FF2B5EF4-FFF2-40B4-BE49-F238E27FC236}">
              <a16:creationId xmlns:a16="http://schemas.microsoft.com/office/drawing/2014/main" id="{00000000-0008-0000-0500-000040000000}"/>
            </a:ext>
          </a:extLst>
        </xdr:cNvPr>
        <xdr:cNvCxnSpPr>
          <a:stCxn id="43" idx="2"/>
          <a:endCxn id="131" idx="0"/>
        </xdr:cNvCxnSpPr>
      </xdr:nvCxnSpPr>
      <xdr:spPr>
        <a:xfrm flipH="1">
          <a:off x="3590925" y="10972800"/>
          <a:ext cx="9525"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49</xdr:row>
      <xdr:rowOff>0</xdr:rowOff>
    </xdr:from>
    <xdr:to>
      <xdr:col>13</xdr:col>
      <xdr:colOff>128868</xdr:colOff>
      <xdr:row>55</xdr:row>
      <xdr:rowOff>0</xdr:rowOff>
    </xdr:to>
    <xdr:cxnSp macro="">
      <xdr:nvCxnSpPr>
        <xdr:cNvPr id="65" name="直線矢印コネクタ 1010">
          <a:extLst>
            <a:ext uri="{FF2B5EF4-FFF2-40B4-BE49-F238E27FC236}">
              <a16:creationId xmlns:a16="http://schemas.microsoft.com/office/drawing/2014/main" id="{00000000-0008-0000-0500-000041000000}"/>
            </a:ext>
          </a:extLst>
        </xdr:cNvPr>
        <xdr:cNvCxnSpPr>
          <a:stCxn id="23" idx="2"/>
          <a:endCxn id="43" idx="0"/>
        </xdr:cNvCxnSpPr>
      </xdr:nvCxnSpPr>
      <xdr:spPr>
        <a:xfrm rot="16200000" flipH="1">
          <a:off x="1304925" y="9448800"/>
          <a:ext cx="229552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77</xdr:row>
      <xdr:rowOff>22405</xdr:rowOff>
    </xdr:from>
    <xdr:to>
      <xdr:col>6</xdr:col>
      <xdr:colOff>0</xdr:colOff>
      <xdr:row>78</xdr:row>
      <xdr:rowOff>22405</xdr:rowOff>
    </xdr:to>
    <xdr:sp macro="" textlink="" fLocksText="0">
      <xdr:nvSpPr>
        <xdr:cNvPr id="66" name="四角形: 角を丸くする 1101">
          <a:extLst>
            <a:ext uri="{FF2B5EF4-FFF2-40B4-BE49-F238E27FC236}">
              <a16:creationId xmlns:a16="http://schemas.microsoft.com/office/drawing/2014/main" id="{00000000-0008-0000-0500-000042000000}"/>
            </a:ext>
          </a:extLst>
        </xdr:cNvPr>
        <xdr:cNvSpPr/>
      </xdr:nvSpPr>
      <xdr:spPr>
        <a:xfrm>
          <a:off x="1066800" y="1480185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はい</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96</xdr:row>
      <xdr:rowOff>190486</xdr:rowOff>
    </xdr:from>
    <xdr:to>
      <xdr:col>10</xdr:col>
      <xdr:colOff>0</xdr:colOff>
      <xdr:row>97</xdr:row>
      <xdr:rowOff>190486</xdr:rowOff>
    </xdr:to>
    <xdr:sp macro="" textlink="" fLocksText="0">
      <xdr:nvSpPr>
        <xdr:cNvPr id="68" name="Rectangle: Rounded Corners 67">
          <a:extLst>
            <a:ext uri="{FF2B5EF4-FFF2-40B4-BE49-F238E27FC236}">
              <a16:creationId xmlns:a16="http://schemas.microsoft.com/office/drawing/2014/main" id="{00000000-0008-0000-0500-000044000000}"/>
            </a:ext>
          </a:extLst>
        </xdr:cNvPr>
        <xdr:cNvSpPr/>
      </xdr:nvSpPr>
      <xdr:spPr>
        <a:xfrm>
          <a:off x="2133600" y="1859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a:t>
          </a:r>
        </a:p>
      </xdr:txBody>
    </xdr:sp>
    <xdr:clientData/>
  </xdr:twoCellAnchor>
  <xdr:twoCellAnchor>
    <xdr:from>
      <xdr:col>9</xdr:col>
      <xdr:colOff>0</xdr:colOff>
      <xdr:row>95</xdr:row>
      <xdr:rowOff>190486</xdr:rowOff>
    </xdr:from>
    <xdr:to>
      <xdr:col>9</xdr:col>
      <xdr:colOff>0</xdr:colOff>
      <xdr:row>96</xdr:row>
      <xdr:rowOff>190486</xdr:rowOff>
    </xdr:to>
    <xdr:cxnSp macro="">
      <xdr:nvCxnSpPr>
        <xdr:cNvPr id="69" name="直線矢印コネクタ 1010">
          <a:extLst>
            <a:ext uri="{FF2B5EF4-FFF2-40B4-BE49-F238E27FC236}">
              <a16:creationId xmlns:a16="http://schemas.microsoft.com/office/drawing/2014/main" id="{00000000-0008-0000-0500-000045000000}"/>
            </a:ext>
          </a:extLst>
        </xdr:cNvPr>
        <xdr:cNvCxnSpPr>
          <a:stCxn id="53" idx="2"/>
          <a:endCxn id="68" idx="0"/>
        </xdr:cNvCxnSpPr>
      </xdr:nvCxnSpPr>
      <xdr:spPr>
        <a:xfrm>
          <a:off x="2400300" y="18402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235323</xdr:colOff>
      <xdr:row>103</xdr:row>
      <xdr:rowOff>22411</xdr:rowOff>
    </xdr:from>
    <xdr:to>
      <xdr:col>16</xdr:col>
      <xdr:colOff>235323</xdr:colOff>
      <xdr:row>107</xdr:row>
      <xdr:rowOff>190492</xdr:rowOff>
    </xdr:to>
    <xdr:sp macro="" textlink="" fLocksText="0">
      <xdr:nvSpPr>
        <xdr:cNvPr id="70" name="四角形: 角を丸くする 3">
          <a:extLst>
            <a:ext uri="{FF2B5EF4-FFF2-40B4-BE49-F238E27FC236}">
              <a16:creationId xmlns:a16="http://schemas.microsoft.com/office/drawing/2014/main" id="{00000000-0008-0000-0500-000046000000}"/>
            </a:ext>
          </a:extLst>
        </xdr:cNvPr>
        <xdr:cNvSpPr/>
      </xdr:nvSpPr>
      <xdr:spPr>
        <a:xfrm>
          <a:off x="2905125" y="19754850"/>
          <a:ext cx="1600200" cy="93345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KN9602</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入力項目バリデーションチェック機能</a:t>
          </a:r>
        </a:p>
      </xdr:txBody>
    </xdr:sp>
    <xdr:clientData/>
  </xdr:twoCellAnchor>
  <xdr:twoCellAnchor>
    <xdr:from>
      <xdr:col>14</xdr:col>
      <xdr:colOff>0</xdr:colOff>
      <xdr:row>95</xdr:row>
      <xdr:rowOff>190485</xdr:rowOff>
    </xdr:from>
    <xdr:to>
      <xdr:col>14</xdr:col>
      <xdr:colOff>2</xdr:colOff>
      <xdr:row>103</xdr:row>
      <xdr:rowOff>22411</xdr:rowOff>
    </xdr:to>
    <xdr:cxnSp macro="">
      <xdr:nvCxnSpPr>
        <xdr:cNvPr id="71" name="直線矢印コネクタ 1010">
          <a:extLst>
            <a:ext uri="{FF2B5EF4-FFF2-40B4-BE49-F238E27FC236}">
              <a16:creationId xmlns:a16="http://schemas.microsoft.com/office/drawing/2014/main" id="{00000000-0008-0000-0500-000047000000}"/>
            </a:ext>
          </a:extLst>
        </xdr:cNvPr>
        <xdr:cNvCxnSpPr>
          <a:stCxn id="54" idx="2"/>
          <a:endCxn id="70" idx="0"/>
        </xdr:cNvCxnSpPr>
      </xdr:nvCxnSpPr>
      <xdr:spPr>
        <a:xfrm flipH="1">
          <a:off x="3733800" y="18402300"/>
          <a:ext cx="0" cy="13525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89</xdr:row>
      <xdr:rowOff>190493</xdr:rowOff>
    </xdr:from>
    <xdr:to>
      <xdr:col>5</xdr:col>
      <xdr:colOff>0</xdr:colOff>
      <xdr:row>94</xdr:row>
      <xdr:rowOff>11191</xdr:rowOff>
    </xdr:to>
    <xdr:cxnSp macro="">
      <xdr:nvCxnSpPr>
        <xdr:cNvPr id="72" name="直線矢印コネクタ 1010">
          <a:extLst>
            <a:ext uri="{FF2B5EF4-FFF2-40B4-BE49-F238E27FC236}">
              <a16:creationId xmlns:a16="http://schemas.microsoft.com/office/drawing/2014/main" id="{00000000-0008-0000-0500-000048000000}"/>
            </a:ext>
          </a:extLst>
        </xdr:cNvPr>
        <xdr:cNvCxnSpPr>
          <a:stCxn id="49" idx="2"/>
          <a:endCxn id="209" idx="0"/>
        </xdr:cNvCxnSpPr>
      </xdr:nvCxnSpPr>
      <xdr:spPr>
        <a:xfrm>
          <a:off x="1333500" y="17259300"/>
          <a:ext cx="0" cy="771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107</xdr:row>
      <xdr:rowOff>190492</xdr:rowOff>
    </xdr:from>
    <xdr:to>
      <xdr:col>14</xdr:col>
      <xdr:colOff>1</xdr:colOff>
      <xdr:row>109</xdr:row>
      <xdr:rowOff>190493</xdr:rowOff>
    </xdr:to>
    <xdr:cxnSp macro="">
      <xdr:nvCxnSpPr>
        <xdr:cNvPr id="74" name="直線矢印コネクタ 1010">
          <a:extLst>
            <a:ext uri="{FF2B5EF4-FFF2-40B4-BE49-F238E27FC236}">
              <a16:creationId xmlns:a16="http://schemas.microsoft.com/office/drawing/2014/main" id="{00000000-0008-0000-0500-00004A000000}"/>
            </a:ext>
          </a:extLst>
        </xdr:cNvPr>
        <xdr:cNvCxnSpPr>
          <a:stCxn id="70" idx="2"/>
          <a:endCxn id="87" idx="0"/>
        </xdr:cNvCxnSpPr>
      </xdr:nvCxnSpPr>
      <xdr:spPr>
        <a:xfrm>
          <a:off x="3733800" y="2068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213</xdr:row>
      <xdr:rowOff>0</xdr:rowOff>
    </xdr:from>
    <xdr:to>
      <xdr:col>6</xdr:col>
      <xdr:colOff>0</xdr:colOff>
      <xdr:row>214</xdr:row>
      <xdr:rowOff>0</xdr:rowOff>
    </xdr:to>
    <xdr:sp macro="" textlink="" fLocksText="0">
      <xdr:nvSpPr>
        <xdr:cNvPr id="75" name="Rectangle: Rounded Corners 74">
          <a:extLst>
            <a:ext uri="{FF2B5EF4-FFF2-40B4-BE49-F238E27FC236}">
              <a16:creationId xmlns:a16="http://schemas.microsoft.com/office/drawing/2014/main" id="{00000000-0008-0000-0500-00004B000000}"/>
            </a:ext>
          </a:extLst>
        </xdr:cNvPr>
        <xdr:cNvSpPr/>
      </xdr:nvSpPr>
      <xdr:spPr>
        <a:xfrm>
          <a:off x="1066800" y="40690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96.3</a:t>
          </a:r>
        </a:p>
      </xdr:txBody>
    </xdr:sp>
    <xdr:clientData/>
  </xdr:twoCellAnchor>
  <xdr:twoCellAnchor>
    <xdr:from>
      <xdr:col>2</xdr:col>
      <xdr:colOff>0</xdr:colOff>
      <xdr:row>221</xdr:row>
      <xdr:rowOff>0</xdr:rowOff>
    </xdr:from>
    <xdr:to>
      <xdr:col>8</xdr:col>
      <xdr:colOff>0</xdr:colOff>
      <xdr:row>225</xdr:row>
      <xdr:rowOff>0</xdr:rowOff>
    </xdr:to>
    <xdr:sp macro="" textlink="" fLocksText="0">
      <xdr:nvSpPr>
        <xdr:cNvPr id="76" name="四角形: 角を丸くする 3">
          <a:extLst>
            <a:ext uri="{FF2B5EF4-FFF2-40B4-BE49-F238E27FC236}">
              <a16:creationId xmlns:a16="http://schemas.microsoft.com/office/drawing/2014/main" id="{00000000-0008-0000-0500-00004C000000}"/>
            </a:ext>
          </a:extLst>
        </xdr:cNvPr>
        <xdr:cNvSpPr/>
      </xdr:nvSpPr>
      <xdr:spPr>
        <a:xfrm>
          <a:off x="533400" y="4221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KN9606</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カテゴリ割引レシートクーポン更新機能</a:t>
          </a:r>
        </a:p>
      </xdr:txBody>
    </xdr:sp>
    <xdr:clientData/>
  </xdr:twoCellAnchor>
  <xdr:twoCellAnchor>
    <xdr:from>
      <xdr:col>5</xdr:col>
      <xdr:colOff>0</xdr:colOff>
      <xdr:row>214</xdr:row>
      <xdr:rowOff>0</xdr:rowOff>
    </xdr:from>
    <xdr:to>
      <xdr:col>5</xdr:col>
      <xdr:colOff>0</xdr:colOff>
      <xdr:row>221</xdr:row>
      <xdr:rowOff>0</xdr:rowOff>
    </xdr:to>
    <xdr:cxnSp macro="">
      <xdr:nvCxnSpPr>
        <xdr:cNvPr id="77" name="直線矢印コネクタ 1010">
          <a:extLst>
            <a:ext uri="{FF2B5EF4-FFF2-40B4-BE49-F238E27FC236}">
              <a16:creationId xmlns:a16="http://schemas.microsoft.com/office/drawing/2014/main" id="{00000000-0008-0000-0500-00004D000000}"/>
            </a:ext>
          </a:extLst>
        </xdr:cNvPr>
        <xdr:cNvCxnSpPr>
          <a:stCxn id="75" idx="2"/>
          <a:endCxn id="76" idx="0"/>
        </xdr:cNvCxnSpPr>
      </xdr:nvCxnSpPr>
      <xdr:spPr>
        <a:xfrm>
          <a:off x="1333500" y="408813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222</xdr:row>
      <xdr:rowOff>179294</xdr:rowOff>
    </xdr:from>
    <xdr:to>
      <xdr:col>29</xdr:col>
      <xdr:colOff>11206</xdr:colOff>
      <xdr:row>223</xdr:row>
      <xdr:rowOff>0</xdr:rowOff>
    </xdr:to>
    <xdr:cxnSp macro="">
      <xdr:nvCxnSpPr>
        <xdr:cNvPr id="78" name="Straight Arrow Connector 77">
          <a:extLst>
            <a:ext uri="{FF2B5EF4-FFF2-40B4-BE49-F238E27FC236}">
              <a16:creationId xmlns:a16="http://schemas.microsoft.com/office/drawing/2014/main" id="{00000000-0008-0000-0500-00004E000000}"/>
            </a:ext>
          </a:extLst>
        </xdr:cNvPr>
        <xdr:cNvCxnSpPr>
          <a:stCxn id="76" idx="3"/>
          <a:endCxn id="100" idx="2"/>
        </xdr:cNvCxnSpPr>
      </xdr:nvCxnSpPr>
      <xdr:spPr>
        <a:xfrm flipV="1">
          <a:off x="2133600" y="42586275"/>
          <a:ext cx="5610225"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233</xdr:row>
      <xdr:rowOff>0</xdr:rowOff>
    </xdr:from>
    <xdr:to>
      <xdr:col>6</xdr:col>
      <xdr:colOff>0</xdr:colOff>
      <xdr:row>234</xdr:row>
      <xdr:rowOff>0</xdr:rowOff>
    </xdr:to>
    <xdr:sp macro="" textlink="" fLocksText="0">
      <xdr:nvSpPr>
        <xdr:cNvPr id="79" name="Rectangle: Rounded Corners 78">
          <a:extLst>
            <a:ext uri="{FF2B5EF4-FFF2-40B4-BE49-F238E27FC236}">
              <a16:creationId xmlns:a16="http://schemas.microsoft.com/office/drawing/2014/main" id="{00000000-0008-0000-0500-00004F000000}"/>
            </a:ext>
          </a:extLst>
        </xdr:cNvPr>
        <xdr:cNvSpPr/>
      </xdr:nvSpPr>
      <xdr:spPr>
        <a:xfrm>
          <a:off x="1066800" y="44500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a:t>
          </a:r>
        </a:p>
      </xdr:txBody>
    </xdr:sp>
    <xdr:clientData/>
  </xdr:twoCellAnchor>
  <xdr:twoCellAnchor>
    <xdr:from>
      <xdr:col>5</xdr:col>
      <xdr:colOff>0</xdr:colOff>
      <xdr:row>225</xdr:row>
      <xdr:rowOff>0</xdr:rowOff>
    </xdr:from>
    <xdr:to>
      <xdr:col>5</xdr:col>
      <xdr:colOff>0</xdr:colOff>
      <xdr:row>233</xdr:row>
      <xdr:rowOff>0</xdr:rowOff>
    </xdr:to>
    <xdr:cxnSp macro="">
      <xdr:nvCxnSpPr>
        <xdr:cNvPr id="80" name="直線矢印コネクタ 1010">
          <a:extLst>
            <a:ext uri="{FF2B5EF4-FFF2-40B4-BE49-F238E27FC236}">
              <a16:creationId xmlns:a16="http://schemas.microsoft.com/office/drawing/2014/main" id="{00000000-0008-0000-0500-000050000000}"/>
            </a:ext>
          </a:extLst>
        </xdr:cNvPr>
        <xdr:cNvCxnSpPr>
          <a:stCxn id="76" idx="2"/>
          <a:endCxn id="79" idx="0"/>
        </xdr:cNvCxnSpPr>
      </xdr:nvCxnSpPr>
      <xdr:spPr>
        <a:xfrm>
          <a:off x="1333500" y="42976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0</xdr:colOff>
      <xdr:row>111</xdr:row>
      <xdr:rowOff>190491</xdr:rowOff>
    </xdr:from>
    <xdr:to>
      <xdr:col>26</xdr:col>
      <xdr:colOff>0</xdr:colOff>
      <xdr:row>115</xdr:row>
      <xdr:rowOff>190491</xdr:rowOff>
    </xdr:to>
    <xdr:sp macro="" textlink="" fLocksText="0">
      <xdr:nvSpPr>
        <xdr:cNvPr id="85" name="正方形/長方形 19">
          <a:extLst>
            <a:ext uri="{FF2B5EF4-FFF2-40B4-BE49-F238E27FC236}">
              <a16:creationId xmlns:a16="http://schemas.microsoft.com/office/drawing/2014/main" id="{00000000-0008-0000-0500-000055000000}"/>
            </a:ext>
          </a:extLst>
        </xdr:cNvPr>
        <xdr:cNvSpPr/>
      </xdr:nvSpPr>
      <xdr:spPr>
        <a:xfrm>
          <a:off x="5334000" y="21450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入力エラーバリデーションチェック</a:t>
          </a:r>
        </a:p>
      </xdr:txBody>
    </xdr:sp>
    <xdr:clientData/>
  </xdr:twoCellAnchor>
  <xdr:twoCellAnchor>
    <xdr:from>
      <xdr:col>21</xdr:col>
      <xdr:colOff>1</xdr:colOff>
      <xdr:row>109</xdr:row>
      <xdr:rowOff>190493</xdr:rowOff>
    </xdr:from>
    <xdr:to>
      <xdr:col>25</xdr:col>
      <xdr:colOff>1</xdr:colOff>
      <xdr:row>110</xdr:row>
      <xdr:rowOff>190493</xdr:rowOff>
    </xdr:to>
    <xdr:sp macro="" textlink="" fLocksText="0">
      <xdr:nvSpPr>
        <xdr:cNvPr id="86" name="Rectangle: Rounded Corners 85">
          <a:extLst>
            <a:ext uri="{FF2B5EF4-FFF2-40B4-BE49-F238E27FC236}">
              <a16:creationId xmlns:a16="http://schemas.microsoft.com/office/drawing/2014/main" id="{00000000-0008-0000-0500-000056000000}"/>
            </a:ext>
          </a:extLst>
        </xdr:cNvPr>
        <xdr:cNvSpPr/>
      </xdr:nvSpPr>
      <xdr:spPr>
        <a:xfrm>
          <a:off x="5600700" y="21069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12</xdr:col>
      <xdr:colOff>1</xdr:colOff>
      <xdr:row>109</xdr:row>
      <xdr:rowOff>190493</xdr:rowOff>
    </xdr:from>
    <xdr:to>
      <xdr:col>16</xdr:col>
      <xdr:colOff>1</xdr:colOff>
      <xdr:row>110</xdr:row>
      <xdr:rowOff>190493</xdr:rowOff>
    </xdr:to>
    <xdr:sp macro="" textlink="" fLocksText="0">
      <xdr:nvSpPr>
        <xdr:cNvPr id="87" name="Rectangle: Rounded Corners 86">
          <a:extLst>
            <a:ext uri="{FF2B5EF4-FFF2-40B4-BE49-F238E27FC236}">
              <a16:creationId xmlns:a16="http://schemas.microsoft.com/office/drawing/2014/main" id="{00000000-0008-0000-0500-000057000000}"/>
            </a:ext>
          </a:extLst>
        </xdr:cNvPr>
        <xdr:cNvSpPr/>
      </xdr:nvSpPr>
      <xdr:spPr>
        <a:xfrm>
          <a:off x="3200400" y="21069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23</xdr:col>
      <xdr:colOff>1</xdr:colOff>
      <xdr:row>110</xdr:row>
      <xdr:rowOff>190493</xdr:rowOff>
    </xdr:from>
    <xdr:to>
      <xdr:col>23</xdr:col>
      <xdr:colOff>1</xdr:colOff>
      <xdr:row>111</xdr:row>
      <xdr:rowOff>190491</xdr:rowOff>
    </xdr:to>
    <xdr:cxnSp macro="">
      <xdr:nvCxnSpPr>
        <xdr:cNvPr id="88" name="直線矢印コネクタ 1010">
          <a:extLst>
            <a:ext uri="{FF2B5EF4-FFF2-40B4-BE49-F238E27FC236}">
              <a16:creationId xmlns:a16="http://schemas.microsoft.com/office/drawing/2014/main" id="{00000000-0008-0000-0500-000058000000}"/>
            </a:ext>
          </a:extLst>
        </xdr:cNvPr>
        <xdr:cNvCxnSpPr>
          <a:stCxn id="86" idx="2"/>
          <a:endCxn id="85" idx="0"/>
        </xdr:cNvCxnSpPr>
      </xdr:nvCxnSpPr>
      <xdr:spPr>
        <a:xfrm>
          <a:off x="6134100" y="21259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107</xdr:row>
      <xdr:rowOff>190491</xdr:rowOff>
    </xdr:from>
    <xdr:to>
      <xdr:col>23</xdr:col>
      <xdr:colOff>1</xdr:colOff>
      <xdr:row>109</xdr:row>
      <xdr:rowOff>190492</xdr:rowOff>
    </xdr:to>
    <xdr:cxnSp macro="">
      <xdr:nvCxnSpPr>
        <xdr:cNvPr id="89" name="Connector: Elbow 88">
          <a:extLst>
            <a:ext uri="{FF2B5EF4-FFF2-40B4-BE49-F238E27FC236}">
              <a16:creationId xmlns:a16="http://schemas.microsoft.com/office/drawing/2014/main" id="{00000000-0008-0000-0500-000059000000}"/>
            </a:ext>
          </a:extLst>
        </xdr:cNvPr>
        <xdr:cNvCxnSpPr>
          <a:stCxn id="70" idx="2"/>
          <a:endCxn id="86" idx="0"/>
        </xdr:cNvCxnSpPr>
      </xdr:nvCxnSpPr>
      <xdr:spPr>
        <a:xfrm rot="16200000" flipH="1">
          <a:off x="3733800" y="206883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11206</xdr:colOff>
      <xdr:row>220</xdr:row>
      <xdr:rowOff>179294</xdr:rowOff>
    </xdr:from>
    <xdr:to>
      <xdr:col>35</xdr:col>
      <xdr:colOff>11206</xdr:colOff>
      <xdr:row>224</xdr:row>
      <xdr:rowOff>179294</xdr:rowOff>
    </xdr:to>
    <xdr:sp macro="" textlink="" fLocksText="0">
      <xdr:nvSpPr>
        <xdr:cNvPr id="100" name="フローチャート: 磁気ディスク 194">
          <a:extLst>
            <a:ext uri="{FF2B5EF4-FFF2-40B4-BE49-F238E27FC236}">
              <a16:creationId xmlns:a16="http://schemas.microsoft.com/office/drawing/2014/main" id="{00000000-0008-0000-0500-000064000000}"/>
            </a:ext>
          </a:extLst>
        </xdr:cNvPr>
        <xdr:cNvSpPr/>
      </xdr:nvSpPr>
      <xdr:spPr>
        <a:xfrm>
          <a:off x="7743825" y="42205275"/>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AP9604</a:t>
          </a:r>
        </a:p>
        <a:p>
          <a:pPr algn="ctr">
            <a:defRPr lang="en-US" altLang="ja-JP" sz="900" b="0" i="0" u="none" baseline="0">
              <a:solidFill>
                <a:schemeClr val="tx1"/>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カテゴリ割引レシートクーポン更新</a:t>
          </a:r>
        </a:p>
      </xdr:txBody>
    </xdr:sp>
    <xdr:clientData/>
  </xdr:twoCellAnchor>
  <xdr:twoCellAnchor>
    <xdr:from>
      <xdr:col>1</xdr:col>
      <xdr:colOff>212911</xdr:colOff>
      <xdr:row>83</xdr:row>
      <xdr:rowOff>190494</xdr:rowOff>
    </xdr:from>
    <xdr:to>
      <xdr:col>3</xdr:col>
      <xdr:colOff>212911</xdr:colOff>
      <xdr:row>84</xdr:row>
      <xdr:rowOff>190494</xdr:rowOff>
    </xdr:to>
    <xdr:sp macro="" textlink="" fLocksText="0">
      <xdr:nvSpPr>
        <xdr:cNvPr id="110" name="Rectangle: Rounded Corners 109">
          <a:extLst>
            <a:ext uri="{FF2B5EF4-FFF2-40B4-BE49-F238E27FC236}">
              <a16:creationId xmlns:a16="http://schemas.microsoft.com/office/drawing/2014/main" id="{00000000-0008-0000-0500-00006E000000}"/>
            </a:ext>
          </a:extLst>
        </xdr:cNvPr>
        <xdr:cNvSpPr/>
      </xdr:nvSpPr>
      <xdr:spPr>
        <a:xfrm>
          <a:off x="476250" y="1611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96.5</a:t>
          </a:r>
        </a:p>
      </xdr:txBody>
    </xdr:sp>
    <xdr:clientData/>
  </xdr:twoCellAnchor>
  <xdr:twoCellAnchor>
    <xdr:from>
      <xdr:col>3</xdr:col>
      <xdr:colOff>212911</xdr:colOff>
      <xdr:row>84</xdr:row>
      <xdr:rowOff>95244</xdr:rowOff>
    </xdr:from>
    <xdr:to>
      <xdr:col>5</xdr:col>
      <xdr:colOff>0</xdr:colOff>
      <xdr:row>86</xdr:row>
      <xdr:rowOff>0</xdr:rowOff>
    </xdr:to>
    <xdr:cxnSp macro="">
      <xdr:nvCxnSpPr>
        <xdr:cNvPr id="111" name="Connector: Elbow 110">
          <a:extLst>
            <a:ext uri="{FF2B5EF4-FFF2-40B4-BE49-F238E27FC236}">
              <a16:creationId xmlns:a16="http://schemas.microsoft.com/office/drawing/2014/main" id="{00000000-0008-0000-0500-00006F000000}"/>
            </a:ext>
          </a:extLst>
        </xdr:cNvPr>
        <xdr:cNvCxnSpPr>
          <a:stCxn id="110" idx="3"/>
          <a:endCxn id="49" idx="0"/>
        </xdr:cNvCxnSpPr>
      </xdr:nvCxnSpPr>
      <xdr:spPr>
        <a:xfrm>
          <a:off x="1009650" y="16211550"/>
          <a:ext cx="323850" cy="2857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117</xdr:row>
      <xdr:rowOff>190487</xdr:rowOff>
    </xdr:from>
    <xdr:to>
      <xdr:col>24</xdr:col>
      <xdr:colOff>0</xdr:colOff>
      <xdr:row>118</xdr:row>
      <xdr:rowOff>190487</xdr:rowOff>
    </xdr:to>
    <xdr:sp macro="" textlink="" fLocksText="0">
      <xdr:nvSpPr>
        <xdr:cNvPr id="112" name="Rectangle: Rounded Corners 111">
          <a:extLst>
            <a:ext uri="{FF2B5EF4-FFF2-40B4-BE49-F238E27FC236}">
              <a16:creationId xmlns:a16="http://schemas.microsoft.com/office/drawing/2014/main" id="{00000000-0008-0000-0500-000070000000}"/>
            </a:ext>
          </a:extLst>
        </xdr:cNvPr>
        <xdr:cNvSpPr/>
      </xdr:nvSpPr>
      <xdr:spPr>
        <a:xfrm>
          <a:off x="5867400" y="2259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96.5</a:t>
          </a:r>
        </a:p>
      </xdr:txBody>
    </xdr:sp>
    <xdr:clientData/>
  </xdr:twoCellAnchor>
  <xdr:twoCellAnchor>
    <xdr:from>
      <xdr:col>23</xdr:col>
      <xdr:colOff>1</xdr:colOff>
      <xdr:row>115</xdr:row>
      <xdr:rowOff>190491</xdr:rowOff>
    </xdr:from>
    <xdr:to>
      <xdr:col>23</xdr:col>
      <xdr:colOff>1</xdr:colOff>
      <xdr:row>117</xdr:row>
      <xdr:rowOff>190487</xdr:rowOff>
    </xdr:to>
    <xdr:cxnSp macro="">
      <xdr:nvCxnSpPr>
        <xdr:cNvPr id="113" name="直線矢印コネクタ 1010">
          <a:extLst>
            <a:ext uri="{FF2B5EF4-FFF2-40B4-BE49-F238E27FC236}">
              <a16:creationId xmlns:a16="http://schemas.microsoft.com/office/drawing/2014/main" id="{00000000-0008-0000-0500-000071000000}"/>
            </a:ext>
          </a:extLst>
        </xdr:cNvPr>
        <xdr:cNvCxnSpPr>
          <a:stCxn id="85" idx="2"/>
          <a:endCxn id="112" idx="0"/>
        </xdr:cNvCxnSpPr>
      </xdr:nvCxnSpPr>
      <xdr:spPr>
        <a:xfrm>
          <a:off x="6134100" y="2221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112060</xdr:colOff>
      <xdr:row>58</xdr:row>
      <xdr:rowOff>156883</xdr:rowOff>
    </xdr:from>
    <xdr:to>
      <xdr:col>10</xdr:col>
      <xdr:colOff>112060</xdr:colOff>
      <xdr:row>59</xdr:row>
      <xdr:rowOff>156883</xdr:rowOff>
    </xdr:to>
    <xdr:sp macro="" textlink="" fLocksText="0">
      <xdr:nvSpPr>
        <xdr:cNvPr id="114" name="Rectangle: Rounded Corners 113">
          <a:extLst>
            <a:ext uri="{FF2B5EF4-FFF2-40B4-BE49-F238E27FC236}">
              <a16:creationId xmlns:a16="http://schemas.microsoft.com/office/drawing/2014/main" id="{00000000-0008-0000-0500-000072000000}"/>
            </a:ext>
          </a:extLst>
        </xdr:cNvPr>
        <xdr:cNvSpPr/>
      </xdr:nvSpPr>
      <xdr:spPr>
        <a:xfrm>
          <a:off x="2247900" y="113157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96.1</a:t>
          </a:r>
        </a:p>
      </xdr:txBody>
    </xdr:sp>
    <xdr:clientData/>
  </xdr:twoCellAnchor>
  <xdr:twoCellAnchor>
    <xdr:from>
      <xdr:col>9</xdr:col>
      <xdr:colOff>112059</xdr:colOff>
      <xdr:row>56</xdr:row>
      <xdr:rowOff>180975</xdr:rowOff>
    </xdr:from>
    <xdr:to>
      <xdr:col>9</xdr:col>
      <xdr:colOff>112060</xdr:colOff>
      <xdr:row>58</xdr:row>
      <xdr:rowOff>156883</xdr:rowOff>
    </xdr:to>
    <xdr:cxnSp macro="">
      <xdr:nvCxnSpPr>
        <xdr:cNvPr id="115" name="直線矢印コネクタ 1010">
          <a:extLst>
            <a:ext uri="{FF2B5EF4-FFF2-40B4-BE49-F238E27FC236}">
              <a16:creationId xmlns:a16="http://schemas.microsoft.com/office/drawing/2014/main" id="{00000000-0008-0000-0500-000073000000}"/>
            </a:ext>
          </a:extLst>
        </xdr:cNvPr>
        <xdr:cNvCxnSpPr>
          <a:stCxn id="42" idx="2"/>
          <a:endCxn id="114" idx="0"/>
        </xdr:cNvCxnSpPr>
      </xdr:nvCxnSpPr>
      <xdr:spPr>
        <a:xfrm>
          <a:off x="2514600" y="10963275"/>
          <a:ext cx="0" cy="3524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157</xdr:row>
      <xdr:rowOff>0</xdr:rowOff>
    </xdr:from>
    <xdr:to>
      <xdr:col>6</xdr:col>
      <xdr:colOff>0</xdr:colOff>
      <xdr:row>158</xdr:row>
      <xdr:rowOff>0</xdr:rowOff>
    </xdr:to>
    <xdr:sp macro="" textlink="" fLocksText="0">
      <xdr:nvSpPr>
        <xdr:cNvPr id="116" name="Rectangle: Rounded Corners 115">
          <a:extLst>
            <a:ext uri="{FF2B5EF4-FFF2-40B4-BE49-F238E27FC236}">
              <a16:creationId xmlns:a16="http://schemas.microsoft.com/office/drawing/2014/main" id="{00000000-0008-0000-0500-000074000000}"/>
            </a:ext>
          </a:extLst>
        </xdr:cNvPr>
        <xdr:cNvSpPr/>
      </xdr:nvSpPr>
      <xdr:spPr>
        <a:xfrm>
          <a:off x="1066800" y="3002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96.1</a:t>
          </a:r>
        </a:p>
      </xdr:txBody>
    </xdr:sp>
    <xdr:clientData/>
  </xdr:twoCellAnchor>
  <xdr:twoCellAnchor>
    <xdr:from>
      <xdr:col>2</xdr:col>
      <xdr:colOff>0</xdr:colOff>
      <xdr:row>160</xdr:row>
      <xdr:rowOff>0</xdr:rowOff>
    </xdr:from>
    <xdr:to>
      <xdr:col>8</xdr:col>
      <xdr:colOff>0</xdr:colOff>
      <xdr:row>164</xdr:row>
      <xdr:rowOff>0</xdr:rowOff>
    </xdr:to>
    <xdr:sp macro="" textlink="" fLocksText="0">
      <xdr:nvSpPr>
        <xdr:cNvPr id="117" name="四角形: 角を丸くする 3">
          <a:extLst>
            <a:ext uri="{FF2B5EF4-FFF2-40B4-BE49-F238E27FC236}">
              <a16:creationId xmlns:a16="http://schemas.microsoft.com/office/drawing/2014/main" id="{00000000-0008-0000-0500-000075000000}"/>
            </a:ext>
          </a:extLst>
        </xdr:cNvPr>
        <xdr:cNvSpPr/>
      </xdr:nvSpPr>
      <xdr:spPr>
        <a:xfrm>
          <a:off x="533400" y="3059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KN9604</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カテゴリ割引レシートクーポン削除機能</a:t>
          </a:r>
        </a:p>
      </xdr:txBody>
    </xdr:sp>
    <xdr:clientData/>
  </xdr:twoCellAnchor>
  <xdr:twoCellAnchor>
    <xdr:from>
      <xdr:col>5</xdr:col>
      <xdr:colOff>0</xdr:colOff>
      <xdr:row>158</xdr:row>
      <xdr:rowOff>0</xdr:rowOff>
    </xdr:from>
    <xdr:to>
      <xdr:col>5</xdr:col>
      <xdr:colOff>0</xdr:colOff>
      <xdr:row>160</xdr:row>
      <xdr:rowOff>0</xdr:rowOff>
    </xdr:to>
    <xdr:cxnSp macro="">
      <xdr:nvCxnSpPr>
        <xdr:cNvPr id="118" name="直線矢印コネクタ 1010">
          <a:extLst>
            <a:ext uri="{FF2B5EF4-FFF2-40B4-BE49-F238E27FC236}">
              <a16:creationId xmlns:a16="http://schemas.microsoft.com/office/drawing/2014/main" id="{00000000-0008-0000-0500-000076000000}"/>
            </a:ext>
          </a:extLst>
        </xdr:cNvPr>
        <xdr:cNvCxnSpPr>
          <a:stCxn id="116" idx="2"/>
          <a:endCxn id="117" idx="0"/>
        </xdr:cNvCxnSpPr>
      </xdr:nvCxnSpPr>
      <xdr:spPr>
        <a:xfrm>
          <a:off x="1333500" y="3021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168</xdr:row>
      <xdr:rowOff>0</xdr:rowOff>
    </xdr:from>
    <xdr:to>
      <xdr:col>16</xdr:col>
      <xdr:colOff>0</xdr:colOff>
      <xdr:row>170</xdr:row>
      <xdr:rowOff>0</xdr:rowOff>
    </xdr:to>
    <xdr:sp macro="" textlink="" fLocksText="0">
      <xdr:nvSpPr>
        <xdr:cNvPr id="119" name="Rectangle: Rounded Corners 118">
          <a:extLst>
            <a:ext uri="{FF2B5EF4-FFF2-40B4-BE49-F238E27FC236}">
              <a16:creationId xmlns:a16="http://schemas.microsoft.com/office/drawing/2014/main" id="{00000000-0008-0000-0500-000077000000}"/>
            </a:ext>
          </a:extLst>
        </xdr:cNvPr>
        <xdr:cNvSpPr/>
      </xdr:nvSpPr>
      <xdr:spPr>
        <a:xfrm>
          <a:off x="2133600" y="32118300"/>
          <a:ext cx="21336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削除されたstoreId=09999のレシートクーポン</a:t>
          </a:r>
        </a:p>
      </xdr:txBody>
    </xdr:sp>
    <xdr:clientData/>
  </xdr:twoCellAnchor>
  <xdr:twoCellAnchor>
    <xdr:from>
      <xdr:col>17</xdr:col>
      <xdr:colOff>0</xdr:colOff>
      <xdr:row>168</xdr:row>
      <xdr:rowOff>0</xdr:rowOff>
    </xdr:from>
    <xdr:to>
      <xdr:col>21</xdr:col>
      <xdr:colOff>0</xdr:colOff>
      <xdr:row>170</xdr:row>
      <xdr:rowOff>0</xdr:rowOff>
    </xdr:to>
    <xdr:sp macro="" textlink="" fLocksText="0">
      <xdr:nvSpPr>
        <xdr:cNvPr id="120" name="Rectangle: Rounded Corners 119">
          <a:extLst>
            <a:ext uri="{FF2B5EF4-FFF2-40B4-BE49-F238E27FC236}">
              <a16:creationId xmlns:a16="http://schemas.microsoft.com/office/drawing/2014/main" id="{00000000-0008-0000-0500-000078000000}"/>
            </a:ext>
          </a:extLst>
        </xdr:cNvPr>
        <xdr:cNvSpPr/>
      </xdr:nvSpPr>
      <xdr:spPr>
        <a:xfrm>
          <a:off x="4533900" y="32118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StoreId 09999</a:t>
          </a:r>
        </a:p>
      </xdr:txBody>
    </xdr:sp>
    <xdr:clientData/>
  </xdr:twoCellAnchor>
  <xdr:twoCellAnchor>
    <xdr:from>
      <xdr:col>4</xdr:col>
      <xdr:colOff>235323</xdr:colOff>
      <xdr:row>164</xdr:row>
      <xdr:rowOff>0</xdr:rowOff>
    </xdr:from>
    <xdr:to>
      <xdr:col>18</xdr:col>
      <xdr:colOff>235322</xdr:colOff>
      <xdr:row>168</xdr:row>
      <xdr:rowOff>0</xdr:rowOff>
    </xdr:to>
    <xdr:cxnSp macro="">
      <xdr:nvCxnSpPr>
        <xdr:cNvPr id="121" name="直線矢印コネクタ 1010">
          <a:extLst>
            <a:ext uri="{FF2B5EF4-FFF2-40B4-BE49-F238E27FC236}">
              <a16:creationId xmlns:a16="http://schemas.microsoft.com/office/drawing/2014/main" id="{00000000-0008-0000-0500-000079000000}"/>
            </a:ext>
          </a:extLst>
        </xdr:cNvPr>
        <xdr:cNvCxnSpPr>
          <a:stCxn id="117" idx="2"/>
          <a:endCxn id="120" idx="0"/>
        </xdr:cNvCxnSpPr>
      </xdr:nvCxnSpPr>
      <xdr:spPr>
        <a:xfrm rot="16200000" flipH="1">
          <a:off x="1304925" y="313563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168</xdr:row>
      <xdr:rowOff>0</xdr:rowOff>
    </xdr:from>
    <xdr:to>
      <xdr:col>26</xdr:col>
      <xdr:colOff>0</xdr:colOff>
      <xdr:row>170</xdr:row>
      <xdr:rowOff>0</xdr:rowOff>
    </xdr:to>
    <xdr:sp macro="" textlink="" fLocksText="0">
      <xdr:nvSpPr>
        <xdr:cNvPr id="122" name="Rectangle: Rounded Corners 121">
          <a:extLst>
            <a:ext uri="{FF2B5EF4-FFF2-40B4-BE49-F238E27FC236}">
              <a16:creationId xmlns:a16="http://schemas.microsoft.com/office/drawing/2014/main" id="{00000000-0008-0000-0500-00007A000000}"/>
            </a:ext>
          </a:extLst>
        </xdr:cNvPr>
        <xdr:cNvSpPr/>
      </xdr:nvSpPr>
      <xdr:spPr>
        <a:xfrm>
          <a:off x="5867400" y="32118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上記以外の場合</a:t>
          </a:r>
        </a:p>
      </xdr:txBody>
    </xdr:sp>
    <xdr:clientData/>
  </xdr:twoCellAnchor>
  <xdr:twoCellAnchor>
    <xdr:from>
      <xdr:col>5</xdr:col>
      <xdr:colOff>0</xdr:colOff>
      <xdr:row>164</xdr:row>
      <xdr:rowOff>0</xdr:rowOff>
    </xdr:from>
    <xdr:to>
      <xdr:col>12</xdr:col>
      <xdr:colOff>0</xdr:colOff>
      <xdr:row>168</xdr:row>
      <xdr:rowOff>0</xdr:rowOff>
    </xdr:to>
    <xdr:cxnSp macro="">
      <xdr:nvCxnSpPr>
        <xdr:cNvPr id="123" name="Connector: Elbow 122">
          <a:extLst>
            <a:ext uri="{FF2B5EF4-FFF2-40B4-BE49-F238E27FC236}">
              <a16:creationId xmlns:a16="http://schemas.microsoft.com/office/drawing/2014/main" id="{00000000-0008-0000-0500-00007B000000}"/>
            </a:ext>
          </a:extLst>
        </xdr:cNvPr>
        <xdr:cNvCxnSpPr>
          <a:stCxn id="117" idx="2"/>
          <a:endCxn id="119" idx="0"/>
        </xdr:cNvCxnSpPr>
      </xdr:nvCxnSpPr>
      <xdr:spPr>
        <a:xfrm rot="16200000" flipH="1">
          <a:off x="1333500" y="313563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164</xdr:row>
      <xdr:rowOff>0</xdr:rowOff>
    </xdr:from>
    <xdr:to>
      <xdr:col>23</xdr:col>
      <xdr:colOff>235323</xdr:colOff>
      <xdr:row>168</xdr:row>
      <xdr:rowOff>0</xdr:rowOff>
    </xdr:to>
    <xdr:cxnSp macro="">
      <xdr:nvCxnSpPr>
        <xdr:cNvPr id="124" name="Connector: Elbow 123">
          <a:extLst>
            <a:ext uri="{FF2B5EF4-FFF2-40B4-BE49-F238E27FC236}">
              <a16:creationId xmlns:a16="http://schemas.microsoft.com/office/drawing/2014/main" id="{00000000-0008-0000-0500-00007C000000}"/>
            </a:ext>
          </a:extLst>
        </xdr:cNvPr>
        <xdr:cNvCxnSpPr>
          <a:stCxn id="117" idx="2"/>
          <a:endCxn id="122" idx="0"/>
        </xdr:cNvCxnSpPr>
      </xdr:nvCxnSpPr>
      <xdr:spPr>
        <a:xfrm rot="16200000" flipH="1">
          <a:off x="1304925" y="31356300"/>
          <a:ext cx="50673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172</xdr:row>
      <xdr:rowOff>0</xdr:rowOff>
    </xdr:from>
    <xdr:to>
      <xdr:col>22</xdr:col>
      <xdr:colOff>0</xdr:colOff>
      <xdr:row>176</xdr:row>
      <xdr:rowOff>0</xdr:rowOff>
    </xdr:to>
    <xdr:sp macro="" textlink="" fLocksText="0">
      <xdr:nvSpPr>
        <xdr:cNvPr id="125" name="正方形/長方形 19">
          <a:extLst>
            <a:ext uri="{FF2B5EF4-FFF2-40B4-BE49-F238E27FC236}">
              <a16:creationId xmlns:a16="http://schemas.microsoft.com/office/drawing/2014/main" id="{00000000-0008-0000-0500-00007D000000}"/>
            </a:ext>
          </a:extLst>
        </xdr:cNvPr>
        <xdr:cNvSpPr/>
      </xdr:nvSpPr>
      <xdr:spPr>
        <a:xfrm>
          <a:off x="4267200" y="32880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MD_CONFIRM</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影響が与えられた該当レシートクーポン</a:t>
          </a:r>
        </a:p>
      </xdr:txBody>
    </xdr:sp>
    <xdr:clientData/>
  </xdr:twoCellAnchor>
  <xdr:twoCellAnchor>
    <xdr:from>
      <xdr:col>19</xdr:col>
      <xdr:colOff>0</xdr:colOff>
      <xdr:row>170</xdr:row>
      <xdr:rowOff>0</xdr:rowOff>
    </xdr:from>
    <xdr:to>
      <xdr:col>19</xdr:col>
      <xdr:colOff>1</xdr:colOff>
      <xdr:row>172</xdr:row>
      <xdr:rowOff>0</xdr:rowOff>
    </xdr:to>
    <xdr:cxnSp macro="">
      <xdr:nvCxnSpPr>
        <xdr:cNvPr id="126" name="直線矢印コネクタ 1010">
          <a:extLst>
            <a:ext uri="{FF2B5EF4-FFF2-40B4-BE49-F238E27FC236}">
              <a16:creationId xmlns:a16="http://schemas.microsoft.com/office/drawing/2014/main" id="{00000000-0008-0000-0500-00007E000000}"/>
            </a:ext>
          </a:extLst>
        </xdr:cNvPr>
        <xdr:cNvCxnSpPr>
          <a:stCxn id="120" idx="2"/>
          <a:endCxn id="125" idx="0"/>
        </xdr:cNvCxnSpPr>
      </xdr:nvCxnSpPr>
      <xdr:spPr>
        <a:xfrm>
          <a:off x="5067300" y="3249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180</xdr:row>
      <xdr:rowOff>0</xdr:rowOff>
    </xdr:from>
    <xdr:to>
      <xdr:col>6</xdr:col>
      <xdr:colOff>0</xdr:colOff>
      <xdr:row>181</xdr:row>
      <xdr:rowOff>0</xdr:rowOff>
    </xdr:to>
    <xdr:sp macro="" textlink="" fLocksText="0">
      <xdr:nvSpPr>
        <xdr:cNvPr id="127" name="Rectangle: Rounded Corners 126">
          <a:extLst>
            <a:ext uri="{FF2B5EF4-FFF2-40B4-BE49-F238E27FC236}">
              <a16:creationId xmlns:a16="http://schemas.microsoft.com/office/drawing/2014/main" id="{00000000-0008-0000-0500-00007F000000}"/>
            </a:ext>
          </a:extLst>
        </xdr:cNvPr>
        <xdr:cNvSpPr/>
      </xdr:nvSpPr>
      <xdr:spPr>
        <a:xfrm>
          <a:off x="1066800" y="3440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a:t>
          </a:r>
        </a:p>
      </xdr:txBody>
    </xdr:sp>
    <xdr:clientData/>
  </xdr:twoCellAnchor>
  <xdr:twoCellAnchor>
    <xdr:from>
      <xdr:col>5</xdr:col>
      <xdr:colOff>0</xdr:colOff>
      <xdr:row>176</xdr:row>
      <xdr:rowOff>1</xdr:rowOff>
    </xdr:from>
    <xdr:to>
      <xdr:col>12</xdr:col>
      <xdr:colOff>1</xdr:colOff>
      <xdr:row>180</xdr:row>
      <xdr:rowOff>1</xdr:rowOff>
    </xdr:to>
    <xdr:cxnSp macro="">
      <xdr:nvCxnSpPr>
        <xdr:cNvPr id="128" name="直線矢印コネクタ 1010">
          <a:extLst>
            <a:ext uri="{FF2B5EF4-FFF2-40B4-BE49-F238E27FC236}">
              <a16:creationId xmlns:a16="http://schemas.microsoft.com/office/drawing/2014/main" id="{00000000-0008-0000-0500-000080000000}"/>
            </a:ext>
          </a:extLst>
        </xdr:cNvPr>
        <xdr:cNvCxnSpPr>
          <a:stCxn id="8" idx="2"/>
          <a:endCxn id="127" idx="0"/>
        </xdr:cNvCxnSpPr>
      </xdr:nvCxnSpPr>
      <xdr:spPr>
        <a:xfrm rot="5400000">
          <a:off x="1333500" y="336423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170</xdr:row>
      <xdr:rowOff>0</xdr:rowOff>
    </xdr:from>
    <xdr:to>
      <xdr:col>12</xdr:col>
      <xdr:colOff>1</xdr:colOff>
      <xdr:row>172</xdr:row>
      <xdr:rowOff>0</xdr:rowOff>
    </xdr:to>
    <xdr:cxnSp macro="">
      <xdr:nvCxnSpPr>
        <xdr:cNvPr id="129" name="直線矢印コネクタ 1010">
          <a:extLst>
            <a:ext uri="{FF2B5EF4-FFF2-40B4-BE49-F238E27FC236}">
              <a16:creationId xmlns:a16="http://schemas.microsoft.com/office/drawing/2014/main" id="{00000000-0008-0000-0500-000081000000}"/>
            </a:ext>
          </a:extLst>
        </xdr:cNvPr>
        <xdr:cNvCxnSpPr>
          <a:stCxn id="119" idx="2"/>
          <a:endCxn id="8" idx="0"/>
        </xdr:cNvCxnSpPr>
      </xdr:nvCxnSpPr>
      <xdr:spPr>
        <a:xfrm>
          <a:off x="3200400" y="3249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170</xdr:row>
      <xdr:rowOff>1</xdr:rowOff>
    </xdr:from>
    <xdr:to>
      <xdr:col>24</xdr:col>
      <xdr:colOff>0</xdr:colOff>
      <xdr:row>180</xdr:row>
      <xdr:rowOff>1</xdr:rowOff>
    </xdr:to>
    <xdr:cxnSp macro="">
      <xdr:nvCxnSpPr>
        <xdr:cNvPr id="130" name="Connector: Elbow 129">
          <a:extLst>
            <a:ext uri="{FF2B5EF4-FFF2-40B4-BE49-F238E27FC236}">
              <a16:creationId xmlns:a16="http://schemas.microsoft.com/office/drawing/2014/main" id="{00000000-0008-0000-0500-000082000000}"/>
            </a:ext>
          </a:extLst>
        </xdr:cNvPr>
        <xdr:cNvCxnSpPr>
          <a:stCxn id="122" idx="2"/>
          <a:endCxn id="127" idx="0"/>
        </xdr:cNvCxnSpPr>
      </xdr:nvCxnSpPr>
      <xdr:spPr>
        <a:xfrm rot="5400000">
          <a:off x="1333500" y="32499300"/>
          <a:ext cx="5067300" cy="1905000"/>
        </a:xfrm>
        <a:prstGeom prst="bentConnector3">
          <a:avLst>
            <a:gd name="adj1" fmla="val 8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123266</xdr:colOff>
      <xdr:row>58</xdr:row>
      <xdr:rowOff>179294</xdr:rowOff>
    </xdr:from>
    <xdr:to>
      <xdr:col>14</xdr:col>
      <xdr:colOff>123266</xdr:colOff>
      <xdr:row>59</xdr:row>
      <xdr:rowOff>179294</xdr:rowOff>
    </xdr:to>
    <xdr:sp macro="" textlink="" fLocksText="0">
      <xdr:nvSpPr>
        <xdr:cNvPr id="131" name="Rectangle: Rounded Corners 130">
          <a:extLst>
            <a:ext uri="{FF2B5EF4-FFF2-40B4-BE49-F238E27FC236}">
              <a16:creationId xmlns:a16="http://schemas.microsoft.com/office/drawing/2014/main" id="{00000000-0008-0000-0500-000083000000}"/>
            </a:ext>
          </a:extLst>
        </xdr:cNvPr>
        <xdr:cNvSpPr/>
      </xdr:nvSpPr>
      <xdr:spPr>
        <a:xfrm>
          <a:off x="3324225" y="11344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96.2</a:t>
          </a:r>
        </a:p>
      </xdr:txBody>
    </xdr:sp>
    <xdr:clientData/>
  </xdr:twoCellAnchor>
  <xdr:twoCellAnchor>
    <xdr:from>
      <xdr:col>5</xdr:col>
      <xdr:colOff>0</xdr:colOff>
      <xdr:row>176</xdr:row>
      <xdr:rowOff>0</xdr:rowOff>
    </xdr:from>
    <xdr:to>
      <xdr:col>19</xdr:col>
      <xdr:colOff>1</xdr:colOff>
      <xdr:row>180</xdr:row>
      <xdr:rowOff>0</xdr:rowOff>
    </xdr:to>
    <xdr:cxnSp macro="">
      <xdr:nvCxnSpPr>
        <xdr:cNvPr id="132" name="Connector: Elbow 131">
          <a:extLst>
            <a:ext uri="{FF2B5EF4-FFF2-40B4-BE49-F238E27FC236}">
              <a16:creationId xmlns:a16="http://schemas.microsoft.com/office/drawing/2014/main" id="{00000000-0008-0000-0500-000084000000}"/>
            </a:ext>
          </a:extLst>
        </xdr:cNvPr>
        <xdr:cNvCxnSpPr>
          <a:stCxn id="125" idx="2"/>
          <a:endCxn id="127" idx="0"/>
        </xdr:cNvCxnSpPr>
      </xdr:nvCxnSpPr>
      <xdr:spPr>
        <a:xfrm rot="5400000">
          <a:off x="1333500" y="336423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198</xdr:row>
      <xdr:rowOff>0</xdr:rowOff>
    </xdr:from>
    <xdr:to>
      <xdr:col>61</xdr:col>
      <xdr:colOff>0</xdr:colOff>
      <xdr:row>203</xdr:row>
      <xdr:rowOff>0</xdr:rowOff>
    </xdr:to>
    <xdr:sp macro="" textlink="" fLocksText="0">
      <xdr:nvSpPr>
        <xdr:cNvPr id="133" name="吹き出し: 線 2">
          <a:extLst>
            <a:ext uri="{FF2B5EF4-FFF2-40B4-BE49-F238E27FC236}">
              <a16:creationId xmlns:a16="http://schemas.microsoft.com/office/drawing/2014/main" id="{00000000-0008-0000-0500-000085000000}"/>
            </a:ext>
          </a:extLst>
        </xdr:cNvPr>
        <xdr:cNvSpPr/>
      </xdr:nvSpPr>
      <xdr:spPr>
        <a:xfrm>
          <a:off x="10134600" y="37833300"/>
          <a:ext cx="6134100" cy="952500"/>
        </a:xfrm>
        <a:prstGeom prst="borderCallout1">
          <a:avLst>
            <a:gd name="adj1" fmla="val 46335"/>
            <a:gd name="adj2" fmla="val 188"/>
            <a:gd name="adj3" fmla="val 87452"/>
            <a:gd name="adj4" fmla="val -9567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確認モダールにはデフォルト店舗に属するクーポンレシートを編集すると、同じクーポンを持つ他の店舗のレシートクーポンに影響を与える。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・「はい」をタッチすると、MD9601_カテゴリ割引レシートクーポン追加・編集モダールが表示される。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・「取消」をタッチすると、モダールが取り消される。</a:t>
          </a:r>
        </a:p>
      </xdr:txBody>
    </xdr:sp>
    <xdr:clientData/>
  </xdr:twoCellAnchor>
  <xdr:twoCellAnchor>
    <xdr:from>
      <xdr:col>38</xdr:col>
      <xdr:colOff>0</xdr:colOff>
      <xdr:row>185</xdr:row>
      <xdr:rowOff>0</xdr:rowOff>
    </xdr:from>
    <xdr:to>
      <xdr:col>61</xdr:col>
      <xdr:colOff>0</xdr:colOff>
      <xdr:row>194</xdr:row>
      <xdr:rowOff>0</xdr:rowOff>
    </xdr:to>
    <xdr:sp macro="" textlink="" fLocksText="0">
      <xdr:nvSpPr>
        <xdr:cNvPr id="134" name="吹き出し: 線 2">
          <a:extLst>
            <a:ext uri="{FF2B5EF4-FFF2-40B4-BE49-F238E27FC236}">
              <a16:creationId xmlns:a16="http://schemas.microsoft.com/office/drawing/2014/main" id="{00000000-0008-0000-0500-000086000000}"/>
            </a:ext>
          </a:extLst>
        </xdr:cNvPr>
        <xdr:cNvSpPr/>
      </xdr:nvSpPr>
      <xdr:spPr>
        <a:xfrm>
          <a:off x="10134600" y="35356800"/>
          <a:ext cx="6134100" cy="1714500"/>
        </a:xfrm>
        <a:prstGeom prst="borderCallout1">
          <a:avLst>
            <a:gd name="adj1" fmla="val 46335"/>
            <a:gd name="adj2" fmla="val 188"/>
            <a:gd name="adj3" fmla="val 56504"/>
            <a:gd name="adj4" fmla="val -1312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編集可能レシートクーポン確認機能を実行する。</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+削除されたレコードを編集した場合、または削除された該当レコード(StoreId = 09999 で同じクーポン券コード)があるレコードを編集した場合 、「デフォルト店舗を編集済の為選択できません。」エラーモダールを表示する。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+削除されておらず、StoreId = 09999のレコードを編集した場合、「他の店舗でクーポン券コードが重複するマスタがある 場合、該当するレコードを更新します。 よろしいですか。」確認モダールを表示する。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+上記以外の場合、MD9601_カテゴリ割引レシートクーポン追加・編集モダールを表示する。</a:t>
          </a:r>
        </a:p>
      </xdr:txBody>
    </xdr:sp>
    <xdr:clientData/>
  </xdr:twoCellAnchor>
  <xdr:twoCellAnchor>
    <xdr:from>
      <xdr:col>4</xdr:col>
      <xdr:colOff>0</xdr:colOff>
      <xdr:row>185</xdr:row>
      <xdr:rowOff>0</xdr:rowOff>
    </xdr:from>
    <xdr:to>
      <xdr:col>6</xdr:col>
      <xdr:colOff>0</xdr:colOff>
      <xdr:row>186</xdr:row>
      <xdr:rowOff>0</xdr:rowOff>
    </xdr:to>
    <xdr:sp macro="" textlink="" fLocksText="0">
      <xdr:nvSpPr>
        <xdr:cNvPr id="135" name="Rectangle: Rounded Corners 134">
          <a:extLst>
            <a:ext uri="{FF2B5EF4-FFF2-40B4-BE49-F238E27FC236}">
              <a16:creationId xmlns:a16="http://schemas.microsoft.com/office/drawing/2014/main" id="{00000000-0008-0000-0500-000087000000}"/>
            </a:ext>
          </a:extLst>
        </xdr:cNvPr>
        <xdr:cNvSpPr/>
      </xdr:nvSpPr>
      <xdr:spPr>
        <a:xfrm>
          <a:off x="1066800" y="3535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96.2</a:t>
          </a:r>
        </a:p>
      </xdr:txBody>
    </xdr:sp>
    <xdr:clientData/>
  </xdr:twoCellAnchor>
  <xdr:twoCellAnchor>
    <xdr:from>
      <xdr:col>2</xdr:col>
      <xdr:colOff>0</xdr:colOff>
      <xdr:row>188</xdr:row>
      <xdr:rowOff>0</xdr:rowOff>
    </xdr:from>
    <xdr:to>
      <xdr:col>8</xdr:col>
      <xdr:colOff>0</xdr:colOff>
      <xdr:row>192</xdr:row>
      <xdr:rowOff>0</xdr:rowOff>
    </xdr:to>
    <xdr:sp macro="" textlink="" fLocksText="0">
      <xdr:nvSpPr>
        <xdr:cNvPr id="136" name="四角形: 角を丸くする 3">
          <a:extLst>
            <a:ext uri="{FF2B5EF4-FFF2-40B4-BE49-F238E27FC236}">
              <a16:creationId xmlns:a16="http://schemas.microsoft.com/office/drawing/2014/main" id="{00000000-0008-0000-0500-000088000000}"/>
            </a:ext>
          </a:extLst>
        </xdr:cNvPr>
        <xdr:cNvSpPr/>
      </xdr:nvSpPr>
      <xdr:spPr>
        <a:xfrm>
          <a:off x="533400" y="35928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KN9605</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編集可能カテゴリ割引レシートクーポン確認機能</a:t>
          </a:r>
        </a:p>
      </xdr:txBody>
    </xdr:sp>
    <xdr:clientData/>
  </xdr:twoCellAnchor>
  <xdr:twoCellAnchor>
    <xdr:from>
      <xdr:col>1</xdr:col>
      <xdr:colOff>0</xdr:colOff>
      <xdr:row>195</xdr:row>
      <xdr:rowOff>11206</xdr:rowOff>
    </xdr:from>
    <xdr:to>
      <xdr:col>9</xdr:col>
      <xdr:colOff>0</xdr:colOff>
      <xdr:row>198</xdr:row>
      <xdr:rowOff>0</xdr:rowOff>
    </xdr:to>
    <xdr:sp macro="" textlink="" fLocksText="0">
      <xdr:nvSpPr>
        <xdr:cNvPr id="137" name="Rectangle: Rounded Corners 136">
          <a:extLst>
            <a:ext uri="{FF2B5EF4-FFF2-40B4-BE49-F238E27FC236}">
              <a16:creationId xmlns:a16="http://schemas.microsoft.com/office/drawing/2014/main" id="{00000000-0008-0000-0500-000089000000}"/>
            </a:ext>
          </a:extLst>
        </xdr:cNvPr>
        <xdr:cNvSpPr/>
      </xdr:nvSpPr>
      <xdr:spPr>
        <a:xfrm>
          <a:off x="266700" y="37271325"/>
          <a:ext cx="2133600" cy="561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削除されたレシートクーポン/削除されたstoreId=09999のレシートクーポン</a:t>
          </a:r>
        </a:p>
      </xdr:txBody>
    </xdr:sp>
    <xdr:clientData/>
  </xdr:twoCellAnchor>
  <xdr:twoCellAnchor>
    <xdr:from>
      <xdr:col>11</xdr:col>
      <xdr:colOff>0</xdr:colOff>
      <xdr:row>194</xdr:row>
      <xdr:rowOff>179294</xdr:rowOff>
    </xdr:from>
    <xdr:to>
      <xdr:col>15</xdr:col>
      <xdr:colOff>0</xdr:colOff>
      <xdr:row>197</xdr:row>
      <xdr:rowOff>179294</xdr:rowOff>
    </xdr:to>
    <xdr:sp macro="" textlink="" fLocksText="0">
      <xdr:nvSpPr>
        <xdr:cNvPr id="138" name="Rectangle: Rounded Corners 137">
          <a:extLst>
            <a:ext uri="{FF2B5EF4-FFF2-40B4-BE49-F238E27FC236}">
              <a16:creationId xmlns:a16="http://schemas.microsoft.com/office/drawing/2014/main" id="{00000000-0008-0000-0500-00008A000000}"/>
            </a:ext>
          </a:extLst>
        </xdr:cNvPr>
        <xdr:cNvSpPr/>
      </xdr:nvSpPr>
      <xdr:spPr>
        <a:xfrm>
          <a:off x="2933700" y="37252275"/>
          <a:ext cx="1066800" cy="571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StoreId 09999</a:t>
          </a:r>
        </a:p>
      </xdr:txBody>
    </xdr:sp>
    <xdr:clientData/>
  </xdr:twoCellAnchor>
  <xdr:twoCellAnchor>
    <xdr:from>
      <xdr:col>17</xdr:col>
      <xdr:colOff>0</xdr:colOff>
      <xdr:row>194</xdr:row>
      <xdr:rowOff>179294</xdr:rowOff>
    </xdr:from>
    <xdr:to>
      <xdr:col>21</xdr:col>
      <xdr:colOff>0</xdr:colOff>
      <xdr:row>197</xdr:row>
      <xdr:rowOff>179294</xdr:rowOff>
    </xdr:to>
    <xdr:sp macro="" textlink="" fLocksText="0">
      <xdr:nvSpPr>
        <xdr:cNvPr id="139" name="Rectangle: Rounded Corners 138">
          <a:extLst>
            <a:ext uri="{FF2B5EF4-FFF2-40B4-BE49-F238E27FC236}">
              <a16:creationId xmlns:a16="http://schemas.microsoft.com/office/drawing/2014/main" id="{00000000-0008-0000-0500-00008B000000}"/>
            </a:ext>
          </a:extLst>
        </xdr:cNvPr>
        <xdr:cNvSpPr/>
      </xdr:nvSpPr>
      <xdr:spPr>
        <a:xfrm>
          <a:off x="4533900" y="37252275"/>
          <a:ext cx="1066800" cy="571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上記以外の場合</a:t>
          </a:r>
        </a:p>
      </xdr:txBody>
    </xdr:sp>
    <xdr:clientData/>
  </xdr:twoCellAnchor>
  <xdr:twoCellAnchor>
    <xdr:from>
      <xdr:col>4</xdr:col>
      <xdr:colOff>235323</xdr:colOff>
      <xdr:row>192</xdr:row>
      <xdr:rowOff>0</xdr:rowOff>
    </xdr:from>
    <xdr:to>
      <xdr:col>18</xdr:col>
      <xdr:colOff>235322</xdr:colOff>
      <xdr:row>194</xdr:row>
      <xdr:rowOff>179294</xdr:rowOff>
    </xdr:to>
    <xdr:cxnSp macro="">
      <xdr:nvCxnSpPr>
        <xdr:cNvPr id="140" name="Connector: Elbow 139">
          <a:extLst>
            <a:ext uri="{FF2B5EF4-FFF2-40B4-BE49-F238E27FC236}">
              <a16:creationId xmlns:a16="http://schemas.microsoft.com/office/drawing/2014/main" id="{00000000-0008-0000-0500-00008C000000}"/>
            </a:ext>
          </a:extLst>
        </xdr:cNvPr>
        <xdr:cNvCxnSpPr>
          <a:stCxn id="136" idx="2"/>
          <a:endCxn id="139" idx="0"/>
        </xdr:cNvCxnSpPr>
      </xdr:nvCxnSpPr>
      <xdr:spPr>
        <a:xfrm rot="16200000" flipH="1">
          <a:off x="1304925" y="36690300"/>
          <a:ext cx="3733800" cy="561975"/>
        </a:xfrm>
        <a:prstGeom prst="bentConnector3">
          <a:avLst>
            <a:gd name="adj1" fmla="val 34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200</xdr:row>
      <xdr:rowOff>0</xdr:rowOff>
    </xdr:from>
    <xdr:to>
      <xdr:col>16</xdr:col>
      <xdr:colOff>0</xdr:colOff>
      <xdr:row>204</xdr:row>
      <xdr:rowOff>0</xdr:rowOff>
    </xdr:to>
    <xdr:sp macro="" textlink="" fLocksText="0">
      <xdr:nvSpPr>
        <xdr:cNvPr id="141" name="正方形/長方形 19">
          <a:extLst>
            <a:ext uri="{FF2B5EF4-FFF2-40B4-BE49-F238E27FC236}">
              <a16:creationId xmlns:a16="http://schemas.microsoft.com/office/drawing/2014/main" id="{00000000-0008-0000-0500-00008D000000}"/>
            </a:ext>
          </a:extLst>
        </xdr:cNvPr>
        <xdr:cNvSpPr/>
      </xdr:nvSpPr>
      <xdr:spPr>
        <a:xfrm>
          <a:off x="2667000" y="38214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MD_CONFIRM</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影響が与えられた該当レシートクーポン</a:t>
          </a:r>
        </a:p>
      </xdr:txBody>
    </xdr:sp>
    <xdr:clientData/>
  </xdr:twoCellAnchor>
  <xdr:twoCellAnchor>
    <xdr:from>
      <xdr:col>4</xdr:col>
      <xdr:colOff>0</xdr:colOff>
      <xdr:row>209</xdr:row>
      <xdr:rowOff>0</xdr:rowOff>
    </xdr:from>
    <xdr:to>
      <xdr:col>6</xdr:col>
      <xdr:colOff>0</xdr:colOff>
      <xdr:row>210</xdr:row>
      <xdr:rowOff>0</xdr:rowOff>
    </xdr:to>
    <xdr:sp macro="" textlink="" fLocksText="0">
      <xdr:nvSpPr>
        <xdr:cNvPr id="142" name="Rectangle: Rounded Corners 141">
          <a:extLst>
            <a:ext uri="{FF2B5EF4-FFF2-40B4-BE49-F238E27FC236}">
              <a16:creationId xmlns:a16="http://schemas.microsoft.com/office/drawing/2014/main" id="{00000000-0008-0000-0500-00008E000000}"/>
            </a:ext>
          </a:extLst>
        </xdr:cNvPr>
        <xdr:cNvSpPr/>
      </xdr:nvSpPr>
      <xdr:spPr>
        <a:xfrm>
          <a:off x="1066800" y="3992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a:t>
          </a:r>
        </a:p>
      </xdr:txBody>
    </xdr:sp>
    <xdr:clientData/>
  </xdr:twoCellAnchor>
  <xdr:twoCellAnchor>
    <xdr:from>
      <xdr:col>5</xdr:col>
      <xdr:colOff>0</xdr:colOff>
      <xdr:row>205</xdr:row>
      <xdr:rowOff>1</xdr:rowOff>
    </xdr:from>
    <xdr:to>
      <xdr:col>11</xdr:col>
      <xdr:colOff>0</xdr:colOff>
      <xdr:row>209</xdr:row>
      <xdr:rowOff>1</xdr:rowOff>
    </xdr:to>
    <xdr:cxnSp macro="">
      <xdr:nvCxnSpPr>
        <xdr:cNvPr id="143" name="Connector: Elbow 142">
          <a:extLst>
            <a:ext uri="{FF2B5EF4-FFF2-40B4-BE49-F238E27FC236}">
              <a16:creationId xmlns:a16="http://schemas.microsoft.com/office/drawing/2014/main" id="{00000000-0008-0000-0500-00008F000000}"/>
            </a:ext>
          </a:extLst>
        </xdr:cNvPr>
        <xdr:cNvCxnSpPr>
          <a:stCxn id="151" idx="2"/>
          <a:endCxn id="142" idx="0"/>
        </xdr:cNvCxnSpPr>
      </xdr:nvCxnSpPr>
      <xdr:spPr>
        <a:xfrm rot="5400000">
          <a:off x="1333500" y="39166800"/>
          <a:ext cx="1600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186</xdr:row>
      <xdr:rowOff>0</xdr:rowOff>
    </xdr:from>
    <xdr:to>
      <xdr:col>5</xdr:col>
      <xdr:colOff>0</xdr:colOff>
      <xdr:row>188</xdr:row>
      <xdr:rowOff>0</xdr:rowOff>
    </xdr:to>
    <xdr:cxnSp macro="">
      <xdr:nvCxnSpPr>
        <xdr:cNvPr id="144" name="直線矢印コネクタ 1010">
          <a:extLst>
            <a:ext uri="{FF2B5EF4-FFF2-40B4-BE49-F238E27FC236}">
              <a16:creationId xmlns:a16="http://schemas.microsoft.com/office/drawing/2014/main" id="{00000000-0008-0000-0500-000090000000}"/>
            </a:ext>
          </a:extLst>
        </xdr:cNvPr>
        <xdr:cNvCxnSpPr>
          <a:stCxn id="135" idx="2"/>
          <a:endCxn id="136" idx="0"/>
        </xdr:cNvCxnSpPr>
      </xdr:nvCxnSpPr>
      <xdr:spPr>
        <a:xfrm>
          <a:off x="1333500" y="3554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192</xdr:row>
      <xdr:rowOff>0</xdr:rowOff>
    </xdr:from>
    <xdr:to>
      <xdr:col>13</xdr:col>
      <xdr:colOff>0</xdr:colOff>
      <xdr:row>194</xdr:row>
      <xdr:rowOff>179294</xdr:rowOff>
    </xdr:to>
    <xdr:cxnSp macro="">
      <xdr:nvCxnSpPr>
        <xdr:cNvPr id="145" name="直線矢印コネクタ 1010">
          <a:extLst>
            <a:ext uri="{FF2B5EF4-FFF2-40B4-BE49-F238E27FC236}">
              <a16:creationId xmlns:a16="http://schemas.microsoft.com/office/drawing/2014/main" id="{00000000-0008-0000-0500-000091000000}"/>
            </a:ext>
          </a:extLst>
        </xdr:cNvPr>
        <xdr:cNvCxnSpPr>
          <a:stCxn id="136" idx="2"/>
          <a:endCxn id="138" idx="0"/>
        </xdr:cNvCxnSpPr>
      </xdr:nvCxnSpPr>
      <xdr:spPr>
        <a:xfrm rot="16200000" flipH="1">
          <a:off x="1333500" y="36690300"/>
          <a:ext cx="2133600" cy="561975"/>
        </a:xfrm>
        <a:prstGeom prst="bentConnector3">
          <a:avLst>
            <a:gd name="adj1" fmla="val 34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197</xdr:row>
      <xdr:rowOff>179294</xdr:rowOff>
    </xdr:from>
    <xdr:to>
      <xdr:col>13</xdr:col>
      <xdr:colOff>0</xdr:colOff>
      <xdr:row>200</xdr:row>
      <xdr:rowOff>0</xdr:rowOff>
    </xdr:to>
    <xdr:cxnSp macro="">
      <xdr:nvCxnSpPr>
        <xdr:cNvPr id="146" name="直線矢印コネクタ 1010">
          <a:extLst>
            <a:ext uri="{FF2B5EF4-FFF2-40B4-BE49-F238E27FC236}">
              <a16:creationId xmlns:a16="http://schemas.microsoft.com/office/drawing/2014/main" id="{00000000-0008-0000-0500-000092000000}"/>
            </a:ext>
          </a:extLst>
        </xdr:cNvPr>
        <xdr:cNvCxnSpPr>
          <a:stCxn id="138" idx="2"/>
          <a:endCxn id="141" idx="0"/>
        </xdr:cNvCxnSpPr>
      </xdr:nvCxnSpPr>
      <xdr:spPr>
        <a:xfrm>
          <a:off x="3467100" y="378237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192</xdr:row>
      <xdr:rowOff>0</xdr:rowOff>
    </xdr:from>
    <xdr:to>
      <xdr:col>5</xdr:col>
      <xdr:colOff>0</xdr:colOff>
      <xdr:row>195</xdr:row>
      <xdr:rowOff>11206</xdr:rowOff>
    </xdr:to>
    <xdr:cxnSp macro="">
      <xdr:nvCxnSpPr>
        <xdr:cNvPr id="147" name="Connector: Elbow 499">
          <a:extLst>
            <a:ext uri="{FF2B5EF4-FFF2-40B4-BE49-F238E27FC236}">
              <a16:creationId xmlns:a16="http://schemas.microsoft.com/office/drawing/2014/main" id="{00000000-0008-0000-0500-000093000000}"/>
            </a:ext>
          </a:extLst>
        </xdr:cNvPr>
        <xdr:cNvCxnSpPr>
          <a:stCxn id="136" idx="2"/>
          <a:endCxn id="137" idx="0"/>
        </xdr:cNvCxnSpPr>
      </xdr:nvCxnSpPr>
      <xdr:spPr>
        <a:xfrm>
          <a:off x="1333500" y="36690300"/>
          <a:ext cx="0" cy="581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198</xdr:row>
      <xdr:rowOff>0</xdr:rowOff>
    </xdr:from>
    <xdr:to>
      <xdr:col>5</xdr:col>
      <xdr:colOff>0</xdr:colOff>
      <xdr:row>200</xdr:row>
      <xdr:rowOff>0</xdr:rowOff>
    </xdr:to>
    <xdr:cxnSp macro="">
      <xdr:nvCxnSpPr>
        <xdr:cNvPr id="148" name="直線矢印コネクタ 1010">
          <a:extLst>
            <a:ext uri="{FF2B5EF4-FFF2-40B4-BE49-F238E27FC236}">
              <a16:creationId xmlns:a16="http://schemas.microsoft.com/office/drawing/2014/main" id="{00000000-0008-0000-0500-000094000000}"/>
            </a:ext>
          </a:extLst>
        </xdr:cNvPr>
        <xdr:cNvCxnSpPr>
          <a:stCxn id="137" idx="2"/>
          <a:endCxn id="6" idx="0"/>
        </xdr:cNvCxnSpPr>
      </xdr:nvCxnSpPr>
      <xdr:spPr>
        <a:xfrm>
          <a:off x="1333500" y="3783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204</xdr:row>
      <xdr:rowOff>0</xdr:rowOff>
    </xdr:from>
    <xdr:to>
      <xdr:col>5</xdr:col>
      <xdr:colOff>0</xdr:colOff>
      <xdr:row>209</xdr:row>
      <xdr:rowOff>0</xdr:rowOff>
    </xdr:to>
    <xdr:cxnSp macro="">
      <xdr:nvCxnSpPr>
        <xdr:cNvPr id="150" name="直線矢印コネクタ 1010">
          <a:extLst>
            <a:ext uri="{FF2B5EF4-FFF2-40B4-BE49-F238E27FC236}">
              <a16:creationId xmlns:a16="http://schemas.microsoft.com/office/drawing/2014/main" id="{00000000-0008-0000-0500-000096000000}"/>
            </a:ext>
          </a:extLst>
        </xdr:cNvPr>
        <xdr:cNvCxnSpPr>
          <a:stCxn id="6" idx="2"/>
          <a:endCxn id="142" idx="0"/>
        </xdr:cNvCxnSpPr>
      </xdr:nvCxnSpPr>
      <xdr:spPr>
        <a:xfrm>
          <a:off x="1333500" y="38976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204</xdr:row>
      <xdr:rowOff>0</xdr:rowOff>
    </xdr:from>
    <xdr:to>
      <xdr:col>12</xdr:col>
      <xdr:colOff>0</xdr:colOff>
      <xdr:row>205</xdr:row>
      <xdr:rowOff>0</xdr:rowOff>
    </xdr:to>
    <xdr:sp macro="" textlink="" fLocksText="0">
      <xdr:nvSpPr>
        <xdr:cNvPr id="151" name="四角形: 角を丸くする 1101">
          <a:extLst>
            <a:ext uri="{FF2B5EF4-FFF2-40B4-BE49-F238E27FC236}">
              <a16:creationId xmlns:a16="http://schemas.microsoft.com/office/drawing/2014/main" id="{00000000-0008-0000-0500-000097000000}"/>
            </a:ext>
          </a:extLst>
        </xdr:cNvPr>
        <xdr:cNvSpPr/>
      </xdr:nvSpPr>
      <xdr:spPr>
        <a:xfrm>
          <a:off x="2667000" y="38976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204</xdr:row>
      <xdr:rowOff>0</xdr:rowOff>
    </xdr:from>
    <xdr:to>
      <xdr:col>16</xdr:col>
      <xdr:colOff>0</xdr:colOff>
      <xdr:row>205</xdr:row>
      <xdr:rowOff>0</xdr:rowOff>
    </xdr:to>
    <xdr:sp macro="" textlink="" fLocksText="0">
      <xdr:nvSpPr>
        <xdr:cNvPr id="152" name="四角形: 角を丸くする 1101">
          <a:extLst>
            <a:ext uri="{FF2B5EF4-FFF2-40B4-BE49-F238E27FC236}">
              <a16:creationId xmlns:a16="http://schemas.microsoft.com/office/drawing/2014/main" id="{00000000-0008-0000-0500-000098000000}"/>
            </a:ext>
          </a:extLst>
        </xdr:cNvPr>
        <xdr:cNvSpPr/>
      </xdr:nvSpPr>
      <xdr:spPr>
        <a:xfrm>
          <a:off x="3733800" y="38976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はい</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209</xdr:row>
      <xdr:rowOff>0</xdr:rowOff>
    </xdr:from>
    <xdr:to>
      <xdr:col>16</xdr:col>
      <xdr:colOff>0</xdr:colOff>
      <xdr:row>210</xdr:row>
      <xdr:rowOff>0</xdr:rowOff>
    </xdr:to>
    <xdr:sp macro="" textlink="" fLocksText="0">
      <xdr:nvSpPr>
        <xdr:cNvPr id="153" name="Rectangle: Rounded Corners 152">
          <a:extLst>
            <a:ext uri="{FF2B5EF4-FFF2-40B4-BE49-F238E27FC236}">
              <a16:creationId xmlns:a16="http://schemas.microsoft.com/office/drawing/2014/main" id="{00000000-0008-0000-0500-000099000000}"/>
            </a:ext>
          </a:extLst>
        </xdr:cNvPr>
        <xdr:cNvSpPr/>
      </xdr:nvSpPr>
      <xdr:spPr>
        <a:xfrm>
          <a:off x="3733800" y="3992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96.5</a:t>
          </a:r>
        </a:p>
      </xdr:txBody>
    </xdr:sp>
    <xdr:clientData/>
  </xdr:twoCellAnchor>
  <xdr:twoCellAnchor>
    <xdr:from>
      <xdr:col>15</xdr:col>
      <xdr:colOff>0</xdr:colOff>
      <xdr:row>205</xdr:row>
      <xdr:rowOff>0</xdr:rowOff>
    </xdr:from>
    <xdr:to>
      <xdr:col>15</xdr:col>
      <xdr:colOff>0</xdr:colOff>
      <xdr:row>209</xdr:row>
      <xdr:rowOff>0</xdr:rowOff>
    </xdr:to>
    <xdr:cxnSp macro="">
      <xdr:nvCxnSpPr>
        <xdr:cNvPr id="154" name="直線矢印コネクタ 1010">
          <a:extLst>
            <a:ext uri="{FF2B5EF4-FFF2-40B4-BE49-F238E27FC236}">
              <a16:creationId xmlns:a16="http://schemas.microsoft.com/office/drawing/2014/main" id="{00000000-0008-0000-0500-00009A000000}"/>
            </a:ext>
          </a:extLst>
        </xdr:cNvPr>
        <xdr:cNvCxnSpPr>
          <a:stCxn id="152" idx="2"/>
          <a:endCxn id="153" idx="0"/>
        </xdr:cNvCxnSpPr>
      </xdr:nvCxnSpPr>
      <xdr:spPr>
        <a:xfrm>
          <a:off x="4000500" y="3916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168</xdr:row>
      <xdr:rowOff>0</xdr:rowOff>
    </xdr:from>
    <xdr:to>
      <xdr:col>7</xdr:col>
      <xdr:colOff>0</xdr:colOff>
      <xdr:row>170</xdr:row>
      <xdr:rowOff>0</xdr:rowOff>
    </xdr:to>
    <xdr:sp macro="" textlink="" fLocksText="0">
      <xdr:nvSpPr>
        <xdr:cNvPr id="155" name="Rectangle: Rounded Corners 154">
          <a:extLst>
            <a:ext uri="{FF2B5EF4-FFF2-40B4-BE49-F238E27FC236}">
              <a16:creationId xmlns:a16="http://schemas.microsoft.com/office/drawing/2014/main" id="{00000000-0008-0000-0500-00009B000000}"/>
            </a:ext>
          </a:extLst>
        </xdr:cNvPr>
        <xdr:cNvSpPr/>
      </xdr:nvSpPr>
      <xdr:spPr>
        <a:xfrm>
          <a:off x="800100" y="32118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一時削除された。</a:t>
          </a:r>
        </a:p>
      </xdr:txBody>
    </xdr:sp>
    <xdr:clientData/>
  </xdr:twoCellAnchor>
  <xdr:twoCellAnchor>
    <xdr:from>
      <xdr:col>5</xdr:col>
      <xdr:colOff>0</xdr:colOff>
      <xdr:row>164</xdr:row>
      <xdr:rowOff>0</xdr:rowOff>
    </xdr:from>
    <xdr:to>
      <xdr:col>5</xdr:col>
      <xdr:colOff>0</xdr:colOff>
      <xdr:row>168</xdr:row>
      <xdr:rowOff>0</xdr:rowOff>
    </xdr:to>
    <xdr:cxnSp macro="">
      <xdr:nvCxnSpPr>
        <xdr:cNvPr id="156" name="Connector: Elbow 561">
          <a:extLst>
            <a:ext uri="{FF2B5EF4-FFF2-40B4-BE49-F238E27FC236}">
              <a16:creationId xmlns:a16="http://schemas.microsoft.com/office/drawing/2014/main" id="{00000000-0008-0000-0500-00009C000000}"/>
            </a:ext>
          </a:extLst>
        </xdr:cNvPr>
        <xdr:cNvCxnSpPr>
          <a:stCxn id="117" idx="2"/>
          <a:endCxn id="155" idx="0"/>
        </xdr:cNvCxnSpPr>
      </xdr:nvCxnSpPr>
      <xdr:spPr>
        <a:xfrm>
          <a:off x="1333500" y="31356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170</xdr:row>
      <xdr:rowOff>0</xdr:rowOff>
    </xdr:from>
    <xdr:to>
      <xdr:col>5</xdr:col>
      <xdr:colOff>0</xdr:colOff>
      <xdr:row>180</xdr:row>
      <xdr:rowOff>0</xdr:rowOff>
    </xdr:to>
    <xdr:cxnSp macro="">
      <xdr:nvCxnSpPr>
        <xdr:cNvPr id="157" name="Connector: Elbow 440">
          <a:extLst>
            <a:ext uri="{FF2B5EF4-FFF2-40B4-BE49-F238E27FC236}">
              <a16:creationId xmlns:a16="http://schemas.microsoft.com/office/drawing/2014/main" id="{00000000-0008-0000-0500-00009D000000}"/>
            </a:ext>
          </a:extLst>
        </xdr:cNvPr>
        <xdr:cNvCxnSpPr>
          <a:stCxn id="155" idx="2"/>
          <a:endCxn id="127" idx="0"/>
        </xdr:cNvCxnSpPr>
      </xdr:nvCxnSpPr>
      <xdr:spPr>
        <a:xfrm>
          <a:off x="1333500" y="324993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117</xdr:row>
      <xdr:rowOff>190493</xdr:rowOff>
    </xdr:from>
    <xdr:to>
      <xdr:col>15</xdr:col>
      <xdr:colOff>0</xdr:colOff>
      <xdr:row>118</xdr:row>
      <xdr:rowOff>190493</xdr:rowOff>
    </xdr:to>
    <xdr:sp macro="" textlink="" fLocksText="0">
      <xdr:nvSpPr>
        <xdr:cNvPr id="164" name="Rectangle: Rounded Corners 163">
          <a:extLst>
            <a:ext uri="{FF2B5EF4-FFF2-40B4-BE49-F238E27FC236}">
              <a16:creationId xmlns:a16="http://schemas.microsoft.com/office/drawing/2014/main" id="{00000000-0008-0000-0500-0000A4000000}"/>
            </a:ext>
          </a:extLst>
        </xdr:cNvPr>
        <xdr:cNvSpPr/>
      </xdr:nvSpPr>
      <xdr:spPr>
        <a:xfrm>
          <a:off x="3467100" y="2259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14</xdr:col>
      <xdr:colOff>1</xdr:colOff>
      <xdr:row>110</xdr:row>
      <xdr:rowOff>190493</xdr:rowOff>
    </xdr:from>
    <xdr:to>
      <xdr:col>14</xdr:col>
      <xdr:colOff>1</xdr:colOff>
      <xdr:row>117</xdr:row>
      <xdr:rowOff>190493</xdr:rowOff>
    </xdr:to>
    <xdr:cxnSp macro="">
      <xdr:nvCxnSpPr>
        <xdr:cNvPr id="165" name="直線矢印コネクタ 1010">
          <a:extLst>
            <a:ext uri="{FF2B5EF4-FFF2-40B4-BE49-F238E27FC236}">
              <a16:creationId xmlns:a16="http://schemas.microsoft.com/office/drawing/2014/main" id="{00000000-0008-0000-0500-0000A5000000}"/>
            </a:ext>
          </a:extLst>
        </xdr:cNvPr>
        <xdr:cNvCxnSpPr>
          <a:stCxn id="87" idx="2"/>
          <a:endCxn id="164" idx="0"/>
        </xdr:cNvCxnSpPr>
      </xdr:nvCxnSpPr>
      <xdr:spPr>
        <a:xfrm>
          <a:off x="3733800" y="212598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35</xdr:row>
      <xdr:rowOff>0</xdr:rowOff>
    </xdr:from>
    <xdr:to>
      <xdr:col>17</xdr:col>
      <xdr:colOff>0</xdr:colOff>
      <xdr:row>39</xdr:row>
      <xdr:rowOff>0</xdr:rowOff>
    </xdr:to>
    <xdr:sp macro="" textlink="" fLocksText="0">
      <xdr:nvSpPr>
        <xdr:cNvPr id="166" name="四角形: 角を丸くする 3">
          <a:extLst>
            <a:ext uri="{FF2B5EF4-FFF2-40B4-BE49-F238E27FC236}">
              <a16:creationId xmlns:a16="http://schemas.microsoft.com/office/drawing/2014/main" id="{00000000-0008-0000-0500-0000A6000000}"/>
            </a:ext>
          </a:extLst>
        </xdr:cNvPr>
        <xdr:cNvSpPr/>
      </xdr:nvSpPr>
      <xdr:spPr>
        <a:xfrm>
          <a:off x="2933700" y="6781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KN8302</a:t>
          </a:r>
        </a:p>
        <a:p>
          <a:pPr algn="ctr">
            <a:defRPr lang="en-US" altLang="ja-JP" sz="100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メッセージマスタリスト取得機能</a:t>
          </a:r>
        </a:p>
      </xdr:txBody>
    </xdr:sp>
    <xdr:clientData/>
  </xdr:twoCellAnchor>
  <xdr:twoCellAnchor>
    <xdr:from>
      <xdr:col>29</xdr:col>
      <xdr:colOff>0</xdr:colOff>
      <xdr:row>35</xdr:row>
      <xdr:rowOff>0</xdr:rowOff>
    </xdr:from>
    <xdr:to>
      <xdr:col>35</xdr:col>
      <xdr:colOff>0</xdr:colOff>
      <xdr:row>39</xdr:row>
      <xdr:rowOff>0</xdr:rowOff>
    </xdr:to>
    <xdr:sp macro="" textlink="" fLocksText="0">
      <xdr:nvSpPr>
        <xdr:cNvPr id="167" name="フローチャート: 磁気ディスク 194">
          <a:extLst>
            <a:ext uri="{FF2B5EF4-FFF2-40B4-BE49-F238E27FC236}">
              <a16:creationId xmlns:a16="http://schemas.microsoft.com/office/drawing/2014/main" id="{00000000-0008-0000-0500-0000A7000000}"/>
            </a:ext>
          </a:extLst>
        </xdr:cNvPr>
        <xdr:cNvSpPr/>
      </xdr:nvSpPr>
      <xdr:spPr>
        <a:xfrm>
          <a:off x="7734300" y="6781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AP8302</a:t>
          </a:r>
        </a:p>
        <a:p>
          <a:pPr algn="ctr">
            <a:defRPr lang="en-US" altLang="ja-JP" sz="900" b="0" i="0" u="none" baseline="0">
              <a:solidFill>
                <a:schemeClr val="tx1"/>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メッセージマスタリスト取得</a:t>
          </a:r>
        </a:p>
      </xdr:txBody>
    </xdr:sp>
    <xdr:clientData/>
  </xdr:twoCellAnchor>
  <xdr:twoCellAnchor>
    <xdr:from>
      <xdr:col>17</xdr:col>
      <xdr:colOff>0</xdr:colOff>
      <xdr:row>37</xdr:row>
      <xdr:rowOff>0</xdr:rowOff>
    </xdr:from>
    <xdr:to>
      <xdr:col>29</xdr:col>
      <xdr:colOff>0</xdr:colOff>
      <xdr:row>37</xdr:row>
      <xdr:rowOff>0</xdr:rowOff>
    </xdr:to>
    <xdr:cxnSp macro="">
      <xdr:nvCxnSpPr>
        <xdr:cNvPr id="168" name="Straight Arrow Connector 167">
          <a:extLst>
            <a:ext uri="{FF2B5EF4-FFF2-40B4-BE49-F238E27FC236}">
              <a16:creationId xmlns:a16="http://schemas.microsoft.com/office/drawing/2014/main" id="{00000000-0008-0000-0500-0000A8000000}"/>
            </a:ext>
          </a:extLst>
        </xdr:cNvPr>
        <xdr:cNvCxnSpPr>
          <a:stCxn id="166" idx="3"/>
          <a:endCxn id="167" idx="2"/>
        </xdr:cNvCxnSpPr>
      </xdr:nvCxnSpPr>
      <xdr:spPr>
        <a:xfrm>
          <a:off x="4533900" y="7162800"/>
          <a:ext cx="3200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22411</xdr:colOff>
      <xdr:row>27</xdr:row>
      <xdr:rowOff>44823</xdr:rowOff>
    </xdr:from>
    <xdr:to>
      <xdr:col>14</xdr:col>
      <xdr:colOff>67236</xdr:colOff>
      <xdr:row>35</xdr:row>
      <xdr:rowOff>22412</xdr:rowOff>
    </xdr:to>
    <xdr:cxnSp macro="">
      <xdr:nvCxnSpPr>
        <xdr:cNvPr id="169" name="直線矢印コネクタ 1010">
          <a:extLst>
            <a:ext uri="{FF2B5EF4-FFF2-40B4-BE49-F238E27FC236}">
              <a16:creationId xmlns:a16="http://schemas.microsoft.com/office/drawing/2014/main" id="{00000000-0008-0000-0500-0000A9000000}"/>
            </a:ext>
          </a:extLst>
        </xdr:cNvPr>
        <xdr:cNvCxnSpPr/>
      </xdr:nvCxnSpPr>
      <xdr:spPr>
        <a:xfrm>
          <a:off x="1352550" y="5305425"/>
          <a:ext cx="2447925" cy="14954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39</xdr:row>
      <xdr:rowOff>0</xdr:rowOff>
    </xdr:from>
    <xdr:to>
      <xdr:col>14</xdr:col>
      <xdr:colOff>1</xdr:colOff>
      <xdr:row>45</xdr:row>
      <xdr:rowOff>0</xdr:rowOff>
    </xdr:to>
    <xdr:cxnSp macro="">
      <xdr:nvCxnSpPr>
        <xdr:cNvPr id="170" name="直線矢印コネクタ 1010">
          <a:extLst>
            <a:ext uri="{FF2B5EF4-FFF2-40B4-BE49-F238E27FC236}">
              <a16:creationId xmlns:a16="http://schemas.microsoft.com/office/drawing/2014/main" id="{00000000-0008-0000-0500-0000AA000000}"/>
            </a:ext>
          </a:extLst>
        </xdr:cNvPr>
        <xdr:cNvCxnSpPr>
          <a:stCxn id="166" idx="2"/>
          <a:endCxn id="23" idx="0"/>
        </xdr:cNvCxnSpPr>
      </xdr:nvCxnSpPr>
      <xdr:spPr>
        <a:xfrm rot="5400000">
          <a:off x="1333500" y="7543800"/>
          <a:ext cx="24003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68</xdr:row>
      <xdr:rowOff>190493</xdr:rowOff>
    </xdr:from>
    <xdr:to>
      <xdr:col>7</xdr:col>
      <xdr:colOff>0</xdr:colOff>
      <xdr:row>70</xdr:row>
      <xdr:rowOff>190493</xdr:rowOff>
    </xdr:to>
    <xdr:sp macro="" textlink="" fLocksText="0">
      <xdr:nvSpPr>
        <xdr:cNvPr id="171" name="Rectangle: Rounded Corners 170">
          <a:extLst>
            <a:ext uri="{FF2B5EF4-FFF2-40B4-BE49-F238E27FC236}">
              <a16:creationId xmlns:a16="http://schemas.microsoft.com/office/drawing/2014/main" id="{00000000-0008-0000-0500-0000AB000000}"/>
            </a:ext>
          </a:extLst>
        </xdr:cNvPr>
        <xdr:cNvSpPr/>
      </xdr:nvSpPr>
      <xdr:spPr>
        <a:xfrm>
          <a:off x="800100" y="13258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IDが09999店舗</a:t>
          </a:r>
        </a:p>
      </xdr:txBody>
    </xdr:sp>
    <xdr:clientData/>
  </xdr:twoCellAnchor>
  <xdr:twoCellAnchor>
    <xdr:from>
      <xdr:col>5</xdr:col>
      <xdr:colOff>0</xdr:colOff>
      <xdr:row>70</xdr:row>
      <xdr:rowOff>190493</xdr:rowOff>
    </xdr:from>
    <xdr:to>
      <xdr:col>5</xdr:col>
      <xdr:colOff>0</xdr:colOff>
      <xdr:row>73</xdr:row>
      <xdr:rowOff>11199</xdr:rowOff>
    </xdr:to>
    <xdr:cxnSp macro="">
      <xdr:nvCxnSpPr>
        <xdr:cNvPr id="172" name="直線矢印コネクタ 1010">
          <a:extLst>
            <a:ext uri="{FF2B5EF4-FFF2-40B4-BE49-F238E27FC236}">
              <a16:creationId xmlns:a16="http://schemas.microsoft.com/office/drawing/2014/main" id="{00000000-0008-0000-0500-0000AC000000}"/>
            </a:ext>
          </a:extLst>
        </xdr:cNvPr>
        <xdr:cNvCxnSpPr>
          <a:stCxn id="171" idx="2"/>
          <a:endCxn id="61" idx="0"/>
        </xdr:cNvCxnSpPr>
      </xdr:nvCxnSpPr>
      <xdr:spPr>
        <a:xfrm>
          <a:off x="1333500" y="13639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68</xdr:row>
      <xdr:rowOff>190493</xdr:rowOff>
    </xdr:from>
    <xdr:to>
      <xdr:col>12</xdr:col>
      <xdr:colOff>0</xdr:colOff>
      <xdr:row>70</xdr:row>
      <xdr:rowOff>190493</xdr:rowOff>
    </xdr:to>
    <xdr:sp macro="" textlink="" fLocksText="0">
      <xdr:nvSpPr>
        <xdr:cNvPr id="173" name="Rectangle: Rounded Corners 172">
          <a:extLst>
            <a:ext uri="{FF2B5EF4-FFF2-40B4-BE49-F238E27FC236}">
              <a16:creationId xmlns:a16="http://schemas.microsoft.com/office/drawing/2014/main" id="{00000000-0008-0000-0500-0000AD000000}"/>
            </a:ext>
          </a:extLst>
        </xdr:cNvPr>
        <xdr:cNvSpPr/>
      </xdr:nvSpPr>
      <xdr:spPr>
        <a:xfrm>
          <a:off x="2133600" y="13258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IDが09999以外の店舗</a:t>
          </a:r>
        </a:p>
      </xdr:txBody>
    </xdr:sp>
    <xdr:clientData/>
  </xdr:twoCellAnchor>
  <xdr:twoCellAnchor>
    <xdr:from>
      <xdr:col>5</xdr:col>
      <xdr:colOff>0</xdr:colOff>
      <xdr:row>56</xdr:row>
      <xdr:rowOff>190499</xdr:rowOff>
    </xdr:from>
    <xdr:to>
      <xdr:col>10</xdr:col>
      <xdr:colOff>0</xdr:colOff>
      <xdr:row>68</xdr:row>
      <xdr:rowOff>190492</xdr:rowOff>
    </xdr:to>
    <xdr:cxnSp macro="">
      <xdr:nvCxnSpPr>
        <xdr:cNvPr id="174" name="直線矢印コネクタ 1010">
          <a:extLst>
            <a:ext uri="{FF2B5EF4-FFF2-40B4-BE49-F238E27FC236}">
              <a16:creationId xmlns:a16="http://schemas.microsoft.com/office/drawing/2014/main" id="{00000000-0008-0000-0500-0000AE000000}"/>
            </a:ext>
          </a:extLst>
        </xdr:cNvPr>
        <xdr:cNvCxnSpPr>
          <a:stCxn id="44" idx="2"/>
          <a:endCxn id="173" idx="0"/>
        </xdr:cNvCxnSpPr>
      </xdr:nvCxnSpPr>
      <xdr:spPr>
        <a:xfrm rot="16200000" flipH="1">
          <a:off x="1333500" y="10972800"/>
          <a:ext cx="1333500" cy="2286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70</xdr:row>
      <xdr:rowOff>190493</xdr:rowOff>
    </xdr:from>
    <xdr:to>
      <xdr:col>10</xdr:col>
      <xdr:colOff>1</xdr:colOff>
      <xdr:row>79</xdr:row>
      <xdr:rowOff>2</xdr:rowOff>
    </xdr:to>
    <xdr:cxnSp macro="">
      <xdr:nvCxnSpPr>
        <xdr:cNvPr id="175" name="Connector: Elbow 177">
          <a:extLst>
            <a:ext uri="{FF2B5EF4-FFF2-40B4-BE49-F238E27FC236}">
              <a16:creationId xmlns:a16="http://schemas.microsoft.com/office/drawing/2014/main" id="{00000000-0008-0000-0500-0000AF000000}"/>
            </a:ext>
          </a:extLst>
        </xdr:cNvPr>
        <xdr:cNvCxnSpPr>
          <a:stCxn id="173" idx="2"/>
          <a:endCxn id="82" idx="0"/>
        </xdr:cNvCxnSpPr>
      </xdr:nvCxnSpPr>
      <xdr:spPr>
        <a:xfrm rot="5400000">
          <a:off x="1304925" y="13639800"/>
          <a:ext cx="1362075" cy="1524000"/>
        </a:xfrm>
        <a:prstGeom prst="bentConnector3">
          <a:avLst>
            <a:gd name="adj1" fmla="val 9191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94</xdr:row>
      <xdr:rowOff>11191</xdr:rowOff>
    </xdr:from>
    <xdr:to>
      <xdr:col>7</xdr:col>
      <xdr:colOff>0</xdr:colOff>
      <xdr:row>96</xdr:row>
      <xdr:rowOff>11191</xdr:rowOff>
    </xdr:to>
    <xdr:sp macro="" textlink="" fLocksText="0">
      <xdr:nvSpPr>
        <xdr:cNvPr id="209" name="四角形: 角を丸くする 1101">
          <a:extLst>
            <a:ext uri="{FF2B5EF4-FFF2-40B4-BE49-F238E27FC236}">
              <a16:creationId xmlns:a16="http://schemas.microsoft.com/office/drawing/2014/main" id="{00000000-0008-0000-0500-0000D1000000}"/>
            </a:ext>
          </a:extLst>
        </xdr:cNvPr>
        <xdr:cNvSpPr/>
      </xdr:nvSpPr>
      <xdr:spPr>
        <a:xfrm>
          <a:off x="800100" y="1803082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1" i="0" u="none" baseline="0">
              <a:solidFill>
                <a:srgbClr val="FFFFFF"/>
              </a:solidFill>
              <a:latin typeface="Meiryo UI" panose="020B0604030504040204" pitchFamily="34" charset="-128"/>
              <a:ea typeface="Meiryo UI" panose="020B0604030504040204" pitchFamily="34" charset="-128"/>
            </a:rPr>
            <a:t>検索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89</xdr:row>
      <xdr:rowOff>190493</xdr:rowOff>
    </xdr:from>
    <xdr:to>
      <xdr:col>14</xdr:col>
      <xdr:colOff>1</xdr:colOff>
      <xdr:row>93</xdr:row>
      <xdr:rowOff>190485</xdr:rowOff>
    </xdr:to>
    <xdr:cxnSp macro="">
      <xdr:nvCxnSpPr>
        <xdr:cNvPr id="210" name="Connector: Elbow 209">
          <a:extLst>
            <a:ext uri="{FF2B5EF4-FFF2-40B4-BE49-F238E27FC236}">
              <a16:creationId xmlns:a16="http://schemas.microsoft.com/office/drawing/2014/main" id="{00000000-0008-0000-0500-0000D2000000}"/>
            </a:ext>
          </a:extLst>
        </xdr:cNvPr>
        <xdr:cNvCxnSpPr>
          <a:stCxn id="49" idx="2"/>
          <a:endCxn id="54" idx="0"/>
        </xdr:cNvCxnSpPr>
      </xdr:nvCxnSpPr>
      <xdr:spPr>
        <a:xfrm rot="16200000" flipH="1">
          <a:off x="1304925" y="17259300"/>
          <a:ext cx="242887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96</xdr:row>
      <xdr:rowOff>11191</xdr:rowOff>
    </xdr:from>
    <xdr:to>
      <xdr:col>5</xdr:col>
      <xdr:colOff>0</xdr:colOff>
      <xdr:row>124</xdr:row>
      <xdr:rowOff>179292</xdr:rowOff>
    </xdr:to>
    <xdr:cxnSp macro="">
      <xdr:nvCxnSpPr>
        <xdr:cNvPr id="214" name="直線矢印コネクタ 1010">
          <a:extLst>
            <a:ext uri="{FF2B5EF4-FFF2-40B4-BE49-F238E27FC236}">
              <a16:creationId xmlns:a16="http://schemas.microsoft.com/office/drawing/2014/main" id="{00000000-0008-0000-0500-0000D6000000}"/>
            </a:ext>
          </a:extLst>
        </xdr:cNvPr>
        <xdr:cNvCxnSpPr>
          <a:stCxn id="209" idx="2"/>
          <a:endCxn id="253" idx="0"/>
        </xdr:cNvCxnSpPr>
      </xdr:nvCxnSpPr>
      <xdr:spPr>
        <a:xfrm>
          <a:off x="1333500" y="18411825"/>
          <a:ext cx="0" cy="55054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130</xdr:row>
      <xdr:rowOff>190495</xdr:rowOff>
    </xdr:from>
    <xdr:to>
      <xdr:col>8</xdr:col>
      <xdr:colOff>0</xdr:colOff>
      <xdr:row>134</xdr:row>
      <xdr:rowOff>190495</xdr:rowOff>
    </xdr:to>
    <xdr:sp macro="" textlink="" fLocksText="0">
      <xdr:nvSpPr>
        <xdr:cNvPr id="247" name="正方形/長方形 19">
          <a:extLst>
            <a:ext uri="{FF2B5EF4-FFF2-40B4-BE49-F238E27FC236}">
              <a16:creationId xmlns:a16="http://schemas.microsoft.com/office/drawing/2014/main" id="{00000000-0008-0000-0500-0000F7000000}"/>
            </a:ext>
          </a:extLst>
        </xdr:cNvPr>
        <xdr:cNvSpPr/>
      </xdr:nvSpPr>
      <xdr:spPr>
        <a:xfrm>
          <a:off x="533400" y="25069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MD9602</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カテゴリ割引選択モダール </a:t>
          </a:r>
        </a:p>
      </xdr:txBody>
    </xdr:sp>
    <xdr:clientData/>
  </xdr:twoCellAnchor>
  <xdr:twoCellAnchor>
    <xdr:from>
      <xdr:col>5</xdr:col>
      <xdr:colOff>0</xdr:colOff>
      <xdr:row>134</xdr:row>
      <xdr:rowOff>190495</xdr:rowOff>
    </xdr:from>
    <xdr:to>
      <xdr:col>5</xdr:col>
      <xdr:colOff>1</xdr:colOff>
      <xdr:row>136</xdr:row>
      <xdr:rowOff>179292</xdr:rowOff>
    </xdr:to>
    <xdr:cxnSp macro="">
      <xdr:nvCxnSpPr>
        <xdr:cNvPr id="250" name="直線矢印コネクタ 1010">
          <a:extLst>
            <a:ext uri="{FF2B5EF4-FFF2-40B4-BE49-F238E27FC236}">
              <a16:creationId xmlns:a16="http://schemas.microsoft.com/office/drawing/2014/main" id="{00000000-0008-0000-0500-0000FA000000}"/>
            </a:ext>
          </a:extLst>
        </xdr:cNvPr>
        <xdr:cNvCxnSpPr>
          <a:stCxn id="247" idx="2"/>
          <a:endCxn id="261" idx="0"/>
        </xdr:cNvCxnSpPr>
      </xdr:nvCxnSpPr>
      <xdr:spPr>
        <a:xfrm>
          <a:off x="1333500" y="25831800"/>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11207</xdr:colOff>
      <xdr:row>124</xdr:row>
      <xdr:rowOff>179293</xdr:rowOff>
    </xdr:from>
    <xdr:to>
      <xdr:col>35</xdr:col>
      <xdr:colOff>11207</xdr:colOff>
      <xdr:row>128</xdr:row>
      <xdr:rowOff>179293</xdr:rowOff>
    </xdr:to>
    <xdr:sp macro="" textlink="" fLocksText="0">
      <xdr:nvSpPr>
        <xdr:cNvPr id="252" name="フローチャート: 磁気ディスク 194">
          <a:extLst>
            <a:ext uri="{FF2B5EF4-FFF2-40B4-BE49-F238E27FC236}">
              <a16:creationId xmlns:a16="http://schemas.microsoft.com/office/drawing/2014/main" id="{00000000-0008-0000-0500-0000FC000000}"/>
            </a:ext>
          </a:extLst>
        </xdr:cNvPr>
        <xdr:cNvSpPr/>
      </xdr:nvSpPr>
      <xdr:spPr>
        <a:xfrm>
          <a:off x="7743825" y="23917275"/>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AP9603</a:t>
          </a:r>
        </a:p>
        <a:p>
          <a:pPr algn="ctr">
            <a:defRPr lang="en-US" altLang="ja-JP" sz="900" b="0" i="0" u="none" baseline="0">
              <a:solidFill>
                <a:schemeClr val="tx1"/>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カテゴリ割引一覧取得</a:t>
          </a:r>
        </a:p>
      </xdr:txBody>
    </xdr:sp>
    <xdr:clientData/>
  </xdr:twoCellAnchor>
  <xdr:twoCellAnchor>
    <xdr:from>
      <xdr:col>2</xdr:col>
      <xdr:colOff>0</xdr:colOff>
      <xdr:row>124</xdr:row>
      <xdr:rowOff>179292</xdr:rowOff>
    </xdr:from>
    <xdr:to>
      <xdr:col>8</xdr:col>
      <xdr:colOff>0</xdr:colOff>
      <xdr:row>128</xdr:row>
      <xdr:rowOff>179292</xdr:rowOff>
    </xdr:to>
    <xdr:sp macro="" textlink="" fLocksText="0">
      <xdr:nvSpPr>
        <xdr:cNvPr id="253" name="四角形: 角を丸くする 3">
          <a:extLst>
            <a:ext uri="{FF2B5EF4-FFF2-40B4-BE49-F238E27FC236}">
              <a16:creationId xmlns:a16="http://schemas.microsoft.com/office/drawing/2014/main" id="{00000000-0008-0000-0500-0000FD000000}"/>
            </a:ext>
          </a:extLst>
        </xdr:cNvPr>
        <xdr:cNvSpPr/>
      </xdr:nvSpPr>
      <xdr:spPr>
        <a:xfrm>
          <a:off x="533400" y="2391727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KN9603</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カテゴリ割引一覧取得機能</a:t>
          </a:r>
        </a:p>
      </xdr:txBody>
    </xdr:sp>
    <xdr:clientData/>
  </xdr:twoCellAnchor>
  <xdr:twoCellAnchor>
    <xdr:from>
      <xdr:col>8</xdr:col>
      <xdr:colOff>0</xdr:colOff>
      <xdr:row>126</xdr:row>
      <xdr:rowOff>179292</xdr:rowOff>
    </xdr:from>
    <xdr:to>
      <xdr:col>29</xdr:col>
      <xdr:colOff>11207</xdr:colOff>
      <xdr:row>126</xdr:row>
      <xdr:rowOff>179293</xdr:rowOff>
    </xdr:to>
    <xdr:cxnSp macro="">
      <xdr:nvCxnSpPr>
        <xdr:cNvPr id="254" name="Straight Arrow Connector 253">
          <a:extLst>
            <a:ext uri="{FF2B5EF4-FFF2-40B4-BE49-F238E27FC236}">
              <a16:creationId xmlns:a16="http://schemas.microsoft.com/office/drawing/2014/main" id="{00000000-0008-0000-0500-0000FE000000}"/>
            </a:ext>
          </a:extLst>
        </xdr:cNvPr>
        <xdr:cNvCxnSpPr>
          <a:stCxn id="253" idx="3"/>
          <a:endCxn id="252" idx="2"/>
        </xdr:cNvCxnSpPr>
      </xdr:nvCxnSpPr>
      <xdr:spPr>
        <a:xfrm>
          <a:off x="2133600" y="24298275"/>
          <a:ext cx="56102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128</xdr:row>
      <xdr:rowOff>179292</xdr:rowOff>
    </xdr:from>
    <xdr:to>
      <xdr:col>5</xdr:col>
      <xdr:colOff>0</xdr:colOff>
      <xdr:row>130</xdr:row>
      <xdr:rowOff>190495</xdr:rowOff>
    </xdr:to>
    <xdr:cxnSp macro="">
      <xdr:nvCxnSpPr>
        <xdr:cNvPr id="257" name="直線矢印コネクタ 1010">
          <a:extLst>
            <a:ext uri="{FF2B5EF4-FFF2-40B4-BE49-F238E27FC236}">
              <a16:creationId xmlns:a16="http://schemas.microsoft.com/office/drawing/2014/main" id="{00000000-0008-0000-0500-000001010000}"/>
            </a:ext>
          </a:extLst>
        </xdr:cNvPr>
        <xdr:cNvCxnSpPr>
          <a:stCxn id="253" idx="2"/>
          <a:endCxn id="247" idx="0"/>
        </xdr:cNvCxnSpPr>
      </xdr:nvCxnSpPr>
      <xdr:spPr>
        <a:xfrm>
          <a:off x="1333500" y="246792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136</xdr:row>
      <xdr:rowOff>179292</xdr:rowOff>
    </xdr:from>
    <xdr:to>
      <xdr:col>7</xdr:col>
      <xdr:colOff>1</xdr:colOff>
      <xdr:row>138</xdr:row>
      <xdr:rowOff>179292</xdr:rowOff>
    </xdr:to>
    <xdr:sp macro="" textlink="" fLocksText="0">
      <xdr:nvSpPr>
        <xdr:cNvPr id="261" name="四角形: 角を丸くする 1101">
          <a:extLst>
            <a:ext uri="{FF2B5EF4-FFF2-40B4-BE49-F238E27FC236}">
              <a16:creationId xmlns:a16="http://schemas.microsoft.com/office/drawing/2014/main" id="{00000000-0008-0000-0500-000005010000}"/>
            </a:ext>
          </a:extLst>
        </xdr:cNvPr>
        <xdr:cNvSpPr/>
      </xdr:nvSpPr>
      <xdr:spPr>
        <a:xfrm>
          <a:off x="800100" y="2620327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0" i="0" u="none" baseline="0">
              <a:solidFill>
                <a:srgbClr val="FFFFFF"/>
              </a:solidFill>
              <a:latin typeface="Meiryo UI" panose="020B0604030504040204" pitchFamily="34" charset="-128"/>
              <a:ea typeface="Meiryo UI" panose="020B0604030504040204" pitchFamily="34" charset="-128"/>
            </a:rPr>
            <a:t>戻る</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136</xdr:row>
      <xdr:rowOff>190498</xdr:rowOff>
    </xdr:from>
    <xdr:to>
      <xdr:col>12</xdr:col>
      <xdr:colOff>1</xdr:colOff>
      <xdr:row>138</xdr:row>
      <xdr:rowOff>190498</xdr:rowOff>
    </xdr:to>
    <xdr:sp macro="" textlink="" fLocksText="0">
      <xdr:nvSpPr>
        <xdr:cNvPr id="262" name="四角形: 角を丸くする 1101">
          <a:extLst>
            <a:ext uri="{FF2B5EF4-FFF2-40B4-BE49-F238E27FC236}">
              <a16:creationId xmlns:a16="http://schemas.microsoft.com/office/drawing/2014/main" id="{00000000-0008-0000-0500-000006010000}"/>
            </a:ext>
          </a:extLst>
        </xdr:cNvPr>
        <xdr:cNvSpPr/>
      </xdr:nvSpPr>
      <xdr:spPr>
        <a:xfrm>
          <a:off x="2133600" y="26212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0" i="0" u="none" baseline="0">
              <a:solidFill>
                <a:srgbClr val="FFFFFF"/>
              </a:solidFill>
              <a:latin typeface="Meiryo UI" panose="020B0604030504040204" pitchFamily="34" charset="-128"/>
              <a:ea typeface="Meiryo UI" panose="020B0604030504040204" pitchFamily="34" charset="-128"/>
            </a:rPr>
            <a:t>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140</xdr:row>
      <xdr:rowOff>179292</xdr:rowOff>
    </xdr:from>
    <xdr:to>
      <xdr:col>6</xdr:col>
      <xdr:colOff>0</xdr:colOff>
      <xdr:row>141</xdr:row>
      <xdr:rowOff>179292</xdr:rowOff>
    </xdr:to>
    <xdr:sp macro="" textlink="" fLocksText="0">
      <xdr:nvSpPr>
        <xdr:cNvPr id="264" name="Rectangle: Rounded Corners 263">
          <a:extLst>
            <a:ext uri="{FF2B5EF4-FFF2-40B4-BE49-F238E27FC236}">
              <a16:creationId xmlns:a16="http://schemas.microsoft.com/office/drawing/2014/main" id="{00000000-0008-0000-0500-000008010000}"/>
            </a:ext>
          </a:extLst>
        </xdr:cNvPr>
        <xdr:cNvSpPr/>
      </xdr:nvSpPr>
      <xdr:spPr>
        <a:xfrm>
          <a:off x="1066800" y="26965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96.5</a:t>
          </a:r>
        </a:p>
      </xdr:txBody>
    </xdr:sp>
    <xdr:clientData/>
  </xdr:twoCellAnchor>
  <xdr:twoCellAnchor>
    <xdr:from>
      <xdr:col>9</xdr:col>
      <xdr:colOff>0</xdr:colOff>
      <xdr:row>140</xdr:row>
      <xdr:rowOff>179292</xdr:rowOff>
    </xdr:from>
    <xdr:to>
      <xdr:col>11</xdr:col>
      <xdr:colOff>0</xdr:colOff>
      <xdr:row>141</xdr:row>
      <xdr:rowOff>179292</xdr:rowOff>
    </xdr:to>
    <xdr:sp macro="" textlink="" fLocksText="0">
      <xdr:nvSpPr>
        <xdr:cNvPr id="265" name="Rectangle: Rounded Corners 264">
          <a:extLst>
            <a:ext uri="{FF2B5EF4-FFF2-40B4-BE49-F238E27FC236}">
              <a16:creationId xmlns:a16="http://schemas.microsoft.com/office/drawing/2014/main" id="{00000000-0008-0000-0500-000009010000}"/>
            </a:ext>
          </a:extLst>
        </xdr:cNvPr>
        <xdr:cNvSpPr/>
      </xdr:nvSpPr>
      <xdr:spPr>
        <a:xfrm>
          <a:off x="2400300" y="26965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96.5</a:t>
          </a:r>
        </a:p>
      </xdr:txBody>
    </xdr:sp>
    <xdr:clientData/>
  </xdr:twoCellAnchor>
  <xdr:twoCellAnchor>
    <xdr:from>
      <xdr:col>5</xdr:col>
      <xdr:colOff>0</xdr:colOff>
      <xdr:row>138</xdr:row>
      <xdr:rowOff>179292</xdr:rowOff>
    </xdr:from>
    <xdr:to>
      <xdr:col>5</xdr:col>
      <xdr:colOff>1</xdr:colOff>
      <xdr:row>140</xdr:row>
      <xdr:rowOff>179292</xdr:rowOff>
    </xdr:to>
    <xdr:cxnSp macro="">
      <xdr:nvCxnSpPr>
        <xdr:cNvPr id="267" name="直線矢印コネクタ 1010">
          <a:extLst>
            <a:ext uri="{FF2B5EF4-FFF2-40B4-BE49-F238E27FC236}">
              <a16:creationId xmlns:a16="http://schemas.microsoft.com/office/drawing/2014/main" id="{00000000-0008-0000-0500-00000B010000}"/>
            </a:ext>
          </a:extLst>
        </xdr:cNvPr>
        <xdr:cNvCxnSpPr>
          <a:stCxn id="261" idx="2"/>
          <a:endCxn id="264" idx="0"/>
        </xdr:cNvCxnSpPr>
      </xdr:nvCxnSpPr>
      <xdr:spPr>
        <a:xfrm flipH="1">
          <a:off x="1333500" y="26584275"/>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1</xdr:colOff>
      <xdr:row>138</xdr:row>
      <xdr:rowOff>190498</xdr:rowOff>
    </xdr:from>
    <xdr:to>
      <xdr:col>10</xdr:col>
      <xdr:colOff>1</xdr:colOff>
      <xdr:row>140</xdr:row>
      <xdr:rowOff>179292</xdr:rowOff>
    </xdr:to>
    <xdr:cxnSp macro="">
      <xdr:nvCxnSpPr>
        <xdr:cNvPr id="268" name="直線矢印コネクタ 1010">
          <a:extLst>
            <a:ext uri="{FF2B5EF4-FFF2-40B4-BE49-F238E27FC236}">
              <a16:creationId xmlns:a16="http://schemas.microsoft.com/office/drawing/2014/main" id="{00000000-0008-0000-0500-00000C010000}"/>
            </a:ext>
          </a:extLst>
        </xdr:cNvPr>
        <xdr:cNvCxnSpPr>
          <a:stCxn id="262" idx="2"/>
          <a:endCxn id="265" idx="0"/>
        </xdr:cNvCxnSpPr>
      </xdr:nvCxnSpPr>
      <xdr:spPr>
        <a:xfrm>
          <a:off x="2667000" y="26593800"/>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134</xdr:row>
      <xdr:rowOff>190494</xdr:rowOff>
    </xdr:from>
    <xdr:to>
      <xdr:col>10</xdr:col>
      <xdr:colOff>2</xdr:colOff>
      <xdr:row>136</xdr:row>
      <xdr:rowOff>190497</xdr:rowOff>
    </xdr:to>
    <xdr:cxnSp macro="">
      <xdr:nvCxnSpPr>
        <xdr:cNvPr id="273" name="Connector: Elbow 272">
          <a:extLst>
            <a:ext uri="{FF2B5EF4-FFF2-40B4-BE49-F238E27FC236}">
              <a16:creationId xmlns:a16="http://schemas.microsoft.com/office/drawing/2014/main" id="{00000000-0008-0000-0500-000011010000}"/>
            </a:ext>
          </a:extLst>
        </xdr:cNvPr>
        <xdr:cNvCxnSpPr>
          <a:stCxn id="247" idx="2"/>
          <a:endCxn id="262" idx="0"/>
        </xdr:cNvCxnSpPr>
      </xdr:nvCxnSpPr>
      <xdr:spPr>
        <a:xfrm rot="16200000" flipH="1">
          <a:off x="1333500" y="25831800"/>
          <a:ext cx="13335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205</xdr:row>
      <xdr:rowOff>0</xdr:rowOff>
    </xdr:from>
    <xdr:to>
      <xdr:col>15</xdr:col>
      <xdr:colOff>0</xdr:colOff>
      <xdr:row>209</xdr:row>
      <xdr:rowOff>0</xdr:rowOff>
    </xdr:to>
    <xdr:cxnSp macro="">
      <xdr:nvCxnSpPr>
        <xdr:cNvPr id="287" name="直線矢印コネクタ 1010">
          <a:extLst>
            <a:ext uri="{FF2B5EF4-FFF2-40B4-BE49-F238E27FC236}">
              <a16:creationId xmlns:a16="http://schemas.microsoft.com/office/drawing/2014/main" id="{00000000-0008-0000-0500-00001F010000}"/>
            </a:ext>
          </a:extLst>
        </xdr:cNvPr>
        <xdr:cNvCxnSpPr>
          <a:stCxn id="152" idx="2"/>
          <a:endCxn id="153" idx="0"/>
        </xdr:cNvCxnSpPr>
      </xdr:nvCxnSpPr>
      <xdr:spPr>
        <a:xfrm>
          <a:off x="4000500" y="3916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21</xdr:col>
      <xdr:colOff>0</xdr:colOff>
      <xdr:row>55</xdr:row>
      <xdr:rowOff>0</xdr:rowOff>
    </xdr:from>
    <xdr:to>
      <xdr:col>24</xdr:col>
      <xdr:colOff>232523</xdr:colOff>
      <xdr:row>57</xdr:row>
      <xdr:rowOff>0</xdr:rowOff>
    </xdr:to>
    <xdr:sp macro="" textlink="" fLocksText="0">
      <xdr:nvSpPr>
        <xdr:cNvPr id="309" name="四角形: 角を丸くする 1101">
          <a:extLst>
            <a:ext uri="{FF2B5EF4-FFF2-40B4-BE49-F238E27FC236}">
              <a16:creationId xmlns:a16="http://schemas.microsoft.com/office/drawing/2014/main" id="{00000000-0008-0000-0500-000035010000}"/>
            </a:ext>
          </a:extLst>
        </xdr:cNvPr>
        <xdr:cNvSpPr/>
      </xdr:nvSpPr>
      <xdr:spPr>
        <a:xfrm>
          <a:off x="5600700" y="10591800"/>
          <a:ext cx="10287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100" b="1" i="0" u="none" baseline="0">
              <a:solidFill>
                <a:srgbClr val="FFFFFF"/>
              </a:solidFill>
              <a:latin typeface="Meiryo UI" panose="020B0604030504040204" pitchFamily="34" charset="-128"/>
              <a:ea typeface="Meiryo UI" panose="020B0604030504040204" pitchFamily="34" charset="-128"/>
            </a:rPr>
            <a:t>検索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49</xdr:row>
      <xdr:rowOff>0</xdr:rowOff>
    </xdr:from>
    <xdr:to>
      <xdr:col>22</xdr:col>
      <xdr:colOff>233922</xdr:colOff>
      <xdr:row>55</xdr:row>
      <xdr:rowOff>0</xdr:rowOff>
    </xdr:to>
    <xdr:cxnSp macro="">
      <xdr:nvCxnSpPr>
        <xdr:cNvPr id="310" name="Connector: Elbow 309">
          <a:extLst>
            <a:ext uri="{FF2B5EF4-FFF2-40B4-BE49-F238E27FC236}">
              <a16:creationId xmlns:a16="http://schemas.microsoft.com/office/drawing/2014/main" id="{00000000-0008-0000-0500-000036010000}"/>
            </a:ext>
          </a:extLst>
        </xdr:cNvPr>
        <xdr:cNvCxnSpPr>
          <a:stCxn id="23" idx="2"/>
          <a:endCxn id="309" idx="0"/>
        </xdr:cNvCxnSpPr>
      </xdr:nvCxnSpPr>
      <xdr:spPr>
        <a:xfrm rot="16200000" flipH="1">
          <a:off x="1304925" y="9448800"/>
          <a:ext cx="48006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44824</xdr:colOff>
      <xdr:row>30</xdr:row>
      <xdr:rowOff>11206</xdr:rowOff>
    </xdr:from>
    <xdr:to>
      <xdr:col>25</xdr:col>
      <xdr:colOff>42024</xdr:colOff>
      <xdr:row>56</xdr:row>
      <xdr:rowOff>11206</xdr:rowOff>
    </xdr:to>
    <xdr:cxnSp macro="">
      <xdr:nvCxnSpPr>
        <xdr:cNvPr id="327" name="Connector: Elbow 326">
          <a:extLst>
            <a:ext uri="{FF2B5EF4-FFF2-40B4-BE49-F238E27FC236}">
              <a16:creationId xmlns:a16="http://schemas.microsoft.com/office/drawing/2014/main" id="{00000000-0008-0000-0500-000047010000}"/>
            </a:ext>
          </a:extLst>
        </xdr:cNvPr>
        <xdr:cNvCxnSpPr/>
      </xdr:nvCxnSpPr>
      <xdr:spPr>
        <a:xfrm flipH="1" flipV="1">
          <a:off x="1221442" y="5838265"/>
          <a:ext cx="4703670" cy="4953000"/>
        </a:xfrm>
        <a:prstGeom prst="bentConnector4">
          <a:avLst>
            <a:gd name="adj1" fmla="val -4860"/>
            <a:gd name="adj2" fmla="val 10393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25</xdr:row>
      <xdr:rowOff>0</xdr:rowOff>
    </xdr:from>
    <xdr:to>
      <xdr:col>122</xdr:col>
      <xdr:colOff>145692</xdr:colOff>
      <xdr:row>56</xdr:row>
      <xdr:rowOff>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17621250" y="4876800"/>
          <a:ext cx="15078075" cy="5905500"/>
        </a:xfrm>
        <a:prstGeom prst="rect">
          <a:avLst/>
        </a:prstGeom>
      </xdr:spPr>
    </xdr:pic>
    <xdr:clientData/>
  </xdr:twoCellAnchor>
  <xdr:twoCellAnchor editAs="oneCell">
    <xdr:from>
      <xdr:col>66</xdr:col>
      <xdr:colOff>0</xdr:colOff>
      <xdr:row>51</xdr:row>
      <xdr:rowOff>0</xdr:rowOff>
    </xdr:from>
    <xdr:to>
      <xdr:col>122</xdr:col>
      <xdr:colOff>145692</xdr:colOff>
      <xdr:row>82</xdr:row>
      <xdr:rowOff>0</xdr:rowOff>
    </xdr:to>
    <xdr:pic>
      <xdr:nvPicPr>
        <xdr:cNvPr id="57" name="Picture 56">
          <a:extLst>
            <a:ext uri="{FF2B5EF4-FFF2-40B4-BE49-F238E27FC236}">
              <a16:creationId xmlns:a16="http://schemas.microsoft.com/office/drawing/2014/main" id="{00000000-0008-0000-0500-000039000000}"/>
            </a:ext>
          </a:extLst>
        </xdr:cNvPr>
        <xdr:cNvPicPr>
          <a:picLocks noChangeAspect="1"/>
        </xdr:cNvPicPr>
      </xdr:nvPicPr>
      <xdr:blipFill>
        <a:blip xmlns:r="http://schemas.openxmlformats.org/officeDocument/2006/relationships" r:embed="rId2"/>
        <a:stretch>
          <a:fillRect/>
        </a:stretch>
      </xdr:blipFill>
      <xdr:spPr>
        <a:xfrm>
          <a:off x="17621250" y="9829800"/>
          <a:ext cx="15078075" cy="5905500"/>
        </a:xfrm>
        <a:prstGeom prst="rect">
          <a:avLst/>
        </a:prstGeom>
      </xdr:spPr>
    </xdr:pic>
    <xdr:clientData/>
  </xdr:twoCellAnchor>
  <xdr:twoCellAnchor>
    <xdr:from>
      <xdr:col>7</xdr:col>
      <xdr:colOff>235321</xdr:colOff>
      <xdr:row>80</xdr:row>
      <xdr:rowOff>190499</xdr:rowOff>
    </xdr:from>
    <xdr:to>
      <xdr:col>29</xdr:col>
      <xdr:colOff>11207</xdr:colOff>
      <xdr:row>81</xdr:row>
      <xdr:rowOff>2</xdr:rowOff>
    </xdr:to>
    <xdr:cxnSp macro="">
      <xdr:nvCxnSpPr>
        <xdr:cNvPr id="60" name="Straight Arrow Connector 59">
          <a:extLst>
            <a:ext uri="{FF2B5EF4-FFF2-40B4-BE49-F238E27FC236}">
              <a16:creationId xmlns:a16="http://schemas.microsoft.com/office/drawing/2014/main" id="{00000000-0008-0000-0500-00003C000000}"/>
            </a:ext>
          </a:extLst>
        </xdr:cNvPr>
        <xdr:cNvCxnSpPr>
          <a:stCxn id="82" idx="3"/>
          <a:endCxn id="81" idx="2"/>
        </xdr:cNvCxnSpPr>
      </xdr:nvCxnSpPr>
      <xdr:spPr>
        <a:xfrm flipV="1">
          <a:off x="2105025" y="15544800"/>
          <a:ext cx="56388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11207</xdr:colOff>
      <xdr:row>78</xdr:row>
      <xdr:rowOff>190499</xdr:rowOff>
    </xdr:from>
    <xdr:to>
      <xdr:col>35</xdr:col>
      <xdr:colOff>11207</xdr:colOff>
      <xdr:row>82</xdr:row>
      <xdr:rowOff>190499</xdr:rowOff>
    </xdr:to>
    <xdr:sp macro="" textlink="" fLocksText="0">
      <xdr:nvSpPr>
        <xdr:cNvPr id="81" name="フローチャート: 磁気ディスク 194">
          <a:extLst>
            <a:ext uri="{FF2B5EF4-FFF2-40B4-BE49-F238E27FC236}">
              <a16:creationId xmlns:a16="http://schemas.microsoft.com/office/drawing/2014/main" id="{00000000-0008-0000-0500-000051000000}"/>
            </a:ext>
          </a:extLst>
        </xdr:cNvPr>
        <xdr:cNvSpPr/>
      </xdr:nvSpPr>
      <xdr:spPr>
        <a:xfrm>
          <a:off x="7743825" y="15163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AP9605</a:t>
          </a: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カテゴリ一覧取得</a:t>
          </a:r>
        </a:p>
      </xdr:txBody>
    </xdr:sp>
    <xdr:clientData/>
  </xdr:twoCellAnchor>
  <xdr:twoCellAnchor>
    <xdr:from>
      <xdr:col>1</xdr:col>
      <xdr:colOff>235321</xdr:colOff>
      <xdr:row>79</xdr:row>
      <xdr:rowOff>2</xdr:rowOff>
    </xdr:from>
    <xdr:to>
      <xdr:col>7</xdr:col>
      <xdr:colOff>235321</xdr:colOff>
      <xdr:row>83</xdr:row>
      <xdr:rowOff>2</xdr:rowOff>
    </xdr:to>
    <xdr:sp macro="" textlink="" fLocksText="0">
      <xdr:nvSpPr>
        <xdr:cNvPr id="82" name="四角形: 角を丸くする 3">
          <a:extLst>
            <a:ext uri="{FF2B5EF4-FFF2-40B4-BE49-F238E27FC236}">
              <a16:creationId xmlns:a16="http://schemas.microsoft.com/office/drawing/2014/main" id="{00000000-0008-0000-0500-000052000000}"/>
            </a:ext>
          </a:extLst>
        </xdr:cNvPr>
        <xdr:cNvSpPr/>
      </xdr:nvSpPr>
      <xdr:spPr>
        <a:xfrm>
          <a:off x="504825" y="15163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KN9607</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カテゴリ一覧取得機能</a:t>
          </a:r>
        </a:p>
      </xdr:txBody>
    </xdr:sp>
    <xdr:clientData/>
  </xdr:twoCellAnchor>
  <xdr:twoCellAnchor>
    <xdr:from>
      <xdr:col>4</xdr:col>
      <xdr:colOff>235322</xdr:colOff>
      <xdr:row>83</xdr:row>
      <xdr:rowOff>2</xdr:rowOff>
    </xdr:from>
    <xdr:to>
      <xdr:col>5</xdr:col>
      <xdr:colOff>0</xdr:colOff>
      <xdr:row>86</xdr:row>
      <xdr:rowOff>0</xdr:rowOff>
    </xdr:to>
    <xdr:cxnSp macro="">
      <xdr:nvCxnSpPr>
        <xdr:cNvPr id="101" name="Connector: Elbow 177">
          <a:extLst>
            <a:ext uri="{FF2B5EF4-FFF2-40B4-BE49-F238E27FC236}">
              <a16:creationId xmlns:a16="http://schemas.microsoft.com/office/drawing/2014/main" id="{00000000-0008-0000-0500-000065000000}"/>
            </a:ext>
          </a:extLst>
        </xdr:cNvPr>
        <xdr:cNvCxnSpPr>
          <a:stCxn id="82" idx="2"/>
          <a:endCxn id="49" idx="0"/>
        </xdr:cNvCxnSpPr>
      </xdr:nvCxnSpPr>
      <xdr:spPr>
        <a:xfrm>
          <a:off x="1304925" y="159258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65</xdr:col>
      <xdr:colOff>215348</xdr:colOff>
      <xdr:row>85</xdr:row>
      <xdr:rowOff>66261</xdr:rowOff>
    </xdr:from>
    <xdr:to>
      <xdr:col>101</xdr:col>
      <xdr:colOff>130209</xdr:colOff>
      <xdr:row>120</xdr:row>
      <xdr:rowOff>151142</xdr:rowOff>
    </xdr:to>
    <xdr:pic>
      <xdr:nvPicPr>
        <xdr:cNvPr id="14" name="Picture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3"/>
        <a:stretch>
          <a:fillRect/>
        </a:stretch>
      </xdr:blipFill>
      <xdr:spPr>
        <a:xfrm>
          <a:off x="17573625" y="16373475"/>
          <a:ext cx="9515475" cy="6753225"/>
        </a:xfrm>
        <a:prstGeom prst="rect">
          <a:avLst/>
        </a:prstGeom>
      </xdr:spPr>
    </xdr:pic>
    <xdr:clientData/>
  </xdr:twoCellAnchor>
  <xdr:twoCellAnchor editAs="oneCell">
    <xdr:from>
      <xdr:col>65</xdr:col>
      <xdr:colOff>207065</xdr:colOff>
      <xdr:row>128</xdr:row>
      <xdr:rowOff>157369</xdr:rowOff>
    </xdr:from>
    <xdr:to>
      <xdr:col>101</xdr:col>
      <xdr:colOff>93354</xdr:colOff>
      <xdr:row>162</xdr:row>
      <xdr:rowOff>166083</xdr:rowOff>
    </xdr:to>
    <xdr:pic>
      <xdr:nvPicPr>
        <xdr:cNvPr id="15" name="Picture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4"/>
        <a:stretch>
          <a:fillRect/>
        </a:stretch>
      </xdr:blipFill>
      <xdr:spPr>
        <a:xfrm>
          <a:off x="17564100" y="24660225"/>
          <a:ext cx="9486900" cy="6486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33</xdr:col>
      <xdr:colOff>223544</xdr:colOff>
      <xdr:row>1</xdr:row>
      <xdr:rowOff>126351</xdr:rowOff>
    </xdr:from>
    <xdr:to>
      <xdr:col>36</xdr:col>
      <xdr:colOff>223544</xdr:colOff>
      <xdr:row>3</xdr:row>
      <xdr:rowOff>48597</xdr:rowOff>
    </xdr:to>
    <xdr:sp macro="" textlink="" fLocksText="0">
      <xdr:nvSpPr>
        <xdr:cNvPr id="3" name="正方形/長方形 26">
          <a:extLst>
            <a:ext uri="{FF2B5EF4-FFF2-40B4-BE49-F238E27FC236}">
              <a16:creationId xmlns:a16="http://schemas.microsoft.com/office/drawing/2014/main" id="{00000000-0008-0000-0700-000003000000}"/>
            </a:ext>
          </a:extLst>
        </xdr:cNvPr>
        <xdr:cNvSpPr/>
      </xdr:nvSpPr>
      <xdr:spPr>
        <a:xfrm>
          <a:off x="10363200" y="314325"/>
          <a:ext cx="828675" cy="323850"/>
        </a:xfrm>
        <a:prstGeom prst="rect">
          <a:avLst/>
        </a:prstGeom>
        <a:solidFill>
          <a:srgbClr val="E3E5F6"/>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ja-JP" altLang="en-US" sz="1100" b="1" i="0" u="none" baseline="0">
              <a:solidFill>
                <a:srgbClr val="000000"/>
              </a:solidFill>
              <a:latin typeface="Yu Gothic"/>
              <a:ea typeface="Yu Gothic"/>
            </a:rPr>
            <a:t>前画面</a:t>
          </a:r>
        </a:p>
      </xdr:txBody>
    </xdr:sp>
    <xdr:clientData/>
  </xdr:twoCellAnchor>
  <xdr:twoCellAnchor>
    <xdr:from>
      <xdr:col>18</xdr:col>
      <xdr:colOff>148601</xdr:colOff>
      <xdr:row>36</xdr:row>
      <xdr:rowOff>168089</xdr:rowOff>
    </xdr:from>
    <xdr:to>
      <xdr:col>21</xdr:col>
      <xdr:colOff>100854</xdr:colOff>
      <xdr:row>38</xdr:row>
      <xdr:rowOff>87258</xdr:rowOff>
    </xdr:to>
    <xdr:sp macro="" textlink="" fLocksText="0">
      <xdr:nvSpPr>
        <xdr:cNvPr id="4" name="正方形/長方形 27">
          <a:extLst>
            <a:ext uri="{FF2B5EF4-FFF2-40B4-BE49-F238E27FC236}">
              <a16:creationId xmlns:a16="http://schemas.microsoft.com/office/drawing/2014/main" id="{00000000-0008-0000-0700-000004000000}"/>
            </a:ext>
          </a:extLst>
        </xdr:cNvPr>
        <xdr:cNvSpPr/>
      </xdr:nvSpPr>
      <xdr:spPr>
        <a:xfrm>
          <a:off x="5667375" y="7486650"/>
          <a:ext cx="781050" cy="314325"/>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ja-JP" altLang="en-US" sz="1100" b="1" i="0" u="none" baseline="0">
              <a:solidFill>
                <a:srgbClr val="FFFFFF"/>
              </a:solidFill>
              <a:latin typeface="Yu Gothic"/>
              <a:ea typeface="Yu Gothic"/>
            </a:rPr>
            <a:t>登録</a:t>
          </a:r>
        </a:p>
      </xdr:txBody>
    </xdr:sp>
    <xdr:clientData/>
  </xdr:twoCellAnchor>
  <xdr:twoCellAnchor>
    <xdr:from>
      <xdr:col>34</xdr:col>
      <xdr:colOff>171276</xdr:colOff>
      <xdr:row>12</xdr:row>
      <xdr:rowOff>204109</xdr:rowOff>
    </xdr:from>
    <xdr:to>
      <xdr:col>38</xdr:col>
      <xdr:colOff>0</xdr:colOff>
      <xdr:row>13</xdr:row>
      <xdr:rowOff>213826</xdr:rowOff>
    </xdr:to>
    <xdr:sp macro="" textlink="" fLocksText="0">
      <xdr:nvSpPr>
        <xdr:cNvPr id="5" name="正方形/長方形 64">
          <a:extLst>
            <a:ext uri="{FF2B5EF4-FFF2-40B4-BE49-F238E27FC236}">
              <a16:creationId xmlns:a16="http://schemas.microsoft.com/office/drawing/2014/main" id="{00000000-0008-0000-0700-000005000000}"/>
            </a:ext>
          </a:extLst>
        </xdr:cNvPr>
        <xdr:cNvSpPr/>
      </xdr:nvSpPr>
      <xdr:spPr>
        <a:xfrm>
          <a:off x="10591800" y="2676525"/>
          <a:ext cx="676275" cy="219075"/>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1" i="0" u="none" baseline="0">
              <a:solidFill>
                <a:srgbClr val="FFFFFF"/>
              </a:solidFill>
              <a:latin typeface="Yu Gothic"/>
              <a:ea typeface="Yu Gothic"/>
            </a:rPr>
            <a:t>検索</a:t>
          </a:r>
        </a:p>
      </xdr:txBody>
    </xdr:sp>
    <xdr:clientData/>
  </xdr:twoCellAnchor>
  <xdr:twoCellAnchor>
    <xdr:from>
      <xdr:col>33</xdr:col>
      <xdr:colOff>223546</xdr:colOff>
      <xdr:row>24</xdr:row>
      <xdr:rowOff>116633</xdr:rowOff>
    </xdr:from>
    <xdr:to>
      <xdr:col>38</xdr:col>
      <xdr:colOff>0</xdr:colOff>
      <xdr:row>25</xdr:row>
      <xdr:rowOff>145791</xdr:rowOff>
    </xdr:to>
    <xdr:sp macro="" textlink="" fLocksText="0">
      <xdr:nvSpPr>
        <xdr:cNvPr id="17" name="正方形/長方形 64">
          <a:extLst>
            <a:ext uri="{FF2B5EF4-FFF2-40B4-BE49-F238E27FC236}">
              <a16:creationId xmlns:a16="http://schemas.microsoft.com/office/drawing/2014/main" id="{00000000-0008-0000-0700-000011000000}"/>
            </a:ext>
          </a:extLst>
        </xdr:cNvPr>
        <xdr:cNvSpPr/>
      </xdr:nvSpPr>
      <xdr:spPr>
        <a:xfrm>
          <a:off x="10363200" y="5105400"/>
          <a:ext cx="904875" cy="228600"/>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1" i="0" u="none" baseline="0">
              <a:solidFill>
                <a:srgbClr val="FFFFFF"/>
              </a:solidFill>
              <a:latin typeface="Yu Gothic"/>
              <a:ea typeface="Yu Gothic"/>
            </a:rPr>
            <a:t>全選択</a:t>
          </a:r>
        </a:p>
      </xdr:txBody>
    </xdr:sp>
    <xdr:clientData/>
  </xdr:twoCellAnchor>
  <xdr:twoCellAnchor>
    <xdr:from>
      <xdr:col>30</xdr:col>
      <xdr:colOff>651199</xdr:colOff>
      <xdr:row>24</xdr:row>
      <xdr:rowOff>116634</xdr:rowOff>
    </xdr:from>
    <xdr:to>
      <xdr:col>33</xdr:col>
      <xdr:colOff>198060</xdr:colOff>
      <xdr:row>25</xdr:row>
      <xdr:rowOff>136072</xdr:rowOff>
    </xdr:to>
    <xdr:sp macro="" textlink="" fLocksText="0">
      <xdr:nvSpPr>
        <xdr:cNvPr id="18" name="正方形/長方形 64">
          <a:extLst>
            <a:ext uri="{FF2B5EF4-FFF2-40B4-BE49-F238E27FC236}">
              <a16:creationId xmlns:a16="http://schemas.microsoft.com/office/drawing/2014/main" id="{00000000-0008-0000-0700-000012000000}"/>
            </a:ext>
          </a:extLst>
        </xdr:cNvPr>
        <xdr:cNvSpPr/>
      </xdr:nvSpPr>
      <xdr:spPr>
        <a:xfrm>
          <a:off x="9477375" y="5105400"/>
          <a:ext cx="866775" cy="219075"/>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1" i="0" u="none" baseline="0">
              <a:solidFill>
                <a:srgbClr val="FFFFFF"/>
              </a:solidFill>
              <a:latin typeface="Yu Gothic"/>
              <a:ea typeface="Yu Gothic"/>
            </a:rPr>
            <a:t>全解除</a:t>
          </a:r>
        </a:p>
      </xdr:txBody>
    </xdr:sp>
    <xdr:clientData/>
  </xdr:twoCellAnchor>
  <xdr:twoCellAnchor>
    <xdr:from>
      <xdr:col>33</xdr:col>
      <xdr:colOff>223544</xdr:colOff>
      <xdr:row>42</xdr:row>
      <xdr:rowOff>126351</xdr:rowOff>
    </xdr:from>
    <xdr:to>
      <xdr:col>36</xdr:col>
      <xdr:colOff>223544</xdr:colOff>
      <xdr:row>44</xdr:row>
      <xdr:rowOff>48597</xdr:rowOff>
    </xdr:to>
    <xdr:sp macro="" textlink="" fLocksText="0">
      <xdr:nvSpPr>
        <xdr:cNvPr id="19" name="正方形/長方形 26">
          <a:extLst>
            <a:ext uri="{FF2B5EF4-FFF2-40B4-BE49-F238E27FC236}">
              <a16:creationId xmlns:a16="http://schemas.microsoft.com/office/drawing/2014/main" id="{00000000-0008-0000-0700-000013000000}"/>
            </a:ext>
          </a:extLst>
        </xdr:cNvPr>
        <xdr:cNvSpPr/>
      </xdr:nvSpPr>
      <xdr:spPr>
        <a:xfrm>
          <a:off x="10363200" y="8572500"/>
          <a:ext cx="828675" cy="266700"/>
        </a:xfrm>
        <a:prstGeom prst="rect">
          <a:avLst/>
        </a:prstGeom>
        <a:solidFill>
          <a:srgbClr val="E3E5F6"/>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ja-JP" altLang="en-US" sz="1100" b="1" i="0" u="none" baseline="0">
              <a:solidFill>
                <a:srgbClr val="000000"/>
              </a:solidFill>
              <a:latin typeface="Yu Gothic"/>
              <a:ea typeface="Yu Gothic"/>
            </a:rPr>
            <a:t>前画面</a:t>
          </a:r>
        </a:p>
      </xdr:txBody>
    </xdr:sp>
    <xdr:clientData/>
  </xdr:twoCellAnchor>
  <xdr:twoCellAnchor>
    <xdr:from>
      <xdr:col>17</xdr:col>
      <xdr:colOff>203027</xdr:colOff>
      <xdr:row>77</xdr:row>
      <xdr:rowOff>9502</xdr:rowOff>
    </xdr:from>
    <xdr:to>
      <xdr:col>20</xdr:col>
      <xdr:colOff>203026</xdr:colOff>
      <xdr:row>78</xdr:row>
      <xdr:rowOff>155294</xdr:rowOff>
    </xdr:to>
    <xdr:sp macro="" textlink="" fLocksText="0">
      <xdr:nvSpPr>
        <xdr:cNvPr id="20" name="正方形/長方形 27">
          <a:extLst>
            <a:ext uri="{FF2B5EF4-FFF2-40B4-BE49-F238E27FC236}">
              <a16:creationId xmlns:a16="http://schemas.microsoft.com/office/drawing/2014/main" id="{00000000-0008-0000-0700-000014000000}"/>
            </a:ext>
          </a:extLst>
        </xdr:cNvPr>
        <xdr:cNvSpPr/>
      </xdr:nvSpPr>
      <xdr:spPr>
        <a:xfrm>
          <a:off x="5438775" y="15573375"/>
          <a:ext cx="828675" cy="342900"/>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ja-JP" altLang="en-US" sz="1100" b="1" i="0" u="none" baseline="0">
              <a:solidFill>
                <a:srgbClr val="FFFFFF"/>
              </a:solidFill>
              <a:latin typeface="Yu Gothic"/>
              <a:ea typeface="Yu Gothic"/>
            </a:rPr>
            <a:t>登録</a:t>
          </a:r>
        </a:p>
      </xdr:txBody>
    </xdr:sp>
    <xdr:clientData/>
  </xdr:twoCellAnchor>
  <xdr:twoCellAnchor>
    <xdr:from>
      <xdr:col>34</xdr:col>
      <xdr:colOff>171276</xdr:colOff>
      <xdr:row>53</xdr:row>
      <xdr:rowOff>204109</xdr:rowOff>
    </xdr:from>
    <xdr:to>
      <xdr:col>38</xdr:col>
      <xdr:colOff>0</xdr:colOff>
      <xdr:row>54</xdr:row>
      <xdr:rowOff>213826</xdr:rowOff>
    </xdr:to>
    <xdr:sp macro="" textlink="" fLocksText="0">
      <xdr:nvSpPr>
        <xdr:cNvPr id="21" name="正方形/長方形 64">
          <a:extLst>
            <a:ext uri="{FF2B5EF4-FFF2-40B4-BE49-F238E27FC236}">
              <a16:creationId xmlns:a16="http://schemas.microsoft.com/office/drawing/2014/main" id="{00000000-0008-0000-0700-000015000000}"/>
            </a:ext>
          </a:extLst>
        </xdr:cNvPr>
        <xdr:cNvSpPr/>
      </xdr:nvSpPr>
      <xdr:spPr>
        <a:xfrm>
          <a:off x="10591800" y="10848975"/>
          <a:ext cx="676275" cy="219075"/>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1" i="0" u="none" baseline="0">
              <a:solidFill>
                <a:srgbClr val="FFFFFF"/>
              </a:solidFill>
              <a:latin typeface="Yu Gothic"/>
              <a:ea typeface="Yu Gothic"/>
            </a:rPr>
            <a:t>検索</a:t>
          </a:r>
        </a:p>
      </xdr:txBody>
    </xdr:sp>
    <xdr:clientData/>
  </xdr:twoCellAnchor>
  <xdr:twoCellAnchor>
    <xdr:from>
      <xdr:col>33</xdr:col>
      <xdr:colOff>223546</xdr:colOff>
      <xdr:row>65</xdr:row>
      <xdr:rowOff>116633</xdr:rowOff>
    </xdr:from>
    <xdr:to>
      <xdr:col>38</xdr:col>
      <xdr:colOff>0</xdr:colOff>
      <xdr:row>66</xdr:row>
      <xdr:rowOff>145791</xdr:rowOff>
    </xdr:to>
    <xdr:sp macro="" textlink="" fLocksText="0">
      <xdr:nvSpPr>
        <xdr:cNvPr id="23" name="正方形/長方形 64">
          <a:extLst>
            <a:ext uri="{FF2B5EF4-FFF2-40B4-BE49-F238E27FC236}">
              <a16:creationId xmlns:a16="http://schemas.microsoft.com/office/drawing/2014/main" id="{00000000-0008-0000-0700-000017000000}"/>
            </a:ext>
          </a:extLst>
        </xdr:cNvPr>
        <xdr:cNvSpPr/>
      </xdr:nvSpPr>
      <xdr:spPr>
        <a:xfrm>
          <a:off x="10363200" y="13277850"/>
          <a:ext cx="904875" cy="228600"/>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1" i="0" u="none" baseline="0">
              <a:solidFill>
                <a:srgbClr val="FFFFFF"/>
              </a:solidFill>
              <a:latin typeface="Yu Gothic"/>
              <a:ea typeface="Yu Gothic"/>
            </a:rPr>
            <a:t>全選択</a:t>
          </a:r>
        </a:p>
      </xdr:txBody>
    </xdr:sp>
    <xdr:clientData/>
  </xdr:twoCellAnchor>
  <xdr:twoCellAnchor>
    <xdr:from>
      <xdr:col>30</xdr:col>
      <xdr:colOff>651199</xdr:colOff>
      <xdr:row>65</xdr:row>
      <xdr:rowOff>116634</xdr:rowOff>
    </xdr:from>
    <xdr:to>
      <xdr:col>33</xdr:col>
      <xdr:colOff>198060</xdr:colOff>
      <xdr:row>66</xdr:row>
      <xdr:rowOff>136072</xdr:rowOff>
    </xdr:to>
    <xdr:sp macro="" textlink="" fLocksText="0">
      <xdr:nvSpPr>
        <xdr:cNvPr id="24" name="正方形/長方形 64">
          <a:extLst>
            <a:ext uri="{FF2B5EF4-FFF2-40B4-BE49-F238E27FC236}">
              <a16:creationId xmlns:a16="http://schemas.microsoft.com/office/drawing/2014/main" id="{00000000-0008-0000-0700-000018000000}"/>
            </a:ext>
          </a:extLst>
        </xdr:cNvPr>
        <xdr:cNvSpPr/>
      </xdr:nvSpPr>
      <xdr:spPr>
        <a:xfrm>
          <a:off x="9477375" y="13277850"/>
          <a:ext cx="866775" cy="219075"/>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1" i="0" u="none" baseline="0">
              <a:solidFill>
                <a:srgbClr val="FFFFFF"/>
              </a:solidFill>
              <a:latin typeface="Yu Gothic"/>
              <a:ea typeface="Yu Gothic"/>
            </a:rPr>
            <a:t>全解除</a:t>
          </a:r>
        </a:p>
      </xdr:txBody>
    </xdr:sp>
    <xdr:clientData/>
  </xdr:twoCellAnchor>
  <xdr:twoCellAnchor editAs="oneCell">
    <xdr:from>
      <xdr:col>4</xdr:col>
      <xdr:colOff>33617</xdr:colOff>
      <xdr:row>26</xdr:row>
      <xdr:rowOff>0</xdr:rowOff>
    </xdr:from>
    <xdr:to>
      <xdr:col>35</xdr:col>
      <xdr:colOff>5656</xdr:colOff>
      <xdr:row>36</xdr:row>
      <xdr:rowOff>44018</xdr:rowOff>
    </xdr:to>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a:stretch>
          <a:fillRect/>
        </a:stretch>
      </xdr:blipFill>
      <xdr:spPr>
        <a:xfrm>
          <a:off x="1143000" y="5391150"/>
          <a:ext cx="9563100" cy="1971675"/>
        </a:xfrm>
        <a:prstGeom prst="rect">
          <a:avLst/>
        </a:prstGeom>
      </xdr:spPr>
    </xdr:pic>
    <xdr:clientData/>
  </xdr:twoCellAnchor>
  <xdr:twoCellAnchor editAs="oneCell">
    <xdr:from>
      <xdr:col>4</xdr:col>
      <xdr:colOff>33617</xdr:colOff>
      <xdr:row>67</xdr:row>
      <xdr:rowOff>11206</xdr:rowOff>
    </xdr:from>
    <xdr:to>
      <xdr:col>35</xdr:col>
      <xdr:colOff>5656</xdr:colOff>
      <xdr:row>76</xdr:row>
      <xdr:rowOff>167282</xdr:rowOff>
    </xdr:to>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a:stretch>
          <a:fillRect/>
        </a:stretch>
      </xdr:blipFill>
      <xdr:spPr>
        <a:xfrm>
          <a:off x="1143000" y="13573125"/>
          <a:ext cx="9563100" cy="1952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cols>
    <col min="1" max="60" width="2.77734375" style="51" customWidth="1"/>
    <col min="61" max="16384" width="2.77734375" style="51"/>
  </cols>
  <sheetData>
    <row r="1" spans="1:63" ht="24.95" customHeight="1">
      <c r="A1" s="123" t="s">
        <v>89</v>
      </c>
      <c r="B1" s="124"/>
      <c r="C1" s="124"/>
      <c r="D1" s="124"/>
      <c r="E1" s="124"/>
      <c r="F1" s="124"/>
      <c r="G1" s="124"/>
      <c r="H1" s="124"/>
      <c r="I1" s="124"/>
      <c r="J1" s="125"/>
      <c r="K1" s="123" t="s">
        <v>90</v>
      </c>
      <c r="L1" s="124"/>
      <c r="M1" s="124"/>
      <c r="N1" s="124"/>
      <c r="O1" s="124"/>
      <c r="P1" s="124"/>
      <c r="Q1" s="124"/>
      <c r="R1" s="124"/>
      <c r="S1" s="124"/>
      <c r="T1" s="124"/>
      <c r="U1" s="124"/>
      <c r="V1" s="125"/>
      <c r="W1" s="144" t="s">
        <v>91</v>
      </c>
      <c r="X1" s="145"/>
      <c r="Y1" s="145"/>
      <c r="Z1" s="145"/>
      <c r="AA1" s="145"/>
      <c r="AB1" s="145"/>
      <c r="AC1" s="145"/>
      <c r="AD1" s="145"/>
      <c r="AE1" s="145"/>
      <c r="AF1" s="145"/>
      <c r="AG1" s="145"/>
      <c r="AH1" s="145"/>
      <c r="AI1" s="145"/>
      <c r="AJ1" s="145"/>
      <c r="AK1" s="145"/>
      <c r="AL1" s="145"/>
      <c r="AM1" s="145"/>
      <c r="AN1" s="145"/>
      <c r="AO1" s="146"/>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3" ht="15" customHeight="1">
      <c r="A2" s="143" t="s">
        <v>97</v>
      </c>
      <c r="B2" s="109"/>
      <c r="C2" s="109"/>
      <c r="D2" s="109"/>
      <c r="E2" s="109"/>
      <c r="F2" s="109"/>
      <c r="G2" s="109"/>
      <c r="H2" s="109"/>
      <c r="I2" s="109"/>
      <c r="J2" s="110"/>
      <c r="K2" s="108" t="s">
        <v>10</v>
      </c>
      <c r="L2" s="109"/>
      <c r="M2" s="109"/>
      <c r="N2" s="109"/>
      <c r="O2" s="109"/>
      <c r="P2" s="109"/>
      <c r="Q2" s="109"/>
      <c r="R2" s="109"/>
      <c r="S2" s="109"/>
      <c r="T2" s="109"/>
      <c r="U2" s="109"/>
      <c r="V2" s="110"/>
      <c r="W2" s="147"/>
      <c r="X2" s="148"/>
      <c r="Y2" s="148"/>
      <c r="Z2" s="148"/>
      <c r="AA2" s="148"/>
      <c r="AB2" s="148"/>
      <c r="AC2" s="148"/>
      <c r="AD2" s="148"/>
      <c r="AE2" s="148"/>
      <c r="AF2" s="148"/>
      <c r="AG2" s="148"/>
      <c r="AH2" s="148"/>
      <c r="AI2" s="148"/>
      <c r="AJ2" s="148"/>
      <c r="AK2" s="148"/>
      <c r="AL2" s="148"/>
      <c r="AM2" s="148"/>
      <c r="AN2" s="148"/>
      <c r="AO2" s="149"/>
      <c r="AP2" s="108" t="str">
        <f>改訂履歴!$H$11</f>
        <v>TinNH</v>
      </c>
      <c r="AQ2" s="109"/>
      <c r="AR2" s="109"/>
      <c r="AS2" s="110"/>
      <c r="AT2" s="137">
        <f>改訂履歴!$B$11</f>
        <v>45467</v>
      </c>
      <c r="AU2" s="138"/>
      <c r="AV2" s="138"/>
      <c r="AW2" s="138"/>
      <c r="AX2" s="139"/>
      <c r="AY2" s="108" t="str">
        <f>LOOKUP(2,1/(改訂履歴!H11:H30000&lt;&gt;""),改訂履歴!H11:H30000)</f>
        <v>AnhNM</v>
      </c>
      <c r="AZ2" s="109"/>
      <c r="BA2" s="109"/>
      <c r="BB2" s="110"/>
      <c r="BC2" s="137">
        <f>LOOKUP(2,1/(改訂履歴!B11:B30000&lt;&gt;""),改訂履歴!B11:B30000)</f>
        <v>45590</v>
      </c>
      <c r="BD2" s="138"/>
      <c r="BE2" s="138"/>
      <c r="BF2" s="138"/>
      <c r="BG2" s="139"/>
      <c r="BH2" s="131">
        <f>LOOKUP(2,1/(改訂履歴!O11:O30000&lt;&gt;""),改訂履歴!O11:O30000)</f>
        <v>0.4</v>
      </c>
      <c r="BI2" s="132"/>
      <c r="BJ2" s="132"/>
      <c r="BK2" s="133"/>
    </row>
    <row r="3" spans="1:63" ht="15" customHeight="1">
      <c r="A3" s="114"/>
      <c r="B3" s="115"/>
      <c r="C3" s="115"/>
      <c r="D3" s="115"/>
      <c r="E3" s="115"/>
      <c r="F3" s="115"/>
      <c r="G3" s="115"/>
      <c r="H3" s="115"/>
      <c r="I3" s="115"/>
      <c r="J3" s="116"/>
      <c r="K3" s="114"/>
      <c r="L3" s="115"/>
      <c r="M3" s="115"/>
      <c r="N3" s="115"/>
      <c r="O3" s="115"/>
      <c r="P3" s="115"/>
      <c r="Q3" s="115"/>
      <c r="R3" s="115"/>
      <c r="S3" s="115"/>
      <c r="T3" s="115"/>
      <c r="U3" s="115"/>
      <c r="V3" s="116"/>
      <c r="W3" s="150"/>
      <c r="X3" s="151"/>
      <c r="Y3" s="151"/>
      <c r="Z3" s="151"/>
      <c r="AA3" s="151"/>
      <c r="AB3" s="151"/>
      <c r="AC3" s="151"/>
      <c r="AD3" s="151"/>
      <c r="AE3" s="151"/>
      <c r="AF3" s="151"/>
      <c r="AG3" s="151"/>
      <c r="AH3" s="151"/>
      <c r="AI3" s="151"/>
      <c r="AJ3" s="151"/>
      <c r="AK3" s="151"/>
      <c r="AL3" s="151"/>
      <c r="AM3" s="151"/>
      <c r="AN3" s="151"/>
      <c r="AO3" s="152"/>
      <c r="AP3" s="114"/>
      <c r="AQ3" s="115"/>
      <c r="AR3" s="115"/>
      <c r="AS3" s="116"/>
      <c r="AT3" s="140"/>
      <c r="AU3" s="141"/>
      <c r="AV3" s="141"/>
      <c r="AW3" s="141"/>
      <c r="AX3" s="142"/>
      <c r="AY3" s="114"/>
      <c r="AZ3" s="115"/>
      <c r="BA3" s="115"/>
      <c r="BB3" s="116"/>
      <c r="BC3" s="140"/>
      <c r="BD3" s="141"/>
      <c r="BE3" s="141"/>
      <c r="BF3" s="141"/>
      <c r="BG3" s="142"/>
      <c r="BH3" s="134"/>
      <c r="BI3" s="135"/>
      <c r="BJ3" s="135"/>
      <c r="BK3" s="136"/>
    </row>
    <row r="4" spans="1:63" ht="24.95" customHeight="1">
      <c r="A4" s="123" t="s">
        <v>98</v>
      </c>
      <c r="B4" s="124"/>
      <c r="C4" s="124"/>
      <c r="D4" s="124"/>
      <c r="E4" s="124"/>
      <c r="F4" s="124"/>
      <c r="G4" s="125"/>
      <c r="H4" s="128" t="s">
        <v>50</v>
      </c>
      <c r="I4" s="129"/>
      <c r="J4" s="129"/>
      <c r="K4" s="129"/>
      <c r="L4" s="129"/>
      <c r="M4" s="129"/>
      <c r="N4" s="129"/>
      <c r="O4" s="129"/>
      <c r="P4" s="129"/>
      <c r="Q4" s="129"/>
      <c r="R4" s="129"/>
      <c r="S4" s="129"/>
      <c r="T4" s="130"/>
      <c r="U4" s="123" t="s">
        <v>99</v>
      </c>
      <c r="V4" s="124"/>
      <c r="W4" s="124"/>
      <c r="X4" s="124"/>
      <c r="Y4" s="125"/>
      <c r="Z4" s="128" t="s">
        <v>11</v>
      </c>
      <c r="AA4" s="129"/>
      <c r="AB4" s="129"/>
      <c r="AC4" s="129"/>
      <c r="AD4" s="129"/>
      <c r="AE4" s="129"/>
      <c r="AF4" s="129"/>
      <c r="AG4" s="129"/>
      <c r="AH4" s="129"/>
      <c r="AI4" s="129"/>
      <c r="AJ4" s="129"/>
      <c r="AK4" s="129"/>
      <c r="AL4" s="129"/>
      <c r="AM4" s="129"/>
      <c r="AN4" s="129"/>
      <c r="AO4" s="130"/>
      <c r="AP4" s="128" t="str">
        <f t="array" aca="1" ref="AP4" ca="1">RIGHT(CELL("filename",$A$1),LEN(CELL("filename",$A$1))-FIND("]",CELL("filename",$A$1)))</f>
        <v>表紙</v>
      </c>
      <c r="AQ4" s="129"/>
      <c r="AR4" s="129"/>
      <c r="AS4" s="129"/>
      <c r="AT4" s="129"/>
      <c r="AU4" s="129"/>
      <c r="AV4" s="129"/>
      <c r="AW4" s="129"/>
      <c r="AX4" s="129"/>
      <c r="AY4" s="129"/>
      <c r="AZ4" s="129"/>
      <c r="BA4" s="129"/>
      <c r="BB4" s="129"/>
      <c r="BC4" s="129"/>
      <c r="BD4" s="129"/>
      <c r="BE4" s="129"/>
      <c r="BF4" s="129"/>
      <c r="BG4" s="129"/>
      <c r="BH4" s="129"/>
      <c r="BI4" s="129"/>
      <c r="BJ4" s="129"/>
      <c r="BK4" s="130"/>
    </row>
    <row r="5" spans="1:63" ht="5.0999999999999996" customHeight="1">
      <c r="A5" s="52"/>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4"/>
    </row>
    <row r="6" spans="1:63" ht="15" customHeight="1">
      <c r="A6" s="55"/>
      <c r="BK6" s="56"/>
    </row>
    <row r="7" spans="1:63" ht="15" customHeight="1">
      <c r="A7" s="55"/>
      <c r="BK7" s="56"/>
    </row>
    <row r="8" spans="1:63" ht="15" customHeight="1">
      <c r="A8" s="55"/>
      <c r="BK8" s="56"/>
    </row>
    <row r="9" spans="1:63" ht="15" customHeight="1">
      <c r="A9" s="55"/>
      <c r="BK9" s="56"/>
    </row>
    <row r="10" spans="1:63" ht="15" customHeight="1">
      <c r="A10" s="55"/>
      <c r="BK10" s="56"/>
    </row>
    <row r="11" spans="1:63" ht="15" customHeight="1">
      <c r="A11" s="55"/>
      <c r="BK11" s="56"/>
    </row>
    <row r="12" spans="1:63" ht="15" customHeight="1">
      <c r="A12" s="55"/>
      <c r="BK12" s="56"/>
    </row>
    <row r="13" spans="1:63" ht="15" customHeight="1">
      <c r="A13" s="55"/>
      <c r="BK13" s="56"/>
    </row>
    <row r="14" spans="1:63" ht="15" customHeight="1" thickBot="1">
      <c r="A14" s="55"/>
      <c r="BK14" s="56"/>
    </row>
    <row r="15" spans="1:63" ht="15" customHeight="1" thickTop="1">
      <c r="A15" s="55"/>
      <c r="K15" s="57"/>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9"/>
      <c r="BK15" s="56"/>
    </row>
    <row r="16" spans="1:63" ht="15" customHeight="1">
      <c r="A16" s="55"/>
      <c r="K16" s="60"/>
      <c r="L16" s="126" t="s">
        <v>100</v>
      </c>
      <c r="M16" s="127"/>
      <c r="N16" s="127"/>
      <c r="O16" s="127"/>
      <c r="P16" s="127"/>
      <c r="Q16" s="127"/>
      <c r="R16" s="127"/>
      <c r="S16" s="127"/>
      <c r="T16" s="127"/>
      <c r="U16" s="127"/>
      <c r="V16" s="127"/>
      <c r="W16" s="127"/>
      <c r="X16" s="127"/>
      <c r="Y16" s="127"/>
      <c r="Z16" s="127"/>
      <c r="AA16" s="127"/>
      <c r="AB16" s="127"/>
      <c r="AC16" s="127"/>
      <c r="AD16" s="127"/>
      <c r="AE16" s="127"/>
      <c r="AF16" s="127"/>
      <c r="AG16" s="127"/>
      <c r="AH16" s="127"/>
      <c r="AI16" s="127"/>
      <c r="AJ16" s="127"/>
      <c r="AK16" s="127"/>
      <c r="AL16" s="127"/>
      <c r="AM16" s="127"/>
      <c r="AN16" s="127"/>
      <c r="AO16" s="127"/>
      <c r="AP16" s="127"/>
      <c r="AQ16" s="127"/>
      <c r="AR16" s="127"/>
      <c r="AS16" s="127"/>
      <c r="AT16" s="127"/>
      <c r="AU16" s="127"/>
      <c r="AV16" s="127"/>
      <c r="AW16" s="127"/>
      <c r="AX16" s="127"/>
      <c r="AY16" s="127"/>
      <c r="AZ16" s="127"/>
      <c r="BA16" s="61"/>
      <c r="BK16" s="56"/>
    </row>
    <row r="17" spans="1:63" ht="15" customHeight="1">
      <c r="A17" s="55"/>
      <c r="K17" s="60"/>
      <c r="L17" s="127"/>
      <c r="M17" s="127"/>
      <c r="N17" s="127"/>
      <c r="O17" s="127"/>
      <c r="P17" s="127"/>
      <c r="Q17" s="127"/>
      <c r="R17" s="127"/>
      <c r="S17" s="127"/>
      <c r="T17" s="127"/>
      <c r="U17" s="127"/>
      <c r="V17" s="127"/>
      <c r="W17" s="127"/>
      <c r="X17" s="127"/>
      <c r="Y17" s="127"/>
      <c r="Z17" s="127"/>
      <c r="AA17" s="127"/>
      <c r="AB17" s="127"/>
      <c r="AC17" s="127"/>
      <c r="AD17" s="127"/>
      <c r="AE17" s="127"/>
      <c r="AF17" s="127"/>
      <c r="AG17" s="127"/>
      <c r="AH17" s="127"/>
      <c r="AI17" s="127"/>
      <c r="AJ17" s="127"/>
      <c r="AK17" s="127"/>
      <c r="AL17" s="127"/>
      <c r="AM17" s="127"/>
      <c r="AN17" s="127"/>
      <c r="AO17" s="127"/>
      <c r="AP17" s="127"/>
      <c r="AQ17" s="127"/>
      <c r="AR17" s="127"/>
      <c r="AS17" s="127"/>
      <c r="AT17" s="127"/>
      <c r="AU17" s="127"/>
      <c r="AV17" s="127"/>
      <c r="AW17" s="127"/>
      <c r="AX17" s="127"/>
      <c r="AY17" s="127"/>
      <c r="AZ17" s="127"/>
      <c r="BA17" s="61"/>
      <c r="BK17" s="56"/>
    </row>
    <row r="18" spans="1:63" ht="15" customHeight="1">
      <c r="A18" s="55"/>
      <c r="K18" s="60"/>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7"/>
      <c r="AX18" s="127"/>
      <c r="AY18" s="127"/>
      <c r="AZ18" s="127"/>
      <c r="BA18" s="61"/>
      <c r="BK18" s="56"/>
    </row>
    <row r="19" spans="1:63" ht="15" customHeight="1">
      <c r="A19" s="55"/>
      <c r="K19" s="60"/>
      <c r="L19" s="127"/>
      <c r="M19" s="127"/>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7"/>
      <c r="AV19" s="127"/>
      <c r="AW19" s="127"/>
      <c r="AX19" s="127"/>
      <c r="AY19" s="127"/>
      <c r="AZ19" s="127"/>
      <c r="BA19" s="61"/>
      <c r="BK19" s="56"/>
    </row>
    <row r="20" spans="1:63" ht="15" customHeight="1">
      <c r="A20" s="55"/>
      <c r="K20" s="60"/>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27"/>
      <c r="AW20" s="127"/>
      <c r="AX20" s="127"/>
      <c r="AY20" s="127"/>
      <c r="AZ20" s="127"/>
      <c r="BA20" s="61"/>
      <c r="BK20" s="56"/>
    </row>
    <row r="21" spans="1:63" ht="15" customHeight="1">
      <c r="A21" s="55"/>
      <c r="K21" s="60"/>
      <c r="L21" s="127"/>
      <c r="M21" s="127"/>
      <c r="N21" s="127"/>
      <c r="O21" s="127"/>
      <c r="P21" s="127"/>
      <c r="Q21" s="127"/>
      <c r="R21" s="127"/>
      <c r="S21" s="127"/>
      <c r="T21" s="127"/>
      <c r="U21" s="127"/>
      <c r="V21" s="127"/>
      <c r="W21" s="127"/>
      <c r="X21" s="127"/>
      <c r="Y21" s="127"/>
      <c r="Z21" s="127"/>
      <c r="AA21" s="127"/>
      <c r="AB21" s="127"/>
      <c r="AC21" s="127"/>
      <c r="AD21" s="127"/>
      <c r="AE21" s="127"/>
      <c r="AF21" s="127"/>
      <c r="AG21" s="127"/>
      <c r="AH21" s="127"/>
      <c r="AI21" s="127"/>
      <c r="AJ21" s="127"/>
      <c r="AK21" s="127"/>
      <c r="AL21" s="127"/>
      <c r="AM21" s="127"/>
      <c r="AN21" s="127"/>
      <c r="AO21" s="127"/>
      <c r="AP21" s="127"/>
      <c r="AQ21" s="127"/>
      <c r="AR21" s="127"/>
      <c r="AS21" s="127"/>
      <c r="AT21" s="127"/>
      <c r="AU21" s="127"/>
      <c r="AV21" s="127"/>
      <c r="AW21" s="127"/>
      <c r="AX21" s="127"/>
      <c r="AY21" s="127"/>
      <c r="AZ21" s="127"/>
      <c r="BA21" s="61"/>
      <c r="BK21" s="56"/>
    </row>
    <row r="22" spans="1:63" ht="15" customHeight="1" thickBot="1">
      <c r="A22" s="55"/>
      <c r="K22" s="60"/>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1"/>
      <c r="BK22" s="56"/>
    </row>
    <row r="23" spans="1:63" ht="15" customHeight="1">
      <c r="A23" s="55"/>
      <c r="K23" s="60"/>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1"/>
      <c r="BK23" s="56"/>
    </row>
    <row r="24" spans="1:63" ht="15" customHeight="1">
      <c r="A24" s="55"/>
      <c r="K24" s="60"/>
      <c r="L24" s="127" t="str">
        <f>K2&amp;"/"&amp;H4&amp;"/"&amp;Z4</f>
        <v>POSサーバ/96_カテゴリ割引レシートクーポン設定/概要設計</v>
      </c>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7"/>
      <c r="AX24" s="127"/>
      <c r="AY24" s="127"/>
      <c r="AZ24" s="127"/>
      <c r="BA24" s="61"/>
      <c r="BK24" s="56"/>
    </row>
    <row r="25" spans="1:63" ht="15" customHeight="1">
      <c r="A25" s="55"/>
      <c r="K25" s="60"/>
      <c r="L25" s="127"/>
      <c r="M25" s="127"/>
      <c r="N25" s="127"/>
      <c r="O25" s="127"/>
      <c r="P25" s="127"/>
      <c r="Q25" s="127"/>
      <c r="R25" s="127"/>
      <c r="S25" s="127"/>
      <c r="T25" s="127"/>
      <c r="U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R25" s="127"/>
      <c r="AS25" s="127"/>
      <c r="AT25" s="127"/>
      <c r="AU25" s="127"/>
      <c r="AV25" s="127"/>
      <c r="AW25" s="127"/>
      <c r="AX25" s="127"/>
      <c r="AY25" s="127"/>
      <c r="AZ25" s="127"/>
      <c r="BA25" s="61"/>
      <c r="BK25" s="56"/>
    </row>
    <row r="26" spans="1:63" ht="15" customHeight="1">
      <c r="A26" s="55"/>
      <c r="K26" s="60"/>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7"/>
      <c r="AX26" s="127"/>
      <c r="AY26" s="127"/>
      <c r="AZ26" s="127"/>
      <c r="BA26" s="61"/>
      <c r="BK26" s="56"/>
    </row>
    <row r="27" spans="1:63" ht="15" customHeight="1">
      <c r="A27" s="55"/>
      <c r="K27" s="60"/>
      <c r="L27" s="127"/>
      <c r="M27" s="127"/>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R27" s="127"/>
      <c r="AS27" s="127"/>
      <c r="AT27" s="127"/>
      <c r="AU27" s="127"/>
      <c r="AV27" s="127"/>
      <c r="AW27" s="127"/>
      <c r="AX27" s="127"/>
      <c r="AY27" s="127"/>
      <c r="AZ27" s="127"/>
      <c r="BA27" s="61"/>
      <c r="BK27" s="56"/>
    </row>
    <row r="28" spans="1:63" ht="15" customHeight="1">
      <c r="A28" s="55"/>
      <c r="K28" s="60"/>
      <c r="L28" s="127"/>
      <c r="M28" s="127"/>
      <c r="N28" s="127"/>
      <c r="O28" s="127"/>
      <c r="P28" s="127"/>
      <c r="Q28" s="127"/>
      <c r="R28" s="127"/>
      <c r="S28" s="127"/>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c r="AS28" s="127"/>
      <c r="AT28" s="127"/>
      <c r="AU28" s="127"/>
      <c r="AV28" s="127"/>
      <c r="AW28" s="127"/>
      <c r="AX28" s="127"/>
      <c r="AY28" s="127"/>
      <c r="AZ28" s="127"/>
      <c r="BA28" s="61"/>
      <c r="BK28" s="56"/>
    </row>
    <row r="29" spans="1:63" ht="15" customHeight="1">
      <c r="A29" s="55"/>
      <c r="K29" s="60"/>
      <c r="L29" s="127"/>
      <c r="M29" s="127"/>
      <c r="N29" s="127"/>
      <c r="O29" s="127"/>
      <c r="P29" s="127"/>
      <c r="Q29" s="127"/>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R29" s="127"/>
      <c r="AS29" s="127"/>
      <c r="AT29" s="127"/>
      <c r="AU29" s="127"/>
      <c r="AV29" s="127"/>
      <c r="AW29" s="127"/>
      <c r="AX29" s="127"/>
      <c r="AY29" s="127"/>
      <c r="AZ29" s="127"/>
      <c r="BA29" s="61"/>
      <c r="BK29" s="56"/>
    </row>
    <row r="30" spans="1:63" ht="15" customHeight="1">
      <c r="A30" s="55"/>
      <c r="K30" s="60"/>
      <c r="L30" s="127"/>
      <c r="M30" s="127"/>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7"/>
      <c r="AQ30" s="127"/>
      <c r="AR30" s="127"/>
      <c r="AS30" s="127"/>
      <c r="AT30" s="127"/>
      <c r="AU30" s="127"/>
      <c r="AV30" s="127"/>
      <c r="AW30" s="127"/>
      <c r="AX30" s="127"/>
      <c r="AY30" s="127"/>
      <c r="AZ30" s="127"/>
      <c r="BA30" s="61"/>
      <c r="BK30" s="56"/>
    </row>
    <row r="31" spans="1:63" ht="15" customHeight="1">
      <c r="A31" s="55"/>
      <c r="K31" s="60"/>
      <c r="L31" s="127"/>
      <c r="M31" s="127"/>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61"/>
      <c r="BK31" s="56"/>
    </row>
    <row r="32" spans="1:63" ht="15" customHeight="1">
      <c r="A32" s="55"/>
      <c r="K32" s="60"/>
      <c r="L32" s="127"/>
      <c r="M32" s="127"/>
      <c r="N32" s="127"/>
      <c r="O32" s="127"/>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61"/>
      <c r="BK32" s="56"/>
    </row>
    <row r="33" spans="1:63" ht="15" customHeight="1">
      <c r="A33" s="55"/>
      <c r="K33" s="60"/>
      <c r="L33" s="127"/>
      <c r="M33" s="127"/>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7"/>
      <c r="AV33" s="127"/>
      <c r="AW33" s="127"/>
      <c r="AX33" s="127"/>
      <c r="AY33" s="127"/>
      <c r="AZ33" s="127"/>
      <c r="BA33" s="61"/>
      <c r="BK33" s="56"/>
    </row>
    <row r="34" spans="1:63" ht="15" customHeight="1">
      <c r="A34" s="55"/>
      <c r="K34" s="60"/>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7"/>
      <c r="AX34" s="127"/>
      <c r="AY34" s="127"/>
      <c r="AZ34" s="127"/>
      <c r="BA34" s="61"/>
      <c r="BK34" s="56"/>
    </row>
    <row r="35" spans="1:63" ht="15" customHeight="1">
      <c r="A35" s="55"/>
      <c r="K35" s="60"/>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7"/>
      <c r="AX35" s="127"/>
      <c r="AY35" s="127"/>
      <c r="AZ35" s="127"/>
      <c r="BA35" s="61"/>
      <c r="BK35" s="56"/>
    </row>
    <row r="36" spans="1:63" ht="15" customHeight="1">
      <c r="A36" s="55"/>
      <c r="K36" s="60"/>
      <c r="L36" s="127"/>
      <c r="M36" s="127"/>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7"/>
      <c r="AM36" s="127"/>
      <c r="AN36" s="127"/>
      <c r="AO36" s="127"/>
      <c r="AP36" s="127"/>
      <c r="AQ36" s="127"/>
      <c r="AR36" s="127"/>
      <c r="AS36" s="127"/>
      <c r="AT36" s="127"/>
      <c r="AU36" s="127"/>
      <c r="AV36" s="127"/>
      <c r="AW36" s="127"/>
      <c r="AX36" s="127"/>
      <c r="AY36" s="127"/>
      <c r="AZ36" s="127"/>
      <c r="BA36" s="61"/>
      <c r="BK36" s="56"/>
    </row>
    <row r="37" spans="1:63" ht="15" customHeight="1" thickBot="1">
      <c r="A37" s="55"/>
      <c r="K37" s="64"/>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6"/>
      <c r="BK37" s="56"/>
    </row>
    <row r="38" spans="1:63" ht="15" customHeight="1" thickTop="1">
      <c r="A38" s="55"/>
      <c r="BK38" s="56"/>
    </row>
    <row r="39" spans="1:63" ht="15" customHeight="1">
      <c r="A39" s="55"/>
      <c r="BK39" s="56"/>
    </row>
    <row r="40" spans="1:63" ht="15" customHeight="1">
      <c r="A40" s="55"/>
      <c r="BK40" s="56"/>
    </row>
    <row r="41" spans="1:63" ht="15" customHeight="1">
      <c r="A41" s="55"/>
      <c r="BK41" s="56"/>
    </row>
    <row r="42" spans="1:63" ht="15" customHeight="1">
      <c r="A42" s="55"/>
      <c r="BK42" s="56"/>
    </row>
    <row r="43" spans="1:63" ht="15" customHeight="1">
      <c r="A43" s="55"/>
      <c r="BK43" s="56"/>
    </row>
    <row r="44" spans="1:63" ht="15" customHeight="1">
      <c r="A44" s="55"/>
      <c r="Q44" s="117" t="s">
        <v>101</v>
      </c>
      <c r="R44" s="118"/>
      <c r="S44" s="118"/>
      <c r="T44" s="118"/>
      <c r="U44" s="118"/>
      <c r="V44" s="118"/>
      <c r="W44" s="118"/>
      <c r="X44" s="118"/>
      <c r="Y44" s="118"/>
      <c r="Z44" s="119"/>
      <c r="AA44" s="117" t="s">
        <v>102</v>
      </c>
      <c r="AB44" s="118"/>
      <c r="AC44" s="118"/>
      <c r="AD44" s="118"/>
      <c r="AE44" s="118"/>
      <c r="AF44" s="118"/>
      <c r="AG44" s="118"/>
      <c r="AH44" s="118"/>
      <c r="AI44" s="118"/>
      <c r="AJ44" s="118"/>
      <c r="AK44" s="118"/>
      <c r="AL44" s="118"/>
      <c r="AM44" s="118"/>
      <c r="AN44" s="118"/>
      <c r="AO44" s="118"/>
      <c r="AP44" s="119"/>
      <c r="AQ44" s="117" t="s">
        <v>96</v>
      </c>
      <c r="AR44" s="118"/>
      <c r="AS44" s="118"/>
      <c r="AT44" s="118"/>
      <c r="AU44" s="119"/>
      <c r="BK44" s="56"/>
    </row>
    <row r="45" spans="1:63" ht="15" customHeight="1">
      <c r="A45" s="55"/>
      <c r="Q45" s="120"/>
      <c r="R45" s="121"/>
      <c r="S45" s="121"/>
      <c r="T45" s="121"/>
      <c r="U45" s="121"/>
      <c r="V45" s="121"/>
      <c r="W45" s="121"/>
      <c r="X45" s="121"/>
      <c r="Y45" s="121"/>
      <c r="Z45" s="122"/>
      <c r="AA45" s="120"/>
      <c r="AB45" s="121"/>
      <c r="AC45" s="121"/>
      <c r="AD45" s="121"/>
      <c r="AE45" s="121"/>
      <c r="AF45" s="121"/>
      <c r="AG45" s="121"/>
      <c r="AH45" s="121"/>
      <c r="AI45" s="121"/>
      <c r="AJ45" s="121"/>
      <c r="AK45" s="121"/>
      <c r="AL45" s="121"/>
      <c r="AM45" s="121"/>
      <c r="AN45" s="121"/>
      <c r="AO45" s="121"/>
      <c r="AP45" s="122"/>
      <c r="AQ45" s="120"/>
      <c r="AR45" s="121"/>
      <c r="AS45" s="121"/>
      <c r="AT45" s="121"/>
      <c r="AU45" s="122"/>
      <c r="BK45" s="56"/>
    </row>
    <row r="46" spans="1:63" ht="15" customHeight="1">
      <c r="A46" s="55"/>
      <c r="Q46" s="108"/>
      <c r="R46" s="109"/>
      <c r="S46" s="109"/>
      <c r="T46" s="109"/>
      <c r="U46" s="109"/>
      <c r="V46" s="109"/>
      <c r="W46" s="109"/>
      <c r="X46" s="109"/>
      <c r="Y46" s="109"/>
      <c r="Z46" s="110"/>
      <c r="AA46" s="108"/>
      <c r="AB46" s="109"/>
      <c r="AC46" s="109"/>
      <c r="AD46" s="109"/>
      <c r="AE46" s="109"/>
      <c r="AF46" s="109"/>
      <c r="AG46" s="109"/>
      <c r="AH46" s="109"/>
      <c r="AI46" s="109"/>
      <c r="AJ46" s="109"/>
      <c r="AK46" s="109"/>
      <c r="AL46" s="109"/>
      <c r="AM46" s="109"/>
      <c r="AN46" s="109"/>
      <c r="AO46" s="109"/>
      <c r="AP46" s="110"/>
      <c r="AQ46" s="108"/>
      <c r="AR46" s="109"/>
      <c r="AS46" s="109"/>
      <c r="AT46" s="109"/>
      <c r="AU46" s="110"/>
      <c r="BK46" s="56"/>
    </row>
    <row r="47" spans="1:63" ht="15" customHeight="1">
      <c r="A47" s="55"/>
      <c r="Q47" s="111"/>
      <c r="R47" s="112"/>
      <c r="S47" s="112"/>
      <c r="T47" s="112"/>
      <c r="U47" s="112"/>
      <c r="V47" s="112"/>
      <c r="W47" s="112"/>
      <c r="X47" s="112"/>
      <c r="Y47" s="112"/>
      <c r="Z47" s="113"/>
      <c r="AA47" s="111"/>
      <c r="AB47" s="112"/>
      <c r="AC47" s="112"/>
      <c r="AD47" s="112"/>
      <c r="AE47" s="112"/>
      <c r="AF47" s="112"/>
      <c r="AG47" s="112"/>
      <c r="AH47" s="112"/>
      <c r="AI47" s="112"/>
      <c r="AJ47" s="112"/>
      <c r="AK47" s="112"/>
      <c r="AL47" s="112"/>
      <c r="AM47" s="112"/>
      <c r="AN47" s="112"/>
      <c r="AO47" s="112"/>
      <c r="AP47" s="113"/>
      <c r="AQ47" s="111"/>
      <c r="AR47" s="112"/>
      <c r="AS47" s="112"/>
      <c r="AT47" s="112"/>
      <c r="AU47" s="113"/>
      <c r="BK47" s="56"/>
    </row>
    <row r="48" spans="1:63" ht="15" customHeight="1">
      <c r="A48" s="55"/>
      <c r="Q48" s="111"/>
      <c r="R48" s="112"/>
      <c r="S48" s="112"/>
      <c r="T48" s="112"/>
      <c r="U48" s="112"/>
      <c r="V48" s="112"/>
      <c r="W48" s="112"/>
      <c r="X48" s="112"/>
      <c r="Y48" s="112"/>
      <c r="Z48" s="113"/>
      <c r="AA48" s="111"/>
      <c r="AB48" s="112"/>
      <c r="AC48" s="112"/>
      <c r="AD48" s="112"/>
      <c r="AE48" s="112"/>
      <c r="AF48" s="112"/>
      <c r="AG48" s="112"/>
      <c r="AH48" s="112"/>
      <c r="AI48" s="112"/>
      <c r="AJ48" s="112"/>
      <c r="AK48" s="112"/>
      <c r="AL48" s="112"/>
      <c r="AM48" s="112"/>
      <c r="AN48" s="112"/>
      <c r="AO48" s="112"/>
      <c r="AP48" s="113"/>
      <c r="AQ48" s="111"/>
      <c r="AR48" s="112"/>
      <c r="AS48" s="112"/>
      <c r="AT48" s="112"/>
      <c r="AU48" s="113"/>
      <c r="BK48" s="56"/>
    </row>
    <row r="49" spans="1:63" ht="15" customHeight="1">
      <c r="A49" s="55"/>
      <c r="Q49" s="114"/>
      <c r="R49" s="115"/>
      <c r="S49" s="115"/>
      <c r="T49" s="115"/>
      <c r="U49" s="115"/>
      <c r="V49" s="115"/>
      <c r="W49" s="115"/>
      <c r="X49" s="115"/>
      <c r="Y49" s="115"/>
      <c r="Z49" s="116"/>
      <c r="AA49" s="114"/>
      <c r="AB49" s="115"/>
      <c r="AC49" s="115"/>
      <c r="AD49" s="115"/>
      <c r="AE49" s="115"/>
      <c r="AF49" s="115"/>
      <c r="AG49" s="115"/>
      <c r="AH49" s="115"/>
      <c r="AI49" s="115"/>
      <c r="AJ49" s="115"/>
      <c r="AK49" s="115"/>
      <c r="AL49" s="115"/>
      <c r="AM49" s="115"/>
      <c r="AN49" s="115"/>
      <c r="AO49" s="115"/>
      <c r="AP49" s="116"/>
      <c r="AQ49" s="114"/>
      <c r="AR49" s="115"/>
      <c r="AS49" s="115"/>
      <c r="AT49" s="115"/>
      <c r="AU49" s="116"/>
      <c r="BK49" s="56"/>
    </row>
    <row r="50" spans="1:63" ht="15" customHeight="1">
      <c r="A50" s="55"/>
      <c r="BK50" s="56"/>
    </row>
    <row r="51" spans="1:63" ht="15" customHeight="1">
      <c r="A51" s="55"/>
      <c r="BK51" s="56"/>
    </row>
    <row r="52" spans="1:63" ht="15" customHeight="1">
      <c r="A52" s="55"/>
      <c r="BK52" s="56"/>
    </row>
    <row r="53" spans="1:63" ht="15" customHeight="1">
      <c r="A53" s="55"/>
      <c r="BK53" s="56"/>
    </row>
    <row r="54" spans="1:63" ht="15" customHeight="1">
      <c r="A54" s="55"/>
      <c r="BK54" s="56"/>
    </row>
    <row r="55" spans="1:63" ht="15" customHeight="1">
      <c r="A55" s="52"/>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4"/>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cols>
    <col min="1" max="60" width="2.77734375" style="51" customWidth="1"/>
    <col min="61" max="16384" width="2.77734375" style="51"/>
  </cols>
  <sheetData>
    <row r="1" spans="1:63" ht="24.95" customHeight="1">
      <c r="A1" s="123" t="s">
        <v>89</v>
      </c>
      <c r="B1" s="124"/>
      <c r="C1" s="124"/>
      <c r="D1" s="124"/>
      <c r="E1" s="124"/>
      <c r="F1" s="124"/>
      <c r="G1" s="124"/>
      <c r="H1" s="124"/>
      <c r="I1" s="124"/>
      <c r="J1" s="125"/>
      <c r="K1" s="123" t="s">
        <v>90</v>
      </c>
      <c r="L1" s="124"/>
      <c r="M1" s="124"/>
      <c r="N1" s="124"/>
      <c r="O1" s="124"/>
      <c r="P1" s="124"/>
      <c r="Q1" s="124"/>
      <c r="R1" s="124"/>
      <c r="S1" s="124"/>
      <c r="T1" s="124"/>
      <c r="U1" s="124"/>
      <c r="V1" s="125"/>
      <c r="W1" s="144" t="str">
        <f>IF(表紙!W1="","",表紙!W1)</f>
        <v>基本設計書</v>
      </c>
      <c r="X1" s="145"/>
      <c r="Y1" s="145"/>
      <c r="Z1" s="145"/>
      <c r="AA1" s="145"/>
      <c r="AB1" s="145"/>
      <c r="AC1" s="145"/>
      <c r="AD1" s="145"/>
      <c r="AE1" s="145"/>
      <c r="AF1" s="145"/>
      <c r="AG1" s="145"/>
      <c r="AH1" s="145"/>
      <c r="AI1" s="145"/>
      <c r="AJ1" s="145"/>
      <c r="AK1" s="145"/>
      <c r="AL1" s="145"/>
      <c r="AM1" s="145"/>
      <c r="AN1" s="145"/>
      <c r="AO1" s="146"/>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3" ht="15" customHeight="1">
      <c r="A2" s="108" t="str">
        <f>IF(表紙!A2="","",表紙!A2)</f>
        <v>POSサーバー</v>
      </c>
      <c r="B2" s="109"/>
      <c r="C2" s="109"/>
      <c r="D2" s="109"/>
      <c r="E2" s="109"/>
      <c r="F2" s="109"/>
      <c r="G2" s="109"/>
      <c r="H2" s="109"/>
      <c r="I2" s="109"/>
      <c r="J2" s="110"/>
      <c r="K2" s="108" t="str">
        <f>IF(表紙!K2="","",表紙!K2)</f>
        <v>POSサーバ</v>
      </c>
      <c r="L2" s="109"/>
      <c r="M2" s="109"/>
      <c r="N2" s="109"/>
      <c r="O2" s="109"/>
      <c r="P2" s="109"/>
      <c r="Q2" s="109"/>
      <c r="R2" s="109"/>
      <c r="S2" s="109"/>
      <c r="T2" s="109"/>
      <c r="U2" s="109"/>
      <c r="V2" s="110"/>
      <c r="W2" s="147"/>
      <c r="X2" s="148"/>
      <c r="Y2" s="148"/>
      <c r="Z2" s="148"/>
      <c r="AA2" s="148"/>
      <c r="AB2" s="148"/>
      <c r="AC2" s="148"/>
      <c r="AD2" s="148"/>
      <c r="AE2" s="148"/>
      <c r="AF2" s="148"/>
      <c r="AG2" s="148"/>
      <c r="AH2" s="148"/>
      <c r="AI2" s="148"/>
      <c r="AJ2" s="148"/>
      <c r="AK2" s="148"/>
      <c r="AL2" s="148"/>
      <c r="AM2" s="148"/>
      <c r="AN2" s="148"/>
      <c r="AO2" s="149"/>
      <c r="AP2" s="108" t="str">
        <f>IF(表紙!AP2="","",表紙!AP2)</f>
        <v>TinNH</v>
      </c>
      <c r="AQ2" s="109"/>
      <c r="AR2" s="109"/>
      <c r="AS2" s="110"/>
      <c r="AT2" s="137">
        <f>IF(表紙!AT2="","",表紙!AT2)</f>
        <v>45467</v>
      </c>
      <c r="AU2" s="138"/>
      <c r="AV2" s="138"/>
      <c r="AW2" s="138"/>
      <c r="AX2" s="139"/>
      <c r="AY2" s="108" t="str">
        <f>IF(表紙!AY2="","",表紙!AY2)</f>
        <v>AnhNM</v>
      </c>
      <c r="AZ2" s="109"/>
      <c r="BA2" s="109"/>
      <c r="BB2" s="110"/>
      <c r="BC2" s="137">
        <f>IF(表紙!BC2="","",表紙!BC2)</f>
        <v>45590</v>
      </c>
      <c r="BD2" s="138"/>
      <c r="BE2" s="138"/>
      <c r="BF2" s="138"/>
      <c r="BG2" s="139"/>
      <c r="BH2" s="108">
        <f>IF(表紙!BH2="","",表紙!BH2)</f>
        <v>0.4</v>
      </c>
      <c r="BI2" s="109"/>
      <c r="BJ2" s="109"/>
      <c r="BK2" s="110"/>
    </row>
    <row r="3" spans="1:63" ht="15" customHeight="1">
      <c r="A3" s="114"/>
      <c r="B3" s="115"/>
      <c r="C3" s="115"/>
      <c r="D3" s="115"/>
      <c r="E3" s="115"/>
      <c r="F3" s="115"/>
      <c r="G3" s="115"/>
      <c r="H3" s="115"/>
      <c r="I3" s="115"/>
      <c r="J3" s="116"/>
      <c r="K3" s="114"/>
      <c r="L3" s="115"/>
      <c r="M3" s="115"/>
      <c r="N3" s="115"/>
      <c r="O3" s="115"/>
      <c r="P3" s="115"/>
      <c r="Q3" s="115"/>
      <c r="R3" s="115"/>
      <c r="S3" s="115"/>
      <c r="T3" s="115"/>
      <c r="U3" s="115"/>
      <c r="V3" s="116"/>
      <c r="W3" s="150"/>
      <c r="X3" s="151"/>
      <c r="Y3" s="151"/>
      <c r="Z3" s="151"/>
      <c r="AA3" s="151"/>
      <c r="AB3" s="151"/>
      <c r="AC3" s="151"/>
      <c r="AD3" s="151"/>
      <c r="AE3" s="151"/>
      <c r="AF3" s="151"/>
      <c r="AG3" s="151"/>
      <c r="AH3" s="151"/>
      <c r="AI3" s="151"/>
      <c r="AJ3" s="151"/>
      <c r="AK3" s="151"/>
      <c r="AL3" s="151"/>
      <c r="AM3" s="151"/>
      <c r="AN3" s="151"/>
      <c r="AO3" s="152"/>
      <c r="AP3" s="114"/>
      <c r="AQ3" s="115"/>
      <c r="AR3" s="115"/>
      <c r="AS3" s="116"/>
      <c r="AT3" s="140"/>
      <c r="AU3" s="141"/>
      <c r="AV3" s="141"/>
      <c r="AW3" s="141"/>
      <c r="AX3" s="142"/>
      <c r="AY3" s="114"/>
      <c r="AZ3" s="115"/>
      <c r="BA3" s="115"/>
      <c r="BB3" s="116"/>
      <c r="BC3" s="140"/>
      <c r="BD3" s="141"/>
      <c r="BE3" s="141"/>
      <c r="BF3" s="141"/>
      <c r="BG3" s="142"/>
      <c r="BH3" s="114"/>
      <c r="BI3" s="115"/>
      <c r="BJ3" s="115"/>
      <c r="BK3" s="116"/>
    </row>
    <row r="4" spans="1:63" ht="24.95" customHeight="1">
      <c r="A4" s="123" t="s">
        <v>103</v>
      </c>
      <c r="B4" s="124"/>
      <c r="C4" s="124"/>
      <c r="D4" s="124"/>
      <c r="E4" s="124"/>
      <c r="F4" s="124"/>
      <c r="G4" s="125"/>
      <c r="H4" s="128" t="str">
        <f>IF(表紙!H4="","",表紙!H4)</f>
        <v>96_カテゴリ割引レシートクーポン設定</v>
      </c>
      <c r="I4" s="129"/>
      <c r="J4" s="129"/>
      <c r="K4" s="129"/>
      <c r="L4" s="129"/>
      <c r="M4" s="129"/>
      <c r="N4" s="129"/>
      <c r="O4" s="129"/>
      <c r="P4" s="129"/>
      <c r="Q4" s="129"/>
      <c r="R4" s="129"/>
      <c r="S4" s="129"/>
      <c r="T4" s="130"/>
      <c r="U4" s="123" t="s">
        <v>99</v>
      </c>
      <c r="V4" s="124"/>
      <c r="W4" s="124"/>
      <c r="X4" s="124"/>
      <c r="Y4" s="125"/>
      <c r="Z4" s="128" t="str">
        <f>IF(表紙!Z4="","",表紙!Z4)</f>
        <v>概要設計</v>
      </c>
      <c r="AA4" s="129"/>
      <c r="AB4" s="129"/>
      <c r="AC4" s="129"/>
      <c r="AD4" s="129"/>
      <c r="AE4" s="129"/>
      <c r="AF4" s="129"/>
      <c r="AG4" s="129"/>
      <c r="AH4" s="129"/>
      <c r="AI4" s="129"/>
      <c r="AJ4" s="129"/>
      <c r="AK4" s="129"/>
      <c r="AL4" s="129"/>
      <c r="AM4" s="129"/>
      <c r="AN4" s="129"/>
      <c r="AO4" s="130"/>
      <c r="AP4" s="128" t="str">
        <f t="array" aca="1" ref="AP4" ca="1">RIGHT(CELL("filename",$A$1),LEN(CELL("filename",$A$1))-FIND("]",CELL("filename",$A$1)))</f>
        <v>改訂履歴</v>
      </c>
      <c r="AQ4" s="129"/>
      <c r="AR4" s="129"/>
      <c r="AS4" s="129"/>
      <c r="AT4" s="129"/>
      <c r="AU4" s="129"/>
      <c r="AV4" s="129"/>
      <c r="AW4" s="129"/>
      <c r="AX4" s="129"/>
      <c r="AY4" s="129"/>
      <c r="AZ4" s="129"/>
      <c r="BA4" s="129"/>
      <c r="BB4" s="129"/>
      <c r="BC4" s="129"/>
      <c r="BD4" s="129"/>
      <c r="BE4" s="129"/>
      <c r="BF4" s="129"/>
      <c r="BG4" s="129"/>
      <c r="BH4" s="129"/>
      <c r="BI4" s="129"/>
      <c r="BJ4" s="129"/>
      <c r="BK4" s="130"/>
    </row>
    <row r="5" spans="1:63" ht="5.0999999999999996" customHeight="1">
      <c r="A5" s="52"/>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4"/>
    </row>
    <row r="6" spans="1:63" ht="15" customHeight="1">
      <c r="A6" s="55"/>
      <c r="BK6" s="56"/>
    </row>
    <row r="7" spans="1:63" ht="15" customHeight="1">
      <c r="A7" s="55"/>
      <c r="BK7" s="56"/>
    </row>
    <row r="8" spans="1:63" ht="15" customHeight="1">
      <c r="A8" s="55"/>
      <c r="B8" s="51" t="s">
        <v>9</v>
      </c>
      <c r="BK8" s="56"/>
    </row>
    <row r="9" spans="1:63" ht="15" customHeight="1">
      <c r="A9" s="55"/>
      <c r="BK9" s="56"/>
    </row>
    <row r="10" spans="1:63" ht="15" customHeight="1">
      <c r="A10" s="55"/>
      <c r="B10" s="165" t="s">
        <v>95</v>
      </c>
      <c r="C10" s="165"/>
      <c r="D10" s="165"/>
      <c r="E10" s="165"/>
      <c r="F10" s="165"/>
      <c r="G10" s="165"/>
      <c r="H10" s="165" t="s">
        <v>94</v>
      </c>
      <c r="I10" s="165"/>
      <c r="J10" s="165"/>
      <c r="K10" s="165"/>
      <c r="L10" s="165"/>
      <c r="M10" s="165"/>
      <c r="N10" s="165"/>
      <c r="O10" s="165" t="s">
        <v>96</v>
      </c>
      <c r="P10" s="165"/>
      <c r="Q10" s="165"/>
      <c r="R10" s="165"/>
      <c r="S10" s="165" t="s">
        <v>104</v>
      </c>
      <c r="T10" s="165"/>
      <c r="U10" s="165"/>
      <c r="V10" s="165"/>
      <c r="W10" s="165"/>
      <c r="X10" s="165"/>
      <c r="Y10" s="165"/>
      <c r="Z10" s="165"/>
      <c r="AA10" s="165"/>
      <c r="AB10" s="165"/>
      <c r="AC10" s="165"/>
      <c r="AD10" s="165"/>
      <c r="AE10" s="165"/>
      <c r="AF10" s="165"/>
      <c r="AG10" s="165"/>
      <c r="AH10" s="165"/>
      <c r="AI10" s="165"/>
      <c r="AJ10" s="165"/>
      <c r="AK10" s="165"/>
      <c r="AL10" s="165"/>
      <c r="AM10" s="165"/>
      <c r="AN10" s="165"/>
      <c r="AO10" s="165"/>
      <c r="AP10" s="165"/>
      <c r="AQ10" s="165"/>
      <c r="AR10" s="165"/>
      <c r="AS10" s="165"/>
      <c r="AT10" s="165"/>
      <c r="AU10" s="165"/>
      <c r="AV10" s="165"/>
      <c r="AW10" s="165"/>
      <c r="AX10" s="165" t="s">
        <v>101</v>
      </c>
      <c r="AY10" s="165"/>
      <c r="AZ10" s="165"/>
      <c r="BA10" s="165"/>
      <c r="BB10" s="165"/>
      <c r="BC10" s="165"/>
      <c r="BD10" s="165" t="s">
        <v>102</v>
      </c>
      <c r="BE10" s="165"/>
      <c r="BF10" s="165"/>
      <c r="BG10" s="165"/>
      <c r="BH10" s="165"/>
      <c r="BI10" s="165"/>
      <c r="BJ10" s="165"/>
      <c r="BK10" s="56"/>
    </row>
    <row r="11" spans="1:63" ht="15" customHeight="1">
      <c r="A11" s="55"/>
      <c r="B11" s="137">
        <v>45467</v>
      </c>
      <c r="C11" s="109"/>
      <c r="D11" s="109"/>
      <c r="E11" s="109"/>
      <c r="F11" s="109"/>
      <c r="G11" s="110"/>
      <c r="H11" s="143" t="s">
        <v>105</v>
      </c>
      <c r="I11" s="109"/>
      <c r="J11" s="109"/>
      <c r="K11" s="109"/>
      <c r="L11" s="109"/>
      <c r="M11" s="109"/>
      <c r="N11" s="110"/>
      <c r="O11" s="108">
        <v>0.1</v>
      </c>
      <c r="P11" s="109"/>
      <c r="Q11" s="109"/>
      <c r="R11" s="109"/>
      <c r="S11" s="153" t="s">
        <v>12</v>
      </c>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5"/>
      <c r="AX11" s="156"/>
      <c r="AY11" s="156"/>
      <c r="AZ11" s="156"/>
      <c r="BA11" s="156"/>
      <c r="BB11" s="156"/>
      <c r="BC11" s="157"/>
      <c r="BD11" s="160"/>
      <c r="BE11" s="156"/>
      <c r="BF11" s="156"/>
      <c r="BG11" s="156"/>
      <c r="BH11" s="156"/>
      <c r="BI11" s="156"/>
      <c r="BJ11" s="157"/>
      <c r="BK11" s="56"/>
    </row>
    <row r="12" spans="1:63" ht="15" customHeight="1">
      <c r="A12" s="55"/>
      <c r="B12" s="114"/>
      <c r="C12" s="115"/>
      <c r="D12" s="115"/>
      <c r="E12" s="115"/>
      <c r="F12" s="115"/>
      <c r="G12" s="116"/>
      <c r="H12" s="114"/>
      <c r="I12" s="115"/>
      <c r="J12" s="115"/>
      <c r="K12" s="115"/>
      <c r="L12" s="115"/>
      <c r="M12" s="115"/>
      <c r="N12" s="116"/>
      <c r="O12" s="114"/>
      <c r="P12" s="115"/>
      <c r="Q12" s="115"/>
      <c r="R12" s="115"/>
      <c r="S12" s="162"/>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4"/>
      <c r="AX12" s="158"/>
      <c r="AY12" s="158"/>
      <c r="AZ12" s="158"/>
      <c r="BA12" s="158"/>
      <c r="BB12" s="158"/>
      <c r="BC12" s="159"/>
      <c r="BD12" s="161"/>
      <c r="BE12" s="158"/>
      <c r="BF12" s="158"/>
      <c r="BG12" s="158"/>
      <c r="BH12" s="158"/>
      <c r="BI12" s="158"/>
      <c r="BJ12" s="159"/>
      <c r="BK12" s="56"/>
    </row>
    <row r="13" spans="1:63" ht="15" customHeight="1">
      <c r="A13" s="55"/>
      <c r="B13" s="137">
        <v>45469</v>
      </c>
      <c r="C13" s="109"/>
      <c r="D13" s="109"/>
      <c r="E13" s="109"/>
      <c r="F13" s="109"/>
      <c r="G13" s="110"/>
      <c r="H13" s="108" t="s">
        <v>30</v>
      </c>
      <c r="I13" s="109"/>
      <c r="J13" s="109"/>
      <c r="K13" s="109"/>
      <c r="L13" s="109"/>
      <c r="M13" s="109"/>
      <c r="N13" s="110"/>
      <c r="O13" s="108">
        <v>0.2</v>
      </c>
      <c r="P13" s="109"/>
      <c r="Q13" s="109"/>
      <c r="R13" s="109"/>
      <c r="S13" s="153" t="s">
        <v>34</v>
      </c>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4"/>
      <c r="AW13" s="155"/>
      <c r="AX13" s="156"/>
      <c r="AY13" s="156"/>
      <c r="AZ13" s="156"/>
      <c r="BA13" s="156"/>
      <c r="BB13" s="156"/>
      <c r="BC13" s="157"/>
      <c r="BD13" s="160"/>
      <c r="BE13" s="156"/>
      <c r="BF13" s="156"/>
      <c r="BG13" s="156"/>
      <c r="BH13" s="156"/>
      <c r="BI13" s="156"/>
      <c r="BJ13" s="157"/>
      <c r="BK13" s="56"/>
    </row>
    <row r="14" spans="1:63" ht="15" customHeight="1">
      <c r="A14" s="55"/>
      <c r="B14" s="114"/>
      <c r="C14" s="115"/>
      <c r="D14" s="115"/>
      <c r="E14" s="115"/>
      <c r="F14" s="115"/>
      <c r="G14" s="116"/>
      <c r="H14" s="114"/>
      <c r="I14" s="115"/>
      <c r="J14" s="115"/>
      <c r="K14" s="115"/>
      <c r="L14" s="115"/>
      <c r="M14" s="115"/>
      <c r="N14" s="116"/>
      <c r="O14" s="114"/>
      <c r="P14" s="115"/>
      <c r="Q14" s="115"/>
      <c r="R14" s="115"/>
      <c r="S14" s="162"/>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4"/>
      <c r="AX14" s="158"/>
      <c r="AY14" s="158"/>
      <c r="AZ14" s="158"/>
      <c r="BA14" s="158"/>
      <c r="BB14" s="158"/>
      <c r="BC14" s="159"/>
      <c r="BD14" s="161"/>
      <c r="BE14" s="158"/>
      <c r="BF14" s="158"/>
      <c r="BG14" s="158"/>
      <c r="BH14" s="158"/>
      <c r="BI14" s="158"/>
      <c r="BJ14" s="159"/>
      <c r="BK14" s="56"/>
    </row>
    <row r="15" spans="1:63" ht="15" customHeight="1">
      <c r="A15" s="55"/>
      <c r="B15" s="137">
        <v>45476</v>
      </c>
      <c r="C15" s="109"/>
      <c r="D15" s="109"/>
      <c r="E15" s="109"/>
      <c r="F15" s="109"/>
      <c r="G15" s="110"/>
      <c r="H15" s="108" t="s">
        <v>30</v>
      </c>
      <c r="I15" s="109"/>
      <c r="J15" s="109"/>
      <c r="K15" s="109"/>
      <c r="L15" s="109"/>
      <c r="M15" s="109"/>
      <c r="N15" s="110"/>
      <c r="O15" s="108">
        <v>0.3</v>
      </c>
      <c r="P15" s="109"/>
      <c r="Q15" s="109"/>
      <c r="R15" s="109"/>
      <c r="S15" s="153" t="s">
        <v>40</v>
      </c>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5"/>
      <c r="AX15" s="156"/>
      <c r="AY15" s="156"/>
      <c r="AZ15" s="156"/>
      <c r="BA15" s="156"/>
      <c r="BB15" s="156"/>
      <c r="BC15" s="157"/>
      <c r="BD15" s="160"/>
      <c r="BE15" s="156"/>
      <c r="BF15" s="156"/>
      <c r="BG15" s="156"/>
      <c r="BH15" s="156"/>
      <c r="BI15" s="156"/>
      <c r="BJ15" s="157"/>
      <c r="BK15" s="56"/>
    </row>
    <row r="16" spans="1:63" ht="15" customHeight="1">
      <c r="A16" s="55"/>
      <c r="B16" s="114"/>
      <c r="C16" s="115"/>
      <c r="D16" s="115"/>
      <c r="E16" s="115"/>
      <c r="F16" s="115"/>
      <c r="G16" s="116"/>
      <c r="H16" s="114"/>
      <c r="I16" s="115"/>
      <c r="J16" s="115"/>
      <c r="K16" s="115"/>
      <c r="L16" s="115"/>
      <c r="M16" s="115"/>
      <c r="N16" s="116"/>
      <c r="O16" s="114"/>
      <c r="P16" s="115"/>
      <c r="Q16" s="115"/>
      <c r="R16" s="115"/>
      <c r="S16" s="162"/>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c r="AT16" s="163"/>
      <c r="AU16" s="163"/>
      <c r="AV16" s="163"/>
      <c r="AW16" s="164"/>
      <c r="AX16" s="158"/>
      <c r="AY16" s="158"/>
      <c r="AZ16" s="158"/>
      <c r="BA16" s="158"/>
      <c r="BB16" s="158"/>
      <c r="BC16" s="159"/>
      <c r="BD16" s="161"/>
      <c r="BE16" s="158"/>
      <c r="BF16" s="158"/>
      <c r="BG16" s="158"/>
      <c r="BH16" s="158"/>
      <c r="BI16" s="158"/>
      <c r="BJ16" s="159"/>
      <c r="BK16" s="56"/>
    </row>
    <row r="17" spans="1:63" ht="15" customHeight="1">
      <c r="A17" s="55"/>
      <c r="B17" s="166">
        <v>45590</v>
      </c>
      <c r="C17" s="167"/>
      <c r="D17" s="167"/>
      <c r="E17" s="167"/>
      <c r="F17" s="167"/>
      <c r="G17" s="168"/>
      <c r="H17" s="172" t="s">
        <v>106</v>
      </c>
      <c r="I17" s="167"/>
      <c r="J17" s="167"/>
      <c r="K17" s="167"/>
      <c r="L17" s="167"/>
      <c r="M17" s="167"/>
      <c r="N17" s="168"/>
      <c r="O17" s="172">
        <v>0.4</v>
      </c>
      <c r="P17" s="167"/>
      <c r="Q17" s="167"/>
      <c r="R17" s="167"/>
      <c r="S17" s="173" t="s">
        <v>107</v>
      </c>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5"/>
      <c r="AX17" s="176"/>
      <c r="AY17" s="176"/>
      <c r="AZ17" s="176"/>
      <c r="BA17" s="176"/>
      <c r="BB17" s="176"/>
      <c r="BC17" s="177"/>
      <c r="BD17" s="180"/>
      <c r="BE17" s="176"/>
      <c r="BF17" s="176"/>
      <c r="BG17" s="176"/>
      <c r="BH17" s="176"/>
      <c r="BI17" s="176"/>
      <c r="BJ17" s="177"/>
      <c r="BK17" s="56"/>
    </row>
    <row r="18" spans="1:63" ht="33" customHeight="1">
      <c r="A18" s="55"/>
      <c r="B18" s="169"/>
      <c r="C18" s="170"/>
      <c r="D18" s="170"/>
      <c r="E18" s="170"/>
      <c r="F18" s="170"/>
      <c r="G18" s="171"/>
      <c r="H18" s="169"/>
      <c r="I18" s="170"/>
      <c r="J18" s="170"/>
      <c r="K18" s="170"/>
      <c r="L18" s="170"/>
      <c r="M18" s="170"/>
      <c r="N18" s="171"/>
      <c r="O18" s="169"/>
      <c r="P18" s="170"/>
      <c r="Q18" s="170"/>
      <c r="R18" s="170"/>
      <c r="S18" s="182" t="s">
        <v>108</v>
      </c>
      <c r="T18" s="183"/>
      <c r="U18" s="183"/>
      <c r="V18" s="183"/>
      <c r="W18" s="183"/>
      <c r="X18" s="183"/>
      <c r="Y18" s="183"/>
      <c r="Z18" s="183"/>
      <c r="AA18" s="183"/>
      <c r="AB18" s="183"/>
      <c r="AC18" s="183"/>
      <c r="AD18" s="183"/>
      <c r="AE18" s="183"/>
      <c r="AF18" s="183"/>
      <c r="AG18" s="183"/>
      <c r="AH18" s="183"/>
      <c r="AI18" s="183"/>
      <c r="AJ18" s="183"/>
      <c r="AK18" s="183"/>
      <c r="AL18" s="183"/>
      <c r="AM18" s="183"/>
      <c r="AN18" s="183"/>
      <c r="AO18" s="183"/>
      <c r="AP18" s="183"/>
      <c r="AQ18" s="183"/>
      <c r="AR18" s="183"/>
      <c r="AS18" s="183"/>
      <c r="AT18" s="183"/>
      <c r="AU18" s="183"/>
      <c r="AV18" s="183"/>
      <c r="AW18" s="184"/>
      <c r="AX18" s="178"/>
      <c r="AY18" s="178"/>
      <c r="AZ18" s="178"/>
      <c r="BA18" s="178"/>
      <c r="BB18" s="178"/>
      <c r="BC18" s="179"/>
      <c r="BD18" s="181"/>
      <c r="BE18" s="178"/>
      <c r="BF18" s="178"/>
      <c r="BG18" s="178"/>
      <c r="BH18" s="178"/>
      <c r="BI18" s="178"/>
      <c r="BJ18" s="179"/>
      <c r="BK18" s="56"/>
    </row>
    <row r="19" spans="1:63" ht="15" customHeight="1">
      <c r="A19" s="55"/>
      <c r="B19" s="108"/>
      <c r="C19" s="109"/>
      <c r="D19" s="109"/>
      <c r="E19" s="109"/>
      <c r="F19" s="109"/>
      <c r="G19" s="110"/>
      <c r="H19" s="108"/>
      <c r="I19" s="109"/>
      <c r="J19" s="109"/>
      <c r="K19" s="109"/>
      <c r="L19" s="109"/>
      <c r="M19" s="109"/>
      <c r="N19" s="110"/>
      <c r="O19" s="108"/>
      <c r="P19" s="109"/>
      <c r="Q19" s="109"/>
      <c r="R19" s="109"/>
      <c r="S19" s="153"/>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5"/>
      <c r="AX19" s="156"/>
      <c r="AY19" s="156"/>
      <c r="AZ19" s="156"/>
      <c r="BA19" s="156"/>
      <c r="BB19" s="156"/>
      <c r="BC19" s="157"/>
      <c r="BD19" s="160"/>
      <c r="BE19" s="156"/>
      <c r="BF19" s="156"/>
      <c r="BG19" s="156"/>
      <c r="BH19" s="156"/>
      <c r="BI19" s="156"/>
      <c r="BJ19" s="157"/>
      <c r="BK19" s="56"/>
    </row>
    <row r="20" spans="1:63" ht="15" customHeight="1">
      <c r="A20" s="55"/>
      <c r="B20" s="114"/>
      <c r="C20" s="115"/>
      <c r="D20" s="115"/>
      <c r="E20" s="115"/>
      <c r="F20" s="115"/>
      <c r="G20" s="116"/>
      <c r="H20" s="114"/>
      <c r="I20" s="115"/>
      <c r="J20" s="115"/>
      <c r="K20" s="115"/>
      <c r="L20" s="115"/>
      <c r="M20" s="115"/>
      <c r="N20" s="116"/>
      <c r="O20" s="114"/>
      <c r="P20" s="115"/>
      <c r="Q20" s="115"/>
      <c r="R20" s="115"/>
      <c r="S20" s="162"/>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4"/>
      <c r="AX20" s="158"/>
      <c r="AY20" s="158"/>
      <c r="AZ20" s="158"/>
      <c r="BA20" s="158"/>
      <c r="BB20" s="158"/>
      <c r="BC20" s="159"/>
      <c r="BD20" s="161"/>
      <c r="BE20" s="158"/>
      <c r="BF20" s="158"/>
      <c r="BG20" s="158"/>
      <c r="BH20" s="158"/>
      <c r="BI20" s="158"/>
      <c r="BJ20" s="159"/>
      <c r="BK20" s="56"/>
    </row>
    <row r="21" spans="1:63" ht="15" customHeight="1">
      <c r="A21" s="55"/>
      <c r="B21" s="108"/>
      <c r="C21" s="109"/>
      <c r="D21" s="109"/>
      <c r="E21" s="109"/>
      <c r="F21" s="109"/>
      <c r="G21" s="110"/>
      <c r="H21" s="108"/>
      <c r="I21" s="109"/>
      <c r="J21" s="109"/>
      <c r="K21" s="109"/>
      <c r="L21" s="109"/>
      <c r="M21" s="109"/>
      <c r="N21" s="110"/>
      <c r="O21" s="108"/>
      <c r="P21" s="109"/>
      <c r="Q21" s="109"/>
      <c r="R21" s="109"/>
      <c r="S21" s="153"/>
      <c r="T21" s="154"/>
      <c r="U21" s="154"/>
      <c r="V21" s="154"/>
      <c r="W21" s="154"/>
      <c r="X21" s="154"/>
      <c r="Y21" s="154"/>
      <c r="Z21" s="154"/>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5"/>
      <c r="AX21" s="156"/>
      <c r="AY21" s="156"/>
      <c r="AZ21" s="156"/>
      <c r="BA21" s="156"/>
      <c r="BB21" s="156"/>
      <c r="BC21" s="157"/>
      <c r="BD21" s="160"/>
      <c r="BE21" s="156"/>
      <c r="BF21" s="156"/>
      <c r="BG21" s="156"/>
      <c r="BH21" s="156"/>
      <c r="BI21" s="156"/>
      <c r="BJ21" s="157"/>
      <c r="BK21" s="56"/>
    </row>
    <row r="22" spans="1:63" ht="15" customHeight="1">
      <c r="A22" s="55"/>
      <c r="B22" s="114"/>
      <c r="C22" s="115"/>
      <c r="D22" s="115"/>
      <c r="E22" s="115"/>
      <c r="F22" s="115"/>
      <c r="G22" s="116"/>
      <c r="H22" s="114"/>
      <c r="I22" s="115"/>
      <c r="J22" s="115"/>
      <c r="K22" s="115"/>
      <c r="L22" s="115"/>
      <c r="M22" s="115"/>
      <c r="N22" s="116"/>
      <c r="O22" s="114"/>
      <c r="P22" s="115"/>
      <c r="Q22" s="115"/>
      <c r="R22" s="115"/>
      <c r="S22" s="162"/>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4"/>
      <c r="AX22" s="158"/>
      <c r="AY22" s="158"/>
      <c r="AZ22" s="158"/>
      <c r="BA22" s="158"/>
      <c r="BB22" s="158"/>
      <c r="BC22" s="159"/>
      <c r="BD22" s="161"/>
      <c r="BE22" s="158"/>
      <c r="BF22" s="158"/>
      <c r="BG22" s="158"/>
      <c r="BH22" s="158"/>
      <c r="BI22" s="158"/>
      <c r="BJ22" s="159"/>
      <c r="BK22" s="56"/>
    </row>
    <row r="23" spans="1:63" ht="15" customHeight="1">
      <c r="A23" s="55"/>
      <c r="B23" s="108"/>
      <c r="C23" s="109"/>
      <c r="D23" s="109"/>
      <c r="E23" s="109"/>
      <c r="F23" s="109"/>
      <c r="G23" s="110"/>
      <c r="H23" s="108"/>
      <c r="I23" s="109"/>
      <c r="J23" s="109"/>
      <c r="K23" s="109"/>
      <c r="L23" s="109"/>
      <c r="M23" s="109"/>
      <c r="N23" s="110"/>
      <c r="O23" s="108"/>
      <c r="P23" s="109"/>
      <c r="Q23" s="109"/>
      <c r="R23" s="109"/>
      <c r="S23" s="153"/>
      <c r="T23" s="154"/>
      <c r="U23" s="154"/>
      <c r="V23" s="154"/>
      <c r="W23" s="154"/>
      <c r="X23" s="154"/>
      <c r="Y23" s="154"/>
      <c r="Z23" s="154"/>
      <c r="AA23" s="154"/>
      <c r="AB23" s="154"/>
      <c r="AC23" s="154"/>
      <c r="AD23" s="154"/>
      <c r="AE23" s="154"/>
      <c r="AF23" s="154"/>
      <c r="AG23" s="154"/>
      <c r="AH23" s="154"/>
      <c r="AI23" s="154"/>
      <c r="AJ23" s="154"/>
      <c r="AK23" s="154"/>
      <c r="AL23" s="154"/>
      <c r="AM23" s="154"/>
      <c r="AN23" s="154"/>
      <c r="AO23" s="154"/>
      <c r="AP23" s="154"/>
      <c r="AQ23" s="154"/>
      <c r="AR23" s="154"/>
      <c r="AS23" s="154"/>
      <c r="AT23" s="154"/>
      <c r="AU23" s="154"/>
      <c r="AV23" s="154"/>
      <c r="AW23" s="155"/>
      <c r="AX23" s="156"/>
      <c r="AY23" s="156"/>
      <c r="AZ23" s="156"/>
      <c r="BA23" s="156"/>
      <c r="BB23" s="156"/>
      <c r="BC23" s="157"/>
      <c r="BD23" s="160"/>
      <c r="BE23" s="156"/>
      <c r="BF23" s="156"/>
      <c r="BG23" s="156"/>
      <c r="BH23" s="156"/>
      <c r="BI23" s="156"/>
      <c r="BJ23" s="157"/>
      <c r="BK23" s="56"/>
    </row>
    <row r="24" spans="1:63" ht="15" customHeight="1">
      <c r="A24" s="55"/>
      <c r="B24" s="114"/>
      <c r="C24" s="115"/>
      <c r="D24" s="115"/>
      <c r="E24" s="115"/>
      <c r="F24" s="115"/>
      <c r="G24" s="116"/>
      <c r="H24" s="114"/>
      <c r="I24" s="115"/>
      <c r="J24" s="115"/>
      <c r="K24" s="115"/>
      <c r="L24" s="115"/>
      <c r="M24" s="115"/>
      <c r="N24" s="116"/>
      <c r="O24" s="114"/>
      <c r="P24" s="115"/>
      <c r="Q24" s="115"/>
      <c r="R24" s="115"/>
      <c r="S24" s="162"/>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c r="AT24" s="163"/>
      <c r="AU24" s="163"/>
      <c r="AV24" s="163"/>
      <c r="AW24" s="164"/>
      <c r="AX24" s="158"/>
      <c r="AY24" s="158"/>
      <c r="AZ24" s="158"/>
      <c r="BA24" s="158"/>
      <c r="BB24" s="158"/>
      <c r="BC24" s="159"/>
      <c r="BD24" s="161"/>
      <c r="BE24" s="158"/>
      <c r="BF24" s="158"/>
      <c r="BG24" s="158"/>
      <c r="BH24" s="158"/>
      <c r="BI24" s="158"/>
      <c r="BJ24" s="159"/>
      <c r="BK24" s="56"/>
    </row>
    <row r="25" spans="1:63" ht="15" customHeight="1">
      <c r="A25" s="55"/>
      <c r="B25" s="108"/>
      <c r="C25" s="109"/>
      <c r="D25" s="109"/>
      <c r="E25" s="109"/>
      <c r="F25" s="109"/>
      <c r="G25" s="110"/>
      <c r="H25" s="108"/>
      <c r="I25" s="109"/>
      <c r="J25" s="109"/>
      <c r="K25" s="109"/>
      <c r="L25" s="109"/>
      <c r="M25" s="109"/>
      <c r="N25" s="110"/>
      <c r="O25" s="108"/>
      <c r="P25" s="109"/>
      <c r="Q25" s="109"/>
      <c r="R25" s="109"/>
      <c r="S25" s="153"/>
      <c r="T25" s="154"/>
      <c r="U25" s="154"/>
      <c r="V25" s="154"/>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54"/>
      <c r="AV25" s="154"/>
      <c r="AW25" s="155"/>
      <c r="AX25" s="156"/>
      <c r="AY25" s="156"/>
      <c r="AZ25" s="156"/>
      <c r="BA25" s="156"/>
      <c r="BB25" s="156"/>
      <c r="BC25" s="157"/>
      <c r="BD25" s="160"/>
      <c r="BE25" s="156"/>
      <c r="BF25" s="156"/>
      <c r="BG25" s="156"/>
      <c r="BH25" s="156"/>
      <c r="BI25" s="156"/>
      <c r="BJ25" s="157"/>
      <c r="BK25" s="56"/>
    </row>
    <row r="26" spans="1:63" ht="15" customHeight="1">
      <c r="A26" s="55"/>
      <c r="B26" s="114"/>
      <c r="C26" s="115"/>
      <c r="D26" s="115"/>
      <c r="E26" s="115"/>
      <c r="F26" s="115"/>
      <c r="G26" s="116"/>
      <c r="H26" s="114"/>
      <c r="I26" s="115"/>
      <c r="J26" s="115"/>
      <c r="K26" s="115"/>
      <c r="L26" s="115"/>
      <c r="M26" s="115"/>
      <c r="N26" s="116"/>
      <c r="O26" s="114"/>
      <c r="P26" s="115"/>
      <c r="Q26" s="115"/>
      <c r="R26" s="115"/>
      <c r="S26" s="162"/>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4"/>
      <c r="AX26" s="158"/>
      <c r="AY26" s="158"/>
      <c r="AZ26" s="158"/>
      <c r="BA26" s="158"/>
      <c r="BB26" s="158"/>
      <c r="BC26" s="159"/>
      <c r="BD26" s="161"/>
      <c r="BE26" s="158"/>
      <c r="BF26" s="158"/>
      <c r="BG26" s="158"/>
      <c r="BH26" s="158"/>
      <c r="BI26" s="158"/>
      <c r="BJ26" s="159"/>
      <c r="BK26" s="56"/>
    </row>
    <row r="27" spans="1:63" ht="15" customHeight="1">
      <c r="A27" s="55"/>
      <c r="B27" s="108"/>
      <c r="C27" s="109"/>
      <c r="D27" s="109"/>
      <c r="E27" s="109"/>
      <c r="F27" s="109"/>
      <c r="G27" s="110"/>
      <c r="H27" s="108"/>
      <c r="I27" s="109"/>
      <c r="J27" s="109"/>
      <c r="K27" s="109"/>
      <c r="L27" s="109"/>
      <c r="M27" s="109"/>
      <c r="N27" s="110"/>
      <c r="O27" s="108"/>
      <c r="P27" s="109"/>
      <c r="Q27" s="109"/>
      <c r="R27" s="109"/>
      <c r="S27" s="153"/>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5"/>
      <c r="AX27" s="156"/>
      <c r="AY27" s="156"/>
      <c r="AZ27" s="156"/>
      <c r="BA27" s="156"/>
      <c r="BB27" s="156"/>
      <c r="BC27" s="157"/>
      <c r="BD27" s="160"/>
      <c r="BE27" s="156"/>
      <c r="BF27" s="156"/>
      <c r="BG27" s="156"/>
      <c r="BH27" s="156"/>
      <c r="BI27" s="156"/>
      <c r="BJ27" s="157"/>
      <c r="BK27" s="56"/>
    </row>
    <row r="28" spans="1:63" ht="15" customHeight="1">
      <c r="A28" s="55"/>
      <c r="B28" s="114"/>
      <c r="C28" s="115"/>
      <c r="D28" s="115"/>
      <c r="E28" s="115"/>
      <c r="F28" s="115"/>
      <c r="G28" s="116"/>
      <c r="H28" s="114"/>
      <c r="I28" s="115"/>
      <c r="J28" s="115"/>
      <c r="K28" s="115"/>
      <c r="L28" s="115"/>
      <c r="M28" s="115"/>
      <c r="N28" s="116"/>
      <c r="O28" s="114"/>
      <c r="P28" s="115"/>
      <c r="Q28" s="115"/>
      <c r="R28" s="115"/>
      <c r="S28" s="162"/>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4"/>
      <c r="AX28" s="158"/>
      <c r="AY28" s="158"/>
      <c r="AZ28" s="158"/>
      <c r="BA28" s="158"/>
      <c r="BB28" s="158"/>
      <c r="BC28" s="159"/>
      <c r="BD28" s="161"/>
      <c r="BE28" s="158"/>
      <c r="BF28" s="158"/>
      <c r="BG28" s="158"/>
      <c r="BH28" s="158"/>
      <c r="BI28" s="158"/>
      <c r="BJ28" s="159"/>
      <c r="BK28" s="56"/>
    </row>
    <row r="29" spans="1:63" ht="15" customHeight="1">
      <c r="A29" s="55"/>
      <c r="B29" s="108"/>
      <c r="C29" s="109"/>
      <c r="D29" s="109"/>
      <c r="E29" s="109"/>
      <c r="F29" s="109"/>
      <c r="G29" s="110"/>
      <c r="H29" s="108"/>
      <c r="I29" s="109"/>
      <c r="J29" s="109"/>
      <c r="K29" s="109"/>
      <c r="L29" s="109"/>
      <c r="M29" s="109"/>
      <c r="N29" s="110"/>
      <c r="O29" s="108"/>
      <c r="P29" s="109"/>
      <c r="Q29" s="109"/>
      <c r="R29" s="109"/>
      <c r="S29" s="153"/>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5"/>
      <c r="AX29" s="156"/>
      <c r="AY29" s="156"/>
      <c r="AZ29" s="156"/>
      <c r="BA29" s="156"/>
      <c r="BB29" s="156"/>
      <c r="BC29" s="157"/>
      <c r="BD29" s="160"/>
      <c r="BE29" s="156"/>
      <c r="BF29" s="156"/>
      <c r="BG29" s="156"/>
      <c r="BH29" s="156"/>
      <c r="BI29" s="156"/>
      <c r="BJ29" s="157"/>
      <c r="BK29" s="56"/>
    </row>
    <row r="30" spans="1:63" ht="15" customHeight="1">
      <c r="A30" s="55"/>
      <c r="B30" s="114"/>
      <c r="C30" s="115"/>
      <c r="D30" s="115"/>
      <c r="E30" s="115"/>
      <c r="F30" s="115"/>
      <c r="G30" s="116"/>
      <c r="H30" s="114"/>
      <c r="I30" s="115"/>
      <c r="J30" s="115"/>
      <c r="K30" s="115"/>
      <c r="L30" s="115"/>
      <c r="M30" s="115"/>
      <c r="N30" s="116"/>
      <c r="O30" s="114"/>
      <c r="P30" s="115"/>
      <c r="Q30" s="115"/>
      <c r="R30" s="115"/>
      <c r="S30" s="162"/>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4"/>
      <c r="AX30" s="158"/>
      <c r="AY30" s="158"/>
      <c r="AZ30" s="158"/>
      <c r="BA30" s="158"/>
      <c r="BB30" s="158"/>
      <c r="BC30" s="159"/>
      <c r="BD30" s="161"/>
      <c r="BE30" s="158"/>
      <c r="BF30" s="158"/>
      <c r="BG30" s="158"/>
      <c r="BH30" s="158"/>
      <c r="BI30" s="158"/>
      <c r="BJ30" s="159"/>
      <c r="BK30" s="56"/>
    </row>
    <row r="31" spans="1:63" ht="15" customHeight="1">
      <c r="A31" s="55"/>
      <c r="B31" s="108"/>
      <c r="C31" s="109"/>
      <c r="D31" s="109"/>
      <c r="E31" s="109"/>
      <c r="F31" s="109"/>
      <c r="G31" s="110"/>
      <c r="H31" s="108"/>
      <c r="I31" s="109"/>
      <c r="J31" s="109"/>
      <c r="K31" s="109"/>
      <c r="L31" s="109"/>
      <c r="M31" s="109"/>
      <c r="N31" s="110"/>
      <c r="O31" s="108"/>
      <c r="P31" s="109"/>
      <c r="Q31" s="109"/>
      <c r="R31" s="109"/>
      <c r="S31" s="153"/>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c r="AV31" s="154"/>
      <c r="AW31" s="155"/>
      <c r="AX31" s="156"/>
      <c r="AY31" s="156"/>
      <c r="AZ31" s="156"/>
      <c r="BA31" s="156"/>
      <c r="BB31" s="156"/>
      <c r="BC31" s="157"/>
      <c r="BD31" s="160"/>
      <c r="BE31" s="156"/>
      <c r="BF31" s="156"/>
      <c r="BG31" s="156"/>
      <c r="BH31" s="156"/>
      <c r="BI31" s="156"/>
      <c r="BJ31" s="157"/>
      <c r="BK31" s="56"/>
    </row>
    <row r="32" spans="1:63" ht="15" customHeight="1">
      <c r="A32" s="55"/>
      <c r="B32" s="114"/>
      <c r="C32" s="115"/>
      <c r="D32" s="115"/>
      <c r="E32" s="115"/>
      <c r="F32" s="115"/>
      <c r="G32" s="116"/>
      <c r="H32" s="114"/>
      <c r="I32" s="115"/>
      <c r="J32" s="115"/>
      <c r="K32" s="115"/>
      <c r="L32" s="115"/>
      <c r="M32" s="115"/>
      <c r="N32" s="116"/>
      <c r="O32" s="114"/>
      <c r="P32" s="115"/>
      <c r="Q32" s="115"/>
      <c r="R32" s="115"/>
      <c r="S32" s="162"/>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c r="AV32" s="163"/>
      <c r="AW32" s="164"/>
      <c r="AX32" s="158"/>
      <c r="AY32" s="158"/>
      <c r="AZ32" s="158"/>
      <c r="BA32" s="158"/>
      <c r="BB32" s="158"/>
      <c r="BC32" s="159"/>
      <c r="BD32" s="161"/>
      <c r="BE32" s="158"/>
      <c r="BF32" s="158"/>
      <c r="BG32" s="158"/>
      <c r="BH32" s="158"/>
      <c r="BI32" s="158"/>
      <c r="BJ32" s="159"/>
      <c r="BK32" s="56"/>
    </row>
    <row r="33" spans="1:63" ht="15" customHeight="1">
      <c r="A33" s="55"/>
      <c r="B33" s="108"/>
      <c r="C33" s="109"/>
      <c r="D33" s="109"/>
      <c r="E33" s="109"/>
      <c r="F33" s="109"/>
      <c r="G33" s="110"/>
      <c r="H33" s="108"/>
      <c r="I33" s="109"/>
      <c r="J33" s="109"/>
      <c r="K33" s="109"/>
      <c r="L33" s="109"/>
      <c r="M33" s="109"/>
      <c r="N33" s="110"/>
      <c r="O33" s="108"/>
      <c r="P33" s="109"/>
      <c r="Q33" s="109"/>
      <c r="R33" s="109"/>
      <c r="S33" s="153"/>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5"/>
      <c r="AX33" s="156"/>
      <c r="AY33" s="156"/>
      <c r="AZ33" s="156"/>
      <c r="BA33" s="156"/>
      <c r="BB33" s="156"/>
      <c r="BC33" s="157"/>
      <c r="BD33" s="160"/>
      <c r="BE33" s="156"/>
      <c r="BF33" s="156"/>
      <c r="BG33" s="156"/>
      <c r="BH33" s="156"/>
      <c r="BI33" s="156"/>
      <c r="BJ33" s="157"/>
      <c r="BK33" s="56"/>
    </row>
    <row r="34" spans="1:63" ht="15" customHeight="1">
      <c r="A34" s="55"/>
      <c r="B34" s="114"/>
      <c r="C34" s="115"/>
      <c r="D34" s="115"/>
      <c r="E34" s="115"/>
      <c r="F34" s="115"/>
      <c r="G34" s="116"/>
      <c r="H34" s="114"/>
      <c r="I34" s="115"/>
      <c r="J34" s="115"/>
      <c r="K34" s="115"/>
      <c r="L34" s="115"/>
      <c r="M34" s="115"/>
      <c r="N34" s="116"/>
      <c r="O34" s="114"/>
      <c r="P34" s="115"/>
      <c r="Q34" s="115"/>
      <c r="R34" s="115"/>
      <c r="S34" s="162"/>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4"/>
      <c r="AX34" s="158"/>
      <c r="AY34" s="158"/>
      <c r="AZ34" s="158"/>
      <c r="BA34" s="158"/>
      <c r="BB34" s="158"/>
      <c r="BC34" s="159"/>
      <c r="BD34" s="161"/>
      <c r="BE34" s="158"/>
      <c r="BF34" s="158"/>
      <c r="BG34" s="158"/>
      <c r="BH34" s="158"/>
      <c r="BI34" s="158"/>
      <c r="BJ34" s="159"/>
      <c r="BK34" s="56"/>
    </row>
    <row r="35" spans="1:63" ht="15" customHeight="1">
      <c r="A35" s="55"/>
      <c r="B35" s="108"/>
      <c r="C35" s="109"/>
      <c r="D35" s="109"/>
      <c r="E35" s="109"/>
      <c r="F35" s="109"/>
      <c r="G35" s="110"/>
      <c r="H35" s="108"/>
      <c r="I35" s="109"/>
      <c r="J35" s="109"/>
      <c r="K35" s="109"/>
      <c r="L35" s="109"/>
      <c r="M35" s="109"/>
      <c r="N35" s="110"/>
      <c r="O35" s="108"/>
      <c r="P35" s="109"/>
      <c r="Q35" s="109"/>
      <c r="R35" s="109"/>
      <c r="S35" s="153"/>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c r="AR35" s="154"/>
      <c r="AS35" s="154"/>
      <c r="AT35" s="154"/>
      <c r="AU35" s="154"/>
      <c r="AV35" s="154"/>
      <c r="AW35" s="155"/>
      <c r="AX35" s="156"/>
      <c r="AY35" s="156"/>
      <c r="AZ35" s="156"/>
      <c r="BA35" s="156"/>
      <c r="BB35" s="156"/>
      <c r="BC35" s="157"/>
      <c r="BD35" s="160"/>
      <c r="BE35" s="156"/>
      <c r="BF35" s="156"/>
      <c r="BG35" s="156"/>
      <c r="BH35" s="156"/>
      <c r="BI35" s="156"/>
      <c r="BJ35" s="157"/>
      <c r="BK35" s="56"/>
    </row>
    <row r="36" spans="1:63" ht="15" customHeight="1">
      <c r="A36" s="55"/>
      <c r="B36" s="114"/>
      <c r="C36" s="115"/>
      <c r="D36" s="115"/>
      <c r="E36" s="115"/>
      <c r="F36" s="115"/>
      <c r="G36" s="116"/>
      <c r="H36" s="114"/>
      <c r="I36" s="115"/>
      <c r="J36" s="115"/>
      <c r="K36" s="115"/>
      <c r="L36" s="115"/>
      <c r="M36" s="115"/>
      <c r="N36" s="116"/>
      <c r="O36" s="114"/>
      <c r="P36" s="115"/>
      <c r="Q36" s="115"/>
      <c r="R36" s="115"/>
      <c r="S36" s="162"/>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4"/>
      <c r="AX36" s="158"/>
      <c r="AY36" s="158"/>
      <c r="AZ36" s="158"/>
      <c r="BA36" s="158"/>
      <c r="BB36" s="158"/>
      <c r="BC36" s="159"/>
      <c r="BD36" s="161"/>
      <c r="BE36" s="158"/>
      <c r="BF36" s="158"/>
      <c r="BG36" s="158"/>
      <c r="BH36" s="158"/>
      <c r="BI36" s="158"/>
      <c r="BJ36" s="159"/>
      <c r="BK36" s="56"/>
    </row>
    <row r="37" spans="1:63" ht="15" customHeight="1">
      <c r="A37" s="55"/>
      <c r="B37" s="108"/>
      <c r="C37" s="109"/>
      <c r="D37" s="109"/>
      <c r="E37" s="109"/>
      <c r="F37" s="109"/>
      <c r="G37" s="110"/>
      <c r="H37" s="108"/>
      <c r="I37" s="109"/>
      <c r="J37" s="109"/>
      <c r="K37" s="109"/>
      <c r="L37" s="109"/>
      <c r="M37" s="109"/>
      <c r="N37" s="110"/>
      <c r="O37" s="108"/>
      <c r="P37" s="109"/>
      <c r="Q37" s="109"/>
      <c r="R37" s="109"/>
      <c r="S37" s="153"/>
      <c r="T37" s="154"/>
      <c r="U37" s="154"/>
      <c r="V37" s="154"/>
      <c r="W37" s="154"/>
      <c r="X37" s="154"/>
      <c r="Y37" s="154"/>
      <c r="Z37" s="154"/>
      <c r="AA37" s="154"/>
      <c r="AB37" s="154"/>
      <c r="AC37" s="154"/>
      <c r="AD37" s="154"/>
      <c r="AE37" s="154"/>
      <c r="AF37" s="154"/>
      <c r="AG37" s="154"/>
      <c r="AH37" s="154"/>
      <c r="AI37" s="154"/>
      <c r="AJ37" s="154"/>
      <c r="AK37" s="154"/>
      <c r="AL37" s="154"/>
      <c r="AM37" s="154"/>
      <c r="AN37" s="154"/>
      <c r="AO37" s="154"/>
      <c r="AP37" s="154"/>
      <c r="AQ37" s="154"/>
      <c r="AR37" s="154"/>
      <c r="AS37" s="154"/>
      <c r="AT37" s="154"/>
      <c r="AU37" s="154"/>
      <c r="AV37" s="154"/>
      <c r="AW37" s="155"/>
      <c r="AX37" s="156"/>
      <c r="AY37" s="156"/>
      <c r="AZ37" s="156"/>
      <c r="BA37" s="156"/>
      <c r="BB37" s="156"/>
      <c r="BC37" s="157"/>
      <c r="BD37" s="160"/>
      <c r="BE37" s="156"/>
      <c r="BF37" s="156"/>
      <c r="BG37" s="156"/>
      <c r="BH37" s="156"/>
      <c r="BI37" s="156"/>
      <c r="BJ37" s="157"/>
      <c r="BK37" s="56"/>
    </row>
    <row r="38" spans="1:63" ht="15" customHeight="1">
      <c r="A38" s="55"/>
      <c r="B38" s="114"/>
      <c r="C38" s="115"/>
      <c r="D38" s="115"/>
      <c r="E38" s="115"/>
      <c r="F38" s="115"/>
      <c r="G38" s="116"/>
      <c r="H38" s="114"/>
      <c r="I38" s="115"/>
      <c r="J38" s="115"/>
      <c r="K38" s="115"/>
      <c r="L38" s="115"/>
      <c r="M38" s="115"/>
      <c r="N38" s="116"/>
      <c r="O38" s="114"/>
      <c r="P38" s="115"/>
      <c r="Q38" s="115"/>
      <c r="R38" s="115"/>
      <c r="S38" s="162"/>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4"/>
      <c r="AX38" s="158"/>
      <c r="AY38" s="158"/>
      <c r="AZ38" s="158"/>
      <c r="BA38" s="158"/>
      <c r="BB38" s="158"/>
      <c r="BC38" s="159"/>
      <c r="BD38" s="161"/>
      <c r="BE38" s="158"/>
      <c r="BF38" s="158"/>
      <c r="BG38" s="158"/>
      <c r="BH38" s="158"/>
      <c r="BI38" s="158"/>
      <c r="BJ38" s="159"/>
      <c r="BK38" s="56"/>
    </row>
    <row r="39" spans="1:63" ht="15" customHeight="1">
      <c r="A39" s="55"/>
      <c r="B39" s="108"/>
      <c r="C39" s="109"/>
      <c r="D39" s="109"/>
      <c r="E39" s="109"/>
      <c r="F39" s="109"/>
      <c r="G39" s="110"/>
      <c r="H39" s="108"/>
      <c r="I39" s="109"/>
      <c r="J39" s="109"/>
      <c r="K39" s="109"/>
      <c r="L39" s="109"/>
      <c r="M39" s="109"/>
      <c r="N39" s="110"/>
      <c r="O39" s="108"/>
      <c r="P39" s="109"/>
      <c r="Q39" s="109"/>
      <c r="R39" s="109"/>
      <c r="S39" s="153"/>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c r="AQ39" s="154"/>
      <c r="AR39" s="154"/>
      <c r="AS39" s="154"/>
      <c r="AT39" s="154"/>
      <c r="AU39" s="154"/>
      <c r="AV39" s="154"/>
      <c r="AW39" s="155"/>
      <c r="AX39" s="156"/>
      <c r="AY39" s="156"/>
      <c r="AZ39" s="156"/>
      <c r="BA39" s="156"/>
      <c r="BB39" s="156"/>
      <c r="BC39" s="157"/>
      <c r="BD39" s="160"/>
      <c r="BE39" s="156"/>
      <c r="BF39" s="156"/>
      <c r="BG39" s="156"/>
      <c r="BH39" s="156"/>
      <c r="BI39" s="156"/>
      <c r="BJ39" s="157"/>
      <c r="BK39" s="56"/>
    </row>
    <row r="40" spans="1:63" ht="15" customHeight="1">
      <c r="A40" s="55"/>
      <c r="B40" s="114"/>
      <c r="C40" s="115"/>
      <c r="D40" s="115"/>
      <c r="E40" s="115"/>
      <c r="F40" s="115"/>
      <c r="G40" s="116"/>
      <c r="H40" s="114"/>
      <c r="I40" s="115"/>
      <c r="J40" s="115"/>
      <c r="K40" s="115"/>
      <c r="L40" s="115"/>
      <c r="M40" s="115"/>
      <c r="N40" s="116"/>
      <c r="O40" s="114"/>
      <c r="P40" s="115"/>
      <c r="Q40" s="115"/>
      <c r="R40" s="115"/>
      <c r="S40" s="162"/>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4"/>
      <c r="AX40" s="158"/>
      <c r="AY40" s="158"/>
      <c r="AZ40" s="158"/>
      <c r="BA40" s="158"/>
      <c r="BB40" s="158"/>
      <c r="BC40" s="159"/>
      <c r="BD40" s="161"/>
      <c r="BE40" s="158"/>
      <c r="BF40" s="158"/>
      <c r="BG40" s="158"/>
      <c r="BH40" s="158"/>
      <c r="BI40" s="158"/>
      <c r="BJ40" s="159"/>
      <c r="BK40" s="56"/>
    </row>
    <row r="41" spans="1:63" ht="15" customHeight="1">
      <c r="A41" s="55"/>
      <c r="B41" s="108"/>
      <c r="C41" s="109"/>
      <c r="D41" s="109"/>
      <c r="E41" s="109"/>
      <c r="F41" s="109"/>
      <c r="G41" s="110"/>
      <c r="H41" s="108"/>
      <c r="I41" s="109"/>
      <c r="J41" s="109"/>
      <c r="K41" s="109"/>
      <c r="L41" s="109"/>
      <c r="M41" s="109"/>
      <c r="N41" s="110"/>
      <c r="O41" s="108"/>
      <c r="P41" s="109"/>
      <c r="Q41" s="109"/>
      <c r="R41" s="109"/>
      <c r="S41" s="153"/>
      <c r="T41" s="154"/>
      <c r="U41" s="154"/>
      <c r="V41" s="154"/>
      <c r="W41" s="154"/>
      <c r="X41" s="154"/>
      <c r="Y41" s="154"/>
      <c r="Z41" s="154"/>
      <c r="AA41" s="154"/>
      <c r="AB41" s="154"/>
      <c r="AC41" s="154"/>
      <c r="AD41" s="154"/>
      <c r="AE41" s="154"/>
      <c r="AF41" s="154"/>
      <c r="AG41" s="154"/>
      <c r="AH41" s="154"/>
      <c r="AI41" s="154"/>
      <c r="AJ41" s="154"/>
      <c r="AK41" s="154"/>
      <c r="AL41" s="154"/>
      <c r="AM41" s="154"/>
      <c r="AN41" s="154"/>
      <c r="AO41" s="154"/>
      <c r="AP41" s="154"/>
      <c r="AQ41" s="154"/>
      <c r="AR41" s="154"/>
      <c r="AS41" s="154"/>
      <c r="AT41" s="154"/>
      <c r="AU41" s="154"/>
      <c r="AV41" s="154"/>
      <c r="AW41" s="155"/>
      <c r="AX41" s="156"/>
      <c r="AY41" s="156"/>
      <c r="AZ41" s="156"/>
      <c r="BA41" s="156"/>
      <c r="BB41" s="156"/>
      <c r="BC41" s="157"/>
      <c r="BD41" s="160"/>
      <c r="BE41" s="156"/>
      <c r="BF41" s="156"/>
      <c r="BG41" s="156"/>
      <c r="BH41" s="156"/>
      <c r="BI41" s="156"/>
      <c r="BJ41" s="157"/>
      <c r="BK41" s="56"/>
    </row>
    <row r="42" spans="1:63" ht="15" customHeight="1">
      <c r="A42" s="55"/>
      <c r="B42" s="114"/>
      <c r="C42" s="115"/>
      <c r="D42" s="115"/>
      <c r="E42" s="115"/>
      <c r="F42" s="115"/>
      <c r="G42" s="116"/>
      <c r="H42" s="114"/>
      <c r="I42" s="115"/>
      <c r="J42" s="115"/>
      <c r="K42" s="115"/>
      <c r="L42" s="115"/>
      <c r="M42" s="115"/>
      <c r="N42" s="116"/>
      <c r="O42" s="114"/>
      <c r="P42" s="115"/>
      <c r="Q42" s="115"/>
      <c r="R42" s="115"/>
      <c r="S42" s="162"/>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4"/>
      <c r="AX42" s="158"/>
      <c r="AY42" s="158"/>
      <c r="AZ42" s="158"/>
      <c r="BA42" s="158"/>
      <c r="BB42" s="158"/>
      <c r="BC42" s="159"/>
      <c r="BD42" s="161"/>
      <c r="BE42" s="158"/>
      <c r="BF42" s="158"/>
      <c r="BG42" s="158"/>
      <c r="BH42" s="158"/>
      <c r="BI42" s="158"/>
      <c r="BJ42" s="159"/>
      <c r="BK42" s="56"/>
    </row>
    <row r="43" spans="1:63" ht="15" customHeight="1">
      <c r="A43" s="55"/>
      <c r="B43" s="108"/>
      <c r="C43" s="109"/>
      <c r="D43" s="109"/>
      <c r="E43" s="109"/>
      <c r="F43" s="109"/>
      <c r="G43" s="110"/>
      <c r="H43" s="108"/>
      <c r="I43" s="109"/>
      <c r="J43" s="109"/>
      <c r="K43" s="109"/>
      <c r="L43" s="109"/>
      <c r="M43" s="109"/>
      <c r="N43" s="110"/>
      <c r="O43" s="108"/>
      <c r="P43" s="109"/>
      <c r="Q43" s="109"/>
      <c r="R43" s="109"/>
      <c r="S43" s="153"/>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5"/>
      <c r="AX43" s="156"/>
      <c r="AY43" s="156"/>
      <c r="AZ43" s="156"/>
      <c r="BA43" s="156"/>
      <c r="BB43" s="156"/>
      <c r="BC43" s="157"/>
      <c r="BD43" s="160"/>
      <c r="BE43" s="156"/>
      <c r="BF43" s="156"/>
      <c r="BG43" s="156"/>
      <c r="BH43" s="156"/>
      <c r="BI43" s="156"/>
      <c r="BJ43" s="157"/>
      <c r="BK43" s="56"/>
    </row>
    <row r="44" spans="1:63" ht="15" customHeight="1">
      <c r="A44" s="55"/>
      <c r="B44" s="114"/>
      <c r="C44" s="115"/>
      <c r="D44" s="115"/>
      <c r="E44" s="115"/>
      <c r="F44" s="115"/>
      <c r="G44" s="116"/>
      <c r="H44" s="114"/>
      <c r="I44" s="115"/>
      <c r="J44" s="115"/>
      <c r="K44" s="115"/>
      <c r="L44" s="115"/>
      <c r="M44" s="115"/>
      <c r="N44" s="116"/>
      <c r="O44" s="114"/>
      <c r="P44" s="115"/>
      <c r="Q44" s="115"/>
      <c r="R44" s="115"/>
      <c r="S44" s="162"/>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4"/>
      <c r="AX44" s="158"/>
      <c r="AY44" s="158"/>
      <c r="AZ44" s="158"/>
      <c r="BA44" s="158"/>
      <c r="BB44" s="158"/>
      <c r="BC44" s="159"/>
      <c r="BD44" s="161"/>
      <c r="BE44" s="158"/>
      <c r="BF44" s="158"/>
      <c r="BG44" s="158"/>
      <c r="BH44" s="158"/>
      <c r="BI44" s="158"/>
      <c r="BJ44" s="159"/>
      <c r="BK44" s="56"/>
    </row>
    <row r="45" spans="1:63" ht="15" customHeight="1">
      <c r="A45" s="55"/>
      <c r="B45" s="108"/>
      <c r="C45" s="109"/>
      <c r="D45" s="109"/>
      <c r="E45" s="109"/>
      <c r="F45" s="109"/>
      <c r="G45" s="110"/>
      <c r="H45" s="108"/>
      <c r="I45" s="109"/>
      <c r="J45" s="109"/>
      <c r="K45" s="109"/>
      <c r="L45" s="109"/>
      <c r="M45" s="109"/>
      <c r="N45" s="110"/>
      <c r="O45" s="108"/>
      <c r="P45" s="109"/>
      <c r="Q45" s="109"/>
      <c r="R45" s="109"/>
      <c r="S45" s="153"/>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5"/>
      <c r="AX45" s="156"/>
      <c r="AY45" s="156"/>
      <c r="AZ45" s="156"/>
      <c r="BA45" s="156"/>
      <c r="BB45" s="156"/>
      <c r="BC45" s="157"/>
      <c r="BD45" s="160"/>
      <c r="BE45" s="156"/>
      <c r="BF45" s="156"/>
      <c r="BG45" s="156"/>
      <c r="BH45" s="156"/>
      <c r="BI45" s="156"/>
      <c r="BJ45" s="157"/>
      <c r="BK45" s="56"/>
    </row>
    <row r="46" spans="1:63" ht="15" customHeight="1">
      <c r="A46" s="55"/>
      <c r="B46" s="114"/>
      <c r="C46" s="115"/>
      <c r="D46" s="115"/>
      <c r="E46" s="115"/>
      <c r="F46" s="115"/>
      <c r="G46" s="116"/>
      <c r="H46" s="114"/>
      <c r="I46" s="115"/>
      <c r="J46" s="115"/>
      <c r="K46" s="115"/>
      <c r="L46" s="115"/>
      <c r="M46" s="115"/>
      <c r="N46" s="116"/>
      <c r="O46" s="114"/>
      <c r="P46" s="115"/>
      <c r="Q46" s="115"/>
      <c r="R46" s="115"/>
      <c r="S46" s="162"/>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4"/>
      <c r="AX46" s="158"/>
      <c r="AY46" s="158"/>
      <c r="AZ46" s="158"/>
      <c r="BA46" s="158"/>
      <c r="BB46" s="158"/>
      <c r="BC46" s="159"/>
      <c r="BD46" s="161"/>
      <c r="BE46" s="158"/>
      <c r="BF46" s="158"/>
      <c r="BG46" s="158"/>
      <c r="BH46" s="158"/>
      <c r="BI46" s="158"/>
      <c r="BJ46" s="159"/>
      <c r="BK46" s="56"/>
    </row>
    <row r="47" spans="1:63" ht="15" customHeight="1">
      <c r="A47" s="55"/>
      <c r="B47" s="108"/>
      <c r="C47" s="109"/>
      <c r="D47" s="109"/>
      <c r="E47" s="109"/>
      <c r="F47" s="109"/>
      <c r="G47" s="110"/>
      <c r="H47" s="108"/>
      <c r="I47" s="109"/>
      <c r="J47" s="109"/>
      <c r="K47" s="109"/>
      <c r="L47" s="109"/>
      <c r="M47" s="109"/>
      <c r="N47" s="110"/>
      <c r="O47" s="108"/>
      <c r="P47" s="109"/>
      <c r="Q47" s="109"/>
      <c r="R47" s="109"/>
      <c r="S47" s="153"/>
      <c r="T47" s="154"/>
      <c r="U47" s="154"/>
      <c r="V47" s="154"/>
      <c r="W47" s="154"/>
      <c r="X47" s="154"/>
      <c r="Y47" s="154"/>
      <c r="Z47" s="154"/>
      <c r="AA47" s="154"/>
      <c r="AB47" s="154"/>
      <c r="AC47" s="154"/>
      <c r="AD47" s="154"/>
      <c r="AE47" s="154"/>
      <c r="AF47" s="154"/>
      <c r="AG47" s="154"/>
      <c r="AH47" s="154"/>
      <c r="AI47" s="154"/>
      <c r="AJ47" s="154"/>
      <c r="AK47" s="154"/>
      <c r="AL47" s="154"/>
      <c r="AM47" s="154"/>
      <c r="AN47" s="154"/>
      <c r="AO47" s="154"/>
      <c r="AP47" s="154"/>
      <c r="AQ47" s="154"/>
      <c r="AR47" s="154"/>
      <c r="AS47" s="154"/>
      <c r="AT47" s="154"/>
      <c r="AU47" s="154"/>
      <c r="AV47" s="154"/>
      <c r="AW47" s="155"/>
      <c r="AX47" s="156"/>
      <c r="AY47" s="156"/>
      <c r="AZ47" s="156"/>
      <c r="BA47" s="156"/>
      <c r="BB47" s="156"/>
      <c r="BC47" s="157"/>
      <c r="BD47" s="160"/>
      <c r="BE47" s="156"/>
      <c r="BF47" s="156"/>
      <c r="BG47" s="156"/>
      <c r="BH47" s="156"/>
      <c r="BI47" s="156"/>
      <c r="BJ47" s="157"/>
      <c r="BK47" s="56"/>
    </row>
    <row r="48" spans="1:63" ht="15" customHeight="1">
      <c r="A48" s="55"/>
      <c r="B48" s="114"/>
      <c r="C48" s="115"/>
      <c r="D48" s="115"/>
      <c r="E48" s="115"/>
      <c r="F48" s="115"/>
      <c r="G48" s="116"/>
      <c r="H48" s="114"/>
      <c r="I48" s="115"/>
      <c r="J48" s="115"/>
      <c r="K48" s="115"/>
      <c r="L48" s="115"/>
      <c r="M48" s="115"/>
      <c r="N48" s="116"/>
      <c r="O48" s="114"/>
      <c r="P48" s="115"/>
      <c r="Q48" s="115"/>
      <c r="R48" s="115"/>
      <c r="S48" s="162"/>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4"/>
      <c r="AX48" s="158"/>
      <c r="AY48" s="158"/>
      <c r="AZ48" s="158"/>
      <c r="BA48" s="158"/>
      <c r="BB48" s="158"/>
      <c r="BC48" s="159"/>
      <c r="BD48" s="161"/>
      <c r="BE48" s="158"/>
      <c r="BF48" s="158"/>
      <c r="BG48" s="158"/>
      <c r="BH48" s="158"/>
      <c r="BI48" s="158"/>
      <c r="BJ48" s="159"/>
      <c r="BK48" s="56"/>
    </row>
    <row r="49" spans="1:63" ht="15" customHeight="1">
      <c r="A49" s="55"/>
      <c r="B49" s="108"/>
      <c r="C49" s="109"/>
      <c r="D49" s="109"/>
      <c r="E49" s="109"/>
      <c r="F49" s="109"/>
      <c r="G49" s="110"/>
      <c r="H49" s="108"/>
      <c r="I49" s="109"/>
      <c r="J49" s="109"/>
      <c r="K49" s="109"/>
      <c r="L49" s="109"/>
      <c r="M49" s="109"/>
      <c r="N49" s="110"/>
      <c r="O49" s="108"/>
      <c r="P49" s="109"/>
      <c r="Q49" s="109"/>
      <c r="R49" s="109"/>
      <c r="S49" s="153"/>
      <c r="T49" s="154"/>
      <c r="U49" s="154"/>
      <c r="V49" s="154"/>
      <c r="W49" s="154"/>
      <c r="X49" s="154"/>
      <c r="Y49" s="154"/>
      <c r="Z49" s="154"/>
      <c r="AA49" s="154"/>
      <c r="AB49" s="154"/>
      <c r="AC49" s="154"/>
      <c r="AD49" s="154"/>
      <c r="AE49" s="154"/>
      <c r="AF49" s="154"/>
      <c r="AG49" s="154"/>
      <c r="AH49" s="154"/>
      <c r="AI49" s="154"/>
      <c r="AJ49" s="154"/>
      <c r="AK49" s="154"/>
      <c r="AL49" s="154"/>
      <c r="AM49" s="154"/>
      <c r="AN49" s="154"/>
      <c r="AO49" s="154"/>
      <c r="AP49" s="154"/>
      <c r="AQ49" s="154"/>
      <c r="AR49" s="154"/>
      <c r="AS49" s="154"/>
      <c r="AT49" s="154"/>
      <c r="AU49" s="154"/>
      <c r="AV49" s="154"/>
      <c r="AW49" s="155"/>
      <c r="AX49" s="156"/>
      <c r="AY49" s="156"/>
      <c r="AZ49" s="156"/>
      <c r="BA49" s="156"/>
      <c r="BB49" s="156"/>
      <c r="BC49" s="157"/>
      <c r="BD49" s="160"/>
      <c r="BE49" s="156"/>
      <c r="BF49" s="156"/>
      <c r="BG49" s="156"/>
      <c r="BH49" s="156"/>
      <c r="BI49" s="156"/>
      <c r="BJ49" s="157"/>
      <c r="BK49" s="56"/>
    </row>
    <row r="50" spans="1:63" ht="15" customHeight="1">
      <c r="A50" s="55"/>
      <c r="B50" s="114"/>
      <c r="C50" s="115"/>
      <c r="D50" s="115"/>
      <c r="E50" s="115"/>
      <c r="F50" s="115"/>
      <c r="G50" s="116"/>
      <c r="H50" s="114"/>
      <c r="I50" s="115"/>
      <c r="J50" s="115"/>
      <c r="K50" s="115"/>
      <c r="L50" s="115"/>
      <c r="M50" s="115"/>
      <c r="N50" s="116"/>
      <c r="O50" s="114"/>
      <c r="P50" s="115"/>
      <c r="Q50" s="115"/>
      <c r="R50" s="115"/>
      <c r="S50" s="162"/>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4"/>
      <c r="AX50" s="158"/>
      <c r="AY50" s="158"/>
      <c r="AZ50" s="158"/>
      <c r="BA50" s="158"/>
      <c r="BB50" s="158"/>
      <c r="BC50" s="159"/>
      <c r="BD50" s="161"/>
      <c r="BE50" s="158"/>
      <c r="BF50" s="158"/>
      <c r="BG50" s="158"/>
      <c r="BH50" s="158"/>
      <c r="BI50" s="158"/>
      <c r="BJ50" s="159"/>
      <c r="BK50" s="56"/>
    </row>
    <row r="51" spans="1:63" ht="15" customHeight="1">
      <c r="A51" s="55"/>
      <c r="B51" s="108"/>
      <c r="C51" s="109"/>
      <c r="D51" s="109"/>
      <c r="E51" s="109"/>
      <c r="F51" s="109"/>
      <c r="G51" s="110"/>
      <c r="H51" s="108"/>
      <c r="I51" s="109"/>
      <c r="J51" s="109"/>
      <c r="K51" s="109"/>
      <c r="L51" s="109"/>
      <c r="M51" s="109"/>
      <c r="N51" s="110"/>
      <c r="O51" s="108"/>
      <c r="P51" s="109"/>
      <c r="Q51" s="109"/>
      <c r="R51" s="109"/>
      <c r="S51" s="153"/>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5"/>
      <c r="AX51" s="156"/>
      <c r="AY51" s="156"/>
      <c r="AZ51" s="156"/>
      <c r="BA51" s="156"/>
      <c r="BB51" s="156"/>
      <c r="BC51" s="157"/>
      <c r="BD51" s="160"/>
      <c r="BE51" s="156"/>
      <c r="BF51" s="156"/>
      <c r="BG51" s="156"/>
      <c r="BH51" s="156"/>
      <c r="BI51" s="156"/>
      <c r="BJ51" s="157"/>
      <c r="BK51" s="56"/>
    </row>
    <row r="52" spans="1:63" ht="15" customHeight="1">
      <c r="A52" s="55"/>
      <c r="B52" s="114"/>
      <c r="C52" s="115"/>
      <c r="D52" s="115"/>
      <c r="E52" s="115"/>
      <c r="F52" s="115"/>
      <c r="G52" s="116"/>
      <c r="H52" s="114"/>
      <c r="I52" s="115"/>
      <c r="J52" s="115"/>
      <c r="K52" s="115"/>
      <c r="L52" s="115"/>
      <c r="M52" s="115"/>
      <c r="N52" s="116"/>
      <c r="O52" s="114"/>
      <c r="P52" s="115"/>
      <c r="Q52" s="115"/>
      <c r="R52" s="115"/>
      <c r="S52" s="162"/>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4"/>
      <c r="AX52" s="158"/>
      <c r="AY52" s="158"/>
      <c r="AZ52" s="158"/>
      <c r="BA52" s="158"/>
      <c r="BB52" s="158"/>
      <c r="BC52" s="159"/>
      <c r="BD52" s="161"/>
      <c r="BE52" s="158"/>
      <c r="BF52" s="158"/>
      <c r="BG52" s="158"/>
      <c r="BH52" s="158"/>
      <c r="BI52" s="158"/>
      <c r="BJ52" s="159"/>
      <c r="BK52" s="56"/>
    </row>
    <row r="53" spans="1:63" ht="15" customHeight="1">
      <c r="A53" s="55"/>
      <c r="B53" s="108"/>
      <c r="C53" s="109"/>
      <c r="D53" s="109"/>
      <c r="E53" s="109"/>
      <c r="F53" s="109"/>
      <c r="G53" s="110"/>
      <c r="H53" s="108"/>
      <c r="I53" s="109"/>
      <c r="J53" s="109"/>
      <c r="K53" s="109"/>
      <c r="L53" s="109"/>
      <c r="M53" s="109"/>
      <c r="N53" s="110"/>
      <c r="O53" s="108"/>
      <c r="P53" s="109"/>
      <c r="Q53" s="109"/>
      <c r="R53" s="109"/>
      <c r="S53" s="153"/>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4"/>
      <c r="AS53" s="154"/>
      <c r="AT53" s="154"/>
      <c r="AU53" s="154"/>
      <c r="AV53" s="154"/>
      <c r="AW53" s="155"/>
      <c r="AX53" s="156"/>
      <c r="AY53" s="156"/>
      <c r="AZ53" s="156"/>
      <c r="BA53" s="156"/>
      <c r="BB53" s="156"/>
      <c r="BC53" s="157"/>
      <c r="BD53" s="160"/>
      <c r="BE53" s="156"/>
      <c r="BF53" s="156"/>
      <c r="BG53" s="156"/>
      <c r="BH53" s="156"/>
      <c r="BI53" s="156"/>
      <c r="BJ53" s="157"/>
      <c r="BK53" s="56"/>
    </row>
    <row r="54" spans="1:63" ht="15" customHeight="1">
      <c r="A54" s="55"/>
      <c r="B54" s="114"/>
      <c r="C54" s="115"/>
      <c r="D54" s="115"/>
      <c r="E54" s="115"/>
      <c r="F54" s="115"/>
      <c r="G54" s="116"/>
      <c r="H54" s="114"/>
      <c r="I54" s="115"/>
      <c r="J54" s="115"/>
      <c r="K54" s="115"/>
      <c r="L54" s="115"/>
      <c r="M54" s="115"/>
      <c r="N54" s="116"/>
      <c r="O54" s="114"/>
      <c r="P54" s="115"/>
      <c r="Q54" s="115"/>
      <c r="R54" s="115"/>
      <c r="S54" s="162"/>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4"/>
      <c r="AX54" s="158"/>
      <c r="AY54" s="158"/>
      <c r="AZ54" s="158"/>
      <c r="BA54" s="158"/>
      <c r="BB54" s="158"/>
      <c r="BC54" s="159"/>
      <c r="BD54" s="161"/>
      <c r="BE54" s="158"/>
      <c r="BF54" s="158"/>
      <c r="BG54" s="158"/>
      <c r="BH54" s="158"/>
      <c r="BI54" s="158"/>
      <c r="BJ54" s="159"/>
      <c r="BK54" s="56"/>
    </row>
    <row r="55" spans="1:63" ht="15" customHeight="1">
      <c r="A55" s="52"/>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4"/>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894A1-CAD8-46CC-93F6-14610C099AD3}">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cols>
    <col min="1" max="60" width="2.77734375" customWidth="1"/>
  </cols>
  <sheetData>
    <row r="1" spans="1:63" ht="24.95" customHeight="1">
      <c r="A1" s="185" t="s">
        <v>0</v>
      </c>
      <c r="B1" s="186"/>
      <c r="C1" s="186"/>
      <c r="D1" s="186"/>
      <c r="E1" s="186"/>
      <c r="F1" s="186"/>
      <c r="G1" s="186"/>
      <c r="H1" s="186"/>
      <c r="I1" s="186"/>
      <c r="J1" s="187"/>
      <c r="K1" s="185" t="s">
        <v>2</v>
      </c>
      <c r="L1" s="186"/>
      <c r="M1" s="186"/>
      <c r="N1" s="186"/>
      <c r="O1" s="186"/>
      <c r="P1" s="186"/>
      <c r="Q1" s="186"/>
      <c r="R1" s="186"/>
      <c r="S1" s="186"/>
      <c r="T1" s="186"/>
      <c r="U1" s="186"/>
      <c r="V1" s="187"/>
      <c r="W1" s="188" t="s">
        <v>49</v>
      </c>
      <c r="X1" s="189"/>
      <c r="Y1" s="189"/>
      <c r="Z1" s="189"/>
      <c r="AA1" s="189"/>
      <c r="AB1" s="189"/>
      <c r="AC1" s="189"/>
      <c r="AD1" s="189"/>
      <c r="AE1" s="189"/>
      <c r="AF1" s="189"/>
      <c r="AG1" s="189"/>
      <c r="AH1" s="189"/>
      <c r="AI1" s="189"/>
      <c r="AJ1" s="189"/>
      <c r="AK1" s="189"/>
      <c r="AL1" s="189"/>
      <c r="AM1" s="189"/>
      <c r="AN1" s="189"/>
      <c r="AO1" s="190"/>
      <c r="AP1" s="185" t="s">
        <v>3</v>
      </c>
      <c r="AQ1" s="186"/>
      <c r="AR1" s="186"/>
      <c r="AS1" s="187"/>
      <c r="AT1" s="185" t="s">
        <v>4</v>
      </c>
      <c r="AU1" s="186"/>
      <c r="AV1" s="186"/>
      <c r="AW1" s="186"/>
      <c r="AX1" s="187"/>
      <c r="AY1" s="185" t="s">
        <v>5</v>
      </c>
      <c r="AZ1" s="186"/>
      <c r="BA1" s="186"/>
      <c r="BB1" s="187"/>
      <c r="BC1" s="185" t="s">
        <v>6</v>
      </c>
      <c r="BD1" s="186"/>
      <c r="BE1" s="186"/>
      <c r="BF1" s="186"/>
      <c r="BG1" s="187"/>
      <c r="BH1" s="185" t="s">
        <v>7</v>
      </c>
      <c r="BI1" s="186"/>
      <c r="BJ1" s="186"/>
      <c r="BK1" s="187"/>
    </row>
    <row r="2" spans="1:63" ht="15" customHeight="1">
      <c r="A2" s="200" t="s">
        <v>28</v>
      </c>
      <c r="B2" s="201"/>
      <c r="C2" s="201"/>
      <c r="D2" s="201"/>
      <c r="E2" s="201"/>
      <c r="F2" s="201"/>
      <c r="G2" s="201"/>
      <c r="H2" s="201"/>
      <c r="I2" s="201"/>
      <c r="J2" s="202"/>
      <c r="K2" s="200" t="s">
        <v>28</v>
      </c>
      <c r="L2" s="201"/>
      <c r="M2" s="201"/>
      <c r="N2" s="201"/>
      <c r="O2" s="201"/>
      <c r="P2" s="201"/>
      <c r="Q2" s="201"/>
      <c r="R2" s="201"/>
      <c r="S2" s="201"/>
      <c r="T2" s="201"/>
      <c r="U2" s="201"/>
      <c r="V2" s="202"/>
      <c r="W2" s="191"/>
      <c r="X2" s="192"/>
      <c r="Y2" s="192"/>
      <c r="Z2" s="192"/>
      <c r="AA2" s="192"/>
      <c r="AB2" s="192"/>
      <c r="AC2" s="192"/>
      <c r="AD2" s="192"/>
      <c r="AE2" s="192"/>
      <c r="AF2" s="192"/>
      <c r="AG2" s="192"/>
      <c r="AH2" s="192"/>
      <c r="AI2" s="192"/>
      <c r="AJ2" s="192"/>
      <c r="AK2" s="192"/>
      <c r="AL2" s="192"/>
      <c r="AM2" s="192"/>
      <c r="AN2" s="192"/>
      <c r="AO2" s="193"/>
      <c r="AP2" s="108" t="s">
        <v>109</v>
      </c>
      <c r="AQ2" s="109"/>
      <c r="AR2" s="109"/>
      <c r="AS2" s="110"/>
      <c r="AT2" s="137">
        <v>45586</v>
      </c>
      <c r="AU2" s="138"/>
      <c r="AV2" s="138"/>
      <c r="AW2" s="138"/>
      <c r="AX2" s="139"/>
      <c r="AY2" s="108" t="s">
        <v>110</v>
      </c>
      <c r="AZ2" s="109"/>
      <c r="BA2" s="109"/>
      <c r="BB2" s="110"/>
      <c r="BC2" s="137">
        <v>45586</v>
      </c>
      <c r="BD2" s="138"/>
      <c r="BE2" s="138"/>
      <c r="BF2" s="138"/>
      <c r="BG2" s="139"/>
      <c r="BH2" s="200">
        <v>0.3</v>
      </c>
      <c r="BI2" s="201"/>
      <c r="BJ2" s="201"/>
      <c r="BK2" s="202"/>
    </row>
    <row r="3" spans="1:63" ht="15" customHeight="1">
      <c r="A3" s="203"/>
      <c r="B3" s="204"/>
      <c r="C3" s="204"/>
      <c r="D3" s="204"/>
      <c r="E3" s="204"/>
      <c r="F3" s="204"/>
      <c r="G3" s="204"/>
      <c r="H3" s="204"/>
      <c r="I3" s="204"/>
      <c r="J3" s="205"/>
      <c r="K3" s="203"/>
      <c r="L3" s="204"/>
      <c r="M3" s="204"/>
      <c r="N3" s="204"/>
      <c r="O3" s="204"/>
      <c r="P3" s="204"/>
      <c r="Q3" s="204"/>
      <c r="R3" s="204"/>
      <c r="S3" s="204"/>
      <c r="T3" s="204"/>
      <c r="U3" s="204"/>
      <c r="V3" s="205"/>
      <c r="W3" s="194"/>
      <c r="X3" s="195"/>
      <c r="Y3" s="195"/>
      <c r="Z3" s="195"/>
      <c r="AA3" s="195"/>
      <c r="AB3" s="195"/>
      <c r="AC3" s="195"/>
      <c r="AD3" s="195"/>
      <c r="AE3" s="195"/>
      <c r="AF3" s="195"/>
      <c r="AG3" s="195"/>
      <c r="AH3" s="195"/>
      <c r="AI3" s="195"/>
      <c r="AJ3" s="195"/>
      <c r="AK3" s="195"/>
      <c r="AL3" s="195"/>
      <c r="AM3" s="195"/>
      <c r="AN3" s="195"/>
      <c r="AO3" s="196"/>
      <c r="AP3" s="114"/>
      <c r="AQ3" s="115"/>
      <c r="AR3" s="115"/>
      <c r="AS3" s="116"/>
      <c r="AT3" s="140"/>
      <c r="AU3" s="141"/>
      <c r="AV3" s="141"/>
      <c r="AW3" s="141"/>
      <c r="AX3" s="142"/>
      <c r="AY3" s="114"/>
      <c r="AZ3" s="115"/>
      <c r="BA3" s="115"/>
      <c r="BB3" s="116"/>
      <c r="BC3" s="140"/>
      <c r="BD3" s="141"/>
      <c r="BE3" s="141"/>
      <c r="BF3" s="141"/>
      <c r="BG3" s="142"/>
      <c r="BH3" s="203"/>
      <c r="BI3" s="204"/>
      <c r="BJ3" s="204"/>
      <c r="BK3" s="205"/>
    </row>
    <row r="4" spans="1:63" ht="24.95" customHeight="1">
      <c r="A4" s="185" t="s">
        <v>1</v>
      </c>
      <c r="B4" s="186"/>
      <c r="C4" s="186"/>
      <c r="D4" s="186"/>
      <c r="E4" s="186"/>
      <c r="F4" s="186"/>
      <c r="G4" s="187"/>
      <c r="H4" s="128" t="s">
        <v>50</v>
      </c>
      <c r="I4" s="129"/>
      <c r="J4" s="129"/>
      <c r="K4" s="129"/>
      <c r="L4" s="129"/>
      <c r="M4" s="129"/>
      <c r="N4" s="129"/>
      <c r="O4" s="129"/>
      <c r="P4" s="129"/>
      <c r="Q4" s="129"/>
      <c r="R4" s="129"/>
      <c r="S4" s="129"/>
      <c r="T4" s="130"/>
      <c r="U4" s="185" t="s">
        <v>8</v>
      </c>
      <c r="V4" s="186"/>
      <c r="W4" s="186"/>
      <c r="X4" s="186"/>
      <c r="Y4" s="187"/>
      <c r="Z4" s="197" t="s">
        <v>51</v>
      </c>
      <c r="AA4" s="198"/>
      <c r="AB4" s="198"/>
      <c r="AC4" s="198"/>
      <c r="AD4" s="198"/>
      <c r="AE4" s="198"/>
      <c r="AF4" s="198"/>
      <c r="AG4" s="198"/>
      <c r="AH4" s="198"/>
      <c r="AI4" s="198"/>
      <c r="AJ4" s="198"/>
      <c r="AK4" s="198"/>
      <c r="AL4" s="198"/>
      <c r="AM4" s="198"/>
      <c r="AN4" s="198"/>
      <c r="AO4" s="199"/>
      <c r="AP4" s="197" t="s">
        <v>111</v>
      </c>
      <c r="AQ4" s="198"/>
      <c r="AR4" s="198"/>
      <c r="AS4" s="198"/>
      <c r="AT4" s="198"/>
      <c r="AU4" s="198"/>
      <c r="AV4" s="198"/>
      <c r="AW4" s="198"/>
      <c r="AX4" s="198"/>
      <c r="AY4" s="198"/>
      <c r="AZ4" s="198"/>
      <c r="BA4" s="198"/>
      <c r="BB4" s="198"/>
      <c r="BC4" s="198"/>
      <c r="BD4" s="198"/>
      <c r="BE4" s="198"/>
      <c r="BF4" s="198"/>
      <c r="BG4" s="198"/>
      <c r="BH4" s="198"/>
      <c r="BI4" s="198"/>
      <c r="BJ4" s="198"/>
      <c r="BK4" s="199"/>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8" t="s">
        <v>45</v>
      </c>
      <c r="BK8" s="4"/>
    </row>
    <row r="9" spans="1:63" ht="15" customHeight="1">
      <c r="A9" s="1"/>
      <c r="BK9" s="4"/>
    </row>
    <row r="10" spans="1:63" ht="15" customHeight="1">
      <c r="A10" s="1"/>
      <c r="B10" s="220" t="s">
        <v>6</v>
      </c>
      <c r="C10" s="215"/>
      <c r="D10" s="215"/>
      <c r="E10" s="215"/>
      <c r="F10" s="215"/>
      <c r="G10" s="215"/>
      <c r="H10" s="215" t="s">
        <v>5</v>
      </c>
      <c r="I10" s="215"/>
      <c r="J10" s="215"/>
      <c r="K10" s="215"/>
      <c r="L10" s="215"/>
      <c r="M10" s="215"/>
      <c r="N10" s="215"/>
      <c r="O10" s="215" t="s">
        <v>7</v>
      </c>
      <c r="P10" s="215"/>
      <c r="Q10" s="215"/>
      <c r="R10" s="215"/>
      <c r="S10" s="215" t="s">
        <v>44</v>
      </c>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t="s">
        <v>43</v>
      </c>
      <c r="AY10" s="215"/>
      <c r="AZ10" s="215"/>
      <c r="BA10" s="215"/>
      <c r="BB10" s="215"/>
      <c r="BC10" s="215"/>
      <c r="BD10" s="215" t="s">
        <v>42</v>
      </c>
      <c r="BE10" s="215"/>
      <c r="BF10" s="215"/>
      <c r="BG10" s="215"/>
      <c r="BH10" s="215"/>
      <c r="BI10" s="215"/>
      <c r="BJ10" s="215"/>
      <c r="BK10" s="4"/>
    </row>
    <row r="11" spans="1:63" ht="15" customHeight="1">
      <c r="A11" s="1"/>
      <c r="B11" s="216">
        <v>45586</v>
      </c>
      <c r="C11" s="201"/>
      <c r="D11" s="201"/>
      <c r="E11" s="201"/>
      <c r="F11" s="201"/>
      <c r="G11" s="202"/>
      <c r="H11" s="143" t="s">
        <v>74</v>
      </c>
      <c r="I11" s="201"/>
      <c r="J11" s="201"/>
      <c r="K11" s="201"/>
      <c r="L11" s="201"/>
      <c r="M11" s="201"/>
      <c r="N11" s="202"/>
      <c r="O11" s="200"/>
      <c r="P11" s="201"/>
      <c r="Q11" s="201"/>
      <c r="R11" s="201"/>
      <c r="S11" s="217" t="s">
        <v>75</v>
      </c>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9"/>
      <c r="AX11" s="207"/>
      <c r="AY11" s="207"/>
      <c r="AZ11" s="207"/>
      <c r="BA11" s="207"/>
      <c r="BB11" s="207"/>
      <c r="BC11" s="208"/>
      <c r="BD11" s="206"/>
      <c r="BE11" s="207"/>
      <c r="BF11" s="207"/>
      <c r="BG11" s="207"/>
      <c r="BH11" s="207"/>
      <c r="BI11" s="207"/>
      <c r="BJ11" s="208"/>
      <c r="BK11" s="4"/>
    </row>
    <row r="12" spans="1:63" ht="15" customHeight="1">
      <c r="A12" s="1"/>
      <c r="B12" s="203"/>
      <c r="C12" s="204"/>
      <c r="D12" s="204"/>
      <c r="E12" s="204"/>
      <c r="F12" s="204"/>
      <c r="G12" s="205"/>
      <c r="H12" s="203"/>
      <c r="I12" s="204"/>
      <c r="J12" s="204"/>
      <c r="K12" s="204"/>
      <c r="L12" s="204"/>
      <c r="M12" s="204"/>
      <c r="N12" s="205"/>
      <c r="O12" s="203"/>
      <c r="P12" s="204"/>
      <c r="Q12" s="204"/>
      <c r="R12" s="204"/>
      <c r="S12" s="212" t="s">
        <v>47</v>
      </c>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4"/>
      <c r="AX12" s="210"/>
      <c r="AY12" s="210"/>
      <c r="AZ12" s="210"/>
      <c r="BA12" s="210"/>
      <c r="BB12" s="210"/>
      <c r="BC12" s="211"/>
      <c r="BD12" s="209"/>
      <c r="BE12" s="210"/>
      <c r="BF12" s="210"/>
      <c r="BG12" s="210"/>
      <c r="BH12" s="210"/>
      <c r="BI12" s="210"/>
      <c r="BJ12" s="211"/>
      <c r="BK12" s="4"/>
    </row>
    <row r="13" spans="1:63" ht="15" customHeight="1">
      <c r="A13" s="1"/>
      <c r="B13" s="216">
        <v>45586</v>
      </c>
      <c r="C13" s="201"/>
      <c r="D13" s="201"/>
      <c r="E13" s="201"/>
      <c r="F13" s="201"/>
      <c r="G13" s="202"/>
      <c r="H13" s="143" t="s">
        <v>41</v>
      </c>
      <c r="I13" s="201"/>
      <c r="J13" s="201"/>
      <c r="K13" s="201"/>
      <c r="L13" s="201"/>
      <c r="M13" s="201"/>
      <c r="N13" s="202"/>
      <c r="O13" s="172"/>
      <c r="P13" s="167"/>
      <c r="Q13" s="167"/>
      <c r="R13" s="167"/>
      <c r="S13" s="217" t="s">
        <v>46</v>
      </c>
      <c r="T13" s="218"/>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9"/>
      <c r="AX13" s="207"/>
      <c r="AY13" s="207"/>
      <c r="AZ13" s="207"/>
      <c r="BA13" s="207"/>
      <c r="BB13" s="207"/>
      <c r="BC13" s="208"/>
      <c r="BD13" s="206"/>
      <c r="BE13" s="207"/>
      <c r="BF13" s="207"/>
      <c r="BG13" s="207"/>
      <c r="BH13" s="207"/>
      <c r="BI13" s="207"/>
      <c r="BJ13" s="208"/>
      <c r="BK13" s="4"/>
    </row>
    <row r="14" spans="1:63" ht="15" customHeight="1">
      <c r="A14" s="1"/>
      <c r="B14" s="203"/>
      <c r="C14" s="204"/>
      <c r="D14" s="204"/>
      <c r="E14" s="204"/>
      <c r="F14" s="204"/>
      <c r="G14" s="205"/>
      <c r="H14" s="203"/>
      <c r="I14" s="204"/>
      <c r="J14" s="204"/>
      <c r="K14" s="204"/>
      <c r="L14" s="204"/>
      <c r="M14" s="204"/>
      <c r="N14" s="205"/>
      <c r="O14" s="169"/>
      <c r="P14" s="170"/>
      <c r="Q14" s="170"/>
      <c r="R14" s="170"/>
      <c r="S14" s="212" t="s">
        <v>48</v>
      </c>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4"/>
      <c r="AX14" s="210"/>
      <c r="AY14" s="210"/>
      <c r="AZ14" s="210"/>
      <c r="BA14" s="210"/>
      <c r="BB14" s="210"/>
      <c r="BC14" s="211"/>
      <c r="BD14" s="209"/>
      <c r="BE14" s="210"/>
      <c r="BF14" s="210"/>
      <c r="BG14" s="210"/>
      <c r="BH14" s="210"/>
      <c r="BI14" s="210"/>
      <c r="BJ14" s="211"/>
      <c r="BK14" s="4"/>
    </row>
    <row r="15" spans="1:63" ht="15" customHeight="1">
      <c r="A15" s="1"/>
      <c r="B15" s="221"/>
      <c r="C15" s="222"/>
      <c r="D15" s="222"/>
      <c r="E15" s="222"/>
      <c r="F15" s="222"/>
      <c r="G15" s="223"/>
      <c r="H15" s="227"/>
      <c r="I15" s="222"/>
      <c r="J15" s="222"/>
      <c r="K15" s="222"/>
      <c r="L15" s="222"/>
      <c r="M15" s="222"/>
      <c r="N15" s="223"/>
      <c r="O15" s="227"/>
      <c r="P15" s="222"/>
      <c r="Q15" s="222"/>
      <c r="R15" s="222"/>
      <c r="S15" s="228"/>
      <c r="T15" s="229"/>
      <c r="U15" s="229"/>
      <c r="V15" s="229"/>
      <c r="W15" s="229"/>
      <c r="X15" s="229"/>
      <c r="Y15" s="229"/>
      <c r="Z15" s="229"/>
      <c r="AA15" s="229"/>
      <c r="AB15" s="229"/>
      <c r="AC15" s="229"/>
      <c r="AD15" s="229"/>
      <c r="AE15" s="229"/>
      <c r="AF15" s="229"/>
      <c r="AG15" s="229"/>
      <c r="AH15" s="229"/>
      <c r="AI15" s="229"/>
      <c r="AJ15" s="229"/>
      <c r="AK15" s="229"/>
      <c r="AL15" s="229"/>
      <c r="AM15" s="229"/>
      <c r="AN15" s="229"/>
      <c r="AO15" s="229"/>
      <c r="AP15" s="229"/>
      <c r="AQ15" s="229"/>
      <c r="AR15" s="229"/>
      <c r="AS15" s="229"/>
      <c r="AT15" s="229"/>
      <c r="AU15" s="229"/>
      <c r="AV15" s="229"/>
      <c r="AW15" s="230"/>
      <c r="AX15" s="207"/>
      <c r="AY15" s="207"/>
      <c r="AZ15" s="207"/>
      <c r="BA15" s="207"/>
      <c r="BB15" s="207"/>
      <c r="BC15" s="208"/>
      <c r="BD15" s="206"/>
      <c r="BE15" s="207"/>
      <c r="BF15" s="207"/>
      <c r="BG15" s="207"/>
      <c r="BH15" s="207"/>
      <c r="BI15" s="207"/>
      <c r="BJ15" s="208"/>
      <c r="BK15" s="4"/>
    </row>
    <row r="16" spans="1:63" ht="15" customHeight="1">
      <c r="A16" s="1"/>
      <c r="B16" s="224"/>
      <c r="C16" s="225"/>
      <c r="D16" s="225"/>
      <c r="E16" s="225"/>
      <c r="F16" s="225"/>
      <c r="G16" s="226"/>
      <c r="H16" s="224"/>
      <c r="I16" s="225"/>
      <c r="J16" s="225"/>
      <c r="K16" s="225"/>
      <c r="L16" s="225"/>
      <c r="M16" s="225"/>
      <c r="N16" s="226"/>
      <c r="O16" s="224"/>
      <c r="P16" s="225"/>
      <c r="Q16" s="225"/>
      <c r="R16" s="225"/>
      <c r="S16" s="231"/>
      <c r="T16" s="232"/>
      <c r="U16" s="232"/>
      <c r="V16" s="232"/>
      <c r="W16" s="232"/>
      <c r="X16" s="232"/>
      <c r="Y16" s="232"/>
      <c r="Z16" s="232"/>
      <c r="AA16" s="232"/>
      <c r="AB16" s="232"/>
      <c r="AC16" s="232"/>
      <c r="AD16" s="232"/>
      <c r="AE16" s="232"/>
      <c r="AF16" s="232"/>
      <c r="AG16" s="232"/>
      <c r="AH16" s="232"/>
      <c r="AI16" s="232"/>
      <c r="AJ16" s="232"/>
      <c r="AK16" s="232"/>
      <c r="AL16" s="232"/>
      <c r="AM16" s="232"/>
      <c r="AN16" s="232"/>
      <c r="AO16" s="232"/>
      <c r="AP16" s="232"/>
      <c r="AQ16" s="232"/>
      <c r="AR16" s="232"/>
      <c r="AS16" s="232"/>
      <c r="AT16" s="232"/>
      <c r="AU16" s="232"/>
      <c r="AV16" s="232"/>
      <c r="AW16" s="233"/>
      <c r="AX16" s="210"/>
      <c r="AY16" s="210"/>
      <c r="AZ16" s="210"/>
      <c r="BA16" s="210"/>
      <c r="BB16" s="210"/>
      <c r="BC16" s="211"/>
      <c r="BD16" s="209"/>
      <c r="BE16" s="210"/>
      <c r="BF16" s="210"/>
      <c r="BG16" s="210"/>
      <c r="BH16" s="210"/>
      <c r="BI16" s="210"/>
      <c r="BJ16" s="211"/>
      <c r="BK16" s="4"/>
    </row>
    <row r="17" spans="1:63" ht="15" customHeight="1">
      <c r="A17" s="1"/>
      <c r="B17" s="200"/>
      <c r="C17" s="201"/>
      <c r="D17" s="201"/>
      <c r="E17" s="201"/>
      <c r="F17" s="201"/>
      <c r="G17" s="202"/>
      <c r="H17" s="200"/>
      <c r="I17" s="201"/>
      <c r="J17" s="201"/>
      <c r="K17" s="201"/>
      <c r="L17" s="201"/>
      <c r="M17" s="201"/>
      <c r="N17" s="202"/>
      <c r="O17" s="200"/>
      <c r="P17" s="201"/>
      <c r="Q17" s="201"/>
      <c r="R17" s="201"/>
      <c r="S17" s="217"/>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9"/>
      <c r="AX17" s="207"/>
      <c r="AY17" s="207"/>
      <c r="AZ17" s="207"/>
      <c r="BA17" s="207"/>
      <c r="BB17" s="207"/>
      <c r="BC17" s="208"/>
      <c r="BD17" s="206"/>
      <c r="BE17" s="207"/>
      <c r="BF17" s="207"/>
      <c r="BG17" s="207"/>
      <c r="BH17" s="207"/>
      <c r="BI17" s="207"/>
      <c r="BJ17" s="208"/>
      <c r="BK17" s="4"/>
    </row>
    <row r="18" spans="1:63" ht="15" customHeight="1">
      <c r="A18" s="1"/>
      <c r="B18" s="203"/>
      <c r="C18" s="204"/>
      <c r="D18" s="204"/>
      <c r="E18" s="204"/>
      <c r="F18" s="204"/>
      <c r="G18" s="205"/>
      <c r="H18" s="203"/>
      <c r="I18" s="204"/>
      <c r="J18" s="204"/>
      <c r="K18" s="204"/>
      <c r="L18" s="204"/>
      <c r="M18" s="204"/>
      <c r="N18" s="205"/>
      <c r="O18" s="203"/>
      <c r="P18" s="204"/>
      <c r="Q18" s="204"/>
      <c r="R18" s="204"/>
      <c r="S18" s="212"/>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4"/>
      <c r="AX18" s="210"/>
      <c r="AY18" s="210"/>
      <c r="AZ18" s="210"/>
      <c r="BA18" s="210"/>
      <c r="BB18" s="210"/>
      <c r="BC18" s="211"/>
      <c r="BD18" s="209"/>
      <c r="BE18" s="210"/>
      <c r="BF18" s="210"/>
      <c r="BG18" s="210"/>
      <c r="BH18" s="210"/>
      <c r="BI18" s="210"/>
      <c r="BJ18" s="211"/>
      <c r="BK18" s="4"/>
    </row>
    <row r="19" spans="1:63" ht="15" customHeight="1">
      <c r="A19" s="1"/>
      <c r="B19" s="200"/>
      <c r="C19" s="201"/>
      <c r="D19" s="201"/>
      <c r="E19" s="201"/>
      <c r="F19" s="201"/>
      <c r="G19" s="202"/>
      <c r="H19" s="200"/>
      <c r="I19" s="201"/>
      <c r="J19" s="201"/>
      <c r="K19" s="201"/>
      <c r="L19" s="201"/>
      <c r="M19" s="201"/>
      <c r="N19" s="202"/>
      <c r="O19" s="200"/>
      <c r="P19" s="201"/>
      <c r="Q19" s="201"/>
      <c r="R19" s="201"/>
      <c r="S19" s="217"/>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9"/>
      <c r="AX19" s="207"/>
      <c r="AY19" s="207"/>
      <c r="AZ19" s="207"/>
      <c r="BA19" s="207"/>
      <c r="BB19" s="207"/>
      <c r="BC19" s="208"/>
      <c r="BD19" s="206"/>
      <c r="BE19" s="207"/>
      <c r="BF19" s="207"/>
      <c r="BG19" s="207"/>
      <c r="BH19" s="207"/>
      <c r="BI19" s="207"/>
      <c r="BJ19" s="208"/>
      <c r="BK19" s="4"/>
    </row>
    <row r="20" spans="1:63" ht="15" customHeight="1">
      <c r="A20" s="1"/>
      <c r="B20" s="203"/>
      <c r="C20" s="204"/>
      <c r="D20" s="204"/>
      <c r="E20" s="204"/>
      <c r="F20" s="204"/>
      <c r="G20" s="205"/>
      <c r="H20" s="203"/>
      <c r="I20" s="204"/>
      <c r="J20" s="204"/>
      <c r="K20" s="204"/>
      <c r="L20" s="204"/>
      <c r="M20" s="204"/>
      <c r="N20" s="205"/>
      <c r="O20" s="203"/>
      <c r="P20" s="204"/>
      <c r="Q20" s="204"/>
      <c r="R20" s="204"/>
      <c r="S20" s="212"/>
      <c r="T20" s="213"/>
      <c r="U20" s="213"/>
      <c r="V20" s="213"/>
      <c r="W20" s="213"/>
      <c r="X20" s="213"/>
      <c r="Y20" s="213"/>
      <c r="Z20" s="213"/>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4"/>
      <c r="AX20" s="210"/>
      <c r="AY20" s="210"/>
      <c r="AZ20" s="210"/>
      <c r="BA20" s="210"/>
      <c r="BB20" s="210"/>
      <c r="BC20" s="211"/>
      <c r="BD20" s="209"/>
      <c r="BE20" s="210"/>
      <c r="BF20" s="210"/>
      <c r="BG20" s="210"/>
      <c r="BH20" s="210"/>
      <c r="BI20" s="210"/>
      <c r="BJ20" s="211"/>
      <c r="BK20" s="4"/>
    </row>
    <row r="21" spans="1:63" ht="15" customHeight="1">
      <c r="A21" s="1"/>
      <c r="B21" s="200"/>
      <c r="C21" s="201"/>
      <c r="D21" s="201"/>
      <c r="E21" s="201"/>
      <c r="F21" s="201"/>
      <c r="G21" s="202"/>
      <c r="H21" s="200"/>
      <c r="I21" s="201"/>
      <c r="J21" s="201"/>
      <c r="K21" s="201"/>
      <c r="L21" s="201"/>
      <c r="M21" s="201"/>
      <c r="N21" s="202"/>
      <c r="O21" s="200"/>
      <c r="P21" s="201"/>
      <c r="Q21" s="201"/>
      <c r="R21" s="201"/>
      <c r="S21" s="217"/>
      <c r="T21" s="218"/>
      <c r="U21" s="218"/>
      <c r="V21" s="218"/>
      <c r="W21" s="218"/>
      <c r="X21" s="218"/>
      <c r="Y21" s="218"/>
      <c r="Z21" s="218"/>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9"/>
      <c r="AX21" s="207"/>
      <c r="AY21" s="207"/>
      <c r="AZ21" s="207"/>
      <c r="BA21" s="207"/>
      <c r="BB21" s="207"/>
      <c r="BC21" s="208"/>
      <c r="BD21" s="206"/>
      <c r="BE21" s="207"/>
      <c r="BF21" s="207"/>
      <c r="BG21" s="207"/>
      <c r="BH21" s="207"/>
      <c r="BI21" s="207"/>
      <c r="BJ21" s="208"/>
      <c r="BK21" s="4"/>
    </row>
    <row r="22" spans="1:63" ht="15" customHeight="1">
      <c r="A22" s="1"/>
      <c r="B22" s="203"/>
      <c r="C22" s="204"/>
      <c r="D22" s="204"/>
      <c r="E22" s="204"/>
      <c r="F22" s="204"/>
      <c r="G22" s="205"/>
      <c r="H22" s="203"/>
      <c r="I22" s="204"/>
      <c r="J22" s="204"/>
      <c r="K22" s="204"/>
      <c r="L22" s="204"/>
      <c r="M22" s="204"/>
      <c r="N22" s="205"/>
      <c r="O22" s="203"/>
      <c r="P22" s="204"/>
      <c r="Q22" s="204"/>
      <c r="R22" s="204"/>
      <c r="S22" s="212"/>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4"/>
      <c r="AX22" s="210"/>
      <c r="AY22" s="210"/>
      <c r="AZ22" s="210"/>
      <c r="BA22" s="210"/>
      <c r="BB22" s="210"/>
      <c r="BC22" s="211"/>
      <c r="BD22" s="209"/>
      <c r="BE22" s="210"/>
      <c r="BF22" s="210"/>
      <c r="BG22" s="210"/>
      <c r="BH22" s="210"/>
      <c r="BI22" s="210"/>
      <c r="BJ22" s="211"/>
      <c r="BK22" s="4"/>
    </row>
    <row r="23" spans="1:63" ht="15" customHeight="1">
      <c r="A23" s="1"/>
      <c r="B23" s="200"/>
      <c r="C23" s="201"/>
      <c r="D23" s="201"/>
      <c r="E23" s="201"/>
      <c r="F23" s="201"/>
      <c r="G23" s="202"/>
      <c r="H23" s="200"/>
      <c r="I23" s="201"/>
      <c r="J23" s="201"/>
      <c r="K23" s="201"/>
      <c r="L23" s="201"/>
      <c r="M23" s="201"/>
      <c r="N23" s="202"/>
      <c r="O23" s="200"/>
      <c r="P23" s="201"/>
      <c r="Q23" s="201"/>
      <c r="R23" s="201"/>
      <c r="S23" s="217"/>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9"/>
      <c r="AX23" s="207"/>
      <c r="AY23" s="207"/>
      <c r="AZ23" s="207"/>
      <c r="BA23" s="207"/>
      <c r="BB23" s="207"/>
      <c r="BC23" s="208"/>
      <c r="BD23" s="206"/>
      <c r="BE23" s="207"/>
      <c r="BF23" s="207"/>
      <c r="BG23" s="207"/>
      <c r="BH23" s="207"/>
      <c r="BI23" s="207"/>
      <c r="BJ23" s="208"/>
      <c r="BK23" s="4"/>
    </row>
    <row r="24" spans="1:63" ht="15" customHeight="1">
      <c r="A24" s="1"/>
      <c r="B24" s="203"/>
      <c r="C24" s="204"/>
      <c r="D24" s="204"/>
      <c r="E24" s="204"/>
      <c r="F24" s="204"/>
      <c r="G24" s="205"/>
      <c r="H24" s="203"/>
      <c r="I24" s="204"/>
      <c r="J24" s="204"/>
      <c r="K24" s="204"/>
      <c r="L24" s="204"/>
      <c r="M24" s="204"/>
      <c r="N24" s="205"/>
      <c r="O24" s="203"/>
      <c r="P24" s="204"/>
      <c r="Q24" s="204"/>
      <c r="R24" s="204"/>
      <c r="S24" s="212"/>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4"/>
      <c r="AX24" s="210"/>
      <c r="AY24" s="210"/>
      <c r="AZ24" s="210"/>
      <c r="BA24" s="210"/>
      <c r="BB24" s="210"/>
      <c r="BC24" s="211"/>
      <c r="BD24" s="209"/>
      <c r="BE24" s="210"/>
      <c r="BF24" s="210"/>
      <c r="BG24" s="210"/>
      <c r="BH24" s="210"/>
      <c r="BI24" s="210"/>
      <c r="BJ24" s="211"/>
      <c r="BK24" s="4"/>
    </row>
    <row r="25" spans="1:63" ht="15" customHeight="1">
      <c r="A25" s="1"/>
      <c r="B25" s="200"/>
      <c r="C25" s="201"/>
      <c r="D25" s="201"/>
      <c r="E25" s="201"/>
      <c r="F25" s="201"/>
      <c r="G25" s="202"/>
      <c r="H25" s="200"/>
      <c r="I25" s="201"/>
      <c r="J25" s="201"/>
      <c r="K25" s="201"/>
      <c r="L25" s="201"/>
      <c r="M25" s="201"/>
      <c r="N25" s="202"/>
      <c r="O25" s="200"/>
      <c r="P25" s="201"/>
      <c r="Q25" s="201"/>
      <c r="R25" s="201"/>
      <c r="S25" s="217"/>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9"/>
      <c r="AX25" s="207"/>
      <c r="AY25" s="207"/>
      <c r="AZ25" s="207"/>
      <c r="BA25" s="207"/>
      <c r="BB25" s="207"/>
      <c r="BC25" s="208"/>
      <c r="BD25" s="206"/>
      <c r="BE25" s="207"/>
      <c r="BF25" s="207"/>
      <c r="BG25" s="207"/>
      <c r="BH25" s="207"/>
      <c r="BI25" s="207"/>
      <c r="BJ25" s="208"/>
      <c r="BK25" s="4"/>
    </row>
    <row r="26" spans="1:63" ht="15" customHeight="1">
      <c r="A26" s="1"/>
      <c r="B26" s="203"/>
      <c r="C26" s="204"/>
      <c r="D26" s="204"/>
      <c r="E26" s="204"/>
      <c r="F26" s="204"/>
      <c r="G26" s="205"/>
      <c r="H26" s="203"/>
      <c r="I26" s="204"/>
      <c r="J26" s="204"/>
      <c r="K26" s="204"/>
      <c r="L26" s="204"/>
      <c r="M26" s="204"/>
      <c r="N26" s="205"/>
      <c r="O26" s="203"/>
      <c r="P26" s="204"/>
      <c r="Q26" s="204"/>
      <c r="R26" s="204"/>
      <c r="S26" s="212"/>
      <c r="T26" s="213"/>
      <c r="U26" s="213"/>
      <c r="V26" s="213"/>
      <c r="W26" s="213"/>
      <c r="X26" s="213"/>
      <c r="Y26" s="213"/>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3"/>
      <c r="AV26" s="213"/>
      <c r="AW26" s="214"/>
      <c r="AX26" s="210"/>
      <c r="AY26" s="210"/>
      <c r="AZ26" s="210"/>
      <c r="BA26" s="210"/>
      <c r="BB26" s="210"/>
      <c r="BC26" s="211"/>
      <c r="BD26" s="209"/>
      <c r="BE26" s="210"/>
      <c r="BF26" s="210"/>
      <c r="BG26" s="210"/>
      <c r="BH26" s="210"/>
      <c r="BI26" s="210"/>
      <c r="BJ26" s="211"/>
      <c r="BK26" s="4"/>
    </row>
    <row r="27" spans="1:63" ht="15" customHeight="1">
      <c r="A27" s="1"/>
      <c r="B27" s="200"/>
      <c r="C27" s="201"/>
      <c r="D27" s="201"/>
      <c r="E27" s="201"/>
      <c r="F27" s="201"/>
      <c r="G27" s="202"/>
      <c r="H27" s="200"/>
      <c r="I27" s="201"/>
      <c r="J27" s="201"/>
      <c r="K27" s="201"/>
      <c r="L27" s="201"/>
      <c r="M27" s="201"/>
      <c r="N27" s="202"/>
      <c r="O27" s="200"/>
      <c r="P27" s="201"/>
      <c r="Q27" s="201"/>
      <c r="R27" s="201"/>
      <c r="S27" s="217"/>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9"/>
      <c r="AX27" s="207"/>
      <c r="AY27" s="207"/>
      <c r="AZ27" s="207"/>
      <c r="BA27" s="207"/>
      <c r="BB27" s="207"/>
      <c r="BC27" s="208"/>
      <c r="BD27" s="206"/>
      <c r="BE27" s="207"/>
      <c r="BF27" s="207"/>
      <c r="BG27" s="207"/>
      <c r="BH27" s="207"/>
      <c r="BI27" s="207"/>
      <c r="BJ27" s="208"/>
      <c r="BK27" s="4"/>
    </row>
    <row r="28" spans="1:63" ht="15" customHeight="1">
      <c r="A28" s="1"/>
      <c r="B28" s="203"/>
      <c r="C28" s="204"/>
      <c r="D28" s="204"/>
      <c r="E28" s="204"/>
      <c r="F28" s="204"/>
      <c r="G28" s="205"/>
      <c r="H28" s="203"/>
      <c r="I28" s="204"/>
      <c r="J28" s="204"/>
      <c r="K28" s="204"/>
      <c r="L28" s="204"/>
      <c r="M28" s="204"/>
      <c r="N28" s="205"/>
      <c r="O28" s="203"/>
      <c r="P28" s="204"/>
      <c r="Q28" s="204"/>
      <c r="R28" s="204"/>
      <c r="S28" s="212"/>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4"/>
      <c r="AX28" s="210"/>
      <c r="AY28" s="210"/>
      <c r="AZ28" s="210"/>
      <c r="BA28" s="210"/>
      <c r="BB28" s="210"/>
      <c r="BC28" s="211"/>
      <c r="BD28" s="209"/>
      <c r="BE28" s="210"/>
      <c r="BF28" s="210"/>
      <c r="BG28" s="210"/>
      <c r="BH28" s="210"/>
      <c r="BI28" s="210"/>
      <c r="BJ28" s="211"/>
      <c r="BK28" s="4"/>
    </row>
    <row r="29" spans="1:63" ht="15" customHeight="1">
      <c r="A29" s="1"/>
      <c r="B29" s="200"/>
      <c r="C29" s="201"/>
      <c r="D29" s="201"/>
      <c r="E29" s="201"/>
      <c r="F29" s="201"/>
      <c r="G29" s="202"/>
      <c r="H29" s="200"/>
      <c r="I29" s="201"/>
      <c r="J29" s="201"/>
      <c r="K29" s="201"/>
      <c r="L29" s="201"/>
      <c r="M29" s="201"/>
      <c r="N29" s="202"/>
      <c r="O29" s="200"/>
      <c r="P29" s="201"/>
      <c r="Q29" s="201"/>
      <c r="R29" s="201"/>
      <c r="S29" s="217"/>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9"/>
      <c r="AX29" s="207"/>
      <c r="AY29" s="207"/>
      <c r="AZ29" s="207"/>
      <c r="BA29" s="207"/>
      <c r="BB29" s="207"/>
      <c r="BC29" s="208"/>
      <c r="BD29" s="206"/>
      <c r="BE29" s="207"/>
      <c r="BF29" s="207"/>
      <c r="BG29" s="207"/>
      <c r="BH29" s="207"/>
      <c r="BI29" s="207"/>
      <c r="BJ29" s="208"/>
      <c r="BK29" s="4"/>
    </row>
    <row r="30" spans="1:63" ht="15" customHeight="1">
      <c r="A30" s="1"/>
      <c r="B30" s="203"/>
      <c r="C30" s="204"/>
      <c r="D30" s="204"/>
      <c r="E30" s="204"/>
      <c r="F30" s="204"/>
      <c r="G30" s="205"/>
      <c r="H30" s="203"/>
      <c r="I30" s="204"/>
      <c r="J30" s="204"/>
      <c r="K30" s="204"/>
      <c r="L30" s="204"/>
      <c r="M30" s="204"/>
      <c r="N30" s="205"/>
      <c r="O30" s="203"/>
      <c r="P30" s="204"/>
      <c r="Q30" s="204"/>
      <c r="R30" s="204"/>
      <c r="S30" s="212"/>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4"/>
      <c r="AX30" s="210"/>
      <c r="AY30" s="210"/>
      <c r="AZ30" s="210"/>
      <c r="BA30" s="210"/>
      <c r="BB30" s="210"/>
      <c r="BC30" s="211"/>
      <c r="BD30" s="209"/>
      <c r="BE30" s="210"/>
      <c r="BF30" s="210"/>
      <c r="BG30" s="210"/>
      <c r="BH30" s="210"/>
      <c r="BI30" s="210"/>
      <c r="BJ30" s="211"/>
      <c r="BK30" s="4"/>
    </row>
    <row r="31" spans="1:63" ht="15" customHeight="1">
      <c r="A31" s="1"/>
      <c r="B31" s="200"/>
      <c r="C31" s="201"/>
      <c r="D31" s="201"/>
      <c r="E31" s="201"/>
      <c r="F31" s="201"/>
      <c r="G31" s="202"/>
      <c r="H31" s="200"/>
      <c r="I31" s="201"/>
      <c r="J31" s="201"/>
      <c r="K31" s="201"/>
      <c r="L31" s="201"/>
      <c r="M31" s="201"/>
      <c r="N31" s="202"/>
      <c r="O31" s="200"/>
      <c r="P31" s="201"/>
      <c r="Q31" s="201"/>
      <c r="R31" s="201"/>
      <c r="S31" s="217"/>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9"/>
      <c r="AX31" s="207"/>
      <c r="AY31" s="207"/>
      <c r="AZ31" s="207"/>
      <c r="BA31" s="207"/>
      <c r="BB31" s="207"/>
      <c r="BC31" s="208"/>
      <c r="BD31" s="206"/>
      <c r="BE31" s="207"/>
      <c r="BF31" s="207"/>
      <c r="BG31" s="207"/>
      <c r="BH31" s="207"/>
      <c r="BI31" s="207"/>
      <c r="BJ31" s="208"/>
      <c r="BK31" s="4"/>
    </row>
    <row r="32" spans="1:63" ht="15" customHeight="1">
      <c r="A32" s="1"/>
      <c r="B32" s="203"/>
      <c r="C32" s="204"/>
      <c r="D32" s="204"/>
      <c r="E32" s="204"/>
      <c r="F32" s="204"/>
      <c r="G32" s="205"/>
      <c r="H32" s="203"/>
      <c r="I32" s="204"/>
      <c r="J32" s="204"/>
      <c r="K32" s="204"/>
      <c r="L32" s="204"/>
      <c r="M32" s="204"/>
      <c r="N32" s="205"/>
      <c r="O32" s="203"/>
      <c r="P32" s="204"/>
      <c r="Q32" s="204"/>
      <c r="R32" s="204"/>
      <c r="S32" s="212"/>
      <c r="T32" s="213"/>
      <c r="U32" s="213"/>
      <c r="V32" s="213"/>
      <c r="W32" s="213"/>
      <c r="X32" s="213"/>
      <c r="Y32" s="213"/>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3"/>
      <c r="AV32" s="213"/>
      <c r="AW32" s="214"/>
      <c r="AX32" s="210"/>
      <c r="AY32" s="210"/>
      <c r="AZ32" s="210"/>
      <c r="BA32" s="210"/>
      <c r="BB32" s="210"/>
      <c r="BC32" s="211"/>
      <c r="BD32" s="209"/>
      <c r="BE32" s="210"/>
      <c r="BF32" s="210"/>
      <c r="BG32" s="210"/>
      <c r="BH32" s="210"/>
      <c r="BI32" s="210"/>
      <c r="BJ32" s="211"/>
      <c r="BK32" s="4"/>
    </row>
    <row r="33" spans="1:63" ht="15" customHeight="1">
      <c r="A33" s="1"/>
      <c r="B33" s="200"/>
      <c r="C33" s="201"/>
      <c r="D33" s="201"/>
      <c r="E33" s="201"/>
      <c r="F33" s="201"/>
      <c r="G33" s="202"/>
      <c r="H33" s="200"/>
      <c r="I33" s="201"/>
      <c r="J33" s="201"/>
      <c r="K33" s="201"/>
      <c r="L33" s="201"/>
      <c r="M33" s="201"/>
      <c r="N33" s="202"/>
      <c r="O33" s="200"/>
      <c r="P33" s="201"/>
      <c r="Q33" s="201"/>
      <c r="R33" s="201"/>
      <c r="S33" s="217"/>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9"/>
      <c r="AX33" s="207"/>
      <c r="AY33" s="207"/>
      <c r="AZ33" s="207"/>
      <c r="BA33" s="207"/>
      <c r="BB33" s="207"/>
      <c r="BC33" s="208"/>
      <c r="BD33" s="206"/>
      <c r="BE33" s="207"/>
      <c r="BF33" s="207"/>
      <c r="BG33" s="207"/>
      <c r="BH33" s="207"/>
      <c r="BI33" s="207"/>
      <c r="BJ33" s="208"/>
      <c r="BK33" s="4"/>
    </row>
    <row r="34" spans="1:63" ht="15" customHeight="1">
      <c r="A34" s="1"/>
      <c r="B34" s="203"/>
      <c r="C34" s="204"/>
      <c r="D34" s="204"/>
      <c r="E34" s="204"/>
      <c r="F34" s="204"/>
      <c r="G34" s="205"/>
      <c r="H34" s="203"/>
      <c r="I34" s="204"/>
      <c r="J34" s="204"/>
      <c r="K34" s="204"/>
      <c r="L34" s="204"/>
      <c r="M34" s="204"/>
      <c r="N34" s="205"/>
      <c r="O34" s="203"/>
      <c r="P34" s="204"/>
      <c r="Q34" s="204"/>
      <c r="R34" s="204"/>
      <c r="S34" s="212"/>
      <c r="T34" s="213"/>
      <c r="U34" s="213"/>
      <c r="V34" s="213"/>
      <c r="W34" s="213"/>
      <c r="X34" s="213"/>
      <c r="Y34" s="213"/>
      <c r="Z34" s="213"/>
      <c r="AA34" s="213"/>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4"/>
      <c r="AX34" s="210"/>
      <c r="AY34" s="210"/>
      <c r="AZ34" s="210"/>
      <c r="BA34" s="210"/>
      <c r="BB34" s="210"/>
      <c r="BC34" s="211"/>
      <c r="BD34" s="209"/>
      <c r="BE34" s="210"/>
      <c r="BF34" s="210"/>
      <c r="BG34" s="210"/>
      <c r="BH34" s="210"/>
      <c r="BI34" s="210"/>
      <c r="BJ34" s="211"/>
      <c r="BK34" s="4"/>
    </row>
    <row r="35" spans="1:63" ht="15" customHeight="1">
      <c r="A35" s="1"/>
      <c r="B35" s="200"/>
      <c r="C35" s="201"/>
      <c r="D35" s="201"/>
      <c r="E35" s="201"/>
      <c r="F35" s="201"/>
      <c r="G35" s="202"/>
      <c r="H35" s="200"/>
      <c r="I35" s="201"/>
      <c r="J35" s="201"/>
      <c r="K35" s="201"/>
      <c r="L35" s="201"/>
      <c r="M35" s="201"/>
      <c r="N35" s="202"/>
      <c r="O35" s="200"/>
      <c r="P35" s="201"/>
      <c r="Q35" s="201"/>
      <c r="R35" s="201"/>
      <c r="S35" s="217"/>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9"/>
      <c r="AX35" s="207"/>
      <c r="AY35" s="207"/>
      <c r="AZ35" s="207"/>
      <c r="BA35" s="207"/>
      <c r="BB35" s="207"/>
      <c r="BC35" s="208"/>
      <c r="BD35" s="206"/>
      <c r="BE35" s="207"/>
      <c r="BF35" s="207"/>
      <c r="BG35" s="207"/>
      <c r="BH35" s="207"/>
      <c r="BI35" s="207"/>
      <c r="BJ35" s="208"/>
      <c r="BK35" s="4"/>
    </row>
    <row r="36" spans="1:63" ht="15" customHeight="1">
      <c r="A36" s="1"/>
      <c r="B36" s="203"/>
      <c r="C36" s="204"/>
      <c r="D36" s="204"/>
      <c r="E36" s="204"/>
      <c r="F36" s="204"/>
      <c r="G36" s="205"/>
      <c r="H36" s="203"/>
      <c r="I36" s="204"/>
      <c r="J36" s="204"/>
      <c r="K36" s="204"/>
      <c r="L36" s="204"/>
      <c r="M36" s="204"/>
      <c r="N36" s="205"/>
      <c r="O36" s="203"/>
      <c r="P36" s="204"/>
      <c r="Q36" s="204"/>
      <c r="R36" s="204"/>
      <c r="S36" s="212"/>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4"/>
      <c r="AX36" s="210"/>
      <c r="AY36" s="210"/>
      <c r="AZ36" s="210"/>
      <c r="BA36" s="210"/>
      <c r="BB36" s="210"/>
      <c r="BC36" s="211"/>
      <c r="BD36" s="209"/>
      <c r="BE36" s="210"/>
      <c r="BF36" s="210"/>
      <c r="BG36" s="210"/>
      <c r="BH36" s="210"/>
      <c r="BI36" s="210"/>
      <c r="BJ36" s="211"/>
      <c r="BK36" s="4"/>
    </row>
    <row r="37" spans="1:63" ht="15" customHeight="1">
      <c r="A37" s="1"/>
      <c r="B37" s="200"/>
      <c r="C37" s="201"/>
      <c r="D37" s="201"/>
      <c r="E37" s="201"/>
      <c r="F37" s="201"/>
      <c r="G37" s="202"/>
      <c r="H37" s="200"/>
      <c r="I37" s="201"/>
      <c r="J37" s="201"/>
      <c r="K37" s="201"/>
      <c r="L37" s="201"/>
      <c r="M37" s="201"/>
      <c r="N37" s="202"/>
      <c r="O37" s="200"/>
      <c r="P37" s="201"/>
      <c r="Q37" s="201"/>
      <c r="R37" s="201"/>
      <c r="S37" s="217"/>
      <c r="T37" s="218"/>
      <c r="U37" s="218"/>
      <c r="V37" s="218"/>
      <c r="W37" s="218"/>
      <c r="X37" s="218"/>
      <c r="Y37" s="218"/>
      <c r="Z37" s="218"/>
      <c r="AA37" s="218"/>
      <c r="AB37" s="218"/>
      <c r="AC37" s="218"/>
      <c r="AD37" s="218"/>
      <c r="AE37" s="218"/>
      <c r="AF37" s="218"/>
      <c r="AG37" s="218"/>
      <c r="AH37" s="218"/>
      <c r="AI37" s="218"/>
      <c r="AJ37" s="218"/>
      <c r="AK37" s="218"/>
      <c r="AL37" s="218"/>
      <c r="AM37" s="218"/>
      <c r="AN37" s="218"/>
      <c r="AO37" s="218"/>
      <c r="AP37" s="218"/>
      <c r="AQ37" s="218"/>
      <c r="AR37" s="218"/>
      <c r="AS37" s="218"/>
      <c r="AT37" s="218"/>
      <c r="AU37" s="218"/>
      <c r="AV37" s="218"/>
      <c r="AW37" s="219"/>
      <c r="AX37" s="207"/>
      <c r="AY37" s="207"/>
      <c r="AZ37" s="207"/>
      <c r="BA37" s="207"/>
      <c r="BB37" s="207"/>
      <c r="BC37" s="208"/>
      <c r="BD37" s="206"/>
      <c r="BE37" s="207"/>
      <c r="BF37" s="207"/>
      <c r="BG37" s="207"/>
      <c r="BH37" s="207"/>
      <c r="BI37" s="207"/>
      <c r="BJ37" s="208"/>
      <c r="BK37" s="4"/>
    </row>
    <row r="38" spans="1:63" ht="15" customHeight="1">
      <c r="A38" s="1"/>
      <c r="B38" s="203"/>
      <c r="C38" s="204"/>
      <c r="D38" s="204"/>
      <c r="E38" s="204"/>
      <c r="F38" s="204"/>
      <c r="G38" s="205"/>
      <c r="H38" s="203"/>
      <c r="I38" s="204"/>
      <c r="J38" s="204"/>
      <c r="K38" s="204"/>
      <c r="L38" s="204"/>
      <c r="M38" s="204"/>
      <c r="N38" s="205"/>
      <c r="O38" s="203"/>
      <c r="P38" s="204"/>
      <c r="Q38" s="204"/>
      <c r="R38" s="204"/>
      <c r="S38" s="212"/>
      <c r="T38" s="213"/>
      <c r="U38" s="213"/>
      <c r="V38" s="213"/>
      <c r="W38" s="213"/>
      <c r="X38" s="213"/>
      <c r="Y38" s="213"/>
      <c r="Z38" s="213"/>
      <c r="AA38" s="213"/>
      <c r="AB38" s="213"/>
      <c r="AC38" s="213"/>
      <c r="AD38" s="213"/>
      <c r="AE38" s="213"/>
      <c r="AF38" s="213"/>
      <c r="AG38" s="213"/>
      <c r="AH38" s="213"/>
      <c r="AI38" s="213"/>
      <c r="AJ38" s="213"/>
      <c r="AK38" s="213"/>
      <c r="AL38" s="213"/>
      <c r="AM38" s="213"/>
      <c r="AN38" s="213"/>
      <c r="AO38" s="213"/>
      <c r="AP38" s="213"/>
      <c r="AQ38" s="213"/>
      <c r="AR38" s="213"/>
      <c r="AS38" s="213"/>
      <c r="AT38" s="213"/>
      <c r="AU38" s="213"/>
      <c r="AV38" s="213"/>
      <c r="AW38" s="214"/>
      <c r="AX38" s="210"/>
      <c r="AY38" s="210"/>
      <c r="AZ38" s="210"/>
      <c r="BA38" s="210"/>
      <c r="BB38" s="210"/>
      <c r="BC38" s="211"/>
      <c r="BD38" s="209"/>
      <c r="BE38" s="210"/>
      <c r="BF38" s="210"/>
      <c r="BG38" s="210"/>
      <c r="BH38" s="210"/>
      <c r="BI38" s="210"/>
      <c r="BJ38" s="211"/>
      <c r="BK38" s="4"/>
    </row>
    <row r="39" spans="1:63" ht="15" customHeight="1">
      <c r="A39" s="1"/>
      <c r="B39" s="200"/>
      <c r="C39" s="201"/>
      <c r="D39" s="201"/>
      <c r="E39" s="201"/>
      <c r="F39" s="201"/>
      <c r="G39" s="202"/>
      <c r="H39" s="200"/>
      <c r="I39" s="201"/>
      <c r="J39" s="201"/>
      <c r="K39" s="201"/>
      <c r="L39" s="201"/>
      <c r="M39" s="201"/>
      <c r="N39" s="202"/>
      <c r="O39" s="200"/>
      <c r="P39" s="201"/>
      <c r="Q39" s="201"/>
      <c r="R39" s="201"/>
      <c r="S39" s="217"/>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9"/>
      <c r="AX39" s="207"/>
      <c r="AY39" s="207"/>
      <c r="AZ39" s="207"/>
      <c r="BA39" s="207"/>
      <c r="BB39" s="207"/>
      <c r="BC39" s="208"/>
      <c r="BD39" s="206"/>
      <c r="BE39" s="207"/>
      <c r="BF39" s="207"/>
      <c r="BG39" s="207"/>
      <c r="BH39" s="207"/>
      <c r="BI39" s="207"/>
      <c r="BJ39" s="208"/>
      <c r="BK39" s="4"/>
    </row>
    <row r="40" spans="1:63" ht="15" customHeight="1">
      <c r="A40" s="1"/>
      <c r="B40" s="203"/>
      <c r="C40" s="204"/>
      <c r="D40" s="204"/>
      <c r="E40" s="204"/>
      <c r="F40" s="204"/>
      <c r="G40" s="205"/>
      <c r="H40" s="203"/>
      <c r="I40" s="204"/>
      <c r="J40" s="204"/>
      <c r="K40" s="204"/>
      <c r="L40" s="204"/>
      <c r="M40" s="204"/>
      <c r="N40" s="205"/>
      <c r="O40" s="203"/>
      <c r="P40" s="204"/>
      <c r="Q40" s="204"/>
      <c r="R40" s="204"/>
      <c r="S40" s="212"/>
      <c r="T40" s="213"/>
      <c r="U40" s="213"/>
      <c r="V40" s="213"/>
      <c r="W40" s="213"/>
      <c r="X40" s="213"/>
      <c r="Y40" s="213"/>
      <c r="Z40" s="213"/>
      <c r="AA40" s="213"/>
      <c r="AB40" s="213"/>
      <c r="AC40" s="213"/>
      <c r="AD40" s="213"/>
      <c r="AE40" s="213"/>
      <c r="AF40" s="213"/>
      <c r="AG40" s="213"/>
      <c r="AH40" s="213"/>
      <c r="AI40" s="213"/>
      <c r="AJ40" s="213"/>
      <c r="AK40" s="213"/>
      <c r="AL40" s="213"/>
      <c r="AM40" s="213"/>
      <c r="AN40" s="213"/>
      <c r="AO40" s="213"/>
      <c r="AP40" s="213"/>
      <c r="AQ40" s="213"/>
      <c r="AR40" s="213"/>
      <c r="AS40" s="213"/>
      <c r="AT40" s="213"/>
      <c r="AU40" s="213"/>
      <c r="AV40" s="213"/>
      <c r="AW40" s="214"/>
      <c r="AX40" s="210"/>
      <c r="AY40" s="210"/>
      <c r="AZ40" s="210"/>
      <c r="BA40" s="210"/>
      <c r="BB40" s="210"/>
      <c r="BC40" s="211"/>
      <c r="BD40" s="209"/>
      <c r="BE40" s="210"/>
      <c r="BF40" s="210"/>
      <c r="BG40" s="210"/>
      <c r="BH40" s="210"/>
      <c r="BI40" s="210"/>
      <c r="BJ40" s="211"/>
      <c r="BK40" s="4"/>
    </row>
    <row r="41" spans="1:63" ht="15" customHeight="1">
      <c r="A41" s="1"/>
      <c r="B41" s="200"/>
      <c r="C41" s="201"/>
      <c r="D41" s="201"/>
      <c r="E41" s="201"/>
      <c r="F41" s="201"/>
      <c r="G41" s="202"/>
      <c r="H41" s="200"/>
      <c r="I41" s="201"/>
      <c r="J41" s="201"/>
      <c r="K41" s="201"/>
      <c r="L41" s="201"/>
      <c r="M41" s="201"/>
      <c r="N41" s="202"/>
      <c r="O41" s="200"/>
      <c r="P41" s="201"/>
      <c r="Q41" s="201"/>
      <c r="R41" s="201"/>
      <c r="S41" s="217"/>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9"/>
      <c r="AX41" s="207"/>
      <c r="AY41" s="207"/>
      <c r="AZ41" s="207"/>
      <c r="BA41" s="207"/>
      <c r="BB41" s="207"/>
      <c r="BC41" s="208"/>
      <c r="BD41" s="206"/>
      <c r="BE41" s="207"/>
      <c r="BF41" s="207"/>
      <c r="BG41" s="207"/>
      <c r="BH41" s="207"/>
      <c r="BI41" s="207"/>
      <c r="BJ41" s="208"/>
      <c r="BK41" s="4"/>
    </row>
    <row r="42" spans="1:63" ht="15" customHeight="1">
      <c r="A42" s="1"/>
      <c r="B42" s="203"/>
      <c r="C42" s="204"/>
      <c r="D42" s="204"/>
      <c r="E42" s="204"/>
      <c r="F42" s="204"/>
      <c r="G42" s="205"/>
      <c r="H42" s="203"/>
      <c r="I42" s="204"/>
      <c r="J42" s="204"/>
      <c r="K42" s="204"/>
      <c r="L42" s="204"/>
      <c r="M42" s="204"/>
      <c r="N42" s="205"/>
      <c r="O42" s="203"/>
      <c r="P42" s="204"/>
      <c r="Q42" s="204"/>
      <c r="R42" s="204"/>
      <c r="S42" s="212"/>
      <c r="T42" s="213"/>
      <c r="U42" s="213"/>
      <c r="V42" s="213"/>
      <c r="W42" s="213"/>
      <c r="X42" s="213"/>
      <c r="Y42" s="213"/>
      <c r="Z42" s="213"/>
      <c r="AA42" s="213"/>
      <c r="AB42" s="213"/>
      <c r="AC42" s="213"/>
      <c r="AD42" s="213"/>
      <c r="AE42" s="213"/>
      <c r="AF42" s="213"/>
      <c r="AG42" s="213"/>
      <c r="AH42" s="213"/>
      <c r="AI42" s="213"/>
      <c r="AJ42" s="213"/>
      <c r="AK42" s="213"/>
      <c r="AL42" s="213"/>
      <c r="AM42" s="213"/>
      <c r="AN42" s="213"/>
      <c r="AO42" s="213"/>
      <c r="AP42" s="213"/>
      <c r="AQ42" s="213"/>
      <c r="AR42" s="213"/>
      <c r="AS42" s="213"/>
      <c r="AT42" s="213"/>
      <c r="AU42" s="213"/>
      <c r="AV42" s="213"/>
      <c r="AW42" s="214"/>
      <c r="AX42" s="210"/>
      <c r="AY42" s="210"/>
      <c r="AZ42" s="210"/>
      <c r="BA42" s="210"/>
      <c r="BB42" s="210"/>
      <c r="BC42" s="211"/>
      <c r="BD42" s="209"/>
      <c r="BE42" s="210"/>
      <c r="BF42" s="210"/>
      <c r="BG42" s="210"/>
      <c r="BH42" s="210"/>
      <c r="BI42" s="210"/>
      <c r="BJ42" s="211"/>
      <c r="BK42" s="4"/>
    </row>
    <row r="43" spans="1:63" ht="15" customHeight="1">
      <c r="A43" s="1"/>
      <c r="B43" s="200"/>
      <c r="C43" s="201"/>
      <c r="D43" s="201"/>
      <c r="E43" s="201"/>
      <c r="F43" s="201"/>
      <c r="G43" s="202"/>
      <c r="H43" s="200"/>
      <c r="I43" s="201"/>
      <c r="J43" s="201"/>
      <c r="K43" s="201"/>
      <c r="L43" s="201"/>
      <c r="M43" s="201"/>
      <c r="N43" s="202"/>
      <c r="O43" s="200"/>
      <c r="P43" s="201"/>
      <c r="Q43" s="201"/>
      <c r="R43" s="201"/>
      <c r="S43" s="217"/>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9"/>
      <c r="AX43" s="207"/>
      <c r="AY43" s="207"/>
      <c r="AZ43" s="207"/>
      <c r="BA43" s="207"/>
      <c r="BB43" s="207"/>
      <c r="BC43" s="208"/>
      <c r="BD43" s="206"/>
      <c r="BE43" s="207"/>
      <c r="BF43" s="207"/>
      <c r="BG43" s="207"/>
      <c r="BH43" s="207"/>
      <c r="BI43" s="207"/>
      <c r="BJ43" s="208"/>
      <c r="BK43" s="4"/>
    </row>
    <row r="44" spans="1:63" ht="15" customHeight="1">
      <c r="A44" s="1"/>
      <c r="B44" s="203"/>
      <c r="C44" s="204"/>
      <c r="D44" s="204"/>
      <c r="E44" s="204"/>
      <c r="F44" s="204"/>
      <c r="G44" s="205"/>
      <c r="H44" s="203"/>
      <c r="I44" s="204"/>
      <c r="J44" s="204"/>
      <c r="K44" s="204"/>
      <c r="L44" s="204"/>
      <c r="M44" s="204"/>
      <c r="N44" s="205"/>
      <c r="O44" s="203"/>
      <c r="P44" s="204"/>
      <c r="Q44" s="204"/>
      <c r="R44" s="204"/>
      <c r="S44" s="212"/>
      <c r="T44" s="213"/>
      <c r="U44" s="213"/>
      <c r="V44" s="213"/>
      <c r="W44" s="213"/>
      <c r="X44" s="213"/>
      <c r="Y44" s="213"/>
      <c r="Z44" s="213"/>
      <c r="AA44" s="213"/>
      <c r="AB44" s="213"/>
      <c r="AC44" s="213"/>
      <c r="AD44" s="213"/>
      <c r="AE44" s="213"/>
      <c r="AF44" s="213"/>
      <c r="AG44" s="213"/>
      <c r="AH44" s="213"/>
      <c r="AI44" s="213"/>
      <c r="AJ44" s="213"/>
      <c r="AK44" s="213"/>
      <c r="AL44" s="213"/>
      <c r="AM44" s="213"/>
      <c r="AN44" s="213"/>
      <c r="AO44" s="213"/>
      <c r="AP44" s="213"/>
      <c r="AQ44" s="213"/>
      <c r="AR44" s="213"/>
      <c r="AS44" s="213"/>
      <c r="AT44" s="213"/>
      <c r="AU44" s="213"/>
      <c r="AV44" s="213"/>
      <c r="AW44" s="214"/>
      <c r="AX44" s="210"/>
      <c r="AY44" s="210"/>
      <c r="AZ44" s="210"/>
      <c r="BA44" s="210"/>
      <c r="BB44" s="210"/>
      <c r="BC44" s="211"/>
      <c r="BD44" s="209"/>
      <c r="BE44" s="210"/>
      <c r="BF44" s="210"/>
      <c r="BG44" s="210"/>
      <c r="BH44" s="210"/>
      <c r="BI44" s="210"/>
      <c r="BJ44" s="211"/>
      <c r="BK44" s="4"/>
    </row>
    <row r="45" spans="1:63" ht="15" customHeight="1">
      <c r="A45" s="1"/>
      <c r="B45" s="200"/>
      <c r="C45" s="201"/>
      <c r="D45" s="201"/>
      <c r="E45" s="201"/>
      <c r="F45" s="201"/>
      <c r="G45" s="202"/>
      <c r="H45" s="200"/>
      <c r="I45" s="201"/>
      <c r="J45" s="201"/>
      <c r="K45" s="201"/>
      <c r="L45" s="201"/>
      <c r="M45" s="201"/>
      <c r="N45" s="202"/>
      <c r="O45" s="200"/>
      <c r="P45" s="201"/>
      <c r="Q45" s="201"/>
      <c r="R45" s="201"/>
      <c r="S45" s="217"/>
      <c r="T45" s="218"/>
      <c r="U45" s="218"/>
      <c r="V45" s="218"/>
      <c r="W45" s="218"/>
      <c r="X45" s="218"/>
      <c r="Y45" s="218"/>
      <c r="Z45" s="218"/>
      <c r="AA45" s="218"/>
      <c r="AB45" s="218"/>
      <c r="AC45" s="218"/>
      <c r="AD45" s="218"/>
      <c r="AE45" s="218"/>
      <c r="AF45" s="218"/>
      <c r="AG45" s="218"/>
      <c r="AH45" s="218"/>
      <c r="AI45" s="218"/>
      <c r="AJ45" s="218"/>
      <c r="AK45" s="218"/>
      <c r="AL45" s="218"/>
      <c r="AM45" s="218"/>
      <c r="AN45" s="218"/>
      <c r="AO45" s="218"/>
      <c r="AP45" s="218"/>
      <c r="AQ45" s="218"/>
      <c r="AR45" s="218"/>
      <c r="AS45" s="218"/>
      <c r="AT45" s="218"/>
      <c r="AU45" s="218"/>
      <c r="AV45" s="218"/>
      <c r="AW45" s="219"/>
      <c r="AX45" s="207"/>
      <c r="AY45" s="207"/>
      <c r="AZ45" s="207"/>
      <c r="BA45" s="207"/>
      <c r="BB45" s="207"/>
      <c r="BC45" s="208"/>
      <c r="BD45" s="206"/>
      <c r="BE45" s="207"/>
      <c r="BF45" s="207"/>
      <c r="BG45" s="207"/>
      <c r="BH45" s="207"/>
      <c r="BI45" s="207"/>
      <c r="BJ45" s="208"/>
      <c r="BK45" s="4"/>
    </row>
    <row r="46" spans="1:63" ht="15" customHeight="1">
      <c r="A46" s="1"/>
      <c r="B46" s="203"/>
      <c r="C46" s="204"/>
      <c r="D46" s="204"/>
      <c r="E46" s="204"/>
      <c r="F46" s="204"/>
      <c r="G46" s="205"/>
      <c r="H46" s="203"/>
      <c r="I46" s="204"/>
      <c r="J46" s="204"/>
      <c r="K46" s="204"/>
      <c r="L46" s="204"/>
      <c r="M46" s="204"/>
      <c r="N46" s="205"/>
      <c r="O46" s="203"/>
      <c r="P46" s="204"/>
      <c r="Q46" s="204"/>
      <c r="R46" s="204"/>
      <c r="S46" s="212"/>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213"/>
      <c r="AS46" s="213"/>
      <c r="AT46" s="213"/>
      <c r="AU46" s="213"/>
      <c r="AV46" s="213"/>
      <c r="AW46" s="214"/>
      <c r="AX46" s="210"/>
      <c r="AY46" s="210"/>
      <c r="AZ46" s="210"/>
      <c r="BA46" s="210"/>
      <c r="BB46" s="210"/>
      <c r="BC46" s="211"/>
      <c r="BD46" s="209"/>
      <c r="BE46" s="210"/>
      <c r="BF46" s="210"/>
      <c r="BG46" s="210"/>
      <c r="BH46" s="210"/>
      <c r="BI46" s="210"/>
      <c r="BJ46" s="211"/>
      <c r="BK46" s="4"/>
    </row>
    <row r="47" spans="1:63" ht="15" customHeight="1">
      <c r="A47" s="1"/>
      <c r="B47" s="200"/>
      <c r="C47" s="201"/>
      <c r="D47" s="201"/>
      <c r="E47" s="201"/>
      <c r="F47" s="201"/>
      <c r="G47" s="202"/>
      <c r="H47" s="200"/>
      <c r="I47" s="201"/>
      <c r="J47" s="201"/>
      <c r="K47" s="201"/>
      <c r="L47" s="201"/>
      <c r="M47" s="201"/>
      <c r="N47" s="202"/>
      <c r="O47" s="200"/>
      <c r="P47" s="201"/>
      <c r="Q47" s="201"/>
      <c r="R47" s="201"/>
      <c r="S47" s="217"/>
      <c r="T47" s="218"/>
      <c r="U47" s="218"/>
      <c r="V47" s="218"/>
      <c r="W47" s="218"/>
      <c r="X47" s="218"/>
      <c r="Y47" s="218"/>
      <c r="Z47" s="218"/>
      <c r="AA47" s="218"/>
      <c r="AB47" s="218"/>
      <c r="AC47" s="218"/>
      <c r="AD47" s="218"/>
      <c r="AE47" s="218"/>
      <c r="AF47" s="218"/>
      <c r="AG47" s="218"/>
      <c r="AH47" s="218"/>
      <c r="AI47" s="218"/>
      <c r="AJ47" s="218"/>
      <c r="AK47" s="218"/>
      <c r="AL47" s="218"/>
      <c r="AM47" s="218"/>
      <c r="AN47" s="218"/>
      <c r="AO47" s="218"/>
      <c r="AP47" s="218"/>
      <c r="AQ47" s="218"/>
      <c r="AR47" s="218"/>
      <c r="AS47" s="218"/>
      <c r="AT47" s="218"/>
      <c r="AU47" s="218"/>
      <c r="AV47" s="218"/>
      <c r="AW47" s="219"/>
      <c r="AX47" s="207"/>
      <c r="AY47" s="207"/>
      <c r="AZ47" s="207"/>
      <c r="BA47" s="207"/>
      <c r="BB47" s="207"/>
      <c r="BC47" s="208"/>
      <c r="BD47" s="206"/>
      <c r="BE47" s="207"/>
      <c r="BF47" s="207"/>
      <c r="BG47" s="207"/>
      <c r="BH47" s="207"/>
      <c r="BI47" s="207"/>
      <c r="BJ47" s="208"/>
      <c r="BK47" s="4"/>
    </row>
    <row r="48" spans="1:63" ht="15" customHeight="1">
      <c r="A48" s="1"/>
      <c r="B48" s="203"/>
      <c r="C48" s="204"/>
      <c r="D48" s="204"/>
      <c r="E48" s="204"/>
      <c r="F48" s="204"/>
      <c r="G48" s="205"/>
      <c r="H48" s="203"/>
      <c r="I48" s="204"/>
      <c r="J48" s="204"/>
      <c r="K48" s="204"/>
      <c r="L48" s="204"/>
      <c r="M48" s="204"/>
      <c r="N48" s="205"/>
      <c r="O48" s="203"/>
      <c r="P48" s="204"/>
      <c r="Q48" s="204"/>
      <c r="R48" s="204"/>
      <c r="S48" s="212"/>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3"/>
      <c r="AS48" s="213"/>
      <c r="AT48" s="213"/>
      <c r="AU48" s="213"/>
      <c r="AV48" s="213"/>
      <c r="AW48" s="214"/>
      <c r="AX48" s="210"/>
      <c r="AY48" s="210"/>
      <c r="AZ48" s="210"/>
      <c r="BA48" s="210"/>
      <c r="BB48" s="210"/>
      <c r="BC48" s="211"/>
      <c r="BD48" s="209"/>
      <c r="BE48" s="210"/>
      <c r="BF48" s="210"/>
      <c r="BG48" s="210"/>
      <c r="BH48" s="210"/>
      <c r="BI48" s="210"/>
      <c r="BJ48" s="211"/>
      <c r="BK48" s="4"/>
    </row>
    <row r="49" spans="1:63" ht="15" customHeight="1">
      <c r="A49" s="1"/>
      <c r="B49" s="200"/>
      <c r="C49" s="201"/>
      <c r="D49" s="201"/>
      <c r="E49" s="201"/>
      <c r="F49" s="201"/>
      <c r="G49" s="202"/>
      <c r="H49" s="200"/>
      <c r="I49" s="201"/>
      <c r="J49" s="201"/>
      <c r="K49" s="201"/>
      <c r="L49" s="201"/>
      <c r="M49" s="201"/>
      <c r="N49" s="202"/>
      <c r="O49" s="200"/>
      <c r="P49" s="201"/>
      <c r="Q49" s="201"/>
      <c r="R49" s="201"/>
      <c r="S49" s="217"/>
      <c r="T49" s="218"/>
      <c r="U49" s="218"/>
      <c r="V49" s="218"/>
      <c r="W49" s="218"/>
      <c r="X49" s="218"/>
      <c r="Y49" s="218"/>
      <c r="Z49" s="218"/>
      <c r="AA49" s="218"/>
      <c r="AB49" s="218"/>
      <c r="AC49" s="218"/>
      <c r="AD49" s="218"/>
      <c r="AE49" s="218"/>
      <c r="AF49" s="218"/>
      <c r="AG49" s="218"/>
      <c r="AH49" s="218"/>
      <c r="AI49" s="218"/>
      <c r="AJ49" s="218"/>
      <c r="AK49" s="218"/>
      <c r="AL49" s="218"/>
      <c r="AM49" s="218"/>
      <c r="AN49" s="218"/>
      <c r="AO49" s="218"/>
      <c r="AP49" s="218"/>
      <c r="AQ49" s="218"/>
      <c r="AR49" s="218"/>
      <c r="AS49" s="218"/>
      <c r="AT49" s="218"/>
      <c r="AU49" s="218"/>
      <c r="AV49" s="218"/>
      <c r="AW49" s="219"/>
      <c r="AX49" s="207"/>
      <c r="AY49" s="207"/>
      <c r="AZ49" s="207"/>
      <c r="BA49" s="207"/>
      <c r="BB49" s="207"/>
      <c r="BC49" s="208"/>
      <c r="BD49" s="206"/>
      <c r="BE49" s="207"/>
      <c r="BF49" s="207"/>
      <c r="BG49" s="207"/>
      <c r="BH49" s="207"/>
      <c r="BI49" s="207"/>
      <c r="BJ49" s="208"/>
      <c r="BK49" s="4"/>
    </row>
    <row r="50" spans="1:63" ht="15" customHeight="1">
      <c r="A50" s="1"/>
      <c r="B50" s="203"/>
      <c r="C50" s="204"/>
      <c r="D50" s="204"/>
      <c r="E50" s="204"/>
      <c r="F50" s="204"/>
      <c r="G50" s="205"/>
      <c r="H50" s="203"/>
      <c r="I50" s="204"/>
      <c r="J50" s="204"/>
      <c r="K50" s="204"/>
      <c r="L50" s="204"/>
      <c r="M50" s="204"/>
      <c r="N50" s="205"/>
      <c r="O50" s="203"/>
      <c r="P50" s="204"/>
      <c r="Q50" s="204"/>
      <c r="R50" s="204"/>
      <c r="S50" s="212"/>
      <c r="T50" s="213"/>
      <c r="U50" s="213"/>
      <c r="V50" s="213"/>
      <c r="W50" s="213"/>
      <c r="X50" s="213"/>
      <c r="Y50" s="213"/>
      <c r="Z50" s="213"/>
      <c r="AA50" s="213"/>
      <c r="AB50" s="213"/>
      <c r="AC50" s="213"/>
      <c r="AD50" s="213"/>
      <c r="AE50" s="213"/>
      <c r="AF50" s="213"/>
      <c r="AG50" s="213"/>
      <c r="AH50" s="213"/>
      <c r="AI50" s="213"/>
      <c r="AJ50" s="213"/>
      <c r="AK50" s="213"/>
      <c r="AL50" s="213"/>
      <c r="AM50" s="213"/>
      <c r="AN50" s="213"/>
      <c r="AO50" s="213"/>
      <c r="AP50" s="213"/>
      <c r="AQ50" s="213"/>
      <c r="AR50" s="213"/>
      <c r="AS50" s="213"/>
      <c r="AT50" s="213"/>
      <c r="AU50" s="213"/>
      <c r="AV50" s="213"/>
      <c r="AW50" s="214"/>
      <c r="AX50" s="210"/>
      <c r="AY50" s="210"/>
      <c r="AZ50" s="210"/>
      <c r="BA50" s="210"/>
      <c r="BB50" s="210"/>
      <c r="BC50" s="211"/>
      <c r="BD50" s="209"/>
      <c r="BE50" s="210"/>
      <c r="BF50" s="210"/>
      <c r="BG50" s="210"/>
      <c r="BH50" s="210"/>
      <c r="BI50" s="210"/>
      <c r="BJ50" s="211"/>
      <c r="BK50" s="4"/>
    </row>
    <row r="51" spans="1:63" ht="15" customHeight="1">
      <c r="A51" s="1"/>
      <c r="B51" s="200"/>
      <c r="C51" s="201"/>
      <c r="D51" s="201"/>
      <c r="E51" s="201"/>
      <c r="F51" s="201"/>
      <c r="G51" s="202"/>
      <c r="H51" s="200"/>
      <c r="I51" s="201"/>
      <c r="J51" s="201"/>
      <c r="K51" s="201"/>
      <c r="L51" s="201"/>
      <c r="M51" s="201"/>
      <c r="N51" s="202"/>
      <c r="O51" s="200"/>
      <c r="P51" s="201"/>
      <c r="Q51" s="201"/>
      <c r="R51" s="201"/>
      <c r="S51" s="217"/>
      <c r="T51" s="218"/>
      <c r="U51" s="218"/>
      <c r="V51" s="218"/>
      <c r="W51" s="218"/>
      <c r="X51" s="218"/>
      <c r="Y51" s="218"/>
      <c r="Z51" s="218"/>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9"/>
      <c r="AX51" s="207"/>
      <c r="AY51" s="207"/>
      <c r="AZ51" s="207"/>
      <c r="BA51" s="207"/>
      <c r="BB51" s="207"/>
      <c r="BC51" s="208"/>
      <c r="BD51" s="206"/>
      <c r="BE51" s="207"/>
      <c r="BF51" s="207"/>
      <c r="BG51" s="207"/>
      <c r="BH51" s="207"/>
      <c r="BI51" s="207"/>
      <c r="BJ51" s="208"/>
      <c r="BK51" s="4"/>
    </row>
    <row r="52" spans="1:63" ht="15" customHeight="1">
      <c r="A52" s="1"/>
      <c r="B52" s="203"/>
      <c r="C52" s="204"/>
      <c r="D52" s="204"/>
      <c r="E52" s="204"/>
      <c r="F52" s="204"/>
      <c r="G52" s="205"/>
      <c r="H52" s="203"/>
      <c r="I52" s="204"/>
      <c r="J52" s="204"/>
      <c r="K52" s="204"/>
      <c r="L52" s="204"/>
      <c r="M52" s="204"/>
      <c r="N52" s="205"/>
      <c r="O52" s="203"/>
      <c r="P52" s="204"/>
      <c r="Q52" s="204"/>
      <c r="R52" s="204"/>
      <c r="S52" s="212"/>
      <c r="T52" s="213"/>
      <c r="U52" s="213"/>
      <c r="V52" s="213"/>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4"/>
      <c r="AX52" s="210"/>
      <c r="AY52" s="210"/>
      <c r="AZ52" s="210"/>
      <c r="BA52" s="210"/>
      <c r="BB52" s="210"/>
      <c r="BC52" s="211"/>
      <c r="BD52" s="209"/>
      <c r="BE52" s="210"/>
      <c r="BF52" s="210"/>
      <c r="BG52" s="210"/>
      <c r="BH52" s="210"/>
      <c r="BI52" s="210"/>
      <c r="BJ52" s="211"/>
      <c r="BK52" s="4"/>
    </row>
    <row r="53" spans="1:63" ht="15" customHeight="1">
      <c r="A53" s="1"/>
      <c r="B53" s="200"/>
      <c r="C53" s="201"/>
      <c r="D53" s="201"/>
      <c r="E53" s="201"/>
      <c r="F53" s="201"/>
      <c r="G53" s="202"/>
      <c r="H53" s="200"/>
      <c r="I53" s="201"/>
      <c r="J53" s="201"/>
      <c r="K53" s="201"/>
      <c r="L53" s="201"/>
      <c r="M53" s="201"/>
      <c r="N53" s="202"/>
      <c r="O53" s="200"/>
      <c r="P53" s="201"/>
      <c r="Q53" s="201"/>
      <c r="R53" s="201"/>
      <c r="S53" s="217"/>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9"/>
      <c r="AX53" s="207"/>
      <c r="AY53" s="207"/>
      <c r="AZ53" s="207"/>
      <c r="BA53" s="207"/>
      <c r="BB53" s="207"/>
      <c r="BC53" s="208"/>
      <c r="BD53" s="206"/>
      <c r="BE53" s="207"/>
      <c r="BF53" s="207"/>
      <c r="BG53" s="207"/>
      <c r="BH53" s="207"/>
      <c r="BI53" s="207"/>
      <c r="BJ53" s="208"/>
      <c r="BK53" s="4"/>
    </row>
    <row r="54" spans="1:63" ht="15" customHeight="1">
      <c r="A54" s="1"/>
      <c r="B54" s="203"/>
      <c r="C54" s="204"/>
      <c r="D54" s="204"/>
      <c r="E54" s="204"/>
      <c r="F54" s="204"/>
      <c r="G54" s="205"/>
      <c r="H54" s="203"/>
      <c r="I54" s="204"/>
      <c r="J54" s="204"/>
      <c r="K54" s="204"/>
      <c r="L54" s="204"/>
      <c r="M54" s="204"/>
      <c r="N54" s="205"/>
      <c r="O54" s="203"/>
      <c r="P54" s="204"/>
      <c r="Q54" s="204"/>
      <c r="R54" s="204"/>
      <c r="S54" s="212"/>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4"/>
      <c r="AX54" s="210"/>
      <c r="AY54" s="210"/>
      <c r="AZ54" s="210"/>
      <c r="BA54" s="210"/>
      <c r="BB54" s="210"/>
      <c r="BC54" s="211"/>
      <c r="BD54" s="209"/>
      <c r="BE54" s="210"/>
      <c r="BF54" s="210"/>
      <c r="BG54" s="210"/>
      <c r="BH54" s="210"/>
      <c r="BI54" s="210"/>
      <c r="BJ54" s="21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1:G52"/>
    <mergeCell ref="H51:N52"/>
    <mergeCell ref="O51:R52"/>
    <mergeCell ref="S51:AW51"/>
    <mergeCell ref="AX51:BC52"/>
    <mergeCell ref="BD51:BJ52"/>
    <mergeCell ref="S52:AW52"/>
    <mergeCell ref="B53:G54"/>
    <mergeCell ref="H53:N54"/>
    <mergeCell ref="O53:R54"/>
    <mergeCell ref="S53:AW53"/>
    <mergeCell ref="AX53:BC54"/>
    <mergeCell ref="BD53:BJ54"/>
    <mergeCell ref="S54:AW54"/>
    <mergeCell ref="B47:G48"/>
    <mergeCell ref="H47:N48"/>
    <mergeCell ref="O47:R48"/>
    <mergeCell ref="S47:AW47"/>
    <mergeCell ref="AX47:BC48"/>
    <mergeCell ref="BD47:BJ48"/>
    <mergeCell ref="S48:AW48"/>
    <mergeCell ref="B49:G50"/>
    <mergeCell ref="H49:N50"/>
    <mergeCell ref="O49:R50"/>
    <mergeCell ref="S49:AW49"/>
    <mergeCell ref="AX49:BC50"/>
    <mergeCell ref="BD49:BJ50"/>
    <mergeCell ref="S50:AW50"/>
    <mergeCell ref="B43:G44"/>
    <mergeCell ref="H43:N44"/>
    <mergeCell ref="O43:R44"/>
    <mergeCell ref="S43:AW43"/>
    <mergeCell ref="AX43:BC44"/>
    <mergeCell ref="BD43:BJ44"/>
    <mergeCell ref="S44:AW44"/>
    <mergeCell ref="B45:G46"/>
    <mergeCell ref="H45:N46"/>
    <mergeCell ref="O45:R46"/>
    <mergeCell ref="S45:AW45"/>
    <mergeCell ref="AX45:BC46"/>
    <mergeCell ref="BD45:BJ46"/>
    <mergeCell ref="S46:AW46"/>
    <mergeCell ref="B39:G40"/>
    <mergeCell ref="H39:N40"/>
    <mergeCell ref="O39:R40"/>
    <mergeCell ref="S39:AW39"/>
    <mergeCell ref="AX39:BC40"/>
    <mergeCell ref="BD39:BJ40"/>
    <mergeCell ref="S40:AW40"/>
    <mergeCell ref="B41:G42"/>
    <mergeCell ref="H41:N42"/>
    <mergeCell ref="O41:R42"/>
    <mergeCell ref="S41:AW41"/>
    <mergeCell ref="AX41:BC42"/>
    <mergeCell ref="BD41:BJ42"/>
    <mergeCell ref="S42:AW42"/>
    <mergeCell ref="B35:G36"/>
    <mergeCell ref="H35:N36"/>
    <mergeCell ref="O35:R36"/>
    <mergeCell ref="S35:AW35"/>
    <mergeCell ref="AX35:BC36"/>
    <mergeCell ref="BD35:BJ36"/>
    <mergeCell ref="S36:AW36"/>
    <mergeCell ref="B37:G38"/>
    <mergeCell ref="H37:N38"/>
    <mergeCell ref="O37:R38"/>
    <mergeCell ref="S37:AW37"/>
    <mergeCell ref="AX37:BC38"/>
    <mergeCell ref="BD37:BJ38"/>
    <mergeCell ref="S38:AW38"/>
    <mergeCell ref="B31:G32"/>
    <mergeCell ref="H31:N32"/>
    <mergeCell ref="O31:R32"/>
    <mergeCell ref="S31:AW31"/>
    <mergeCell ref="AX31:BC32"/>
    <mergeCell ref="BD31:BJ32"/>
    <mergeCell ref="S32:AW32"/>
    <mergeCell ref="B33:G34"/>
    <mergeCell ref="H33:N34"/>
    <mergeCell ref="O33:R34"/>
    <mergeCell ref="S33:AW33"/>
    <mergeCell ref="AX33:BC34"/>
    <mergeCell ref="BD33:BJ34"/>
    <mergeCell ref="S34:AW34"/>
    <mergeCell ref="B27:G28"/>
    <mergeCell ref="H27:N28"/>
    <mergeCell ref="O27:R28"/>
    <mergeCell ref="S27:AW27"/>
    <mergeCell ref="AX27:BC28"/>
    <mergeCell ref="BD27:BJ28"/>
    <mergeCell ref="S28:AW28"/>
    <mergeCell ref="B29:G30"/>
    <mergeCell ref="H29:N30"/>
    <mergeCell ref="O29:R30"/>
    <mergeCell ref="S29:AW29"/>
    <mergeCell ref="AX29:BC30"/>
    <mergeCell ref="BD29:BJ30"/>
    <mergeCell ref="S30:AW30"/>
    <mergeCell ref="B23:G24"/>
    <mergeCell ref="H23:N24"/>
    <mergeCell ref="O23:R24"/>
    <mergeCell ref="S23:AW23"/>
    <mergeCell ref="AX23:BC24"/>
    <mergeCell ref="BD23:BJ24"/>
    <mergeCell ref="S24:AW24"/>
    <mergeCell ref="B25:G26"/>
    <mergeCell ref="H25:N26"/>
    <mergeCell ref="O25:R26"/>
    <mergeCell ref="S25:AW25"/>
    <mergeCell ref="AX25:BC26"/>
    <mergeCell ref="BD25:BJ26"/>
    <mergeCell ref="S26:AW26"/>
    <mergeCell ref="B19:G20"/>
    <mergeCell ref="H19:N20"/>
    <mergeCell ref="O19:R20"/>
    <mergeCell ref="S19:AW19"/>
    <mergeCell ref="AX19:BC20"/>
    <mergeCell ref="BD19:BJ20"/>
    <mergeCell ref="S20:AW20"/>
    <mergeCell ref="B21:G22"/>
    <mergeCell ref="H21:N22"/>
    <mergeCell ref="O21:R22"/>
    <mergeCell ref="S21:AW21"/>
    <mergeCell ref="AX21:BC22"/>
    <mergeCell ref="BD21:BJ22"/>
    <mergeCell ref="S22:AW22"/>
    <mergeCell ref="B15:G16"/>
    <mergeCell ref="H15:N16"/>
    <mergeCell ref="O15:R16"/>
    <mergeCell ref="S15:AW15"/>
    <mergeCell ref="AX15:BC16"/>
    <mergeCell ref="BD15:BJ16"/>
    <mergeCell ref="S16:AW16"/>
    <mergeCell ref="B17:G18"/>
    <mergeCell ref="H17:N18"/>
    <mergeCell ref="O17:R18"/>
    <mergeCell ref="S17:AW17"/>
    <mergeCell ref="AX17:BC18"/>
    <mergeCell ref="BD17:BJ18"/>
    <mergeCell ref="S18:AW18"/>
    <mergeCell ref="BD13:BJ14"/>
    <mergeCell ref="S14:AW14"/>
    <mergeCell ref="BD10:BJ10"/>
    <mergeCell ref="B11:G12"/>
    <mergeCell ref="H11:N12"/>
    <mergeCell ref="O11:R12"/>
    <mergeCell ref="S11:AW11"/>
    <mergeCell ref="AX11:BC12"/>
    <mergeCell ref="BD11:BJ12"/>
    <mergeCell ref="S12:AW12"/>
    <mergeCell ref="B10:G10"/>
    <mergeCell ref="H10:N10"/>
    <mergeCell ref="O10:R10"/>
    <mergeCell ref="S10:AW10"/>
    <mergeCell ref="AX10:BC10"/>
    <mergeCell ref="B13:G14"/>
    <mergeCell ref="H13:N14"/>
    <mergeCell ref="O13:R14"/>
    <mergeCell ref="S13:AW13"/>
    <mergeCell ref="AX13:BC14"/>
    <mergeCell ref="K1:V1"/>
    <mergeCell ref="W1:AO3"/>
    <mergeCell ref="AP1:AS1"/>
    <mergeCell ref="AT1:AX1"/>
    <mergeCell ref="AY1:BB1"/>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cols>
    <col min="1" max="63" width="2.77734375" style="51" customWidth="1"/>
    <col min="64" max="16384" width="8.88671875" style="51"/>
  </cols>
  <sheetData>
    <row r="1" spans="1:63" ht="24.95" customHeight="1">
      <c r="A1" s="123" t="s">
        <v>89</v>
      </c>
      <c r="B1" s="124"/>
      <c r="C1" s="124"/>
      <c r="D1" s="124"/>
      <c r="E1" s="124"/>
      <c r="F1" s="124"/>
      <c r="G1" s="124"/>
      <c r="H1" s="124"/>
      <c r="I1" s="124"/>
      <c r="J1" s="125"/>
      <c r="K1" s="123" t="s">
        <v>90</v>
      </c>
      <c r="L1" s="124"/>
      <c r="M1" s="124"/>
      <c r="N1" s="124"/>
      <c r="O1" s="124"/>
      <c r="P1" s="124"/>
      <c r="Q1" s="124"/>
      <c r="R1" s="124"/>
      <c r="S1" s="124"/>
      <c r="T1" s="124"/>
      <c r="U1" s="124"/>
      <c r="V1" s="125"/>
      <c r="W1" s="144" t="str">
        <f>IF(表紙!W1="","",表紙!W1)</f>
        <v>基本設計書</v>
      </c>
      <c r="X1" s="145"/>
      <c r="Y1" s="145"/>
      <c r="Z1" s="145"/>
      <c r="AA1" s="145"/>
      <c r="AB1" s="145"/>
      <c r="AC1" s="145"/>
      <c r="AD1" s="145"/>
      <c r="AE1" s="145"/>
      <c r="AF1" s="145"/>
      <c r="AG1" s="145"/>
      <c r="AH1" s="145"/>
      <c r="AI1" s="145"/>
      <c r="AJ1" s="145"/>
      <c r="AK1" s="145"/>
      <c r="AL1" s="145"/>
      <c r="AM1" s="145"/>
      <c r="AN1" s="145"/>
      <c r="AO1" s="146"/>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3" ht="15" customHeight="1">
      <c r="A2" s="108" t="str">
        <f>IF(表紙!A2="","",表紙!A2)</f>
        <v>POSサーバー</v>
      </c>
      <c r="B2" s="109"/>
      <c r="C2" s="109"/>
      <c r="D2" s="109"/>
      <c r="E2" s="109"/>
      <c r="F2" s="109"/>
      <c r="G2" s="109"/>
      <c r="H2" s="109"/>
      <c r="I2" s="109"/>
      <c r="J2" s="110"/>
      <c r="K2" s="108" t="str">
        <f>IF(表紙!K2="","",表紙!K2)</f>
        <v>POSサーバ</v>
      </c>
      <c r="L2" s="109"/>
      <c r="M2" s="109"/>
      <c r="N2" s="109"/>
      <c r="O2" s="109"/>
      <c r="P2" s="109"/>
      <c r="Q2" s="109"/>
      <c r="R2" s="109"/>
      <c r="S2" s="109"/>
      <c r="T2" s="109"/>
      <c r="U2" s="109"/>
      <c r="V2" s="110"/>
      <c r="W2" s="147"/>
      <c r="X2" s="148"/>
      <c r="Y2" s="148"/>
      <c r="Z2" s="148"/>
      <c r="AA2" s="148"/>
      <c r="AB2" s="148"/>
      <c r="AC2" s="148"/>
      <c r="AD2" s="148"/>
      <c r="AE2" s="148"/>
      <c r="AF2" s="148"/>
      <c r="AG2" s="148"/>
      <c r="AH2" s="148"/>
      <c r="AI2" s="148"/>
      <c r="AJ2" s="148"/>
      <c r="AK2" s="148"/>
      <c r="AL2" s="148"/>
      <c r="AM2" s="148"/>
      <c r="AN2" s="148"/>
      <c r="AO2" s="149"/>
      <c r="AP2" s="108" t="str">
        <f>IF(表紙!AP2="","",表紙!AP2)</f>
        <v>TinNH</v>
      </c>
      <c r="AQ2" s="109"/>
      <c r="AR2" s="109"/>
      <c r="AS2" s="110"/>
      <c r="AT2" s="137">
        <v>45084</v>
      </c>
      <c r="AU2" s="138"/>
      <c r="AV2" s="138"/>
      <c r="AW2" s="138"/>
      <c r="AX2" s="139"/>
      <c r="AY2" s="108" t="str">
        <f>IF(表紙!AY2="","",表紙!AY2)</f>
        <v>AnhNM</v>
      </c>
      <c r="AZ2" s="109"/>
      <c r="BA2" s="109"/>
      <c r="BB2" s="110"/>
      <c r="BC2" s="137">
        <f>IF(表紙!BC2="","",表紙!BC2)</f>
        <v>45590</v>
      </c>
      <c r="BD2" s="138"/>
      <c r="BE2" s="138"/>
      <c r="BF2" s="138"/>
      <c r="BG2" s="139"/>
      <c r="BH2" s="108">
        <f>IF(表紙!BH2="","",表紙!BH2)</f>
        <v>0.4</v>
      </c>
      <c r="BI2" s="109"/>
      <c r="BJ2" s="109"/>
      <c r="BK2" s="110"/>
    </row>
    <row r="3" spans="1:63" ht="15" customHeight="1">
      <c r="A3" s="114"/>
      <c r="B3" s="115"/>
      <c r="C3" s="115"/>
      <c r="D3" s="115"/>
      <c r="E3" s="115"/>
      <c r="F3" s="115"/>
      <c r="G3" s="115"/>
      <c r="H3" s="115"/>
      <c r="I3" s="115"/>
      <c r="J3" s="116"/>
      <c r="K3" s="114"/>
      <c r="L3" s="115"/>
      <c r="M3" s="115"/>
      <c r="N3" s="115"/>
      <c r="O3" s="115"/>
      <c r="P3" s="115"/>
      <c r="Q3" s="115"/>
      <c r="R3" s="115"/>
      <c r="S3" s="115"/>
      <c r="T3" s="115"/>
      <c r="U3" s="115"/>
      <c r="V3" s="116"/>
      <c r="W3" s="150"/>
      <c r="X3" s="151"/>
      <c r="Y3" s="151"/>
      <c r="Z3" s="151"/>
      <c r="AA3" s="151"/>
      <c r="AB3" s="151"/>
      <c r="AC3" s="151"/>
      <c r="AD3" s="151"/>
      <c r="AE3" s="151"/>
      <c r="AF3" s="151"/>
      <c r="AG3" s="151"/>
      <c r="AH3" s="151"/>
      <c r="AI3" s="151"/>
      <c r="AJ3" s="151"/>
      <c r="AK3" s="151"/>
      <c r="AL3" s="151"/>
      <c r="AM3" s="151"/>
      <c r="AN3" s="151"/>
      <c r="AO3" s="152"/>
      <c r="AP3" s="114"/>
      <c r="AQ3" s="115"/>
      <c r="AR3" s="115"/>
      <c r="AS3" s="116"/>
      <c r="AT3" s="140"/>
      <c r="AU3" s="141"/>
      <c r="AV3" s="141"/>
      <c r="AW3" s="141"/>
      <c r="AX3" s="142"/>
      <c r="AY3" s="114"/>
      <c r="AZ3" s="115"/>
      <c r="BA3" s="115"/>
      <c r="BB3" s="116"/>
      <c r="BC3" s="140"/>
      <c r="BD3" s="141"/>
      <c r="BE3" s="141"/>
      <c r="BF3" s="141"/>
      <c r="BG3" s="142"/>
      <c r="BH3" s="114"/>
      <c r="BI3" s="115"/>
      <c r="BJ3" s="115"/>
      <c r="BK3" s="116"/>
    </row>
    <row r="4" spans="1:63" ht="24.95" customHeight="1">
      <c r="A4" s="123" t="s">
        <v>103</v>
      </c>
      <c r="B4" s="124"/>
      <c r="C4" s="124"/>
      <c r="D4" s="124"/>
      <c r="E4" s="124"/>
      <c r="F4" s="124"/>
      <c r="G4" s="125"/>
      <c r="H4" s="128" t="str">
        <f>IF(表紙!H4="","",表紙!H4)</f>
        <v>96_カテゴリ割引レシートクーポン設定</v>
      </c>
      <c r="I4" s="129"/>
      <c r="J4" s="129"/>
      <c r="K4" s="129"/>
      <c r="L4" s="129"/>
      <c r="M4" s="129"/>
      <c r="N4" s="129"/>
      <c r="O4" s="129"/>
      <c r="P4" s="129"/>
      <c r="Q4" s="129"/>
      <c r="R4" s="129"/>
      <c r="S4" s="129"/>
      <c r="T4" s="130"/>
      <c r="U4" s="123" t="s">
        <v>99</v>
      </c>
      <c r="V4" s="124"/>
      <c r="W4" s="124"/>
      <c r="X4" s="124"/>
      <c r="Y4" s="125"/>
      <c r="Z4" s="128" t="str">
        <f>IF(表紙!Z4="","",表紙!Z4)</f>
        <v>概要設計</v>
      </c>
      <c r="AA4" s="129"/>
      <c r="AB4" s="129"/>
      <c r="AC4" s="129"/>
      <c r="AD4" s="129"/>
      <c r="AE4" s="129"/>
      <c r="AF4" s="129"/>
      <c r="AG4" s="129"/>
      <c r="AH4" s="129"/>
      <c r="AI4" s="129"/>
      <c r="AJ4" s="129"/>
      <c r="AK4" s="129"/>
      <c r="AL4" s="129"/>
      <c r="AM4" s="129"/>
      <c r="AN4" s="129"/>
      <c r="AO4" s="130"/>
      <c r="AP4" s="128" t="str">
        <f t="array" aca="1" ref="AP4" ca="1">RIGHT(CELL("filename",$A$1),LEN(CELL("filename",$A$1))-FIND("]",CELL("filename",$A$1)))</f>
        <v>業務フロー</v>
      </c>
      <c r="AQ4" s="129"/>
      <c r="AR4" s="129"/>
      <c r="AS4" s="129"/>
      <c r="AT4" s="129"/>
      <c r="AU4" s="129"/>
      <c r="AV4" s="129"/>
      <c r="AW4" s="129"/>
      <c r="AX4" s="129"/>
      <c r="AY4" s="129"/>
      <c r="AZ4" s="129"/>
      <c r="BA4" s="129"/>
      <c r="BB4" s="129"/>
      <c r="BC4" s="129"/>
      <c r="BD4" s="129"/>
      <c r="BE4" s="129"/>
      <c r="BF4" s="129"/>
      <c r="BG4" s="129"/>
      <c r="BH4" s="129"/>
      <c r="BI4" s="129"/>
      <c r="BJ4" s="129"/>
      <c r="BK4" s="130"/>
    </row>
    <row r="5" spans="1:63" ht="5.0999999999999996" customHeight="1">
      <c r="A5" s="52"/>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4"/>
    </row>
    <row r="6" spans="1:63" ht="15" customHeight="1">
      <c r="A6" s="68"/>
      <c r="B6" s="69"/>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1"/>
      <c r="AF6" s="69"/>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1"/>
      <c r="BJ6" s="70"/>
      <c r="BK6" s="72"/>
    </row>
    <row r="7" spans="1:63" ht="15" customHeight="1">
      <c r="A7" s="68"/>
      <c r="B7" s="73" t="s">
        <v>112</v>
      </c>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5"/>
      <c r="AF7" s="73"/>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5"/>
      <c r="BJ7" s="74"/>
      <c r="BK7" s="72"/>
    </row>
    <row r="8" spans="1:63" ht="15" customHeight="1">
      <c r="A8" s="68"/>
      <c r="B8" s="69"/>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1"/>
      <c r="AF8" s="69"/>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1"/>
      <c r="BJ8" s="70"/>
      <c r="BK8" s="72"/>
    </row>
    <row r="9" spans="1:63" ht="15" customHeight="1">
      <c r="A9" s="68"/>
      <c r="B9" s="69"/>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1"/>
      <c r="AF9" s="69"/>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1"/>
      <c r="BJ9" s="70"/>
      <c r="BK9" s="72"/>
    </row>
    <row r="10" spans="1:63" ht="15" customHeight="1">
      <c r="A10" s="68"/>
      <c r="B10" s="69"/>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1"/>
      <c r="AF10" s="69"/>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1"/>
      <c r="BJ10" s="70"/>
      <c r="BK10" s="72"/>
    </row>
    <row r="11" spans="1:63" ht="15" customHeight="1">
      <c r="A11" s="68"/>
      <c r="B11" s="69"/>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1"/>
      <c r="AF11" s="69"/>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1"/>
      <c r="BJ11" s="70"/>
      <c r="BK11" s="72"/>
    </row>
    <row r="12" spans="1:63" ht="15" customHeight="1">
      <c r="A12" s="68"/>
      <c r="B12" s="69"/>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1"/>
      <c r="AF12" s="69"/>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1"/>
      <c r="BJ12" s="70"/>
      <c r="BK12" s="72"/>
    </row>
    <row r="13" spans="1:63" ht="15" customHeight="1">
      <c r="A13" s="68"/>
      <c r="B13" s="69"/>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1"/>
      <c r="AF13" s="69"/>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1"/>
      <c r="BJ13" s="70"/>
      <c r="BK13" s="72"/>
    </row>
    <row r="14" spans="1:63" ht="15" customHeight="1">
      <c r="A14" s="68"/>
      <c r="B14" s="69"/>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1"/>
      <c r="AF14" s="69"/>
      <c r="AG14" s="70"/>
      <c r="AH14" s="70"/>
      <c r="AI14" s="70"/>
      <c r="AJ14" s="70"/>
      <c r="AK14" s="70"/>
      <c r="AL14" s="70"/>
      <c r="AM14" s="70"/>
      <c r="AN14" s="70"/>
      <c r="AO14" s="70"/>
      <c r="AP14" s="70"/>
      <c r="AQ14" s="70"/>
      <c r="AR14" s="70"/>
      <c r="AS14" s="70"/>
      <c r="AT14" s="70"/>
      <c r="AU14" s="70"/>
      <c r="AV14" s="70"/>
      <c r="AW14" s="70"/>
      <c r="AX14" s="70"/>
      <c r="AY14" s="70"/>
      <c r="AZ14" s="70"/>
      <c r="BA14" s="70"/>
      <c r="BB14" s="70"/>
      <c r="BC14" s="70"/>
      <c r="BD14" s="70"/>
      <c r="BE14" s="70"/>
      <c r="BF14" s="70"/>
      <c r="BG14" s="70"/>
      <c r="BH14" s="70"/>
      <c r="BI14" s="71"/>
      <c r="BJ14" s="70"/>
      <c r="BK14" s="72"/>
    </row>
    <row r="15" spans="1:63" ht="15" customHeight="1">
      <c r="A15" s="68"/>
      <c r="B15" s="69"/>
      <c r="C15" s="70"/>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1"/>
      <c r="AF15" s="69"/>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1"/>
      <c r="BJ15" s="70"/>
      <c r="BK15" s="72"/>
    </row>
    <row r="16" spans="1:63" ht="15" customHeight="1">
      <c r="A16" s="68"/>
      <c r="B16" s="69"/>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1"/>
      <c r="AF16" s="69"/>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1"/>
      <c r="BJ16" s="70"/>
      <c r="BK16" s="72"/>
    </row>
    <row r="17" spans="1:63" ht="15" customHeight="1">
      <c r="A17" s="68"/>
      <c r="B17" s="69"/>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71"/>
      <c r="AF17" s="69"/>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1"/>
      <c r="BJ17" s="70"/>
      <c r="BK17" s="72"/>
    </row>
    <row r="18" spans="1:63" ht="15" customHeight="1">
      <c r="A18" s="68"/>
      <c r="B18" s="69"/>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1"/>
      <c r="AF18" s="69"/>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1"/>
      <c r="BJ18" s="70"/>
      <c r="BK18" s="72"/>
    </row>
    <row r="19" spans="1:63" ht="15" customHeight="1">
      <c r="A19" s="68"/>
      <c r="B19" s="69"/>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1"/>
      <c r="AF19" s="69"/>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1"/>
      <c r="BJ19" s="70"/>
      <c r="BK19" s="72"/>
    </row>
    <row r="20" spans="1:63" ht="15" customHeight="1">
      <c r="A20" s="68"/>
      <c r="B20" s="69"/>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1"/>
      <c r="AF20" s="69"/>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1"/>
      <c r="BJ20" s="70"/>
      <c r="BK20" s="72"/>
    </row>
    <row r="21" spans="1:63" ht="15" customHeight="1">
      <c r="A21" s="68"/>
      <c r="B21" s="69"/>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1"/>
      <c r="AF21" s="69"/>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1"/>
      <c r="BJ21" s="70"/>
      <c r="BK21" s="72"/>
    </row>
    <row r="22" spans="1:63" ht="15" customHeight="1">
      <c r="A22" s="68"/>
      <c r="B22" s="73" t="s">
        <v>113</v>
      </c>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5"/>
      <c r="AF22" s="73"/>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5"/>
      <c r="BJ22" s="74"/>
      <c r="BK22" s="72"/>
    </row>
    <row r="23" spans="1:63" ht="15" customHeight="1">
      <c r="A23" s="68"/>
      <c r="B23" s="69"/>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1"/>
      <c r="AF23" s="69"/>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1"/>
      <c r="BJ23" s="70"/>
      <c r="BK23" s="72"/>
    </row>
    <row r="24" spans="1:63" ht="15" customHeight="1">
      <c r="A24" s="68"/>
      <c r="B24" s="69"/>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1"/>
      <c r="AF24" s="69"/>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1"/>
      <c r="BJ24" s="70"/>
      <c r="BK24" s="72"/>
    </row>
    <row r="25" spans="1:63" ht="15" customHeight="1">
      <c r="A25" s="68"/>
      <c r="B25" s="69"/>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1"/>
      <c r="AF25" s="69"/>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1"/>
      <c r="BJ25" s="70"/>
      <c r="BK25" s="72"/>
    </row>
    <row r="26" spans="1:63" ht="15" customHeight="1">
      <c r="A26" s="68"/>
      <c r="B26" s="69"/>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1"/>
      <c r="AF26" s="69"/>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1"/>
      <c r="BJ26" s="70"/>
      <c r="BK26" s="72"/>
    </row>
    <row r="27" spans="1:63" ht="15" customHeight="1">
      <c r="A27" s="68"/>
      <c r="B27" s="69"/>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1"/>
      <c r="AF27" s="69"/>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1"/>
      <c r="BJ27" s="70"/>
      <c r="BK27" s="72"/>
    </row>
    <row r="28" spans="1:63" ht="15" customHeight="1">
      <c r="A28" s="68"/>
      <c r="B28" s="69"/>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1"/>
      <c r="AF28" s="69"/>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1"/>
      <c r="BJ28" s="70"/>
      <c r="BK28" s="72"/>
    </row>
    <row r="29" spans="1:63" ht="15" customHeight="1">
      <c r="A29" s="68"/>
      <c r="B29" s="69"/>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1"/>
      <c r="AF29" s="69"/>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1"/>
      <c r="BJ29" s="70"/>
      <c r="BK29" s="72"/>
    </row>
    <row r="30" spans="1:63" ht="15" customHeight="1">
      <c r="A30" s="68"/>
      <c r="B30" s="69"/>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1"/>
      <c r="AF30" s="69"/>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1"/>
      <c r="BJ30" s="70"/>
      <c r="BK30" s="72"/>
    </row>
    <row r="31" spans="1:63" ht="15" customHeight="1">
      <c r="A31" s="68"/>
      <c r="B31" s="69"/>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1"/>
      <c r="AF31" s="69"/>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1"/>
      <c r="BJ31" s="70"/>
      <c r="BK31" s="72"/>
    </row>
    <row r="32" spans="1:63" ht="15" customHeight="1">
      <c r="A32" s="68"/>
      <c r="B32" s="69"/>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1"/>
      <c r="AF32" s="69"/>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1"/>
      <c r="BJ32" s="70"/>
      <c r="BK32" s="72"/>
    </row>
    <row r="33" spans="1:63" ht="15" customHeight="1">
      <c r="A33" s="68"/>
      <c r="B33" s="69"/>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1"/>
      <c r="AF33" s="69"/>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1"/>
      <c r="BJ33" s="70"/>
      <c r="BK33" s="72"/>
    </row>
    <row r="34" spans="1:63" ht="15" customHeight="1">
      <c r="A34" s="68"/>
      <c r="B34" s="69"/>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1"/>
      <c r="AF34" s="69"/>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1"/>
      <c r="BJ34" s="70"/>
      <c r="BK34" s="72"/>
    </row>
    <row r="35" spans="1:63" ht="15" customHeight="1">
      <c r="A35" s="68"/>
      <c r="B35" s="69"/>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1"/>
      <c r="AF35" s="69"/>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1"/>
      <c r="BJ35" s="70"/>
      <c r="BK35" s="72"/>
    </row>
    <row r="36" spans="1:63" ht="15" customHeight="1">
      <c r="A36" s="68"/>
      <c r="B36" s="69"/>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1"/>
      <c r="AF36" s="69"/>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1"/>
      <c r="BJ36" s="70"/>
      <c r="BK36" s="72"/>
    </row>
    <row r="37" spans="1:63" ht="15" customHeight="1">
      <c r="A37" s="68"/>
      <c r="B37" s="69"/>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c r="AF37" s="69"/>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1"/>
      <c r="BJ37" s="70"/>
      <c r="BK37" s="72"/>
    </row>
    <row r="38" spans="1:63" ht="15" customHeight="1">
      <c r="A38" s="68"/>
      <c r="B38" s="69"/>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69"/>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1"/>
      <c r="BJ38" s="70"/>
      <c r="BK38" s="72"/>
    </row>
    <row r="39" spans="1:63" ht="15" customHeight="1">
      <c r="A39" s="68"/>
      <c r="B39" s="69"/>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c r="AF39" s="69"/>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70"/>
      <c r="BG39" s="70"/>
      <c r="BH39" s="70"/>
      <c r="BI39" s="71"/>
      <c r="BJ39" s="70"/>
      <c r="BK39" s="72"/>
    </row>
    <row r="40" spans="1:63" ht="15" customHeight="1">
      <c r="A40" s="68"/>
      <c r="B40" s="69"/>
      <c r="C40" s="70"/>
      <c r="D40" s="70"/>
      <c r="E40" s="70"/>
      <c r="F40" s="70"/>
      <c r="G40" s="70"/>
      <c r="H40" s="70"/>
      <c r="I40" s="70"/>
      <c r="J40" s="70"/>
      <c r="K40" s="70"/>
      <c r="L40" s="70"/>
      <c r="M40" s="70"/>
      <c r="N40" s="70"/>
      <c r="O40" s="70"/>
      <c r="P40" s="70"/>
      <c r="Q40" s="70"/>
      <c r="R40" s="70"/>
      <c r="S40" s="70"/>
      <c r="T40" s="70"/>
      <c r="U40" s="70"/>
      <c r="V40" s="70"/>
      <c r="W40" s="70"/>
      <c r="X40" s="70"/>
      <c r="Y40" s="70"/>
      <c r="Z40" s="70"/>
      <c r="AA40" s="70"/>
      <c r="AB40" s="70"/>
      <c r="AC40" s="70"/>
      <c r="AD40" s="70"/>
      <c r="AE40" s="70"/>
      <c r="AF40" s="69"/>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c r="BE40" s="70"/>
      <c r="BF40" s="70"/>
      <c r="BG40" s="70"/>
      <c r="BH40" s="70"/>
      <c r="BI40" s="71"/>
      <c r="BJ40" s="70"/>
      <c r="BK40" s="72"/>
    </row>
    <row r="41" spans="1:63" ht="15" customHeight="1">
      <c r="A41" s="68"/>
      <c r="B41" s="69"/>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69"/>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71"/>
      <c r="BJ41" s="70"/>
      <c r="BK41" s="72"/>
    </row>
    <row r="42" spans="1:63" ht="15" customHeight="1">
      <c r="A42" s="68"/>
      <c r="B42" s="73" t="s">
        <v>114</v>
      </c>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5"/>
      <c r="AF42" s="73"/>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5"/>
      <c r="BJ42" s="74"/>
      <c r="BK42" s="72"/>
    </row>
    <row r="43" spans="1:63" ht="15" customHeight="1">
      <c r="A43" s="68"/>
      <c r="B43" s="69"/>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71"/>
      <c r="AF43" s="69"/>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1"/>
      <c r="BJ43" s="70"/>
      <c r="BK43" s="72"/>
    </row>
    <row r="44" spans="1:63" ht="15" customHeight="1">
      <c r="A44" s="68"/>
      <c r="B44" s="69"/>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1"/>
      <c r="AF44" s="69"/>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1"/>
      <c r="BJ44" s="70"/>
      <c r="BK44" s="72"/>
    </row>
    <row r="45" spans="1:63" ht="15" customHeight="1">
      <c r="A45" s="68"/>
      <c r="B45" s="69"/>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1"/>
      <c r="AF45" s="69"/>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70"/>
      <c r="BG45" s="70"/>
      <c r="BH45" s="70"/>
      <c r="BI45" s="71"/>
      <c r="BJ45" s="70"/>
      <c r="BK45" s="72"/>
    </row>
    <row r="46" spans="1:63" ht="15" customHeight="1">
      <c r="A46" s="68"/>
      <c r="B46" s="69"/>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1"/>
      <c r="AF46" s="69"/>
      <c r="AG46" s="70"/>
      <c r="AH46" s="70"/>
      <c r="AI46" s="70"/>
      <c r="AJ46" s="70"/>
      <c r="AK46" s="70"/>
      <c r="AL46" s="70"/>
      <c r="AM46" s="70"/>
      <c r="AN46" s="70"/>
      <c r="AO46" s="70"/>
      <c r="AP46" s="70"/>
      <c r="AQ46" s="70"/>
      <c r="AR46" s="70"/>
      <c r="AS46" s="70"/>
      <c r="AT46" s="70"/>
      <c r="AU46" s="70"/>
      <c r="AV46" s="70"/>
      <c r="AW46" s="70"/>
      <c r="AX46" s="70"/>
      <c r="AY46" s="70"/>
      <c r="AZ46" s="70"/>
      <c r="BA46" s="70"/>
      <c r="BB46" s="70"/>
      <c r="BC46" s="70"/>
      <c r="BD46" s="70"/>
      <c r="BE46" s="70"/>
      <c r="BF46" s="70"/>
      <c r="BG46" s="70"/>
      <c r="BH46" s="70"/>
      <c r="BI46" s="71"/>
      <c r="BJ46" s="70"/>
      <c r="BK46" s="72"/>
    </row>
    <row r="47" spans="1:63" ht="15" customHeight="1">
      <c r="A47" s="68"/>
      <c r="B47" s="69"/>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1"/>
      <c r="AF47" s="69"/>
      <c r="AG47" s="70"/>
      <c r="AH47" s="70"/>
      <c r="AI47" s="70"/>
      <c r="AJ47" s="70"/>
      <c r="AK47" s="70"/>
      <c r="AL47" s="70"/>
      <c r="AM47" s="70"/>
      <c r="AN47" s="70"/>
      <c r="AO47" s="70"/>
      <c r="AP47" s="70"/>
      <c r="AQ47" s="70"/>
      <c r="AR47" s="70"/>
      <c r="AS47" s="70"/>
      <c r="AT47" s="70"/>
      <c r="AU47" s="70"/>
      <c r="AV47" s="70"/>
      <c r="AW47" s="70"/>
      <c r="AX47" s="70"/>
      <c r="AY47" s="70"/>
      <c r="AZ47" s="70"/>
      <c r="BA47" s="70"/>
      <c r="BB47" s="70"/>
      <c r="BC47" s="70"/>
      <c r="BD47" s="70"/>
      <c r="BE47" s="70"/>
      <c r="BF47" s="70"/>
      <c r="BG47" s="70"/>
      <c r="BH47" s="70"/>
      <c r="BI47" s="71"/>
      <c r="BJ47" s="70"/>
      <c r="BK47" s="72"/>
    </row>
    <row r="48" spans="1:63" ht="15" customHeight="1">
      <c r="A48" s="68"/>
      <c r="B48" s="69"/>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1"/>
      <c r="AF48" s="69"/>
      <c r="AG48" s="70"/>
      <c r="AH48" s="70"/>
      <c r="AI48" s="70"/>
      <c r="AJ48" s="70"/>
      <c r="AK48" s="70"/>
      <c r="AL48" s="70"/>
      <c r="AM48" s="70"/>
      <c r="AN48" s="70"/>
      <c r="AO48" s="70"/>
      <c r="AP48" s="70"/>
      <c r="AQ48" s="70"/>
      <c r="AR48" s="70"/>
      <c r="AS48" s="70"/>
      <c r="AT48" s="70"/>
      <c r="AU48" s="70"/>
      <c r="AV48" s="70"/>
      <c r="AW48" s="70"/>
      <c r="AX48" s="70"/>
      <c r="AY48" s="70"/>
      <c r="AZ48" s="70"/>
      <c r="BA48" s="70"/>
      <c r="BB48" s="70"/>
      <c r="BC48" s="70"/>
      <c r="BD48" s="70"/>
      <c r="BE48" s="70"/>
      <c r="BF48" s="70"/>
      <c r="BG48" s="70"/>
      <c r="BH48" s="70"/>
      <c r="BI48" s="71"/>
      <c r="BJ48" s="70"/>
      <c r="BK48" s="72"/>
    </row>
    <row r="49" spans="1:63" ht="15" customHeight="1">
      <c r="A49" s="68"/>
      <c r="B49" s="69"/>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69"/>
      <c r="AG49" s="70"/>
      <c r="AH49" s="70"/>
      <c r="AI49" s="70"/>
      <c r="AJ49" s="70"/>
      <c r="AK49" s="70"/>
      <c r="AL49" s="70"/>
      <c r="AM49" s="70"/>
      <c r="AN49" s="70"/>
      <c r="AO49" s="70"/>
      <c r="AP49" s="70"/>
      <c r="AQ49" s="70"/>
      <c r="AR49" s="70"/>
      <c r="AS49" s="70"/>
      <c r="AT49" s="70"/>
      <c r="AU49" s="70"/>
      <c r="AV49" s="70"/>
      <c r="AW49" s="70"/>
      <c r="AX49" s="70"/>
      <c r="AY49" s="70"/>
      <c r="AZ49" s="70"/>
      <c r="BA49" s="70"/>
      <c r="BB49" s="70"/>
      <c r="BC49" s="70"/>
      <c r="BD49" s="70"/>
      <c r="BE49" s="70"/>
      <c r="BF49" s="70"/>
      <c r="BG49" s="70"/>
      <c r="BH49" s="70"/>
      <c r="BI49" s="71"/>
      <c r="BJ49" s="70"/>
      <c r="BK49" s="72"/>
    </row>
    <row r="50" spans="1:63" ht="15" customHeight="1">
      <c r="A50" s="68"/>
      <c r="B50" s="69"/>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70"/>
      <c r="AF50" s="69"/>
      <c r="AG50" s="70"/>
      <c r="AH50" s="70"/>
      <c r="AI50" s="70"/>
      <c r="AJ50" s="70"/>
      <c r="AK50" s="70"/>
      <c r="AL50" s="70"/>
      <c r="AM50" s="70"/>
      <c r="AN50" s="70"/>
      <c r="AO50" s="70"/>
      <c r="AP50" s="70"/>
      <c r="AQ50" s="70"/>
      <c r="AR50" s="70"/>
      <c r="AS50" s="70"/>
      <c r="AT50" s="70"/>
      <c r="AU50" s="70"/>
      <c r="AV50" s="70"/>
      <c r="AW50" s="70"/>
      <c r="AX50" s="70"/>
      <c r="AY50" s="70"/>
      <c r="AZ50" s="70"/>
      <c r="BA50" s="70"/>
      <c r="BB50" s="70"/>
      <c r="BC50" s="70"/>
      <c r="BD50" s="70"/>
      <c r="BE50" s="70"/>
      <c r="BF50" s="70"/>
      <c r="BG50" s="70"/>
      <c r="BH50" s="70"/>
      <c r="BI50" s="71"/>
      <c r="BJ50" s="70"/>
      <c r="BK50" s="72"/>
    </row>
    <row r="51" spans="1:63" ht="15" customHeight="1">
      <c r="A51" s="68"/>
      <c r="B51" s="69"/>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69"/>
      <c r="AG51" s="70"/>
      <c r="AH51" s="70"/>
      <c r="AI51" s="70"/>
      <c r="AJ51" s="70"/>
      <c r="AK51" s="70"/>
      <c r="AL51" s="70"/>
      <c r="AM51" s="70"/>
      <c r="AN51" s="70"/>
      <c r="AO51" s="70"/>
      <c r="AP51" s="70"/>
      <c r="AQ51" s="70"/>
      <c r="AR51" s="70"/>
      <c r="AS51" s="70"/>
      <c r="AT51" s="70"/>
      <c r="AU51" s="70"/>
      <c r="AV51" s="70"/>
      <c r="AW51" s="70"/>
      <c r="AX51" s="70"/>
      <c r="AY51" s="70"/>
      <c r="AZ51" s="70"/>
      <c r="BA51" s="70"/>
      <c r="BB51" s="70"/>
      <c r="BC51" s="70"/>
      <c r="BD51" s="70"/>
      <c r="BE51" s="70"/>
      <c r="BF51" s="70"/>
      <c r="BG51" s="70"/>
      <c r="BH51" s="70"/>
      <c r="BI51" s="71"/>
      <c r="BJ51" s="70"/>
      <c r="BK51" s="72"/>
    </row>
    <row r="52" spans="1:63" ht="15" customHeight="1">
      <c r="A52" s="68"/>
      <c r="B52" s="69"/>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69"/>
      <c r="AG52" s="70"/>
      <c r="AH52" s="70"/>
      <c r="AI52" s="70"/>
      <c r="AJ52" s="70"/>
      <c r="AK52" s="70"/>
      <c r="AL52" s="70"/>
      <c r="AM52" s="70"/>
      <c r="AN52" s="70"/>
      <c r="AO52" s="70"/>
      <c r="AP52" s="70"/>
      <c r="AQ52" s="70"/>
      <c r="AR52" s="70"/>
      <c r="AS52" s="70"/>
      <c r="AT52" s="70"/>
      <c r="AU52" s="70"/>
      <c r="AV52" s="70"/>
      <c r="AW52" s="70"/>
      <c r="AX52" s="70"/>
      <c r="AY52" s="70"/>
      <c r="AZ52" s="70"/>
      <c r="BA52" s="70"/>
      <c r="BB52" s="70"/>
      <c r="BC52" s="70"/>
      <c r="BD52" s="70"/>
      <c r="BE52" s="70"/>
      <c r="BF52" s="70"/>
      <c r="BG52" s="70"/>
      <c r="BH52" s="70"/>
      <c r="BI52" s="71"/>
      <c r="BJ52" s="70"/>
      <c r="BK52" s="72"/>
    </row>
    <row r="53" spans="1:63" ht="15" customHeight="1">
      <c r="A53" s="68"/>
      <c r="B53" s="69"/>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70"/>
      <c r="AF53" s="69"/>
      <c r="AG53" s="70"/>
      <c r="AH53" s="70"/>
      <c r="AI53" s="70"/>
      <c r="AJ53" s="70"/>
      <c r="AK53" s="70"/>
      <c r="AL53" s="70"/>
      <c r="AM53" s="70"/>
      <c r="AN53" s="70"/>
      <c r="AO53" s="70"/>
      <c r="AP53" s="70"/>
      <c r="AQ53" s="70"/>
      <c r="AR53" s="70"/>
      <c r="AS53" s="70"/>
      <c r="AT53" s="70"/>
      <c r="AU53" s="70"/>
      <c r="AV53" s="70"/>
      <c r="AW53" s="70"/>
      <c r="AX53" s="70"/>
      <c r="AY53" s="70"/>
      <c r="AZ53" s="70"/>
      <c r="BA53" s="70"/>
      <c r="BB53" s="70"/>
      <c r="BC53" s="70"/>
      <c r="BD53" s="70"/>
      <c r="BE53" s="70"/>
      <c r="BF53" s="70"/>
      <c r="BG53" s="70"/>
      <c r="BH53" s="70"/>
      <c r="BI53" s="71"/>
      <c r="BJ53" s="70"/>
      <c r="BK53" s="72"/>
    </row>
    <row r="54" spans="1:63" ht="15" customHeight="1">
      <c r="A54" s="68"/>
      <c r="B54" s="69"/>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70"/>
      <c r="AF54" s="69"/>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1"/>
      <c r="BJ54" s="70"/>
      <c r="BK54" s="72"/>
    </row>
    <row r="55" spans="1:63" ht="15" customHeight="1">
      <c r="A55" s="68"/>
      <c r="B55" s="69"/>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c r="AC55" s="70"/>
      <c r="AD55" s="70"/>
      <c r="AE55" s="70"/>
      <c r="AF55" s="69"/>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1"/>
      <c r="BJ55" s="70"/>
      <c r="BK55" s="72"/>
    </row>
    <row r="56" spans="1:63" ht="15" customHeight="1">
      <c r="A56" s="68"/>
      <c r="B56" s="69"/>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c r="AC56" s="70"/>
      <c r="AD56" s="70"/>
      <c r="AE56" s="70"/>
      <c r="AF56" s="69"/>
      <c r="AG56" s="70"/>
      <c r="AH56" s="70"/>
      <c r="AI56" s="70"/>
      <c r="AJ56" s="70"/>
      <c r="AK56" s="70"/>
      <c r="AL56" s="70"/>
      <c r="AM56" s="70"/>
      <c r="AN56" s="70"/>
      <c r="AO56" s="70"/>
      <c r="AP56" s="70"/>
      <c r="AQ56" s="70"/>
      <c r="AR56" s="70"/>
      <c r="AS56" s="70"/>
      <c r="AT56" s="70"/>
      <c r="AU56" s="70"/>
      <c r="AV56" s="70"/>
      <c r="AW56" s="70"/>
      <c r="AX56" s="70"/>
      <c r="AY56" s="70"/>
      <c r="AZ56" s="70"/>
      <c r="BA56" s="70"/>
      <c r="BB56" s="70"/>
      <c r="BC56" s="70"/>
      <c r="BD56" s="70"/>
      <c r="BE56" s="70"/>
      <c r="BF56" s="70"/>
      <c r="BG56" s="70"/>
      <c r="BH56" s="70"/>
      <c r="BI56" s="71"/>
      <c r="BJ56" s="70"/>
      <c r="BK56" s="72"/>
    </row>
    <row r="57" spans="1:63" ht="15" customHeight="1">
      <c r="A57" s="68"/>
      <c r="B57" s="69"/>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c r="AE57" s="70"/>
      <c r="AF57" s="69"/>
      <c r="AG57" s="70"/>
      <c r="AH57" s="70"/>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1"/>
      <c r="BJ57" s="70"/>
      <c r="BK57" s="72"/>
    </row>
    <row r="58" spans="1:63" ht="15" customHeight="1">
      <c r="A58" s="68"/>
      <c r="B58" s="69"/>
      <c r="C58" s="70"/>
      <c r="D58" s="70"/>
      <c r="E58" s="70"/>
      <c r="F58" s="70"/>
      <c r="G58" s="70"/>
      <c r="H58" s="70"/>
      <c r="I58" s="70"/>
      <c r="J58" s="70"/>
      <c r="K58" s="70"/>
      <c r="L58" s="70"/>
      <c r="M58" s="70"/>
      <c r="N58" s="70"/>
      <c r="O58" s="70"/>
      <c r="P58" s="70"/>
      <c r="Q58" s="70"/>
      <c r="R58" s="70"/>
      <c r="S58" s="70"/>
      <c r="T58" s="70"/>
      <c r="U58" s="70"/>
      <c r="V58" s="70"/>
      <c r="W58" s="70"/>
      <c r="X58" s="70"/>
      <c r="Y58" s="70"/>
      <c r="Z58" s="70"/>
      <c r="AA58" s="70"/>
      <c r="AB58" s="70"/>
      <c r="AC58" s="70"/>
      <c r="AD58" s="70"/>
      <c r="AE58" s="70"/>
      <c r="AF58" s="69"/>
      <c r="AG58" s="70"/>
      <c r="AH58" s="70"/>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1"/>
      <c r="BJ58" s="70"/>
      <c r="BK58" s="72"/>
    </row>
    <row r="59" spans="1:63" ht="15" customHeight="1">
      <c r="A59" s="68"/>
      <c r="B59" s="69"/>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70"/>
      <c r="AF59" s="69"/>
      <c r="AG59" s="70"/>
      <c r="AH59" s="70"/>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1"/>
      <c r="BJ59" s="70"/>
      <c r="BK59" s="72"/>
    </row>
    <row r="60" spans="1:63" ht="15" customHeight="1">
      <c r="A60" s="68"/>
      <c r="B60" s="69"/>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70"/>
      <c r="AF60" s="69"/>
      <c r="AG60" s="70"/>
      <c r="AH60" s="70"/>
      <c r="AI60" s="70"/>
      <c r="AJ60" s="70"/>
      <c r="AK60" s="70"/>
      <c r="AL60" s="70"/>
      <c r="AM60" s="70"/>
      <c r="AN60" s="70"/>
      <c r="AO60" s="70"/>
      <c r="AP60" s="70"/>
      <c r="AQ60" s="70"/>
      <c r="AR60" s="70"/>
      <c r="AS60" s="70"/>
      <c r="AT60" s="70"/>
      <c r="AU60" s="70"/>
      <c r="AV60" s="70"/>
      <c r="AW60" s="70"/>
      <c r="AX60" s="70"/>
      <c r="AY60" s="70"/>
      <c r="AZ60" s="70"/>
      <c r="BA60" s="70"/>
      <c r="BB60" s="70"/>
      <c r="BC60" s="70"/>
      <c r="BD60" s="70"/>
      <c r="BE60" s="70"/>
      <c r="BF60" s="70"/>
      <c r="BG60" s="70"/>
      <c r="BH60" s="70"/>
      <c r="BI60" s="71"/>
      <c r="BJ60" s="70"/>
      <c r="BK60" s="72"/>
    </row>
    <row r="61" spans="1:63" ht="15" customHeight="1">
      <c r="A61" s="68"/>
      <c r="B61" s="69"/>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69"/>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1"/>
      <c r="BJ61" s="70"/>
      <c r="BK61" s="72"/>
    </row>
    <row r="62" spans="1:63" ht="15" customHeight="1">
      <c r="A62" s="76"/>
      <c r="B62" s="77"/>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8"/>
      <c r="AF62" s="77"/>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8"/>
      <c r="BJ62" s="76"/>
      <c r="BK62" s="79"/>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cols>
    <col min="1" max="65" width="2.77734375" style="51" customWidth="1"/>
    <col min="66" max="16384" width="2.77734375" style="51"/>
  </cols>
  <sheetData>
    <row r="1" spans="1:65" ht="24.95" customHeight="1">
      <c r="A1" s="123" t="s">
        <v>89</v>
      </c>
      <c r="B1" s="124"/>
      <c r="C1" s="124"/>
      <c r="D1" s="124"/>
      <c r="E1" s="124"/>
      <c r="F1" s="124"/>
      <c r="G1" s="124"/>
      <c r="H1" s="124"/>
      <c r="I1" s="124"/>
      <c r="J1" s="125"/>
      <c r="K1" s="123" t="s">
        <v>90</v>
      </c>
      <c r="L1" s="124"/>
      <c r="M1" s="124"/>
      <c r="N1" s="124"/>
      <c r="O1" s="124"/>
      <c r="P1" s="124"/>
      <c r="Q1" s="124"/>
      <c r="R1" s="124"/>
      <c r="S1" s="124"/>
      <c r="T1" s="124"/>
      <c r="U1" s="124"/>
      <c r="V1" s="125"/>
      <c r="W1" s="144" t="str">
        <f>IF(表紙!W1="","",表紙!W1)</f>
        <v>基本設計書</v>
      </c>
      <c r="X1" s="145"/>
      <c r="Y1" s="145"/>
      <c r="Z1" s="145"/>
      <c r="AA1" s="145"/>
      <c r="AB1" s="145"/>
      <c r="AC1" s="145"/>
      <c r="AD1" s="145"/>
      <c r="AE1" s="145"/>
      <c r="AF1" s="145"/>
      <c r="AG1" s="145"/>
      <c r="AH1" s="145"/>
      <c r="AI1" s="145"/>
      <c r="AJ1" s="145"/>
      <c r="AK1" s="145"/>
      <c r="AL1" s="145"/>
      <c r="AM1" s="145"/>
      <c r="AN1" s="145"/>
      <c r="AO1" s="146"/>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5" ht="15" customHeight="1">
      <c r="A2" s="108" t="str">
        <f>IF(表紙!A2="","",表紙!A2)</f>
        <v>POSサーバー</v>
      </c>
      <c r="B2" s="109"/>
      <c r="C2" s="109"/>
      <c r="D2" s="109"/>
      <c r="E2" s="109"/>
      <c r="F2" s="109"/>
      <c r="G2" s="109"/>
      <c r="H2" s="109"/>
      <c r="I2" s="109"/>
      <c r="J2" s="110"/>
      <c r="K2" s="108" t="str">
        <f>IF(表紙!K2="","",表紙!K2)</f>
        <v>POSサーバ</v>
      </c>
      <c r="L2" s="109"/>
      <c r="M2" s="109"/>
      <c r="N2" s="109"/>
      <c r="O2" s="109"/>
      <c r="P2" s="109"/>
      <c r="Q2" s="109"/>
      <c r="R2" s="109"/>
      <c r="S2" s="109"/>
      <c r="T2" s="109"/>
      <c r="U2" s="109"/>
      <c r="V2" s="110"/>
      <c r="W2" s="147"/>
      <c r="X2" s="148"/>
      <c r="Y2" s="148"/>
      <c r="Z2" s="148"/>
      <c r="AA2" s="148"/>
      <c r="AB2" s="148"/>
      <c r="AC2" s="148"/>
      <c r="AD2" s="148"/>
      <c r="AE2" s="148"/>
      <c r="AF2" s="148"/>
      <c r="AG2" s="148"/>
      <c r="AH2" s="148"/>
      <c r="AI2" s="148"/>
      <c r="AJ2" s="148"/>
      <c r="AK2" s="148"/>
      <c r="AL2" s="148"/>
      <c r="AM2" s="148"/>
      <c r="AN2" s="148"/>
      <c r="AO2" s="149"/>
      <c r="AP2" s="108" t="str">
        <f>IF(表紙!AP2="","",表紙!AP2)</f>
        <v>TinNH</v>
      </c>
      <c r="AQ2" s="109"/>
      <c r="AR2" s="109"/>
      <c r="AS2" s="110"/>
      <c r="AT2" s="137">
        <f>IF(表紙!AT2="","",表紙!AT2)</f>
        <v>45467</v>
      </c>
      <c r="AU2" s="138"/>
      <c r="AV2" s="138"/>
      <c r="AW2" s="138"/>
      <c r="AX2" s="139"/>
      <c r="AY2" s="108" t="str">
        <f>IF(表紙!AY2="","",表紙!AY2)</f>
        <v>AnhNM</v>
      </c>
      <c r="AZ2" s="109"/>
      <c r="BA2" s="109"/>
      <c r="BB2" s="110"/>
      <c r="BC2" s="137">
        <f>IF(表紙!BC2="","",表紙!BC2)</f>
        <v>45590</v>
      </c>
      <c r="BD2" s="138"/>
      <c r="BE2" s="138"/>
      <c r="BF2" s="138"/>
      <c r="BG2" s="139"/>
      <c r="BH2" s="108">
        <f>IF(表紙!BH2="","",表紙!BH2)</f>
        <v>0.4</v>
      </c>
      <c r="BI2" s="109"/>
      <c r="BJ2" s="109"/>
      <c r="BK2" s="110"/>
    </row>
    <row r="3" spans="1:65" ht="15" customHeight="1">
      <c r="A3" s="114"/>
      <c r="B3" s="115"/>
      <c r="C3" s="115"/>
      <c r="D3" s="115"/>
      <c r="E3" s="115"/>
      <c r="F3" s="115"/>
      <c r="G3" s="115"/>
      <c r="H3" s="115"/>
      <c r="I3" s="115"/>
      <c r="J3" s="116"/>
      <c r="K3" s="114"/>
      <c r="L3" s="115"/>
      <c r="M3" s="115"/>
      <c r="N3" s="115"/>
      <c r="O3" s="115"/>
      <c r="P3" s="115"/>
      <c r="Q3" s="115"/>
      <c r="R3" s="115"/>
      <c r="S3" s="115"/>
      <c r="T3" s="115"/>
      <c r="U3" s="115"/>
      <c r="V3" s="116"/>
      <c r="W3" s="150"/>
      <c r="X3" s="151"/>
      <c r="Y3" s="151"/>
      <c r="Z3" s="151"/>
      <c r="AA3" s="151"/>
      <c r="AB3" s="151"/>
      <c r="AC3" s="151"/>
      <c r="AD3" s="151"/>
      <c r="AE3" s="151"/>
      <c r="AF3" s="151"/>
      <c r="AG3" s="151"/>
      <c r="AH3" s="151"/>
      <c r="AI3" s="151"/>
      <c r="AJ3" s="151"/>
      <c r="AK3" s="151"/>
      <c r="AL3" s="151"/>
      <c r="AM3" s="151"/>
      <c r="AN3" s="151"/>
      <c r="AO3" s="152"/>
      <c r="AP3" s="114"/>
      <c r="AQ3" s="115"/>
      <c r="AR3" s="115"/>
      <c r="AS3" s="116"/>
      <c r="AT3" s="140"/>
      <c r="AU3" s="141"/>
      <c r="AV3" s="141"/>
      <c r="AW3" s="141"/>
      <c r="AX3" s="142"/>
      <c r="AY3" s="114"/>
      <c r="AZ3" s="115"/>
      <c r="BA3" s="115"/>
      <c r="BB3" s="116"/>
      <c r="BC3" s="140"/>
      <c r="BD3" s="141"/>
      <c r="BE3" s="141"/>
      <c r="BF3" s="141"/>
      <c r="BG3" s="142"/>
      <c r="BH3" s="114"/>
      <c r="BI3" s="115"/>
      <c r="BJ3" s="115"/>
      <c r="BK3" s="116"/>
    </row>
    <row r="4" spans="1:65" ht="24.95" customHeight="1">
      <c r="A4" s="123" t="s">
        <v>98</v>
      </c>
      <c r="B4" s="124"/>
      <c r="C4" s="124"/>
      <c r="D4" s="124"/>
      <c r="E4" s="124"/>
      <c r="F4" s="124"/>
      <c r="G4" s="125"/>
      <c r="H4" s="128" t="str">
        <f>IF(表紙!H4="","",表紙!H4)</f>
        <v>96_カテゴリ割引レシートクーポン設定</v>
      </c>
      <c r="I4" s="129"/>
      <c r="J4" s="129"/>
      <c r="K4" s="129"/>
      <c r="L4" s="129"/>
      <c r="M4" s="129"/>
      <c r="N4" s="129"/>
      <c r="O4" s="129"/>
      <c r="P4" s="129"/>
      <c r="Q4" s="129"/>
      <c r="R4" s="129"/>
      <c r="S4" s="129"/>
      <c r="T4" s="130"/>
      <c r="U4" s="123" t="s">
        <v>99</v>
      </c>
      <c r="V4" s="124"/>
      <c r="W4" s="124"/>
      <c r="X4" s="124"/>
      <c r="Y4" s="125"/>
      <c r="Z4" s="128" t="str">
        <f>IF(表紙!Z4="","",表紙!Z4)</f>
        <v>概要設計</v>
      </c>
      <c r="AA4" s="129"/>
      <c r="AB4" s="129"/>
      <c r="AC4" s="129"/>
      <c r="AD4" s="129"/>
      <c r="AE4" s="129"/>
      <c r="AF4" s="129"/>
      <c r="AG4" s="129"/>
      <c r="AH4" s="129"/>
      <c r="AI4" s="129"/>
      <c r="AJ4" s="129"/>
      <c r="AK4" s="129"/>
      <c r="AL4" s="129"/>
      <c r="AM4" s="129"/>
      <c r="AN4" s="129"/>
      <c r="AO4" s="130"/>
      <c r="AP4" s="128" t="str">
        <f t="array" aca="1" ref="AP4" ca="1">RIGHT(CELL("filename",$A$1),LEN(CELL("filename",$A$1))-FIND("]",CELL("filename",$A$1)))</f>
        <v>機能概要説明</v>
      </c>
      <c r="AQ4" s="129"/>
      <c r="AR4" s="129"/>
      <c r="AS4" s="129"/>
      <c r="AT4" s="129"/>
      <c r="AU4" s="129"/>
      <c r="AV4" s="129"/>
      <c r="AW4" s="129"/>
      <c r="AX4" s="129"/>
      <c r="AY4" s="129"/>
      <c r="AZ4" s="129"/>
      <c r="BA4" s="129"/>
      <c r="BB4" s="129"/>
      <c r="BC4" s="129"/>
      <c r="BD4" s="129"/>
      <c r="BE4" s="129"/>
      <c r="BF4" s="129"/>
      <c r="BG4" s="129"/>
      <c r="BH4" s="129"/>
      <c r="BI4" s="129"/>
      <c r="BJ4" s="129"/>
      <c r="BK4" s="130"/>
    </row>
    <row r="5" spans="1:65" ht="5.0999999999999996" customHeight="1">
      <c r="A5" s="52"/>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4"/>
    </row>
    <row r="6" spans="1:65" ht="15" customHeight="1">
      <c r="A6" s="55"/>
      <c r="BK6" s="56"/>
    </row>
    <row r="7" spans="1:65" ht="15" customHeight="1">
      <c r="A7" s="55"/>
      <c r="B7" s="51" t="s">
        <v>36</v>
      </c>
      <c r="K7" s="80"/>
      <c r="BK7" s="56"/>
      <c r="BM7" s="6">
        <f t="shared" ref="BM7:BM11" si="0">IF(BM6=50,1,BM6+1)</f>
        <v>1</v>
      </c>
    </row>
    <row r="8" spans="1:65" ht="15" customHeight="1">
      <c r="A8" s="55"/>
      <c r="C8" s="81" t="s">
        <v>37</v>
      </c>
      <c r="K8" s="80"/>
      <c r="BK8" s="56"/>
      <c r="BM8" s="6">
        <f t="shared" si="0"/>
        <v>2</v>
      </c>
    </row>
    <row r="9" spans="1:65" ht="15" customHeight="1">
      <c r="A9" s="55"/>
      <c r="C9" s="81" t="s">
        <v>38</v>
      </c>
      <c r="K9" s="80"/>
      <c r="BK9" s="56"/>
      <c r="BM9" s="6">
        <f t="shared" si="0"/>
        <v>3</v>
      </c>
    </row>
    <row r="10" spans="1:65" ht="15" customHeight="1">
      <c r="A10" s="55"/>
      <c r="B10" s="80"/>
      <c r="C10" s="82" t="s">
        <v>39</v>
      </c>
      <c r="K10" s="80"/>
      <c r="BK10" s="56"/>
      <c r="BM10" s="6">
        <f t="shared" si="0"/>
        <v>4</v>
      </c>
    </row>
    <row r="11" spans="1:65" s="80" customFormat="1" ht="15" customHeight="1">
      <c r="A11" s="83"/>
      <c r="BK11" s="84"/>
      <c r="BM11" s="6">
        <f t="shared" si="0"/>
        <v>5</v>
      </c>
    </row>
    <row r="12" spans="1:65" s="80" customFormat="1" ht="15" customHeight="1">
      <c r="A12" s="83"/>
      <c r="BK12" s="84"/>
      <c r="BM12" s="6">
        <f t="shared" ref="BM12:BM44" si="1">IF(BM11=50,1,BM11+1)</f>
        <v>6</v>
      </c>
    </row>
    <row r="13" spans="1:65" s="80" customFormat="1" ht="15" customHeight="1">
      <c r="A13" s="83"/>
      <c r="BK13" s="84"/>
      <c r="BM13" s="6">
        <f t="shared" si="1"/>
        <v>7</v>
      </c>
    </row>
    <row r="14" spans="1:65" s="80" customFormat="1" ht="15" customHeight="1">
      <c r="A14" s="83"/>
      <c r="BK14" s="84"/>
      <c r="BM14" s="6">
        <f t="shared" si="1"/>
        <v>8</v>
      </c>
    </row>
    <row r="15" spans="1:65" s="80" customFormat="1" ht="15" customHeight="1">
      <c r="A15" s="83"/>
      <c r="BK15" s="84"/>
      <c r="BM15" s="6">
        <f t="shared" si="1"/>
        <v>9</v>
      </c>
    </row>
    <row r="16" spans="1:65" s="80" customFormat="1" ht="15" customHeight="1">
      <c r="A16" s="83"/>
      <c r="BK16" s="84"/>
      <c r="BM16" s="6">
        <f t="shared" si="1"/>
        <v>10</v>
      </c>
    </row>
    <row r="17" spans="1:65" s="80" customFormat="1" ht="15" customHeight="1">
      <c r="A17" s="83"/>
      <c r="BK17" s="84"/>
      <c r="BM17" s="6">
        <f t="shared" si="1"/>
        <v>11</v>
      </c>
    </row>
    <row r="18" spans="1:65" s="80" customFormat="1" ht="15" customHeight="1">
      <c r="A18" s="83"/>
      <c r="BK18" s="84"/>
      <c r="BM18" s="6">
        <f t="shared" si="1"/>
        <v>12</v>
      </c>
    </row>
    <row r="19" spans="1:65" s="80" customFormat="1" ht="15" customHeight="1">
      <c r="A19" s="83"/>
      <c r="BK19" s="84"/>
      <c r="BM19" s="6">
        <f t="shared" si="1"/>
        <v>13</v>
      </c>
    </row>
    <row r="20" spans="1:65" s="80" customFormat="1" ht="15" customHeight="1">
      <c r="A20" s="83"/>
      <c r="BK20" s="84"/>
      <c r="BM20" s="6">
        <f t="shared" si="1"/>
        <v>14</v>
      </c>
    </row>
    <row r="21" spans="1:65" s="80" customFormat="1" ht="15" customHeight="1">
      <c r="A21" s="83"/>
      <c r="BK21" s="84"/>
      <c r="BM21" s="6">
        <f t="shared" si="1"/>
        <v>15</v>
      </c>
    </row>
    <row r="22" spans="1:65" s="80" customFormat="1" ht="15" customHeight="1">
      <c r="A22" s="83"/>
      <c r="BK22" s="84"/>
      <c r="BM22" s="6">
        <f t="shared" si="1"/>
        <v>16</v>
      </c>
    </row>
    <row r="23" spans="1:65" s="80" customFormat="1" ht="15" customHeight="1">
      <c r="A23" s="83"/>
      <c r="BK23" s="84"/>
      <c r="BM23" s="6">
        <f t="shared" si="1"/>
        <v>17</v>
      </c>
    </row>
    <row r="24" spans="1:65" s="80" customFormat="1" ht="15" customHeight="1">
      <c r="A24" s="83"/>
      <c r="BK24" s="84"/>
      <c r="BM24" s="6">
        <f t="shared" si="1"/>
        <v>18</v>
      </c>
    </row>
    <row r="25" spans="1:65" s="80" customFormat="1" ht="15" customHeight="1">
      <c r="A25" s="83"/>
      <c r="BK25" s="84"/>
      <c r="BM25" s="6">
        <f t="shared" si="1"/>
        <v>19</v>
      </c>
    </row>
    <row r="26" spans="1:65" s="80" customFormat="1" ht="15" customHeight="1">
      <c r="A26" s="83"/>
      <c r="BK26" s="84"/>
      <c r="BM26" s="6">
        <f t="shared" si="1"/>
        <v>20</v>
      </c>
    </row>
    <row r="27" spans="1:65" s="80" customFormat="1" ht="15" customHeight="1">
      <c r="A27" s="83"/>
      <c r="BK27" s="84"/>
      <c r="BM27" s="6">
        <f t="shared" si="1"/>
        <v>21</v>
      </c>
    </row>
    <row r="28" spans="1:65" s="80" customFormat="1" ht="15" customHeight="1">
      <c r="A28" s="83"/>
      <c r="BK28" s="84"/>
      <c r="BM28" s="6">
        <f t="shared" si="1"/>
        <v>22</v>
      </c>
    </row>
    <row r="29" spans="1:65" s="80" customFormat="1" ht="15" customHeight="1">
      <c r="A29" s="83"/>
      <c r="BK29" s="84"/>
      <c r="BM29" s="6">
        <f t="shared" si="1"/>
        <v>23</v>
      </c>
    </row>
    <row r="30" spans="1:65" s="80" customFormat="1" ht="15" customHeight="1">
      <c r="A30" s="83"/>
      <c r="BK30" s="84"/>
      <c r="BM30" s="6">
        <f t="shared" si="1"/>
        <v>24</v>
      </c>
    </row>
    <row r="31" spans="1:65" s="80" customFormat="1" ht="15" customHeight="1">
      <c r="A31" s="83"/>
      <c r="BK31" s="84"/>
      <c r="BM31" s="6">
        <f t="shared" si="1"/>
        <v>25</v>
      </c>
    </row>
    <row r="32" spans="1:65" s="80" customFormat="1" ht="15" customHeight="1">
      <c r="A32" s="83"/>
      <c r="BK32" s="84"/>
      <c r="BM32" s="6">
        <f t="shared" si="1"/>
        <v>26</v>
      </c>
    </row>
    <row r="33" spans="1:65" s="80" customFormat="1" ht="15" customHeight="1">
      <c r="A33" s="83"/>
      <c r="BK33" s="84"/>
      <c r="BM33" s="6">
        <f t="shared" si="1"/>
        <v>27</v>
      </c>
    </row>
    <row r="34" spans="1:65" s="80" customFormat="1" ht="15" customHeight="1">
      <c r="A34" s="83"/>
      <c r="BK34" s="84"/>
      <c r="BM34" s="6">
        <f t="shared" si="1"/>
        <v>28</v>
      </c>
    </row>
    <row r="35" spans="1:65" s="80" customFormat="1" ht="15" customHeight="1">
      <c r="A35" s="83"/>
      <c r="BK35" s="84"/>
      <c r="BM35" s="6">
        <f t="shared" si="1"/>
        <v>29</v>
      </c>
    </row>
    <row r="36" spans="1:65" s="80" customFormat="1" ht="15" customHeight="1">
      <c r="A36" s="83"/>
      <c r="BK36" s="84"/>
      <c r="BM36" s="6">
        <f t="shared" si="1"/>
        <v>30</v>
      </c>
    </row>
    <row r="37" spans="1:65" s="80" customFormat="1" ht="15" customHeight="1">
      <c r="A37" s="83"/>
      <c r="BK37" s="84"/>
      <c r="BM37" s="6">
        <f t="shared" si="1"/>
        <v>31</v>
      </c>
    </row>
    <row r="38" spans="1:65" s="80" customFormat="1" ht="15" customHeight="1">
      <c r="A38" s="83"/>
      <c r="BK38" s="84"/>
      <c r="BM38" s="6">
        <f t="shared" si="1"/>
        <v>32</v>
      </c>
    </row>
    <row r="39" spans="1:65" s="80" customFormat="1" ht="15" customHeight="1">
      <c r="A39" s="83"/>
      <c r="BK39" s="84"/>
      <c r="BM39" s="6">
        <f t="shared" si="1"/>
        <v>33</v>
      </c>
    </row>
    <row r="40" spans="1:65" s="80" customFormat="1" ht="15" customHeight="1">
      <c r="A40" s="83"/>
      <c r="BK40" s="84"/>
      <c r="BM40" s="6">
        <f t="shared" si="1"/>
        <v>34</v>
      </c>
    </row>
    <row r="41" spans="1:65" s="80" customFormat="1" ht="15" customHeight="1">
      <c r="A41" s="83"/>
      <c r="BK41" s="84"/>
      <c r="BM41" s="6">
        <f t="shared" si="1"/>
        <v>35</v>
      </c>
    </row>
    <row r="42" spans="1:65" s="80" customFormat="1" ht="15" customHeight="1">
      <c r="A42" s="83"/>
      <c r="BK42" s="84"/>
      <c r="BM42" s="6">
        <f t="shared" si="1"/>
        <v>36</v>
      </c>
    </row>
    <row r="43" spans="1:65" s="80" customFormat="1" ht="15" customHeight="1">
      <c r="A43" s="83"/>
      <c r="BK43" s="84"/>
      <c r="BM43" s="6">
        <f t="shared" si="1"/>
        <v>37</v>
      </c>
    </row>
    <row r="44" spans="1:65" s="80" customFormat="1" ht="15" customHeight="1">
      <c r="A44" s="83"/>
      <c r="BK44" s="84"/>
      <c r="BM44" s="6">
        <f t="shared" si="1"/>
        <v>38</v>
      </c>
    </row>
    <row r="45" spans="1:65" s="80" customFormat="1" ht="15" customHeight="1">
      <c r="A45" s="83"/>
      <c r="BK45" s="84"/>
      <c r="BM45" s="6">
        <f t="shared" ref="BM45:BM57" si="2">IF(BM44=50,1,BM44+1)</f>
        <v>39</v>
      </c>
    </row>
    <row r="46" spans="1:65" s="80" customFormat="1" ht="15" customHeight="1">
      <c r="A46" s="83"/>
      <c r="BK46" s="84"/>
      <c r="BM46" s="6">
        <f t="shared" si="2"/>
        <v>40</v>
      </c>
    </row>
    <row r="47" spans="1:65" s="80" customFormat="1" ht="15" customHeight="1">
      <c r="A47" s="83"/>
      <c r="BK47" s="84"/>
      <c r="BM47" s="6">
        <f t="shared" si="2"/>
        <v>41</v>
      </c>
    </row>
    <row r="48" spans="1:65" s="80" customFormat="1" ht="15" customHeight="1">
      <c r="A48" s="83"/>
      <c r="BK48" s="84"/>
      <c r="BM48" s="6">
        <f t="shared" si="2"/>
        <v>42</v>
      </c>
    </row>
    <row r="49" spans="1:65" s="80" customFormat="1" ht="15" customHeight="1">
      <c r="A49" s="83"/>
      <c r="BK49" s="84"/>
      <c r="BM49" s="6">
        <f t="shared" si="2"/>
        <v>43</v>
      </c>
    </row>
    <row r="50" spans="1:65" s="80" customFormat="1" ht="15" customHeight="1">
      <c r="A50" s="83"/>
      <c r="BK50" s="84"/>
      <c r="BM50" s="6">
        <f t="shared" si="2"/>
        <v>44</v>
      </c>
    </row>
    <row r="51" spans="1:65" s="80" customFormat="1" ht="15" customHeight="1">
      <c r="A51" s="83"/>
      <c r="BK51" s="84"/>
      <c r="BM51" s="6">
        <f t="shared" si="2"/>
        <v>45</v>
      </c>
    </row>
    <row r="52" spans="1:65" s="80" customFormat="1" ht="15" customHeight="1">
      <c r="A52" s="83"/>
      <c r="BK52" s="84"/>
      <c r="BM52" s="6">
        <f t="shared" si="2"/>
        <v>46</v>
      </c>
    </row>
    <row r="53" spans="1:65" s="80" customFormat="1" ht="15" customHeight="1">
      <c r="A53" s="83"/>
      <c r="BK53" s="84"/>
      <c r="BM53" s="6">
        <f t="shared" si="2"/>
        <v>47</v>
      </c>
    </row>
    <row r="54" spans="1:65" s="80" customFormat="1" ht="15" customHeight="1">
      <c r="A54" s="83"/>
      <c r="BK54" s="84"/>
      <c r="BM54" s="6">
        <f t="shared" si="2"/>
        <v>48</v>
      </c>
    </row>
    <row r="55" spans="1:65" s="80" customFormat="1" ht="15" customHeight="1">
      <c r="A55" s="83"/>
      <c r="BK55" s="84"/>
      <c r="BM55" s="6">
        <f t="shared" si="2"/>
        <v>49</v>
      </c>
    </row>
    <row r="56" spans="1:65" s="80" customFormat="1" ht="15" customHeight="1">
      <c r="A56" s="83"/>
      <c r="BK56" s="84"/>
      <c r="BM56" s="6">
        <f t="shared" si="2"/>
        <v>50</v>
      </c>
    </row>
    <row r="57" spans="1:65" s="80" customFormat="1" ht="15" customHeight="1">
      <c r="A57" s="85"/>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7"/>
      <c r="BM57" s="6">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CN240"/>
  <sheetViews>
    <sheetView view="pageBreakPreview" zoomScale="85" zoomScaleNormal="75" zoomScaleSheetLayoutView="85" workbookViewId="0">
      <selection sqref="A1:J1"/>
    </sheetView>
  </sheetViews>
  <sheetFormatPr defaultColWidth="2.77734375" defaultRowHeight="15" customHeight="1"/>
  <cols>
    <col min="1" max="64" width="2.77734375" style="51" customWidth="1"/>
    <col min="65" max="65" width="3" style="51" bestFit="1" customWidth="1"/>
    <col min="66" max="67" width="2.77734375" style="51" customWidth="1"/>
    <col min="68" max="16384" width="2.77734375" style="51"/>
  </cols>
  <sheetData>
    <row r="1" spans="1:65" ht="24.95" customHeight="1">
      <c r="A1" s="123" t="s">
        <v>89</v>
      </c>
      <c r="B1" s="124"/>
      <c r="C1" s="124"/>
      <c r="D1" s="124"/>
      <c r="E1" s="124"/>
      <c r="F1" s="124"/>
      <c r="G1" s="124"/>
      <c r="H1" s="124"/>
      <c r="I1" s="124"/>
      <c r="J1" s="125"/>
      <c r="K1" s="123" t="s">
        <v>90</v>
      </c>
      <c r="L1" s="124"/>
      <c r="M1" s="124"/>
      <c r="N1" s="124"/>
      <c r="O1" s="124"/>
      <c r="P1" s="124"/>
      <c r="Q1" s="124"/>
      <c r="R1" s="124"/>
      <c r="S1" s="124"/>
      <c r="T1" s="124"/>
      <c r="U1" s="124"/>
      <c r="V1" s="125"/>
      <c r="W1" s="144" t="str">
        <f>IF(表紙!W1="","",表紙!W1)</f>
        <v>基本設計書</v>
      </c>
      <c r="X1" s="145"/>
      <c r="Y1" s="145"/>
      <c r="Z1" s="145"/>
      <c r="AA1" s="145"/>
      <c r="AB1" s="145"/>
      <c r="AC1" s="145"/>
      <c r="AD1" s="145"/>
      <c r="AE1" s="145"/>
      <c r="AF1" s="145"/>
      <c r="AG1" s="145"/>
      <c r="AH1" s="145"/>
      <c r="AI1" s="145"/>
      <c r="AJ1" s="145"/>
      <c r="AK1" s="145"/>
      <c r="AL1" s="145"/>
      <c r="AM1" s="145"/>
      <c r="AN1" s="145"/>
      <c r="AO1" s="146"/>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5" ht="15" customHeight="1">
      <c r="A2" s="108" t="str">
        <f>IF(表紙!A2="","",表紙!A2)</f>
        <v>POSサーバー</v>
      </c>
      <c r="B2" s="109"/>
      <c r="C2" s="109"/>
      <c r="D2" s="109"/>
      <c r="E2" s="109"/>
      <c r="F2" s="109"/>
      <c r="G2" s="109"/>
      <c r="H2" s="109"/>
      <c r="I2" s="109"/>
      <c r="J2" s="110"/>
      <c r="K2" s="108" t="str">
        <f>IF(表紙!K2="","",表紙!K2)</f>
        <v>POSサーバ</v>
      </c>
      <c r="L2" s="109"/>
      <c r="M2" s="109"/>
      <c r="N2" s="109"/>
      <c r="O2" s="109"/>
      <c r="P2" s="109"/>
      <c r="Q2" s="109"/>
      <c r="R2" s="109"/>
      <c r="S2" s="109"/>
      <c r="T2" s="109"/>
      <c r="U2" s="109"/>
      <c r="V2" s="110"/>
      <c r="W2" s="147"/>
      <c r="X2" s="148"/>
      <c r="Y2" s="148"/>
      <c r="Z2" s="148"/>
      <c r="AA2" s="148"/>
      <c r="AB2" s="148"/>
      <c r="AC2" s="148"/>
      <c r="AD2" s="148"/>
      <c r="AE2" s="148"/>
      <c r="AF2" s="148"/>
      <c r="AG2" s="148"/>
      <c r="AH2" s="148"/>
      <c r="AI2" s="148"/>
      <c r="AJ2" s="148"/>
      <c r="AK2" s="148"/>
      <c r="AL2" s="148"/>
      <c r="AM2" s="148"/>
      <c r="AN2" s="148"/>
      <c r="AO2" s="149"/>
      <c r="AP2" s="108" t="str">
        <f>IF(表紙!AP2="","",表紙!AP2)</f>
        <v>TinNH</v>
      </c>
      <c r="AQ2" s="109"/>
      <c r="AR2" s="109"/>
      <c r="AS2" s="110"/>
      <c r="AT2" s="137">
        <f>IF(表紙!AT2="","",表紙!AT2)</f>
        <v>45467</v>
      </c>
      <c r="AU2" s="138"/>
      <c r="AV2" s="138"/>
      <c r="AW2" s="138"/>
      <c r="AX2" s="139"/>
      <c r="AY2" s="108" t="str">
        <f>IF(表紙!AY2="","",表紙!AY2)</f>
        <v>AnhNM</v>
      </c>
      <c r="AZ2" s="109"/>
      <c r="BA2" s="109"/>
      <c r="BB2" s="110"/>
      <c r="BC2" s="137">
        <f>IF(表紙!BC2="","",表紙!BC2)</f>
        <v>45590</v>
      </c>
      <c r="BD2" s="138"/>
      <c r="BE2" s="138"/>
      <c r="BF2" s="138"/>
      <c r="BG2" s="139"/>
      <c r="BH2" s="108">
        <f>IF(表紙!BH2="","",表紙!BH2)</f>
        <v>0.4</v>
      </c>
      <c r="BI2" s="109"/>
      <c r="BJ2" s="109"/>
      <c r="BK2" s="110"/>
    </row>
    <row r="3" spans="1:65" ht="15" customHeight="1">
      <c r="A3" s="114"/>
      <c r="B3" s="115"/>
      <c r="C3" s="115"/>
      <c r="D3" s="115"/>
      <c r="E3" s="115"/>
      <c r="F3" s="115"/>
      <c r="G3" s="115"/>
      <c r="H3" s="115"/>
      <c r="I3" s="115"/>
      <c r="J3" s="116"/>
      <c r="K3" s="114"/>
      <c r="L3" s="115"/>
      <c r="M3" s="115"/>
      <c r="N3" s="115"/>
      <c r="O3" s="115"/>
      <c r="P3" s="115"/>
      <c r="Q3" s="115"/>
      <c r="R3" s="115"/>
      <c r="S3" s="115"/>
      <c r="T3" s="115"/>
      <c r="U3" s="115"/>
      <c r="V3" s="116"/>
      <c r="W3" s="150"/>
      <c r="X3" s="151"/>
      <c r="Y3" s="151"/>
      <c r="Z3" s="151"/>
      <c r="AA3" s="151"/>
      <c r="AB3" s="151"/>
      <c r="AC3" s="151"/>
      <c r="AD3" s="151"/>
      <c r="AE3" s="151"/>
      <c r="AF3" s="151"/>
      <c r="AG3" s="151"/>
      <c r="AH3" s="151"/>
      <c r="AI3" s="151"/>
      <c r="AJ3" s="151"/>
      <c r="AK3" s="151"/>
      <c r="AL3" s="151"/>
      <c r="AM3" s="151"/>
      <c r="AN3" s="151"/>
      <c r="AO3" s="152"/>
      <c r="AP3" s="114"/>
      <c r="AQ3" s="115"/>
      <c r="AR3" s="115"/>
      <c r="AS3" s="116"/>
      <c r="AT3" s="140"/>
      <c r="AU3" s="141"/>
      <c r="AV3" s="141"/>
      <c r="AW3" s="141"/>
      <c r="AX3" s="142"/>
      <c r="AY3" s="114"/>
      <c r="AZ3" s="115"/>
      <c r="BA3" s="115"/>
      <c r="BB3" s="116"/>
      <c r="BC3" s="140"/>
      <c r="BD3" s="141"/>
      <c r="BE3" s="141"/>
      <c r="BF3" s="141"/>
      <c r="BG3" s="142"/>
      <c r="BH3" s="114"/>
      <c r="BI3" s="115"/>
      <c r="BJ3" s="115"/>
      <c r="BK3" s="116"/>
    </row>
    <row r="4" spans="1:65" ht="24.95" customHeight="1">
      <c r="A4" s="123" t="s">
        <v>98</v>
      </c>
      <c r="B4" s="124"/>
      <c r="C4" s="124"/>
      <c r="D4" s="124"/>
      <c r="E4" s="124"/>
      <c r="F4" s="124"/>
      <c r="G4" s="125"/>
      <c r="H4" s="128"/>
      <c r="I4" s="129"/>
      <c r="J4" s="129"/>
      <c r="K4" s="129"/>
      <c r="L4" s="129"/>
      <c r="M4" s="129"/>
      <c r="N4" s="129"/>
      <c r="O4" s="129"/>
      <c r="P4" s="129"/>
      <c r="Q4" s="129"/>
      <c r="R4" s="129"/>
      <c r="S4" s="129"/>
      <c r="T4" s="130"/>
      <c r="U4" s="123" t="s">
        <v>99</v>
      </c>
      <c r="V4" s="124"/>
      <c r="W4" s="124"/>
      <c r="X4" s="124"/>
      <c r="Y4" s="125"/>
      <c r="Z4" s="128" t="str">
        <f>IF(表紙!Z4="","",表紙!Z4)</f>
        <v>概要設計</v>
      </c>
      <c r="AA4" s="129"/>
      <c r="AB4" s="129"/>
      <c r="AC4" s="129"/>
      <c r="AD4" s="129"/>
      <c r="AE4" s="129"/>
      <c r="AF4" s="129"/>
      <c r="AG4" s="129"/>
      <c r="AH4" s="129"/>
      <c r="AI4" s="129"/>
      <c r="AJ4" s="129"/>
      <c r="AK4" s="129"/>
      <c r="AL4" s="129"/>
      <c r="AM4" s="129"/>
      <c r="AN4" s="129"/>
      <c r="AO4" s="130"/>
      <c r="AP4" s="128" t="str">
        <f t="array" aca="1" ref="AP4" ca="1">RIGHT(CELL("filename",$A$1),LEN(CELL("filename",$A$1))-FIND("]",CELL("filename",$A$1)))</f>
        <v>機能概要</v>
      </c>
      <c r="AQ4" s="129"/>
      <c r="AR4" s="129"/>
      <c r="AS4" s="129"/>
      <c r="AT4" s="129"/>
      <c r="AU4" s="129"/>
      <c r="AV4" s="129"/>
      <c r="AW4" s="129"/>
      <c r="AX4" s="129"/>
      <c r="AY4" s="129"/>
      <c r="AZ4" s="129"/>
      <c r="BA4" s="129"/>
      <c r="BB4" s="129"/>
      <c r="BC4" s="129"/>
      <c r="BD4" s="129"/>
      <c r="BE4" s="129"/>
      <c r="BF4" s="129"/>
      <c r="BG4" s="129"/>
      <c r="BH4" s="129"/>
      <c r="BI4" s="129"/>
      <c r="BJ4" s="129"/>
      <c r="BK4" s="130"/>
    </row>
    <row r="5" spans="1:65" ht="5.0999999999999996" customHeight="1">
      <c r="A5" s="52"/>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4"/>
    </row>
    <row r="6" spans="1:65" ht="15" customHeight="1">
      <c r="A6" s="55"/>
      <c r="BK6" s="67"/>
    </row>
    <row r="7" spans="1:65" ht="15" customHeight="1">
      <c r="A7" s="55"/>
      <c r="B7" s="88" t="s">
        <v>115</v>
      </c>
      <c r="C7" s="89"/>
      <c r="D7" s="74"/>
      <c r="E7" s="74"/>
      <c r="F7" s="74"/>
      <c r="G7" s="74"/>
      <c r="H7" s="74"/>
      <c r="I7" s="74"/>
      <c r="J7" s="74"/>
      <c r="K7" s="90"/>
      <c r="L7" s="74"/>
      <c r="M7" s="74"/>
      <c r="N7" s="74"/>
      <c r="O7" s="74"/>
      <c r="P7" s="74"/>
      <c r="Q7" s="74"/>
      <c r="R7" s="74"/>
      <c r="S7" s="74"/>
      <c r="T7" s="90"/>
      <c r="U7" s="89"/>
      <c r="V7" s="74"/>
      <c r="W7" s="74"/>
      <c r="X7" s="74"/>
      <c r="Y7" s="74"/>
      <c r="Z7" s="74"/>
      <c r="AA7" s="74"/>
      <c r="AB7" s="74"/>
      <c r="AC7" s="90"/>
      <c r="AD7" s="89"/>
      <c r="AE7" s="74"/>
      <c r="AF7" s="74"/>
      <c r="AG7" s="74"/>
      <c r="AH7" s="74"/>
      <c r="AI7" s="74"/>
      <c r="AJ7" s="74"/>
      <c r="AK7" s="74"/>
      <c r="AL7" s="90"/>
      <c r="AM7" s="89"/>
      <c r="AN7" s="74"/>
      <c r="AO7" s="74"/>
      <c r="AP7" s="74"/>
      <c r="AQ7" s="74"/>
      <c r="AR7" s="74"/>
      <c r="AS7" s="74"/>
      <c r="AT7" s="74"/>
      <c r="AU7" s="74"/>
      <c r="AV7" s="74"/>
      <c r="AW7" s="74"/>
      <c r="AX7" s="74"/>
      <c r="AY7" s="74"/>
      <c r="AZ7" s="74"/>
      <c r="BA7" s="74"/>
      <c r="BB7" s="74"/>
      <c r="BC7" s="74"/>
      <c r="BD7" s="74"/>
      <c r="BE7" s="74"/>
      <c r="BF7" s="74"/>
      <c r="BG7" s="74"/>
      <c r="BH7" s="74"/>
      <c r="BI7" s="90"/>
      <c r="BJ7" s="74"/>
      <c r="BK7" s="56"/>
    </row>
    <row r="8" spans="1:65" ht="15" customHeight="1">
      <c r="A8" s="55"/>
      <c r="B8" s="91"/>
      <c r="K8" s="92"/>
      <c r="U8" s="91"/>
      <c r="AD8" s="91"/>
      <c r="AM8" s="91"/>
      <c r="BI8" s="93"/>
      <c r="BK8" s="56"/>
      <c r="BM8" s="6">
        <f t="shared" ref="BM8:BM119" si="0">IF(BM7=50,1,BM7+1)</f>
        <v>1</v>
      </c>
    </row>
    <row r="9" spans="1:65" ht="15" customHeight="1">
      <c r="A9" s="55"/>
      <c r="B9" s="91"/>
      <c r="K9" s="92"/>
      <c r="U9" s="91"/>
      <c r="AD9" s="91"/>
      <c r="AM9" s="91"/>
      <c r="BI9" s="93"/>
      <c r="BK9" s="56"/>
      <c r="BM9" s="6">
        <f t="shared" si="0"/>
        <v>2</v>
      </c>
    </row>
    <row r="10" spans="1:65" ht="15" customHeight="1">
      <c r="A10" s="55"/>
      <c r="B10" s="91"/>
      <c r="K10" s="92"/>
      <c r="U10" s="91"/>
      <c r="AD10" s="91"/>
      <c r="AM10" s="91"/>
      <c r="BI10" s="93"/>
      <c r="BK10" s="56"/>
      <c r="BM10" s="6">
        <f t="shared" si="0"/>
        <v>3</v>
      </c>
    </row>
    <row r="11" spans="1:65" ht="15" customHeight="1">
      <c r="A11" s="55"/>
      <c r="B11" s="91"/>
      <c r="K11" s="92"/>
      <c r="U11" s="91"/>
      <c r="AD11" s="91"/>
      <c r="AM11" s="91"/>
      <c r="BI11" s="93"/>
      <c r="BK11" s="56"/>
      <c r="BM11" s="6">
        <f t="shared" si="0"/>
        <v>4</v>
      </c>
    </row>
    <row r="12" spans="1:65" ht="15" customHeight="1">
      <c r="A12" s="55"/>
      <c r="B12" s="91"/>
      <c r="K12" s="92"/>
      <c r="U12" s="91"/>
      <c r="AD12" s="91"/>
      <c r="AM12" s="91"/>
      <c r="BI12" s="93"/>
      <c r="BK12" s="56"/>
      <c r="BM12" s="6">
        <f t="shared" si="0"/>
        <v>5</v>
      </c>
    </row>
    <row r="13" spans="1:65" ht="15" customHeight="1">
      <c r="A13" s="55"/>
      <c r="B13" s="91"/>
      <c r="K13" s="92"/>
      <c r="U13" s="91"/>
      <c r="AD13" s="91"/>
      <c r="AM13" s="91"/>
      <c r="BI13" s="93"/>
      <c r="BK13" s="56"/>
      <c r="BM13" s="6">
        <f t="shared" si="0"/>
        <v>6</v>
      </c>
    </row>
    <row r="14" spans="1:65" ht="15" customHeight="1">
      <c r="A14" s="55"/>
      <c r="B14" s="91"/>
      <c r="K14" s="92"/>
      <c r="U14" s="91"/>
      <c r="AD14" s="91"/>
      <c r="AM14" s="91"/>
      <c r="BI14" s="93"/>
      <c r="BK14" s="56"/>
      <c r="BM14" s="6">
        <f t="shared" si="0"/>
        <v>7</v>
      </c>
    </row>
    <row r="15" spans="1:65" ht="15" customHeight="1">
      <c r="A15" s="55"/>
      <c r="B15" s="91"/>
      <c r="K15" s="92"/>
      <c r="U15" s="91"/>
      <c r="AD15" s="91"/>
      <c r="AM15" s="91"/>
      <c r="BI15" s="93"/>
      <c r="BK15" s="56"/>
      <c r="BM15" s="6">
        <f t="shared" si="0"/>
        <v>8</v>
      </c>
    </row>
    <row r="16" spans="1:65" ht="15" customHeight="1">
      <c r="A16" s="55"/>
      <c r="B16" s="94" t="s">
        <v>35</v>
      </c>
      <c r="C16" s="95"/>
      <c r="D16" s="95"/>
      <c r="E16" s="95"/>
      <c r="F16" s="95"/>
      <c r="G16" s="95"/>
      <c r="H16" s="95"/>
      <c r="I16" s="95"/>
      <c r="J16" s="95"/>
      <c r="K16" s="96"/>
      <c r="L16" s="94"/>
      <c r="M16" s="95"/>
      <c r="N16" s="95"/>
      <c r="O16" s="95"/>
      <c r="P16" s="95"/>
      <c r="Q16" s="95"/>
      <c r="R16" s="95"/>
      <c r="S16" s="95"/>
      <c r="T16" s="96"/>
      <c r="U16" s="94"/>
      <c r="V16" s="95"/>
      <c r="W16" s="95"/>
      <c r="X16" s="95"/>
      <c r="Y16" s="95"/>
      <c r="Z16" s="95"/>
      <c r="AA16" s="95"/>
      <c r="AB16" s="95"/>
      <c r="AC16" s="96"/>
      <c r="AD16" s="94"/>
      <c r="AE16" s="95"/>
      <c r="AF16" s="95"/>
      <c r="AG16" s="95"/>
      <c r="AH16" s="95"/>
      <c r="AI16" s="95"/>
      <c r="AJ16" s="95"/>
      <c r="AK16" s="95"/>
      <c r="AL16" s="96"/>
      <c r="AM16" s="94"/>
      <c r="AN16" s="95"/>
      <c r="AO16" s="95"/>
      <c r="AP16" s="95"/>
      <c r="AQ16" s="95"/>
      <c r="AR16" s="95"/>
      <c r="AS16" s="95"/>
      <c r="AT16" s="95"/>
      <c r="AU16" s="95"/>
      <c r="AV16" s="95"/>
      <c r="AW16" s="95"/>
      <c r="AX16" s="95"/>
      <c r="AY16" s="95"/>
      <c r="AZ16" s="95"/>
      <c r="BA16" s="95"/>
      <c r="BB16" s="95"/>
      <c r="BC16" s="95"/>
      <c r="BD16" s="95"/>
      <c r="BE16" s="95"/>
      <c r="BF16" s="95"/>
      <c r="BG16" s="95"/>
      <c r="BH16" s="95"/>
      <c r="BI16" s="96"/>
      <c r="BJ16" s="95"/>
      <c r="BK16" s="56"/>
      <c r="BM16" s="6">
        <f t="shared" si="0"/>
        <v>9</v>
      </c>
    </row>
    <row r="17" spans="1:67" ht="15" customHeight="1">
      <c r="A17" s="55"/>
      <c r="B17" s="91"/>
      <c r="K17" s="92"/>
      <c r="U17" s="91"/>
      <c r="AD17" s="91"/>
      <c r="AM17" s="91"/>
      <c r="BI17" s="93"/>
      <c r="BK17" s="56"/>
      <c r="BM17" s="6">
        <f t="shared" si="0"/>
        <v>10</v>
      </c>
    </row>
    <row r="18" spans="1:67" ht="15" customHeight="1">
      <c r="A18" s="55"/>
      <c r="B18" s="91"/>
      <c r="K18" s="92"/>
      <c r="U18" s="91"/>
      <c r="AD18" s="91"/>
      <c r="AM18" s="91"/>
      <c r="BI18" s="93"/>
      <c r="BK18" s="56"/>
      <c r="BM18" s="6">
        <f t="shared" si="0"/>
        <v>11</v>
      </c>
      <c r="BN18" s="51" t="s">
        <v>73</v>
      </c>
    </row>
    <row r="19" spans="1:67" ht="15" customHeight="1">
      <c r="A19" s="55"/>
      <c r="B19" s="91"/>
      <c r="K19" s="92"/>
      <c r="U19" s="91"/>
      <c r="AD19" s="91"/>
      <c r="AM19" s="91"/>
      <c r="BI19" s="93"/>
      <c r="BK19" s="56"/>
      <c r="BM19" s="6">
        <f t="shared" si="0"/>
        <v>12</v>
      </c>
    </row>
    <row r="20" spans="1:67" ht="15" customHeight="1">
      <c r="A20" s="55"/>
      <c r="B20" s="91"/>
      <c r="K20" s="92"/>
      <c r="U20" s="91"/>
      <c r="AD20" s="91"/>
      <c r="AM20" s="91"/>
      <c r="BI20" s="93"/>
      <c r="BK20" s="56"/>
      <c r="BM20" s="6">
        <f t="shared" si="0"/>
        <v>13</v>
      </c>
    </row>
    <row r="21" spans="1:67" ht="15" customHeight="1">
      <c r="A21" s="55"/>
      <c r="B21" s="91"/>
      <c r="K21" s="92"/>
      <c r="U21" s="91"/>
      <c r="AD21" s="91"/>
      <c r="AM21" s="91"/>
      <c r="BI21" s="93"/>
      <c r="BK21" s="56"/>
      <c r="BM21" s="6">
        <f t="shared" si="0"/>
        <v>14</v>
      </c>
    </row>
    <row r="22" spans="1:67" ht="15" customHeight="1">
      <c r="A22" s="83"/>
      <c r="B22" s="91"/>
      <c r="C22" s="80"/>
      <c r="D22" s="80"/>
      <c r="E22" s="80"/>
      <c r="F22" s="80"/>
      <c r="G22" s="80"/>
      <c r="H22" s="80"/>
      <c r="I22" s="80"/>
      <c r="J22" s="80"/>
      <c r="K22" s="92"/>
      <c r="L22" s="97"/>
      <c r="M22" s="80"/>
      <c r="N22" s="80"/>
      <c r="O22" s="80"/>
      <c r="P22" s="80"/>
      <c r="Q22" s="80"/>
      <c r="R22" s="80"/>
      <c r="S22" s="80"/>
      <c r="T22" s="92"/>
      <c r="U22" s="97"/>
      <c r="V22" s="80"/>
      <c r="W22" s="80"/>
      <c r="X22" s="80"/>
      <c r="Y22" s="80"/>
      <c r="Z22" s="80"/>
      <c r="AA22" s="80"/>
      <c r="AB22" s="80"/>
      <c r="AC22" s="92"/>
      <c r="AD22" s="97"/>
      <c r="AE22" s="80"/>
      <c r="AF22" s="80"/>
      <c r="AG22" s="80"/>
      <c r="AH22" s="80"/>
      <c r="AI22" s="80"/>
      <c r="AJ22" s="80"/>
      <c r="AK22" s="80"/>
      <c r="AL22" s="92"/>
      <c r="AM22" s="97"/>
      <c r="AN22" s="80"/>
      <c r="AO22" s="80"/>
      <c r="AP22" s="80"/>
      <c r="AQ22" s="80"/>
      <c r="AR22" s="80"/>
      <c r="AS22" s="80"/>
      <c r="AT22" s="80"/>
      <c r="AU22" s="80"/>
      <c r="AV22" s="80"/>
      <c r="AW22" s="80"/>
      <c r="AX22" s="80"/>
      <c r="AY22" s="80"/>
      <c r="AZ22" s="80"/>
      <c r="BA22" s="80"/>
      <c r="BB22" s="80"/>
      <c r="BC22" s="80"/>
      <c r="BD22" s="80"/>
      <c r="BE22" s="80"/>
      <c r="BF22" s="80"/>
      <c r="BG22" s="80"/>
      <c r="BH22" s="80"/>
      <c r="BI22" s="92"/>
      <c r="BJ22" s="80"/>
      <c r="BK22" s="84"/>
      <c r="BM22" s="6">
        <f t="shared" si="0"/>
        <v>15</v>
      </c>
    </row>
    <row r="23" spans="1:67" ht="15" customHeight="1">
      <c r="A23" s="83"/>
      <c r="B23" s="91"/>
      <c r="C23" s="80"/>
      <c r="D23" s="80"/>
      <c r="E23" s="80"/>
      <c r="F23" s="80"/>
      <c r="G23" s="80"/>
      <c r="H23" s="80"/>
      <c r="I23" s="80"/>
      <c r="J23" s="80"/>
      <c r="K23" s="92"/>
      <c r="L23" s="97"/>
      <c r="M23" s="80"/>
      <c r="N23" s="80"/>
      <c r="O23" s="80"/>
      <c r="P23" s="80"/>
      <c r="Q23" s="80"/>
      <c r="R23" s="80"/>
      <c r="S23" s="80"/>
      <c r="T23" s="92"/>
      <c r="U23" s="97"/>
      <c r="V23" s="80"/>
      <c r="W23" s="80"/>
      <c r="X23" s="80"/>
      <c r="Y23" s="80"/>
      <c r="Z23" s="80"/>
      <c r="AA23" s="80"/>
      <c r="AB23" s="80"/>
      <c r="AC23" s="92"/>
      <c r="AD23" s="97"/>
      <c r="AE23" s="80"/>
      <c r="AF23" s="80"/>
      <c r="AG23" s="80"/>
      <c r="AH23" s="80"/>
      <c r="AI23" s="80"/>
      <c r="AJ23" s="80"/>
      <c r="AK23" s="80"/>
      <c r="AL23" s="92"/>
      <c r="AM23" s="97"/>
      <c r="AN23" s="80"/>
      <c r="AO23" s="80"/>
      <c r="AP23" s="80"/>
      <c r="AQ23" s="80"/>
      <c r="AR23" s="80"/>
      <c r="AS23" s="80"/>
      <c r="AT23" s="80"/>
      <c r="AU23" s="80"/>
      <c r="AV23" s="80"/>
      <c r="AW23" s="80"/>
      <c r="AX23" s="80"/>
      <c r="AY23" s="80"/>
      <c r="AZ23" s="80"/>
      <c r="BA23" s="80"/>
      <c r="BB23" s="80"/>
      <c r="BC23" s="80"/>
      <c r="BD23" s="80"/>
      <c r="BE23" s="80"/>
      <c r="BF23" s="80"/>
      <c r="BG23" s="80"/>
      <c r="BH23" s="80"/>
      <c r="BI23" s="92"/>
      <c r="BJ23" s="80"/>
      <c r="BK23" s="84"/>
      <c r="BM23" s="6">
        <f t="shared" si="0"/>
        <v>16</v>
      </c>
    </row>
    <row r="24" spans="1:67" ht="15" customHeight="1">
      <c r="A24" s="83"/>
      <c r="B24" s="91"/>
      <c r="C24" s="80"/>
      <c r="D24" s="80"/>
      <c r="E24" s="80"/>
      <c r="F24" s="80"/>
      <c r="G24" s="80"/>
      <c r="H24" s="80"/>
      <c r="I24" s="80"/>
      <c r="J24" s="80"/>
      <c r="K24" s="92"/>
      <c r="L24" s="97"/>
      <c r="M24" s="80"/>
      <c r="N24" s="80"/>
      <c r="O24" s="80"/>
      <c r="P24" s="80"/>
      <c r="Q24" s="80"/>
      <c r="R24" s="80"/>
      <c r="S24" s="80"/>
      <c r="T24" s="92"/>
      <c r="U24" s="97"/>
      <c r="V24" s="80"/>
      <c r="W24" s="80"/>
      <c r="X24" s="80"/>
      <c r="Y24" s="80"/>
      <c r="Z24" s="80"/>
      <c r="AA24" s="80"/>
      <c r="AB24" s="80"/>
      <c r="AC24" s="92"/>
      <c r="AD24" s="97"/>
      <c r="AE24" s="80"/>
      <c r="AF24" s="80"/>
      <c r="AG24" s="80"/>
      <c r="AH24" s="80"/>
      <c r="AI24" s="80"/>
      <c r="AJ24" s="80"/>
      <c r="AK24" s="80"/>
      <c r="AL24" s="92"/>
      <c r="AM24" s="97"/>
      <c r="AN24" s="80"/>
      <c r="AO24" s="80"/>
      <c r="AP24" s="80"/>
      <c r="AQ24" s="80"/>
      <c r="AR24" s="80"/>
      <c r="AS24" s="80"/>
      <c r="AT24" s="80"/>
      <c r="AU24" s="80"/>
      <c r="AV24" s="80"/>
      <c r="AW24" s="80"/>
      <c r="AX24" s="80"/>
      <c r="AY24" s="80"/>
      <c r="AZ24" s="80"/>
      <c r="BA24" s="80"/>
      <c r="BB24" s="80"/>
      <c r="BC24" s="80"/>
      <c r="BD24" s="80"/>
      <c r="BE24" s="80"/>
      <c r="BF24" s="80"/>
      <c r="BG24" s="80"/>
      <c r="BH24" s="80"/>
      <c r="BI24" s="92"/>
      <c r="BJ24" s="80"/>
      <c r="BK24" s="84"/>
      <c r="BM24" s="6">
        <f t="shared" si="0"/>
        <v>17</v>
      </c>
      <c r="BO24" s="51" t="s">
        <v>31</v>
      </c>
    </row>
    <row r="25" spans="1:67" ht="15" customHeight="1">
      <c r="A25" s="83"/>
      <c r="B25" s="91"/>
      <c r="C25" s="80"/>
      <c r="D25" s="80"/>
      <c r="E25" s="80"/>
      <c r="F25" s="80"/>
      <c r="G25" s="80"/>
      <c r="H25" s="80"/>
      <c r="I25" s="80"/>
      <c r="J25" s="80"/>
      <c r="K25" s="92"/>
      <c r="L25" s="97"/>
      <c r="M25" s="80"/>
      <c r="N25" s="80"/>
      <c r="O25" s="80"/>
      <c r="P25" s="80"/>
      <c r="Q25" s="80"/>
      <c r="R25" s="80"/>
      <c r="S25" s="80"/>
      <c r="T25" s="92"/>
      <c r="U25" s="97"/>
      <c r="V25" s="80"/>
      <c r="W25" s="80"/>
      <c r="X25" s="80"/>
      <c r="Y25" s="80"/>
      <c r="Z25" s="80"/>
      <c r="AA25" s="80"/>
      <c r="AB25" s="80"/>
      <c r="AC25" s="92"/>
      <c r="AD25" s="97"/>
      <c r="AE25" s="80"/>
      <c r="AF25" s="80"/>
      <c r="AG25" s="80"/>
      <c r="AH25" s="80"/>
      <c r="AI25" s="80"/>
      <c r="AJ25" s="80"/>
      <c r="AK25" s="80"/>
      <c r="AL25" s="92"/>
      <c r="AM25" s="97"/>
      <c r="AN25" s="80"/>
      <c r="AO25" s="80"/>
      <c r="AP25" s="80"/>
      <c r="AQ25" s="80"/>
      <c r="AR25" s="80"/>
      <c r="AS25" s="80"/>
      <c r="AT25" s="80"/>
      <c r="AU25" s="80"/>
      <c r="AV25" s="80"/>
      <c r="AW25" s="80"/>
      <c r="AX25" s="80"/>
      <c r="AY25" s="80"/>
      <c r="AZ25" s="80"/>
      <c r="BA25" s="80"/>
      <c r="BB25" s="80"/>
      <c r="BC25" s="80"/>
      <c r="BD25" s="80"/>
      <c r="BE25" s="80"/>
      <c r="BF25" s="80"/>
      <c r="BG25" s="80"/>
      <c r="BH25" s="80"/>
      <c r="BI25" s="92"/>
      <c r="BJ25" s="80"/>
      <c r="BK25" s="84"/>
      <c r="BM25" s="6">
        <f t="shared" si="0"/>
        <v>18</v>
      </c>
      <c r="BO25" s="51" t="s">
        <v>32</v>
      </c>
    </row>
    <row r="26" spans="1:67" ht="15" customHeight="1">
      <c r="A26" s="83"/>
      <c r="B26" s="91"/>
      <c r="C26" s="80"/>
      <c r="D26" s="80"/>
      <c r="E26" s="80"/>
      <c r="F26" s="80"/>
      <c r="G26" s="80"/>
      <c r="H26" s="80"/>
      <c r="I26" s="80"/>
      <c r="J26" s="80"/>
      <c r="K26" s="92"/>
      <c r="L26" s="97"/>
      <c r="M26" s="80"/>
      <c r="N26" s="80"/>
      <c r="O26" s="80"/>
      <c r="P26" s="80"/>
      <c r="Q26" s="80"/>
      <c r="R26" s="80"/>
      <c r="S26" s="80"/>
      <c r="T26" s="92"/>
      <c r="U26" s="97"/>
      <c r="V26" s="80"/>
      <c r="W26" s="80"/>
      <c r="X26" s="80"/>
      <c r="Y26" s="80"/>
      <c r="Z26" s="80"/>
      <c r="AA26" s="80"/>
      <c r="AB26" s="80"/>
      <c r="AC26" s="92"/>
      <c r="AD26" s="97"/>
      <c r="AE26" s="80"/>
      <c r="AF26" s="80"/>
      <c r="AG26" s="80"/>
      <c r="AH26" s="80"/>
      <c r="AI26" s="80"/>
      <c r="AJ26" s="80"/>
      <c r="AK26" s="80"/>
      <c r="AL26" s="92"/>
      <c r="AM26" s="97"/>
      <c r="AN26" s="80"/>
      <c r="AO26" s="80"/>
      <c r="AP26" s="80"/>
      <c r="AQ26" s="80"/>
      <c r="AR26" s="80"/>
      <c r="AS26" s="80"/>
      <c r="AT26" s="80"/>
      <c r="AU26" s="80"/>
      <c r="AV26" s="80"/>
      <c r="AW26" s="80"/>
      <c r="AX26" s="80"/>
      <c r="AY26" s="80"/>
      <c r="AZ26" s="80"/>
      <c r="BA26" s="80"/>
      <c r="BB26" s="80"/>
      <c r="BC26" s="80"/>
      <c r="BD26" s="80"/>
      <c r="BE26" s="80"/>
      <c r="BF26" s="80"/>
      <c r="BG26" s="80"/>
      <c r="BH26" s="80"/>
      <c r="BI26" s="92"/>
      <c r="BJ26" s="80"/>
      <c r="BK26" s="84"/>
      <c r="BM26" s="6">
        <f t="shared" si="0"/>
        <v>19</v>
      </c>
    </row>
    <row r="27" spans="1:67" ht="15" customHeight="1">
      <c r="A27" s="83"/>
      <c r="B27" s="91"/>
      <c r="C27" s="80"/>
      <c r="D27" s="80"/>
      <c r="E27" s="80"/>
      <c r="F27" s="80"/>
      <c r="G27" s="80"/>
      <c r="H27" s="80"/>
      <c r="I27" s="80"/>
      <c r="J27" s="80"/>
      <c r="K27" s="92"/>
      <c r="L27" s="97"/>
      <c r="M27" s="80"/>
      <c r="N27" s="80"/>
      <c r="O27" s="80"/>
      <c r="P27" s="80"/>
      <c r="Q27" s="80"/>
      <c r="R27" s="80"/>
      <c r="S27" s="80"/>
      <c r="T27" s="92"/>
      <c r="U27" s="97"/>
      <c r="V27" s="80"/>
      <c r="W27" s="80"/>
      <c r="X27" s="80"/>
      <c r="Y27" s="80"/>
      <c r="Z27" s="80"/>
      <c r="AA27" s="80"/>
      <c r="AB27" s="80"/>
      <c r="AC27" s="92"/>
      <c r="AD27" s="97"/>
      <c r="AE27" s="80"/>
      <c r="AF27" s="80"/>
      <c r="AG27" s="80"/>
      <c r="AH27" s="80"/>
      <c r="AI27" s="80"/>
      <c r="AJ27" s="80"/>
      <c r="AK27" s="80"/>
      <c r="AL27" s="92"/>
      <c r="AM27" s="97"/>
      <c r="AN27" s="80"/>
      <c r="AO27" s="80"/>
      <c r="AP27" s="80"/>
      <c r="AQ27" s="80"/>
      <c r="AR27" s="80"/>
      <c r="AS27" s="80"/>
      <c r="AT27" s="80"/>
      <c r="AU27" s="80"/>
      <c r="AV27" s="80"/>
      <c r="AW27" s="80"/>
      <c r="AX27" s="80"/>
      <c r="AY27" s="80"/>
      <c r="AZ27" s="80"/>
      <c r="BA27" s="80"/>
      <c r="BB27" s="80"/>
      <c r="BC27" s="80"/>
      <c r="BD27" s="80"/>
      <c r="BE27" s="80"/>
      <c r="BF27" s="80"/>
      <c r="BG27" s="80"/>
      <c r="BH27" s="80"/>
      <c r="BI27" s="92"/>
      <c r="BJ27" s="80"/>
      <c r="BK27" s="84"/>
      <c r="BM27" s="6">
        <f t="shared" si="0"/>
        <v>20</v>
      </c>
    </row>
    <row r="28" spans="1:67" ht="15" customHeight="1">
      <c r="A28" s="83"/>
      <c r="B28" s="91"/>
      <c r="C28" s="80"/>
      <c r="D28" s="80"/>
      <c r="E28" s="80"/>
      <c r="F28" s="80"/>
      <c r="G28" s="80"/>
      <c r="H28" s="80"/>
      <c r="I28" s="80"/>
      <c r="J28" s="80"/>
      <c r="K28" s="92"/>
      <c r="L28" s="97"/>
      <c r="M28" s="80"/>
      <c r="N28" s="80"/>
      <c r="O28" s="80"/>
      <c r="P28" s="80"/>
      <c r="Q28" s="80"/>
      <c r="R28" s="80"/>
      <c r="S28" s="80"/>
      <c r="T28" s="92"/>
      <c r="U28" s="97"/>
      <c r="V28" s="80"/>
      <c r="W28" s="80"/>
      <c r="X28" s="80"/>
      <c r="Y28" s="80"/>
      <c r="Z28" s="80"/>
      <c r="AA28" s="80"/>
      <c r="AB28" s="80"/>
      <c r="AC28" s="92"/>
      <c r="AD28" s="97"/>
      <c r="AE28" s="80"/>
      <c r="AF28" s="80"/>
      <c r="AG28" s="80"/>
      <c r="AH28" s="80"/>
      <c r="AI28" s="80"/>
      <c r="AJ28" s="80"/>
      <c r="AK28" s="80"/>
      <c r="AL28" s="92"/>
      <c r="AM28" s="97"/>
      <c r="AN28" s="80"/>
      <c r="AO28" s="80"/>
      <c r="AP28" s="80"/>
      <c r="AQ28" s="80"/>
      <c r="AR28" s="80"/>
      <c r="AS28" s="80"/>
      <c r="AT28" s="80"/>
      <c r="AU28" s="80"/>
      <c r="AV28" s="80"/>
      <c r="AW28" s="80"/>
      <c r="AX28" s="80"/>
      <c r="AY28" s="80"/>
      <c r="AZ28" s="80"/>
      <c r="BA28" s="80"/>
      <c r="BB28" s="80"/>
      <c r="BC28" s="80"/>
      <c r="BD28" s="80"/>
      <c r="BE28" s="80"/>
      <c r="BF28" s="80"/>
      <c r="BG28" s="80"/>
      <c r="BH28" s="80"/>
      <c r="BI28" s="92"/>
      <c r="BJ28" s="80"/>
      <c r="BK28" s="84"/>
      <c r="BM28" s="6">
        <f t="shared" si="0"/>
        <v>21</v>
      </c>
    </row>
    <row r="29" spans="1:67" ht="15" customHeight="1">
      <c r="A29" s="83"/>
      <c r="B29" s="91"/>
      <c r="C29" s="80"/>
      <c r="D29" s="80"/>
      <c r="E29" s="80"/>
      <c r="F29" s="80"/>
      <c r="G29" s="80"/>
      <c r="H29" s="80"/>
      <c r="I29" s="80"/>
      <c r="J29" s="80"/>
      <c r="K29" s="92"/>
      <c r="L29" s="97"/>
      <c r="M29" s="80"/>
      <c r="N29" s="80"/>
      <c r="O29" s="80"/>
      <c r="P29" s="80"/>
      <c r="Q29" s="80"/>
      <c r="R29" s="80"/>
      <c r="S29" s="80"/>
      <c r="T29" s="92"/>
      <c r="U29" s="97"/>
      <c r="V29" s="80"/>
      <c r="W29" s="80"/>
      <c r="X29" s="80"/>
      <c r="Y29" s="80"/>
      <c r="Z29" s="80"/>
      <c r="AA29" s="80"/>
      <c r="AB29" s="80"/>
      <c r="AC29" s="92"/>
      <c r="AD29" s="97"/>
      <c r="AE29" s="80"/>
      <c r="AF29" s="80"/>
      <c r="AG29" s="80"/>
      <c r="AH29" s="80"/>
      <c r="AI29" s="80"/>
      <c r="AJ29" s="80"/>
      <c r="AK29" s="80"/>
      <c r="AL29" s="92"/>
      <c r="AM29" s="97"/>
      <c r="AN29" s="80"/>
      <c r="AO29" s="80"/>
      <c r="AP29" s="80"/>
      <c r="AQ29" s="80"/>
      <c r="AR29" s="80"/>
      <c r="AS29" s="80"/>
      <c r="AT29" s="80"/>
      <c r="AU29" s="80"/>
      <c r="AV29" s="80"/>
      <c r="AW29" s="80"/>
      <c r="AX29" s="80"/>
      <c r="AY29" s="80"/>
      <c r="AZ29" s="80"/>
      <c r="BA29" s="80"/>
      <c r="BB29" s="80"/>
      <c r="BC29" s="80"/>
      <c r="BD29" s="80"/>
      <c r="BE29" s="80"/>
      <c r="BF29" s="80"/>
      <c r="BG29" s="80"/>
      <c r="BH29" s="80"/>
      <c r="BI29" s="92"/>
      <c r="BJ29" s="80"/>
      <c r="BK29" s="84"/>
      <c r="BM29" s="6">
        <f t="shared" si="0"/>
        <v>22</v>
      </c>
    </row>
    <row r="30" spans="1:67" ht="15" customHeight="1">
      <c r="A30" s="83"/>
      <c r="B30" s="91"/>
      <c r="C30" s="80"/>
      <c r="D30" s="80"/>
      <c r="E30" s="80"/>
      <c r="F30" s="80"/>
      <c r="G30" s="80"/>
      <c r="H30" s="80"/>
      <c r="I30" s="80"/>
      <c r="J30" s="80"/>
      <c r="K30" s="92"/>
      <c r="L30" s="97"/>
      <c r="M30" s="80"/>
      <c r="N30" s="80"/>
      <c r="O30" s="80"/>
      <c r="P30" s="80"/>
      <c r="Q30" s="80"/>
      <c r="R30" s="80"/>
      <c r="S30" s="80"/>
      <c r="T30" s="92"/>
      <c r="U30" s="97"/>
      <c r="V30" s="80"/>
      <c r="W30" s="80"/>
      <c r="X30" s="80"/>
      <c r="Y30" s="80"/>
      <c r="Z30" s="80"/>
      <c r="AA30" s="80"/>
      <c r="AB30" s="80"/>
      <c r="AC30" s="92"/>
      <c r="AD30" s="97"/>
      <c r="AE30" s="80"/>
      <c r="AF30" s="80"/>
      <c r="AG30" s="80"/>
      <c r="AH30" s="80"/>
      <c r="AI30" s="80"/>
      <c r="AJ30" s="80"/>
      <c r="AK30" s="80"/>
      <c r="AL30" s="92"/>
      <c r="AM30" s="97"/>
      <c r="AN30" s="80"/>
      <c r="AO30" s="80"/>
      <c r="AP30" s="80"/>
      <c r="AQ30" s="80"/>
      <c r="AR30" s="80"/>
      <c r="AS30" s="80"/>
      <c r="AT30" s="80"/>
      <c r="AU30" s="80"/>
      <c r="AV30" s="80"/>
      <c r="AW30" s="80"/>
      <c r="AX30" s="80"/>
      <c r="AY30" s="80"/>
      <c r="AZ30" s="80"/>
      <c r="BA30" s="80"/>
      <c r="BB30" s="80"/>
      <c r="BC30" s="80"/>
      <c r="BD30" s="80"/>
      <c r="BE30" s="80"/>
      <c r="BF30" s="80"/>
      <c r="BG30" s="80"/>
      <c r="BH30" s="80"/>
      <c r="BI30" s="92"/>
      <c r="BJ30" s="80"/>
      <c r="BK30" s="84"/>
      <c r="BM30" s="6">
        <f t="shared" si="0"/>
        <v>23</v>
      </c>
    </row>
    <row r="31" spans="1:67" ht="15" customHeight="1">
      <c r="A31" s="83"/>
      <c r="B31" s="91"/>
      <c r="C31" s="80"/>
      <c r="D31" s="80"/>
      <c r="E31" s="80"/>
      <c r="F31" s="80"/>
      <c r="G31" s="80"/>
      <c r="H31" s="80"/>
      <c r="I31" s="80"/>
      <c r="J31" s="80"/>
      <c r="K31" s="92"/>
      <c r="L31" s="97"/>
      <c r="M31" s="80"/>
      <c r="N31" s="80"/>
      <c r="O31" s="80"/>
      <c r="P31" s="80"/>
      <c r="Q31" s="80"/>
      <c r="R31" s="80"/>
      <c r="S31" s="80"/>
      <c r="T31" s="92"/>
      <c r="U31" s="97"/>
      <c r="V31" s="80"/>
      <c r="W31" s="80"/>
      <c r="X31" s="80"/>
      <c r="Y31" s="80"/>
      <c r="Z31" s="80"/>
      <c r="AA31" s="80"/>
      <c r="AB31" s="80"/>
      <c r="AC31" s="92"/>
      <c r="AD31" s="97"/>
      <c r="AE31" s="80"/>
      <c r="AF31" s="80"/>
      <c r="AG31" s="80"/>
      <c r="AH31" s="80"/>
      <c r="AI31" s="80"/>
      <c r="AJ31" s="80"/>
      <c r="AK31" s="80"/>
      <c r="AL31" s="92"/>
      <c r="AM31" s="97"/>
      <c r="AN31" s="80"/>
      <c r="AO31" s="80"/>
      <c r="AP31" s="80"/>
      <c r="AQ31" s="80"/>
      <c r="AR31" s="80"/>
      <c r="AS31" s="80"/>
      <c r="AT31" s="80"/>
      <c r="AU31" s="80"/>
      <c r="AV31" s="80"/>
      <c r="AW31" s="80"/>
      <c r="AX31" s="80"/>
      <c r="AY31" s="80"/>
      <c r="AZ31" s="80"/>
      <c r="BA31" s="80"/>
      <c r="BB31" s="80"/>
      <c r="BC31" s="80"/>
      <c r="BD31" s="80"/>
      <c r="BE31" s="80"/>
      <c r="BF31" s="80"/>
      <c r="BG31" s="80"/>
      <c r="BH31" s="80"/>
      <c r="BI31" s="92"/>
      <c r="BJ31" s="80"/>
      <c r="BK31" s="84"/>
      <c r="BM31" s="6">
        <f t="shared" si="0"/>
        <v>24</v>
      </c>
    </row>
    <row r="32" spans="1:67" ht="15" customHeight="1">
      <c r="A32" s="83"/>
      <c r="B32" s="91"/>
      <c r="C32" s="80"/>
      <c r="D32" s="80"/>
      <c r="E32" s="80"/>
      <c r="F32" s="80"/>
      <c r="G32" s="80"/>
      <c r="H32" s="80"/>
      <c r="I32" s="80"/>
      <c r="J32" s="80"/>
      <c r="K32" s="92"/>
      <c r="L32" s="97"/>
      <c r="M32" s="80"/>
      <c r="N32" s="80"/>
      <c r="O32" s="80"/>
      <c r="P32" s="80"/>
      <c r="Q32" s="80"/>
      <c r="R32" s="80"/>
      <c r="S32" s="80"/>
      <c r="T32" s="92"/>
      <c r="U32" s="97"/>
      <c r="V32" s="80"/>
      <c r="W32" s="80"/>
      <c r="X32" s="80"/>
      <c r="Y32" s="80"/>
      <c r="Z32" s="80"/>
      <c r="AA32" s="80"/>
      <c r="AB32" s="80"/>
      <c r="AC32" s="92"/>
      <c r="AD32" s="97"/>
      <c r="AE32" s="80"/>
      <c r="AF32" s="80"/>
      <c r="AG32" s="80"/>
      <c r="AH32" s="80"/>
      <c r="AI32" s="80"/>
      <c r="AJ32" s="80"/>
      <c r="AK32" s="80"/>
      <c r="AL32" s="92"/>
      <c r="AM32" s="97"/>
      <c r="AN32" s="80"/>
      <c r="AO32" s="80"/>
      <c r="AP32" s="80"/>
      <c r="AQ32" s="80"/>
      <c r="AR32" s="80"/>
      <c r="AS32" s="80"/>
      <c r="AT32" s="80"/>
      <c r="AU32" s="80"/>
      <c r="AV32" s="80"/>
      <c r="AW32" s="80"/>
      <c r="AX32" s="80"/>
      <c r="AY32" s="80"/>
      <c r="AZ32" s="80"/>
      <c r="BA32" s="80"/>
      <c r="BB32" s="80"/>
      <c r="BC32" s="80"/>
      <c r="BD32" s="80"/>
      <c r="BE32" s="80"/>
      <c r="BF32" s="80"/>
      <c r="BG32" s="80"/>
      <c r="BH32" s="80"/>
      <c r="BI32" s="92"/>
      <c r="BJ32" s="80"/>
      <c r="BK32" s="84"/>
      <c r="BM32" s="6">
        <f t="shared" si="0"/>
        <v>25</v>
      </c>
    </row>
    <row r="33" spans="1:65" ht="15" customHeight="1">
      <c r="A33" s="83"/>
      <c r="B33" s="91"/>
      <c r="C33" s="80"/>
      <c r="D33" s="80"/>
      <c r="E33" s="80"/>
      <c r="F33" s="80"/>
      <c r="G33" s="80"/>
      <c r="H33" s="80"/>
      <c r="I33" s="80"/>
      <c r="J33" s="80"/>
      <c r="K33" s="92"/>
      <c r="L33" s="97"/>
      <c r="M33" s="80"/>
      <c r="N33" s="80"/>
      <c r="O33" s="80"/>
      <c r="P33" s="80"/>
      <c r="Q33" s="80"/>
      <c r="R33" s="80"/>
      <c r="S33" s="80"/>
      <c r="T33" s="92"/>
      <c r="U33" s="97"/>
      <c r="V33" s="80"/>
      <c r="W33" s="80"/>
      <c r="X33" s="80"/>
      <c r="Y33" s="80"/>
      <c r="Z33" s="80"/>
      <c r="AA33" s="80"/>
      <c r="AB33" s="80"/>
      <c r="AC33" s="92"/>
      <c r="AD33" s="97"/>
      <c r="AE33" s="80"/>
      <c r="AF33" s="80"/>
      <c r="AG33" s="80"/>
      <c r="AH33" s="80"/>
      <c r="AI33" s="80"/>
      <c r="AJ33" s="80"/>
      <c r="AK33" s="80"/>
      <c r="AL33" s="92"/>
      <c r="AM33" s="97"/>
      <c r="AN33" s="80"/>
      <c r="AO33" s="80"/>
      <c r="AP33" s="80"/>
      <c r="AQ33" s="80"/>
      <c r="AR33" s="80"/>
      <c r="AS33" s="80"/>
      <c r="AT33" s="80"/>
      <c r="AU33" s="80"/>
      <c r="AV33" s="80"/>
      <c r="AW33" s="80"/>
      <c r="AX33" s="80"/>
      <c r="AY33" s="80"/>
      <c r="AZ33" s="80"/>
      <c r="BA33" s="80"/>
      <c r="BB33" s="80"/>
      <c r="BC33" s="80"/>
      <c r="BD33" s="80"/>
      <c r="BE33" s="80"/>
      <c r="BF33" s="80"/>
      <c r="BG33" s="80"/>
      <c r="BH33" s="80"/>
      <c r="BI33" s="92"/>
      <c r="BJ33" s="80"/>
      <c r="BK33" s="84"/>
      <c r="BM33" s="6">
        <f t="shared" si="0"/>
        <v>26</v>
      </c>
    </row>
    <row r="34" spans="1:65" ht="15" customHeight="1">
      <c r="A34" s="83"/>
      <c r="B34" s="91"/>
      <c r="C34" s="80"/>
      <c r="D34" s="80"/>
      <c r="E34" s="80"/>
      <c r="F34" s="80"/>
      <c r="G34" s="80"/>
      <c r="H34" s="80"/>
      <c r="I34" s="80"/>
      <c r="J34" s="80"/>
      <c r="K34" s="92"/>
      <c r="L34" s="97"/>
      <c r="M34" s="80"/>
      <c r="N34" s="80"/>
      <c r="O34" s="80"/>
      <c r="P34" s="80"/>
      <c r="Q34" s="80"/>
      <c r="R34" s="80"/>
      <c r="S34" s="80"/>
      <c r="T34" s="92"/>
      <c r="U34" s="97"/>
      <c r="V34" s="80"/>
      <c r="W34" s="80"/>
      <c r="X34" s="80"/>
      <c r="Y34" s="80"/>
      <c r="Z34" s="80"/>
      <c r="AA34" s="80"/>
      <c r="AB34" s="80"/>
      <c r="AC34" s="92"/>
      <c r="AD34" s="97"/>
      <c r="AE34" s="80"/>
      <c r="AF34" s="80"/>
      <c r="AG34" s="80"/>
      <c r="AH34" s="80"/>
      <c r="AI34" s="80"/>
      <c r="AJ34" s="80"/>
      <c r="AK34" s="80"/>
      <c r="AL34" s="92"/>
      <c r="AM34" s="97"/>
      <c r="AN34" s="80"/>
      <c r="AO34" s="80"/>
      <c r="AP34" s="80"/>
      <c r="AQ34" s="80"/>
      <c r="AR34" s="80"/>
      <c r="AS34" s="80"/>
      <c r="AT34" s="80"/>
      <c r="AU34" s="80"/>
      <c r="AV34" s="80"/>
      <c r="AW34" s="80"/>
      <c r="AX34" s="80"/>
      <c r="AY34" s="80"/>
      <c r="AZ34" s="80"/>
      <c r="BA34" s="80"/>
      <c r="BB34" s="80"/>
      <c r="BC34" s="80"/>
      <c r="BD34" s="80"/>
      <c r="BE34" s="80"/>
      <c r="BF34" s="80"/>
      <c r="BG34" s="80"/>
      <c r="BH34" s="80"/>
      <c r="BI34" s="92"/>
      <c r="BJ34" s="80"/>
      <c r="BK34" s="84"/>
      <c r="BM34" s="6">
        <f t="shared" si="0"/>
        <v>27</v>
      </c>
    </row>
    <row r="35" spans="1:65" ht="15" customHeight="1">
      <c r="A35" s="83"/>
      <c r="B35" s="97"/>
      <c r="C35" s="80"/>
      <c r="D35" s="80"/>
      <c r="E35" s="80"/>
      <c r="F35" s="80"/>
      <c r="G35" s="80"/>
      <c r="H35" s="80"/>
      <c r="I35" s="80"/>
      <c r="J35" s="80"/>
      <c r="K35" s="92"/>
      <c r="L35" s="97"/>
      <c r="M35" s="80"/>
      <c r="N35" s="80"/>
      <c r="O35" s="80"/>
      <c r="P35" s="80"/>
      <c r="Q35" s="80"/>
      <c r="R35" s="80"/>
      <c r="S35" s="80"/>
      <c r="T35" s="92"/>
      <c r="U35" s="97"/>
      <c r="V35" s="80"/>
      <c r="W35" s="80"/>
      <c r="X35" s="80"/>
      <c r="Y35" s="80"/>
      <c r="Z35" s="80"/>
      <c r="AA35" s="80"/>
      <c r="AB35" s="80"/>
      <c r="AC35" s="92"/>
      <c r="AD35" s="97"/>
      <c r="AE35" s="80"/>
      <c r="AF35" s="80"/>
      <c r="AG35" s="80"/>
      <c r="AH35" s="80"/>
      <c r="AI35" s="80"/>
      <c r="AJ35" s="80"/>
      <c r="AK35" s="80"/>
      <c r="AL35" s="92"/>
      <c r="AM35" s="97"/>
      <c r="AN35" s="80"/>
      <c r="AO35" s="80"/>
      <c r="AP35" s="80"/>
      <c r="AQ35" s="80"/>
      <c r="AR35" s="80"/>
      <c r="AS35" s="80"/>
      <c r="AT35" s="80"/>
      <c r="AU35" s="80"/>
      <c r="AV35" s="80"/>
      <c r="AW35" s="80"/>
      <c r="AX35" s="80"/>
      <c r="AY35" s="80"/>
      <c r="AZ35" s="80"/>
      <c r="BA35" s="80"/>
      <c r="BB35" s="80"/>
      <c r="BC35" s="80"/>
      <c r="BD35" s="80"/>
      <c r="BE35" s="80"/>
      <c r="BF35" s="80"/>
      <c r="BG35" s="80"/>
      <c r="BH35" s="80"/>
      <c r="BI35" s="92"/>
      <c r="BJ35" s="80"/>
      <c r="BK35" s="84"/>
      <c r="BM35" s="6">
        <f t="shared" si="0"/>
        <v>28</v>
      </c>
    </row>
    <row r="36" spans="1:65" ht="15" customHeight="1">
      <c r="A36" s="83"/>
      <c r="B36" s="97"/>
      <c r="C36" s="80"/>
      <c r="D36" s="80"/>
      <c r="E36" s="80"/>
      <c r="F36" s="80"/>
      <c r="G36" s="80"/>
      <c r="H36" s="80"/>
      <c r="I36" s="80"/>
      <c r="J36" s="80"/>
      <c r="K36" s="92"/>
      <c r="L36" s="97"/>
      <c r="M36" s="80"/>
      <c r="N36" s="80"/>
      <c r="O36" s="80"/>
      <c r="P36" s="80"/>
      <c r="Q36" s="80"/>
      <c r="R36" s="80"/>
      <c r="S36" s="80"/>
      <c r="T36" s="92"/>
      <c r="U36" s="97"/>
      <c r="V36" s="80"/>
      <c r="W36" s="80"/>
      <c r="X36" s="80"/>
      <c r="Y36" s="80"/>
      <c r="Z36" s="80"/>
      <c r="AA36" s="80"/>
      <c r="AB36" s="80"/>
      <c r="AC36" s="92"/>
      <c r="AD36" s="97"/>
      <c r="AE36" s="80"/>
      <c r="AF36" s="80"/>
      <c r="AG36" s="80"/>
      <c r="AH36" s="80"/>
      <c r="AI36" s="80"/>
      <c r="AJ36" s="80"/>
      <c r="AK36" s="80"/>
      <c r="AL36" s="92"/>
      <c r="AM36" s="97"/>
      <c r="AN36" s="80"/>
      <c r="AO36" s="80"/>
      <c r="AP36" s="80"/>
      <c r="AQ36" s="80"/>
      <c r="AR36" s="80"/>
      <c r="AS36" s="80"/>
      <c r="AT36" s="80"/>
      <c r="AU36" s="80"/>
      <c r="AV36" s="80"/>
      <c r="AW36" s="80"/>
      <c r="AX36" s="80"/>
      <c r="AY36" s="80"/>
      <c r="AZ36" s="80"/>
      <c r="BA36" s="80"/>
      <c r="BB36" s="80"/>
      <c r="BC36" s="80"/>
      <c r="BD36" s="80"/>
      <c r="BE36" s="80"/>
      <c r="BF36" s="80"/>
      <c r="BG36" s="80"/>
      <c r="BH36" s="80"/>
      <c r="BI36" s="92"/>
      <c r="BJ36" s="80"/>
      <c r="BK36" s="84"/>
      <c r="BM36" s="6">
        <f t="shared" si="0"/>
        <v>29</v>
      </c>
    </row>
    <row r="37" spans="1:65" ht="15" customHeight="1">
      <c r="A37" s="83"/>
      <c r="B37" s="97"/>
      <c r="C37" s="80"/>
      <c r="D37" s="80"/>
      <c r="E37" s="80"/>
      <c r="F37" s="80"/>
      <c r="G37" s="80"/>
      <c r="H37" s="80"/>
      <c r="I37" s="80"/>
      <c r="J37" s="80"/>
      <c r="K37" s="92"/>
      <c r="L37" s="97"/>
      <c r="M37" s="80"/>
      <c r="N37" s="80"/>
      <c r="O37" s="80"/>
      <c r="P37" s="80"/>
      <c r="Q37" s="80"/>
      <c r="R37" s="80"/>
      <c r="S37" s="80"/>
      <c r="T37" s="92"/>
      <c r="U37" s="97"/>
      <c r="V37" s="80"/>
      <c r="W37" s="80"/>
      <c r="X37" s="80"/>
      <c r="Y37" s="80"/>
      <c r="Z37" s="80"/>
      <c r="AA37" s="80"/>
      <c r="AB37" s="80"/>
      <c r="AC37" s="92"/>
      <c r="AD37" s="97"/>
      <c r="AE37" s="80"/>
      <c r="AF37" s="80"/>
      <c r="AG37" s="80"/>
      <c r="AH37" s="80"/>
      <c r="AI37" s="80"/>
      <c r="AJ37" s="80"/>
      <c r="AK37" s="80"/>
      <c r="AL37" s="92"/>
      <c r="AM37" s="97"/>
      <c r="AN37" s="80"/>
      <c r="AO37" s="80"/>
      <c r="AP37" s="80"/>
      <c r="AQ37" s="80"/>
      <c r="AR37" s="80"/>
      <c r="AS37" s="80"/>
      <c r="AT37" s="80"/>
      <c r="AU37" s="80"/>
      <c r="AV37" s="80"/>
      <c r="AW37" s="80"/>
      <c r="AX37" s="80"/>
      <c r="AY37" s="80"/>
      <c r="AZ37" s="80"/>
      <c r="BA37" s="80"/>
      <c r="BB37" s="80"/>
      <c r="BC37" s="80"/>
      <c r="BD37" s="80"/>
      <c r="BE37" s="80"/>
      <c r="BF37" s="80"/>
      <c r="BG37" s="80"/>
      <c r="BH37" s="80"/>
      <c r="BI37" s="92"/>
      <c r="BJ37" s="80"/>
      <c r="BK37" s="84"/>
      <c r="BM37" s="6">
        <f t="shared" si="0"/>
        <v>30</v>
      </c>
    </row>
    <row r="38" spans="1:65" ht="15" customHeight="1">
      <c r="A38" s="83"/>
      <c r="B38" s="97"/>
      <c r="C38" s="80"/>
      <c r="D38" s="80"/>
      <c r="E38" s="80"/>
      <c r="F38" s="80"/>
      <c r="G38" s="80"/>
      <c r="H38" s="80"/>
      <c r="I38" s="80"/>
      <c r="J38" s="80"/>
      <c r="K38" s="92"/>
      <c r="L38" s="97"/>
      <c r="M38" s="80"/>
      <c r="N38" s="80"/>
      <c r="O38" s="80"/>
      <c r="P38" s="80"/>
      <c r="Q38" s="80"/>
      <c r="R38" s="80"/>
      <c r="S38" s="80"/>
      <c r="T38" s="92"/>
      <c r="U38" s="97"/>
      <c r="V38" s="80"/>
      <c r="W38" s="80"/>
      <c r="X38" s="80"/>
      <c r="Y38" s="80"/>
      <c r="Z38" s="80"/>
      <c r="AA38" s="80"/>
      <c r="AB38" s="80"/>
      <c r="AC38" s="92"/>
      <c r="AD38" s="97"/>
      <c r="AE38" s="80"/>
      <c r="AF38" s="80"/>
      <c r="AG38" s="80"/>
      <c r="AH38" s="80"/>
      <c r="AI38" s="80"/>
      <c r="AJ38" s="80"/>
      <c r="AK38" s="80"/>
      <c r="AL38" s="92"/>
      <c r="AM38" s="97"/>
      <c r="AN38" s="80"/>
      <c r="AO38" s="80"/>
      <c r="AP38" s="80"/>
      <c r="AQ38" s="80"/>
      <c r="AR38" s="80"/>
      <c r="AS38" s="80"/>
      <c r="AT38" s="80"/>
      <c r="AU38" s="80"/>
      <c r="AV38" s="80"/>
      <c r="AW38" s="80"/>
      <c r="AX38" s="80"/>
      <c r="AY38" s="80"/>
      <c r="AZ38" s="80"/>
      <c r="BA38" s="80"/>
      <c r="BB38" s="80"/>
      <c r="BC38" s="80"/>
      <c r="BD38" s="80"/>
      <c r="BE38" s="80"/>
      <c r="BF38" s="80"/>
      <c r="BG38" s="80"/>
      <c r="BH38" s="80"/>
      <c r="BI38" s="92"/>
      <c r="BJ38" s="80"/>
      <c r="BK38" s="84"/>
      <c r="BM38" s="6">
        <f t="shared" si="0"/>
        <v>31</v>
      </c>
    </row>
    <row r="39" spans="1:65" ht="15" customHeight="1">
      <c r="A39" s="83"/>
      <c r="B39" s="97"/>
      <c r="C39" s="80"/>
      <c r="D39" s="80"/>
      <c r="E39" s="80"/>
      <c r="F39" s="80"/>
      <c r="G39" s="80"/>
      <c r="H39" s="80"/>
      <c r="I39" s="80"/>
      <c r="J39" s="80"/>
      <c r="K39" s="92"/>
      <c r="L39" s="97"/>
      <c r="M39" s="80"/>
      <c r="N39" s="80"/>
      <c r="O39" s="80"/>
      <c r="P39" s="80"/>
      <c r="Q39" s="80"/>
      <c r="R39" s="80"/>
      <c r="S39" s="80"/>
      <c r="T39" s="92"/>
      <c r="U39" s="97"/>
      <c r="V39" s="80"/>
      <c r="W39" s="80"/>
      <c r="X39" s="80"/>
      <c r="Y39" s="80"/>
      <c r="Z39" s="80"/>
      <c r="AA39" s="80"/>
      <c r="AB39" s="80"/>
      <c r="AC39" s="92"/>
      <c r="AD39" s="97"/>
      <c r="AE39" s="80"/>
      <c r="AF39" s="80"/>
      <c r="AG39" s="80"/>
      <c r="AH39" s="80"/>
      <c r="AI39" s="80"/>
      <c r="AJ39" s="80"/>
      <c r="AK39" s="80"/>
      <c r="AL39" s="92"/>
      <c r="AM39" s="97"/>
      <c r="AN39" s="80"/>
      <c r="AO39" s="80"/>
      <c r="AP39" s="80"/>
      <c r="AQ39" s="80"/>
      <c r="AR39" s="80"/>
      <c r="AS39" s="80"/>
      <c r="AT39" s="80"/>
      <c r="AU39" s="80"/>
      <c r="AV39" s="80"/>
      <c r="AW39" s="80"/>
      <c r="AX39" s="80"/>
      <c r="AY39" s="80"/>
      <c r="AZ39" s="80"/>
      <c r="BA39" s="80"/>
      <c r="BB39" s="80"/>
      <c r="BC39" s="80"/>
      <c r="BD39" s="80"/>
      <c r="BE39" s="80"/>
      <c r="BF39" s="80"/>
      <c r="BG39" s="80"/>
      <c r="BH39" s="80"/>
      <c r="BI39" s="92"/>
      <c r="BJ39" s="80"/>
      <c r="BK39" s="84"/>
      <c r="BM39" s="6">
        <f t="shared" si="0"/>
        <v>32</v>
      </c>
    </row>
    <row r="40" spans="1:65" ht="15" customHeight="1">
      <c r="A40" s="83"/>
      <c r="B40" s="97"/>
      <c r="C40" s="80"/>
      <c r="D40" s="80"/>
      <c r="E40" s="80"/>
      <c r="F40" s="80"/>
      <c r="G40" s="80"/>
      <c r="H40" s="80"/>
      <c r="I40" s="80"/>
      <c r="J40" s="80"/>
      <c r="K40" s="92"/>
      <c r="L40" s="97"/>
      <c r="M40" s="80"/>
      <c r="N40" s="80"/>
      <c r="O40" s="80"/>
      <c r="P40" s="80"/>
      <c r="Q40" s="80"/>
      <c r="R40" s="80"/>
      <c r="S40" s="80"/>
      <c r="T40" s="92"/>
      <c r="U40" s="97"/>
      <c r="V40" s="80"/>
      <c r="W40" s="80"/>
      <c r="X40" s="80"/>
      <c r="Y40" s="80"/>
      <c r="Z40" s="80"/>
      <c r="AA40" s="80"/>
      <c r="AB40" s="80"/>
      <c r="AC40" s="92"/>
      <c r="AD40" s="97"/>
      <c r="AE40" s="80"/>
      <c r="AF40" s="80"/>
      <c r="AG40" s="80"/>
      <c r="AH40" s="80"/>
      <c r="AI40" s="80"/>
      <c r="AJ40" s="80"/>
      <c r="AK40" s="80"/>
      <c r="AL40" s="92"/>
      <c r="AM40" s="97"/>
      <c r="AN40" s="80"/>
      <c r="AO40" s="80"/>
      <c r="AP40" s="80"/>
      <c r="AQ40" s="80"/>
      <c r="AR40" s="80"/>
      <c r="AS40" s="80"/>
      <c r="AT40" s="80"/>
      <c r="AU40" s="80"/>
      <c r="AV40" s="80"/>
      <c r="AW40" s="80"/>
      <c r="AX40" s="80"/>
      <c r="AY40" s="80"/>
      <c r="AZ40" s="80"/>
      <c r="BA40" s="80"/>
      <c r="BB40" s="80"/>
      <c r="BC40" s="80"/>
      <c r="BD40" s="80"/>
      <c r="BE40" s="80"/>
      <c r="BF40" s="80"/>
      <c r="BG40" s="80"/>
      <c r="BH40" s="80"/>
      <c r="BI40" s="92"/>
      <c r="BJ40" s="80"/>
      <c r="BK40" s="84"/>
      <c r="BM40" s="6">
        <f t="shared" si="0"/>
        <v>33</v>
      </c>
    </row>
    <row r="41" spans="1:65" ht="15" customHeight="1">
      <c r="A41" s="83"/>
      <c r="B41" s="97"/>
      <c r="C41" s="80"/>
      <c r="D41" s="80"/>
      <c r="E41" s="80"/>
      <c r="F41" s="80"/>
      <c r="G41" s="80"/>
      <c r="H41" s="80"/>
      <c r="I41" s="80"/>
      <c r="J41" s="80"/>
      <c r="K41" s="92"/>
      <c r="L41" s="97"/>
      <c r="M41" s="80"/>
      <c r="N41" s="80"/>
      <c r="O41" s="80"/>
      <c r="P41" s="80"/>
      <c r="Q41" s="80"/>
      <c r="R41" s="80"/>
      <c r="S41" s="80"/>
      <c r="T41" s="92"/>
      <c r="U41" s="97"/>
      <c r="V41" s="80"/>
      <c r="W41" s="80"/>
      <c r="X41" s="80"/>
      <c r="Y41" s="80"/>
      <c r="Z41" s="80"/>
      <c r="AA41" s="80"/>
      <c r="AB41" s="80"/>
      <c r="AC41" s="92"/>
      <c r="AD41" s="97"/>
      <c r="AE41" s="80"/>
      <c r="AF41" s="80"/>
      <c r="AG41" s="80"/>
      <c r="AH41" s="80"/>
      <c r="AI41" s="80"/>
      <c r="AJ41" s="80"/>
      <c r="AK41" s="80"/>
      <c r="AL41" s="92"/>
      <c r="AM41" s="97"/>
      <c r="AN41" s="80"/>
      <c r="AO41" s="80"/>
      <c r="AP41" s="80"/>
      <c r="AQ41" s="80"/>
      <c r="AR41" s="80"/>
      <c r="AS41" s="80"/>
      <c r="AT41" s="80"/>
      <c r="AU41" s="80"/>
      <c r="AV41" s="80"/>
      <c r="AW41" s="80"/>
      <c r="AX41" s="80"/>
      <c r="AY41" s="80"/>
      <c r="AZ41" s="80"/>
      <c r="BA41" s="80"/>
      <c r="BB41" s="80"/>
      <c r="BC41" s="80"/>
      <c r="BD41" s="80"/>
      <c r="BE41" s="80"/>
      <c r="BF41" s="80"/>
      <c r="BG41" s="80"/>
      <c r="BH41" s="80"/>
      <c r="BI41" s="92"/>
      <c r="BJ41" s="80"/>
      <c r="BK41" s="84"/>
      <c r="BM41" s="6">
        <f t="shared" si="0"/>
        <v>34</v>
      </c>
    </row>
    <row r="42" spans="1:65" ht="15" customHeight="1">
      <c r="A42" s="83"/>
      <c r="B42" s="97"/>
      <c r="C42" s="80"/>
      <c r="D42" s="80"/>
      <c r="E42" s="80"/>
      <c r="F42" s="80"/>
      <c r="G42" s="80"/>
      <c r="H42" s="80"/>
      <c r="I42" s="80"/>
      <c r="J42" s="80"/>
      <c r="K42" s="92"/>
      <c r="L42" s="97"/>
      <c r="M42" s="80"/>
      <c r="N42" s="80"/>
      <c r="O42" s="80"/>
      <c r="P42" s="80"/>
      <c r="Q42" s="80"/>
      <c r="R42" s="80"/>
      <c r="S42" s="80"/>
      <c r="T42" s="92"/>
      <c r="U42" s="97"/>
      <c r="V42" s="80"/>
      <c r="W42" s="80"/>
      <c r="X42" s="80"/>
      <c r="Y42" s="80"/>
      <c r="Z42" s="80"/>
      <c r="AA42" s="80"/>
      <c r="AB42" s="80"/>
      <c r="AC42" s="92"/>
      <c r="AD42" s="97"/>
      <c r="AE42" s="80"/>
      <c r="AF42" s="80"/>
      <c r="AG42" s="80"/>
      <c r="AH42" s="80"/>
      <c r="AI42" s="80"/>
      <c r="AJ42" s="80"/>
      <c r="AK42" s="80"/>
      <c r="AL42" s="92"/>
      <c r="AM42" s="97"/>
      <c r="AN42" s="80"/>
      <c r="AO42" s="80"/>
      <c r="AP42" s="80"/>
      <c r="AQ42" s="80"/>
      <c r="AR42" s="80"/>
      <c r="AS42" s="80"/>
      <c r="AT42" s="80"/>
      <c r="AU42" s="80"/>
      <c r="AV42" s="80"/>
      <c r="AW42" s="80"/>
      <c r="AX42" s="80"/>
      <c r="AY42" s="80"/>
      <c r="AZ42" s="80"/>
      <c r="BA42" s="80"/>
      <c r="BB42" s="80"/>
      <c r="BC42" s="80"/>
      <c r="BD42" s="80"/>
      <c r="BE42" s="80"/>
      <c r="BF42" s="80"/>
      <c r="BG42" s="80"/>
      <c r="BH42" s="80"/>
      <c r="BI42" s="92"/>
      <c r="BJ42" s="80"/>
      <c r="BK42" s="84"/>
      <c r="BM42" s="6">
        <f t="shared" si="0"/>
        <v>35</v>
      </c>
    </row>
    <row r="43" spans="1:65" ht="15" customHeight="1">
      <c r="A43" s="83"/>
      <c r="B43" s="97"/>
      <c r="C43" s="80"/>
      <c r="D43" s="80"/>
      <c r="E43" s="80"/>
      <c r="F43" s="80"/>
      <c r="G43" s="80"/>
      <c r="H43" s="80"/>
      <c r="I43" s="80"/>
      <c r="J43" s="80"/>
      <c r="K43" s="92"/>
      <c r="L43" s="97"/>
      <c r="M43" s="80"/>
      <c r="N43" s="80"/>
      <c r="O43" s="80"/>
      <c r="P43" s="80"/>
      <c r="Q43" s="80"/>
      <c r="R43" s="80"/>
      <c r="S43" s="80"/>
      <c r="T43" s="92"/>
      <c r="U43" s="97"/>
      <c r="V43" s="80"/>
      <c r="W43" s="80"/>
      <c r="X43" s="80"/>
      <c r="Y43" s="80"/>
      <c r="Z43" s="80"/>
      <c r="AA43" s="80"/>
      <c r="AB43" s="80"/>
      <c r="AC43" s="92"/>
      <c r="AD43" s="97"/>
      <c r="AE43" s="80"/>
      <c r="AF43" s="80"/>
      <c r="AG43" s="80"/>
      <c r="AH43" s="80"/>
      <c r="AI43" s="80"/>
      <c r="AJ43" s="80"/>
      <c r="AK43" s="80"/>
      <c r="AL43" s="92"/>
      <c r="AM43" s="97"/>
      <c r="AN43" s="80"/>
      <c r="AO43" s="80"/>
      <c r="AP43" s="80"/>
      <c r="AQ43" s="80"/>
      <c r="AR43" s="80"/>
      <c r="AS43" s="80"/>
      <c r="AT43" s="80"/>
      <c r="AU43" s="80"/>
      <c r="AV43" s="80"/>
      <c r="AW43" s="80"/>
      <c r="AX43" s="80"/>
      <c r="AY43" s="80"/>
      <c r="AZ43" s="80"/>
      <c r="BA43" s="80"/>
      <c r="BB43" s="80"/>
      <c r="BC43" s="80"/>
      <c r="BD43" s="80"/>
      <c r="BE43" s="80"/>
      <c r="BF43" s="80"/>
      <c r="BG43" s="80"/>
      <c r="BH43" s="80"/>
      <c r="BI43" s="92"/>
      <c r="BJ43" s="80"/>
      <c r="BK43" s="84"/>
      <c r="BM43" s="6">
        <f t="shared" si="0"/>
        <v>36</v>
      </c>
    </row>
    <row r="44" spans="1:65" ht="15" customHeight="1">
      <c r="A44" s="83"/>
      <c r="B44" s="97"/>
      <c r="C44" s="80"/>
      <c r="D44" s="80"/>
      <c r="E44" s="80"/>
      <c r="F44" s="80"/>
      <c r="G44" s="80"/>
      <c r="H44" s="80"/>
      <c r="I44" s="80"/>
      <c r="J44" s="80"/>
      <c r="K44" s="92"/>
      <c r="L44" s="97"/>
      <c r="M44" s="80"/>
      <c r="N44" s="80"/>
      <c r="O44" s="80"/>
      <c r="P44" s="80"/>
      <c r="Q44" s="80"/>
      <c r="R44" s="80"/>
      <c r="S44" s="80"/>
      <c r="T44" s="92"/>
      <c r="U44" s="97"/>
      <c r="V44" s="80"/>
      <c r="W44" s="80"/>
      <c r="X44" s="80"/>
      <c r="Y44" s="80"/>
      <c r="Z44" s="80"/>
      <c r="AA44" s="80"/>
      <c r="AB44" s="80"/>
      <c r="AC44" s="92"/>
      <c r="AD44" s="97"/>
      <c r="AE44" s="80"/>
      <c r="AF44" s="80"/>
      <c r="AG44" s="80"/>
      <c r="AH44" s="80"/>
      <c r="AI44" s="80"/>
      <c r="AJ44" s="80"/>
      <c r="AK44" s="80"/>
      <c r="AL44" s="92"/>
      <c r="AM44" s="97"/>
      <c r="AN44" s="80"/>
      <c r="AO44" s="80"/>
      <c r="AP44" s="80"/>
      <c r="AQ44" s="80"/>
      <c r="AR44" s="80"/>
      <c r="AS44" s="80"/>
      <c r="AT44" s="80"/>
      <c r="AU44" s="80"/>
      <c r="AV44" s="80"/>
      <c r="AW44" s="80"/>
      <c r="AX44" s="80"/>
      <c r="AY44" s="80"/>
      <c r="AZ44" s="80"/>
      <c r="BA44" s="80"/>
      <c r="BB44" s="80"/>
      <c r="BC44" s="80"/>
      <c r="BD44" s="80"/>
      <c r="BE44" s="80"/>
      <c r="BF44" s="80"/>
      <c r="BG44" s="80"/>
      <c r="BH44" s="80"/>
      <c r="BI44" s="92"/>
      <c r="BJ44" s="80"/>
      <c r="BK44" s="84"/>
      <c r="BM44" s="6">
        <f t="shared" si="0"/>
        <v>37</v>
      </c>
    </row>
    <row r="45" spans="1:65" ht="15" customHeight="1">
      <c r="A45" s="83"/>
      <c r="B45" s="97"/>
      <c r="C45" s="80"/>
      <c r="D45" s="80"/>
      <c r="E45" s="80"/>
      <c r="F45" s="80"/>
      <c r="G45" s="80"/>
      <c r="H45" s="80"/>
      <c r="I45" s="80"/>
      <c r="J45" s="80"/>
      <c r="K45" s="92"/>
      <c r="L45" s="97"/>
      <c r="M45" s="80"/>
      <c r="N45" s="80"/>
      <c r="O45" s="80"/>
      <c r="P45" s="80"/>
      <c r="Q45" s="80"/>
      <c r="R45" s="80"/>
      <c r="S45" s="80"/>
      <c r="T45" s="92"/>
      <c r="U45" s="97"/>
      <c r="V45" s="80"/>
      <c r="W45" s="80"/>
      <c r="X45" s="80"/>
      <c r="Y45" s="80"/>
      <c r="Z45" s="80"/>
      <c r="AA45" s="80"/>
      <c r="AB45" s="80"/>
      <c r="AC45" s="92"/>
      <c r="AD45" s="80"/>
      <c r="AE45" s="80"/>
      <c r="AF45" s="80"/>
      <c r="AG45" s="80"/>
      <c r="AH45" s="80"/>
      <c r="AI45" s="80"/>
      <c r="AJ45" s="80"/>
      <c r="AK45" s="80"/>
      <c r="AL45" s="92"/>
      <c r="AM45" s="97"/>
      <c r="AN45" s="80"/>
      <c r="AO45" s="80"/>
      <c r="AP45" s="80"/>
      <c r="AQ45" s="80"/>
      <c r="AR45" s="80"/>
      <c r="AS45" s="80"/>
      <c r="AT45" s="80"/>
      <c r="AU45" s="80"/>
      <c r="AV45" s="80"/>
      <c r="AW45" s="80"/>
      <c r="AX45" s="80"/>
      <c r="AY45" s="80"/>
      <c r="AZ45" s="80"/>
      <c r="BA45" s="80"/>
      <c r="BB45" s="80"/>
      <c r="BC45" s="80"/>
      <c r="BD45" s="80"/>
      <c r="BE45" s="80"/>
      <c r="BF45" s="80"/>
      <c r="BG45" s="80"/>
      <c r="BH45" s="80"/>
      <c r="BI45" s="92"/>
      <c r="BJ45" s="80"/>
      <c r="BK45" s="84"/>
      <c r="BM45" s="6">
        <f t="shared" si="0"/>
        <v>38</v>
      </c>
    </row>
    <row r="46" spans="1:65" ht="15" customHeight="1">
      <c r="A46" s="83"/>
      <c r="B46" s="97"/>
      <c r="C46" s="80"/>
      <c r="D46" s="80"/>
      <c r="E46" s="80"/>
      <c r="F46" s="80"/>
      <c r="G46" s="80"/>
      <c r="H46" s="80"/>
      <c r="I46" s="80"/>
      <c r="J46" s="80"/>
      <c r="K46" s="92"/>
      <c r="L46" s="97"/>
      <c r="M46" s="80"/>
      <c r="N46" s="80"/>
      <c r="O46" s="80"/>
      <c r="P46" s="80"/>
      <c r="Q46" s="80"/>
      <c r="R46" s="80"/>
      <c r="S46" s="80"/>
      <c r="T46" s="92"/>
      <c r="U46" s="97"/>
      <c r="V46" s="80"/>
      <c r="W46" s="80"/>
      <c r="X46" s="80"/>
      <c r="Y46" s="80"/>
      <c r="Z46" s="80"/>
      <c r="AA46" s="80"/>
      <c r="AB46" s="80"/>
      <c r="AC46" s="92"/>
      <c r="AD46" s="97"/>
      <c r="AE46" s="80"/>
      <c r="AF46" s="80"/>
      <c r="AG46" s="80"/>
      <c r="AH46" s="80"/>
      <c r="AI46" s="80"/>
      <c r="AJ46" s="80"/>
      <c r="AK46" s="80"/>
      <c r="AL46" s="92"/>
      <c r="AM46" s="97"/>
      <c r="AN46" s="80"/>
      <c r="AO46" s="80"/>
      <c r="AP46" s="80"/>
      <c r="AQ46" s="80"/>
      <c r="AR46" s="80"/>
      <c r="AS46" s="80"/>
      <c r="AT46" s="80"/>
      <c r="AU46" s="80"/>
      <c r="AV46" s="80"/>
      <c r="AW46" s="80"/>
      <c r="AX46" s="80"/>
      <c r="AY46" s="80"/>
      <c r="AZ46" s="80"/>
      <c r="BA46" s="80"/>
      <c r="BB46" s="80"/>
      <c r="BC46" s="80"/>
      <c r="BD46" s="80"/>
      <c r="BE46" s="80"/>
      <c r="BF46" s="80"/>
      <c r="BG46" s="80"/>
      <c r="BH46" s="80"/>
      <c r="BI46" s="92"/>
      <c r="BJ46" s="80"/>
      <c r="BK46" s="84"/>
      <c r="BM46" s="6">
        <f t="shared" si="0"/>
        <v>39</v>
      </c>
    </row>
    <row r="47" spans="1:65" ht="15" customHeight="1">
      <c r="A47" s="83"/>
      <c r="B47" s="97"/>
      <c r="C47" s="80"/>
      <c r="D47" s="80"/>
      <c r="E47" s="80"/>
      <c r="F47" s="80"/>
      <c r="G47" s="80"/>
      <c r="H47" s="80"/>
      <c r="I47" s="80"/>
      <c r="J47" s="80"/>
      <c r="K47" s="92"/>
      <c r="L47" s="97"/>
      <c r="M47" s="80"/>
      <c r="N47" s="80"/>
      <c r="O47" s="80"/>
      <c r="P47" s="80"/>
      <c r="Q47" s="80"/>
      <c r="R47" s="80"/>
      <c r="S47" s="80"/>
      <c r="T47" s="92"/>
      <c r="U47" s="97"/>
      <c r="V47" s="80"/>
      <c r="W47" s="80"/>
      <c r="X47" s="80"/>
      <c r="Y47" s="80"/>
      <c r="Z47" s="80"/>
      <c r="AA47" s="80"/>
      <c r="AB47" s="80"/>
      <c r="AC47" s="92"/>
      <c r="AD47" s="97"/>
      <c r="AE47" s="80"/>
      <c r="AF47" s="80"/>
      <c r="AG47" s="80"/>
      <c r="AH47" s="80"/>
      <c r="AI47" s="80"/>
      <c r="AJ47" s="80"/>
      <c r="AK47" s="80"/>
      <c r="AL47" s="92"/>
      <c r="AM47" s="97"/>
      <c r="AN47" s="80"/>
      <c r="AO47" s="80"/>
      <c r="AP47" s="80"/>
      <c r="AQ47" s="80"/>
      <c r="AR47" s="80"/>
      <c r="AS47" s="80"/>
      <c r="AT47" s="80"/>
      <c r="AU47" s="80"/>
      <c r="AV47" s="80"/>
      <c r="AW47" s="80"/>
      <c r="AX47" s="80"/>
      <c r="AY47" s="80"/>
      <c r="AZ47" s="80"/>
      <c r="BA47" s="80"/>
      <c r="BB47" s="80"/>
      <c r="BC47" s="80"/>
      <c r="BD47" s="80"/>
      <c r="BE47" s="80"/>
      <c r="BF47" s="80"/>
      <c r="BG47" s="80"/>
      <c r="BH47" s="80"/>
      <c r="BI47" s="92"/>
      <c r="BJ47" s="80"/>
      <c r="BK47" s="84"/>
      <c r="BM47" s="6">
        <f t="shared" si="0"/>
        <v>40</v>
      </c>
    </row>
    <row r="48" spans="1:65" ht="15" customHeight="1">
      <c r="A48" s="83"/>
      <c r="B48" s="97"/>
      <c r="C48" s="80"/>
      <c r="D48" s="80"/>
      <c r="E48" s="80"/>
      <c r="F48" s="80"/>
      <c r="G48" s="80"/>
      <c r="H48" s="80"/>
      <c r="I48" s="80"/>
      <c r="J48" s="80"/>
      <c r="K48" s="92"/>
      <c r="L48" s="97"/>
      <c r="M48" s="80"/>
      <c r="N48" s="80"/>
      <c r="O48" s="80"/>
      <c r="P48" s="80"/>
      <c r="Q48" s="80"/>
      <c r="R48" s="80"/>
      <c r="S48" s="80"/>
      <c r="T48" s="92"/>
      <c r="U48" s="97"/>
      <c r="V48" s="80"/>
      <c r="W48" s="80"/>
      <c r="X48" s="80"/>
      <c r="Y48" s="80"/>
      <c r="Z48" s="80"/>
      <c r="AA48" s="80"/>
      <c r="AB48" s="80"/>
      <c r="AC48" s="92"/>
      <c r="AD48" s="97"/>
      <c r="AE48" s="80"/>
      <c r="AF48" s="80"/>
      <c r="AG48" s="80"/>
      <c r="AH48" s="80"/>
      <c r="AI48" s="80"/>
      <c r="AJ48" s="80"/>
      <c r="AK48" s="80"/>
      <c r="AL48" s="92"/>
      <c r="AM48" s="97"/>
      <c r="AN48" s="80"/>
      <c r="AO48" s="80"/>
      <c r="AP48" s="80"/>
      <c r="AQ48" s="80"/>
      <c r="AR48" s="80"/>
      <c r="AS48" s="80"/>
      <c r="AT48" s="80"/>
      <c r="AU48" s="80"/>
      <c r="AV48" s="80"/>
      <c r="AW48" s="80"/>
      <c r="AX48" s="80"/>
      <c r="AY48" s="80"/>
      <c r="AZ48" s="80"/>
      <c r="BA48" s="80"/>
      <c r="BB48" s="80"/>
      <c r="BC48" s="80"/>
      <c r="BD48" s="80"/>
      <c r="BE48" s="80"/>
      <c r="BF48" s="80"/>
      <c r="BG48" s="80"/>
      <c r="BH48" s="80"/>
      <c r="BI48" s="92"/>
      <c r="BJ48" s="80"/>
      <c r="BK48" s="84"/>
      <c r="BM48" s="6">
        <f t="shared" si="0"/>
        <v>41</v>
      </c>
    </row>
    <row r="49" spans="1:67" ht="15" customHeight="1">
      <c r="A49" s="83"/>
      <c r="B49" s="97"/>
      <c r="C49" s="80"/>
      <c r="D49" s="80"/>
      <c r="E49" s="80"/>
      <c r="F49" s="80"/>
      <c r="G49" s="80"/>
      <c r="H49" s="80"/>
      <c r="I49" s="80"/>
      <c r="J49" s="80"/>
      <c r="K49" s="92"/>
      <c r="L49" s="97"/>
      <c r="M49" s="80"/>
      <c r="N49" s="80"/>
      <c r="O49" s="80"/>
      <c r="P49" s="80"/>
      <c r="Q49" s="80"/>
      <c r="R49" s="80"/>
      <c r="S49" s="80"/>
      <c r="T49" s="92"/>
      <c r="U49" s="97"/>
      <c r="V49" s="80"/>
      <c r="W49" s="80"/>
      <c r="X49" s="80"/>
      <c r="Y49" s="80"/>
      <c r="Z49" s="80"/>
      <c r="AA49" s="80"/>
      <c r="AB49" s="80"/>
      <c r="AC49" s="92"/>
      <c r="AD49" s="97"/>
      <c r="AE49" s="80"/>
      <c r="AF49" s="80"/>
      <c r="AG49" s="80"/>
      <c r="AH49" s="80"/>
      <c r="AI49" s="80"/>
      <c r="AJ49" s="80"/>
      <c r="AK49" s="80"/>
      <c r="AL49" s="92"/>
      <c r="AM49" s="97"/>
      <c r="AN49" s="80"/>
      <c r="AO49" s="80"/>
      <c r="AP49" s="80"/>
      <c r="AQ49" s="80"/>
      <c r="AR49" s="80"/>
      <c r="AS49" s="80"/>
      <c r="AT49" s="80"/>
      <c r="AU49" s="80"/>
      <c r="AV49" s="80"/>
      <c r="AW49" s="80"/>
      <c r="AX49" s="80"/>
      <c r="AY49" s="80"/>
      <c r="AZ49" s="80"/>
      <c r="BA49" s="80"/>
      <c r="BB49" s="80"/>
      <c r="BC49" s="80"/>
      <c r="BD49" s="80"/>
      <c r="BE49" s="80"/>
      <c r="BF49" s="80"/>
      <c r="BG49" s="80"/>
      <c r="BH49" s="80"/>
      <c r="BI49" s="92"/>
      <c r="BJ49" s="80"/>
      <c r="BK49" s="84"/>
      <c r="BM49" s="6">
        <f t="shared" si="0"/>
        <v>42</v>
      </c>
    </row>
    <row r="50" spans="1:67" ht="15" customHeight="1">
      <c r="A50" s="83"/>
      <c r="B50" s="97"/>
      <c r="C50" s="80"/>
      <c r="D50" s="80"/>
      <c r="E50" s="80"/>
      <c r="F50" s="80"/>
      <c r="G50" s="80"/>
      <c r="H50" s="80"/>
      <c r="I50" s="80"/>
      <c r="J50" s="80"/>
      <c r="K50" s="92"/>
      <c r="L50" s="97"/>
      <c r="M50" s="80"/>
      <c r="N50" s="80"/>
      <c r="O50" s="80"/>
      <c r="P50" s="80"/>
      <c r="Q50" s="80"/>
      <c r="R50" s="80"/>
      <c r="S50" s="80"/>
      <c r="T50" s="92"/>
      <c r="U50" s="97"/>
      <c r="V50" s="80"/>
      <c r="W50" s="80"/>
      <c r="X50" s="80"/>
      <c r="Y50" s="80"/>
      <c r="Z50" s="80"/>
      <c r="AA50" s="80"/>
      <c r="AB50" s="80"/>
      <c r="AC50" s="92"/>
      <c r="AD50" s="97"/>
      <c r="AE50" s="80"/>
      <c r="AF50" s="80"/>
      <c r="AG50" s="80"/>
      <c r="AH50" s="80"/>
      <c r="AI50" s="80"/>
      <c r="AJ50" s="80"/>
      <c r="AK50" s="80"/>
      <c r="AL50" s="92"/>
      <c r="AM50" s="97"/>
      <c r="AN50" s="80"/>
      <c r="AO50" s="80"/>
      <c r="AP50" s="80"/>
      <c r="AQ50" s="80"/>
      <c r="AR50" s="80"/>
      <c r="AS50" s="80"/>
      <c r="AT50" s="80"/>
      <c r="AU50" s="80"/>
      <c r="AV50" s="80"/>
      <c r="AW50" s="80"/>
      <c r="AX50" s="80"/>
      <c r="AY50" s="80"/>
      <c r="AZ50" s="80"/>
      <c r="BA50" s="80"/>
      <c r="BB50" s="80"/>
      <c r="BC50" s="80"/>
      <c r="BD50" s="80"/>
      <c r="BE50" s="80"/>
      <c r="BF50" s="80"/>
      <c r="BG50" s="80"/>
      <c r="BH50" s="80"/>
      <c r="BI50" s="92"/>
      <c r="BJ50" s="80"/>
      <c r="BK50" s="84"/>
      <c r="BM50" s="6">
        <f t="shared" si="0"/>
        <v>43</v>
      </c>
    </row>
    <row r="51" spans="1:67" ht="15" customHeight="1">
      <c r="A51" s="83"/>
      <c r="B51" s="97"/>
      <c r="C51" s="80"/>
      <c r="D51" s="80"/>
      <c r="E51" s="80"/>
      <c r="F51" s="80"/>
      <c r="G51" s="80"/>
      <c r="H51" s="80"/>
      <c r="I51" s="80"/>
      <c r="J51" s="80"/>
      <c r="K51" s="92"/>
      <c r="L51" s="97"/>
      <c r="M51" s="80"/>
      <c r="N51" s="80"/>
      <c r="O51" s="80"/>
      <c r="P51" s="80"/>
      <c r="Q51" s="80"/>
      <c r="R51" s="80"/>
      <c r="S51" s="80"/>
      <c r="T51" s="92"/>
      <c r="U51" s="97"/>
      <c r="V51" s="80"/>
      <c r="W51" s="80"/>
      <c r="X51" s="80"/>
      <c r="Y51" s="80"/>
      <c r="Z51" s="80"/>
      <c r="AA51" s="80"/>
      <c r="AB51" s="80"/>
      <c r="AC51" s="92"/>
      <c r="AD51" s="97"/>
      <c r="AE51" s="80"/>
      <c r="AF51" s="80"/>
      <c r="AG51" s="80"/>
      <c r="AH51" s="80"/>
      <c r="AI51" s="80"/>
      <c r="AJ51" s="80"/>
      <c r="AK51" s="80"/>
      <c r="AL51" s="92"/>
      <c r="AM51" s="97"/>
      <c r="AN51" s="80"/>
      <c r="AO51" s="80"/>
      <c r="AP51" s="80"/>
      <c r="AQ51" s="80"/>
      <c r="AR51" s="80"/>
      <c r="AS51" s="80"/>
      <c r="AT51" s="80"/>
      <c r="AU51" s="80"/>
      <c r="AV51" s="80"/>
      <c r="AW51" s="80"/>
      <c r="AX51" s="80"/>
      <c r="AY51" s="80"/>
      <c r="AZ51" s="80"/>
      <c r="BA51" s="80"/>
      <c r="BB51" s="80"/>
      <c r="BC51" s="80"/>
      <c r="BD51" s="80"/>
      <c r="BE51" s="80"/>
      <c r="BF51" s="80"/>
      <c r="BG51" s="80"/>
      <c r="BH51" s="80"/>
      <c r="BI51" s="92"/>
      <c r="BJ51" s="80"/>
      <c r="BK51" s="84"/>
      <c r="BM51" s="6">
        <f t="shared" si="0"/>
        <v>44</v>
      </c>
      <c r="BO51" s="51" t="s">
        <v>33</v>
      </c>
    </row>
    <row r="52" spans="1:67" ht="15" customHeight="1">
      <c r="A52" s="83"/>
      <c r="B52" s="97"/>
      <c r="C52" s="80"/>
      <c r="D52" s="80"/>
      <c r="E52" s="80"/>
      <c r="F52" s="80"/>
      <c r="G52" s="80"/>
      <c r="H52" s="80"/>
      <c r="I52" s="80"/>
      <c r="J52" s="80"/>
      <c r="K52" s="92"/>
      <c r="L52" s="97"/>
      <c r="M52" s="80"/>
      <c r="N52" s="80"/>
      <c r="O52" s="80"/>
      <c r="P52" s="80"/>
      <c r="Q52" s="80"/>
      <c r="R52" s="80"/>
      <c r="S52" s="80"/>
      <c r="T52" s="92"/>
      <c r="U52" s="97"/>
      <c r="V52" s="80"/>
      <c r="W52" s="80"/>
      <c r="X52" s="80"/>
      <c r="Y52" s="80"/>
      <c r="Z52" s="80"/>
      <c r="AA52" s="80"/>
      <c r="AB52" s="80"/>
      <c r="AC52" s="92"/>
      <c r="AD52" s="97"/>
      <c r="AE52" s="80"/>
      <c r="AF52" s="80"/>
      <c r="AG52" s="80"/>
      <c r="AH52" s="80"/>
      <c r="AI52" s="80"/>
      <c r="AJ52" s="80"/>
      <c r="AK52" s="80"/>
      <c r="AL52" s="92"/>
      <c r="AM52" s="97"/>
      <c r="AN52" s="80"/>
      <c r="AO52" s="80"/>
      <c r="AP52" s="80"/>
      <c r="AQ52" s="80"/>
      <c r="AR52" s="80"/>
      <c r="AS52" s="80"/>
      <c r="AT52" s="80"/>
      <c r="AU52" s="80"/>
      <c r="AV52" s="80"/>
      <c r="AW52" s="80"/>
      <c r="AX52" s="80"/>
      <c r="AY52" s="80"/>
      <c r="AZ52" s="80"/>
      <c r="BA52" s="80"/>
      <c r="BB52" s="80"/>
      <c r="BC52" s="80"/>
      <c r="BD52" s="80"/>
      <c r="BE52" s="80"/>
      <c r="BF52" s="80"/>
      <c r="BG52" s="80"/>
      <c r="BH52" s="80"/>
      <c r="BI52" s="92"/>
      <c r="BJ52" s="80"/>
      <c r="BK52" s="84"/>
      <c r="BM52" s="6">
        <f t="shared" si="0"/>
        <v>45</v>
      </c>
    </row>
    <row r="53" spans="1:67" ht="15" customHeight="1">
      <c r="A53" s="83"/>
      <c r="B53" s="97"/>
      <c r="C53" s="80"/>
      <c r="D53" s="80"/>
      <c r="E53" s="80"/>
      <c r="F53" s="80"/>
      <c r="G53" s="80"/>
      <c r="H53" s="80"/>
      <c r="I53" s="80"/>
      <c r="J53" s="80"/>
      <c r="K53" s="92"/>
      <c r="L53" s="97"/>
      <c r="M53" s="80"/>
      <c r="N53" s="80"/>
      <c r="O53" s="80"/>
      <c r="P53" s="80"/>
      <c r="Q53" s="80"/>
      <c r="R53" s="80"/>
      <c r="S53" s="80"/>
      <c r="T53" s="92"/>
      <c r="U53" s="97"/>
      <c r="V53" s="80"/>
      <c r="W53" s="80"/>
      <c r="X53" s="80"/>
      <c r="Y53" s="80"/>
      <c r="Z53" s="80"/>
      <c r="AA53" s="80"/>
      <c r="AB53" s="80"/>
      <c r="AC53" s="92"/>
      <c r="AD53" s="97"/>
      <c r="AE53" s="80"/>
      <c r="AF53" s="80"/>
      <c r="AG53" s="80"/>
      <c r="AH53" s="80"/>
      <c r="AI53" s="80"/>
      <c r="AJ53" s="80"/>
      <c r="AK53" s="80"/>
      <c r="AL53" s="92"/>
      <c r="AM53" s="97"/>
      <c r="AN53" s="80"/>
      <c r="AO53" s="80"/>
      <c r="AP53" s="80"/>
      <c r="AQ53" s="80"/>
      <c r="AR53" s="80"/>
      <c r="AS53" s="80"/>
      <c r="AT53" s="80"/>
      <c r="AU53" s="80"/>
      <c r="AV53" s="80"/>
      <c r="AW53" s="80"/>
      <c r="AX53" s="80"/>
      <c r="AY53" s="80"/>
      <c r="AZ53" s="80"/>
      <c r="BA53" s="80"/>
      <c r="BB53" s="80"/>
      <c r="BC53" s="80"/>
      <c r="BD53" s="80"/>
      <c r="BE53" s="80"/>
      <c r="BF53" s="80"/>
      <c r="BG53" s="80"/>
      <c r="BH53" s="80"/>
      <c r="BI53" s="92"/>
      <c r="BJ53" s="80"/>
      <c r="BK53" s="84"/>
      <c r="BM53" s="6">
        <f t="shared" si="0"/>
        <v>46</v>
      </c>
    </row>
    <row r="54" spans="1:67" ht="15" customHeight="1">
      <c r="A54" s="83"/>
      <c r="B54" s="97"/>
      <c r="C54" s="80"/>
      <c r="D54" s="80"/>
      <c r="E54" s="80"/>
      <c r="F54" s="80"/>
      <c r="G54" s="80"/>
      <c r="H54" s="80"/>
      <c r="I54" s="80"/>
      <c r="J54" s="80"/>
      <c r="K54" s="92"/>
      <c r="L54" s="97"/>
      <c r="M54" s="80"/>
      <c r="N54" s="80"/>
      <c r="O54" s="80"/>
      <c r="P54" s="80"/>
      <c r="Q54" s="80"/>
      <c r="R54" s="80"/>
      <c r="S54" s="80"/>
      <c r="T54" s="92"/>
      <c r="U54" s="97"/>
      <c r="V54" s="80"/>
      <c r="W54" s="80"/>
      <c r="X54" s="80"/>
      <c r="Y54" s="80"/>
      <c r="Z54" s="80"/>
      <c r="AA54" s="80"/>
      <c r="AB54" s="80"/>
      <c r="AC54" s="92"/>
      <c r="AD54" s="97"/>
      <c r="AE54" s="80"/>
      <c r="AF54" s="80"/>
      <c r="AG54" s="80"/>
      <c r="AH54" s="80"/>
      <c r="AI54" s="80"/>
      <c r="AJ54" s="80"/>
      <c r="AK54" s="80"/>
      <c r="AL54" s="92"/>
      <c r="AM54" s="97"/>
      <c r="AN54" s="80"/>
      <c r="AO54" s="80"/>
      <c r="AP54" s="80"/>
      <c r="AQ54" s="80"/>
      <c r="AR54" s="80"/>
      <c r="AS54" s="80"/>
      <c r="AT54" s="80"/>
      <c r="AU54" s="80"/>
      <c r="AV54" s="80"/>
      <c r="AW54" s="80"/>
      <c r="AX54" s="80"/>
      <c r="AY54" s="80"/>
      <c r="AZ54" s="80"/>
      <c r="BA54" s="80"/>
      <c r="BB54" s="80"/>
      <c r="BC54" s="80"/>
      <c r="BD54" s="80"/>
      <c r="BE54" s="80"/>
      <c r="BF54" s="80"/>
      <c r="BG54" s="80"/>
      <c r="BH54" s="80"/>
      <c r="BI54" s="92"/>
      <c r="BJ54" s="80"/>
      <c r="BK54" s="84"/>
      <c r="BM54" s="6">
        <f t="shared" si="0"/>
        <v>47</v>
      </c>
    </row>
    <row r="55" spans="1:67" ht="15" customHeight="1">
      <c r="A55" s="83"/>
      <c r="B55" s="97"/>
      <c r="C55" s="80"/>
      <c r="D55" s="80"/>
      <c r="E55" s="80"/>
      <c r="F55" s="80"/>
      <c r="G55" s="80"/>
      <c r="H55" s="80"/>
      <c r="I55" s="80"/>
      <c r="J55" s="80"/>
      <c r="K55" s="92"/>
      <c r="L55" s="97"/>
      <c r="M55" s="80"/>
      <c r="N55" s="80"/>
      <c r="O55" s="80"/>
      <c r="P55" s="80"/>
      <c r="Q55" s="80"/>
      <c r="R55" s="80"/>
      <c r="S55" s="80"/>
      <c r="T55" s="92"/>
      <c r="U55" s="97"/>
      <c r="V55" s="80"/>
      <c r="W55" s="80"/>
      <c r="X55" s="80"/>
      <c r="Y55" s="80"/>
      <c r="Z55" s="80"/>
      <c r="AA55" s="80"/>
      <c r="AB55" s="80"/>
      <c r="AC55" s="92"/>
      <c r="AD55" s="97"/>
      <c r="AE55" s="80"/>
      <c r="AF55" s="80"/>
      <c r="AG55" s="80"/>
      <c r="AH55" s="80"/>
      <c r="AI55" s="80"/>
      <c r="AJ55" s="80"/>
      <c r="AK55" s="80"/>
      <c r="AL55" s="92"/>
      <c r="AM55" s="97"/>
      <c r="AN55" s="80"/>
      <c r="AO55" s="80"/>
      <c r="AP55" s="80"/>
      <c r="AQ55" s="80"/>
      <c r="AR55" s="80"/>
      <c r="AS55" s="80"/>
      <c r="AT55" s="80"/>
      <c r="AU55" s="80"/>
      <c r="AV55" s="80"/>
      <c r="AW55" s="80"/>
      <c r="AX55" s="80"/>
      <c r="AY55" s="80"/>
      <c r="AZ55" s="80"/>
      <c r="BA55" s="80"/>
      <c r="BB55" s="80"/>
      <c r="BC55" s="80"/>
      <c r="BD55" s="80"/>
      <c r="BE55" s="80"/>
      <c r="BF55" s="80"/>
      <c r="BG55" s="80"/>
      <c r="BH55" s="80"/>
      <c r="BI55" s="92"/>
      <c r="BJ55" s="80"/>
      <c r="BK55" s="84"/>
      <c r="BM55" s="6">
        <f t="shared" si="0"/>
        <v>48</v>
      </c>
    </row>
    <row r="56" spans="1:67" ht="15" customHeight="1">
      <c r="A56" s="83"/>
      <c r="B56" s="97"/>
      <c r="C56" s="80"/>
      <c r="D56" s="80"/>
      <c r="E56" s="80"/>
      <c r="F56" s="80"/>
      <c r="G56" s="80"/>
      <c r="H56" s="80"/>
      <c r="I56" s="80"/>
      <c r="J56" s="80"/>
      <c r="K56" s="92"/>
      <c r="L56" s="97"/>
      <c r="M56" s="80"/>
      <c r="N56" s="80"/>
      <c r="O56" s="80"/>
      <c r="P56" s="80"/>
      <c r="Q56" s="80"/>
      <c r="R56" s="80"/>
      <c r="S56" s="80"/>
      <c r="T56" s="92"/>
      <c r="U56" s="97"/>
      <c r="V56" s="80"/>
      <c r="W56" s="80"/>
      <c r="X56" s="80"/>
      <c r="Y56" s="80"/>
      <c r="Z56" s="80"/>
      <c r="AA56" s="80"/>
      <c r="AB56" s="80"/>
      <c r="AC56" s="92"/>
      <c r="AD56" s="97"/>
      <c r="AE56" s="80"/>
      <c r="AF56" s="80"/>
      <c r="AG56" s="80"/>
      <c r="AH56" s="80"/>
      <c r="AI56" s="80"/>
      <c r="AJ56" s="80"/>
      <c r="AK56" s="80"/>
      <c r="AL56" s="92"/>
      <c r="AM56" s="97"/>
      <c r="AN56" s="80"/>
      <c r="AO56" s="80"/>
      <c r="AP56" s="80"/>
      <c r="AQ56" s="80"/>
      <c r="AR56" s="80"/>
      <c r="AS56" s="80"/>
      <c r="AT56" s="80"/>
      <c r="AU56" s="80"/>
      <c r="AV56" s="80"/>
      <c r="AW56" s="80"/>
      <c r="AX56" s="80"/>
      <c r="AY56" s="80"/>
      <c r="AZ56" s="80"/>
      <c r="BA56" s="80"/>
      <c r="BB56" s="80"/>
      <c r="BC56" s="80"/>
      <c r="BD56" s="80"/>
      <c r="BE56" s="80"/>
      <c r="BF56" s="80"/>
      <c r="BG56" s="80"/>
      <c r="BH56" s="80"/>
      <c r="BI56" s="92"/>
      <c r="BJ56" s="80"/>
      <c r="BK56" s="84"/>
      <c r="BM56" s="6">
        <f t="shared" si="0"/>
        <v>49</v>
      </c>
    </row>
    <row r="57" spans="1:67" ht="15" customHeight="1">
      <c r="A57" s="83"/>
      <c r="B57" s="97"/>
      <c r="C57" s="80"/>
      <c r="D57" s="80"/>
      <c r="E57" s="80"/>
      <c r="F57" s="80"/>
      <c r="G57" s="80"/>
      <c r="H57" s="80"/>
      <c r="I57" s="80"/>
      <c r="J57" s="80"/>
      <c r="K57" s="92"/>
      <c r="L57" s="97"/>
      <c r="M57" s="80"/>
      <c r="N57" s="80"/>
      <c r="O57" s="80"/>
      <c r="P57" s="80"/>
      <c r="Q57" s="80"/>
      <c r="R57" s="80"/>
      <c r="S57" s="80"/>
      <c r="T57" s="92"/>
      <c r="U57" s="97"/>
      <c r="V57" s="80"/>
      <c r="W57" s="80"/>
      <c r="X57" s="80"/>
      <c r="Y57" s="80"/>
      <c r="Z57" s="80"/>
      <c r="AA57" s="80"/>
      <c r="AB57" s="80"/>
      <c r="AC57" s="92"/>
      <c r="AD57" s="97"/>
      <c r="AE57" s="80"/>
      <c r="AF57" s="80"/>
      <c r="AG57" s="80"/>
      <c r="AH57" s="80"/>
      <c r="AI57" s="80"/>
      <c r="AJ57" s="80"/>
      <c r="AK57" s="80"/>
      <c r="AL57" s="92"/>
      <c r="AM57" s="97"/>
      <c r="AN57" s="80"/>
      <c r="AO57" s="80"/>
      <c r="AP57" s="80"/>
      <c r="AQ57" s="80"/>
      <c r="AR57" s="80"/>
      <c r="AS57" s="80"/>
      <c r="AT57" s="80"/>
      <c r="AU57" s="80"/>
      <c r="AV57" s="80"/>
      <c r="AW57" s="80"/>
      <c r="AX57" s="80"/>
      <c r="AY57" s="80"/>
      <c r="AZ57" s="80"/>
      <c r="BA57" s="80"/>
      <c r="BB57" s="80"/>
      <c r="BC57" s="80"/>
      <c r="BD57" s="80"/>
      <c r="BE57" s="80"/>
      <c r="BF57" s="80"/>
      <c r="BG57" s="80"/>
      <c r="BH57" s="80"/>
      <c r="BI57" s="92"/>
      <c r="BJ57" s="80"/>
      <c r="BK57" s="84"/>
      <c r="BM57" s="6">
        <f t="shared" si="0"/>
        <v>50</v>
      </c>
    </row>
    <row r="58" spans="1:67" ht="15" customHeight="1">
      <c r="A58" s="83"/>
      <c r="B58" s="97"/>
      <c r="C58" s="80"/>
      <c r="D58" s="80"/>
      <c r="E58" s="80"/>
      <c r="F58" s="80"/>
      <c r="G58" s="80"/>
      <c r="H58" s="80"/>
      <c r="I58" s="80"/>
      <c r="J58" s="80"/>
      <c r="K58" s="92"/>
      <c r="L58" s="97"/>
      <c r="M58" s="80"/>
      <c r="N58" s="80"/>
      <c r="O58" s="80"/>
      <c r="P58" s="80"/>
      <c r="Q58" s="80"/>
      <c r="R58" s="80"/>
      <c r="S58" s="80"/>
      <c r="T58" s="92"/>
      <c r="U58" s="97"/>
      <c r="V58" s="80"/>
      <c r="W58" s="80"/>
      <c r="X58" s="80"/>
      <c r="Y58" s="80"/>
      <c r="Z58" s="80"/>
      <c r="AA58" s="80"/>
      <c r="AB58" s="80"/>
      <c r="AC58" s="92"/>
      <c r="AD58" s="97"/>
      <c r="AE58" s="80"/>
      <c r="AF58" s="80"/>
      <c r="AG58" s="80"/>
      <c r="AH58" s="80"/>
      <c r="AI58" s="80"/>
      <c r="AJ58" s="80"/>
      <c r="AK58" s="80"/>
      <c r="AL58" s="92"/>
      <c r="AM58" s="97"/>
      <c r="AN58" s="80"/>
      <c r="AO58" s="80"/>
      <c r="AP58" s="80"/>
      <c r="AQ58" s="80"/>
      <c r="AR58" s="80"/>
      <c r="AS58" s="80"/>
      <c r="AT58" s="80"/>
      <c r="AU58" s="80"/>
      <c r="AV58" s="80"/>
      <c r="AW58" s="80"/>
      <c r="AX58" s="80"/>
      <c r="AY58" s="80"/>
      <c r="AZ58" s="80"/>
      <c r="BA58" s="80"/>
      <c r="BB58" s="80"/>
      <c r="BC58" s="80"/>
      <c r="BD58" s="80"/>
      <c r="BE58" s="80"/>
      <c r="BF58" s="80"/>
      <c r="BG58" s="80"/>
      <c r="BH58" s="80"/>
      <c r="BI58" s="92"/>
      <c r="BJ58" s="80"/>
      <c r="BK58" s="84"/>
      <c r="BM58" s="6">
        <f t="shared" si="0"/>
        <v>1</v>
      </c>
    </row>
    <row r="59" spans="1:67" ht="15" customHeight="1">
      <c r="A59" s="83"/>
      <c r="B59" s="97"/>
      <c r="C59" s="80"/>
      <c r="D59" s="80"/>
      <c r="E59" s="80"/>
      <c r="F59" s="80"/>
      <c r="G59" s="80"/>
      <c r="H59" s="80"/>
      <c r="I59" s="80"/>
      <c r="J59" s="80"/>
      <c r="K59" s="92"/>
      <c r="L59" s="97"/>
      <c r="M59" s="80"/>
      <c r="N59" s="80"/>
      <c r="O59" s="80"/>
      <c r="P59" s="80"/>
      <c r="Q59" s="80"/>
      <c r="R59" s="80"/>
      <c r="S59" s="80"/>
      <c r="T59" s="92"/>
      <c r="U59" s="97"/>
      <c r="V59" s="80"/>
      <c r="W59" s="80"/>
      <c r="X59" s="80"/>
      <c r="Y59" s="80"/>
      <c r="Z59" s="80"/>
      <c r="AA59" s="80"/>
      <c r="AB59" s="80"/>
      <c r="AC59" s="92"/>
      <c r="AD59" s="97"/>
      <c r="AE59" s="80"/>
      <c r="AF59" s="80"/>
      <c r="AG59" s="80"/>
      <c r="AH59" s="80"/>
      <c r="AI59" s="80"/>
      <c r="AJ59" s="80"/>
      <c r="AK59" s="80"/>
      <c r="AL59" s="92"/>
      <c r="AM59" s="97"/>
      <c r="AN59" s="80"/>
      <c r="AO59" s="80"/>
      <c r="AP59" s="80"/>
      <c r="AQ59" s="80"/>
      <c r="AR59" s="80"/>
      <c r="AS59" s="80"/>
      <c r="AT59" s="80"/>
      <c r="AU59" s="80"/>
      <c r="AV59" s="80"/>
      <c r="AW59" s="80"/>
      <c r="AX59" s="80"/>
      <c r="AY59" s="80"/>
      <c r="AZ59" s="80"/>
      <c r="BA59" s="80"/>
      <c r="BB59" s="80"/>
      <c r="BC59" s="80"/>
      <c r="BD59" s="80"/>
      <c r="BE59" s="80"/>
      <c r="BF59" s="80"/>
      <c r="BG59" s="80"/>
      <c r="BH59" s="80"/>
      <c r="BI59" s="92"/>
      <c r="BJ59" s="80"/>
      <c r="BK59" s="84"/>
      <c r="BM59" s="6">
        <f t="shared" si="0"/>
        <v>2</v>
      </c>
    </row>
    <row r="60" spans="1:67" ht="15" customHeight="1">
      <c r="B60" s="91"/>
      <c r="L60" s="91"/>
      <c r="U60" s="91"/>
      <c r="AD60" s="91"/>
      <c r="AM60" s="91"/>
      <c r="BJ60" s="91"/>
      <c r="BK60" s="56"/>
      <c r="BM60" s="6">
        <f t="shared" si="0"/>
        <v>3</v>
      </c>
    </row>
    <row r="61" spans="1:67" ht="15" customHeight="1">
      <c r="B61" s="91"/>
      <c r="L61" s="91"/>
      <c r="U61" s="91"/>
      <c r="AD61" s="91"/>
      <c r="AM61" s="91"/>
      <c r="BJ61" s="91"/>
      <c r="BK61" s="56"/>
      <c r="BM61" s="6">
        <f t="shared" si="0"/>
        <v>4</v>
      </c>
    </row>
    <row r="62" spans="1:67" ht="15" customHeight="1">
      <c r="B62" s="91"/>
      <c r="L62" s="91"/>
      <c r="U62" s="91"/>
      <c r="AD62" s="91"/>
      <c r="AM62" s="91"/>
      <c r="BJ62" s="91"/>
      <c r="BK62" s="56"/>
      <c r="BM62" s="6">
        <f t="shared" si="0"/>
        <v>5</v>
      </c>
    </row>
    <row r="63" spans="1:67" ht="15" customHeight="1">
      <c r="B63" s="91"/>
      <c r="L63" s="91"/>
      <c r="U63" s="91"/>
      <c r="AD63" s="91"/>
      <c r="AM63" s="91"/>
      <c r="BJ63" s="91"/>
      <c r="BK63" s="56"/>
      <c r="BM63" s="6">
        <f t="shared" si="0"/>
        <v>6</v>
      </c>
    </row>
    <row r="64" spans="1:67" ht="15" customHeight="1">
      <c r="B64" s="91"/>
      <c r="L64" s="91"/>
      <c r="U64" s="91"/>
      <c r="AD64" s="91"/>
      <c r="AM64" s="91"/>
      <c r="BJ64" s="91"/>
      <c r="BK64" s="56"/>
      <c r="BM64" s="6">
        <f t="shared" si="0"/>
        <v>7</v>
      </c>
    </row>
    <row r="65" spans="2:65" ht="15" customHeight="1">
      <c r="B65" s="91"/>
      <c r="L65" s="91"/>
      <c r="U65" s="91"/>
      <c r="AD65" s="91"/>
      <c r="AM65" s="91"/>
      <c r="BJ65" s="91"/>
      <c r="BK65" s="56"/>
      <c r="BM65" s="6">
        <f t="shared" si="0"/>
        <v>8</v>
      </c>
    </row>
    <row r="66" spans="2:65" ht="15" customHeight="1">
      <c r="B66" s="91"/>
      <c r="L66" s="91"/>
      <c r="U66" s="91"/>
      <c r="AD66" s="91"/>
      <c r="AM66" s="91"/>
      <c r="BJ66" s="91"/>
      <c r="BK66" s="56"/>
      <c r="BM66" s="6">
        <f t="shared" si="0"/>
        <v>9</v>
      </c>
    </row>
    <row r="67" spans="2:65" ht="15" customHeight="1">
      <c r="B67" s="91"/>
      <c r="L67" s="91"/>
      <c r="U67" s="91"/>
      <c r="AD67" s="91"/>
      <c r="AM67" s="91"/>
      <c r="BJ67" s="91"/>
      <c r="BK67" s="56"/>
      <c r="BM67" s="6">
        <f t="shared" si="0"/>
        <v>10</v>
      </c>
    </row>
    <row r="68" spans="2:65" ht="15" customHeight="1">
      <c r="B68" s="91"/>
      <c r="L68" s="91"/>
      <c r="U68" s="91"/>
      <c r="AD68" s="91"/>
      <c r="AM68" s="91"/>
      <c r="BJ68" s="91"/>
      <c r="BK68" s="56"/>
      <c r="BM68" s="6">
        <f t="shared" si="0"/>
        <v>11</v>
      </c>
    </row>
    <row r="69" spans="2:65" ht="15" customHeight="1">
      <c r="B69" s="91"/>
      <c r="L69" s="91"/>
      <c r="U69" s="91"/>
      <c r="AD69" s="91"/>
      <c r="AM69" s="91"/>
      <c r="BJ69" s="91"/>
      <c r="BK69" s="56"/>
      <c r="BM69" s="6">
        <f t="shared" si="0"/>
        <v>12</v>
      </c>
    </row>
    <row r="70" spans="2:65" ht="15" customHeight="1">
      <c r="B70" s="91"/>
      <c r="L70" s="91"/>
      <c r="U70" s="91"/>
      <c r="AD70" s="91"/>
      <c r="AM70" s="91"/>
      <c r="BJ70" s="91"/>
      <c r="BK70" s="56"/>
      <c r="BM70" s="6">
        <f t="shared" si="0"/>
        <v>13</v>
      </c>
    </row>
    <row r="71" spans="2:65" ht="15" customHeight="1">
      <c r="B71" s="91"/>
      <c r="L71" s="91"/>
      <c r="U71" s="91"/>
      <c r="AD71" s="91"/>
      <c r="AM71" s="91"/>
      <c r="BJ71" s="91"/>
      <c r="BK71" s="56"/>
      <c r="BM71" s="6">
        <f t="shared" si="0"/>
        <v>14</v>
      </c>
    </row>
    <row r="72" spans="2:65" ht="15" customHeight="1">
      <c r="B72" s="91"/>
      <c r="L72" s="91"/>
      <c r="U72" s="91"/>
      <c r="AD72" s="91"/>
      <c r="AM72" s="91"/>
      <c r="BJ72" s="91"/>
      <c r="BK72" s="56"/>
      <c r="BM72" s="6">
        <f t="shared" si="0"/>
        <v>15</v>
      </c>
    </row>
    <row r="73" spans="2:65" ht="15" customHeight="1">
      <c r="B73" s="91"/>
      <c r="L73" s="91"/>
      <c r="U73" s="91"/>
      <c r="AD73" s="91"/>
      <c r="AM73" s="91"/>
      <c r="BJ73" s="91"/>
      <c r="BK73" s="56"/>
      <c r="BM73" s="6">
        <f t="shared" si="0"/>
        <v>16</v>
      </c>
    </row>
    <row r="74" spans="2:65" ht="15" customHeight="1">
      <c r="B74" s="91"/>
      <c r="L74" s="91"/>
      <c r="U74" s="91"/>
      <c r="AD74" s="91"/>
      <c r="AM74" s="91"/>
      <c r="BJ74" s="91"/>
      <c r="BK74" s="56"/>
      <c r="BM74" s="6">
        <f t="shared" si="0"/>
        <v>17</v>
      </c>
    </row>
    <row r="75" spans="2:65" ht="15" customHeight="1">
      <c r="B75" s="91"/>
      <c r="L75" s="91"/>
      <c r="U75" s="91"/>
      <c r="AD75" s="91"/>
      <c r="AM75" s="91"/>
      <c r="BJ75" s="91"/>
      <c r="BK75" s="56"/>
      <c r="BM75" s="6">
        <f t="shared" si="0"/>
        <v>18</v>
      </c>
    </row>
    <row r="76" spans="2:65" ht="15" customHeight="1">
      <c r="B76" s="91"/>
      <c r="L76" s="91"/>
      <c r="U76" s="91"/>
      <c r="AD76" s="91"/>
      <c r="AM76" s="91"/>
      <c r="BJ76" s="91"/>
      <c r="BK76" s="56"/>
      <c r="BM76" s="6">
        <f t="shared" si="0"/>
        <v>19</v>
      </c>
    </row>
    <row r="77" spans="2:65" ht="15" customHeight="1">
      <c r="B77" s="91"/>
      <c r="L77" s="91"/>
      <c r="U77" s="91"/>
      <c r="AD77" s="91"/>
      <c r="AM77" s="91"/>
      <c r="BJ77" s="91"/>
      <c r="BK77" s="56"/>
      <c r="BM77" s="6">
        <f t="shared" si="0"/>
        <v>20</v>
      </c>
    </row>
    <row r="78" spans="2:65" ht="15" customHeight="1">
      <c r="B78" s="91"/>
      <c r="L78" s="91"/>
      <c r="U78" s="91"/>
      <c r="AD78" s="91"/>
      <c r="AM78" s="91"/>
      <c r="BJ78" s="91"/>
      <c r="BK78" s="56"/>
      <c r="BM78" s="6">
        <f t="shared" si="0"/>
        <v>21</v>
      </c>
    </row>
    <row r="79" spans="2:65" ht="15" customHeight="1">
      <c r="B79" s="91"/>
      <c r="L79" s="91"/>
      <c r="U79" s="91"/>
      <c r="AD79" s="91"/>
      <c r="AM79" s="91"/>
      <c r="BJ79" s="91"/>
      <c r="BK79" s="56"/>
      <c r="BM79" s="6">
        <f t="shared" si="0"/>
        <v>22</v>
      </c>
    </row>
    <row r="80" spans="2:65" ht="15" customHeight="1">
      <c r="B80" s="91"/>
      <c r="L80" s="91"/>
      <c r="U80" s="91"/>
      <c r="AD80" s="91"/>
      <c r="AM80" s="91"/>
      <c r="BJ80" s="91"/>
      <c r="BK80" s="56"/>
      <c r="BM80" s="6">
        <f t="shared" si="0"/>
        <v>23</v>
      </c>
    </row>
    <row r="81" spans="2:92" ht="15" customHeight="1">
      <c r="B81" s="91"/>
      <c r="L81" s="91"/>
      <c r="U81" s="91"/>
      <c r="AD81" s="91"/>
      <c r="AM81" s="91"/>
      <c r="BJ81" s="91"/>
      <c r="BK81" s="56"/>
      <c r="BM81" s="6">
        <f t="shared" si="0"/>
        <v>24</v>
      </c>
    </row>
    <row r="82" spans="2:92" ht="15" customHeight="1">
      <c r="B82" s="91"/>
      <c r="L82" s="91"/>
      <c r="U82" s="91"/>
      <c r="AD82" s="91"/>
      <c r="AM82" s="91"/>
      <c r="BJ82" s="91"/>
      <c r="BK82" s="56"/>
      <c r="BM82" s="6">
        <f t="shared" si="0"/>
        <v>25</v>
      </c>
    </row>
    <row r="83" spans="2:92" ht="15" customHeight="1">
      <c r="B83" s="91"/>
      <c r="L83" s="91"/>
      <c r="U83" s="91"/>
      <c r="AD83" s="91"/>
      <c r="AM83" s="91"/>
      <c r="BJ83" s="91"/>
      <c r="BK83" s="56"/>
      <c r="BM83" s="6">
        <f t="shared" si="0"/>
        <v>26</v>
      </c>
    </row>
    <row r="84" spans="2:92" ht="15" customHeight="1">
      <c r="B84" s="91"/>
      <c r="L84" s="91"/>
      <c r="U84" s="91"/>
      <c r="AD84" s="91"/>
      <c r="AM84" s="91"/>
      <c r="BJ84" s="91"/>
      <c r="BK84" s="56"/>
      <c r="BM84" s="6">
        <f t="shared" si="0"/>
        <v>27</v>
      </c>
    </row>
    <row r="85" spans="2:92" ht="15" customHeight="1">
      <c r="B85" s="91"/>
      <c r="L85" s="91"/>
      <c r="U85" s="91"/>
      <c r="AD85" s="91"/>
      <c r="AM85" s="91"/>
      <c r="BJ85" s="91"/>
      <c r="BK85" s="56"/>
      <c r="BM85" s="6">
        <f t="shared" si="0"/>
        <v>28</v>
      </c>
    </row>
    <row r="86" spans="2:92" ht="15" customHeight="1">
      <c r="B86" s="91"/>
      <c r="L86" s="91"/>
      <c r="U86" s="91"/>
      <c r="AD86" s="91"/>
      <c r="AM86" s="91"/>
      <c r="BJ86" s="91"/>
      <c r="BK86" s="56"/>
      <c r="BM86" s="6">
        <f t="shared" si="0"/>
        <v>29</v>
      </c>
    </row>
    <row r="87" spans="2:92" ht="15" customHeight="1">
      <c r="B87" s="91"/>
      <c r="L87" s="91"/>
      <c r="U87" s="91"/>
      <c r="AD87" s="91"/>
      <c r="AM87" s="91"/>
      <c r="BJ87" s="91"/>
      <c r="BK87" s="56"/>
      <c r="BM87" s="6">
        <f t="shared" si="0"/>
        <v>30</v>
      </c>
      <c r="BO87" s="24"/>
      <c r="BP87" s="24"/>
      <c r="BQ87" s="24"/>
      <c r="CN87" s="24"/>
    </row>
    <row r="88" spans="2:92" ht="15" customHeight="1">
      <c r="B88" s="91"/>
      <c r="L88" s="91"/>
      <c r="U88" s="91"/>
      <c r="AD88" s="91"/>
      <c r="AM88" s="91"/>
      <c r="BJ88" s="91"/>
      <c r="BK88" s="56"/>
      <c r="BM88" s="6">
        <f t="shared" si="0"/>
        <v>31</v>
      </c>
    </row>
    <row r="89" spans="2:92" ht="15" customHeight="1">
      <c r="B89" s="91"/>
      <c r="L89" s="91"/>
      <c r="U89" s="91"/>
      <c r="AD89" s="91"/>
      <c r="AM89" s="91"/>
      <c r="BJ89" s="91"/>
      <c r="BK89" s="56"/>
      <c r="BM89" s="6">
        <f t="shared" si="0"/>
        <v>32</v>
      </c>
    </row>
    <row r="90" spans="2:92" ht="15" customHeight="1">
      <c r="B90" s="91"/>
      <c r="L90" s="91"/>
      <c r="U90" s="91"/>
      <c r="AD90" s="91"/>
      <c r="AM90" s="91"/>
      <c r="BJ90" s="91"/>
      <c r="BK90" s="56"/>
      <c r="BM90" s="6">
        <f t="shared" si="0"/>
        <v>33</v>
      </c>
    </row>
    <row r="91" spans="2:92" ht="15" customHeight="1">
      <c r="B91" s="91"/>
      <c r="L91" s="91"/>
      <c r="U91" s="91"/>
      <c r="AD91" s="91"/>
      <c r="AM91" s="91"/>
      <c r="BJ91" s="91"/>
      <c r="BK91" s="56"/>
      <c r="BM91" s="6">
        <f t="shared" si="0"/>
        <v>34</v>
      </c>
    </row>
    <row r="92" spans="2:92" ht="15" customHeight="1">
      <c r="B92" s="91"/>
      <c r="L92" s="91"/>
      <c r="U92" s="91"/>
      <c r="AD92" s="91"/>
      <c r="AM92" s="91"/>
      <c r="BJ92" s="91"/>
      <c r="BK92" s="56"/>
      <c r="BM92" s="6">
        <f t="shared" si="0"/>
        <v>35</v>
      </c>
    </row>
    <row r="93" spans="2:92" ht="15" customHeight="1">
      <c r="B93" s="91"/>
      <c r="L93" s="91"/>
      <c r="U93" s="91"/>
      <c r="AD93" s="91"/>
      <c r="AM93" s="91"/>
      <c r="BJ93" s="91"/>
      <c r="BK93" s="56"/>
      <c r="BM93" s="6">
        <f t="shared" si="0"/>
        <v>36</v>
      </c>
    </row>
    <row r="94" spans="2:92" ht="15" customHeight="1">
      <c r="B94" s="91"/>
      <c r="L94" s="91"/>
      <c r="U94" s="91"/>
      <c r="AD94" s="91"/>
      <c r="AM94" s="91"/>
      <c r="BJ94" s="91"/>
      <c r="BK94" s="56"/>
      <c r="BM94" s="6">
        <f t="shared" si="0"/>
        <v>37</v>
      </c>
    </row>
    <row r="95" spans="2:92" ht="15" customHeight="1">
      <c r="B95" s="91"/>
      <c r="L95" s="91"/>
      <c r="U95" s="91"/>
      <c r="AD95" s="91"/>
      <c r="AM95" s="91"/>
      <c r="BJ95" s="91"/>
      <c r="BK95" s="56"/>
      <c r="BM95" s="6">
        <f t="shared" si="0"/>
        <v>38</v>
      </c>
    </row>
    <row r="96" spans="2:92" ht="15" customHeight="1">
      <c r="B96" s="91"/>
      <c r="L96" s="91"/>
      <c r="U96" s="91"/>
      <c r="AD96" s="91"/>
      <c r="AM96" s="91"/>
      <c r="BJ96" s="91"/>
      <c r="BK96" s="56"/>
      <c r="BM96" s="6">
        <f t="shared" si="0"/>
        <v>39</v>
      </c>
    </row>
    <row r="97" spans="1:65" ht="15" customHeight="1">
      <c r="B97" s="91"/>
      <c r="L97" s="91"/>
      <c r="U97" s="91"/>
      <c r="AD97" s="91"/>
      <c r="AM97" s="91"/>
      <c r="BJ97" s="91"/>
      <c r="BK97" s="56"/>
      <c r="BM97" s="6">
        <f t="shared" si="0"/>
        <v>40</v>
      </c>
    </row>
    <row r="98" spans="1:65" ht="15" customHeight="1">
      <c r="B98" s="91"/>
      <c r="L98" s="91"/>
      <c r="U98" s="91"/>
      <c r="AD98" s="91"/>
      <c r="AM98" s="91"/>
      <c r="BJ98" s="91"/>
      <c r="BK98" s="56"/>
      <c r="BM98" s="6">
        <f t="shared" si="0"/>
        <v>41</v>
      </c>
    </row>
    <row r="99" spans="1:65" ht="15" customHeight="1">
      <c r="B99" s="91"/>
      <c r="L99" s="91"/>
      <c r="R99" s="98"/>
      <c r="S99" s="98"/>
      <c r="T99" s="98"/>
      <c r="U99" s="99"/>
      <c r="V99" s="98"/>
      <c r="W99" s="98"/>
      <c r="X99" s="98"/>
      <c r="Y99" s="98"/>
      <c r="Z99" s="98"/>
      <c r="AA99" s="98"/>
      <c r="AB99" s="98"/>
      <c r="AC99" s="98"/>
      <c r="AD99" s="99"/>
      <c r="AE99" s="98"/>
      <c r="AF99" s="98"/>
      <c r="AG99" s="98"/>
      <c r="AH99" s="98"/>
      <c r="AI99" s="98"/>
      <c r="AJ99" s="98"/>
      <c r="AM99" s="91"/>
      <c r="BJ99" s="91"/>
      <c r="BK99" s="56"/>
      <c r="BM99" s="6">
        <f t="shared" si="0"/>
        <v>42</v>
      </c>
    </row>
    <row r="100" spans="1:65" ht="15" customHeight="1">
      <c r="A100" s="92"/>
      <c r="B100" s="97"/>
      <c r="L100" s="91"/>
      <c r="R100" s="98"/>
      <c r="S100" s="98"/>
      <c r="T100" s="98"/>
      <c r="U100" s="99"/>
      <c r="V100" s="98"/>
      <c r="W100" s="98"/>
      <c r="X100" s="98"/>
      <c r="Y100" s="98"/>
      <c r="Z100" s="98"/>
      <c r="AA100" s="98"/>
      <c r="AB100" s="98"/>
      <c r="AC100" s="98"/>
      <c r="AD100" s="99"/>
      <c r="AE100" s="98"/>
      <c r="AF100" s="98"/>
      <c r="AG100" s="98"/>
      <c r="AH100" s="98"/>
      <c r="AI100" s="98"/>
      <c r="AJ100" s="98"/>
      <c r="AM100" s="91"/>
      <c r="BJ100" s="91"/>
      <c r="BK100" s="56"/>
      <c r="BM100" s="6">
        <f t="shared" si="0"/>
        <v>43</v>
      </c>
    </row>
    <row r="101" spans="1:65" ht="15" customHeight="1">
      <c r="A101" s="92"/>
      <c r="B101" s="97"/>
      <c r="K101" s="92"/>
      <c r="L101" s="97"/>
      <c r="R101" s="98"/>
      <c r="S101" s="98"/>
      <c r="T101" s="100"/>
      <c r="U101" s="101"/>
      <c r="V101" s="98"/>
      <c r="W101" s="98"/>
      <c r="X101" s="98"/>
      <c r="Y101" s="98"/>
      <c r="Z101" s="98"/>
      <c r="AA101" s="98"/>
      <c r="AB101" s="98"/>
      <c r="AC101" s="100"/>
      <c r="AD101" s="101"/>
      <c r="AE101" s="98"/>
      <c r="AF101" s="98"/>
      <c r="AG101" s="98"/>
      <c r="AH101" s="98"/>
      <c r="AI101" s="98"/>
      <c r="AJ101" s="98"/>
      <c r="AL101" s="92"/>
      <c r="AM101" s="97"/>
      <c r="BI101" s="92"/>
      <c r="BJ101" s="97"/>
      <c r="BK101" s="56"/>
      <c r="BM101" s="6">
        <f t="shared" si="0"/>
        <v>44</v>
      </c>
    </row>
    <row r="102" spans="1:65" ht="15" customHeight="1">
      <c r="A102" s="92"/>
      <c r="B102" s="97"/>
      <c r="K102" s="92"/>
      <c r="L102" s="97"/>
      <c r="R102" s="98"/>
      <c r="S102" s="98"/>
      <c r="T102" s="100"/>
      <c r="U102" s="101"/>
      <c r="V102" s="98"/>
      <c r="W102" s="98"/>
      <c r="X102" s="98"/>
      <c r="Y102" s="98"/>
      <c r="Z102" s="98"/>
      <c r="AA102" s="98"/>
      <c r="AB102" s="98"/>
      <c r="AC102" s="100"/>
      <c r="AD102" s="101"/>
      <c r="AE102" s="98"/>
      <c r="AF102" s="98"/>
      <c r="AG102" s="98"/>
      <c r="AH102" s="98"/>
      <c r="AI102" s="98"/>
      <c r="AJ102" s="98"/>
      <c r="AL102" s="92"/>
      <c r="AM102" s="97"/>
      <c r="BI102" s="92"/>
      <c r="BJ102" s="97"/>
      <c r="BK102" s="56"/>
      <c r="BM102" s="6">
        <f t="shared" si="0"/>
        <v>45</v>
      </c>
    </row>
    <row r="103" spans="1:65" ht="15" customHeight="1">
      <c r="A103" s="92"/>
      <c r="B103" s="97"/>
      <c r="K103" s="92"/>
      <c r="L103" s="97"/>
      <c r="T103" s="92"/>
      <c r="U103" s="97"/>
      <c r="AC103" s="92"/>
      <c r="AD103" s="97"/>
      <c r="AL103" s="92"/>
      <c r="AM103" s="97"/>
      <c r="BI103" s="92"/>
      <c r="BJ103" s="97"/>
      <c r="BK103" s="56"/>
      <c r="BM103" s="6"/>
    </row>
    <row r="104" spans="1:65" ht="15" customHeight="1">
      <c r="A104" s="92"/>
      <c r="B104" s="97"/>
      <c r="K104" s="92"/>
      <c r="L104" s="97"/>
      <c r="T104" s="92"/>
      <c r="U104" s="97"/>
      <c r="AC104" s="92"/>
      <c r="AD104" s="97"/>
      <c r="AL104" s="92"/>
      <c r="AM104" s="97"/>
      <c r="BI104" s="92"/>
      <c r="BJ104" s="97"/>
      <c r="BK104" s="56"/>
      <c r="BM104" s="6"/>
    </row>
    <row r="105" spans="1:65" ht="15" customHeight="1">
      <c r="A105" s="92"/>
      <c r="B105" s="97"/>
      <c r="K105" s="92"/>
      <c r="L105" s="97"/>
      <c r="T105" s="92"/>
      <c r="U105" s="97"/>
      <c r="AC105" s="92"/>
      <c r="AD105" s="97"/>
      <c r="AL105" s="92"/>
      <c r="AM105" s="97"/>
      <c r="BI105" s="92"/>
      <c r="BJ105" s="97"/>
      <c r="BK105" s="56"/>
      <c r="BM105" s="6"/>
    </row>
    <row r="106" spans="1:65" ht="15" customHeight="1">
      <c r="A106" s="92"/>
      <c r="B106" s="97"/>
      <c r="K106" s="92"/>
      <c r="L106" s="97"/>
      <c r="T106" s="92"/>
      <c r="U106" s="97"/>
      <c r="AC106" s="92"/>
      <c r="AD106" s="97"/>
      <c r="AL106" s="92"/>
      <c r="AM106" s="97"/>
      <c r="BI106" s="92"/>
      <c r="BJ106" s="97"/>
      <c r="BK106" s="56"/>
      <c r="BM106" s="6">
        <f>IF(BM102=50,1,BM102+1)</f>
        <v>46</v>
      </c>
    </row>
    <row r="107" spans="1:65" ht="15" customHeight="1">
      <c r="A107" s="92"/>
      <c r="B107" s="97"/>
      <c r="K107" s="92"/>
      <c r="L107" s="97"/>
      <c r="T107" s="92"/>
      <c r="U107" s="97"/>
      <c r="AC107" s="92"/>
      <c r="AD107" s="97"/>
      <c r="AL107" s="92"/>
      <c r="AM107" s="97"/>
      <c r="BI107" s="92"/>
      <c r="BJ107" s="97"/>
      <c r="BK107" s="56"/>
      <c r="BM107" s="6">
        <f t="shared" si="0"/>
        <v>47</v>
      </c>
    </row>
    <row r="108" spans="1:65" ht="15" customHeight="1">
      <c r="A108" s="92"/>
      <c r="B108" s="97"/>
      <c r="K108" s="92"/>
      <c r="L108" s="97"/>
      <c r="T108" s="92"/>
      <c r="U108" s="97"/>
      <c r="AC108" s="92"/>
      <c r="AD108" s="97"/>
      <c r="AL108" s="92"/>
      <c r="AM108" s="97"/>
      <c r="BI108" s="92"/>
      <c r="BJ108" s="97"/>
      <c r="BK108" s="56"/>
      <c r="BM108" s="6">
        <f t="shared" si="0"/>
        <v>48</v>
      </c>
    </row>
    <row r="109" spans="1:65" ht="15" customHeight="1">
      <c r="A109" s="92"/>
      <c r="B109" s="97"/>
      <c r="K109" s="92"/>
      <c r="L109" s="97"/>
      <c r="T109" s="92"/>
      <c r="U109" s="97"/>
      <c r="AC109" s="92"/>
      <c r="AD109" s="97"/>
      <c r="AL109" s="92"/>
      <c r="AM109" s="97"/>
      <c r="BI109" s="92"/>
      <c r="BJ109" s="97"/>
      <c r="BK109" s="56"/>
      <c r="BM109" s="6">
        <f t="shared" si="0"/>
        <v>49</v>
      </c>
    </row>
    <row r="110" spans="1:65" ht="15" customHeight="1">
      <c r="A110" s="92"/>
      <c r="B110" s="97"/>
      <c r="K110" s="92"/>
      <c r="L110" s="97"/>
      <c r="T110" s="92"/>
      <c r="U110" s="97"/>
      <c r="AC110" s="92"/>
      <c r="AD110" s="97"/>
      <c r="AL110" s="92"/>
      <c r="AM110" s="97"/>
      <c r="BI110" s="92"/>
      <c r="BJ110" s="97"/>
      <c r="BK110" s="56"/>
      <c r="BM110" s="6">
        <f t="shared" si="0"/>
        <v>50</v>
      </c>
    </row>
    <row r="111" spans="1:65" ht="15" customHeight="1">
      <c r="A111" s="92"/>
      <c r="B111" s="97"/>
      <c r="K111" s="92"/>
      <c r="L111" s="97"/>
      <c r="T111" s="92"/>
      <c r="U111" s="97"/>
      <c r="AC111" s="92"/>
      <c r="AD111" s="97"/>
      <c r="AL111" s="92"/>
      <c r="AM111" s="97"/>
      <c r="BI111" s="92"/>
      <c r="BJ111" s="97"/>
      <c r="BK111" s="56"/>
      <c r="BM111" s="6">
        <f t="shared" si="0"/>
        <v>1</v>
      </c>
    </row>
    <row r="112" spans="1:65" ht="15" customHeight="1">
      <c r="A112" s="92"/>
      <c r="B112" s="97"/>
      <c r="K112" s="92"/>
      <c r="L112" s="97"/>
      <c r="T112" s="92"/>
      <c r="U112" s="97"/>
      <c r="AC112" s="92"/>
      <c r="AD112" s="97"/>
      <c r="AL112" s="92"/>
      <c r="AM112" s="97"/>
      <c r="BI112" s="92"/>
      <c r="BJ112" s="97"/>
      <c r="BK112" s="56"/>
      <c r="BM112" s="6">
        <f t="shared" si="0"/>
        <v>2</v>
      </c>
    </row>
    <row r="113" spans="1:65" ht="15" customHeight="1">
      <c r="A113" s="92"/>
      <c r="B113" s="97"/>
      <c r="K113" s="92"/>
      <c r="L113" s="97"/>
      <c r="T113" s="92"/>
      <c r="U113" s="97"/>
      <c r="AC113" s="92"/>
      <c r="AD113" s="97"/>
      <c r="AL113" s="92"/>
      <c r="AM113" s="97"/>
      <c r="BI113" s="92"/>
      <c r="BJ113" s="97"/>
      <c r="BK113" s="56"/>
      <c r="BM113" s="6">
        <f t="shared" si="0"/>
        <v>3</v>
      </c>
    </row>
    <row r="114" spans="1:65" ht="15" customHeight="1">
      <c r="A114" s="92"/>
      <c r="B114" s="97"/>
      <c r="K114" s="92"/>
      <c r="L114" s="97"/>
      <c r="T114" s="92"/>
      <c r="U114" s="97"/>
      <c r="AC114" s="92"/>
      <c r="AD114" s="97"/>
      <c r="AL114" s="92"/>
      <c r="AM114" s="97"/>
      <c r="BI114" s="92"/>
      <c r="BJ114" s="97"/>
      <c r="BK114" s="56"/>
      <c r="BM114" s="6">
        <f t="shared" si="0"/>
        <v>4</v>
      </c>
    </row>
    <row r="115" spans="1:65" ht="15" customHeight="1">
      <c r="A115" s="92"/>
      <c r="B115" s="97"/>
      <c r="K115" s="92"/>
      <c r="L115" s="97"/>
      <c r="T115" s="92"/>
      <c r="U115" s="97"/>
      <c r="AC115" s="92"/>
      <c r="AD115" s="97"/>
      <c r="AL115" s="92"/>
      <c r="AM115" s="97"/>
      <c r="BI115" s="92"/>
      <c r="BJ115" s="97"/>
      <c r="BK115" s="56"/>
      <c r="BM115" s="6">
        <f t="shared" si="0"/>
        <v>5</v>
      </c>
    </row>
    <row r="116" spans="1:65" ht="15" customHeight="1">
      <c r="A116" s="92"/>
      <c r="B116" s="97"/>
      <c r="K116" s="92"/>
      <c r="L116" s="97"/>
      <c r="T116" s="92"/>
      <c r="U116" s="97"/>
      <c r="AC116" s="92"/>
      <c r="AD116" s="97"/>
      <c r="AL116" s="92"/>
      <c r="AM116" s="97"/>
      <c r="BI116" s="92"/>
      <c r="BJ116" s="97"/>
      <c r="BK116" s="56"/>
      <c r="BM116" s="6">
        <f t="shared" si="0"/>
        <v>6</v>
      </c>
    </row>
    <row r="117" spans="1:65" ht="15" customHeight="1">
      <c r="A117" s="92"/>
      <c r="B117" s="97"/>
      <c r="K117" s="92"/>
      <c r="L117" s="97"/>
      <c r="T117" s="92"/>
      <c r="U117" s="97"/>
      <c r="AC117" s="92"/>
      <c r="AD117" s="97"/>
      <c r="AL117" s="92"/>
      <c r="AM117" s="97"/>
      <c r="BI117" s="92"/>
      <c r="BJ117" s="97"/>
      <c r="BK117" s="56"/>
      <c r="BM117" s="6">
        <f t="shared" si="0"/>
        <v>7</v>
      </c>
    </row>
    <row r="118" spans="1:65" ht="15" customHeight="1">
      <c r="A118" s="92"/>
      <c r="B118" s="97"/>
      <c r="K118" s="92"/>
      <c r="L118" s="97"/>
      <c r="T118" s="92"/>
      <c r="U118" s="97"/>
      <c r="AC118" s="92"/>
      <c r="AD118" s="97"/>
      <c r="AL118" s="92"/>
      <c r="AM118" s="97"/>
      <c r="BI118" s="92"/>
      <c r="BJ118" s="97"/>
      <c r="BK118" s="56"/>
      <c r="BM118" s="6">
        <f t="shared" si="0"/>
        <v>8</v>
      </c>
    </row>
    <row r="119" spans="1:65" ht="15" customHeight="1">
      <c r="A119" s="92"/>
      <c r="B119" s="97"/>
      <c r="K119" s="92"/>
      <c r="L119" s="97"/>
      <c r="T119" s="92"/>
      <c r="U119" s="97"/>
      <c r="AC119" s="92"/>
      <c r="AD119" s="97"/>
      <c r="AL119" s="92"/>
      <c r="AM119" s="97"/>
      <c r="BI119" s="92"/>
      <c r="BJ119" s="97"/>
      <c r="BK119" s="56"/>
      <c r="BM119" s="6">
        <f t="shared" si="0"/>
        <v>9</v>
      </c>
    </row>
    <row r="120" spans="1:65" ht="15" customHeight="1">
      <c r="A120" s="92"/>
      <c r="B120" s="97"/>
      <c r="K120" s="92"/>
      <c r="L120" s="97"/>
      <c r="T120" s="92"/>
      <c r="U120" s="97"/>
      <c r="AC120" s="92"/>
      <c r="AD120" s="97"/>
      <c r="AL120" s="92"/>
      <c r="AM120" s="97"/>
      <c r="BI120" s="92"/>
      <c r="BJ120" s="97"/>
      <c r="BK120" s="56"/>
      <c r="BM120" s="6"/>
    </row>
    <row r="121" spans="1:65" ht="15" customHeight="1">
      <c r="A121" s="92"/>
      <c r="B121" s="97"/>
      <c r="K121" s="92"/>
      <c r="L121" s="97"/>
      <c r="T121" s="92"/>
      <c r="U121" s="97"/>
      <c r="AC121" s="92"/>
      <c r="AD121" s="97"/>
      <c r="AL121" s="92"/>
      <c r="AM121" s="97"/>
      <c r="BI121" s="92"/>
      <c r="BJ121" s="97"/>
      <c r="BK121" s="56"/>
      <c r="BM121" s="6"/>
    </row>
    <row r="122" spans="1:65" ht="15" customHeight="1">
      <c r="A122" s="92"/>
      <c r="B122" s="97"/>
      <c r="K122" s="92"/>
      <c r="L122" s="97"/>
      <c r="T122" s="92"/>
      <c r="U122" s="97"/>
      <c r="AC122" s="92"/>
      <c r="AD122" s="97"/>
      <c r="AL122" s="92"/>
      <c r="AM122" s="97"/>
      <c r="BI122" s="92"/>
      <c r="BJ122" s="97"/>
      <c r="BK122" s="56"/>
      <c r="BM122" s="6"/>
    </row>
    <row r="123" spans="1:65" ht="15" customHeight="1">
      <c r="A123" s="92"/>
      <c r="B123" s="97"/>
      <c r="K123" s="92"/>
      <c r="L123" s="97"/>
      <c r="T123" s="92"/>
      <c r="U123" s="97"/>
      <c r="AC123" s="92"/>
      <c r="AD123" s="97"/>
      <c r="AL123" s="92"/>
      <c r="AM123" s="97"/>
      <c r="BI123" s="92"/>
      <c r="BJ123" s="97"/>
      <c r="BK123" s="56"/>
      <c r="BM123" s="6"/>
    </row>
    <row r="124" spans="1:65" ht="15" customHeight="1">
      <c r="A124" s="92"/>
      <c r="B124" s="97"/>
      <c r="K124" s="92"/>
      <c r="L124" s="97"/>
      <c r="T124" s="92"/>
      <c r="U124" s="97"/>
      <c r="AC124" s="92"/>
      <c r="AD124" s="97"/>
      <c r="AL124" s="92"/>
      <c r="AM124" s="97"/>
      <c r="BI124" s="92"/>
      <c r="BJ124" s="97"/>
      <c r="BK124" s="56"/>
      <c r="BM124" s="6"/>
    </row>
    <row r="125" spans="1:65" ht="15" customHeight="1">
      <c r="A125" s="92"/>
      <c r="B125" s="97"/>
      <c r="K125" s="92"/>
      <c r="L125" s="97"/>
      <c r="T125" s="92"/>
      <c r="U125" s="97"/>
      <c r="AC125" s="92"/>
      <c r="AD125" s="97"/>
      <c r="AL125" s="92"/>
      <c r="AM125" s="97"/>
      <c r="BI125" s="92"/>
      <c r="BJ125" s="97"/>
      <c r="BK125" s="56"/>
      <c r="BM125" s="6">
        <f>IF(BM119=50,1,BM119+1)</f>
        <v>10</v>
      </c>
    </row>
    <row r="126" spans="1:65" ht="15" customHeight="1">
      <c r="A126" s="92"/>
      <c r="B126" s="97"/>
      <c r="K126" s="92"/>
      <c r="L126" s="97"/>
      <c r="T126" s="92"/>
      <c r="U126" s="97"/>
      <c r="AC126" s="92"/>
      <c r="AD126" s="97"/>
      <c r="AL126" s="92"/>
      <c r="AM126" s="97"/>
      <c r="BI126" s="92"/>
      <c r="BJ126" s="97"/>
      <c r="BK126" s="56"/>
      <c r="BM126" s="6">
        <f t="shared" ref="BM126:BM188" si="1">IF(BM125=50,1,BM125+1)</f>
        <v>11</v>
      </c>
    </row>
    <row r="127" spans="1:65" ht="15" customHeight="1">
      <c r="A127" s="92"/>
      <c r="B127" s="97"/>
      <c r="K127" s="92"/>
      <c r="L127" s="97"/>
      <c r="T127" s="92"/>
      <c r="U127" s="97"/>
      <c r="AC127" s="92"/>
      <c r="AD127" s="97"/>
      <c r="AL127" s="92"/>
      <c r="AM127" s="97"/>
      <c r="BI127" s="92"/>
      <c r="BJ127" s="97"/>
      <c r="BK127" s="56"/>
      <c r="BM127" s="6">
        <f t="shared" si="1"/>
        <v>12</v>
      </c>
    </row>
    <row r="128" spans="1:65" ht="15" customHeight="1">
      <c r="A128" s="92"/>
      <c r="B128" s="97"/>
      <c r="K128" s="92"/>
      <c r="L128" s="97"/>
      <c r="T128" s="92"/>
      <c r="U128" s="97"/>
      <c r="AC128" s="92"/>
      <c r="AD128" s="97"/>
      <c r="AL128" s="92"/>
      <c r="AM128" s="97"/>
      <c r="BI128" s="92"/>
      <c r="BJ128" s="97"/>
      <c r="BK128" s="56"/>
      <c r="BM128" s="6">
        <f t="shared" si="1"/>
        <v>13</v>
      </c>
    </row>
    <row r="129" spans="1:65" ht="15" customHeight="1">
      <c r="A129" s="92"/>
      <c r="B129" s="97"/>
      <c r="K129" s="92"/>
      <c r="L129" s="97"/>
      <c r="T129" s="92"/>
      <c r="U129" s="97"/>
      <c r="AC129" s="92"/>
      <c r="AD129" s="97"/>
      <c r="AL129" s="92"/>
      <c r="AM129" s="97"/>
      <c r="BI129" s="92"/>
      <c r="BJ129" s="97"/>
      <c r="BK129" s="56"/>
      <c r="BM129" s="6">
        <f t="shared" si="1"/>
        <v>14</v>
      </c>
    </row>
    <row r="130" spans="1:65" ht="15" customHeight="1">
      <c r="A130" s="92"/>
      <c r="B130" s="80"/>
      <c r="K130" s="92"/>
      <c r="L130" s="97"/>
      <c r="T130" s="92"/>
      <c r="U130" s="97"/>
      <c r="AC130" s="92"/>
      <c r="AD130" s="97"/>
      <c r="AL130" s="92"/>
      <c r="AM130" s="97"/>
      <c r="BI130" s="92"/>
      <c r="BJ130" s="97"/>
      <c r="BK130" s="56"/>
      <c r="BM130" s="6">
        <f t="shared" si="1"/>
        <v>15</v>
      </c>
    </row>
    <row r="131" spans="1:65" ht="15" customHeight="1">
      <c r="A131" s="92"/>
      <c r="B131" s="80"/>
      <c r="K131" s="92"/>
      <c r="L131" s="97"/>
      <c r="T131" s="92"/>
      <c r="U131" s="97"/>
      <c r="AC131" s="92"/>
      <c r="AD131" s="97"/>
      <c r="AL131" s="92"/>
      <c r="AM131" s="97"/>
      <c r="BI131" s="92"/>
      <c r="BJ131" s="97"/>
      <c r="BK131" s="56"/>
      <c r="BM131" s="6">
        <f t="shared" si="1"/>
        <v>16</v>
      </c>
    </row>
    <row r="132" spans="1:65" ht="15" customHeight="1">
      <c r="A132" s="92"/>
      <c r="B132" s="80"/>
      <c r="K132" s="92"/>
      <c r="L132" s="97"/>
      <c r="T132" s="92"/>
      <c r="U132" s="97"/>
      <c r="AC132" s="92"/>
      <c r="AD132" s="97"/>
      <c r="AL132" s="92"/>
      <c r="AM132" s="97"/>
      <c r="BI132" s="92"/>
      <c r="BJ132" s="97"/>
      <c r="BK132" s="56"/>
      <c r="BM132" s="6">
        <f t="shared" si="1"/>
        <v>17</v>
      </c>
    </row>
    <row r="133" spans="1:65" ht="15" customHeight="1">
      <c r="A133" s="92"/>
      <c r="B133" s="97"/>
      <c r="K133" s="92"/>
      <c r="L133" s="97"/>
      <c r="T133" s="92"/>
      <c r="U133" s="97"/>
      <c r="AC133" s="92"/>
      <c r="AD133" s="97"/>
      <c r="AL133" s="92"/>
      <c r="AM133" s="97"/>
      <c r="BI133" s="92"/>
      <c r="BJ133" s="97"/>
      <c r="BK133" s="56"/>
      <c r="BM133" s="6">
        <f t="shared" si="1"/>
        <v>18</v>
      </c>
    </row>
    <row r="134" spans="1:65" ht="15" customHeight="1">
      <c r="A134" s="92"/>
      <c r="B134" s="97"/>
      <c r="K134" s="92"/>
      <c r="L134" s="80"/>
      <c r="T134" s="92"/>
      <c r="U134" s="80"/>
      <c r="AC134" s="92"/>
      <c r="AD134" s="80"/>
      <c r="AL134" s="92"/>
      <c r="AM134" s="80"/>
      <c r="BI134" s="92"/>
      <c r="BJ134" s="80"/>
      <c r="BK134" s="56"/>
      <c r="BM134" s="6">
        <f t="shared" si="1"/>
        <v>19</v>
      </c>
    </row>
    <row r="135" spans="1:65" ht="15" customHeight="1">
      <c r="A135" s="92"/>
      <c r="B135" s="97"/>
      <c r="K135" s="92"/>
      <c r="L135" s="97"/>
      <c r="T135" s="92"/>
      <c r="U135" s="97"/>
      <c r="AC135" s="92"/>
      <c r="AD135" s="97"/>
      <c r="AL135" s="92"/>
      <c r="AM135" s="97"/>
      <c r="BI135" s="92"/>
      <c r="BJ135" s="97"/>
      <c r="BK135" s="56"/>
      <c r="BM135" s="6">
        <f t="shared" si="1"/>
        <v>20</v>
      </c>
    </row>
    <row r="136" spans="1:65" ht="15" customHeight="1">
      <c r="A136" s="92"/>
      <c r="B136" s="97"/>
      <c r="K136" s="92"/>
      <c r="L136" s="97"/>
      <c r="T136" s="92"/>
      <c r="U136" s="97"/>
      <c r="AC136" s="92"/>
      <c r="AD136" s="97"/>
      <c r="AL136" s="92"/>
      <c r="AM136" s="97"/>
      <c r="BI136" s="92"/>
      <c r="BJ136" s="97"/>
      <c r="BK136" s="56"/>
      <c r="BM136" s="6">
        <f t="shared" si="1"/>
        <v>21</v>
      </c>
    </row>
    <row r="137" spans="1:65" ht="15" customHeight="1">
      <c r="A137" s="92"/>
      <c r="B137" s="97"/>
      <c r="K137" s="92"/>
      <c r="L137" s="97"/>
      <c r="T137" s="92"/>
      <c r="U137" s="97"/>
      <c r="AC137" s="92"/>
      <c r="AD137" s="97"/>
      <c r="AL137" s="92"/>
      <c r="AM137" s="97"/>
      <c r="BI137" s="92"/>
      <c r="BJ137" s="97"/>
      <c r="BK137" s="56"/>
      <c r="BM137" s="6">
        <f t="shared" si="1"/>
        <v>22</v>
      </c>
    </row>
    <row r="138" spans="1:65" ht="15" customHeight="1">
      <c r="A138" s="92"/>
      <c r="B138" s="97"/>
      <c r="K138" s="92"/>
      <c r="L138" s="97"/>
      <c r="T138" s="92"/>
      <c r="U138" s="97"/>
      <c r="AC138" s="92"/>
      <c r="AD138" s="97"/>
      <c r="AL138" s="92"/>
      <c r="AM138" s="97"/>
      <c r="BI138" s="92"/>
      <c r="BJ138" s="97"/>
      <c r="BK138" s="56"/>
      <c r="BM138" s="6">
        <f t="shared" si="1"/>
        <v>23</v>
      </c>
    </row>
    <row r="139" spans="1:65" ht="15" customHeight="1">
      <c r="A139" s="92"/>
      <c r="B139" s="97"/>
      <c r="K139" s="92"/>
      <c r="L139" s="97"/>
      <c r="T139" s="92"/>
      <c r="U139" s="97"/>
      <c r="AC139" s="92"/>
      <c r="AD139" s="97"/>
      <c r="AL139" s="92"/>
      <c r="AM139" s="97"/>
      <c r="BI139" s="92"/>
      <c r="BJ139" s="97"/>
      <c r="BK139" s="56"/>
      <c r="BM139" s="6">
        <f t="shared" si="1"/>
        <v>24</v>
      </c>
    </row>
    <row r="140" spans="1:65" ht="15" customHeight="1">
      <c r="A140" s="92"/>
      <c r="B140" s="97"/>
      <c r="K140" s="92"/>
      <c r="L140" s="97"/>
      <c r="T140" s="92"/>
      <c r="U140" s="97"/>
      <c r="AC140" s="92"/>
      <c r="AD140" s="97"/>
      <c r="AL140" s="92"/>
      <c r="AM140" s="97"/>
      <c r="BI140" s="92"/>
      <c r="BJ140" s="97"/>
      <c r="BK140" s="56"/>
      <c r="BM140" s="6">
        <f t="shared" si="1"/>
        <v>25</v>
      </c>
    </row>
    <row r="141" spans="1:65" ht="15" customHeight="1">
      <c r="A141" s="92"/>
      <c r="B141" s="97"/>
      <c r="K141" s="92"/>
      <c r="L141" s="97"/>
      <c r="T141" s="92"/>
      <c r="U141" s="97"/>
      <c r="AC141" s="92"/>
      <c r="AD141" s="97"/>
      <c r="AL141" s="92"/>
      <c r="AM141" s="97"/>
      <c r="BI141" s="92"/>
      <c r="BJ141" s="97"/>
      <c r="BK141" s="56"/>
      <c r="BM141" s="6">
        <f t="shared" si="1"/>
        <v>26</v>
      </c>
    </row>
    <row r="142" spans="1:65" ht="15" customHeight="1">
      <c r="A142" s="92"/>
      <c r="B142" s="97"/>
      <c r="K142" s="92"/>
      <c r="L142" s="97"/>
      <c r="T142" s="92"/>
      <c r="U142" s="97"/>
      <c r="AC142" s="92"/>
      <c r="AD142" s="97"/>
      <c r="AL142" s="92"/>
      <c r="AM142" s="97"/>
      <c r="BI142" s="92"/>
      <c r="BJ142" s="97"/>
      <c r="BK142" s="56"/>
      <c r="BM142" s="6">
        <f t="shared" si="1"/>
        <v>27</v>
      </c>
    </row>
    <row r="143" spans="1:65" ht="15" customHeight="1">
      <c r="A143" s="92"/>
      <c r="B143" s="97"/>
      <c r="K143" s="92"/>
      <c r="L143" s="97"/>
      <c r="T143" s="92"/>
      <c r="U143" s="97"/>
      <c r="AC143" s="92"/>
      <c r="AD143" s="97"/>
      <c r="AL143" s="92"/>
      <c r="AM143" s="97"/>
      <c r="BI143" s="92"/>
      <c r="BJ143" s="97"/>
      <c r="BK143" s="56"/>
      <c r="BM143" s="6">
        <f t="shared" si="1"/>
        <v>28</v>
      </c>
    </row>
    <row r="144" spans="1:65" ht="15" customHeight="1">
      <c r="A144" s="92"/>
      <c r="B144" s="97"/>
      <c r="K144" s="92"/>
      <c r="L144" s="97"/>
      <c r="T144" s="92"/>
      <c r="U144" s="97"/>
      <c r="AC144" s="92"/>
      <c r="AD144" s="97"/>
      <c r="AL144" s="92"/>
      <c r="AM144" s="97"/>
      <c r="BI144" s="92"/>
      <c r="BJ144" s="97"/>
      <c r="BK144" s="56"/>
      <c r="BM144" s="6">
        <f t="shared" si="1"/>
        <v>29</v>
      </c>
    </row>
    <row r="145" spans="1:65" ht="15" customHeight="1">
      <c r="A145" s="92"/>
      <c r="B145" s="97"/>
      <c r="K145" s="92"/>
      <c r="L145" s="97"/>
      <c r="T145" s="92"/>
      <c r="U145" s="97"/>
      <c r="AC145" s="92"/>
      <c r="AD145" s="97"/>
      <c r="AL145" s="92"/>
      <c r="AM145" s="97"/>
      <c r="BI145" s="92"/>
      <c r="BJ145" s="97"/>
      <c r="BK145" s="56"/>
      <c r="BM145" s="6">
        <f t="shared" si="1"/>
        <v>30</v>
      </c>
    </row>
    <row r="146" spans="1:65" ht="15" customHeight="1">
      <c r="A146" s="92"/>
      <c r="B146" s="97"/>
      <c r="K146" s="92"/>
      <c r="L146" s="97"/>
      <c r="T146" s="92"/>
      <c r="U146" s="97"/>
      <c r="AC146" s="92"/>
      <c r="AD146" s="97"/>
      <c r="AL146" s="92"/>
      <c r="AM146" s="97"/>
      <c r="BI146" s="92"/>
      <c r="BJ146" s="97"/>
      <c r="BK146" s="56"/>
      <c r="BM146" s="6">
        <f t="shared" si="1"/>
        <v>31</v>
      </c>
    </row>
    <row r="147" spans="1:65" ht="15" customHeight="1">
      <c r="A147" s="92"/>
      <c r="B147" s="97"/>
      <c r="K147" s="92"/>
      <c r="L147" s="97"/>
      <c r="T147" s="92"/>
      <c r="U147" s="97"/>
      <c r="AC147" s="92"/>
      <c r="AD147" s="97"/>
      <c r="AL147" s="92"/>
      <c r="AM147" s="97"/>
      <c r="BI147" s="92"/>
      <c r="BJ147" s="97"/>
      <c r="BK147" s="56"/>
      <c r="BM147" s="6">
        <f t="shared" si="1"/>
        <v>32</v>
      </c>
    </row>
    <row r="148" spans="1:65" ht="15" customHeight="1">
      <c r="A148" s="92"/>
      <c r="B148" s="97"/>
      <c r="K148" s="92"/>
      <c r="L148" s="97"/>
      <c r="T148" s="92"/>
      <c r="U148" s="97"/>
      <c r="AC148" s="92"/>
      <c r="AD148" s="97"/>
      <c r="AL148" s="92"/>
      <c r="AM148" s="97"/>
      <c r="BI148" s="92"/>
      <c r="BJ148" s="97"/>
      <c r="BK148" s="56"/>
      <c r="BM148" s="6">
        <f t="shared" si="1"/>
        <v>33</v>
      </c>
    </row>
    <row r="149" spans="1:65" ht="15" customHeight="1">
      <c r="A149" s="92"/>
      <c r="B149" s="97"/>
      <c r="K149" s="92"/>
      <c r="L149" s="97"/>
      <c r="T149" s="92"/>
      <c r="U149" s="97"/>
      <c r="AC149" s="92"/>
      <c r="AD149" s="97"/>
      <c r="AL149" s="92"/>
      <c r="AM149" s="97"/>
      <c r="BI149" s="92"/>
      <c r="BJ149" s="97"/>
      <c r="BK149" s="56"/>
      <c r="BM149" s="6">
        <f t="shared" si="1"/>
        <v>34</v>
      </c>
    </row>
    <row r="150" spans="1:65" ht="15" customHeight="1">
      <c r="A150" s="92"/>
      <c r="B150" s="97"/>
      <c r="K150" s="92"/>
      <c r="L150" s="97"/>
      <c r="T150" s="92"/>
      <c r="U150" s="97"/>
      <c r="AC150" s="92"/>
      <c r="AD150" s="97"/>
      <c r="AL150" s="92"/>
      <c r="AM150" s="97"/>
      <c r="BI150" s="92"/>
      <c r="BJ150" s="97"/>
      <c r="BK150" s="56"/>
      <c r="BM150" s="6">
        <f t="shared" si="1"/>
        <v>35</v>
      </c>
    </row>
    <row r="151" spans="1:65" ht="15" customHeight="1">
      <c r="A151" s="92"/>
      <c r="B151" s="97"/>
      <c r="K151" s="92"/>
      <c r="L151" s="97"/>
      <c r="T151" s="92"/>
      <c r="U151" s="97"/>
      <c r="AC151" s="92"/>
      <c r="AD151" s="97"/>
      <c r="AL151" s="92"/>
      <c r="AM151" s="97"/>
      <c r="BI151" s="92"/>
      <c r="BJ151" s="97"/>
      <c r="BK151" s="56"/>
      <c r="BM151" s="6">
        <f t="shared" si="1"/>
        <v>36</v>
      </c>
    </row>
    <row r="152" spans="1:65" ht="15" customHeight="1">
      <c r="A152" s="92"/>
      <c r="B152" s="97"/>
      <c r="K152" s="92"/>
      <c r="L152" s="97"/>
      <c r="T152" s="92"/>
      <c r="U152" s="97"/>
      <c r="AC152" s="92"/>
      <c r="AD152" s="97"/>
      <c r="AL152" s="92"/>
      <c r="AM152" s="97"/>
      <c r="BI152" s="92"/>
      <c r="BJ152" s="97"/>
      <c r="BK152" s="56"/>
      <c r="BM152" s="6">
        <f t="shared" si="1"/>
        <v>37</v>
      </c>
    </row>
    <row r="153" spans="1:65" ht="15" customHeight="1">
      <c r="A153" s="92"/>
      <c r="B153" s="97"/>
      <c r="K153" s="92"/>
      <c r="L153" s="97"/>
      <c r="T153" s="92"/>
      <c r="U153" s="97"/>
      <c r="AC153" s="92"/>
      <c r="AD153" s="97"/>
      <c r="AL153" s="92"/>
      <c r="AM153" s="97"/>
      <c r="BI153" s="92"/>
      <c r="BJ153" s="97"/>
      <c r="BK153" s="56"/>
      <c r="BM153" s="6">
        <f t="shared" si="1"/>
        <v>38</v>
      </c>
    </row>
    <row r="154" spans="1:65" ht="15" customHeight="1">
      <c r="A154" s="92"/>
      <c r="B154" s="97"/>
      <c r="K154" s="92"/>
      <c r="L154" s="97"/>
      <c r="T154" s="92"/>
      <c r="U154" s="97"/>
      <c r="AC154" s="92"/>
      <c r="AD154" s="97"/>
      <c r="AL154" s="92"/>
      <c r="AM154" s="97"/>
      <c r="BI154" s="92"/>
      <c r="BJ154" s="97"/>
      <c r="BK154" s="56"/>
      <c r="BM154" s="6">
        <f t="shared" si="1"/>
        <v>39</v>
      </c>
    </row>
    <row r="155" spans="1:65" ht="15" customHeight="1">
      <c r="A155" s="92"/>
      <c r="B155" s="97"/>
      <c r="K155" s="92"/>
      <c r="L155" s="97"/>
      <c r="T155" s="92"/>
      <c r="U155" s="97"/>
      <c r="AC155" s="92"/>
      <c r="AD155" s="97"/>
      <c r="AL155" s="92"/>
      <c r="AM155" s="97"/>
      <c r="BI155" s="92"/>
      <c r="BJ155" s="97"/>
      <c r="BK155" s="56"/>
      <c r="BM155" s="6">
        <f t="shared" si="1"/>
        <v>40</v>
      </c>
    </row>
    <row r="156" spans="1:65" ht="15" customHeight="1">
      <c r="A156" s="92"/>
      <c r="B156" s="20" t="s">
        <v>116</v>
      </c>
      <c r="C156" s="102"/>
      <c r="D156" s="102"/>
      <c r="E156" s="102"/>
      <c r="F156" s="102"/>
      <c r="G156" s="102"/>
      <c r="H156" s="102"/>
      <c r="I156" s="102"/>
      <c r="J156" s="102"/>
      <c r="K156" s="103"/>
      <c r="L156" s="104"/>
      <c r="M156" s="102"/>
      <c r="N156" s="102"/>
      <c r="O156" s="102"/>
      <c r="P156" s="102"/>
      <c r="Q156" s="102"/>
      <c r="R156" s="102"/>
      <c r="S156" s="102"/>
      <c r="T156" s="103"/>
      <c r="U156" s="104"/>
      <c r="V156" s="102"/>
      <c r="W156" s="102"/>
      <c r="X156" s="102"/>
      <c r="Y156" s="102"/>
      <c r="Z156" s="102"/>
      <c r="AA156" s="102"/>
      <c r="AB156" s="102"/>
      <c r="AC156" s="103"/>
      <c r="AD156" s="104"/>
      <c r="AE156" s="102"/>
      <c r="AF156" s="102"/>
      <c r="AG156" s="102"/>
      <c r="AH156" s="102"/>
      <c r="AI156" s="102"/>
      <c r="AJ156" s="102"/>
      <c r="AK156" s="102"/>
      <c r="AL156" s="103"/>
      <c r="AM156" s="104"/>
      <c r="AN156" s="102"/>
      <c r="AO156" s="102"/>
      <c r="AP156" s="102"/>
      <c r="AQ156" s="102"/>
      <c r="AR156" s="102"/>
      <c r="AS156" s="102"/>
      <c r="AT156" s="102"/>
      <c r="AU156" s="102"/>
      <c r="AV156" s="102"/>
      <c r="AW156" s="102"/>
      <c r="AX156" s="102"/>
      <c r="AY156" s="102"/>
      <c r="AZ156" s="102"/>
      <c r="BA156" s="102"/>
      <c r="BB156" s="102"/>
      <c r="BC156" s="102"/>
      <c r="BD156" s="102"/>
      <c r="BE156" s="102"/>
      <c r="BF156" s="102"/>
      <c r="BG156" s="102"/>
      <c r="BH156" s="102"/>
      <c r="BI156" s="103"/>
      <c r="BJ156" s="102"/>
      <c r="BK156" s="56"/>
      <c r="BM156" s="6">
        <f t="shared" si="1"/>
        <v>41</v>
      </c>
    </row>
    <row r="157" spans="1:65" ht="15" customHeight="1">
      <c r="A157" s="92"/>
      <c r="B157" s="97"/>
      <c r="K157" s="92"/>
      <c r="L157" s="97"/>
      <c r="T157" s="92"/>
      <c r="U157" s="97"/>
      <c r="AC157" s="92"/>
      <c r="AD157" s="97"/>
      <c r="AL157" s="92"/>
      <c r="AM157" s="97"/>
      <c r="BI157" s="92"/>
      <c r="BJ157" s="97"/>
      <c r="BK157" s="56"/>
      <c r="BM157" s="6">
        <f t="shared" si="1"/>
        <v>42</v>
      </c>
    </row>
    <row r="158" spans="1:65" ht="15" customHeight="1">
      <c r="A158" s="92"/>
      <c r="B158" s="97"/>
      <c r="K158" s="92"/>
      <c r="L158" s="97"/>
      <c r="T158" s="92"/>
      <c r="U158" s="97"/>
      <c r="AC158" s="92"/>
      <c r="AD158" s="97"/>
      <c r="AL158" s="92"/>
      <c r="AM158" s="97"/>
      <c r="BI158" s="92"/>
      <c r="BJ158" s="97"/>
      <c r="BK158" s="56"/>
      <c r="BM158" s="6">
        <f t="shared" si="1"/>
        <v>43</v>
      </c>
    </row>
    <row r="159" spans="1:65" ht="15" customHeight="1">
      <c r="A159" s="92"/>
      <c r="B159" s="97"/>
      <c r="K159" s="92"/>
      <c r="L159" s="97"/>
      <c r="T159" s="92"/>
      <c r="U159" s="97"/>
      <c r="AC159" s="92"/>
      <c r="AD159" s="97"/>
      <c r="AL159" s="92"/>
      <c r="AM159" s="97"/>
      <c r="BI159" s="92"/>
      <c r="BJ159" s="97"/>
      <c r="BK159" s="56"/>
      <c r="BM159" s="6">
        <f t="shared" si="1"/>
        <v>44</v>
      </c>
    </row>
    <row r="160" spans="1:65" ht="15" customHeight="1">
      <c r="A160" s="92"/>
      <c r="B160" s="97"/>
      <c r="K160" s="92"/>
      <c r="L160" s="97"/>
      <c r="T160" s="92"/>
      <c r="U160" s="97"/>
      <c r="AC160" s="92"/>
      <c r="AD160" s="97"/>
      <c r="AL160" s="92"/>
      <c r="AM160" s="97"/>
      <c r="BI160" s="92"/>
      <c r="BJ160" s="97"/>
      <c r="BK160" s="56"/>
      <c r="BM160" s="6">
        <f t="shared" si="1"/>
        <v>45</v>
      </c>
    </row>
    <row r="161" spans="1:65" ht="15" customHeight="1">
      <c r="A161" s="92"/>
      <c r="B161" s="97"/>
      <c r="K161" s="92"/>
      <c r="L161" s="97"/>
      <c r="T161" s="92"/>
      <c r="U161" s="97"/>
      <c r="AC161" s="92"/>
      <c r="AD161" s="97"/>
      <c r="AL161" s="92"/>
      <c r="AM161" s="97"/>
      <c r="BI161" s="92"/>
      <c r="BJ161" s="97"/>
      <c r="BK161" s="56"/>
      <c r="BM161" s="6">
        <f t="shared" si="1"/>
        <v>46</v>
      </c>
    </row>
    <row r="162" spans="1:65" ht="15" customHeight="1">
      <c r="A162" s="92"/>
      <c r="B162" s="97"/>
      <c r="K162" s="92"/>
      <c r="L162" s="97"/>
      <c r="T162" s="92"/>
      <c r="U162" s="80"/>
      <c r="AC162" s="92"/>
      <c r="AD162" s="97"/>
      <c r="AL162" s="92"/>
      <c r="AM162" s="97"/>
      <c r="BI162" s="92"/>
      <c r="BJ162" s="97"/>
      <c r="BK162" s="56"/>
      <c r="BM162" s="6">
        <f t="shared" si="1"/>
        <v>47</v>
      </c>
    </row>
    <row r="163" spans="1:65" ht="15" customHeight="1">
      <c r="A163" s="92"/>
      <c r="B163" s="97"/>
      <c r="K163" s="92"/>
      <c r="L163" s="97"/>
      <c r="T163" s="92"/>
      <c r="U163" s="97"/>
      <c r="AC163" s="92"/>
      <c r="AD163" s="97"/>
      <c r="AL163" s="92"/>
      <c r="AM163" s="97"/>
      <c r="BI163" s="92"/>
      <c r="BJ163" s="97"/>
      <c r="BK163" s="56"/>
      <c r="BM163" s="6">
        <f t="shared" si="1"/>
        <v>48</v>
      </c>
    </row>
    <row r="164" spans="1:65" ht="15" customHeight="1">
      <c r="A164" s="92"/>
      <c r="B164" s="97"/>
      <c r="K164" s="92"/>
      <c r="L164" s="97"/>
      <c r="T164" s="92"/>
      <c r="U164" s="97"/>
      <c r="AC164" s="92"/>
      <c r="AD164" s="97"/>
      <c r="AL164" s="92"/>
      <c r="AM164" s="97"/>
      <c r="BI164" s="92"/>
      <c r="BJ164" s="97"/>
      <c r="BK164" s="56"/>
      <c r="BM164" s="6">
        <f t="shared" si="1"/>
        <v>49</v>
      </c>
    </row>
    <row r="165" spans="1:65" ht="15" customHeight="1">
      <c r="A165" s="92"/>
      <c r="B165" s="97"/>
      <c r="K165" s="92"/>
      <c r="L165" s="97"/>
      <c r="T165" s="92"/>
      <c r="U165" s="80"/>
      <c r="AC165" s="92"/>
      <c r="AD165" s="97"/>
      <c r="AL165" s="92"/>
      <c r="AM165" s="97"/>
      <c r="BI165" s="92"/>
      <c r="BJ165" s="97"/>
      <c r="BK165" s="56"/>
      <c r="BM165" s="6">
        <f t="shared" si="1"/>
        <v>50</v>
      </c>
    </row>
    <row r="166" spans="1:65" ht="15" customHeight="1">
      <c r="A166" s="92"/>
      <c r="B166" s="97"/>
      <c r="K166" s="92"/>
      <c r="L166" s="97"/>
      <c r="T166" s="92"/>
      <c r="U166" s="97"/>
      <c r="AC166" s="92"/>
      <c r="AD166" s="97"/>
      <c r="AL166" s="92"/>
      <c r="AM166" s="97"/>
      <c r="BI166" s="92"/>
      <c r="BJ166" s="97"/>
      <c r="BK166" s="56"/>
      <c r="BM166" s="6">
        <f t="shared" si="1"/>
        <v>1</v>
      </c>
    </row>
    <row r="167" spans="1:65" ht="15" customHeight="1">
      <c r="A167" s="92"/>
      <c r="B167" s="97"/>
      <c r="K167" s="92"/>
      <c r="L167" s="97"/>
      <c r="T167" s="92"/>
      <c r="U167" s="97"/>
      <c r="AC167" s="92"/>
      <c r="AD167" s="97"/>
      <c r="AL167" s="92"/>
      <c r="AM167" s="97"/>
      <c r="BI167" s="92"/>
      <c r="BJ167" s="97"/>
      <c r="BK167" s="56"/>
      <c r="BM167" s="6">
        <f t="shared" si="1"/>
        <v>2</v>
      </c>
    </row>
    <row r="168" spans="1:65" ht="15" customHeight="1">
      <c r="A168" s="92"/>
      <c r="B168" s="97"/>
      <c r="K168" s="92"/>
      <c r="L168" s="97"/>
      <c r="T168" s="92"/>
      <c r="U168" s="97"/>
      <c r="AC168" s="92"/>
      <c r="AD168" s="97"/>
      <c r="AL168" s="92"/>
      <c r="AM168" s="97"/>
      <c r="BI168" s="92"/>
      <c r="BJ168" s="97"/>
      <c r="BK168" s="56"/>
      <c r="BM168" s="6">
        <f t="shared" si="1"/>
        <v>3</v>
      </c>
    </row>
    <row r="169" spans="1:65" ht="15" customHeight="1">
      <c r="A169" s="92"/>
      <c r="B169" s="97"/>
      <c r="K169" s="92"/>
      <c r="L169" s="97"/>
      <c r="T169" s="92"/>
      <c r="U169" s="97"/>
      <c r="AC169" s="92"/>
      <c r="AD169" s="97"/>
      <c r="AL169" s="92"/>
      <c r="BI169" s="92"/>
      <c r="BJ169" s="97"/>
      <c r="BK169" s="56"/>
      <c r="BM169" s="6">
        <f t="shared" si="1"/>
        <v>4</v>
      </c>
    </row>
    <row r="170" spans="1:65" ht="15" customHeight="1">
      <c r="A170" s="92"/>
      <c r="B170" s="97"/>
      <c r="K170" s="92"/>
      <c r="L170" s="97"/>
      <c r="T170" s="92"/>
      <c r="U170" s="97"/>
      <c r="AC170" s="92"/>
      <c r="AD170" s="97"/>
      <c r="AL170" s="92"/>
      <c r="AM170" s="97"/>
      <c r="BI170" s="92"/>
      <c r="BJ170" s="97"/>
      <c r="BK170" s="56"/>
      <c r="BM170" s="6">
        <f t="shared" si="1"/>
        <v>5</v>
      </c>
    </row>
    <row r="171" spans="1:65" ht="15" customHeight="1">
      <c r="A171" s="92"/>
      <c r="B171" s="97"/>
      <c r="K171" s="92"/>
      <c r="L171" s="97"/>
      <c r="T171" s="92"/>
      <c r="U171" s="97"/>
      <c r="AC171" s="92"/>
      <c r="AD171" s="97"/>
      <c r="AL171" s="92"/>
      <c r="AM171" s="97"/>
      <c r="BI171" s="92"/>
      <c r="BJ171" s="97"/>
      <c r="BK171" s="56"/>
      <c r="BM171" s="6">
        <f t="shared" si="1"/>
        <v>6</v>
      </c>
    </row>
    <row r="172" spans="1:65" ht="15" customHeight="1">
      <c r="A172" s="92"/>
      <c r="B172" s="21"/>
      <c r="C172" s="22"/>
      <c r="D172" s="22"/>
      <c r="E172" s="22"/>
      <c r="F172" s="22"/>
      <c r="G172" s="22"/>
      <c r="H172" s="22"/>
      <c r="I172" s="22"/>
      <c r="J172" s="22"/>
      <c r="K172" s="23"/>
      <c r="L172" s="21"/>
      <c r="M172" s="22"/>
      <c r="N172" s="22"/>
      <c r="O172" s="22"/>
      <c r="P172" s="22"/>
      <c r="Q172" s="22"/>
      <c r="R172" s="22"/>
      <c r="S172" s="22"/>
      <c r="T172" s="23"/>
      <c r="U172" s="21"/>
      <c r="V172" s="22"/>
      <c r="W172" s="22"/>
      <c r="X172" s="22"/>
      <c r="Y172" s="22"/>
      <c r="Z172" s="22"/>
      <c r="AA172" s="22"/>
      <c r="AB172" s="22"/>
      <c r="AC172" s="23"/>
      <c r="AD172" s="21"/>
      <c r="AE172" s="22"/>
      <c r="AF172" s="22"/>
      <c r="AG172" s="22"/>
      <c r="AH172" s="22"/>
      <c r="AI172" s="22"/>
      <c r="AJ172" s="22"/>
      <c r="AK172" s="22"/>
      <c r="AL172" s="23"/>
      <c r="AM172" s="21"/>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3"/>
      <c r="BJ172" s="21"/>
      <c r="BK172" s="56"/>
      <c r="BM172" s="6">
        <f t="shared" si="1"/>
        <v>7</v>
      </c>
    </row>
    <row r="173" spans="1:65" ht="15" customHeight="1">
      <c r="A173" s="92"/>
      <c r="B173" s="97"/>
      <c r="K173" s="92"/>
      <c r="L173" s="97"/>
      <c r="T173" s="92"/>
      <c r="U173" s="97"/>
      <c r="AC173" s="92"/>
      <c r="AD173" s="97"/>
      <c r="AL173" s="92"/>
      <c r="AM173" s="97"/>
      <c r="BI173" s="92"/>
      <c r="BJ173" s="97"/>
      <c r="BK173" s="56"/>
      <c r="BM173" s="6">
        <f t="shared" si="1"/>
        <v>8</v>
      </c>
    </row>
    <row r="174" spans="1:65" ht="15" customHeight="1">
      <c r="A174" s="92"/>
      <c r="B174" s="97"/>
      <c r="K174" s="92"/>
      <c r="L174" s="97"/>
      <c r="T174" s="92"/>
      <c r="U174" s="80"/>
      <c r="AC174" s="92"/>
      <c r="AD174" s="97"/>
      <c r="AL174" s="92"/>
      <c r="AM174" s="97"/>
      <c r="BI174" s="92"/>
      <c r="BJ174" s="97"/>
      <c r="BK174" s="56"/>
      <c r="BM174" s="6">
        <f t="shared" si="1"/>
        <v>9</v>
      </c>
    </row>
    <row r="175" spans="1:65" ht="15" customHeight="1">
      <c r="A175" s="92"/>
      <c r="B175" s="80"/>
      <c r="K175" s="92"/>
      <c r="L175" s="80"/>
      <c r="T175" s="92"/>
      <c r="U175" s="97"/>
      <c r="AC175" s="92"/>
      <c r="AD175" s="80"/>
      <c r="AL175" s="92"/>
      <c r="AM175" s="80"/>
      <c r="BI175" s="92"/>
      <c r="BJ175" s="80"/>
      <c r="BK175" s="56"/>
      <c r="BM175" s="6">
        <f t="shared" si="1"/>
        <v>10</v>
      </c>
    </row>
    <row r="176" spans="1:65" ht="15" customHeight="1">
      <c r="A176" s="92"/>
      <c r="B176" s="97"/>
      <c r="K176" s="92"/>
      <c r="L176" s="97"/>
      <c r="T176" s="92"/>
      <c r="U176" s="97"/>
      <c r="AC176" s="92"/>
      <c r="AD176" s="97"/>
      <c r="AL176" s="92"/>
      <c r="AM176" s="97"/>
      <c r="BI176" s="92"/>
      <c r="BJ176" s="97"/>
      <c r="BK176" s="56"/>
      <c r="BM176" s="6">
        <f t="shared" si="1"/>
        <v>11</v>
      </c>
    </row>
    <row r="177" spans="1:65" ht="15" customHeight="1">
      <c r="A177" s="92"/>
      <c r="B177" s="97"/>
      <c r="K177" s="92"/>
      <c r="L177" s="97"/>
      <c r="T177" s="92"/>
      <c r="U177" s="80"/>
      <c r="AC177" s="92"/>
      <c r="AD177" s="97"/>
      <c r="AL177" s="92"/>
      <c r="AM177" s="97"/>
      <c r="BI177" s="92"/>
      <c r="BJ177" s="97"/>
      <c r="BK177" s="56"/>
      <c r="BM177" s="6">
        <f t="shared" si="1"/>
        <v>12</v>
      </c>
    </row>
    <row r="178" spans="1:65" ht="15" customHeight="1">
      <c r="A178" s="92"/>
      <c r="B178" s="80"/>
      <c r="K178" s="92"/>
      <c r="L178" s="80"/>
      <c r="T178" s="92"/>
      <c r="U178" s="97"/>
      <c r="AC178" s="92"/>
      <c r="AD178" s="80"/>
      <c r="AL178" s="92"/>
      <c r="AM178" s="80"/>
      <c r="BI178" s="92"/>
      <c r="BJ178" s="80"/>
      <c r="BK178" s="56"/>
      <c r="BM178" s="6">
        <f t="shared" si="1"/>
        <v>13</v>
      </c>
    </row>
    <row r="179" spans="1:65" ht="15" customHeight="1">
      <c r="A179" s="92"/>
      <c r="B179" s="80"/>
      <c r="K179" s="92"/>
      <c r="L179" s="80"/>
      <c r="T179" s="92"/>
      <c r="U179" s="97"/>
      <c r="AC179" s="92"/>
      <c r="AD179" s="80"/>
      <c r="AL179" s="92"/>
      <c r="AM179" s="80"/>
      <c r="BI179" s="92"/>
      <c r="BJ179" s="80"/>
      <c r="BK179" s="56"/>
      <c r="BM179" s="6">
        <f t="shared" si="1"/>
        <v>14</v>
      </c>
    </row>
    <row r="180" spans="1:65" ht="15" customHeight="1">
      <c r="A180" s="92"/>
      <c r="B180" s="97"/>
      <c r="K180" s="92"/>
      <c r="L180" s="97"/>
      <c r="T180" s="92"/>
      <c r="U180" s="80"/>
      <c r="AC180" s="92"/>
      <c r="AD180" s="97"/>
      <c r="AL180" s="92"/>
      <c r="AM180" s="97"/>
      <c r="BI180" s="92"/>
      <c r="BJ180" s="97"/>
      <c r="BK180" s="56"/>
      <c r="BM180" s="6">
        <f t="shared" si="1"/>
        <v>15</v>
      </c>
    </row>
    <row r="181" spans="1:65" ht="15" customHeight="1">
      <c r="A181" s="92"/>
      <c r="B181" s="97"/>
      <c r="K181" s="92"/>
      <c r="L181" s="97"/>
      <c r="T181" s="92"/>
      <c r="U181" s="80"/>
      <c r="AC181" s="92"/>
      <c r="AD181" s="97"/>
      <c r="AL181" s="92"/>
      <c r="AM181" s="97"/>
      <c r="BI181" s="92"/>
      <c r="BJ181" s="97"/>
      <c r="BK181" s="56"/>
      <c r="BM181" s="6">
        <f t="shared" si="1"/>
        <v>16</v>
      </c>
    </row>
    <row r="182" spans="1:65" ht="15" customHeight="1">
      <c r="A182" s="92"/>
      <c r="B182" s="80"/>
      <c r="K182" s="92"/>
      <c r="L182" s="80"/>
      <c r="T182" s="92"/>
      <c r="U182" s="97"/>
      <c r="AC182" s="92"/>
      <c r="AD182" s="80"/>
      <c r="AL182" s="92"/>
      <c r="AM182" s="80"/>
      <c r="BI182" s="92"/>
      <c r="BJ182" s="80"/>
      <c r="BK182" s="56"/>
      <c r="BM182" s="6">
        <f t="shared" si="1"/>
        <v>17</v>
      </c>
    </row>
    <row r="183" spans="1:65" ht="15" customHeight="1">
      <c r="A183" s="92"/>
      <c r="B183" s="97"/>
      <c r="K183" s="92"/>
      <c r="L183" s="97"/>
      <c r="T183" s="92"/>
      <c r="U183" s="97"/>
      <c r="AC183" s="92"/>
      <c r="AD183" s="97"/>
      <c r="AL183" s="92"/>
      <c r="AM183" s="97"/>
      <c r="BI183" s="92"/>
      <c r="BJ183" s="97"/>
      <c r="BK183" s="56"/>
      <c r="BM183" s="6">
        <f t="shared" si="1"/>
        <v>18</v>
      </c>
    </row>
    <row r="184" spans="1:65" ht="15" customHeight="1">
      <c r="A184" s="92"/>
      <c r="B184" s="20" t="s">
        <v>117</v>
      </c>
      <c r="C184" s="102"/>
      <c r="D184" s="102"/>
      <c r="E184" s="102"/>
      <c r="F184" s="102"/>
      <c r="G184" s="102"/>
      <c r="H184" s="102"/>
      <c r="I184" s="102"/>
      <c r="J184" s="102"/>
      <c r="K184" s="103"/>
      <c r="L184" s="104"/>
      <c r="M184" s="102"/>
      <c r="N184" s="102"/>
      <c r="O184" s="102"/>
      <c r="P184" s="102"/>
      <c r="Q184" s="102"/>
      <c r="R184" s="102"/>
      <c r="S184" s="102"/>
      <c r="T184" s="103"/>
      <c r="U184" s="104"/>
      <c r="V184" s="102"/>
      <c r="W184" s="102"/>
      <c r="X184" s="102"/>
      <c r="Y184" s="102"/>
      <c r="Z184" s="102"/>
      <c r="AA184" s="102"/>
      <c r="AB184" s="102"/>
      <c r="AC184" s="103"/>
      <c r="AD184" s="104"/>
      <c r="AE184" s="102"/>
      <c r="AF184" s="102"/>
      <c r="AG184" s="102"/>
      <c r="AH184" s="102"/>
      <c r="AI184" s="102"/>
      <c r="AJ184" s="102"/>
      <c r="AK184" s="102"/>
      <c r="AL184" s="103"/>
      <c r="AM184" s="104"/>
      <c r="AN184" s="102"/>
      <c r="AO184" s="102"/>
      <c r="AP184" s="102"/>
      <c r="AQ184" s="102"/>
      <c r="AR184" s="102"/>
      <c r="AS184" s="102"/>
      <c r="AT184" s="102"/>
      <c r="AU184" s="102"/>
      <c r="AV184" s="102"/>
      <c r="AW184" s="102"/>
      <c r="AX184" s="102"/>
      <c r="AY184" s="102"/>
      <c r="AZ184" s="102"/>
      <c r="BA184" s="102"/>
      <c r="BB184" s="102"/>
      <c r="BC184" s="102"/>
      <c r="BD184" s="102"/>
      <c r="BE184" s="102"/>
      <c r="BF184" s="102"/>
      <c r="BG184" s="102"/>
      <c r="BH184" s="102"/>
      <c r="BI184" s="103"/>
      <c r="BJ184" s="102"/>
      <c r="BK184" s="56"/>
      <c r="BM184" s="6">
        <f t="shared" si="1"/>
        <v>19</v>
      </c>
    </row>
    <row r="185" spans="1:65" ht="15" customHeight="1">
      <c r="A185" s="92"/>
      <c r="B185" s="80"/>
      <c r="K185" s="92"/>
      <c r="L185" s="80"/>
      <c r="T185" s="92"/>
      <c r="U185" s="97"/>
      <c r="AC185" s="92"/>
      <c r="AD185" s="80"/>
      <c r="AL185" s="92"/>
      <c r="AM185" s="80"/>
      <c r="BI185" s="92"/>
      <c r="BJ185" s="80"/>
      <c r="BK185" s="56"/>
      <c r="BM185" s="6">
        <f t="shared" si="1"/>
        <v>20</v>
      </c>
    </row>
    <row r="186" spans="1:65" ht="15" customHeight="1">
      <c r="A186" s="92"/>
      <c r="B186" s="80"/>
      <c r="K186" s="92"/>
      <c r="L186" s="80"/>
      <c r="T186" s="92"/>
      <c r="U186" s="97"/>
      <c r="AC186" s="92"/>
      <c r="AD186" s="80"/>
      <c r="AL186" s="92"/>
      <c r="AM186" s="80"/>
      <c r="BI186" s="92"/>
      <c r="BJ186" s="80"/>
      <c r="BK186" s="56"/>
      <c r="BM186" s="6">
        <f t="shared" si="1"/>
        <v>21</v>
      </c>
    </row>
    <row r="187" spans="1:65" ht="15" customHeight="1">
      <c r="A187" s="92"/>
      <c r="B187" s="80"/>
      <c r="K187" s="92"/>
      <c r="L187" s="80"/>
      <c r="T187" s="92"/>
      <c r="U187" s="80"/>
      <c r="AC187" s="92"/>
      <c r="AD187" s="80"/>
      <c r="AL187" s="92"/>
      <c r="AM187" s="80"/>
      <c r="BI187" s="92"/>
      <c r="BJ187" s="80"/>
      <c r="BK187" s="56"/>
      <c r="BM187" s="6">
        <f t="shared" si="1"/>
        <v>22</v>
      </c>
    </row>
    <row r="188" spans="1:65" ht="15" customHeight="1">
      <c r="A188" s="92"/>
      <c r="B188" s="97"/>
      <c r="K188" s="92"/>
      <c r="L188" s="97"/>
      <c r="T188" s="92"/>
      <c r="U188" s="97"/>
      <c r="AC188" s="92"/>
      <c r="AD188" s="97"/>
      <c r="AL188" s="92"/>
      <c r="AM188" s="97"/>
      <c r="BI188" s="92"/>
      <c r="BJ188" s="97"/>
      <c r="BK188" s="56"/>
      <c r="BM188" s="6">
        <f t="shared" si="1"/>
        <v>23</v>
      </c>
    </row>
    <row r="189" spans="1:65" ht="15" customHeight="1">
      <c r="A189" s="92"/>
      <c r="B189" s="97"/>
      <c r="K189" s="92"/>
      <c r="L189" s="97"/>
      <c r="T189" s="92"/>
      <c r="U189" s="97"/>
      <c r="AC189" s="92"/>
      <c r="AD189" s="97"/>
      <c r="AL189" s="92"/>
      <c r="AM189" s="97"/>
      <c r="BI189" s="92"/>
      <c r="BJ189" s="97"/>
      <c r="BK189" s="56"/>
      <c r="BM189" s="6">
        <f t="shared" ref="BM189:BM240" si="2">IF(BM188=50,1,BM188+1)</f>
        <v>24</v>
      </c>
    </row>
    <row r="190" spans="1:65" ht="15" customHeight="1">
      <c r="A190" s="92"/>
      <c r="B190" s="80"/>
      <c r="K190" s="92"/>
      <c r="L190" s="80"/>
      <c r="T190" s="92"/>
      <c r="U190" s="80"/>
      <c r="AC190" s="92"/>
      <c r="AD190" s="80"/>
      <c r="AL190" s="92"/>
      <c r="AM190" s="80"/>
      <c r="BI190" s="92"/>
      <c r="BJ190" s="80"/>
      <c r="BK190" s="56"/>
      <c r="BM190" s="6">
        <f t="shared" si="2"/>
        <v>25</v>
      </c>
    </row>
    <row r="191" spans="1:65" ht="15" customHeight="1">
      <c r="A191" s="92"/>
      <c r="B191" s="97"/>
      <c r="K191" s="92"/>
      <c r="L191" s="97"/>
      <c r="T191" s="92"/>
      <c r="U191" s="97"/>
      <c r="AC191" s="92"/>
      <c r="AD191" s="97"/>
      <c r="AL191" s="92"/>
      <c r="AM191" s="97"/>
      <c r="BI191" s="92"/>
      <c r="BJ191" s="97"/>
      <c r="BK191" s="56"/>
      <c r="BM191" s="6">
        <f t="shared" si="2"/>
        <v>26</v>
      </c>
    </row>
    <row r="192" spans="1:65" ht="15" customHeight="1">
      <c r="A192" s="92"/>
      <c r="B192" s="97"/>
      <c r="K192" s="92"/>
      <c r="L192" s="97"/>
      <c r="T192" s="92"/>
      <c r="U192" s="97"/>
      <c r="AC192" s="92"/>
      <c r="AD192" s="97"/>
      <c r="AL192" s="92"/>
      <c r="AM192" s="97"/>
      <c r="BI192" s="92"/>
      <c r="BJ192" s="97"/>
      <c r="BK192" s="56"/>
      <c r="BM192" s="6">
        <f t="shared" si="2"/>
        <v>27</v>
      </c>
    </row>
    <row r="193" spans="1:65" ht="15" customHeight="1">
      <c r="A193" s="92"/>
      <c r="B193" s="80"/>
      <c r="K193" s="92"/>
      <c r="L193" s="80"/>
      <c r="T193" s="92"/>
      <c r="U193" s="80"/>
      <c r="AC193" s="92"/>
      <c r="AD193" s="80"/>
      <c r="AL193" s="92"/>
      <c r="AM193" s="80"/>
      <c r="BI193" s="92"/>
      <c r="BJ193" s="80"/>
      <c r="BK193" s="56"/>
      <c r="BM193" s="6">
        <f t="shared" si="2"/>
        <v>28</v>
      </c>
    </row>
    <row r="194" spans="1:65" ht="15" customHeight="1">
      <c r="A194" s="92"/>
      <c r="B194" s="97"/>
      <c r="K194" s="92"/>
      <c r="L194" s="97"/>
      <c r="T194" s="92"/>
      <c r="U194" s="97"/>
      <c r="AC194" s="92"/>
      <c r="AD194" s="97"/>
      <c r="AL194" s="92"/>
      <c r="AM194" s="97"/>
      <c r="BI194" s="92"/>
      <c r="BJ194" s="97"/>
      <c r="BK194" s="56"/>
      <c r="BM194" s="6">
        <f t="shared" si="2"/>
        <v>29</v>
      </c>
    </row>
    <row r="195" spans="1:65" ht="15" customHeight="1">
      <c r="A195" s="92"/>
      <c r="B195" s="97"/>
      <c r="K195" s="92"/>
      <c r="L195" s="97"/>
      <c r="T195" s="92"/>
      <c r="U195" s="97"/>
      <c r="AC195" s="92"/>
      <c r="AD195" s="97"/>
      <c r="AL195" s="92"/>
      <c r="AM195" s="97"/>
      <c r="BI195" s="92"/>
      <c r="BJ195" s="97"/>
      <c r="BK195" s="56"/>
      <c r="BM195" s="6">
        <f t="shared" si="2"/>
        <v>30</v>
      </c>
    </row>
    <row r="196" spans="1:65" ht="15" customHeight="1">
      <c r="A196" s="92"/>
      <c r="B196" s="80"/>
      <c r="K196" s="92"/>
      <c r="L196" s="80"/>
      <c r="T196" s="92"/>
      <c r="U196" s="80"/>
      <c r="AC196" s="92"/>
      <c r="AD196" s="80"/>
      <c r="AL196" s="92"/>
      <c r="AM196" s="80"/>
      <c r="BI196" s="92"/>
      <c r="BJ196" s="80"/>
      <c r="BK196" s="56"/>
      <c r="BM196" s="6">
        <f t="shared" si="2"/>
        <v>31</v>
      </c>
    </row>
    <row r="197" spans="1:65" ht="15" customHeight="1">
      <c r="A197" s="92"/>
      <c r="B197" s="80"/>
      <c r="K197" s="92"/>
      <c r="L197" s="80"/>
      <c r="T197" s="92"/>
      <c r="U197" s="80"/>
      <c r="AC197" s="92"/>
      <c r="AD197" s="80"/>
      <c r="AL197" s="92"/>
      <c r="AM197" s="80"/>
      <c r="BI197" s="92"/>
      <c r="BJ197" s="80"/>
      <c r="BK197" s="56"/>
      <c r="BM197" s="6">
        <f t="shared" si="2"/>
        <v>32</v>
      </c>
    </row>
    <row r="198" spans="1:65" ht="15" customHeight="1">
      <c r="A198" s="92"/>
      <c r="B198" s="97"/>
      <c r="K198" s="92"/>
      <c r="L198" s="97"/>
      <c r="T198" s="92"/>
      <c r="U198" s="97"/>
      <c r="AC198" s="92"/>
      <c r="AD198" s="97"/>
      <c r="AL198" s="92"/>
      <c r="AM198" s="97"/>
      <c r="BI198" s="92"/>
      <c r="BJ198" s="97"/>
      <c r="BK198" s="56"/>
      <c r="BM198" s="6">
        <f t="shared" si="2"/>
        <v>33</v>
      </c>
    </row>
    <row r="199" spans="1:65" ht="15" customHeight="1">
      <c r="A199" s="92"/>
      <c r="B199" s="80"/>
      <c r="K199" s="92"/>
      <c r="L199" s="80"/>
      <c r="T199" s="92"/>
      <c r="U199" s="80"/>
      <c r="AC199" s="92"/>
      <c r="AD199" s="80"/>
      <c r="AL199" s="92"/>
      <c r="AM199" s="80"/>
      <c r="BI199" s="92"/>
      <c r="BJ199" s="80"/>
      <c r="BK199" s="56"/>
      <c r="BM199" s="6">
        <f t="shared" si="2"/>
        <v>34</v>
      </c>
    </row>
    <row r="200" spans="1:65" ht="15" customHeight="1">
      <c r="A200" s="92"/>
      <c r="B200" s="97"/>
      <c r="K200" s="92"/>
      <c r="L200" s="97"/>
      <c r="T200" s="92"/>
      <c r="U200" s="97"/>
      <c r="AC200" s="92"/>
      <c r="AD200" s="97"/>
      <c r="AL200" s="92"/>
      <c r="AM200" s="97"/>
      <c r="BI200" s="92"/>
      <c r="BJ200" s="97"/>
      <c r="BK200" s="56"/>
      <c r="BM200" s="6">
        <f t="shared" si="2"/>
        <v>35</v>
      </c>
    </row>
    <row r="201" spans="1:65" ht="15" customHeight="1">
      <c r="A201" s="92"/>
      <c r="B201" s="97"/>
      <c r="K201" s="92"/>
      <c r="L201" s="97"/>
      <c r="T201" s="92"/>
      <c r="U201" s="97"/>
      <c r="AC201" s="92"/>
      <c r="AD201" s="97"/>
      <c r="AL201" s="92"/>
      <c r="AM201" s="97"/>
      <c r="BI201" s="92"/>
      <c r="BJ201" s="97"/>
      <c r="BK201" s="56"/>
      <c r="BM201" s="6">
        <f t="shared" si="2"/>
        <v>36</v>
      </c>
    </row>
    <row r="202" spans="1:65" ht="15" customHeight="1">
      <c r="A202" s="92"/>
      <c r="B202" s="80"/>
      <c r="K202" s="92"/>
      <c r="L202" s="80"/>
      <c r="T202" s="92"/>
      <c r="U202" s="80"/>
      <c r="AC202" s="92"/>
      <c r="AD202" s="80"/>
      <c r="AL202" s="92"/>
      <c r="AM202" s="80"/>
      <c r="BI202" s="92"/>
      <c r="BJ202" s="80"/>
      <c r="BK202" s="56"/>
      <c r="BM202" s="6">
        <f t="shared" si="2"/>
        <v>37</v>
      </c>
    </row>
    <row r="203" spans="1:65" ht="15" customHeight="1">
      <c r="A203" s="92"/>
      <c r="B203" s="97"/>
      <c r="K203" s="92"/>
      <c r="L203" s="97"/>
      <c r="T203" s="92"/>
      <c r="U203" s="97"/>
      <c r="AC203" s="92"/>
      <c r="AD203" s="97"/>
      <c r="AL203" s="92"/>
      <c r="AM203" s="97"/>
      <c r="BI203" s="92"/>
      <c r="BJ203" s="97"/>
      <c r="BK203" s="56"/>
      <c r="BM203" s="6">
        <f t="shared" si="2"/>
        <v>38</v>
      </c>
    </row>
    <row r="204" spans="1:65" ht="15" customHeight="1">
      <c r="A204" s="92"/>
      <c r="B204" s="97"/>
      <c r="K204" s="92"/>
      <c r="L204" s="97"/>
      <c r="T204" s="92"/>
      <c r="U204" s="97"/>
      <c r="AC204" s="92"/>
      <c r="AD204" s="97"/>
      <c r="AL204" s="92"/>
      <c r="AM204" s="97"/>
      <c r="BI204" s="92"/>
      <c r="BJ204" s="97"/>
      <c r="BK204" s="56"/>
      <c r="BM204" s="6">
        <f t="shared" si="2"/>
        <v>39</v>
      </c>
    </row>
    <row r="205" spans="1:65" ht="15" customHeight="1">
      <c r="A205" s="92"/>
      <c r="B205" s="80"/>
      <c r="K205" s="92"/>
      <c r="L205" s="80"/>
      <c r="T205" s="92"/>
      <c r="U205" s="80"/>
      <c r="AC205" s="92"/>
      <c r="AD205" s="80"/>
      <c r="AL205" s="92"/>
      <c r="AM205" s="80"/>
      <c r="BI205" s="92"/>
      <c r="BJ205" s="80"/>
      <c r="BK205" s="56"/>
      <c r="BM205" s="6">
        <f t="shared" si="2"/>
        <v>40</v>
      </c>
    </row>
    <row r="206" spans="1:65" ht="15" customHeight="1">
      <c r="A206" s="92"/>
      <c r="B206" s="80"/>
      <c r="K206" s="92"/>
      <c r="L206" s="80"/>
      <c r="T206" s="92"/>
      <c r="U206" s="80"/>
      <c r="AC206" s="92"/>
      <c r="AD206" s="80"/>
      <c r="AL206" s="92"/>
      <c r="AM206" s="80"/>
      <c r="BI206" s="92"/>
      <c r="BJ206" s="80"/>
      <c r="BK206" s="56"/>
      <c r="BM206" s="6">
        <f t="shared" si="2"/>
        <v>41</v>
      </c>
    </row>
    <row r="207" spans="1:65" ht="15" customHeight="1">
      <c r="A207" s="92"/>
      <c r="B207" s="97"/>
      <c r="K207" s="92"/>
      <c r="L207" s="97"/>
      <c r="T207" s="92"/>
      <c r="U207" s="97"/>
      <c r="AC207" s="92"/>
      <c r="AD207" s="97"/>
      <c r="AL207" s="92"/>
      <c r="AM207" s="97"/>
      <c r="BI207" s="92"/>
      <c r="BJ207" s="97"/>
      <c r="BK207" s="56"/>
      <c r="BM207" s="6">
        <f t="shared" si="2"/>
        <v>42</v>
      </c>
    </row>
    <row r="208" spans="1:65" ht="15" customHeight="1">
      <c r="A208" s="93"/>
      <c r="B208" s="91"/>
      <c r="K208" s="93"/>
      <c r="L208" s="91"/>
      <c r="T208" s="93"/>
      <c r="U208" s="91"/>
      <c r="AC208" s="93"/>
      <c r="AD208" s="91"/>
      <c r="AL208" s="93"/>
      <c r="AM208" s="91"/>
      <c r="BI208" s="93"/>
      <c r="BJ208" s="91"/>
      <c r="BK208" s="56"/>
      <c r="BM208" s="6">
        <f t="shared" si="2"/>
        <v>43</v>
      </c>
    </row>
    <row r="209" spans="1:65" ht="15" customHeight="1">
      <c r="A209" s="93"/>
      <c r="B209" s="91"/>
      <c r="K209" s="93"/>
      <c r="L209" s="91"/>
      <c r="T209" s="93"/>
      <c r="U209" s="91"/>
      <c r="AC209" s="93"/>
      <c r="AD209" s="91"/>
      <c r="AL209" s="93"/>
      <c r="AM209" s="91"/>
      <c r="BI209" s="93"/>
      <c r="BJ209" s="91"/>
      <c r="BK209" s="56"/>
      <c r="BM209" s="6">
        <f t="shared" si="2"/>
        <v>44</v>
      </c>
    </row>
    <row r="210" spans="1:65" ht="15" customHeight="1">
      <c r="A210" s="93"/>
      <c r="B210" s="91"/>
      <c r="K210" s="93"/>
      <c r="L210" s="91"/>
      <c r="T210" s="93"/>
      <c r="U210" s="91"/>
      <c r="AC210" s="93"/>
      <c r="AD210" s="91"/>
      <c r="AL210" s="93"/>
      <c r="AM210" s="91"/>
      <c r="BI210" s="93"/>
      <c r="BJ210" s="91"/>
      <c r="BK210" s="56"/>
      <c r="BM210" s="6">
        <f t="shared" si="2"/>
        <v>45</v>
      </c>
    </row>
    <row r="211" spans="1:65" ht="15" customHeight="1">
      <c r="A211" s="93"/>
      <c r="B211" s="91"/>
      <c r="K211" s="93"/>
      <c r="L211" s="91"/>
      <c r="T211" s="93"/>
      <c r="U211" s="91"/>
      <c r="AC211" s="93"/>
      <c r="AD211" s="91"/>
      <c r="AL211" s="93"/>
      <c r="AM211" s="91"/>
      <c r="BI211" s="93"/>
      <c r="BJ211" s="91"/>
      <c r="BK211" s="56"/>
      <c r="BM211" s="6">
        <f t="shared" si="2"/>
        <v>46</v>
      </c>
    </row>
    <row r="212" spans="1:65" ht="15" customHeight="1">
      <c r="A212" s="93"/>
      <c r="B212" s="20" t="s">
        <v>118</v>
      </c>
      <c r="C212" s="102"/>
      <c r="D212" s="102"/>
      <c r="E212" s="102"/>
      <c r="F212" s="102"/>
      <c r="G212" s="102"/>
      <c r="H212" s="102"/>
      <c r="I212" s="102"/>
      <c r="J212" s="102"/>
      <c r="K212" s="103"/>
      <c r="L212" s="104"/>
      <c r="M212" s="102"/>
      <c r="N212" s="102"/>
      <c r="O212" s="102"/>
      <c r="P212" s="102"/>
      <c r="Q212" s="102"/>
      <c r="R212" s="102"/>
      <c r="S212" s="102"/>
      <c r="T212" s="103"/>
      <c r="U212" s="104"/>
      <c r="V212" s="102"/>
      <c r="W212" s="102"/>
      <c r="X212" s="102"/>
      <c r="Y212" s="102"/>
      <c r="Z212" s="102"/>
      <c r="AA212" s="102"/>
      <c r="AB212" s="102"/>
      <c r="AC212" s="103"/>
      <c r="AD212" s="104"/>
      <c r="AE212" s="102"/>
      <c r="AF212" s="102"/>
      <c r="AG212" s="102"/>
      <c r="AH212" s="102"/>
      <c r="AI212" s="102"/>
      <c r="AJ212" s="102"/>
      <c r="AK212" s="102"/>
      <c r="AL212" s="103"/>
      <c r="AM212" s="104"/>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3"/>
      <c r="BJ212" s="102"/>
      <c r="BK212" s="56"/>
      <c r="BM212" s="6">
        <f t="shared" si="2"/>
        <v>47</v>
      </c>
    </row>
    <row r="213" spans="1:65" ht="15" customHeight="1">
      <c r="A213" s="93"/>
      <c r="B213" s="91"/>
      <c r="K213" s="93"/>
      <c r="L213" s="91"/>
      <c r="T213" s="93"/>
      <c r="U213" s="91"/>
      <c r="AC213" s="93"/>
      <c r="AD213" s="91"/>
      <c r="AL213" s="93"/>
      <c r="AM213" s="91"/>
      <c r="BI213" s="93"/>
      <c r="BJ213" s="91"/>
      <c r="BK213" s="56"/>
      <c r="BM213" s="6">
        <f t="shared" si="2"/>
        <v>48</v>
      </c>
    </row>
    <row r="214" spans="1:65" ht="15" customHeight="1">
      <c r="A214" s="93"/>
      <c r="B214" s="91"/>
      <c r="K214" s="93"/>
      <c r="L214" s="91"/>
      <c r="T214" s="93"/>
      <c r="U214" s="91"/>
      <c r="AC214" s="93"/>
      <c r="AD214" s="91"/>
      <c r="AL214" s="93"/>
      <c r="AM214" s="91"/>
      <c r="BI214" s="93"/>
      <c r="BJ214" s="91"/>
      <c r="BK214" s="56"/>
      <c r="BM214" s="6">
        <f t="shared" si="2"/>
        <v>49</v>
      </c>
    </row>
    <row r="215" spans="1:65" ht="15" customHeight="1">
      <c r="A215" s="93"/>
      <c r="B215" s="91"/>
      <c r="K215" s="93"/>
      <c r="L215" s="91"/>
      <c r="T215" s="93"/>
      <c r="U215" s="91"/>
      <c r="AC215" s="93"/>
      <c r="AD215" s="91"/>
      <c r="AL215" s="93"/>
      <c r="AM215" s="91"/>
      <c r="BI215" s="93"/>
      <c r="BJ215" s="91"/>
      <c r="BK215" s="56"/>
      <c r="BM215" s="6">
        <f t="shared" si="2"/>
        <v>50</v>
      </c>
    </row>
    <row r="216" spans="1:65" ht="15" customHeight="1">
      <c r="A216" s="93"/>
      <c r="B216" s="91"/>
      <c r="K216" s="93"/>
      <c r="L216" s="91"/>
      <c r="T216" s="93"/>
      <c r="U216" s="91"/>
      <c r="AC216" s="93"/>
      <c r="AD216" s="91"/>
      <c r="AL216" s="93"/>
      <c r="AM216" s="91"/>
      <c r="BI216" s="93"/>
      <c r="BJ216" s="91"/>
      <c r="BK216" s="56"/>
      <c r="BM216" s="6">
        <f t="shared" si="2"/>
        <v>1</v>
      </c>
    </row>
    <row r="217" spans="1:65" ht="15" customHeight="1">
      <c r="A217" s="93"/>
      <c r="B217" s="91"/>
      <c r="K217" s="93"/>
      <c r="L217" s="91"/>
      <c r="T217" s="93"/>
      <c r="U217" s="91"/>
      <c r="AC217" s="93"/>
      <c r="AD217" s="91"/>
      <c r="AL217" s="93"/>
      <c r="AM217" s="91"/>
      <c r="BI217" s="93"/>
      <c r="BJ217" s="91"/>
      <c r="BK217" s="56"/>
      <c r="BM217" s="6">
        <f t="shared" si="2"/>
        <v>2</v>
      </c>
    </row>
    <row r="218" spans="1:65" ht="15" customHeight="1">
      <c r="A218" s="93"/>
      <c r="B218" s="91"/>
      <c r="K218" s="93"/>
      <c r="L218" s="91"/>
      <c r="T218" s="93"/>
      <c r="U218" s="91"/>
      <c r="AC218" s="93"/>
      <c r="AD218" s="91"/>
      <c r="AL218" s="93"/>
      <c r="AM218" s="91"/>
      <c r="BI218" s="93"/>
      <c r="BJ218" s="91"/>
      <c r="BK218" s="56"/>
      <c r="BM218" s="6">
        <f t="shared" si="2"/>
        <v>3</v>
      </c>
    </row>
    <row r="219" spans="1:65" ht="15" customHeight="1">
      <c r="A219" s="93"/>
      <c r="B219" s="91"/>
      <c r="K219" s="93"/>
      <c r="L219" s="91"/>
      <c r="T219" s="93"/>
      <c r="U219" s="91"/>
      <c r="AC219" s="93"/>
      <c r="AD219" s="91"/>
      <c r="AL219" s="93"/>
      <c r="AM219" s="91"/>
      <c r="BI219" s="93"/>
      <c r="BJ219" s="91"/>
      <c r="BK219" s="56"/>
      <c r="BM219" s="6">
        <f t="shared" si="2"/>
        <v>4</v>
      </c>
    </row>
    <row r="220" spans="1:65" ht="15" customHeight="1">
      <c r="A220" s="93"/>
      <c r="B220" s="91"/>
      <c r="K220" s="93"/>
      <c r="L220" s="91"/>
      <c r="T220" s="93"/>
      <c r="U220" s="91"/>
      <c r="AC220" s="93"/>
      <c r="AD220" s="91"/>
      <c r="AL220" s="93"/>
      <c r="AM220" s="91"/>
      <c r="BI220" s="93"/>
      <c r="BJ220" s="91"/>
      <c r="BK220" s="56"/>
      <c r="BM220" s="6">
        <f t="shared" si="2"/>
        <v>5</v>
      </c>
    </row>
    <row r="221" spans="1:65" ht="15" customHeight="1">
      <c r="A221" s="93"/>
      <c r="B221" s="91"/>
      <c r="K221" s="93"/>
      <c r="L221" s="91"/>
      <c r="T221" s="93"/>
      <c r="U221" s="91"/>
      <c r="AC221" s="93"/>
      <c r="AD221" s="91"/>
      <c r="AL221" s="93"/>
      <c r="AM221" s="91"/>
      <c r="BI221" s="93"/>
      <c r="BJ221" s="91"/>
      <c r="BK221" s="56"/>
      <c r="BM221" s="6">
        <f t="shared" si="2"/>
        <v>6</v>
      </c>
    </row>
    <row r="222" spans="1:65" ht="15" customHeight="1">
      <c r="A222" s="93"/>
      <c r="B222" s="91"/>
      <c r="K222" s="93"/>
      <c r="L222" s="91"/>
      <c r="T222" s="93"/>
      <c r="U222" s="91"/>
      <c r="AC222" s="93"/>
      <c r="AD222" s="91"/>
      <c r="AL222" s="93"/>
      <c r="AM222" s="91"/>
      <c r="BI222" s="93"/>
      <c r="BJ222" s="91"/>
      <c r="BK222" s="56"/>
      <c r="BM222" s="6">
        <f t="shared" si="2"/>
        <v>7</v>
      </c>
    </row>
    <row r="223" spans="1:65" ht="15" customHeight="1">
      <c r="A223" s="93"/>
      <c r="B223" s="91"/>
      <c r="K223" s="93"/>
      <c r="L223" s="91"/>
      <c r="T223" s="93"/>
      <c r="U223" s="91"/>
      <c r="AC223" s="93"/>
      <c r="AD223" s="91"/>
      <c r="AL223" s="93"/>
      <c r="AM223" s="91"/>
      <c r="BI223" s="93"/>
      <c r="BJ223" s="91"/>
      <c r="BK223" s="56"/>
      <c r="BM223" s="6">
        <f t="shared" si="2"/>
        <v>8</v>
      </c>
    </row>
    <row r="224" spans="1:65" ht="15" customHeight="1">
      <c r="A224" s="93"/>
      <c r="B224" s="91"/>
      <c r="K224" s="93"/>
      <c r="L224" s="91"/>
      <c r="T224" s="93"/>
      <c r="U224" s="91"/>
      <c r="AC224" s="93"/>
      <c r="AD224" s="91"/>
      <c r="AL224" s="93"/>
      <c r="AM224" s="91"/>
      <c r="BI224" s="93"/>
      <c r="BJ224" s="91"/>
      <c r="BK224" s="56"/>
      <c r="BM224" s="6">
        <f t="shared" si="2"/>
        <v>9</v>
      </c>
    </row>
    <row r="225" spans="1:65" ht="15" customHeight="1">
      <c r="A225" s="93"/>
      <c r="B225" s="91"/>
      <c r="K225" s="93"/>
      <c r="L225" s="91"/>
      <c r="T225" s="93"/>
      <c r="U225" s="91"/>
      <c r="AC225" s="93"/>
      <c r="AD225" s="91"/>
      <c r="AL225" s="93"/>
      <c r="AM225" s="91"/>
      <c r="BI225" s="93"/>
      <c r="BJ225" s="91"/>
      <c r="BK225" s="56"/>
      <c r="BM225" s="6">
        <f t="shared" si="2"/>
        <v>10</v>
      </c>
    </row>
    <row r="226" spans="1:65" ht="15" customHeight="1">
      <c r="A226" s="93"/>
      <c r="B226" s="91"/>
      <c r="K226" s="93"/>
      <c r="L226" s="91"/>
      <c r="T226" s="93"/>
      <c r="U226" s="91"/>
      <c r="AC226" s="93"/>
      <c r="AD226" s="91"/>
      <c r="AL226" s="93"/>
      <c r="AM226" s="91"/>
      <c r="BI226" s="93"/>
      <c r="BJ226" s="91"/>
      <c r="BK226" s="56"/>
      <c r="BM226" s="6">
        <f t="shared" si="2"/>
        <v>11</v>
      </c>
    </row>
    <row r="227" spans="1:65" ht="15" customHeight="1">
      <c r="A227" s="93"/>
      <c r="B227" s="91"/>
      <c r="K227" s="93"/>
      <c r="L227" s="91"/>
      <c r="T227" s="93"/>
      <c r="U227" s="91"/>
      <c r="AC227" s="93"/>
      <c r="AD227" s="91"/>
      <c r="AL227" s="93"/>
      <c r="AM227" s="91"/>
      <c r="BI227" s="93"/>
      <c r="BJ227" s="91"/>
      <c r="BK227" s="56"/>
      <c r="BM227" s="6">
        <f t="shared" si="2"/>
        <v>12</v>
      </c>
    </row>
    <row r="228" spans="1:65" ht="15" customHeight="1">
      <c r="A228" s="93"/>
      <c r="B228" s="91"/>
      <c r="K228" s="93"/>
      <c r="L228" s="91"/>
      <c r="T228" s="93"/>
      <c r="U228" s="91"/>
      <c r="AC228" s="93"/>
      <c r="AD228" s="91"/>
      <c r="AL228" s="93"/>
      <c r="AM228" s="91"/>
      <c r="BI228" s="93"/>
      <c r="BJ228" s="91"/>
      <c r="BK228" s="56"/>
      <c r="BM228" s="6">
        <f t="shared" si="2"/>
        <v>13</v>
      </c>
    </row>
    <row r="229" spans="1:65" s="80" customFormat="1" ht="15" customHeight="1">
      <c r="A229" s="93"/>
      <c r="B229" s="91"/>
      <c r="C229" s="51"/>
      <c r="D229" s="51"/>
      <c r="E229" s="51"/>
      <c r="F229" s="51"/>
      <c r="G229" s="51"/>
      <c r="H229" s="51"/>
      <c r="I229" s="51"/>
      <c r="J229" s="51"/>
      <c r="K229" s="93"/>
      <c r="L229" s="91"/>
      <c r="M229" s="51"/>
      <c r="N229" s="51"/>
      <c r="O229" s="51"/>
      <c r="P229" s="51"/>
      <c r="Q229" s="51"/>
      <c r="R229" s="51"/>
      <c r="S229" s="51"/>
      <c r="T229" s="93"/>
      <c r="U229" s="91"/>
      <c r="V229" s="51"/>
      <c r="W229" s="51"/>
      <c r="X229" s="51"/>
      <c r="Y229" s="51"/>
      <c r="Z229" s="51"/>
      <c r="AA229" s="51"/>
      <c r="AB229" s="51"/>
      <c r="AC229" s="93"/>
      <c r="AD229" s="91"/>
      <c r="AE229" s="51"/>
      <c r="AF229" s="51"/>
      <c r="AG229" s="51"/>
      <c r="AH229" s="51"/>
      <c r="AI229" s="51"/>
      <c r="AJ229" s="51"/>
      <c r="AK229" s="51"/>
      <c r="AL229" s="93"/>
      <c r="AM229" s="9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93"/>
      <c r="BJ229" s="91"/>
      <c r="BK229" s="56"/>
      <c r="BM229" s="6">
        <f t="shared" si="2"/>
        <v>14</v>
      </c>
    </row>
    <row r="230" spans="1:65" s="80" customFormat="1" ht="15" customHeight="1">
      <c r="A230" s="93"/>
      <c r="B230" s="91"/>
      <c r="C230" s="51"/>
      <c r="D230" s="51"/>
      <c r="E230" s="51"/>
      <c r="F230" s="51"/>
      <c r="G230" s="51"/>
      <c r="H230" s="51"/>
      <c r="I230" s="51"/>
      <c r="J230" s="51"/>
      <c r="K230" s="93"/>
      <c r="L230" s="91"/>
      <c r="M230" s="51"/>
      <c r="N230" s="51"/>
      <c r="O230" s="51"/>
      <c r="P230" s="51"/>
      <c r="Q230" s="51"/>
      <c r="R230" s="51"/>
      <c r="S230" s="51"/>
      <c r="T230" s="93"/>
      <c r="U230" s="91"/>
      <c r="V230" s="51"/>
      <c r="W230" s="51"/>
      <c r="X230" s="51"/>
      <c r="Y230" s="51"/>
      <c r="Z230" s="51"/>
      <c r="AA230" s="51"/>
      <c r="AB230" s="51"/>
      <c r="AC230" s="93"/>
      <c r="AD230" s="91"/>
      <c r="AE230" s="51"/>
      <c r="AF230" s="51"/>
      <c r="AG230" s="51"/>
      <c r="AH230" s="51"/>
      <c r="AI230" s="51"/>
      <c r="AJ230" s="51"/>
      <c r="AK230" s="51"/>
      <c r="AL230" s="93"/>
      <c r="AM230" s="9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93"/>
      <c r="BJ230" s="91"/>
      <c r="BK230" s="56"/>
      <c r="BM230" s="6">
        <f t="shared" si="2"/>
        <v>15</v>
      </c>
    </row>
    <row r="231" spans="1:65" s="80" customFormat="1" ht="15" customHeight="1">
      <c r="A231" s="93"/>
      <c r="B231" s="91"/>
      <c r="C231" s="51"/>
      <c r="D231" s="51"/>
      <c r="E231" s="51"/>
      <c r="F231" s="51"/>
      <c r="G231" s="51"/>
      <c r="H231" s="51"/>
      <c r="I231" s="51"/>
      <c r="J231" s="51"/>
      <c r="K231" s="93"/>
      <c r="L231" s="91"/>
      <c r="M231" s="51"/>
      <c r="N231" s="51"/>
      <c r="O231" s="51"/>
      <c r="P231" s="51"/>
      <c r="Q231" s="51"/>
      <c r="R231" s="51"/>
      <c r="S231" s="51"/>
      <c r="T231" s="93"/>
      <c r="U231" s="91"/>
      <c r="V231" s="51"/>
      <c r="W231" s="51"/>
      <c r="X231" s="51"/>
      <c r="Y231" s="51"/>
      <c r="Z231" s="51"/>
      <c r="AA231" s="51"/>
      <c r="AB231" s="51"/>
      <c r="AC231" s="93"/>
      <c r="AD231" s="91"/>
      <c r="AE231" s="51"/>
      <c r="AF231" s="51"/>
      <c r="AG231" s="51"/>
      <c r="AH231" s="51"/>
      <c r="AI231" s="51"/>
      <c r="AJ231" s="51"/>
      <c r="AK231" s="51"/>
      <c r="AL231" s="93"/>
      <c r="AM231" s="9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93"/>
      <c r="BJ231" s="91"/>
      <c r="BK231" s="56"/>
      <c r="BM231" s="6">
        <f t="shared" si="2"/>
        <v>16</v>
      </c>
    </row>
    <row r="232" spans="1:65" s="80" customFormat="1" ht="15" customHeight="1">
      <c r="A232" s="93"/>
      <c r="B232" s="91"/>
      <c r="C232" s="51"/>
      <c r="D232" s="51"/>
      <c r="E232" s="51"/>
      <c r="F232" s="51"/>
      <c r="G232" s="51"/>
      <c r="H232" s="51"/>
      <c r="I232" s="51"/>
      <c r="J232" s="51"/>
      <c r="K232" s="93"/>
      <c r="L232" s="91"/>
      <c r="M232" s="51"/>
      <c r="N232" s="51"/>
      <c r="O232" s="51"/>
      <c r="P232" s="51"/>
      <c r="Q232" s="51"/>
      <c r="R232" s="51"/>
      <c r="S232" s="51"/>
      <c r="T232" s="93"/>
      <c r="U232" s="91"/>
      <c r="V232" s="51"/>
      <c r="W232" s="51"/>
      <c r="X232" s="51"/>
      <c r="Y232" s="51"/>
      <c r="Z232" s="51"/>
      <c r="AA232" s="51"/>
      <c r="AB232" s="51"/>
      <c r="AC232" s="93"/>
      <c r="AD232" s="91"/>
      <c r="AE232" s="51"/>
      <c r="AF232" s="51"/>
      <c r="AG232" s="51"/>
      <c r="AH232" s="51"/>
      <c r="AI232" s="51"/>
      <c r="AJ232" s="51"/>
      <c r="AK232" s="51"/>
      <c r="AL232" s="93"/>
      <c r="AM232" s="9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93"/>
      <c r="BJ232" s="91"/>
      <c r="BK232" s="56"/>
      <c r="BM232" s="6">
        <f t="shared" si="2"/>
        <v>17</v>
      </c>
    </row>
    <row r="233" spans="1:65" s="80" customFormat="1" ht="15" customHeight="1">
      <c r="A233" s="93"/>
      <c r="B233" s="91"/>
      <c r="C233" s="51"/>
      <c r="D233" s="51"/>
      <c r="E233" s="51"/>
      <c r="F233" s="51"/>
      <c r="G233" s="51"/>
      <c r="H233" s="51"/>
      <c r="I233" s="51"/>
      <c r="J233" s="51"/>
      <c r="K233" s="93"/>
      <c r="L233" s="91"/>
      <c r="M233" s="51"/>
      <c r="N233" s="51"/>
      <c r="O233" s="51"/>
      <c r="P233" s="51"/>
      <c r="Q233" s="51"/>
      <c r="R233" s="51"/>
      <c r="S233" s="51"/>
      <c r="T233" s="93"/>
      <c r="U233" s="91"/>
      <c r="V233" s="51"/>
      <c r="W233" s="51"/>
      <c r="X233" s="51"/>
      <c r="Y233" s="51"/>
      <c r="Z233" s="51"/>
      <c r="AA233" s="51"/>
      <c r="AB233" s="51"/>
      <c r="AC233" s="93"/>
      <c r="AD233" s="91"/>
      <c r="AE233" s="51"/>
      <c r="AF233" s="51"/>
      <c r="AG233" s="51"/>
      <c r="AH233" s="51"/>
      <c r="AI233" s="51"/>
      <c r="AJ233" s="51"/>
      <c r="AK233" s="51"/>
      <c r="AL233" s="93"/>
      <c r="AM233" s="9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93"/>
      <c r="BJ233" s="91"/>
      <c r="BK233" s="56"/>
      <c r="BM233" s="6">
        <f t="shared" si="2"/>
        <v>18</v>
      </c>
    </row>
    <row r="234" spans="1:65" s="80" customFormat="1" ht="15" customHeight="1">
      <c r="A234" s="93"/>
      <c r="B234" s="91"/>
      <c r="C234" s="51"/>
      <c r="D234" s="51"/>
      <c r="E234" s="51"/>
      <c r="F234" s="51"/>
      <c r="G234" s="51"/>
      <c r="H234" s="51"/>
      <c r="I234" s="51"/>
      <c r="J234" s="51"/>
      <c r="K234" s="93"/>
      <c r="L234" s="91"/>
      <c r="M234" s="51"/>
      <c r="N234" s="51"/>
      <c r="O234" s="51"/>
      <c r="P234" s="51"/>
      <c r="Q234" s="51"/>
      <c r="R234" s="51"/>
      <c r="S234" s="51"/>
      <c r="T234" s="93"/>
      <c r="U234" s="91"/>
      <c r="V234" s="51"/>
      <c r="W234" s="51"/>
      <c r="X234" s="51"/>
      <c r="Y234" s="51"/>
      <c r="Z234" s="51"/>
      <c r="AA234" s="51"/>
      <c r="AB234" s="51"/>
      <c r="AC234" s="93"/>
      <c r="AD234" s="91"/>
      <c r="AE234" s="51"/>
      <c r="AF234" s="51"/>
      <c r="AG234" s="51"/>
      <c r="AH234" s="51"/>
      <c r="AI234" s="51"/>
      <c r="AJ234" s="51"/>
      <c r="AK234" s="51"/>
      <c r="AL234" s="93"/>
      <c r="AM234" s="9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93"/>
      <c r="BJ234" s="91"/>
      <c r="BK234" s="56"/>
      <c r="BM234" s="6">
        <f t="shared" si="2"/>
        <v>19</v>
      </c>
    </row>
    <row r="235" spans="1:65" s="80" customFormat="1" ht="15" customHeight="1">
      <c r="A235" s="93"/>
      <c r="B235" s="91"/>
      <c r="C235" s="51"/>
      <c r="D235" s="51"/>
      <c r="E235" s="51"/>
      <c r="F235" s="51"/>
      <c r="G235" s="51"/>
      <c r="H235" s="51"/>
      <c r="I235" s="51"/>
      <c r="J235" s="51"/>
      <c r="K235" s="93"/>
      <c r="L235" s="91"/>
      <c r="M235" s="51"/>
      <c r="N235" s="51"/>
      <c r="O235" s="51"/>
      <c r="P235" s="51"/>
      <c r="Q235" s="51"/>
      <c r="R235" s="51"/>
      <c r="S235" s="51"/>
      <c r="T235" s="93"/>
      <c r="U235" s="91"/>
      <c r="V235" s="51"/>
      <c r="W235" s="51"/>
      <c r="X235" s="51"/>
      <c r="Y235" s="51"/>
      <c r="Z235" s="51"/>
      <c r="AA235" s="51"/>
      <c r="AB235" s="51"/>
      <c r="AC235" s="93"/>
      <c r="AD235" s="91"/>
      <c r="AE235" s="51"/>
      <c r="AF235" s="51"/>
      <c r="AG235" s="51"/>
      <c r="AH235" s="51"/>
      <c r="AI235" s="51"/>
      <c r="AJ235" s="51"/>
      <c r="AK235" s="51"/>
      <c r="AL235" s="93"/>
      <c r="AM235" s="9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93"/>
      <c r="BJ235" s="91"/>
      <c r="BK235" s="56"/>
      <c r="BM235" s="6">
        <f t="shared" si="2"/>
        <v>20</v>
      </c>
    </row>
    <row r="236" spans="1:65" s="80" customFormat="1" ht="15" customHeight="1">
      <c r="A236" s="93"/>
      <c r="B236" s="91"/>
      <c r="C236" s="51"/>
      <c r="D236" s="51"/>
      <c r="E236" s="51"/>
      <c r="F236" s="51"/>
      <c r="G236" s="51"/>
      <c r="H236" s="51"/>
      <c r="I236" s="51"/>
      <c r="J236" s="51"/>
      <c r="K236" s="93"/>
      <c r="L236" s="91"/>
      <c r="M236" s="51"/>
      <c r="N236" s="51"/>
      <c r="O236" s="51"/>
      <c r="P236" s="51"/>
      <c r="Q236" s="51"/>
      <c r="R236" s="51"/>
      <c r="S236" s="51"/>
      <c r="T236" s="93"/>
      <c r="U236" s="91"/>
      <c r="V236" s="51"/>
      <c r="W236" s="51"/>
      <c r="X236" s="51"/>
      <c r="Y236" s="51"/>
      <c r="Z236" s="51"/>
      <c r="AA236" s="51"/>
      <c r="AB236" s="51"/>
      <c r="AC236" s="93"/>
      <c r="AD236" s="91"/>
      <c r="AE236" s="51"/>
      <c r="AF236" s="51"/>
      <c r="AG236" s="51"/>
      <c r="AH236" s="51"/>
      <c r="AI236" s="51"/>
      <c r="AJ236" s="51"/>
      <c r="AK236" s="51"/>
      <c r="AL236" s="93"/>
      <c r="AM236" s="9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93"/>
      <c r="BJ236" s="91"/>
      <c r="BK236" s="56"/>
      <c r="BM236" s="6">
        <f t="shared" si="2"/>
        <v>21</v>
      </c>
    </row>
    <row r="237" spans="1:65" s="80" customFormat="1" ht="15" customHeight="1">
      <c r="A237" s="93"/>
      <c r="B237" s="91"/>
      <c r="C237" s="51"/>
      <c r="D237" s="51"/>
      <c r="E237" s="51"/>
      <c r="F237" s="51"/>
      <c r="G237" s="51"/>
      <c r="H237" s="51"/>
      <c r="I237" s="51"/>
      <c r="J237" s="51"/>
      <c r="K237" s="93"/>
      <c r="L237" s="91"/>
      <c r="M237" s="51"/>
      <c r="N237" s="51"/>
      <c r="O237" s="51"/>
      <c r="P237" s="51"/>
      <c r="Q237" s="51"/>
      <c r="R237" s="51"/>
      <c r="S237" s="51"/>
      <c r="T237" s="93"/>
      <c r="U237" s="91"/>
      <c r="V237" s="51"/>
      <c r="W237" s="51"/>
      <c r="X237" s="51"/>
      <c r="Y237" s="51"/>
      <c r="Z237" s="51"/>
      <c r="AA237" s="51"/>
      <c r="AB237" s="51"/>
      <c r="AC237" s="93"/>
      <c r="AD237" s="91"/>
      <c r="AE237" s="51"/>
      <c r="AF237" s="51"/>
      <c r="AG237" s="51"/>
      <c r="AH237" s="51"/>
      <c r="AI237" s="51"/>
      <c r="AJ237" s="51"/>
      <c r="AK237" s="51"/>
      <c r="AL237" s="93"/>
      <c r="AM237" s="9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93"/>
      <c r="BJ237" s="91"/>
      <c r="BK237" s="56"/>
      <c r="BM237" s="6">
        <f t="shared" si="2"/>
        <v>22</v>
      </c>
    </row>
    <row r="238" spans="1:65" s="80" customFormat="1" ht="15" customHeight="1">
      <c r="A238" s="93"/>
      <c r="B238" s="91"/>
      <c r="C238" s="51"/>
      <c r="D238" s="51"/>
      <c r="E238" s="51"/>
      <c r="F238" s="51"/>
      <c r="G238" s="51"/>
      <c r="H238" s="51"/>
      <c r="I238" s="51"/>
      <c r="J238" s="51"/>
      <c r="K238" s="93"/>
      <c r="L238" s="91"/>
      <c r="M238" s="51"/>
      <c r="N238" s="51"/>
      <c r="O238" s="51"/>
      <c r="P238" s="51"/>
      <c r="Q238" s="51"/>
      <c r="R238" s="51"/>
      <c r="S238" s="51"/>
      <c r="T238" s="93"/>
      <c r="U238" s="91"/>
      <c r="V238" s="51"/>
      <c r="W238" s="51"/>
      <c r="X238" s="51"/>
      <c r="Y238" s="51"/>
      <c r="Z238" s="51"/>
      <c r="AA238" s="51"/>
      <c r="AB238" s="51"/>
      <c r="AC238" s="93"/>
      <c r="AD238" s="91"/>
      <c r="AE238" s="51"/>
      <c r="AF238" s="51"/>
      <c r="AG238" s="51"/>
      <c r="AH238" s="51"/>
      <c r="AI238" s="51"/>
      <c r="AJ238" s="51"/>
      <c r="AK238" s="51"/>
      <c r="AL238" s="93"/>
      <c r="AM238" s="9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93"/>
      <c r="BJ238" s="91"/>
      <c r="BK238" s="56"/>
      <c r="BM238" s="6">
        <f t="shared" si="2"/>
        <v>23</v>
      </c>
    </row>
    <row r="239" spans="1:65" s="80" customFormat="1" ht="15" customHeight="1">
      <c r="A239" s="93"/>
      <c r="B239" s="91"/>
      <c r="C239" s="51"/>
      <c r="D239" s="51"/>
      <c r="E239" s="51"/>
      <c r="F239" s="51"/>
      <c r="G239" s="51"/>
      <c r="H239" s="51"/>
      <c r="I239" s="51"/>
      <c r="J239" s="51"/>
      <c r="K239" s="93"/>
      <c r="L239" s="91"/>
      <c r="M239" s="51"/>
      <c r="N239" s="51"/>
      <c r="O239" s="51"/>
      <c r="P239" s="51"/>
      <c r="Q239" s="51"/>
      <c r="R239" s="51"/>
      <c r="S239" s="51"/>
      <c r="T239" s="93"/>
      <c r="U239" s="91"/>
      <c r="V239" s="51"/>
      <c r="W239" s="51"/>
      <c r="X239" s="51"/>
      <c r="Y239" s="51"/>
      <c r="Z239" s="51"/>
      <c r="AA239" s="51"/>
      <c r="AB239" s="51"/>
      <c r="AC239" s="93"/>
      <c r="AD239" s="91"/>
      <c r="AE239" s="51"/>
      <c r="AF239" s="51"/>
      <c r="AG239" s="51"/>
      <c r="AH239" s="51"/>
      <c r="AI239" s="51"/>
      <c r="AJ239" s="51"/>
      <c r="AK239" s="51"/>
      <c r="AL239" s="93"/>
      <c r="AM239" s="9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93"/>
      <c r="BJ239" s="91"/>
      <c r="BK239" s="56"/>
      <c r="BM239" s="6">
        <f t="shared" si="2"/>
        <v>24</v>
      </c>
    </row>
    <row r="240" spans="1:65" s="80" customFormat="1" ht="15" customHeight="1">
      <c r="A240" s="105"/>
      <c r="B240" s="106"/>
      <c r="C240" s="53"/>
      <c r="D240" s="53"/>
      <c r="E240" s="53"/>
      <c r="F240" s="53"/>
      <c r="G240" s="53"/>
      <c r="H240" s="53"/>
      <c r="I240" s="53"/>
      <c r="J240" s="53"/>
      <c r="K240" s="105"/>
      <c r="L240" s="106"/>
      <c r="M240" s="53"/>
      <c r="N240" s="53"/>
      <c r="O240" s="53"/>
      <c r="P240" s="53"/>
      <c r="Q240" s="53"/>
      <c r="R240" s="53"/>
      <c r="S240" s="53"/>
      <c r="T240" s="105"/>
      <c r="U240" s="106"/>
      <c r="V240" s="53"/>
      <c r="W240" s="53"/>
      <c r="X240" s="53"/>
      <c r="Y240" s="53"/>
      <c r="Z240" s="53"/>
      <c r="AA240" s="53"/>
      <c r="AB240" s="53"/>
      <c r="AC240" s="105"/>
      <c r="AD240" s="106"/>
      <c r="AE240" s="53"/>
      <c r="AF240" s="53"/>
      <c r="AG240" s="53"/>
      <c r="AH240" s="53"/>
      <c r="AI240" s="53"/>
      <c r="AJ240" s="53"/>
      <c r="AK240" s="53"/>
      <c r="AL240" s="105"/>
      <c r="AM240" s="106"/>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105"/>
      <c r="BJ240" s="106"/>
      <c r="BK240" s="54"/>
      <c r="BM240" s="6">
        <f t="shared" si="2"/>
        <v>25</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14"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A26C1-FE6E-4A70-B7A2-56728FCC0B52}">
  <dimension ref="A1:LG305"/>
  <sheetViews>
    <sheetView showGridLines="0" view="pageBreakPreview" zoomScale="85" zoomScaleNormal="70" zoomScaleSheetLayoutView="85" workbookViewId="0"/>
  </sheetViews>
  <sheetFormatPr defaultColWidth="2.88671875" defaultRowHeight="13.5"/>
  <cols>
    <col min="1" max="15" width="2.88671875" style="26"/>
    <col min="16" max="16" width="8.5546875" style="26" customWidth="1"/>
    <col min="17" max="30" width="2.88671875" style="26"/>
    <col min="31" max="31" width="8" style="26" customWidth="1"/>
    <col min="32" max="36" width="2.88671875" style="26"/>
    <col min="37" max="37" width="2.88671875" style="26" customWidth="1"/>
    <col min="38" max="38" width="0.21875" style="26" customWidth="1"/>
    <col min="39" max="97" width="2.88671875" style="26"/>
    <col min="98" max="98" width="3.77734375" style="26" bestFit="1" customWidth="1"/>
    <col min="99" max="153" width="2.88671875" style="26"/>
    <col min="154" max="154" width="2.88671875" style="26" customWidth="1"/>
    <col min="155" max="258" width="2.88671875" style="26"/>
    <col min="259" max="259" width="4.5546875" style="26" customWidth="1"/>
    <col min="260" max="268" width="2.88671875" style="26"/>
    <col min="269" max="269" width="4.77734375" style="26" customWidth="1"/>
    <col min="270" max="270" width="7" style="26" customWidth="1"/>
    <col min="271" max="272" width="8.44140625" style="26" customWidth="1"/>
    <col min="273" max="273" width="4.44140625" style="26" customWidth="1"/>
    <col min="274" max="375" width="2.88671875" style="26"/>
    <col min="376" max="376" width="0.5546875" style="26" customWidth="1"/>
    <col min="377" max="386" width="2.88671875" style="26"/>
    <col min="387" max="387" width="3.6640625" style="26" customWidth="1"/>
    <col min="388" max="427" width="2.88671875" style="26"/>
    <col min="428" max="428" width="0.6640625" style="26" customWidth="1"/>
    <col min="429" max="465" width="2.88671875" style="26"/>
    <col min="466" max="466" width="2.77734375" style="26" customWidth="1"/>
    <col min="467" max="467" width="2.21875" style="26" customWidth="1"/>
    <col min="468" max="16384" width="2.88671875" style="26"/>
  </cols>
  <sheetData>
    <row r="1" spans="1:39" ht="15" thickBot="1">
      <c r="A1" s="25"/>
      <c r="B1" s="25"/>
      <c r="C1" s="25"/>
      <c r="D1" s="25"/>
      <c r="E1" s="25"/>
      <c r="F1" s="25"/>
      <c r="G1" s="25"/>
      <c r="H1" s="25"/>
      <c r="I1" s="25"/>
      <c r="J1" s="25"/>
      <c r="K1" s="25"/>
      <c r="L1" s="25"/>
      <c r="M1" s="25"/>
      <c r="N1" s="25"/>
      <c r="O1" s="25"/>
      <c r="P1" s="25"/>
      <c r="Q1" s="25"/>
      <c r="R1" s="25"/>
      <c r="S1" s="25"/>
      <c r="T1" s="25"/>
      <c r="U1" s="25"/>
      <c r="V1" s="25"/>
      <c r="W1" s="25"/>
      <c r="X1" s="25"/>
      <c r="Y1" s="25"/>
      <c r="Z1" s="25"/>
      <c r="AA1" s="25"/>
      <c r="AM1" s="25"/>
    </row>
    <row r="2" spans="1:39" ht="15.75" customHeight="1">
      <c r="A2" s="25"/>
      <c r="B2" s="269" t="s">
        <v>64</v>
      </c>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row>
    <row r="3" spans="1:39" ht="15.75" customHeight="1">
      <c r="A3" s="25"/>
      <c r="B3" s="271"/>
      <c r="C3" s="272"/>
      <c r="D3" s="272"/>
      <c r="E3" s="272"/>
      <c r="F3" s="272"/>
      <c r="G3" s="272"/>
      <c r="H3" s="272"/>
      <c r="I3" s="272"/>
      <c r="J3" s="272"/>
      <c r="K3" s="272"/>
      <c r="L3" s="272"/>
      <c r="M3" s="272"/>
      <c r="N3" s="272"/>
      <c r="O3" s="272"/>
      <c r="P3" s="272"/>
      <c r="Q3" s="272"/>
      <c r="R3" s="272"/>
      <c r="S3" s="272"/>
      <c r="T3" s="272"/>
      <c r="U3" s="272"/>
      <c r="V3" s="272"/>
      <c r="W3" s="272"/>
      <c r="X3" s="272"/>
      <c r="Y3" s="272"/>
      <c r="Z3" s="272"/>
      <c r="AA3" s="272"/>
      <c r="AB3" s="272"/>
      <c r="AC3" s="272"/>
      <c r="AD3" s="272"/>
      <c r="AE3" s="272"/>
      <c r="AF3" s="272"/>
      <c r="AG3" s="272"/>
      <c r="AH3" s="272"/>
      <c r="AI3" s="272"/>
      <c r="AJ3" s="272"/>
      <c r="AK3" s="272"/>
      <c r="AL3" s="272"/>
      <c r="AM3" s="272"/>
    </row>
    <row r="4" spans="1:39" ht="16.5" customHeight="1" thickBot="1">
      <c r="A4" s="25"/>
      <c r="B4" s="273"/>
      <c r="C4" s="274"/>
      <c r="D4" s="274"/>
      <c r="E4" s="274"/>
      <c r="F4" s="274"/>
      <c r="G4" s="274"/>
      <c r="H4" s="275"/>
      <c r="I4" s="275"/>
      <c r="J4" s="275"/>
      <c r="K4" s="275"/>
      <c r="L4" s="275"/>
      <c r="M4" s="275"/>
      <c r="N4" s="275"/>
      <c r="O4" s="275"/>
      <c r="P4" s="275"/>
      <c r="Q4" s="275"/>
      <c r="R4" s="275"/>
      <c r="S4" s="275"/>
      <c r="T4" s="275"/>
      <c r="U4" s="274"/>
      <c r="V4" s="274"/>
      <c r="W4" s="274"/>
      <c r="X4" s="274"/>
      <c r="Y4" s="274"/>
      <c r="Z4" s="274"/>
      <c r="AA4" s="274"/>
      <c r="AB4" s="274"/>
      <c r="AC4" s="274"/>
      <c r="AD4" s="274"/>
      <c r="AE4" s="274"/>
      <c r="AF4" s="274"/>
      <c r="AG4" s="274"/>
      <c r="AH4" s="274"/>
      <c r="AI4" s="274"/>
      <c r="AJ4" s="274"/>
      <c r="AK4" s="274"/>
      <c r="AL4" s="274"/>
      <c r="AM4" s="274"/>
    </row>
    <row r="5" spans="1:39" ht="16.5" thickBot="1">
      <c r="A5" s="25"/>
      <c r="B5" s="30"/>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2"/>
    </row>
    <row r="6" spans="1:39" ht="16.5" thickBot="1">
      <c r="A6" s="25"/>
      <c r="B6" s="27"/>
      <c r="C6" s="237" t="s">
        <v>76</v>
      </c>
      <c r="D6" s="238"/>
      <c r="E6" s="238"/>
      <c r="F6" s="238"/>
      <c r="G6" s="238"/>
      <c r="H6" s="238"/>
      <c r="I6" s="238"/>
      <c r="J6" s="238"/>
      <c r="K6" s="238"/>
      <c r="L6" s="238"/>
      <c r="M6" s="238"/>
      <c r="N6" s="238"/>
      <c r="O6" s="239"/>
      <c r="P6" s="242" t="s">
        <v>65</v>
      </c>
      <c r="Q6" s="243"/>
      <c r="R6" s="243"/>
      <c r="S6" s="243"/>
      <c r="T6" s="243"/>
      <c r="U6" s="243"/>
      <c r="V6" s="243"/>
      <c r="W6" s="243"/>
      <c r="X6" s="243"/>
      <c r="Y6" s="243"/>
      <c r="Z6" s="243"/>
      <c r="AA6" s="243"/>
      <c r="AB6" s="243"/>
      <c r="AC6" s="243"/>
      <c r="AD6" s="243"/>
      <c r="AE6" s="243"/>
      <c r="AF6" s="243"/>
      <c r="AG6" s="243"/>
      <c r="AH6" s="243"/>
      <c r="AI6" s="243"/>
      <c r="AJ6" s="243"/>
      <c r="AK6" s="243"/>
      <c r="AL6" s="244"/>
      <c r="AM6" s="29"/>
    </row>
    <row r="7" spans="1:39" ht="16.5" thickBot="1">
      <c r="A7" s="25"/>
      <c r="B7" s="27"/>
      <c r="C7" s="34"/>
      <c r="D7" s="34"/>
      <c r="E7" s="34"/>
      <c r="F7" s="34"/>
      <c r="G7" s="34"/>
      <c r="H7" s="34"/>
      <c r="I7" s="34"/>
      <c r="J7" s="34"/>
      <c r="K7" s="34"/>
      <c r="L7" s="34"/>
      <c r="M7" s="34"/>
      <c r="N7" s="34"/>
      <c r="O7" s="34"/>
      <c r="P7" s="28"/>
      <c r="Q7" s="28"/>
      <c r="R7" s="28"/>
      <c r="S7" s="28"/>
      <c r="T7" s="28"/>
      <c r="U7" s="28"/>
      <c r="V7" s="28"/>
      <c r="W7" s="28"/>
      <c r="X7" s="28"/>
      <c r="Y7" s="28"/>
      <c r="Z7" s="28"/>
      <c r="AA7" s="28"/>
      <c r="AB7" s="28"/>
      <c r="AC7" s="28"/>
      <c r="AD7" s="28"/>
      <c r="AE7" s="28"/>
      <c r="AF7" s="28"/>
      <c r="AG7" s="28"/>
      <c r="AH7" s="28"/>
      <c r="AI7" s="28"/>
      <c r="AJ7" s="28"/>
      <c r="AK7" s="28"/>
      <c r="AL7" s="28"/>
      <c r="AM7" s="29"/>
    </row>
    <row r="8" spans="1:39" ht="16.5" thickBot="1">
      <c r="A8" s="25"/>
      <c r="B8" s="27"/>
      <c r="C8" s="237" t="s">
        <v>77</v>
      </c>
      <c r="D8" s="238"/>
      <c r="E8" s="238"/>
      <c r="F8" s="238"/>
      <c r="G8" s="238"/>
      <c r="H8" s="238"/>
      <c r="I8" s="238"/>
      <c r="J8" s="238"/>
      <c r="K8" s="238"/>
      <c r="L8" s="238"/>
      <c r="M8" s="238"/>
      <c r="N8" s="238"/>
      <c r="O8" s="239"/>
      <c r="P8" s="245"/>
      <c r="Q8" s="246"/>
      <c r="R8" s="246"/>
      <c r="S8" s="246"/>
      <c r="T8" s="246"/>
      <c r="U8" s="246"/>
      <c r="V8" s="246"/>
      <c r="W8" s="246"/>
      <c r="X8" s="246"/>
      <c r="Y8" s="246"/>
      <c r="Z8" s="246"/>
      <c r="AA8" s="246"/>
      <c r="AB8" s="246"/>
      <c r="AC8" s="246"/>
      <c r="AD8" s="246"/>
      <c r="AE8" s="246"/>
      <c r="AF8" s="246"/>
      <c r="AG8" s="246"/>
      <c r="AH8" s="246"/>
      <c r="AI8" s="246"/>
      <c r="AJ8" s="246"/>
      <c r="AK8" s="246"/>
      <c r="AL8" s="247"/>
      <c r="AM8" s="29"/>
    </row>
    <row r="9" spans="1:39" ht="16.5" thickBot="1">
      <c r="A9" s="25"/>
      <c r="B9" s="27"/>
      <c r="C9" s="34"/>
      <c r="D9" s="34"/>
      <c r="E9" s="34"/>
      <c r="F9" s="34"/>
      <c r="G9" s="34"/>
      <c r="H9" s="34"/>
      <c r="I9" s="34"/>
      <c r="J9" s="34"/>
      <c r="K9" s="34"/>
      <c r="L9" s="34"/>
      <c r="M9" s="34"/>
      <c r="N9" s="34"/>
      <c r="O9" s="34"/>
      <c r="P9" s="28"/>
      <c r="Q9" s="28"/>
      <c r="R9" s="28"/>
      <c r="S9" s="28"/>
      <c r="T9" s="28"/>
      <c r="U9" s="28"/>
      <c r="V9" s="28"/>
      <c r="W9" s="28"/>
      <c r="X9" s="28"/>
      <c r="Y9" s="28"/>
      <c r="Z9" s="28"/>
      <c r="AA9" s="28"/>
      <c r="AB9" s="28"/>
      <c r="AC9" s="28"/>
      <c r="AD9" s="28"/>
      <c r="AE9" s="28"/>
      <c r="AF9" s="28"/>
      <c r="AG9" s="28"/>
      <c r="AH9" s="28"/>
      <c r="AI9" s="28"/>
      <c r="AJ9" s="28"/>
      <c r="AK9" s="28"/>
      <c r="AL9" s="28"/>
      <c r="AM9" s="29"/>
    </row>
    <row r="10" spans="1:39" ht="16.5" thickBot="1">
      <c r="A10" s="25"/>
      <c r="B10" s="27"/>
      <c r="C10" s="237" t="s">
        <v>78</v>
      </c>
      <c r="D10" s="238"/>
      <c r="E10" s="238"/>
      <c r="F10" s="238"/>
      <c r="G10" s="238"/>
      <c r="H10" s="238"/>
      <c r="I10" s="238"/>
      <c r="J10" s="238"/>
      <c r="K10" s="238"/>
      <c r="L10" s="238"/>
      <c r="M10" s="238"/>
      <c r="N10" s="238"/>
      <c r="O10" s="239"/>
      <c r="P10" s="35"/>
      <c r="Q10" s="36"/>
      <c r="R10" s="36"/>
      <c r="S10" s="37"/>
      <c r="T10" s="36"/>
      <c r="U10" s="36"/>
      <c r="V10" s="36"/>
      <c r="W10" s="36"/>
      <c r="X10" s="42"/>
      <c r="Y10" s="33"/>
      <c r="Z10" s="44" t="s">
        <v>55</v>
      </c>
      <c r="AA10" s="33"/>
      <c r="AB10" s="33"/>
      <c r="AC10" s="35"/>
      <c r="AD10" s="36"/>
      <c r="AE10" s="43"/>
      <c r="AF10" s="37"/>
      <c r="AG10" s="36"/>
      <c r="AH10" s="36"/>
      <c r="AI10" s="36"/>
      <c r="AJ10" s="36"/>
      <c r="AK10" s="42"/>
      <c r="AM10" s="29"/>
    </row>
    <row r="11" spans="1:39" ht="16.5" thickBot="1">
      <c r="A11" s="25"/>
      <c r="B11" s="27"/>
      <c r="C11" s="34"/>
      <c r="D11" s="34"/>
      <c r="E11" s="34"/>
      <c r="F11" s="34"/>
      <c r="G11" s="34"/>
      <c r="H11" s="34"/>
      <c r="I11" s="34"/>
      <c r="J11" s="34"/>
      <c r="K11" s="34"/>
      <c r="L11" s="34"/>
      <c r="M11" s="34"/>
      <c r="N11" s="34"/>
      <c r="O11" s="34"/>
      <c r="P11" s="28"/>
      <c r="Q11" s="28"/>
      <c r="R11" s="28"/>
      <c r="S11" s="28"/>
      <c r="T11" s="28"/>
      <c r="U11" s="28"/>
      <c r="V11" s="28"/>
      <c r="W11" s="28"/>
      <c r="X11" s="28"/>
      <c r="Y11" s="28"/>
      <c r="Z11" s="28"/>
      <c r="AA11" s="28"/>
      <c r="AB11" s="28"/>
      <c r="AC11" s="28"/>
      <c r="AD11" s="28"/>
      <c r="AE11" s="28"/>
      <c r="AF11" s="28"/>
      <c r="AG11" s="28"/>
      <c r="AH11" s="28"/>
      <c r="AI11" s="28"/>
      <c r="AJ11" s="28"/>
      <c r="AK11" s="28"/>
      <c r="AL11" s="28"/>
      <c r="AM11" s="29"/>
    </row>
    <row r="12" spans="1:39" ht="16.5" thickBot="1">
      <c r="A12" s="25"/>
      <c r="B12" s="27"/>
      <c r="C12" s="237" t="s">
        <v>79</v>
      </c>
      <c r="D12" s="238"/>
      <c r="E12" s="238"/>
      <c r="F12" s="238"/>
      <c r="G12" s="238"/>
      <c r="H12" s="238"/>
      <c r="I12" s="238"/>
      <c r="J12" s="238"/>
      <c r="K12" s="238"/>
      <c r="L12" s="238"/>
      <c r="M12" s="238"/>
      <c r="N12" s="238"/>
      <c r="O12" s="239"/>
      <c r="P12" s="35"/>
      <c r="Q12" s="36"/>
      <c r="R12" s="36"/>
      <c r="S12" s="37"/>
      <c r="T12" s="36"/>
      <c r="U12" s="36"/>
      <c r="V12" s="36"/>
      <c r="W12" s="36"/>
      <c r="X12" s="42"/>
      <c r="Y12" s="33"/>
      <c r="Z12" s="44" t="s">
        <v>55</v>
      </c>
      <c r="AA12" s="33"/>
      <c r="AB12" s="33"/>
      <c r="AC12" s="35"/>
      <c r="AD12" s="36"/>
      <c r="AE12" s="36"/>
      <c r="AF12" s="37"/>
      <c r="AG12" s="36"/>
      <c r="AH12" s="36"/>
      <c r="AI12" s="36"/>
      <c r="AJ12" s="36"/>
      <c r="AK12" s="42"/>
      <c r="AM12" s="29"/>
    </row>
    <row r="13" spans="1:39" ht="16.5" thickBot="1">
      <c r="A13" s="25"/>
      <c r="B13" s="27"/>
      <c r="C13" s="34"/>
      <c r="D13" s="34"/>
      <c r="E13" s="34"/>
      <c r="F13" s="34"/>
      <c r="G13" s="34"/>
      <c r="H13" s="34"/>
      <c r="I13" s="34"/>
      <c r="J13" s="34"/>
      <c r="K13" s="34"/>
      <c r="L13" s="34"/>
      <c r="M13" s="34"/>
      <c r="N13" s="34"/>
      <c r="O13" s="34"/>
      <c r="P13" s="28"/>
      <c r="Q13" s="28"/>
      <c r="R13" s="28"/>
      <c r="S13" s="28"/>
      <c r="T13" s="28"/>
      <c r="U13" s="28"/>
      <c r="V13" s="28"/>
      <c r="W13" s="28"/>
      <c r="X13" s="28"/>
      <c r="Y13" s="28"/>
      <c r="Z13" s="28"/>
      <c r="AA13" s="28"/>
      <c r="AB13" s="28"/>
      <c r="AC13" s="28"/>
      <c r="AD13" s="28"/>
      <c r="AE13" s="28"/>
      <c r="AF13" s="28"/>
      <c r="AG13" s="28"/>
      <c r="AH13" s="28"/>
      <c r="AI13" s="28"/>
      <c r="AJ13" s="28"/>
      <c r="AK13" s="28"/>
      <c r="AL13" s="28"/>
      <c r="AM13" s="29"/>
    </row>
    <row r="14" spans="1:39" ht="16.5" thickBot="1">
      <c r="A14" s="25"/>
      <c r="B14" s="27"/>
      <c r="C14" s="237" t="s">
        <v>80</v>
      </c>
      <c r="D14" s="238"/>
      <c r="E14" s="238"/>
      <c r="F14" s="238"/>
      <c r="G14" s="238"/>
      <c r="H14" s="238"/>
      <c r="I14" s="238"/>
      <c r="J14" s="238"/>
      <c r="K14" s="238"/>
      <c r="L14" s="238"/>
      <c r="M14" s="238"/>
      <c r="N14" s="238"/>
      <c r="O14" s="239"/>
      <c r="P14" s="251"/>
      <c r="Q14" s="252"/>
      <c r="R14" s="243"/>
      <c r="S14" s="243"/>
      <c r="T14" s="243"/>
      <c r="U14" s="243"/>
      <c r="V14" s="243"/>
      <c r="W14" s="243"/>
      <c r="X14" s="45"/>
      <c r="Y14" s="28"/>
      <c r="Z14" s="28"/>
      <c r="AA14" s="28"/>
      <c r="AB14" s="28"/>
      <c r="AC14" s="240"/>
      <c r="AD14" s="241"/>
      <c r="AE14" s="241"/>
      <c r="AF14" s="241"/>
      <c r="AG14" s="241"/>
      <c r="AH14" s="241"/>
      <c r="AI14" s="241"/>
      <c r="AJ14" s="28"/>
      <c r="AK14" s="28"/>
      <c r="AL14" s="28"/>
      <c r="AM14" s="29"/>
    </row>
    <row r="15" spans="1:39" ht="16.5" thickBot="1">
      <c r="A15" s="25"/>
      <c r="B15" s="27"/>
      <c r="C15" s="34"/>
      <c r="D15" s="34"/>
      <c r="E15" s="34"/>
      <c r="F15" s="34"/>
      <c r="G15" s="34"/>
      <c r="H15" s="34"/>
      <c r="I15" s="34"/>
      <c r="J15" s="34"/>
      <c r="K15" s="34"/>
      <c r="L15" s="34"/>
      <c r="M15" s="34"/>
      <c r="N15" s="34"/>
      <c r="O15" s="34"/>
      <c r="P15" s="28"/>
      <c r="Q15" s="28"/>
      <c r="R15" s="28"/>
      <c r="S15" s="28"/>
      <c r="T15" s="28"/>
      <c r="U15" s="28"/>
      <c r="V15" s="28"/>
      <c r="W15" s="28"/>
      <c r="X15" s="28"/>
      <c r="Y15" s="28"/>
      <c r="Z15" s="28"/>
      <c r="AA15" s="28"/>
      <c r="AB15" s="28"/>
      <c r="AC15" s="28"/>
      <c r="AD15" s="28"/>
      <c r="AE15" s="28"/>
      <c r="AF15" s="28"/>
      <c r="AG15" s="28"/>
      <c r="AH15" s="28"/>
      <c r="AI15" s="28"/>
      <c r="AJ15" s="28"/>
      <c r="AK15" s="28"/>
      <c r="AL15" s="28"/>
      <c r="AM15" s="29"/>
    </row>
    <row r="16" spans="1:39" ht="16.5" thickBot="1">
      <c r="A16" s="25"/>
      <c r="B16" s="27"/>
      <c r="C16" s="237" t="s">
        <v>81</v>
      </c>
      <c r="D16" s="238"/>
      <c r="E16" s="238"/>
      <c r="F16" s="238"/>
      <c r="G16" s="238"/>
      <c r="H16" s="238"/>
      <c r="I16" s="238"/>
      <c r="J16" s="238"/>
      <c r="K16" s="238"/>
      <c r="L16" s="238"/>
      <c r="M16" s="238"/>
      <c r="N16" s="238"/>
      <c r="O16" s="239"/>
      <c r="P16" s="28"/>
      <c r="Q16" s="28"/>
      <c r="R16" s="28"/>
      <c r="S16" s="28"/>
      <c r="T16" s="28"/>
      <c r="U16" s="28"/>
      <c r="V16" s="28"/>
      <c r="W16" s="28"/>
      <c r="X16" s="28"/>
      <c r="Y16" s="28"/>
      <c r="Z16" s="28"/>
      <c r="AA16" s="28"/>
      <c r="AB16" s="28"/>
      <c r="AC16" s="28"/>
      <c r="AD16" s="28"/>
      <c r="AE16" s="28"/>
      <c r="AF16" s="28"/>
      <c r="AG16" s="28"/>
      <c r="AH16" s="28"/>
      <c r="AI16" s="28"/>
      <c r="AJ16" s="28"/>
      <c r="AK16" s="28"/>
      <c r="AL16" s="28"/>
      <c r="AM16" s="29"/>
    </row>
    <row r="17" spans="1:39" ht="16.5" thickBot="1">
      <c r="A17" s="25"/>
      <c r="B17" s="27"/>
      <c r="C17" s="237" t="s">
        <v>82</v>
      </c>
      <c r="D17" s="238"/>
      <c r="E17" s="238"/>
      <c r="F17" s="238"/>
      <c r="G17" s="238"/>
      <c r="H17" s="238"/>
      <c r="I17" s="238"/>
      <c r="J17" s="238"/>
      <c r="K17" s="238"/>
      <c r="L17" s="238"/>
      <c r="M17" s="238"/>
      <c r="N17" s="238"/>
      <c r="O17" s="239"/>
      <c r="P17" s="242" t="s">
        <v>65</v>
      </c>
      <c r="Q17" s="243"/>
      <c r="R17" s="243"/>
      <c r="S17" s="243"/>
      <c r="T17" s="243"/>
      <c r="U17" s="243"/>
      <c r="V17" s="243"/>
      <c r="W17" s="243"/>
      <c r="X17" s="243"/>
      <c r="Y17" s="243"/>
      <c r="Z17" s="243"/>
      <c r="AA17" s="243"/>
      <c r="AB17" s="243"/>
      <c r="AC17" s="243"/>
      <c r="AD17" s="243"/>
      <c r="AE17" s="243"/>
      <c r="AF17" s="243"/>
      <c r="AG17" s="243"/>
      <c r="AH17" s="243"/>
      <c r="AI17" s="243"/>
      <c r="AJ17" s="243"/>
      <c r="AK17" s="243"/>
      <c r="AL17" s="244"/>
      <c r="AM17" s="29"/>
    </row>
    <row r="18" spans="1:39" ht="16.5" thickBot="1">
      <c r="A18" s="25"/>
      <c r="B18" s="27"/>
      <c r="C18" s="34"/>
      <c r="D18" s="34"/>
      <c r="E18" s="34"/>
      <c r="F18" s="34"/>
      <c r="G18" s="34"/>
      <c r="H18" s="34"/>
      <c r="I18" s="34"/>
      <c r="J18" s="34"/>
      <c r="K18" s="34"/>
      <c r="L18" s="34"/>
      <c r="M18" s="34"/>
      <c r="N18" s="34"/>
      <c r="O18" s="34"/>
      <c r="P18" s="28"/>
      <c r="Q18" s="28"/>
      <c r="R18" s="28"/>
      <c r="S18" s="28"/>
      <c r="T18" s="28"/>
      <c r="U18" s="28"/>
      <c r="V18" s="28"/>
      <c r="W18" s="28"/>
      <c r="X18" s="28"/>
      <c r="Y18" s="28"/>
      <c r="Z18" s="28"/>
      <c r="AA18" s="28"/>
      <c r="AB18" s="28"/>
      <c r="AC18" s="28"/>
      <c r="AD18" s="28"/>
      <c r="AE18" s="28"/>
      <c r="AF18" s="28"/>
      <c r="AG18" s="28"/>
      <c r="AH18" s="28"/>
      <c r="AI18" s="28"/>
      <c r="AJ18" s="28"/>
      <c r="AK18" s="28"/>
      <c r="AL18" s="28"/>
      <c r="AM18" s="29"/>
    </row>
    <row r="19" spans="1:39" ht="16.5" thickBot="1">
      <c r="A19" s="25"/>
      <c r="B19" s="27"/>
      <c r="C19" s="237" t="s">
        <v>83</v>
      </c>
      <c r="D19" s="238"/>
      <c r="E19" s="238"/>
      <c r="F19" s="238"/>
      <c r="G19" s="238"/>
      <c r="H19" s="238"/>
      <c r="I19" s="238"/>
      <c r="J19" s="238"/>
      <c r="K19" s="238"/>
      <c r="L19" s="238"/>
      <c r="M19" s="238"/>
      <c r="N19" s="238"/>
      <c r="O19" s="239"/>
      <c r="P19" s="28"/>
      <c r="Q19" s="28"/>
      <c r="R19" s="28"/>
      <c r="S19" s="28"/>
      <c r="T19" s="28"/>
      <c r="U19" s="28"/>
      <c r="V19" s="28"/>
      <c r="W19" s="28"/>
      <c r="X19" s="28"/>
      <c r="Y19" s="28"/>
      <c r="Z19" s="28"/>
      <c r="AA19" s="28"/>
      <c r="AB19" s="28"/>
      <c r="AC19" s="28"/>
      <c r="AD19" s="28"/>
      <c r="AE19" s="28"/>
      <c r="AF19" s="28"/>
      <c r="AG19" s="28"/>
      <c r="AH19" s="28"/>
      <c r="AI19" s="28"/>
      <c r="AJ19" s="28"/>
      <c r="AK19" s="28"/>
      <c r="AL19" s="28"/>
      <c r="AM19" s="29"/>
    </row>
    <row r="20" spans="1:39" ht="16.5" thickBot="1">
      <c r="A20" s="25"/>
      <c r="B20" s="27"/>
      <c r="C20" s="237" t="s">
        <v>84</v>
      </c>
      <c r="D20" s="238"/>
      <c r="E20" s="238"/>
      <c r="F20" s="238"/>
      <c r="G20" s="238"/>
      <c r="H20" s="238"/>
      <c r="I20" s="238"/>
      <c r="J20" s="238"/>
      <c r="K20" s="238"/>
      <c r="L20" s="238"/>
      <c r="M20" s="238"/>
      <c r="N20" s="238"/>
      <c r="O20" s="239"/>
      <c r="P20" s="245"/>
      <c r="Q20" s="246"/>
      <c r="R20" s="246"/>
      <c r="S20" s="246"/>
      <c r="T20" s="246"/>
      <c r="U20" s="246"/>
      <c r="V20" s="246"/>
      <c r="W20" s="246"/>
      <c r="X20" s="246"/>
      <c r="Y20" s="246"/>
      <c r="Z20" s="246"/>
      <c r="AA20" s="246"/>
      <c r="AB20" s="246"/>
      <c r="AC20" s="246"/>
      <c r="AD20" s="246"/>
      <c r="AE20" s="246"/>
      <c r="AF20" s="246"/>
      <c r="AG20" s="246"/>
      <c r="AH20" s="246"/>
      <c r="AI20" s="246"/>
      <c r="AJ20" s="246"/>
      <c r="AK20" s="246"/>
      <c r="AL20" s="247"/>
      <c r="AM20" s="29"/>
    </row>
    <row r="21" spans="1:39" ht="16.5" thickBot="1">
      <c r="A21" s="25"/>
      <c r="B21" s="27"/>
      <c r="C21" s="237" t="s">
        <v>82</v>
      </c>
      <c r="D21" s="238"/>
      <c r="E21" s="238"/>
      <c r="F21" s="238"/>
      <c r="G21" s="238"/>
      <c r="H21" s="238"/>
      <c r="I21" s="238"/>
      <c r="J21" s="238"/>
      <c r="K21" s="238"/>
      <c r="L21" s="238"/>
      <c r="M21" s="238"/>
      <c r="N21" s="238"/>
      <c r="O21" s="239"/>
      <c r="P21" s="242" t="s">
        <v>66</v>
      </c>
      <c r="Q21" s="243"/>
      <c r="R21" s="243"/>
      <c r="S21" s="243"/>
      <c r="T21" s="243"/>
      <c r="U21" s="243"/>
      <c r="V21" s="243"/>
      <c r="W21" s="243"/>
      <c r="X21" s="243"/>
      <c r="Y21" s="243"/>
      <c r="Z21" s="243"/>
      <c r="AA21" s="243"/>
      <c r="AB21" s="243"/>
      <c r="AC21" s="243"/>
      <c r="AD21" s="243"/>
      <c r="AE21" s="243"/>
      <c r="AF21" s="243"/>
      <c r="AG21" s="243"/>
      <c r="AH21" s="243"/>
      <c r="AI21" s="243"/>
      <c r="AJ21" s="243"/>
      <c r="AK21" s="243"/>
      <c r="AL21" s="244"/>
      <c r="AM21" s="29"/>
    </row>
    <row r="22" spans="1:39" ht="16.5" thickBot="1">
      <c r="A22" s="25"/>
      <c r="B22" s="27"/>
      <c r="C22" s="34"/>
      <c r="D22" s="34"/>
      <c r="E22" s="34"/>
      <c r="F22" s="34"/>
      <c r="G22" s="34"/>
      <c r="H22" s="34"/>
      <c r="I22" s="34"/>
      <c r="J22" s="34"/>
      <c r="K22" s="34"/>
      <c r="L22" s="34"/>
      <c r="M22" s="34"/>
      <c r="N22" s="34"/>
      <c r="O22" s="34"/>
      <c r="P22" s="28"/>
      <c r="Q22" s="28"/>
      <c r="R22" s="28"/>
      <c r="S22" s="28"/>
      <c r="T22" s="28"/>
      <c r="U22" s="28"/>
      <c r="V22" s="28"/>
      <c r="W22" s="28"/>
      <c r="X22" s="28"/>
      <c r="Y22" s="28"/>
      <c r="Z22" s="28"/>
      <c r="AA22" s="28"/>
      <c r="AB22" s="28"/>
      <c r="AC22" s="28"/>
      <c r="AD22" s="28"/>
      <c r="AE22" s="28"/>
      <c r="AF22" s="28"/>
      <c r="AG22" s="28"/>
      <c r="AH22" s="28"/>
      <c r="AI22" s="28"/>
      <c r="AJ22" s="28"/>
      <c r="AK22" s="28"/>
      <c r="AL22" s="28"/>
      <c r="AM22" s="29"/>
    </row>
    <row r="23" spans="1:39" ht="16.5" thickBot="1">
      <c r="A23" s="25"/>
      <c r="B23" s="27"/>
      <c r="C23" s="237" t="s">
        <v>85</v>
      </c>
      <c r="D23" s="238"/>
      <c r="E23" s="238"/>
      <c r="F23" s="238"/>
      <c r="G23" s="238"/>
      <c r="H23" s="238"/>
      <c r="I23" s="238"/>
      <c r="J23" s="238"/>
      <c r="K23" s="238"/>
      <c r="L23" s="238"/>
      <c r="M23" s="238"/>
      <c r="N23" s="238"/>
      <c r="O23" s="239"/>
      <c r="P23" s="234" t="s">
        <v>87</v>
      </c>
      <c r="Q23" s="235"/>
      <c r="R23" s="235"/>
      <c r="S23" s="235"/>
      <c r="T23" s="235"/>
      <c r="U23" s="235"/>
      <c r="V23" s="235"/>
      <c r="W23" s="235"/>
      <c r="X23" s="236"/>
      <c r="Y23" s="28"/>
      <c r="Z23" s="28"/>
      <c r="AA23" s="28"/>
      <c r="AB23" s="28"/>
      <c r="AC23" s="28"/>
      <c r="AD23" s="28"/>
      <c r="AE23" s="28"/>
      <c r="AF23" s="28"/>
      <c r="AG23" s="28"/>
      <c r="AH23" s="28"/>
      <c r="AI23" s="28"/>
      <c r="AJ23" s="28"/>
      <c r="AK23" s="28"/>
      <c r="AL23" s="28"/>
      <c r="AM23" s="29"/>
    </row>
    <row r="24" spans="1:39" ht="16.5" thickBot="1">
      <c r="A24" s="25"/>
      <c r="B24" s="27"/>
      <c r="C24" s="237" t="s">
        <v>86</v>
      </c>
      <c r="D24" s="238"/>
      <c r="E24" s="238"/>
      <c r="F24" s="238"/>
      <c r="G24" s="238"/>
      <c r="H24" s="238"/>
      <c r="I24" s="238"/>
      <c r="J24" s="238"/>
      <c r="K24" s="238"/>
      <c r="L24" s="238"/>
      <c r="M24" s="238"/>
      <c r="N24" s="238"/>
      <c r="O24" s="239"/>
      <c r="P24" s="234" t="s">
        <v>88</v>
      </c>
      <c r="Q24" s="235"/>
      <c r="R24" s="235"/>
      <c r="S24" s="235"/>
      <c r="T24" s="235"/>
      <c r="U24" s="235"/>
      <c r="V24" s="235"/>
      <c r="W24" s="235"/>
      <c r="X24" s="236"/>
      <c r="Y24" s="28"/>
      <c r="Z24" s="28"/>
      <c r="AA24" s="28"/>
      <c r="AB24" s="28"/>
      <c r="AC24" s="28"/>
      <c r="AD24" s="28"/>
      <c r="AE24" s="28"/>
      <c r="AF24" s="28"/>
      <c r="AG24" s="28"/>
      <c r="AH24" s="28"/>
      <c r="AI24" s="28"/>
      <c r="AJ24" s="28"/>
      <c r="AK24" s="28"/>
      <c r="AL24" s="28"/>
      <c r="AM24" s="29"/>
    </row>
    <row r="25" spans="1:39" ht="15.75">
      <c r="A25" s="25"/>
      <c r="B25" s="27"/>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9"/>
    </row>
    <row r="26" spans="1:39" ht="15.75">
      <c r="A26" s="25"/>
      <c r="B26" s="27"/>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9"/>
    </row>
    <row r="27" spans="1:39" ht="15.75">
      <c r="A27" s="25"/>
      <c r="B27" s="27"/>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9"/>
    </row>
    <row r="28" spans="1:39" ht="15.75">
      <c r="A28" s="25"/>
      <c r="B28" s="27"/>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9"/>
    </row>
    <row r="29" spans="1:39" ht="15.75">
      <c r="A29" s="25"/>
      <c r="B29" s="46"/>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row>
    <row r="30" spans="1:39" ht="15.75">
      <c r="A30" s="25"/>
      <c r="B30" s="47"/>
      <c r="C30" s="28"/>
      <c r="D30" s="50" t="s">
        <v>69</v>
      </c>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9"/>
    </row>
    <row r="31" spans="1:39" ht="15.75">
      <c r="A31" s="25"/>
      <c r="B31" s="47"/>
      <c r="C31" s="49"/>
      <c r="D31" s="50" t="s">
        <v>70</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9"/>
    </row>
    <row r="32" spans="1:39" ht="15.75">
      <c r="B32" s="27"/>
      <c r="C32" s="28"/>
      <c r="D32" s="50" t="s">
        <v>70</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9"/>
    </row>
    <row r="33" spans="2:39" ht="13.5" customHeight="1">
      <c r="B33" s="27"/>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9"/>
    </row>
    <row r="34" spans="2:39" ht="13.5" customHeight="1">
      <c r="B34" s="27"/>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9"/>
    </row>
    <row r="35" spans="2:39" ht="14.25" customHeight="1">
      <c r="B35" s="27"/>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9"/>
    </row>
    <row r="36" spans="2:39" ht="15.75">
      <c r="B36" s="27"/>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9"/>
    </row>
    <row r="37" spans="2:39" ht="15.75">
      <c r="B37" s="27"/>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9"/>
    </row>
    <row r="38" spans="2:39" ht="15.75">
      <c r="B38" s="27"/>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9"/>
    </row>
    <row r="39" spans="2:39" ht="16.5" thickBot="1">
      <c r="B39" s="38"/>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40"/>
    </row>
    <row r="42" spans="2:39" ht="14.25" thickBot="1"/>
    <row r="43" spans="2:39">
      <c r="B43" s="292" t="s">
        <v>71</v>
      </c>
      <c r="C43" s="293"/>
      <c r="D43" s="293"/>
      <c r="E43" s="293"/>
      <c r="F43" s="293"/>
      <c r="G43" s="293"/>
      <c r="H43" s="293"/>
      <c r="I43" s="293"/>
      <c r="J43" s="293"/>
      <c r="K43" s="293"/>
      <c r="L43" s="293"/>
      <c r="M43" s="293"/>
      <c r="N43" s="293"/>
      <c r="O43" s="293"/>
      <c r="P43" s="293"/>
      <c r="Q43" s="293"/>
      <c r="R43" s="293"/>
      <c r="S43" s="293"/>
      <c r="T43" s="293"/>
      <c r="U43" s="293"/>
      <c r="V43" s="293"/>
      <c r="W43" s="293"/>
      <c r="X43" s="293"/>
      <c r="Y43" s="293"/>
      <c r="Z43" s="293"/>
      <c r="AA43" s="293"/>
      <c r="AB43" s="293"/>
      <c r="AC43" s="293"/>
      <c r="AD43" s="293"/>
      <c r="AE43" s="293"/>
      <c r="AF43" s="293"/>
      <c r="AG43" s="293"/>
      <c r="AH43" s="293"/>
      <c r="AI43" s="293"/>
      <c r="AJ43" s="293"/>
      <c r="AK43" s="293"/>
      <c r="AL43" s="293"/>
      <c r="AM43" s="293"/>
    </row>
    <row r="44" spans="2:39">
      <c r="B44" s="294"/>
      <c r="C44" s="295"/>
      <c r="D44" s="295"/>
      <c r="E44" s="295"/>
      <c r="F44" s="295"/>
      <c r="G44" s="295"/>
      <c r="H44" s="295"/>
      <c r="I44" s="295"/>
      <c r="J44" s="295"/>
      <c r="K44" s="295"/>
      <c r="L44" s="295"/>
      <c r="M44" s="295"/>
      <c r="N44" s="295"/>
      <c r="O44" s="295"/>
      <c r="P44" s="295"/>
      <c r="Q44" s="295"/>
      <c r="R44" s="295"/>
      <c r="S44" s="295"/>
      <c r="T44" s="295"/>
      <c r="U44" s="295"/>
      <c r="V44" s="295"/>
      <c r="W44" s="295"/>
      <c r="X44" s="295"/>
      <c r="Y44" s="295"/>
      <c r="Z44" s="295"/>
      <c r="AA44" s="295"/>
      <c r="AB44" s="295"/>
      <c r="AC44" s="295"/>
      <c r="AD44" s="295"/>
      <c r="AE44" s="295"/>
      <c r="AF44" s="295"/>
      <c r="AG44" s="295"/>
      <c r="AH44" s="295"/>
      <c r="AI44" s="295"/>
      <c r="AJ44" s="295"/>
      <c r="AK44" s="295"/>
      <c r="AL44" s="295"/>
      <c r="AM44" s="295"/>
    </row>
    <row r="45" spans="2:39" ht="14.25" thickBot="1">
      <c r="B45" s="296"/>
      <c r="C45" s="297"/>
      <c r="D45" s="297"/>
      <c r="E45" s="297"/>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row>
    <row r="46" spans="2:39" ht="16.5" thickBot="1">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2"/>
    </row>
    <row r="47" spans="2:39" ht="16.5" thickBot="1">
      <c r="B47" s="27"/>
      <c r="C47" s="237" t="s">
        <v>52</v>
      </c>
      <c r="D47" s="238"/>
      <c r="E47" s="238"/>
      <c r="F47" s="238"/>
      <c r="G47" s="238"/>
      <c r="H47" s="238"/>
      <c r="I47" s="238"/>
      <c r="J47" s="238"/>
      <c r="K47" s="238"/>
      <c r="L47" s="238"/>
      <c r="M47" s="238"/>
      <c r="N47" s="238"/>
      <c r="O47" s="239"/>
      <c r="P47" s="298" t="s">
        <v>65</v>
      </c>
      <c r="Q47" s="299"/>
      <c r="R47" s="299"/>
      <c r="S47" s="299"/>
      <c r="T47" s="299"/>
      <c r="U47" s="299"/>
      <c r="V47" s="299"/>
      <c r="W47" s="299"/>
      <c r="X47" s="299"/>
      <c r="Y47" s="299"/>
      <c r="Z47" s="299"/>
      <c r="AA47" s="299"/>
      <c r="AB47" s="299"/>
      <c r="AC47" s="299"/>
      <c r="AD47" s="299"/>
      <c r="AE47" s="299"/>
      <c r="AF47" s="299"/>
      <c r="AG47" s="299"/>
      <c r="AH47" s="299"/>
      <c r="AI47" s="299"/>
      <c r="AJ47" s="299"/>
      <c r="AK47" s="299"/>
      <c r="AL47" s="300"/>
      <c r="AM47" s="29"/>
    </row>
    <row r="48" spans="2:39" ht="16.5" thickBot="1">
      <c r="B48" s="27"/>
      <c r="C48" s="34"/>
      <c r="D48" s="34"/>
      <c r="E48" s="34"/>
      <c r="F48" s="34"/>
      <c r="G48" s="34"/>
      <c r="H48" s="34"/>
      <c r="I48" s="34"/>
      <c r="J48" s="34"/>
      <c r="K48" s="34"/>
      <c r="L48" s="34"/>
      <c r="M48" s="34"/>
      <c r="N48" s="34"/>
      <c r="O48" s="34"/>
      <c r="P48" s="28"/>
      <c r="Q48" s="28"/>
      <c r="R48" s="28"/>
      <c r="S48" s="28"/>
      <c r="T48" s="28"/>
      <c r="U48" s="28"/>
      <c r="V48" s="28"/>
      <c r="W48" s="28"/>
      <c r="X48" s="28"/>
      <c r="Y48" s="28"/>
      <c r="Z48" s="28"/>
      <c r="AA48" s="28"/>
      <c r="AB48" s="28"/>
      <c r="AC48" s="28"/>
      <c r="AD48" s="28"/>
      <c r="AE48" s="28"/>
      <c r="AF48" s="28"/>
      <c r="AG48" s="28"/>
      <c r="AH48" s="28"/>
      <c r="AI48" s="28"/>
      <c r="AJ48" s="28"/>
      <c r="AK48" s="28"/>
      <c r="AL48" s="28"/>
      <c r="AM48" s="29"/>
    </row>
    <row r="49" spans="2:39" ht="16.5" thickBot="1">
      <c r="B49" s="27"/>
      <c r="C49" s="237" t="s">
        <v>53</v>
      </c>
      <c r="D49" s="238"/>
      <c r="E49" s="238"/>
      <c r="F49" s="238"/>
      <c r="G49" s="238"/>
      <c r="H49" s="238"/>
      <c r="I49" s="238"/>
      <c r="J49" s="238"/>
      <c r="K49" s="238"/>
      <c r="L49" s="238"/>
      <c r="M49" s="238"/>
      <c r="N49" s="238"/>
      <c r="O49" s="239"/>
      <c r="P49" s="242" t="s">
        <v>72</v>
      </c>
      <c r="Q49" s="243"/>
      <c r="R49" s="243"/>
      <c r="S49" s="243"/>
      <c r="T49" s="243"/>
      <c r="U49" s="243"/>
      <c r="V49" s="243"/>
      <c r="W49" s="243"/>
      <c r="X49" s="243"/>
      <c r="Y49" s="243"/>
      <c r="Z49" s="243"/>
      <c r="AA49" s="243"/>
      <c r="AB49" s="243"/>
      <c r="AC49" s="243"/>
      <c r="AD49" s="243"/>
      <c r="AE49" s="243"/>
      <c r="AF49" s="243"/>
      <c r="AG49" s="243"/>
      <c r="AH49" s="243"/>
      <c r="AI49" s="243"/>
      <c r="AJ49" s="243"/>
      <c r="AK49" s="243"/>
      <c r="AL49" s="244"/>
      <c r="AM49" s="29"/>
    </row>
    <row r="50" spans="2:39" ht="16.5" thickBot="1">
      <c r="B50" s="27"/>
      <c r="C50" s="34"/>
      <c r="D50" s="34"/>
      <c r="E50" s="34"/>
      <c r="F50" s="34"/>
      <c r="G50" s="34"/>
      <c r="H50" s="34"/>
      <c r="I50" s="34"/>
      <c r="J50" s="34"/>
      <c r="K50" s="34"/>
      <c r="L50" s="34"/>
      <c r="M50" s="34"/>
      <c r="N50" s="34"/>
      <c r="O50" s="34"/>
      <c r="P50" s="28"/>
      <c r="Q50" s="28"/>
      <c r="R50" s="28"/>
      <c r="S50" s="28"/>
      <c r="T50" s="28"/>
      <c r="U50" s="28"/>
      <c r="V50" s="28"/>
      <c r="W50" s="28"/>
      <c r="X50" s="28"/>
      <c r="Y50" s="28"/>
      <c r="Z50" s="28"/>
      <c r="AA50" s="28"/>
      <c r="AB50" s="28"/>
      <c r="AC50" s="28"/>
      <c r="AD50" s="28"/>
      <c r="AE50" s="28"/>
      <c r="AF50" s="28"/>
      <c r="AG50" s="28"/>
      <c r="AH50" s="28"/>
      <c r="AI50" s="28"/>
      <c r="AJ50" s="28"/>
      <c r="AK50" s="28"/>
      <c r="AL50" s="28"/>
      <c r="AM50" s="29"/>
    </row>
    <row r="51" spans="2:39" ht="16.5" thickBot="1">
      <c r="B51" s="27"/>
      <c r="C51" s="237" t="s">
        <v>54</v>
      </c>
      <c r="D51" s="238"/>
      <c r="E51" s="238"/>
      <c r="F51" s="238"/>
      <c r="G51" s="238"/>
      <c r="H51" s="238"/>
      <c r="I51" s="238"/>
      <c r="J51" s="238"/>
      <c r="K51" s="238"/>
      <c r="L51" s="238"/>
      <c r="M51" s="238"/>
      <c r="N51" s="238"/>
      <c r="O51" s="239"/>
      <c r="P51" s="35"/>
      <c r="Q51" s="36"/>
      <c r="R51" s="36"/>
      <c r="S51" s="37"/>
      <c r="T51" s="36"/>
      <c r="U51" s="36"/>
      <c r="V51" s="36"/>
      <c r="W51" s="36"/>
      <c r="X51" s="48"/>
      <c r="Y51" s="33"/>
      <c r="Z51" s="44" t="s">
        <v>55</v>
      </c>
      <c r="AA51" s="33"/>
      <c r="AB51" s="33"/>
      <c r="AC51" s="35"/>
      <c r="AD51" s="36"/>
      <c r="AE51" s="43"/>
      <c r="AF51" s="37"/>
      <c r="AG51" s="36"/>
      <c r="AH51" s="36"/>
      <c r="AI51" s="36"/>
      <c r="AJ51" s="36"/>
      <c r="AK51" s="48"/>
      <c r="AM51" s="29"/>
    </row>
    <row r="52" spans="2:39" ht="16.5" thickBot="1">
      <c r="B52" s="27"/>
      <c r="C52" s="34"/>
      <c r="D52" s="34"/>
      <c r="E52" s="34"/>
      <c r="F52" s="34"/>
      <c r="G52" s="34"/>
      <c r="H52" s="34"/>
      <c r="I52" s="34"/>
      <c r="J52" s="34"/>
      <c r="K52" s="34"/>
      <c r="L52" s="34"/>
      <c r="M52" s="34"/>
      <c r="N52" s="34"/>
      <c r="O52" s="34"/>
      <c r="P52" s="28"/>
      <c r="Q52" s="28"/>
      <c r="R52" s="28"/>
      <c r="S52" s="28"/>
      <c r="T52" s="28"/>
      <c r="U52" s="28"/>
      <c r="V52" s="28"/>
      <c r="W52" s="28"/>
      <c r="X52" s="28"/>
      <c r="Y52" s="28"/>
      <c r="Z52" s="28"/>
      <c r="AA52" s="28"/>
      <c r="AB52" s="28"/>
      <c r="AC52" s="28"/>
      <c r="AD52" s="28"/>
      <c r="AE52" s="28"/>
      <c r="AF52" s="28"/>
      <c r="AG52" s="28"/>
      <c r="AH52" s="28"/>
      <c r="AI52" s="28"/>
      <c r="AJ52" s="28"/>
      <c r="AK52" s="28"/>
      <c r="AL52" s="28"/>
      <c r="AM52" s="29"/>
    </row>
    <row r="53" spans="2:39" ht="16.5" thickBot="1">
      <c r="B53" s="27"/>
      <c r="C53" s="237" t="s">
        <v>56</v>
      </c>
      <c r="D53" s="238"/>
      <c r="E53" s="238"/>
      <c r="F53" s="238"/>
      <c r="G53" s="238"/>
      <c r="H53" s="238"/>
      <c r="I53" s="238"/>
      <c r="J53" s="238"/>
      <c r="K53" s="238"/>
      <c r="L53" s="238"/>
      <c r="M53" s="238"/>
      <c r="N53" s="238"/>
      <c r="O53" s="239"/>
      <c r="P53" s="35"/>
      <c r="Q53" s="36"/>
      <c r="R53" s="36"/>
      <c r="S53" s="37"/>
      <c r="T53" s="36"/>
      <c r="U53" s="36"/>
      <c r="V53" s="36"/>
      <c r="W53" s="36"/>
      <c r="X53" s="48"/>
      <c r="Y53" s="33"/>
      <c r="Z53" s="44" t="s">
        <v>55</v>
      </c>
      <c r="AA53" s="33"/>
      <c r="AB53" s="33"/>
      <c r="AC53" s="35"/>
      <c r="AD53" s="36"/>
      <c r="AE53" s="36"/>
      <c r="AF53" s="37"/>
      <c r="AG53" s="36"/>
      <c r="AH53" s="36"/>
      <c r="AI53" s="36"/>
      <c r="AJ53" s="36"/>
      <c r="AK53" s="48"/>
      <c r="AM53" s="29"/>
    </row>
    <row r="54" spans="2:39" ht="16.5" thickBot="1">
      <c r="B54" s="27"/>
      <c r="C54" s="34"/>
      <c r="D54" s="34"/>
      <c r="E54" s="34"/>
      <c r="F54" s="34"/>
      <c r="G54" s="34"/>
      <c r="H54" s="34"/>
      <c r="I54" s="34"/>
      <c r="J54" s="34"/>
      <c r="K54" s="34"/>
      <c r="L54" s="34"/>
      <c r="M54" s="34"/>
      <c r="N54" s="34"/>
      <c r="O54" s="34"/>
      <c r="P54" s="28"/>
      <c r="Q54" s="28"/>
      <c r="R54" s="28"/>
      <c r="S54" s="28"/>
      <c r="T54" s="28"/>
      <c r="U54" s="28"/>
      <c r="V54" s="28"/>
      <c r="W54" s="28"/>
      <c r="X54" s="28"/>
      <c r="Y54" s="28"/>
      <c r="Z54" s="28"/>
      <c r="AA54" s="28"/>
      <c r="AB54" s="28"/>
      <c r="AC54" s="28"/>
      <c r="AD54" s="28"/>
      <c r="AE54" s="28"/>
      <c r="AF54" s="28"/>
      <c r="AG54" s="28"/>
      <c r="AH54" s="28"/>
      <c r="AI54" s="28"/>
      <c r="AJ54" s="28"/>
      <c r="AK54" s="28"/>
      <c r="AL54" s="28"/>
      <c r="AM54" s="29"/>
    </row>
    <row r="55" spans="2:39" ht="16.5" thickBot="1">
      <c r="B55" s="27"/>
      <c r="C55" s="237" t="s">
        <v>57</v>
      </c>
      <c r="D55" s="238"/>
      <c r="E55" s="238"/>
      <c r="F55" s="238"/>
      <c r="G55" s="238"/>
      <c r="H55" s="238"/>
      <c r="I55" s="238"/>
      <c r="J55" s="238"/>
      <c r="K55" s="238"/>
      <c r="L55" s="238"/>
      <c r="M55" s="238"/>
      <c r="N55" s="238"/>
      <c r="O55" s="239"/>
      <c r="P55" s="248"/>
      <c r="Q55" s="249"/>
      <c r="R55" s="249"/>
      <c r="S55" s="249"/>
      <c r="T55" s="249"/>
      <c r="U55" s="249"/>
      <c r="V55" s="249"/>
      <c r="W55" s="249"/>
      <c r="X55" s="250"/>
      <c r="Y55" s="28"/>
      <c r="Z55" s="28"/>
      <c r="AA55" s="28"/>
      <c r="AB55" s="28"/>
      <c r="AC55" s="240"/>
      <c r="AD55" s="241"/>
      <c r="AE55" s="241"/>
      <c r="AF55" s="241"/>
      <c r="AG55" s="241"/>
      <c r="AH55" s="241"/>
      <c r="AI55" s="241"/>
      <c r="AJ55" s="28"/>
      <c r="AK55" s="28"/>
      <c r="AL55" s="28"/>
      <c r="AM55" s="29"/>
    </row>
    <row r="56" spans="2:39" ht="16.5" thickBot="1">
      <c r="B56" s="27"/>
      <c r="C56" s="34"/>
      <c r="D56" s="34"/>
      <c r="E56" s="34"/>
      <c r="F56" s="34"/>
      <c r="G56" s="34"/>
      <c r="H56" s="34"/>
      <c r="I56" s="34"/>
      <c r="J56" s="34"/>
      <c r="K56" s="34"/>
      <c r="L56" s="34"/>
      <c r="M56" s="34"/>
      <c r="N56" s="34"/>
      <c r="O56" s="34"/>
      <c r="P56" s="28"/>
      <c r="Q56" s="28"/>
      <c r="R56" s="28"/>
      <c r="S56" s="28"/>
      <c r="T56" s="28"/>
      <c r="U56" s="28"/>
      <c r="V56" s="28"/>
      <c r="W56" s="28"/>
      <c r="X56" s="28"/>
      <c r="Y56" s="28"/>
      <c r="Z56" s="28"/>
      <c r="AA56" s="28"/>
      <c r="AB56" s="28"/>
      <c r="AC56" s="28"/>
      <c r="AD56" s="28"/>
      <c r="AE56" s="28"/>
      <c r="AF56" s="28"/>
      <c r="AG56" s="28"/>
      <c r="AH56" s="28"/>
      <c r="AI56" s="28"/>
      <c r="AJ56" s="28"/>
      <c r="AK56" s="28"/>
      <c r="AL56" s="28"/>
      <c r="AM56" s="29"/>
    </row>
    <row r="57" spans="2:39" ht="16.5" thickBot="1">
      <c r="B57" s="27"/>
      <c r="C57" s="237" t="s">
        <v>58</v>
      </c>
      <c r="D57" s="238"/>
      <c r="E57" s="238"/>
      <c r="F57" s="238"/>
      <c r="G57" s="238"/>
      <c r="H57" s="238"/>
      <c r="I57" s="238"/>
      <c r="J57" s="238"/>
      <c r="K57" s="238"/>
      <c r="L57" s="238"/>
      <c r="M57" s="238"/>
      <c r="N57" s="238"/>
      <c r="O57" s="239"/>
      <c r="P57" s="28"/>
      <c r="Q57" s="28"/>
      <c r="R57" s="28"/>
      <c r="S57" s="28"/>
      <c r="T57" s="28"/>
      <c r="U57" s="28"/>
      <c r="V57" s="28"/>
      <c r="W57" s="28"/>
      <c r="X57" s="28"/>
      <c r="Y57" s="28"/>
      <c r="Z57" s="28"/>
      <c r="AA57" s="28"/>
      <c r="AB57" s="28"/>
      <c r="AC57" s="28"/>
      <c r="AD57" s="28"/>
      <c r="AE57" s="28"/>
      <c r="AF57" s="28"/>
      <c r="AG57" s="28"/>
      <c r="AH57" s="28"/>
      <c r="AI57" s="28"/>
      <c r="AJ57" s="28"/>
      <c r="AK57" s="28"/>
      <c r="AL57" s="28"/>
      <c r="AM57" s="29"/>
    </row>
    <row r="58" spans="2:39" ht="16.5" thickBot="1">
      <c r="B58" s="27"/>
      <c r="C58" s="237" t="s">
        <v>82</v>
      </c>
      <c r="D58" s="238"/>
      <c r="E58" s="238"/>
      <c r="F58" s="238"/>
      <c r="G58" s="238"/>
      <c r="H58" s="238"/>
      <c r="I58" s="238"/>
      <c r="J58" s="238"/>
      <c r="K58" s="238"/>
      <c r="L58" s="238"/>
      <c r="M58" s="238"/>
      <c r="N58" s="238"/>
      <c r="O58" s="239"/>
      <c r="P58" s="242" t="s">
        <v>65</v>
      </c>
      <c r="Q58" s="243"/>
      <c r="R58" s="243"/>
      <c r="S58" s="243"/>
      <c r="T58" s="243"/>
      <c r="U58" s="243"/>
      <c r="V58" s="243"/>
      <c r="W58" s="243"/>
      <c r="X58" s="243"/>
      <c r="Y58" s="243"/>
      <c r="Z58" s="243"/>
      <c r="AA58" s="243"/>
      <c r="AB58" s="243"/>
      <c r="AC58" s="243"/>
      <c r="AD58" s="243"/>
      <c r="AE58" s="243"/>
      <c r="AF58" s="243"/>
      <c r="AG58" s="243"/>
      <c r="AH58" s="243"/>
      <c r="AI58" s="243"/>
      <c r="AJ58" s="243"/>
      <c r="AK58" s="243"/>
      <c r="AL58" s="244"/>
      <c r="AM58" s="29"/>
    </row>
    <row r="59" spans="2:39" ht="16.5" thickBot="1">
      <c r="B59" s="27"/>
      <c r="C59" s="34"/>
      <c r="D59" s="34"/>
      <c r="E59" s="34"/>
      <c r="F59" s="34"/>
      <c r="G59" s="34"/>
      <c r="H59" s="34"/>
      <c r="I59" s="34"/>
      <c r="J59" s="34"/>
      <c r="K59" s="34"/>
      <c r="L59" s="34"/>
      <c r="M59" s="34"/>
      <c r="N59" s="34"/>
      <c r="O59" s="34"/>
      <c r="P59" s="28"/>
      <c r="Q59" s="28"/>
      <c r="R59" s="28"/>
      <c r="S59" s="28"/>
      <c r="T59" s="28"/>
      <c r="U59" s="28"/>
      <c r="V59" s="28"/>
      <c r="W59" s="28"/>
      <c r="X59" s="28"/>
      <c r="Y59" s="28"/>
      <c r="Z59" s="28"/>
      <c r="AA59" s="28"/>
      <c r="AB59" s="28"/>
      <c r="AC59" s="28"/>
      <c r="AD59" s="28"/>
      <c r="AE59" s="28"/>
      <c r="AF59" s="28"/>
      <c r="AG59" s="28"/>
      <c r="AH59" s="28"/>
      <c r="AI59" s="28"/>
      <c r="AJ59" s="28"/>
      <c r="AK59" s="28"/>
      <c r="AL59" s="28"/>
      <c r="AM59" s="29"/>
    </row>
    <row r="60" spans="2:39" ht="16.5" thickBot="1">
      <c r="B60" s="27"/>
      <c r="C60" s="237" t="s">
        <v>60</v>
      </c>
      <c r="D60" s="238"/>
      <c r="E60" s="238"/>
      <c r="F60" s="238"/>
      <c r="G60" s="238"/>
      <c r="H60" s="238"/>
      <c r="I60" s="238"/>
      <c r="J60" s="238"/>
      <c r="K60" s="238"/>
      <c r="L60" s="238"/>
      <c r="M60" s="238"/>
      <c r="N60" s="238"/>
      <c r="O60" s="239"/>
      <c r="P60" s="28"/>
      <c r="Q60" s="28"/>
      <c r="R60" s="28"/>
      <c r="S60" s="28"/>
      <c r="T60" s="28"/>
      <c r="U60" s="28"/>
      <c r="V60" s="28"/>
      <c r="W60" s="28"/>
      <c r="X60" s="28"/>
      <c r="Y60" s="28"/>
      <c r="Z60" s="28"/>
      <c r="AA60" s="28"/>
      <c r="AB60" s="28"/>
      <c r="AC60" s="28"/>
      <c r="AD60" s="28"/>
      <c r="AE60" s="28"/>
      <c r="AF60" s="28"/>
      <c r="AG60" s="28"/>
      <c r="AH60" s="28"/>
      <c r="AI60" s="28"/>
      <c r="AJ60" s="28"/>
      <c r="AK60" s="28"/>
      <c r="AL60" s="28"/>
      <c r="AM60" s="29"/>
    </row>
    <row r="61" spans="2:39" ht="16.5" thickBot="1">
      <c r="B61" s="27"/>
      <c r="C61" s="237" t="s">
        <v>61</v>
      </c>
      <c r="D61" s="238"/>
      <c r="E61" s="238"/>
      <c r="F61" s="238"/>
      <c r="G61" s="238"/>
      <c r="H61" s="238"/>
      <c r="I61" s="238"/>
      <c r="J61" s="238"/>
      <c r="K61" s="238"/>
      <c r="L61" s="238"/>
      <c r="M61" s="238"/>
      <c r="N61" s="238"/>
      <c r="O61" s="239"/>
      <c r="P61" s="245"/>
      <c r="Q61" s="246"/>
      <c r="R61" s="246"/>
      <c r="S61" s="246"/>
      <c r="T61" s="246"/>
      <c r="U61" s="246"/>
      <c r="V61" s="246"/>
      <c r="W61" s="246"/>
      <c r="X61" s="246"/>
      <c r="Y61" s="246"/>
      <c r="Z61" s="246"/>
      <c r="AA61" s="246"/>
      <c r="AB61" s="246"/>
      <c r="AC61" s="246"/>
      <c r="AD61" s="246"/>
      <c r="AE61" s="246"/>
      <c r="AF61" s="246"/>
      <c r="AG61" s="246"/>
      <c r="AH61" s="246"/>
      <c r="AI61" s="246"/>
      <c r="AJ61" s="246"/>
      <c r="AK61" s="246"/>
      <c r="AL61" s="247"/>
      <c r="AM61" s="29"/>
    </row>
    <row r="62" spans="2:39" ht="16.5" thickBot="1">
      <c r="B62" s="27"/>
      <c r="C62" s="237" t="s">
        <v>59</v>
      </c>
      <c r="D62" s="238"/>
      <c r="E62" s="238"/>
      <c r="F62" s="238"/>
      <c r="G62" s="238"/>
      <c r="H62" s="238"/>
      <c r="I62" s="238"/>
      <c r="J62" s="238"/>
      <c r="K62" s="238"/>
      <c r="L62" s="238"/>
      <c r="M62" s="238"/>
      <c r="N62" s="238"/>
      <c r="O62" s="239"/>
      <c r="P62" s="242" t="s">
        <v>66</v>
      </c>
      <c r="Q62" s="243"/>
      <c r="R62" s="243"/>
      <c r="S62" s="243"/>
      <c r="T62" s="243"/>
      <c r="U62" s="243"/>
      <c r="V62" s="243"/>
      <c r="W62" s="243"/>
      <c r="X62" s="243"/>
      <c r="Y62" s="243"/>
      <c r="Z62" s="243"/>
      <c r="AA62" s="243"/>
      <c r="AB62" s="243"/>
      <c r="AC62" s="243"/>
      <c r="AD62" s="243"/>
      <c r="AE62" s="243"/>
      <c r="AF62" s="243"/>
      <c r="AG62" s="243"/>
      <c r="AH62" s="243"/>
      <c r="AI62" s="243"/>
      <c r="AJ62" s="243"/>
      <c r="AK62" s="243"/>
      <c r="AL62" s="244"/>
      <c r="AM62" s="29"/>
    </row>
    <row r="63" spans="2:39" ht="16.5" thickBot="1">
      <c r="B63" s="27"/>
      <c r="C63" s="34"/>
      <c r="D63" s="34"/>
      <c r="E63" s="34"/>
      <c r="F63" s="34"/>
      <c r="G63" s="34"/>
      <c r="H63" s="34"/>
      <c r="I63" s="34"/>
      <c r="J63" s="34"/>
      <c r="K63" s="34"/>
      <c r="L63" s="34"/>
      <c r="M63" s="34"/>
      <c r="N63" s="34"/>
      <c r="O63" s="34"/>
      <c r="P63" s="28"/>
      <c r="Q63" s="28"/>
      <c r="R63" s="28"/>
      <c r="S63" s="28"/>
      <c r="T63" s="28"/>
      <c r="U63" s="28"/>
      <c r="V63" s="28"/>
      <c r="W63" s="28"/>
      <c r="X63" s="28"/>
      <c r="Y63" s="28"/>
      <c r="Z63" s="28"/>
      <c r="AA63" s="28"/>
      <c r="AB63" s="28"/>
      <c r="AC63" s="28"/>
      <c r="AD63" s="28"/>
      <c r="AE63" s="28"/>
      <c r="AF63" s="28"/>
      <c r="AG63" s="28"/>
      <c r="AH63" s="28"/>
      <c r="AI63" s="28"/>
      <c r="AJ63" s="28"/>
      <c r="AK63" s="28"/>
      <c r="AL63" s="28"/>
      <c r="AM63" s="29"/>
    </row>
    <row r="64" spans="2:39" ht="16.5" thickBot="1">
      <c r="B64" s="27"/>
      <c r="C64" s="237" t="s">
        <v>62</v>
      </c>
      <c r="D64" s="238"/>
      <c r="E64" s="238"/>
      <c r="F64" s="238"/>
      <c r="G64" s="238"/>
      <c r="H64" s="238"/>
      <c r="I64" s="238"/>
      <c r="J64" s="238"/>
      <c r="K64" s="238"/>
      <c r="L64" s="238"/>
      <c r="M64" s="238"/>
      <c r="N64" s="238"/>
      <c r="O64" s="239"/>
      <c r="P64" s="234" t="s">
        <v>67</v>
      </c>
      <c r="Q64" s="235"/>
      <c r="R64" s="235"/>
      <c r="S64" s="235"/>
      <c r="T64" s="235"/>
      <c r="U64" s="235"/>
      <c r="V64" s="235"/>
      <c r="W64" s="235"/>
      <c r="X64" s="236"/>
      <c r="Y64" s="28"/>
      <c r="Z64" s="28"/>
      <c r="AA64" s="28"/>
      <c r="AB64" s="28"/>
      <c r="AC64" s="28"/>
      <c r="AD64" s="28"/>
      <c r="AE64" s="28"/>
      <c r="AF64" s="28"/>
      <c r="AG64" s="28"/>
      <c r="AH64" s="28"/>
      <c r="AI64" s="28"/>
      <c r="AJ64" s="28"/>
      <c r="AK64" s="28"/>
      <c r="AL64" s="28"/>
      <c r="AM64" s="29"/>
    </row>
    <row r="65" spans="2:39" ht="16.5" thickBot="1">
      <c r="B65" s="27"/>
      <c r="C65" s="237" t="s">
        <v>63</v>
      </c>
      <c r="D65" s="238"/>
      <c r="E65" s="238"/>
      <c r="F65" s="238"/>
      <c r="G65" s="238"/>
      <c r="H65" s="238"/>
      <c r="I65" s="238"/>
      <c r="J65" s="238"/>
      <c r="K65" s="238"/>
      <c r="L65" s="238"/>
      <c r="M65" s="238"/>
      <c r="N65" s="238"/>
      <c r="O65" s="239"/>
      <c r="P65" s="234" t="s">
        <v>68</v>
      </c>
      <c r="Q65" s="235"/>
      <c r="R65" s="235"/>
      <c r="S65" s="235"/>
      <c r="T65" s="235"/>
      <c r="U65" s="235"/>
      <c r="V65" s="235"/>
      <c r="W65" s="235"/>
      <c r="X65" s="236"/>
      <c r="Y65" s="28"/>
      <c r="Z65" s="28"/>
      <c r="AA65" s="28"/>
      <c r="AB65" s="28"/>
      <c r="AC65" s="28"/>
      <c r="AD65" s="28"/>
      <c r="AE65" s="28"/>
      <c r="AF65" s="28"/>
      <c r="AG65" s="28"/>
      <c r="AH65" s="28"/>
      <c r="AI65" s="28"/>
      <c r="AJ65" s="28"/>
      <c r="AK65" s="28"/>
      <c r="AL65" s="28"/>
      <c r="AM65" s="29"/>
    </row>
    <row r="66" spans="2:39" ht="15.75">
      <c r="B66" s="27"/>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9"/>
    </row>
    <row r="67" spans="2:39" ht="15.75">
      <c r="B67" s="27"/>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9"/>
    </row>
    <row r="68" spans="2:39" ht="15.75">
      <c r="B68" s="27"/>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9"/>
    </row>
    <row r="69" spans="2:39" ht="15.75">
      <c r="B69" s="27"/>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9"/>
    </row>
    <row r="70" spans="2:39" ht="15.75">
      <c r="B70" s="46"/>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9"/>
    </row>
    <row r="71" spans="2:39" ht="15.75">
      <c r="B71" s="47"/>
      <c r="C71" s="28"/>
      <c r="D71" s="50" t="s">
        <v>69</v>
      </c>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9"/>
    </row>
    <row r="72" spans="2:39" ht="15.75">
      <c r="B72" s="47"/>
      <c r="C72" s="28"/>
      <c r="D72" s="50" t="s">
        <v>70</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9"/>
    </row>
    <row r="73" spans="2:39" ht="15.75">
      <c r="B73" s="27"/>
      <c r="C73" s="49"/>
      <c r="D73" s="50" t="s">
        <v>70</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9"/>
    </row>
    <row r="74" spans="2:39" ht="15.75">
      <c r="B74" s="27"/>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9"/>
    </row>
    <row r="75" spans="2:39" ht="15.75">
      <c r="B75" s="27"/>
      <c r="C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9"/>
    </row>
    <row r="76" spans="2:39" ht="15.75">
      <c r="B76" s="27"/>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9"/>
    </row>
    <row r="77" spans="2:39" ht="15.75">
      <c r="B77" s="27"/>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9"/>
    </row>
    <row r="78" spans="2:39" ht="15.75">
      <c r="B78" s="27"/>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9"/>
    </row>
    <row r="79" spans="2:39" ht="16.5" thickBot="1">
      <c r="B79" s="38"/>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40"/>
    </row>
    <row r="100" spans="4:39" ht="14.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M100" s="25"/>
    </row>
    <row r="129" spans="39:39" ht="14.25">
      <c r="AM129" s="25"/>
    </row>
    <row r="130" spans="39:39" ht="14.25">
      <c r="AM130" s="25"/>
    </row>
    <row r="139" spans="39:39" ht="15" customHeight="1"/>
    <row r="187" ht="15" customHeight="1"/>
    <row r="188" ht="15" customHeight="1"/>
    <row r="189" ht="15" customHeight="1"/>
    <row r="190" ht="15" customHeight="1"/>
    <row r="215" spans="121:131" ht="15.75">
      <c r="DQ215" s="41"/>
      <c r="DR215" s="41"/>
      <c r="DS215" s="41"/>
      <c r="DT215" s="41"/>
      <c r="DU215" s="41"/>
      <c r="DV215" s="41"/>
      <c r="DW215" s="41"/>
      <c r="DX215" s="41"/>
      <c r="DY215" s="41"/>
      <c r="DZ215" s="41"/>
      <c r="EA215" s="41"/>
    </row>
    <row r="216" spans="121:131" ht="15.75">
      <c r="DQ216" s="41"/>
      <c r="DR216" s="41"/>
      <c r="DS216" s="41"/>
      <c r="DT216" s="41"/>
      <c r="DU216" s="41"/>
      <c r="DV216" s="41"/>
      <c r="DW216" s="41"/>
      <c r="DX216" s="41"/>
      <c r="DY216" s="41"/>
      <c r="DZ216" s="41"/>
      <c r="EA216" s="41"/>
    </row>
    <row r="217" spans="121:131" ht="15.75">
      <c r="DQ217" s="41"/>
      <c r="DR217" s="41"/>
      <c r="DS217" s="41"/>
      <c r="DT217" s="41"/>
      <c r="DU217" s="41"/>
      <c r="DV217" s="41"/>
      <c r="DW217" s="41"/>
      <c r="DX217" s="41"/>
      <c r="DY217" s="41"/>
      <c r="DZ217" s="41"/>
      <c r="EA217" s="41"/>
    </row>
    <row r="218" spans="121:131" ht="15.75">
      <c r="DQ218" s="41"/>
      <c r="DR218" s="41"/>
      <c r="DS218" s="41"/>
      <c r="DT218" s="41"/>
      <c r="DU218" s="41"/>
      <c r="DV218" s="41"/>
      <c r="DW218" s="41"/>
      <c r="DX218" s="41"/>
      <c r="DY218" s="41"/>
      <c r="DZ218" s="41"/>
      <c r="EA218" s="41"/>
    </row>
    <row r="219" spans="121:131" ht="15.75">
      <c r="DQ219" s="41"/>
      <c r="DR219" s="41"/>
      <c r="DS219" s="41"/>
      <c r="DT219" s="41"/>
      <c r="DU219" s="41"/>
      <c r="DV219" s="41"/>
      <c r="DW219" s="41"/>
      <c r="DX219" s="41"/>
      <c r="DY219" s="41"/>
      <c r="DZ219" s="41"/>
      <c r="EA219" s="41"/>
    </row>
    <row r="220" spans="121:131" ht="15.75">
      <c r="DQ220" s="41"/>
      <c r="DR220" s="41"/>
      <c r="DS220" s="41"/>
      <c r="DT220" s="41"/>
      <c r="DU220" s="41"/>
      <c r="DV220" s="41"/>
      <c r="DW220" s="41"/>
      <c r="DX220" s="41"/>
      <c r="DY220" s="41"/>
      <c r="DZ220" s="41"/>
      <c r="EA220" s="41"/>
    </row>
    <row r="221" spans="121:131" ht="15.75">
      <c r="DQ221" s="41"/>
      <c r="DR221" s="41"/>
      <c r="DS221" s="41"/>
      <c r="DT221" s="41"/>
      <c r="DU221" s="41"/>
      <c r="DV221" s="41"/>
      <c r="DW221" s="41"/>
      <c r="DX221" s="41"/>
      <c r="DY221" s="41"/>
      <c r="DZ221" s="41"/>
      <c r="EA221" s="41"/>
    </row>
    <row r="222" spans="121:131" ht="15.75">
      <c r="DQ222" s="41"/>
      <c r="DR222" s="41"/>
      <c r="DS222" s="41"/>
      <c r="DT222" s="41"/>
      <c r="DU222" s="41"/>
      <c r="DV222" s="41"/>
      <c r="DW222" s="41"/>
      <c r="DX222" s="41"/>
      <c r="DY222" s="41"/>
      <c r="DZ222" s="41"/>
      <c r="EA222" s="41"/>
    </row>
    <row r="223" spans="121:131" ht="15.75">
      <c r="DQ223" s="41"/>
      <c r="DR223" s="41"/>
      <c r="DS223" s="41"/>
      <c r="DT223" s="41"/>
      <c r="DU223" s="41"/>
      <c r="DV223" s="41"/>
      <c r="DW223" s="41"/>
      <c r="DX223" s="41"/>
      <c r="DY223" s="41"/>
      <c r="DZ223" s="41"/>
      <c r="EA223" s="41"/>
    </row>
    <row r="224" spans="121:131" ht="15.75">
      <c r="DQ224" s="41"/>
      <c r="DR224" s="41"/>
      <c r="DS224" s="41"/>
      <c r="DT224" s="41"/>
      <c r="DU224" s="41"/>
      <c r="DV224" s="41"/>
      <c r="DW224" s="41"/>
      <c r="DX224" s="41"/>
      <c r="DY224" s="41"/>
      <c r="DZ224" s="41"/>
      <c r="EA224" s="41"/>
    </row>
    <row r="225" spans="121:132" ht="15.75">
      <c r="DQ225" s="41"/>
      <c r="DR225" s="41"/>
      <c r="DS225" s="41"/>
      <c r="DT225" s="41"/>
      <c r="DU225" s="41"/>
      <c r="DV225" s="41"/>
      <c r="DW225" s="41"/>
      <c r="DX225" s="41"/>
      <c r="DY225" s="41"/>
      <c r="DZ225" s="41"/>
      <c r="EA225" s="41"/>
    </row>
    <row r="226" spans="121:132" ht="15.75">
      <c r="DQ226" s="41"/>
      <c r="DR226" s="41"/>
      <c r="DS226" s="41"/>
      <c r="DT226" s="41"/>
      <c r="DU226" s="41"/>
      <c r="DV226" s="41"/>
      <c r="DW226" s="41"/>
      <c r="DX226" s="41"/>
      <c r="DY226" s="41"/>
      <c r="DZ226" s="41"/>
      <c r="EA226" s="41"/>
    </row>
    <row r="227" spans="121:132" ht="15.75">
      <c r="DQ227" s="41"/>
      <c r="DR227" s="41"/>
      <c r="DS227" s="41"/>
      <c r="DT227" s="41"/>
      <c r="DU227" s="41"/>
      <c r="DV227" s="41"/>
      <c r="DW227" s="41"/>
      <c r="DX227" s="41"/>
      <c r="DY227" s="41"/>
      <c r="DZ227" s="41"/>
      <c r="EA227" s="41"/>
    </row>
    <row r="228" spans="121:132" ht="15.75">
      <c r="DQ228" s="41"/>
      <c r="DR228" s="41"/>
      <c r="DS228" s="41"/>
      <c r="DT228" s="41"/>
      <c r="DU228" s="41"/>
      <c r="DV228" s="41"/>
      <c r="DW228" s="41"/>
      <c r="DX228" s="41"/>
      <c r="DY228" s="41"/>
      <c r="DZ228" s="41"/>
      <c r="EA228" s="41"/>
    </row>
    <row r="229" spans="121:132" ht="32.25" customHeight="1">
      <c r="DQ229" s="41"/>
      <c r="DR229" s="41"/>
      <c r="DS229" s="41"/>
      <c r="DT229" s="41"/>
      <c r="DU229" s="41"/>
      <c r="DV229" s="41"/>
      <c r="DW229" s="41"/>
      <c r="DX229" s="41"/>
      <c r="DY229" s="41"/>
      <c r="DZ229" s="41"/>
      <c r="EA229" s="41"/>
    </row>
    <row r="230" spans="121:132" ht="15.75">
      <c r="DQ230" s="41"/>
      <c r="DR230" s="41"/>
      <c r="DS230" s="41"/>
      <c r="DT230" s="41"/>
      <c r="DU230" s="41"/>
      <c r="DV230" s="41"/>
      <c r="DW230" s="41"/>
      <c r="DX230" s="41"/>
      <c r="DY230" s="41"/>
      <c r="DZ230" s="41"/>
      <c r="EA230" s="41"/>
    </row>
    <row r="231" spans="121:132" ht="15.75">
      <c r="DQ231" s="41"/>
      <c r="DR231" s="41"/>
      <c r="DS231" s="41"/>
      <c r="DT231" s="41"/>
      <c r="DU231" s="41"/>
      <c r="DV231" s="41"/>
      <c r="DW231" s="41"/>
      <c r="DX231" s="41"/>
      <c r="DY231" s="41"/>
      <c r="DZ231" s="41"/>
      <c r="EA231" s="41"/>
    </row>
    <row r="232" spans="121:132" ht="15.75">
      <c r="DQ232" s="41"/>
      <c r="DR232" s="41"/>
      <c r="DS232" s="41"/>
      <c r="DT232" s="41"/>
      <c r="DU232" s="41"/>
      <c r="DV232" s="41"/>
      <c r="DW232" s="41"/>
      <c r="DX232" s="41"/>
      <c r="DY232" s="41"/>
      <c r="DZ232" s="41"/>
      <c r="EA232" s="41"/>
    </row>
    <row r="233" spans="121:132" ht="15.75">
      <c r="DQ233" s="41"/>
      <c r="DR233" s="41"/>
      <c r="DS233" s="41"/>
      <c r="DT233" s="41"/>
      <c r="DU233" s="41"/>
      <c r="DV233" s="41"/>
      <c r="DW233" s="41"/>
      <c r="DX233" s="41"/>
      <c r="DY233" s="41"/>
      <c r="DZ233" s="41"/>
      <c r="EA233" s="41"/>
    </row>
    <row r="234" spans="121:132" ht="15.75">
      <c r="DQ234" s="41"/>
      <c r="DR234" s="41"/>
      <c r="DS234" s="41"/>
      <c r="DT234" s="41"/>
      <c r="DU234" s="41"/>
      <c r="DV234" s="41"/>
      <c r="DW234" s="41"/>
      <c r="DX234" s="41"/>
      <c r="DY234" s="41"/>
      <c r="DZ234" s="41"/>
      <c r="EA234" s="41"/>
    </row>
    <row r="235" spans="121:132" ht="15.75">
      <c r="DQ235" s="41"/>
      <c r="DR235" s="41"/>
      <c r="DS235" s="41"/>
      <c r="DT235" s="41"/>
      <c r="DU235" s="41"/>
      <c r="DV235" s="41"/>
      <c r="DW235" s="41"/>
      <c r="DX235" s="41"/>
      <c r="DY235" s="41"/>
      <c r="DZ235" s="41"/>
      <c r="EA235" s="41"/>
    </row>
    <row r="236" spans="121:132" ht="15.75">
      <c r="DQ236" s="41"/>
      <c r="DR236" s="41"/>
      <c r="DS236" s="41"/>
      <c r="DT236" s="41"/>
      <c r="DU236" s="41"/>
      <c r="DV236" s="41"/>
      <c r="DW236" s="41"/>
      <c r="DX236" s="41"/>
      <c r="DY236" s="41"/>
      <c r="DZ236" s="41"/>
      <c r="EA236" s="41"/>
    </row>
    <row r="237" spans="121:132" ht="15.75">
      <c r="DQ237" s="41"/>
      <c r="DR237" s="41"/>
      <c r="DS237" s="41"/>
      <c r="DT237" s="41"/>
      <c r="DU237" s="41"/>
      <c r="DV237" s="41"/>
      <c r="DW237" s="41"/>
      <c r="DX237" s="41"/>
      <c r="DY237" s="41"/>
      <c r="DZ237" s="41"/>
      <c r="EA237" s="41"/>
    </row>
    <row r="238" spans="121:132" ht="15.75">
      <c r="DQ238" s="41"/>
      <c r="DR238" s="41"/>
      <c r="DS238" s="41"/>
      <c r="DT238" s="41"/>
      <c r="DU238" s="41"/>
      <c r="DV238" s="41"/>
      <c r="DW238" s="41"/>
      <c r="DX238" s="41"/>
      <c r="DY238" s="41"/>
      <c r="DZ238" s="41"/>
      <c r="EA238" s="41"/>
    </row>
    <row r="239" spans="121:132" ht="15.75">
      <c r="DQ239" s="41"/>
      <c r="DR239" s="41"/>
      <c r="DS239" s="41"/>
      <c r="DT239" s="41"/>
      <c r="DU239" s="41"/>
      <c r="DV239" s="41"/>
      <c r="DW239" s="41"/>
      <c r="DX239" s="41"/>
      <c r="DY239" s="41"/>
      <c r="DZ239" s="41"/>
      <c r="EA239" s="41"/>
      <c r="EB239" s="41"/>
    </row>
    <row r="240" spans="121:132" ht="15.75">
      <c r="DQ240" s="41"/>
      <c r="DR240" s="41"/>
      <c r="DS240" s="41"/>
      <c r="DT240" s="41"/>
      <c r="DU240" s="41"/>
      <c r="DV240" s="41"/>
      <c r="DW240" s="41"/>
      <c r="DX240" s="41"/>
      <c r="DY240" s="41"/>
      <c r="DZ240" s="41"/>
      <c r="EA240" s="41"/>
      <c r="EB240" s="41"/>
    </row>
    <row r="241" spans="121:132" ht="15.75">
      <c r="DQ241" s="41"/>
      <c r="DR241" s="41"/>
      <c r="DS241" s="41"/>
      <c r="DT241" s="41"/>
      <c r="DU241" s="41"/>
      <c r="DV241" s="41"/>
      <c r="DW241" s="41"/>
      <c r="DX241" s="41"/>
      <c r="DY241" s="41"/>
      <c r="DZ241" s="41"/>
      <c r="EA241" s="41"/>
      <c r="EB241" s="41"/>
    </row>
    <row r="242" spans="121:132" ht="15.75">
      <c r="DQ242" s="41"/>
      <c r="DR242" s="41"/>
      <c r="DS242" s="41"/>
      <c r="DT242" s="41"/>
      <c r="DU242" s="41"/>
      <c r="DV242" s="41"/>
      <c r="DW242" s="41"/>
      <c r="DX242" s="41"/>
      <c r="DY242" s="41"/>
      <c r="DZ242" s="41"/>
      <c r="EA242" s="41"/>
      <c r="EB242" s="41"/>
    </row>
    <row r="243" spans="121:132" ht="16.5" customHeight="1"/>
    <row r="244" spans="121:132" ht="16.5" customHeight="1"/>
    <row r="245" spans="121:132" ht="16.5" customHeight="1"/>
    <row r="246" spans="121:132" ht="16.5" customHeight="1"/>
    <row r="247" spans="121:132" ht="16.5" customHeight="1"/>
    <row r="248" spans="121:132" ht="16.5" customHeight="1"/>
    <row r="249" spans="121:132" ht="16.5" customHeight="1"/>
    <row r="250" spans="121:132" ht="16.5" customHeight="1"/>
    <row r="299" spans="283:319" ht="14.25" thickBot="1"/>
    <row r="300" spans="283:319" ht="33.75" customHeight="1" thickBot="1">
      <c r="JW300" s="261"/>
      <c r="JX300" s="262"/>
      <c r="JY300" s="262"/>
      <c r="JZ300" s="262"/>
      <c r="KA300" s="262"/>
      <c r="KB300" s="262"/>
      <c r="KC300" s="262"/>
      <c r="KD300" s="262"/>
      <c r="KE300" s="262"/>
      <c r="KF300" s="261"/>
      <c r="KG300" s="263"/>
      <c r="KH300" s="263"/>
      <c r="KI300" s="263"/>
      <c r="KJ300" s="263"/>
      <c r="KK300" s="263"/>
      <c r="KL300" s="264"/>
      <c r="KM300" s="262"/>
      <c r="KN300" s="262"/>
      <c r="KO300" s="262"/>
      <c r="KP300" s="262"/>
      <c r="KQ300" s="262"/>
      <c r="KR300" s="262"/>
      <c r="KS300" s="262"/>
      <c r="KT300" s="261"/>
      <c r="KU300" s="262"/>
      <c r="KV300" s="262"/>
      <c r="KW300" s="262"/>
      <c r="KX300" s="262"/>
      <c r="KY300" s="262"/>
      <c r="KZ300" s="291"/>
      <c r="LA300" s="262"/>
      <c r="LB300" s="262"/>
      <c r="LC300" s="262"/>
      <c r="LD300" s="262"/>
      <c r="LE300" s="262"/>
      <c r="LF300" s="262"/>
      <c r="LG300" s="291"/>
    </row>
    <row r="301" spans="283:319" ht="27.95" customHeight="1" thickBot="1">
      <c r="JW301" s="285"/>
      <c r="JX301" s="286"/>
      <c r="JY301" s="286"/>
      <c r="JZ301" s="286"/>
      <c r="KA301" s="286"/>
      <c r="KB301" s="286"/>
      <c r="KC301" s="286"/>
      <c r="KD301" s="286"/>
      <c r="KE301" s="286"/>
      <c r="KF301" s="258"/>
      <c r="KG301" s="259"/>
      <c r="KH301" s="259"/>
      <c r="KI301" s="259"/>
      <c r="KJ301" s="259"/>
      <c r="KK301" s="259"/>
      <c r="KL301" s="260"/>
      <c r="KM301" s="287"/>
      <c r="KN301" s="259"/>
      <c r="KO301" s="259"/>
      <c r="KP301" s="259"/>
      <c r="KQ301" s="259"/>
      <c r="KR301" s="259"/>
      <c r="KS301" s="259"/>
      <c r="KT301" s="288"/>
      <c r="KU301" s="289"/>
      <c r="KV301" s="289"/>
      <c r="KW301" s="289"/>
      <c r="KX301" s="289"/>
      <c r="KY301" s="289"/>
      <c r="KZ301" s="290"/>
      <c r="LA301" s="288"/>
      <c r="LB301" s="289"/>
      <c r="LC301" s="289"/>
      <c r="LD301" s="289"/>
      <c r="LE301" s="289"/>
      <c r="LF301" s="289"/>
      <c r="LG301" s="290"/>
    </row>
    <row r="302" spans="283:319" ht="27.95" customHeight="1" thickBot="1">
      <c r="JW302" s="276"/>
      <c r="JX302" s="277"/>
      <c r="JY302" s="277"/>
      <c r="JZ302" s="277"/>
      <c r="KA302" s="277"/>
      <c r="KB302" s="277"/>
      <c r="KC302" s="277"/>
      <c r="KD302" s="277"/>
      <c r="KE302" s="277"/>
      <c r="KF302" s="278"/>
      <c r="KG302" s="279"/>
      <c r="KH302" s="279"/>
      <c r="KI302" s="279"/>
      <c r="KJ302" s="279"/>
      <c r="KK302" s="279"/>
      <c r="KL302" s="280"/>
      <c r="KM302" s="281"/>
      <c r="KN302" s="279"/>
      <c r="KO302" s="279"/>
      <c r="KP302" s="279"/>
      <c r="KQ302" s="279"/>
      <c r="KR302" s="279"/>
      <c r="KS302" s="279"/>
      <c r="KT302" s="282"/>
      <c r="KU302" s="283"/>
      <c r="KV302" s="283"/>
      <c r="KW302" s="283"/>
      <c r="KX302" s="283"/>
      <c r="KY302" s="283"/>
      <c r="KZ302" s="284"/>
      <c r="LA302" s="282"/>
      <c r="LB302" s="283"/>
      <c r="LC302" s="283"/>
      <c r="LD302" s="283"/>
      <c r="LE302" s="283"/>
      <c r="LF302" s="283"/>
      <c r="LG302" s="284"/>
    </row>
    <row r="303" spans="283:319" ht="27.95" customHeight="1" thickBot="1">
      <c r="JW303" s="253"/>
      <c r="JX303" s="254"/>
      <c r="JY303" s="254"/>
      <c r="JZ303" s="254"/>
      <c r="KA303" s="254"/>
      <c r="KB303" s="254"/>
      <c r="KC303" s="254"/>
      <c r="KD303" s="254"/>
      <c r="KE303" s="254"/>
      <c r="KF303" s="255"/>
      <c r="KG303" s="256"/>
      <c r="KH303" s="256"/>
      <c r="KI303" s="256"/>
      <c r="KJ303" s="256"/>
      <c r="KK303" s="256"/>
      <c r="KL303" s="257"/>
      <c r="KM303" s="265"/>
      <c r="KN303" s="256"/>
      <c r="KO303" s="256"/>
      <c r="KP303" s="256"/>
      <c r="KQ303" s="256"/>
      <c r="KR303" s="256"/>
      <c r="KS303" s="256"/>
      <c r="KT303" s="266"/>
      <c r="KU303" s="267"/>
      <c r="KV303" s="267"/>
      <c r="KW303" s="267"/>
      <c r="KX303" s="267"/>
      <c r="KY303" s="267"/>
      <c r="KZ303" s="268"/>
      <c r="LA303" s="266"/>
      <c r="LB303" s="267"/>
      <c r="LC303" s="267"/>
      <c r="LD303" s="267"/>
      <c r="LE303" s="267"/>
      <c r="LF303" s="267"/>
      <c r="LG303" s="268"/>
    </row>
    <row r="304" spans="283:319" ht="27.95" customHeight="1" thickBot="1">
      <c r="JW304" s="276"/>
      <c r="JX304" s="277"/>
      <c r="JY304" s="277"/>
      <c r="JZ304" s="277"/>
      <c r="KA304" s="277"/>
      <c r="KB304" s="277"/>
      <c r="KC304" s="277"/>
      <c r="KD304" s="277"/>
      <c r="KE304" s="277"/>
      <c r="KF304" s="278"/>
      <c r="KG304" s="279"/>
      <c r="KH304" s="279"/>
      <c r="KI304" s="279"/>
      <c r="KJ304" s="279"/>
      <c r="KK304" s="279"/>
      <c r="KL304" s="280"/>
      <c r="KM304" s="281"/>
      <c r="KN304" s="279"/>
      <c r="KO304" s="279"/>
      <c r="KP304" s="279"/>
      <c r="KQ304" s="279"/>
      <c r="KR304" s="279"/>
      <c r="KS304" s="279"/>
      <c r="KT304" s="282"/>
      <c r="KU304" s="283"/>
      <c r="KV304" s="283"/>
      <c r="KW304" s="283"/>
      <c r="KX304" s="283"/>
      <c r="KY304" s="283"/>
      <c r="KZ304" s="284"/>
      <c r="LA304" s="282"/>
      <c r="LB304" s="283"/>
      <c r="LC304" s="283"/>
      <c r="LD304" s="283"/>
      <c r="LE304" s="283"/>
      <c r="LF304" s="283"/>
      <c r="LG304" s="284"/>
    </row>
    <row r="305" spans="283:319" ht="27.95" customHeight="1">
      <c r="JW305" s="253"/>
      <c r="JX305" s="254"/>
      <c r="JY305" s="254"/>
      <c r="JZ305" s="254"/>
      <c r="KA305" s="254"/>
      <c r="KB305" s="254"/>
      <c r="KC305" s="254"/>
      <c r="KD305" s="254"/>
      <c r="KE305" s="254"/>
      <c r="KF305" s="255"/>
      <c r="KG305" s="256"/>
      <c r="KH305" s="256"/>
      <c r="KI305" s="256"/>
      <c r="KJ305" s="256"/>
      <c r="KK305" s="256"/>
      <c r="KL305" s="257"/>
      <c r="KM305" s="265"/>
      <c r="KN305" s="256"/>
      <c r="KO305" s="256"/>
      <c r="KP305" s="256"/>
      <c r="KQ305" s="256"/>
      <c r="KR305" s="256"/>
      <c r="KS305" s="256"/>
      <c r="KT305" s="266"/>
      <c r="KU305" s="267"/>
      <c r="KV305" s="267"/>
      <c r="KW305" s="267"/>
      <c r="KX305" s="267"/>
      <c r="KY305" s="267"/>
      <c r="KZ305" s="268"/>
      <c r="LA305" s="266"/>
      <c r="LB305" s="267"/>
      <c r="LC305" s="267"/>
      <c r="LD305" s="267"/>
      <c r="LE305" s="267"/>
      <c r="LF305" s="267"/>
      <c r="LG305" s="268"/>
    </row>
  </sheetData>
  <mergeCells count="77">
    <mergeCell ref="KM300:KS300"/>
    <mergeCell ref="KT300:KZ300"/>
    <mergeCell ref="LA300:LG300"/>
    <mergeCell ref="C21:O21"/>
    <mergeCell ref="C23:O23"/>
    <mergeCell ref="C24:O24"/>
    <mergeCell ref="P21:AL21"/>
    <mergeCell ref="C53:O53"/>
    <mergeCell ref="C55:O55"/>
    <mergeCell ref="B43:AK45"/>
    <mergeCell ref="AL43:AM45"/>
    <mergeCell ref="C47:O47"/>
    <mergeCell ref="P47:AL47"/>
    <mergeCell ref="C49:O49"/>
    <mergeCell ref="P62:AL62"/>
    <mergeCell ref="C64:O64"/>
    <mergeCell ref="KM301:KS301"/>
    <mergeCell ref="KT301:KZ301"/>
    <mergeCell ref="LA301:LG301"/>
    <mergeCell ref="JW302:KE302"/>
    <mergeCell ref="KF302:KL302"/>
    <mergeCell ref="KM302:KS302"/>
    <mergeCell ref="KT302:KZ302"/>
    <mergeCell ref="LA302:LG302"/>
    <mergeCell ref="KM305:KS305"/>
    <mergeCell ref="KT305:KZ305"/>
    <mergeCell ref="LA305:LG305"/>
    <mergeCell ref="B2:AK4"/>
    <mergeCell ref="AL2:AM4"/>
    <mergeCell ref="JW303:KE303"/>
    <mergeCell ref="KF303:KL303"/>
    <mergeCell ref="KM303:KS303"/>
    <mergeCell ref="KT303:KZ303"/>
    <mergeCell ref="LA303:LG303"/>
    <mergeCell ref="JW304:KE304"/>
    <mergeCell ref="KF304:KL304"/>
    <mergeCell ref="KM304:KS304"/>
    <mergeCell ref="KT304:KZ304"/>
    <mergeCell ref="LA304:LG304"/>
    <mergeCell ref="JW301:KE301"/>
    <mergeCell ref="C6:O6"/>
    <mergeCell ref="C8:O8"/>
    <mergeCell ref="C10:O10"/>
    <mergeCell ref="JW305:KE305"/>
    <mergeCell ref="KF305:KL305"/>
    <mergeCell ref="KF301:KL301"/>
    <mergeCell ref="JW300:KE300"/>
    <mergeCell ref="KF300:KL300"/>
    <mergeCell ref="C19:O19"/>
    <mergeCell ref="C20:O20"/>
    <mergeCell ref="C16:O16"/>
    <mergeCell ref="C17:O17"/>
    <mergeCell ref="R14:W14"/>
    <mergeCell ref="C14:O14"/>
    <mergeCell ref="C12:O12"/>
    <mergeCell ref="P6:AL6"/>
    <mergeCell ref="P8:AL8"/>
    <mergeCell ref="P14:Q14"/>
    <mergeCell ref="P17:AL17"/>
    <mergeCell ref="P20:AL20"/>
    <mergeCell ref="AC14:AI14"/>
    <mergeCell ref="P23:X23"/>
    <mergeCell ref="P24:X24"/>
    <mergeCell ref="C65:O65"/>
    <mergeCell ref="AC55:AI55"/>
    <mergeCell ref="C57:O57"/>
    <mergeCell ref="C58:O58"/>
    <mergeCell ref="P58:AL58"/>
    <mergeCell ref="C60:O60"/>
    <mergeCell ref="C61:O61"/>
    <mergeCell ref="P61:AL61"/>
    <mergeCell ref="P55:X55"/>
    <mergeCell ref="P64:X64"/>
    <mergeCell ref="P65:X65"/>
    <mergeCell ref="P49:AL49"/>
    <mergeCell ref="C51:O51"/>
    <mergeCell ref="C62:O62"/>
  </mergeCells>
  <pageMargins left="0.7" right="0.7" top="0.75" bottom="0.75" header="0.3" footer="0.3"/>
  <pageSetup scale="51"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cols>
    <col min="1" max="63" width="3.21875" style="6" customWidth="1"/>
    <col min="64" max="16384" width="10.109375" style="6"/>
  </cols>
  <sheetData>
    <row r="1" spans="1:63" ht="24.95" customHeight="1">
      <c r="A1" s="307" t="s">
        <v>89</v>
      </c>
      <c r="B1" s="308"/>
      <c r="C1" s="308"/>
      <c r="D1" s="308"/>
      <c r="E1" s="308"/>
      <c r="F1" s="308"/>
      <c r="G1" s="308"/>
      <c r="H1" s="308"/>
      <c r="I1" s="308"/>
      <c r="J1" s="309"/>
      <c r="K1" s="307" t="s">
        <v>90</v>
      </c>
      <c r="L1" s="308"/>
      <c r="M1" s="308"/>
      <c r="N1" s="308"/>
      <c r="O1" s="308"/>
      <c r="P1" s="308"/>
      <c r="Q1" s="308"/>
      <c r="R1" s="308"/>
      <c r="S1" s="308"/>
      <c r="T1" s="308"/>
      <c r="U1" s="308"/>
      <c r="V1" s="309"/>
      <c r="W1" s="310" t="str">
        <f>IF(表紙!W1="","",表紙!W1)</f>
        <v>基本設計書</v>
      </c>
      <c r="X1" s="311"/>
      <c r="Y1" s="311"/>
      <c r="Z1" s="311"/>
      <c r="AA1" s="311"/>
      <c r="AB1" s="311"/>
      <c r="AC1" s="311"/>
      <c r="AD1" s="311"/>
      <c r="AE1" s="311"/>
      <c r="AF1" s="311"/>
      <c r="AG1" s="311"/>
      <c r="AH1" s="311"/>
      <c r="AI1" s="311"/>
      <c r="AJ1" s="311"/>
      <c r="AK1" s="311"/>
      <c r="AL1" s="311"/>
      <c r="AM1" s="311"/>
      <c r="AN1" s="311"/>
      <c r="AO1" s="312"/>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3" ht="15" customHeight="1">
      <c r="A2" s="301" t="str">
        <f>IF(表紙!A2="","",表紙!A2)</f>
        <v>POSサーバー</v>
      </c>
      <c r="B2" s="302"/>
      <c r="C2" s="302"/>
      <c r="D2" s="302"/>
      <c r="E2" s="302"/>
      <c r="F2" s="302"/>
      <c r="G2" s="302"/>
      <c r="H2" s="302"/>
      <c r="I2" s="302"/>
      <c r="J2" s="303"/>
      <c r="K2" s="301" t="str">
        <f>IF(表紙!K2="","",表紙!K2)</f>
        <v>POSサーバ</v>
      </c>
      <c r="L2" s="302"/>
      <c r="M2" s="302"/>
      <c r="N2" s="302"/>
      <c r="O2" s="302"/>
      <c r="P2" s="302"/>
      <c r="Q2" s="302"/>
      <c r="R2" s="302"/>
      <c r="S2" s="302"/>
      <c r="T2" s="302"/>
      <c r="U2" s="302"/>
      <c r="V2" s="303"/>
      <c r="W2" s="313"/>
      <c r="X2" s="314"/>
      <c r="Y2" s="314"/>
      <c r="Z2" s="314"/>
      <c r="AA2" s="314"/>
      <c r="AB2" s="314"/>
      <c r="AC2" s="314"/>
      <c r="AD2" s="314"/>
      <c r="AE2" s="314"/>
      <c r="AF2" s="314"/>
      <c r="AG2" s="314"/>
      <c r="AH2" s="314"/>
      <c r="AI2" s="314"/>
      <c r="AJ2" s="314"/>
      <c r="AK2" s="314"/>
      <c r="AL2" s="314"/>
      <c r="AM2" s="314"/>
      <c r="AN2" s="314"/>
      <c r="AO2" s="315"/>
      <c r="AP2" s="108" t="str">
        <f>IF(表紙!AP2="","",表紙!AP2)</f>
        <v>TinNH</v>
      </c>
      <c r="AQ2" s="109"/>
      <c r="AR2" s="109"/>
      <c r="AS2" s="110"/>
      <c r="AT2" s="137">
        <f>IF(表紙!AT2="","",表紙!AT2)</f>
        <v>45467</v>
      </c>
      <c r="AU2" s="138"/>
      <c r="AV2" s="138"/>
      <c r="AW2" s="138"/>
      <c r="AX2" s="139"/>
      <c r="AY2" s="108" t="str">
        <f>IF(表紙!AY2="","",表紙!AY2)</f>
        <v>AnhNM</v>
      </c>
      <c r="AZ2" s="109"/>
      <c r="BA2" s="109"/>
      <c r="BB2" s="110"/>
      <c r="BC2" s="137">
        <f>IF(表紙!BC2="","",表紙!BC2)</f>
        <v>45590</v>
      </c>
      <c r="BD2" s="138"/>
      <c r="BE2" s="138"/>
      <c r="BF2" s="138"/>
      <c r="BG2" s="139"/>
      <c r="BH2" s="108">
        <f>IF(表紙!BH2="","",表紙!BH2)</f>
        <v>0.4</v>
      </c>
      <c r="BI2" s="109"/>
      <c r="BJ2" s="109"/>
      <c r="BK2" s="110"/>
    </row>
    <row r="3" spans="1:63" ht="15" customHeight="1">
      <c r="A3" s="304"/>
      <c r="B3" s="305"/>
      <c r="C3" s="305"/>
      <c r="D3" s="305"/>
      <c r="E3" s="305"/>
      <c r="F3" s="305"/>
      <c r="G3" s="305"/>
      <c r="H3" s="305"/>
      <c r="I3" s="305"/>
      <c r="J3" s="306"/>
      <c r="K3" s="304"/>
      <c r="L3" s="305"/>
      <c r="M3" s="305"/>
      <c r="N3" s="305"/>
      <c r="O3" s="305"/>
      <c r="P3" s="305"/>
      <c r="Q3" s="305"/>
      <c r="R3" s="305"/>
      <c r="S3" s="305"/>
      <c r="T3" s="305"/>
      <c r="U3" s="305"/>
      <c r="V3" s="306"/>
      <c r="W3" s="316"/>
      <c r="X3" s="317"/>
      <c r="Y3" s="317"/>
      <c r="Z3" s="317"/>
      <c r="AA3" s="317"/>
      <c r="AB3" s="317"/>
      <c r="AC3" s="317"/>
      <c r="AD3" s="317"/>
      <c r="AE3" s="317"/>
      <c r="AF3" s="317"/>
      <c r="AG3" s="317"/>
      <c r="AH3" s="317"/>
      <c r="AI3" s="317"/>
      <c r="AJ3" s="317"/>
      <c r="AK3" s="317"/>
      <c r="AL3" s="317"/>
      <c r="AM3" s="317"/>
      <c r="AN3" s="317"/>
      <c r="AO3" s="318"/>
      <c r="AP3" s="114"/>
      <c r="AQ3" s="115"/>
      <c r="AR3" s="115"/>
      <c r="AS3" s="116"/>
      <c r="AT3" s="140"/>
      <c r="AU3" s="141"/>
      <c r="AV3" s="141"/>
      <c r="AW3" s="141"/>
      <c r="AX3" s="142"/>
      <c r="AY3" s="114"/>
      <c r="AZ3" s="115"/>
      <c r="BA3" s="115"/>
      <c r="BB3" s="116"/>
      <c r="BC3" s="140"/>
      <c r="BD3" s="141"/>
      <c r="BE3" s="141"/>
      <c r="BF3" s="141"/>
      <c r="BG3" s="142"/>
      <c r="BH3" s="114"/>
      <c r="BI3" s="115"/>
      <c r="BJ3" s="115"/>
      <c r="BK3" s="116"/>
    </row>
    <row r="4" spans="1:63" ht="24.95" customHeight="1">
      <c r="A4" s="307" t="s">
        <v>98</v>
      </c>
      <c r="B4" s="308"/>
      <c r="C4" s="308"/>
      <c r="D4" s="308"/>
      <c r="E4" s="308"/>
      <c r="F4" s="308"/>
      <c r="G4" s="309"/>
      <c r="H4" s="319" t="str">
        <f>IF(表紙!H4="","",表紙!H4)</f>
        <v>96_カテゴリ割引レシートクーポン設定</v>
      </c>
      <c r="I4" s="320"/>
      <c r="J4" s="320"/>
      <c r="K4" s="320"/>
      <c r="L4" s="320"/>
      <c r="M4" s="320"/>
      <c r="N4" s="320"/>
      <c r="O4" s="320"/>
      <c r="P4" s="320"/>
      <c r="Q4" s="320"/>
      <c r="R4" s="320"/>
      <c r="S4" s="320"/>
      <c r="T4" s="321"/>
      <c r="U4" s="307" t="s">
        <v>99</v>
      </c>
      <c r="V4" s="308"/>
      <c r="W4" s="308"/>
      <c r="X4" s="308"/>
      <c r="Y4" s="309"/>
      <c r="Z4" s="319" t="str">
        <f>IF(表紙!Z4="","",表紙!Z4)</f>
        <v>概要設計</v>
      </c>
      <c r="AA4" s="320"/>
      <c r="AB4" s="320"/>
      <c r="AC4" s="320"/>
      <c r="AD4" s="320"/>
      <c r="AE4" s="320"/>
      <c r="AF4" s="320"/>
      <c r="AG4" s="320"/>
      <c r="AH4" s="320"/>
      <c r="AI4" s="320"/>
      <c r="AJ4" s="320"/>
      <c r="AK4" s="320"/>
      <c r="AL4" s="320"/>
      <c r="AM4" s="320"/>
      <c r="AN4" s="320"/>
      <c r="AO4" s="321"/>
      <c r="AP4" s="322" t="str">
        <f ca="1">MID(CELL("filename",A1),FIND("]",CELL("filename",A1))+1,255)</f>
        <v>画面設計書</v>
      </c>
      <c r="AQ4" s="320"/>
      <c r="AR4" s="320"/>
      <c r="AS4" s="320"/>
      <c r="AT4" s="320"/>
      <c r="AU4" s="320"/>
      <c r="AV4" s="320"/>
      <c r="AW4" s="320"/>
      <c r="AX4" s="320"/>
      <c r="AY4" s="320"/>
      <c r="AZ4" s="320"/>
      <c r="BA4" s="320"/>
      <c r="BB4" s="320"/>
      <c r="BC4" s="320"/>
      <c r="BD4" s="320"/>
      <c r="BE4" s="320"/>
      <c r="BF4" s="320"/>
      <c r="BG4" s="320"/>
      <c r="BH4" s="320"/>
      <c r="BI4" s="320"/>
      <c r="BJ4" s="320"/>
      <c r="BK4" s="321"/>
    </row>
    <row r="5" spans="1:63" ht="5.0999999999999996" customHeight="1">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9"/>
    </row>
    <row r="6" spans="1:63" ht="15" customHeight="1">
      <c r="A6" s="10"/>
      <c r="BK6" s="11"/>
    </row>
    <row r="7" spans="1:63" ht="15" customHeight="1">
      <c r="A7" s="10"/>
      <c r="B7" s="107" t="s">
        <v>13</v>
      </c>
      <c r="C7" s="107"/>
      <c r="D7" s="107"/>
      <c r="E7" s="107"/>
      <c r="F7" s="107"/>
      <c r="G7" s="107"/>
      <c r="H7" s="107"/>
      <c r="I7" s="107"/>
      <c r="J7" s="107"/>
      <c r="AE7" s="12"/>
      <c r="BK7" s="11"/>
    </row>
    <row r="8" spans="1:63" ht="15" customHeight="1">
      <c r="A8" s="10"/>
      <c r="BK8" s="11"/>
    </row>
    <row r="9" spans="1:63" ht="15" customHeight="1">
      <c r="A9" s="10"/>
      <c r="BK9" s="11"/>
    </row>
    <row r="10" spans="1:63" ht="15" customHeight="1">
      <c r="A10" s="10"/>
      <c r="BK10" s="11"/>
    </row>
    <row r="11" spans="1:63" ht="15" customHeight="1">
      <c r="A11" s="10"/>
      <c r="BK11" s="11"/>
    </row>
    <row r="12" spans="1:63" ht="15" customHeight="1">
      <c r="A12" s="10"/>
      <c r="BK12" s="11"/>
    </row>
    <row r="13" spans="1:63" ht="15" customHeight="1">
      <c r="A13" s="10"/>
      <c r="BK13" s="11"/>
    </row>
    <row r="14" spans="1:63" ht="15" customHeight="1">
      <c r="A14" s="10"/>
      <c r="BK14" s="11"/>
    </row>
    <row r="15" spans="1:63" ht="15" customHeight="1">
      <c r="A15" s="10"/>
      <c r="BK15" s="11"/>
    </row>
    <row r="16" spans="1:63" ht="15" customHeight="1">
      <c r="A16" s="10"/>
      <c r="BK16" s="11"/>
    </row>
    <row r="17" spans="1:63" ht="15" customHeight="1">
      <c r="A17" s="10"/>
      <c r="BK17" s="11"/>
    </row>
    <row r="18" spans="1:63" ht="15" customHeight="1">
      <c r="A18" s="10"/>
      <c r="BK18" s="11"/>
    </row>
    <row r="19" spans="1:63" ht="15" customHeight="1">
      <c r="A19" s="10"/>
      <c r="BK19" s="11"/>
    </row>
    <row r="20" spans="1:63" ht="15" customHeight="1">
      <c r="A20" s="10"/>
      <c r="BK20" s="11"/>
    </row>
    <row r="21" spans="1:63" ht="15" customHeight="1">
      <c r="A21" s="10"/>
      <c r="BK21" s="11"/>
    </row>
    <row r="22" spans="1:63" ht="15" customHeight="1">
      <c r="A22" s="10"/>
      <c r="BK22" s="11"/>
    </row>
    <row r="23" spans="1:63" ht="15" customHeight="1">
      <c r="A23" s="10"/>
      <c r="BK23" s="11"/>
    </row>
    <row r="24" spans="1:63" ht="15" customHeight="1">
      <c r="A24" s="10"/>
      <c r="BK24" s="11"/>
    </row>
    <row r="25" spans="1:63" ht="14.25" customHeight="1">
      <c r="A25" s="10"/>
      <c r="BK25" s="11"/>
    </row>
    <row r="26" spans="1:63" ht="15" customHeight="1">
      <c r="A26" s="10"/>
      <c r="BK26" s="11"/>
    </row>
    <row r="27" spans="1:63" ht="15" customHeight="1">
      <c r="A27" s="10"/>
      <c r="BK27" s="11"/>
    </row>
    <row r="28" spans="1:63">
      <c r="BK28" s="11"/>
    </row>
    <row r="29" spans="1:63">
      <c r="BK29" s="11"/>
    </row>
    <row r="30" spans="1:63">
      <c r="BK30" s="11"/>
    </row>
    <row r="31" spans="1:63">
      <c r="BK31" s="11"/>
    </row>
    <row r="32" spans="1:63">
      <c r="BK32" s="11"/>
    </row>
    <row r="33" spans="1:63">
      <c r="BK33" s="11"/>
    </row>
    <row r="34" spans="1:63">
      <c r="BK34" s="11"/>
    </row>
    <row r="35" spans="1:63" ht="15" customHeight="1">
      <c r="A35" s="10"/>
      <c r="B35" s="12" t="s">
        <v>119</v>
      </c>
      <c r="BK35" s="11"/>
    </row>
    <row r="36" spans="1:63">
      <c r="BK36" s="11"/>
    </row>
    <row r="37" spans="1:63" ht="15.75" customHeight="1">
      <c r="B37" s="323" t="s">
        <v>120</v>
      </c>
      <c r="C37" s="324"/>
      <c r="D37" s="329" t="s">
        <v>121</v>
      </c>
      <c r="E37" s="330"/>
      <c r="F37" s="330"/>
      <c r="G37" s="330"/>
      <c r="H37" s="330"/>
      <c r="I37" s="330"/>
      <c r="J37" s="324"/>
      <c r="K37" s="329" t="s">
        <v>122</v>
      </c>
      <c r="L37" s="330"/>
      <c r="M37" s="324"/>
      <c r="N37" s="333" t="s">
        <v>14</v>
      </c>
      <c r="O37" s="336" t="s">
        <v>123</v>
      </c>
      <c r="P37" s="354" t="s">
        <v>124</v>
      </c>
      <c r="Q37" s="355"/>
      <c r="R37" s="355"/>
      <c r="S37" s="355"/>
      <c r="T37" s="355"/>
      <c r="U37" s="355"/>
      <c r="V37" s="355"/>
      <c r="W37" s="355"/>
      <c r="X37" s="355"/>
      <c r="Y37" s="355"/>
      <c r="Z37" s="355"/>
      <c r="AA37" s="355"/>
      <c r="AB37" s="355"/>
      <c r="AC37" s="355"/>
      <c r="AD37" s="355"/>
      <c r="AE37" s="355"/>
      <c r="AF37" s="355"/>
      <c r="AG37" s="355"/>
      <c r="AH37" s="355"/>
      <c r="AI37" s="355"/>
      <c r="AJ37" s="355"/>
      <c r="AK37" s="355"/>
      <c r="AL37" s="355"/>
      <c r="AM37" s="355"/>
      <c r="AN37" s="355"/>
      <c r="AO37" s="355"/>
      <c r="AP37" s="355"/>
      <c r="AQ37" s="356"/>
      <c r="AR37" s="339" t="s">
        <v>125</v>
      </c>
      <c r="AS37" s="340"/>
      <c r="AT37" s="340"/>
      <c r="AU37" s="340"/>
      <c r="AV37" s="340"/>
      <c r="AW37" s="340"/>
      <c r="AX37" s="340"/>
      <c r="AY37" s="340"/>
      <c r="AZ37" s="340"/>
      <c r="BA37" s="340"/>
      <c r="BB37" s="343"/>
      <c r="BC37" s="357" t="s">
        <v>126</v>
      </c>
      <c r="BD37" s="358"/>
      <c r="BE37" s="358"/>
      <c r="BF37" s="358"/>
      <c r="BG37" s="358"/>
      <c r="BH37" s="358"/>
      <c r="BI37" s="358"/>
      <c r="BJ37" s="359"/>
      <c r="BK37" s="11"/>
    </row>
    <row r="38" spans="1:63" ht="15.75" customHeight="1">
      <c r="B38" s="325"/>
      <c r="C38" s="326"/>
      <c r="D38" s="325"/>
      <c r="E38" s="331"/>
      <c r="F38" s="331"/>
      <c r="G38" s="331"/>
      <c r="H38" s="331"/>
      <c r="I38" s="331"/>
      <c r="J38" s="326"/>
      <c r="K38" s="325"/>
      <c r="L38" s="331"/>
      <c r="M38" s="326"/>
      <c r="N38" s="334"/>
      <c r="O38" s="337"/>
      <c r="P38" s="366" t="s">
        <v>127</v>
      </c>
      <c r="Q38" s="367"/>
      <c r="R38" s="367"/>
      <c r="S38" s="367"/>
      <c r="T38" s="367"/>
      <c r="U38" s="367"/>
      <c r="V38" s="367"/>
      <c r="W38" s="368"/>
      <c r="X38" s="369" t="s">
        <v>128</v>
      </c>
      <c r="Y38" s="370"/>
      <c r="Z38" s="371"/>
      <c r="AA38" s="369" t="s">
        <v>129</v>
      </c>
      <c r="AB38" s="370"/>
      <c r="AC38" s="370"/>
      <c r="AD38" s="370"/>
      <c r="AE38" s="370"/>
      <c r="AF38" s="370"/>
      <c r="AG38" s="370"/>
      <c r="AH38" s="371"/>
      <c r="AI38" s="369" t="s">
        <v>130</v>
      </c>
      <c r="AJ38" s="370"/>
      <c r="AK38" s="370"/>
      <c r="AL38" s="370"/>
      <c r="AM38" s="370"/>
      <c r="AN38" s="370"/>
      <c r="AO38" s="370"/>
      <c r="AP38" s="370"/>
      <c r="AQ38" s="371"/>
      <c r="AR38" s="375" t="s">
        <v>15</v>
      </c>
      <c r="AS38" s="377" t="s">
        <v>131</v>
      </c>
      <c r="AT38" s="379" t="s">
        <v>132</v>
      </c>
      <c r="AU38" s="339" t="s">
        <v>127</v>
      </c>
      <c r="AV38" s="340"/>
      <c r="AW38" s="340"/>
      <c r="AX38" s="340"/>
      <c r="AY38" s="340"/>
      <c r="AZ38" s="340"/>
      <c r="BA38" s="340"/>
      <c r="BB38" s="343"/>
      <c r="BC38" s="360"/>
      <c r="BD38" s="361"/>
      <c r="BE38" s="361"/>
      <c r="BF38" s="361"/>
      <c r="BG38" s="361"/>
      <c r="BH38" s="361"/>
      <c r="BI38" s="361"/>
      <c r="BJ38" s="362"/>
      <c r="BK38" s="11"/>
    </row>
    <row r="39" spans="1:63">
      <c r="B39" s="327"/>
      <c r="C39" s="328"/>
      <c r="D39" s="327"/>
      <c r="E39" s="332"/>
      <c r="F39" s="332"/>
      <c r="G39" s="332"/>
      <c r="H39" s="332"/>
      <c r="I39" s="332"/>
      <c r="J39" s="328"/>
      <c r="K39" s="327"/>
      <c r="L39" s="332"/>
      <c r="M39" s="328"/>
      <c r="N39" s="335"/>
      <c r="O39" s="338"/>
      <c r="P39" s="354" t="s">
        <v>133</v>
      </c>
      <c r="Q39" s="355"/>
      <c r="R39" s="355"/>
      <c r="S39" s="356"/>
      <c r="T39" s="354" t="s">
        <v>121</v>
      </c>
      <c r="U39" s="355"/>
      <c r="V39" s="355"/>
      <c r="W39" s="356"/>
      <c r="X39" s="372"/>
      <c r="Y39" s="373"/>
      <c r="Z39" s="374"/>
      <c r="AA39" s="372"/>
      <c r="AB39" s="373"/>
      <c r="AC39" s="373"/>
      <c r="AD39" s="373"/>
      <c r="AE39" s="373"/>
      <c r="AF39" s="373"/>
      <c r="AG39" s="373"/>
      <c r="AH39" s="374"/>
      <c r="AI39" s="372"/>
      <c r="AJ39" s="373"/>
      <c r="AK39" s="373"/>
      <c r="AL39" s="373"/>
      <c r="AM39" s="373"/>
      <c r="AN39" s="373"/>
      <c r="AO39" s="373"/>
      <c r="AP39" s="373"/>
      <c r="AQ39" s="374"/>
      <c r="AR39" s="376"/>
      <c r="AS39" s="378"/>
      <c r="AT39" s="380"/>
      <c r="AU39" s="339" t="s">
        <v>133</v>
      </c>
      <c r="AV39" s="340"/>
      <c r="AW39" s="340"/>
      <c r="AX39" s="341"/>
      <c r="AY39" s="342" t="s">
        <v>121</v>
      </c>
      <c r="AZ39" s="340"/>
      <c r="BA39" s="340"/>
      <c r="BB39" s="343"/>
      <c r="BC39" s="363"/>
      <c r="BD39" s="364"/>
      <c r="BE39" s="364"/>
      <c r="BF39" s="364"/>
      <c r="BG39" s="364"/>
      <c r="BH39" s="364"/>
      <c r="BI39" s="364"/>
      <c r="BJ39" s="365"/>
      <c r="BK39" s="11"/>
    </row>
    <row r="40" spans="1:63" ht="15.75" customHeight="1">
      <c r="B40" s="344">
        <v>1</v>
      </c>
      <c r="C40" s="345"/>
      <c r="D40" s="346"/>
      <c r="E40" s="347"/>
      <c r="F40" s="347"/>
      <c r="G40" s="347"/>
      <c r="H40" s="347"/>
      <c r="I40" s="347"/>
      <c r="J40" s="348"/>
      <c r="K40" s="349" t="s">
        <v>16</v>
      </c>
      <c r="L40" s="350"/>
      <c r="M40" s="351"/>
      <c r="N40" s="13" t="s">
        <v>17</v>
      </c>
      <c r="O40" s="14" t="s">
        <v>18</v>
      </c>
      <c r="P40" s="352" t="s">
        <v>17</v>
      </c>
      <c r="Q40" s="353"/>
      <c r="R40" s="353"/>
      <c r="S40" s="345"/>
      <c r="T40" s="352" t="s">
        <v>17</v>
      </c>
      <c r="U40" s="353"/>
      <c r="V40" s="353"/>
      <c r="W40" s="345"/>
      <c r="X40" s="381" t="s">
        <v>134</v>
      </c>
      <c r="Y40" s="382"/>
      <c r="Z40" s="383"/>
      <c r="AA40" s="344" t="s">
        <v>19</v>
      </c>
      <c r="AB40" s="353"/>
      <c r="AC40" s="353"/>
      <c r="AD40" s="353"/>
      <c r="AE40" s="353"/>
      <c r="AF40" s="353"/>
      <c r="AG40" s="353"/>
      <c r="AH40" s="345"/>
      <c r="AI40" s="384" t="s">
        <v>17</v>
      </c>
      <c r="AJ40" s="385"/>
      <c r="AK40" s="385"/>
      <c r="AL40" s="385"/>
      <c r="AM40" s="385"/>
      <c r="AN40" s="385"/>
      <c r="AO40" s="385"/>
      <c r="AP40" s="385"/>
      <c r="AQ40" s="386"/>
      <c r="AR40" s="15" t="s">
        <v>17</v>
      </c>
      <c r="AS40" s="15" t="s">
        <v>19</v>
      </c>
      <c r="AT40" s="15" t="s">
        <v>19</v>
      </c>
      <c r="AU40" s="344" t="s">
        <v>20</v>
      </c>
      <c r="AV40" s="353"/>
      <c r="AW40" s="353"/>
      <c r="AX40" s="345"/>
      <c r="AY40" s="344" t="s">
        <v>19</v>
      </c>
      <c r="AZ40" s="353"/>
      <c r="BA40" s="353"/>
      <c r="BB40" s="345"/>
      <c r="BC40" s="387"/>
      <c r="BD40" s="388"/>
      <c r="BE40" s="388"/>
      <c r="BF40" s="388"/>
      <c r="BG40" s="388"/>
      <c r="BH40" s="388"/>
      <c r="BI40" s="388"/>
      <c r="BJ40" s="389"/>
      <c r="BK40" s="11"/>
    </row>
    <row r="41" spans="1:63">
      <c r="B41" s="390">
        <v>2</v>
      </c>
      <c r="C41" s="391"/>
      <c r="D41" s="397"/>
      <c r="E41" s="398"/>
      <c r="F41" s="398"/>
      <c r="G41" s="398"/>
      <c r="H41" s="398"/>
      <c r="I41" s="398"/>
      <c r="J41" s="399"/>
      <c r="K41" s="349" t="s">
        <v>16</v>
      </c>
      <c r="L41" s="350"/>
      <c r="M41" s="351"/>
      <c r="N41" s="14" t="s">
        <v>21</v>
      </c>
      <c r="O41" s="14" t="s">
        <v>18</v>
      </c>
      <c r="P41" s="390" t="s">
        <v>20</v>
      </c>
      <c r="Q41" s="396"/>
      <c r="R41" s="396"/>
      <c r="S41" s="391"/>
      <c r="T41" s="390" t="s">
        <v>20</v>
      </c>
      <c r="U41" s="396"/>
      <c r="V41" s="396"/>
      <c r="W41" s="391"/>
      <c r="X41" s="410" t="s">
        <v>135</v>
      </c>
      <c r="Y41" s="411"/>
      <c r="Z41" s="412"/>
      <c r="AA41" s="390" t="s">
        <v>19</v>
      </c>
      <c r="AB41" s="396"/>
      <c r="AC41" s="396"/>
      <c r="AD41" s="396"/>
      <c r="AE41" s="396"/>
      <c r="AF41" s="396"/>
      <c r="AG41" s="396"/>
      <c r="AH41" s="391"/>
      <c r="AI41" s="403" t="s">
        <v>19</v>
      </c>
      <c r="AJ41" s="404"/>
      <c r="AK41" s="404"/>
      <c r="AL41" s="404"/>
      <c r="AM41" s="404"/>
      <c r="AN41" s="404"/>
      <c r="AO41" s="404"/>
      <c r="AP41" s="404"/>
      <c r="AQ41" s="405"/>
      <c r="AR41" s="16" t="s">
        <v>17</v>
      </c>
      <c r="AS41" s="16" t="s">
        <v>19</v>
      </c>
      <c r="AT41" s="16" t="s">
        <v>19</v>
      </c>
      <c r="AU41" s="390" t="s">
        <v>20</v>
      </c>
      <c r="AV41" s="396"/>
      <c r="AW41" s="396"/>
      <c r="AX41" s="391"/>
      <c r="AY41" s="390" t="s">
        <v>19</v>
      </c>
      <c r="AZ41" s="396"/>
      <c r="BA41" s="396"/>
      <c r="BB41" s="391"/>
      <c r="BC41" s="409"/>
      <c r="BD41" s="407"/>
      <c r="BE41" s="407"/>
      <c r="BF41" s="407"/>
      <c r="BG41" s="407"/>
      <c r="BH41" s="407"/>
      <c r="BI41" s="407"/>
      <c r="BJ41" s="408"/>
      <c r="BK41" s="11"/>
    </row>
    <row r="42" spans="1:63">
      <c r="B42" s="390">
        <v>3</v>
      </c>
      <c r="C42" s="391"/>
      <c r="D42" s="392"/>
      <c r="E42" s="393"/>
      <c r="F42" s="393"/>
      <c r="G42" s="393"/>
      <c r="H42" s="393"/>
      <c r="I42" s="393"/>
      <c r="J42" s="394"/>
      <c r="K42" s="349" t="s">
        <v>16</v>
      </c>
      <c r="L42" s="350"/>
      <c r="M42" s="351"/>
      <c r="N42" s="14" t="s">
        <v>22</v>
      </c>
      <c r="O42" s="14" t="s">
        <v>17</v>
      </c>
      <c r="P42" s="395" t="s">
        <v>17</v>
      </c>
      <c r="Q42" s="396"/>
      <c r="R42" s="396"/>
      <c r="S42" s="391"/>
      <c r="T42" s="390"/>
      <c r="U42" s="396"/>
      <c r="V42" s="396"/>
      <c r="W42" s="391"/>
      <c r="X42" s="400" t="s">
        <v>17</v>
      </c>
      <c r="Y42" s="401"/>
      <c r="Z42" s="402"/>
      <c r="AA42" s="390" t="s">
        <v>19</v>
      </c>
      <c r="AB42" s="396"/>
      <c r="AC42" s="396"/>
      <c r="AD42" s="396"/>
      <c r="AE42" s="396"/>
      <c r="AF42" s="396"/>
      <c r="AG42" s="396"/>
      <c r="AH42" s="391"/>
      <c r="AI42" s="403" t="s">
        <v>19</v>
      </c>
      <c r="AJ42" s="404"/>
      <c r="AK42" s="404"/>
      <c r="AL42" s="404"/>
      <c r="AM42" s="404"/>
      <c r="AN42" s="404"/>
      <c r="AO42" s="404"/>
      <c r="AP42" s="404"/>
      <c r="AQ42" s="405"/>
      <c r="AR42" s="16" t="s">
        <v>17</v>
      </c>
      <c r="AS42" s="16" t="s">
        <v>19</v>
      </c>
      <c r="AT42" s="16" t="s">
        <v>19</v>
      </c>
      <c r="AU42" s="390" t="s">
        <v>20</v>
      </c>
      <c r="AV42" s="396"/>
      <c r="AW42" s="396"/>
      <c r="AX42" s="391"/>
      <c r="AY42" s="390" t="s">
        <v>19</v>
      </c>
      <c r="AZ42" s="396"/>
      <c r="BA42" s="396"/>
      <c r="BB42" s="391"/>
      <c r="BC42" s="406"/>
      <c r="BD42" s="407"/>
      <c r="BE42" s="407"/>
      <c r="BF42" s="407"/>
      <c r="BG42" s="407"/>
      <c r="BH42" s="407"/>
      <c r="BI42" s="407"/>
      <c r="BJ42" s="408"/>
      <c r="BK42" s="11"/>
    </row>
    <row r="43" spans="1:63">
      <c r="B43" s="390">
        <v>4</v>
      </c>
      <c r="C43" s="391"/>
      <c r="D43" s="413"/>
      <c r="E43" s="414"/>
      <c r="F43" s="414"/>
      <c r="G43" s="414"/>
      <c r="H43" s="414"/>
      <c r="I43" s="414"/>
      <c r="J43" s="415"/>
      <c r="K43" s="349" t="s">
        <v>16</v>
      </c>
      <c r="L43" s="350"/>
      <c r="M43" s="351"/>
      <c r="N43" s="17" t="s">
        <v>21</v>
      </c>
      <c r="O43" s="14" t="s">
        <v>18</v>
      </c>
      <c r="P43" s="390" t="s">
        <v>20</v>
      </c>
      <c r="Q43" s="396"/>
      <c r="R43" s="396"/>
      <c r="S43" s="391"/>
      <c r="T43" s="390" t="s">
        <v>20</v>
      </c>
      <c r="U43" s="396"/>
      <c r="V43" s="396"/>
      <c r="W43" s="391"/>
      <c r="X43" s="416" t="s">
        <v>23</v>
      </c>
      <c r="Y43" s="396"/>
      <c r="Z43" s="391"/>
      <c r="AA43" s="390" t="s">
        <v>19</v>
      </c>
      <c r="AB43" s="396"/>
      <c r="AC43" s="396"/>
      <c r="AD43" s="396"/>
      <c r="AE43" s="396"/>
      <c r="AF43" s="396"/>
      <c r="AG43" s="396"/>
      <c r="AH43" s="391"/>
      <c r="AI43" s="403" t="s">
        <v>19</v>
      </c>
      <c r="AJ43" s="404"/>
      <c r="AK43" s="404"/>
      <c r="AL43" s="404"/>
      <c r="AM43" s="404"/>
      <c r="AN43" s="404"/>
      <c r="AO43" s="404"/>
      <c r="AP43" s="404"/>
      <c r="AQ43" s="405"/>
      <c r="AR43" s="16" t="s">
        <v>17</v>
      </c>
      <c r="AS43" s="16" t="s">
        <v>19</v>
      </c>
      <c r="AT43" s="16" t="s">
        <v>19</v>
      </c>
      <c r="AU43" s="390" t="s">
        <v>20</v>
      </c>
      <c r="AV43" s="396"/>
      <c r="AW43" s="396"/>
      <c r="AX43" s="391"/>
      <c r="AY43" s="390" t="s">
        <v>19</v>
      </c>
      <c r="AZ43" s="396"/>
      <c r="BA43" s="396"/>
      <c r="BB43" s="391"/>
      <c r="BC43" s="417"/>
      <c r="BD43" s="418"/>
      <c r="BE43" s="418"/>
      <c r="BF43" s="418"/>
      <c r="BG43" s="418"/>
      <c r="BH43" s="418"/>
      <c r="BI43" s="418"/>
      <c r="BJ43" s="419"/>
      <c r="BK43" s="11"/>
    </row>
    <row r="44" spans="1:63">
      <c r="B44" s="390">
        <v>5</v>
      </c>
      <c r="C44" s="391"/>
      <c r="D44" s="392"/>
      <c r="E44" s="393"/>
      <c r="F44" s="393"/>
      <c r="G44" s="393"/>
      <c r="H44" s="393"/>
      <c r="I44" s="393"/>
      <c r="J44" s="394"/>
      <c r="K44" s="349" t="s">
        <v>24</v>
      </c>
      <c r="L44" s="350"/>
      <c r="M44" s="351"/>
      <c r="N44" s="17" t="s">
        <v>22</v>
      </c>
      <c r="O44" s="14" t="s">
        <v>17</v>
      </c>
      <c r="P44" s="390" t="s">
        <v>20</v>
      </c>
      <c r="Q44" s="396"/>
      <c r="R44" s="396"/>
      <c r="S44" s="391"/>
      <c r="T44" s="390" t="s">
        <v>20</v>
      </c>
      <c r="U44" s="396"/>
      <c r="V44" s="396"/>
      <c r="W44" s="391"/>
      <c r="X44" s="416" t="s">
        <v>17</v>
      </c>
      <c r="Y44" s="396"/>
      <c r="Z44" s="391"/>
      <c r="AA44" s="390" t="s">
        <v>19</v>
      </c>
      <c r="AB44" s="396"/>
      <c r="AC44" s="396"/>
      <c r="AD44" s="396"/>
      <c r="AE44" s="396"/>
      <c r="AF44" s="396"/>
      <c r="AG44" s="396"/>
      <c r="AH44" s="391"/>
      <c r="AI44" s="403" t="s">
        <v>19</v>
      </c>
      <c r="AJ44" s="404"/>
      <c r="AK44" s="404"/>
      <c r="AL44" s="404"/>
      <c r="AM44" s="404"/>
      <c r="AN44" s="404"/>
      <c r="AO44" s="404"/>
      <c r="AP44" s="404"/>
      <c r="AQ44" s="405"/>
      <c r="AR44" s="16" t="s">
        <v>17</v>
      </c>
      <c r="AS44" s="16" t="s">
        <v>19</v>
      </c>
      <c r="AT44" s="16" t="s">
        <v>19</v>
      </c>
      <c r="AU44" s="390" t="s">
        <v>20</v>
      </c>
      <c r="AV44" s="396"/>
      <c r="AW44" s="396"/>
      <c r="AX44" s="391"/>
      <c r="AY44" s="390" t="s">
        <v>19</v>
      </c>
      <c r="AZ44" s="396"/>
      <c r="BA44" s="396"/>
      <c r="BB44" s="391"/>
      <c r="BC44" s="406"/>
      <c r="BD44" s="407"/>
      <c r="BE44" s="407"/>
      <c r="BF44" s="407"/>
      <c r="BG44" s="407"/>
      <c r="BH44" s="407"/>
      <c r="BI44" s="407"/>
      <c r="BJ44" s="408"/>
      <c r="BK44" s="11"/>
    </row>
    <row r="45" spans="1:63">
      <c r="B45" s="420">
        <v>6</v>
      </c>
      <c r="C45" s="422"/>
      <c r="D45" s="429"/>
      <c r="E45" s="430"/>
      <c r="F45" s="430"/>
      <c r="G45" s="430"/>
      <c r="H45" s="430"/>
      <c r="I45" s="430"/>
      <c r="J45" s="431"/>
      <c r="K45" s="432" t="s">
        <v>25</v>
      </c>
      <c r="L45" s="433"/>
      <c r="M45" s="434"/>
      <c r="N45" s="18" t="s">
        <v>22</v>
      </c>
      <c r="O45" s="18" t="s">
        <v>18</v>
      </c>
      <c r="P45" s="420" t="s">
        <v>20</v>
      </c>
      <c r="Q45" s="421"/>
      <c r="R45" s="421"/>
      <c r="S45" s="422"/>
      <c r="T45" s="420" t="s">
        <v>20</v>
      </c>
      <c r="U45" s="421"/>
      <c r="V45" s="421"/>
      <c r="W45" s="422"/>
      <c r="X45" s="435" t="s">
        <v>136</v>
      </c>
      <c r="Y45" s="436"/>
      <c r="Z45" s="437"/>
      <c r="AA45" s="420" t="s">
        <v>19</v>
      </c>
      <c r="AB45" s="421"/>
      <c r="AC45" s="421"/>
      <c r="AD45" s="421"/>
      <c r="AE45" s="421"/>
      <c r="AF45" s="421"/>
      <c r="AG45" s="421"/>
      <c r="AH45" s="422"/>
      <c r="AI45" s="423" t="s">
        <v>26</v>
      </c>
      <c r="AJ45" s="424"/>
      <c r="AK45" s="424"/>
      <c r="AL45" s="424"/>
      <c r="AM45" s="424"/>
      <c r="AN45" s="424"/>
      <c r="AO45" s="424"/>
      <c r="AP45" s="424"/>
      <c r="AQ45" s="425"/>
      <c r="AR45" s="19" t="s">
        <v>17</v>
      </c>
      <c r="AS45" s="19" t="s">
        <v>19</v>
      </c>
      <c r="AT45" s="19" t="s">
        <v>19</v>
      </c>
      <c r="AU45" s="420" t="s">
        <v>20</v>
      </c>
      <c r="AV45" s="421"/>
      <c r="AW45" s="421"/>
      <c r="AX45" s="422"/>
      <c r="AY45" s="420" t="s">
        <v>19</v>
      </c>
      <c r="AZ45" s="421"/>
      <c r="BA45" s="421"/>
      <c r="BB45" s="422"/>
      <c r="BC45" s="426" t="s">
        <v>27</v>
      </c>
      <c r="BD45" s="427"/>
      <c r="BE45" s="427"/>
      <c r="BF45" s="427"/>
      <c r="BG45" s="427"/>
      <c r="BH45" s="427"/>
      <c r="BI45" s="427"/>
      <c r="BJ45" s="428"/>
      <c r="BK45" s="11"/>
    </row>
    <row r="46" spans="1:63">
      <c r="BK46" s="11"/>
    </row>
    <row r="47" spans="1:63">
      <c r="BK47" s="11"/>
    </row>
    <row r="48" spans="1:63">
      <c r="BK48" s="11"/>
    </row>
    <row r="49" spans="1:63">
      <c r="BK49" s="11"/>
    </row>
    <row r="50" spans="1:63">
      <c r="BK50" s="11"/>
    </row>
    <row r="51" spans="1:63">
      <c r="BK51" s="11"/>
    </row>
    <row r="52" spans="1:63">
      <c r="BK52" s="11"/>
    </row>
    <row r="53" spans="1:63">
      <c r="BK53" s="11"/>
    </row>
    <row r="54" spans="1:63">
      <c r="BK54" s="11"/>
    </row>
    <row r="55" spans="1:6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9"/>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800-000000000000}">
      <formula1>"－,●"</formula1>
    </dataValidation>
  </dataValidations>
  <pageMargins left="0.7" right="0.7" top="0.75" bottom="0.75" header="0.3" footer="0.3"/>
  <pageSetup scale="3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cols>
    <col min="1" max="60" width="2.77734375" style="51" customWidth="1"/>
    <col min="61" max="16384" width="2.77734375" style="51"/>
  </cols>
  <sheetData>
    <row r="1" spans="1:63" ht="24.95" customHeight="1">
      <c r="A1" s="307" t="s">
        <v>89</v>
      </c>
      <c r="B1" s="308"/>
      <c r="C1" s="308"/>
      <c r="D1" s="308"/>
      <c r="E1" s="308"/>
      <c r="F1" s="308"/>
      <c r="G1" s="308"/>
      <c r="H1" s="308"/>
      <c r="I1" s="308"/>
      <c r="J1" s="309"/>
      <c r="K1" s="307" t="s">
        <v>90</v>
      </c>
      <c r="L1" s="308"/>
      <c r="M1" s="308"/>
      <c r="N1" s="308"/>
      <c r="O1" s="308"/>
      <c r="P1" s="308"/>
      <c r="Q1" s="308"/>
      <c r="R1" s="308"/>
      <c r="S1" s="308"/>
      <c r="T1" s="308"/>
      <c r="U1" s="308"/>
      <c r="V1" s="309"/>
      <c r="W1" s="310" t="str">
        <f>IF(表紙!W1="","",表紙!W1)</f>
        <v>基本設計書</v>
      </c>
      <c r="X1" s="311"/>
      <c r="Y1" s="311"/>
      <c r="Z1" s="311"/>
      <c r="AA1" s="311"/>
      <c r="AB1" s="311"/>
      <c r="AC1" s="311"/>
      <c r="AD1" s="311"/>
      <c r="AE1" s="311"/>
      <c r="AF1" s="311"/>
      <c r="AG1" s="311"/>
      <c r="AH1" s="311"/>
      <c r="AI1" s="311"/>
      <c r="AJ1" s="311"/>
      <c r="AK1" s="311"/>
      <c r="AL1" s="311"/>
      <c r="AM1" s="311"/>
      <c r="AN1" s="311"/>
      <c r="AO1" s="312"/>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3" ht="15" customHeight="1">
      <c r="A2" s="301" t="str">
        <f>IF(表紙!A2="","",表紙!A2)</f>
        <v>POSサーバー</v>
      </c>
      <c r="B2" s="302"/>
      <c r="C2" s="302"/>
      <c r="D2" s="302"/>
      <c r="E2" s="302"/>
      <c r="F2" s="302"/>
      <c r="G2" s="302"/>
      <c r="H2" s="302"/>
      <c r="I2" s="302"/>
      <c r="J2" s="303"/>
      <c r="K2" s="301" t="str">
        <f>IF(表紙!K2="","",表紙!K2)</f>
        <v>POSサーバ</v>
      </c>
      <c r="L2" s="302"/>
      <c r="M2" s="302"/>
      <c r="N2" s="302"/>
      <c r="O2" s="302"/>
      <c r="P2" s="302"/>
      <c r="Q2" s="302"/>
      <c r="R2" s="302"/>
      <c r="S2" s="302"/>
      <c r="T2" s="302"/>
      <c r="U2" s="302"/>
      <c r="V2" s="303"/>
      <c r="W2" s="313"/>
      <c r="X2" s="314"/>
      <c r="Y2" s="314"/>
      <c r="Z2" s="314"/>
      <c r="AA2" s="314"/>
      <c r="AB2" s="314"/>
      <c r="AC2" s="314"/>
      <c r="AD2" s="314"/>
      <c r="AE2" s="314"/>
      <c r="AF2" s="314"/>
      <c r="AG2" s="314"/>
      <c r="AH2" s="314"/>
      <c r="AI2" s="314"/>
      <c r="AJ2" s="314"/>
      <c r="AK2" s="314"/>
      <c r="AL2" s="314"/>
      <c r="AM2" s="314"/>
      <c r="AN2" s="314"/>
      <c r="AO2" s="315"/>
      <c r="AP2" s="108" t="str">
        <f>IF(表紙!AP2="","",表紙!AP2)</f>
        <v>TinNH</v>
      </c>
      <c r="AQ2" s="109"/>
      <c r="AR2" s="109"/>
      <c r="AS2" s="110"/>
      <c r="AT2" s="137">
        <f>IF(表紙!AT2="","",表紙!AT2)</f>
        <v>45467</v>
      </c>
      <c r="AU2" s="138"/>
      <c r="AV2" s="138"/>
      <c r="AW2" s="138"/>
      <c r="AX2" s="139"/>
      <c r="AY2" s="108" t="str">
        <f>IF(表紙!AY2="","",表紙!AY2)</f>
        <v>AnhNM</v>
      </c>
      <c r="AZ2" s="109"/>
      <c r="BA2" s="109"/>
      <c r="BB2" s="110"/>
      <c r="BC2" s="137">
        <f>IF(表紙!BC2="","",表紙!BC2)</f>
        <v>45590</v>
      </c>
      <c r="BD2" s="138"/>
      <c r="BE2" s="138"/>
      <c r="BF2" s="138"/>
      <c r="BG2" s="139"/>
      <c r="BH2" s="108">
        <f>IF(表紙!BH2="","",表紙!BH2)</f>
        <v>0.4</v>
      </c>
      <c r="BI2" s="109"/>
      <c r="BJ2" s="109"/>
      <c r="BK2" s="110"/>
    </row>
    <row r="3" spans="1:63" ht="15" customHeight="1">
      <c r="A3" s="304"/>
      <c r="B3" s="305"/>
      <c r="C3" s="305"/>
      <c r="D3" s="305"/>
      <c r="E3" s="305"/>
      <c r="F3" s="305"/>
      <c r="G3" s="305"/>
      <c r="H3" s="305"/>
      <c r="I3" s="305"/>
      <c r="J3" s="306"/>
      <c r="K3" s="304"/>
      <c r="L3" s="305"/>
      <c r="M3" s="305"/>
      <c r="N3" s="305"/>
      <c r="O3" s="305"/>
      <c r="P3" s="305"/>
      <c r="Q3" s="305"/>
      <c r="R3" s="305"/>
      <c r="S3" s="305"/>
      <c r="T3" s="305"/>
      <c r="U3" s="305"/>
      <c r="V3" s="306"/>
      <c r="W3" s="316"/>
      <c r="X3" s="317"/>
      <c r="Y3" s="317"/>
      <c r="Z3" s="317"/>
      <c r="AA3" s="317"/>
      <c r="AB3" s="317"/>
      <c r="AC3" s="317"/>
      <c r="AD3" s="317"/>
      <c r="AE3" s="317"/>
      <c r="AF3" s="317"/>
      <c r="AG3" s="317"/>
      <c r="AH3" s="317"/>
      <c r="AI3" s="317"/>
      <c r="AJ3" s="317"/>
      <c r="AK3" s="317"/>
      <c r="AL3" s="317"/>
      <c r="AM3" s="317"/>
      <c r="AN3" s="317"/>
      <c r="AO3" s="318"/>
      <c r="AP3" s="114"/>
      <c r="AQ3" s="115"/>
      <c r="AR3" s="115"/>
      <c r="AS3" s="116"/>
      <c r="AT3" s="140"/>
      <c r="AU3" s="141"/>
      <c r="AV3" s="141"/>
      <c r="AW3" s="141"/>
      <c r="AX3" s="142"/>
      <c r="AY3" s="114"/>
      <c r="AZ3" s="115"/>
      <c r="BA3" s="115"/>
      <c r="BB3" s="116"/>
      <c r="BC3" s="140"/>
      <c r="BD3" s="141"/>
      <c r="BE3" s="141"/>
      <c r="BF3" s="141"/>
      <c r="BG3" s="142"/>
      <c r="BH3" s="114"/>
      <c r="BI3" s="115"/>
      <c r="BJ3" s="115"/>
      <c r="BK3" s="116"/>
    </row>
    <row r="4" spans="1:63" ht="24.95" customHeight="1">
      <c r="A4" s="307" t="s">
        <v>98</v>
      </c>
      <c r="B4" s="308"/>
      <c r="C4" s="308"/>
      <c r="D4" s="308"/>
      <c r="E4" s="308"/>
      <c r="F4" s="308"/>
      <c r="G4" s="309"/>
      <c r="H4" s="319" t="str">
        <f>IF(表紙!H4="","",表紙!H4)</f>
        <v>96_カテゴリ割引レシートクーポン設定</v>
      </c>
      <c r="I4" s="320"/>
      <c r="J4" s="320"/>
      <c r="K4" s="320"/>
      <c r="L4" s="320"/>
      <c r="M4" s="320"/>
      <c r="N4" s="320"/>
      <c r="O4" s="320"/>
      <c r="P4" s="320"/>
      <c r="Q4" s="320"/>
      <c r="R4" s="320"/>
      <c r="S4" s="320"/>
      <c r="T4" s="321"/>
      <c r="U4" s="307" t="s">
        <v>99</v>
      </c>
      <c r="V4" s="308"/>
      <c r="W4" s="308"/>
      <c r="X4" s="308"/>
      <c r="Y4" s="309"/>
      <c r="Z4" s="319" t="str">
        <f>IF(表紙!Z4="","",表紙!Z4)</f>
        <v>概要設計</v>
      </c>
      <c r="AA4" s="320"/>
      <c r="AB4" s="320"/>
      <c r="AC4" s="320"/>
      <c r="AD4" s="320"/>
      <c r="AE4" s="320"/>
      <c r="AF4" s="320"/>
      <c r="AG4" s="320"/>
      <c r="AH4" s="320"/>
      <c r="AI4" s="320"/>
      <c r="AJ4" s="320"/>
      <c r="AK4" s="320"/>
      <c r="AL4" s="320"/>
      <c r="AM4" s="320"/>
      <c r="AN4" s="320"/>
      <c r="AO4" s="321"/>
      <c r="AP4" s="322" t="str">
        <f ca="1">MID(CELL("filename",A1),FIND("]",CELL("filename",A1))+1,255)</f>
        <v>テンプレート</v>
      </c>
      <c r="AQ4" s="320"/>
      <c r="AR4" s="320"/>
      <c r="AS4" s="320"/>
      <c r="AT4" s="320"/>
      <c r="AU4" s="320"/>
      <c r="AV4" s="320"/>
      <c r="AW4" s="320"/>
      <c r="AX4" s="320"/>
      <c r="AY4" s="320"/>
      <c r="AZ4" s="320"/>
      <c r="BA4" s="320"/>
      <c r="BB4" s="320"/>
      <c r="BC4" s="320"/>
      <c r="BD4" s="320"/>
      <c r="BE4" s="320"/>
      <c r="BF4" s="320"/>
      <c r="BG4" s="320"/>
      <c r="BH4" s="320"/>
      <c r="BI4" s="320"/>
      <c r="BJ4" s="320"/>
      <c r="BK4" s="321"/>
    </row>
    <row r="5" spans="1:63" ht="5.0999999999999996" customHeight="1">
      <c r="A5" s="52"/>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4"/>
    </row>
    <row r="6" spans="1:63" ht="15" customHeight="1">
      <c r="A6" s="55"/>
      <c r="BK6" s="56"/>
    </row>
    <row r="7" spans="1:63" ht="15" customHeight="1">
      <c r="A7" s="55"/>
      <c r="B7" s="88"/>
      <c r="C7" s="89"/>
      <c r="D7" s="74"/>
      <c r="E7" s="74"/>
      <c r="F7" s="74"/>
      <c r="G7" s="74"/>
      <c r="H7" s="74"/>
      <c r="I7" s="74"/>
      <c r="J7" s="74"/>
      <c r="K7" s="74"/>
      <c r="L7" s="74"/>
      <c r="M7" s="74"/>
      <c r="N7" s="74"/>
      <c r="O7" s="74"/>
      <c r="P7" s="74"/>
      <c r="Q7" s="74"/>
      <c r="R7" s="74"/>
      <c r="S7" s="74"/>
      <c r="T7" s="90"/>
      <c r="U7" s="89"/>
      <c r="V7" s="74"/>
      <c r="W7" s="74"/>
      <c r="X7" s="74"/>
      <c r="Y7" s="74"/>
      <c r="Z7" s="74"/>
      <c r="AA7" s="74"/>
      <c r="AB7" s="74"/>
      <c r="AC7" s="90"/>
      <c r="AD7" s="89"/>
      <c r="AE7" s="74"/>
      <c r="AF7" s="74"/>
      <c r="AG7" s="74"/>
      <c r="AH7" s="74"/>
      <c r="AI7" s="74"/>
      <c r="AJ7" s="74"/>
      <c r="AK7" s="74"/>
      <c r="AL7" s="90"/>
      <c r="AM7" s="89"/>
      <c r="AN7" s="74"/>
      <c r="AO7" s="74"/>
      <c r="AP7" s="74"/>
      <c r="AQ7" s="74"/>
      <c r="AR7" s="74"/>
      <c r="AS7" s="74"/>
      <c r="AT7" s="74"/>
      <c r="AU7" s="74"/>
      <c r="AV7" s="74"/>
      <c r="AW7" s="74"/>
      <c r="AX7" s="74"/>
      <c r="AY7" s="74"/>
      <c r="AZ7" s="74"/>
      <c r="BA7" s="74"/>
      <c r="BB7" s="74"/>
      <c r="BC7" s="74"/>
      <c r="BD7" s="74"/>
      <c r="BE7" s="74"/>
      <c r="BF7" s="74"/>
      <c r="BG7" s="74"/>
      <c r="BH7" s="74"/>
      <c r="BI7" s="90"/>
      <c r="BJ7" s="74"/>
      <c r="BK7" s="56"/>
    </row>
    <row r="8" spans="1:63" ht="15" customHeight="1">
      <c r="A8" s="55"/>
      <c r="C8" s="91"/>
      <c r="U8" s="91"/>
      <c r="AD8" s="91"/>
      <c r="AM8" s="91"/>
      <c r="BI8" s="93"/>
    </row>
    <row r="9" spans="1:63" ht="15" customHeight="1">
      <c r="A9" s="55"/>
      <c r="C9" s="91"/>
      <c r="U9" s="91"/>
      <c r="AD9" s="91"/>
      <c r="AM9" s="91"/>
      <c r="BI9" s="93"/>
    </row>
    <row r="10" spans="1:63" ht="15" customHeight="1">
      <c r="A10" s="55"/>
      <c r="C10" s="91"/>
      <c r="U10" s="91"/>
      <c r="AD10" s="91"/>
      <c r="AM10" s="91"/>
      <c r="BI10" s="93"/>
    </row>
    <row r="11" spans="1:63" ht="15" customHeight="1">
      <c r="A11" s="55"/>
      <c r="C11" s="91"/>
      <c r="U11" s="91"/>
      <c r="AD11" s="91"/>
      <c r="AM11" s="91"/>
      <c r="BI11" s="93"/>
    </row>
    <row r="12" spans="1:63" ht="15" customHeight="1">
      <c r="A12" s="55"/>
      <c r="C12" s="91"/>
      <c r="U12" s="91"/>
      <c r="AD12" s="91"/>
      <c r="AM12" s="91"/>
      <c r="AX12" s="51" t="s">
        <v>29</v>
      </c>
      <c r="BI12" s="93"/>
    </row>
    <row r="13" spans="1:63" ht="15" customHeight="1">
      <c r="A13" s="55"/>
      <c r="C13" s="91"/>
      <c r="U13" s="91"/>
      <c r="AD13" s="91"/>
      <c r="AM13" s="91"/>
      <c r="BI13" s="93"/>
    </row>
    <row r="14" spans="1:63" ht="15" customHeight="1">
      <c r="A14" s="55"/>
      <c r="C14" s="91"/>
      <c r="U14" s="91"/>
      <c r="AD14" s="91"/>
      <c r="AM14" s="91"/>
      <c r="BI14" s="93"/>
    </row>
    <row r="15" spans="1:63" ht="15" customHeight="1">
      <c r="A15" s="55"/>
      <c r="C15" s="91"/>
      <c r="U15" s="91"/>
      <c r="AD15" s="91"/>
      <c r="AM15" s="91"/>
      <c r="BI15" s="93"/>
    </row>
    <row r="16" spans="1:63" ht="15" customHeight="1">
      <c r="A16" s="55"/>
      <c r="C16" s="91"/>
      <c r="U16" s="91"/>
      <c r="AD16" s="91"/>
      <c r="AM16" s="91"/>
      <c r="BI16" s="93"/>
    </row>
    <row r="17" spans="1:61" ht="15" customHeight="1">
      <c r="A17" s="55"/>
      <c r="C17" s="91"/>
      <c r="U17" s="91"/>
      <c r="AD17" s="91"/>
      <c r="AM17" s="91"/>
      <c r="BI17" s="93"/>
    </row>
    <row r="18" spans="1:61" ht="15" customHeight="1">
      <c r="A18" s="55"/>
      <c r="C18" s="91"/>
      <c r="U18" s="91"/>
      <c r="AD18" s="91"/>
      <c r="AM18" s="91"/>
      <c r="BI18" s="93"/>
    </row>
    <row r="19" spans="1:61" ht="15" customHeight="1">
      <c r="A19" s="55"/>
      <c r="C19" s="91"/>
      <c r="U19" s="91"/>
      <c r="AD19" s="91"/>
      <c r="AM19" s="91"/>
      <c r="BI19" s="93"/>
    </row>
    <row r="20" spans="1:61" ht="15" customHeight="1">
      <c r="A20" s="55"/>
      <c r="C20" s="91"/>
      <c r="U20" s="91"/>
      <c r="AD20" s="91"/>
      <c r="AM20" s="91"/>
      <c r="BI20" s="93"/>
    </row>
    <row r="21" spans="1:61" ht="15" customHeight="1">
      <c r="A21" s="55"/>
      <c r="C21" s="91"/>
      <c r="U21" s="91"/>
      <c r="AD21" s="91"/>
      <c r="AM21" s="91"/>
      <c r="BI21" s="93"/>
    </row>
    <row r="22" spans="1:61" ht="15" customHeight="1">
      <c r="A22" s="55"/>
      <c r="C22" s="91"/>
      <c r="U22" s="91"/>
      <c r="AD22" s="91"/>
      <c r="AM22" s="91"/>
      <c r="BI22" s="93"/>
    </row>
    <row r="23" spans="1:61" ht="15" customHeight="1">
      <c r="A23" s="55"/>
      <c r="C23" s="91"/>
      <c r="U23" s="91"/>
      <c r="AD23" s="91"/>
      <c r="AM23" s="91"/>
      <c r="BI23" s="93"/>
    </row>
    <row r="24" spans="1:61" ht="15" customHeight="1">
      <c r="A24" s="55"/>
      <c r="C24" s="91"/>
      <c r="U24" s="91"/>
      <c r="AD24" s="91"/>
      <c r="AM24" s="91"/>
      <c r="BI24" s="93"/>
    </row>
    <row r="25" spans="1:61" ht="15" customHeight="1">
      <c r="A25" s="55"/>
      <c r="C25" s="91"/>
      <c r="U25" s="91"/>
      <c r="AD25" s="91"/>
      <c r="AM25" s="91"/>
      <c r="BI25" s="93"/>
    </row>
    <row r="26" spans="1:61" ht="15" customHeight="1">
      <c r="A26" s="55"/>
      <c r="C26" s="91"/>
      <c r="U26" s="91"/>
      <c r="AD26" s="91"/>
      <c r="AM26" s="91"/>
      <c r="BI26" s="93"/>
    </row>
    <row r="27" spans="1:61" ht="15" customHeight="1">
      <c r="A27" s="55"/>
      <c r="C27" s="91"/>
      <c r="U27" s="91"/>
      <c r="AD27" s="91"/>
      <c r="AM27" s="91"/>
      <c r="BI27" s="93"/>
    </row>
    <row r="28" spans="1:61" ht="15" customHeight="1">
      <c r="A28" s="55"/>
      <c r="C28" s="91"/>
      <c r="U28" s="91"/>
      <c r="AD28" s="91"/>
      <c r="AM28" s="91"/>
      <c r="BI28" s="93"/>
    </row>
    <row r="29" spans="1:61" ht="15" customHeight="1">
      <c r="A29" s="55"/>
      <c r="C29" s="91"/>
      <c r="U29" s="91"/>
      <c r="AD29" s="91"/>
      <c r="AM29" s="91"/>
      <c r="BI29" s="93"/>
    </row>
    <row r="30" spans="1:61" ht="15" customHeight="1">
      <c r="A30" s="55"/>
      <c r="C30" s="91"/>
      <c r="U30" s="91"/>
      <c r="AD30" s="91"/>
      <c r="AM30" s="91"/>
      <c r="BI30" s="93"/>
    </row>
    <row r="31" spans="1:61" ht="15" customHeight="1">
      <c r="A31" s="55"/>
      <c r="C31" s="91"/>
      <c r="U31" s="91"/>
      <c r="AD31" s="91"/>
      <c r="AM31" s="91"/>
      <c r="BI31" s="93"/>
    </row>
    <row r="32" spans="1:61" ht="15" customHeight="1">
      <c r="A32" s="55"/>
      <c r="C32" s="91"/>
      <c r="U32" s="91"/>
      <c r="AD32" s="91"/>
      <c r="AM32" s="91"/>
      <c r="BI32" s="93"/>
    </row>
    <row r="33" spans="1:61" ht="15" customHeight="1">
      <c r="A33" s="55"/>
      <c r="C33" s="91"/>
      <c r="U33" s="91"/>
      <c r="AD33" s="91"/>
      <c r="AM33" s="91"/>
      <c r="BI33" s="93"/>
    </row>
    <row r="34" spans="1:61" ht="15" customHeight="1">
      <c r="A34" s="55"/>
      <c r="C34" s="91"/>
      <c r="U34" s="91"/>
      <c r="AD34" s="91"/>
      <c r="AM34" s="91"/>
      <c r="BI34" s="93"/>
    </row>
    <row r="35" spans="1:61" ht="15" customHeight="1">
      <c r="A35" s="55"/>
      <c r="C35" s="91"/>
      <c r="U35" s="91"/>
      <c r="AD35" s="91"/>
      <c r="AM35" s="91"/>
      <c r="BI35" s="93"/>
    </row>
    <row r="36" spans="1:61" ht="15" customHeight="1">
      <c r="A36" s="55"/>
      <c r="C36" s="91"/>
      <c r="U36" s="91"/>
      <c r="AD36" s="91"/>
      <c r="AM36" s="91"/>
      <c r="BI36" s="93"/>
    </row>
    <row r="37" spans="1:61" ht="15" customHeight="1">
      <c r="A37" s="55"/>
      <c r="C37" s="91"/>
      <c r="U37" s="91"/>
      <c r="AD37" s="91"/>
      <c r="AM37" s="91"/>
      <c r="BI37" s="93"/>
    </row>
    <row r="38" spans="1:61" ht="15" customHeight="1">
      <c r="A38" s="55"/>
      <c r="C38" s="91"/>
      <c r="U38" s="91"/>
      <c r="AD38" s="91"/>
      <c r="AM38" s="91"/>
      <c r="BI38" s="93"/>
    </row>
    <row r="39" spans="1:61" ht="15" customHeight="1">
      <c r="A39" s="55"/>
      <c r="C39" s="91"/>
      <c r="U39" s="91"/>
      <c r="AD39" s="91"/>
      <c r="AM39" s="91"/>
      <c r="BI39" s="93"/>
    </row>
    <row r="40" spans="1:61" ht="15" customHeight="1">
      <c r="A40" s="55"/>
      <c r="C40" s="91"/>
      <c r="U40" s="91"/>
      <c r="AD40" s="91"/>
      <c r="AM40" s="91"/>
      <c r="BI40" s="93"/>
    </row>
    <row r="41" spans="1:61" ht="15" customHeight="1">
      <c r="A41" s="55"/>
      <c r="C41" s="91"/>
      <c r="U41" s="91"/>
      <c r="AD41" s="91"/>
      <c r="AM41" s="91"/>
      <c r="BI41" s="93"/>
    </row>
    <row r="42" spans="1:61" ht="15" customHeight="1">
      <c r="A42" s="55"/>
      <c r="C42" s="91"/>
      <c r="U42" s="91"/>
      <c r="AD42" s="91"/>
      <c r="AM42" s="91"/>
      <c r="BI42" s="93"/>
    </row>
    <row r="43" spans="1:61" ht="15" customHeight="1">
      <c r="A43" s="55"/>
      <c r="C43" s="91"/>
      <c r="U43" s="91"/>
      <c r="AD43" s="91"/>
      <c r="AM43" s="91"/>
      <c r="BI43" s="93"/>
    </row>
    <row r="44" spans="1:61" ht="15" customHeight="1">
      <c r="A44" s="55"/>
      <c r="C44" s="91"/>
      <c r="U44" s="91"/>
      <c r="AD44" s="91"/>
      <c r="AM44" s="91"/>
      <c r="BI44" s="93"/>
    </row>
    <row r="45" spans="1:61" ht="15" customHeight="1">
      <c r="A45" s="55"/>
      <c r="C45" s="91"/>
      <c r="U45" s="91"/>
      <c r="AD45" s="91"/>
      <c r="AM45" s="91"/>
      <c r="BI45" s="93"/>
    </row>
    <row r="46" spans="1:61" ht="15" customHeight="1">
      <c r="A46" s="55"/>
      <c r="C46" s="91"/>
      <c r="U46" s="91"/>
      <c r="AD46" s="91"/>
      <c r="AM46" s="91"/>
      <c r="BI46" s="93"/>
    </row>
    <row r="47" spans="1:61" ht="15" customHeight="1">
      <c r="A47" s="55"/>
      <c r="C47" s="91"/>
      <c r="U47" s="91"/>
      <c r="AD47" s="91"/>
      <c r="AM47" s="91"/>
      <c r="BI47" s="93"/>
    </row>
    <row r="48" spans="1:61" ht="15" customHeight="1">
      <c r="A48" s="55"/>
      <c r="C48" s="91"/>
      <c r="U48" s="91"/>
      <c r="AD48" s="91"/>
      <c r="AM48" s="91"/>
      <c r="BI48" s="93"/>
    </row>
    <row r="49" spans="1:63" ht="15" customHeight="1">
      <c r="A49" s="55"/>
      <c r="C49" s="91"/>
      <c r="U49" s="91"/>
      <c r="AD49" s="91"/>
      <c r="AM49" s="91"/>
      <c r="BI49" s="93"/>
    </row>
    <row r="50" spans="1:63" ht="15" customHeight="1">
      <c r="A50" s="55"/>
      <c r="C50" s="91"/>
      <c r="U50" s="91"/>
      <c r="AD50" s="91"/>
      <c r="AM50" s="91"/>
      <c r="BI50" s="93"/>
    </row>
    <row r="51" spans="1:63" ht="15" customHeight="1">
      <c r="A51" s="55"/>
      <c r="C51" s="91"/>
      <c r="U51" s="91"/>
      <c r="AD51" s="91"/>
      <c r="AM51" s="91"/>
      <c r="BI51" s="93"/>
    </row>
    <row r="52" spans="1:63" ht="15" customHeight="1">
      <c r="A52" s="55"/>
      <c r="C52" s="91"/>
      <c r="U52" s="91"/>
      <c r="AD52" s="91"/>
      <c r="AM52" s="91"/>
      <c r="BI52" s="93"/>
    </row>
    <row r="53" spans="1:63" ht="15" customHeight="1">
      <c r="A53" s="55"/>
      <c r="C53" s="91"/>
      <c r="U53" s="91"/>
      <c r="AD53" s="91"/>
      <c r="AM53" s="91"/>
      <c r="BI53" s="93"/>
    </row>
    <row r="54" spans="1:63" ht="15" customHeight="1">
      <c r="A54" s="55"/>
      <c r="C54" s="91"/>
      <c r="U54" s="91"/>
      <c r="AD54" s="91"/>
      <c r="AM54" s="91"/>
      <c r="BI54" s="93"/>
    </row>
    <row r="55" spans="1:63" ht="15" customHeight="1">
      <c r="A55" s="52"/>
      <c r="B55" s="106"/>
      <c r="C55" s="53"/>
      <c r="D55" s="53"/>
      <c r="E55" s="53"/>
      <c r="F55" s="53"/>
      <c r="G55" s="53"/>
      <c r="H55" s="53"/>
      <c r="I55" s="53"/>
      <c r="J55" s="53"/>
      <c r="K55" s="53"/>
      <c r="L55" s="53"/>
      <c r="M55" s="53"/>
      <c r="N55" s="53"/>
      <c r="O55" s="53"/>
      <c r="P55" s="53"/>
      <c r="Q55" s="53"/>
      <c r="R55" s="53"/>
      <c r="S55" s="53"/>
      <c r="T55" s="53"/>
      <c r="U55" s="106"/>
      <c r="V55" s="53"/>
      <c r="W55" s="53"/>
      <c r="X55" s="53"/>
      <c r="Y55" s="53"/>
      <c r="Z55" s="53"/>
      <c r="AA55" s="53"/>
      <c r="AB55" s="53"/>
      <c r="AC55" s="53"/>
      <c r="AD55" s="106"/>
      <c r="AE55" s="53"/>
      <c r="AF55" s="53"/>
      <c r="AG55" s="53"/>
      <c r="AH55" s="53"/>
      <c r="AI55" s="53"/>
      <c r="AJ55" s="53"/>
      <c r="AK55" s="53"/>
      <c r="AL55" s="53"/>
      <c r="AM55" s="106"/>
      <c r="AN55" s="53"/>
      <c r="AO55" s="53"/>
      <c r="AP55" s="53"/>
      <c r="AQ55" s="53"/>
      <c r="AR55" s="53"/>
      <c r="AS55" s="53"/>
      <c r="AT55" s="53"/>
      <c r="AU55" s="53"/>
      <c r="AV55" s="53"/>
      <c r="AW55" s="53"/>
      <c r="AX55" s="53"/>
      <c r="AY55" s="53"/>
      <c r="AZ55" s="53"/>
      <c r="BA55" s="53"/>
      <c r="BB55" s="53"/>
      <c r="BC55" s="53"/>
      <c r="BD55" s="53"/>
      <c r="BE55" s="53"/>
      <c r="BF55" s="53"/>
      <c r="BG55" s="53"/>
      <c r="BH55" s="53"/>
      <c r="BI55" s="105"/>
      <c r="BJ55" s="53"/>
      <c r="BK55" s="54"/>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E7D68AF-9C42-4C27-9D02-DC474B108DE9}"/>
</file>

<file path=customXml/itemProps2.xml><?xml version="1.0" encoding="utf-8"?>
<ds:datastoreItem xmlns:ds="http://schemas.openxmlformats.org/officeDocument/2006/customXml" ds:itemID="{F71D1431-1244-4763-A3C5-7699EBB0D7F4}"/>
</file>

<file path=customXml/itemProps3.xml><?xml version="1.0" encoding="utf-8"?>
<ds:datastoreItem xmlns:ds="http://schemas.openxmlformats.org/officeDocument/2006/customXml" ds:itemID="{2E831892-7078-4989-90C3-A0FF14429F2C}"/>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表紙</vt:lpstr>
      <vt:lpstr>改訂履歴</vt:lpstr>
      <vt:lpstr>指摘履歴</vt:lpstr>
      <vt:lpstr>業務フロー</vt:lpstr>
      <vt:lpstr>機能概要説明</vt:lpstr>
      <vt:lpstr>機能概要</vt:lpstr>
      <vt:lpstr>画面イメージ</vt:lpstr>
      <vt:lpstr>画面設計書</vt:lpstr>
      <vt:lpstr>テンプレート</vt:lpstr>
      <vt:lpstr>テンプレート!Print_Area</vt:lpstr>
      <vt:lpstr>指摘履歴!Print_Area</vt:lpstr>
      <vt:lpstr>改訂履歴!Print_Area</vt:lpstr>
      <vt:lpstr>機能概要!Print_Area</vt:lpstr>
      <vt:lpstr>機能概要説明!Print_Area</vt:lpstr>
      <vt:lpstr>画面イメージ!Print_Area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2024-10-29T10:14:35Z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