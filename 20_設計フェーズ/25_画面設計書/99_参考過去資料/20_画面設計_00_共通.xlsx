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7773482E-2495-4D3D-ACF4-7C4C4A929E7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店舗選択エリア" sheetId="13" r:id="rId3"/>
    <sheet name="ヘッダー" sheetId="10" r:id="rId4"/>
    <sheet name="ページング" sheetId="11" r:id="rId5"/>
    <sheet name="モーダル" sheetId="12" r:id="rId6"/>
  </sheets>
  <definedNames>
    <definedName name="_xlnm.Print_Area" localSheetId="4">ページング!$A$1:$BK$30</definedName>
    <definedName name="_xlnm.Print_Area" localSheetId="3">ヘッダー!$A$1:$BK$42</definedName>
    <definedName name="_xlnm.Print_Area" localSheetId="5">モーダル!$A$1:$BK$61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12" l="1"/>
  <c r="Z4" i="12"/>
  <c r="H4" i="12"/>
  <c r="K2" i="12"/>
  <c r="A2" i="12"/>
  <c r="W1" i="12"/>
  <c r="AP4" i="11"/>
  <c r="Z4" i="11"/>
  <c r="H4" i="11"/>
  <c r="AT2" i="11"/>
  <c r="K2" i="11"/>
  <c r="A2" i="11"/>
  <c r="W1" i="11"/>
  <c r="AP4" i="10"/>
  <c r="Z4" i="10"/>
  <c r="H4" i="10"/>
  <c r="AT2" i="10"/>
  <c r="K2" i="10"/>
  <c r="A2" i="10"/>
  <c r="W1" i="10"/>
  <c r="AP4" i="13"/>
  <c r="Z4" i="13"/>
  <c r="H4" i="13"/>
  <c r="AT2" i="13"/>
  <c r="K2" i="13"/>
  <c r="A2" i="13"/>
  <c r="W1" i="13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3" s="1"/>
  <c r="BC2" i="4"/>
  <c r="BC2" i="12" s="1"/>
  <c r="AY2" i="4"/>
  <c r="AY2" i="11" s="1"/>
  <c r="AT2" i="4"/>
  <c r="AT2" i="12" s="1"/>
  <c r="AP2" i="4"/>
  <c r="AP2" i="13" s="1"/>
  <c r="AY2" i="10" l="1"/>
  <c r="BC2" i="11"/>
  <c r="AP2" i="12"/>
  <c r="BH2" i="12"/>
  <c r="AY2" i="3"/>
  <c r="AY2" i="13"/>
  <c r="BC2" i="10"/>
  <c r="AP2" i="11"/>
  <c r="BH2" i="11"/>
  <c r="BC2" i="3"/>
  <c r="BC2" i="13"/>
  <c r="AP2" i="10"/>
  <c r="BH2" i="10"/>
  <c r="AY2" i="12"/>
  <c r="AP2" i="3"/>
  <c r="BH2" i="3"/>
</calcChain>
</file>

<file path=xl/sharedStrings.xml><?xml version="1.0" encoding="utf-8"?>
<sst xmlns="http://schemas.openxmlformats.org/spreadsheetml/2006/main" count="620" uniqueCount="187">
  <si>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</si>
  <si>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</si>
  <si>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</si>
  <si>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</si>
  <si>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</si>
  <si>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</si>
  <si>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</si>
  <si>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</si>
  <si>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</si>
  <si>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</si>
  <si>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</si>
  <si>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</si>
  <si>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</si>
  <si>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</si>
  <si>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</si>
  <si>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</si>
  <si>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桁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</si>
  <si>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</si>
  <si>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</si>
  <si>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</si>
  <si>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</si>
  <si>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</si>
  <si>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</si>
  <si>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</si>
  <si>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</si>
  <si>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■ヘッダーイメージ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</si>
  <si>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</si>
  <si>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多言語対象</t>
    </r>
  </si>
  <si>
    <r>
      <rPr>
        <sz val="11"/>
        <color rgb="FF000000"/>
        <rFont val="Meiryo UI"/>
        <family val="2"/>
      </rPr>
      <t>タイトルヘッダー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</si>
  <si>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</si>
  <si>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従業員名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</si>
  <si>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</si>
  <si>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■ページングイメージ</t>
    </r>
  </si>
  <si>
    <r>
      <rPr>
        <sz val="11"/>
        <color rgb="FF000000"/>
        <rFont val="Meiryo UI"/>
        <family val="2"/>
      </rPr>
      <t>件数</t>
    </r>
  </si>
  <si>
    <r>
      <rPr>
        <sz val="11"/>
        <color rgb="FF000000"/>
        <rFont val="Meiryo UI"/>
        <family val="2"/>
      </rPr>
      <t>現在頁</t>
    </r>
  </si>
  <si>
    <r>
      <rPr>
        <sz val="11"/>
        <color rgb="FF000000"/>
        <rFont val="Meiryo UI"/>
        <family val="2"/>
      </rPr>
      <t>先頭行</t>
    </r>
  </si>
  <si>
    <r>
      <rPr>
        <sz val="11"/>
        <color rgb="FF000000"/>
        <rFont val="Meiryo UI"/>
        <family val="2"/>
      </rPr>
      <t>一覧画面で表示する。</t>
    </r>
  </si>
  <si>
    <r>
      <rPr>
        <sz val="11"/>
        <color rgb="FF000000"/>
        <rFont val="Meiryo UI"/>
        <family val="2"/>
      </rPr>
      <t>最終行</t>
    </r>
  </si>
  <si>
    <r>
      <rPr>
        <sz val="11"/>
        <color rgb="FF000000"/>
        <rFont val="Meiryo UI"/>
        <family val="2"/>
      </rPr>
      <t>▲前頁</t>
    </r>
  </si>
  <si>
    <r>
      <rPr>
        <sz val="11"/>
        <color rgb="FF000000"/>
        <rFont val="Meiryo UI"/>
        <family val="2"/>
      </rPr>
      <t>▼次頁</t>
    </r>
  </si>
  <si>
    <r>
      <rPr>
        <sz val="11"/>
        <color rgb="FF000000"/>
        <rFont val="Meiryo UI"/>
        <family val="2"/>
      </rPr>
      <t>店舗エリア（タイトル）</t>
    </r>
  </si>
  <si>
    <r>
      <rPr>
        <sz val="11"/>
        <color rgb="FF000000"/>
        <rFont val="Meiryo UI"/>
        <family val="2"/>
      </rPr>
      <t>店舗選択チェックボックス</t>
    </r>
  </si>
  <si>
    <r>
      <rPr>
        <sz val="11"/>
        <color rgb="FF000000"/>
        <rFont val="Meiryo UI"/>
        <family val="2"/>
      </rPr>
      <t>チェックボックス</t>
    </r>
  </si>
  <si>
    <r>
      <rPr>
        <sz val="11"/>
        <color rgb="FF000000"/>
        <rFont val="Meiryo UI"/>
        <family val="2"/>
      </rPr>
      <t>店舗情報</t>
    </r>
  </si>
  <si>
    <r>
      <rPr>
        <sz val="11"/>
        <color rgb="FF000000"/>
        <rFont val="Meiryo UI"/>
        <family val="2"/>
      </rPr>
      <t>店舗選択ラジオボタン</t>
    </r>
  </si>
  <si>
    <r>
      <rPr>
        <sz val="11"/>
        <color rgb="FF000000"/>
        <rFont val="Meiryo UI"/>
        <family val="2"/>
      </rPr>
      <t>ラジオボタン</t>
    </r>
  </si>
  <si>
    <r>
      <rPr>
        <sz val="11"/>
        <color rgb="FF000000"/>
        <rFont val="Meiryo UI"/>
        <family val="2"/>
      </rPr>
      <t>Store.code:Store.name</t>
    </r>
  </si>
  <si>
    <r>
      <rPr>
        <sz val="11"/>
        <color rgb="FF000000"/>
        <rFont val="Meiryo UI"/>
        <family val="2"/>
      </rPr>
      <t>イベントID:Store-01</t>
    </r>
  </si>
  <si>
    <r>
      <rPr>
        <sz val="11"/>
        <color rgb="FF000000"/>
        <rFont val="Meiryo UI"/>
        <family val="2"/>
      </rPr>
      <t>イベントID:Store-02</t>
    </r>
  </si>
  <si>
    <r>
      <rPr>
        <sz val="11"/>
        <color rgb="FF000000"/>
        <rFont val="Meiryo UI"/>
        <family val="2"/>
      </rPr>
      <t>イベントID:Store-03</t>
    </r>
  </si>
  <si>
    <r>
      <rPr>
        <sz val="11"/>
        <color rgb="FF000000"/>
        <rFont val="Meiryo UI"/>
        <family val="2"/>
      </rPr>
      <t>イベントID:Store-04</t>
    </r>
  </si>
  <si>
    <r>
      <rPr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</si>
  <si>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ビュー</t>
    </r>
  </si>
  <si>
    <r>
      <rPr>
        <sz val="11"/>
        <color rgb="FF000000"/>
        <rFont val="Meiryo UI"/>
        <family val="2"/>
      </rPr>
      <t>メッセージ</t>
    </r>
  </si>
  <si>
    <r>
      <rPr>
        <sz val="11"/>
        <color rgb="FF000000"/>
        <rFont val="Meiryo UI"/>
        <family val="2"/>
      </rPr>
      <t>OKボタン</t>
    </r>
  </si>
  <si>
    <r>
      <rPr>
        <sz val="11"/>
        <color rgb="FF000000"/>
        <rFont val="Meiryo UI"/>
        <family val="2"/>
      </rPr>
      <t>ローディングプログレスバー</t>
    </r>
  </si>
  <si>
    <r>
      <rPr>
        <sz val="11"/>
        <color rgb="FF000000"/>
        <rFont val="Meiryo UI"/>
        <family val="2"/>
      </rPr>
      <t>取消ボタン：</t>
    </r>
  </si>
  <si>
    <r>
      <rPr>
        <sz val="11"/>
        <color rgb="FF000000"/>
        <rFont val="Meiryo UI"/>
        <family val="2"/>
      </rPr>
      <t>商品</t>
    </r>
  </si>
  <si>
    <r>
      <rPr>
        <sz val="11"/>
        <color rgb="FF000000"/>
        <rFont val="Meiryo UI"/>
        <family val="2"/>
      </rPr>
      <t>ヘッダーとモーダルの新しいレイアウトを更新</t>
    </r>
  </si>
  <si>
    <r>
      <rPr>
        <sz val="11"/>
        <color rgb="FF000000"/>
        <rFont val="Meiryo UI"/>
        <family val="2"/>
      </rPr>
      <t>[ヘッダー]、[モーダル]シート</t>
    </r>
  </si>
  <si>
    <r>
      <rPr>
        <sz val="11"/>
        <color rgb="FF000000"/>
        <rFont val="Meiryo UI"/>
        <family val="2"/>
      </rPr>
      <t>アイコンと従業員名を表示する。</t>
    </r>
  </si>
  <si>
    <r>
      <rPr>
        <sz val="11"/>
        <color rgb="FF000000"/>
        <rFont val="Meiryo UI"/>
        <family val="2"/>
      </rPr>
      <t>店舗選択エリア、検索エリア：最新設計に従って更新する。</t>
    </r>
  </si>
  <si>
    <r>
      <rPr>
        <sz val="11"/>
        <color rgb="FF000000"/>
        <rFont val="Meiryo UI"/>
        <family val="2"/>
      </rPr>
      <t>選択中の店舗数</t>
    </r>
  </si>
  <si>
    <r>
      <rPr>
        <sz val="11"/>
        <color rgb="FF000000"/>
        <rFont val="Meiryo UI"/>
        <family val="2"/>
      </rPr>
      <t>形式:{0} 店舗 選択中（{0}：選択中の店舗数）</t>
    </r>
  </si>
  <si>
    <r>
      <rPr>
        <sz val="11"/>
        <color rgb="FF000000"/>
        <rFont val="Meiryo UI"/>
        <family val="2"/>
      </rPr>
      <t>店舗検索</t>
    </r>
  </si>
  <si>
    <r>
      <rPr>
        <sz val="11"/>
        <color rgb="FF000000"/>
        <rFont val="Meiryo UI"/>
        <family val="2"/>
      </rPr>
      <t>Editext</t>
    </r>
  </si>
  <si>
    <r>
      <rPr>
        <sz val="11"/>
        <color rgb="FF000000"/>
        <rFont val="Meiryo UI"/>
        <family val="2"/>
      </rPr>
      <t>全て選択</t>
    </r>
  </si>
  <si>
    <r>
      <rPr>
        <sz val="11"/>
        <color rgb="FF000000"/>
        <rFont val="Meiryo UI"/>
        <family val="2"/>
      </rPr>
      <t>全て解除</t>
    </r>
  </si>
  <si>
    <r>
      <rPr>
        <sz val="11"/>
        <color rgb="FF000000"/>
        <rFont val="Meiryo UI"/>
        <family val="2"/>
      </rPr>
      <t>店舗グループ</t>
    </r>
  </si>
  <si>
    <r>
      <rPr>
        <sz val="11"/>
        <color rgb="FF000000"/>
        <rFont val="Meiryo UI"/>
        <family val="2"/>
      </rPr>
      <t>ドロップダウン</t>
    </r>
  </si>
  <si>
    <r>
      <rPr>
        <sz val="11"/>
        <color rgb="FF000000"/>
        <rFont val="Meiryo UI"/>
        <family val="2"/>
      </rPr>
      <t>setting_data_type:event_group_name</t>
    </r>
  </si>
  <si>
    <r>
      <rPr>
        <sz val="11"/>
        <color rgb="FF000000"/>
        <rFont val="Meiryo UI"/>
        <family val="2"/>
      </rPr>
      <t>イベントID:Store-05</t>
    </r>
  </si>
  <si>
    <r>
      <rPr>
        <sz val="11"/>
        <color rgb="FF000000"/>
        <rFont val="Meiryo UI"/>
        <family val="2"/>
      </rPr>
      <t>00_共通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</si>
  <si>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</si>
  <si>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</si>
  <si>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</si>
  <si>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</si>
  <si>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</si>
  <si>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</si>
  <si>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</si>
  <si>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</si>
  <si>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</si>
  <si>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</si>
  <si>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</si>
  <si>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</si>
  <si>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</si>
  <si>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</si>
  <si>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</si>
  <si>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</si>
  <si>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</si>
  <si>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</si>
  <si>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TuyenNH</t>
  </si>
  <si>
    <t>レイアウトを更新する。</t>
  </si>
  <si>
    <t>[ページング]シート</t>
  </si>
  <si>
    <t>店舗選択エリア：
・検索エリア削除
・新しいインターフェースに従って更新する。</t>
  </si>
  <si>
    <t>TinNH</t>
  </si>
  <si>
    <t>・店舗選択エリアに関連する内容を更新する。</t>
  </si>
  <si>
    <t>■店舗選択エリア（複数の店舗選択可能）のイメージ</t>
  </si>
  <si>
    <t>■店舗選択エリア（1つの店舗のみ選択可能）のイメージ</t>
  </si>
  <si>
    <t>■検索エリアイメージ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</si>
  <si>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</si>
  <si>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</si>
  <si>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</si>
  <si>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</si>
  <si>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</si>
  <si>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</si>
  <si>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</si>
  <si>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</si>
  <si>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</si>
  <si>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</si>
  <si>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</si>
  <si>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</si>
  <si>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</si>
  <si>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</si>
  <si>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</si>
  <si>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店舗選択</t>
  </si>
  <si>
    <t>ユーザーが1つの店舗のみに操作権限を持つ場合、店舗選択エリアを非表示にし、その唯一の店舗をデフォルトで対象店舗として選択する。ユーザーが複数の店舗に操作権限を持つ場合、店舗選択エリアを表示する。</t>
  </si>
  <si>
    <t>検索条件エリア</t>
  </si>
  <si>
    <t>テキスト</t>
  </si>
  <si>
    <t>検索条件</t>
  </si>
  <si>
    <t>ー</t>
  </si>
  <si>
    <t>店舗が選択されている場合にのみ、有効にする。</t>
  </si>
  <si>
    <t>O</t>
  </si>
  <si>
    <t>0 店舗 選択中</t>
  </si>
  <si>
    <t>選択されている店舗の総数を表示する。</t>
  </si>
  <si>
    <t>hint:店番 または 店名で検索</t>
  </si>
  <si>
    <t>ボタン</t>
  </si>
  <si>
    <t>複数の店舗を選択可能とする場合にのみ表示する。</t>
  </si>
  <si>
    <t>未選択の店舗が1つ以上ある場合に有効にする。全ての店舗が選択された場合に無効にする。</t>
  </si>
  <si>
    <t>選択されている店舗が1つ以上ある場合に有効にする。全ての店舗が未選択の場合、無効にする。</t>
  </si>
  <si>
    <t>AP1503</t>
  </si>
  <si>
    <t>I</t>
  </si>
  <si>
    <t>イベントID:Store-06</t>
  </si>
  <si>
    <t>AP8201</t>
  </si>
  <si>
    <t>イベントID:Store-07</t>
  </si>
  <si>
    <t>確定</t>
  </si>
  <si>
    <t>多言語対象</t>
  </si>
  <si>
    <t>画面設計に依存する</t>
  </si>
  <si>
    <r>
      <rPr>
        <sz val="11"/>
        <color rgb="FF000000"/>
        <rFont val="Meiryo UI"/>
        <family val="2"/>
      </rPr>
      <t>イベントID：Header-01</t>
    </r>
  </si>
  <si>
    <t>APX001</t>
  </si>
  <si>
    <t>name</t>
  </si>
  <si>
    <t>店舗</t>
  </si>
  <si>
    <t>store_code
store_name</t>
  </si>
  <si>
    <t>アイコンと店舗コード+店舗名（{store_code} : {store_name}）を表示する。</t>
  </si>
  <si>
    <t>CSV</t>
  </si>
  <si>
    <t>常に表示する。</t>
  </si>
  <si>
    <t>・デフォルト：無効
・有効（各画面の設計に依存する）</t>
  </si>
  <si>
    <t>イベントID：Header-02</t>
  </si>
  <si>
    <t>印刷</t>
  </si>
  <si>
    <t>イベントID：Header-03</t>
  </si>
  <si>
    <t>ESC</t>
  </si>
  <si>
    <t>ESC : 前画面</t>
  </si>
  <si>
    <t>・メニュー画面では無効になり、他の画面では有効になる。</t>
  </si>
  <si>
    <t>イベントID：Header-04</t>
  </si>
  <si>
    <t>メインメニュー</t>
  </si>
  <si>
    <t>イベントID：Header-05</t>
  </si>
  <si>
    <t>表示モード</t>
  </si>
  <si>
    <r>
      <rPr>
        <sz val="11"/>
        <color rgb="FF000000"/>
        <rFont val="Meiryo UI"/>
        <family val="2"/>
      </rPr>
      <t>・新規モードの場合: 新規
・編集モードの場合: 編集
・初期化モードの場合：ブランク</t>
    </r>
  </si>
  <si>
    <t>・新規モードの場合、背景が青色になる
・編集モードの場合、背景が緑色になる
・初期化モードの場合、表示しない。</t>
  </si>
  <si>
    <t>イベントID：Header-06</t>
  </si>
  <si>
    <r>
      <rPr>
        <sz val="11"/>
        <color rgb="FF000000"/>
        <rFont val="Meiryo UI"/>
        <family val="2"/>
      </rPr>
      <t xml:space="preserve"> 現在のレコード数を「n件中」形式で表示する。
n ＝０の場合、項目を非表示する。
n ＞＝ 1の場合、項目を表示する。</t>
    </r>
  </si>
  <si>
    <r>
      <rPr>
        <sz val="11"/>
        <color rgb="FF000000"/>
        <rFont val="Meiryo UI"/>
        <family val="2"/>
      </rPr>
      <t>イベントID：Paging-01</t>
    </r>
  </si>
  <si>
    <t>ページ数を表示する。形式：x ~ y件。
X：現在の頁
y：総ページ数
1つのページのみがある場合、項目を表示しない。</t>
  </si>
  <si>
    <t>F3：先頭行</t>
  </si>
  <si>
    <r>
      <rPr>
        <sz val="11"/>
        <color rgb="FF000000"/>
        <rFont val="Meiryo UI"/>
        <family val="2"/>
      </rPr>
      <t>・1ページのみがある場合、または最初のページが表示されている場合は、ボタンを無効にする。
・2ページ目以降の場合は、ボタンをタッチすると1ページ目の先頭行に戻る。</t>
    </r>
  </si>
  <si>
    <r>
      <rPr>
        <sz val="11"/>
        <color rgb="FF000000"/>
        <rFont val="Meiryo UI"/>
        <family val="2"/>
      </rPr>
      <t>イベントID：Paging-02</t>
    </r>
  </si>
  <si>
    <t>F4：最終行</t>
  </si>
  <si>
    <r>
      <rPr>
        <sz val="11"/>
        <color rgb="FF000000"/>
        <rFont val="Meiryo UI"/>
        <family val="2"/>
      </rPr>
      <t>・1ページのみがある場合、または最後のページが表示されている場合は、ボタンを無効にする。
・ボタンをタッチすると、最終ページの最終行に遷移する。</t>
    </r>
  </si>
  <si>
    <r>
      <rPr>
        <sz val="11"/>
        <color rgb="FF000000"/>
        <rFont val="Meiryo UI"/>
        <family val="2"/>
      </rPr>
      <t>イベントID：Paging-03</t>
    </r>
  </si>
  <si>
    <t>F1：前頁</t>
  </si>
  <si>
    <r>
      <rPr>
        <sz val="11"/>
        <color rgb="FF000000"/>
        <rFont val="Meiryo UI"/>
        <family val="2"/>
      </rPr>
      <t>・1ページのみがある場合、または最初のページが表示されている場合は、ボタンを無効にする。
・タッチすると、次頁に遷移する。</t>
    </r>
  </si>
  <si>
    <r>
      <rPr>
        <sz val="11"/>
        <color rgb="FF000000"/>
        <rFont val="Meiryo UI"/>
        <family val="2"/>
      </rPr>
      <t>イベントID：Paging-04</t>
    </r>
  </si>
  <si>
    <t>F2：次頁</t>
  </si>
  <si>
    <r>
      <rPr>
        <sz val="11"/>
        <color rgb="FF000000"/>
        <rFont val="Meiryo UI"/>
        <family val="2"/>
      </rPr>
      <t>・1ページのみがある場合、または最後のページが表示されている場合は、ボタンを無効にする。
・タッチすると、前頁に遷移する。</t>
    </r>
  </si>
  <si>
    <r>
      <rPr>
        <sz val="11"/>
        <color rgb="FF000000"/>
        <rFont val="Meiryo UI"/>
        <family val="2"/>
      </rPr>
      <t>イベントID：Paging-05</t>
    </r>
  </si>
  <si>
    <t>■情報モーダルのイメージ</t>
  </si>
  <si>
    <t>■エラーモーダルのイメージ</t>
  </si>
  <si>
    <t>■confirmモーダルのイメージ</t>
  </si>
  <si>
    <t>■ローディングモーダルのイメージ</t>
  </si>
  <si>
    <t>Type</t>
  </si>
  <si>
    <r>
      <rPr>
        <sz val="11"/>
        <color rgb="FF000000"/>
        <rFont val="Meiryo UI"/>
        <family val="2"/>
      </rPr>
      <t>イベントID：Modal-01</t>
    </r>
  </si>
  <si>
    <t>APxxx</t>
  </si>
  <si>
    <t>はい</t>
  </si>
  <si>
    <r>
      <rPr>
        <sz val="11"/>
        <color rgb="FF000000"/>
        <rFont val="Meiryo UI"/>
        <family val="2"/>
      </rPr>
      <t>イベントID：Modal-02</t>
    </r>
  </si>
  <si>
    <t>取消</t>
  </si>
  <si>
    <r>
      <rPr>
        <sz val="11"/>
        <color rgb="FF000000"/>
        <rFont val="Meiryo UI"/>
        <family val="2"/>
      </rPr>
      <t>イベントID：Modal-03</t>
    </r>
  </si>
  <si>
    <r>
      <rPr>
        <sz val="11"/>
        <color rgb="FF000000"/>
        <rFont val="Meiryo UI"/>
        <family val="2"/>
      </rPr>
      <t>イベントID：Modal-04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</si>
</sst>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trike/>
      <sz val="11"/>
      <name val="Meiryo UI"/>
      <family val="2"/>
    </font>
    <font>
      <sz val="11"/>
      <color rgb="FF00B050"/>
      <name val="Meiryo UI"/>
      <family val="2"/>
    </font>
    <font>
      <strike/>
      <sz val="11"/>
      <color rgb="FF92D050"/>
      <name val="Meiryo UI"/>
      <family val="2"/>
    </font>
    <font>
      <sz val="11"/>
      <color rgb="FF0000FF"/>
      <name val="Meiryo UI"/>
      <family val="2"/>
    </font>
    <font>
      <strike/>
      <sz val="11"/>
      <color rgb="FF0000FF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99CCFF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1" fillId="0" borderId="0">
      <alignment vertical="center"/>
    </xf>
  </cellStyleXfs>
  <cellXfs count="449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4" fillId="2" borderId="0" xfId="6" applyFont="1" applyFill="1" applyAlignment="1">
      <alignment vertical="center"/>
    </xf>
    <xf numFmtId="0" fontId="3" fillId="2" borderId="0" xfId="6" applyFont="1" applyFill="1" applyAlignment="1">
      <alignment vertical="center"/>
    </xf>
    <xf numFmtId="0" fontId="4" fillId="0" borderId="21" xfId="6" applyFont="1" applyBorder="1" applyAlignment="1">
      <alignment horizontal="center" vertical="center"/>
    </xf>
    <xf numFmtId="0" fontId="4" fillId="0" borderId="19" xfId="6" applyFont="1" applyBorder="1" applyAlignment="1">
      <alignment horizontal="center" vertical="center"/>
    </xf>
    <xf numFmtId="0" fontId="8" fillId="2" borderId="0" xfId="6" applyFont="1" applyFill="1" applyAlignment="1">
      <alignment vertical="center"/>
    </xf>
    <xf numFmtId="0" fontId="10" fillId="0" borderId="17" xfId="6" applyFont="1" applyBorder="1" applyAlignment="1">
      <alignment horizontal="center" vertical="center"/>
    </xf>
    <xf numFmtId="0" fontId="9" fillId="0" borderId="17" xfId="6" applyFont="1" applyBorder="1" applyAlignment="1">
      <alignment horizontal="center" vertical="center"/>
    </xf>
    <xf numFmtId="0" fontId="9" fillId="0" borderId="17" xfId="6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4" fontId="9" fillId="0" borderId="25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8" xfId="0" applyFont="1" applyBorder="1"/>
    <xf numFmtId="0" fontId="9" fillId="0" borderId="29" xfId="0" applyFont="1" applyBorder="1"/>
    <xf numFmtId="0" fontId="9" fillId="0" borderId="16" xfId="0" applyFont="1" applyBorder="1"/>
    <xf numFmtId="0" fontId="9" fillId="0" borderId="30" xfId="0" applyFont="1" applyBorder="1"/>
    <xf numFmtId="0" fontId="9" fillId="0" borderId="31" xfId="0" applyFont="1" applyBorder="1"/>
    <xf numFmtId="0" fontId="9" fillId="0" borderId="32" xfId="0" applyFont="1" applyBorder="1"/>
    <xf numFmtId="0" fontId="9" fillId="0" borderId="28" xfId="0" applyFont="1" applyBorder="1" applyAlignment="1">
      <alignment wrapText="1"/>
    </xf>
    <xf numFmtId="0" fontId="7" fillId="0" borderId="25" xfId="0" applyFont="1" applyBorder="1"/>
    <xf numFmtId="0" fontId="7" fillId="0" borderId="26" xfId="0" applyFont="1" applyBorder="1"/>
    <xf numFmtId="0" fontId="7" fillId="0" borderId="27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3" fillId="0" borderId="25" xfId="6" applyFont="1" applyBorder="1" applyAlignment="1">
      <alignment horizontal="center" vertical="center"/>
    </xf>
    <xf numFmtId="0" fontId="3" fillId="0" borderId="26" xfId="6" applyFont="1" applyBorder="1" applyAlignment="1">
      <alignment horizontal="center" vertical="center"/>
    </xf>
    <xf numFmtId="0" fontId="3" fillId="0" borderId="27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4" fillId="0" borderId="22" xfId="6" applyFont="1" applyBorder="1" applyAlignment="1">
      <alignment horizontal="center" vertical="center"/>
    </xf>
    <xf numFmtId="0" fontId="4" fillId="7" borderId="25" xfId="6" applyFont="1" applyFill="1" applyBorder="1" applyAlignment="1">
      <alignment vertical="center" wrapText="1"/>
    </xf>
    <xf numFmtId="0" fontId="3" fillId="7" borderId="27" xfId="6" applyFont="1" applyFill="1" applyBorder="1" applyAlignment="1">
      <alignment vertical="center"/>
    </xf>
    <xf numFmtId="0" fontId="3" fillId="7" borderId="1" xfId="6" applyFont="1" applyFill="1" applyBorder="1" applyAlignment="1">
      <alignment vertical="center"/>
    </xf>
    <xf numFmtId="0" fontId="3" fillId="7" borderId="4" xfId="6" applyFont="1" applyFill="1" applyBorder="1" applyAlignment="1">
      <alignment vertical="center"/>
    </xf>
    <xf numFmtId="0" fontId="3" fillId="7" borderId="2" xfId="6" applyFont="1" applyFill="1" applyBorder="1" applyAlignment="1">
      <alignment vertical="center"/>
    </xf>
    <xf numFmtId="0" fontId="3" fillId="7" borderId="5" xfId="6" applyFont="1" applyFill="1" applyBorder="1" applyAlignment="1">
      <alignment vertical="center"/>
    </xf>
    <xf numFmtId="0" fontId="4" fillId="7" borderId="25" xfId="6" applyFont="1" applyFill="1" applyBorder="1" applyAlignment="1">
      <alignment vertical="center"/>
    </xf>
    <xf numFmtId="0" fontId="3" fillId="7" borderId="26" xfId="6" applyFont="1" applyFill="1" applyBorder="1" applyAlignment="1">
      <alignment vertical="center"/>
    </xf>
    <xf numFmtId="0" fontId="3" fillId="7" borderId="0" xfId="6" applyFont="1" applyFill="1" applyAlignment="1">
      <alignment vertical="center"/>
    </xf>
    <xf numFmtId="0" fontId="3" fillId="7" borderId="3" xfId="6" applyFont="1" applyFill="1" applyBorder="1" applyAlignment="1">
      <alignment vertical="center"/>
    </xf>
    <xf numFmtId="0" fontId="3" fillId="7" borderId="36" xfId="6" applyFont="1" applyFill="1" applyBorder="1" applyAlignment="1">
      <alignment vertical="center" shrinkToFit="1"/>
    </xf>
    <xf numFmtId="0" fontId="3" fillId="7" borderId="37" xfId="6" applyFont="1" applyFill="1" applyBorder="1" applyAlignment="1">
      <alignment vertical="center" shrinkToFit="1"/>
    </xf>
    <xf numFmtId="0" fontId="3" fillId="7" borderId="21" xfId="6" applyFont="1" applyFill="1" applyBorder="1" applyAlignment="1">
      <alignment vertical="center" shrinkToFit="1"/>
    </xf>
    <xf numFmtId="0" fontId="4" fillId="7" borderId="36" xfId="6" applyFont="1" applyFill="1" applyBorder="1" applyAlignment="1">
      <alignment vertical="center" wrapText="1"/>
    </xf>
    <xf numFmtId="0" fontId="4" fillId="7" borderId="37" xfId="6" applyFont="1" applyFill="1" applyBorder="1" applyAlignment="1">
      <alignment vertical="center" wrapText="1"/>
    </xf>
    <xf numFmtId="0" fontId="4" fillId="7" borderId="21" xfId="6" applyFont="1" applyFill="1" applyBorder="1" applyAlignment="1">
      <alignment vertical="center" wrapText="1"/>
    </xf>
    <xf numFmtId="0" fontId="4" fillId="6" borderId="22" xfId="6" applyFont="1" applyFill="1" applyBorder="1" applyAlignment="1">
      <alignment vertical="center"/>
    </xf>
    <xf numFmtId="0" fontId="3" fillId="6" borderId="23" xfId="6" applyFont="1" applyFill="1" applyBorder="1" applyAlignment="1">
      <alignment vertical="center"/>
    </xf>
    <xf numFmtId="0" fontId="3" fillId="6" borderId="38" xfId="6" applyFont="1" applyFill="1" applyBorder="1" applyAlignment="1">
      <alignment vertical="center"/>
    </xf>
    <xf numFmtId="0" fontId="4" fillId="6" borderId="39" xfId="6" applyFont="1" applyFill="1" applyBorder="1" applyAlignment="1">
      <alignment vertical="center"/>
    </xf>
    <xf numFmtId="0" fontId="3" fillId="6" borderId="24" xfId="6" applyFont="1" applyFill="1" applyBorder="1" applyAlignment="1">
      <alignment vertical="center"/>
    </xf>
    <xf numFmtId="0" fontId="3" fillId="0" borderId="28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8" xfId="6" applyFont="1" applyBorder="1" applyAlignment="1">
      <alignment vertical="center"/>
    </xf>
    <xf numFmtId="0" fontId="3" fillId="0" borderId="29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33" xfId="6" applyFont="1" applyBorder="1" applyAlignment="1">
      <alignment vertical="center"/>
    </xf>
    <xf numFmtId="0" fontId="3" fillId="0" borderId="34" xfId="6" applyFont="1" applyBorder="1" applyAlignment="1">
      <alignment vertical="center"/>
    </xf>
    <xf numFmtId="0" fontId="3" fillId="0" borderId="35" xfId="6" applyFont="1" applyBorder="1" applyAlignment="1">
      <alignment vertical="center"/>
    </xf>
    <xf numFmtId="0" fontId="4" fillId="0" borderId="28" xfId="6" applyFont="1" applyBorder="1" applyAlignment="1">
      <alignment horizontal="center" vertical="center"/>
    </xf>
    <xf numFmtId="0" fontId="3" fillId="0" borderId="29" xfId="6" applyFont="1" applyBorder="1" applyAlignment="1">
      <alignment horizontal="center" vertical="center"/>
    </xf>
    <xf numFmtId="0" fontId="4" fillId="5" borderId="22" xfId="6" applyFont="1" applyFill="1" applyBorder="1" applyAlignment="1">
      <alignment vertical="center"/>
    </xf>
    <xf numFmtId="0" fontId="3" fillId="5" borderId="23" xfId="6" applyFont="1" applyFill="1" applyBorder="1" applyAlignment="1">
      <alignment vertical="center"/>
    </xf>
    <xf numFmtId="0" fontId="3" fillId="5" borderId="24" xfId="6" applyFont="1" applyFill="1" applyBorder="1" applyAlignment="1">
      <alignment vertical="center"/>
    </xf>
    <xf numFmtId="0" fontId="4" fillId="4" borderId="25" xfId="6" applyFont="1" applyFill="1" applyBorder="1" applyAlignment="1">
      <alignment vertical="center"/>
    </xf>
    <xf numFmtId="0" fontId="3" fillId="4" borderId="26" xfId="6" applyFont="1" applyFill="1" applyBorder="1" applyAlignment="1">
      <alignment vertical="center"/>
    </xf>
    <xf numFmtId="0" fontId="3" fillId="4" borderId="27" xfId="6" applyFont="1" applyFill="1" applyBorder="1" applyAlignment="1">
      <alignment vertical="center"/>
    </xf>
    <xf numFmtId="0" fontId="3" fillId="4" borderId="1" xfId="6" applyFont="1" applyFill="1" applyBorder="1" applyAlignment="1">
      <alignment vertical="center"/>
    </xf>
    <xf numFmtId="0" fontId="3" fillId="4" borderId="0" xfId="6" applyFont="1" applyFill="1" applyAlignment="1">
      <alignment vertical="center"/>
    </xf>
    <xf numFmtId="0" fontId="3" fillId="4" borderId="4" xfId="6" applyFont="1" applyFill="1" applyBorder="1" applyAlignment="1">
      <alignment vertical="center"/>
    </xf>
    <xf numFmtId="0" fontId="3" fillId="4" borderId="2" xfId="6" applyFont="1" applyFill="1" applyBorder="1" applyAlignment="1">
      <alignment vertical="center"/>
    </xf>
    <xf numFmtId="0" fontId="3" fillId="4" borderId="3" xfId="6" applyFont="1" applyFill="1" applyBorder="1" applyAlignment="1">
      <alignment vertical="center"/>
    </xf>
    <xf numFmtId="0" fontId="3" fillId="4" borderId="5" xfId="6" applyFont="1" applyFill="1" applyBorder="1" applyAlignment="1">
      <alignment vertical="center"/>
    </xf>
    <xf numFmtId="0" fontId="4" fillId="5" borderId="22" xfId="6" applyFont="1" applyFill="1" applyBorder="1"/>
    <xf numFmtId="0" fontId="4" fillId="5" borderId="23" xfId="6" applyFont="1" applyFill="1" applyBorder="1"/>
    <xf numFmtId="0" fontId="4" fillId="5" borderId="24" xfId="6" applyFont="1" applyFill="1" applyBorder="1"/>
    <xf numFmtId="0" fontId="4" fillId="5" borderId="25" xfId="6" applyFont="1" applyFill="1" applyBorder="1" applyAlignment="1">
      <alignment vertical="center"/>
    </xf>
    <xf numFmtId="0" fontId="3" fillId="5" borderId="26" xfId="6" applyFont="1" applyFill="1" applyBorder="1" applyAlignment="1">
      <alignment vertical="center"/>
    </xf>
    <xf numFmtId="0" fontId="3" fillId="5" borderId="27" xfId="6" applyFont="1" applyFill="1" applyBorder="1" applyAlignment="1">
      <alignment vertical="center"/>
    </xf>
    <xf numFmtId="0" fontId="3" fillId="5" borderId="2" xfId="6" applyFont="1" applyFill="1" applyBorder="1" applyAlignment="1">
      <alignment vertical="center"/>
    </xf>
    <xf numFmtId="0" fontId="3" fillId="5" borderId="3" xfId="6" applyFont="1" applyFill="1" applyBorder="1" applyAlignment="1">
      <alignment vertical="center"/>
    </xf>
    <xf numFmtId="0" fontId="3" fillId="5" borderId="5" xfId="6" applyFont="1" applyFill="1" applyBorder="1" applyAlignment="1">
      <alignment vertical="center"/>
    </xf>
    <xf numFmtId="0" fontId="3" fillId="6" borderId="25" xfId="6" applyFont="1" applyFill="1" applyBorder="1" applyAlignment="1">
      <alignment vertical="center" wrapText="1"/>
    </xf>
    <xf numFmtId="0" fontId="3" fillId="6" borderId="2" xfId="6" applyFont="1" applyFill="1" applyBorder="1" applyAlignment="1">
      <alignment vertical="center" wrapText="1"/>
    </xf>
    <xf numFmtId="0" fontId="4" fillId="6" borderId="36" xfId="6" applyFont="1" applyFill="1" applyBorder="1" applyAlignment="1">
      <alignment vertical="center" wrapText="1"/>
    </xf>
    <xf numFmtId="0" fontId="4" fillId="6" borderId="21" xfId="6" applyFont="1" applyFill="1" applyBorder="1" applyAlignment="1">
      <alignment vertical="center" wrapText="1"/>
    </xf>
    <xf numFmtId="0" fontId="4" fillId="6" borderId="27" xfId="6" applyFont="1" applyFill="1" applyBorder="1" applyAlignment="1">
      <alignment vertical="center" wrapText="1"/>
    </xf>
    <xf numFmtId="0" fontId="4" fillId="6" borderId="5" xfId="6" applyFont="1" applyFill="1" applyBorder="1" applyAlignment="1">
      <alignment vertical="center" wrapText="1"/>
    </xf>
    <xf numFmtId="0" fontId="4" fillId="0" borderId="28" xfId="6" applyFont="1" applyBorder="1" applyAlignment="1">
      <alignment horizontal="center" vertical="center" wrapText="1"/>
    </xf>
    <xf numFmtId="0" fontId="4" fillId="0" borderId="29" xfId="6" applyFont="1" applyBorder="1" applyAlignment="1">
      <alignment horizontal="center" vertical="center" wrapText="1"/>
    </xf>
    <xf numFmtId="0" fontId="4" fillId="0" borderId="16" xfId="6" applyFont="1" applyBorder="1" applyAlignment="1">
      <alignment horizontal="center" vertical="center" wrapText="1"/>
    </xf>
    <xf numFmtId="0" fontId="4" fillId="0" borderId="28" xfId="6" applyFont="1" applyBorder="1" applyAlignment="1">
      <alignment horizontal="left" vertical="center" wrapText="1"/>
    </xf>
    <xf numFmtId="0" fontId="3" fillId="0" borderId="29" xfId="6" applyFont="1" applyBorder="1" applyAlignment="1">
      <alignment horizontal="left" vertical="center" wrapText="1"/>
    </xf>
    <xf numFmtId="0" fontId="3" fillId="0" borderId="16" xfId="6" applyFont="1" applyBorder="1" applyAlignment="1">
      <alignment horizontal="left" vertical="center" wrapText="1"/>
    </xf>
    <xf numFmtId="0" fontId="3" fillId="0" borderId="28" xfId="6" applyFont="1" applyBorder="1" applyAlignment="1">
      <alignment horizontal="left" vertical="center"/>
    </xf>
    <xf numFmtId="0" fontId="3" fillId="0" borderId="29" xfId="6" applyFont="1" applyBorder="1" applyAlignment="1">
      <alignment horizontal="left" vertical="center"/>
    </xf>
    <xf numFmtId="0" fontId="3" fillId="0" borderId="16" xfId="6" applyFont="1" applyBorder="1" applyAlignment="1">
      <alignment horizontal="left" vertical="center"/>
    </xf>
    <xf numFmtId="0" fontId="3" fillId="0" borderId="33" xfId="6" applyFont="1" applyBorder="1" applyAlignment="1">
      <alignment horizontal="center" vertical="center"/>
    </xf>
    <xf numFmtId="0" fontId="3" fillId="0" borderId="35" xfId="6" applyFont="1" applyBorder="1" applyAlignment="1">
      <alignment horizontal="center" vertical="center"/>
    </xf>
    <xf numFmtId="0" fontId="3" fillId="0" borderId="33" xfId="6" quotePrefix="1" applyFont="1" applyBorder="1" applyAlignment="1">
      <alignment vertical="center" wrapText="1"/>
    </xf>
    <xf numFmtId="0" fontId="3" fillId="0" borderId="34" xfId="6" quotePrefix="1" applyFont="1" applyBorder="1" applyAlignment="1">
      <alignment vertical="center" wrapText="1"/>
    </xf>
    <xf numFmtId="0" fontId="3" fillId="0" borderId="35" xfId="6" quotePrefix="1" applyFont="1" applyBorder="1" applyAlignment="1">
      <alignment vertical="center" wrapText="1"/>
    </xf>
    <xf numFmtId="0" fontId="4" fillId="0" borderId="33" xfId="6" applyFont="1" applyBorder="1" applyAlignment="1">
      <alignment horizontal="center" vertical="center"/>
    </xf>
    <xf numFmtId="0" fontId="3" fillId="0" borderId="34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0" borderId="33" xfId="6" quotePrefix="1" applyFont="1" applyBorder="1" applyAlignment="1">
      <alignment vertical="center"/>
    </xf>
    <xf numFmtId="0" fontId="10" fillId="0" borderId="34" xfId="6" quotePrefix="1" applyFont="1" applyBorder="1" applyAlignment="1">
      <alignment vertical="center"/>
    </xf>
    <xf numFmtId="0" fontId="10" fillId="0" borderId="35" xfId="6" quotePrefix="1" applyFont="1" applyBorder="1" applyAlignment="1">
      <alignment vertical="center"/>
    </xf>
    <xf numFmtId="0" fontId="10" fillId="0" borderId="33" xfId="6" applyFont="1" applyBorder="1" applyAlignment="1">
      <alignment vertical="center"/>
    </xf>
    <xf numFmtId="0" fontId="10" fillId="0" borderId="34" xfId="6" applyFont="1" applyBorder="1" applyAlignment="1">
      <alignment vertical="center"/>
    </xf>
    <xf numFmtId="0" fontId="10" fillId="0" borderId="35" xfId="6" applyFont="1" applyBorder="1" applyAlignment="1">
      <alignment vertical="center"/>
    </xf>
    <xf numFmtId="0" fontId="10" fillId="0" borderId="34" xfId="6" applyFont="1" applyBorder="1" applyAlignment="1">
      <alignment horizontal="center" vertical="center"/>
    </xf>
    <xf numFmtId="0" fontId="4" fillId="0" borderId="33" xfId="6" quotePrefix="1" applyFont="1" applyBorder="1" applyAlignment="1">
      <alignment horizontal="center" vertical="center" wrapText="1"/>
    </xf>
    <xf numFmtId="0" fontId="4" fillId="0" borderId="34" xfId="6" applyFont="1" applyBorder="1" applyAlignment="1">
      <alignment horizontal="center" vertical="center" wrapText="1"/>
    </xf>
    <xf numFmtId="0" fontId="4" fillId="0" borderId="35" xfId="6" applyFont="1" applyBorder="1" applyAlignment="1">
      <alignment horizontal="center" vertical="center" wrapText="1"/>
    </xf>
    <xf numFmtId="0" fontId="4" fillId="0" borderId="33" xfId="6" applyFont="1" applyBorder="1" applyAlignment="1">
      <alignment horizontal="left" vertical="center" wrapText="1"/>
    </xf>
    <xf numFmtId="0" fontId="3" fillId="0" borderId="34" xfId="6" applyFont="1" applyBorder="1" applyAlignment="1">
      <alignment horizontal="left" vertical="center" wrapText="1"/>
    </xf>
    <xf numFmtId="0" fontId="3" fillId="0" borderId="35" xfId="6" applyFont="1" applyBorder="1" applyAlignment="1">
      <alignment horizontal="left" vertical="center" wrapText="1"/>
    </xf>
    <xf numFmtId="0" fontId="3" fillId="0" borderId="33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35" xfId="6" applyFont="1" applyBorder="1" applyAlignment="1">
      <alignment horizontal="left" vertical="center"/>
    </xf>
    <xf numFmtId="0" fontId="10" fillId="0" borderId="33" xfId="6" applyFont="1" applyBorder="1" applyAlignment="1">
      <alignment horizontal="left" vertical="center" wrapText="1"/>
    </xf>
    <xf numFmtId="0" fontId="10" fillId="0" borderId="34" xfId="6" applyFont="1" applyBorder="1" applyAlignment="1">
      <alignment horizontal="left" vertical="center" wrapText="1"/>
    </xf>
    <xf numFmtId="0" fontId="10" fillId="0" borderId="35" xfId="6" applyFont="1" applyBorder="1" applyAlignment="1">
      <alignment horizontal="left" vertical="center" wrapText="1"/>
    </xf>
    <xf numFmtId="0" fontId="10" fillId="0" borderId="33" xfId="6" applyFont="1" applyBorder="1" applyAlignment="1">
      <alignment vertical="center" wrapText="1"/>
    </xf>
    <xf numFmtId="0" fontId="10" fillId="0" borderId="33" xfId="6" quotePrefix="1" applyFont="1" applyBorder="1" applyAlignment="1">
      <alignment horizontal="center" vertical="center"/>
    </xf>
    <xf numFmtId="0" fontId="4" fillId="0" borderId="33" xfId="6" applyFont="1" applyBorder="1" applyAlignment="1">
      <alignment vertical="center"/>
    </xf>
    <xf numFmtId="0" fontId="3" fillId="0" borderId="33" xfId="6" quotePrefix="1" applyFont="1" applyBorder="1" applyAlignment="1">
      <alignment horizontal="center" vertical="center"/>
    </xf>
    <xf numFmtId="0" fontId="4" fillId="0" borderId="33" xfId="6" applyFont="1" applyBorder="1" applyAlignment="1">
      <alignment horizontal="left" vertical="top" wrapText="1"/>
    </xf>
    <xf numFmtId="0" fontId="3" fillId="0" borderId="34" xfId="6" applyFont="1" applyBorder="1" applyAlignment="1">
      <alignment horizontal="left" vertical="top" wrapText="1"/>
    </xf>
    <xf numFmtId="0" fontId="3" fillId="0" borderId="35" xfId="6" applyFont="1" applyBorder="1" applyAlignment="1">
      <alignment horizontal="left" vertical="top" wrapText="1"/>
    </xf>
    <xf numFmtId="0" fontId="4" fillId="4" borderId="33" xfId="6" applyFont="1" applyFill="1" applyBorder="1" applyAlignment="1">
      <alignment horizontal="center" vertical="center"/>
    </xf>
    <xf numFmtId="0" fontId="4" fillId="4" borderId="34" xfId="6" applyFont="1" applyFill="1" applyBorder="1" applyAlignment="1">
      <alignment horizontal="center" vertical="center"/>
    </xf>
    <xf numFmtId="0" fontId="4" fillId="4" borderId="35" xfId="6" applyFont="1" applyFill="1" applyBorder="1" applyAlignment="1">
      <alignment horizontal="center" vertical="center"/>
    </xf>
    <xf numFmtId="0" fontId="3" fillId="4" borderId="33" xfId="6" applyFont="1" applyFill="1" applyBorder="1" applyAlignment="1">
      <alignment horizontal="left" vertical="center" wrapText="1"/>
    </xf>
    <xf numFmtId="0" fontId="3" fillId="4" borderId="34" xfId="6" applyFont="1" applyFill="1" applyBorder="1" applyAlignment="1">
      <alignment horizontal="left" vertical="center" wrapText="1"/>
    </xf>
    <xf numFmtId="0" fontId="3" fillId="4" borderId="35" xfId="6" applyFont="1" applyFill="1" applyBorder="1" applyAlignment="1">
      <alignment horizontal="left" vertical="center" wrapText="1"/>
    </xf>
    <xf numFmtId="0" fontId="4" fillId="0" borderId="33" xfId="6" applyFont="1" applyBorder="1" applyAlignment="1">
      <alignment horizontal="left" vertical="center"/>
    </xf>
    <xf numFmtId="0" fontId="3" fillId="4" borderId="33" xfId="6" applyFont="1" applyFill="1" applyBorder="1" applyAlignment="1">
      <alignment horizontal="left" vertical="center"/>
    </xf>
    <xf numFmtId="0" fontId="3" fillId="4" borderId="34" xfId="6" applyFont="1" applyFill="1" applyBorder="1" applyAlignment="1">
      <alignment horizontal="left" vertical="center"/>
    </xf>
    <xf numFmtId="0" fontId="3" fillId="4" borderId="35" xfId="6" applyFont="1" applyFill="1" applyBorder="1" applyAlignment="1">
      <alignment horizontal="left" vertical="center"/>
    </xf>
    <xf numFmtId="0" fontId="9" fillId="0" borderId="33" xfId="6" applyFont="1" applyBorder="1" applyAlignment="1">
      <alignment vertical="center"/>
    </xf>
    <xf numFmtId="0" fontId="9" fillId="0" borderId="34" xfId="6" applyFont="1" applyBorder="1" applyAlignment="1">
      <alignment vertical="center"/>
    </xf>
    <xf numFmtId="0" fontId="9" fillId="0" borderId="35" xfId="6" applyFont="1" applyBorder="1" applyAlignment="1">
      <alignment vertical="center"/>
    </xf>
    <xf numFmtId="0" fontId="3" fillId="0" borderId="30" xfId="6" applyFont="1" applyBorder="1" applyAlignment="1">
      <alignment horizontal="center" vertical="center"/>
    </xf>
    <xf numFmtId="0" fontId="3" fillId="0" borderId="31" xfId="6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3" fillId="0" borderId="30" xfId="6" applyFont="1" applyBorder="1" applyAlignment="1">
      <alignment horizontal="left" vertical="center"/>
    </xf>
    <xf numFmtId="0" fontId="3" fillId="0" borderId="31" xfId="6" applyFont="1" applyBorder="1" applyAlignment="1">
      <alignment horizontal="left" vertical="center"/>
    </xf>
    <xf numFmtId="0" fontId="3" fillId="0" borderId="32" xfId="6" applyFont="1" applyBorder="1" applyAlignment="1">
      <alignment horizontal="left" vertical="center"/>
    </xf>
    <xf numFmtId="0" fontId="10" fillId="0" borderId="30" xfId="6" applyFont="1" applyBorder="1" applyAlignment="1">
      <alignment vertical="center"/>
    </xf>
    <xf numFmtId="0" fontId="10" fillId="0" borderId="31" xfId="6" applyFont="1" applyBorder="1" applyAlignment="1">
      <alignment vertical="center"/>
    </xf>
    <xf numFmtId="0" fontId="10" fillId="0" borderId="32" xfId="6" applyFont="1" applyBorder="1" applyAlignment="1">
      <alignment vertical="center"/>
    </xf>
    <xf numFmtId="0" fontId="3" fillId="0" borderId="30" xfId="6" quotePrefix="1" applyFont="1" applyBorder="1" applyAlignment="1">
      <alignment vertical="center" wrapText="1"/>
    </xf>
    <xf numFmtId="0" fontId="3" fillId="0" borderId="31" xfId="6" quotePrefix="1" applyFont="1" applyBorder="1" applyAlignment="1">
      <alignment vertical="center" wrapText="1"/>
    </xf>
    <xf numFmtId="0" fontId="3" fillId="0" borderId="32" xfId="6" quotePrefix="1" applyFont="1" applyBorder="1" applyAlignment="1">
      <alignment vertical="center" wrapText="1"/>
    </xf>
    <xf numFmtId="0" fontId="3" fillId="0" borderId="30" xfId="6" applyFont="1" applyBorder="1" applyAlignment="1">
      <alignment vertical="center"/>
    </xf>
    <xf numFmtId="0" fontId="3" fillId="0" borderId="31" xfId="6" applyFont="1" applyBorder="1" applyAlignment="1">
      <alignment vertical="center"/>
    </xf>
    <xf numFmtId="0" fontId="3" fillId="0" borderId="32" xfId="6" applyFont="1" applyBorder="1" applyAlignment="1">
      <alignment vertical="center"/>
    </xf>
    <xf numFmtId="0" fontId="4" fillId="4" borderId="30" xfId="6" applyFont="1" applyFill="1" applyBorder="1" applyAlignment="1">
      <alignment horizontal="center" vertical="center"/>
    </xf>
    <xf numFmtId="0" fontId="4" fillId="4" borderId="31" xfId="6" applyFont="1" applyFill="1" applyBorder="1" applyAlignment="1">
      <alignment horizontal="center" vertical="center"/>
    </xf>
    <xf numFmtId="0" fontId="4" fillId="4" borderId="32" xfId="6" applyFont="1" applyFill="1" applyBorder="1" applyAlignment="1">
      <alignment horizontal="center" vertical="center"/>
    </xf>
    <xf numFmtId="0" fontId="3" fillId="4" borderId="30" xfId="6" applyFont="1" applyFill="1" applyBorder="1" applyAlignment="1">
      <alignment horizontal="left" vertical="center"/>
    </xf>
    <xf numFmtId="0" fontId="3" fillId="4" borderId="31" xfId="6" applyFont="1" applyFill="1" applyBorder="1" applyAlignment="1">
      <alignment horizontal="left" vertical="center"/>
    </xf>
    <xf numFmtId="0" fontId="3" fillId="4" borderId="32" xfId="6" applyFont="1" applyFill="1" applyBorder="1" applyAlignment="1">
      <alignment horizontal="left" vertical="center"/>
    </xf>
    <xf numFmtId="0" fontId="4" fillId="0" borderId="30" xfId="6" quotePrefix="1" applyFont="1" applyBorder="1" applyAlignment="1">
      <alignment horizontal="center" vertical="center" wrapText="1"/>
    </xf>
    <xf numFmtId="0" fontId="4" fillId="0" borderId="31" xfId="6" applyFont="1" applyBorder="1" applyAlignment="1">
      <alignment horizontal="center" vertical="center" wrapText="1"/>
    </xf>
    <xf numFmtId="0" fontId="4" fillId="0" borderId="32" xfId="6" applyFont="1" applyBorder="1" applyAlignment="1">
      <alignment horizontal="center" vertical="center" wrapText="1"/>
    </xf>
    <xf numFmtId="0" fontId="9" fillId="0" borderId="30" xfId="6" applyFont="1" applyBorder="1" applyAlignment="1">
      <alignment vertical="center"/>
    </xf>
    <xf numFmtId="0" fontId="9" fillId="0" borderId="31" xfId="6" applyFont="1" applyBorder="1" applyAlignment="1">
      <alignment vertical="center"/>
    </xf>
    <xf numFmtId="0" fontId="9" fillId="0" borderId="32" xfId="6" applyFont="1" applyBorder="1" applyAlignment="1">
      <alignment vertical="center"/>
    </xf>
    <xf numFmtId="0" fontId="9" fillId="0" borderId="30" xfId="6" quotePrefix="1" applyFont="1" applyBorder="1" applyAlignment="1">
      <alignment vertical="center" wrapText="1"/>
    </xf>
    <xf numFmtId="0" fontId="9" fillId="0" borderId="31" xfId="6" quotePrefix="1" applyFont="1" applyBorder="1" applyAlignment="1">
      <alignment vertical="center" wrapText="1"/>
    </xf>
    <xf numFmtId="0" fontId="9" fillId="0" borderId="32" xfId="6" quotePrefix="1" applyFont="1" applyBorder="1" applyAlignment="1">
      <alignment vertical="center" wrapText="1"/>
    </xf>
    <xf numFmtId="0" fontId="9" fillId="0" borderId="30" xfId="6" applyFont="1" applyBorder="1" applyAlignment="1">
      <alignment horizontal="left" vertical="center" wrapText="1"/>
    </xf>
    <xf numFmtId="0" fontId="9" fillId="0" borderId="31" xfId="6" applyFont="1" applyBorder="1" applyAlignment="1">
      <alignment horizontal="left" vertical="center" wrapText="1"/>
    </xf>
    <xf numFmtId="0" fontId="9" fillId="0" borderId="32" xfId="6" applyFont="1" applyBorder="1" applyAlignment="1">
      <alignment horizontal="left" vertical="center" wrapText="1"/>
    </xf>
    <xf numFmtId="0" fontId="9" fillId="0" borderId="33" xfId="6" applyFont="1" applyBorder="1" applyAlignment="1">
      <alignment horizontal="center" vertical="center"/>
    </xf>
    <xf numFmtId="0" fontId="9" fillId="0" borderId="35" xfId="6" applyFont="1" applyBorder="1" applyAlignment="1">
      <alignment horizontal="center" vertical="center"/>
    </xf>
    <xf numFmtId="0" fontId="9" fillId="0" borderId="34" xfId="6" applyFont="1" applyBorder="1" applyAlignment="1">
      <alignment horizontal="center" vertical="center"/>
    </xf>
    <xf numFmtId="0" fontId="9" fillId="0" borderId="33" xfId="6" applyFont="1" applyBorder="1" applyAlignment="1">
      <alignment horizontal="center" vertical="center" wrapText="1"/>
    </xf>
    <xf numFmtId="0" fontId="9" fillId="0" borderId="34" xfId="6" applyFont="1" applyBorder="1" applyAlignment="1">
      <alignment horizontal="center" vertical="center" wrapText="1"/>
    </xf>
    <xf numFmtId="0" fontId="9" fillId="0" borderId="35" xfId="6" applyFont="1" applyBorder="1" applyAlignment="1">
      <alignment horizontal="center" vertical="center" wrapText="1"/>
    </xf>
    <xf numFmtId="0" fontId="9" fillId="0" borderId="33" xfId="6" quotePrefix="1" applyFont="1" applyBorder="1" applyAlignment="1">
      <alignment horizontal="left" vertical="center" wrapText="1"/>
    </xf>
    <xf numFmtId="0" fontId="9" fillId="0" borderId="34" xfId="6" applyFont="1" applyBorder="1" applyAlignment="1">
      <alignment horizontal="left" vertical="center"/>
    </xf>
    <xf numFmtId="0" fontId="9" fillId="0" borderId="35" xfId="6" applyFont="1" applyBorder="1" applyAlignment="1">
      <alignment horizontal="left" vertical="center"/>
    </xf>
    <xf numFmtId="0" fontId="9" fillId="0" borderId="33" xfId="6" applyFont="1" applyBorder="1" applyAlignment="1">
      <alignment horizontal="left" vertical="center"/>
    </xf>
    <xf numFmtId="0" fontId="4" fillId="0" borderId="2" xfId="6" applyFont="1" applyBorder="1" applyAlignment="1">
      <alignment vertical="center"/>
    </xf>
    <xf numFmtId="0" fontId="4" fillId="0" borderId="3" xfId="6" applyFont="1" applyBorder="1" applyAlignment="1">
      <alignment vertical="center"/>
    </xf>
    <xf numFmtId="0" fontId="4" fillId="0" borderId="5" xfId="6" applyFont="1" applyBorder="1" applyAlignment="1">
      <alignment vertical="center"/>
    </xf>
    <xf numFmtId="0" fontId="4" fillId="0" borderId="2" xfId="6" quotePrefix="1" applyFont="1" applyBorder="1" applyAlignment="1">
      <alignment horizontal="left" vertical="center" wrapText="1"/>
    </xf>
    <xf numFmtId="0" fontId="9" fillId="0" borderId="33" xfId="6" applyFont="1" applyBorder="1" applyAlignment="1">
      <alignment vertical="center" wrapText="1"/>
    </xf>
    <xf numFmtId="0" fontId="9" fillId="0" borderId="34" xfId="6" applyFont="1" applyBorder="1" applyAlignment="1">
      <alignment vertical="center" wrapText="1"/>
    </xf>
    <xf numFmtId="0" fontId="9" fillId="0" borderId="35" xfId="6" applyFont="1" applyBorder="1" applyAlignment="1">
      <alignment vertical="center" wrapText="1"/>
    </xf>
    <xf numFmtId="0" fontId="6" fillId="0" borderId="29" xfId="6" applyFont="1" applyBorder="1" applyAlignment="1">
      <alignment vertical="center" wrapText="1"/>
    </xf>
    <xf numFmtId="0" fontId="6" fillId="0" borderId="16" xfId="6" applyFont="1" applyBorder="1" applyAlignment="1">
      <alignment vertical="center" wrapText="1"/>
    </xf>
    <xf numFmtId="0" fontId="9" fillId="0" borderId="30" xfId="6" applyFont="1" applyBorder="1" applyAlignment="1">
      <alignment horizontal="center" vertical="center" wrapText="1"/>
    </xf>
    <xf numFmtId="0" fontId="9" fillId="0" borderId="31" xfId="6" applyFont="1" applyBorder="1" applyAlignment="1">
      <alignment horizontal="center" vertical="center" wrapText="1"/>
    </xf>
    <xf numFmtId="0" fontId="9" fillId="0" borderId="32" xfId="6" applyFont="1" applyBorder="1" applyAlignment="1">
      <alignment horizontal="center" vertical="center" wrapText="1"/>
    </xf>
    <xf numFmtId="0" fontId="9" fillId="0" borderId="33" xfId="6" applyFont="1" applyBorder="1" applyAlignment="1">
      <alignment horizontal="left" vertical="center" wrapText="1"/>
    </xf>
    <xf numFmtId="0" fontId="9" fillId="0" borderId="34" xfId="6" applyFont="1" applyBorder="1" applyAlignment="1">
      <alignment horizontal="left" vertical="center" wrapText="1"/>
    </xf>
    <xf numFmtId="0" fontId="9" fillId="0" borderId="35" xfId="6" applyFont="1" applyBorder="1" applyAlignment="1">
      <alignment horizontal="left" vertical="center" wrapText="1"/>
    </xf>
    <xf numFmtId="0" fontId="5" fillId="0" borderId="33" xfId="6" applyFont="1" applyBorder="1" applyAlignment="1">
      <alignment vertical="center" wrapText="1"/>
    </xf>
    <xf numFmtId="0" fontId="3" fillId="0" borderId="33" xfId="6" quotePrefix="1" applyFont="1" applyBorder="1" applyAlignment="1">
      <alignment vertical="center"/>
    </xf>
    <xf numFmtId="0" fontId="3" fillId="0" borderId="34" xfId="6" quotePrefix="1" applyFont="1" applyBorder="1" applyAlignment="1">
      <alignment vertical="center"/>
    </xf>
    <xf numFmtId="0" fontId="3" fillId="0" borderId="35" xfId="6" quotePrefix="1" applyFont="1" applyBorder="1" applyAlignment="1">
      <alignment vertical="center"/>
    </xf>
    <xf numFmtId="0" fontId="4" fillId="0" borderId="33" xfId="6" quotePrefix="1" applyFont="1" applyBorder="1" applyAlignment="1">
      <alignment horizontal="center" vertical="center"/>
    </xf>
    <xf numFmtId="0" fontId="4" fillId="0" borderId="34" xfId="6" applyFont="1" applyBorder="1" applyAlignment="1">
      <alignment horizontal="center" vertical="center"/>
    </xf>
    <xf numFmtId="0" fontId="4" fillId="0" borderId="35" xfId="6" applyFont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6" fillId="0" borderId="0" xfId="0" applyFont="1"/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26" xfId="0" applyNumberFormat="1" applyFont="1" applyBorder="1" applyAlignment="1">
      <alignment horizontal="center" vertical="center"/>
    </xf>
    <xf numFmtId="14" fontId="16" fillId="0" borderId="27" xfId="0" applyNumberFormat="1" applyFont="1" applyBorder="1" applyAlignment="1">
      <alignment horizontal="center" vertical="center"/>
    </xf>
    <xf numFmtId="2" fontId="16" fillId="0" borderId="25" xfId="0" applyNumberFormat="1" applyFont="1" applyBorder="1" applyAlignment="1">
      <alignment horizontal="center" vertical="center"/>
    </xf>
    <xf numFmtId="2" fontId="16" fillId="0" borderId="26" xfId="0" applyNumberFormat="1" applyFont="1" applyBorder="1" applyAlignment="1">
      <alignment horizontal="center" vertical="center"/>
    </xf>
    <xf numFmtId="2" fontId="16" fillId="0" borderId="27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1" xfId="0" applyFont="1" applyBorder="1"/>
    <xf numFmtId="0" fontId="16" fillId="0" borderId="4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11" xfId="0" applyFont="1" applyBorder="1"/>
    <xf numFmtId="0" fontId="16" fillId="0" borderId="6" xfId="0" applyFont="1" applyBorder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2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3" xfId="0" applyFont="1" applyBorder="1"/>
    <xf numFmtId="0" fontId="12" fillId="3" borderId="25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2" fillId="3" borderId="0" xfId="0" applyFont="1" applyFill="1"/>
    <xf numFmtId="0" fontId="16" fillId="0" borderId="28" xfId="0" applyFont="1" applyBorder="1"/>
    <xf numFmtId="0" fontId="16" fillId="0" borderId="29" xfId="0" applyFont="1" applyBorder="1"/>
    <xf numFmtId="0" fontId="16" fillId="0" borderId="16" xfId="0" applyFont="1" applyBorder="1"/>
    <xf numFmtId="0" fontId="16" fillId="0" borderId="26" xfId="0" applyFont="1" applyBorder="1"/>
    <xf numFmtId="0" fontId="16" fillId="0" borderId="27" xfId="0" applyFont="1" applyBorder="1"/>
    <xf numFmtId="0" fontId="16" fillId="0" borderId="25" xfId="0" applyFont="1" applyBorder="1"/>
    <xf numFmtId="0" fontId="16" fillId="0" borderId="30" xfId="0" applyFont="1" applyBorder="1"/>
    <xf numFmtId="0" fontId="16" fillId="0" borderId="31" xfId="0" applyFont="1" applyBorder="1"/>
    <xf numFmtId="0" fontId="16" fillId="0" borderId="3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2" xfId="0" applyFont="1" applyBorder="1"/>
    <xf numFmtId="0" fontId="19" fillId="0" borderId="26" xfId="0" applyFont="1" applyBorder="1"/>
    <xf numFmtId="0" fontId="19" fillId="0" borderId="27" xfId="0" applyFont="1" applyBorder="1"/>
    <xf numFmtId="0" fontId="19" fillId="0" borderId="25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2" xfId="0" applyFont="1" applyBorder="1"/>
    <xf numFmtId="0" fontId="12" fillId="3" borderId="22" xfId="6" applyFont="1" applyFill="1" applyBorder="1" applyAlignment="1">
      <alignment horizontal="center" vertical="center"/>
    </xf>
    <xf numFmtId="0" fontId="12" fillId="3" borderId="23" xfId="6" applyFont="1" applyFill="1" applyBorder="1" applyAlignment="1">
      <alignment horizontal="center" vertical="center"/>
    </xf>
    <xf numFmtId="0" fontId="12" fillId="3" borderId="24" xfId="6" applyFont="1" applyFill="1" applyBorder="1" applyAlignment="1">
      <alignment horizontal="center" vertical="center"/>
    </xf>
    <xf numFmtId="0" fontId="15" fillId="0" borderId="25" xfId="6" applyFont="1" applyBorder="1" applyAlignment="1">
      <alignment horizontal="center" vertical="center"/>
    </xf>
    <xf numFmtId="0" fontId="15" fillId="0" borderId="26" xfId="6" applyFont="1" applyBorder="1" applyAlignment="1">
      <alignment horizontal="center" vertical="center"/>
    </xf>
    <xf numFmtId="0" fontId="15" fillId="0" borderId="27" xfId="6" applyFont="1" applyBorder="1" applyAlignment="1">
      <alignment horizontal="center" vertical="center"/>
    </xf>
    <xf numFmtId="0" fontId="15" fillId="0" borderId="1" xfId="6" applyFont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5" fillId="0" borderId="4" xfId="6" applyFont="1" applyBorder="1" applyAlignment="1">
      <alignment horizontal="center" vertical="center"/>
    </xf>
    <xf numFmtId="0" fontId="15" fillId="0" borderId="2" xfId="6" applyFont="1" applyBorder="1" applyAlignment="1">
      <alignment horizontal="center" vertical="center"/>
    </xf>
    <xf numFmtId="0" fontId="15" fillId="0" borderId="3" xfId="6" applyFont="1" applyBorder="1" applyAlignment="1">
      <alignment horizontal="center" vertical="center"/>
    </xf>
    <xf numFmtId="0" fontId="15" fillId="0" borderId="5" xfId="6" applyFont="1" applyBorder="1" applyAlignment="1">
      <alignment horizontal="center" vertical="center"/>
    </xf>
    <xf numFmtId="0" fontId="16" fillId="2" borderId="0" xfId="6" applyFont="1" applyFill="1" applyAlignment="1">
      <alignment vertical="center"/>
    </xf>
    <xf numFmtId="0" fontId="16" fillId="4" borderId="28" xfId="6" applyFont="1" applyFill="1" applyBorder="1" applyAlignment="1">
      <alignment vertical="center" wrapText="1"/>
    </xf>
    <xf numFmtId="0" fontId="16" fillId="4" borderId="29" xfId="6" applyFont="1" applyFill="1" applyBorder="1" applyAlignment="1">
      <alignment vertical="center" wrapText="1"/>
    </xf>
    <xf numFmtId="0" fontId="16" fillId="4" borderId="16" xfId="6" applyFont="1" applyFill="1" applyBorder="1" applyAlignment="1">
      <alignment vertical="center" wrapText="1"/>
    </xf>
    <xf numFmtId="0" fontId="16" fillId="0" borderId="33" xfId="6" applyFont="1" applyBorder="1" applyAlignment="1">
      <alignment vertical="center" wrapText="1"/>
    </xf>
    <xf numFmtId="0" fontId="16" fillId="0" borderId="34" xfId="6" applyFont="1" applyBorder="1" applyAlignment="1">
      <alignment vertical="center" wrapText="1"/>
    </xf>
    <xf numFmtId="0" fontId="16" fillId="0" borderId="35" xfId="6" applyFont="1" applyBorder="1" applyAlignment="1">
      <alignment vertical="center" wrapText="1"/>
    </xf>
    <xf numFmtId="0" fontId="16" fillId="0" borderId="33" xfId="6" applyFont="1" applyBorder="1" applyAlignment="1">
      <alignment vertical="center"/>
    </xf>
    <xf numFmtId="0" fontId="16" fillId="0" borderId="34" xfId="6" applyFont="1" applyBorder="1" applyAlignment="1">
      <alignment vertical="center"/>
    </xf>
    <xf numFmtId="0" fontId="16" fillId="0" borderId="35" xfId="6" applyFont="1" applyBorder="1" applyAlignment="1">
      <alignment vertical="center"/>
    </xf>
    <xf numFmtId="0" fontId="16" fillId="0" borderId="28" xfId="6" applyFont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28" xfId="6" applyFont="1" applyBorder="1" applyAlignment="1">
      <alignment vertical="center"/>
    </xf>
    <xf numFmtId="0" fontId="16" fillId="0" borderId="29" xfId="6" applyFont="1" applyBorder="1" applyAlignment="1">
      <alignment vertical="center"/>
    </xf>
    <xf numFmtId="0" fontId="16" fillId="0" borderId="16" xfId="6" applyFont="1" applyBorder="1" applyAlignment="1">
      <alignment vertical="center"/>
    </xf>
    <xf numFmtId="0" fontId="16" fillId="0" borderId="20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16" fillId="0" borderId="29" xfId="6" applyFont="1" applyBorder="1" applyAlignment="1">
      <alignment horizontal="center" vertical="center"/>
    </xf>
    <xf numFmtId="0" fontId="16" fillId="0" borderId="28" xfId="6" applyFont="1" applyBorder="1" applyAlignment="1">
      <alignment horizontal="center" vertical="center" wrapText="1"/>
    </xf>
    <xf numFmtId="0" fontId="16" fillId="0" borderId="29" xfId="6" applyFont="1" applyBorder="1" applyAlignment="1">
      <alignment horizontal="center" vertical="center" wrapText="1"/>
    </xf>
    <xf numFmtId="0" fontId="16" fillId="0" borderId="16" xfId="6" applyFont="1" applyBorder="1" applyAlignment="1">
      <alignment horizontal="center" vertical="center" wrapText="1"/>
    </xf>
    <xf numFmtId="0" fontId="16" fillId="0" borderId="28" xfId="6" applyFont="1" applyBorder="1" applyAlignment="1">
      <alignment horizontal="left" vertical="center"/>
    </xf>
    <xf numFmtId="0" fontId="16" fillId="0" borderId="29" xfId="6" applyFont="1" applyBorder="1" applyAlignment="1">
      <alignment horizontal="left" vertical="center"/>
    </xf>
    <xf numFmtId="0" fontId="16" fillId="0" borderId="16" xfId="6" applyFont="1" applyBorder="1" applyAlignment="1">
      <alignment horizontal="left" vertical="center"/>
    </xf>
    <xf numFmtId="0" fontId="16" fillId="0" borderId="20" xfId="6" applyFont="1" applyBorder="1" applyAlignment="1">
      <alignment vertical="center"/>
    </xf>
    <xf numFmtId="0" fontId="16" fillId="0" borderId="28" xfId="6" applyFont="1" applyBorder="1" applyAlignment="1">
      <alignment vertical="center" wrapText="1"/>
    </xf>
    <xf numFmtId="0" fontId="16" fillId="0" borderId="33" xfId="6" applyFont="1" applyBorder="1" applyAlignment="1">
      <alignment horizontal="center" vertical="center"/>
    </xf>
    <xf numFmtId="0" fontId="16" fillId="0" borderId="35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33" xfId="6" applyFont="1" applyBorder="1" applyAlignment="1">
      <alignment horizontal="center" vertical="center" wrapText="1"/>
    </xf>
    <xf numFmtId="0" fontId="16" fillId="0" borderId="34" xfId="6" applyFont="1" applyBorder="1" applyAlignment="1">
      <alignment horizontal="center" vertical="center" wrapText="1"/>
    </xf>
    <xf numFmtId="0" fontId="16" fillId="0" borderId="35" xfId="6" applyFont="1" applyBorder="1" applyAlignment="1">
      <alignment horizontal="center" vertical="center" wrapText="1"/>
    </xf>
    <xf numFmtId="0" fontId="16" fillId="0" borderId="34" xfId="6" applyFont="1" applyBorder="1" applyAlignment="1">
      <alignment horizontal="center" vertical="center"/>
    </xf>
    <xf numFmtId="0" fontId="16" fillId="0" borderId="33" xfId="6" applyFont="1" applyBorder="1" applyAlignment="1">
      <alignment horizontal="left" vertical="center"/>
    </xf>
    <xf numFmtId="0" fontId="16" fillId="0" borderId="34" xfId="6" applyFont="1" applyBorder="1" applyAlignment="1">
      <alignment horizontal="left" vertical="center"/>
    </xf>
    <xf numFmtId="0" fontId="16" fillId="0" borderId="35" xfId="6" applyFont="1" applyBorder="1" applyAlignment="1">
      <alignment horizontal="left" vertical="center"/>
    </xf>
    <xf numFmtId="0" fontId="16" fillId="0" borderId="17" xfId="6" applyFont="1" applyBorder="1" applyAlignment="1">
      <alignment vertical="center"/>
    </xf>
    <xf numFmtId="0" fontId="9" fillId="0" borderId="18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6" fillId="0" borderId="3" xfId="6" applyFont="1" applyBorder="1" applyAlignment="1">
      <alignment vertical="center"/>
    </xf>
    <xf numFmtId="0" fontId="16" fillId="0" borderId="5" xfId="6" applyFont="1" applyBorder="1" applyAlignment="1">
      <alignment vertical="center"/>
    </xf>
    <xf numFmtId="0" fontId="3" fillId="0" borderId="21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2" xfId="6" quotePrefix="1" applyFont="1" applyBorder="1" applyAlignment="1">
      <alignment horizontal="left" vertical="center" wrapText="1"/>
    </xf>
    <xf numFmtId="0" fontId="16" fillId="0" borderId="3" xfId="6" applyFont="1" applyBorder="1" applyAlignment="1">
      <alignment horizontal="left" vertical="center" wrapText="1"/>
    </xf>
    <xf numFmtId="0" fontId="16" fillId="0" borderId="5" xfId="6" applyFont="1" applyBorder="1" applyAlignment="1">
      <alignment horizontal="left" vertical="center" wrapText="1"/>
    </xf>
    <xf numFmtId="0" fontId="16" fillId="0" borderId="2" xfId="6" applyFont="1" applyBorder="1" applyAlignment="1">
      <alignment horizontal="left" vertical="center"/>
    </xf>
    <xf numFmtId="0" fontId="16" fillId="0" borderId="3" xfId="6" applyFont="1" applyBorder="1" applyAlignment="1">
      <alignment horizontal="left" vertical="center"/>
    </xf>
    <xf numFmtId="0" fontId="16" fillId="0" borderId="5" xfId="6" applyFont="1" applyBorder="1" applyAlignment="1">
      <alignment horizontal="left" vertical="center"/>
    </xf>
    <xf numFmtId="0" fontId="16" fillId="0" borderId="21" xfId="6" applyFont="1" applyBorder="1" applyAlignment="1">
      <alignment vertical="center"/>
    </xf>
    <xf numFmtId="0" fontId="19" fillId="2" borderId="0" xfId="6" applyFont="1" applyFill="1" applyAlignment="1">
      <alignment vertical="center"/>
    </xf>
    <xf numFmtId="0" fontId="19" fillId="0" borderId="4" xfId="6" applyFont="1" applyBorder="1" applyAlignment="1">
      <alignment vertical="center"/>
    </xf>
    <xf numFmtId="0" fontId="19" fillId="0" borderId="0" xfId="6" applyFont="1" applyAlignment="1">
      <alignment vertical="center"/>
    </xf>
    <xf numFmtId="0" fontId="16" fillId="0" borderId="0" xfId="6" applyFont="1" applyAlignment="1">
      <alignment vertical="center"/>
    </xf>
    <xf numFmtId="0" fontId="16" fillId="7" borderId="25" xfId="6" applyFont="1" applyFill="1" applyBorder="1" applyAlignment="1">
      <alignment vertical="center" wrapText="1"/>
    </xf>
    <xf numFmtId="0" fontId="16" fillId="7" borderId="27" xfId="6" applyFont="1" applyFill="1" applyBorder="1" applyAlignment="1">
      <alignment vertical="center"/>
    </xf>
    <xf numFmtId="0" fontId="16" fillId="7" borderId="25" xfId="6" applyFont="1" applyFill="1" applyBorder="1" applyAlignment="1">
      <alignment vertical="center"/>
    </xf>
    <xf numFmtId="0" fontId="16" fillId="7" borderId="26" xfId="6" applyFont="1" applyFill="1" applyBorder="1" applyAlignment="1">
      <alignment vertical="center"/>
    </xf>
    <xf numFmtId="0" fontId="16" fillId="7" borderId="36" xfId="6" applyFont="1" applyFill="1" applyBorder="1" applyAlignment="1">
      <alignment vertical="center" shrinkToFit="1"/>
    </xf>
    <xf numFmtId="0" fontId="16" fillId="7" borderId="36" xfId="6" applyFont="1" applyFill="1" applyBorder="1" applyAlignment="1">
      <alignment vertical="center" wrapText="1"/>
    </xf>
    <xf numFmtId="0" fontId="16" fillId="5" borderId="22" xfId="6" applyFont="1" applyFill="1" applyBorder="1" applyAlignment="1">
      <alignment vertical="center"/>
    </xf>
    <xf numFmtId="0" fontId="16" fillId="5" borderId="23" xfId="6" applyFont="1" applyFill="1" applyBorder="1" applyAlignment="1">
      <alignment vertical="center"/>
    </xf>
    <xf numFmtId="0" fontId="16" fillId="5" borderId="24" xfId="6" applyFont="1" applyFill="1" applyBorder="1" applyAlignment="1">
      <alignment vertical="center"/>
    </xf>
    <xf numFmtId="0" fontId="16" fillId="6" borderId="22" xfId="6" applyFont="1" applyFill="1" applyBorder="1" applyAlignment="1">
      <alignment vertical="center"/>
    </xf>
    <xf numFmtId="0" fontId="16" fillId="6" borderId="23" xfId="6" applyFont="1" applyFill="1" applyBorder="1" applyAlignment="1">
      <alignment vertical="center"/>
    </xf>
    <xf numFmtId="0" fontId="16" fillId="6" borderId="24" xfId="6" applyFont="1" applyFill="1" applyBorder="1" applyAlignment="1">
      <alignment vertical="center"/>
    </xf>
    <xf numFmtId="0" fontId="16" fillId="4" borderId="25" xfId="6" applyFont="1" applyFill="1" applyBorder="1" applyAlignment="1">
      <alignment horizontal="center" vertical="center"/>
    </xf>
    <xf numFmtId="0" fontId="16" fillId="4" borderId="26" xfId="6" applyFont="1" applyFill="1" applyBorder="1" applyAlignment="1">
      <alignment horizontal="center" vertical="center"/>
    </xf>
    <xf numFmtId="0" fontId="16" fillId="4" borderId="27" xfId="6" applyFont="1" applyFill="1" applyBorder="1" applyAlignment="1">
      <alignment horizontal="center" vertical="center"/>
    </xf>
    <xf numFmtId="0" fontId="16" fillId="7" borderId="1" xfId="6" applyFont="1" applyFill="1" applyBorder="1" applyAlignment="1">
      <alignment vertical="center"/>
    </xf>
    <xf numFmtId="0" fontId="16" fillId="7" borderId="4" xfId="6" applyFont="1" applyFill="1" applyBorder="1" applyAlignment="1">
      <alignment vertical="center"/>
    </xf>
    <xf numFmtId="0" fontId="16" fillId="7" borderId="0" xfId="6" applyFont="1" applyFill="1" applyAlignment="1">
      <alignment vertical="center"/>
    </xf>
    <xf numFmtId="0" fontId="16" fillId="7" borderId="37" xfId="6" applyFont="1" applyFill="1" applyBorder="1" applyAlignment="1">
      <alignment vertical="center" shrinkToFit="1"/>
    </xf>
    <xf numFmtId="0" fontId="16" fillId="7" borderId="37" xfId="6" applyFont="1" applyFill="1" applyBorder="1" applyAlignment="1">
      <alignment vertical="center" wrapText="1"/>
    </xf>
    <xf numFmtId="0" fontId="16" fillId="5" borderId="22" xfId="6" applyFont="1" applyFill="1" applyBorder="1"/>
    <xf numFmtId="0" fontId="16" fillId="5" borderId="23" xfId="6" applyFont="1" applyFill="1" applyBorder="1"/>
    <xf numFmtId="0" fontId="16" fillId="5" borderId="24" xfId="6" applyFont="1" applyFill="1" applyBorder="1"/>
    <xf numFmtId="0" fontId="16" fillId="5" borderId="25" xfId="6" applyFont="1" applyFill="1" applyBorder="1" applyAlignment="1">
      <alignment vertical="center"/>
    </xf>
    <xf numFmtId="0" fontId="16" fillId="5" borderId="26" xfId="6" applyFont="1" applyFill="1" applyBorder="1" applyAlignment="1">
      <alignment vertical="center"/>
    </xf>
    <xf numFmtId="0" fontId="16" fillId="5" borderId="27" xfId="6" applyFont="1" applyFill="1" applyBorder="1" applyAlignment="1">
      <alignment vertical="center"/>
    </xf>
    <xf numFmtId="0" fontId="16" fillId="6" borderId="25" xfId="6" applyFont="1" applyFill="1" applyBorder="1" applyAlignment="1">
      <alignment vertical="center" wrapText="1"/>
    </xf>
    <xf numFmtId="0" fontId="16" fillId="6" borderId="36" xfId="6" applyFont="1" applyFill="1" applyBorder="1" applyAlignment="1">
      <alignment vertical="center" wrapText="1"/>
    </xf>
    <xf numFmtId="0" fontId="16" fillId="6" borderId="27" xfId="6" applyFont="1" applyFill="1" applyBorder="1" applyAlignment="1">
      <alignment vertical="center" wrapText="1"/>
    </xf>
    <xf numFmtId="0" fontId="16" fillId="4" borderId="1" xfId="6" applyFont="1" applyFill="1" applyBorder="1" applyAlignment="1">
      <alignment horizontal="center" vertical="center"/>
    </xf>
    <xf numFmtId="0" fontId="16" fillId="4" borderId="0" xfId="6" applyFont="1" applyFill="1" applyAlignment="1">
      <alignment horizontal="center" vertical="center"/>
    </xf>
    <xf numFmtId="0" fontId="16" fillId="4" borderId="4" xfId="6" applyFont="1" applyFill="1" applyBorder="1" applyAlignment="1">
      <alignment horizontal="center" vertical="center"/>
    </xf>
    <xf numFmtId="0" fontId="16" fillId="7" borderId="2" xfId="6" applyFont="1" applyFill="1" applyBorder="1" applyAlignment="1">
      <alignment vertical="center"/>
    </xf>
    <xf numFmtId="0" fontId="16" fillId="7" borderId="5" xfId="6" applyFont="1" applyFill="1" applyBorder="1" applyAlignment="1">
      <alignment vertical="center"/>
    </xf>
    <xf numFmtId="0" fontId="16" fillId="7" borderId="3" xfId="6" applyFont="1" applyFill="1" applyBorder="1" applyAlignment="1">
      <alignment vertical="center"/>
    </xf>
    <xf numFmtId="0" fontId="16" fillId="7" borderId="21" xfId="6" applyFont="1" applyFill="1" applyBorder="1" applyAlignment="1">
      <alignment vertical="center" shrinkToFit="1"/>
    </xf>
    <xf numFmtId="0" fontId="16" fillId="7" borderId="21" xfId="6" applyFont="1" applyFill="1" applyBorder="1" applyAlignment="1">
      <alignment vertical="center" wrapText="1"/>
    </xf>
    <xf numFmtId="0" fontId="16" fillId="5" borderId="2" xfId="6" applyFont="1" applyFill="1" applyBorder="1" applyAlignment="1">
      <alignment vertical="center"/>
    </xf>
    <xf numFmtId="0" fontId="16" fillId="5" borderId="3" xfId="6" applyFont="1" applyFill="1" applyBorder="1" applyAlignment="1">
      <alignment vertical="center"/>
    </xf>
    <xf numFmtId="0" fontId="16" fillId="5" borderId="5" xfId="6" applyFont="1" applyFill="1" applyBorder="1" applyAlignment="1">
      <alignment vertical="center"/>
    </xf>
    <xf numFmtId="0" fontId="16" fillId="6" borderId="2" xfId="6" applyFont="1" applyFill="1" applyBorder="1" applyAlignment="1">
      <alignment vertical="center" wrapText="1"/>
    </xf>
    <xf numFmtId="0" fontId="16" fillId="6" borderId="21" xfId="6" applyFont="1" applyFill="1" applyBorder="1" applyAlignment="1">
      <alignment vertical="center" wrapText="1"/>
    </xf>
    <xf numFmtId="0" fontId="16" fillId="6" borderId="5" xfId="6" applyFont="1" applyFill="1" applyBorder="1" applyAlignment="1">
      <alignment vertical="center" wrapText="1"/>
    </xf>
    <xf numFmtId="0" fontId="16" fillId="6" borderId="38" xfId="6" applyFont="1" applyFill="1" applyBorder="1" applyAlignment="1">
      <alignment vertical="center"/>
    </xf>
    <xf numFmtId="0" fontId="16" fillId="6" borderId="39" xfId="6" applyFont="1" applyFill="1" applyBorder="1" applyAlignment="1">
      <alignment vertical="center"/>
    </xf>
    <xf numFmtId="0" fontId="16" fillId="4" borderId="2" xfId="6" applyFont="1" applyFill="1" applyBorder="1" applyAlignment="1">
      <alignment horizontal="center" vertical="center"/>
    </xf>
    <xf numFmtId="0" fontId="16" fillId="4" borderId="3" xfId="6" applyFont="1" applyFill="1" applyBorder="1" applyAlignment="1">
      <alignment horizontal="center" vertical="center"/>
    </xf>
    <xf numFmtId="0" fontId="16" fillId="4" borderId="5" xfId="6" applyFont="1" applyFill="1" applyBorder="1" applyAlignment="1">
      <alignment horizontal="center" vertical="center"/>
    </xf>
    <xf numFmtId="0" fontId="16" fillId="0" borderId="28" xfId="6" applyFont="1" applyBorder="1" applyAlignment="1">
      <alignment horizontal="left" vertical="center" wrapText="1"/>
    </xf>
    <xf numFmtId="0" fontId="16" fillId="0" borderId="33" xfId="6" quotePrefix="1" applyFont="1" applyBorder="1" applyAlignment="1">
      <alignment horizontal="left" vertical="center" wrapText="1"/>
    </xf>
    <xf numFmtId="0" fontId="16" fillId="0" borderId="40" xfId="6" applyFont="1" applyBorder="1" applyAlignment="1">
      <alignment horizontal="center" vertical="center" wrapText="1"/>
    </xf>
    <xf numFmtId="0" fontId="16" fillId="0" borderId="41" xfId="6" applyFont="1" applyBorder="1" applyAlignment="1">
      <alignment horizontal="center" vertical="center" wrapText="1"/>
    </xf>
    <xf numFmtId="0" fontId="16" fillId="0" borderId="42" xfId="6" applyFont="1" applyBorder="1" applyAlignment="1">
      <alignment horizontal="center" vertical="center" wrapText="1"/>
    </xf>
    <xf numFmtId="0" fontId="16" fillId="0" borderId="30" xfId="6" applyFont="1" applyBorder="1" applyAlignment="1">
      <alignment horizontal="center" vertical="center"/>
    </xf>
    <xf numFmtId="0" fontId="16" fillId="0" borderId="32" xfId="6" applyFont="1" applyBorder="1" applyAlignment="1">
      <alignment horizontal="center" vertical="center"/>
    </xf>
    <xf numFmtId="0" fontId="16" fillId="0" borderId="30" xfId="6" applyFont="1" applyBorder="1" applyAlignment="1">
      <alignment vertical="center"/>
    </xf>
    <xf numFmtId="0" fontId="16" fillId="0" borderId="31" xfId="6" applyFont="1" applyBorder="1" applyAlignment="1">
      <alignment vertical="center"/>
    </xf>
    <xf numFmtId="0" fontId="16" fillId="0" borderId="32" xfId="6" applyFont="1" applyBorder="1" applyAlignment="1">
      <alignment vertical="center"/>
    </xf>
    <xf numFmtId="0" fontId="16" fillId="0" borderId="19" xfId="6" applyFont="1" applyBorder="1" applyAlignment="1">
      <alignment horizontal="center" vertical="center"/>
    </xf>
    <xf numFmtId="0" fontId="16" fillId="0" borderId="31" xfId="6" applyFont="1" applyBorder="1" applyAlignment="1">
      <alignment horizontal="center" vertical="center"/>
    </xf>
    <xf numFmtId="0" fontId="16" fillId="0" borderId="30" xfId="6" applyFont="1" applyBorder="1" applyAlignment="1">
      <alignment horizontal="center" vertical="center" wrapText="1"/>
    </xf>
    <xf numFmtId="0" fontId="16" fillId="0" borderId="31" xfId="6" applyFont="1" applyBorder="1" applyAlignment="1">
      <alignment horizontal="center" vertical="center" wrapText="1"/>
    </xf>
    <xf numFmtId="0" fontId="16" fillId="0" borderId="32" xfId="6" applyFont="1" applyBorder="1" applyAlignment="1">
      <alignment horizontal="center" vertical="center" wrapText="1"/>
    </xf>
    <xf numFmtId="0" fontId="16" fillId="0" borderId="30" xfId="6" quotePrefix="1" applyFont="1" applyBorder="1" applyAlignment="1">
      <alignment horizontal="left" vertical="center" wrapText="1"/>
    </xf>
    <xf numFmtId="0" fontId="16" fillId="0" borderId="31" xfId="6" applyFont="1" applyBorder="1" applyAlignment="1">
      <alignment horizontal="left" vertical="center"/>
    </xf>
    <xf numFmtId="0" fontId="16" fillId="0" borderId="32" xfId="6" applyFont="1" applyBorder="1" applyAlignment="1">
      <alignment horizontal="left" vertical="center"/>
    </xf>
    <xf numFmtId="0" fontId="16" fillId="0" borderId="19" xfId="6" applyFont="1" applyBorder="1" applyAlignment="1">
      <alignment vertical="center"/>
    </xf>
    <xf numFmtId="0" fontId="16" fillId="0" borderId="29" xfId="6" applyFont="1" applyBorder="1" applyAlignment="1">
      <alignment vertical="center" wrapText="1"/>
    </xf>
    <xf numFmtId="0" fontId="16" fillId="0" borderId="16" xfId="6" applyFont="1" applyBorder="1" applyAlignment="1">
      <alignment vertical="center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11205</xdr:colOff>
      <xdr:row>8</xdr:row>
      <xdr:rowOff>11206</xdr:rowOff>
    </xdr:from>
    <xdr:to>
      <xdr:col>17</xdr:col>
      <xdr:colOff>195638</xdr:colOff>
      <xdr:row>42</xdr:row>
      <xdr:rowOff>33619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pSpPr>
          <a:grpSpLocks/>
        </xdr:cNvGrpSpPr>
      </xdr:nvGrpSpPr>
      <xdr:grpSpPr>
        <a:xfrm>
          <a:off x="481852" y="1647265"/>
          <a:ext cx="3714286" cy="6544236"/>
          <a:chOff x="15139147" y="1400736"/>
          <a:chExt cx="3714286" cy="6544236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GrpSpPr>
            <a:grpSpLocks/>
          </xdr:cNvGrpSpPr>
        </xdr:nvGrpSpPr>
        <xdr:grpSpPr>
          <a:xfrm>
            <a:off x="15139147" y="1400736"/>
            <a:ext cx="3714286" cy="6544236"/>
            <a:chOff x="15139147" y="1400736"/>
            <a:chExt cx="3714286" cy="6544236"/>
          </a:xfrm>
        </xdr:grpSpPr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00000000-0008-0000-0200-000010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5139147" y="1400736"/>
              <a:ext cx="3714286" cy="6544236"/>
            </a:xfrm>
            <a:prstGeom prst="rect">
              <a:avLst/>
            </a:prstGeom>
          </xdr:spPr>
        </xdr:pic>
        <xdr:sp macro="" textlink="" fLocksText="0">
          <xdr:nvSpPr>
            <xdr:cNvPr id="4" name="Rectangle 3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5228290" y="1438365"/>
              <a:ext cx="313857" cy="33212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1100" b="0" i="0" u="none" baseline="0">
                  <a:solidFill>
                    <a:srgbClr val="000000"/>
                  </a:solidFill>
                  <a:latin typeface="Meiryo UI"/>
                  <a:ea typeface="Meiryo UI"/>
                </a:rPr>
                <a:t>1</a:t>
              </a:r>
            </a:p>
          </xdr:txBody>
        </xdr:sp>
        <xdr:sp macro="" textlink="" fLocksText="0">
          <xdr:nvSpPr>
            <xdr:cNvPr id="17" name="Rectangle 16">
              <a:extLst>
                <a:ext uri="{FF2B5EF4-FFF2-40B4-BE49-F238E27FC236}">
                  <a16:creationId xmlns:a16="http://schemas.microsoft.com/office/drawing/2014/main" id="{00000000-0008-0000-0200-000011000000}"/>
                </a:ext>
              </a:extLst>
            </xdr:cNvPr>
            <xdr:cNvSpPr/>
          </xdr:nvSpPr>
          <xdr:spPr>
            <a:xfrm>
              <a:off x="15229218" y="1793390"/>
              <a:ext cx="313857" cy="33212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1100" b="0" i="0" u="none" baseline="0">
                  <a:solidFill>
                    <a:srgbClr val="000000"/>
                  </a:solidFill>
                  <a:latin typeface="Meiryo UI"/>
                  <a:ea typeface="Meiryo UI"/>
                </a:rPr>
                <a:t>3</a:t>
              </a:r>
            </a:p>
          </xdr:txBody>
        </xdr:sp>
        <xdr:sp macro="" textlink="" fLocksText="0">
          <xdr:nvSpPr>
            <xdr:cNvPr id="18" name="Rectangle 17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SpPr/>
          </xdr:nvSpPr>
          <xdr:spPr>
            <a:xfrm>
              <a:off x="15194861" y="2509984"/>
              <a:ext cx="313857" cy="33212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1100" b="0" i="0" u="none" baseline="0">
                  <a:solidFill>
                    <a:srgbClr val="000000"/>
                  </a:solidFill>
                  <a:latin typeface="Meiryo UI"/>
                  <a:ea typeface="Meiryo UI"/>
                </a:rPr>
                <a:t>4</a:t>
              </a:r>
            </a:p>
          </xdr:txBody>
        </xdr:sp>
        <xdr:sp macro="" textlink="" fLocksText="0">
          <xdr:nvSpPr>
            <xdr:cNvPr id="19" name="Rectangle 18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/>
          </xdr:nvSpPr>
          <xdr:spPr>
            <a:xfrm>
              <a:off x="15362933" y="3820467"/>
              <a:ext cx="313857" cy="33212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1100" b="0" i="0" u="none" baseline="0">
                  <a:solidFill>
                    <a:srgbClr val="000000"/>
                  </a:solidFill>
                  <a:latin typeface="Meiryo UI"/>
                  <a:ea typeface="Meiryo UI"/>
                </a:rPr>
                <a:t>5</a:t>
              </a:r>
            </a:p>
          </xdr:txBody>
        </xdr:sp>
        <xdr:sp macro="" textlink="" fLocksText="0">
          <xdr:nvSpPr>
            <xdr:cNvPr id="20" name="Rectangle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SpPr/>
          </xdr:nvSpPr>
          <xdr:spPr>
            <a:xfrm>
              <a:off x="18096647" y="3858097"/>
              <a:ext cx="313857" cy="33212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1100" b="0" i="0" u="none" baseline="0">
                  <a:solidFill>
                    <a:srgbClr val="000000"/>
                  </a:solidFill>
                  <a:latin typeface="Meiryo UI"/>
                  <a:ea typeface="Meiryo UI"/>
                </a:rPr>
                <a:t>6</a:t>
              </a:r>
            </a:p>
          </xdr:txBody>
        </xdr:sp>
        <xdr:sp macro="" textlink="" fLocksText="0">
          <xdr:nvSpPr>
            <xdr:cNvPr id="21" name="Rectangle 20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SpPr/>
          </xdr:nvSpPr>
          <xdr:spPr>
            <a:xfrm>
              <a:off x="15206004" y="3013890"/>
              <a:ext cx="313857" cy="33212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1100" b="0" i="0" u="none" baseline="0">
                  <a:solidFill>
                    <a:srgbClr val="000000"/>
                  </a:solidFill>
                  <a:latin typeface="Meiryo UI"/>
                  <a:ea typeface="Meiryo UI"/>
                </a:rPr>
                <a:t>7</a:t>
              </a:r>
            </a:p>
          </xdr:txBody>
        </xdr:sp>
        <xdr:sp macro="" textlink="" fLocksText="0">
          <xdr:nvSpPr>
            <xdr:cNvPr id="22" name="Rectangle 21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SpPr/>
          </xdr:nvSpPr>
          <xdr:spPr>
            <a:xfrm>
              <a:off x="15362933" y="5301101"/>
              <a:ext cx="313857" cy="33212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1100" b="0" i="0" u="none" baseline="0">
                  <a:solidFill>
                    <a:srgbClr val="000000"/>
                  </a:solidFill>
                  <a:latin typeface="Meiryo UI"/>
                  <a:ea typeface="Meiryo UI"/>
                </a:rPr>
                <a:t>8</a:t>
              </a:r>
            </a:p>
          </xdr:txBody>
        </xdr:sp>
        <xdr:sp macro="" textlink="" fLocksText="0">
          <xdr:nvSpPr>
            <xdr:cNvPr id="23" name="Rectangle 22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SpPr/>
          </xdr:nvSpPr>
          <xdr:spPr>
            <a:xfrm>
              <a:off x="16233004" y="5281468"/>
              <a:ext cx="313857" cy="33212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2">
              <a:schemeClr val="tx1"/>
            </a:lnRef>
            <a:fillRef idx="1">
              <a:schemeClr val="bg1"/>
            </a:fillRef>
            <a:effectRef idx="0">
              <a:schemeClr val="tx1"/>
            </a:effectRef>
            <a:fontRef idx="minor">
              <a:schemeClr val="tx1"/>
            </a:fontRef>
          </xdr:style>
          <xdr:txBody>
            <a:bodyPr vertOverflow="clip" horzOverflow="clip" anchor="ctr"/>
            <a:lstStyle/>
            <a:p>
              <a:pPr algn="ctr"/>
              <a:r>
                <a:rPr lang="en-US" sz="1100" b="0" i="0" u="none" baseline="0">
                  <a:solidFill>
                    <a:srgbClr val="000000"/>
                  </a:solidFill>
                  <a:latin typeface="Meiryo UI"/>
                  <a:ea typeface="Meiryo UI"/>
                </a:rPr>
                <a:t>9</a:t>
              </a:r>
            </a:p>
          </xdr:txBody>
        </xdr:sp>
      </xdr:grpSp>
      <xdr:sp macro="" textlink="" fLocksText="0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/>
        </xdr:nvSpPr>
        <xdr:spPr>
          <a:xfrm>
            <a:off x="17369576" y="7418161"/>
            <a:ext cx="313857" cy="332120"/>
          </a:xfrm>
          <a:prstGeom prst="rect">
            <a:avLst/>
          </a:prstGeom>
          <a:solidFill>
            <a:srgbClr val="FFFF00"/>
          </a:solidFill>
          <a:ln>
            <a:solidFill>
              <a:schemeClr val="tx1"/>
            </a:solidFill>
          </a:ln>
        </xdr:spPr>
        <xdr:style>
          <a:lnRef idx="2">
            <a:schemeClr val="tx1"/>
          </a:lnRef>
          <a:fillRef idx="1">
            <a:schemeClr val="bg1"/>
          </a:fillRef>
          <a:effectRef idx="0">
            <a:schemeClr val="tx1"/>
          </a:effectRef>
          <a:fontRef idx="minor">
            <a:schemeClr val="tx1"/>
          </a:fontRef>
        </xdr:style>
        <xdr:txBody>
          <a:bodyPr vertOverflow="clip" horzOverflow="clip" lIns="0" tIns="0" rIns="0" bIns="0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11</a:t>
            </a:r>
          </a:p>
        </xdr:txBody>
      </xdr:sp>
    </xdr:grpSp>
    <xdr:clientData/>
  </xdr:twoCellAnchor>
  <xdr:twoCellAnchor>
    <xdr:from>
      <xdr:col>21</xdr:col>
      <xdr:colOff>212911</xdr:colOff>
      <xdr:row>8</xdr:row>
      <xdr:rowOff>11206</xdr:rowOff>
    </xdr:from>
    <xdr:to>
      <xdr:col>35</xdr:col>
      <xdr:colOff>67233</xdr:colOff>
      <xdr:row>41</xdr:row>
      <xdr:rowOff>190501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GrpSpPr>
          <a:grpSpLocks/>
        </xdr:cNvGrpSpPr>
      </xdr:nvGrpSpPr>
      <xdr:grpSpPr>
        <a:xfrm>
          <a:off x="5154705" y="1647265"/>
          <a:ext cx="3148852" cy="6499412"/>
          <a:chOff x="19083618" y="1378324"/>
          <a:chExt cx="3148852" cy="6499412"/>
        </a:xfrm>
      </xdr:grpSpPr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117468" y="1378324"/>
            <a:ext cx="3115002" cy="6499412"/>
          </a:xfrm>
          <a:prstGeom prst="rect">
            <a:avLst/>
          </a:prstGeom>
        </xdr:spPr>
      </xdr:pic>
      <xdr:sp macro="" textlink="" fLocksText="0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19083618" y="2431229"/>
            <a:ext cx="314098" cy="331470"/>
          </a:xfrm>
          <a:prstGeom prst="rect">
            <a:avLst/>
          </a:prstGeom>
          <a:solidFill>
            <a:srgbClr val="FFFF00"/>
          </a:solidFill>
          <a:ln>
            <a:solidFill>
              <a:schemeClr val="tx1"/>
            </a:solidFill>
          </a:ln>
        </xdr:spPr>
        <xdr:style>
          <a:lnRef idx="2">
            <a:schemeClr val="tx1"/>
          </a:lnRef>
          <a:fillRef idx="1">
            <a:schemeClr val="bg1"/>
          </a:fillRef>
          <a:effectRef idx="0">
            <a:schemeClr val="tx1"/>
          </a:effectRef>
          <a:fontRef idx="minor">
            <a:schemeClr val="tx1"/>
          </a:fontRef>
        </xdr:style>
        <xdr:txBody>
          <a:bodyPr vertOverflow="clip" horzOverflow="clip" lIns="0" tIns="0" rIns="0" bIns="0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10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40</xdr:col>
      <xdr:colOff>0</xdr:colOff>
      <xdr:row>19</xdr:row>
      <xdr:rowOff>180975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3352800"/>
          <a:ext cx="10134600" cy="561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40</xdr:col>
      <xdr:colOff>0</xdr:colOff>
      <xdr:row>23</xdr:row>
      <xdr:rowOff>21532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4114800"/>
          <a:ext cx="10134600" cy="400050"/>
        </a:xfrm>
        <a:prstGeom prst="rect">
          <a:avLst/>
        </a:prstGeom>
      </xdr:spPr>
    </xdr:pic>
    <xdr:clientData/>
  </xdr:twoCellAnchor>
  <xdr:twoCellAnchor>
    <xdr:from>
      <xdr:col>29</xdr:col>
      <xdr:colOff>106456</xdr:colOff>
      <xdr:row>17</xdr:row>
      <xdr:rowOff>103093</xdr:rowOff>
    </xdr:from>
    <xdr:to>
      <xdr:col>30</xdr:col>
      <xdr:colOff>185326</xdr:colOff>
      <xdr:row>19</xdr:row>
      <xdr:rowOff>54324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7839075" y="345757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8</a:t>
          </a:r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61</xdr:col>
      <xdr:colOff>22412</xdr:colOff>
      <xdr:row>13</xdr:row>
      <xdr:rowOff>61282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" y="2209800"/>
          <a:ext cx="15754350" cy="438150"/>
        </a:xfrm>
        <a:prstGeom prst="rect">
          <a:avLst/>
        </a:prstGeom>
      </xdr:spPr>
    </xdr:pic>
    <xdr:clientData/>
  </xdr:twoCellAnchor>
  <xdr:twoCellAnchor>
    <xdr:from>
      <xdr:col>9</xdr:col>
      <xdr:colOff>107576</xdr:colOff>
      <xdr:row>9</xdr:row>
      <xdr:rowOff>144930</xdr:rowOff>
    </xdr:from>
    <xdr:to>
      <xdr:col>10</xdr:col>
      <xdr:colOff>186448</xdr:colOff>
      <xdr:row>11</xdr:row>
      <xdr:rowOff>96163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505075" y="1971675"/>
          <a:ext cx="352425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1</a:t>
          </a:r>
        </a:p>
      </xdr:txBody>
    </xdr:sp>
    <xdr:clientData/>
  </xdr:twoCellAnchor>
  <xdr:twoCellAnchor>
    <xdr:from>
      <xdr:col>18</xdr:col>
      <xdr:colOff>82924</xdr:colOff>
      <xdr:row>9</xdr:row>
      <xdr:rowOff>85165</xdr:rowOff>
    </xdr:from>
    <xdr:to>
      <xdr:col>19</xdr:col>
      <xdr:colOff>161795</xdr:colOff>
      <xdr:row>11</xdr:row>
      <xdr:rowOff>36398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4886325" y="191452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2</a:t>
          </a:r>
        </a:p>
      </xdr:txBody>
    </xdr:sp>
    <xdr:clientData/>
  </xdr:twoCellAnchor>
  <xdr:twoCellAnchor>
    <xdr:from>
      <xdr:col>29</xdr:col>
      <xdr:colOff>52297</xdr:colOff>
      <xdr:row>9</xdr:row>
      <xdr:rowOff>98612</xdr:rowOff>
    </xdr:from>
    <xdr:to>
      <xdr:col>30</xdr:col>
      <xdr:colOff>131167</xdr:colOff>
      <xdr:row>11</xdr:row>
      <xdr:rowOff>49845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7781925" y="1924050"/>
          <a:ext cx="352425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3</a:t>
          </a:r>
        </a:p>
      </xdr:txBody>
    </xdr:sp>
    <xdr:clientData/>
  </xdr:twoCellAnchor>
  <xdr:twoCellAnchor>
    <xdr:from>
      <xdr:col>44</xdr:col>
      <xdr:colOff>11207</xdr:colOff>
      <xdr:row>9</xdr:row>
      <xdr:rowOff>89647</xdr:rowOff>
    </xdr:from>
    <xdr:to>
      <xdr:col>45</xdr:col>
      <xdr:colOff>90077</xdr:colOff>
      <xdr:row>11</xdr:row>
      <xdr:rowOff>40878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1744325" y="191452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4</a:t>
          </a:r>
        </a:p>
      </xdr:txBody>
    </xdr:sp>
    <xdr:clientData/>
  </xdr:twoCellAnchor>
  <xdr:twoCellAnchor>
    <xdr:from>
      <xdr:col>46</xdr:col>
      <xdr:colOff>100854</xdr:colOff>
      <xdr:row>9</xdr:row>
      <xdr:rowOff>89647</xdr:rowOff>
    </xdr:from>
    <xdr:to>
      <xdr:col>47</xdr:col>
      <xdr:colOff>179724</xdr:colOff>
      <xdr:row>11</xdr:row>
      <xdr:rowOff>40878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12372975" y="191452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5</a:t>
          </a:r>
        </a:p>
      </xdr:txBody>
    </xdr:sp>
    <xdr:clientData/>
  </xdr:twoCellAnchor>
  <xdr:twoCellAnchor>
    <xdr:from>
      <xdr:col>50</xdr:col>
      <xdr:colOff>33618</xdr:colOff>
      <xdr:row>9</xdr:row>
      <xdr:rowOff>89647</xdr:rowOff>
    </xdr:from>
    <xdr:to>
      <xdr:col>51</xdr:col>
      <xdr:colOff>112488</xdr:colOff>
      <xdr:row>11</xdr:row>
      <xdr:rowOff>40878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13373100" y="191452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6</a:t>
          </a:r>
        </a:p>
      </xdr:txBody>
    </xdr:sp>
    <xdr:clientData/>
  </xdr:twoCellAnchor>
  <xdr:twoCellAnchor>
    <xdr:from>
      <xdr:col>56</xdr:col>
      <xdr:colOff>100852</xdr:colOff>
      <xdr:row>9</xdr:row>
      <xdr:rowOff>100853</xdr:rowOff>
    </xdr:from>
    <xdr:to>
      <xdr:col>57</xdr:col>
      <xdr:colOff>179723</xdr:colOff>
      <xdr:row>11</xdr:row>
      <xdr:rowOff>52084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5039975" y="1933575"/>
          <a:ext cx="342900" cy="32385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7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61</xdr:col>
      <xdr:colOff>0</xdr:colOff>
      <xdr:row>11</xdr:row>
      <xdr:rowOff>137826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828800"/>
          <a:ext cx="15735300" cy="514350"/>
        </a:xfrm>
        <a:prstGeom prst="rect">
          <a:avLst/>
        </a:prstGeom>
      </xdr:spPr>
    </xdr:pic>
    <xdr:clientData/>
  </xdr:twoCellAnchor>
  <xdr:twoCellAnchor>
    <xdr:from>
      <xdr:col>7</xdr:col>
      <xdr:colOff>65741</xdr:colOff>
      <xdr:row>8</xdr:row>
      <xdr:rowOff>26894</xdr:rowOff>
    </xdr:from>
    <xdr:to>
      <xdr:col>8</xdr:col>
      <xdr:colOff>138636</xdr:colOff>
      <xdr:row>9</xdr:row>
      <xdr:rowOff>168627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933575" y="166687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2</a:t>
          </a:r>
        </a:p>
      </xdr:txBody>
    </xdr:sp>
    <xdr:clientData/>
  </xdr:twoCellAnchor>
  <xdr:twoCellAnchor>
    <xdr:from>
      <xdr:col>53</xdr:col>
      <xdr:colOff>171077</xdr:colOff>
      <xdr:row>8</xdr:row>
      <xdr:rowOff>0</xdr:rowOff>
    </xdr:from>
    <xdr:to>
      <xdr:col>55</xdr:col>
      <xdr:colOff>14624</xdr:colOff>
      <xdr:row>9</xdr:row>
      <xdr:rowOff>135009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4306550" y="1638300"/>
          <a:ext cx="381000" cy="32385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6</a:t>
          </a:r>
        </a:p>
      </xdr:txBody>
    </xdr:sp>
    <xdr:clientData/>
  </xdr:twoCellAnchor>
  <xdr:twoCellAnchor>
    <xdr:from>
      <xdr:col>49</xdr:col>
      <xdr:colOff>206936</xdr:colOff>
      <xdr:row>8</xdr:row>
      <xdr:rowOff>0</xdr:rowOff>
    </xdr:from>
    <xdr:to>
      <xdr:col>51</xdr:col>
      <xdr:colOff>50483</xdr:colOff>
      <xdr:row>9</xdr:row>
      <xdr:rowOff>135010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3277850" y="1638300"/>
          <a:ext cx="371475" cy="32385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5</a:t>
          </a:r>
        </a:p>
      </xdr:txBody>
    </xdr:sp>
    <xdr:clientData/>
  </xdr:twoCellAnchor>
  <xdr:twoCellAnchor>
    <xdr:from>
      <xdr:col>45</xdr:col>
      <xdr:colOff>137459</xdr:colOff>
      <xdr:row>8</xdr:row>
      <xdr:rowOff>0</xdr:rowOff>
    </xdr:from>
    <xdr:to>
      <xdr:col>46</xdr:col>
      <xdr:colOff>210355</xdr:colOff>
      <xdr:row>9</xdr:row>
      <xdr:rowOff>135009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2134850" y="1638300"/>
          <a:ext cx="342900" cy="32385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4</a:t>
          </a:r>
        </a:p>
      </xdr:txBody>
    </xdr:sp>
    <xdr:clientData/>
  </xdr:twoCellAnchor>
  <xdr:twoCellAnchor>
    <xdr:from>
      <xdr:col>40</xdr:col>
      <xdr:colOff>183030</xdr:colOff>
      <xdr:row>8</xdr:row>
      <xdr:rowOff>0</xdr:rowOff>
    </xdr:from>
    <xdr:to>
      <xdr:col>42</xdr:col>
      <xdr:colOff>26577</xdr:colOff>
      <xdr:row>9</xdr:row>
      <xdr:rowOff>135010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0848975" y="1638300"/>
          <a:ext cx="381000" cy="32385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3</a:t>
          </a:r>
        </a:p>
      </xdr:txBody>
    </xdr:sp>
    <xdr:clientData/>
  </xdr:twoCellAnchor>
  <xdr:twoCellAnchor>
    <xdr:from>
      <xdr:col>4</xdr:col>
      <xdr:colOff>22412</xdr:colOff>
      <xdr:row>8</xdr:row>
      <xdr:rowOff>22412</xdr:rowOff>
    </xdr:from>
    <xdr:to>
      <xdr:col>5</xdr:col>
      <xdr:colOff>101283</xdr:colOff>
      <xdr:row>9</xdr:row>
      <xdr:rowOff>164145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85850" y="1657350"/>
          <a:ext cx="352425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1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28</xdr:row>
      <xdr:rowOff>0</xdr:rowOff>
    </xdr:from>
    <xdr:to>
      <xdr:col>22</xdr:col>
      <xdr:colOff>36386</xdr:colOff>
      <xdr:row>41</xdr:row>
      <xdr:rowOff>169437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5410200"/>
          <a:ext cx="5372100" cy="2657475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11207</xdr:rowOff>
    </xdr:from>
    <xdr:to>
      <xdr:col>53</xdr:col>
      <xdr:colOff>45910</xdr:colOff>
      <xdr:row>40</xdr:row>
      <xdr:rowOff>1397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01100" y="5419725"/>
          <a:ext cx="5381625" cy="2276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22</xdr:col>
      <xdr:colOff>75746</xdr:colOff>
      <xdr:row>22</xdr:row>
      <xdr:rowOff>57530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" y="1638300"/>
          <a:ext cx="5410200" cy="272415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134471</xdr:rowOff>
    </xdr:from>
    <xdr:to>
      <xdr:col>5</xdr:col>
      <xdr:colOff>78871</xdr:colOff>
      <xdr:row>10</xdr:row>
      <xdr:rowOff>85704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066800" y="1771650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1</a:t>
          </a:r>
        </a:p>
      </xdr:txBody>
    </xdr:sp>
    <xdr:clientData/>
  </xdr:twoCellAnchor>
  <xdr:twoCellAnchor>
    <xdr:from>
      <xdr:col>5</xdr:col>
      <xdr:colOff>0</xdr:colOff>
      <xdr:row>12</xdr:row>
      <xdr:rowOff>123265</xdr:rowOff>
    </xdr:from>
    <xdr:to>
      <xdr:col>6</xdr:col>
      <xdr:colOff>78872</xdr:colOff>
      <xdr:row>14</xdr:row>
      <xdr:rowOff>74498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333500" y="252412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2</a:t>
          </a:r>
        </a:p>
      </xdr:txBody>
    </xdr:sp>
    <xdr:clientData/>
  </xdr:twoCellAnchor>
  <xdr:twoCellAnchor>
    <xdr:from>
      <xdr:col>18</xdr:col>
      <xdr:colOff>0</xdr:colOff>
      <xdr:row>19</xdr:row>
      <xdr:rowOff>48767</xdr:rowOff>
    </xdr:from>
    <xdr:to>
      <xdr:col>19</xdr:col>
      <xdr:colOff>78872</xdr:colOff>
      <xdr:row>21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800600" y="378142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3</a:t>
          </a:r>
        </a:p>
      </xdr:txBody>
    </xdr:sp>
    <xdr:clientData/>
  </xdr:twoCellAnchor>
  <xdr:twoCellAnchor>
    <xdr:from>
      <xdr:col>5</xdr:col>
      <xdr:colOff>123264</xdr:colOff>
      <xdr:row>39</xdr:row>
      <xdr:rowOff>0</xdr:rowOff>
    </xdr:from>
    <xdr:to>
      <xdr:col>6</xdr:col>
      <xdr:colOff>202136</xdr:colOff>
      <xdr:row>40</xdr:row>
      <xdr:rowOff>130527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457325" y="749617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4</a:t>
          </a:r>
        </a:p>
      </xdr:txBody>
    </xdr:sp>
    <xdr:clientData/>
  </xdr:twoCellAnchor>
  <xdr:twoCellAnchor>
    <xdr:from>
      <xdr:col>43</xdr:col>
      <xdr:colOff>0</xdr:colOff>
      <xdr:row>34</xdr:row>
      <xdr:rowOff>59973</xdr:rowOff>
    </xdr:from>
    <xdr:to>
      <xdr:col>44</xdr:col>
      <xdr:colOff>78872</xdr:colOff>
      <xdr:row>36</xdr:row>
      <xdr:rowOff>0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11468100" y="6562725"/>
          <a:ext cx="342900" cy="33337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Arial"/>
              <a:ea typeface="Arial"/>
            </a:rPr>
            <a:t>5</a:t>
          </a:r>
        </a:p>
      </xdr:txBody>
    </xdr:sp>
    <xdr:clientData/>
  </xdr:twoCellAnchor>
  <xdr:twoCellAnchor editAs="oneCell">
    <xdr:from>
      <xdr:col>33</xdr:col>
      <xdr:colOff>0</xdr:colOff>
      <xdr:row>8</xdr:row>
      <xdr:rowOff>11206</xdr:rowOff>
    </xdr:from>
    <xdr:to>
      <xdr:col>53</xdr:col>
      <xdr:colOff>55434</xdr:colOff>
      <xdr:row>21</xdr:row>
      <xdr:rowOff>172801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1647825"/>
          <a:ext cx="5391150" cy="2638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39" customWidth="1"/>
    <col min="61" max="16384" width="2.77734375" style="239"/>
  </cols>
  <sheetData>
    <row r="1" spans="1:63" ht="24.95" customHeight="1" x14ac:dyDescent="0.25">
      <c r="A1" s="233" t="s">
        <v>74</v>
      </c>
      <c r="B1" s="234"/>
      <c r="C1" s="234"/>
      <c r="D1" s="234"/>
      <c r="E1" s="234"/>
      <c r="F1" s="234"/>
      <c r="G1" s="234"/>
      <c r="H1" s="234"/>
      <c r="I1" s="234"/>
      <c r="J1" s="235"/>
      <c r="K1" s="233" t="s">
        <v>75</v>
      </c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5"/>
      <c r="W1" s="236" t="s">
        <v>76</v>
      </c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8"/>
      <c r="AP1" s="233" t="s">
        <v>77</v>
      </c>
      <c r="AQ1" s="234"/>
      <c r="AR1" s="234"/>
      <c r="AS1" s="235"/>
      <c r="AT1" s="233" t="s">
        <v>78</v>
      </c>
      <c r="AU1" s="234"/>
      <c r="AV1" s="234"/>
      <c r="AW1" s="234"/>
      <c r="AX1" s="235"/>
      <c r="AY1" s="233" t="s">
        <v>79</v>
      </c>
      <c r="AZ1" s="234"/>
      <c r="BA1" s="234"/>
      <c r="BB1" s="235"/>
      <c r="BC1" s="233" t="s">
        <v>80</v>
      </c>
      <c r="BD1" s="234"/>
      <c r="BE1" s="234"/>
      <c r="BF1" s="234"/>
      <c r="BG1" s="235"/>
      <c r="BH1" s="233" t="s">
        <v>81</v>
      </c>
      <c r="BI1" s="234"/>
      <c r="BJ1" s="234"/>
      <c r="BK1" s="235"/>
    </row>
    <row r="2" spans="1:63" ht="15" customHeight="1" x14ac:dyDescent="0.25">
      <c r="A2" s="22" t="s">
        <v>82</v>
      </c>
      <c r="B2" s="240"/>
      <c r="C2" s="240"/>
      <c r="D2" s="240"/>
      <c r="E2" s="240"/>
      <c r="F2" s="240"/>
      <c r="G2" s="240"/>
      <c r="H2" s="240"/>
      <c r="I2" s="240"/>
      <c r="J2" s="241"/>
      <c r="K2" s="242" t="s">
        <v>1</v>
      </c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1"/>
      <c r="W2" s="243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  <c r="AO2" s="245"/>
      <c r="AP2" s="242" t="str">
        <f>改訂履歴!$H$11</f>
        <v>DuNT</v>
      </c>
      <c r="AQ2" s="240"/>
      <c r="AR2" s="240"/>
      <c r="AS2" s="241"/>
      <c r="AT2" s="246">
        <f>改訂履歴!$B$11</f>
        <v>45505</v>
      </c>
      <c r="AU2" s="247"/>
      <c r="AV2" s="247"/>
      <c r="AW2" s="247"/>
      <c r="AX2" s="248"/>
      <c r="AY2" s="242" t="str">
        <f>LOOKUP(2,1/(改訂履歴!H11:H30000&lt;&gt;""),改訂履歴!H11:H30000)</f>
        <v>TinNH</v>
      </c>
      <c r="AZ2" s="240"/>
      <c r="BA2" s="240"/>
      <c r="BB2" s="241"/>
      <c r="BC2" s="246">
        <f>LOOKUP(2,1/(改訂履歴!B11:B30000&lt;&gt;""),改訂履歴!B11:B30000)</f>
        <v>45618</v>
      </c>
      <c r="BD2" s="247"/>
      <c r="BE2" s="247"/>
      <c r="BF2" s="247"/>
      <c r="BG2" s="248"/>
      <c r="BH2" s="249">
        <f>LOOKUP(2,1/(改訂履歴!O11:O30000&lt;&gt;""),改訂履歴!O11:O30000)</f>
        <v>0.24</v>
      </c>
      <c r="BI2" s="250"/>
      <c r="BJ2" s="250"/>
      <c r="BK2" s="251"/>
    </row>
    <row r="3" spans="1:63" ht="15" customHeight="1" x14ac:dyDescent="0.25">
      <c r="A3" s="252"/>
      <c r="B3" s="253"/>
      <c r="C3" s="253"/>
      <c r="D3" s="253"/>
      <c r="E3" s="253"/>
      <c r="F3" s="253"/>
      <c r="G3" s="253"/>
      <c r="H3" s="253"/>
      <c r="I3" s="253"/>
      <c r="J3" s="254"/>
      <c r="K3" s="252"/>
      <c r="L3" s="253"/>
      <c r="M3" s="253"/>
      <c r="N3" s="253"/>
      <c r="O3" s="253"/>
      <c r="P3" s="253"/>
      <c r="Q3" s="253"/>
      <c r="R3" s="253"/>
      <c r="S3" s="253"/>
      <c r="T3" s="253"/>
      <c r="U3" s="253"/>
      <c r="V3" s="254"/>
      <c r="W3" s="255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7"/>
      <c r="AP3" s="252"/>
      <c r="AQ3" s="253"/>
      <c r="AR3" s="253"/>
      <c r="AS3" s="254"/>
      <c r="AT3" s="258"/>
      <c r="AU3" s="259"/>
      <c r="AV3" s="259"/>
      <c r="AW3" s="259"/>
      <c r="AX3" s="260"/>
      <c r="AY3" s="252"/>
      <c r="AZ3" s="253"/>
      <c r="BA3" s="253"/>
      <c r="BB3" s="254"/>
      <c r="BC3" s="258"/>
      <c r="BD3" s="259"/>
      <c r="BE3" s="259"/>
      <c r="BF3" s="259"/>
      <c r="BG3" s="260"/>
      <c r="BH3" s="261"/>
      <c r="BI3" s="262"/>
      <c r="BJ3" s="262"/>
      <c r="BK3" s="263"/>
    </row>
    <row r="4" spans="1:63" ht="24.95" customHeight="1" x14ac:dyDescent="0.25">
      <c r="A4" s="233" t="s">
        <v>83</v>
      </c>
      <c r="B4" s="234"/>
      <c r="C4" s="234"/>
      <c r="D4" s="234"/>
      <c r="E4" s="234"/>
      <c r="F4" s="234"/>
      <c r="G4" s="235"/>
      <c r="H4" s="264" t="s">
        <v>72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6"/>
      <c r="U4" s="233" t="s">
        <v>84</v>
      </c>
      <c r="V4" s="234"/>
      <c r="W4" s="234"/>
      <c r="X4" s="234"/>
      <c r="Y4" s="235"/>
      <c r="Z4" s="21" t="s">
        <v>85</v>
      </c>
      <c r="AA4" s="265"/>
      <c r="AB4" s="265"/>
      <c r="AC4" s="265"/>
      <c r="AD4" s="265"/>
      <c r="AE4" s="265"/>
      <c r="AF4" s="265"/>
      <c r="AG4" s="265"/>
      <c r="AH4" s="265"/>
      <c r="AI4" s="265"/>
      <c r="AJ4" s="265"/>
      <c r="AK4" s="265"/>
      <c r="AL4" s="265"/>
      <c r="AM4" s="265"/>
      <c r="AN4" s="265"/>
      <c r="AO4" s="266"/>
      <c r="AP4" s="264" t="str">
        <f t="array" aca="1" ref="AP4" ca="1">RIGHT(CELL("filename",$A$1),LEN(CELL("filename",$A$1))-FIND("]",CELL("filename",$A$1)))</f>
        <v>表紙</v>
      </c>
      <c r="AQ4" s="265"/>
      <c r="AR4" s="265"/>
      <c r="AS4" s="265"/>
      <c r="AT4" s="265"/>
      <c r="AU4" s="265"/>
      <c r="AV4" s="265"/>
      <c r="AW4" s="265"/>
      <c r="AX4" s="265"/>
      <c r="AY4" s="265"/>
      <c r="AZ4" s="265"/>
      <c r="BA4" s="265"/>
      <c r="BB4" s="265"/>
      <c r="BC4" s="265"/>
      <c r="BD4" s="265"/>
      <c r="BE4" s="265"/>
      <c r="BF4" s="265"/>
      <c r="BG4" s="265"/>
      <c r="BH4" s="265"/>
      <c r="BI4" s="265"/>
      <c r="BJ4" s="265"/>
      <c r="BK4" s="266"/>
    </row>
    <row r="5" spans="1:63" ht="5.0999999999999996" customHeight="1" x14ac:dyDescent="0.25">
      <c r="A5" s="267"/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  <c r="AA5" s="268"/>
      <c r="AB5" s="268"/>
      <c r="AC5" s="268"/>
      <c r="AD5" s="268"/>
      <c r="AE5" s="268"/>
      <c r="AF5" s="268"/>
      <c r="AG5" s="268"/>
      <c r="AH5" s="268"/>
      <c r="AI5" s="268"/>
      <c r="AJ5" s="268"/>
      <c r="AK5" s="268"/>
      <c r="AL5" s="268"/>
      <c r="AM5" s="268"/>
      <c r="AN5" s="268"/>
      <c r="AO5" s="268"/>
      <c r="AP5" s="268"/>
      <c r="AQ5" s="268"/>
      <c r="AR5" s="268"/>
      <c r="AS5" s="268"/>
      <c r="AT5" s="268"/>
      <c r="AU5" s="268"/>
      <c r="AV5" s="268"/>
      <c r="AW5" s="268"/>
      <c r="AX5" s="268"/>
      <c r="AY5" s="268"/>
      <c r="AZ5" s="268"/>
      <c r="BA5" s="268"/>
      <c r="BB5" s="268"/>
      <c r="BC5" s="268"/>
      <c r="BD5" s="268"/>
      <c r="BE5" s="268"/>
      <c r="BF5" s="268"/>
      <c r="BG5" s="268"/>
      <c r="BH5" s="268"/>
      <c r="BI5" s="268"/>
      <c r="BJ5" s="268"/>
      <c r="BK5" s="269"/>
    </row>
    <row r="6" spans="1:63" ht="15" customHeight="1" x14ac:dyDescent="0.25">
      <c r="A6" s="270"/>
      <c r="BK6" s="271"/>
    </row>
    <row r="7" spans="1:63" ht="15" customHeight="1" x14ac:dyDescent="0.25">
      <c r="A7" s="270"/>
      <c r="BK7" s="271"/>
    </row>
    <row r="8" spans="1:63" ht="15" customHeight="1" x14ac:dyDescent="0.25">
      <c r="A8" s="270"/>
      <c r="BK8" s="271"/>
    </row>
    <row r="9" spans="1:63" ht="15" customHeight="1" x14ac:dyDescent="0.25">
      <c r="A9" s="270"/>
      <c r="BK9" s="271"/>
    </row>
    <row r="10" spans="1:63" ht="15" customHeight="1" x14ac:dyDescent="0.25">
      <c r="A10" s="270"/>
      <c r="BK10" s="271"/>
    </row>
    <row r="11" spans="1:63" ht="15" customHeight="1" x14ac:dyDescent="0.25">
      <c r="A11" s="270"/>
      <c r="BK11" s="271"/>
    </row>
    <row r="12" spans="1:63" ht="15" customHeight="1" x14ac:dyDescent="0.25">
      <c r="A12" s="270"/>
      <c r="BK12" s="271"/>
    </row>
    <row r="13" spans="1:63" ht="15" customHeight="1" x14ac:dyDescent="0.25">
      <c r="A13" s="270"/>
      <c r="BK13" s="271"/>
    </row>
    <row r="14" spans="1:63" ht="15" customHeight="1" thickBot="1" x14ac:dyDescent="0.3">
      <c r="A14" s="270"/>
      <c r="BK14" s="271"/>
    </row>
    <row r="15" spans="1:63" ht="15" customHeight="1" thickTop="1" x14ac:dyDescent="0.25">
      <c r="A15" s="270"/>
      <c r="K15" s="272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  <c r="AA15" s="273"/>
      <c r="AB15" s="273"/>
      <c r="AC15" s="273"/>
      <c r="AD15" s="273"/>
      <c r="AE15" s="273"/>
      <c r="AF15" s="273"/>
      <c r="AG15" s="273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3"/>
      <c r="AS15" s="273"/>
      <c r="AT15" s="273"/>
      <c r="AU15" s="273"/>
      <c r="AV15" s="273"/>
      <c r="AW15" s="273"/>
      <c r="AX15" s="273"/>
      <c r="AY15" s="273"/>
      <c r="AZ15" s="273"/>
      <c r="BA15" s="274"/>
      <c r="BK15" s="271"/>
    </row>
    <row r="16" spans="1:63" ht="15" customHeight="1" x14ac:dyDescent="0.25">
      <c r="A16" s="270"/>
      <c r="K16" s="275"/>
      <c r="L16" s="276" t="s">
        <v>86</v>
      </c>
      <c r="M16" s="277"/>
      <c r="N16" s="277"/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277"/>
      <c r="AR16" s="277"/>
      <c r="AS16" s="277"/>
      <c r="AT16" s="277"/>
      <c r="AU16" s="277"/>
      <c r="AV16" s="277"/>
      <c r="AW16" s="277"/>
      <c r="AX16" s="277"/>
      <c r="AY16" s="277"/>
      <c r="AZ16" s="277"/>
      <c r="BA16" s="278"/>
      <c r="BK16" s="271"/>
    </row>
    <row r="17" spans="1:63" ht="15" customHeight="1" x14ac:dyDescent="0.25">
      <c r="A17" s="270"/>
      <c r="K17" s="275"/>
      <c r="L17" s="277"/>
      <c r="M17" s="277"/>
      <c r="N17" s="277"/>
      <c r="O17" s="277"/>
      <c r="P17" s="277"/>
      <c r="Q17" s="277"/>
      <c r="R17" s="277"/>
      <c r="S17" s="277"/>
      <c r="T17" s="277"/>
      <c r="U17" s="277"/>
      <c r="V17" s="277"/>
      <c r="W17" s="277"/>
      <c r="X17" s="277"/>
      <c r="Y17" s="277"/>
      <c r="Z17" s="277"/>
      <c r="AA17" s="277"/>
      <c r="AB17" s="277"/>
      <c r="AC17" s="277"/>
      <c r="AD17" s="277"/>
      <c r="AE17" s="277"/>
      <c r="AF17" s="277"/>
      <c r="AG17" s="277"/>
      <c r="AH17" s="277"/>
      <c r="AI17" s="277"/>
      <c r="AJ17" s="277"/>
      <c r="AK17" s="277"/>
      <c r="AL17" s="277"/>
      <c r="AM17" s="277"/>
      <c r="AN17" s="277"/>
      <c r="AO17" s="277"/>
      <c r="AP17" s="277"/>
      <c r="AQ17" s="277"/>
      <c r="AR17" s="277"/>
      <c r="AS17" s="277"/>
      <c r="AT17" s="277"/>
      <c r="AU17" s="277"/>
      <c r="AV17" s="277"/>
      <c r="AW17" s="277"/>
      <c r="AX17" s="277"/>
      <c r="AY17" s="277"/>
      <c r="AZ17" s="277"/>
      <c r="BA17" s="278"/>
      <c r="BK17" s="271"/>
    </row>
    <row r="18" spans="1:63" ht="15" customHeight="1" x14ac:dyDescent="0.25">
      <c r="A18" s="270"/>
      <c r="K18" s="275"/>
      <c r="L18" s="277"/>
      <c r="M18" s="277"/>
      <c r="N18" s="277"/>
      <c r="O18" s="277"/>
      <c r="P18" s="277"/>
      <c r="Q18" s="277"/>
      <c r="R18" s="277"/>
      <c r="S18" s="277"/>
      <c r="T18" s="277"/>
      <c r="U18" s="277"/>
      <c r="V18" s="277"/>
      <c r="W18" s="277"/>
      <c r="X18" s="277"/>
      <c r="Y18" s="277"/>
      <c r="Z18" s="277"/>
      <c r="AA18" s="277"/>
      <c r="AB18" s="277"/>
      <c r="AC18" s="277"/>
      <c r="AD18" s="277"/>
      <c r="AE18" s="277"/>
      <c r="AF18" s="277"/>
      <c r="AG18" s="277"/>
      <c r="AH18" s="277"/>
      <c r="AI18" s="277"/>
      <c r="AJ18" s="277"/>
      <c r="AK18" s="277"/>
      <c r="AL18" s="277"/>
      <c r="AM18" s="277"/>
      <c r="AN18" s="277"/>
      <c r="AO18" s="277"/>
      <c r="AP18" s="277"/>
      <c r="AQ18" s="277"/>
      <c r="AR18" s="277"/>
      <c r="AS18" s="277"/>
      <c r="AT18" s="277"/>
      <c r="AU18" s="277"/>
      <c r="AV18" s="277"/>
      <c r="AW18" s="277"/>
      <c r="AX18" s="277"/>
      <c r="AY18" s="277"/>
      <c r="AZ18" s="277"/>
      <c r="BA18" s="278"/>
      <c r="BK18" s="271"/>
    </row>
    <row r="19" spans="1:63" ht="15" customHeight="1" x14ac:dyDescent="0.25">
      <c r="A19" s="270"/>
      <c r="K19" s="275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7"/>
      <c r="AF19" s="277"/>
      <c r="AG19" s="277"/>
      <c r="AH19" s="277"/>
      <c r="AI19" s="277"/>
      <c r="AJ19" s="277"/>
      <c r="AK19" s="277"/>
      <c r="AL19" s="277"/>
      <c r="AM19" s="277"/>
      <c r="AN19" s="277"/>
      <c r="AO19" s="277"/>
      <c r="AP19" s="277"/>
      <c r="AQ19" s="277"/>
      <c r="AR19" s="277"/>
      <c r="AS19" s="277"/>
      <c r="AT19" s="277"/>
      <c r="AU19" s="277"/>
      <c r="AV19" s="277"/>
      <c r="AW19" s="277"/>
      <c r="AX19" s="277"/>
      <c r="AY19" s="277"/>
      <c r="AZ19" s="277"/>
      <c r="BA19" s="278"/>
      <c r="BK19" s="271"/>
    </row>
    <row r="20" spans="1:63" ht="15" customHeight="1" x14ac:dyDescent="0.25">
      <c r="A20" s="270"/>
      <c r="K20" s="275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77"/>
      <c r="AB20" s="277"/>
      <c r="AC20" s="277"/>
      <c r="AD20" s="277"/>
      <c r="AE20" s="277"/>
      <c r="AF20" s="277"/>
      <c r="AG20" s="277"/>
      <c r="AH20" s="277"/>
      <c r="AI20" s="277"/>
      <c r="AJ20" s="277"/>
      <c r="AK20" s="277"/>
      <c r="AL20" s="277"/>
      <c r="AM20" s="277"/>
      <c r="AN20" s="277"/>
      <c r="AO20" s="277"/>
      <c r="AP20" s="277"/>
      <c r="AQ20" s="277"/>
      <c r="AR20" s="277"/>
      <c r="AS20" s="277"/>
      <c r="AT20" s="277"/>
      <c r="AU20" s="277"/>
      <c r="AV20" s="277"/>
      <c r="AW20" s="277"/>
      <c r="AX20" s="277"/>
      <c r="AY20" s="277"/>
      <c r="AZ20" s="277"/>
      <c r="BA20" s="278"/>
      <c r="BK20" s="271"/>
    </row>
    <row r="21" spans="1:63" ht="15" customHeight="1" x14ac:dyDescent="0.25">
      <c r="A21" s="270"/>
      <c r="K21" s="275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77"/>
      <c r="AB21" s="277"/>
      <c r="AC21" s="277"/>
      <c r="AD21" s="277"/>
      <c r="AE21" s="277"/>
      <c r="AF21" s="277"/>
      <c r="AG21" s="277"/>
      <c r="AH21" s="277"/>
      <c r="AI21" s="277"/>
      <c r="AJ21" s="277"/>
      <c r="AK21" s="277"/>
      <c r="AL21" s="277"/>
      <c r="AM21" s="277"/>
      <c r="AN21" s="277"/>
      <c r="AO21" s="277"/>
      <c r="AP21" s="277"/>
      <c r="AQ21" s="277"/>
      <c r="AR21" s="277"/>
      <c r="AS21" s="277"/>
      <c r="AT21" s="277"/>
      <c r="AU21" s="277"/>
      <c r="AV21" s="277"/>
      <c r="AW21" s="277"/>
      <c r="AX21" s="277"/>
      <c r="AY21" s="277"/>
      <c r="AZ21" s="277"/>
      <c r="BA21" s="278"/>
      <c r="BK21" s="271"/>
    </row>
    <row r="22" spans="1:63" ht="15" customHeight="1" thickBot="1" x14ac:dyDescent="0.3">
      <c r="A22" s="270"/>
      <c r="K22" s="275"/>
      <c r="L22" s="279"/>
      <c r="M22" s="279"/>
      <c r="N22" s="279"/>
      <c r="O22" s="279"/>
      <c r="P22" s="279"/>
      <c r="Q22" s="279"/>
      <c r="R22" s="279"/>
      <c r="S22" s="279"/>
      <c r="T22" s="279"/>
      <c r="U22" s="279"/>
      <c r="V22" s="279"/>
      <c r="W22" s="279"/>
      <c r="X22" s="279"/>
      <c r="Y22" s="279"/>
      <c r="Z22" s="279"/>
      <c r="AA22" s="279"/>
      <c r="AB22" s="279"/>
      <c r="AC22" s="279"/>
      <c r="AD22" s="279"/>
      <c r="AE22" s="279"/>
      <c r="AF22" s="279"/>
      <c r="AG22" s="279"/>
      <c r="AH22" s="279"/>
      <c r="AI22" s="279"/>
      <c r="AJ22" s="279"/>
      <c r="AK22" s="279"/>
      <c r="AL22" s="279"/>
      <c r="AM22" s="279"/>
      <c r="AN22" s="279"/>
      <c r="AO22" s="279"/>
      <c r="AP22" s="279"/>
      <c r="AQ22" s="279"/>
      <c r="AR22" s="279"/>
      <c r="AS22" s="279"/>
      <c r="AT22" s="279"/>
      <c r="AU22" s="279"/>
      <c r="AV22" s="279"/>
      <c r="AW22" s="279"/>
      <c r="AX22" s="279"/>
      <c r="AY22" s="279"/>
      <c r="AZ22" s="279"/>
      <c r="BA22" s="278"/>
      <c r="BK22" s="271"/>
    </row>
    <row r="23" spans="1:63" ht="15" customHeight="1" x14ac:dyDescent="0.25">
      <c r="A23" s="270"/>
      <c r="K23" s="275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78"/>
      <c r="BK23" s="271"/>
    </row>
    <row r="24" spans="1:63" ht="15" customHeight="1" x14ac:dyDescent="0.25">
      <c r="A24" s="270"/>
      <c r="K24" s="275"/>
      <c r="L24" s="277" t="str">
        <f>K2&amp;"/"&amp;H4&amp;"/"&amp;Z4</f>
        <v>POSサーバ/00_共通/画面設計書</v>
      </c>
      <c r="M24" s="277"/>
      <c r="N24" s="277"/>
      <c r="O24" s="277"/>
      <c r="P24" s="277"/>
      <c r="Q24" s="277"/>
      <c r="R24" s="277"/>
      <c r="S24" s="277"/>
      <c r="T24" s="277"/>
      <c r="U24" s="277"/>
      <c r="V24" s="277"/>
      <c r="W24" s="277"/>
      <c r="X24" s="277"/>
      <c r="Y24" s="277"/>
      <c r="Z24" s="277"/>
      <c r="AA24" s="277"/>
      <c r="AB24" s="277"/>
      <c r="AC24" s="277"/>
      <c r="AD24" s="277"/>
      <c r="AE24" s="277"/>
      <c r="AF24" s="277"/>
      <c r="AG24" s="277"/>
      <c r="AH24" s="277"/>
      <c r="AI24" s="277"/>
      <c r="AJ24" s="277"/>
      <c r="AK24" s="277"/>
      <c r="AL24" s="277"/>
      <c r="AM24" s="277"/>
      <c r="AN24" s="277"/>
      <c r="AO24" s="277"/>
      <c r="AP24" s="277"/>
      <c r="AQ24" s="277"/>
      <c r="AR24" s="277"/>
      <c r="AS24" s="277"/>
      <c r="AT24" s="277"/>
      <c r="AU24" s="277"/>
      <c r="AV24" s="277"/>
      <c r="AW24" s="277"/>
      <c r="AX24" s="277"/>
      <c r="AY24" s="277"/>
      <c r="AZ24" s="277"/>
      <c r="BA24" s="278"/>
      <c r="BK24" s="271"/>
    </row>
    <row r="25" spans="1:63" ht="15" customHeight="1" x14ac:dyDescent="0.25">
      <c r="A25" s="270"/>
      <c r="K25" s="275"/>
      <c r="L25" s="277"/>
      <c r="M25" s="277"/>
      <c r="N25" s="277"/>
      <c r="O25" s="277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  <c r="AC25" s="277"/>
      <c r="AD25" s="277"/>
      <c r="AE25" s="277"/>
      <c r="AF25" s="277"/>
      <c r="AG25" s="277"/>
      <c r="AH25" s="277"/>
      <c r="AI25" s="277"/>
      <c r="AJ25" s="277"/>
      <c r="AK25" s="277"/>
      <c r="AL25" s="277"/>
      <c r="AM25" s="277"/>
      <c r="AN25" s="277"/>
      <c r="AO25" s="277"/>
      <c r="AP25" s="277"/>
      <c r="AQ25" s="277"/>
      <c r="AR25" s="277"/>
      <c r="AS25" s="277"/>
      <c r="AT25" s="277"/>
      <c r="AU25" s="277"/>
      <c r="AV25" s="277"/>
      <c r="AW25" s="277"/>
      <c r="AX25" s="277"/>
      <c r="AY25" s="277"/>
      <c r="AZ25" s="277"/>
      <c r="BA25" s="278"/>
      <c r="BK25" s="271"/>
    </row>
    <row r="26" spans="1:63" ht="15" customHeight="1" x14ac:dyDescent="0.25">
      <c r="A26" s="270"/>
      <c r="K26" s="275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77"/>
      <c r="AB26" s="277"/>
      <c r="AC26" s="277"/>
      <c r="AD26" s="277"/>
      <c r="AE26" s="277"/>
      <c r="AF26" s="277"/>
      <c r="AG26" s="277"/>
      <c r="AH26" s="277"/>
      <c r="AI26" s="277"/>
      <c r="AJ26" s="277"/>
      <c r="AK26" s="277"/>
      <c r="AL26" s="277"/>
      <c r="AM26" s="277"/>
      <c r="AN26" s="277"/>
      <c r="AO26" s="277"/>
      <c r="AP26" s="277"/>
      <c r="AQ26" s="277"/>
      <c r="AR26" s="277"/>
      <c r="AS26" s="277"/>
      <c r="AT26" s="277"/>
      <c r="AU26" s="277"/>
      <c r="AV26" s="277"/>
      <c r="AW26" s="277"/>
      <c r="AX26" s="277"/>
      <c r="AY26" s="277"/>
      <c r="AZ26" s="277"/>
      <c r="BA26" s="278"/>
      <c r="BK26" s="271"/>
    </row>
    <row r="27" spans="1:63" ht="15" customHeight="1" x14ac:dyDescent="0.25">
      <c r="A27" s="270"/>
      <c r="K27" s="275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7"/>
      <c r="AF27" s="277"/>
      <c r="AG27" s="277"/>
      <c r="AH27" s="277"/>
      <c r="AI27" s="277"/>
      <c r="AJ27" s="277"/>
      <c r="AK27" s="277"/>
      <c r="AL27" s="277"/>
      <c r="AM27" s="277"/>
      <c r="AN27" s="277"/>
      <c r="AO27" s="277"/>
      <c r="AP27" s="277"/>
      <c r="AQ27" s="277"/>
      <c r="AR27" s="277"/>
      <c r="AS27" s="277"/>
      <c r="AT27" s="277"/>
      <c r="AU27" s="277"/>
      <c r="AV27" s="277"/>
      <c r="AW27" s="277"/>
      <c r="AX27" s="277"/>
      <c r="AY27" s="277"/>
      <c r="AZ27" s="277"/>
      <c r="BA27" s="278"/>
      <c r="BK27" s="271"/>
    </row>
    <row r="28" spans="1:63" ht="15" customHeight="1" x14ac:dyDescent="0.25">
      <c r="A28" s="270"/>
      <c r="K28" s="275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  <c r="AC28" s="277"/>
      <c r="AD28" s="277"/>
      <c r="AE28" s="277"/>
      <c r="AF28" s="277"/>
      <c r="AG28" s="277"/>
      <c r="AH28" s="277"/>
      <c r="AI28" s="277"/>
      <c r="AJ28" s="277"/>
      <c r="AK28" s="277"/>
      <c r="AL28" s="277"/>
      <c r="AM28" s="277"/>
      <c r="AN28" s="277"/>
      <c r="AO28" s="277"/>
      <c r="AP28" s="277"/>
      <c r="AQ28" s="277"/>
      <c r="AR28" s="277"/>
      <c r="AS28" s="277"/>
      <c r="AT28" s="277"/>
      <c r="AU28" s="277"/>
      <c r="AV28" s="277"/>
      <c r="AW28" s="277"/>
      <c r="AX28" s="277"/>
      <c r="AY28" s="277"/>
      <c r="AZ28" s="277"/>
      <c r="BA28" s="278"/>
      <c r="BK28" s="271"/>
    </row>
    <row r="29" spans="1:63" ht="15" customHeight="1" x14ac:dyDescent="0.25">
      <c r="A29" s="270"/>
      <c r="K29" s="275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277"/>
      <c r="AD29" s="277"/>
      <c r="AE29" s="277"/>
      <c r="AF29" s="277"/>
      <c r="AG29" s="277"/>
      <c r="AH29" s="277"/>
      <c r="AI29" s="277"/>
      <c r="AJ29" s="277"/>
      <c r="AK29" s="277"/>
      <c r="AL29" s="277"/>
      <c r="AM29" s="277"/>
      <c r="AN29" s="277"/>
      <c r="AO29" s="277"/>
      <c r="AP29" s="277"/>
      <c r="AQ29" s="277"/>
      <c r="AR29" s="277"/>
      <c r="AS29" s="277"/>
      <c r="AT29" s="277"/>
      <c r="AU29" s="277"/>
      <c r="AV29" s="277"/>
      <c r="AW29" s="277"/>
      <c r="AX29" s="277"/>
      <c r="AY29" s="277"/>
      <c r="AZ29" s="277"/>
      <c r="BA29" s="278"/>
      <c r="BK29" s="271"/>
    </row>
    <row r="30" spans="1:63" ht="15" customHeight="1" x14ac:dyDescent="0.25">
      <c r="A30" s="270"/>
      <c r="K30" s="275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7"/>
      <c r="AF30" s="277"/>
      <c r="AG30" s="277"/>
      <c r="AH30" s="277"/>
      <c r="AI30" s="277"/>
      <c r="AJ30" s="277"/>
      <c r="AK30" s="277"/>
      <c r="AL30" s="277"/>
      <c r="AM30" s="277"/>
      <c r="AN30" s="277"/>
      <c r="AO30" s="277"/>
      <c r="AP30" s="277"/>
      <c r="AQ30" s="277"/>
      <c r="AR30" s="277"/>
      <c r="AS30" s="277"/>
      <c r="AT30" s="277"/>
      <c r="AU30" s="277"/>
      <c r="AV30" s="277"/>
      <c r="AW30" s="277"/>
      <c r="AX30" s="277"/>
      <c r="AY30" s="277"/>
      <c r="AZ30" s="277"/>
      <c r="BA30" s="278"/>
      <c r="BK30" s="271"/>
    </row>
    <row r="31" spans="1:63" ht="15" customHeight="1" x14ac:dyDescent="0.25">
      <c r="A31" s="270"/>
      <c r="K31" s="275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7"/>
      <c r="AG31" s="277"/>
      <c r="AH31" s="277"/>
      <c r="AI31" s="277"/>
      <c r="AJ31" s="277"/>
      <c r="AK31" s="277"/>
      <c r="AL31" s="277"/>
      <c r="AM31" s="277"/>
      <c r="AN31" s="277"/>
      <c r="AO31" s="277"/>
      <c r="AP31" s="277"/>
      <c r="AQ31" s="277"/>
      <c r="AR31" s="277"/>
      <c r="AS31" s="277"/>
      <c r="AT31" s="277"/>
      <c r="AU31" s="277"/>
      <c r="AV31" s="277"/>
      <c r="AW31" s="277"/>
      <c r="AX31" s="277"/>
      <c r="AY31" s="277"/>
      <c r="AZ31" s="277"/>
      <c r="BA31" s="278"/>
      <c r="BK31" s="271"/>
    </row>
    <row r="32" spans="1:63" ht="15" customHeight="1" x14ac:dyDescent="0.25">
      <c r="A32" s="270"/>
      <c r="K32" s="275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277"/>
      <c r="AF32" s="277"/>
      <c r="AG32" s="277"/>
      <c r="AH32" s="277"/>
      <c r="AI32" s="277"/>
      <c r="AJ32" s="277"/>
      <c r="AK32" s="277"/>
      <c r="AL32" s="277"/>
      <c r="AM32" s="277"/>
      <c r="AN32" s="277"/>
      <c r="AO32" s="277"/>
      <c r="AP32" s="277"/>
      <c r="AQ32" s="277"/>
      <c r="AR32" s="277"/>
      <c r="AS32" s="277"/>
      <c r="AT32" s="277"/>
      <c r="AU32" s="277"/>
      <c r="AV32" s="277"/>
      <c r="AW32" s="277"/>
      <c r="AX32" s="277"/>
      <c r="AY32" s="277"/>
      <c r="AZ32" s="277"/>
      <c r="BA32" s="278"/>
      <c r="BK32" s="271"/>
    </row>
    <row r="33" spans="1:63" ht="15" customHeight="1" x14ac:dyDescent="0.25">
      <c r="A33" s="270"/>
      <c r="K33" s="275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  <c r="AH33" s="277"/>
      <c r="AI33" s="277"/>
      <c r="AJ33" s="277"/>
      <c r="AK33" s="277"/>
      <c r="AL33" s="277"/>
      <c r="AM33" s="277"/>
      <c r="AN33" s="277"/>
      <c r="AO33" s="277"/>
      <c r="AP33" s="277"/>
      <c r="AQ33" s="277"/>
      <c r="AR33" s="277"/>
      <c r="AS33" s="277"/>
      <c r="AT33" s="277"/>
      <c r="AU33" s="277"/>
      <c r="AV33" s="277"/>
      <c r="AW33" s="277"/>
      <c r="AX33" s="277"/>
      <c r="AY33" s="277"/>
      <c r="AZ33" s="277"/>
      <c r="BA33" s="278"/>
      <c r="BK33" s="271"/>
    </row>
    <row r="34" spans="1:63" ht="15" customHeight="1" x14ac:dyDescent="0.25">
      <c r="A34" s="270"/>
      <c r="K34" s="275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  <c r="AC34" s="277"/>
      <c r="AD34" s="277"/>
      <c r="AE34" s="277"/>
      <c r="AF34" s="277"/>
      <c r="AG34" s="277"/>
      <c r="AH34" s="277"/>
      <c r="AI34" s="277"/>
      <c r="AJ34" s="277"/>
      <c r="AK34" s="277"/>
      <c r="AL34" s="277"/>
      <c r="AM34" s="277"/>
      <c r="AN34" s="277"/>
      <c r="AO34" s="277"/>
      <c r="AP34" s="277"/>
      <c r="AQ34" s="277"/>
      <c r="AR34" s="277"/>
      <c r="AS34" s="277"/>
      <c r="AT34" s="277"/>
      <c r="AU34" s="277"/>
      <c r="AV34" s="277"/>
      <c r="AW34" s="277"/>
      <c r="AX34" s="277"/>
      <c r="AY34" s="277"/>
      <c r="AZ34" s="277"/>
      <c r="BA34" s="278"/>
      <c r="BK34" s="271"/>
    </row>
    <row r="35" spans="1:63" ht="15" customHeight="1" x14ac:dyDescent="0.25">
      <c r="A35" s="270"/>
      <c r="K35" s="275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  <c r="AH35" s="277"/>
      <c r="AI35" s="277"/>
      <c r="AJ35" s="277"/>
      <c r="AK35" s="277"/>
      <c r="AL35" s="277"/>
      <c r="AM35" s="277"/>
      <c r="AN35" s="277"/>
      <c r="AO35" s="277"/>
      <c r="AP35" s="277"/>
      <c r="AQ35" s="277"/>
      <c r="AR35" s="277"/>
      <c r="AS35" s="277"/>
      <c r="AT35" s="277"/>
      <c r="AU35" s="277"/>
      <c r="AV35" s="277"/>
      <c r="AW35" s="277"/>
      <c r="AX35" s="277"/>
      <c r="AY35" s="277"/>
      <c r="AZ35" s="277"/>
      <c r="BA35" s="278"/>
      <c r="BK35" s="271"/>
    </row>
    <row r="36" spans="1:63" ht="15" customHeight="1" x14ac:dyDescent="0.25">
      <c r="A36" s="270"/>
      <c r="K36" s="275"/>
      <c r="L36" s="277"/>
      <c r="M36" s="277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7"/>
      <c r="AC36" s="277"/>
      <c r="AD36" s="277"/>
      <c r="AE36" s="277"/>
      <c r="AF36" s="277"/>
      <c r="AG36" s="277"/>
      <c r="AH36" s="277"/>
      <c r="AI36" s="277"/>
      <c r="AJ36" s="277"/>
      <c r="AK36" s="277"/>
      <c r="AL36" s="277"/>
      <c r="AM36" s="277"/>
      <c r="AN36" s="277"/>
      <c r="AO36" s="277"/>
      <c r="AP36" s="277"/>
      <c r="AQ36" s="277"/>
      <c r="AR36" s="277"/>
      <c r="AS36" s="277"/>
      <c r="AT36" s="277"/>
      <c r="AU36" s="277"/>
      <c r="AV36" s="277"/>
      <c r="AW36" s="277"/>
      <c r="AX36" s="277"/>
      <c r="AY36" s="277"/>
      <c r="AZ36" s="277"/>
      <c r="BA36" s="278"/>
      <c r="BK36" s="271"/>
    </row>
    <row r="37" spans="1:63" ht="15" customHeight="1" thickBot="1" x14ac:dyDescent="0.3">
      <c r="A37" s="270"/>
      <c r="K37" s="281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  <c r="AE37" s="282"/>
      <c r="AF37" s="282"/>
      <c r="AG37" s="282"/>
      <c r="AH37" s="282"/>
      <c r="AI37" s="282"/>
      <c r="AJ37" s="282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3"/>
      <c r="BK37" s="271"/>
    </row>
    <row r="38" spans="1:63" ht="15" customHeight="1" thickTop="1" x14ac:dyDescent="0.25">
      <c r="A38" s="270"/>
      <c r="BK38" s="271"/>
    </row>
    <row r="39" spans="1:63" ht="15" customHeight="1" x14ac:dyDescent="0.25">
      <c r="A39" s="270"/>
      <c r="BK39" s="271"/>
    </row>
    <row r="40" spans="1:63" ht="15" customHeight="1" x14ac:dyDescent="0.25">
      <c r="A40" s="270"/>
      <c r="BK40" s="271"/>
    </row>
    <row r="41" spans="1:63" ht="15" customHeight="1" x14ac:dyDescent="0.25">
      <c r="A41" s="270"/>
      <c r="BK41" s="271"/>
    </row>
    <row r="42" spans="1:63" ht="15" customHeight="1" x14ac:dyDescent="0.25">
      <c r="A42" s="270"/>
      <c r="BK42" s="271"/>
    </row>
    <row r="43" spans="1:63" ht="15" customHeight="1" x14ac:dyDescent="0.25">
      <c r="A43" s="270"/>
      <c r="BK43" s="271"/>
    </row>
    <row r="44" spans="1:63" ht="15" customHeight="1" x14ac:dyDescent="0.25">
      <c r="A44" s="270"/>
      <c r="Q44" s="284" t="s">
        <v>87</v>
      </c>
      <c r="R44" s="285"/>
      <c r="S44" s="285"/>
      <c r="T44" s="285"/>
      <c r="U44" s="285"/>
      <c r="V44" s="285"/>
      <c r="W44" s="285"/>
      <c r="X44" s="285"/>
      <c r="Y44" s="285"/>
      <c r="Z44" s="286"/>
      <c r="AA44" s="284" t="s">
        <v>88</v>
      </c>
      <c r="AB44" s="285"/>
      <c r="AC44" s="285"/>
      <c r="AD44" s="285"/>
      <c r="AE44" s="285"/>
      <c r="AF44" s="285"/>
      <c r="AG44" s="285"/>
      <c r="AH44" s="285"/>
      <c r="AI44" s="285"/>
      <c r="AJ44" s="285"/>
      <c r="AK44" s="285"/>
      <c r="AL44" s="285"/>
      <c r="AM44" s="285"/>
      <c r="AN44" s="285"/>
      <c r="AO44" s="285"/>
      <c r="AP44" s="286"/>
      <c r="AQ44" s="284" t="s">
        <v>81</v>
      </c>
      <c r="AR44" s="285"/>
      <c r="AS44" s="285"/>
      <c r="AT44" s="285"/>
      <c r="AU44" s="286"/>
      <c r="BK44" s="271"/>
    </row>
    <row r="45" spans="1:63" ht="15" customHeight="1" x14ac:dyDescent="0.25">
      <c r="A45" s="270"/>
      <c r="Q45" s="287"/>
      <c r="R45" s="288"/>
      <c r="S45" s="288"/>
      <c r="T45" s="288"/>
      <c r="U45" s="288"/>
      <c r="V45" s="288"/>
      <c r="W45" s="288"/>
      <c r="X45" s="288"/>
      <c r="Y45" s="288"/>
      <c r="Z45" s="289"/>
      <c r="AA45" s="287"/>
      <c r="AB45" s="288"/>
      <c r="AC45" s="288"/>
      <c r="AD45" s="288"/>
      <c r="AE45" s="288"/>
      <c r="AF45" s="288"/>
      <c r="AG45" s="288"/>
      <c r="AH45" s="288"/>
      <c r="AI45" s="288"/>
      <c r="AJ45" s="288"/>
      <c r="AK45" s="288"/>
      <c r="AL45" s="288"/>
      <c r="AM45" s="288"/>
      <c r="AN45" s="288"/>
      <c r="AO45" s="288"/>
      <c r="AP45" s="289"/>
      <c r="AQ45" s="287"/>
      <c r="AR45" s="288"/>
      <c r="AS45" s="288"/>
      <c r="AT45" s="288"/>
      <c r="AU45" s="289"/>
      <c r="BK45" s="271"/>
    </row>
    <row r="46" spans="1:63" ht="15" customHeight="1" x14ac:dyDescent="0.25">
      <c r="A46" s="270"/>
      <c r="Q46" s="242"/>
      <c r="R46" s="240"/>
      <c r="S46" s="240"/>
      <c r="T46" s="240"/>
      <c r="U46" s="240"/>
      <c r="V46" s="240"/>
      <c r="W46" s="240"/>
      <c r="X46" s="240"/>
      <c r="Y46" s="240"/>
      <c r="Z46" s="241"/>
      <c r="AA46" s="242"/>
      <c r="AB46" s="240"/>
      <c r="AC46" s="240"/>
      <c r="AD46" s="240"/>
      <c r="AE46" s="240"/>
      <c r="AF46" s="240"/>
      <c r="AG46" s="240"/>
      <c r="AH46" s="240"/>
      <c r="AI46" s="240"/>
      <c r="AJ46" s="240"/>
      <c r="AK46" s="240"/>
      <c r="AL46" s="240"/>
      <c r="AM46" s="240"/>
      <c r="AN46" s="240"/>
      <c r="AO46" s="240"/>
      <c r="AP46" s="241"/>
      <c r="AQ46" s="242"/>
      <c r="AR46" s="240"/>
      <c r="AS46" s="240"/>
      <c r="AT46" s="240"/>
      <c r="AU46" s="241"/>
      <c r="BK46" s="271"/>
    </row>
    <row r="47" spans="1:63" ht="15" customHeight="1" x14ac:dyDescent="0.25">
      <c r="A47" s="270"/>
      <c r="Q47" s="290"/>
      <c r="R47" s="291"/>
      <c r="S47" s="291"/>
      <c r="T47" s="291"/>
      <c r="U47" s="291"/>
      <c r="V47" s="291"/>
      <c r="W47" s="291"/>
      <c r="X47" s="291"/>
      <c r="Y47" s="291"/>
      <c r="Z47" s="292"/>
      <c r="AA47" s="290"/>
      <c r="AB47" s="291"/>
      <c r="AC47" s="291"/>
      <c r="AD47" s="291"/>
      <c r="AE47" s="291"/>
      <c r="AF47" s="291"/>
      <c r="AG47" s="291"/>
      <c r="AH47" s="291"/>
      <c r="AI47" s="291"/>
      <c r="AJ47" s="291"/>
      <c r="AK47" s="291"/>
      <c r="AL47" s="291"/>
      <c r="AM47" s="291"/>
      <c r="AN47" s="291"/>
      <c r="AO47" s="291"/>
      <c r="AP47" s="292"/>
      <c r="AQ47" s="290"/>
      <c r="AR47" s="291"/>
      <c r="AS47" s="291"/>
      <c r="AT47" s="291"/>
      <c r="AU47" s="292"/>
      <c r="BK47" s="271"/>
    </row>
    <row r="48" spans="1:63" ht="15" customHeight="1" x14ac:dyDescent="0.25">
      <c r="A48" s="270"/>
      <c r="Q48" s="290"/>
      <c r="R48" s="291"/>
      <c r="S48" s="291"/>
      <c r="T48" s="291"/>
      <c r="U48" s="291"/>
      <c r="V48" s="291"/>
      <c r="W48" s="291"/>
      <c r="X48" s="291"/>
      <c r="Y48" s="291"/>
      <c r="Z48" s="292"/>
      <c r="AA48" s="290"/>
      <c r="AB48" s="291"/>
      <c r="AC48" s="291"/>
      <c r="AD48" s="291"/>
      <c r="AE48" s="291"/>
      <c r="AF48" s="291"/>
      <c r="AG48" s="291"/>
      <c r="AH48" s="291"/>
      <c r="AI48" s="291"/>
      <c r="AJ48" s="291"/>
      <c r="AK48" s="291"/>
      <c r="AL48" s="291"/>
      <c r="AM48" s="291"/>
      <c r="AN48" s="291"/>
      <c r="AO48" s="291"/>
      <c r="AP48" s="292"/>
      <c r="AQ48" s="290"/>
      <c r="AR48" s="291"/>
      <c r="AS48" s="291"/>
      <c r="AT48" s="291"/>
      <c r="AU48" s="292"/>
      <c r="BK48" s="271"/>
    </row>
    <row r="49" spans="1:63" ht="15" customHeight="1" x14ac:dyDescent="0.25">
      <c r="A49" s="270"/>
      <c r="Q49" s="252"/>
      <c r="R49" s="253"/>
      <c r="S49" s="253"/>
      <c r="T49" s="253"/>
      <c r="U49" s="253"/>
      <c r="V49" s="253"/>
      <c r="W49" s="253"/>
      <c r="X49" s="253"/>
      <c r="Y49" s="253"/>
      <c r="Z49" s="254"/>
      <c r="AA49" s="252"/>
      <c r="AB49" s="253"/>
      <c r="AC49" s="253"/>
      <c r="AD49" s="253"/>
      <c r="AE49" s="253"/>
      <c r="AF49" s="253"/>
      <c r="AG49" s="253"/>
      <c r="AH49" s="253"/>
      <c r="AI49" s="253"/>
      <c r="AJ49" s="253"/>
      <c r="AK49" s="253"/>
      <c r="AL49" s="253"/>
      <c r="AM49" s="253"/>
      <c r="AN49" s="253"/>
      <c r="AO49" s="253"/>
      <c r="AP49" s="254"/>
      <c r="AQ49" s="252"/>
      <c r="AR49" s="253"/>
      <c r="AS49" s="253"/>
      <c r="AT49" s="253"/>
      <c r="AU49" s="254"/>
      <c r="BK49" s="271"/>
    </row>
    <row r="50" spans="1:63" ht="15" customHeight="1" x14ac:dyDescent="0.25">
      <c r="A50" s="270"/>
      <c r="BK50" s="271"/>
    </row>
    <row r="51" spans="1:63" ht="15" customHeight="1" x14ac:dyDescent="0.25">
      <c r="A51" s="270"/>
      <c r="BK51" s="271"/>
    </row>
    <row r="52" spans="1:63" ht="15" customHeight="1" x14ac:dyDescent="0.25">
      <c r="A52" s="270"/>
      <c r="BK52" s="271"/>
    </row>
    <row r="53" spans="1:63" ht="15" customHeight="1" x14ac:dyDescent="0.25">
      <c r="A53" s="270"/>
      <c r="BK53" s="271"/>
    </row>
    <row r="54" spans="1:63" ht="15" customHeight="1" x14ac:dyDescent="0.25">
      <c r="A54" s="270"/>
      <c r="BK54" s="271"/>
    </row>
    <row r="55" spans="1:63" ht="15" customHeight="1" x14ac:dyDescent="0.25">
      <c r="A55" s="267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  <c r="AA55" s="268"/>
      <c r="AB55" s="268"/>
      <c r="AC55" s="268"/>
      <c r="AD55" s="268"/>
      <c r="AE55" s="268"/>
      <c r="AF55" s="268"/>
      <c r="AG55" s="268"/>
      <c r="AH55" s="268"/>
      <c r="AI55" s="268"/>
      <c r="AJ55" s="268"/>
      <c r="AK55" s="268"/>
      <c r="AL55" s="268"/>
      <c r="AM55" s="268"/>
      <c r="AN55" s="268"/>
      <c r="AO55" s="268"/>
      <c r="AP55" s="268"/>
      <c r="AQ55" s="268"/>
      <c r="AR55" s="268"/>
      <c r="AS55" s="268"/>
      <c r="AT55" s="268"/>
      <c r="AU55" s="268"/>
      <c r="AV55" s="268"/>
      <c r="AW55" s="268"/>
      <c r="AX55" s="268"/>
      <c r="AY55" s="268"/>
      <c r="AZ55" s="268"/>
      <c r="BA55" s="268"/>
      <c r="BB55" s="268"/>
      <c r="BC55" s="268"/>
      <c r="BD55" s="268"/>
      <c r="BE55" s="268"/>
      <c r="BF55" s="268"/>
      <c r="BG55" s="268"/>
      <c r="BH55" s="268"/>
      <c r="BI55" s="268"/>
      <c r="BJ55" s="268"/>
      <c r="BK55" s="26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39" customWidth="1"/>
    <col min="61" max="16384" width="2.77734375" style="239"/>
  </cols>
  <sheetData>
    <row r="1" spans="1:63" ht="24.95" customHeight="1" x14ac:dyDescent="0.25">
      <c r="A1" s="233" t="s">
        <v>74</v>
      </c>
      <c r="B1" s="234"/>
      <c r="C1" s="234"/>
      <c r="D1" s="234"/>
      <c r="E1" s="234"/>
      <c r="F1" s="234"/>
      <c r="G1" s="234"/>
      <c r="H1" s="234"/>
      <c r="I1" s="234"/>
      <c r="J1" s="235"/>
      <c r="K1" s="233" t="s">
        <v>75</v>
      </c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5"/>
      <c r="W1" s="293" t="str">
        <f>IF(表紙!W1="","",表紙!W1)</f>
        <v>詳細設計書</v>
      </c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8"/>
      <c r="AP1" s="233" t="s">
        <v>77</v>
      </c>
      <c r="AQ1" s="234"/>
      <c r="AR1" s="234"/>
      <c r="AS1" s="235"/>
      <c r="AT1" s="233" t="s">
        <v>78</v>
      </c>
      <c r="AU1" s="234"/>
      <c r="AV1" s="234"/>
      <c r="AW1" s="234"/>
      <c r="AX1" s="235"/>
      <c r="AY1" s="233" t="s">
        <v>79</v>
      </c>
      <c r="AZ1" s="234"/>
      <c r="BA1" s="234"/>
      <c r="BB1" s="235"/>
      <c r="BC1" s="233" t="s">
        <v>80</v>
      </c>
      <c r="BD1" s="234"/>
      <c r="BE1" s="234"/>
      <c r="BF1" s="234"/>
      <c r="BG1" s="235"/>
      <c r="BH1" s="233" t="s">
        <v>81</v>
      </c>
      <c r="BI1" s="234"/>
      <c r="BJ1" s="234"/>
      <c r="BK1" s="235"/>
    </row>
    <row r="2" spans="1:63" ht="15" customHeight="1" x14ac:dyDescent="0.25">
      <c r="A2" s="242" t="str">
        <f>IF(表紙!A2="","",表紙!A2)</f>
        <v>POSサーバー</v>
      </c>
      <c r="B2" s="240"/>
      <c r="C2" s="240"/>
      <c r="D2" s="240"/>
      <c r="E2" s="240"/>
      <c r="F2" s="240"/>
      <c r="G2" s="240"/>
      <c r="H2" s="240"/>
      <c r="I2" s="240"/>
      <c r="J2" s="241"/>
      <c r="K2" s="242" t="str">
        <f>IF(表紙!K2="","",表紙!K2)</f>
        <v>POSサーバ</v>
      </c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1"/>
      <c r="W2" s="243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  <c r="AO2" s="245"/>
      <c r="AP2" s="242" t="str">
        <f>IF(表紙!AP2="","",表紙!AP2)</f>
        <v>DuNT</v>
      </c>
      <c r="AQ2" s="240"/>
      <c r="AR2" s="240"/>
      <c r="AS2" s="241"/>
      <c r="AT2" s="246">
        <f>IF(表紙!AT2="","",表紙!AT2)</f>
        <v>45505</v>
      </c>
      <c r="AU2" s="247"/>
      <c r="AV2" s="247"/>
      <c r="AW2" s="247"/>
      <c r="AX2" s="248"/>
      <c r="AY2" s="242" t="str">
        <f>IF(表紙!AY2="","",表紙!AY2)</f>
        <v>TinNH</v>
      </c>
      <c r="AZ2" s="240"/>
      <c r="BA2" s="240"/>
      <c r="BB2" s="241"/>
      <c r="BC2" s="246">
        <f>IF(表紙!BC2="","",表紙!BC2)</f>
        <v>45618</v>
      </c>
      <c r="BD2" s="247"/>
      <c r="BE2" s="247"/>
      <c r="BF2" s="247"/>
      <c r="BG2" s="248"/>
      <c r="BH2" s="242">
        <f>IF(表紙!BH2="","",表紙!BH2)</f>
        <v>0.24</v>
      </c>
      <c r="BI2" s="240"/>
      <c r="BJ2" s="240"/>
      <c r="BK2" s="241"/>
    </row>
    <row r="3" spans="1:63" ht="15" customHeight="1" x14ac:dyDescent="0.25">
      <c r="A3" s="252"/>
      <c r="B3" s="253"/>
      <c r="C3" s="253"/>
      <c r="D3" s="253"/>
      <c r="E3" s="253"/>
      <c r="F3" s="253"/>
      <c r="G3" s="253"/>
      <c r="H3" s="253"/>
      <c r="I3" s="253"/>
      <c r="J3" s="254"/>
      <c r="K3" s="252"/>
      <c r="L3" s="253"/>
      <c r="M3" s="253"/>
      <c r="N3" s="253"/>
      <c r="O3" s="253"/>
      <c r="P3" s="253"/>
      <c r="Q3" s="253"/>
      <c r="R3" s="253"/>
      <c r="S3" s="253"/>
      <c r="T3" s="253"/>
      <c r="U3" s="253"/>
      <c r="V3" s="254"/>
      <c r="W3" s="255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7"/>
      <c r="AP3" s="252"/>
      <c r="AQ3" s="253"/>
      <c r="AR3" s="253"/>
      <c r="AS3" s="254"/>
      <c r="AT3" s="258"/>
      <c r="AU3" s="259"/>
      <c r="AV3" s="259"/>
      <c r="AW3" s="259"/>
      <c r="AX3" s="260"/>
      <c r="AY3" s="252"/>
      <c r="AZ3" s="253"/>
      <c r="BA3" s="253"/>
      <c r="BB3" s="254"/>
      <c r="BC3" s="258"/>
      <c r="BD3" s="259"/>
      <c r="BE3" s="259"/>
      <c r="BF3" s="259"/>
      <c r="BG3" s="260"/>
      <c r="BH3" s="252"/>
      <c r="BI3" s="253"/>
      <c r="BJ3" s="253"/>
      <c r="BK3" s="254"/>
    </row>
    <row r="4" spans="1:63" ht="24.95" customHeight="1" x14ac:dyDescent="0.25">
      <c r="A4" s="233" t="s">
        <v>83</v>
      </c>
      <c r="B4" s="234"/>
      <c r="C4" s="234"/>
      <c r="D4" s="234"/>
      <c r="E4" s="234"/>
      <c r="F4" s="234"/>
      <c r="G4" s="235"/>
      <c r="H4" s="264" t="str">
        <f>IF(表紙!H4="","",表紙!H4)</f>
        <v>00_共通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6"/>
      <c r="U4" s="233" t="s">
        <v>84</v>
      </c>
      <c r="V4" s="234"/>
      <c r="W4" s="234"/>
      <c r="X4" s="234"/>
      <c r="Y4" s="235"/>
      <c r="Z4" s="264" t="str">
        <f>IF(表紙!Z4="","",表紙!Z4)</f>
        <v>画面設計書</v>
      </c>
      <c r="AA4" s="265"/>
      <c r="AB4" s="265"/>
      <c r="AC4" s="265"/>
      <c r="AD4" s="265"/>
      <c r="AE4" s="265"/>
      <c r="AF4" s="265"/>
      <c r="AG4" s="265"/>
      <c r="AH4" s="265"/>
      <c r="AI4" s="265"/>
      <c r="AJ4" s="265"/>
      <c r="AK4" s="265"/>
      <c r="AL4" s="265"/>
      <c r="AM4" s="265"/>
      <c r="AN4" s="265"/>
      <c r="AO4" s="266"/>
      <c r="AP4" s="264" t="str">
        <f t="array" aca="1" ref="AP4" ca="1">RIGHT(CELL("filename",$A$1),LEN(CELL("filename",$A$1))-FIND("]",CELL("filename",$A$1)))</f>
        <v>改訂履歴</v>
      </c>
      <c r="AQ4" s="265"/>
      <c r="AR4" s="265"/>
      <c r="AS4" s="265"/>
      <c r="AT4" s="265"/>
      <c r="AU4" s="265"/>
      <c r="AV4" s="265"/>
      <c r="AW4" s="265"/>
      <c r="AX4" s="265"/>
      <c r="AY4" s="265"/>
      <c r="AZ4" s="265"/>
      <c r="BA4" s="265"/>
      <c r="BB4" s="265"/>
      <c r="BC4" s="265"/>
      <c r="BD4" s="265"/>
      <c r="BE4" s="265"/>
      <c r="BF4" s="265"/>
      <c r="BG4" s="265"/>
      <c r="BH4" s="265"/>
      <c r="BI4" s="265"/>
      <c r="BJ4" s="265"/>
      <c r="BK4" s="266"/>
    </row>
    <row r="5" spans="1:63" ht="5.0999999999999996" customHeight="1" x14ac:dyDescent="0.25">
      <c r="A5" s="267"/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  <c r="AA5" s="268"/>
      <c r="AB5" s="268"/>
      <c r="AC5" s="268"/>
      <c r="AD5" s="268"/>
      <c r="AE5" s="268"/>
      <c r="AF5" s="268"/>
      <c r="AG5" s="268"/>
      <c r="AH5" s="268"/>
      <c r="AI5" s="268"/>
      <c r="AJ5" s="268"/>
      <c r="AK5" s="268"/>
      <c r="AL5" s="268"/>
      <c r="AM5" s="268"/>
      <c r="AN5" s="268"/>
      <c r="AO5" s="268"/>
      <c r="AP5" s="268"/>
      <c r="AQ5" s="268"/>
      <c r="AR5" s="268"/>
      <c r="AS5" s="268"/>
      <c r="AT5" s="268"/>
      <c r="AU5" s="268"/>
      <c r="AV5" s="268"/>
      <c r="AW5" s="268"/>
      <c r="AX5" s="268"/>
      <c r="AY5" s="268"/>
      <c r="AZ5" s="268"/>
      <c r="BA5" s="268"/>
      <c r="BB5" s="268"/>
      <c r="BC5" s="268"/>
      <c r="BD5" s="268"/>
      <c r="BE5" s="268"/>
      <c r="BF5" s="268"/>
      <c r="BG5" s="268"/>
      <c r="BH5" s="268"/>
      <c r="BI5" s="268"/>
      <c r="BJ5" s="268"/>
      <c r="BK5" s="269"/>
    </row>
    <row r="6" spans="1:63" ht="15" customHeight="1" x14ac:dyDescent="0.25">
      <c r="A6" s="270"/>
      <c r="BK6" s="271"/>
    </row>
    <row r="7" spans="1:63" ht="15" customHeight="1" x14ac:dyDescent="0.25">
      <c r="A7" s="270"/>
      <c r="BK7" s="271"/>
    </row>
    <row r="8" spans="1:63" ht="15" customHeight="1" x14ac:dyDescent="0.25">
      <c r="A8" s="270"/>
      <c r="B8" s="239" t="s">
        <v>0</v>
      </c>
      <c r="BK8" s="271"/>
    </row>
    <row r="9" spans="1:63" ht="15" customHeight="1" x14ac:dyDescent="0.25">
      <c r="A9" s="270"/>
      <c r="BK9" s="271"/>
    </row>
    <row r="10" spans="1:63" ht="15" customHeight="1" x14ac:dyDescent="0.25">
      <c r="A10" s="270"/>
      <c r="B10" s="294" t="s">
        <v>80</v>
      </c>
      <c r="C10" s="294"/>
      <c r="D10" s="294"/>
      <c r="E10" s="294"/>
      <c r="F10" s="294"/>
      <c r="G10" s="294"/>
      <c r="H10" s="294" t="s">
        <v>79</v>
      </c>
      <c r="I10" s="294"/>
      <c r="J10" s="294"/>
      <c r="K10" s="294"/>
      <c r="L10" s="294"/>
      <c r="M10" s="294"/>
      <c r="N10" s="294"/>
      <c r="O10" s="294" t="s">
        <v>81</v>
      </c>
      <c r="P10" s="294"/>
      <c r="Q10" s="294"/>
      <c r="R10" s="294"/>
      <c r="S10" s="294" t="s">
        <v>89</v>
      </c>
      <c r="T10" s="294"/>
      <c r="U10" s="294"/>
      <c r="V10" s="294"/>
      <c r="W10" s="294"/>
      <c r="X10" s="294"/>
      <c r="Y10" s="294"/>
      <c r="Z10" s="294"/>
      <c r="AA10" s="294"/>
      <c r="AB10" s="294"/>
      <c r="AC10" s="294"/>
      <c r="AD10" s="294"/>
      <c r="AE10" s="294"/>
      <c r="AF10" s="294"/>
      <c r="AG10" s="294"/>
      <c r="AH10" s="294"/>
      <c r="AI10" s="294"/>
      <c r="AJ10" s="294"/>
      <c r="AK10" s="294"/>
      <c r="AL10" s="294"/>
      <c r="AM10" s="294"/>
      <c r="AN10" s="294"/>
      <c r="AO10" s="294"/>
      <c r="AP10" s="294"/>
      <c r="AQ10" s="294"/>
      <c r="AR10" s="294"/>
      <c r="AS10" s="294"/>
      <c r="AT10" s="294"/>
      <c r="AU10" s="294"/>
      <c r="AV10" s="294"/>
      <c r="AW10" s="294"/>
      <c r="AX10" s="294" t="s">
        <v>87</v>
      </c>
      <c r="AY10" s="294"/>
      <c r="AZ10" s="294"/>
      <c r="BA10" s="294"/>
      <c r="BB10" s="294"/>
      <c r="BC10" s="294"/>
      <c r="BD10" s="294" t="s">
        <v>88</v>
      </c>
      <c r="BE10" s="294"/>
      <c r="BF10" s="294"/>
      <c r="BG10" s="294"/>
      <c r="BH10" s="294"/>
      <c r="BI10" s="294"/>
      <c r="BJ10" s="294"/>
      <c r="BK10" s="271"/>
    </row>
    <row r="11" spans="1:63" ht="15" customHeight="1" x14ac:dyDescent="0.25">
      <c r="A11" s="270"/>
      <c r="B11" s="246">
        <v>45505</v>
      </c>
      <c r="C11" s="240"/>
      <c r="D11" s="240"/>
      <c r="E11" s="240"/>
      <c r="F11" s="240"/>
      <c r="G11" s="241"/>
      <c r="H11" s="22" t="s">
        <v>90</v>
      </c>
      <c r="I11" s="240"/>
      <c r="J11" s="240"/>
      <c r="K11" s="240"/>
      <c r="L11" s="240"/>
      <c r="M11" s="240"/>
      <c r="N11" s="241"/>
      <c r="O11" s="242">
        <v>0.1</v>
      </c>
      <c r="P11" s="240"/>
      <c r="Q11" s="240"/>
      <c r="R11" s="240"/>
      <c r="S11" s="295" t="s">
        <v>2</v>
      </c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7"/>
      <c r="AX11" s="298"/>
      <c r="AY11" s="298"/>
      <c r="AZ11" s="298"/>
      <c r="BA11" s="298"/>
      <c r="BB11" s="298"/>
      <c r="BC11" s="299"/>
      <c r="BD11" s="300"/>
      <c r="BE11" s="298"/>
      <c r="BF11" s="298"/>
      <c r="BG11" s="298"/>
      <c r="BH11" s="298"/>
      <c r="BI11" s="298"/>
      <c r="BJ11" s="299"/>
      <c r="BK11" s="271"/>
    </row>
    <row r="12" spans="1:63" ht="15" customHeight="1" x14ac:dyDescent="0.25">
      <c r="A12" s="270"/>
      <c r="B12" s="252"/>
      <c r="C12" s="253"/>
      <c r="D12" s="253"/>
      <c r="E12" s="253"/>
      <c r="F12" s="253"/>
      <c r="G12" s="254"/>
      <c r="H12" s="252"/>
      <c r="I12" s="253"/>
      <c r="J12" s="253"/>
      <c r="K12" s="253"/>
      <c r="L12" s="253"/>
      <c r="M12" s="253"/>
      <c r="N12" s="254"/>
      <c r="O12" s="252"/>
      <c r="P12" s="253"/>
      <c r="Q12" s="253"/>
      <c r="R12" s="253"/>
      <c r="S12" s="301"/>
      <c r="T12" s="302"/>
      <c r="U12" s="302"/>
      <c r="V12" s="302"/>
      <c r="W12" s="302"/>
      <c r="X12" s="302"/>
      <c r="Y12" s="302"/>
      <c r="Z12" s="302"/>
      <c r="AA12" s="302"/>
      <c r="AB12" s="302"/>
      <c r="AC12" s="302"/>
      <c r="AD12" s="302"/>
      <c r="AE12" s="302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  <c r="AS12" s="302"/>
      <c r="AT12" s="302"/>
      <c r="AU12" s="302"/>
      <c r="AV12" s="302"/>
      <c r="AW12" s="303"/>
      <c r="AX12" s="304"/>
      <c r="AY12" s="304"/>
      <c r="AZ12" s="304"/>
      <c r="BA12" s="304"/>
      <c r="BB12" s="304"/>
      <c r="BC12" s="305"/>
      <c r="BD12" s="306"/>
      <c r="BE12" s="304"/>
      <c r="BF12" s="304"/>
      <c r="BG12" s="304"/>
      <c r="BH12" s="304"/>
      <c r="BI12" s="304"/>
      <c r="BJ12" s="305"/>
      <c r="BK12" s="271"/>
    </row>
    <row r="13" spans="1:63" ht="15" customHeight="1" x14ac:dyDescent="0.25">
      <c r="A13" s="270"/>
      <c r="B13" s="246">
        <v>45568</v>
      </c>
      <c r="C13" s="240"/>
      <c r="D13" s="240"/>
      <c r="E13" s="240"/>
      <c r="F13" s="240"/>
      <c r="G13" s="241"/>
      <c r="H13" s="242" t="s">
        <v>73</v>
      </c>
      <c r="I13" s="240"/>
      <c r="J13" s="240"/>
      <c r="K13" s="240"/>
      <c r="L13" s="240"/>
      <c r="M13" s="240"/>
      <c r="N13" s="241"/>
      <c r="O13" s="242">
        <v>0.2</v>
      </c>
      <c r="P13" s="240"/>
      <c r="Q13" s="240"/>
      <c r="R13" s="240"/>
      <c r="S13" s="295" t="s">
        <v>58</v>
      </c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6"/>
      <c r="AH13" s="296"/>
      <c r="AI13" s="296"/>
      <c r="AJ13" s="296"/>
      <c r="AK13" s="296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7"/>
      <c r="AX13" s="38"/>
      <c r="AY13" s="38"/>
      <c r="AZ13" s="38"/>
      <c r="BA13" s="38"/>
      <c r="BB13" s="38"/>
      <c r="BC13" s="39"/>
      <c r="BD13" s="37"/>
      <c r="BE13" s="38"/>
      <c r="BF13" s="38"/>
      <c r="BG13" s="38"/>
      <c r="BH13" s="38"/>
      <c r="BI13" s="38"/>
      <c r="BJ13" s="39"/>
      <c r="BK13" s="271"/>
    </row>
    <row r="14" spans="1:63" ht="15" customHeight="1" x14ac:dyDescent="0.25">
      <c r="A14" s="270"/>
      <c r="B14" s="252"/>
      <c r="C14" s="253"/>
      <c r="D14" s="253"/>
      <c r="E14" s="253"/>
      <c r="F14" s="253"/>
      <c r="G14" s="254"/>
      <c r="H14" s="252"/>
      <c r="I14" s="253"/>
      <c r="J14" s="253"/>
      <c r="K14" s="253"/>
      <c r="L14" s="253"/>
      <c r="M14" s="253"/>
      <c r="N14" s="254"/>
      <c r="O14" s="252"/>
      <c r="P14" s="253"/>
      <c r="Q14" s="253"/>
      <c r="R14" s="253"/>
      <c r="S14" s="301" t="s">
        <v>59</v>
      </c>
      <c r="T14" s="302"/>
      <c r="U14" s="302"/>
      <c r="V14" s="302"/>
      <c r="W14" s="302"/>
      <c r="X14" s="302"/>
      <c r="Y14" s="302"/>
      <c r="Z14" s="302"/>
      <c r="AA14" s="302"/>
      <c r="AB14" s="302"/>
      <c r="AC14" s="302"/>
      <c r="AD14" s="302"/>
      <c r="AE14" s="302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  <c r="AS14" s="302"/>
      <c r="AT14" s="302"/>
      <c r="AU14" s="302"/>
      <c r="AV14" s="302"/>
      <c r="AW14" s="303"/>
      <c r="AX14" s="41"/>
      <c r="AY14" s="41"/>
      <c r="AZ14" s="41"/>
      <c r="BA14" s="41"/>
      <c r="BB14" s="41"/>
      <c r="BC14" s="42"/>
      <c r="BD14" s="40"/>
      <c r="BE14" s="41"/>
      <c r="BF14" s="41"/>
      <c r="BG14" s="41"/>
      <c r="BH14" s="41"/>
      <c r="BI14" s="41"/>
      <c r="BJ14" s="42"/>
      <c r="BK14" s="271"/>
    </row>
    <row r="15" spans="1:63" ht="15" customHeight="1" x14ac:dyDescent="0.25">
      <c r="A15" s="270"/>
      <c r="B15" s="246">
        <v>45569</v>
      </c>
      <c r="C15" s="240"/>
      <c r="D15" s="240"/>
      <c r="E15" s="240"/>
      <c r="F15" s="240"/>
      <c r="G15" s="241"/>
      <c r="H15" s="242" t="s">
        <v>23</v>
      </c>
      <c r="I15" s="240"/>
      <c r="J15" s="240"/>
      <c r="K15" s="240"/>
      <c r="L15" s="240"/>
      <c r="M15" s="240"/>
      <c r="N15" s="241"/>
      <c r="O15" s="242">
        <v>0.21</v>
      </c>
      <c r="P15" s="240"/>
      <c r="Q15" s="240"/>
      <c r="R15" s="240"/>
      <c r="S15" s="295" t="s">
        <v>61</v>
      </c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  <c r="AI15" s="296"/>
      <c r="AJ15" s="296"/>
      <c r="AK15" s="296"/>
      <c r="AL15" s="296"/>
      <c r="AM15" s="296"/>
      <c r="AN15" s="296"/>
      <c r="AO15" s="296"/>
      <c r="AP15" s="296"/>
      <c r="AQ15" s="296"/>
      <c r="AR15" s="296"/>
      <c r="AS15" s="296"/>
      <c r="AT15" s="296"/>
      <c r="AU15" s="296"/>
      <c r="AV15" s="296"/>
      <c r="AW15" s="297"/>
      <c r="AX15" s="298"/>
      <c r="AY15" s="298"/>
      <c r="AZ15" s="298"/>
      <c r="BA15" s="298"/>
      <c r="BB15" s="298"/>
      <c r="BC15" s="299"/>
      <c r="BD15" s="300"/>
      <c r="BE15" s="298"/>
      <c r="BF15" s="298"/>
      <c r="BG15" s="298"/>
      <c r="BH15" s="298"/>
      <c r="BI15" s="298"/>
      <c r="BJ15" s="299"/>
      <c r="BK15" s="271"/>
    </row>
    <row r="16" spans="1:63" ht="15" customHeight="1" x14ac:dyDescent="0.25">
      <c r="A16" s="270"/>
      <c r="B16" s="252"/>
      <c r="C16" s="253"/>
      <c r="D16" s="253"/>
      <c r="E16" s="253"/>
      <c r="F16" s="253"/>
      <c r="G16" s="254"/>
      <c r="H16" s="252"/>
      <c r="I16" s="253"/>
      <c r="J16" s="253"/>
      <c r="K16" s="253"/>
      <c r="L16" s="253"/>
      <c r="M16" s="253"/>
      <c r="N16" s="254"/>
      <c r="O16" s="252"/>
      <c r="P16" s="253"/>
      <c r="Q16" s="253"/>
      <c r="R16" s="253"/>
      <c r="S16" s="301"/>
      <c r="T16" s="302"/>
      <c r="U16" s="302"/>
      <c r="V16" s="302"/>
      <c r="W16" s="302"/>
      <c r="X16" s="302"/>
      <c r="Y16" s="302"/>
      <c r="Z16" s="302"/>
      <c r="AA16" s="302"/>
      <c r="AB16" s="302"/>
      <c r="AC16" s="302"/>
      <c r="AD16" s="302"/>
      <c r="AE16" s="302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  <c r="AS16" s="302"/>
      <c r="AT16" s="302"/>
      <c r="AU16" s="302"/>
      <c r="AV16" s="302"/>
      <c r="AW16" s="303"/>
      <c r="AX16" s="304"/>
      <c r="AY16" s="304"/>
      <c r="AZ16" s="304"/>
      <c r="BA16" s="304"/>
      <c r="BB16" s="304"/>
      <c r="BC16" s="305"/>
      <c r="BD16" s="306"/>
      <c r="BE16" s="304"/>
      <c r="BF16" s="304"/>
      <c r="BG16" s="304"/>
      <c r="BH16" s="304"/>
      <c r="BI16" s="304"/>
      <c r="BJ16" s="305"/>
      <c r="BK16" s="271"/>
    </row>
    <row r="17" spans="1:63" ht="15" customHeight="1" x14ac:dyDescent="0.25">
      <c r="A17" s="270"/>
      <c r="B17" s="23">
        <v>45608</v>
      </c>
      <c r="C17" s="24"/>
      <c r="D17" s="24"/>
      <c r="E17" s="24"/>
      <c r="F17" s="24"/>
      <c r="G17" s="25"/>
      <c r="H17" s="29" t="s">
        <v>91</v>
      </c>
      <c r="I17" s="24"/>
      <c r="J17" s="24"/>
      <c r="K17" s="24"/>
      <c r="L17" s="24"/>
      <c r="M17" s="24"/>
      <c r="N17" s="25"/>
      <c r="O17" s="29">
        <v>0.22</v>
      </c>
      <c r="P17" s="24"/>
      <c r="Q17" s="24"/>
      <c r="R17" s="24"/>
      <c r="S17" s="30" t="s">
        <v>92</v>
      </c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2"/>
      <c r="AX17" s="307"/>
      <c r="AY17" s="307"/>
      <c r="AZ17" s="307"/>
      <c r="BA17" s="307"/>
      <c r="BB17" s="307"/>
      <c r="BC17" s="308"/>
      <c r="BD17" s="309"/>
      <c r="BE17" s="307"/>
      <c r="BF17" s="307"/>
      <c r="BG17" s="307"/>
      <c r="BH17" s="307"/>
      <c r="BI17" s="307"/>
      <c r="BJ17" s="308"/>
      <c r="BK17" s="271"/>
    </row>
    <row r="18" spans="1:63" ht="15" customHeight="1" x14ac:dyDescent="0.25">
      <c r="A18" s="270"/>
      <c r="B18" s="26"/>
      <c r="C18" s="27"/>
      <c r="D18" s="27"/>
      <c r="E18" s="27"/>
      <c r="F18" s="27"/>
      <c r="G18" s="28"/>
      <c r="H18" s="26"/>
      <c r="I18" s="27"/>
      <c r="J18" s="27"/>
      <c r="K18" s="27"/>
      <c r="L18" s="27"/>
      <c r="M18" s="27"/>
      <c r="N18" s="28"/>
      <c r="O18" s="26"/>
      <c r="P18" s="27"/>
      <c r="Q18" s="27"/>
      <c r="R18" s="27"/>
      <c r="S18" s="33" t="s">
        <v>93</v>
      </c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5"/>
      <c r="AX18" s="310"/>
      <c r="AY18" s="310"/>
      <c r="AZ18" s="310"/>
      <c r="BA18" s="310"/>
      <c r="BB18" s="310"/>
      <c r="BC18" s="311"/>
      <c r="BD18" s="312"/>
      <c r="BE18" s="310"/>
      <c r="BF18" s="310"/>
      <c r="BG18" s="310"/>
      <c r="BH18" s="310"/>
      <c r="BI18" s="310"/>
      <c r="BJ18" s="311"/>
      <c r="BK18" s="271"/>
    </row>
    <row r="19" spans="1:63" ht="48.75" customHeight="1" x14ac:dyDescent="0.25">
      <c r="A19" s="270"/>
      <c r="B19" s="23">
        <v>45617</v>
      </c>
      <c r="C19" s="24"/>
      <c r="D19" s="24"/>
      <c r="E19" s="24"/>
      <c r="F19" s="24"/>
      <c r="G19" s="25"/>
      <c r="H19" s="23">
        <v>45617</v>
      </c>
      <c r="I19" s="24"/>
      <c r="J19" s="24"/>
      <c r="K19" s="24"/>
      <c r="L19" s="24"/>
      <c r="M19" s="24"/>
      <c r="N19" s="25"/>
      <c r="O19" s="29">
        <v>0.23</v>
      </c>
      <c r="P19" s="24"/>
      <c r="Q19" s="24"/>
      <c r="R19" s="24"/>
      <c r="S19" s="36" t="s">
        <v>94</v>
      </c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2"/>
      <c r="AX19" s="298"/>
      <c r="AY19" s="298"/>
      <c r="AZ19" s="298"/>
      <c r="BA19" s="298"/>
      <c r="BB19" s="298"/>
      <c r="BC19" s="299"/>
      <c r="BD19" s="300"/>
      <c r="BE19" s="298"/>
      <c r="BF19" s="298"/>
      <c r="BG19" s="298"/>
      <c r="BH19" s="298"/>
      <c r="BI19" s="298"/>
      <c r="BJ19" s="299"/>
      <c r="BK19" s="271"/>
    </row>
    <row r="20" spans="1:63" ht="15" customHeight="1" x14ac:dyDescent="0.25">
      <c r="A20" s="270"/>
      <c r="B20" s="26"/>
      <c r="C20" s="27"/>
      <c r="D20" s="27"/>
      <c r="E20" s="27"/>
      <c r="F20" s="27"/>
      <c r="G20" s="28"/>
      <c r="H20" s="26"/>
      <c r="I20" s="27"/>
      <c r="J20" s="27"/>
      <c r="K20" s="27"/>
      <c r="L20" s="27"/>
      <c r="M20" s="27"/>
      <c r="N20" s="28"/>
      <c r="O20" s="26"/>
      <c r="P20" s="27"/>
      <c r="Q20" s="27"/>
      <c r="R20" s="27"/>
      <c r="S20" s="33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5"/>
      <c r="AX20" s="304"/>
      <c r="AY20" s="304"/>
      <c r="AZ20" s="304"/>
      <c r="BA20" s="304"/>
      <c r="BB20" s="304"/>
      <c r="BC20" s="305"/>
      <c r="BD20" s="306"/>
      <c r="BE20" s="304"/>
      <c r="BF20" s="304"/>
      <c r="BG20" s="304"/>
      <c r="BH20" s="304"/>
      <c r="BI20" s="304"/>
      <c r="BJ20" s="305"/>
      <c r="BK20" s="271"/>
    </row>
    <row r="21" spans="1:63" ht="15" customHeight="1" x14ac:dyDescent="0.25">
      <c r="A21" s="270"/>
      <c r="B21" s="23">
        <v>45618</v>
      </c>
      <c r="C21" s="24"/>
      <c r="D21" s="24"/>
      <c r="E21" s="24"/>
      <c r="F21" s="24"/>
      <c r="G21" s="25"/>
      <c r="H21" s="29" t="s">
        <v>95</v>
      </c>
      <c r="I21" s="24"/>
      <c r="J21" s="24"/>
      <c r="K21" s="24"/>
      <c r="L21" s="24"/>
      <c r="M21" s="24"/>
      <c r="N21" s="25"/>
      <c r="O21" s="29">
        <v>0.24</v>
      </c>
      <c r="P21" s="24"/>
      <c r="Q21" s="24"/>
      <c r="R21" s="24"/>
      <c r="S21" s="30" t="s">
        <v>96</v>
      </c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2"/>
      <c r="AX21" s="298"/>
      <c r="AY21" s="298"/>
      <c r="AZ21" s="298"/>
      <c r="BA21" s="298"/>
      <c r="BB21" s="298"/>
      <c r="BC21" s="299"/>
      <c r="BD21" s="300"/>
      <c r="BE21" s="298"/>
      <c r="BF21" s="298"/>
      <c r="BG21" s="298"/>
      <c r="BH21" s="298"/>
      <c r="BI21" s="298"/>
      <c r="BJ21" s="299"/>
      <c r="BK21" s="271"/>
    </row>
    <row r="22" spans="1:63" ht="15" customHeight="1" x14ac:dyDescent="0.25">
      <c r="A22" s="270"/>
      <c r="B22" s="26"/>
      <c r="C22" s="27"/>
      <c r="D22" s="27"/>
      <c r="E22" s="27"/>
      <c r="F22" s="27"/>
      <c r="G22" s="28"/>
      <c r="H22" s="26"/>
      <c r="I22" s="27"/>
      <c r="J22" s="27"/>
      <c r="K22" s="27"/>
      <c r="L22" s="27"/>
      <c r="M22" s="27"/>
      <c r="N22" s="28"/>
      <c r="O22" s="26"/>
      <c r="P22" s="27"/>
      <c r="Q22" s="27"/>
      <c r="R22" s="27"/>
      <c r="S22" s="33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5"/>
      <c r="AX22" s="304"/>
      <c r="AY22" s="304"/>
      <c r="AZ22" s="304"/>
      <c r="BA22" s="304"/>
      <c r="BB22" s="304"/>
      <c r="BC22" s="305"/>
      <c r="BD22" s="306"/>
      <c r="BE22" s="304"/>
      <c r="BF22" s="304"/>
      <c r="BG22" s="304"/>
      <c r="BH22" s="304"/>
      <c r="BI22" s="304"/>
      <c r="BJ22" s="305"/>
      <c r="BK22" s="271"/>
    </row>
    <row r="23" spans="1:63" ht="15" customHeight="1" x14ac:dyDescent="0.25">
      <c r="A23" s="270"/>
      <c r="B23" s="242"/>
      <c r="C23" s="240"/>
      <c r="D23" s="240"/>
      <c r="E23" s="240"/>
      <c r="F23" s="240"/>
      <c r="G23" s="241"/>
      <c r="H23" s="242"/>
      <c r="I23" s="240"/>
      <c r="J23" s="240"/>
      <c r="K23" s="240"/>
      <c r="L23" s="240"/>
      <c r="M23" s="240"/>
      <c r="N23" s="241"/>
      <c r="O23" s="242"/>
      <c r="P23" s="240"/>
      <c r="Q23" s="240"/>
      <c r="R23" s="240"/>
      <c r="S23" s="295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6"/>
      <c r="AH23" s="296"/>
      <c r="AI23" s="296"/>
      <c r="AJ23" s="296"/>
      <c r="AK23" s="296"/>
      <c r="AL23" s="296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7"/>
      <c r="AX23" s="298"/>
      <c r="AY23" s="298"/>
      <c r="AZ23" s="298"/>
      <c r="BA23" s="298"/>
      <c r="BB23" s="298"/>
      <c r="BC23" s="299"/>
      <c r="BD23" s="300"/>
      <c r="BE23" s="298"/>
      <c r="BF23" s="298"/>
      <c r="BG23" s="298"/>
      <c r="BH23" s="298"/>
      <c r="BI23" s="298"/>
      <c r="BJ23" s="299"/>
      <c r="BK23" s="271"/>
    </row>
    <row r="24" spans="1:63" ht="15" customHeight="1" x14ac:dyDescent="0.25">
      <c r="A24" s="270"/>
      <c r="B24" s="252"/>
      <c r="C24" s="253"/>
      <c r="D24" s="253"/>
      <c r="E24" s="253"/>
      <c r="F24" s="253"/>
      <c r="G24" s="254"/>
      <c r="H24" s="252"/>
      <c r="I24" s="253"/>
      <c r="J24" s="253"/>
      <c r="K24" s="253"/>
      <c r="L24" s="253"/>
      <c r="M24" s="253"/>
      <c r="N24" s="254"/>
      <c r="O24" s="252"/>
      <c r="P24" s="253"/>
      <c r="Q24" s="253"/>
      <c r="R24" s="253"/>
      <c r="S24" s="301"/>
      <c r="T24" s="302"/>
      <c r="U24" s="302"/>
      <c r="V24" s="302"/>
      <c r="W24" s="302"/>
      <c r="X24" s="302"/>
      <c r="Y24" s="302"/>
      <c r="Z24" s="302"/>
      <c r="AA24" s="302"/>
      <c r="AB24" s="302"/>
      <c r="AC24" s="302"/>
      <c r="AD24" s="302"/>
      <c r="AE24" s="302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  <c r="AS24" s="302"/>
      <c r="AT24" s="302"/>
      <c r="AU24" s="302"/>
      <c r="AV24" s="302"/>
      <c r="AW24" s="303"/>
      <c r="AX24" s="304"/>
      <c r="AY24" s="304"/>
      <c r="AZ24" s="304"/>
      <c r="BA24" s="304"/>
      <c r="BB24" s="304"/>
      <c r="BC24" s="305"/>
      <c r="BD24" s="306"/>
      <c r="BE24" s="304"/>
      <c r="BF24" s="304"/>
      <c r="BG24" s="304"/>
      <c r="BH24" s="304"/>
      <c r="BI24" s="304"/>
      <c r="BJ24" s="305"/>
      <c r="BK24" s="271"/>
    </row>
    <row r="25" spans="1:63" ht="15" customHeight="1" x14ac:dyDescent="0.25">
      <c r="A25" s="270"/>
      <c r="B25" s="242"/>
      <c r="C25" s="240"/>
      <c r="D25" s="240"/>
      <c r="E25" s="240"/>
      <c r="F25" s="240"/>
      <c r="G25" s="241"/>
      <c r="H25" s="242"/>
      <c r="I25" s="240"/>
      <c r="J25" s="240"/>
      <c r="K25" s="240"/>
      <c r="L25" s="240"/>
      <c r="M25" s="240"/>
      <c r="N25" s="241"/>
      <c r="O25" s="242"/>
      <c r="P25" s="240"/>
      <c r="Q25" s="240"/>
      <c r="R25" s="240"/>
      <c r="S25" s="295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296"/>
      <c r="AN25" s="296"/>
      <c r="AO25" s="296"/>
      <c r="AP25" s="296"/>
      <c r="AQ25" s="296"/>
      <c r="AR25" s="296"/>
      <c r="AS25" s="296"/>
      <c r="AT25" s="296"/>
      <c r="AU25" s="296"/>
      <c r="AV25" s="296"/>
      <c r="AW25" s="297"/>
      <c r="AX25" s="298"/>
      <c r="AY25" s="298"/>
      <c r="AZ25" s="298"/>
      <c r="BA25" s="298"/>
      <c r="BB25" s="298"/>
      <c r="BC25" s="299"/>
      <c r="BD25" s="300"/>
      <c r="BE25" s="298"/>
      <c r="BF25" s="298"/>
      <c r="BG25" s="298"/>
      <c r="BH25" s="298"/>
      <c r="BI25" s="298"/>
      <c r="BJ25" s="299"/>
      <c r="BK25" s="271"/>
    </row>
    <row r="26" spans="1:63" ht="15" customHeight="1" x14ac:dyDescent="0.25">
      <c r="A26" s="270"/>
      <c r="B26" s="252"/>
      <c r="C26" s="253"/>
      <c r="D26" s="253"/>
      <c r="E26" s="253"/>
      <c r="F26" s="253"/>
      <c r="G26" s="254"/>
      <c r="H26" s="252"/>
      <c r="I26" s="253"/>
      <c r="J26" s="253"/>
      <c r="K26" s="253"/>
      <c r="L26" s="253"/>
      <c r="M26" s="253"/>
      <c r="N26" s="254"/>
      <c r="O26" s="252"/>
      <c r="P26" s="253"/>
      <c r="Q26" s="253"/>
      <c r="R26" s="253"/>
      <c r="S26" s="301"/>
      <c r="T26" s="302"/>
      <c r="U26" s="302"/>
      <c r="V26" s="302"/>
      <c r="W26" s="302"/>
      <c r="X26" s="302"/>
      <c r="Y26" s="302"/>
      <c r="Z26" s="302"/>
      <c r="AA26" s="302"/>
      <c r="AB26" s="302"/>
      <c r="AC26" s="302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  <c r="AS26" s="302"/>
      <c r="AT26" s="302"/>
      <c r="AU26" s="302"/>
      <c r="AV26" s="302"/>
      <c r="AW26" s="303"/>
      <c r="AX26" s="304"/>
      <c r="AY26" s="304"/>
      <c r="AZ26" s="304"/>
      <c r="BA26" s="304"/>
      <c r="BB26" s="304"/>
      <c r="BC26" s="305"/>
      <c r="BD26" s="306"/>
      <c r="BE26" s="304"/>
      <c r="BF26" s="304"/>
      <c r="BG26" s="304"/>
      <c r="BH26" s="304"/>
      <c r="BI26" s="304"/>
      <c r="BJ26" s="305"/>
      <c r="BK26" s="271"/>
    </row>
    <row r="27" spans="1:63" ht="15" customHeight="1" x14ac:dyDescent="0.25">
      <c r="A27" s="270"/>
      <c r="B27" s="242"/>
      <c r="C27" s="240"/>
      <c r="D27" s="240"/>
      <c r="E27" s="240"/>
      <c r="F27" s="240"/>
      <c r="G27" s="241"/>
      <c r="H27" s="242"/>
      <c r="I27" s="240"/>
      <c r="J27" s="240"/>
      <c r="K27" s="240"/>
      <c r="L27" s="240"/>
      <c r="M27" s="240"/>
      <c r="N27" s="241"/>
      <c r="O27" s="242"/>
      <c r="P27" s="240"/>
      <c r="Q27" s="240"/>
      <c r="R27" s="240"/>
      <c r="S27" s="295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6"/>
      <c r="AQ27" s="296"/>
      <c r="AR27" s="296"/>
      <c r="AS27" s="296"/>
      <c r="AT27" s="296"/>
      <c r="AU27" s="296"/>
      <c r="AV27" s="296"/>
      <c r="AW27" s="297"/>
      <c r="AX27" s="298"/>
      <c r="AY27" s="298"/>
      <c r="AZ27" s="298"/>
      <c r="BA27" s="298"/>
      <c r="BB27" s="298"/>
      <c r="BC27" s="299"/>
      <c r="BD27" s="300"/>
      <c r="BE27" s="298"/>
      <c r="BF27" s="298"/>
      <c r="BG27" s="298"/>
      <c r="BH27" s="298"/>
      <c r="BI27" s="298"/>
      <c r="BJ27" s="299"/>
      <c r="BK27" s="271"/>
    </row>
    <row r="28" spans="1:63" ht="15" customHeight="1" x14ac:dyDescent="0.25">
      <c r="A28" s="270"/>
      <c r="B28" s="252"/>
      <c r="C28" s="253"/>
      <c r="D28" s="253"/>
      <c r="E28" s="253"/>
      <c r="F28" s="253"/>
      <c r="G28" s="254"/>
      <c r="H28" s="252"/>
      <c r="I28" s="253"/>
      <c r="J28" s="253"/>
      <c r="K28" s="253"/>
      <c r="L28" s="253"/>
      <c r="M28" s="253"/>
      <c r="N28" s="254"/>
      <c r="O28" s="252"/>
      <c r="P28" s="253"/>
      <c r="Q28" s="253"/>
      <c r="R28" s="253"/>
      <c r="S28" s="301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  <c r="AS28" s="302"/>
      <c r="AT28" s="302"/>
      <c r="AU28" s="302"/>
      <c r="AV28" s="302"/>
      <c r="AW28" s="303"/>
      <c r="AX28" s="304"/>
      <c r="AY28" s="304"/>
      <c r="AZ28" s="304"/>
      <c r="BA28" s="304"/>
      <c r="BB28" s="304"/>
      <c r="BC28" s="305"/>
      <c r="BD28" s="306"/>
      <c r="BE28" s="304"/>
      <c r="BF28" s="304"/>
      <c r="BG28" s="304"/>
      <c r="BH28" s="304"/>
      <c r="BI28" s="304"/>
      <c r="BJ28" s="305"/>
      <c r="BK28" s="271"/>
    </row>
    <row r="29" spans="1:63" ht="15" customHeight="1" x14ac:dyDescent="0.25">
      <c r="A29" s="270"/>
      <c r="B29" s="242"/>
      <c r="C29" s="240"/>
      <c r="D29" s="240"/>
      <c r="E29" s="240"/>
      <c r="F29" s="240"/>
      <c r="G29" s="241"/>
      <c r="H29" s="242"/>
      <c r="I29" s="240"/>
      <c r="J29" s="240"/>
      <c r="K29" s="240"/>
      <c r="L29" s="240"/>
      <c r="M29" s="240"/>
      <c r="N29" s="241"/>
      <c r="O29" s="242"/>
      <c r="P29" s="240"/>
      <c r="Q29" s="240"/>
      <c r="R29" s="240"/>
      <c r="S29" s="295"/>
      <c r="T29" s="296"/>
      <c r="U29" s="296"/>
      <c r="V29" s="296"/>
      <c r="W29" s="296"/>
      <c r="X29" s="296"/>
      <c r="Y29" s="296"/>
      <c r="Z29" s="296"/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6"/>
      <c r="AQ29" s="296"/>
      <c r="AR29" s="296"/>
      <c r="AS29" s="296"/>
      <c r="AT29" s="296"/>
      <c r="AU29" s="296"/>
      <c r="AV29" s="296"/>
      <c r="AW29" s="297"/>
      <c r="AX29" s="298"/>
      <c r="AY29" s="298"/>
      <c r="AZ29" s="298"/>
      <c r="BA29" s="298"/>
      <c r="BB29" s="298"/>
      <c r="BC29" s="299"/>
      <c r="BD29" s="300"/>
      <c r="BE29" s="298"/>
      <c r="BF29" s="298"/>
      <c r="BG29" s="298"/>
      <c r="BH29" s="298"/>
      <c r="BI29" s="298"/>
      <c r="BJ29" s="299"/>
      <c r="BK29" s="271"/>
    </row>
    <row r="30" spans="1:63" ht="15" customHeight="1" x14ac:dyDescent="0.25">
      <c r="A30" s="270"/>
      <c r="B30" s="252"/>
      <c r="C30" s="253"/>
      <c r="D30" s="253"/>
      <c r="E30" s="253"/>
      <c r="F30" s="253"/>
      <c r="G30" s="254"/>
      <c r="H30" s="252"/>
      <c r="I30" s="253"/>
      <c r="J30" s="253"/>
      <c r="K30" s="253"/>
      <c r="L30" s="253"/>
      <c r="M30" s="253"/>
      <c r="N30" s="254"/>
      <c r="O30" s="252"/>
      <c r="P30" s="253"/>
      <c r="Q30" s="253"/>
      <c r="R30" s="253"/>
      <c r="S30" s="301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3"/>
      <c r="AX30" s="304"/>
      <c r="AY30" s="304"/>
      <c r="AZ30" s="304"/>
      <c r="BA30" s="304"/>
      <c r="BB30" s="304"/>
      <c r="BC30" s="305"/>
      <c r="BD30" s="306"/>
      <c r="BE30" s="304"/>
      <c r="BF30" s="304"/>
      <c r="BG30" s="304"/>
      <c r="BH30" s="304"/>
      <c r="BI30" s="304"/>
      <c r="BJ30" s="305"/>
      <c r="BK30" s="271"/>
    </row>
    <row r="31" spans="1:63" ht="15" customHeight="1" x14ac:dyDescent="0.25">
      <c r="A31" s="270"/>
      <c r="B31" s="242"/>
      <c r="C31" s="240"/>
      <c r="D31" s="240"/>
      <c r="E31" s="240"/>
      <c r="F31" s="240"/>
      <c r="G31" s="241"/>
      <c r="H31" s="242"/>
      <c r="I31" s="240"/>
      <c r="J31" s="240"/>
      <c r="K31" s="240"/>
      <c r="L31" s="240"/>
      <c r="M31" s="240"/>
      <c r="N31" s="241"/>
      <c r="O31" s="242"/>
      <c r="P31" s="240"/>
      <c r="Q31" s="240"/>
      <c r="R31" s="240"/>
      <c r="S31" s="295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7"/>
      <c r="AX31" s="298"/>
      <c r="AY31" s="298"/>
      <c r="AZ31" s="298"/>
      <c r="BA31" s="298"/>
      <c r="BB31" s="298"/>
      <c r="BC31" s="299"/>
      <c r="BD31" s="300"/>
      <c r="BE31" s="298"/>
      <c r="BF31" s="298"/>
      <c r="BG31" s="298"/>
      <c r="BH31" s="298"/>
      <c r="BI31" s="298"/>
      <c r="BJ31" s="299"/>
      <c r="BK31" s="271"/>
    </row>
    <row r="32" spans="1:63" ht="15" customHeight="1" x14ac:dyDescent="0.25">
      <c r="A32" s="270"/>
      <c r="B32" s="252"/>
      <c r="C32" s="253"/>
      <c r="D32" s="253"/>
      <c r="E32" s="253"/>
      <c r="F32" s="253"/>
      <c r="G32" s="254"/>
      <c r="H32" s="252"/>
      <c r="I32" s="253"/>
      <c r="J32" s="253"/>
      <c r="K32" s="253"/>
      <c r="L32" s="253"/>
      <c r="M32" s="253"/>
      <c r="N32" s="254"/>
      <c r="O32" s="252"/>
      <c r="P32" s="253"/>
      <c r="Q32" s="253"/>
      <c r="R32" s="253"/>
      <c r="S32" s="301"/>
      <c r="T32" s="302"/>
      <c r="U32" s="302"/>
      <c r="V32" s="302"/>
      <c r="W32" s="302"/>
      <c r="X32" s="302"/>
      <c r="Y32" s="302"/>
      <c r="Z32" s="302"/>
      <c r="AA32" s="302"/>
      <c r="AB32" s="302"/>
      <c r="AC32" s="302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  <c r="AS32" s="302"/>
      <c r="AT32" s="302"/>
      <c r="AU32" s="302"/>
      <c r="AV32" s="302"/>
      <c r="AW32" s="303"/>
      <c r="AX32" s="304"/>
      <c r="AY32" s="304"/>
      <c r="AZ32" s="304"/>
      <c r="BA32" s="304"/>
      <c r="BB32" s="304"/>
      <c r="BC32" s="305"/>
      <c r="BD32" s="306"/>
      <c r="BE32" s="304"/>
      <c r="BF32" s="304"/>
      <c r="BG32" s="304"/>
      <c r="BH32" s="304"/>
      <c r="BI32" s="304"/>
      <c r="BJ32" s="305"/>
      <c r="BK32" s="271"/>
    </row>
    <row r="33" spans="1:63" ht="15" customHeight="1" x14ac:dyDescent="0.25">
      <c r="A33" s="270"/>
      <c r="B33" s="242"/>
      <c r="C33" s="240"/>
      <c r="D33" s="240"/>
      <c r="E33" s="240"/>
      <c r="F33" s="240"/>
      <c r="G33" s="241"/>
      <c r="H33" s="242"/>
      <c r="I33" s="240"/>
      <c r="J33" s="240"/>
      <c r="K33" s="240"/>
      <c r="L33" s="240"/>
      <c r="M33" s="240"/>
      <c r="N33" s="241"/>
      <c r="O33" s="242"/>
      <c r="P33" s="240"/>
      <c r="Q33" s="240"/>
      <c r="R33" s="240"/>
      <c r="S33" s="295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97"/>
      <c r="AX33" s="298"/>
      <c r="AY33" s="298"/>
      <c r="AZ33" s="298"/>
      <c r="BA33" s="298"/>
      <c r="BB33" s="298"/>
      <c r="BC33" s="299"/>
      <c r="BD33" s="300"/>
      <c r="BE33" s="298"/>
      <c r="BF33" s="298"/>
      <c r="BG33" s="298"/>
      <c r="BH33" s="298"/>
      <c r="BI33" s="298"/>
      <c r="BJ33" s="299"/>
      <c r="BK33" s="271"/>
    </row>
    <row r="34" spans="1:63" ht="15" customHeight="1" x14ac:dyDescent="0.25">
      <c r="A34" s="270"/>
      <c r="B34" s="252"/>
      <c r="C34" s="253"/>
      <c r="D34" s="253"/>
      <c r="E34" s="253"/>
      <c r="F34" s="253"/>
      <c r="G34" s="254"/>
      <c r="H34" s="252"/>
      <c r="I34" s="253"/>
      <c r="J34" s="253"/>
      <c r="K34" s="253"/>
      <c r="L34" s="253"/>
      <c r="M34" s="253"/>
      <c r="N34" s="254"/>
      <c r="O34" s="252"/>
      <c r="P34" s="253"/>
      <c r="Q34" s="253"/>
      <c r="R34" s="253"/>
      <c r="S34" s="301"/>
      <c r="T34" s="302"/>
      <c r="U34" s="302"/>
      <c r="V34" s="302"/>
      <c r="W34" s="302"/>
      <c r="X34" s="302"/>
      <c r="Y34" s="302"/>
      <c r="Z34" s="302"/>
      <c r="AA34" s="302"/>
      <c r="AB34" s="302"/>
      <c r="AC34" s="302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  <c r="AS34" s="302"/>
      <c r="AT34" s="302"/>
      <c r="AU34" s="302"/>
      <c r="AV34" s="302"/>
      <c r="AW34" s="303"/>
      <c r="AX34" s="304"/>
      <c r="AY34" s="304"/>
      <c r="AZ34" s="304"/>
      <c r="BA34" s="304"/>
      <c r="BB34" s="304"/>
      <c r="BC34" s="305"/>
      <c r="BD34" s="306"/>
      <c r="BE34" s="304"/>
      <c r="BF34" s="304"/>
      <c r="BG34" s="304"/>
      <c r="BH34" s="304"/>
      <c r="BI34" s="304"/>
      <c r="BJ34" s="305"/>
      <c r="BK34" s="271"/>
    </row>
    <row r="35" spans="1:63" ht="15" customHeight="1" x14ac:dyDescent="0.25">
      <c r="A35" s="270"/>
      <c r="B35" s="242"/>
      <c r="C35" s="240"/>
      <c r="D35" s="240"/>
      <c r="E35" s="240"/>
      <c r="F35" s="240"/>
      <c r="G35" s="241"/>
      <c r="H35" s="242"/>
      <c r="I35" s="240"/>
      <c r="J35" s="240"/>
      <c r="K35" s="240"/>
      <c r="L35" s="240"/>
      <c r="M35" s="240"/>
      <c r="N35" s="241"/>
      <c r="O35" s="242"/>
      <c r="P35" s="240"/>
      <c r="Q35" s="240"/>
      <c r="R35" s="240"/>
      <c r="S35" s="295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6"/>
      <c r="AE35" s="296"/>
      <c r="AF35" s="296"/>
      <c r="AG35" s="296"/>
      <c r="AH35" s="296"/>
      <c r="AI35" s="296"/>
      <c r="AJ35" s="296"/>
      <c r="AK35" s="296"/>
      <c r="AL35" s="296"/>
      <c r="AM35" s="296"/>
      <c r="AN35" s="296"/>
      <c r="AO35" s="296"/>
      <c r="AP35" s="296"/>
      <c r="AQ35" s="296"/>
      <c r="AR35" s="296"/>
      <c r="AS35" s="296"/>
      <c r="AT35" s="296"/>
      <c r="AU35" s="296"/>
      <c r="AV35" s="296"/>
      <c r="AW35" s="297"/>
      <c r="AX35" s="298"/>
      <c r="AY35" s="298"/>
      <c r="AZ35" s="298"/>
      <c r="BA35" s="298"/>
      <c r="BB35" s="298"/>
      <c r="BC35" s="299"/>
      <c r="BD35" s="300"/>
      <c r="BE35" s="298"/>
      <c r="BF35" s="298"/>
      <c r="BG35" s="298"/>
      <c r="BH35" s="298"/>
      <c r="BI35" s="298"/>
      <c r="BJ35" s="299"/>
      <c r="BK35" s="271"/>
    </row>
    <row r="36" spans="1:63" ht="15" customHeight="1" x14ac:dyDescent="0.25">
      <c r="A36" s="270"/>
      <c r="B36" s="252"/>
      <c r="C36" s="253"/>
      <c r="D36" s="253"/>
      <c r="E36" s="253"/>
      <c r="F36" s="253"/>
      <c r="G36" s="254"/>
      <c r="H36" s="252"/>
      <c r="I36" s="253"/>
      <c r="J36" s="253"/>
      <c r="K36" s="253"/>
      <c r="L36" s="253"/>
      <c r="M36" s="253"/>
      <c r="N36" s="254"/>
      <c r="O36" s="252"/>
      <c r="P36" s="253"/>
      <c r="Q36" s="253"/>
      <c r="R36" s="253"/>
      <c r="S36" s="301"/>
      <c r="T36" s="302"/>
      <c r="U36" s="302"/>
      <c r="V36" s="302"/>
      <c r="W36" s="302"/>
      <c r="X36" s="302"/>
      <c r="Y36" s="302"/>
      <c r="Z36" s="302"/>
      <c r="AA36" s="302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  <c r="AS36" s="302"/>
      <c r="AT36" s="302"/>
      <c r="AU36" s="302"/>
      <c r="AV36" s="302"/>
      <c r="AW36" s="303"/>
      <c r="AX36" s="304"/>
      <c r="AY36" s="304"/>
      <c r="AZ36" s="304"/>
      <c r="BA36" s="304"/>
      <c r="BB36" s="304"/>
      <c r="BC36" s="305"/>
      <c r="BD36" s="306"/>
      <c r="BE36" s="304"/>
      <c r="BF36" s="304"/>
      <c r="BG36" s="304"/>
      <c r="BH36" s="304"/>
      <c r="BI36" s="304"/>
      <c r="BJ36" s="305"/>
      <c r="BK36" s="271"/>
    </row>
    <row r="37" spans="1:63" ht="15" customHeight="1" x14ac:dyDescent="0.25">
      <c r="A37" s="270"/>
      <c r="B37" s="242"/>
      <c r="C37" s="240"/>
      <c r="D37" s="240"/>
      <c r="E37" s="240"/>
      <c r="F37" s="240"/>
      <c r="G37" s="241"/>
      <c r="H37" s="242"/>
      <c r="I37" s="240"/>
      <c r="J37" s="240"/>
      <c r="K37" s="240"/>
      <c r="L37" s="240"/>
      <c r="M37" s="240"/>
      <c r="N37" s="241"/>
      <c r="O37" s="242"/>
      <c r="P37" s="240"/>
      <c r="Q37" s="240"/>
      <c r="R37" s="240"/>
      <c r="S37" s="295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  <c r="AD37" s="296"/>
      <c r="AE37" s="296"/>
      <c r="AF37" s="296"/>
      <c r="AG37" s="296"/>
      <c r="AH37" s="296"/>
      <c r="AI37" s="296"/>
      <c r="AJ37" s="296"/>
      <c r="AK37" s="296"/>
      <c r="AL37" s="296"/>
      <c r="AM37" s="296"/>
      <c r="AN37" s="296"/>
      <c r="AO37" s="296"/>
      <c r="AP37" s="296"/>
      <c r="AQ37" s="296"/>
      <c r="AR37" s="296"/>
      <c r="AS37" s="296"/>
      <c r="AT37" s="296"/>
      <c r="AU37" s="296"/>
      <c r="AV37" s="296"/>
      <c r="AW37" s="297"/>
      <c r="AX37" s="298"/>
      <c r="AY37" s="298"/>
      <c r="AZ37" s="298"/>
      <c r="BA37" s="298"/>
      <c r="BB37" s="298"/>
      <c r="BC37" s="299"/>
      <c r="BD37" s="300"/>
      <c r="BE37" s="298"/>
      <c r="BF37" s="298"/>
      <c r="BG37" s="298"/>
      <c r="BH37" s="298"/>
      <c r="BI37" s="298"/>
      <c r="BJ37" s="299"/>
      <c r="BK37" s="271"/>
    </row>
    <row r="38" spans="1:63" ht="15" customHeight="1" x14ac:dyDescent="0.25">
      <c r="A38" s="270"/>
      <c r="B38" s="252"/>
      <c r="C38" s="253"/>
      <c r="D38" s="253"/>
      <c r="E38" s="253"/>
      <c r="F38" s="253"/>
      <c r="G38" s="254"/>
      <c r="H38" s="252"/>
      <c r="I38" s="253"/>
      <c r="J38" s="253"/>
      <c r="K38" s="253"/>
      <c r="L38" s="253"/>
      <c r="M38" s="253"/>
      <c r="N38" s="254"/>
      <c r="O38" s="252"/>
      <c r="P38" s="253"/>
      <c r="Q38" s="253"/>
      <c r="R38" s="253"/>
      <c r="S38" s="301"/>
      <c r="T38" s="302"/>
      <c r="U38" s="302"/>
      <c r="V38" s="302"/>
      <c r="W38" s="302"/>
      <c r="X38" s="302"/>
      <c r="Y38" s="302"/>
      <c r="Z38" s="302"/>
      <c r="AA38" s="302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  <c r="AS38" s="302"/>
      <c r="AT38" s="302"/>
      <c r="AU38" s="302"/>
      <c r="AV38" s="302"/>
      <c r="AW38" s="303"/>
      <c r="AX38" s="304"/>
      <c r="AY38" s="304"/>
      <c r="AZ38" s="304"/>
      <c r="BA38" s="304"/>
      <c r="BB38" s="304"/>
      <c r="BC38" s="305"/>
      <c r="BD38" s="306"/>
      <c r="BE38" s="304"/>
      <c r="BF38" s="304"/>
      <c r="BG38" s="304"/>
      <c r="BH38" s="304"/>
      <c r="BI38" s="304"/>
      <c r="BJ38" s="305"/>
      <c r="BK38" s="271"/>
    </row>
    <row r="39" spans="1:63" ht="15" customHeight="1" x14ac:dyDescent="0.25">
      <c r="A39" s="270"/>
      <c r="B39" s="242"/>
      <c r="C39" s="240"/>
      <c r="D39" s="240"/>
      <c r="E39" s="240"/>
      <c r="F39" s="240"/>
      <c r="G39" s="241"/>
      <c r="H39" s="242"/>
      <c r="I39" s="240"/>
      <c r="J39" s="240"/>
      <c r="K39" s="240"/>
      <c r="L39" s="240"/>
      <c r="M39" s="240"/>
      <c r="N39" s="241"/>
      <c r="O39" s="242"/>
      <c r="P39" s="240"/>
      <c r="Q39" s="240"/>
      <c r="R39" s="240"/>
      <c r="S39" s="295"/>
      <c r="T39" s="296"/>
      <c r="U39" s="296"/>
      <c r="V39" s="296"/>
      <c r="W39" s="296"/>
      <c r="X39" s="296"/>
      <c r="Y39" s="296"/>
      <c r="Z39" s="296"/>
      <c r="AA39" s="296"/>
      <c r="AB39" s="296"/>
      <c r="AC39" s="296"/>
      <c r="AD39" s="296"/>
      <c r="AE39" s="296"/>
      <c r="AF39" s="296"/>
      <c r="AG39" s="296"/>
      <c r="AH39" s="296"/>
      <c r="AI39" s="296"/>
      <c r="AJ39" s="296"/>
      <c r="AK39" s="296"/>
      <c r="AL39" s="296"/>
      <c r="AM39" s="296"/>
      <c r="AN39" s="296"/>
      <c r="AO39" s="296"/>
      <c r="AP39" s="296"/>
      <c r="AQ39" s="296"/>
      <c r="AR39" s="296"/>
      <c r="AS39" s="296"/>
      <c r="AT39" s="296"/>
      <c r="AU39" s="296"/>
      <c r="AV39" s="296"/>
      <c r="AW39" s="297"/>
      <c r="AX39" s="298"/>
      <c r="AY39" s="298"/>
      <c r="AZ39" s="298"/>
      <c r="BA39" s="298"/>
      <c r="BB39" s="298"/>
      <c r="BC39" s="299"/>
      <c r="BD39" s="300"/>
      <c r="BE39" s="298"/>
      <c r="BF39" s="298"/>
      <c r="BG39" s="298"/>
      <c r="BH39" s="298"/>
      <c r="BI39" s="298"/>
      <c r="BJ39" s="299"/>
      <c r="BK39" s="271"/>
    </row>
    <row r="40" spans="1:63" ht="15" customHeight="1" x14ac:dyDescent="0.25">
      <c r="A40" s="270"/>
      <c r="B40" s="252"/>
      <c r="C40" s="253"/>
      <c r="D40" s="253"/>
      <c r="E40" s="253"/>
      <c r="F40" s="253"/>
      <c r="G40" s="254"/>
      <c r="H40" s="252"/>
      <c r="I40" s="253"/>
      <c r="J40" s="253"/>
      <c r="K40" s="253"/>
      <c r="L40" s="253"/>
      <c r="M40" s="253"/>
      <c r="N40" s="254"/>
      <c r="O40" s="252"/>
      <c r="P40" s="253"/>
      <c r="Q40" s="253"/>
      <c r="R40" s="253"/>
      <c r="S40" s="301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  <c r="AS40" s="302"/>
      <c r="AT40" s="302"/>
      <c r="AU40" s="302"/>
      <c r="AV40" s="302"/>
      <c r="AW40" s="303"/>
      <c r="AX40" s="304"/>
      <c r="AY40" s="304"/>
      <c r="AZ40" s="304"/>
      <c r="BA40" s="304"/>
      <c r="BB40" s="304"/>
      <c r="BC40" s="305"/>
      <c r="BD40" s="306"/>
      <c r="BE40" s="304"/>
      <c r="BF40" s="304"/>
      <c r="BG40" s="304"/>
      <c r="BH40" s="304"/>
      <c r="BI40" s="304"/>
      <c r="BJ40" s="305"/>
      <c r="BK40" s="271"/>
    </row>
    <row r="41" spans="1:63" ht="15" customHeight="1" x14ac:dyDescent="0.25">
      <c r="A41" s="270"/>
      <c r="B41" s="242"/>
      <c r="C41" s="240"/>
      <c r="D41" s="240"/>
      <c r="E41" s="240"/>
      <c r="F41" s="240"/>
      <c r="G41" s="241"/>
      <c r="H41" s="242"/>
      <c r="I41" s="240"/>
      <c r="J41" s="240"/>
      <c r="K41" s="240"/>
      <c r="L41" s="240"/>
      <c r="M41" s="240"/>
      <c r="N41" s="241"/>
      <c r="O41" s="242"/>
      <c r="P41" s="240"/>
      <c r="Q41" s="240"/>
      <c r="R41" s="240"/>
      <c r="S41" s="295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296"/>
      <c r="AG41" s="296"/>
      <c r="AH41" s="296"/>
      <c r="AI41" s="296"/>
      <c r="AJ41" s="296"/>
      <c r="AK41" s="296"/>
      <c r="AL41" s="296"/>
      <c r="AM41" s="296"/>
      <c r="AN41" s="296"/>
      <c r="AO41" s="296"/>
      <c r="AP41" s="296"/>
      <c r="AQ41" s="296"/>
      <c r="AR41" s="296"/>
      <c r="AS41" s="296"/>
      <c r="AT41" s="296"/>
      <c r="AU41" s="296"/>
      <c r="AV41" s="296"/>
      <c r="AW41" s="297"/>
      <c r="AX41" s="298"/>
      <c r="AY41" s="298"/>
      <c r="AZ41" s="298"/>
      <c r="BA41" s="298"/>
      <c r="BB41" s="298"/>
      <c r="BC41" s="299"/>
      <c r="BD41" s="300"/>
      <c r="BE41" s="298"/>
      <c r="BF41" s="298"/>
      <c r="BG41" s="298"/>
      <c r="BH41" s="298"/>
      <c r="BI41" s="298"/>
      <c r="BJ41" s="299"/>
      <c r="BK41" s="271"/>
    </row>
    <row r="42" spans="1:63" ht="15" customHeight="1" x14ac:dyDescent="0.25">
      <c r="A42" s="270"/>
      <c r="B42" s="252"/>
      <c r="C42" s="253"/>
      <c r="D42" s="253"/>
      <c r="E42" s="253"/>
      <c r="F42" s="253"/>
      <c r="G42" s="254"/>
      <c r="H42" s="252"/>
      <c r="I42" s="253"/>
      <c r="J42" s="253"/>
      <c r="K42" s="253"/>
      <c r="L42" s="253"/>
      <c r="M42" s="253"/>
      <c r="N42" s="254"/>
      <c r="O42" s="252"/>
      <c r="P42" s="253"/>
      <c r="Q42" s="253"/>
      <c r="R42" s="253"/>
      <c r="S42" s="301"/>
      <c r="T42" s="302"/>
      <c r="U42" s="302"/>
      <c r="V42" s="302"/>
      <c r="W42" s="302"/>
      <c r="X42" s="302"/>
      <c r="Y42" s="302"/>
      <c r="Z42" s="302"/>
      <c r="AA42" s="302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  <c r="AS42" s="302"/>
      <c r="AT42" s="302"/>
      <c r="AU42" s="302"/>
      <c r="AV42" s="302"/>
      <c r="AW42" s="303"/>
      <c r="AX42" s="304"/>
      <c r="AY42" s="304"/>
      <c r="AZ42" s="304"/>
      <c r="BA42" s="304"/>
      <c r="BB42" s="304"/>
      <c r="BC42" s="305"/>
      <c r="BD42" s="306"/>
      <c r="BE42" s="304"/>
      <c r="BF42" s="304"/>
      <c r="BG42" s="304"/>
      <c r="BH42" s="304"/>
      <c r="BI42" s="304"/>
      <c r="BJ42" s="305"/>
      <c r="BK42" s="271"/>
    </row>
    <row r="43" spans="1:63" ht="15" customHeight="1" x14ac:dyDescent="0.25">
      <c r="A43" s="270"/>
      <c r="B43" s="242"/>
      <c r="C43" s="240"/>
      <c r="D43" s="240"/>
      <c r="E43" s="240"/>
      <c r="F43" s="240"/>
      <c r="G43" s="241"/>
      <c r="H43" s="242"/>
      <c r="I43" s="240"/>
      <c r="J43" s="240"/>
      <c r="K43" s="240"/>
      <c r="L43" s="240"/>
      <c r="M43" s="240"/>
      <c r="N43" s="241"/>
      <c r="O43" s="242"/>
      <c r="P43" s="240"/>
      <c r="Q43" s="240"/>
      <c r="R43" s="240"/>
      <c r="S43" s="295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  <c r="AD43" s="296"/>
      <c r="AE43" s="296"/>
      <c r="AF43" s="296"/>
      <c r="AG43" s="296"/>
      <c r="AH43" s="296"/>
      <c r="AI43" s="296"/>
      <c r="AJ43" s="296"/>
      <c r="AK43" s="296"/>
      <c r="AL43" s="296"/>
      <c r="AM43" s="296"/>
      <c r="AN43" s="296"/>
      <c r="AO43" s="296"/>
      <c r="AP43" s="296"/>
      <c r="AQ43" s="296"/>
      <c r="AR43" s="296"/>
      <c r="AS43" s="296"/>
      <c r="AT43" s="296"/>
      <c r="AU43" s="296"/>
      <c r="AV43" s="296"/>
      <c r="AW43" s="297"/>
      <c r="AX43" s="298"/>
      <c r="AY43" s="298"/>
      <c r="AZ43" s="298"/>
      <c r="BA43" s="298"/>
      <c r="BB43" s="298"/>
      <c r="BC43" s="299"/>
      <c r="BD43" s="300"/>
      <c r="BE43" s="298"/>
      <c r="BF43" s="298"/>
      <c r="BG43" s="298"/>
      <c r="BH43" s="298"/>
      <c r="BI43" s="298"/>
      <c r="BJ43" s="299"/>
      <c r="BK43" s="271"/>
    </row>
    <row r="44" spans="1:63" ht="15" customHeight="1" x14ac:dyDescent="0.25">
      <c r="A44" s="270"/>
      <c r="B44" s="252"/>
      <c r="C44" s="253"/>
      <c r="D44" s="253"/>
      <c r="E44" s="253"/>
      <c r="F44" s="253"/>
      <c r="G44" s="254"/>
      <c r="H44" s="252"/>
      <c r="I44" s="253"/>
      <c r="J44" s="253"/>
      <c r="K44" s="253"/>
      <c r="L44" s="253"/>
      <c r="M44" s="253"/>
      <c r="N44" s="254"/>
      <c r="O44" s="252"/>
      <c r="P44" s="253"/>
      <c r="Q44" s="253"/>
      <c r="R44" s="253"/>
      <c r="S44" s="301"/>
      <c r="T44" s="302"/>
      <c r="U44" s="302"/>
      <c r="V44" s="302"/>
      <c r="W44" s="302"/>
      <c r="X44" s="302"/>
      <c r="Y44" s="302"/>
      <c r="Z44" s="302"/>
      <c r="AA44" s="302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  <c r="AS44" s="302"/>
      <c r="AT44" s="302"/>
      <c r="AU44" s="302"/>
      <c r="AV44" s="302"/>
      <c r="AW44" s="303"/>
      <c r="AX44" s="304"/>
      <c r="AY44" s="304"/>
      <c r="AZ44" s="304"/>
      <c r="BA44" s="304"/>
      <c r="BB44" s="304"/>
      <c r="BC44" s="305"/>
      <c r="BD44" s="306"/>
      <c r="BE44" s="304"/>
      <c r="BF44" s="304"/>
      <c r="BG44" s="304"/>
      <c r="BH44" s="304"/>
      <c r="BI44" s="304"/>
      <c r="BJ44" s="305"/>
      <c r="BK44" s="271"/>
    </row>
    <row r="45" spans="1:63" ht="15" customHeight="1" x14ac:dyDescent="0.25">
      <c r="A45" s="270"/>
      <c r="B45" s="242"/>
      <c r="C45" s="240"/>
      <c r="D45" s="240"/>
      <c r="E45" s="240"/>
      <c r="F45" s="240"/>
      <c r="G45" s="241"/>
      <c r="H45" s="242"/>
      <c r="I45" s="240"/>
      <c r="J45" s="240"/>
      <c r="K45" s="240"/>
      <c r="L45" s="240"/>
      <c r="M45" s="240"/>
      <c r="N45" s="241"/>
      <c r="O45" s="242"/>
      <c r="P45" s="240"/>
      <c r="Q45" s="240"/>
      <c r="R45" s="240"/>
      <c r="S45" s="295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  <c r="AP45" s="296"/>
      <c r="AQ45" s="296"/>
      <c r="AR45" s="296"/>
      <c r="AS45" s="296"/>
      <c r="AT45" s="296"/>
      <c r="AU45" s="296"/>
      <c r="AV45" s="296"/>
      <c r="AW45" s="297"/>
      <c r="AX45" s="298"/>
      <c r="AY45" s="298"/>
      <c r="AZ45" s="298"/>
      <c r="BA45" s="298"/>
      <c r="BB45" s="298"/>
      <c r="BC45" s="299"/>
      <c r="BD45" s="300"/>
      <c r="BE45" s="298"/>
      <c r="BF45" s="298"/>
      <c r="BG45" s="298"/>
      <c r="BH45" s="298"/>
      <c r="BI45" s="298"/>
      <c r="BJ45" s="299"/>
      <c r="BK45" s="271"/>
    </row>
    <row r="46" spans="1:63" ht="15" customHeight="1" x14ac:dyDescent="0.25">
      <c r="A46" s="270"/>
      <c r="B46" s="252"/>
      <c r="C46" s="253"/>
      <c r="D46" s="253"/>
      <c r="E46" s="253"/>
      <c r="F46" s="253"/>
      <c r="G46" s="254"/>
      <c r="H46" s="252"/>
      <c r="I46" s="253"/>
      <c r="J46" s="253"/>
      <c r="K46" s="253"/>
      <c r="L46" s="253"/>
      <c r="M46" s="253"/>
      <c r="N46" s="254"/>
      <c r="O46" s="252"/>
      <c r="P46" s="253"/>
      <c r="Q46" s="253"/>
      <c r="R46" s="253"/>
      <c r="S46" s="301"/>
      <c r="T46" s="302"/>
      <c r="U46" s="302"/>
      <c r="V46" s="302"/>
      <c r="W46" s="302"/>
      <c r="X46" s="302"/>
      <c r="Y46" s="302"/>
      <c r="Z46" s="302"/>
      <c r="AA46" s="302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  <c r="AS46" s="302"/>
      <c r="AT46" s="302"/>
      <c r="AU46" s="302"/>
      <c r="AV46" s="302"/>
      <c r="AW46" s="303"/>
      <c r="AX46" s="304"/>
      <c r="AY46" s="304"/>
      <c r="AZ46" s="304"/>
      <c r="BA46" s="304"/>
      <c r="BB46" s="304"/>
      <c r="BC46" s="305"/>
      <c r="BD46" s="306"/>
      <c r="BE46" s="304"/>
      <c r="BF46" s="304"/>
      <c r="BG46" s="304"/>
      <c r="BH46" s="304"/>
      <c r="BI46" s="304"/>
      <c r="BJ46" s="305"/>
      <c r="BK46" s="271"/>
    </row>
    <row r="47" spans="1:63" ht="15" customHeight="1" x14ac:dyDescent="0.25">
      <c r="A47" s="270"/>
      <c r="B47" s="242"/>
      <c r="C47" s="240"/>
      <c r="D47" s="240"/>
      <c r="E47" s="240"/>
      <c r="F47" s="240"/>
      <c r="G47" s="241"/>
      <c r="H47" s="242"/>
      <c r="I47" s="240"/>
      <c r="J47" s="240"/>
      <c r="K47" s="240"/>
      <c r="L47" s="240"/>
      <c r="M47" s="240"/>
      <c r="N47" s="241"/>
      <c r="O47" s="242"/>
      <c r="P47" s="240"/>
      <c r="Q47" s="240"/>
      <c r="R47" s="240"/>
      <c r="S47" s="295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6"/>
      <c r="AR47" s="296"/>
      <c r="AS47" s="296"/>
      <c r="AT47" s="296"/>
      <c r="AU47" s="296"/>
      <c r="AV47" s="296"/>
      <c r="AW47" s="297"/>
      <c r="AX47" s="298"/>
      <c r="AY47" s="298"/>
      <c r="AZ47" s="298"/>
      <c r="BA47" s="298"/>
      <c r="BB47" s="298"/>
      <c r="BC47" s="299"/>
      <c r="BD47" s="300"/>
      <c r="BE47" s="298"/>
      <c r="BF47" s="298"/>
      <c r="BG47" s="298"/>
      <c r="BH47" s="298"/>
      <c r="BI47" s="298"/>
      <c r="BJ47" s="299"/>
      <c r="BK47" s="271"/>
    </row>
    <row r="48" spans="1:63" ht="15" customHeight="1" x14ac:dyDescent="0.25">
      <c r="A48" s="270"/>
      <c r="B48" s="252"/>
      <c r="C48" s="253"/>
      <c r="D48" s="253"/>
      <c r="E48" s="253"/>
      <c r="F48" s="253"/>
      <c r="G48" s="254"/>
      <c r="H48" s="252"/>
      <c r="I48" s="253"/>
      <c r="J48" s="253"/>
      <c r="K48" s="253"/>
      <c r="L48" s="253"/>
      <c r="M48" s="253"/>
      <c r="N48" s="254"/>
      <c r="O48" s="252"/>
      <c r="P48" s="253"/>
      <c r="Q48" s="253"/>
      <c r="R48" s="253"/>
      <c r="S48" s="301"/>
      <c r="T48" s="302"/>
      <c r="U48" s="302"/>
      <c r="V48" s="302"/>
      <c r="W48" s="302"/>
      <c r="X48" s="302"/>
      <c r="Y48" s="302"/>
      <c r="Z48" s="302"/>
      <c r="AA48" s="302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3"/>
      <c r="AX48" s="304"/>
      <c r="AY48" s="304"/>
      <c r="AZ48" s="304"/>
      <c r="BA48" s="304"/>
      <c r="BB48" s="304"/>
      <c r="BC48" s="305"/>
      <c r="BD48" s="306"/>
      <c r="BE48" s="304"/>
      <c r="BF48" s="304"/>
      <c r="BG48" s="304"/>
      <c r="BH48" s="304"/>
      <c r="BI48" s="304"/>
      <c r="BJ48" s="305"/>
      <c r="BK48" s="271"/>
    </row>
    <row r="49" spans="1:63" ht="15" customHeight="1" x14ac:dyDescent="0.25">
      <c r="A49" s="270"/>
      <c r="B49" s="242"/>
      <c r="C49" s="240"/>
      <c r="D49" s="240"/>
      <c r="E49" s="240"/>
      <c r="F49" s="240"/>
      <c r="G49" s="241"/>
      <c r="H49" s="242"/>
      <c r="I49" s="240"/>
      <c r="J49" s="240"/>
      <c r="K49" s="240"/>
      <c r="L49" s="240"/>
      <c r="M49" s="240"/>
      <c r="N49" s="241"/>
      <c r="O49" s="242"/>
      <c r="P49" s="240"/>
      <c r="Q49" s="240"/>
      <c r="R49" s="240"/>
      <c r="S49" s="295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  <c r="AD49" s="296"/>
      <c r="AE49" s="296"/>
      <c r="AF49" s="296"/>
      <c r="AG49" s="296"/>
      <c r="AH49" s="296"/>
      <c r="AI49" s="296"/>
      <c r="AJ49" s="296"/>
      <c r="AK49" s="296"/>
      <c r="AL49" s="296"/>
      <c r="AM49" s="296"/>
      <c r="AN49" s="296"/>
      <c r="AO49" s="296"/>
      <c r="AP49" s="296"/>
      <c r="AQ49" s="296"/>
      <c r="AR49" s="296"/>
      <c r="AS49" s="296"/>
      <c r="AT49" s="296"/>
      <c r="AU49" s="296"/>
      <c r="AV49" s="296"/>
      <c r="AW49" s="297"/>
      <c r="AX49" s="298"/>
      <c r="AY49" s="298"/>
      <c r="AZ49" s="298"/>
      <c r="BA49" s="298"/>
      <c r="BB49" s="298"/>
      <c r="BC49" s="299"/>
      <c r="BD49" s="300"/>
      <c r="BE49" s="298"/>
      <c r="BF49" s="298"/>
      <c r="BG49" s="298"/>
      <c r="BH49" s="298"/>
      <c r="BI49" s="298"/>
      <c r="BJ49" s="299"/>
      <c r="BK49" s="271"/>
    </row>
    <row r="50" spans="1:63" ht="15" customHeight="1" x14ac:dyDescent="0.25">
      <c r="A50" s="270"/>
      <c r="B50" s="252"/>
      <c r="C50" s="253"/>
      <c r="D50" s="253"/>
      <c r="E50" s="253"/>
      <c r="F50" s="253"/>
      <c r="G50" s="254"/>
      <c r="H50" s="252"/>
      <c r="I50" s="253"/>
      <c r="J50" s="253"/>
      <c r="K50" s="253"/>
      <c r="L50" s="253"/>
      <c r="M50" s="253"/>
      <c r="N50" s="254"/>
      <c r="O50" s="252"/>
      <c r="P50" s="253"/>
      <c r="Q50" s="253"/>
      <c r="R50" s="253"/>
      <c r="S50" s="301"/>
      <c r="T50" s="302"/>
      <c r="U50" s="302"/>
      <c r="V50" s="302"/>
      <c r="W50" s="302"/>
      <c r="X50" s="302"/>
      <c r="Y50" s="302"/>
      <c r="Z50" s="302"/>
      <c r="AA50" s="302"/>
      <c r="AB50" s="302"/>
      <c r="AC50" s="302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3"/>
      <c r="AX50" s="304"/>
      <c r="AY50" s="304"/>
      <c r="AZ50" s="304"/>
      <c r="BA50" s="304"/>
      <c r="BB50" s="304"/>
      <c r="BC50" s="305"/>
      <c r="BD50" s="306"/>
      <c r="BE50" s="304"/>
      <c r="BF50" s="304"/>
      <c r="BG50" s="304"/>
      <c r="BH50" s="304"/>
      <c r="BI50" s="304"/>
      <c r="BJ50" s="305"/>
      <c r="BK50" s="271"/>
    </row>
    <row r="51" spans="1:63" ht="15" customHeight="1" x14ac:dyDescent="0.25">
      <c r="A51" s="270"/>
      <c r="B51" s="242"/>
      <c r="C51" s="240"/>
      <c r="D51" s="240"/>
      <c r="E51" s="240"/>
      <c r="F51" s="240"/>
      <c r="G51" s="241"/>
      <c r="H51" s="242"/>
      <c r="I51" s="240"/>
      <c r="J51" s="240"/>
      <c r="K51" s="240"/>
      <c r="L51" s="240"/>
      <c r="M51" s="240"/>
      <c r="N51" s="241"/>
      <c r="O51" s="242"/>
      <c r="P51" s="240"/>
      <c r="Q51" s="240"/>
      <c r="R51" s="240"/>
      <c r="S51" s="295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296"/>
      <c r="AE51" s="296"/>
      <c r="AF51" s="296"/>
      <c r="AG51" s="296"/>
      <c r="AH51" s="296"/>
      <c r="AI51" s="296"/>
      <c r="AJ51" s="296"/>
      <c r="AK51" s="296"/>
      <c r="AL51" s="296"/>
      <c r="AM51" s="296"/>
      <c r="AN51" s="296"/>
      <c r="AO51" s="296"/>
      <c r="AP51" s="296"/>
      <c r="AQ51" s="296"/>
      <c r="AR51" s="296"/>
      <c r="AS51" s="296"/>
      <c r="AT51" s="296"/>
      <c r="AU51" s="296"/>
      <c r="AV51" s="296"/>
      <c r="AW51" s="297"/>
      <c r="AX51" s="298"/>
      <c r="AY51" s="298"/>
      <c r="AZ51" s="298"/>
      <c r="BA51" s="298"/>
      <c r="BB51" s="298"/>
      <c r="BC51" s="299"/>
      <c r="BD51" s="300"/>
      <c r="BE51" s="298"/>
      <c r="BF51" s="298"/>
      <c r="BG51" s="298"/>
      <c r="BH51" s="298"/>
      <c r="BI51" s="298"/>
      <c r="BJ51" s="299"/>
      <c r="BK51" s="271"/>
    </row>
    <row r="52" spans="1:63" ht="15" customHeight="1" x14ac:dyDescent="0.25">
      <c r="A52" s="270"/>
      <c r="B52" s="252"/>
      <c r="C52" s="253"/>
      <c r="D52" s="253"/>
      <c r="E52" s="253"/>
      <c r="F52" s="253"/>
      <c r="G52" s="254"/>
      <c r="H52" s="252"/>
      <c r="I52" s="253"/>
      <c r="J52" s="253"/>
      <c r="K52" s="253"/>
      <c r="L52" s="253"/>
      <c r="M52" s="253"/>
      <c r="N52" s="254"/>
      <c r="O52" s="252"/>
      <c r="P52" s="253"/>
      <c r="Q52" s="253"/>
      <c r="R52" s="253"/>
      <c r="S52" s="301"/>
      <c r="T52" s="302"/>
      <c r="U52" s="302"/>
      <c r="V52" s="302"/>
      <c r="W52" s="302"/>
      <c r="X52" s="302"/>
      <c r="Y52" s="302"/>
      <c r="Z52" s="302"/>
      <c r="AA52" s="302"/>
      <c r="AB52" s="302"/>
      <c r="AC52" s="302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3"/>
      <c r="AX52" s="304"/>
      <c r="AY52" s="304"/>
      <c r="AZ52" s="304"/>
      <c r="BA52" s="304"/>
      <c r="BB52" s="304"/>
      <c r="BC52" s="305"/>
      <c r="BD52" s="306"/>
      <c r="BE52" s="304"/>
      <c r="BF52" s="304"/>
      <c r="BG52" s="304"/>
      <c r="BH52" s="304"/>
      <c r="BI52" s="304"/>
      <c r="BJ52" s="305"/>
      <c r="BK52" s="271"/>
    </row>
    <row r="53" spans="1:63" ht="15" customHeight="1" x14ac:dyDescent="0.25">
      <c r="A53" s="270"/>
      <c r="B53" s="242"/>
      <c r="C53" s="240"/>
      <c r="D53" s="240"/>
      <c r="E53" s="240"/>
      <c r="F53" s="240"/>
      <c r="G53" s="241"/>
      <c r="H53" s="242"/>
      <c r="I53" s="240"/>
      <c r="J53" s="240"/>
      <c r="K53" s="240"/>
      <c r="L53" s="240"/>
      <c r="M53" s="240"/>
      <c r="N53" s="241"/>
      <c r="O53" s="242"/>
      <c r="P53" s="240"/>
      <c r="Q53" s="240"/>
      <c r="R53" s="240"/>
      <c r="S53" s="295"/>
      <c r="T53" s="296"/>
      <c r="U53" s="296"/>
      <c r="V53" s="296"/>
      <c r="W53" s="296"/>
      <c r="X53" s="296"/>
      <c r="Y53" s="296"/>
      <c r="Z53" s="296"/>
      <c r="AA53" s="296"/>
      <c r="AB53" s="296"/>
      <c r="AC53" s="296"/>
      <c r="AD53" s="296"/>
      <c r="AE53" s="296"/>
      <c r="AF53" s="296"/>
      <c r="AG53" s="296"/>
      <c r="AH53" s="296"/>
      <c r="AI53" s="296"/>
      <c r="AJ53" s="296"/>
      <c r="AK53" s="296"/>
      <c r="AL53" s="296"/>
      <c r="AM53" s="296"/>
      <c r="AN53" s="296"/>
      <c r="AO53" s="296"/>
      <c r="AP53" s="296"/>
      <c r="AQ53" s="296"/>
      <c r="AR53" s="296"/>
      <c r="AS53" s="296"/>
      <c r="AT53" s="296"/>
      <c r="AU53" s="296"/>
      <c r="AV53" s="296"/>
      <c r="AW53" s="297"/>
      <c r="AX53" s="298"/>
      <c r="AY53" s="298"/>
      <c r="AZ53" s="298"/>
      <c r="BA53" s="298"/>
      <c r="BB53" s="298"/>
      <c r="BC53" s="299"/>
      <c r="BD53" s="300"/>
      <c r="BE53" s="298"/>
      <c r="BF53" s="298"/>
      <c r="BG53" s="298"/>
      <c r="BH53" s="298"/>
      <c r="BI53" s="298"/>
      <c r="BJ53" s="299"/>
      <c r="BK53" s="271"/>
    </row>
    <row r="54" spans="1:63" ht="15" customHeight="1" x14ac:dyDescent="0.25">
      <c r="A54" s="270"/>
      <c r="B54" s="252"/>
      <c r="C54" s="253"/>
      <c r="D54" s="253"/>
      <c r="E54" s="253"/>
      <c r="F54" s="253"/>
      <c r="G54" s="254"/>
      <c r="H54" s="252"/>
      <c r="I54" s="253"/>
      <c r="J54" s="253"/>
      <c r="K54" s="253"/>
      <c r="L54" s="253"/>
      <c r="M54" s="253"/>
      <c r="N54" s="254"/>
      <c r="O54" s="252"/>
      <c r="P54" s="253"/>
      <c r="Q54" s="253"/>
      <c r="R54" s="253"/>
      <c r="S54" s="301"/>
      <c r="T54" s="302"/>
      <c r="U54" s="302"/>
      <c r="V54" s="302"/>
      <c r="W54" s="302"/>
      <c r="X54" s="302"/>
      <c r="Y54" s="302"/>
      <c r="Z54" s="302"/>
      <c r="AA54" s="302"/>
      <c r="AB54" s="302"/>
      <c r="AC54" s="302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3"/>
      <c r="AX54" s="304"/>
      <c r="AY54" s="304"/>
      <c r="AZ54" s="304"/>
      <c r="BA54" s="304"/>
      <c r="BB54" s="304"/>
      <c r="BC54" s="305"/>
      <c r="BD54" s="306"/>
      <c r="BE54" s="304"/>
      <c r="BF54" s="304"/>
      <c r="BG54" s="304"/>
      <c r="BH54" s="304"/>
      <c r="BI54" s="304"/>
      <c r="BJ54" s="305"/>
      <c r="BK54" s="271"/>
    </row>
    <row r="55" spans="1:63" ht="15" customHeight="1" x14ac:dyDescent="0.25">
      <c r="A55" s="267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  <c r="AA55" s="268"/>
      <c r="AB55" s="268"/>
      <c r="AC55" s="268"/>
      <c r="AD55" s="268"/>
      <c r="AE55" s="268"/>
      <c r="AF55" s="268"/>
      <c r="AG55" s="268"/>
      <c r="AH55" s="268"/>
      <c r="AI55" s="268"/>
      <c r="AJ55" s="268"/>
      <c r="AK55" s="268"/>
      <c r="AL55" s="268"/>
      <c r="AM55" s="268"/>
      <c r="AN55" s="268"/>
      <c r="AO55" s="268"/>
      <c r="AP55" s="268"/>
      <c r="AQ55" s="268"/>
      <c r="AR55" s="268"/>
      <c r="AS55" s="268"/>
      <c r="AT55" s="268"/>
      <c r="AU55" s="268"/>
      <c r="AV55" s="268"/>
      <c r="AW55" s="268"/>
      <c r="AX55" s="268"/>
      <c r="AY55" s="268"/>
      <c r="AZ55" s="268"/>
      <c r="BA55" s="268"/>
      <c r="BB55" s="268"/>
      <c r="BC55" s="268"/>
      <c r="BD55" s="268"/>
      <c r="BE55" s="268"/>
      <c r="BF55" s="268"/>
      <c r="BG55" s="268"/>
      <c r="BH55" s="268"/>
      <c r="BI55" s="268"/>
      <c r="BJ55" s="268"/>
      <c r="BK55" s="269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09DC-5B48-4C97-9521-65DBDD45F92E}">
  <sheetPr>
    <tabColor rgb="FF0000FF"/>
    <pageSetUpPr fitToPage="1"/>
  </sheetPr>
  <dimension ref="A1:BK6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"/>
  </cols>
  <sheetData>
    <row r="1" spans="1:63" ht="24.95" customHeight="1" x14ac:dyDescent="0.25">
      <c r="A1" s="313" t="s">
        <v>74</v>
      </c>
      <c r="B1" s="314"/>
      <c r="C1" s="314"/>
      <c r="D1" s="314"/>
      <c r="E1" s="314"/>
      <c r="F1" s="314"/>
      <c r="G1" s="314"/>
      <c r="H1" s="314"/>
      <c r="I1" s="314"/>
      <c r="J1" s="315"/>
      <c r="K1" s="313" t="s">
        <v>75</v>
      </c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5"/>
      <c r="W1" s="316" t="str">
        <f>IF(表紙!W1="","",表紙!W1)</f>
        <v>詳細設計書</v>
      </c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8"/>
      <c r="AP1" s="233" t="s">
        <v>77</v>
      </c>
      <c r="AQ1" s="234"/>
      <c r="AR1" s="234"/>
      <c r="AS1" s="235"/>
      <c r="AT1" s="233" t="s">
        <v>78</v>
      </c>
      <c r="AU1" s="234"/>
      <c r="AV1" s="234"/>
      <c r="AW1" s="234"/>
      <c r="AX1" s="235"/>
      <c r="AY1" s="233" t="s">
        <v>79</v>
      </c>
      <c r="AZ1" s="234"/>
      <c r="BA1" s="234"/>
      <c r="BB1" s="235"/>
      <c r="BC1" s="233" t="s">
        <v>80</v>
      </c>
      <c r="BD1" s="234"/>
      <c r="BE1" s="234"/>
      <c r="BF1" s="234"/>
      <c r="BG1" s="235"/>
      <c r="BH1" s="233" t="s">
        <v>81</v>
      </c>
      <c r="BI1" s="234"/>
      <c r="BJ1" s="234"/>
      <c r="BK1" s="235"/>
    </row>
    <row r="2" spans="1:63" ht="15" customHeight="1" x14ac:dyDescent="0.25">
      <c r="A2" s="43" t="str">
        <f>IF(表紙!A2="","",表紙!A2)</f>
        <v>POSサーバー</v>
      </c>
      <c r="B2" s="44"/>
      <c r="C2" s="44"/>
      <c r="D2" s="44"/>
      <c r="E2" s="44"/>
      <c r="F2" s="44"/>
      <c r="G2" s="44"/>
      <c r="H2" s="44"/>
      <c r="I2" s="44"/>
      <c r="J2" s="45"/>
      <c r="K2" s="43" t="str">
        <f>IF(表紙!K2="","",表紙!K2)</f>
        <v>POSサーバ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5"/>
      <c r="W2" s="319"/>
      <c r="X2" s="320"/>
      <c r="Y2" s="320"/>
      <c r="Z2" s="320"/>
      <c r="AA2" s="320"/>
      <c r="AB2" s="320"/>
      <c r="AC2" s="320"/>
      <c r="AD2" s="320"/>
      <c r="AE2" s="320"/>
      <c r="AF2" s="320"/>
      <c r="AG2" s="320"/>
      <c r="AH2" s="320"/>
      <c r="AI2" s="320"/>
      <c r="AJ2" s="320"/>
      <c r="AK2" s="320"/>
      <c r="AL2" s="320"/>
      <c r="AM2" s="320"/>
      <c r="AN2" s="320"/>
      <c r="AO2" s="321"/>
      <c r="AP2" s="242" t="str">
        <f>IF(表紙!AP2="","",表紙!AP2)</f>
        <v>DuNT</v>
      </c>
      <c r="AQ2" s="240"/>
      <c r="AR2" s="240"/>
      <c r="AS2" s="241"/>
      <c r="AT2" s="246">
        <f>IF(表紙!AT2="","",表紙!AT2)</f>
        <v>45505</v>
      </c>
      <c r="AU2" s="247"/>
      <c r="AV2" s="247"/>
      <c r="AW2" s="247"/>
      <c r="AX2" s="248"/>
      <c r="AY2" s="242" t="str">
        <f>IF(表紙!AY2="","",表紙!AY2)</f>
        <v>TinNH</v>
      </c>
      <c r="AZ2" s="240"/>
      <c r="BA2" s="240"/>
      <c r="BB2" s="241"/>
      <c r="BC2" s="246">
        <f>IF(表紙!BC2="","",表紙!BC2)</f>
        <v>45618</v>
      </c>
      <c r="BD2" s="247"/>
      <c r="BE2" s="247"/>
      <c r="BF2" s="247"/>
      <c r="BG2" s="248"/>
      <c r="BH2" s="242">
        <f>IF(表紙!BH2="","",表紙!BH2)</f>
        <v>0.24</v>
      </c>
      <c r="BI2" s="240"/>
      <c r="BJ2" s="240"/>
      <c r="BK2" s="241"/>
    </row>
    <row r="3" spans="1:63" ht="15" customHeight="1" x14ac:dyDescent="0.25">
      <c r="A3" s="46"/>
      <c r="B3" s="47"/>
      <c r="C3" s="47"/>
      <c r="D3" s="47"/>
      <c r="E3" s="47"/>
      <c r="F3" s="47"/>
      <c r="G3" s="47"/>
      <c r="H3" s="47"/>
      <c r="I3" s="47"/>
      <c r="J3" s="48"/>
      <c r="K3" s="46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  <c r="W3" s="322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4"/>
      <c r="AP3" s="252"/>
      <c r="AQ3" s="253"/>
      <c r="AR3" s="253"/>
      <c r="AS3" s="254"/>
      <c r="AT3" s="258"/>
      <c r="AU3" s="259"/>
      <c r="AV3" s="259"/>
      <c r="AW3" s="259"/>
      <c r="AX3" s="260"/>
      <c r="AY3" s="252"/>
      <c r="AZ3" s="253"/>
      <c r="BA3" s="253"/>
      <c r="BB3" s="254"/>
      <c r="BC3" s="258"/>
      <c r="BD3" s="259"/>
      <c r="BE3" s="259"/>
      <c r="BF3" s="259"/>
      <c r="BG3" s="260"/>
      <c r="BH3" s="252"/>
      <c r="BI3" s="253"/>
      <c r="BJ3" s="253"/>
      <c r="BK3" s="254"/>
    </row>
    <row r="4" spans="1:63" ht="24.95" customHeight="1" x14ac:dyDescent="0.25">
      <c r="A4" s="313" t="s">
        <v>83</v>
      </c>
      <c r="B4" s="314"/>
      <c r="C4" s="314"/>
      <c r="D4" s="314"/>
      <c r="E4" s="314"/>
      <c r="F4" s="314"/>
      <c r="G4" s="315"/>
      <c r="H4" s="49" t="str">
        <f>IF(表紙!H4="","",表紙!H4)</f>
        <v>00_共通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1"/>
      <c r="U4" s="313" t="s">
        <v>84</v>
      </c>
      <c r="V4" s="314"/>
      <c r="W4" s="314"/>
      <c r="X4" s="314"/>
      <c r="Y4" s="315"/>
      <c r="Z4" s="49" t="str">
        <f>IF(表紙!Z4="","",表紙!Z4)</f>
        <v>画面設計書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  <c r="AP4" s="52" t="str">
        <f ca="1">MID(CELL("filename",A1),FIND("]",CELL("filename",A1))+1,255)</f>
        <v>店舗選択エリア</v>
      </c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13" t="s">
        <v>97</v>
      </c>
      <c r="C7" s="325"/>
      <c r="D7" s="325"/>
      <c r="E7" s="325"/>
      <c r="F7" s="325"/>
      <c r="G7" s="325"/>
      <c r="H7" s="325"/>
      <c r="I7" s="325"/>
      <c r="J7" s="325"/>
      <c r="K7" s="14"/>
      <c r="L7" s="14"/>
      <c r="M7" s="14"/>
      <c r="N7" s="14"/>
      <c r="O7" s="14"/>
      <c r="P7" s="14"/>
      <c r="Q7" s="14"/>
      <c r="R7" s="14"/>
      <c r="V7" s="13" t="s">
        <v>98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Q7" s="17" t="s">
        <v>99</v>
      </c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6"/>
    </row>
    <row r="8" spans="1:63" ht="15" customHeight="1" x14ac:dyDescent="0.25">
      <c r="A8" s="5"/>
      <c r="BK8" s="6"/>
    </row>
    <row r="9" spans="1:63" ht="15" customHeight="1" x14ac:dyDescent="0.25">
      <c r="A9" s="5"/>
      <c r="BK9" s="6"/>
    </row>
    <row r="10" spans="1:63" ht="15" customHeight="1" x14ac:dyDescent="0.25">
      <c r="A10" s="5"/>
      <c r="BK10" s="6"/>
    </row>
    <row r="11" spans="1:63" ht="15" customHeight="1" x14ac:dyDescent="0.25">
      <c r="A11" s="5"/>
      <c r="BK11" s="6"/>
    </row>
    <row r="12" spans="1:63" ht="15" customHeight="1" x14ac:dyDescent="0.25">
      <c r="A12" s="5"/>
      <c r="BK12" s="6"/>
    </row>
    <row r="13" spans="1:63" ht="15" customHeight="1" x14ac:dyDescent="0.25">
      <c r="A13" s="5"/>
      <c r="BK13" s="6"/>
    </row>
    <row r="14" spans="1:63" ht="15" customHeight="1" x14ac:dyDescent="0.25">
      <c r="A14" s="5"/>
      <c r="BK14" s="6"/>
    </row>
    <row r="15" spans="1:63" ht="15" customHeight="1" x14ac:dyDescent="0.25">
      <c r="A15" s="5"/>
      <c r="BK15" s="6"/>
    </row>
    <row r="16" spans="1:63" ht="15" customHeight="1" x14ac:dyDescent="0.25">
      <c r="A16" s="5"/>
      <c r="BK16" s="6"/>
    </row>
    <row r="17" spans="1:63" ht="15" customHeight="1" x14ac:dyDescent="0.25">
      <c r="A17" s="5"/>
      <c r="BK17" s="6"/>
    </row>
    <row r="18" spans="1:63" ht="15" customHeight="1" x14ac:dyDescent="0.25">
      <c r="A18" s="5"/>
      <c r="BK18" s="6"/>
    </row>
    <row r="19" spans="1:63" ht="15" customHeight="1" x14ac:dyDescent="0.25">
      <c r="A19" s="5"/>
      <c r="BK19" s="6"/>
    </row>
    <row r="20" spans="1:63" ht="15" customHeight="1" x14ac:dyDescent="0.25">
      <c r="A20" s="5"/>
      <c r="BK20" s="6"/>
    </row>
    <row r="21" spans="1:63" ht="15" customHeight="1" x14ac:dyDescent="0.25">
      <c r="A21" s="5"/>
      <c r="BK21" s="6"/>
    </row>
    <row r="22" spans="1:63" ht="15" customHeight="1" x14ac:dyDescent="0.25">
      <c r="A22" s="5"/>
      <c r="BK22" s="6"/>
    </row>
    <row r="23" spans="1:63" ht="15" customHeight="1" x14ac:dyDescent="0.25">
      <c r="A23" s="5"/>
      <c r="BK23" s="6"/>
    </row>
    <row r="24" spans="1:63" ht="15" customHeight="1" x14ac:dyDescent="0.25">
      <c r="A24" s="5"/>
      <c r="BK24" s="6"/>
    </row>
    <row r="25" spans="1:63" ht="15" customHeight="1" x14ac:dyDescent="0.25">
      <c r="A25" s="5"/>
      <c r="BK25" s="6"/>
    </row>
    <row r="26" spans="1:63" ht="15" customHeight="1" x14ac:dyDescent="0.25">
      <c r="A26" s="5"/>
      <c r="BK26" s="6"/>
    </row>
    <row r="27" spans="1:63" ht="15" customHeight="1" x14ac:dyDescent="0.25">
      <c r="A27" s="5"/>
      <c r="BK27" s="6"/>
    </row>
    <row r="28" spans="1:63" ht="15" customHeight="1" x14ac:dyDescent="0.25">
      <c r="A28" s="5"/>
      <c r="BK28" s="6"/>
    </row>
    <row r="29" spans="1:63" ht="15" customHeight="1" x14ac:dyDescent="0.25">
      <c r="A29" s="5"/>
      <c r="BK29" s="6"/>
    </row>
    <row r="30" spans="1:63" ht="15" customHeight="1" x14ac:dyDescent="0.25">
      <c r="A30" s="5"/>
      <c r="BK30" s="6"/>
    </row>
    <row r="31" spans="1:63" ht="15" customHeight="1" x14ac:dyDescent="0.25">
      <c r="A31" s="5"/>
      <c r="BK31" s="6"/>
    </row>
    <row r="32" spans="1:63" ht="15" customHeight="1" x14ac:dyDescent="0.25">
      <c r="A32" s="5"/>
      <c r="BK32" s="6"/>
    </row>
    <row r="33" spans="1:63" ht="15" customHeight="1" x14ac:dyDescent="0.25">
      <c r="A33" s="5"/>
      <c r="BK33" s="6"/>
    </row>
    <row r="34" spans="1:63" ht="15" customHeight="1" x14ac:dyDescent="0.25">
      <c r="A34" s="5"/>
      <c r="BK34" s="6"/>
    </row>
    <row r="35" spans="1:63" ht="14.25" customHeight="1" x14ac:dyDescent="0.25">
      <c r="A35" s="5"/>
      <c r="BK35" s="6"/>
    </row>
    <row r="36" spans="1:63" ht="15" customHeight="1" x14ac:dyDescent="0.25">
      <c r="A36" s="5"/>
      <c r="BK36" s="6"/>
    </row>
    <row r="37" spans="1:63" ht="15" customHeight="1" x14ac:dyDescent="0.25">
      <c r="A37" s="5"/>
      <c r="BK37" s="6"/>
    </row>
    <row r="38" spans="1:63" x14ac:dyDescent="0.25">
      <c r="A38" s="5"/>
      <c r="BK38" s="6"/>
    </row>
    <row r="39" spans="1:63" x14ac:dyDescent="0.25">
      <c r="A39" s="5"/>
      <c r="BK39" s="6"/>
    </row>
    <row r="40" spans="1:63" x14ac:dyDescent="0.25">
      <c r="A40" s="5"/>
      <c r="BK40" s="6"/>
    </row>
    <row r="41" spans="1:63" x14ac:dyDescent="0.25">
      <c r="A41" s="5"/>
      <c r="BK41" s="6"/>
    </row>
    <row r="42" spans="1:63" x14ac:dyDescent="0.25">
      <c r="A42" s="5"/>
      <c r="BK42" s="6"/>
    </row>
    <row r="43" spans="1:63" x14ac:dyDescent="0.25">
      <c r="A43" s="5"/>
      <c r="BK43" s="6"/>
    </row>
    <row r="44" spans="1:63" x14ac:dyDescent="0.25">
      <c r="A44" s="5"/>
      <c r="BK44" s="6"/>
    </row>
    <row r="45" spans="1:63" ht="15" customHeight="1" x14ac:dyDescent="0.25">
      <c r="A45" s="5"/>
      <c r="B45" s="7" t="s">
        <v>100</v>
      </c>
      <c r="BK45" s="6"/>
    </row>
    <row r="46" spans="1:63" x14ac:dyDescent="0.25">
      <c r="A46" s="5"/>
      <c r="BK46" s="6"/>
    </row>
    <row r="47" spans="1:63" ht="15.75" customHeight="1" x14ac:dyDescent="0.25">
      <c r="A47" s="5"/>
      <c r="B47" s="53" t="s">
        <v>101</v>
      </c>
      <c r="C47" s="54"/>
      <c r="D47" s="59" t="s">
        <v>102</v>
      </c>
      <c r="E47" s="60"/>
      <c r="F47" s="60"/>
      <c r="G47" s="60"/>
      <c r="H47" s="60"/>
      <c r="I47" s="60"/>
      <c r="J47" s="54"/>
      <c r="K47" s="59" t="s">
        <v>103</v>
      </c>
      <c r="L47" s="60"/>
      <c r="M47" s="54"/>
      <c r="N47" s="63" t="s">
        <v>6</v>
      </c>
      <c r="O47" s="66" t="s">
        <v>104</v>
      </c>
      <c r="P47" s="84" t="s">
        <v>105</v>
      </c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6"/>
      <c r="AR47" s="69" t="s">
        <v>106</v>
      </c>
      <c r="AS47" s="70"/>
      <c r="AT47" s="70"/>
      <c r="AU47" s="70"/>
      <c r="AV47" s="70"/>
      <c r="AW47" s="70"/>
      <c r="AX47" s="70"/>
      <c r="AY47" s="70"/>
      <c r="AZ47" s="70"/>
      <c r="BA47" s="70"/>
      <c r="BB47" s="73"/>
      <c r="BC47" s="87" t="s">
        <v>107</v>
      </c>
      <c r="BD47" s="88"/>
      <c r="BE47" s="88"/>
      <c r="BF47" s="88"/>
      <c r="BG47" s="88"/>
      <c r="BH47" s="88"/>
      <c r="BI47" s="88"/>
      <c r="BJ47" s="89"/>
      <c r="BK47" s="6"/>
    </row>
    <row r="48" spans="1:63" ht="15.75" customHeight="1" x14ac:dyDescent="0.25">
      <c r="A48" s="5"/>
      <c r="B48" s="55"/>
      <c r="C48" s="56"/>
      <c r="D48" s="55"/>
      <c r="E48" s="61"/>
      <c r="F48" s="61"/>
      <c r="G48" s="61"/>
      <c r="H48" s="61"/>
      <c r="I48" s="61"/>
      <c r="J48" s="56"/>
      <c r="K48" s="55"/>
      <c r="L48" s="61"/>
      <c r="M48" s="56"/>
      <c r="N48" s="64"/>
      <c r="O48" s="67"/>
      <c r="P48" s="96" t="s">
        <v>108</v>
      </c>
      <c r="Q48" s="97"/>
      <c r="R48" s="97"/>
      <c r="S48" s="97"/>
      <c r="T48" s="97"/>
      <c r="U48" s="97"/>
      <c r="V48" s="97"/>
      <c r="W48" s="98"/>
      <c r="X48" s="99" t="s">
        <v>109</v>
      </c>
      <c r="Y48" s="100"/>
      <c r="Z48" s="101"/>
      <c r="AA48" s="99" t="s">
        <v>110</v>
      </c>
      <c r="AB48" s="100"/>
      <c r="AC48" s="100"/>
      <c r="AD48" s="100"/>
      <c r="AE48" s="100"/>
      <c r="AF48" s="100"/>
      <c r="AG48" s="100"/>
      <c r="AH48" s="101"/>
      <c r="AI48" s="99" t="s">
        <v>111</v>
      </c>
      <c r="AJ48" s="100"/>
      <c r="AK48" s="100"/>
      <c r="AL48" s="100"/>
      <c r="AM48" s="100"/>
      <c r="AN48" s="100"/>
      <c r="AO48" s="100"/>
      <c r="AP48" s="100"/>
      <c r="AQ48" s="101"/>
      <c r="AR48" s="105" t="s">
        <v>14</v>
      </c>
      <c r="AS48" s="107" t="s">
        <v>112</v>
      </c>
      <c r="AT48" s="109" t="s">
        <v>113</v>
      </c>
      <c r="AU48" s="69" t="s">
        <v>108</v>
      </c>
      <c r="AV48" s="70"/>
      <c r="AW48" s="70"/>
      <c r="AX48" s="70"/>
      <c r="AY48" s="70"/>
      <c r="AZ48" s="70"/>
      <c r="BA48" s="70"/>
      <c r="BB48" s="73"/>
      <c r="BC48" s="90"/>
      <c r="BD48" s="91"/>
      <c r="BE48" s="91"/>
      <c r="BF48" s="91"/>
      <c r="BG48" s="91"/>
      <c r="BH48" s="91"/>
      <c r="BI48" s="91"/>
      <c r="BJ48" s="92"/>
      <c r="BK48" s="6"/>
    </row>
    <row r="49" spans="1:63" x14ac:dyDescent="0.25">
      <c r="A49" s="5"/>
      <c r="B49" s="57"/>
      <c r="C49" s="58"/>
      <c r="D49" s="57"/>
      <c r="E49" s="62"/>
      <c r="F49" s="62"/>
      <c r="G49" s="62"/>
      <c r="H49" s="62"/>
      <c r="I49" s="62"/>
      <c r="J49" s="58"/>
      <c r="K49" s="57"/>
      <c r="L49" s="62"/>
      <c r="M49" s="58"/>
      <c r="N49" s="65"/>
      <c r="O49" s="68"/>
      <c r="P49" s="84" t="s">
        <v>114</v>
      </c>
      <c r="Q49" s="85"/>
      <c r="R49" s="85"/>
      <c r="S49" s="86"/>
      <c r="T49" s="84" t="s">
        <v>102</v>
      </c>
      <c r="U49" s="85"/>
      <c r="V49" s="85"/>
      <c r="W49" s="86"/>
      <c r="X49" s="102"/>
      <c r="Y49" s="103"/>
      <c r="Z49" s="104"/>
      <c r="AA49" s="102"/>
      <c r="AB49" s="103"/>
      <c r="AC49" s="103"/>
      <c r="AD49" s="103"/>
      <c r="AE49" s="103"/>
      <c r="AF49" s="103"/>
      <c r="AG49" s="103"/>
      <c r="AH49" s="104"/>
      <c r="AI49" s="102"/>
      <c r="AJ49" s="103"/>
      <c r="AK49" s="103"/>
      <c r="AL49" s="103"/>
      <c r="AM49" s="103"/>
      <c r="AN49" s="103"/>
      <c r="AO49" s="103"/>
      <c r="AP49" s="103"/>
      <c r="AQ49" s="104"/>
      <c r="AR49" s="106"/>
      <c r="AS49" s="108"/>
      <c r="AT49" s="110"/>
      <c r="AU49" s="69" t="s">
        <v>114</v>
      </c>
      <c r="AV49" s="70"/>
      <c r="AW49" s="70"/>
      <c r="AX49" s="71"/>
      <c r="AY49" s="72" t="s">
        <v>102</v>
      </c>
      <c r="AZ49" s="70"/>
      <c r="BA49" s="70"/>
      <c r="BB49" s="73"/>
      <c r="BC49" s="93"/>
      <c r="BD49" s="94"/>
      <c r="BE49" s="94"/>
      <c r="BF49" s="94"/>
      <c r="BG49" s="94"/>
      <c r="BH49" s="94"/>
      <c r="BI49" s="94"/>
      <c r="BJ49" s="95"/>
      <c r="BK49" s="6"/>
    </row>
    <row r="50" spans="1:63" ht="142.5" customHeight="1" x14ac:dyDescent="0.25">
      <c r="A50" s="5"/>
      <c r="B50" s="74">
        <v>1</v>
      </c>
      <c r="C50" s="75"/>
      <c r="D50" s="76" t="s">
        <v>40</v>
      </c>
      <c r="E50" s="77"/>
      <c r="F50" s="77"/>
      <c r="G50" s="77"/>
      <c r="H50" s="77"/>
      <c r="I50" s="77"/>
      <c r="J50" s="78"/>
      <c r="K50" s="79" t="s">
        <v>22</v>
      </c>
      <c r="L50" s="80"/>
      <c r="M50" s="81"/>
      <c r="N50" s="8" t="s">
        <v>17</v>
      </c>
      <c r="O50" s="9" t="s">
        <v>18</v>
      </c>
      <c r="P50" s="82" t="s">
        <v>17</v>
      </c>
      <c r="Q50" s="83"/>
      <c r="R50" s="83"/>
      <c r="S50" s="75"/>
      <c r="T50" s="82" t="s">
        <v>17</v>
      </c>
      <c r="U50" s="83"/>
      <c r="V50" s="83"/>
      <c r="W50" s="75"/>
      <c r="X50" s="111" t="s">
        <v>115</v>
      </c>
      <c r="Y50" s="112"/>
      <c r="Z50" s="113"/>
      <c r="AA50" s="114" t="s">
        <v>116</v>
      </c>
      <c r="AB50" s="115"/>
      <c r="AC50" s="115"/>
      <c r="AD50" s="115"/>
      <c r="AE50" s="115"/>
      <c r="AF50" s="115"/>
      <c r="AG50" s="115"/>
      <c r="AH50" s="116"/>
      <c r="AI50" s="117" t="s">
        <v>17</v>
      </c>
      <c r="AJ50" s="118"/>
      <c r="AK50" s="118"/>
      <c r="AL50" s="118"/>
      <c r="AM50" s="118"/>
      <c r="AN50" s="118"/>
      <c r="AO50" s="118"/>
      <c r="AP50" s="118"/>
      <c r="AQ50" s="119"/>
      <c r="AR50" s="8" t="s">
        <v>17</v>
      </c>
      <c r="AS50" s="8" t="s">
        <v>17</v>
      </c>
      <c r="AT50" s="8" t="s">
        <v>17</v>
      </c>
      <c r="AU50" s="74" t="s">
        <v>20</v>
      </c>
      <c r="AV50" s="83"/>
      <c r="AW50" s="83"/>
      <c r="AX50" s="75"/>
      <c r="AY50" s="74" t="s">
        <v>19</v>
      </c>
      <c r="AZ50" s="83"/>
      <c r="BA50" s="83"/>
      <c r="BB50" s="75"/>
      <c r="BC50" s="326" t="s">
        <v>47</v>
      </c>
      <c r="BD50" s="327"/>
      <c r="BE50" s="327"/>
      <c r="BF50" s="327"/>
      <c r="BG50" s="327"/>
      <c r="BH50" s="327"/>
      <c r="BI50" s="327"/>
      <c r="BJ50" s="328"/>
      <c r="BK50" s="6"/>
    </row>
    <row r="51" spans="1:63" ht="31.5" customHeight="1" x14ac:dyDescent="0.25">
      <c r="A51" s="5"/>
      <c r="B51" s="127">
        <v>2</v>
      </c>
      <c r="C51" s="128"/>
      <c r="D51" s="129" t="s">
        <v>117</v>
      </c>
      <c r="E51" s="130"/>
      <c r="F51" s="130"/>
      <c r="G51" s="130"/>
      <c r="H51" s="130"/>
      <c r="I51" s="130"/>
      <c r="J51" s="131"/>
      <c r="K51" s="132" t="s">
        <v>118</v>
      </c>
      <c r="L51" s="133"/>
      <c r="M51" s="134"/>
      <c r="N51" s="18" t="s">
        <v>17</v>
      </c>
      <c r="O51" s="18" t="s">
        <v>18</v>
      </c>
      <c r="P51" s="127" t="s">
        <v>17</v>
      </c>
      <c r="Q51" s="135"/>
      <c r="R51" s="135"/>
      <c r="S51" s="128"/>
      <c r="T51" s="127" t="s">
        <v>17</v>
      </c>
      <c r="U51" s="135"/>
      <c r="V51" s="135"/>
      <c r="W51" s="128"/>
      <c r="X51" s="149" t="s">
        <v>119</v>
      </c>
      <c r="Y51" s="135"/>
      <c r="Z51" s="128"/>
      <c r="AA51" s="127" t="s">
        <v>120</v>
      </c>
      <c r="AB51" s="135"/>
      <c r="AC51" s="135"/>
      <c r="AD51" s="135"/>
      <c r="AE51" s="135"/>
      <c r="AF51" s="135"/>
      <c r="AG51" s="135"/>
      <c r="AH51" s="128"/>
      <c r="AI51" s="145" t="s">
        <v>121</v>
      </c>
      <c r="AJ51" s="146"/>
      <c r="AK51" s="146"/>
      <c r="AL51" s="146"/>
      <c r="AM51" s="146"/>
      <c r="AN51" s="146"/>
      <c r="AO51" s="146"/>
      <c r="AP51" s="146"/>
      <c r="AQ51" s="147"/>
      <c r="AR51" s="18" t="s">
        <v>17</v>
      </c>
      <c r="AS51" s="18" t="s">
        <v>17</v>
      </c>
      <c r="AT51" s="18" t="s">
        <v>17</v>
      </c>
      <c r="AU51" s="127" t="s">
        <v>17</v>
      </c>
      <c r="AV51" s="135"/>
      <c r="AW51" s="135"/>
      <c r="AX51" s="128"/>
      <c r="AY51" s="127" t="s">
        <v>120</v>
      </c>
      <c r="AZ51" s="135"/>
      <c r="BA51" s="135"/>
      <c r="BB51" s="128"/>
      <c r="BC51" s="148"/>
      <c r="BD51" s="133"/>
      <c r="BE51" s="133"/>
      <c r="BF51" s="133"/>
      <c r="BG51" s="133"/>
      <c r="BH51" s="133"/>
      <c r="BI51" s="133"/>
      <c r="BJ51" s="134"/>
      <c r="BK51" s="6"/>
    </row>
    <row r="52" spans="1:63" ht="31.5" customHeight="1" x14ac:dyDescent="0.25">
      <c r="A52" s="5"/>
      <c r="B52" s="120">
        <v>3</v>
      </c>
      <c r="C52" s="121"/>
      <c r="D52" s="122" t="s">
        <v>62</v>
      </c>
      <c r="E52" s="123"/>
      <c r="F52" s="123"/>
      <c r="G52" s="123"/>
      <c r="H52" s="123"/>
      <c r="I52" s="123"/>
      <c r="J52" s="124"/>
      <c r="K52" s="79" t="s">
        <v>22</v>
      </c>
      <c r="L52" s="80"/>
      <c r="M52" s="81"/>
      <c r="N52" s="12" t="s">
        <v>122</v>
      </c>
      <c r="O52" s="9" t="s">
        <v>18</v>
      </c>
      <c r="P52" s="125" t="s">
        <v>17</v>
      </c>
      <c r="Q52" s="126"/>
      <c r="R52" s="126"/>
      <c r="S52" s="121"/>
      <c r="T52" s="120" t="s">
        <v>20</v>
      </c>
      <c r="U52" s="126"/>
      <c r="V52" s="126"/>
      <c r="W52" s="121"/>
      <c r="X52" s="136" t="s">
        <v>123</v>
      </c>
      <c r="Y52" s="137"/>
      <c r="Z52" s="138"/>
      <c r="AA52" s="139" t="s">
        <v>124</v>
      </c>
      <c r="AB52" s="140"/>
      <c r="AC52" s="140"/>
      <c r="AD52" s="140"/>
      <c r="AE52" s="140"/>
      <c r="AF52" s="140"/>
      <c r="AG52" s="140"/>
      <c r="AH52" s="141"/>
      <c r="AI52" s="142" t="s">
        <v>19</v>
      </c>
      <c r="AJ52" s="143"/>
      <c r="AK52" s="143"/>
      <c r="AL52" s="143"/>
      <c r="AM52" s="143"/>
      <c r="AN52" s="143"/>
      <c r="AO52" s="143"/>
      <c r="AP52" s="143"/>
      <c r="AQ52" s="144"/>
      <c r="AR52" s="9" t="s">
        <v>17</v>
      </c>
      <c r="AS52" s="9" t="s">
        <v>17</v>
      </c>
      <c r="AT52" s="9" t="s">
        <v>17</v>
      </c>
      <c r="AU52" s="120" t="s">
        <v>20</v>
      </c>
      <c r="AV52" s="126"/>
      <c r="AW52" s="126"/>
      <c r="AX52" s="121"/>
      <c r="AY52" s="120" t="s">
        <v>19</v>
      </c>
      <c r="AZ52" s="126"/>
      <c r="BA52" s="126"/>
      <c r="BB52" s="121"/>
      <c r="BC52" s="329" t="s">
        <v>63</v>
      </c>
      <c r="BD52" s="330"/>
      <c r="BE52" s="330"/>
      <c r="BF52" s="330"/>
      <c r="BG52" s="330"/>
      <c r="BH52" s="330"/>
      <c r="BI52" s="330"/>
      <c r="BJ52" s="331"/>
      <c r="BK52" s="6"/>
    </row>
    <row r="53" spans="1:63" x14ac:dyDescent="0.25">
      <c r="A53" s="5"/>
      <c r="B53" s="120">
        <v>4</v>
      </c>
      <c r="C53" s="121"/>
      <c r="D53" s="122" t="s">
        <v>64</v>
      </c>
      <c r="E53" s="123"/>
      <c r="F53" s="123"/>
      <c r="G53" s="123"/>
      <c r="H53" s="123"/>
      <c r="I53" s="123"/>
      <c r="J53" s="124"/>
      <c r="K53" s="79" t="s">
        <v>65</v>
      </c>
      <c r="L53" s="80"/>
      <c r="M53" s="81"/>
      <c r="N53" s="9" t="s">
        <v>21</v>
      </c>
      <c r="O53" s="9" t="s">
        <v>17</v>
      </c>
      <c r="P53" s="125" t="s">
        <v>17</v>
      </c>
      <c r="Q53" s="126"/>
      <c r="R53" s="126"/>
      <c r="S53" s="121"/>
      <c r="T53" s="120" t="s">
        <v>20</v>
      </c>
      <c r="U53" s="126"/>
      <c r="V53" s="126"/>
      <c r="W53" s="121"/>
      <c r="X53" s="136" t="s">
        <v>125</v>
      </c>
      <c r="Y53" s="137"/>
      <c r="Z53" s="138"/>
      <c r="AA53" s="120" t="s">
        <v>19</v>
      </c>
      <c r="AB53" s="126"/>
      <c r="AC53" s="126"/>
      <c r="AD53" s="126"/>
      <c r="AE53" s="126"/>
      <c r="AF53" s="126"/>
      <c r="AG53" s="126"/>
      <c r="AH53" s="121"/>
      <c r="AI53" s="142" t="s">
        <v>19</v>
      </c>
      <c r="AJ53" s="143"/>
      <c r="AK53" s="143"/>
      <c r="AL53" s="143"/>
      <c r="AM53" s="143"/>
      <c r="AN53" s="143"/>
      <c r="AO53" s="143"/>
      <c r="AP53" s="143"/>
      <c r="AQ53" s="144"/>
      <c r="AR53" s="9" t="s">
        <v>17</v>
      </c>
      <c r="AS53" s="9" t="s">
        <v>17</v>
      </c>
      <c r="AT53" s="9" t="s">
        <v>17</v>
      </c>
      <c r="AU53" s="120" t="s">
        <v>20</v>
      </c>
      <c r="AV53" s="126"/>
      <c r="AW53" s="126"/>
      <c r="AX53" s="121"/>
      <c r="AY53" s="120" t="s">
        <v>19</v>
      </c>
      <c r="AZ53" s="126"/>
      <c r="BA53" s="126"/>
      <c r="BB53" s="121"/>
      <c r="BC53" s="332" t="s">
        <v>48</v>
      </c>
      <c r="BD53" s="333"/>
      <c r="BE53" s="333"/>
      <c r="BF53" s="333"/>
      <c r="BG53" s="333"/>
      <c r="BH53" s="333"/>
      <c r="BI53" s="333"/>
      <c r="BJ53" s="334"/>
      <c r="BK53" s="6"/>
    </row>
    <row r="54" spans="1:63" ht="52.5" customHeight="1" x14ac:dyDescent="0.25">
      <c r="A54" s="5"/>
      <c r="B54" s="120">
        <v>5</v>
      </c>
      <c r="C54" s="121"/>
      <c r="D54" s="122" t="s">
        <v>66</v>
      </c>
      <c r="E54" s="123"/>
      <c r="F54" s="123"/>
      <c r="G54" s="123"/>
      <c r="H54" s="123"/>
      <c r="I54" s="123"/>
      <c r="J54" s="124"/>
      <c r="K54" s="150" t="s">
        <v>126</v>
      </c>
      <c r="L54" s="80"/>
      <c r="M54" s="81"/>
      <c r="N54" s="10" t="s">
        <v>21</v>
      </c>
      <c r="O54" s="9" t="s">
        <v>18</v>
      </c>
      <c r="P54" s="120" t="s">
        <v>20</v>
      </c>
      <c r="Q54" s="126"/>
      <c r="R54" s="126"/>
      <c r="S54" s="121"/>
      <c r="T54" s="120" t="s">
        <v>20</v>
      </c>
      <c r="U54" s="126"/>
      <c r="V54" s="126"/>
      <c r="W54" s="121"/>
      <c r="X54" s="151" t="s">
        <v>66</v>
      </c>
      <c r="Y54" s="126"/>
      <c r="Z54" s="121"/>
      <c r="AA54" s="152" t="s">
        <v>127</v>
      </c>
      <c r="AB54" s="153"/>
      <c r="AC54" s="153"/>
      <c r="AD54" s="153"/>
      <c r="AE54" s="153"/>
      <c r="AF54" s="153"/>
      <c r="AG54" s="153"/>
      <c r="AH54" s="154"/>
      <c r="AI54" s="139" t="s">
        <v>128</v>
      </c>
      <c r="AJ54" s="143"/>
      <c r="AK54" s="143"/>
      <c r="AL54" s="143"/>
      <c r="AM54" s="143"/>
      <c r="AN54" s="143"/>
      <c r="AO54" s="143"/>
      <c r="AP54" s="143"/>
      <c r="AQ54" s="144"/>
      <c r="AR54" s="9" t="s">
        <v>17</v>
      </c>
      <c r="AS54" s="9" t="s">
        <v>17</v>
      </c>
      <c r="AT54" s="9" t="s">
        <v>17</v>
      </c>
      <c r="AU54" s="120" t="s">
        <v>20</v>
      </c>
      <c r="AV54" s="126"/>
      <c r="AW54" s="126"/>
      <c r="AX54" s="121"/>
      <c r="AY54" s="120" t="s">
        <v>19</v>
      </c>
      <c r="AZ54" s="126"/>
      <c r="BA54" s="126"/>
      <c r="BB54" s="121"/>
      <c r="BC54" s="332" t="s">
        <v>49</v>
      </c>
      <c r="BD54" s="333"/>
      <c r="BE54" s="333"/>
      <c r="BF54" s="333"/>
      <c r="BG54" s="333"/>
      <c r="BH54" s="333"/>
      <c r="BI54" s="333"/>
      <c r="BJ54" s="334"/>
      <c r="BK54" s="6"/>
    </row>
    <row r="55" spans="1:63" ht="50.25" customHeight="1" x14ac:dyDescent="0.25">
      <c r="A55" s="5"/>
      <c r="B55" s="120">
        <v>6</v>
      </c>
      <c r="C55" s="121"/>
      <c r="D55" s="122" t="s">
        <v>67</v>
      </c>
      <c r="E55" s="123"/>
      <c r="F55" s="123"/>
      <c r="G55" s="123"/>
      <c r="H55" s="123"/>
      <c r="I55" s="123"/>
      <c r="J55" s="124"/>
      <c r="K55" s="150" t="s">
        <v>126</v>
      </c>
      <c r="L55" s="80"/>
      <c r="M55" s="81"/>
      <c r="N55" s="10" t="s">
        <v>21</v>
      </c>
      <c r="O55" s="9" t="s">
        <v>18</v>
      </c>
      <c r="P55" s="120" t="s">
        <v>20</v>
      </c>
      <c r="Q55" s="126"/>
      <c r="R55" s="126"/>
      <c r="S55" s="121"/>
      <c r="T55" s="120" t="s">
        <v>20</v>
      </c>
      <c r="U55" s="126"/>
      <c r="V55" s="126"/>
      <c r="W55" s="121"/>
      <c r="X55" s="151" t="s">
        <v>67</v>
      </c>
      <c r="Y55" s="126"/>
      <c r="Z55" s="121"/>
      <c r="AA55" s="152" t="s">
        <v>127</v>
      </c>
      <c r="AB55" s="153"/>
      <c r="AC55" s="153"/>
      <c r="AD55" s="153"/>
      <c r="AE55" s="153"/>
      <c r="AF55" s="153"/>
      <c r="AG55" s="153"/>
      <c r="AH55" s="154"/>
      <c r="AI55" s="139" t="s">
        <v>129</v>
      </c>
      <c r="AJ55" s="143"/>
      <c r="AK55" s="143"/>
      <c r="AL55" s="143"/>
      <c r="AM55" s="143"/>
      <c r="AN55" s="143"/>
      <c r="AO55" s="143"/>
      <c r="AP55" s="143"/>
      <c r="AQ55" s="144"/>
      <c r="AR55" s="9" t="s">
        <v>17</v>
      </c>
      <c r="AS55" s="9" t="s">
        <v>17</v>
      </c>
      <c r="AT55" s="9" t="s">
        <v>17</v>
      </c>
      <c r="AU55" s="120" t="s">
        <v>20</v>
      </c>
      <c r="AV55" s="126"/>
      <c r="AW55" s="126"/>
      <c r="AX55" s="121"/>
      <c r="AY55" s="120" t="s">
        <v>19</v>
      </c>
      <c r="AZ55" s="126"/>
      <c r="BA55" s="126"/>
      <c r="BB55" s="121"/>
      <c r="BC55" s="332" t="s">
        <v>50</v>
      </c>
      <c r="BD55" s="333"/>
      <c r="BE55" s="333"/>
      <c r="BF55" s="333"/>
      <c r="BG55" s="333"/>
      <c r="BH55" s="333"/>
      <c r="BI55" s="333"/>
      <c r="BJ55" s="334"/>
      <c r="BK55" s="6"/>
    </row>
    <row r="56" spans="1:63" ht="47.25" customHeight="1" x14ac:dyDescent="0.25">
      <c r="A56" s="5"/>
      <c r="B56" s="120">
        <v>7</v>
      </c>
      <c r="C56" s="121"/>
      <c r="D56" s="122" t="s">
        <v>68</v>
      </c>
      <c r="E56" s="123"/>
      <c r="F56" s="123"/>
      <c r="G56" s="123"/>
      <c r="H56" s="123"/>
      <c r="I56" s="123"/>
      <c r="J56" s="124"/>
      <c r="K56" s="79" t="s">
        <v>69</v>
      </c>
      <c r="L56" s="80"/>
      <c r="M56" s="81"/>
      <c r="N56" s="9" t="s">
        <v>29</v>
      </c>
      <c r="O56" s="9" t="s">
        <v>17</v>
      </c>
      <c r="P56" s="155" t="s">
        <v>130</v>
      </c>
      <c r="Q56" s="156"/>
      <c r="R56" s="156"/>
      <c r="S56" s="157"/>
      <c r="T56" s="158" t="s">
        <v>70</v>
      </c>
      <c r="U56" s="159"/>
      <c r="V56" s="159"/>
      <c r="W56" s="160"/>
      <c r="X56" s="136" t="s">
        <v>17</v>
      </c>
      <c r="Y56" s="137"/>
      <c r="Z56" s="138"/>
      <c r="AA56" s="139" t="s">
        <v>127</v>
      </c>
      <c r="AB56" s="140"/>
      <c r="AC56" s="140"/>
      <c r="AD56" s="140"/>
      <c r="AE56" s="140"/>
      <c r="AF56" s="140"/>
      <c r="AG56" s="140"/>
      <c r="AH56" s="141"/>
      <c r="AI56" s="161" t="s">
        <v>120</v>
      </c>
      <c r="AJ56" s="143"/>
      <c r="AK56" s="143"/>
      <c r="AL56" s="143"/>
      <c r="AM56" s="143"/>
      <c r="AN56" s="143"/>
      <c r="AO56" s="143"/>
      <c r="AP56" s="143"/>
      <c r="AQ56" s="144"/>
      <c r="AR56" s="9" t="s">
        <v>17</v>
      </c>
      <c r="AS56" s="9" t="s">
        <v>17</v>
      </c>
      <c r="AT56" s="9" t="s">
        <v>17</v>
      </c>
      <c r="AU56" s="120" t="s">
        <v>20</v>
      </c>
      <c r="AV56" s="126"/>
      <c r="AW56" s="126"/>
      <c r="AX56" s="121"/>
      <c r="AY56" s="120" t="s">
        <v>19</v>
      </c>
      <c r="AZ56" s="126"/>
      <c r="BA56" s="126"/>
      <c r="BB56" s="121"/>
      <c r="BC56" s="332" t="s">
        <v>71</v>
      </c>
      <c r="BD56" s="333"/>
      <c r="BE56" s="333"/>
      <c r="BF56" s="333"/>
      <c r="BG56" s="333"/>
      <c r="BH56" s="333"/>
      <c r="BI56" s="333"/>
      <c r="BJ56" s="334"/>
      <c r="BK56" s="6"/>
    </row>
    <row r="57" spans="1:63" x14ac:dyDescent="0.25">
      <c r="A57" s="5"/>
      <c r="B57" s="120">
        <v>8</v>
      </c>
      <c r="C57" s="121"/>
      <c r="D57" s="122" t="s">
        <v>41</v>
      </c>
      <c r="E57" s="123"/>
      <c r="F57" s="123"/>
      <c r="G57" s="123"/>
      <c r="H57" s="123"/>
      <c r="I57" s="123"/>
      <c r="J57" s="124"/>
      <c r="K57" s="79" t="s">
        <v>42</v>
      </c>
      <c r="L57" s="80"/>
      <c r="M57" s="81"/>
      <c r="N57" s="12" t="s">
        <v>131</v>
      </c>
      <c r="O57" s="9" t="s">
        <v>17</v>
      </c>
      <c r="P57" s="125" t="s">
        <v>17</v>
      </c>
      <c r="Q57" s="126"/>
      <c r="R57" s="126"/>
      <c r="S57" s="121"/>
      <c r="T57" s="120"/>
      <c r="U57" s="126"/>
      <c r="V57" s="126"/>
      <c r="W57" s="121"/>
      <c r="X57" s="136" t="s">
        <v>17</v>
      </c>
      <c r="Y57" s="137"/>
      <c r="Z57" s="138"/>
      <c r="AA57" s="120" t="s">
        <v>19</v>
      </c>
      <c r="AB57" s="126"/>
      <c r="AC57" s="126"/>
      <c r="AD57" s="126"/>
      <c r="AE57" s="126"/>
      <c r="AF57" s="126"/>
      <c r="AG57" s="126"/>
      <c r="AH57" s="121"/>
      <c r="AI57" s="142" t="s">
        <v>19</v>
      </c>
      <c r="AJ57" s="143"/>
      <c r="AK57" s="143"/>
      <c r="AL57" s="143"/>
      <c r="AM57" s="143"/>
      <c r="AN57" s="143"/>
      <c r="AO57" s="143"/>
      <c r="AP57" s="143"/>
      <c r="AQ57" s="144"/>
      <c r="AR57" s="9" t="s">
        <v>17</v>
      </c>
      <c r="AS57" s="9" t="s">
        <v>17</v>
      </c>
      <c r="AT57" s="9" t="s">
        <v>17</v>
      </c>
      <c r="AU57" s="120" t="s">
        <v>20</v>
      </c>
      <c r="AV57" s="126"/>
      <c r="AW57" s="126"/>
      <c r="AX57" s="121"/>
      <c r="AY57" s="120" t="s">
        <v>19</v>
      </c>
      <c r="AZ57" s="126"/>
      <c r="BA57" s="126"/>
      <c r="BB57" s="121"/>
      <c r="BC57" s="132" t="s">
        <v>132</v>
      </c>
      <c r="BD57" s="133"/>
      <c r="BE57" s="133"/>
      <c r="BF57" s="133"/>
      <c r="BG57" s="133"/>
      <c r="BH57" s="133"/>
      <c r="BI57" s="133"/>
      <c r="BJ57" s="134"/>
      <c r="BK57" s="6"/>
    </row>
    <row r="58" spans="1:63" x14ac:dyDescent="0.25">
      <c r="A58" s="5"/>
      <c r="B58" s="120">
        <v>9</v>
      </c>
      <c r="C58" s="121"/>
      <c r="D58" s="122" t="s">
        <v>43</v>
      </c>
      <c r="E58" s="123"/>
      <c r="F58" s="123"/>
      <c r="G58" s="123"/>
      <c r="H58" s="123"/>
      <c r="I58" s="123"/>
      <c r="J58" s="124"/>
      <c r="K58" s="79" t="s">
        <v>22</v>
      </c>
      <c r="L58" s="80"/>
      <c r="M58" s="81"/>
      <c r="N58" s="9" t="s">
        <v>29</v>
      </c>
      <c r="O58" s="9" t="s">
        <v>17</v>
      </c>
      <c r="P58" s="155" t="s">
        <v>133</v>
      </c>
      <c r="Q58" s="156"/>
      <c r="R58" s="156"/>
      <c r="S58" s="157"/>
      <c r="T58" s="162" t="s">
        <v>46</v>
      </c>
      <c r="U58" s="163"/>
      <c r="V58" s="163"/>
      <c r="W58" s="164"/>
      <c r="X58" s="136" t="s">
        <v>17</v>
      </c>
      <c r="Y58" s="137"/>
      <c r="Z58" s="138"/>
      <c r="AA58" s="120" t="s">
        <v>19</v>
      </c>
      <c r="AB58" s="126"/>
      <c r="AC58" s="126"/>
      <c r="AD58" s="126"/>
      <c r="AE58" s="126"/>
      <c r="AF58" s="126"/>
      <c r="AG58" s="126"/>
      <c r="AH58" s="121"/>
      <c r="AI58" s="142" t="s">
        <v>19</v>
      </c>
      <c r="AJ58" s="143"/>
      <c r="AK58" s="143"/>
      <c r="AL58" s="143"/>
      <c r="AM58" s="143"/>
      <c r="AN58" s="143"/>
      <c r="AO58" s="143"/>
      <c r="AP58" s="143"/>
      <c r="AQ58" s="144"/>
      <c r="AR58" s="9" t="s">
        <v>17</v>
      </c>
      <c r="AS58" s="9" t="s">
        <v>17</v>
      </c>
      <c r="AT58" s="9" t="s">
        <v>17</v>
      </c>
      <c r="AU58" s="120" t="s">
        <v>20</v>
      </c>
      <c r="AV58" s="126"/>
      <c r="AW58" s="126"/>
      <c r="AX58" s="121"/>
      <c r="AY58" s="120" t="s">
        <v>19</v>
      </c>
      <c r="AZ58" s="126"/>
      <c r="BA58" s="126"/>
      <c r="BB58" s="121"/>
      <c r="BC58" s="165"/>
      <c r="BD58" s="166"/>
      <c r="BE58" s="166"/>
      <c r="BF58" s="166"/>
      <c r="BG58" s="166"/>
      <c r="BH58" s="166"/>
      <c r="BI58" s="166"/>
      <c r="BJ58" s="167"/>
      <c r="BK58" s="6"/>
    </row>
    <row r="59" spans="1:63" x14ac:dyDescent="0.25">
      <c r="A59" s="5"/>
      <c r="B59" s="168">
        <v>10</v>
      </c>
      <c r="C59" s="170"/>
      <c r="D59" s="177" t="s">
        <v>44</v>
      </c>
      <c r="E59" s="178"/>
      <c r="F59" s="178"/>
      <c r="G59" s="178"/>
      <c r="H59" s="178"/>
      <c r="I59" s="178"/>
      <c r="J59" s="179"/>
      <c r="K59" s="180" t="s">
        <v>45</v>
      </c>
      <c r="L59" s="181"/>
      <c r="M59" s="182"/>
      <c r="N59" s="16" t="s">
        <v>131</v>
      </c>
      <c r="O59" s="11" t="s">
        <v>17</v>
      </c>
      <c r="P59" s="183" t="s">
        <v>17</v>
      </c>
      <c r="Q59" s="184"/>
      <c r="R59" s="184"/>
      <c r="S59" s="185"/>
      <c r="T59" s="186" t="s">
        <v>20</v>
      </c>
      <c r="U59" s="187"/>
      <c r="V59" s="187"/>
      <c r="W59" s="188"/>
      <c r="X59" s="189" t="s">
        <v>17</v>
      </c>
      <c r="Y59" s="190"/>
      <c r="Z59" s="191"/>
      <c r="AA59" s="168" t="s">
        <v>19</v>
      </c>
      <c r="AB59" s="169"/>
      <c r="AC59" s="169"/>
      <c r="AD59" s="169"/>
      <c r="AE59" s="169"/>
      <c r="AF59" s="169"/>
      <c r="AG59" s="169"/>
      <c r="AH59" s="170"/>
      <c r="AI59" s="171" t="s">
        <v>19</v>
      </c>
      <c r="AJ59" s="172"/>
      <c r="AK59" s="172"/>
      <c r="AL59" s="172"/>
      <c r="AM59" s="172"/>
      <c r="AN59" s="172"/>
      <c r="AO59" s="172"/>
      <c r="AP59" s="172"/>
      <c r="AQ59" s="173"/>
      <c r="AR59" s="11" t="s">
        <v>17</v>
      </c>
      <c r="AS59" s="11" t="s">
        <v>17</v>
      </c>
      <c r="AT59" s="11" t="s">
        <v>17</v>
      </c>
      <c r="AU59" s="168" t="s">
        <v>20</v>
      </c>
      <c r="AV59" s="169"/>
      <c r="AW59" s="169"/>
      <c r="AX59" s="170"/>
      <c r="AY59" s="168" t="s">
        <v>19</v>
      </c>
      <c r="AZ59" s="169"/>
      <c r="BA59" s="169"/>
      <c r="BB59" s="170"/>
      <c r="BC59" s="174" t="s">
        <v>134</v>
      </c>
      <c r="BD59" s="175"/>
      <c r="BE59" s="175"/>
      <c r="BF59" s="175"/>
      <c r="BG59" s="175"/>
      <c r="BH59" s="175"/>
      <c r="BI59" s="175"/>
      <c r="BJ59" s="176"/>
      <c r="BK59" s="6"/>
    </row>
    <row r="60" spans="1:63" ht="45" customHeight="1" x14ac:dyDescent="0.25">
      <c r="A60" s="5"/>
      <c r="B60" s="168">
        <v>11</v>
      </c>
      <c r="C60" s="170"/>
      <c r="D60" s="195" t="s">
        <v>135</v>
      </c>
      <c r="E60" s="196"/>
      <c r="F60" s="196"/>
      <c r="G60" s="196"/>
      <c r="H60" s="196"/>
      <c r="I60" s="196"/>
      <c r="J60" s="197"/>
      <c r="K60" s="180" t="s">
        <v>31</v>
      </c>
      <c r="L60" s="181"/>
      <c r="M60" s="182"/>
      <c r="N60" s="16" t="s">
        <v>131</v>
      </c>
      <c r="O60" s="9" t="s">
        <v>18</v>
      </c>
      <c r="P60" s="183" t="s">
        <v>17</v>
      </c>
      <c r="Q60" s="184"/>
      <c r="R60" s="184"/>
      <c r="S60" s="185"/>
      <c r="T60" s="186" t="s">
        <v>20</v>
      </c>
      <c r="U60" s="187"/>
      <c r="V60" s="187"/>
      <c r="W60" s="188"/>
      <c r="X60" s="189" t="s">
        <v>17</v>
      </c>
      <c r="Y60" s="190"/>
      <c r="Z60" s="191"/>
      <c r="AA60" s="168" t="s">
        <v>19</v>
      </c>
      <c r="AB60" s="169"/>
      <c r="AC60" s="169"/>
      <c r="AD60" s="169"/>
      <c r="AE60" s="169"/>
      <c r="AF60" s="169"/>
      <c r="AG60" s="169"/>
      <c r="AH60" s="170"/>
      <c r="AI60" s="198" t="s">
        <v>129</v>
      </c>
      <c r="AJ60" s="199"/>
      <c r="AK60" s="199"/>
      <c r="AL60" s="199"/>
      <c r="AM60" s="199"/>
      <c r="AN60" s="199"/>
      <c r="AO60" s="199"/>
      <c r="AP60" s="199"/>
      <c r="AQ60" s="200"/>
      <c r="AR60" s="11" t="s">
        <v>17</v>
      </c>
      <c r="AS60" s="11" t="s">
        <v>17</v>
      </c>
      <c r="AT60" s="11" t="s">
        <v>17</v>
      </c>
      <c r="AU60" s="168" t="s">
        <v>20</v>
      </c>
      <c r="AV60" s="169"/>
      <c r="AW60" s="169"/>
      <c r="AX60" s="170"/>
      <c r="AY60" s="168" t="s">
        <v>19</v>
      </c>
      <c r="AZ60" s="169"/>
      <c r="BA60" s="169"/>
      <c r="BB60" s="170"/>
      <c r="BC60" s="192" t="s">
        <v>132</v>
      </c>
      <c r="BD60" s="193"/>
      <c r="BE60" s="193"/>
      <c r="BF60" s="193"/>
      <c r="BG60" s="193"/>
      <c r="BH60" s="193"/>
      <c r="BI60" s="193"/>
      <c r="BJ60" s="194"/>
      <c r="BK60" s="6"/>
    </row>
    <row r="61" spans="1:63" x14ac:dyDescent="0.25">
      <c r="A61" s="5"/>
      <c r="BK61" s="6"/>
    </row>
    <row r="62" spans="1:63" x14ac:dyDescent="0.25">
      <c r="A62" s="5"/>
      <c r="BK62" s="6"/>
    </row>
    <row r="63" spans="1:63" x14ac:dyDescent="0.25">
      <c r="A63" s="5"/>
      <c r="BK63" s="6"/>
    </row>
    <row r="64" spans="1:63" x14ac:dyDescent="0.25">
      <c r="A64" s="5"/>
      <c r="BK64" s="6"/>
    </row>
    <row r="65" spans="1:63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4"/>
    </row>
  </sheetData>
  <mergeCells count="161">
    <mergeCell ref="AY60:BB60"/>
    <mergeCell ref="BC60:BJ60"/>
    <mergeCell ref="B60:C60"/>
    <mergeCell ref="D60:J60"/>
    <mergeCell ref="K60:M60"/>
    <mergeCell ref="P60:S60"/>
    <mergeCell ref="T60:W60"/>
    <mergeCell ref="X60:Z60"/>
    <mergeCell ref="AA60:AH60"/>
    <mergeCell ref="AI60:AQ60"/>
    <mergeCell ref="AU60:AX60"/>
    <mergeCell ref="AA59:AH59"/>
    <mergeCell ref="AI59:AQ59"/>
    <mergeCell ref="AU59:AX59"/>
    <mergeCell ref="AY59:BB59"/>
    <mergeCell ref="BC59:BJ59"/>
    <mergeCell ref="B59:C59"/>
    <mergeCell ref="D59:J59"/>
    <mergeCell ref="K59:M59"/>
    <mergeCell ref="P59:S59"/>
    <mergeCell ref="T59:W59"/>
    <mergeCell ref="X59:Z59"/>
    <mergeCell ref="X58:Z58"/>
    <mergeCell ref="AA58:AH58"/>
    <mergeCell ref="AI58:AQ58"/>
    <mergeCell ref="AU58:AX58"/>
    <mergeCell ref="AY58:BB58"/>
    <mergeCell ref="BC58:BJ58"/>
    <mergeCell ref="AA57:AH57"/>
    <mergeCell ref="AI57:AQ57"/>
    <mergeCell ref="AU57:AX57"/>
    <mergeCell ref="AY57:BB57"/>
    <mergeCell ref="BC57:BJ57"/>
    <mergeCell ref="X57:Z57"/>
    <mergeCell ref="B58:C58"/>
    <mergeCell ref="D58:J58"/>
    <mergeCell ref="K58:M58"/>
    <mergeCell ref="P58:S58"/>
    <mergeCell ref="T58:W58"/>
    <mergeCell ref="B57:C57"/>
    <mergeCell ref="D57:J57"/>
    <mergeCell ref="K57:M57"/>
    <mergeCell ref="P57:S57"/>
    <mergeCell ref="T57:W57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X55:Z55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4:Z54"/>
    <mergeCell ref="AA54:AH54"/>
    <mergeCell ref="AI54:AQ54"/>
    <mergeCell ref="AU54:AX54"/>
    <mergeCell ref="AY54:BB54"/>
    <mergeCell ref="BC54:BJ54"/>
    <mergeCell ref="AA53:AH53"/>
    <mergeCell ref="AI53:AQ53"/>
    <mergeCell ref="AU53:AX53"/>
    <mergeCell ref="AY53:BB53"/>
    <mergeCell ref="BC53:BJ53"/>
    <mergeCell ref="X53:Z53"/>
    <mergeCell ref="B54:C54"/>
    <mergeCell ref="D54:J54"/>
    <mergeCell ref="K54:M54"/>
    <mergeCell ref="P54:S54"/>
    <mergeCell ref="T54:W54"/>
    <mergeCell ref="B53:C53"/>
    <mergeCell ref="D53:J53"/>
    <mergeCell ref="K53:M53"/>
    <mergeCell ref="P53:S53"/>
    <mergeCell ref="T53:W53"/>
    <mergeCell ref="X52:Z52"/>
    <mergeCell ref="AA52:AH52"/>
    <mergeCell ref="AI52:AQ52"/>
    <mergeCell ref="AU52:AX52"/>
    <mergeCell ref="AY52:BB52"/>
    <mergeCell ref="BC52:BJ52"/>
    <mergeCell ref="AA51:AH51"/>
    <mergeCell ref="AI51:AQ51"/>
    <mergeCell ref="AU51:AX51"/>
    <mergeCell ref="AY51:BB51"/>
    <mergeCell ref="BC51:BJ51"/>
    <mergeCell ref="X51:Z51"/>
    <mergeCell ref="B52:C52"/>
    <mergeCell ref="D52:J52"/>
    <mergeCell ref="K52:M52"/>
    <mergeCell ref="P52:S52"/>
    <mergeCell ref="T52:W52"/>
    <mergeCell ref="B51:C51"/>
    <mergeCell ref="D51:J51"/>
    <mergeCell ref="K51:M51"/>
    <mergeCell ref="P51:S51"/>
    <mergeCell ref="T51:W51"/>
    <mergeCell ref="B50:C50"/>
    <mergeCell ref="D50:J50"/>
    <mergeCell ref="K50:M50"/>
    <mergeCell ref="P50:S50"/>
    <mergeCell ref="T50:W50"/>
    <mergeCell ref="P47:AQ47"/>
    <mergeCell ref="AR47:BB47"/>
    <mergeCell ref="BC47:BJ49"/>
    <mergeCell ref="P48:W48"/>
    <mergeCell ref="X48:Z49"/>
    <mergeCell ref="AA48:AH49"/>
    <mergeCell ref="AI48:AQ49"/>
    <mergeCell ref="AR48:AR49"/>
    <mergeCell ref="AS48:AS49"/>
    <mergeCell ref="AT48:AT49"/>
    <mergeCell ref="X50:Z50"/>
    <mergeCell ref="AA50:AH50"/>
    <mergeCell ref="AI50:AQ50"/>
    <mergeCell ref="AU50:AX50"/>
    <mergeCell ref="AY50:BB50"/>
    <mergeCell ref="BC50:BJ50"/>
    <mergeCell ref="AU48:BB48"/>
    <mergeCell ref="P49:S49"/>
    <mergeCell ref="T49:W49"/>
    <mergeCell ref="A4:G4"/>
    <mergeCell ref="H4:T4"/>
    <mergeCell ref="U4:Y4"/>
    <mergeCell ref="Z4:AO4"/>
    <mergeCell ref="AP4:BK4"/>
    <mergeCell ref="B47:C49"/>
    <mergeCell ref="D47:J49"/>
    <mergeCell ref="K47:M49"/>
    <mergeCell ref="N47:N49"/>
    <mergeCell ref="O47:O49"/>
    <mergeCell ref="AU49:AX49"/>
    <mergeCell ref="AY49:BB4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AR51:AT60 O50:O60" xr:uid="{00000000-0002-0000-02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B25F7-4472-4456-9B75-3E978DB8C87A}">
  <sheetPr>
    <tabColor rgb="FF0000FF"/>
    <pageSetUpPr fitToPage="1"/>
  </sheetPr>
  <dimension ref="A1:BM42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64" width="2.77734375" style="1"/>
    <col min="65" max="65" width="3" style="1" bestFit="1" customWidth="1"/>
    <col min="66" max="16384" width="2.77734375" style="1"/>
  </cols>
  <sheetData>
    <row r="1" spans="1:65" ht="24.95" customHeight="1" x14ac:dyDescent="0.25">
      <c r="A1" s="313" t="s">
        <v>74</v>
      </c>
      <c r="B1" s="314"/>
      <c r="C1" s="314"/>
      <c r="D1" s="314"/>
      <c r="E1" s="314"/>
      <c r="F1" s="314"/>
      <c r="G1" s="314"/>
      <c r="H1" s="314"/>
      <c r="I1" s="314"/>
      <c r="J1" s="315"/>
      <c r="K1" s="313" t="s">
        <v>75</v>
      </c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5"/>
      <c r="W1" s="316" t="str">
        <f>IF(表紙!W1="","",表紙!W1)</f>
        <v>詳細設計書</v>
      </c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8"/>
      <c r="AP1" s="233" t="s">
        <v>77</v>
      </c>
      <c r="AQ1" s="234"/>
      <c r="AR1" s="234"/>
      <c r="AS1" s="235"/>
      <c r="AT1" s="233" t="s">
        <v>78</v>
      </c>
      <c r="AU1" s="234"/>
      <c r="AV1" s="234"/>
      <c r="AW1" s="234"/>
      <c r="AX1" s="235"/>
      <c r="AY1" s="233" t="s">
        <v>79</v>
      </c>
      <c r="AZ1" s="234"/>
      <c r="BA1" s="234"/>
      <c r="BB1" s="235"/>
      <c r="BC1" s="233" t="s">
        <v>80</v>
      </c>
      <c r="BD1" s="234"/>
      <c r="BE1" s="234"/>
      <c r="BF1" s="234"/>
      <c r="BG1" s="235"/>
      <c r="BH1" s="233" t="s">
        <v>81</v>
      </c>
      <c r="BI1" s="234"/>
      <c r="BJ1" s="234"/>
      <c r="BK1" s="235"/>
    </row>
    <row r="2" spans="1:65" ht="15" customHeight="1" x14ac:dyDescent="0.25">
      <c r="A2" s="43" t="str">
        <f>IF(表紙!A2="","",表紙!A2)</f>
        <v>POSサーバー</v>
      </c>
      <c r="B2" s="44"/>
      <c r="C2" s="44"/>
      <c r="D2" s="44"/>
      <c r="E2" s="44"/>
      <c r="F2" s="44"/>
      <c r="G2" s="44"/>
      <c r="H2" s="44"/>
      <c r="I2" s="44"/>
      <c r="J2" s="45"/>
      <c r="K2" s="43" t="str">
        <f>IF(表紙!K2="","",表紙!K2)</f>
        <v>POSサーバ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5"/>
      <c r="W2" s="319"/>
      <c r="X2" s="320"/>
      <c r="Y2" s="320"/>
      <c r="Z2" s="320"/>
      <c r="AA2" s="320"/>
      <c r="AB2" s="320"/>
      <c r="AC2" s="320"/>
      <c r="AD2" s="320"/>
      <c r="AE2" s="320"/>
      <c r="AF2" s="320"/>
      <c r="AG2" s="320"/>
      <c r="AH2" s="320"/>
      <c r="AI2" s="320"/>
      <c r="AJ2" s="320"/>
      <c r="AK2" s="320"/>
      <c r="AL2" s="320"/>
      <c r="AM2" s="320"/>
      <c r="AN2" s="320"/>
      <c r="AO2" s="321"/>
      <c r="AP2" s="242" t="str">
        <f>IF(表紙!AP2="","",表紙!AP2)</f>
        <v>DuNT</v>
      </c>
      <c r="AQ2" s="240"/>
      <c r="AR2" s="240"/>
      <c r="AS2" s="241"/>
      <c r="AT2" s="246">
        <f>IF(表紙!AT2="","",表紙!AT2)</f>
        <v>45505</v>
      </c>
      <c r="AU2" s="247"/>
      <c r="AV2" s="247"/>
      <c r="AW2" s="247"/>
      <c r="AX2" s="248"/>
      <c r="AY2" s="242" t="str">
        <f>IF(表紙!AY2="","",表紙!AY2)</f>
        <v>TinNH</v>
      </c>
      <c r="AZ2" s="240"/>
      <c r="BA2" s="240"/>
      <c r="BB2" s="241"/>
      <c r="BC2" s="246">
        <f>IF(表紙!BC2="","",表紙!BC2)</f>
        <v>45618</v>
      </c>
      <c r="BD2" s="247"/>
      <c r="BE2" s="247"/>
      <c r="BF2" s="247"/>
      <c r="BG2" s="248"/>
      <c r="BH2" s="242">
        <f>IF(表紙!BH2="","",表紙!BH2)</f>
        <v>0.24</v>
      </c>
      <c r="BI2" s="240"/>
      <c r="BJ2" s="240"/>
      <c r="BK2" s="241"/>
    </row>
    <row r="3" spans="1:65" ht="15" customHeight="1" x14ac:dyDescent="0.25">
      <c r="A3" s="46"/>
      <c r="B3" s="47"/>
      <c r="C3" s="47"/>
      <c r="D3" s="47"/>
      <c r="E3" s="47"/>
      <c r="F3" s="47"/>
      <c r="G3" s="47"/>
      <c r="H3" s="47"/>
      <c r="I3" s="47"/>
      <c r="J3" s="48"/>
      <c r="K3" s="46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  <c r="W3" s="322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4"/>
      <c r="AP3" s="252"/>
      <c r="AQ3" s="253"/>
      <c r="AR3" s="253"/>
      <c r="AS3" s="254"/>
      <c r="AT3" s="258"/>
      <c r="AU3" s="259"/>
      <c r="AV3" s="259"/>
      <c r="AW3" s="259"/>
      <c r="AX3" s="260"/>
      <c r="AY3" s="252"/>
      <c r="AZ3" s="253"/>
      <c r="BA3" s="253"/>
      <c r="BB3" s="254"/>
      <c r="BC3" s="258"/>
      <c r="BD3" s="259"/>
      <c r="BE3" s="259"/>
      <c r="BF3" s="259"/>
      <c r="BG3" s="260"/>
      <c r="BH3" s="252"/>
      <c r="BI3" s="253"/>
      <c r="BJ3" s="253"/>
      <c r="BK3" s="254"/>
    </row>
    <row r="4" spans="1:65" ht="24.95" customHeight="1" x14ac:dyDescent="0.25">
      <c r="A4" s="313" t="s">
        <v>83</v>
      </c>
      <c r="B4" s="314"/>
      <c r="C4" s="314"/>
      <c r="D4" s="314"/>
      <c r="E4" s="314"/>
      <c r="F4" s="314"/>
      <c r="G4" s="315"/>
      <c r="H4" s="49" t="str">
        <f>IF(表紙!H4="","",表紙!H4)</f>
        <v>00_共通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1"/>
      <c r="U4" s="313" t="s">
        <v>84</v>
      </c>
      <c r="V4" s="314"/>
      <c r="W4" s="314"/>
      <c r="X4" s="314"/>
      <c r="Y4" s="315"/>
      <c r="Z4" s="49" t="str">
        <f>IF(表紙!Z4="","",表紙!Z4)</f>
        <v>画面設計書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  <c r="AP4" s="52" t="str">
        <f ca="1">MID(CELL("filename",A1),FIND("]",CELL("filename",A1))+1,255)</f>
        <v>ヘッダー</v>
      </c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1"/>
    </row>
    <row r="5" spans="1:65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5" ht="15" customHeight="1" x14ac:dyDescent="0.25">
      <c r="A6" s="5"/>
      <c r="BK6" s="6"/>
    </row>
    <row r="7" spans="1:65" ht="15" customHeight="1" x14ac:dyDescent="0.25">
      <c r="A7" s="5"/>
      <c r="B7" s="325" t="s">
        <v>25</v>
      </c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325"/>
      <c r="AI7" s="325"/>
      <c r="AJ7" s="325"/>
      <c r="AK7" s="325"/>
      <c r="AL7" s="325"/>
      <c r="AM7" s="325"/>
      <c r="AN7" s="325"/>
      <c r="AO7" s="325"/>
      <c r="AP7" s="325"/>
      <c r="AQ7" s="325"/>
      <c r="AR7" s="325"/>
      <c r="AS7" s="325"/>
      <c r="AT7" s="325"/>
      <c r="AU7" s="325"/>
      <c r="AV7" s="325"/>
      <c r="AW7" s="325"/>
      <c r="AX7" s="325"/>
      <c r="AY7" s="325"/>
      <c r="AZ7" s="325"/>
      <c r="BA7" s="325"/>
      <c r="BB7" s="325"/>
      <c r="BC7" s="325"/>
      <c r="BD7" s="325"/>
      <c r="BE7" s="325"/>
      <c r="BF7" s="325"/>
      <c r="BG7" s="325"/>
      <c r="BH7" s="325"/>
      <c r="BI7" s="325"/>
      <c r="BJ7" s="325"/>
      <c r="BK7" s="6"/>
      <c r="BM7" s="1">
        <v>1</v>
      </c>
    </row>
    <row r="8" spans="1:65" ht="15" customHeight="1" x14ac:dyDescent="0.25">
      <c r="A8" s="5"/>
      <c r="BK8" s="6"/>
      <c r="BM8" s="1">
        <v>2</v>
      </c>
    </row>
    <row r="9" spans="1:65" ht="15" customHeight="1" x14ac:dyDescent="0.25">
      <c r="A9" s="5"/>
      <c r="BK9" s="6"/>
      <c r="BM9" s="1">
        <v>3</v>
      </c>
    </row>
    <row r="10" spans="1:65" ht="15" customHeight="1" x14ac:dyDescent="0.25">
      <c r="A10" s="5"/>
      <c r="BK10" s="6"/>
      <c r="BM10" s="1">
        <v>4</v>
      </c>
    </row>
    <row r="11" spans="1:65" ht="15" customHeight="1" x14ac:dyDescent="0.25">
      <c r="A11" s="5"/>
      <c r="BK11" s="6"/>
      <c r="BM11" s="1">
        <v>5</v>
      </c>
    </row>
    <row r="12" spans="1:65" ht="15" customHeight="1" x14ac:dyDescent="0.25">
      <c r="A12" s="5"/>
      <c r="BK12" s="6"/>
      <c r="BM12" s="1">
        <v>6</v>
      </c>
    </row>
    <row r="13" spans="1:65" ht="15" customHeight="1" x14ac:dyDescent="0.25">
      <c r="A13" s="5"/>
      <c r="BK13" s="6"/>
      <c r="BM13" s="1">
        <v>7</v>
      </c>
    </row>
    <row r="14" spans="1:65" ht="15" customHeight="1" x14ac:dyDescent="0.25">
      <c r="A14" s="5"/>
      <c r="BK14" s="6"/>
      <c r="BM14" s="1">
        <v>8</v>
      </c>
    </row>
    <row r="15" spans="1:65" ht="15" customHeight="1" x14ac:dyDescent="0.25">
      <c r="A15" s="5"/>
      <c r="BK15" s="6"/>
      <c r="BM15" s="1">
        <v>9</v>
      </c>
    </row>
    <row r="16" spans="1:65" ht="15" customHeight="1" x14ac:dyDescent="0.25">
      <c r="A16" s="5"/>
      <c r="BK16" s="6"/>
      <c r="BM16" s="1">
        <v>10</v>
      </c>
    </row>
    <row r="17" spans="1:65" ht="15" customHeight="1" x14ac:dyDescent="0.25">
      <c r="A17" s="5"/>
      <c r="BK17" s="6"/>
      <c r="BM17" s="1">
        <v>11</v>
      </c>
    </row>
    <row r="18" spans="1:65" ht="15" customHeight="1" x14ac:dyDescent="0.25">
      <c r="A18" s="5"/>
      <c r="BK18" s="6"/>
      <c r="BM18" s="1">
        <v>12</v>
      </c>
    </row>
    <row r="19" spans="1:65" ht="15" customHeight="1" x14ac:dyDescent="0.25">
      <c r="A19" s="5"/>
      <c r="BK19" s="6"/>
      <c r="BM19" s="1">
        <v>13</v>
      </c>
    </row>
    <row r="20" spans="1:65" ht="15" customHeight="1" x14ac:dyDescent="0.25">
      <c r="A20" s="5"/>
      <c r="BK20" s="6"/>
      <c r="BM20" s="1">
        <v>14</v>
      </c>
    </row>
    <row r="21" spans="1:65" ht="15" customHeight="1" x14ac:dyDescent="0.25">
      <c r="A21" s="5"/>
      <c r="BK21" s="6"/>
      <c r="BM21" s="1">
        <v>15</v>
      </c>
    </row>
    <row r="22" spans="1:65" ht="15" customHeight="1" x14ac:dyDescent="0.25">
      <c r="A22" s="5"/>
      <c r="BK22" s="6"/>
      <c r="BM22" s="1">
        <v>16</v>
      </c>
    </row>
    <row r="23" spans="1:65" ht="15" customHeight="1" x14ac:dyDescent="0.25">
      <c r="A23" s="5"/>
      <c r="BK23" s="6"/>
      <c r="BM23" s="1">
        <v>17</v>
      </c>
    </row>
    <row r="24" spans="1:65" ht="15" customHeight="1" x14ac:dyDescent="0.25">
      <c r="A24" s="5"/>
      <c r="BK24" s="6"/>
      <c r="BM24" s="1">
        <v>18</v>
      </c>
    </row>
    <row r="25" spans="1:65" ht="15" customHeight="1" x14ac:dyDescent="0.25">
      <c r="A25" s="5"/>
      <c r="BK25" s="6"/>
      <c r="BM25" s="1">
        <v>19</v>
      </c>
    </row>
    <row r="26" spans="1:65" ht="15" customHeight="1" x14ac:dyDescent="0.25">
      <c r="A26" s="5"/>
      <c r="BK26" s="6"/>
      <c r="BM26" s="1">
        <v>20</v>
      </c>
    </row>
    <row r="27" spans="1:65" ht="15" customHeight="1" x14ac:dyDescent="0.25">
      <c r="A27" s="5"/>
      <c r="BK27" s="6"/>
      <c r="BM27" s="1">
        <v>21</v>
      </c>
    </row>
    <row r="28" spans="1:65" ht="15" customHeight="1" x14ac:dyDescent="0.25">
      <c r="A28" s="5"/>
      <c r="B28" s="7" t="s">
        <v>100</v>
      </c>
      <c r="BK28" s="6"/>
      <c r="BM28" s="1">
        <v>22</v>
      </c>
    </row>
    <row r="29" spans="1:65" ht="15" customHeight="1" x14ac:dyDescent="0.25">
      <c r="A29" s="5"/>
      <c r="BK29" s="6"/>
      <c r="BM29" s="1">
        <v>23</v>
      </c>
    </row>
    <row r="30" spans="1:65" ht="15" customHeight="1" x14ac:dyDescent="0.25">
      <c r="A30" s="5"/>
      <c r="B30" s="53" t="s">
        <v>101</v>
      </c>
      <c r="C30" s="54"/>
      <c r="D30" s="59" t="s">
        <v>102</v>
      </c>
      <c r="E30" s="60"/>
      <c r="F30" s="60"/>
      <c r="G30" s="60"/>
      <c r="H30" s="60"/>
      <c r="I30" s="60"/>
      <c r="J30" s="54"/>
      <c r="K30" s="59" t="s">
        <v>103</v>
      </c>
      <c r="L30" s="60"/>
      <c r="M30" s="54"/>
      <c r="N30" s="63" t="s">
        <v>6</v>
      </c>
      <c r="O30" s="66" t="s">
        <v>136</v>
      </c>
      <c r="P30" s="84" t="s">
        <v>105</v>
      </c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6"/>
      <c r="AR30" s="69" t="s">
        <v>106</v>
      </c>
      <c r="AS30" s="70"/>
      <c r="AT30" s="70"/>
      <c r="AU30" s="70"/>
      <c r="AV30" s="70"/>
      <c r="AW30" s="70"/>
      <c r="AX30" s="70"/>
      <c r="AY30" s="70"/>
      <c r="AZ30" s="70"/>
      <c r="BA30" s="70"/>
      <c r="BB30" s="73"/>
      <c r="BC30" s="87" t="s">
        <v>107</v>
      </c>
      <c r="BD30" s="88"/>
      <c r="BE30" s="88"/>
      <c r="BF30" s="88"/>
      <c r="BG30" s="88"/>
      <c r="BH30" s="88"/>
      <c r="BI30" s="88"/>
      <c r="BJ30" s="89"/>
      <c r="BK30" s="6"/>
      <c r="BM30" s="1">
        <v>24</v>
      </c>
    </row>
    <row r="31" spans="1:65" ht="15" customHeight="1" x14ac:dyDescent="0.25">
      <c r="A31" s="5"/>
      <c r="B31" s="55"/>
      <c r="C31" s="56"/>
      <c r="D31" s="55"/>
      <c r="E31" s="61"/>
      <c r="F31" s="61"/>
      <c r="G31" s="61"/>
      <c r="H31" s="61"/>
      <c r="I31" s="61"/>
      <c r="J31" s="56"/>
      <c r="K31" s="55"/>
      <c r="L31" s="61"/>
      <c r="M31" s="56"/>
      <c r="N31" s="64"/>
      <c r="O31" s="67"/>
      <c r="P31" s="96" t="s">
        <v>108</v>
      </c>
      <c r="Q31" s="97"/>
      <c r="R31" s="97"/>
      <c r="S31" s="97"/>
      <c r="T31" s="97"/>
      <c r="U31" s="97"/>
      <c r="V31" s="97"/>
      <c r="W31" s="98"/>
      <c r="X31" s="99" t="s">
        <v>109</v>
      </c>
      <c r="Y31" s="100"/>
      <c r="Z31" s="101"/>
      <c r="AA31" s="99" t="s">
        <v>110</v>
      </c>
      <c r="AB31" s="100"/>
      <c r="AC31" s="100"/>
      <c r="AD31" s="100"/>
      <c r="AE31" s="100"/>
      <c r="AF31" s="100"/>
      <c r="AG31" s="100"/>
      <c r="AH31" s="101"/>
      <c r="AI31" s="99" t="s">
        <v>111</v>
      </c>
      <c r="AJ31" s="100"/>
      <c r="AK31" s="100"/>
      <c r="AL31" s="100"/>
      <c r="AM31" s="100"/>
      <c r="AN31" s="100"/>
      <c r="AO31" s="100"/>
      <c r="AP31" s="100"/>
      <c r="AQ31" s="101"/>
      <c r="AR31" s="105" t="s">
        <v>14</v>
      </c>
      <c r="AS31" s="107" t="s">
        <v>112</v>
      </c>
      <c r="AT31" s="109" t="s">
        <v>113</v>
      </c>
      <c r="AU31" s="69" t="s">
        <v>108</v>
      </c>
      <c r="AV31" s="70"/>
      <c r="AW31" s="70"/>
      <c r="AX31" s="70"/>
      <c r="AY31" s="70"/>
      <c r="AZ31" s="70"/>
      <c r="BA31" s="70"/>
      <c r="BB31" s="73"/>
      <c r="BC31" s="90"/>
      <c r="BD31" s="91"/>
      <c r="BE31" s="91"/>
      <c r="BF31" s="91"/>
      <c r="BG31" s="91"/>
      <c r="BH31" s="91"/>
      <c r="BI31" s="91"/>
      <c r="BJ31" s="92"/>
      <c r="BK31" s="6"/>
      <c r="BM31" s="1">
        <v>25</v>
      </c>
    </row>
    <row r="32" spans="1:65" ht="15" customHeight="1" x14ac:dyDescent="0.25">
      <c r="A32" s="5"/>
      <c r="B32" s="57"/>
      <c r="C32" s="58"/>
      <c r="D32" s="57"/>
      <c r="E32" s="62"/>
      <c r="F32" s="62"/>
      <c r="G32" s="62"/>
      <c r="H32" s="62"/>
      <c r="I32" s="62"/>
      <c r="J32" s="58"/>
      <c r="K32" s="57"/>
      <c r="L32" s="62"/>
      <c r="M32" s="58"/>
      <c r="N32" s="65"/>
      <c r="O32" s="68"/>
      <c r="P32" s="84" t="s">
        <v>114</v>
      </c>
      <c r="Q32" s="85"/>
      <c r="R32" s="85"/>
      <c r="S32" s="86"/>
      <c r="T32" s="84" t="s">
        <v>102</v>
      </c>
      <c r="U32" s="85"/>
      <c r="V32" s="85"/>
      <c r="W32" s="86"/>
      <c r="X32" s="102"/>
      <c r="Y32" s="103"/>
      <c r="Z32" s="104"/>
      <c r="AA32" s="102"/>
      <c r="AB32" s="103"/>
      <c r="AC32" s="103"/>
      <c r="AD32" s="103"/>
      <c r="AE32" s="103"/>
      <c r="AF32" s="103"/>
      <c r="AG32" s="103"/>
      <c r="AH32" s="104"/>
      <c r="AI32" s="102"/>
      <c r="AJ32" s="103"/>
      <c r="AK32" s="103"/>
      <c r="AL32" s="103"/>
      <c r="AM32" s="103"/>
      <c r="AN32" s="103"/>
      <c r="AO32" s="103"/>
      <c r="AP32" s="103"/>
      <c r="AQ32" s="104"/>
      <c r="AR32" s="106"/>
      <c r="AS32" s="108"/>
      <c r="AT32" s="110"/>
      <c r="AU32" s="69" t="s">
        <v>114</v>
      </c>
      <c r="AV32" s="70"/>
      <c r="AW32" s="70"/>
      <c r="AX32" s="71"/>
      <c r="AY32" s="72" t="s">
        <v>102</v>
      </c>
      <c r="AZ32" s="70"/>
      <c r="BA32" s="70"/>
      <c r="BB32" s="73"/>
      <c r="BC32" s="93"/>
      <c r="BD32" s="94"/>
      <c r="BE32" s="94"/>
      <c r="BF32" s="94"/>
      <c r="BG32" s="94"/>
      <c r="BH32" s="94"/>
      <c r="BI32" s="94"/>
      <c r="BJ32" s="95"/>
      <c r="BK32" s="6"/>
      <c r="BM32" s="1">
        <v>26</v>
      </c>
    </row>
    <row r="33" spans="1:65" ht="30.75" customHeight="1" x14ac:dyDescent="0.25">
      <c r="A33" s="5"/>
      <c r="B33" s="335">
        <v>1</v>
      </c>
      <c r="C33" s="336"/>
      <c r="D33" s="337" t="s">
        <v>28</v>
      </c>
      <c r="E33" s="338"/>
      <c r="F33" s="338"/>
      <c r="G33" s="338"/>
      <c r="H33" s="338"/>
      <c r="I33" s="338"/>
      <c r="J33" s="339"/>
      <c r="K33" s="337" t="s">
        <v>22</v>
      </c>
      <c r="L33" s="338"/>
      <c r="M33" s="339"/>
      <c r="N33" s="340" t="s">
        <v>29</v>
      </c>
      <c r="O33" s="341" t="s">
        <v>18</v>
      </c>
      <c r="P33" s="335" t="s">
        <v>17</v>
      </c>
      <c r="Q33" s="342"/>
      <c r="R33" s="342"/>
      <c r="S33" s="336"/>
      <c r="T33" s="335" t="s">
        <v>17</v>
      </c>
      <c r="U33" s="342"/>
      <c r="V33" s="342"/>
      <c r="W33" s="336"/>
      <c r="X33" s="343"/>
      <c r="Y33" s="344"/>
      <c r="Z33" s="345"/>
      <c r="AA33" s="82" t="s">
        <v>137</v>
      </c>
      <c r="AB33" s="342"/>
      <c r="AC33" s="342"/>
      <c r="AD33" s="342"/>
      <c r="AE33" s="342"/>
      <c r="AF33" s="342"/>
      <c r="AG33" s="342"/>
      <c r="AH33" s="336"/>
      <c r="AI33" s="346" t="s">
        <v>17</v>
      </c>
      <c r="AJ33" s="347"/>
      <c r="AK33" s="347"/>
      <c r="AL33" s="347"/>
      <c r="AM33" s="347"/>
      <c r="AN33" s="347"/>
      <c r="AO33" s="347"/>
      <c r="AP33" s="347"/>
      <c r="AQ33" s="348"/>
      <c r="AR33" s="349" t="s">
        <v>17</v>
      </c>
      <c r="AS33" s="349" t="s">
        <v>19</v>
      </c>
      <c r="AT33" s="349" t="s">
        <v>19</v>
      </c>
      <c r="AU33" s="335" t="s">
        <v>17</v>
      </c>
      <c r="AV33" s="342"/>
      <c r="AW33" s="342"/>
      <c r="AX33" s="336"/>
      <c r="AY33" s="335" t="s">
        <v>19</v>
      </c>
      <c r="AZ33" s="342"/>
      <c r="BA33" s="342"/>
      <c r="BB33" s="336"/>
      <c r="BC33" s="350" t="s">
        <v>138</v>
      </c>
      <c r="BD33" s="218"/>
      <c r="BE33" s="218"/>
      <c r="BF33" s="218"/>
      <c r="BG33" s="218"/>
      <c r="BH33" s="218"/>
      <c r="BI33" s="218"/>
      <c r="BJ33" s="219"/>
      <c r="BK33" s="6"/>
      <c r="BM33" s="1">
        <v>27</v>
      </c>
    </row>
    <row r="34" spans="1:65" ht="32.25" customHeight="1" x14ac:dyDescent="0.25">
      <c r="A34" s="5"/>
      <c r="B34" s="351">
        <v>2</v>
      </c>
      <c r="C34" s="352"/>
      <c r="D34" s="332" t="s">
        <v>30</v>
      </c>
      <c r="E34" s="333"/>
      <c r="F34" s="333"/>
      <c r="G34" s="333"/>
      <c r="H34" s="333"/>
      <c r="I34" s="333"/>
      <c r="J34" s="334"/>
      <c r="K34" s="332" t="s">
        <v>22</v>
      </c>
      <c r="L34" s="333"/>
      <c r="M34" s="334"/>
      <c r="N34" s="353" t="s">
        <v>29</v>
      </c>
      <c r="O34" s="10" t="s">
        <v>17</v>
      </c>
      <c r="P34" s="201" t="s">
        <v>139</v>
      </c>
      <c r="Q34" s="203"/>
      <c r="R34" s="203"/>
      <c r="S34" s="202"/>
      <c r="T34" s="201" t="s">
        <v>140</v>
      </c>
      <c r="U34" s="203"/>
      <c r="V34" s="203"/>
      <c r="W34" s="202"/>
      <c r="X34" s="354" t="s">
        <v>17</v>
      </c>
      <c r="Y34" s="355"/>
      <c r="Z34" s="356"/>
      <c r="AA34" s="351" t="s">
        <v>19</v>
      </c>
      <c r="AB34" s="357"/>
      <c r="AC34" s="357"/>
      <c r="AD34" s="357"/>
      <c r="AE34" s="357"/>
      <c r="AF34" s="357"/>
      <c r="AG34" s="357"/>
      <c r="AH34" s="352"/>
      <c r="AI34" s="358" t="s">
        <v>17</v>
      </c>
      <c r="AJ34" s="359"/>
      <c r="AK34" s="359"/>
      <c r="AL34" s="359"/>
      <c r="AM34" s="359"/>
      <c r="AN34" s="359"/>
      <c r="AO34" s="359"/>
      <c r="AP34" s="359"/>
      <c r="AQ34" s="360"/>
      <c r="AR34" s="361" t="s">
        <v>17</v>
      </c>
      <c r="AS34" s="361" t="s">
        <v>19</v>
      </c>
      <c r="AT34" s="361" t="s">
        <v>19</v>
      </c>
      <c r="AU34" s="351" t="s">
        <v>17</v>
      </c>
      <c r="AV34" s="357"/>
      <c r="AW34" s="357"/>
      <c r="AX34" s="352"/>
      <c r="AY34" s="351" t="s">
        <v>19</v>
      </c>
      <c r="AZ34" s="357"/>
      <c r="BA34" s="357"/>
      <c r="BB34" s="352"/>
      <c r="BC34" s="329" t="s">
        <v>60</v>
      </c>
      <c r="BD34" s="330"/>
      <c r="BE34" s="330"/>
      <c r="BF34" s="330"/>
      <c r="BG34" s="330"/>
      <c r="BH34" s="330"/>
      <c r="BI34" s="330"/>
      <c r="BJ34" s="331"/>
      <c r="BK34" s="6"/>
      <c r="BM34" s="1">
        <v>28</v>
      </c>
    </row>
    <row r="35" spans="1:65" ht="60" customHeight="1" x14ac:dyDescent="0.25">
      <c r="A35" s="5"/>
      <c r="B35" s="201">
        <v>3</v>
      </c>
      <c r="C35" s="202"/>
      <c r="D35" s="165" t="s">
        <v>141</v>
      </c>
      <c r="E35" s="166"/>
      <c r="F35" s="166"/>
      <c r="G35" s="166"/>
      <c r="H35" s="166"/>
      <c r="I35" s="166"/>
      <c r="J35" s="167"/>
      <c r="K35" s="165" t="s">
        <v>118</v>
      </c>
      <c r="L35" s="166"/>
      <c r="M35" s="167"/>
      <c r="N35" s="19" t="s">
        <v>122</v>
      </c>
      <c r="O35" s="362" t="s">
        <v>17</v>
      </c>
      <c r="P35" s="201" t="s">
        <v>139</v>
      </c>
      <c r="Q35" s="203"/>
      <c r="R35" s="203"/>
      <c r="S35" s="202"/>
      <c r="T35" s="204" t="s">
        <v>142</v>
      </c>
      <c r="U35" s="203"/>
      <c r="V35" s="203"/>
      <c r="W35" s="202"/>
      <c r="X35" s="204" t="s">
        <v>17</v>
      </c>
      <c r="Y35" s="205"/>
      <c r="Z35" s="206"/>
      <c r="AA35" s="201" t="s">
        <v>120</v>
      </c>
      <c r="AB35" s="203"/>
      <c r="AC35" s="203"/>
      <c r="AD35" s="203"/>
      <c r="AE35" s="203"/>
      <c r="AF35" s="203"/>
      <c r="AG35" s="203"/>
      <c r="AH35" s="202"/>
      <c r="AI35" s="210" t="s">
        <v>17</v>
      </c>
      <c r="AJ35" s="208"/>
      <c r="AK35" s="208"/>
      <c r="AL35" s="208"/>
      <c r="AM35" s="208"/>
      <c r="AN35" s="208"/>
      <c r="AO35" s="208"/>
      <c r="AP35" s="208"/>
      <c r="AQ35" s="209"/>
      <c r="AR35" s="20" t="s">
        <v>17</v>
      </c>
      <c r="AS35" s="20" t="s">
        <v>120</v>
      </c>
      <c r="AT35" s="20" t="s">
        <v>120</v>
      </c>
      <c r="AU35" s="201" t="s">
        <v>17</v>
      </c>
      <c r="AV35" s="203"/>
      <c r="AW35" s="203"/>
      <c r="AX35" s="202"/>
      <c r="AY35" s="201" t="s">
        <v>120</v>
      </c>
      <c r="AZ35" s="203"/>
      <c r="BA35" s="203"/>
      <c r="BB35" s="202"/>
      <c r="BC35" s="215" t="s">
        <v>143</v>
      </c>
      <c r="BD35" s="216"/>
      <c r="BE35" s="216"/>
      <c r="BF35" s="216"/>
      <c r="BG35" s="216"/>
      <c r="BH35" s="216"/>
      <c r="BI35" s="216"/>
      <c r="BJ35" s="217"/>
      <c r="BK35" s="6"/>
      <c r="BM35" s="1">
        <v>29</v>
      </c>
    </row>
    <row r="36" spans="1:65" ht="60" customHeight="1" x14ac:dyDescent="0.25">
      <c r="A36" s="5"/>
      <c r="B36" s="201">
        <v>4</v>
      </c>
      <c r="C36" s="202"/>
      <c r="D36" s="165" t="s">
        <v>144</v>
      </c>
      <c r="E36" s="166"/>
      <c r="F36" s="166"/>
      <c r="G36" s="166"/>
      <c r="H36" s="166"/>
      <c r="I36" s="166"/>
      <c r="J36" s="167"/>
      <c r="K36" s="165" t="s">
        <v>126</v>
      </c>
      <c r="L36" s="166"/>
      <c r="M36" s="167"/>
      <c r="N36" s="19" t="s">
        <v>131</v>
      </c>
      <c r="O36" s="362" t="s">
        <v>17</v>
      </c>
      <c r="P36" s="201" t="s">
        <v>17</v>
      </c>
      <c r="Q36" s="203"/>
      <c r="R36" s="203"/>
      <c r="S36" s="202"/>
      <c r="T36" s="204" t="s">
        <v>17</v>
      </c>
      <c r="U36" s="203"/>
      <c r="V36" s="203"/>
      <c r="W36" s="202"/>
      <c r="X36" s="204" t="s">
        <v>17</v>
      </c>
      <c r="Y36" s="205"/>
      <c r="Z36" s="206"/>
      <c r="AA36" s="201" t="s">
        <v>145</v>
      </c>
      <c r="AB36" s="203"/>
      <c r="AC36" s="203"/>
      <c r="AD36" s="203"/>
      <c r="AE36" s="203"/>
      <c r="AF36" s="203"/>
      <c r="AG36" s="203"/>
      <c r="AH36" s="202"/>
      <c r="AI36" s="207" t="s">
        <v>146</v>
      </c>
      <c r="AJ36" s="208"/>
      <c r="AK36" s="208"/>
      <c r="AL36" s="208"/>
      <c r="AM36" s="208"/>
      <c r="AN36" s="208"/>
      <c r="AO36" s="208"/>
      <c r="AP36" s="208"/>
      <c r="AQ36" s="209"/>
      <c r="AR36" s="20" t="s">
        <v>17</v>
      </c>
      <c r="AS36" s="20" t="s">
        <v>120</v>
      </c>
      <c r="AT36" s="20" t="s">
        <v>120</v>
      </c>
      <c r="AU36" s="201" t="s">
        <v>17</v>
      </c>
      <c r="AV36" s="203"/>
      <c r="AW36" s="203"/>
      <c r="AX36" s="202"/>
      <c r="AY36" s="201" t="s">
        <v>120</v>
      </c>
      <c r="AZ36" s="203"/>
      <c r="BA36" s="203"/>
      <c r="BB36" s="202"/>
      <c r="BC36" s="215" t="s">
        <v>147</v>
      </c>
      <c r="BD36" s="216"/>
      <c r="BE36" s="216"/>
      <c r="BF36" s="216"/>
      <c r="BG36" s="216"/>
      <c r="BH36" s="216"/>
      <c r="BI36" s="216"/>
      <c r="BJ36" s="217"/>
      <c r="BK36" s="6"/>
      <c r="BM36" s="1">
        <v>30</v>
      </c>
    </row>
    <row r="37" spans="1:65" ht="60" customHeight="1" x14ac:dyDescent="0.25">
      <c r="A37" s="5"/>
      <c r="B37" s="201">
        <v>5</v>
      </c>
      <c r="C37" s="202"/>
      <c r="D37" s="165" t="s">
        <v>148</v>
      </c>
      <c r="E37" s="166"/>
      <c r="F37" s="166"/>
      <c r="G37" s="166"/>
      <c r="H37" s="166"/>
      <c r="I37" s="166"/>
      <c r="J37" s="167"/>
      <c r="K37" s="165" t="s">
        <v>126</v>
      </c>
      <c r="L37" s="166"/>
      <c r="M37" s="167"/>
      <c r="N37" s="19" t="s">
        <v>131</v>
      </c>
      <c r="O37" s="362" t="s">
        <v>17</v>
      </c>
      <c r="P37" s="201" t="s">
        <v>17</v>
      </c>
      <c r="Q37" s="203"/>
      <c r="R37" s="203"/>
      <c r="S37" s="202"/>
      <c r="T37" s="204" t="s">
        <v>17</v>
      </c>
      <c r="U37" s="203"/>
      <c r="V37" s="203"/>
      <c r="W37" s="202"/>
      <c r="X37" s="204" t="s">
        <v>17</v>
      </c>
      <c r="Y37" s="205"/>
      <c r="Z37" s="206"/>
      <c r="AA37" s="201" t="s">
        <v>145</v>
      </c>
      <c r="AB37" s="203"/>
      <c r="AC37" s="203"/>
      <c r="AD37" s="203"/>
      <c r="AE37" s="203"/>
      <c r="AF37" s="203"/>
      <c r="AG37" s="203"/>
      <c r="AH37" s="202"/>
      <c r="AI37" s="207" t="s">
        <v>146</v>
      </c>
      <c r="AJ37" s="208"/>
      <c r="AK37" s="208"/>
      <c r="AL37" s="208"/>
      <c r="AM37" s="208"/>
      <c r="AN37" s="208"/>
      <c r="AO37" s="208"/>
      <c r="AP37" s="208"/>
      <c r="AQ37" s="209"/>
      <c r="AR37" s="20" t="s">
        <v>17</v>
      </c>
      <c r="AS37" s="20" t="s">
        <v>120</v>
      </c>
      <c r="AT37" s="20" t="s">
        <v>120</v>
      </c>
      <c r="AU37" s="201" t="s">
        <v>17</v>
      </c>
      <c r="AV37" s="203"/>
      <c r="AW37" s="203"/>
      <c r="AX37" s="202"/>
      <c r="AY37" s="201" t="s">
        <v>120</v>
      </c>
      <c r="AZ37" s="203"/>
      <c r="BA37" s="203"/>
      <c r="BB37" s="202"/>
      <c r="BC37" s="215" t="s">
        <v>149</v>
      </c>
      <c r="BD37" s="216"/>
      <c r="BE37" s="216"/>
      <c r="BF37" s="216"/>
      <c r="BG37" s="216"/>
      <c r="BH37" s="216"/>
      <c r="BI37" s="216"/>
      <c r="BJ37" s="217"/>
      <c r="BK37" s="6"/>
      <c r="BM37" s="1">
        <v>31</v>
      </c>
    </row>
    <row r="38" spans="1:65" ht="60" customHeight="1" x14ac:dyDescent="0.25">
      <c r="A38" s="5"/>
      <c r="B38" s="201">
        <v>6</v>
      </c>
      <c r="C38" s="202"/>
      <c r="D38" s="165" t="s">
        <v>150</v>
      </c>
      <c r="E38" s="166"/>
      <c r="F38" s="166"/>
      <c r="G38" s="166"/>
      <c r="H38" s="166"/>
      <c r="I38" s="166"/>
      <c r="J38" s="167"/>
      <c r="K38" s="165" t="s">
        <v>126</v>
      </c>
      <c r="L38" s="166"/>
      <c r="M38" s="167"/>
      <c r="N38" s="19" t="s">
        <v>131</v>
      </c>
      <c r="O38" s="362" t="s">
        <v>18</v>
      </c>
      <c r="P38" s="201" t="s">
        <v>17</v>
      </c>
      <c r="Q38" s="203"/>
      <c r="R38" s="203"/>
      <c r="S38" s="202"/>
      <c r="T38" s="204" t="s">
        <v>17</v>
      </c>
      <c r="U38" s="203"/>
      <c r="V38" s="203"/>
      <c r="W38" s="202"/>
      <c r="X38" s="204" t="s">
        <v>151</v>
      </c>
      <c r="Y38" s="205"/>
      <c r="Z38" s="206"/>
      <c r="AA38" s="201" t="s">
        <v>145</v>
      </c>
      <c r="AB38" s="203"/>
      <c r="AC38" s="203"/>
      <c r="AD38" s="203"/>
      <c r="AE38" s="203"/>
      <c r="AF38" s="203"/>
      <c r="AG38" s="203"/>
      <c r="AH38" s="202"/>
      <c r="AI38" s="207" t="s">
        <v>152</v>
      </c>
      <c r="AJ38" s="208"/>
      <c r="AK38" s="208"/>
      <c r="AL38" s="208"/>
      <c r="AM38" s="208"/>
      <c r="AN38" s="208"/>
      <c r="AO38" s="208"/>
      <c r="AP38" s="208"/>
      <c r="AQ38" s="209"/>
      <c r="AR38" s="20" t="s">
        <v>17</v>
      </c>
      <c r="AS38" s="20" t="s">
        <v>120</v>
      </c>
      <c r="AT38" s="20" t="s">
        <v>120</v>
      </c>
      <c r="AU38" s="201" t="s">
        <v>17</v>
      </c>
      <c r="AV38" s="203"/>
      <c r="AW38" s="203"/>
      <c r="AX38" s="202"/>
      <c r="AY38" s="201" t="s">
        <v>120</v>
      </c>
      <c r="AZ38" s="203"/>
      <c r="BA38" s="203"/>
      <c r="BB38" s="202"/>
      <c r="BC38" s="215" t="s">
        <v>153</v>
      </c>
      <c r="BD38" s="216"/>
      <c r="BE38" s="216"/>
      <c r="BF38" s="216"/>
      <c r="BG38" s="216"/>
      <c r="BH38" s="216"/>
      <c r="BI38" s="216"/>
      <c r="BJ38" s="217"/>
      <c r="BK38" s="6"/>
      <c r="BM38" s="1">
        <v>32</v>
      </c>
    </row>
    <row r="39" spans="1:65" ht="61.5" customHeight="1" x14ac:dyDescent="0.25">
      <c r="A39" s="5"/>
      <c r="B39" s="201">
        <v>7</v>
      </c>
      <c r="C39" s="202"/>
      <c r="D39" s="165" t="s">
        <v>154</v>
      </c>
      <c r="E39" s="166"/>
      <c r="F39" s="166"/>
      <c r="G39" s="166"/>
      <c r="H39" s="166"/>
      <c r="I39" s="166"/>
      <c r="J39" s="167"/>
      <c r="K39" s="165" t="s">
        <v>126</v>
      </c>
      <c r="L39" s="166"/>
      <c r="M39" s="167"/>
      <c r="N39" s="19" t="s">
        <v>131</v>
      </c>
      <c r="O39" s="19" t="s">
        <v>17</v>
      </c>
      <c r="P39" s="201" t="s">
        <v>17</v>
      </c>
      <c r="Q39" s="203"/>
      <c r="R39" s="203"/>
      <c r="S39" s="202"/>
      <c r="T39" s="201" t="s">
        <v>17</v>
      </c>
      <c r="U39" s="203"/>
      <c r="V39" s="203"/>
      <c r="W39" s="202"/>
      <c r="X39" s="204" t="s">
        <v>17</v>
      </c>
      <c r="Y39" s="205"/>
      <c r="Z39" s="206"/>
      <c r="AA39" s="201" t="s">
        <v>145</v>
      </c>
      <c r="AB39" s="203"/>
      <c r="AC39" s="203"/>
      <c r="AD39" s="203"/>
      <c r="AE39" s="203"/>
      <c r="AF39" s="203"/>
      <c r="AG39" s="203"/>
      <c r="AH39" s="202"/>
      <c r="AI39" s="207" t="s">
        <v>152</v>
      </c>
      <c r="AJ39" s="208"/>
      <c r="AK39" s="208"/>
      <c r="AL39" s="208"/>
      <c r="AM39" s="208"/>
      <c r="AN39" s="208"/>
      <c r="AO39" s="208"/>
      <c r="AP39" s="208"/>
      <c r="AQ39" s="209"/>
      <c r="AR39" s="20" t="s">
        <v>17</v>
      </c>
      <c r="AS39" s="20" t="s">
        <v>120</v>
      </c>
      <c r="AT39" s="20" t="s">
        <v>120</v>
      </c>
      <c r="AU39" s="201" t="s">
        <v>17</v>
      </c>
      <c r="AV39" s="203"/>
      <c r="AW39" s="203"/>
      <c r="AX39" s="202"/>
      <c r="AY39" s="201" t="s">
        <v>120</v>
      </c>
      <c r="AZ39" s="203"/>
      <c r="BA39" s="203"/>
      <c r="BB39" s="202"/>
      <c r="BC39" s="165" t="s">
        <v>155</v>
      </c>
      <c r="BD39" s="166"/>
      <c r="BE39" s="166"/>
      <c r="BF39" s="166"/>
      <c r="BG39" s="166"/>
      <c r="BH39" s="166"/>
      <c r="BI39" s="166"/>
      <c r="BJ39" s="167"/>
      <c r="BK39" s="6"/>
      <c r="BM39" s="1">
        <v>33</v>
      </c>
    </row>
    <row r="40" spans="1:65" ht="151.5" customHeight="1" x14ac:dyDescent="0.25">
      <c r="A40" s="5"/>
      <c r="B40" s="363">
        <v>8</v>
      </c>
      <c r="C40" s="364"/>
      <c r="D40" s="211" t="s">
        <v>156</v>
      </c>
      <c r="E40" s="365"/>
      <c r="F40" s="365"/>
      <c r="G40" s="365"/>
      <c r="H40" s="365"/>
      <c r="I40" s="365"/>
      <c r="J40" s="366"/>
      <c r="K40" s="211" t="s">
        <v>118</v>
      </c>
      <c r="L40" s="365"/>
      <c r="M40" s="366"/>
      <c r="N40" s="15" t="s">
        <v>17</v>
      </c>
      <c r="O40" s="367" t="s">
        <v>18</v>
      </c>
      <c r="P40" s="363" t="s">
        <v>17</v>
      </c>
      <c r="Q40" s="368"/>
      <c r="R40" s="368"/>
      <c r="S40" s="364"/>
      <c r="T40" s="363" t="s">
        <v>17</v>
      </c>
      <c r="U40" s="368"/>
      <c r="V40" s="368"/>
      <c r="W40" s="364"/>
      <c r="X40" s="369" t="s">
        <v>157</v>
      </c>
      <c r="Y40" s="370"/>
      <c r="Z40" s="371"/>
      <c r="AA40" s="214" t="s">
        <v>158</v>
      </c>
      <c r="AB40" s="370"/>
      <c r="AC40" s="370"/>
      <c r="AD40" s="370"/>
      <c r="AE40" s="370"/>
      <c r="AF40" s="370"/>
      <c r="AG40" s="370"/>
      <c r="AH40" s="371"/>
      <c r="AI40" s="372" t="s">
        <v>17</v>
      </c>
      <c r="AJ40" s="373"/>
      <c r="AK40" s="373"/>
      <c r="AL40" s="373"/>
      <c r="AM40" s="373"/>
      <c r="AN40" s="373"/>
      <c r="AO40" s="373"/>
      <c r="AP40" s="373"/>
      <c r="AQ40" s="374"/>
      <c r="AR40" s="375" t="s">
        <v>17</v>
      </c>
      <c r="AS40" s="375" t="s">
        <v>19</v>
      </c>
      <c r="AT40" s="375" t="s">
        <v>19</v>
      </c>
      <c r="AU40" s="363" t="s">
        <v>17</v>
      </c>
      <c r="AV40" s="368"/>
      <c r="AW40" s="368"/>
      <c r="AX40" s="364"/>
      <c r="AY40" s="363" t="s">
        <v>19</v>
      </c>
      <c r="AZ40" s="368"/>
      <c r="BA40" s="368"/>
      <c r="BB40" s="364"/>
      <c r="BC40" s="211" t="s">
        <v>159</v>
      </c>
      <c r="BD40" s="212"/>
      <c r="BE40" s="212"/>
      <c r="BF40" s="212"/>
      <c r="BG40" s="212"/>
      <c r="BH40" s="212"/>
      <c r="BI40" s="212"/>
      <c r="BJ40" s="213"/>
      <c r="BK40" s="6"/>
      <c r="BM40" s="1">
        <v>34</v>
      </c>
    </row>
    <row r="41" spans="1:65" ht="15" customHeight="1" x14ac:dyDescent="0.25">
      <c r="A41" s="5"/>
      <c r="BK41" s="6"/>
      <c r="BM41" s="1">
        <v>35</v>
      </c>
    </row>
    <row r="42" spans="1:65" ht="15" customHeight="1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4"/>
      <c r="BM42" s="1">
        <v>36</v>
      </c>
    </row>
  </sheetData>
  <mergeCells count="128">
    <mergeCell ref="AA33:AH33"/>
    <mergeCell ref="AI33:AQ33"/>
    <mergeCell ref="AU33:AX33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P30:AQ30"/>
    <mergeCell ref="AR30:BB30"/>
    <mergeCell ref="BC30:BJ32"/>
    <mergeCell ref="P31:W31"/>
    <mergeCell ref="X31:Z32"/>
    <mergeCell ref="AA31:AH32"/>
    <mergeCell ref="AI31:AQ32"/>
    <mergeCell ref="AR31:AR32"/>
    <mergeCell ref="AS31:AS32"/>
    <mergeCell ref="AT31:AT32"/>
    <mergeCell ref="AY33:BB33"/>
    <mergeCell ref="BC33:BJ33"/>
    <mergeCell ref="AU31:BB31"/>
    <mergeCell ref="P32:S32"/>
    <mergeCell ref="T32:W32"/>
    <mergeCell ref="AU32:AX32"/>
    <mergeCell ref="AY32:BB32"/>
    <mergeCell ref="B34:C34"/>
    <mergeCell ref="D34:J34"/>
    <mergeCell ref="K34:M34"/>
    <mergeCell ref="P34:S34"/>
    <mergeCell ref="T34:W34"/>
    <mergeCell ref="AA34:AH34"/>
    <mergeCell ref="B33:C33"/>
    <mergeCell ref="D33:J33"/>
    <mergeCell ref="K33:M33"/>
    <mergeCell ref="P33:S33"/>
    <mergeCell ref="T33:W33"/>
    <mergeCell ref="B30:C32"/>
    <mergeCell ref="D30:J32"/>
    <mergeCell ref="K30:M32"/>
    <mergeCell ref="N30:N32"/>
    <mergeCell ref="O30:O32"/>
    <mergeCell ref="X33:Z33"/>
    <mergeCell ref="B39:C39"/>
    <mergeCell ref="D39:J39"/>
    <mergeCell ref="K39:M39"/>
    <mergeCell ref="P39:S39"/>
    <mergeCell ref="T39:W39"/>
    <mergeCell ref="B38:C38"/>
    <mergeCell ref="D38:J38"/>
    <mergeCell ref="K38:M38"/>
    <mergeCell ref="P38:S38"/>
    <mergeCell ref="T38:W38"/>
    <mergeCell ref="AY38:BB38"/>
    <mergeCell ref="BC38:BJ38"/>
    <mergeCell ref="X38:Z38"/>
    <mergeCell ref="AA39:AH39"/>
    <mergeCell ref="AI39:AQ39"/>
    <mergeCell ref="X39:Z39"/>
    <mergeCell ref="AI34:AQ34"/>
    <mergeCell ref="AU34:AX34"/>
    <mergeCell ref="AY34:BB34"/>
    <mergeCell ref="BC34:BJ34"/>
    <mergeCell ref="X34:Z34"/>
    <mergeCell ref="AU39:AX39"/>
    <mergeCell ref="AY39:BB39"/>
    <mergeCell ref="BC39:BJ39"/>
    <mergeCell ref="AA38:AH38"/>
    <mergeCell ref="AI38:AQ38"/>
    <mergeCell ref="AU38:AX38"/>
    <mergeCell ref="AY35:BB35"/>
    <mergeCell ref="BC35:BJ35"/>
    <mergeCell ref="AY36:BB36"/>
    <mergeCell ref="BC36:BJ36"/>
    <mergeCell ref="AY37:BB37"/>
    <mergeCell ref="BC37:BJ37"/>
    <mergeCell ref="AY40:BB40"/>
    <mergeCell ref="BC40:BJ40"/>
    <mergeCell ref="B40:C40"/>
    <mergeCell ref="D40:J40"/>
    <mergeCell ref="K40:M40"/>
    <mergeCell ref="P40:S40"/>
    <mergeCell ref="T40:W40"/>
    <mergeCell ref="X40:Z40"/>
    <mergeCell ref="AA40:AH40"/>
    <mergeCell ref="AI40:AQ40"/>
    <mergeCell ref="AU40:AX40"/>
    <mergeCell ref="B36:C36"/>
    <mergeCell ref="D36:J36"/>
    <mergeCell ref="K36:M36"/>
    <mergeCell ref="P36:S36"/>
    <mergeCell ref="T36:W36"/>
    <mergeCell ref="X36:Z36"/>
    <mergeCell ref="AA36:AH36"/>
    <mergeCell ref="AI36:AQ36"/>
    <mergeCell ref="AU36:AX36"/>
    <mergeCell ref="B35:C35"/>
    <mergeCell ref="D35:J35"/>
    <mergeCell ref="K35:M35"/>
    <mergeCell ref="P35:S35"/>
    <mergeCell ref="T35:W35"/>
    <mergeCell ref="X35:Z35"/>
    <mergeCell ref="AA35:AH35"/>
    <mergeCell ref="AI35:AQ35"/>
    <mergeCell ref="AU35:AX35"/>
    <mergeCell ref="B37:C37"/>
    <mergeCell ref="D37:J37"/>
    <mergeCell ref="K37:M37"/>
    <mergeCell ref="P37:S37"/>
    <mergeCell ref="T37:W37"/>
    <mergeCell ref="X37:Z37"/>
    <mergeCell ref="AA37:AH37"/>
    <mergeCell ref="AI37:AQ37"/>
    <mergeCell ref="AU37:AX37"/>
  </mergeCells>
  <dataValidations count="1">
    <dataValidation type="list" allowBlank="1" showInputMessage="1" showErrorMessage="1" sqref="O33:O40" xr:uid="{00000000-0002-0000-03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709A-8A4C-4F75-8577-0E1AB3E6B9A7}">
  <sheetPr>
    <tabColor rgb="FF0000FF"/>
    <pageSetUpPr fitToPage="1"/>
  </sheetPr>
  <dimension ref="A1:BM30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64" width="2.77734375" style="1"/>
    <col min="65" max="65" width="6.77734375" style="1" customWidth="1"/>
    <col min="66" max="16384" width="2.77734375" style="1"/>
  </cols>
  <sheetData>
    <row r="1" spans="1:65" ht="24.95" customHeight="1" x14ac:dyDescent="0.25">
      <c r="A1" s="313" t="s">
        <v>74</v>
      </c>
      <c r="B1" s="314"/>
      <c r="C1" s="314"/>
      <c r="D1" s="314"/>
      <c r="E1" s="314"/>
      <c r="F1" s="314"/>
      <c r="G1" s="314"/>
      <c r="H1" s="314"/>
      <c r="I1" s="314"/>
      <c r="J1" s="315"/>
      <c r="K1" s="313" t="s">
        <v>75</v>
      </c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5"/>
      <c r="W1" s="316" t="str">
        <f>IF(表紙!W1="","",表紙!W1)</f>
        <v>詳細設計書</v>
      </c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8"/>
      <c r="AP1" s="233" t="s">
        <v>77</v>
      </c>
      <c r="AQ1" s="234"/>
      <c r="AR1" s="234"/>
      <c r="AS1" s="235"/>
      <c r="AT1" s="233" t="s">
        <v>78</v>
      </c>
      <c r="AU1" s="234"/>
      <c r="AV1" s="234"/>
      <c r="AW1" s="234"/>
      <c r="AX1" s="235"/>
      <c r="AY1" s="233" t="s">
        <v>79</v>
      </c>
      <c r="AZ1" s="234"/>
      <c r="BA1" s="234"/>
      <c r="BB1" s="235"/>
      <c r="BC1" s="233" t="s">
        <v>80</v>
      </c>
      <c r="BD1" s="234"/>
      <c r="BE1" s="234"/>
      <c r="BF1" s="234"/>
      <c r="BG1" s="235"/>
      <c r="BH1" s="233" t="s">
        <v>81</v>
      </c>
      <c r="BI1" s="234"/>
      <c r="BJ1" s="234"/>
      <c r="BK1" s="235"/>
    </row>
    <row r="2" spans="1:65" ht="15" customHeight="1" x14ac:dyDescent="0.25">
      <c r="A2" s="43" t="str">
        <f>IF(表紙!A2="","",表紙!A2)</f>
        <v>POSサーバー</v>
      </c>
      <c r="B2" s="44"/>
      <c r="C2" s="44"/>
      <c r="D2" s="44"/>
      <c r="E2" s="44"/>
      <c r="F2" s="44"/>
      <c r="G2" s="44"/>
      <c r="H2" s="44"/>
      <c r="I2" s="44"/>
      <c r="J2" s="45"/>
      <c r="K2" s="43" t="str">
        <f>IF(表紙!K2="","",表紙!K2)</f>
        <v>POSサーバ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5"/>
      <c r="W2" s="319"/>
      <c r="X2" s="320"/>
      <c r="Y2" s="320"/>
      <c r="Z2" s="320"/>
      <c r="AA2" s="320"/>
      <c r="AB2" s="320"/>
      <c r="AC2" s="320"/>
      <c r="AD2" s="320"/>
      <c r="AE2" s="320"/>
      <c r="AF2" s="320"/>
      <c r="AG2" s="320"/>
      <c r="AH2" s="320"/>
      <c r="AI2" s="320"/>
      <c r="AJ2" s="320"/>
      <c r="AK2" s="320"/>
      <c r="AL2" s="320"/>
      <c r="AM2" s="320"/>
      <c r="AN2" s="320"/>
      <c r="AO2" s="321"/>
      <c r="AP2" s="242" t="str">
        <f>IF(表紙!AP2="","",表紙!AP2)</f>
        <v>DuNT</v>
      </c>
      <c r="AQ2" s="240"/>
      <c r="AR2" s="240"/>
      <c r="AS2" s="241"/>
      <c r="AT2" s="246">
        <f>IF(表紙!AT2="","",表紙!AT2)</f>
        <v>45505</v>
      </c>
      <c r="AU2" s="247"/>
      <c r="AV2" s="247"/>
      <c r="AW2" s="247"/>
      <c r="AX2" s="248"/>
      <c r="AY2" s="242" t="str">
        <f>IF(表紙!AY2="","",表紙!AY2)</f>
        <v>TinNH</v>
      </c>
      <c r="AZ2" s="240"/>
      <c r="BA2" s="240"/>
      <c r="BB2" s="241"/>
      <c r="BC2" s="246">
        <f>IF(表紙!BC2="","",表紙!BC2)</f>
        <v>45618</v>
      </c>
      <c r="BD2" s="247"/>
      <c r="BE2" s="247"/>
      <c r="BF2" s="247"/>
      <c r="BG2" s="248"/>
      <c r="BH2" s="242">
        <f>IF(表紙!BH2="","",表紙!BH2)</f>
        <v>0.24</v>
      </c>
      <c r="BI2" s="240"/>
      <c r="BJ2" s="240"/>
      <c r="BK2" s="241"/>
    </row>
    <row r="3" spans="1:65" ht="15" customHeight="1" x14ac:dyDescent="0.25">
      <c r="A3" s="46"/>
      <c r="B3" s="47"/>
      <c r="C3" s="47"/>
      <c r="D3" s="47"/>
      <c r="E3" s="47"/>
      <c r="F3" s="47"/>
      <c r="G3" s="47"/>
      <c r="H3" s="47"/>
      <c r="I3" s="47"/>
      <c r="J3" s="48"/>
      <c r="K3" s="46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  <c r="W3" s="322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4"/>
      <c r="AP3" s="252"/>
      <c r="AQ3" s="253"/>
      <c r="AR3" s="253"/>
      <c r="AS3" s="254"/>
      <c r="AT3" s="258"/>
      <c r="AU3" s="259"/>
      <c r="AV3" s="259"/>
      <c r="AW3" s="259"/>
      <c r="AX3" s="260"/>
      <c r="AY3" s="252"/>
      <c r="AZ3" s="253"/>
      <c r="BA3" s="253"/>
      <c r="BB3" s="254"/>
      <c r="BC3" s="258"/>
      <c r="BD3" s="259"/>
      <c r="BE3" s="259"/>
      <c r="BF3" s="259"/>
      <c r="BG3" s="260"/>
      <c r="BH3" s="252"/>
      <c r="BI3" s="253"/>
      <c r="BJ3" s="253"/>
      <c r="BK3" s="254"/>
    </row>
    <row r="4" spans="1:65" ht="24.95" customHeight="1" x14ac:dyDescent="0.25">
      <c r="A4" s="313" t="s">
        <v>83</v>
      </c>
      <c r="B4" s="314"/>
      <c r="C4" s="314"/>
      <c r="D4" s="314"/>
      <c r="E4" s="314"/>
      <c r="F4" s="314"/>
      <c r="G4" s="315"/>
      <c r="H4" s="49" t="str">
        <f>IF(表紙!H4="","",表紙!H4)</f>
        <v>00_共通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1"/>
      <c r="U4" s="313" t="s">
        <v>84</v>
      </c>
      <c r="V4" s="314"/>
      <c r="W4" s="314"/>
      <c r="X4" s="314"/>
      <c r="Y4" s="315"/>
      <c r="Z4" s="49" t="str">
        <f>IF(表紙!Z4="","",表紙!Z4)</f>
        <v>画面設計書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  <c r="AP4" s="52" t="str">
        <f ca="1">MID(CELL("filename",A1),FIND("]",CELL("filename",A1))+1,255)</f>
        <v>ページング</v>
      </c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1"/>
    </row>
    <row r="5" spans="1:65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5" ht="15" customHeight="1" x14ac:dyDescent="0.25">
      <c r="A6" s="5"/>
      <c r="BK6" s="6"/>
    </row>
    <row r="7" spans="1:65" ht="15" customHeight="1" x14ac:dyDescent="0.25">
      <c r="A7" s="5"/>
      <c r="B7" s="325" t="s">
        <v>32</v>
      </c>
      <c r="C7" s="376"/>
      <c r="D7" s="376"/>
      <c r="E7" s="376"/>
      <c r="F7" s="376"/>
      <c r="G7" s="376"/>
      <c r="H7" s="376"/>
      <c r="I7" s="376"/>
      <c r="J7" s="376"/>
      <c r="K7" s="376"/>
      <c r="L7" s="376"/>
      <c r="M7" s="376"/>
      <c r="N7" s="376"/>
      <c r="O7" s="376"/>
      <c r="P7" s="376"/>
      <c r="Q7" s="376"/>
      <c r="R7" s="376"/>
      <c r="S7" s="376"/>
      <c r="T7" s="376"/>
      <c r="U7" s="376"/>
      <c r="V7" s="376"/>
      <c r="W7" s="376"/>
      <c r="X7" s="376"/>
      <c r="Y7" s="376"/>
      <c r="Z7" s="376"/>
      <c r="AA7" s="376"/>
      <c r="AB7" s="376"/>
      <c r="AC7" s="376"/>
      <c r="AD7" s="376"/>
      <c r="AE7" s="376"/>
      <c r="AF7" s="376"/>
      <c r="AG7" s="376"/>
      <c r="AH7" s="376"/>
      <c r="AI7" s="376"/>
      <c r="AJ7" s="376"/>
      <c r="AK7" s="376"/>
      <c r="AL7" s="376"/>
      <c r="AM7" s="376"/>
      <c r="AN7" s="376"/>
      <c r="AO7" s="376"/>
      <c r="AP7" s="376"/>
      <c r="AQ7" s="376"/>
      <c r="AR7" s="376"/>
      <c r="AS7" s="376"/>
      <c r="AT7" s="376"/>
      <c r="AU7" s="376"/>
      <c r="AV7" s="376"/>
      <c r="AW7" s="376"/>
      <c r="AX7" s="376"/>
      <c r="AY7" s="376"/>
      <c r="AZ7" s="376"/>
      <c r="BA7" s="376"/>
      <c r="BB7" s="376"/>
      <c r="BC7" s="376"/>
      <c r="BD7" s="376"/>
      <c r="BE7" s="376"/>
      <c r="BF7" s="376"/>
      <c r="BG7" s="376"/>
      <c r="BH7" s="376"/>
      <c r="BI7" s="376"/>
      <c r="BJ7" s="376"/>
      <c r="BK7" s="377"/>
      <c r="BM7" s="1">
        <v>1</v>
      </c>
    </row>
    <row r="8" spans="1:65" ht="15" customHeight="1" x14ac:dyDescent="0.25">
      <c r="A8" s="5"/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378"/>
      <c r="Z8" s="378"/>
      <c r="AA8" s="378"/>
      <c r="AB8" s="378"/>
      <c r="AC8" s="378"/>
      <c r="AD8" s="378"/>
      <c r="AE8" s="378"/>
      <c r="AF8" s="378"/>
      <c r="AG8" s="378"/>
      <c r="AH8" s="378"/>
      <c r="AI8" s="378"/>
      <c r="AJ8" s="378"/>
      <c r="AK8" s="378"/>
      <c r="AL8" s="378"/>
      <c r="AM8" s="378"/>
      <c r="AN8" s="378"/>
      <c r="AO8" s="378"/>
      <c r="AP8" s="378"/>
      <c r="AQ8" s="378"/>
      <c r="AR8" s="378"/>
      <c r="AS8" s="378"/>
      <c r="AT8" s="378"/>
      <c r="AU8" s="378"/>
      <c r="AV8" s="378"/>
      <c r="AW8" s="378"/>
      <c r="AX8" s="378"/>
      <c r="AY8" s="378"/>
      <c r="AZ8" s="378"/>
      <c r="BA8" s="378"/>
      <c r="BB8" s="378"/>
      <c r="BC8" s="378"/>
      <c r="BD8" s="378"/>
      <c r="BE8" s="378"/>
      <c r="BF8" s="378"/>
      <c r="BG8" s="378"/>
      <c r="BH8" s="378"/>
      <c r="BI8" s="378"/>
      <c r="BJ8" s="378"/>
      <c r="BK8" s="377"/>
      <c r="BM8" s="1">
        <v>2</v>
      </c>
    </row>
    <row r="9" spans="1:65" ht="15" customHeight="1" x14ac:dyDescent="0.25">
      <c r="A9" s="5"/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  <c r="W9" s="378"/>
      <c r="X9" s="378"/>
      <c r="Y9" s="378"/>
      <c r="Z9" s="378"/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8"/>
      <c r="BK9" s="377"/>
      <c r="BM9" s="1">
        <v>3</v>
      </c>
    </row>
    <row r="10" spans="1:65" ht="15" customHeight="1" x14ac:dyDescent="0.25">
      <c r="A10" s="5"/>
      <c r="B10" s="378"/>
      <c r="C10" s="37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7"/>
      <c r="BM10" s="1">
        <v>4</v>
      </c>
    </row>
    <row r="11" spans="1:65" ht="15" customHeight="1" x14ac:dyDescent="0.25">
      <c r="A11" s="5"/>
      <c r="B11" s="378"/>
      <c r="C11" s="378"/>
      <c r="D11" s="378"/>
      <c r="E11" s="378"/>
      <c r="F11" s="378"/>
      <c r="G11" s="378"/>
      <c r="H11" s="378"/>
      <c r="I11" s="378"/>
      <c r="J11" s="378"/>
      <c r="K11" s="378"/>
      <c r="L11" s="378"/>
      <c r="M11" s="378"/>
      <c r="N11" s="378"/>
      <c r="O11" s="378"/>
      <c r="P11" s="378"/>
      <c r="Q11" s="378"/>
      <c r="R11" s="378"/>
      <c r="S11" s="378"/>
      <c r="T11" s="378"/>
      <c r="U11" s="378"/>
      <c r="V11" s="378"/>
      <c r="W11" s="378"/>
      <c r="X11" s="378"/>
      <c r="Y11" s="378"/>
      <c r="Z11" s="378"/>
      <c r="AA11" s="378"/>
      <c r="AB11" s="378"/>
      <c r="AC11" s="378"/>
      <c r="AD11" s="378"/>
      <c r="AE11" s="378"/>
      <c r="AF11" s="378"/>
      <c r="AG11" s="378"/>
      <c r="AH11" s="378"/>
      <c r="AI11" s="378"/>
      <c r="AJ11" s="378"/>
      <c r="AK11" s="378"/>
      <c r="AL11" s="378"/>
      <c r="AM11" s="378"/>
      <c r="AN11" s="378"/>
      <c r="AO11" s="378"/>
      <c r="AP11" s="378"/>
      <c r="AQ11" s="378"/>
      <c r="AR11" s="378"/>
      <c r="AS11" s="378"/>
      <c r="AT11" s="378"/>
      <c r="AU11" s="378"/>
      <c r="AV11" s="378"/>
      <c r="AW11" s="378"/>
      <c r="AX11" s="378"/>
      <c r="AY11" s="378"/>
      <c r="AZ11" s="378"/>
      <c r="BA11" s="378"/>
      <c r="BB11" s="378"/>
      <c r="BC11" s="378"/>
      <c r="BD11" s="378"/>
      <c r="BE11" s="378"/>
      <c r="BF11" s="378"/>
      <c r="BG11" s="378"/>
      <c r="BH11" s="378"/>
      <c r="BI11" s="378"/>
      <c r="BJ11" s="378"/>
      <c r="BK11" s="377"/>
      <c r="BM11" s="1">
        <v>5</v>
      </c>
    </row>
    <row r="12" spans="1:65" ht="15" customHeight="1" x14ac:dyDescent="0.25">
      <c r="A12" s="5"/>
      <c r="B12" s="378"/>
      <c r="C12" s="378"/>
      <c r="D12" s="378"/>
      <c r="E12" s="378"/>
      <c r="F12" s="378"/>
      <c r="G12" s="378"/>
      <c r="H12" s="378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7"/>
      <c r="BM12" s="1">
        <v>6</v>
      </c>
    </row>
    <row r="13" spans="1:65" ht="15" customHeight="1" x14ac:dyDescent="0.25">
      <c r="A13" s="5"/>
      <c r="B13" s="378"/>
      <c r="C13" s="378"/>
      <c r="D13" s="378"/>
      <c r="E13" s="378"/>
      <c r="F13" s="378"/>
      <c r="G13" s="378"/>
      <c r="H13" s="378"/>
      <c r="I13" s="378"/>
      <c r="J13" s="378"/>
      <c r="K13" s="378"/>
      <c r="L13" s="378"/>
      <c r="M13" s="378"/>
      <c r="N13" s="378"/>
      <c r="O13" s="378"/>
      <c r="P13" s="378"/>
      <c r="Q13" s="378"/>
      <c r="R13" s="378"/>
      <c r="S13" s="378"/>
      <c r="T13" s="378"/>
      <c r="U13" s="378"/>
      <c r="V13" s="378"/>
      <c r="W13" s="378"/>
      <c r="X13" s="378"/>
      <c r="Y13" s="378"/>
      <c r="Z13" s="378"/>
      <c r="AA13" s="378"/>
      <c r="AB13" s="378"/>
      <c r="AC13" s="378"/>
      <c r="AD13" s="378"/>
      <c r="AE13" s="378"/>
      <c r="AF13" s="378"/>
      <c r="AG13" s="378"/>
      <c r="AH13" s="378"/>
      <c r="AI13" s="378"/>
      <c r="AJ13" s="378"/>
      <c r="AK13" s="378"/>
      <c r="AL13" s="378"/>
      <c r="AM13" s="378"/>
      <c r="AN13" s="378"/>
      <c r="AO13" s="378"/>
      <c r="AP13" s="378"/>
      <c r="AQ13" s="378"/>
      <c r="AR13" s="378"/>
      <c r="AS13" s="378"/>
      <c r="AT13" s="378"/>
      <c r="AU13" s="378"/>
      <c r="AV13" s="378"/>
      <c r="AW13" s="378"/>
      <c r="AX13" s="378"/>
      <c r="AY13" s="378"/>
      <c r="AZ13" s="378"/>
      <c r="BA13" s="378"/>
      <c r="BB13" s="378"/>
      <c r="BC13" s="378"/>
      <c r="BD13" s="378"/>
      <c r="BE13" s="378"/>
      <c r="BF13" s="378"/>
      <c r="BG13" s="378"/>
      <c r="BH13" s="378"/>
      <c r="BI13" s="378"/>
      <c r="BJ13" s="378"/>
      <c r="BK13" s="377"/>
      <c r="BM13" s="1">
        <v>7</v>
      </c>
    </row>
    <row r="14" spans="1:65" ht="15" customHeight="1" x14ac:dyDescent="0.25">
      <c r="A14" s="5"/>
      <c r="B14" s="378"/>
      <c r="C14" s="378"/>
      <c r="D14" s="378"/>
      <c r="E14" s="378"/>
      <c r="F14" s="378"/>
      <c r="G14" s="378"/>
      <c r="H14" s="378"/>
      <c r="I14" s="378"/>
      <c r="J14" s="378"/>
      <c r="K14" s="378"/>
      <c r="L14" s="378"/>
      <c r="M14" s="378"/>
      <c r="N14" s="378"/>
      <c r="O14" s="378"/>
      <c r="P14" s="378"/>
      <c r="Q14" s="378"/>
      <c r="R14" s="378"/>
      <c r="S14" s="378"/>
      <c r="T14" s="378"/>
      <c r="U14" s="378"/>
      <c r="V14" s="378"/>
      <c r="W14" s="378"/>
      <c r="X14" s="378"/>
      <c r="Y14" s="378"/>
      <c r="Z14" s="378"/>
      <c r="AA14" s="378"/>
      <c r="AB14" s="378"/>
      <c r="AC14" s="378"/>
      <c r="AD14" s="378"/>
      <c r="AE14" s="378"/>
      <c r="AF14" s="378"/>
      <c r="AG14" s="378"/>
      <c r="AH14" s="378"/>
      <c r="AI14" s="378"/>
      <c r="AJ14" s="378"/>
      <c r="AK14" s="378"/>
      <c r="AL14" s="378"/>
      <c r="AM14" s="378"/>
      <c r="AN14" s="378"/>
      <c r="AO14" s="378"/>
      <c r="AP14" s="378"/>
      <c r="AQ14" s="378"/>
      <c r="AR14" s="378"/>
      <c r="AS14" s="378"/>
      <c r="AT14" s="378"/>
      <c r="AU14" s="378"/>
      <c r="AV14" s="378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78"/>
      <c r="BK14" s="377"/>
      <c r="BM14" s="1">
        <v>8</v>
      </c>
    </row>
    <row r="15" spans="1:65" ht="15" customHeight="1" x14ac:dyDescent="0.25">
      <c r="A15" s="5"/>
      <c r="B15" s="378"/>
      <c r="C15" s="378"/>
      <c r="D15" s="378"/>
      <c r="E15" s="378"/>
      <c r="F15" s="378"/>
      <c r="G15" s="378"/>
      <c r="H15" s="378"/>
      <c r="I15" s="378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8"/>
      <c r="W15" s="378"/>
      <c r="X15" s="378"/>
      <c r="Y15" s="378"/>
      <c r="Z15" s="378"/>
      <c r="AA15" s="378"/>
      <c r="AB15" s="378"/>
      <c r="AC15" s="378"/>
      <c r="AD15" s="378"/>
      <c r="AE15" s="378"/>
      <c r="AF15" s="378"/>
      <c r="AG15" s="378"/>
      <c r="AH15" s="378"/>
      <c r="AI15" s="378"/>
      <c r="AJ15" s="378"/>
      <c r="AK15" s="378"/>
      <c r="AL15" s="378"/>
      <c r="AM15" s="378"/>
      <c r="AN15" s="378"/>
      <c r="AO15" s="378"/>
      <c r="AP15" s="378"/>
      <c r="AQ15" s="378"/>
      <c r="AR15" s="378"/>
      <c r="AS15" s="378"/>
      <c r="AT15" s="378"/>
      <c r="AU15" s="378"/>
      <c r="AV15" s="378"/>
      <c r="AW15" s="378"/>
      <c r="AX15" s="378"/>
      <c r="AY15" s="378"/>
      <c r="AZ15" s="378"/>
      <c r="BA15" s="378"/>
      <c r="BB15" s="378"/>
      <c r="BC15" s="378"/>
      <c r="BD15" s="378"/>
      <c r="BE15" s="378"/>
      <c r="BF15" s="378"/>
      <c r="BG15" s="378"/>
      <c r="BH15" s="378"/>
      <c r="BI15" s="378"/>
      <c r="BJ15" s="378"/>
      <c r="BK15" s="377"/>
      <c r="BM15" s="1">
        <v>9</v>
      </c>
    </row>
    <row r="16" spans="1:65" ht="15" customHeight="1" x14ac:dyDescent="0.25">
      <c r="A16" s="5"/>
      <c r="B16" s="378"/>
      <c r="C16" s="379" t="s">
        <v>3</v>
      </c>
      <c r="D16" s="378"/>
      <c r="E16" s="378"/>
      <c r="F16" s="378"/>
      <c r="G16" s="378"/>
      <c r="H16" s="378"/>
      <c r="I16" s="378"/>
      <c r="J16" s="378"/>
      <c r="K16" s="378"/>
      <c r="L16" s="378"/>
      <c r="M16" s="378"/>
      <c r="N16" s="378"/>
      <c r="O16" s="378"/>
      <c r="P16" s="378"/>
      <c r="Q16" s="378"/>
      <c r="R16" s="378"/>
      <c r="S16" s="378"/>
      <c r="T16" s="378"/>
      <c r="U16" s="378"/>
      <c r="V16" s="378"/>
      <c r="W16" s="378"/>
      <c r="X16" s="378"/>
      <c r="Y16" s="378"/>
      <c r="Z16" s="378"/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7"/>
      <c r="BM16" s="1">
        <v>10</v>
      </c>
    </row>
    <row r="17" spans="1:65" ht="15" customHeight="1" x14ac:dyDescent="0.25">
      <c r="A17" s="5"/>
      <c r="B17" s="378"/>
      <c r="C17" s="378"/>
      <c r="D17" s="378"/>
      <c r="E17" s="378"/>
      <c r="F17" s="378"/>
      <c r="G17" s="378"/>
      <c r="H17" s="378"/>
      <c r="I17" s="378"/>
      <c r="J17" s="378"/>
      <c r="K17" s="378"/>
      <c r="L17" s="378"/>
      <c r="M17" s="378"/>
      <c r="N17" s="378"/>
      <c r="O17" s="378"/>
      <c r="P17" s="378"/>
      <c r="Q17" s="378"/>
      <c r="R17" s="378"/>
      <c r="S17" s="378"/>
      <c r="T17" s="378"/>
      <c r="U17" s="378"/>
      <c r="V17" s="378"/>
      <c r="W17" s="378"/>
      <c r="X17" s="378"/>
      <c r="Y17" s="378"/>
      <c r="Z17" s="378"/>
      <c r="AA17" s="378"/>
      <c r="AB17" s="378"/>
      <c r="AC17" s="378"/>
      <c r="AD17" s="378"/>
      <c r="AE17" s="378"/>
      <c r="AF17" s="378"/>
      <c r="AG17" s="378"/>
      <c r="AH17" s="378"/>
      <c r="AI17" s="378"/>
      <c r="AJ17" s="378"/>
      <c r="AK17" s="378"/>
      <c r="AL17" s="378"/>
      <c r="AM17" s="378"/>
      <c r="AN17" s="378"/>
      <c r="AO17" s="378"/>
      <c r="AP17" s="378"/>
      <c r="AQ17" s="378"/>
      <c r="AR17" s="378"/>
      <c r="AS17" s="378"/>
      <c r="AT17" s="378"/>
      <c r="AU17" s="378"/>
      <c r="AV17" s="378"/>
      <c r="AW17" s="378"/>
      <c r="AX17" s="378"/>
      <c r="AY17" s="378"/>
      <c r="AZ17" s="378"/>
      <c r="BA17" s="378"/>
      <c r="BB17" s="378"/>
      <c r="BC17" s="378"/>
      <c r="BD17" s="378"/>
      <c r="BE17" s="378"/>
      <c r="BF17" s="378"/>
      <c r="BG17" s="378"/>
      <c r="BH17" s="378"/>
      <c r="BI17" s="378"/>
      <c r="BJ17" s="378"/>
      <c r="BK17" s="377"/>
      <c r="BM17" s="1">
        <v>11</v>
      </c>
    </row>
    <row r="18" spans="1:65" ht="15" customHeight="1" x14ac:dyDescent="0.25">
      <c r="A18" s="5"/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  <c r="Z18" s="378"/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78"/>
      <c r="AN18" s="378"/>
      <c r="AO18" s="378"/>
      <c r="AP18" s="378"/>
      <c r="AQ18" s="378"/>
      <c r="AR18" s="378"/>
      <c r="AS18" s="378"/>
      <c r="AT18" s="378"/>
      <c r="AU18" s="378"/>
      <c r="AV18" s="378"/>
      <c r="AW18" s="378"/>
      <c r="AX18" s="378"/>
      <c r="AY18" s="378"/>
      <c r="AZ18" s="378"/>
      <c r="BA18" s="378"/>
      <c r="BB18" s="378"/>
      <c r="BC18" s="378"/>
      <c r="BD18" s="378"/>
      <c r="BE18" s="378"/>
      <c r="BF18" s="378"/>
      <c r="BG18" s="378"/>
      <c r="BH18" s="378"/>
      <c r="BI18" s="378"/>
      <c r="BJ18" s="378"/>
      <c r="BK18" s="377"/>
      <c r="BM18" s="1">
        <v>12</v>
      </c>
    </row>
    <row r="19" spans="1:65" ht="15" customHeight="1" x14ac:dyDescent="0.25">
      <c r="A19" s="5"/>
      <c r="B19" s="378"/>
      <c r="C19" s="380" t="s">
        <v>4</v>
      </c>
      <c r="D19" s="381"/>
      <c r="E19" s="382" t="s">
        <v>5</v>
      </c>
      <c r="F19" s="383"/>
      <c r="G19" s="383"/>
      <c r="H19" s="383"/>
      <c r="I19" s="383"/>
      <c r="J19" s="383"/>
      <c r="K19" s="381"/>
      <c r="L19" s="382" t="s">
        <v>26</v>
      </c>
      <c r="M19" s="383"/>
      <c r="N19" s="381"/>
      <c r="O19" s="384" t="s">
        <v>6</v>
      </c>
      <c r="P19" s="385" t="s">
        <v>27</v>
      </c>
      <c r="Q19" s="386" t="s">
        <v>7</v>
      </c>
      <c r="R19" s="387"/>
      <c r="S19" s="387"/>
      <c r="T19" s="387"/>
      <c r="U19" s="387"/>
      <c r="V19" s="387"/>
      <c r="W19" s="387"/>
      <c r="X19" s="387"/>
      <c r="Y19" s="387"/>
      <c r="Z19" s="387"/>
      <c r="AA19" s="387"/>
      <c r="AB19" s="387"/>
      <c r="AC19" s="387"/>
      <c r="AD19" s="387"/>
      <c r="AE19" s="387"/>
      <c r="AF19" s="387"/>
      <c r="AG19" s="387"/>
      <c r="AH19" s="387"/>
      <c r="AI19" s="387"/>
      <c r="AJ19" s="387"/>
      <c r="AK19" s="387"/>
      <c r="AL19" s="387"/>
      <c r="AM19" s="387"/>
      <c r="AN19" s="387"/>
      <c r="AO19" s="387"/>
      <c r="AP19" s="387"/>
      <c r="AQ19" s="387"/>
      <c r="AR19" s="388"/>
      <c r="AS19" s="389" t="s">
        <v>8</v>
      </c>
      <c r="AT19" s="390"/>
      <c r="AU19" s="390"/>
      <c r="AV19" s="390"/>
      <c r="AW19" s="390"/>
      <c r="AX19" s="390"/>
      <c r="AY19" s="390"/>
      <c r="AZ19" s="390"/>
      <c r="BA19" s="390"/>
      <c r="BB19" s="390"/>
      <c r="BC19" s="391"/>
      <c r="BD19" s="392" t="s">
        <v>9</v>
      </c>
      <c r="BE19" s="393"/>
      <c r="BF19" s="393"/>
      <c r="BG19" s="393"/>
      <c r="BH19" s="393"/>
      <c r="BI19" s="393"/>
      <c r="BJ19" s="394"/>
      <c r="BK19" s="377"/>
      <c r="BM19" s="1">
        <v>13</v>
      </c>
    </row>
    <row r="20" spans="1:65" ht="15" customHeight="1" x14ac:dyDescent="0.25">
      <c r="A20" s="5"/>
      <c r="B20" s="378"/>
      <c r="C20" s="395"/>
      <c r="D20" s="396"/>
      <c r="E20" s="395"/>
      <c r="F20" s="397"/>
      <c r="G20" s="397"/>
      <c r="H20" s="397"/>
      <c r="I20" s="397"/>
      <c r="J20" s="397"/>
      <c r="K20" s="396"/>
      <c r="L20" s="395"/>
      <c r="M20" s="397"/>
      <c r="N20" s="396"/>
      <c r="O20" s="398"/>
      <c r="P20" s="399"/>
      <c r="Q20" s="400" t="s">
        <v>10</v>
      </c>
      <c r="R20" s="401"/>
      <c r="S20" s="401"/>
      <c r="T20" s="401"/>
      <c r="U20" s="401"/>
      <c r="V20" s="401"/>
      <c r="W20" s="401"/>
      <c r="X20" s="402"/>
      <c r="Y20" s="403" t="s">
        <v>11</v>
      </c>
      <c r="Z20" s="404"/>
      <c r="AA20" s="405"/>
      <c r="AB20" s="403" t="s">
        <v>12</v>
      </c>
      <c r="AC20" s="404"/>
      <c r="AD20" s="404"/>
      <c r="AE20" s="404"/>
      <c r="AF20" s="404"/>
      <c r="AG20" s="404"/>
      <c r="AH20" s="404"/>
      <c r="AI20" s="405"/>
      <c r="AJ20" s="403" t="s">
        <v>13</v>
      </c>
      <c r="AK20" s="404"/>
      <c r="AL20" s="404"/>
      <c r="AM20" s="404"/>
      <c r="AN20" s="404"/>
      <c r="AO20" s="404"/>
      <c r="AP20" s="404"/>
      <c r="AQ20" s="404"/>
      <c r="AR20" s="405"/>
      <c r="AS20" s="406" t="s">
        <v>14</v>
      </c>
      <c r="AT20" s="407" t="s">
        <v>15</v>
      </c>
      <c r="AU20" s="408" t="s">
        <v>16</v>
      </c>
      <c r="AV20" s="389" t="s">
        <v>10</v>
      </c>
      <c r="AW20" s="390"/>
      <c r="AX20" s="390"/>
      <c r="AY20" s="390"/>
      <c r="AZ20" s="390"/>
      <c r="BA20" s="390"/>
      <c r="BB20" s="390"/>
      <c r="BC20" s="391"/>
      <c r="BD20" s="409"/>
      <c r="BE20" s="410"/>
      <c r="BF20" s="410"/>
      <c r="BG20" s="410"/>
      <c r="BH20" s="410"/>
      <c r="BI20" s="410"/>
      <c r="BJ20" s="411"/>
      <c r="BK20" s="377"/>
      <c r="BM20" s="1">
        <v>14</v>
      </c>
    </row>
    <row r="21" spans="1:65" ht="15" customHeight="1" x14ac:dyDescent="0.25">
      <c r="A21" s="5"/>
      <c r="B21" s="378"/>
      <c r="C21" s="412"/>
      <c r="D21" s="413"/>
      <c r="E21" s="412"/>
      <c r="F21" s="414"/>
      <c r="G21" s="414"/>
      <c r="H21" s="414"/>
      <c r="I21" s="414"/>
      <c r="J21" s="414"/>
      <c r="K21" s="413"/>
      <c r="L21" s="412"/>
      <c r="M21" s="414"/>
      <c r="N21" s="413"/>
      <c r="O21" s="415"/>
      <c r="P21" s="416"/>
      <c r="Q21" s="386" t="s">
        <v>24</v>
      </c>
      <c r="R21" s="387"/>
      <c r="S21" s="387"/>
      <c r="T21" s="388"/>
      <c r="U21" s="386" t="s">
        <v>5</v>
      </c>
      <c r="V21" s="387"/>
      <c r="W21" s="387"/>
      <c r="X21" s="388"/>
      <c r="Y21" s="417"/>
      <c r="Z21" s="418"/>
      <c r="AA21" s="419"/>
      <c r="AB21" s="417"/>
      <c r="AC21" s="418"/>
      <c r="AD21" s="418"/>
      <c r="AE21" s="418"/>
      <c r="AF21" s="418"/>
      <c r="AG21" s="418"/>
      <c r="AH21" s="418"/>
      <c r="AI21" s="419"/>
      <c r="AJ21" s="417"/>
      <c r="AK21" s="418"/>
      <c r="AL21" s="418"/>
      <c r="AM21" s="418"/>
      <c r="AN21" s="418"/>
      <c r="AO21" s="418"/>
      <c r="AP21" s="418"/>
      <c r="AQ21" s="418"/>
      <c r="AR21" s="419"/>
      <c r="AS21" s="420"/>
      <c r="AT21" s="421"/>
      <c r="AU21" s="422"/>
      <c r="AV21" s="389" t="s">
        <v>24</v>
      </c>
      <c r="AW21" s="390"/>
      <c r="AX21" s="390"/>
      <c r="AY21" s="423"/>
      <c r="AZ21" s="424" t="s">
        <v>5</v>
      </c>
      <c r="BA21" s="390"/>
      <c r="BB21" s="390"/>
      <c r="BC21" s="391"/>
      <c r="BD21" s="425"/>
      <c r="BE21" s="426"/>
      <c r="BF21" s="426"/>
      <c r="BG21" s="426"/>
      <c r="BH21" s="426"/>
      <c r="BI21" s="426"/>
      <c r="BJ21" s="427"/>
      <c r="BK21" s="377"/>
      <c r="BM21" s="1">
        <v>15</v>
      </c>
    </row>
    <row r="22" spans="1:65" ht="102" customHeight="1" x14ac:dyDescent="0.25">
      <c r="A22" s="5"/>
      <c r="B22" s="378"/>
      <c r="C22" s="335">
        <v>1</v>
      </c>
      <c r="D22" s="336"/>
      <c r="E22" s="337" t="s">
        <v>33</v>
      </c>
      <c r="F22" s="338"/>
      <c r="G22" s="338"/>
      <c r="H22" s="338"/>
      <c r="I22" s="338"/>
      <c r="J22" s="338"/>
      <c r="K22" s="339"/>
      <c r="L22" s="337" t="s">
        <v>22</v>
      </c>
      <c r="M22" s="338"/>
      <c r="N22" s="339"/>
      <c r="O22" s="340" t="s">
        <v>29</v>
      </c>
      <c r="P22" s="340" t="s">
        <v>18</v>
      </c>
      <c r="Q22" s="335" t="s">
        <v>17</v>
      </c>
      <c r="R22" s="342"/>
      <c r="S22" s="342"/>
      <c r="T22" s="336"/>
      <c r="U22" s="335" t="s">
        <v>17</v>
      </c>
      <c r="V22" s="342"/>
      <c r="W22" s="342"/>
      <c r="X22" s="336"/>
      <c r="Y22" s="343"/>
      <c r="Z22" s="344"/>
      <c r="AA22" s="345"/>
      <c r="AB22" s="354" t="s">
        <v>36</v>
      </c>
      <c r="AC22" s="355"/>
      <c r="AD22" s="355"/>
      <c r="AE22" s="355"/>
      <c r="AF22" s="355"/>
      <c r="AG22" s="355"/>
      <c r="AH22" s="355"/>
      <c r="AI22" s="356"/>
      <c r="AJ22" s="428" t="s">
        <v>160</v>
      </c>
      <c r="AK22" s="347"/>
      <c r="AL22" s="347"/>
      <c r="AM22" s="347"/>
      <c r="AN22" s="347"/>
      <c r="AO22" s="347"/>
      <c r="AP22" s="347"/>
      <c r="AQ22" s="347"/>
      <c r="AR22" s="348"/>
      <c r="AS22" s="349" t="s">
        <v>17</v>
      </c>
      <c r="AT22" s="349" t="s">
        <v>19</v>
      </c>
      <c r="AU22" s="349" t="s">
        <v>19</v>
      </c>
      <c r="AV22" s="335" t="s">
        <v>17</v>
      </c>
      <c r="AW22" s="342"/>
      <c r="AX22" s="342"/>
      <c r="AY22" s="336"/>
      <c r="AZ22" s="335" t="s">
        <v>19</v>
      </c>
      <c r="BA22" s="342"/>
      <c r="BB22" s="342"/>
      <c r="BC22" s="336"/>
      <c r="BD22" s="343" t="s">
        <v>161</v>
      </c>
      <c r="BE22" s="344"/>
      <c r="BF22" s="344"/>
      <c r="BG22" s="344"/>
      <c r="BH22" s="344"/>
      <c r="BI22" s="344"/>
      <c r="BJ22" s="345"/>
      <c r="BK22" s="377"/>
      <c r="BM22" s="1">
        <v>16</v>
      </c>
    </row>
    <row r="23" spans="1:65" ht="95.25" customHeight="1" x14ac:dyDescent="0.25">
      <c r="A23" s="5"/>
      <c r="B23" s="378"/>
      <c r="C23" s="351">
        <v>2</v>
      </c>
      <c r="D23" s="352"/>
      <c r="E23" s="332" t="s">
        <v>34</v>
      </c>
      <c r="F23" s="333"/>
      <c r="G23" s="333"/>
      <c r="H23" s="333"/>
      <c r="I23" s="333"/>
      <c r="J23" s="333"/>
      <c r="K23" s="334"/>
      <c r="L23" s="332" t="s">
        <v>22</v>
      </c>
      <c r="M23" s="333"/>
      <c r="N23" s="334"/>
      <c r="O23" s="353" t="s">
        <v>29</v>
      </c>
      <c r="P23" s="353" t="s">
        <v>18</v>
      </c>
      <c r="Q23" s="351" t="s">
        <v>17</v>
      </c>
      <c r="R23" s="357"/>
      <c r="S23" s="357"/>
      <c r="T23" s="352"/>
      <c r="U23" s="351" t="s">
        <v>17</v>
      </c>
      <c r="V23" s="357"/>
      <c r="W23" s="357"/>
      <c r="X23" s="352"/>
      <c r="Y23" s="354" t="s">
        <v>17</v>
      </c>
      <c r="Z23" s="355"/>
      <c r="AA23" s="356"/>
      <c r="AB23" s="354" t="s">
        <v>36</v>
      </c>
      <c r="AC23" s="355"/>
      <c r="AD23" s="355"/>
      <c r="AE23" s="355"/>
      <c r="AF23" s="355"/>
      <c r="AG23" s="355"/>
      <c r="AH23" s="355"/>
      <c r="AI23" s="356"/>
      <c r="AJ23" s="223" t="s">
        <v>162</v>
      </c>
      <c r="AK23" s="224"/>
      <c r="AL23" s="224"/>
      <c r="AM23" s="224"/>
      <c r="AN23" s="224"/>
      <c r="AO23" s="224"/>
      <c r="AP23" s="224"/>
      <c r="AQ23" s="224"/>
      <c r="AR23" s="225"/>
      <c r="AS23" s="361" t="s">
        <v>17</v>
      </c>
      <c r="AT23" s="361" t="s">
        <v>19</v>
      </c>
      <c r="AU23" s="361" t="s">
        <v>19</v>
      </c>
      <c r="AV23" s="351" t="s">
        <v>17</v>
      </c>
      <c r="AW23" s="357"/>
      <c r="AX23" s="357"/>
      <c r="AY23" s="352"/>
      <c r="AZ23" s="351" t="s">
        <v>19</v>
      </c>
      <c r="BA23" s="357"/>
      <c r="BB23" s="357"/>
      <c r="BC23" s="352"/>
      <c r="BD23" s="354"/>
      <c r="BE23" s="355"/>
      <c r="BF23" s="355"/>
      <c r="BG23" s="355"/>
      <c r="BH23" s="355"/>
      <c r="BI23" s="355"/>
      <c r="BJ23" s="356"/>
      <c r="BK23" s="377"/>
      <c r="BM23" s="1">
        <v>17</v>
      </c>
    </row>
    <row r="24" spans="1:65" ht="104.25" customHeight="1" x14ac:dyDescent="0.25">
      <c r="A24" s="5"/>
      <c r="B24" s="378"/>
      <c r="C24" s="351">
        <v>3</v>
      </c>
      <c r="D24" s="352"/>
      <c r="E24" s="332" t="s">
        <v>35</v>
      </c>
      <c r="F24" s="333"/>
      <c r="G24" s="333"/>
      <c r="H24" s="333"/>
      <c r="I24" s="333"/>
      <c r="J24" s="333"/>
      <c r="K24" s="334"/>
      <c r="L24" s="332" t="s">
        <v>31</v>
      </c>
      <c r="M24" s="333"/>
      <c r="N24" s="334"/>
      <c r="O24" s="353" t="s">
        <v>21</v>
      </c>
      <c r="P24" s="353" t="s">
        <v>18</v>
      </c>
      <c r="Q24" s="351" t="s">
        <v>17</v>
      </c>
      <c r="R24" s="357"/>
      <c r="S24" s="357"/>
      <c r="T24" s="352"/>
      <c r="U24" s="351" t="s">
        <v>17</v>
      </c>
      <c r="V24" s="357"/>
      <c r="W24" s="357"/>
      <c r="X24" s="352"/>
      <c r="Y24" s="204" t="s">
        <v>163</v>
      </c>
      <c r="Z24" s="205"/>
      <c r="AA24" s="206"/>
      <c r="AB24" s="354" t="s">
        <v>36</v>
      </c>
      <c r="AC24" s="355"/>
      <c r="AD24" s="355"/>
      <c r="AE24" s="355"/>
      <c r="AF24" s="355"/>
      <c r="AG24" s="355"/>
      <c r="AH24" s="355"/>
      <c r="AI24" s="356"/>
      <c r="AJ24" s="429" t="s">
        <v>164</v>
      </c>
      <c r="AK24" s="359"/>
      <c r="AL24" s="359"/>
      <c r="AM24" s="359"/>
      <c r="AN24" s="359"/>
      <c r="AO24" s="359"/>
      <c r="AP24" s="359"/>
      <c r="AQ24" s="359"/>
      <c r="AR24" s="360"/>
      <c r="AS24" s="361" t="s">
        <v>17</v>
      </c>
      <c r="AT24" s="361" t="s">
        <v>19</v>
      </c>
      <c r="AU24" s="361" t="s">
        <v>19</v>
      </c>
      <c r="AV24" s="351" t="s">
        <v>17</v>
      </c>
      <c r="AW24" s="357"/>
      <c r="AX24" s="357"/>
      <c r="AY24" s="352"/>
      <c r="AZ24" s="351" t="s">
        <v>19</v>
      </c>
      <c r="BA24" s="357"/>
      <c r="BB24" s="357"/>
      <c r="BC24" s="352"/>
      <c r="BD24" s="430" t="s">
        <v>165</v>
      </c>
      <c r="BE24" s="431"/>
      <c r="BF24" s="431"/>
      <c r="BG24" s="431"/>
      <c r="BH24" s="431"/>
      <c r="BI24" s="431"/>
      <c r="BJ24" s="432"/>
      <c r="BK24" s="377"/>
      <c r="BM24" s="1">
        <v>18</v>
      </c>
    </row>
    <row r="25" spans="1:65" ht="100.5" customHeight="1" x14ac:dyDescent="0.25">
      <c r="A25" s="5"/>
      <c r="B25" s="378"/>
      <c r="C25" s="351">
        <v>4</v>
      </c>
      <c r="D25" s="352"/>
      <c r="E25" s="332" t="s">
        <v>37</v>
      </c>
      <c r="F25" s="333"/>
      <c r="G25" s="333"/>
      <c r="H25" s="333"/>
      <c r="I25" s="333"/>
      <c r="J25" s="333"/>
      <c r="K25" s="334"/>
      <c r="L25" s="332" t="s">
        <v>31</v>
      </c>
      <c r="M25" s="333"/>
      <c r="N25" s="334"/>
      <c r="O25" s="353" t="s">
        <v>21</v>
      </c>
      <c r="P25" s="353" t="s">
        <v>18</v>
      </c>
      <c r="Q25" s="351" t="s">
        <v>17</v>
      </c>
      <c r="R25" s="357"/>
      <c r="S25" s="357"/>
      <c r="T25" s="352"/>
      <c r="U25" s="351" t="s">
        <v>17</v>
      </c>
      <c r="V25" s="357"/>
      <c r="W25" s="357"/>
      <c r="X25" s="352"/>
      <c r="Y25" s="204" t="s">
        <v>166</v>
      </c>
      <c r="Z25" s="205"/>
      <c r="AA25" s="206"/>
      <c r="AB25" s="354" t="s">
        <v>36</v>
      </c>
      <c r="AC25" s="355"/>
      <c r="AD25" s="355"/>
      <c r="AE25" s="355"/>
      <c r="AF25" s="355"/>
      <c r="AG25" s="355"/>
      <c r="AH25" s="355"/>
      <c r="AI25" s="356"/>
      <c r="AJ25" s="429" t="s">
        <v>167</v>
      </c>
      <c r="AK25" s="359"/>
      <c r="AL25" s="359"/>
      <c r="AM25" s="359"/>
      <c r="AN25" s="359"/>
      <c r="AO25" s="359"/>
      <c r="AP25" s="359"/>
      <c r="AQ25" s="359"/>
      <c r="AR25" s="360"/>
      <c r="AS25" s="361" t="s">
        <v>17</v>
      </c>
      <c r="AT25" s="361" t="s">
        <v>19</v>
      </c>
      <c r="AU25" s="361" t="s">
        <v>19</v>
      </c>
      <c r="AV25" s="351" t="s">
        <v>17</v>
      </c>
      <c r="AW25" s="357"/>
      <c r="AX25" s="357"/>
      <c r="AY25" s="352"/>
      <c r="AZ25" s="351" t="s">
        <v>19</v>
      </c>
      <c r="BA25" s="357"/>
      <c r="BB25" s="357"/>
      <c r="BC25" s="352"/>
      <c r="BD25" s="354" t="s">
        <v>168</v>
      </c>
      <c r="BE25" s="355"/>
      <c r="BF25" s="355"/>
      <c r="BG25" s="355"/>
      <c r="BH25" s="355"/>
      <c r="BI25" s="355"/>
      <c r="BJ25" s="356"/>
      <c r="BK25" s="377"/>
      <c r="BM25" s="1">
        <v>19</v>
      </c>
    </row>
    <row r="26" spans="1:65" ht="84.75" customHeight="1" x14ac:dyDescent="0.25">
      <c r="A26" s="5"/>
      <c r="B26" s="378"/>
      <c r="C26" s="351">
        <v>5</v>
      </c>
      <c r="D26" s="352"/>
      <c r="E26" s="332" t="s">
        <v>38</v>
      </c>
      <c r="F26" s="333"/>
      <c r="G26" s="333"/>
      <c r="H26" s="333"/>
      <c r="I26" s="333"/>
      <c r="J26" s="333"/>
      <c r="K26" s="334"/>
      <c r="L26" s="332" t="s">
        <v>31</v>
      </c>
      <c r="M26" s="333"/>
      <c r="N26" s="334"/>
      <c r="O26" s="353" t="s">
        <v>21</v>
      </c>
      <c r="P26" s="353" t="s">
        <v>18</v>
      </c>
      <c r="Q26" s="351" t="s">
        <v>17</v>
      </c>
      <c r="R26" s="357"/>
      <c r="S26" s="357"/>
      <c r="T26" s="352"/>
      <c r="U26" s="351" t="s">
        <v>17</v>
      </c>
      <c r="V26" s="357"/>
      <c r="W26" s="357"/>
      <c r="X26" s="352"/>
      <c r="Y26" s="204" t="s">
        <v>169</v>
      </c>
      <c r="Z26" s="205"/>
      <c r="AA26" s="206"/>
      <c r="AB26" s="354" t="s">
        <v>36</v>
      </c>
      <c r="AC26" s="355"/>
      <c r="AD26" s="355"/>
      <c r="AE26" s="355"/>
      <c r="AF26" s="355"/>
      <c r="AG26" s="355"/>
      <c r="AH26" s="355"/>
      <c r="AI26" s="356"/>
      <c r="AJ26" s="429" t="s">
        <v>170</v>
      </c>
      <c r="AK26" s="359"/>
      <c r="AL26" s="359"/>
      <c r="AM26" s="359"/>
      <c r="AN26" s="359"/>
      <c r="AO26" s="359"/>
      <c r="AP26" s="359"/>
      <c r="AQ26" s="359"/>
      <c r="AR26" s="360"/>
      <c r="AS26" s="361" t="s">
        <v>17</v>
      </c>
      <c r="AT26" s="361" t="s">
        <v>19</v>
      </c>
      <c r="AU26" s="361" t="s">
        <v>19</v>
      </c>
      <c r="AV26" s="351" t="s">
        <v>17</v>
      </c>
      <c r="AW26" s="357"/>
      <c r="AX26" s="357"/>
      <c r="AY26" s="352"/>
      <c r="AZ26" s="351" t="s">
        <v>19</v>
      </c>
      <c r="BA26" s="357"/>
      <c r="BB26" s="357"/>
      <c r="BC26" s="352"/>
      <c r="BD26" s="354" t="s">
        <v>171</v>
      </c>
      <c r="BE26" s="355"/>
      <c r="BF26" s="355"/>
      <c r="BG26" s="355"/>
      <c r="BH26" s="355"/>
      <c r="BI26" s="355"/>
      <c r="BJ26" s="356"/>
      <c r="BK26" s="377"/>
      <c r="BM26" s="1">
        <v>20</v>
      </c>
    </row>
    <row r="27" spans="1:65" ht="84.75" customHeight="1" x14ac:dyDescent="0.25">
      <c r="A27" s="5"/>
      <c r="B27" s="378"/>
      <c r="C27" s="433">
        <v>6</v>
      </c>
      <c r="D27" s="434"/>
      <c r="E27" s="435" t="s">
        <v>39</v>
      </c>
      <c r="F27" s="436"/>
      <c r="G27" s="436"/>
      <c r="H27" s="436"/>
      <c r="I27" s="436"/>
      <c r="J27" s="436"/>
      <c r="K27" s="437"/>
      <c r="L27" s="435" t="s">
        <v>31</v>
      </c>
      <c r="M27" s="436"/>
      <c r="N27" s="437"/>
      <c r="O27" s="438" t="s">
        <v>21</v>
      </c>
      <c r="P27" s="438" t="s">
        <v>18</v>
      </c>
      <c r="Q27" s="433" t="s">
        <v>17</v>
      </c>
      <c r="R27" s="439"/>
      <c r="S27" s="439"/>
      <c r="T27" s="434"/>
      <c r="U27" s="433" t="s">
        <v>17</v>
      </c>
      <c r="V27" s="439"/>
      <c r="W27" s="439"/>
      <c r="X27" s="434"/>
      <c r="Y27" s="220" t="s">
        <v>172</v>
      </c>
      <c r="Z27" s="221"/>
      <c r="AA27" s="222"/>
      <c r="AB27" s="440" t="s">
        <v>36</v>
      </c>
      <c r="AC27" s="441"/>
      <c r="AD27" s="441"/>
      <c r="AE27" s="441"/>
      <c r="AF27" s="441"/>
      <c r="AG27" s="441"/>
      <c r="AH27" s="441"/>
      <c r="AI27" s="442"/>
      <c r="AJ27" s="443" t="s">
        <v>173</v>
      </c>
      <c r="AK27" s="444"/>
      <c r="AL27" s="444"/>
      <c r="AM27" s="444"/>
      <c r="AN27" s="444"/>
      <c r="AO27" s="444"/>
      <c r="AP27" s="444"/>
      <c r="AQ27" s="444"/>
      <c r="AR27" s="445"/>
      <c r="AS27" s="446" t="s">
        <v>17</v>
      </c>
      <c r="AT27" s="446" t="s">
        <v>19</v>
      </c>
      <c r="AU27" s="446" t="s">
        <v>19</v>
      </c>
      <c r="AV27" s="433" t="s">
        <v>17</v>
      </c>
      <c r="AW27" s="439"/>
      <c r="AX27" s="439"/>
      <c r="AY27" s="434"/>
      <c r="AZ27" s="433" t="s">
        <v>19</v>
      </c>
      <c r="BA27" s="439"/>
      <c r="BB27" s="439"/>
      <c r="BC27" s="434"/>
      <c r="BD27" s="440" t="s">
        <v>174</v>
      </c>
      <c r="BE27" s="441"/>
      <c r="BF27" s="441"/>
      <c r="BG27" s="441"/>
      <c r="BH27" s="441"/>
      <c r="BI27" s="441"/>
      <c r="BJ27" s="442"/>
      <c r="BK27" s="377"/>
      <c r="BM27" s="1">
        <v>21</v>
      </c>
    </row>
    <row r="28" spans="1:65" ht="15" customHeight="1" x14ac:dyDescent="0.25">
      <c r="A28" s="5"/>
      <c r="BK28" s="377"/>
      <c r="BM28" s="1">
        <v>22</v>
      </c>
    </row>
    <row r="29" spans="1:65" ht="15" customHeight="1" x14ac:dyDescent="0.25">
      <c r="A29" s="5"/>
      <c r="BK29" s="6"/>
      <c r="BM29" s="1">
        <v>23</v>
      </c>
    </row>
    <row r="30" spans="1:65" ht="15" customHeight="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4"/>
      <c r="BM30" s="1">
        <v>24</v>
      </c>
    </row>
  </sheetData>
  <mergeCells count="106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22:D22"/>
    <mergeCell ref="E22:K22"/>
    <mergeCell ref="L22:N22"/>
    <mergeCell ref="Q22:T22"/>
    <mergeCell ref="U22:X22"/>
    <mergeCell ref="Q19:AR19"/>
    <mergeCell ref="AS19:BC19"/>
    <mergeCell ref="BD19:BJ21"/>
    <mergeCell ref="Q20:X20"/>
    <mergeCell ref="Y20:AA21"/>
    <mergeCell ref="AB20:AI21"/>
    <mergeCell ref="AJ20:AR21"/>
    <mergeCell ref="AS20:AS21"/>
    <mergeCell ref="AT20:AT21"/>
    <mergeCell ref="AU20:AU21"/>
    <mergeCell ref="C19:D21"/>
    <mergeCell ref="E19:K21"/>
    <mergeCell ref="L19:N21"/>
    <mergeCell ref="O19:O21"/>
    <mergeCell ref="P19:P21"/>
    <mergeCell ref="Y22:AA22"/>
    <mergeCell ref="AB22:AI22"/>
    <mergeCell ref="AJ22:AR22"/>
    <mergeCell ref="AV22:AY22"/>
    <mergeCell ref="AZ22:BC22"/>
    <mergeCell ref="BD22:BJ22"/>
    <mergeCell ref="AV20:BC20"/>
    <mergeCell ref="Q21:T21"/>
    <mergeCell ref="U21:X21"/>
    <mergeCell ref="AV21:AY21"/>
    <mergeCell ref="AZ21:BC21"/>
    <mergeCell ref="C24:D24"/>
    <mergeCell ref="E24:K24"/>
    <mergeCell ref="L24:N24"/>
    <mergeCell ref="Q24:T24"/>
    <mergeCell ref="U24:X24"/>
    <mergeCell ref="C23:D23"/>
    <mergeCell ref="E23:K23"/>
    <mergeCell ref="L23:N23"/>
    <mergeCell ref="Q23:T23"/>
    <mergeCell ref="U23:X23"/>
    <mergeCell ref="Y24:AA24"/>
    <mergeCell ref="AB24:AI24"/>
    <mergeCell ref="AJ24:AR24"/>
    <mergeCell ref="AV24:AY24"/>
    <mergeCell ref="AZ24:BC24"/>
    <mergeCell ref="BD24:BJ24"/>
    <mergeCell ref="AB23:AI23"/>
    <mergeCell ref="AJ23:AR23"/>
    <mergeCell ref="AV23:AY23"/>
    <mergeCell ref="AZ23:BC23"/>
    <mergeCell ref="BD23:BJ23"/>
    <mergeCell ref="Y23:AA23"/>
    <mergeCell ref="C26:D26"/>
    <mergeCell ref="E26:K26"/>
    <mergeCell ref="L26:N26"/>
    <mergeCell ref="Q26:T26"/>
    <mergeCell ref="U26:X26"/>
    <mergeCell ref="C25:D25"/>
    <mergeCell ref="E25:K25"/>
    <mergeCell ref="L25:N25"/>
    <mergeCell ref="Q25:T25"/>
    <mergeCell ref="U25:X25"/>
    <mergeCell ref="Y26:AA26"/>
    <mergeCell ref="AB26:AI26"/>
    <mergeCell ref="AJ26:AR26"/>
    <mergeCell ref="AV26:AY26"/>
    <mergeCell ref="AZ26:BC26"/>
    <mergeCell ref="BD26:BJ26"/>
    <mergeCell ref="AB25:AI25"/>
    <mergeCell ref="AJ25:AR25"/>
    <mergeCell ref="AV25:AY25"/>
    <mergeCell ref="AZ25:BC25"/>
    <mergeCell ref="BD25:BJ25"/>
    <mergeCell ref="Y25:AA25"/>
    <mergeCell ref="AB27:AI27"/>
    <mergeCell ref="AJ27:AR27"/>
    <mergeCell ref="AV27:AY27"/>
    <mergeCell ref="AZ27:BC27"/>
    <mergeCell ref="BD27:BJ27"/>
    <mergeCell ref="C27:D27"/>
    <mergeCell ref="E27:K27"/>
    <mergeCell ref="L27:N27"/>
    <mergeCell ref="Q27:T27"/>
    <mergeCell ref="U27:X27"/>
    <mergeCell ref="Y27:AA27"/>
  </mergeCells>
  <dataValidations count="1">
    <dataValidation type="list" allowBlank="1" showInputMessage="1" showErrorMessage="1" sqref="P22:P27" xr:uid="{00000000-0002-0000-04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3731-0528-4339-978B-224F819BC52D}">
  <sheetPr>
    <pageSetUpPr fitToPage="1"/>
  </sheetPr>
  <dimension ref="A1:BK61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"/>
  </cols>
  <sheetData>
    <row r="1" spans="1:63" ht="24.95" customHeight="1" x14ac:dyDescent="0.25">
      <c r="A1" s="313" t="s">
        <v>74</v>
      </c>
      <c r="B1" s="314"/>
      <c r="C1" s="314"/>
      <c r="D1" s="314"/>
      <c r="E1" s="314"/>
      <c r="F1" s="314"/>
      <c r="G1" s="314"/>
      <c r="H1" s="314"/>
      <c r="I1" s="314"/>
      <c r="J1" s="315"/>
      <c r="K1" s="313" t="s">
        <v>75</v>
      </c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5"/>
      <c r="W1" s="316" t="str">
        <f>IF(表紙!W1="","",表紙!W1)</f>
        <v>詳細設計書</v>
      </c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8"/>
      <c r="AP1" s="233" t="s">
        <v>77</v>
      </c>
      <c r="AQ1" s="234"/>
      <c r="AR1" s="234"/>
      <c r="AS1" s="235"/>
      <c r="AT1" s="233" t="s">
        <v>78</v>
      </c>
      <c r="AU1" s="234"/>
      <c r="AV1" s="234"/>
      <c r="AW1" s="234"/>
      <c r="AX1" s="235"/>
      <c r="AY1" s="233" t="s">
        <v>79</v>
      </c>
      <c r="AZ1" s="234"/>
      <c r="BA1" s="234"/>
      <c r="BB1" s="235"/>
      <c r="BC1" s="233" t="s">
        <v>80</v>
      </c>
      <c r="BD1" s="234"/>
      <c r="BE1" s="234"/>
      <c r="BF1" s="234"/>
      <c r="BG1" s="235"/>
      <c r="BH1" s="233" t="s">
        <v>81</v>
      </c>
      <c r="BI1" s="234"/>
      <c r="BJ1" s="234"/>
      <c r="BK1" s="235"/>
    </row>
    <row r="2" spans="1:63" ht="15" customHeight="1" x14ac:dyDescent="0.25">
      <c r="A2" s="43" t="str">
        <f>IF(表紙!A2="","",表紙!A2)</f>
        <v>POSサーバー</v>
      </c>
      <c r="B2" s="44"/>
      <c r="C2" s="44"/>
      <c r="D2" s="44"/>
      <c r="E2" s="44"/>
      <c r="F2" s="44"/>
      <c r="G2" s="44"/>
      <c r="H2" s="44"/>
      <c r="I2" s="44"/>
      <c r="J2" s="45"/>
      <c r="K2" s="43" t="str">
        <f>IF(表紙!K2="","",表紙!K2)</f>
        <v>POSサーバ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5"/>
      <c r="W2" s="319"/>
      <c r="X2" s="320"/>
      <c r="Y2" s="320"/>
      <c r="Z2" s="320"/>
      <c r="AA2" s="320"/>
      <c r="AB2" s="320"/>
      <c r="AC2" s="320"/>
      <c r="AD2" s="320"/>
      <c r="AE2" s="320"/>
      <c r="AF2" s="320"/>
      <c r="AG2" s="320"/>
      <c r="AH2" s="320"/>
      <c r="AI2" s="320"/>
      <c r="AJ2" s="320"/>
      <c r="AK2" s="320"/>
      <c r="AL2" s="320"/>
      <c r="AM2" s="320"/>
      <c r="AN2" s="320"/>
      <c r="AO2" s="321"/>
      <c r="AP2" s="242" t="str">
        <f>IF(表紙!AP2="","",表紙!AP2)</f>
        <v>DuNT</v>
      </c>
      <c r="AQ2" s="240"/>
      <c r="AR2" s="240"/>
      <c r="AS2" s="241"/>
      <c r="AT2" s="246">
        <f>IF(表紙!AT2="","",表紙!AT2)</f>
        <v>45505</v>
      </c>
      <c r="AU2" s="247"/>
      <c r="AV2" s="247"/>
      <c r="AW2" s="247"/>
      <c r="AX2" s="248"/>
      <c r="AY2" s="242" t="str">
        <f>IF(表紙!AY2="","",表紙!AY2)</f>
        <v>TinNH</v>
      </c>
      <c r="AZ2" s="240"/>
      <c r="BA2" s="240"/>
      <c r="BB2" s="241"/>
      <c r="BC2" s="246">
        <f>IF(表紙!BC2="","",表紙!BC2)</f>
        <v>45618</v>
      </c>
      <c r="BD2" s="247"/>
      <c r="BE2" s="247"/>
      <c r="BF2" s="247"/>
      <c r="BG2" s="248"/>
      <c r="BH2" s="242">
        <f>IF(表紙!BH2="","",表紙!BH2)</f>
        <v>0.24</v>
      </c>
      <c r="BI2" s="240"/>
      <c r="BJ2" s="240"/>
      <c r="BK2" s="241"/>
    </row>
    <row r="3" spans="1:63" ht="15" customHeight="1" x14ac:dyDescent="0.25">
      <c r="A3" s="46"/>
      <c r="B3" s="47"/>
      <c r="C3" s="47"/>
      <c r="D3" s="47"/>
      <c r="E3" s="47"/>
      <c r="F3" s="47"/>
      <c r="G3" s="47"/>
      <c r="H3" s="47"/>
      <c r="I3" s="47"/>
      <c r="J3" s="48"/>
      <c r="K3" s="46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  <c r="W3" s="322"/>
      <c r="X3" s="323"/>
      <c r="Y3" s="323"/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3"/>
      <c r="AL3" s="323"/>
      <c r="AM3" s="323"/>
      <c r="AN3" s="323"/>
      <c r="AO3" s="324"/>
      <c r="AP3" s="252"/>
      <c r="AQ3" s="253"/>
      <c r="AR3" s="253"/>
      <c r="AS3" s="254"/>
      <c r="AT3" s="258"/>
      <c r="AU3" s="259"/>
      <c r="AV3" s="259"/>
      <c r="AW3" s="259"/>
      <c r="AX3" s="260"/>
      <c r="AY3" s="252"/>
      <c r="AZ3" s="253"/>
      <c r="BA3" s="253"/>
      <c r="BB3" s="254"/>
      <c r="BC3" s="258"/>
      <c r="BD3" s="259"/>
      <c r="BE3" s="259"/>
      <c r="BF3" s="259"/>
      <c r="BG3" s="260"/>
      <c r="BH3" s="252"/>
      <c r="BI3" s="253"/>
      <c r="BJ3" s="253"/>
      <c r="BK3" s="254"/>
    </row>
    <row r="4" spans="1:63" ht="24.95" customHeight="1" x14ac:dyDescent="0.25">
      <c r="A4" s="313" t="s">
        <v>83</v>
      </c>
      <c r="B4" s="314"/>
      <c r="C4" s="314"/>
      <c r="D4" s="314"/>
      <c r="E4" s="314"/>
      <c r="F4" s="314"/>
      <c r="G4" s="315"/>
      <c r="H4" s="49" t="str">
        <f>IF(表紙!H4="","",表紙!H4)</f>
        <v>00_共通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1"/>
      <c r="U4" s="313" t="s">
        <v>84</v>
      </c>
      <c r="V4" s="314"/>
      <c r="W4" s="314"/>
      <c r="X4" s="314"/>
      <c r="Y4" s="315"/>
      <c r="Z4" s="49" t="str">
        <f>IF(表紙!Z4="","",表紙!Z4)</f>
        <v>画面設計書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  <c r="AP4" s="52" t="str">
        <f ca="1">MID(CELL("filename",A1),FIND("]",CELL("filename",A1))+1,255)</f>
        <v>モーダル</v>
      </c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7" t="s">
        <v>175</v>
      </c>
      <c r="C7" s="379"/>
      <c r="D7" s="379"/>
      <c r="E7" s="379"/>
      <c r="F7" s="379"/>
      <c r="G7" s="379"/>
      <c r="H7" s="379"/>
      <c r="I7" s="379"/>
      <c r="J7" s="379"/>
      <c r="AE7" s="7"/>
      <c r="AG7" s="7" t="s">
        <v>176</v>
      </c>
      <c r="BK7" s="6"/>
    </row>
    <row r="8" spans="1:63" ht="15" customHeight="1" x14ac:dyDescent="0.25">
      <c r="A8" s="5"/>
      <c r="BK8" s="6"/>
    </row>
    <row r="9" spans="1:63" ht="15" customHeight="1" x14ac:dyDescent="0.25">
      <c r="A9" s="5"/>
      <c r="BK9" s="6"/>
    </row>
    <row r="10" spans="1:63" ht="15" customHeight="1" x14ac:dyDescent="0.25">
      <c r="A10" s="5"/>
      <c r="BK10" s="6"/>
    </row>
    <row r="11" spans="1:63" ht="15" customHeight="1" x14ac:dyDescent="0.25">
      <c r="A11" s="5"/>
      <c r="BK11" s="6"/>
    </row>
    <row r="12" spans="1:63" ht="15" customHeight="1" x14ac:dyDescent="0.25">
      <c r="A12" s="5"/>
      <c r="BK12" s="6"/>
    </row>
    <row r="13" spans="1:63" ht="15" customHeight="1" x14ac:dyDescent="0.25">
      <c r="A13" s="5"/>
      <c r="BK13" s="6"/>
    </row>
    <row r="14" spans="1:63" ht="15" customHeight="1" x14ac:dyDescent="0.25">
      <c r="A14" s="5"/>
      <c r="BK14" s="6"/>
    </row>
    <row r="15" spans="1:63" ht="15" customHeight="1" x14ac:dyDescent="0.25">
      <c r="A15" s="5"/>
      <c r="BK15" s="6"/>
    </row>
    <row r="16" spans="1:63" ht="15" customHeight="1" x14ac:dyDescent="0.25">
      <c r="A16" s="5"/>
      <c r="BK16" s="6"/>
    </row>
    <row r="17" spans="1:63" ht="15" customHeight="1" x14ac:dyDescent="0.25">
      <c r="A17" s="5"/>
      <c r="BK17" s="6"/>
    </row>
    <row r="18" spans="1:63" ht="15" customHeight="1" x14ac:dyDescent="0.25">
      <c r="A18" s="5"/>
      <c r="BK18" s="6"/>
    </row>
    <row r="19" spans="1:63" ht="15" customHeight="1" x14ac:dyDescent="0.25">
      <c r="A19" s="5"/>
      <c r="BK19" s="6"/>
    </row>
    <row r="20" spans="1:63" ht="15" customHeight="1" x14ac:dyDescent="0.25">
      <c r="A20" s="5"/>
      <c r="BK20" s="6"/>
    </row>
    <row r="21" spans="1:63" ht="15" customHeight="1" x14ac:dyDescent="0.25">
      <c r="A21" s="5"/>
      <c r="BK21" s="6"/>
    </row>
    <row r="22" spans="1:63" ht="15" customHeight="1" x14ac:dyDescent="0.25">
      <c r="A22" s="5"/>
      <c r="BK22" s="6"/>
    </row>
    <row r="23" spans="1:63" ht="15" customHeight="1" x14ac:dyDescent="0.25">
      <c r="A23" s="5"/>
      <c r="BK23" s="6"/>
    </row>
    <row r="24" spans="1:63" ht="15" customHeight="1" x14ac:dyDescent="0.25">
      <c r="A24" s="5"/>
      <c r="BK24" s="6"/>
    </row>
    <row r="25" spans="1:63" ht="14.25" customHeight="1" x14ac:dyDescent="0.25">
      <c r="A25" s="5"/>
      <c r="BK25" s="6"/>
    </row>
    <row r="26" spans="1:63" ht="14.25" customHeight="1" x14ac:dyDescent="0.25">
      <c r="A26" s="5"/>
      <c r="BK26" s="6"/>
    </row>
    <row r="27" spans="1:63" ht="14.25" customHeight="1" x14ac:dyDescent="0.25">
      <c r="A27" s="5"/>
      <c r="B27" s="7" t="s">
        <v>177</v>
      </c>
      <c r="AG27" s="7" t="s">
        <v>178</v>
      </c>
      <c r="BK27" s="6"/>
    </row>
    <row r="28" spans="1:63" ht="14.25" customHeight="1" x14ac:dyDescent="0.25">
      <c r="A28" s="5"/>
      <c r="BK28" s="6"/>
    </row>
    <row r="29" spans="1:63" ht="14.25" customHeight="1" x14ac:dyDescent="0.25">
      <c r="A29" s="5"/>
      <c r="BK29" s="6"/>
    </row>
    <row r="30" spans="1:63" ht="14.25" customHeight="1" x14ac:dyDescent="0.25">
      <c r="A30" s="5"/>
      <c r="BK30" s="6"/>
    </row>
    <row r="31" spans="1:63" ht="14.25" customHeight="1" x14ac:dyDescent="0.25">
      <c r="A31" s="5"/>
      <c r="BK31" s="6"/>
    </row>
    <row r="32" spans="1:63" ht="14.25" customHeight="1" x14ac:dyDescent="0.25">
      <c r="A32" s="5"/>
      <c r="BK32" s="6"/>
    </row>
    <row r="33" spans="1:63" ht="14.25" customHeight="1" x14ac:dyDescent="0.25">
      <c r="A33" s="5"/>
      <c r="BK33" s="6"/>
    </row>
    <row r="34" spans="1:63" ht="15" customHeight="1" x14ac:dyDescent="0.25">
      <c r="A34" s="5"/>
      <c r="BK34" s="6"/>
    </row>
    <row r="35" spans="1:63" ht="15" customHeight="1" x14ac:dyDescent="0.25">
      <c r="A35" s="5"/>
      <c r="BK35" s="6"/>
    </row>
    <row r="36" spans="1:63" x14ac:dyDescent="0.25">
      <c r="A36" s="5"/>
      <c r="BK36" s="6"/>
    </row>
    <row r="37" spans="1:63" x14ac:dyDescent="0.25">
      <c r="A37" s="5"/>
      <c r="BK37" s="6"/>
    </row>
    <row r="38" spans="1:63" x14ac:dyDescent="0.25">
      <c r="A38" s="5"/>
      <c r="BK38" s="6"/>
    </row>
    <row r="39" spans="1:63" x14ac:dyDescent="0.25">
      <c r="A39" s="5"/>
      <c r="BK39" s="6"/>
    </row>
    <row r="40" spans="1:63" x14ac:dyDescent="0.25">
      <c r="A40" s="5"/>
      <c r="BF40" s="1" t="s">
        <v>57</v>
      </c>
      <c r="BK40" s="6"/>
    </row>
    <row r="41" spans="1:63" x14ac:dyDescent="0.25">
      <c r="A41" s="5"/>
      <c r="BK41" s="6"/>
    </row>
    <row r="42" spans="1:63" x14ac:dyDescent="0.25">
      <c r="A42" s="5"/>
      <c r="BK42" s="6"/>
    </row>
    <row r="43" spans="1:63" x14ac:dyDescent="0.25">
      <c r="A43" s="5"/>
      <c r="BK43" s="6"/>
    </row>
    <row r="44" spans="1:63" ht="15" customHeight="1" x14ac:dyDescent="0.25">
      <c r="A44" s="5"/>
      <c r="B44" s="7" t="s">
        <v>100</v>
      </c>
      <c r="BK44" s="6"/>
    </row>
    <row r="45" spans="1:63" x14ac:dyDescent="0.25">
      <c r="A45" s="5"/>
      <c r="BK45" s="6"/>
    </row>
    <row r="46" spans="1:63" ht="15.75" customHeight="1" x14ac:dyDescent="0.25">
      <c r="A46" s="5"/>
      <c r="B46" s="53" t="s">
        <v>101</v>
      </c>
      <c r="C46" s="54"/>
      <c r="D46" s="59" t="s">
        <v>102</v>
      </c>
      <c r="E46" s="60"/>
      <c r="F46" s="60"/>
      <c r="G46" s="60"/>
      <c r="H46" s="60"/>
      <c r="I46" s="60"/>
      <c r="J46" s="54"/>
      <c r="K46" s="59" t="s">
        <v>179</v>
      </c>
      <c r="L46" s="60"/>
      <c r="M46" s="54"/>
      <c r="N46" s="63" t="s">
        <v>6</v>
      </c>
      <c r="O46" s="66" t="s">
        <v>104</v>
      </c>
      <c r="P46" s="84" t="s">
        <v>105</v>
      </c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6"/>
      <c r="AR46" s="69" t="s">
        <v>106</v>
      </c>
      <c r="AS46" s="70"/>
      <c r="AT46" s="70"/>
      <c r="AU46" s="70"/>
      <c r="AV46" s="70"/>
      <c r="AW46" s="70"/>
      <c r="AX46" s="70"/>
      <c r="AY46" s="70"/>
      <c r="AZ46" s="70"/>
      <c r="BA46" s="70"/>
      <c r="BB46" s="73"/>
      <c r="BC46" s="87" t="s">
        <v>107</v>
      </c>
      <c r="BD46" s="88"/>
      <c r="BE46" s="88"/>
      <c r="BF46" s="88"/>
      <c r="BG46" s="88"/>
      <c r="BH46" s="88"/>
      <c r="BI46" s="88"/>
      <c r="BJ46" s="89"/>
      <c r="BK46" s="6"/>
    </row>
    <row r="47" spans="1:63" ht="15.75" customHeight="1" x14ac:dyDescent="0.25">
      <c r="A47" s="5"/>
      <c r="B47" s="55"/>
      <c r="C47" s="56"/>
      <c r="D47" s="55"/>
      <c r="E47" s="61"/>
      <c r="F47" s="61"/>
      <c r="G47" s="61"/>
      <c r="H47" s="61"/>
      <c r="I47" s="61"/>
      <c r="J47" s="56"/>
      <c r="K47" s="55"/>
      <c r="L47" s="61"/>
      <c r="M47" s="56"/>
      <c r="N47" s="64"/>
      <c r="O47" s="67"/>
      <c r="P47" s="96" t="s">
        <v>108</v>
      </c>
      <c r="Q47" s="97"/>
      <c r="R47" s="97"/>
      <c r="S47" s="97"/>
      <c r="T47" s="97"/>
      <c r="U47" s="97"/>
      <c r="V47" s="97"/>
      <c r="W47" s="98"/>
      <c r="X47" s="99" t="s">
        <v>109</v>
      </c>
      <c r="Y47" s="100"/>
      <c r="Z47" s="101"/>
      <c r="AA47" s="99" t="s">
        <v>110</v>
      </c>
      <c r="AB47" s="100"/>
      <c r="AC47" s="100"/>
      <c r="AD47" s="100"/>
      <c r="AE47" s="100"/>
      <c r="AF47" s="100"/>
      <c r="AG47" s="100"/>
      <c r="AH47" s="101"/>
      <c r="AI47" s="99" t="s">
        <v>111</v>
      </c>
      <c r="AJ47" s="100"/>
      <c r="AK47" s="100"/>
      <c r="AL47" s="100"/>
      <c r="AM47" s="100"/>
      <c r="AN47" s="100"/>
      <c r="AO47" s="100"/>
      <c r="AP47" s="100"/>
      <c r="AQ47" s="101"/>
      <c r="AR47" s="105" t="s">
        <v>14</v>
      </c>
      <c r="AS47" s="107" t="s">
        <v>112</v>
      </c>
      <c r="AT47" s="109" t="s">
        <v>113</v>
      </c>
      <c r="AU47" s="69" t="s">
        <v>108</v>
      </c>
      <c r="AV47" s="70"/>
      <c r="AW47" s="70"/>
      <c r="AX47" s="70"/>
      <c r="AY47" s="70"/>
      <c r="AZ47" s="70"/>
      <c r="BA47" s="70"/>
      <c r="BB47" s="73"/>
      <c r="BC47" s="90"/>
      <c r="BD47" s="91"/>
      <c r="BE47" s="91"/>
      <c r="BF47" s="91"/>
      <c r="BG47" s="91"/>
      <c r="BH47" s="91"/>
      <c r="BI47" s="91"/>
      <c r="BJ47" s="92"/>
      <c r="BK47" s="6"/>
    </row>
    <row r="48" spans="1:63" x14ac:dyDescent="0.25">
      <c r="A48" s="5"/>
      <c r="B48" s="57"/>
      <c r="C48" s="58"/>
      <c r="D48" s="57"/>
      <c r="E48" s="62"/>
      <c r="F48" s="62"/>
      <c r="G48" s="62"/>
      <c r="H48" s="62"/>
      <c r="I48" s="62"/>
      <c r="J48" s="58"/>
      <c r="K48" s="57"/>
      <c r="L48" s="62"/>
      <c r="M48" s="58"/>
      <c r="N48" s="65"/>
      <c r="O48" s="68"/>
      <c r="P48" s="84" t="s">
        <v>114</v>
      </c>
      <c r="Q48" s="85"/>
      <c r="R48" s="85"/>
      <c r="S48" s="86"/>
      <c r="T48" s="84" t="s">
        <v>102</v>
      </c>
      <c r="U48" s="85"/>
      <c r="V48" s="85"/>
      <c r="W48" s="86"/>
      <c r="X48" s="102"/>
      <c r="Y48" s="103"/>
      <c r="Z48" s="104"/>
      <c r="AA48" s="102"/>
      <c r="AB48" s="103"/>
      <c r="AC48" s="103"/>
      <c r="AD48" s="103"/>
      <c r="AE48" s="103"/>
      <c r="AF48" s="103"/>
      <c r="AG48" s="103"/>
      <c r="AH48" s="104"/>
      <c r="AI48" s="102"/>
      <c r="AJ48" s="103"/>
      <c r="AK48" s="103"/>
      <c r="AL48" s="103"/>
      <c r="AM48" s="103"/>
      <c r="AN48" s="103"/>
      <c r="AO48" s="103"/>
      <c r="AP48" s="103"/>
      <c r="AQ48" s="104"/>
      <c r="AR48" s="106"/>
      <c r="AS48" s="108"/>
      <c r="AT48" s="110"/>
      <c r="AU48" s="69" t="s">
        <v>114</v>
      </c>
      <c r="AV48" s="70"/>
      <c r="AW48" s="70"/>
      <c r="AX48" s="71"/>
      <c r="AY48" s="72" t="s">
        <v>102</v>
      </c>
      <c r="AZ48" s="70"/>
      <c r="BA48" s="70"/>
      <c r="BB48" s="73"/>
      <c r="BC48" s="93"/>
      <c r="BD48" s="94"/>
      <c r="BE48" s="94"/>
      <c r="BF48" s="94"/>
      <c r="BG48" s="94"/>
      <c r="BH48" s="94"/>
      <c r="BI48" s="94"/>
      <c r="BJ48" s="95"/>
      <c r="BK48" s="6"/>
    </row>
    <row r="49" spans="1:63" x14ac:dyDescent="0.25">
      <c r="A49" s="5"/>
      <c r="B49" s="74">
        <v>1</v>
      </c>
      <c r="C49" s="75"/>
      <c r="D49" s="76" t="s">
        <v>51</v>
      </c>
      <c r="E49" s="77"/>
      <c r="F49" s="77"/>
      <c r="G49" s="77"/>
      <c r="H49" s="77"/>
      <c r="I49" s="77"/>
      <c r="J49" s="78"/>
      <c r="K49" s="79" t="s">
        <v>52</v>
      </c>
      <c r="L49" s="80"/>
      <c r="M49" s="81"/>
      <c r="N49" s="8" t="s">
        <v>17</v>
      </c>
      <c r="O49" s="9" t="s">
        <v>17</v>
      </c>
      <c r="P49" s="82" t="s">
        <v>17</v>
      </c>
      <c r="Q49" s="83"/>
      <c r="R49" s="83"/>
      <c r="S49" s="75"/>
      <c r="T49" s="82" t="s">
        <v>17</v>
      </c>
      <c r="U49" s="83"/>
      <c r="V49" s="83"/>
      <c r="W49" s="75"/>
      <c r="X49" s="111" t="s">
        <v>17</v>
      </c>
      <c r="Y49" s="112"/>
      <c r="Z49" s="113"/>
      <c r="AA49" s="74" t="s">
        <v>19</v>
      </c>
      <c r="AB49" s="83"/>
      <c r="AC49" s="83"/>
      <c r="AD49" s="83"/>
      <c r="AE49" s="83"/>
      <c r="AF49" s="83"/>
      <c r="AG49" s="83"/>
      <c r="AH49" s="75"/>
      <c r="AI49" s="117" t="s">
        <v>17</v>
      </c>
      <c r="AJ49" s="118"/>
      <c r="AK49" s="118"/>
      <c r="AL49" s="118"/>
      <c r="AM49" s="118"/>
      <c r="AN49" s="118"/>
      <c r="AO49" s="118"/>
      <c r="AP49" s="118"/>
      <c r="AQ49" s="119"/>
      <c r="AR49" s="8" t="s">
        <v>17</v>
      </c>
      <c r="AS49" s="8" t="s">
        <v>17</v>
      </c>
      <c r="AT49" s="8" t="s">
        <v>17</v>
      </c>
      <c r="AU49" s="74" t="s">
        <v>20</v>
      </c>
      <c r="AV49" s="83"/>
      <c r="AW49" s="83"/>
      <c r="AX49" s="75"/>
      <c r="AY49" s="74" t="s">
        <v>19</v>
      </c>
      <c r="AZ49" s="83"/>
      <c r="BA49" s="83"/>
      <c r="BB49" s="75"/>
      <c r="BC49" s="350" t="s">
        <v>180</v>
      </c>
      <c r="BD49" s="447"/>
      <c r="BE49" s="447"/>
      <c r="BF49" s="447"/>
      <c r="BG49" s="447"/>
      <c r="BH49" s="447"/>
      <c r="BI49" s="447"/>
      <c r="BJ49" s="448"/>
      <c r="BK49" s="6"/>
    </row>
    <row r="50" spans="1:63" x14ac:dyDescent="0.25">
      <c r="A50" s="5"/>
      <c r="B50" s="120">
        <v>2</v>
      </c>
      <c r="C50" s="121"/>
      <c r="D50" s="227" t="s">
        <v>53</v>
      </c>
      <c r="E50" s="228"/>
      <c r="F50" s="228"/>
      <c r="G50" s="228"/>
      <c r="H50" s="228"/>
      <c r="I50" s="228"/>
      <c r="J50" s="229"/>
      <c r="K50" s="150" t="s">
        <v>118</v>
      </c>
      <c r="L50" s="80"/>
      <c r="M50" s="81"/>
      <c r="N50" s="12" t="s">
        <v>122</v>
      </c>
      <c r="O50" s="9" t="s">
        <v>18</v>
      </c>
      <c r="P50" s="120" t="s">
        <v>20</v>
      </c>
      <c r="Q50" s="126"/>
      <c r="R50" s="126"/>
      <c r="S50" s="121"/>
      <c r="T50" s="120" t="s">
        <v>20</v>
      </c>
      <c r="U50" s="126"/>
      <c r="V50" s="126"/>
      <c r="W50" s="121"/>
      <c r="X50" s="230" t="s">
        <v>17</v>
      </c>
      <c r="Y50" s="231"/>
      <c r="Z50" s="232"/>
      <c r="AA50" s="120" t="s">
        <v>19</v>
      </c>
      <c r="AB50" s="126"/>
      <c r="AC50" s="126"/>
      <c r="AD50" s="126"/>
      <c r="AE50" s="126"/>
      <c r="AF50" s="126"/>
      <c r="AG50" s="126"/>
      <c r="AH50" s="121"/>
      <c r="AI50" s="142" t="s">
        <v>19</v>
      </c>
      <c r="AJ50" s="143"/>
      <c r="AK50" s="143"/>
      <c r="AL50" s="143"/>
      <c r="AM50" s="143"/>
      <c r="AN50" s="143"/>
      <c r="AO50" s="143"/>
      <c r="AP50" s="143"/>
      <c r="AQ50" s="144"/>
      <c r="AR50" s="9" t="s">
        <v>17</v>
      </c>
      <c r="AS50" s="9" t="s">
        <v>17</v>
      </c>
      <c r="AT50" s="9" t="s">
        <v>17</v>
      </c>
      <c r="AU50" s="125" t="s">
        <v>181</v>
      </c>
      <c r="AV50" s="126"/>
      <c r="AW50" s="126"/>
      <c r="AX50" s="121"/>
      <c r="AY50" s="120" t="s">
        <v>53</v>
      </c>
      <c r="AZ50" s="126"/>
      <c r="BA50" s="126"/>
      <c r="BB50" s="121"/>
      <c r="BC50" s="226"/>
      <c r="BD50" s="333"/>
      <c r="BE50" s="333"/>
      <c r="BF50" s="333"/>
      <c r="BG50" s="333"/>
      <c r="BH50" s="333"/>
      <c r="BI50" s="333"/>
      <c r="BJ50" s="334"/>
      <c r="BK50" s="6"/>
    </row>
    <row r="51" spans="1:63" x14ac:dyDescent="0.25">
      <c r="A51" s="5"/>
      <c r="B51" s="120">
        <v>3</v>
      </c>
      <c r="C51" s="121"/>
      <c r="D51" s="122" t="s">
        <v>54</v>
      </c>
      <c r="E51" s="123"/>
      <c r="F51" s="123"/>
      <c r="G51" s="123"/>
      <c r="H51" s="123"/>
      <c r="I51" s="123"/>
      <c r="J51" s="124"/>
      <c r="K51" s="150" t="s">
        <v>126</v>
      </c>
      <c r="L51" s="80"/>
      <c r="M51" s="81"/>
      <c r="N51" s="12" t="s">
        <v>131</v>
      </c>
      <c r="O51" s="9" t="s">
        <v>17</v>
      </c>
      <c r="P51" s="125" t="s">
        <v>17</v>
      </c>
      <c r="Q51" s="126"/>
      <c r="R51" s="126"/>
      <c r="S51" s="121"/>
      <c r="T51" s="120" t="s">
        <v>20</v>
      </c>
      <c r="U51" s="126"/>
      <c r="V51" s="126"/>
      <c r="W51" s="121"/>
      <c r="X51" s="136" t="s">
        <v>182</v>
      </c>
      <c r="Y51" s="137"/>
      <c r="Z51" s="138"/>
      <c r="AA51" s="125" t="s">
        <v>120</v>
      </c>
      <c r="AB51" s="126"/>
      <c r="AC51" s="126"/>
      <c r="AD51" s="126"/>
      <c r="AE51" s="126"/>
      <c r="AF51" s="126"/>
      <c r="AG51" s="126"/>
      <c r="AH51" s="121"/>
      <c r="AI51" s="142" t="s">
        <v>19</v>
      </c>
      <c r="AJ51" s="143"/>
      <c r="AK51" s="143"/>
      <c r="AL51" s="143"/>
      <c r="AM51" s="143"/>
      <c r="AN51" s="143"/>
      <c r="AO51" s="143"/>
      <c r="AP51" s="143"/>
      <c r="AQ51" s="144"/>
      <c r="AR51" s="9" t="s">
        <v>17</v>
      </c>
      <c r="AS51" s="9" t="s">
        <v>17</v>
      </c>
      <c r="AT51" s="9" t="s">
        <v>17</v>
      </c>
      <c r="AU51" s="120" t="s">
        <v>20</v>
      </c>
      <c r="AV51" s="126"/>
      <c r="AW51" s="126"/>
      <c r="AX51" s="121"/>
      <c r="AY51" s="120" t="s">
        <v>19</v>
      </c>
      <c r="AZ51" s="126"/>
      <c r="BA51" s="126"/>
      <c r="BB51" s="121"/>
      <c r="BC51" s="332" t="s">
        <v>183</v>
      </c>
      <c r="BD51" s="333"/>
      <c r="BE51" s="333"/>
      <c r="BF51" s="333"/>
      <c r="BG51" s="333"/>
      <c r="BH51" s="333"/>
      <c r="BI51" s="333"/>
      <c r="BJ51" s="334"/>
      <c r="BK51" s="6"/>
    </row>
    <row r="52" spans="1:63" x14ac:dyDescent="0.25">
      <c r="A52" s="5"/>
      <c r="B52" s="120">
        <v>4</v>
      </c>
      <c r="C52" s="121"/>
      <c r="D52" s="122" t="s">
        <v>56</v>
      </c>
      <c r="E52" s="123"/>
      <c r="F52" s="123"/>
      <c r="G52" s="123"/>
      <c r="H52" s="123"/>
      <c r="I52" s="123"/>
      <c r="J52" s="124"/>
      <c r="K52" s="79" t="s">
        <v>31</v>
      </c>
      <c r="L52" s="80"/>
      <c r="M52" s="81"/>
      <c r="N52" s="12" t="s">
        <v>131</v>
      </c>
      <c r="O52" s="9" t="s">
        <v>18</v>
      </c>
      <c r="P52" s="125" t="s">
        <v>17</v>
      </c>
      <c r="Q52" s="126"/>
      <c r="R52" s="126"/>
      <c r="S52" s="121"/>
      <c r="T52" s="125" t="s">
        <v>17</v>
      </c>
      <c r="U52" s="126"/>
      <c r="V52" s="126"/>
      <c r="W52" s="121"/>
      <c r="X52" s="136" t="s">
        <v>184</v>
      </c>
      <c r="Y52" s="137"/>
      <c r="Z52" s="138"/>
      <c r="AA52" s="120" t="s">
        <v>19</v>
      </c>
      <c r="AB52" s="126"/>
      <c r="AC52" s="126"/>
      <c r="AD52" s="126"/>
      <c r="AE52" s="126"/>
      <c r="AF52" s="126"/>
      <c r="AG52" s="126"/>
      <c r="AH52" s="121"/>
      <c r="AI52" s="142" t="s">
        <v>19</v>
      </c>
      <c r="AJ52" s="143"/>
      <c r="AK52" s="143"/>
      <c r="AL52" s="143"/>
      <c r="AM52" s="143"/>
      <c r="AN52" s="143"/>
      <c r="AO52" s="143"/>
      <c r="AP52" s="143"/>
      <c r="AQ52" s="144"/>
      <c r="AR52" s="9" t="s">
        <v>17</v>
      </c>
      <c r="AS52" s="9" t="s">
        <v>17</v>
      </c>
      <c r="AT52" s="9" t="s">
        <v>17</v>
      </c>
      <c r="AU52" s="120" t="s">
        <v>20</v>
      </c>
      <c r="AV52" s="126"/>
      <c r="AW52" s="126"/>
      <c r="AX52" s="121"/>
      <c r="AY52" s="120" t="s">
        <v>19</v>
      </c>
      <c r="AZ52" s="126"/>
      <c r="BA52" s="126"/>
      <c r="BB52" s="121"/>
      <c r="BC52" s="332" t="s">
        <v>185</v>
      </c>
      <c r="BD52" s="333"/>
      <c r="BE52" s="333"/>
      <c r="BF52" s="333"/>
      <c r="BG52" s="333"/>
      <c r="BH52" s="333"/>
      <c r="BI52" s="333"/>
      <c r="BJ52" s="334"/>
      <c r="BK52" s="6"/>
    </row>
    <row r="53" spans="1:63" x14ac:dyDescent="0.25">
      <c r="A53" s="5"/>
      <c r="B53" s="168">
        <v>5</v>
      </c>
      <c r="C53" s="170"/>
      <c r="D53" s="177" t="s">
        <v>55</v>
      </c>
      <c r="E53" s="178"/>
      <c r="F53" s="178"/>
      <c r="G53" s="178"/>
      <c r="H53" s="178"/>
      <c r="I53" s="178"/>
      <c r="J53" s="179"/>
      <c r="K53" s="180" t="s">
        <v>52</v>
      </c>
      <c r="L53" s="181"/>
      <c r="M53" s="182"/>
      <c r="N53" s="11" t="s">
        <v>29</v>
      </c>
      <c r="O53" s="11" t="s">
        <v>17</v>
      </c>
      <c r="P53" s="183" t="s">
        <v>17</v>
      </c>
      <c r="Q53" s="184"/>
      <c r="R53" s="184"/>
      <c r="S53" s="185"/>
      <c r="T53" s="186" t="s">
        <v>17</v>
      </c>
      <c r="U53" s="187"/>
      <c r="V53" s="187"/>
      <c r="W53" s="188"/>
      <c r="X53" s="189" t="s">
        <v>17</v>
      </c>
      <c r="Y53" s="190"/>
      <c r="Z53" s="191"/>
      <c r="AA53" s="168" t="s">
        <v>19</v>
      </c>
      <c r="AB53" s="169"/>
      <c r="AC53" s="169"/>
      <c r="AD53" s="169"/>
      <c r="AE53" s="169"/>
      <c r="AF53" s="169"/>
      <c r="AG53" s="169"/>
      <c r="AH53" s="170"/>
      <c r="AI53" s="171" t="s">
        <v>19</v>
      </c>
      <c r="AJ53" s="172"/>
      <c r="AK53" s="172"/>
      <c r="AL53" s="172"/>
      <c r="AM53" s="172"/>
      <c r="AN53" s="172"/>
      <c r="AO53" s="172"/>
      <c r="AP53" s="172"/>
      <c r="AQ53" s="173"/>
      <c r="AR53" s="11" t="s">
        <v>17</v>
      </c>
      <c r="AS53" s="11" t="s">
        <v>17</v>
      </c>
      <c r="AT53" s="11" t="s">
        <v>17</v>
      </c>
      <c r="AU53" s="168" t="s">
        <v>20</v>
      </c>
      <c r="AV53" s="169"/>
      <c r="AW53" s="169"/>
      <c r="AX53" s="170"/>
      <c r="AY53" s="168" t="s">
        <v>19</v>
      </c>
      <c r="AZ53" s="169"/>
      <c r="BA53" s="169"/>
      <c r="BB53" s="170"/>
      <c r="BC53" s="435" t="s">
        <v>186</v>
      </c>
      <c r="BD53" s="436"/>
      <c r="BE53" s="436"/>
      <c r="BF53" s="436"/>
      <c r="BG53" s="436"/>
      <c r="BH53" s="436"/>
      <c r="BI53" s="436"/>
      <c r="BJ53" s="437"/>
      <c r="BK53" s="6"/>
    </row>
    <row r="54" spans="1:63" x14ac:dyDescent="0.25">
      <c r="A54" s="5"/>
      <c r="BK54" s="6"/>
    </row>
    <row r="55" spans="1:63" x14ac:dyDescent="0.25">
      <c r="A55" s="5"/>
      <c r="BK55" s="6"/>
    </row>
    <row r="56" spans="1:63" x14ac:dyDescent="0.25">
      <c r="A56" s="5"/>
      <c r="BK56" s="6"/>
    </row>
    <row r="57" spans="1:63" x14ac:dyDescent="0.25">
      <c r="A57" s="5"/>
      <c r="BK57" s="6"/>
    </row>
    <row r="58" spans="1:63" x14ac:dyDescent="0.25">
      <c r="A58" s="5"/>
      <c r="BK58" s="6"/>
    </row>
    <row r="59" spans="1:63" x14ac:dyDescent="0.25">
      <c r="A59" s="5"/>
      <c r="BK59" s="6"/>
    </row>
    <row r="60" spans="1:63" x14ac:dyDescent="0.25">
      <c r="A60" s="5"/>
      <c r="BK60" s="6"/>
    </row>
    <row r="61" spans="1:63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4"/>
    </row>
  </sheetData>
  <mergeCells count="95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46:C48"/>
    <mergeCell ref="D46:J48"/>
    <mergeCell ref="K46:M48"/>
    <mergeCell ref="N46:N48"/>
    <mergeCell ref="O46:O48"/>
    <mergeCell ref="A4:G4"/>
    <mergeCell ref="H4:T4"/>
    <mergeCell ref="U4:Y4"/>
    <mergeCell ref="Z4:AO4"/>
    <mergeCell ref="AP4:BK4"/>
    <mergeCell ref="P46:AQ46"/>
    <mergeCell ref="AR46:BB46"/>
    <mergeCell ref="BC46:BJ48"/>
    <mergeCell ref="P47:W47"/>
    <mergeCell ref="X47:Z48"/>
    <mergeCell ref="AA47:AH48"/>
    <mergeCell ref="AI47:AQ48"/>
    <mergeCell ref="AR47:AR48"/>
    <mergeCell ref="AS47:AS48"/>
    <mergeCell ref="AT47:AT48"/>
    <mergeCell ref="B49:C49"/>
    <mergeCell ref="D49:J49"/>
    <mergeCell ref="K49:M49"/>
    <mergeCell ref="P49:S49"/>
    <mergeCell ref="T49:W49"/>
    <mergeCell ref="AY49:BB49"/>
    <mergeCell ref="BC49:BJ49"/>
    <mergeCell ref="AU47:BB47"/>
    <mergeCell ref="P48:S48"/>
    <mergeCell ref="T48:W48"/>
    <mergeCell ref="AU48:AX48"/>
    <mergeCell ref="AY48:BB48"/>
    <mergeCell ref="X50:Z50"/>
    <mergeCell ref="X49:Z49"/>
    <mergeCell ref="AA49:AH49"/>
    <mergeCell ref="AI49:AQ49"/>
    <mergeCell ref="AU49:AX49"/>
    <mergeCell ref="B50:C50"/>
    <mergeCell ref="D50:J50"/>
    <mergeCell ref="K50:M50"/>
    <mergeCell ref="P50:S50"/>
    <mergeCell ref="T50:W50"/>
    <mergeCell ref="B51:C51"/>
    <mergeCell ref="D51:J51"/>
    <mergeCell ref="K51:M51"/>
    <mergeCell ref="P51:S51"/>
    <mergeCell ref="T51:W51"/>
    <mergeCell ref="AY51:BB51"/>
    <mergeCell ref="BC51:BJ51"/>
    <mergeCell ref="AA50:AH50"/>
    <mergeCell ref="AI50:AQ50"/>
    <mergeCell ref="AU50:AX50"/>
    <mergeCell ref="AY50:BB50"/>
    <mergeCell ref="BC50:BJ50"/>
    <mergeCell ref="X51:Z51"/>
    <mergeCell ref="AA51:AH51"/>
    <mergeCell ref="AI51:AQ51"/>
    <mergeCell ref="AU51:AX51"/>
    <mergeCell ref="AA52:AH52"/>
    <mergeCell ref="AI52:AQ52"/>
    <mergeCell ref="AU52:AX52"/>
    <mergeCell ref="B52:C52"/>
    <mergeCell ref="D52:J52"/>
    <mergeCell ref="K52:M52"/>
    <mergeCell ref="P52:S52"/>
    <mergeCell ref="T52:W52"/>
    <mergeCell ref="B53:C53"/>
    <mergeCell ref="D53:J53"/>
    <mergeCell ref="K53:M53"/>
    <mergeCell ref="P53:S53"/>
    <mergeCell ref="T53:W53"/>
    <mergeCell ref="X53:Z53"/>
    <mergeCell ref="AA53:AH53"/>
    <mergeCell ref="AI53:AQ53"/>
    <mergeCell ref="AY52:BB52"/>
    <mergeCell ref="BC52:BJ52"/>
    <mergeCell ref="AU53:AX53"/>
    <mergeCell ref="AY53:BB53"/>
    <mergeCell ref="BC53:BJ53"/>
    <mergeCell ref="X52:Z52"/>
  </mergeCells>
  <dataValidations count="1">
    <dataValidation type="list" allowBlank="1" showInputMessage="1" showErrorMessage="1" sqref="O49:O53 AR50:AT53" xr:uid="{00000000-0002-0000-0500-000000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A91C5A-FBB5-427C-997F-109A5416DD59}"/>
</file>

<file path=customXml/itemProps2.xml><?xml version="1.0" encoding="utf-8"?>
<ds:datastoreItem xmlns:ds="http://schemas.openxmlformats.org/officeDocument/2006/customXml" ds:itemID="{C6CAEE60-5657-40E0-B1F7-36A8ACB37C96}"/>
</file>

<file path=customXml/itemProps3.xml><?xml version="1.0" encoding="utf-8"?>
<ds:datastoreItem xmlns:ds="http://schemas.openxmlformats.org/officeDocument/2006/customXml" ds:itemID="{E7627E78-A589-409E-9B89-0A6F6C6FBB4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店舗選択エリア</vt:lpstr>
      <vt:lpstr>ヘッダー</vt:lpstr>
      <vt:lpstr>ページング</vt:lpstr>
      <vt:lpstr>モーダル</vt:lpstr>
      <vt:lpstr>ページング!Print_Area</vt:lpstr>
      <vt:lpstr>ヘッダー!Print_Area</vt:lpstr>
      <vt:lpstr>モーダル!Print_Area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2024-11-25T04:44:34Z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