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Pos system\20_画面設計\"/>
    </mc:Choice>
  </mc:AlternateContent>
  <xr:revisionPtr revIDLastSave="0" documentId="13_ncr:1_{E73FB203-0CDC-4F78-8D4B-2C2B3BE0430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0501" sheetId="8" r:id="rId3"/>
    <sheet name="MD0501" sheetId="10" r:id="rId4"/>
    <sheet name="SCxxxx" sheetId="7" r:id="rId5"/>
  </sheets>
  <definedNames>
    <definedName name="_xlnm.Print_Area" localSheetId="3">'MD0501'!$A$1:$BK$107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B94" i="10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43" i="10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AP4" i="10"/>
  <c r="Z4" i="10"/>
  <c r="H4" i="10"/>
  <c r="K2" i="10"/>
  <c r="A2" i="10"/>
  <c r="W1" i="10"/>
  <c r="B87" i="8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86" i="8"/>
  <c r="B53" i="8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52" i="8"/>
  <c r="AP4" i="8"/>
  <c r="Z4" i="8"/>
  <c r="H4" i="8"/>
  <c r="AT2" i="8"/>
  <c r="K2" i="8"/>
  <c r="A2" i="8"/>
  <c r="W1" i="8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3" s="1"/>
  <c r="BC2" i="4"/>
  <c r="BC2" i="7" s="1"/>
  <c r="AY2" i="4"/>
  <c r="AY2" i="7" s="1"/>
  <c r="AT2" i="4"/>
  <c r="AT2" i="7" s="1"/>
  <c r="AP2" i="4"/>
  <c r="AP2" i="8" s="1"/>
  <c r="AY2" i="3" l="1"/>
  <c r="AY2" i="8"/>
  <c r="AP2" i="10"/>
  <c r="BH2" i="10"/>
  <c r="AP2" i="7"/>
  <c r="BH2" i="7"/>
  <c r="AT2" i="10"/>
  <c r="BC2" i="3"/>
  <c r="BC2" i="8"/>
  <c r="BH2" i="8"/>
  <c r="AY2" i="10"/>
  <c r="BC2" i="10"/>
</calcChain>
</file>

<file path=xl/sharedStrings.xml><?xml version="1.0" encoding="utf-8"?>
<sst xmlns="http://schemas.openxmlformats.org/spreadsheetml/2006/main" count="1387" uniqueCount="346">
  <si>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</si>
  <si>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</si>
  <si>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</si>
  <si>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</si>
  <si>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</si>
  <si>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</si>
  <si>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</si>
  <si>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</si>
  <si>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</si>
  <si>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</si>
  <si>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</si>
  <si>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</si>
  <si>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</si>
  <si>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</si>
  <si>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</si>
  <si>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</si>
  <si>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</si>
  <si>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</si>
  <si>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</si>
  <si>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</si>
  <si>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</si>
  <si>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</si>
  <si>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</si>
  <si>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</si>
  <si>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</si>
  <si>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</si>
  <si>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</si>
  <si>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</si>
  <si>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</si>
  <si>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</si>
  <si>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</si>
  <si>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</si>
  <si>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</si>
  <si>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</si>
  <si>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</si>
  <si>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</si>
  <si>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 xml:space="preserve">ユーザーID 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</si>
  <si>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</si>
  <si>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</si>
  <si>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</si>
  <si>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</si>
  <si>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ログイン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</si>
  <si>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</si>
  <si>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</si>
  <si>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</si>
  <si>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</si>
  <si>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</si>
  <si>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</si>
  <si>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</si>
  <si>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</si>
  <si>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</si>
  <si>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B050"/>
        <rFont val="Meiryo UI"/>
        <family val="2"/>
      </rPr>
      <t>DuNT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</si>
  <si>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</si>
  <si>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POSサーバーの基本設計書</t>
    </r>
  </si>
  <si>
    <r>
      <rPr>
        <sz val="11"/>
        <color rgb="FF000000"/>
        <rFont val="Meiryo UI"/>
        <family val="2"/>
      </rPr>
      <t>Android POS Control</t>
    </r>
  </si>
  <si>
    <r>
      <rPr>
        <sz val="11"/>
        <color rgb="FF000000"/>
        <rFont val="Meiryo UI"/>
        <family val="2"/>
      </rPr>
      <t>画面設計書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</si>
  <si>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</si>
  <si>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■イメージ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</si>
  <si>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多言語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</si>
  <si>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</si>
  <si>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05_ミックスマッチ設定</t>
    </r>
  </si>
  <si>
    <r>
      <rPr>
        <sz val="11"/>
        <color rgb="FF000000"/>
        <rFont val="Meiryo UI"/>
        <family val="2"/>
      </rPr>
      <t>■SC0501_ミックスマッチ設定画面のイメージ</t>
    </r>
  </si>
  <si>
    <r>
      <rPr>
        <sz val="11"/>
        <color rgb="FF000000"/>
        <rFont val="Meiryo UI"/>
        <family val="2"/>
      </rPr>
      <t>画面タイトル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</si>
  <si>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ミックスマッチ設定</t>
    </r>
  </si>
  <si>
    <r>
      <rPr>
        <sz val="11"/>
        <color rgb="FF000000"/>
        <rFont val="Meiryo UI"/>
        <family val="2"/>
      </rPr>
      <t>プロモーションコード（タイトル）</t>
    </r>
  </si>
  <si>
    <r>
      <rPr>
        <sz val="11"/>
        <color rgb="FF000000"/>
        <rFont val="Meiryo UI"/>
        <family val="2"/>
      </rPr>
      <t>プロモーションコード（値）</t>
    </r>
  </si>
  <si>
    <r>
      <rPr>
        <sz val="11"/>
        <color rgb="FF000000"/>
        <rFont val="Meiryo UI"/>
        <family val="2"/>
      </rPr>
      <t>プロモーション名</t>
    </r>
  </si>
  <si>
    <r>
      <rPr>
        <sz val="11"/>
        <color rgb="FF000000"/>
        <rFont val="Meiryo UI"/>
        <family val="2"/>
      </rPr>
      <t>プロモーションコード*</t>
    </r>
  </si>
  <si>
    <r>
      <rPr>
        <sz val="11"/>
        <color rgb="FF000000"/>
        <rFont val="Meiryo UI"/>
        <family val="2"/>
      </rPr>
      <t>無効</t>
    </r>
  </si>
  <si>
    <r>
      <rPr>
        <sz val="11"/>
        <color rgb="FF000000"/>
        <rFont val="Meiryo UI"/>
        <family val="2"/>
      </rPr>
      <t>プロモーション検索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</si>
  <si>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</si>
  <si>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SC0501-01をご参照ください。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</si>
  <si>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SC0501-03</t>
    </r>
  </si>
  <si>
    <r>
      <rPr>
        <sz val="11"/>
        <color rgb="FF000000"/>
        <rFont val="Meiryo UI"/>
        <family val="2"/>
      </rPr>
      <t>ミックスマッチコード（タイトル）</t>
    </r>
  </si>
  <si>
    <r>
      <rPr>
        <sz val="11"/>
        <color rgb="FF000000"/>
        <rFont val="Meiryo UI"/>
        <family val="2"/>
      </rPr>
      <t>ミックスマッチコード（値）</t>
    </r>
  </si>
  <si>
    <r>
      <rPr>
        <sz val="11"/>
        <color rgb="FF000000"/>
        <rFont val="Meiryo UI"/>
        <family val="2"/>
      </rPr>
      <t>ミックスマッチ検索</t>
    </r>
  </si>
  <si>
    <r>
      <rPr>
        <sz val="11"/>
        <color rgb="FF000000"/>
        <rFont val="Meiryo UI"/>
        <family val="2"/>
      </rPr>
      <t>ミックスマッチ新規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</si>
  <si>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</si>
  <si>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SC0501-05</t>
    </r>
  </si>
  <si>
    <r>
      <rPr>
        <sz val="11"/>
        <color rgb="FF000000"/>
        <rFont val="Meiryo UI"/>
        <family val="2"/>
      </rPr>
      <t>ミックスマッチ期間（タイトル）</t>
    </r>
  </si>
  <si>
    <r>
      <rPr>
        <sz val="11"/>
        <color rgb="FF000000"/>
        <rFont val="Meiryo UI"/>
        <family val="2"/>
      </rPr>
      <t>ミックスマッチ期間</t>
    </r>
  </si>
  <si>
    <r>
      <rPr>
        <sz val="11"/>
        <color rgb="FF000000"/>
        <rFont val="Meiryo UI"/>
        <family val="2"/>
      </rPr>
      <t>TimePicker</t>
    </r>
  </si>
  <si>
    <r>
      <rPr>
        <sz val="11"/>
        <color rgb="FF000000"/>
        <rFont val="Meiryo UI"/>
        <family val="2"/>
      </rPr>
      <t>DatePicker</t>
    </r>
  </si>
  <si>
    <r>
      <rPr>
        <sz val="11"/>
        <color rgb="FF000000"/>
        <rFont val="Meiryo UI"/>
        <family val="2"/>
      </rPr>
      <t>商品コード切替</t>
    </r>
  </si>
  <si>
    <r>
      <rPr>
        <sz val="11"/>
        <color rgb="FF000000"/>
        <rFont val="Meiryo UI"/>
        <family val="2"/>
      </rPr>
      <t>現在日</t>
    </r>
  </si>
  <si>
    <r>
      <rPr>
        <sz val="11"/>
        <color rgb="FF000000"/>
        <rFont val="Meiryo UI"/>
        <family val="2"/>
      </rPr>
      <t>00:00</t>
    </r>
  </si>
  <si>
    <r>
      <rPr>
        <sz val="11"/>
        <color rgb="FF000000"/>
        <rFont val="Meiryo UI"/>
        <family val="2"/>
      </rPr>
      <t>フォーマット: yyyy/mm/dd</t>
    </r>
  </si>
  <si>
    <r>
      <rPr>
        <sz val="11"/>
        <color rgb="FF000000"/>
        <rFont val="Meiryo UI"/>
        <family val="2"/>
      </rPr>
      <t>形式: hh:mm</t>
    </r>
  </si>
  <si>
    <r>
      <rPr>
        <sz val="11"/>
        <color rgb="FF000000"/>
        <rFont val="Meiryo UI"/>
        <family val="2"/>
      </rPr>
      <t>・商品コード入力モードで表示されている場合、「PLUコード切替」テキストを表示する。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・PLUコード入力モードで表示されている場合、「商品コード切替」テキストを表示する。</t>
    </r>
  </si>
  <si>
    <r>
      <rPr>
        <sz val="11"/>
        <color rgb="FF000000"/>
        <rFont val="Meiryo UI"/>
        <family val="2"/>
      </rPr>
      <t>デフォルト：無効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新規作成モードまたは編集モードの場合に有効になる。</t>
    </r>
  </si>
  <si>
    <r>
      <rPr>
        <sz val="11"/>
        <color rgb="FF000000"/>
        <rFont val="Meiryo UI"/>
        <family val="2"/>
      </rPr>
      <t>タイムサービス（タイトル）</t>
    </r>
  </si>
  <si>
    <r>
      <rPr>
        <sz val="11"/>
        <color rgb="FF000000"/>
        <rFont val="Meiryo UI"/>
        <family val="2"/>
      </rPr>
      <t>タイムサービス（値）</t>
    </r>
  </si>
  <si>
    <r>
      <rPr>
        <sz val="11"/>
        <color rgb="FF000000"/>
        <rFont val="Meiryo UI"/>
        <family val="2"/>
      </rPr>
      <t>タイムサービス</t>
    </r>
  </si>
  <si>
    <r>
      <rPr>
        <sz val="11"/>
        <color rgb="FF000000"/>
        <rFont val="Meiryo UI"/>
        <family val="2"/>
      </rPr>
      <t>ミックスマッチ区分（タイトル）</t>
    </r>
  </si>
  <si>
    <r>
      <rPr>
        <sz val="11"/>
        <color rgb="FF000000"/>
        <rFont val="Meiryo UI"/>
        <family val="2"/>
      </rPr>
      <t>ミックスマッチ区分（値）</t>
    </r>
  </si>
  <si>
    <r>
      <rPr>
        <sz val="11"/>
        <color rgb="FF000000"/>
        <rFont val="Meiryo UI"/>
        <family val="2"/>
      </rPr>
      <t>ミックスマッチ区分</t>
    </r>
  </si>
  <si>
    <r>
      <rPr>
        <sz val="11"/>
        <color rgb="FF00B050"/>
        <rFont val="Meiryo UI"/>
        <family val="2"/>
      </rPr>
      <t>1:売価     2:割引    3:値引</t>
    </r>
    <r>
      <rPr>
        <sz val="11"/>
        <color rgb="FF00B050"/>
        <rFont val="Meiryo UI"/>
        <family val="2"/>
      </rPr>
      <t xml:space="preserve">      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</si>
  <si>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SC0501-06</t>
    </r>
  </si>
  <si>
    <r>
      <rPr>
        <sz val="11"/>
        <color rgb="FF000000"/>
        <rFont val="Meiryo UI"/>
        <family val="2"/>
      </rPr>
      <t>ミックスマッチオプション</t>
    </r>
  </si>
  <si>
    <r>
      <rPr>
        <sz val="11"/>
        <color rgb="FF000000"/>
        <rFont val="Meiryo UI"/>
        <family val="2"/>
      </rPr>
      <t>成立個数（タイトル）</t>
    </r>
  </si>
  <si>
    <r>
      <rPr>
        <sz val="11"/>
        <color rgb="FF000000"/>
        <rFont val="Meiryo UI"/>
        <family val="2"/>
      </rPr>
      <t>成立個数（値）</t>
    </r>
  </si>
  <si>
    <r>
      <rPr>
        <sz val="11"/>
        <color rgb="FF000000"/>
        <rFont val="Meiryo UI"/>
        <family val="2"/>
      </rPr>
      <t>成立個数</t>
    </r>
  </si>
  <si>
    <r>
      <rPr>
        <sz val="11"/>
        <color rgb="FF000000"/>
        <rFont val="Meiryo UI"/>
        <family val="2"/>
      </rPr>
      <t>成立</t>
    </r>
  </si>
  <si>
    <r>
      <rPr>
        <sz val="11"/>
        <color rgb="FF00B050"/>
        <rFont val="Meiryo UI"/>
        <family val="2"/>
      </rPr>
      <t>ー</t>
    </r>
  </si>
  <si>
    <r>
      <rPr>
        <sz val="11"/>
        <color rgb="FF000000"/>
        <rFont val="Meiryo UI"/>
        <family val="2"/>
      </rPr>
      <t>状態（タイトル）</t>
    </r>
  </si>
  <si>
    <r>
      <rPr>
        <sz val="11"/>
        <color rgb="FF000000"/>
        <rFont val="Meiryo UI"/>
        <family val="2"/>
      </rPr>
      <t>状態（値）</t>
    </r>
  </si>
  <si>
    <r>
      <rPr>
        <sz val="11"/>
        <color rgb="FF000000"/>
        <rFont val="Meiryo UI"/>
        <family val="2"/>
      </rPr>
      <t>状態</t>
    </r>
  </si>
  <si>
    <r>
      <rPr>
        <sz val="11"/>
        <color rgb="FF000000"/>
        <rFont val="Meiryo UI"/>
        <family val="2"/>
      </rPr>
      <t>有効（タイトル）</t>
    </r>
  </si>
  <si>
    <r>
      <rPr>
        <sz val="11"/>
        <color rgb="FF000000"/>
        <rFont val="Meiryo UI"/>
        <family val="2"/>
      </rPr>
      <t>有効（値）</t>
    </r>
  </si>
  <si>
    <r>
      <rPr>
        <sz val="11"/>
        <color rgb="FF000000"/>
        <rFont val="Meiryo UI"/>
        <family val="2"/>
      </rPr>
      <t>商品コード（値）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</si>
  <si>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</si>
  <si>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</si>
  <si>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最大2桁の数字のみ入力可能とする。</t>
    </r>
  </si>
  <si>
    <r>
      <rPr>
        <sz val="11"/>
        <color rgb="FF000000"/>
        <rFont val="Meiryo UI"/>
        <family val="2"/>
      </rPr>
      <t>PLUコード（タイトル）</t>
    </r>
  </si>
  <si>
    <r>
      <rPr>
        <sz val="11"/>
        <color rgb="FF000000"/>
        <rFont val="Meiryo UI"/>
        <family val="2"/>
      </rPr>
      <t>PLUコード（値）</t>
    </r>
  </si>
  <si>
    <r>
      <rPr>
        <sz val="11"/>
        <color rgb="FF000000"/>
        <rFont val="Meiryo UI"/>
        <family val="2"/>
      </rPr>
      <t>PLUコード</t>
    </r>
  </si>
  <si>
    <r>
      <rPr>
        <sz val="11"/>
        <color rgb="FF000000"/>
        <rFont val="Meiryo UI"/>
        <family val="2"/>
      </rPr>
      <t>商品名称（タイトル）</t>
    </r>
  </si>
  <si>
    <r>
      <rPr>
        <sz val="11"/>
        <color rgb="FF000000"/>
        <rFont val="Meiryo UI"/>
        <family val="2"/>
      </rPr>
      <t>商品名称（値）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</si>
  <si>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</si>
  <si>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定番売価（タイトル）</t>
    </r>
  </si>
  <si>
    <r>
      <rPr>
        <sz val="11"/>
        <color rgb="FF000000"/>
        <rFont val="Meiryo UI"/>
        <family val="2"/>
      </rPr>
      <t>定番売価（値）</t>
    </r>
  </si>
  <si>
    <r>
      <rPr>
        <sz val="11"/>
        <color rgb="FF000000"/>
        <rFont val="Meiryo UI"/>
        <family val="2"/>
      </rPr>
      <t>現在売価（タイトル）</t>
    </r>
  </si>
  <si>
    <r>
      <rPr>
        <sz val="11"/>
        <color rgb="FF000000"/>
        <rFont val="Meiryo UI"/>
        <family val="2"/>
      </rPr>
      <t>現在売価（値）</t>
    </r>
  </si>
  <si>
    <r>
      <rPr>
        <sz val="11"/>
        <color rgb="FF000000"/>
        <rFont val="Meiryo UI"/>
        <family val="2"/>
      </rPr>
      <t>F04:クリア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</si>
  <si>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</si>
  <si>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B050"/>
        <rFont val="Meiryo UI"/>
        <family val="2"/>
      </rPr>
      <t>共通ページングをご参照ください</t>
    </r>
  </si>
  <si>
    <r>
      <rPr>
        <sz val="11"/>
        <color rgb="FF000000"/>
        <rFont val="Meiryo UI"/>
        <family val="2"/>
      </rPr>
      <t>最大6桁の数字のみ入力可能とする。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SC0501-07</t>
    </r>
  </si>
  <si>
    <r>
      <rPr>
        <sz val="11"/>
        <color rgb="FF000000"/>
        <rFont val="Meiryo UI"/>
        <family val="2"/>
      </rPr>
      <t>最大13桁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SC0501-07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</si>
  <si>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SC0501-08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</si>
  <si>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SC0501-09</t>
    </r>
  </si>
  <si>
    <r>
      <rPr>
        <sz val="11"/>
        <color rgb="FF000000"/>
        <rFont val="Meiryo UI"/>
        <family val="2"/>
      </rPr>
      <t>最大5桁の数字のみ入力可能とする。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SC0501-02</t>
    </r>
  </si>
  <si>
    <r>
      <rPr>
        <sz val="11"/>
        <color rgb="FF000000"/>
        <rFont val="Meiryo UI"/>
        <family val="2"/>
      </rPr>
      <t>AP0106</t>
    </r>
  </si>
  <si>
    <r>
      <rPr>
        <sz val="11"/>
        <color rgb="FF000000"/>
        <rFont val="Meiryo UI"/>
        <family val="2"/>
      </rPr>
      <t>promotion_code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</si>
  <si>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</si>
  <si>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</si>
  <si>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 xml:space="preserve">
MD0102で選択されたプロモーションコード、またはAP0106のレスポンスのコードを表示する。</t>
    </r>
  </si>
  <si>
    <r>
      <rPr>
        <sz val="11"/>
        <color rgb="FF000000"/>
        <rFont val="Meiryo UI"/>
        <family val="2"/>
      </rPr>
      <t>AP0501</t>
    </r>
  </si>
  <si>
    <r>
      <rPr>
        <sz val="11"/>
        <color rgb="FF000000"/>
        <rFont val="Meiryo UI"/>
        <family val="2"/>
      </rPr>
      <t>店舗が選択された場合に有効になり、店舗が選択されていない場合または有効なプロモーションが選択された後に無効になる。</t>
    </r>
  </si>
  <si>
    <r>
      <rPr>
        <sz val="11"/>
        <color rgb="FF000000"/>
        <rFont val="Meiryo UI"/>
        <family val="2"/>
      </rPr>
      <t>開始年月日</t>
    </r>
  </si>
  <si>
    <r>
      <rPr>
        <sz val="11"/>
        <color rgb="FF000000"/>
        <rFont val="Meiryo UI"/>
        <family val="2"/>
      </rPr>
      <t>開始時間</t>
    </r>
  </si>
  <si>
    <r>
      <rPr>
        <sz val="11"/>
        <color rgb="FF000000"/>
        <rFont val="Meiryo UI"/>
        <family val="2"/>
      </rPr>
      <t>終了年月日</t>
    </r>
  </si>
  <si>
    <r>
      <rPr>
        <sz val="11"/>
        <color rgb="FF000000"/>
        <rFont val="Meiryo UI"/>
        <family val="2"/>
      </rPr>
      <t>終了時間</t>
    </r>
  </si>
  <si>
    <r>
      <rPr>
        <sz val="11"/>
        <color rgb="FF000000"/>
        <rFont val="Meiryo UI"/>
        <family val="2"/>
      </rPr>
      <t>デフォルト：無効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新規作成モードまたは編集モードの場合は有効になる。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</si>
  <si>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</si>
  <si>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start_date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</si>
  <si>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</si>
  <si>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end_date</t>
    </r>
  </si>
  <si>
    <r>
      <rPr>
        <sz val="11"/>
        <color rgb="FF000000"/>
        <rFont val="Meiryo UI"/>
        <family val="2"/>
      </rPr>
      <t>time_service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</si>
  <si>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</si>
  <si>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プロモーションを提案したが、プロモーションが見つからない場合、</t>
    </r>
    <r>
      <rPr>
        <sz val="11"/>
        <color rgb="FF000000"/>
        <rFont val="Meiryo UI"/>
        <family val="2"/>
      </rPr>
      <t>AP0106から返されたエラーメッセージを表示する。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プロモーションを提案して有効なプロモーションがある場合、AP0106のレスポンスの名称を表示する。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MD0102でプロモーションが選択された場合、選択されたプロモーション名を表示する。</t>
    </r>
  </si>
  <si>
    <r>
      <rPr>
        <sz val="11"/>
        <color rgb="FF000000"/>
        <rFont val="Meiryo UI"/>
        <family val="2"/>
      </rPr>
      <t xml:space="preserve">
name</t>
    </r>
    <r>
      <rPr>
        <sz val="11"/>
        <color rgb="FF000000"/>
        <rFont val="Meiryo UI"/>
        <family val="2"/>
      </rPr>
      <t xml:space="preserve">
</t>
    </r>
  </si>
  <si>
    <r>
      <rPr>
        <sz val="11"/>
        <color rgb="FF000000"/>
        <rFont val="Meiryo UI"/>
        <family val="2"/>
      </rPr>
      <t>quantity</t>
    </r>
  </si>
  <si>
    <r>
      <rPr>
        <sz val="11"/>
        <color rgb="FF000000"/>
        <rFont val="Meiryo UI"/>
        <family val="2"/>
      </rPr>
      <t>status</t>
    </r>
  </si>
  <si>
    <r>
      <rPr>
        <sz val="11"/>
        <color rgb="FF000000"/>
        <rFont val="Meiryo UI"/>
        <family val="2"/>
      </rPr>
      <t>standard_price</t>
    </r>
  </si>
  <si>
    <r>
      <rPr>
        <sz val="11"/>
        <color rgb="FF000000"/>
        <rFont val="Meiryo UI"/>
        <family val="2"/>
      </rPr>
      <t>current_price</t>
    </r>
  </si>
  <si>
    <r>
      <rPr>
        <sz val="11"/>
        <color rgb="FF000000"/>
        <rFont val="Meiryo UI"/>
        <family val="2"/>
      </rPr>
      <t>編集モードまたは新規作成モードの場合に有効になる。</t>
    </r>
  </si>
  <si>
    <r>
      <rPr>
        <sz val="11"/>
        <color rgb="FF000000"/>
        <rFont val="Meiryo UI"/>
        <family val="2"/>
      </rPr>
      <t>mix_match_code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</si>
  <si>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部門コード（値）</t>
    </r>
  </si>
  <si>
    <r>
      <rPr>
        <sz val="11"/>
        <color rgb="FF000000"/>
        <rFont val="Meiryo UI"/>
        <family val="2"/>
      </rPr>
      <t>部門コード（タイトル）</t>
    </r>
  </si>
  <si>
    <r>
      <rPr>
        <sz val="11"/>
        <color rgb="FF000000"/>
        <rFont val="Meiryo UI"/>
        <family val="2"/>
      </rPr>
      <t>my_company_code (最後の6桁)</t>
    </r>
  </si>
  <si>
    <r>
      <rPr>
        <sz val="11"/>
        <color rgb="FF000000"/>
        <rFont val="Meiryo UI"/>
        <family val="2"/>
      </rPr>
      <t>my_company_code（6番目と7番目の2桁）</t>
    </r>
  </si>
  <si>
    <r>
      <rPr>
        <sz val="11"/>
        <color rgb="FF000000"/>
        <rFont val="Meiryo UI"/>
        <family val="2"/>
      </rPr>
      <t>AP0501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AP1506</t>
    </r>
  </si>
  <si>
    <r>
      <rPr>
        <sz val="11"/>
        <color rgb="FF000000"/>
        <rFont val="Meiryo UI"/>
        <family val="2"/>
      </rPr>
      <t>plu_code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item code</t>
    </r>
  </si>
  <si>
    <r>
      <rPr>
        <sz val="11"/>
        <color rgb="FF000000"/>
        <rFont val="Meiryo UI"/>
        <family val="2"/>
      </rPr>
      <t>編集の場合、AP0501のレスポンスのplu_codeを表示する。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提案の場合、AP1506のレスポンスのitem_codeを表示する。</t>
    </r>
  </si>
  <si>
    <r>
      <rPr>
        <sz val="11"/>
        <color rgb="FF000000"/>
        <rFont val="Meiryo UI"/>
        <family val="2"/>
      </rPr>
      <t>編集の場合、AP0501のレスポンスの値を表示する。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提案の場合、AP1506のレスポンスの値を表示する。</t>
    </r>
  </si>
  <si>
    <r>
      <rPr>
        <sz val="11"/>
        <color rgb="FF000000"/>
        <rFont val="Meiryo UI"/>
        <family val="2"/>
      </rPr>
      <t>データが変更された場合に有効になる。</t>
    </r>
  </si>
  <si>
    <r>
      <rPr>
        <sz val="11"/>
        <color rgb="FF000000"/>
        <rFont val="Meiryo UI"/>
        <family val="2"/>
      </rPr>
      <t>AP0106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AP0504</t>
    </r>
  </si>
  <si>
    <r>
      <rPr>
        <sz val="11"/>
        <color rgb="FF000000"/>
        <rFont val="Meiryo UI"/>
        <family val="2"/>
      </rPr>
      <t>AP0501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AP0504</t>
    </r>
  </si>
  <si>
    <r>
      <rPr>
        <sz val="11"/>
        <color rgb="FF000000"/>
        <rFont val="Meiryo UI"/>
        <family val="2"/>
      </rPr>
      <t>AP0504</t>
    </r>
  </si>
  <si>
    <r>
      <rPr>
        <sz val="11"/>
        <color rgb="FF000000"/>
        <rFont val="Meiryo UI"/>
        <family val="2"/>
      </rPr>
      <t>plu_code</t>
    </r>
  </si>
  <si>
    <r>
      <rPr>
        <sz val="11"/>
        <color rgb="FF000000"/>
        <rFont val="Meiryo UI"/>
        <family val="2"/>
      </rPr>
      <t>成立（値）</t>
    </r>
  </si>
  <si>
    <r>
      <rPr>
        <sz val="11"/>
        <color rgb="FF000000"/>
        <rFont val="Meiryo UI"/>
        <family val="2"/>
      </rPr>
      <t>成立（タイトル）</t>
    </r>
  </si>
  <si>
    <r>
      <rPr>
        <b/>
        <sz val="11"/>
        <color rgb="FF000000"/>
        <rFont val="Meiryo UI"/>
        <family val="2"/>
      </rPr>
      <t>開始年月日の初期値：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・新規作成モードの場合、選択されているプロモーションの開始年月日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・編集モードの場合：AP0501のレスポンスのstart_date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。</t>
    </r>
  </si>
  <si>
    <r>
      <rPr>
        <b/>
        <sz val="11"/>
        <color rgb="FF000000"/>
        <rFont val="Meiryo UI"/>
        <family val="2"/>
      </rPr>
      <t>開始時間の初期値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・新規作成モードの場合、選択されているプロモーションの開始時間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・編集モードの場合：AP0501のレスポンスのstart_time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。</t>
    </r>
  </si>
  <si>
    <r>
      <rPr>
        <b/>
        <sz val="11"/>
        <color rgb="FF000000"/>
        <rFont val="Meiryo UI"/>
        <family val="2"/>
      </rPr>
      <t>終了年月日の初期値：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・新規作成モードの場合、選択されているプロモーションの終了年月日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・編集モードの場合：AP0501のレスポンスのend_date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。</t>
    </r>
  </si>
  <si>
    <r>
      <rPr>
        <b/>
        <sz val="11"/>
        <color rgb="FF000000"/>
        <rFont val="Meiryo UI"/>
        <family val="2"/>
      </rPr>
      <t>終了時間の初期値：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・新規作成モードの場合、選択されているプロモーションの終了時間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・編集モードの場合：AP0501のレスポンスのend_time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。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</si>
  <si>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MD0501-01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</si>
  <si>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MD0501-02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</si>
  <si>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MD0501-03</t>
    </r>
  </si>
  <si>
    <r>
      <rPr>
        <sz val="11"/>
        <color rgb="FF000000"/>
        <rFont val="Meiryo UI"/>
        <family val="2"/>
      </rPr>
      <t>ミックスマッチ検索</t>
    </r>
  </si>
  <si>
    <r>
      <rPr>
        <sz val="11"/>
        <color rgb="FF000000"/>
        <rFont val="Meiryo UI"/>
        <family val="2"/>
      </rPr>
      <t>プロモーション（タイトル）</t>
    </r>
  </si>
  <si>
    <r>
      <rPr>
        <sz val="11"/>
        <color rgb="FF000000"/>
        <rFont val="Meiryo UI"/>
        <family val="2"/>
      </rPr>
      <t>プロモーション</t>
    </r>
  </si>
  <si>
    <r>
      <rPr>
        <sz val="11"/>
        <color rgb="FF000000"/>
        <rFont val="Meiryo UI"/>
        <family val="2"/>
      </rPr>
      <t>プロモーション(値）</t>
    </r>
  </si>
  <si>
    <r>
      <rPr>
        <sz val="11"/>
        <color rgb="FF000000"/>
        <rFont val="Meiryo UI"/>
        <family val="2"/>
      </rPr>
      <t>ミックスマッチ（タイトル）</t>
    </r>
  </si>
  <si>
    <r>
      <rPr>
        <sz val="11"/>
        <color rgb="FF000000"/>
        <rFont val="Meiryo UI"/>
        <family val="2"/>
      </rPr>
      <t>ミックスマッチ（値）</t>
    </r>
  </si>
  <si>
    <r>
      <rPr>
        <sz val="11"/>
        <color rgb="FF000000"/>
        <rFont val="Meiryo UI"/>
        <family val="2"/>
      </rPr>
      <t>ミックスマッチ</t>
    </r>
  </si>
  <si>
    <r>
      <rPr>
        <sz val="11"/>
        <color rgb="FF000000"/>
        <rFont val="Meiryo UI"/>
        <family val="2"/>
      </rPr>
      <t>部門</t>
    </r>
  </si>
  <si>
    <r>
      <rPr>
        <sz val="11"/>
        <color rgb="FF000000"/>
        <rFont val="Meiryo UI"/>
        <family val="2"/>
      </rPr>
      <t>期間</t>
    </r>
  </si>
  <si>
    <r>
      <rPr>
        <sz val="11"/>
        <color rgb="FF000000"/>
        <rFont val="Meiryo UI"/>
        <family val="2"/>
      </rPr>
      <t>期間（タイトル）</t>
    </r>
  </si>
  <si>
    <r>
      <rPr>
        <sz val="11"/>
        <color rgb="FF000000"/>
        <rFont val="Meiryo UI"/>
        <family val="2"/>
      </rPr>
      <t>期間（値）</t>
    </r>
  </si>
  <si>
    <r>
      <rPr>
        <sz val="11"/>
        <color rgb="FF000000"/>
        <rFont val="Meiryo UI"/>
        <family val="2"/>
      </rPr>
      <t>日付（タイトル）</t>
    </r>
  </si>
  <si>
    <r>
      <rPr>
        <sz val="11"/>
        <color rgb="FF000000"/>
        <rFont val="Meiryo UI"/>
        <family val="2"/>
      </rPr>
      <t>日付（値）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</si>
  <si>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</si>
  <si>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■MD0501_ミックスマッチ検索モーダル（初期化）のイメージ</t>
    </r>
  </si>
  <si>
    <r>
      <rPr>
        <sz val="11"/>
        <color rgb="FF000000"/>
        <rFont val="Meiryo UI"/>
        <family val="2"/>
      </rPr>
      <t>■MD0501_ミックスマッチ検索モーダル (検索結果あり)のイメージ</t>
    </r>
  </si>
  <si>
    <r>
      <rPr>
        <sz val="11"/>
        <color rgb="FF000000"/>
        <rFont val="Meiryo UI"/>
        <family val="2"/>
      </rPr>
      <t>ESC: 前画面</t>
    </r>
  </si>
  <si>
    <r>
      <rPr>
        <sz val="11"/>
        <color rgb="FF000000"/>
        <rFont val="Meiryo UI"/>
        <family val="2"/>
      </rPr>
      <t>閉じる</t>
    </r>
  </si>
  <si>
    <r>
      <rPr>
        <sz val="11"/>
        <color rgb="FF000000"/>
        <rFont val="Meiryo UI"/>
        <family val="2"/>
      </rPr>
      <t>選択（タイトル）</t>
    </r>
  </si>
  <si>
    <r>
      <rPr>
        <sz val="11"/>
        <color rgb="FF000000"/>
        <rFont val="Meiryo UI"/>
        <family val="2"/>
      </rPr>
      <t>選択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</si>
  <si>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選択</t>
    </r>
  </si>
  <si>
    <r>
      <rPr>
        <sz val="11"/>
        <color rgb="FF000000"/>
        <rFont val="Meiryo UI"/>
        <family val="2"/>
      </rPr>
      <t>ミックスマッチコード（タイトル）</t>
    </r>
  </si>
  <si>
    <r>
      <rPr>
        <sz val="11"/>
        <color rgb="FF000000"/>
        <rFont val="Meiryo UI"/>
        <family val="2"/>
      </rPr>
      <t>ミックスマッチコード（値）</t>
    </r>
  </si>
  <si>
    <r>
      <rPr>
        <sz val="11"/>
        <color rgb="FF000000"/>
        <rFont val="Meiryo UI"/>
        <family val="2"/>
      </rPr>
      <t>代表商品（タイトル）</t>
    </r>
  </si>
  <si>
    <r>
      <rPr>
        <sz val="11"/>
        <color rgb="FF000000"/>
        <rFont val="Meiryo UI"/>
        <family val="2"/>
      </rPr>
      <t>代表商品（値）</t>
    </r>
  </si>
  <si>
    <r>
      <rPr>
        <sz val="11"/>
        <color rgb="FF000000"/>
        <rFont val="Meiryo UI"/>
        <family val="2"/>
      </rPr>
      <t>代表商品</t>
    </r>
  </si>
  <si>
    <r>
      <rPr>
        <sz val="11"/>
        <color rgb="FF000000"/>
        <rFont val="Meiryo UI"/>
        <family val="2"/>
      </rPr>
      <t>開始日時（タイトル）</t>
    </r>
  </si>
  <si>
    <r>
      <rPr>
        <sz val="11"/>
        <color rgb="FF000000"/>
        <rFont val="Meiryo UI"/>
        <family val="2"/>
      </rPr>
      <t>終了日時（値）</t>
    </r>
  </si>
  <si>
    <r>
      <rPr>
        <sz val="11"/>
        <color rgb="FF000000"/>
        <rFont val="Meiryo UI"/>
        <family val="2"/>
      </rPr>
      <t>開始日時（値）</t>
    </r>
  </si>
  <si>
    <r>
      <rPr>
        <sz val="11"/>
        <color rgb="FF000000"/>
        <rFont val="Meiryo UI"/>
        <family val="2"/>
      </rPr>
      <t>終了日時（タイトル）</t>
    </r>
  </si>
  <si>
    <r>
      <rPr>
        <sz val="11"/>
        <color rgb="FF000000"/>
        <rFont val="Meiryo UI"/>
        <family val="2"/>
      </rPr>
      <t>成立個数・金額（タイトル）</t>
    </r>
  </si>
  <si>
    <r>
      <rPr>
        <sz val="11"/>
        <color rgb="FF000000"/>
        <rFont val="Meiryo UI"/>
        <family val="2"/>
      </rPr>
      <t>成立個数・金額（値）</t>
    </r>
  </si>
  <si>
    <r>
      <rPr>
        <sz val="11"/>
        <color rgb="FF000000"/>
        <rFont val="Meiryo UI"/>
        <family val="2"/>
      </rPr>
      <t>成立個数・金額</t>
    </r>
  </si>
  <si>
    <r>
      <rPr>
        <sz val="11"/>
        <color rgb="FF000000"/>
        <rFont val="Meiryo UI"/>
        <family val="2"/>
      </rPr>
      <t>開始日時</t>
    </r>
  </si>
  <si>
    <r>
      <rPr>
        <sz val="11"/>
        <color rgb="FF000000"/>
        <rFont val="Meiryo UI"/>
        <family val="2"/>
      </rPr>
      <t>終了日時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</si>
  <si>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MD0501-04</t>
    </r>
  </si>
  <si>
    <r>
      <rPr>
        <sz val="11"/>
        <color rgb="FF000000"/>
        <rFont val="Meiryo UI"/>
        <family val="2"/>
      </rPr>
      <t>SC0501画面から渡される値</t>
    </r>
  </si>
  <si>
    <r>
      <rPr>
        <sz val="11"/>
        <color rgb="FF000000"/>
        <rFont val="Meiryo UI"/>
        <family val="2"/>
      </rPr>
      <t>最大5桁の数字のみ入力可能とする。</t>
    </r>
  </si>
  <si>
    <r>
      <rPr>
        <sz val="11"/>
        <color rgb="FF000000"/>
        <rFont val="Meiryo UI"/>
        <family val="2"/>
      </rPr>
      <t>p</t>
    </r>
  </si>
  <si>
    <r>
      <rPr>
        <sz val="11"/>
        <color rgb="FF000000"/>
        <rFont val="Meiryo UI"/>
        <family val="2"/>
      </rPr>
      <t>最大2桁の数字のみ入力可能とする。</t>
    </r>
  </si>
  <si>
    <r>
      <rPr>
        <sz val="11"/>
        <color rgb="FF000000"/>
        <rFont val="Meiryo UI"/>
        <family val="2"/>
      </rPr>
      <t>ドロップダウン</t>
    </r>
  </si>
  <si>
    <r>
      <rPr>
        <sz val="11"/>
        <color rgb="FF000000"/>
        <rFont val="Meiryo UI"/>
        <family val="2"/>
      </rPr>
      <t>リストの3番目の値（指定なし）：期間中、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開始日、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指定なし</t>
    </r>
  </si>
  <si>
    <r>
      <rPr>
        <sz val="11"/>
        <color rgb="FF000000"/>
        <rFont val="Meiryo UI"/>
        <family val="2"/>
      </rPr>
      <t>日付</t>
    </r>
  </si>
  <si>
    <r>
      <rPr>
        <sz val="11"/>
        <color rgb="FF000000"/>
        <rFont val="Meiryo UI"/>
        <family val="2"/>
      </rPr>
      <t>AP0505</t>
    </r>
  </si>
  <si>
    <r>
      <rPr>
        <sz val="11"/>
        <color rgb="FF000000"/>
        <rFont val="Meiryo UI"/>
        <family val="2"/>
      </rPr>
      <t>mix_match_code</t>
    </r>
  </si>
  <si>
    <r>
      <rPr>
        <sz val="11"/>
        <color rgb="FF000000"/>
        <rFont val="Meiryo UI"/>
        <family val="2"/>
      </rPr>
      <t>code_level_one</t>
    </r>
  </si>
  <si>
    <r>
      <rPr>
        <sz val="11"/>
        <color rgb="FF000000"/>
        <rFont val="Meiryo UI"/>
        <family val="2"/>
      </rPr>
      <t>duration</t>
    </r>
  </si>
  <si>
    <r>
      <rPr>
        <sz val="11"/>
        <color rgb="FF000000"/>
        <rFont val="Meiryo UI"/>
        <family val="2"/>
      </rPr>
      <t>date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</si>
  <si>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</si>
  <si>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</si>
  <si>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options</t>
    </r>
  </si>
  <si>
    <r>
      <rPr>
        <sz val="11"/>
        <color rgb="FF000000"/>
        <rFont val="Meiryo UI"/>
        <family val="2"/>
      </rPr>
      <t>形式：yyyy/MM/dd hh:mm</t>
    </r>
  </si>
  <si>
    <r>
      <rPr>
        <sz val="11"/>
        <color rgb="FF000000"/>
        <rFont val="Meiryo UI"/>
        <family val="2"/>
      </rPr>
      <t>valid</t>
    </r>
  </si>
  <si>
    <r>
      <rPr>
        <sz val="11"/>
        <color rgb="FF000000"/>
        <rFont val="Meiryo UI"/>
        <family val="2"/>
      </rPr>
      <t>形式：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{option[i].quantity}個{option[i].discount_value}円/%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AP0505のレスポンスのタイプ = 2の場合=&gt; 単位： %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AP0505のレスポンスのタイプ = 1又は3  =&gt;単位：円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複数のオプションがある場合は、オプション間を「,」で区切る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多言語表示がある。</t>
    </r>
  </si>
  <si>
    <r>
      <rPr>
        <sz val="11"/>
        <color rgb="FF000000"/>
        <rFont val="Meiryo UI"/>
        <family val="2"/>
      </rPr>
      <t>最大3桁の数字のみ入力可能とする。</t>
    </r>
  </si>
  <si>
    <r>
      <rPr>
        <sz val="11"/>
        <color rgb="FF000000"/>
        <rFont val="Meiryo UI"/>
        <family val="2"/>
      </rPr>
      <t>options[i].quantity</t>
    </r>
  </si>
  <si>
    <r>
      <rPr>
        <sz val="11"/>
        <color rgb="FF000000"/>
        <rFont val="Meiryo UI"/>
        <family val="2"/>
      </rPr>
      <t>options[i].m_value</t>
    </r>
  </si>
  <si>
    <r>
      <rPr>
        <sz val="11"/>
        <color rgb="FF000000"/>
        <rFont val="Meiryo UI"/>
        <family val="2"/>
      </rPr>
      <t>m_value</t>
    </r>
  </si>
  <si>
    <r>
      <rPr>
        <sz val="11"/>
        <color rgb="FF000000"/>
        <rFont val="Meiryo UI"/>
        <family val="2"/>
      </rPr>
      <t>無効：</t>
    </r>
    <r>
      <rPr>
        <sz val="11"/>
        <color rgb="FF000000"/>
        <rFont val="Meiryo UI"/>
        <family val="2"/>
      </rPr>
      <t>期限の値 (項目ID8) = 0または2の場合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有効：</t>
    </r>
    <r>
      <rPr>
        <sz val="11"/>
        <color rgb="FF000000"/>
        <rFont val="Meiryo UI"/>
        <family val="2"/>
      </rPr>
      <t>期限の値 (項目ID8) = 1の場合</t>
    </r>
  </si>
  <si>
    <r>
      <rPr>
        <sz val="11"/>
        <color rgb="FF000000"/>
        <rFont val="Meiryo UI"/>
        <family val="2"/>
      </rPr>
      <t>「1」、「2」、「3」の値のみ入力可能。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SC0501-12</t>
    </r>
  </si>
  <si>
    <r>
      <rPr>
        <sz val="11"/>
        <color rgb="FF000000"/>
        <rFont val="Meiryo UI"/>
        <family val="2"/>
      </rPr>
      <t>商品コード（タイトル）</t>
    </r>
  </si>
  <si>
    <r>
      <rPr>
        <sz val="11"/>
        <color rgb="FF000000"/>
        <rFont val="Meiryo UI"/>
        <family val="2"/>
      </rPr>
      <t>デフォルトで有効になり、ミックスマッチ新規作成モード又は編集モードの場合に無効になる。</t>
    </r>
  </si>
  <si>
    <r>
      <rPr>
        <sz val="11"/>
        <color rgb="FF000000"/>
        <rFont val="Meiryo UI"/>
        <family val="2"/>
      </rPr>
      <t>商品が見つからないエラーの場合、サーバーから返されたエラーメッセージを表示する。</t>
    </r>
  </si>
  <si>
    <r>
      <rPr>
        <sz val="11"/>
        <color rgb="FF000000"/>
        <rFont val="Meiryo UI"/>
        <family val="2"/>
      </rPr>
      <t>商品一覧エリア</t>
    </r>
    <r>
      <rPr>
        <sz val="11"/>
        <color rgb="FF00B050"/>
        <rFont val="Meiryo UI"/>
        <family val="2"/>
      </rPr>
      <t xml:space="preserve"> (AP0501レスポンスの商品一覧取得)</t>
    </r>
  </si>
  <si>
    <r>
      <rPr>
        <sz val="11"/>
        <color rgb="FF000000"/>
        <rFont val="Meiryo UI"/>
        <family val="2"/>
      </rPr>
      <t>SC0501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項目29、38を追加で説明</t>
    </r>
  </si>
  <si>
    <t>`</t>
  </si>
  <si>
    <r>
      <rPr>
        <sz val="11"/>
        <color rgb="FF00B050"/>
        <rFont val="Meiryo UI"/>
        <family val="2"/>
      </rPr>
      <t>AP0502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AP0501</t>
    </r>
  </si>
  <si>
    <r>
      <rPr>
        <sz val="11"/>
        <color rgb="FF000000"/>
        <rFont val="Meiryo UI"/>
        <family val="2"/>
      </rPr>
      <t>初期化モードの場合、空を表示する。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編集モードの場合、AP0501のレスポンスのコードを表示する。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新規作成モードの場合、AP0502のレスポンスのmix_match_codeを表示する。</t>
    </r>
  </si>
  <si>
    <r>
      <rPr>
        <sz val="11"/>
        <color rgb="FF000000"/>
        <rFont val="Meiryo UI"/>
        <family val="2"/>
      </rPr>
      <t>デフォルト：無効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有効なプロモーションが選択された場合は有効になる。</t>
    </r>
    <r>
      <rPr>
        <sz val="11"/>
        <color rgb="FF000000"/>
        <rFont val="Meiryo UI"/>
        <family val="2"/>
      </rPr>
      <t>新規モード又は編集モードの場合、無効になる。</t>
    </r>
  </si>
  <si>
    <r>
      <rPr>
        <sz val="11"/>
        <color rgb="FF00B050"/>
        <rFont val="Meiryo UI"/>
        <family val="2"/>
      </rPr>
      <t>イベントID：</t>
    </r>
    <r>
      <rPr>
        <sz val="11"/>
        <color rgb="FF00B050"/>
        <rFont val="Meiryo UI"/>
        <family val="2"/>
      </rPr>
      <t>SC0501-04-2</t>
    </r>
  </si>
  <si>
    <r>
      <rPr>
        <sz val="11"/>
        <color rgb="FF00B050"/>
        <rFont val="Meiryo UI"/>
        <family val="2"/>
      </rPr>
      <t>SC0501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イベントID：</t>
    </r>
    <r>
      <rPr>
        <sz val="11"/>
        <color rgb="FF00B050"/>
        <rFont val="Meiryo UI"/>
        <family val="2"/>
      </rPr>
      <t>SC0501-04-1、イベントID：</t>
    </r>
    <r>
      <rPr>
        <sz val="11"/>
        <color rgb="FF00B050"/>
        <rFont val="Meiryo UI"/>
        <family val="2"/>
      </rPr>
      <t>SC0501-04-2</t>
    </r>
  </si>
  <si>
    <r>
      <rPr>
        <sz val="11"/>
        <color rgb="FF00B050"/>
        <rFont val="Meiryo UI"/>
        <family val="2"/>
      </rPr>
      <t>category_code</t>
    </r>
  </si>
  <si>
    <r>
      <rPr>
        <sz val="11"/>
        <color rgb="FF00B050"/>
        <rFont val="Meiryo UI"/>
        <family val="2"/>
      </rPr>
      <t>category_code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product_name</t>
    </r>
  </si>
  <si>
    <r>
      <rPr>
        <sz val="11"/>
        <color rgb="FF00B050"/>
        <rFont val="Meiryo UI"/>
        <family val="2"/>
      </rPr>
      <t>MD0501：プロモーションコードの必須入力を削除し、category_code を追加</t>
    </r>
  </si>
  <si>
    <r>
      <rPr>
        <sz val="11"/>
        <color rgb="FF00B050"/>
        <rFont val="Meiryo UI"/>
        <family val="2"/>
      </rPr>
      <t>最大3桁の数字のみ入力可能とする。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イベントID：</t>
    </r>
    <r>
      <rPr>
        <sz val="11"/>
        <color rgb="FF00B050"/>
        <rFont val="Meiryo UI"/>
        <family val="2"/>
      </rPr>
      <t>SC0501-04-1</t>
    </r>
  </si>
  <si>
    <r>
      <rPr>
        <sz val="11"/>
        <color rgb="FF00B050"/>
        <rFont val="Meiryo UI"/>
        <family val="2"/>
      </rPr>
      <t>0:通常    1:タイムサービ</t>
    </r>
    <r>
      <rPr>
        <sz val="11"/>
        <color rgb="FF00B050"/>
        <rFont val="Meiryo UI"/>
        <family val="2"/>
      </rPr>
      <t xml:space="preserve">  </t>
    </r>
  </si>
  <si>
    <r>
      <rPr>
        <sz val="11"/>
        <color rgb="FF00B050"/>
        <rFont val="Meiryo UI"/>
        <family val="2"/>
      </rPr>
      <t>F8:クリア</t>
    </r>
  </si>
  <si>
    <r>
      <rPr>
        <sz val="11"/>
        <color rgb="FF00B050"/>
        <rFont val="Meiryo UI"/>
        <family val="2"/>
      </rPr>
      <t>F11:確定</t>
    </r>
  </si>
  <si>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0: 実施中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In progress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1: 終了: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Ended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2: 未実施: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Not implemented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3: 中止: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Cancelled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 xml:space="preserve">  </t>
    </r>
    <r>
      <rPr>
        <sz val="11"/>
        <color rgb="FF00B050"/>
        <rFont val="Meiryo UI"/>
        <family val="2"/>
      </rPr>
      <t>4: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NG</t>
    </r>
  </si>
  <si>
    <r>
      <rPr>
        <b/>
        <sz val="11"/>
        <color rgb="FF00B050"/>
        <rFont val="Meiryo UI"/>
        <family val="2"/>
      </rPr>
      <t>・新規モード：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+一覧に商品が存在していない場合、「新規」を表示する。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+一覧に商品が存在した場合、「変更」を表示する。</t>
    </r>
    <r>
      <rPr>
        <sz val="11"/>
        <color rgb="FF00B050"/>
        <rFont val="Meiryo UI"/>
        <family val="2"/>
      </rPr>
      <t xml:space="preserve">
</t>
    </r>
    <r>
      <rPr>
        <b/>
        <sz val="11"/>
        <color rgb="FF00B050"/>
        <rFont val="Meiryo UI"/>
        <family val="2"/>
      </rPr>
      <t>・編集モード：</t>
    </r>
    <r>
      <rPr>
        <sz val="11"/>
        <color rgb="FF00B050"/>
        <rFont val="Meiryo UI"/>
        <family val="2"/>
      </rPr>
      <t>備考列の値に該当する有効な値をレスポンスAP0501に表示する。</t>
    </r>
  </si>
  <si>
    <r>
      <rPr>
        <sz val="11"/>
        <color rgb="FF00B050"/>
        <rFont val="Meiryo UI"/>
        <family val="2"/>
      </rPr>
      <t>ページングエリア</t>
    </r>
  </si>
  <si>
    <r>
      <rPr>
        <sz val="11"/>
        <color rgb="FF00B050"/>
        <rFont val="Meiryo UI"/>
        <family val="2"/>
      </rPr>
      <t>・画面が編集モード（商品新規追加時）または新規作成モードで、PLUコード入力モードの場合、有効にする。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・商品コード入力モードまたは画面初期化モードの場合：無効。編集モードでは、アイテムがレスポンスAP0501に既存の場合は無効にする。</t>
    </r>
  </si>
  <si>
    <r>
      <rPr>
        <sz val="11"/>
        <color rgb="FF00B050"/>
        <rFont val="Meiryo UI"/>
        <family val="2"/>
      </rPr>
      <t>・画面が編集モード（商品新規追加時）または新規作成モードで、商品コード入力モードの場合、有効にする。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・PLUコード入力モードまたは画面初期化モードの場合：無効。編集モードでは、アイテムがレスポンスAP0501に既存の場合は無効にする。</t>
    </r>
  </si>
  <si>
    <r>
      <rPr>
        <sz val="11"/>
        <color rgb="FF000000"/>
        <rFont val="Meiryo UI"/>
        <family val="2"/>
      </rPr>
      <t>店舗が選択された場合は有効になる。</t>
    </r>
    <r>
      <rPr>
        <sz val="11"/>
        <color rgb="FF00B050"/>
        <rFont val="Meiryo UI"/>
        <family val="2"/>
      </rPr>
      <t>・有効なプロモーションコードがある場合：無効</t>
    </r>
  </si>
  <si>
    <r>
      <rPr>
        <sz val="11"/>
        <color rgb="FF00B050"/>
        <rFont val="Meiryo UI"/>
        <family val="2"/>
      </rPr>
      <t>有効なミックスマッチコードがない場合：有効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有効なミックスマッチコードがある場合：無効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</si>
  <si>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</si>
  <si>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状態（タイトル）</t>
    </r>
  </si>
  <si>
    <r>
      <rPr>
        <sz val="11"/>
        <color rgb="FF000000"/>
        <rFont val="Meiryo UI"/>
        <family val="2"/>
      </rPr>
      <t>状態（値）</t>
    </r>
  </si>
  <si>
    <r>
      <rPr>
        <sz val="11"/>
        <color rgb="FF000000"/>
        <rFont val="Meiryo UI"/>
        <family val="2"/>
      </rPr>
      <t>TimePicker</t>
    </r>
  </si>
  <si>
    <r>
      <rPr>
        <sz val="11"/>
        <color rgb="FF00B050"/>
        <rFont val="Meiryo UI"/>
        <family val="2"/>
      </rPr>
      <t>ドロップダウン</t>
    </r>
  </si>
  <si>
    <r>
      <rPr>
        <sz val="11"/>
        <color rgb="FF00B050"/>
        <rFont val="Meiryo UI"/>
        <family val="2"/>
      </rPr>
      <t>ボタン</t>
    </r>
  </si>
  <si>
    <r>
      <rPr>
        <sz val="11"/>
        <color rgb="FF00B050"/>
        <rFont val="Meiryo UI"/>
        <family val="2"/>
      </rPr>
      <t>I</t>
    </r>
  </si>
  <si>
    <r>
      <rPr>
        <sz val="11"/>
        <color rgb="FF000000"/>
        <rFont val="Meiryo UI"/>
        <family val="2"/>
      </rPr>
      <t>AP0106</t>
    </r>
  </si>
  <si>
    <r>
      <rPr>
        <sz val="11"/>
        <color rgb="FF00B050"/>
        <rFont val="Meiryo UI"/>
        <family val="2"/>
      </rPr>
      <t>AP0501</t>
    </r>
  </si>
  <si>
    <r>
      <rPr>
        <sz val="11"/>
        <color rgb="FF000000"/>
        <rFont val="Meiryo UI"/>
        <family val="2"/>
      </rPr>
      <t>AP0501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AP1506</t>
    </r>
  </si>
  <si>
    <r>
      <rPr>
        <sz val="11"/>
        <color rgb="FF000000"/>
        <rFont val="Meiryo UI"/>
        <family val="2"/>
      </rPr>
      <t>start_date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</si>
  <si>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</si>
  <si>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end_date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</si>
  <si>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</si>
  <si>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time_service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</si>
  <si>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</si>
  <si>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B050"/>
        <rFont val="Meiryo UI"/>
        <family val="2"/>
      </rPr>
      <t>status</t>
    </r>
  </si>
  <si>
    <r>
      <rPr>
        <sz val="11"/>
        <color rgb="FF000000"/>
        <rFont val="Meiryo UI"/>
        <family val="2"/>
      </rPr>
      <t>status</t>
    </r>
  </si>
  <si>
    <r>
      <rPr>
        <sz val="11"/>
        <color rgb="FF000000"/>
        <rFont val="Meiryo UI"/>
        <family val="2"/>
      </rPr>
      <t>00:00</t>
    </r>
  </si>
  <si>
    <r>
      <rPr>
        <sz val="11"/>
        <color rgb="FF000000"/>
        <rFont val="Meiryo UI"/>
        <family val="2"/>
      </rPr>
      <t>状態</t>
    </r>
  </si>
  <si>
    <r>
      <rPr>
        <sz val="11"/>
        <color rgb="FF000000"/>
        <rFont val="Meiryo UI"/>
        <family val="2"/>
      </rPr>
      <t>編集の場合、AP0501のレスポンスの値を表示する。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提案の場合、AP1506のレスポンスの値を表示する。</t>
    </r>
  </si>
  <si>
    <r>
      <rPr>
        <sz val="11"/>
        <color rgb="FF00B050"/>
        <rFont val="Meiryo UI"/>
        <family val="2"/>
      </rPr>
      <t>ー</t>
    </r>
  </si>
  <si>
    <r>
      <rPr>
        <sz val="11"/>
        <color rgb="FF000000"/>
        <rFont val="Meiryo UI"/>
        <family val="2"/>
      </rPr>
      <t>デフォルト：無効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新規作成モードまたは編集モードの場合は有効になる。</t>
    </r>
  </si>
  <si>
    <r>
      <rPr>
        <sz val="11"/>
        <color rgb="FF000000"/>
        <rFont val="Meiryo UI"/>
        <family val="2"/>
      </rPr>
      <t>デフォルト：無効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新規作成モードまたは編集モードの場合に有効になる。</t>
    </r>
  </si>
  <si>
    <r>
      <rPr>
        <sz val="11"/>
        <color rgb="FF00B050"/>
        <rFont val="Meiryo UI"/>
        <family val="2"/>
      </rPr>
      <t>編集モードまたは新規作成モードの場合に有効になる。</t>
    </r>
  </si>
  <si>
    <r>
      <rPr>
        <sz val="11"/>
        <color rgb="FF00B050"/>
        <rFont val="Meiryo UI"/>
        <family val="2"/>
      </rPr>
      <t>デフォルト：無効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新規作成モードまたは編集モードの場合に有効になる。</t>
    </r>
  </si>
  <si>
    <r>
      <rPr>
        <sz val="11"/>
        <color rgb="FF00B050"/>
        <rFont val="Meiryo UI"/>
        <family val="2"/>
      </rPr>
      <t>・画面が編集モード（商品新規追加時）または新規作成モードで、商品コード入力モードの場合、有効にする。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>・PLUコード入力モードまたは画面初期化モードの場合：無効。編集モードでは、アイテムがレスポンスAP0501に既存の場合は無効にする。</t>
    </r>
  </si>
  <si>
    <r>
      <rPr>
        <sz val="11"/>
        <color rgb="FF00B050"/>
        <rFont val="Meiryo UI"/>
        <family val="2"/>
      </rPr>
      <t>共通ページングをご参照ください</t>
    </r>
  </si>
  <si>
    <r>
      <rPr>
        <sz val="11"/>
        <color rgb="FF000000"/>
        <rFont val="Meiryo UI"/>
        <family val="2"/>
      </rPr>
      <t>AP0504</t>
    </r>
  </si>
  <si>
    <r>
      <rPr>
        <sz val="11"/>
        <color rgb="FF00B050"/>
        <rFont val="Meiryo UI"/>
        <family val="2"/>
      </rPr>
      <t>AP0504</t>
    </r>
  </si>
  <si>
    <r>
      <rPr>
        <sz val="11"/>
        <color rgb="FF000000"/>
        <rFont val="Meiryo UI"/>
        <family val="2"/>
      </rPr>
      <t>形式: hh:mm</t>
    </r>
  </si>
  <si>
    <r>
      <rPr>
        <sz val="11"/>
        <color rgb="FF000000"/>
        <rFont val="Meiryo UI"/>
        <family val="2"/>
      </rPr>
      <t>「0」、「1」の値のみ入力可能。</t>
    </r>
  </si>
  <si>
    <r>
      <rPr>
        <sz val="11"/>
        <color rgb="FF00B050"/>
        <rFont val="Meiryo UI"/>
        <family val="2"/>
      </rPr>
      <t>以下の値入力可能。「0:実施」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「1:</t>
    </r>
    <r>
      <rPr>
        <sz val="11"/>
        <color rgb="FF00B050"/>
        <rFont val="Meiryo UI"/>
        <family val="2"/>
      </rPr>
      <t xml:space="preserve"> </t>
    </r>
    <r>
      <rPr>
        <sz val="11"/>
        <color rgb="FF00B050"/>
        <rFont val="Meiryo UI"/>
        <family val="2"/>
      </rPr>
      <t>中止」</t>
    </r>
  </si>
  <si>
    <r>
      <rPr>
        <sz val="11"/>
        <color rgb="FF000000"/>
        <rFont val="Meiryo UI"/>
        <family val="2"/>
      </rPr>
      <t>「1:売価」又は「3:値引」：最大6桁の数字のみ入力可能とする。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「2:割引」：最大2桁の数字のみ入力可能とする。</t>
    </r>
  </si>
  <si>
    <r>
      <rPr>
        <sz val="11"/>
        <color rgb="FF000000"/>
        <rFont val="Meiryo UI"/>
        <family val="2"/>
      </rPr>
      <t>ミックスマッチ</t>
    </r>
  </si>
  <si>
    <r>
      <rPr>
        <sz val="11"/>
        <color rgb="FF000000"/>
        <rFont val="Meiryo UI"/>
        <family val="2"/>
      </rPr>
      <t>AP0505</t>
    </r>
  </si>
  <si>
    <r>
      <rPr>
        <sz val="11"/>
        <color rgb="FF000000"/>
        <rFont val="Meiryo UI"/>
        <family val="2"/>
      </rPr>
      <t>形式：yyyy/MM/dd hh:mm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</si>
  <si>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</si>
  <si>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</si>
  <si>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</si>
  <si>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</si>
  <si>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ー</t>
    </r>
  </si>
  <si>
    <t>以下の値入力可能。
「0:実施」 「1: 中止」</t>
  </si>
  <si>
    <t>DuNT</t>
  </si>
  <si>
    <t>SC0501：会員売価、マスタ設定ボタンを削除</t>
  </si>
  <si>
    <t>MD0502を削除</t>
  </si>
  <si>
    <t>会員価格（S&amp;G）（タイトル）</t>
  </si>
  <si>
    <t>テキスト</t>
  </si>
  <si>
    <t>O</t>
  </si>
  <si>
    <t>会員価格（Ｓ＆G）</t>
  </si>
  <si>
    <t>ー</t>
  </si>
  <si>
    <t>会員価格（S&amp;G）（値）</t>
  </si>
  <si>
    <t>ドロップダウン</t>
  </si>
  <si>
    <t>I</t>
  </si>
  <si>
    <t>AP0501</t>
  </si>
  <si>
    <t>sg_member_included</t>
  </si>
  <si>
    <t xml:space="preserve">0:扱いなし   1:扱い  </t>
  </si>
  <si>
    <t>デフォルト：無効 新規作成モードまたは編集モードの場合に有効になる。</t>
  </si>
  <si>
    <t>AP0504</t>
  </si>
  <si>
    <t>「0」、「1」の値のみ入力可能。</t>
  </si>
  <si>
    <t>会員価格（カスミカード）（タイトル）</t>
  </si>
  <si>
    <t>会員価格（カスミカード）</t>
  </si>
  <si>
    <t>会員価格（カスミカード）（値）</t>
  </si>
  <si>
    <t>kasumi_card_member_included</t>
  </si>
  <si>
    <t xml:space="preserve">0:扱いなし   1:扱い    </t>
  </si>
  <si>
    <t>settings</t>
  </si>
  <si>
    <t>各ミックスマッチ区分のミックスマッチオプション列数は type_one、 type_two、type_threeの値に依存する。</t>
  </si>
  <si>
    <t>会員価格（S&amp;G） (タイトル)</t>
  </si>
  <si>
    <t>会員価格（S&amp;G）(値)</t>
  </si>
  <si>
    <t>EditText</t>
  </si>
  <si>
    <t>I/O</t>
  </si>
  <si>
    <t>options[i].m_value_sg_member</t>
  </si>
  <si>
    <t>項目ID15の値 (会員価格（S&amp;G）） = 1の場合に有効になる。</t>
  </si>
  <si>
    <t>m_value_sg_member</t>
  </si>
  <si>
    <t>「1:売価」又は「3:値引」：最大6桁の数字のみ入力可能とする。
「2:割引」：最大2桁の数字のみ入力可能とする。</t>
  </si>
  <si>
    <t>options[i].m_value_kasumi_card_member</t>
  </si>
  <si>
    <t>項目ID18の値 (会員価格（カスミカード）） = 1の場合に有効になる。</t>
  </si>
  <si>
    <t>m_value_kasumi_card_member</t>
  </si>
  <si>
    <t>汎用マスタ設定</t>
  </si>
  <si>
    <t>ボタン</t>
  </si>
  <si>
    <t>編集モードまたは新規作成モードの場合に有効になる。</t>
  </si>
  <si>
    <t>イベントID：SC0501-11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</si>
</sst>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theme="5"/>
      <name val="Meiryo UI"/>
      <family val="2"/>
    </font>
    <font>
      <b/>
      <sz val="11"/>
      <color rgb="FF00B050"/>
      <name val="Meiryo UI"/>
      <family val="2"/>
    </font>
    <font>
      <sz val="11"/>
      <name val="Meiryo UI"/>
      <family val="3"/>
      <charset val="128"/>
    </font>
    <font>
      <sz val="11"/>
      <color theme="5"/>
      <name val="Meiryo UI"/>
      <family val="3"/>
      <charset val="128"/>
    </font>
    <font>
      <sz val="11"/>
      <color rgb="FFED7D31"/>
      <name val="Meiryo UI"/>
      <family val="2"/>
    </font>
    <font>
      <strike/>
      <sz val="11"/>
      <color rgb="FFED7D31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7" fillId="0" borderId="0">
      <alignment vertical="center"/>
    </xf>
  </cellStyleXfs>
  <cellXfs count="46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1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9" xfId="6" applyFont="1" applyBorder="1" applyAlignment="1">
      <alignment horizontal="center" vertical="center"/>
    </xf>
    <xf numFmtId="0" fontId="7" fillId="0" borderId="20" xfId="6" applyFont="1" applyBorder="1" applyAlignment="1">
      <alignment horizontal="center" vertical="center"/>
    </xf>
    <xf numFmtId="0" fontId="7" fillId="0" borderId="20" xfId="6" applyFont="1" applyBorder="1" applyAlignment="1">
      <alignment vertical="center"/>
    </xf>
    <xf numFmtId="0" fontId="12" fillId="0" borderId="0" xfId="0" applyFont="1"/>
    <xf numFmtId="0" fontId="8" fillId="0" borderId="19" xfId="6" applyFont="1" applyBorder="1" applyAlignment="1">
      <alignment horizontal="center" vertical="center"/>
    </xf>
    <xf numFmtId="0" fontId="8" fillId="0" borderId="17" xfId="6" applyFont="1" applyBorder="1" applyAlignment="1">
      <alignment horizontal="center" vertical="center"/>
    </xf>
    <xf numFmtId="0" fontId="8" fillId="0" borderId="20" xfId="6" applyFont="1" applyBorder="1" applyAlignment="1">
      <alignment horizontal="center" vertical="center"/>
    </xf>
    <xf numFmtId="0" fontId="15" fillId="0" borderId="17" xfId="6" applyFont="1" applyBorder="1" applyAlignment="1">
      <alignment horizontal="center" vertical="center"/>
    </xf>
    <xf numFmtId="0" fontId="14" fillId="0" borderId="1" xfId="6" applyFont="1" applyBorder="1" applyAlignment="1">
      <alignment vertical="center"/>
    </xf>
    <xf numFmtId="0" fontId="14" fillId="0" borderId="19" xfId="6" applyFont="1" applyBorder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17" xfId="6" applyFont="1" applyBorder="1" applyAlignment="1">
      <alignment vertical="center"/>
    </xf>
    <xf numFmtId="0" fontId="14" fillId="0" borderId="4" xfId="6" applyFont="1" applyBorder="1" applyAlignment="1">
      <alignment vertical="center"/>
    </xf>
    <xf numFmtId="0" fontId="14" fillId="0" borderId="0" xfId="6" applyFont="1" applyAlignment="1">
      <alignment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16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0" fontId="0" fillId="0" borderId="5" xfId="0" applyBorder="1"/>
    <xf numFmtId="0" fontId="0" fillId="0" borderId="24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2" borderId="0" xfId="0" applyFont="1" applyFill="1"/>
    <xf numFmtId="14" fontId="14" fillId="0" borderId="24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7" xfId="0" applyFont="1" applyBorder="1"/>
    <xf numFmtId="0" fontId="14" fillId="0" borderId="28" xfId="0" applyFont="1" applyBorder="1"/>
    <xf numFmtId="0" fontId="14" fillId="0" borderId="16" xfId="0" applyFont="1" applyBorder="1"/>
    <xf numFmtId="0" fontId="14" fillId="0" borderId="29" xfId="0" applyFont="1" applyBorder="1"/>
    <xf numFmtId="0" fontId="14" fillId="0" borderId="30" xfId="0" applyFont="1" applyBorder="1"/>
    <xf numFmtId="0" fontId="14" fillId="0" borderId="31" xfId="0" applyFont="1" applyBorder="1"/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7" fillId="0" borderId="26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" fillId="2" borderId="21" xfId="6" applyFont="1" applyFill="1" applyBorder="1" applyAlignment="1">
      <alignment horizontal="center" vertical="center"/>
    </xf>
    <xf numFmtId="0" fontId="2" fillId="2" borderId="22" xfId="6" applyFont="1" applyFill="1" applyBorder="1" applyAlignment="1">
      <alignment horizontal="center" vertical="center"/>
    </xf>
    <xf numFmtId="0" fontId="2" fillId="2" borderId="23" xfId="6" applyFont="1" applyFill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26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8" fillId="3" borderId="24" xfId="6" applyFont="1" applyFill="1" applyBorder="1" applyAlignment="1">
      <alignment vertical="center" wrapText="1"/>
    </xf>
    <xf numFmtId="0" fontId="7" fillId="3" borderId="26" xfId="6" applyFont="1" applyFill="1" applyBorder="1" applyAlignment="1">
      <alignment vertical="center"/>
    </xf>
    <xf numFmtId="0" fontId="7" fillId="3" borderId="1" xfId="6" applyFont="1" applyFill="1" applyBorder="1" applyAlignment="1">
      <alignment vertical="center"/>
    </xf>
    <xf numFmtId="0" fontId="7" fillId="3" borderId="4" xfId="6" applyFont="1" applyFill="1" applyBorder="1" applyAlignment="1">
      <alignment vertical="center"/>
    </xf>
    <xf numFmtId="0" fontId="7" fillId="3" borderId="2" xfId="6" applyFont="1" applyFill="1" applyBorder="1" applyAlignment="1">
      <alignment vertical="center"/>
    </xf>
    <xf numFmtId="0" fontId="7" fillId="3" borderId="5" xfId="6" applyFont="1" applyFill="1" applyBorder="1" applyAlignment="1">
      <alignment vertical="center"/>
    </xf>
    <xf numFmtId="0" fontId="8" fillId="3" borderId="24" xfId="6" applyFont="1" applyFill="1" applyBorder="1" applyAlignment="1">
      <alignment vertical="center"/>
    </xf>
    <xf numFmtId="0" fontId="7" fillId="3" borderId="25" xfId="6" applyFont="1" applyFill="1" applyBorder="1" applyAlignment="1">
      <alignment vertical="center"/>
    </xf>
    <xf numFmtId="0" fontId="7" fillId="3" borderId="0" xfId="6" applyFont="1" applyFill="1" applyAlignment="1">
      <alignment vertical="center"/>
    </xf>
    <xf numFmtId="0" fontId="7" fillId="3" borderId="3" xfId="6" applyFont="1" applyFill="1" applyBorder="1" applyAlignment="1">
      <alignment vertical="center"/>
    </xf>
    <xf numFmtId="0" fontId="7" fillId="3" borderId="32" xfId="6" applyFont="1" applyFill="1" applyBorder="1" applyAlignment="1">
      <alignment vertical="center" shrinkToFit="1"/>
    </xf>
    <xf numFmtId="0" fontId="7" fillId="3" borderId="33" xfId="6" applyFont="1" applyFill="1" applyBorder="1" applyAlignment="1">
      <alignment vertical="center" shrinkToFit="1"/>
    </xf>
    <xf numFmtId="0" fontId="7" fillId="3" borderId="34" xfId="6" applyFont="1" applyFill="1" applyBorder="1" applyAlignment="1">
      <alignment vertical="center" shrinkToFit="1"/>
    </xf>
    <xf numFmtId="0" fontId="8" fillId="3" borderId="32" xfId="6" applyFont="1" applyFill="1" applyBorder="1" applyAlignment="1">
      <alignment vertical="center" wrapText="1"/>
    </xf>
    <xf numFmtId="0" fontId="8" fillId="3" borderId="33" xfId="6" applyFont="1" applyFill="1" applyBorder="1" applyAlignment="1">
      <alignment vertical="center" wrapText="1"/>
    </xf>
    <xf numFmtId="0" fontId="8" fillId="3" borderId="34" xfId="6" applyFont="1" applyFill="1" applyBorder="1" applyAlignment="1">
      <alignment vertical="center" wrapText="1"/>
    </xf>
    <xf numFmtId="0" fontId="8" fillId="4" borderId="21" xfId="6" applyFont="1" applyFill="1" applyBorder="1" applyAlignment="1">
      <alignment vertical="center"/>
    </xf>
    <xf numFmtId="0" fontId="7" fillId="4" borderId="22" xfId="6" applyFont="1" applyFill="1" applyBorder="1" applyAlignment="1">
      <alignment vertical="center"/>
    </xf>
    <xf numFmtId="0" fontId="7" fillId="4" borderId="35" xfId="6" applyFont="1" applyFill="1" applyBorder="1" applyAlignment="1">
      <alignment vertical="center"/>
    </xf>
    <xf numFmtId="0" fontId="8" fillId="4" borderId="36" xfId="6" applyFont="1" applyFill="1" applyBorder="1" applyAlignment="1">
      <alignment vertical="center"/>
    </xf>
    <xf numFmtId="0" fontId="7" fillId="4" borderId="23" xfId="6" applyFont="1" applyFill="1" applyBorder="1" applyAlignment="1">
      <alignment vertical="center"/>
    </xf>
    <xf numFmtId="0" fontId="7" fillId="0" borderId="27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27" xfId="6" applyFont="1" applyBorder="1" applyAlignment="1">
      <alignment vertical="center"/>
    </xf>
    <xf numFmtId="0" fontId="7" fillId="0" borderId="28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37" xfId="6" applyFont="1" applyBorder="1" applyAlignment="1">
      <alignment vertical="center"/>
    </xf>
    <xf numFmtId="0" fontId="7" fillId="0" borderId="38" xfId="6" applyFont="1" applyBorder="1" applyAlignment="1">
      <alignment vertical="center"/>
    </xf>
    <xf numFmtId="0" fontId="7" fillId="0" borderId="39" xfId="6" applyFont="1" applyBorder="1" applyAlignment="1">
      <alignment vertical="center"/>
    </xf>
    <xf numFmtId="0" fontId="8" fillId="0" borderId="27" xfId="6" applyFont="1" applyBorder="1" applyAlignment="1">
      <alignment horizontal="center" vertical="center"/>
    </xf>
    <xf numFmtId="0" fontId="7" fillId="0" borderId="28" xfId="6" applyFont="1" applyBorder="1" applyAlignment="1">
      <alignment horizontal="center" vertical="center"/>
    </xf>
    <xf numFmtId="0" fontId="8" fillId="5" borderId="21" xfId="6" applyFont="1" applyFill="1" applyBorder="1" applyAlignment="1">
      <alignment vertical="center"/>
    </xf>
    <xf numFmtId="0" fontId="7" fillId="5" borderId="22" xfId="6" applyFont="1" applyFill="1" applyBorder="1" applyAlignment="1">
      <alignment vertical="center"/>
    </xf>
    <xf numFmtId="0" fontId="7" fillId="5" borderId="23" xfId="6" applyFont="1" applyFill="1" applyBorder="1" applyAlignment="1">
      <alignment vertical="center"/>
    </xf>
    <xf numFmtId="0" fontId="8" fillId="6" borderId="24" xfId="6" applyFont="1" applyFill="1" applyBorder="1" applyAlignment="1">
      <alignment vertical="center"/>
    </xf>
    <xf numFmtId="0" fontId="7" fillId="6" borderId="25" xfId="6" applyFont="1" applyFill="1" applyBorder="1" applyAlignment="1">
      <alignment vertical="center"/>
    </xf>
    <xf numFmtId="0" fontId="7" fillId="6" borderId="26" xfId="6" applyFont="1" applyFill="1" applyBorder="1" applyAlignment="1">
      <alignment vertical="center"/>
    </xf>
    <xf numFmtId="0" fontId="7" fillId="6" borderId="1" xfId="6" applyFont="1" applyFill="1" applyBorder="1" applyAlignment="1">
      <alignment vertical="center"/>
    </xf>
    <xf numFmtId="0" fontId="7" fillId="6" borderId="0" xfId="6" applyFont="1" applyFill="1" applyAlignment="1">
      <alignment vertical="center"/>
    </xf>
    <xf numFmtId="0" fontId="7" fillId="6" borderId="4" xfId="6" applyFont="1" applyFill="1" applyBorder="1" applyAlignment="1">
      <alignment vertical="center"/>
    </xf>
    <xf numFmtId="0" fontId="7" fillId="6" borderId="2" xfId="6" applyFont="1" applyFill="1" applyBorder="1" applyAlignment="1">
      <alignment vertical="center"/>
    </xf>
    <xf numFmtId="0" fontId="7" fillId="6" borderId="3" xfId="6" applyFont="1" applyFill="1" applyBorder="1" applyAlignment="1">
      <alignment vertical="center"/>
    </xf>
    <xf numFmtId="0" fontId="7" fillId="6" borderId="5" xfId="6" applyFont="1" applyFill="1" applyBorder="1" applyAlignment="1">
      <alignment vertical="center"/>
    </xf>
    <xf numFmtId="0" fontId="8" fillId="5" borderId="21" xfId="6" applyFont="1" applyFill="1" applyBorder="1"/>
    <xf numFmtId="0" fontId="8" fillId="5" borderId="22" xfId="6" applyFont="1" applyFill="1" applyBorder="1"/>
    <xf numFmtId="0" fontId="8" fillId="5" borderId="23" xfId="6" applyFont="1" applyFill="1" applyBorder="1"/>
    <xf numFmtId="0" fontId="8" fillId="5" borderId="24" xfId="6" applyFont="1" applyFill="1" applyBorder="1" applyAlignment="1">
      <alignment vertical="center"/>
    </xf>
    <xf numFmtId="0" fontId="7" fillId="5" borderId="25" xfId="6" applyFont="1" applyFill="1" applyBorder="1" applyAlignment="1">
      <alignment vertical="center"/>
    </xf>
    <xf numFmtId="0" fontId="7" fillId="5" borderId="26" xfId="6" applyFont="1" applyFill="1" applyBorder="1" applyAlignment="1">
      <alignment vertical="center"/>
    </xf>
    <xf numFmtId="0" fontId="7" fillId="5" borderId="2" xfId="6" applyFont="1" applyFill="1" applyBorder="1" applyAlignment="1">
      <alignment vertical="center"/>
    </xf>
    <xf numFmtId="0" fontId="7" fillId="5" borderId="3" xfId="6" applyFont="1" applyFill="1" applyBorder="1" applyAlignment="1">
      <alignment vertical="center"/>
    </xf>
    <xf numFmtId="0" fontId="7" fillId="5" borderId="5" xfId="6" applyFont="1" applyFill="1" applyBorder="1" applyAlignment="1">
      <alignment vertical="center"/>
    </xf>
    <xf numFmtId="0" fontId="7" fillId="4" borderId="24" xfId="6" applyFont="1" applyFill="1" applyBorder="1" applyAlignment="1">
      <alignment vertical="center" wrapText="1"/>
    </xf>
    <xf numFmtId="0" fontId="7" fillId="4" borderId="2" xfId="6" applyFont="1" applyFill="1" applyBorder="1" applyAlignment="1">
      <alignment vertical="center" wrapText="1"/>
    </xf>
    <xf numFmtId="0" fontId="8" fillId="4" borderId="32" xfId="6" applyFont="1" applyFill="1" applyBorder="1" applyAlignment="1">
      <alignment vertical="center" wrapText="1"/>
    </xf>
    <xf numFmtId="0" fontId="8" fillId="4" borderId="34" xfId="6" applyFont="1" applyFill="1" applyBorder="1" applyAlignment="1">
      <alignment vertical="center" wrapText="1"/>
    </xf>
    <xf numFmtId="0" fontId="8" fillId="4" borderId="26" xfId="6" applyFont="1" applyFill="1" applyBorder="1" applyAlignment="1">
      <alignment vertical="center" wrapText="1"/>
    </xf>
    <xf numFmtId="0" fontId="8" fillId="4" borderId="5" xfId="6" applyFont="1" applyFill="1" applyBorder="1" applyAlignment="1">
      <alignment vertical="center" wrapText="1"/>
    </xf>
    <xf numFmtId="0" fontId="8" fillId="0" borderId="27" xfId="6" applyFont="1" applyBorder="1" applyAlignment="1">
      <alignment horizontal="center" vertical="center" wrapText="1"/>
    </xf>
    <xf numFmtId="0" fontId="8" fillId="0" borderId="28" xfId="6" applyFont="1" applyBorder="1" applyAlignment="1">
      <alignment horizontal="center" vertical="center" wrapText="1"/>
    </xf>
    <xf numFmtId="0" fontId="8" fillId="0" borderId="16" xfId="6" applyFont="1" applyBorder="1" applyAlignment="1">
      <alignment horizontal="center" vertical="center" wrapText="1"/>
    </xf>
    <xf numFmtId="0" fontId="7" fillId="0" borderId="27" xfId="6" applyFont="1" applyBorder="1" applyAlignment="1">
      <alignment horizontal="left" vertical="center"/>
    </xf>
    <xf numFmtId="0" fontId="7" fillId="0" borderId="28" xfId="6" applyFont="1" applyBorder="1" applyAlignment="1">
      <alignment horizontal="left" vertical="center"/>
    </xf>
    <xf numFmtId="0" fontId="7" fillId="0" borderId="16" xfId="6" applyFont="1" applyBorder="1" applyAlignment="1">
      <alignment horizontal="left" vertical="center"/>
    </xf>
    <xf numFmtId="0" fontId="0" fillId="0" borderId="27" xfId="6" applyFont="1" applyBorder="1" applyAlignment="1">
      <alignment vertical="center" wrapText="1"/>
    </xf>
    <xf numFmtId="0" fontId="0" fillId="0" borderId="28" xfId="6" applyFont="1" applyBorder="1" applyAlignment="1">
      <alignment vertical="center" wrapText="1"/>
    </xf>
    <xf numFmtId="0" fontId="0" fillId="0" borderId="16" xfId="6" applyFont="1" applyBorder="1" applyAlignment="1">
      <alignment vertical="center" wrapText="1"/>
    </xf>
    <xf numFmtId="0" fontId="7" fillId="0" borderId="37" xfId="6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7" fillId="0" borderId="37" xfId="6" quotePrefix="1" applyFont="1" applyBorder="1" applyAlignment="1">
      <alignment vertical="center"/>
    </xf>
    <xf numFmtId="0" fontId="7" fillId="0" borderId="38" xfId="6" quotePrefix="1" applyFont="1" applyBorder="1" applyAlignment="1">
      <alignment vertical="center"/>
    </xf>
    <xf numFmtId="0" fontId="7" fillId="0" borderId="39" xfId="6" quotePrefix="1" applyFont="1" applyBorder="1" applyAlignment="1">
      <alignment vertical="center"/>
    </xf>
    <xf numFmtId="0" fontId="8" fillId="0" borderId="37" xfId="6" applyFont="1" applyBorder="1" applyAlignment="1">
      <alignment vertical="center"/>
    </xf>
    <xf numFmtId="0" fontId="8" fillId="6" borderId="37" xfId="6" applyFont="1" applyFill="1" applyBorder="1" applyAlignment="1">
      <alignment horizontal="center" vertical="center"/>
    </xf>
    <xf numFmtId="0" fontId="7" fillId="6" borderId="38" xfId="6" applyFont="1" applyFill="1" applyBorder="1" applyAlignment="1">
      <alignment horizontal="center" vertical="center"/>
    </xf>
    <xf numFmtId="0" fontId="7" fillId="6" borderId="39" xfId="6" applyFont="1" applyFill="1" applyBorder="1" applyAlignment="1">
      <alignment horizontal="center" vertical="center"/>
    </xf>
    <xf numFmtId="0" fontId="7" fillId="0" borderId="38" xfId="6" applyFont="1" applyBorder="1" applyAlignment="1">
      <alignment horizontal="center" vertical="center"/>
    </xf>
    <xf numFmtId="0" fontId="8" fillId="6" borderId="37" xfId="6" quotePrefix="1" applyFont="1" applyFill="1" applyBorder="1" applyAlignment="1">
      <alignment horizontal="center" vertical="center" wrapText="1"/>
    </xf>
    <xf numFmtId="0" fontId="8" fillId="6" borderId="38" xfId="6" applyFont="1" applyFill="1" applyBorder="1" applyAlignment="1">
      <alignment horizontal="center" vertical="center" wrapText="1"/>
    </xf>
    <xf numFmtId="0" fontId="8" fillId="6" borderId="39" xfId="6" applyFont="1" applyFill="1" applyBorder="1" applyAlignment="1">
      <alignment horizontal="center" vertical="center" wrapText="1"/>
    </xf>
    <xf numFmtId="0" fontId="8" fillId="6" borderId="37" xfId="6" applyFont="1" applyFill="1" applyBorder="1" applyAlignment="1">
      <alignment horizontal="left" vertical="center" wrapText="1"/>
    </xf>
    <xf numFmtId="0" fontId="7" fillId="6" borderId="38" xfId="6" applyFont="1" applyFill="1" applyBorder="1" applyAlignment="1">
      <alignment horizontal="left" vertical="center" wrapText="1"/>
    </xf>
    <xf numFmtId="0" fontId="7" fillId="6" borderId="39" xfId="6" applyFont="1" applyFill="1" applyBorder="1" applyAlignment="1">
      <alignment horizontal="left" vertical="center" wrapText="1"/>
    </xf>
    <xf numFmtId="0" fontId="8" fillId="0" borderId="37" xfId="6" applyFont="1" applyBorder="1" applyAlignment="1">
      <alignment horizontal="left" vertical="center" wrapText="1"/>
    </xf>
    <xf numFmtId="0" fontId="7" fillId="0" borderId="38" xfId="6" applyFont="1" applyBorder="1" applyAlignment="1">
      <alignment horizontal="left" vertical="center" wrapText="1"/>
    </xf>
    <xf numFmtId="0" fontId="7" fillId="0" borderId="39" xfId="6" applyFont="1" applyBorder="1" applyAlignment="1">
      <alignment horizontal="left" vertical="center" wrapText="1"/>
    </xf>
    <xf numFmtId="0" fontId="8" fillId="0" borderId="37" xfId="6" applyFont="1" applyBorder="1" applyAlignment="1">
      <alignment horizontal="center" vertical="center" wrapText="1"/>
    </xf>
    <xf numFmtId="0" fontId="7" fillId="0" borderId="38" xfId="6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0" fillId="0" borderId="37" xfId="6" applyFont="1" applyBorder="1" applyAlignment="1">
      <alignment vertical="center" wrapText="1"/>
    </xf>
    <xf numFmtId="0" fontId="0" fillId="0" borderId="38" xfId="6" applyFont="1" applyBorder="1" applyAlignment="1">
      <alignment vertical="center"/>
    </xf>
    <xf numFmtId="0" fontId="0" fillId="0" borderId="39" xfId="6" applyFont="1" applyBorder="1" applyAlignment="1">
      <alignment vertical="center"/>
    </xf>
    <xf numFmtId="0" fontId="7" fillId="0" borderId="37" xfId="6" applyFont="1" applyBorder="1" applyAlignment="1">
      <alignment horizontal="left" vertical="center"/>
    </xf>
    <xf numFmtId="0" fontId="7" fillId="0" borderId="38" xfId="6" applyFont="1" applyBorder="1" applyAlignment="1">
      <alignment horizontal="left" vertical="center"/>
    </xf>
    <xf numFmtId="0" fontId="7" fillId="0" borderId="39" xfId="6" applyFont="1" applyBorder="1" applyAlignment="1">
      <alignment horizontal="left" vertical="center"/>
    </xf>
    <xf numFmtId="0" fontId="9" fillId="0" borderId="37" xfId="6" applyFont="1" applyBorder="1" applyAlignment="1">
      <alignment vertical="center" wrapText="1"/>
    </xf>
    <xf numFmtId="0" fontId="8" fillId="0" borderId="37" xfId="6" quotePrefix="1" applyFont="1" applyBorder="1" applyAlignment="1">
      <alignment horizontal="center" vertical="center" wrapText="1"/>
    </xf>
    <xf numFmtId="0" fontId="8" fillId="0" borderId="38" xfId="6" applyFont="1" applyBorder="1" applyAlignment="1">
      <alignment horizontal="center" vertical="center" wrapText="1"/>
    </xf>
    <xf numFmtId="0" fontId="8" fillId="0" borderId="39" xfId="6" applyFont="1" applyBorder="1" applyAlignment="1">
      <alignment horizontal="center" vertical="center" wrapText="1"/>
    </xf>
    <xf numFmtId="0" fontId="8" fillId="6" borderId="37" xfId="6" applyFont="1" applyFill="1" applyBorder="1" applyAlignment="1">
      <alignment horizontal="center" vertical="center" wrapText="1"/>
    </xf>
    <xf numFmtId="0" fontId="7" fillId="6" borderId="37" xfId="6" applyFont="1" applyFill="1" applyBorder="1" applyAlignment="1">
      <alignment horizontal="center" vertical="center"/>
    </xf>
    <xf numFmtId="0" fontId="7" fillId="6" borderId="37" xfId="6" quotePrefix="1" applyFont="1" applyFill="1" applyBorder="1" applyAlignment="1">
      <alignment horizontal="center" vertical="center" wrapText="1"/>
    </xf>
    <xf numFmtId="0" fontId="7" fillId="6" borderId="38" xfId="6" applyFont="1" applyFill="1" applyBorder="1" applyAlignment="1">
      <alignment horizontal="center" vertical="center" wrapText="1"/>
    </xf>
    <xf numFmtId="0" fontId="7" fillId="6" borderId="39" xfId="6" applyFont="1" applyFill="1" applyBorder="1" applyAlignment="1">
      <alignment horizontal="center" vertical="center" wrapText="1"/>
    </xf>
    <xf numFmtId="0" fontId="7" fillId="6" borderId="37" xfId="6" applyFont="1" applyFill="1" applyBorder="1" applyAlignment="1">
      <alignment horizontal="left" vertical="center" wrapText="1"/>
    </xf>
    <xf numFmtId="0" fontId="8" fillId="0" borderId="37" xfId="6" applyFont="1" applyBorder="1" applyAlignment="1">
      <alignment horizontal="left" vertical="center"/>
    </xf>
    <xf numFmtId="0" fontId="0" fillId="0" borderId="40" xfId="6" applyFont="1" applyBorder="1" applyAlignment="1">
      <alignment vertical="center"/>
    </xf>
    <xf numFmtId="0" fontId="0" fillId="0" borderId="41" xfId="6" applyFont="1" applyBorder="1" applyAlignment="1">
      <alignment vertical="center"/>
    </xf>
    <xf numFmtId="0" fontId="0" fillId="0" borderId="42" xfId="6" applyFont="1" applyBorder="1" applyAlignment="1">
      <alignment vertical="center"/>
    </xf>
    <xf numFmtId="0" fontId="0" fillId="0" borderId="37" xfId="6" applyFont="1" applyBorder="1" applyAlignment="1">
      <alignment vertical="center"/>
    </xf>
    <xf numFmtId="0" fontId="7" fillId="0" borderId="37" xfId="6" quotePrefix="1" applyFont="1" applyBorder="1" applyAlignment="1">
      <alignment vertical="center" wrapText="1"/>
    </xf>
    <xf numFmtId="0" fontId="7" fillId="0" borderId="38" xfId="6" quotePrefix="1" applyFont="1" applyBorder="1" applyAlignment="1">
      <alignment vertical="center" wrapText="1"/>
    </xf>
    <xf numFmtId="0" fontId="7" fillId="0" borderId="39" xfId="6" quotePrefix="1" applyFont="1" applyBorder="1" applyAlignment="1">
      <alignment vertical="center" wrapText="1"/>
    </xf>
    <xf numFmtId="0" fontId="7" fillId="6" borderId="38" xfId="6" applyFont="1" applyFill="1" applyBorder="1" applyAlignment="1">
      <alignment horizontal="left" vertical="center"/>
    </xf>
    <xf numFmtId="0" fontId="7" fillId="6" borderId="39" xfId="6" applyFont="1" applyFill="1" applyBorder="1" applyAlignment="1">
      <alignment horizontal="left" vertical="center"/>
    </xf>
    <xf numFmtId="0" fontId="14" fillId="0" borderId="37" xfId="6" applyFont="1" applyBorder="1" applyAlignment="1">
      <alignment horizontal="left" vertical="center" wrapText="1"/>
    </xf>
    <xf numFmtId="0" fontId="14" fillId="0" borderId="38" xfId="6" applyFont="1" applyBorder="1" applyAlignment="1">
      <alignment horizontal="left" vertical="center" wrapText="1"/>
    </xf>
    <xf numFmtId="0" fontId="14" fillId="0" borderId="39" xfId="6" applyFont="1" applyBorder="1" applyAlignment="1">
      <alignment horizontal="left" vertical="center" wrapText="1"/>
    </xf>
    <xf numFmtId="0" fontId="14" fillId="0" borderId="37" xfId="6" applyFont="1" applyBorder="1" applyAlignment="1">
      <alignment vertical="center" wrapText="1"/>
    </xf>
    <xf numFmtId="0" fontId="14" fillId="0" borderId="38" xfId="6" applyFont="1" applyBorder="1" applyAlignment="1">
      <alignment vertical="center" wrapText="1"/>
    </xf>
    <xf numFmtId="0" fontId="14" fillId="0" borderId="39" xfId="6" applyFont="1" applyBorder="1" applyAlignment="1">
      <alignment vertical="center" wrapText="1"/>
    </xf>
    <xf numFmtId="0" fontId="14" fillId="0" borderId="37" xfId="6" applyFont="1" applyBorder="1" applyAlignment="1">
      <alignment vertical="center"/>
    </xf>
    <xf numFmtId="0" fontId="14" fillId="0" borderId="38" xfId="6" applyFont="1" applyBorder="1" applyAlignment="1">
      <alignment vertical="center"/>
    </xf>
    <xf numFmtId="0" fontId="14" fillId="0" borderId="39" xfId="6" applyFont="1" applyBorder="1" applyAlignment="1">
      <alignment vertical="center"/>
    </xf>
    <xf numFmtId="0" fontId="8" fillId="0" borderId="38" xfId="6" applyFont="1" applyBorder="1" applyAlignment="1">
      <alignment vertical="center"/>
    </xf>
    <xf numFmtId="0" fontId="8" fillId="0" borderId="39" xfId="6" applyFont="1" applyBorder="1" applyAlignment="1">
      <alignment vertical="center"/>
    </xf>
    <xf numFmtId="20" fontId="7" fillId="6" borderId="37" xfId="6" quotePrefix="1" applyNumberFormat="1" applyFont="1" applyFill="1" applyBorder="1" applyAlignment="1">
      <alignment horizontal="center" vertical="center" wrapText="1"/>
    </xf>
    <xf numFmtId="0" fontId="14" fillId="0" borderId="37" xfId="6" quotePrefix="1" applyFont="1" applyBorder="1" applyAlignment="1">
      <alignment horizontal="center" vertical="center" wrapText="1"/>
    </xf>
    <xf numFmtId="0" fontId="14" fillId="0" borderId="38" xfId="6" applyFont="1" applyBorder="1" applyAlignment="1">
      <alignment horizontal="center" vertical="center" wrapText="1"/>
    </xf>
    <xf numFmtId="0" fontId="14" fillId="0" borderId="39" xfId="6" applyFont="1" applyBorder="1" applyAlignment="1">
      <alignment horizontal="center" vertical="center" wrapText="1"/>
    </xf>
    <xf numFmtId="0" fontId="14" fillId="0" borderId="37" xfId="6" quotePrefix="1" applyFont="1" applyBorder="1" applyAlignment="1">
      <alignment horizontal="center" vertical="center"/>
    </xf>
    <xf numFmtId="0" fontId="14" fillId="0" borderId="38" xfId="6" applyFont="1" applyBorder="1" applyAlignment="1">
      <alignment horizontal="center" vertical="center"/>
    </xf>
    <xf numFmtId="0" fontId="14" fillId="0" borderId="39" xfId="6" applyFont="1" applyBorder="1" applyAlignment="1">
      <alignment horizontal="center" vertical="center"/>
    </xf>
    <xf numFmtId="0" fontId="0" fillId="0" borderId="38" xfId="6" applyFont="1" applyBorder="1" applyAlignment="1">
      <alignment vertical="center" wrapText="1"/>
    </xf>
    <xf numFmtId="0" fontId="0" fillId="0" borderId="39" xfId="6" applyFont="1" applyBorder="1" applyAlignment="1">
      <alignment vertical="center" wrapText="1"/>
    </xf>
    <xf numFmtId="0" fontId="7" fillId="0" borderId="37" xfId="6" quotePrefix="1" applyFont="1" applyBorder="1" applyAlignment="1">
      <alignment horizontal="center" vertical="center" wrapText="1"/>
    </xf>
    <xf numFmtId="0" fontId="8" fillId="6" borderId="38" xfId="6" applyFont="1" applyFill="1" applyBorder="1" applyAlignment="1">
      <alignment horizontal="center" vertical="center"/>
    </xf>
    <xf numFmtId="0" fontId="8" fillId="6" borderId="39" xfId="6" applyFont="1" applyFill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31" xfId="6" applyFont="1" applyBorder="1" applyAlignment="1">
      <alignment horizontal="center" vertical="center"/>
    </xf>
    <xf numFmtId="0" fontId="7" fillId="0" borderId="30" xfId="6" applyFont="1" applyBorder="1" applyAlignment="1">
      <alignment vertical="center"/>
    </xf>
    <xf numFmtId="0" fontId="7" fillId="0" borderId="31" xfId="6" applyFont="1" applyBorder="1" applyAlignment="1">
      <alignment vertical="center"/>
    </xf>
    <xf numFmtId="0" fontId="7" fillId="0" borderId="30" xfId="6" applyFont="1" applyBorder="1" applyAlignment="1">
      <alignment horizontal="center" vertical="center"/>
    </xf>
    <xf numFmtId="0" fontId="7" fillId="0" borderId="30" xfId="6" applyFont="1" applyBorder="1" applyAlignment="1">
      <alignment horizontal="left" vertical="center"/>
    </xf>
    <xf numFmtId="0" fontId="7" fillId="0" borderId="31" xfId="6" applyFont="1" applyBorder="1" applyAlignment="1">
      <alignment horizontal="left" vertical="center"/>
    </xf>
    <xf numFmtId="0" fontId="7" fillId="6" borderId="29" xfId="6" applyFont="1" applyFill="1" applyBorder="1" applyAlignment="1">
      <alignment horizontal="center" vertical="center"/>
    </xf>
    <xf numFmtId="0" fontId="7" fillId="6" borderId="30" xfId="6" applyFont="1" applyFill="1" applyBorder="1" applyAlignment="1">
      <alignment horizontal="center" vertical="center"/>
    </xf>
    <xf numFmtId="0" fontId="7" fillId="6" borderId="31" xfId="6" applyFont="1" applyFill="1" applyBorder="1" applyAlignment="1">
      <alignment horizontal="center" vertical="center"/>
    </xf>
    <xf numFmtId="0" fontId="0" fillId="0" borderId="29" xfId="6" applyFont="1" applyBorder="1" applyAlignment="1">
      <alignment vertical="center"/>
    </xf>
    <xf numFmtId="0" fontId="0" fillId="0" borderId="30" xfId="6" applyFont="1" applyBorder="1" applyAlignment="1">
      <alignment vertical="center"/>
    </xf>
    <xf numFmtId="0" fontId="0" fillId="0" borderId="31" xfId="6" applyFont="1" applyBorder="1" applyAlignment="1">
      <alignment vertical="center"/>
    </xf>
    <xf numFmtId="0" fontId="8" fillId="0" borderId="37" xfId="6" quotePrefix="1" applyFont="1" applyBorder="1" applyAlignment="1">
      <alignment horizontal="left" vertical="center" wrapText="1"/>
    </xf>
    <xf numFmtId="0" fontId="8" fillId="0" borderId="37" xfId="6" applyFont="1" applyBorder="1" applyAlignment="1">
      <alignment horizontal="center" vertical="center"/>
    </xf>
    <xf numFmtId="0" fontId="14" fillId="0" borderId="37" xfId="6" applyFont="1" applyBorder="1" applyAlignment="1">
      <alignment horizontal="center" vertical="center"/>
    </xf>
    <xf numFmtId="0" fontId="7" fillId="7" borderId="37" xfId="6" quotePrefix="1" applyFont="1" applyFill="1" applyBorder="1" applyAlignment="1">
      <alignment horizontal="left" vertical="center"/>
    </xf>
    <xf numFmtId="0" fontId="7" fillId="7" borderId="38" xfId="6" quotePrefix="1" applyFont="1" applyFill="1" applyBorder="1" applyAlignment="1">
      <alignment horizontal="left" vertical="center"/>
    </xf>
    <xf numFmtId="0" fontId="7" fillId="7" borderId="39" xfId="6" quotePrefix="1" applyFont="1" applyFill="1" applyBorder="1" applyAlignment="1">
      <alignment horizontal="left" vertical="center"/>
    </xf>
    <xf numFmtId="0" fontId="14" fillId="6" borderId="37" xfId="6" applyFont="1" applyFill="1" applyBorder="1" applyAlignment="1">
      <alignment horizontal="center" vertical="center"/>
    </xf>
    <xf numFmtId="0" fontId="14" fillId="6" borderId="38" xfId="6" applyFont="1" applyFill="1" applyBorder="1" applyAlignment="1">
      <alignment horizontal="center" vertical="center"/>
    </xf>
    <xf numFmtId="0" fontId="14" fillId="6" borderId="39" xfId="6" applyFont="1" applyFill="1" applyBorder="1" applyAlignment="1">
      <alignment horizontal="center" vertical="center"/>
    </xf>
    <xf numFmtId="0" fontId="14" fillId="0" borderId="37" xfId="6" quotePrefix="1" applyFont="1" applyBorder="1" applyAlignment="1">
      <alignment horizontal="left" vertical="center" wrapText="1"/>
    </xf>
    <xf numFmtId="0" fontId="14" fillId="0" borderId="38" xfId="6" applyFont="1" applyBorder="1" applyAlignment="1">
      <alignment horizontal="left" vertical="center"/>
    </xf>
    <xf numFmtId="0" fontId="14" fillId="0" borderId="39" xfId="6" applyFont="1" applyBorder="1" applyAlignment="1">
      <alignment horizontal="left" vertical="center"/>
    </xf>
    <xf numFmtId="0" fontId="0" fillId="6" borderId="37" xfId="6" applyFont="1" applyFill="1" applyBorder="1" applyAlignment="1">
      <alignment horizontal="center" vertical="center" wrapText="1"/>
    </xf>
    <xf numFmtId="0" fontId="0" fillId="6" borderId="38" xfId="6" applyFont="1" applyFill="1" applyBorder="1" applyAlignment="1">
      <alignment horizontal="center" vertical="center" wrapText="1"/>
    </xf>
    <xf numFmtId="0" fontId="0" fillId="6" borderId="39" xfId="6" applyFont="1" applyFill="1" applyBorder="1" applyAlignment="1">
      <alignment horizontal="center" vertical="center" wrapText="1"/>
    </xf>
    <xf numFmtId="0" fontId="14" fillId="6" borderId="37" xfId="6" applyFont="1" applyFill="1" applyBorder="1" applyAlignment="1">
      <alignment horizontal="center" vertical="center" wrapText="1"/>
    </xf>
    <xf numFmtId="0" fontId="14" fillId="6" borderId="38" xfId="6" applyFont="1" applyFill="1" applyBorder="1" applyAlignment="1">
      <alignment horizontal="center" vertical="center" wrapText="1"/>
    </xf>
    <xf numFmtId="0" fontId="14" fillId="6" borderId="39" xfId="6" applyFont="1" applyFill="1" applyBorder="1" applyAlignment="1">
      <alignment horizontal="center" vertical="center" wrapText="1"/>
    </xf>
    <xf numFmtId="0" fontId="14" fillId="0" borderId="37" xfId="6" quotePrefix="1" applyFont="1" applyBorder="1" applyAlignment="1">
      <alignment vertical="center" wrapText="1"/>
    </xf>
    <xf numFmtId="0" fontId="14" fillId="0" borderId="38" xfId="6" quotePrefix="1" applyFont="1" applyBorder="1" applyAlignment="1">
      <alignment vertical="center" wrapText="1"/>
    </xf>
    <xf numFmtId="0" fontId="14" fillId="0" borderId="39" xfId="6" quotePrefix="1" applyFont="1" applyBorder="1" applyAlignment="1">
      <alignment vertical="center" wrapText="1"/>
    </xf>
    <xf numFmtId="0" fontId="14" fillId="0" borderId="37" xfId="6" applyFont="1" applyBorder="1" applyAlignment="1">
      <alignment horizontal="left" vertical="center"/>
    </xf>
    <xf numFmtId="0" fontId="7" fillId="6" borderId="37" xfId="6" applyFont="1" applyFill="1" applyBorder="1" applyAlignment="1">
      <alignment horizontal="left" vertical="center"/>
    </xf>
    <xf numFmtId="0" fontId="7" fillId="0" borderId="37" xfId="6" quotePrefix="1" applyFont="1" applyBorder="1" applyAlignment="1">
      <alignment horizontal="left" vertical="center"/>
    </xf>
    <xf numFmtId="0" fontId="7" fillId="0" borderId="38" xfId="6" quotePrefix="1" applyFont="1" applyBorder="1" applyAlignment="1">
      <alignment horizontal="left" vertical="center"/>
    </xf>
    <xf numFmtId="0" fontId="7" fillId="0" borderId="39" xfId="6" quotePrefix="1" applyFont="1" applyBorder="1" applyAlignment="1">
      <alignment horizontal="left" vertical="center"/>
    </xf>
    <xf numFmtId="0" fontId="8" fillId="3" borderId="25" xfId="6" applyFont="1" applyFill="1" applyBorder="1" applyAlignment="1">
      <alignment vertical="center"/>
    </xf>
    <xf numFmtId="0" fontId="8" fillId="3" borderId="26" xfId="6" applyFont="1" applyFill="1" applyBorder="1" applyAlignment="1">
      <alignment vertical="center"/>
    </xf>
    <xf numFmtId="0" fontId="8" fillId="3" borderId="1" xfId="6" applyFont="1" applyFill="1" applyBorder="1" applyAlignment="1">
      <alignment vertical="center"/>
    </xf>
    <xf numFmtId="0" fontId="8" fillId="3" borderId="0" xfId="6" applyFont="1" applyFill="1" applyAlignment="1">
      <alignment vertical="center"/>
    </xf>
    <xf numFmtId="0" fontId="8" fillId="3" borderId="4" xfId="6" applyFont="1" applyFill="1" applyBorder="1" applyAlignment="1">
      <alignment vertical="center"/>
    </xf>
    <xf numFmtId="0" fontId="8" fillId="3" borderId="2" xfId="6" applyFont="1" applyFill="1" applyBorder="1" applyAlignment="1">
      <alignment vertical="center"/>
    </xf>
    <xf numFmtId="0" fontId="8" fillId="3" borderId="3" xfId="6" applyFont="1" applyFill="1" applyBorder="1" applyAlignment="1">
      <alignment vertical="center"/>
    </xf>
    <xf numFmtId="0" fontId="8" fillId="3" borderId="5" xfId="6" applyFont="1" applyFill="1" applyBorder="1" applyAlignment="1">
      <alignment vertical="center"/>
    </xf>
    <xf numFmtId="0" fontId="8" fillId="6" borderId="25" xfId="6" applyFont="1" applyFill="1" applyBorder="1" applyAlignment="1">
      <alignment vertical="center"/>
    </xf>
    <xf numFmtId="0" fontId="8" fillId="6" borderId="26" xfId="6" applyFont="1" applyFill="1" applyBorder="1" applyAlignment="1">
      <alignment vertical="center"/>
    </xf>
    <xf numFmtId="0" fontId="8" fillId="6" borderId="1" xfId="6" applyFont="1" applyFill="1" applyBorder="1" applyAlignment="1">
      <alignment vertical="center"/>
    </xf>
    <xf numFmtId="0" fontId="8" fillId="6" borderId="0" xfId="6" applyFont="1" applyFill="1" applyAlignment="1">
      <alignment vertical="center"/>
    </xf>
    <xf numFmtId="0" fontId="8" fillId="6" borderId="4" xfId="6" applyFont="1" applyFill="1" applyBorder="1" applyAlignment="1">
      <alignment vertical="center"/>
    </xf>
    <xf numFmtId="0" fontId="8" fillId="6" borderId="2" xfId="6" applyFont="1" applyFill="1" applyBorder="1" applyAlignment="1">
      <alignment vertical="center"/>
    </xf>
    <xf numFmtId="0" fontId="8" fillId="6" borderId="3" xfId="6" applyFont="1" applyFill="1" applyBorder="1" applyAlignment="1">
      <alignment vertical="center"/>
    </xf>
    <xf numFmtId="0" fontId="8" fillId="6" borderId="5" xfId="6" applyFont="1" applyFill="1" applyBorder="1" applyAlignment="1">
      <alignment vertical="center"/>
    </xf>
    <xf numFmtId="0" fontId="8" fillId="5" borderId="25" xfId="6" applyFont="1" applyFill="1" applyBorder="1" applyAlignment="1">
      <alignment vertical="center"/>
    </xf>
    <xf numFmtId="0" fontId="8" fillId="5" borderId="26" xfId="6" applyFont="1" applyFill="1" applyBorder="1" applyAlignment="1">
      <alignment vertical="center"/>
    </xf>
    <xf numFmtId="0" fontId="8" fillId="5" borderId="2" xfId="6" applyFont="1" applyFill="1" applyBorder="1" applyAlignment="1">
      <alignment vertical="center"/>
    </xf>
    <xf numFmtId="0" fontId="8" fillId="5" borderId="3" xfId="6" applyFont="1" applyFill="1" applyBorder="1" applyAlignment="1">
      <alignment vertical="center"/>
    </xf>
    <xf numFmtId="0" fontId="8" fillId="5" borderId="5" xfId="6" applyFont="1" applyFill="1" applyBorder="1" applyAlignment="1">
      <alignment vertical="center"/>
    </xf>
    <xf numFmtId="0" fontId="7" fillId="4" borderId="32" xfId="6" applyFont="1" applyFill="1" applyBorder="1" applyAlignment="1">
      <alignment vertical="center" wrapText="1"/>
    </xf>
    <xf numFmtId="0" fontId="7" fillId="4" borderId="34" xfId="6" applyFont="1" applyFill="1" applyBorder="1" applyAlignment="1">
      <alignment vertical="center" wrapText="1"/>
    </xf>
    <xf numFmtId="0" fontId="8" fillId="4" borderId="22" xfId="6" applyFont="1" applyFill="1" applyBorder="1" applyAlignment="1">
      <alignment vertical="center"/>
    </xf>
    <xf numFmtId="0" fontId="8" fillId="4" borderId="23" xfId="6" applyFont="1" applyFill="1" applyBorder="1" applyAlignment="1">
      <alignment vertical="center"/>
    </xf>
    <xf numFmtId="0" fontId="8" fillId="5" borderId="22" xfId="6" applyFont="1" applyFill="1" applyBorder="1" applyAlignment="1">
      <alignment vertical="center"/>
    </xf>
    <xf numFmtId="0" fontId="8" fillId="5" borderId="23" xfId="6" applyFont="1" applyFill="1" applyBorder="1" applyAlignment="1">
      <alignment vertical="center"/>
    </xf>
    <xf numFmtId="0" fontId="8" fillId="4" borderId="35" xfId="6" applyFont="1" applyFill="1" applyBorder="1" applyAlignment="1">
      <alignment vertical="center"/>
    </xf>
    <xf numFmtId="0" fontId="8" fillId="0" borderId="28" xfId="6" applyFont="1" applyBorder="1" applyAlignment="1">
      <alignment horizontal="center" vertical="center"/>
    </xf>
    <xf numFmtId="0" fontId="8" fillId="0" borderId="16" xfId="6" applyFont="1" applyBorder="1" applyAlignment="1">
      <alignment horizontal="center" vertical="center"/>
    </xf>
    <xf numFmtId="0" fontId="8" fillId="0" borderId="38" xfId="6" applyFont="1" applyBorder="1" applyAlignment="1">
      <alignment horizontal="center" vertical="center"/>
    </xf>
    <xf numFmtId="0" fontId="8" fillId="0" borderId="39" xfId="6" applyFont="1" applyBorder="1" applyAlignment="1">
      <alignment horizontal="center" vertical="center"/>
    </xf>
    <xf numFmtId="0" fontId="8" fillId="0" borderId="38" xfId="6" quotePrefix="1" applyFont="1" applyBorder="1" applyAlignment="1">
      <alignment horizontal="center" vertical="center" wrapText="1"/>
    </xf>
    <xf numFmtId="0" fontId="8" fillId="0" borderId="39" xfId="6" quotePrefix="1" applyFont="1" applyBorder="1" applyAlignment="1">
      <alignment horizontal="center" vertical="center" wrapText="1"/>
    </xf>
    <xf numFmtId="0" fontId="9" fillId="0" borderId="38" xfId="6" applyFont="1" applyBorder="1" applyAlignment="1">
      <alignment vertical="center" wrapText="1"/>
    </xf>
    <xf numFmtId="0" fontId="9" fillId="0" borderId="39" xfId="6" applyFont="1" applyBorder="1" applyAlignment="1">
      <alignment vertical="center" wrapText="1"/>
    </xf>
    <xf numFmtId="0" fontId="8" fillId="6" borderId="37" xfId="6" quotePrefix="1" applyFont="1" applyFill="1" applyBorder="1" applyAlignment="1">
      <alignment horizontal="left" vertical="center" wrapText="1"/>
    </xf>
    <xf numFmtId="0" fontId="8" fillId="6" borderId="38" xfId="6" quotePrefix="1" applyFont="1" applyFill="1" applyBorder="1" applyAlignment="1">
      <alignment horizontal="left" vertical="center" wrapText="1"/>
    </xf>
    <xf numFmtId="0" fontId="8" fillId="6" borderId="39" xfId="6" quotePrefix="1" applyFont="1" applyFill="1" applyBorder="1" applyAlignment="1">
      <alignment horizontal="left" vertical="center" wrapText="1"/>
    </xf>
    <xf numFmtId="0" fontId="8" fillId="6" borderId="38" xfId="6" applyFont="1" applyFill="1" applyBorder="1" applyAlignment="1">
      <alignment horizontal="left" vertical="center" wrapText="1"/>
    </xf>
    <xf numFmtId="0" fontId="8" fillId="6" borderId="39" xfId="6" applyFont="1" applyFill="1" applyBorder="1" applyAlignment="1">
      <alignment horizontal="left" vertical="center" wrapText="1"/>
    </xf>
    <xf numFmtId="0" fontId="7" fillId="0" borderId="37" xfId="6" applyFont="1" applyBorder="1" applyAlignment="1">
      <alignment horizontal="left" vertical="center" wrapText="1"/>
    </xf>
    <xf numFmtId="0" fontId="14" fillId="6" borderId="37" xfId="6" applyFont="1" applyFill="1" applyBorder="1" applyAlignment="1">
      <alignment horizontal="left" vertical="center" wrapText="1"/>
    </xf>
    <xf numFmtId="0" fontId="14" fillId="6" borderId="38" xfId="6" applyFont="1" applyFill="1" applyBorder="1" applyAlignment="1">
      <alignment horizontal="left" vertical="center"/>
    </xf>
    <xf numFmtId="0" fontId="14" fillId="6" borderId="39" xfId="6" applyFont="1" applyFill="1" applyBorder="1" applyAlignment="1">
      <alignment horizontal="left" vertical="center"/>
    </xf>
    <xf numFmtId="0" fontId="8" fillId="6" borderId="37" xfId="6" applyFont="1" applyFill="1" applyBorder="1" applyAlignment="1">
      <alignment horizontal="left" vertical="center"/>
    </xf>
    <xf numFmtId="0" fontId="7" fillId="0" borderId="29" xfId="6" quotePrefix="1" applyFont="1" applyBorder="1" applyAlignment="1">
      <alignment horizontal="left" vertical="center"/>
    </xf>
    <xf numFmtId="0" fontId="7" fillId="0" borderId="30" xfId="6" quotePrefix="1" applyFont="1" applyBorder="1" applyAlignment="1">
      <alignment horizontal="left" vertical="center"/>
    </xf>
    <xf numFmtId="0" fontId="7" fillId="0" borderId="31" xfId="6" quotePrefix="1" applyFont="1" applyBorder="1" applyAlignment="1">
      <alignment horizontal="left" vertical="center"/>
    </xf>
    <xf numFmtId="0" fontId="7" fillId="0" borderId="29" xfId="6" applyFont="1" applyBorder="1" applyAlignment="1">
      <alignment vertical="center"/>
    </xf>
    <xf numFmtId="0" fontId="8" fillId="6" borderId="29" xfId="6" applyFont="1" applyFill="1" applyBorder="1" applyAlignment="1">
      <alignment horizontal="center" vertical="center" wrapText="1"/>
    </xf>
    <xf numFmtId="0" fontId="8" fillId="6" borderId="30" xfId="6" applyFont="1" applyFill="1" applyBorder="1" applyAlignment="1">
      <alignment horizontal="center" vertical="center" wrapText="1"/>
    </xf>
    <xf numFmtId="0" fontId="8" fillId="6" borderId="31" xfId="6" applyFont="1" applyFill="1" applyBorder="1" applyAlignment="1">
      <alignment horizontal="center" vertical="center" wrapText="1"/>
    </xf>
    <xf numFmtId="0" fontId="8" fillId="0" borderId="29" xfId="6" quotePrefix="1" applyFont="1" applyBorder="1" applyAlignment="1">
      <alignment horizontal="center" vertical="center" wrapText="1"/>
    </xf>
    <xf numFmtId="0" fontId="8" fillId="0" borderId="30" xfId="6" applyFont="1" applyBorder="1" applyAlignment="1">
      <alignment horizontal="center" vertical="center" wrapText="1"/>
    </xf>
    <xf numFmtId="0" fontId="8" fillId="0" borderId="31" xfId="6" applyFont="1" applyBorder="1" applyAlignment="1">
      <alignment horizontal="center" vertical="center" wrapText="1"/>
    </xf>
    <xf numFmtId="0" fontId="7" fillId="0" borderId="29" xfId="6" applyFont="1" applyBorder="1" applyAlignment="1">
      <alignment horizontal="left" vertical="center"/>
    </xf>
    <xf numFmtId="0" fontId="0" fillId="0" borderId="29" xfId="6" applyFont="1" applyBorder="1" applyAlignment="1">
      <alignment vertical="center" wrapText="1"/>
    </xf>
    <xf numFmtId="0" fontId="8" fillId="3" borderId="26" xfId="6" applyFont="1" applyFill="1" applyBorder="1" applyAlignment="1">
      <alignment vertical="center" wrapText="1"/>
    </xf>
    <xf numFmtId="0" fontId="8" fillId="3" borderId="1" xfId="6" applyFont="1" applyFill="1" applyBorder="1" applyAlignment="1">
      <alignment vertical="center" wrapText="1"/>
    </xf>
    <xf numFmtId="0" fontId="8" fillId="3" borderId="4" xfId="6" applyFont="1" applyFill="1" applyBorder="1" applyAlignment="1">
      <alignment vertical="center" wrapText="1"/>
    </xf>
    <xf numFmtId="0" fontId="8" fillId="3" borderId="2" xfId="6" applyFont="1" applyFill="1" applyBorder="1" applyAlignment="1">
      <alignment vertical="center" wrapText="1"/>
    </xf>
    <xf numFmtId="0" fontId="8" fillId="3" borderId="5" xfId="6" applyFont="1" applyFill="1" applyBorder="1" applyAlignment="1">
      <alignment vertical="center" wrapText="1"/>
    </xf>
    <xf numFmtId="0" fontId="8" fillId="0" borderId="29" xfId="6" quotePrefix="1" applyFont="1" applyBorder="1" applyAlignment="1">
      <alignment horizontal="left" vertical="center" wrapText="1"/>
    </xf>
    <xf numFmtId="0" fontId="8" fillId="0" borderId="30" xfId="6" applyFont="1" applyBorder="1" applyAlignment="1">
      <alignment horizontal="left" vertical="center" wrapText="1"/>
    </xf>
    <xf numFmtId="0" fontId="8" fillId="0" borderId="31" xfId="6" applyFont="1" applyBorder="1" applyAlignment="1">
      <alignment horizontal="left" vertical="center" wrapText="1"/>
    </xf>
    <xf numFmtId="0" fontId="7" fillId="0" borderId="29" xfId="6" quotePrefix="1" applyFont="1" applyBorder="1" applyAlignment="1">
      <alignment vertical="center"/>
    </xf>
    <xf numFmtId="0" fontId="7" fillId="0" borderId="30" xfId="6" quotePrefix="1" applyFont="1" applyBorder="1" applyAlignment="1">
      <alignment vertical="center"/>
    </xf>
    <xf numFmtId="0" fontId="7" fillId="0" borderId="31" xfId="6" quotePrefix="1" applyFont="1" applyBorder="1" applyAlignment="1">
      <alignment vertical="center"/>
    </xf>
    <xf numFmtId="0" fontId="8" fillId="0" borderId="29" xfId="6" quotePrefix="1" applyFont="1" applyBorder="1" applyAlignment="1">
      <alignment horizontal="center" vertical="center"/>
    </xf>
    <xf numFmtId="0" fontId="8" fillId="0" borderId="30" xfId="6" applyFont="1" applyBorder="1" applyAlignment="1">
      <alignment horizontal="center" vertical="center"/>
    </xf>
    <xf numFmtId="0" fontId="8" fillId="0" borderId="31" xfId="6" applyFont="1" applyBorder="1" applyAlignment="1">
      <alignment horizontal="center" vertical="center"/>
    </xf>
    <xf numFmtId="0" fontId="7" fillId="0" borderId="37" xfId="6" quotePrefix="1" applyFont="1" applyBorder="1" applyAlignment="1">
      <alignment horizontal="center" vertical="center"/>
    </xf>
    <xf numFmtId="0" fontId="0" fillId="0" borderId="40" xfId="6" quotePrefix="1" applyFont="1" applyBorder="1" applyAlignment="1">
      <alignment vertical="center"/>
    </xf>
    <xf numFmtId="0" fontId="0" fillId="0" borderId="41" xfId="6" quotePrefix="1" applyFont="1" applyBorder="1" applyAlignment="1">
      <alignment vertical="center"/>
    </xf>
    <xf numFmtId="0" fontId="0" fillId="0" borderId="42" xfId="6" quotePrefix="1" applyFont="1" applyBorder="1" applyAlignment="1">
      <alignment vertical="center"/>
    </xf>
    <xf numFmtId="0" fontId="8" fillId="0" borderId="37" xfId="6" quotePrefix="1" applyFont="1" applyBorder="1" applyAlignment="1">
      <alignment horizontal="center" vertical="center"/>
    </xf>
    <xf numFmtId="14" fontId="18" fillId="0" borderId="24" xfId="0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7" xfId="0" applyFont="1" applyBorder="1"/>
    <xf numFmtId="0" fontId="18" fillId="0" borderId="28" xfId="0" applyFont="1" applyBorder="1"/>
    <xf numFmtId="0" fontId="18" fillId="0" borderId="16" xfId="0" applyFont="1" applyBorder="1"/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0" fontId="19" fillId="0" borderId="37" xfId="6" applyFont="1" applyBorder="1" applyAlignment="1">
      <alignment vertical="center" wrapText="1"/>
    </xf>
    <xf numFmtId="0" fontId="20" fillId="0" borderId="37" xfId="6" applyFont="1" applyBorder="1" applyAlignment="1">
      <alignment horizontal="center" vertical="center"/>
    </xf>
    <xf numFmtId="0" fontId="20" fillId="0" borderId="39" xfId="6" applyFont="1" applyBorder="1" applyAlignment="1">
      <alignment horizontal="center" vertical="center"/>
    </xf>
    <xf numFmtId="0" fontId="20" fillId="0" borderId="37" xfId="6" quotePrefix="1" applyFont="1" applyBorder="1" applyAlignment="1">
      <alignment vertical="center" wrapText="1"/>
    </xf>
    <xf numFmtId="0" fontId="20" fillId="0" borderId="38" xfId="6" quotePrefix="1" applyFont="1" applyBorder="1" applyAlignment="1">
      <alignment vertical="center" wrapText="1"/>
    </xf>
    <xf numFmtId="0" fontId="20" fillId="0" borderId="39" xfId="6" quotePrefix="1" applyFont="1" applyBorder="1" applyAlignment="1">
      <alignment vertical="center" wrapText="1"/>
    </xf>
    <xf numFmtId="0" fontId="20" fillId="0" borderId="37" xfId="6" applyFont="1" applyBorder="1" applyAlignment="1">
      <alignment vertical="center"/>
    </xf>
    <xf numFmtId="0" fontId="20" fillId="0" borderId="38" xfId="6" applyFont="1" applyBorder="1" applyAlignment="1">
      <alignment vertical="center"/>
    </xf>
    <xf numFmtId="0" fontId="20" fillId="0" borderId="39" xfId="6" applyFont="1" applyBorder="1" applyAlignment="1">
      <alignment vertical="center"/>
    </xf>
    <xf numFmtId="0" fontId="20" fillId="0" borderId="19" xfId="6" applyFont="1" applyBorder="1" applyAlignment="1">
      <alignment horizontal="center" vertical="center"/>
    </xf>
    <xf numFmtId="0" fontId="20" fillId="0" borderId="17" xfId="6" applyFont="1" applyBorder="1" applyAlignment="1">
      <alignment horizontal="center" vertical="center"/>
    </xf>
    <xf numFmtId="0" fontId="20" fillId="0" borderId="38" xfId="6" applyFont="1" applyBorder="1" applyAlignment="1">
      <alignment horizontal="center" vertical="center"/>
    </xf>
    <xf numFmtId="0" fontId="20" fillId="0" borderId="37" xfId="6" quotePrefix="1" applyFont="1" applyBorder="1" applyAlignment="1">
      <alignment horizontal="center" vertical="center" wrapText="1"/>
    </xf>
    <xf numFmtId="0" fontId="20" fillId="0" borderId="38" xfId="6" applyFont="1" applyBorder="1" applyAlignment="1">
      <alignment horizontal="center" vertical="center" wrapText="1"/>
    </xf>
    <xf numFmtId="0" fontId="20" fillId="0" borderId="39" xfId="6" applyFont="1" applyBorder="1" applyAlignment="1">
      <alignment horizontal="center" vertical="center" wrapText="1"/>
    </xf>
    <xf numFmtId="0" fontId="20" fillId="0" borderId="37" xfId="6" applyFont="1" applyBorder="1" applyAlignment="1">
      <alignment horizontal="left" vertical="center"/>
    </xf>
    <xf numFmtId="0" fontId="20" fillId="0" borderId="38" xfId="6" applyFont="1" applyBorder="1" applyAlignment="1">
      <alignment horizontal="left" vertical="center"/>
    </xf>
    <xf numFmtId="0" fontId="20" fillId="0" borderId="39" xfId="6" applyFont="1" applyBorder="1" applyAlignment="1">
      <alignment horizontal="left" vertical="center"/>
    </xf>
    <xf numFmtId="0" fontId="20" fillId="0" borderId="17" xfId="6" applyFont="1" applyBorder="1" applyAlignment="1">
      <alignment vertical="center"/>
    </xf>
    <xf numFmtId="0" fontId="20" fillId="6" borderId="37" xfId="6" applyFont="1" applyFill="1" applyBorder="1" applyAlignment="1">
      <alignment horizontal="center" vertical="center"/>
    </xf>
    <xf numFmtId="0" fontId="20" fillId="6" borderId="38" xfId="6" applyFont="1" applyFill="1" applyBorder="1" applyAlignment="1">
      <alignment horizontal="center" vertical="center"/>
    </xf>
    <xf numFmtId="0" fontId="20" fillId="6" borderId="39" xfId="6" applyFont="1" applyFill="1" applyBorder="1" applyAlignment="1">
      <alignment horizontal="center" vertical="center"/>
    </xf>
    <xf numFmtId="0" fontId="20" fillId="6" borderId="37" xfId="6" applyFont="1" applyFill="1" applyBorder="1" applyAlignment="1">
      <alignment horizontal="center" vertical="center" wrapText="1"/>
    </xf>
    <xf numFmtId="0" fontId="20" fillId="6" borderId="38" xfId="6" applyFont="1" applyFill="1" applyBorder="1" applyAlignment="1">
      <alignment horizontal="center" vertical="center" wrapText="1"/>
    </xf>
    <xf numFmtId="0" fontId="20" fillId="6" borderId="39" xfId="6" applyFont="1" applyFill="1" applyBorder="1" applyAlignment="1">
      <alignment horizontal="center" vertical="center" wrapText="1"/>
    </xf>
    <xf numFmtId="0" fontId="20" fillId="0" borderId="37" xfId="6" quotePrefix="1" applyFont="1" applyBorder="1" applyAlignment="1">
      <alignment horizontal="center" vertical="center"/>
    </xf>
    <xf numFmtId="0" fontId="20" fillId="0" borderId="37" xfId="6" applyFont="1" applyBorder="1" applyAlignment="1">
      <alignment horizontal="left" vertical="center" wrapText="1"/>
    </xf>
    <xf numFmtId="0" fontId="20" fillId="0" borderId="38" xfId="6" applyFont="1" applyBorder="1" applyAlignment="1">
      <alignment horizontal="left" vertical="center" wrapText="1"/>
    </xf>
    <xf numFmtId="0" fontId="20" fillId="0" borderId="39" xfId="6" applyFont="1" applyBorder="1" applyAlignment="1">
      <alignment horizontal="left" vertical="center" wrapText="1"/>
    </xf>
    <xf numFmtId="0" fontId="20" fillId="0" borderId="37" xfId="6" applyFont="1" applyBorder="1" applyAlignment="1">
      <alignment vertical="center" wrapText="1"/>
    </xf>
    <xf numFmtId="0" fontId="20" fillId="0" borderId="38" xfId="6" applyFont="1" applyBorder="1" applyAlignment="1">
      <alignment vertical="center" wrapText="1"/>
    </xf>
    <xf numFmtId="0" fontId="20" fillId="0" borderId="39" xfId="6" applyFont="1" applyBorder="1" applyAlignment="1">
      <alignment vertical="center" wrapText="1"/>
    </xf>
    <xf numFmtId="0" fontId="15" fillId="0" borderId="37" xfId="6" applyFont="1" applyBorder="1" applyAlignment="1">
      <alignment horizontal="center" vertical="center"/>
    </xf>
    <xf numFmtId="0" fontId="15" fillId="0" borderId="38" xfId="6" applyFont="1" applyBorder="1" applyAlignment="1">
      <alignment horizontal="center" vertical="center"/>
    </xf>
    <xf numFmtId="0" fontId="15" fillId="0" borderId="39" xfId="6" applyFont="1" applyBorder="1" applyAlignment="1">
      <alignment horizontal="center" vertical="center"/>
    </xf>
    <xf numFmtId="0" fontId="20" fillId="0" borderId="1" xfId="6" applyFont="1" applyBorder="1" applyAlignment="1">
      <alignment vertical="center"/>
    </xf>
    <xf numFmtId="0" fontId="20" fillId="0" borderId="29" xfId="6" applyFont="1" applyBorder="1" applyAlignment="1">
      <alignment horizontal="center" vertical="center"/>
    </xf>
    <xf numFmtId="0" fontId="20" fillId="0" borderId="31" xfId="6" applyFont="1" applyBorder="1" applyAlignment="1">
      <alignment horizontal="center" vertical="center"/>
    </xf>
    <xf numFmtId="0" fontId="20" fillId="0" borderId="29" xfId="6" quotePrefix="1" applyFont="1" applyBorder="1" applyAlignment="1">
      <alignment vertical="center" wrapText="1"/>
    </xf>
    <xf numFmtId="0" fontId="20" fillId="0" borderId="30" xfId="6" quotePrefix="1" applyFont="1" applyBorder="1" applyAlignment="1">
      <alignment vertical="center" wrapText="1"/>
    </xf>
    <xf numFmtId="0" fontId="20" fillId="0" borderId="31" xfId="6" quotePrefix="1" applyFont="1" applyBorder="1" applyAlignment="1">
      <alignment vertical="center" wrapText="1"/>
    </xf>
    <xf numFmtId="0" fontId="20" fillId="0" borderId="29" xfId="6" applyFont="1" applyBorder="1" applyAlignment="1">
      <alignment vertical="center"/>
    </xf>
    <xf numFmtId="0" fontId="20" fillId="0" borderId="30" xfId="6" applyFont="1" applyBorder="1" applyAlignment="1">
      <alignment vertical="center"/>
    </xf>
    <xf numFmtId="0" fontId="20" fillId="0" borderId="31" xfId="6" applyFont="1" applyBorder="1" applyAlignment="1">
      <alignment vertical="center"/>
    </xf>
    <xf numFmtId="0" fontId="20" fillId="0" borderId="20" xfId="6" applyFont="1" applyBorder="1" applyAlignment="1">
      <alignment horizontal="center" vertical="center"/>
    </xf>
    <xf numFmtId="0" fontId="20" fillId="0" borderId="30" xfId="6" applyFont="1" applyBorder="1" applyAlignment="1">
      <alignment horizontal="center" vertical="center"/>
    </xf>
    <xf numFmtId="0" fontId="20" fillId="0" borderId="29" xfId="6" quotePrefix="1" applyFont="1" applyBorder="1" applyAlignment="1">
      <alignment horizontal="center" vertical="center" wrapText="1"/>
    </xf>
    <xf numFmtId="0" fontId="20" fillId="0" borderId="30" xfId="6" applyFont="1" applyBorder="1" applyAlignment="1">
      <alignment horizontal="center" vertical="center" wrapText="1"/>
    </xf>
    <xf numFmtId="0" fontId="20" fillId="0" borderId="31" xfId="6" applyFont="1" applyBorder="1" applyAlignment="1">
      <alignment horizontal="center" vertical="center" wrapText="1"/>
    </xf>
    <xf numFmtId="0" fontId="20" fillId="0" borderId="29" xfId="6" applyFont="1" applyBorder="1" applyAlignment="1">
      <alignment horizontal="left" vertical="center"/>
    </xf>
    <xf numFmtId="0" fontId="20" fillId="0" borderId="30" xfId="6" applyFont="1" applyBorder="1" applyAlignment="1">
      <alignment horizontal="left" vertical="center"/>
    </xf>
    <xf numFmtId="0" fontId="20" fillId="0" borderId="31" xfId="6" applyFont="1" applyBorder="1" applyAlignment="1">
      <alignment horizontal="left" vertical="center"/>
    </xf>
    <xf numFmtId="0" fontId="20" fillId="0" borderId="20" xfId="6" applyFont="1" applyBorder="1" applyAlignment="1">
      <alignment vertical="center"/>
    </xf>
    <xf numFmtId="0" fontId="20" fillId="6" borderId="29" xfId="6" applyFont="1" applyFill="1" applyBorder="1" applyAlignment="1">
      <alignment horizontal="center" vertical="center"/>
    </xf>
    <xf numFmtId="0" fontId="20" fillId="6" borderId="30" xfId="6" applyFont="1" applyFill="1" applyBorder="1" applyAlignment="1">
      <alignment horizontal="center" vertical="center"/>
    </xf>
    <xf numFmtId="0" fontId="20" fillId="6" borderId="31" xfId="6" applyFont="1" applyFill="1" applyBorder="1" applyAlignment="1">
      <alignment horizontal="center" vertical="center"/>
    </xf>
    <xf numFmtId="0" fontId="20" fillId="0" borderId="4" xfId="6" applyFont="1" applyBorder="1" applyAlignment="1">
      <alignment vertical="center"/>
    </xf>
    <xf numFmtId="0" fontId="20" fillId="0" borderId="0" xfId="6" applyFont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60</xdr:col>
      <xdr:colOff>235322</xdr:colOff>
      <xdr:row>44</xdr:row>
      <xdr:rowOff>24702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638300"/>
          <a:ext cx="15973425" cy="6877050"/>
        </a:xfrm>
        <a:prstGeom prst="rect">
          <a:avLst/>
        </a:prstGeom>
      </xdr:spPr>
    </xdr:pic>
    <xdr:clientData/>
  </xdr:twoCellAnchor>
  <xdr:twoCellAnchor>
    <xdr:from>
      <xdr:col>12</xdr:col>
      <xdr:colOff>44823</xdr:colOff>
      <xdr:row>8</xdr:row>
      <xdr:rowOff>123266</xdr:rowOff>
    </xdr:from>
    <xdr:to>
      <xdr:col>13</xdr:col>
      <xdr:colOff>62361</xdr:colOff>
      <xdr:row>9</xdr:row>
      <xdr:rowOff>156884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248025" y="176212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6</xdr:col>
      <xdr:colOff>16080</xdr:colOff>
      <xdr:row>11</xdr:row>
      <xdr:rowOff>134472</xdr:rowOff>
    </xdr:from>
    <xdr:to>
      <xdr:col>7</xdr:col>
      <xdr:colOff>33618</xdr:colOff>
      <xdr:row>12</xdr:row>
      <xdr:rowOff>168090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1619250" y="234315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12</xdr:col>
      <xdr:colOff>139344</xdr:colOff>
      <xdr:row>11</xdr:row>
      <xdr:rowOff>145679</xdr:rowOff>
    </xdr:from>
    <xdr:to>
      <xdr:col>13</xdr:col>
      <xdr:colOff>156882</xdr:colOff>
      <xdr:row>12</xdr:row>
      <xdr:rowOff>179297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3343275" y="2352675"/>
          <a:ext cx="2762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15</xdr:col>
      <xdr:colOff>201706</xdr:colOff>
      <xdr:row>11</xdr:row>
      <xdr:rowOff>134472</xdr:rowOff>
    </xdr:from>
    <xdr:to>
      <xdr:col>16</xdr:col>
      <xdr:colOff>219245</xdr:colOff>
      <xdr:row>12</xdr:row>
      <xdr:rowOff>168090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4200525" y="234315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26</xdr:col>
      <xdr:colOff>72108</xdr:colOff>
      <xdr:row>11</xdr:row>
      <xdr:rowOff>123267</xdr:rowOff>
    </xdr:from>
    <xdr:to>
      <xdr:col>27</xdr:col>
      <xdr:colOff>89647</xdr:colOff>
      <xdr:row>12</xdr:row>
      <xdr:rowOff>156885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7010400" y="2333625"/>
          <a:ext cx="2762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6</xdr:col>
      <xdr:colOff>0</xdr:colOff>
      <xdr:row>13</xdr:row>
      <xdr:rowOff>179296</xdr:rowOff>
    </xdr:from>
    <xdr:to>
      <xdr:col>7</xdr:col>
      <xdr:colOff>17538</xdr:colOff>
      <xdr:row>15</xdr:row>
      <xdr:rowOff>22414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1600200" y="277177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12</xdr:col>
      <xdr:colOff>156883</xdr:colOff>
      <xdr:row>14</xdr:row>
      <xdr:rowOff>11208</xdr:rowOff>
    </xdr:from>
    <xdr:to>
      <xdr:col>13</xdr:col>
      <xdr:colOff>174421</xdr:colOff>
      <xdr:row>15</xdr:row>
      <xdr:rowOff>44826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3352800" y="2790825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15</xdr:col>
      <xdr:colOff>195374</xdr:colOff>
      <xdr:row>14</xdr:row>
      <xdr:rowOff>11208</xdr:rowOff>
    </xdr:from>
    <xdr:to>
      <xdr:col>16</xdr:col>
      <xdr:colOff>212913</xdr:colOff>
      <xdr:row>15</xdr:row>
      <xdr:rowOff>44826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4200525" y="2790825"/>
          <a:ext cx="2762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18</xdr:col>
      <xdr:colOff>89647</xdr:colOff>
      <xdr:row>14</xdr:row>
      <xdr:rowOff>2</xdr:rowOff>
    </xdr:from>
    <xdr:to>
      <xdr:col>19</xdr:col>
      <xdr:colOff>107186</xdr:colOff>
      <xdr:row>15</xdr:row>
      <xdr:rowOff>33620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4886325" y="278130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4</xdr:col>
      <xdr:colOff>190501</xdr:colOff>
      <xdr:row>16</xdr:row>
      <xdr:rowOff>33620</xdr:rowOff>
    </xdr:from>
    <xdr:to>
      <xdr:col>5</xdr:col>
      <xdr:colOff>208039</xdr:colOff>
      <xdr:row>17</xdr:row>
      <xdr:rowOff>67238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1257300" y="320040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13</xdr:col>
      <xdr:colOff>11206</xdr:colOff>
      <xdr:row>16</xdr:row>
      <xdr:rowOff>67237</xdr:rowOff>
    </xdr:from>
    <xdr:to>
      <xdr:col>14</xdr:col>
      <xdr:colOff>4484</xdr:colOff>
      <xdr:row>17</xdr:row>
      <xdr:rowOff>71719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3476625" y="32289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17</xdr:col>
      <xdr:colOff>6722</xdr:colOff>
      <xdr:row>16</xdr:row>
      <xdr:rowOff>56031</xdr:rowOff>
    </xdr:from>
    <xdr:to>
      <xdr:col>18</xdr:col>
      <xdr:colOff>0</xdr:colOff>
      <xdr:row>17</xdr:row>
      <xdr:rowOff>60513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4543425" y="32194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21</xdr:col>
      <xdr:colOff>208429</xdr:colOff>
      <xdr:row>16</xdr:row>
      <xdr:rowOff>56032</xdr:rowOff>
    </xdr:from>
    <xdr:to>
      <xdr:col>22</xdr:col>
      <xdr:colOff>201706</xdr:colOff>
      <xdr:row>17</xdr:row>
      <xdr:rowOff>60514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5810250" y="32194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25</xdr:col>
      <xdr:colOff>201706</xdr:colOff>
      <xdr:row>16</xdr:row>
      <xdr:rowOff>67237</xdr:rowOff>
    </xdr:from>
    <xdr:to>
      <xdr:col>26</xdr:col>
      <xdr:colOff>194983</xdr:colOff>
      <xdr:row>17</xdr:row>
      <xdr:rowOff>71719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6867525" y="32289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4</xdr:col>
      <xdr:colOff>201706</xdr:colOff>
      <xdr:row>18</xdr:row>
      <xdr:rowOff>112061</xdr:rowOff>
    </xdr:from>
    <xdr:to>
      <xdr:col>5</xdr:col>
      <xdr:colOff>194983</xdr:colOff>
      <xdr:row>19</xdr:row>
      <xdr:rowOff>116543</xdr:rowOff>
    </xdr:to>
    <xdr:sp macro="" textlink="" fLocksText="0">
      <xdr:nvSpPr>
        <xdr:cNvPr id="47" name="Rectangl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1266825" y="36576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12</xdr:col>
      <xdr:colOff>190501</xdr:colOff>
      <xdr:row>18</xdr:row>
      <xdr:rowOff>112061</xdr:rowOff>
    </xdr:from>
    <xdr:to>
      <xdr:col>13</xdr:col>
      <xdr:colOff>183778</xdr:colOff>
      <xdr:row>19</xdr:row>
      <xdr:rowOff>116543</xdr:rowOff>
    </xdr:to>
    <xdr:sp macro="" textlink="" fLocksText="0">
      <xdr:nvSpPr>
        <xdr:cNvPr id="48" name="Rectangl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3390900" y="36576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4</xdr:col>
      <xdr:colOff>201707</xdr:colOff>
      <xdr:row>20</xdr:row>
      <xdr:rowOff>145679</xdr:rowOff>
    </xdr:from>
    <xdr:to>
      <xdr:col>5</xdr:col>
      <xdr:colOff>194984</xdr:colOff>
      <xdr:row>21</xdr:row>
      <xdr:rowOff>150161</xdr:rowOff>
    </xdr:to>
    <xdr:sp macro="" textlink="" fLocksText="0">
      <xdr:nvSpPr>
        <xdr:cNvPr id="49" name="Rectangl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1266825" y="40671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14</xdr:col>
      <xdr:colOff>67234</xdr:colOff>
      <xdr:row>20</xdr:row>
      <xdr:rowOff>145678</xdr:rowOff>
    </xdr:from>
    <xdr:to>
      <xdr:col>15</xdr:col>
      <xdr:colOff>60511</xdr:colOff>
      <xdr:row>21</xdr:row>
      <xdr:rowOff>150160</xdr:rowOff>
    </xdr:to>
    <xdr:sp macro="" textlink="" fLocksText="0">
      <xdr:nvSpPr>
        <xdr:cNvPr id="50" name="Rectangl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3800475" y="40671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21</xdr:col>
      <xdr:colOff>1</xdr:colOff>
      <xdr:row>18</xdr:row>
      <xdr:rowOff>112061</xdr:rowOff>
    </xdr:from>
    <xdr:to>
      <xdr:col>21</xdr:col>
      <xdr:colOff>228602</xdr:colOff>
      <xdr:row>19</xdr:row>
      <xdr:rowOff>116543</xdr:rowOff>
    </xdr:to>
    <xdr:sp macro="" textlink="" fLocksText="0">
      <xdr:nvSpPr>
        <xdr:cNvPr id="51" name="Rectangl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5600700" y="3657600"/>
          <a:ext cx="2286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29</xdr:col>
      <xdr:colOff>190502</xdr:colOff>
      <xdr:row>18</xdr:row>
      <xdr:rowOff>106841</xdr:rowOff>
    </xdr:from>
    <xdr:to>
      <xdr:col>30</xdr:col>
      <xdr:colOff>183779</xdr:colOff>
      <xdr:row>19</xdr:row>
      <xdr:rowOff>111323</xdr:rowOff>
    </xdr:to>
    <xdr:sp macro="" textlink="" fLocksText="0">
      <xdr:nvSpPr>
        <xdr:cNvPr id="52" name="Rectangl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7924800" y="36480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21</xdr:col>
      <xdr:colOff>15689</xdr:colOff>
      <xdr:row>20</xdr:row>
      <xdr:rowOff>162870</xdr:rowOff>
    </xdr:from>
    <xdr:to>
      <xdr:col>22</xdr:col>
      <xdr:colOff>8966</xdr:colOff>
      <xdr:row>21</xdr:row>
      <xdr:rowOff>167352</xdr:rowOff>
    </xdr:to>
    <xdr:sp macro="" textlink="" fLocksText="0">
      <xdr:nvSpPr>
        <xdr:cNvPr id="53" name="Rectangl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5619750" y="40862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29</xdr:col>
      <xdr:colOff>179296</xdr:colOff>
      <xdr:row>20</xdr:row>
      <xdr:rowOff>158388</xdr:rowOff>
    </xdr:from>
    <xdr:to>
      <xdr:col>30</xdr:col>
      <xdr:colOff>172573</xdr:colOff>
      <xdr:row>21</xdr:row>
      <xdr:rowOff>162870</xdr:rowOff>
    </xdr:to>
    <xdr:sp macro="" textlink="" fLocksText="0">
      <xdr:nvSpPr>
        <xdr:cNvPr id="54" name="Rectangl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7915275" y="40862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34</xdr:col>
      <xdr:colOff>134470</xdr:colOff>
      <xdr:row>20</xdr:row>
      <xdr:rowOff>151664</xdr:rowOff>
    </xdr:from>
    <xdr:to>
      <xdr:col>35</xdr:col>
      <xdr:colOff>127747</xdr:colOff>
      <xdr:row>21</xdr:row>
      <xdr:rowOff>156146</xdr:rowOff>
    </xdr:to>
    <xdr:sp macro="" textlink="" fLocksText="0">
      <xdr:nvSpPr>
        <xdr:cNvPr id="55" name="Rectangl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9201150" y="40767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36</xdr:col>
      <xdr:colOff>188390</xdr:colOff>
      <xdr:row>20</xdr:row>
      <xdr:rowOff>142701</xdr:rowOff>
    </xdr:from>
    <xdr:to>
      <xdr:col>37</xdr:col>
      <xdr:colOff>181667</xdr:colOff>
      <xdr:row>21</xdr:row>
      <xdr:rowOff>147183</xdr:rowOff>
    </xdr:to>
    <xdr:sp macro="" textlink="" fLocksText="0">
      <xdr:nvSpPr>
        <xdr:cNvPr id="56" name="Rectangl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9791700" y="406717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43</xdr:col>
      <xdr:colOff>228730</xdr:colOff>
      <xdr:row>11</xdr:row>
      <xdr:rowOff>127013</xdr:rowOff>
    </xdr:from>
    <xdr:to>
      <xdr:col>44</xdr:col>
      <xdr:colOff>222008</xdr:colOff>
      <xdr:row>12</xdr:row>
      <xdr:rowOff>131495</xdr:rowOff>
    </xdr:to>
    <xdr:sp macro="" textlink="" fLocksText="0">
      <xdr:nvSpPr>
        <xdr:cNvPr id="57" name="Rectangl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11696700" y="23336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37</xdr:col>
      <xdr:colOff>201836</xdr:colOff>
      <xdr:row>13</xdr:row>
      <xdr:rowOff>32885</xdr:rowOff>
    </xdr:from>
    <xdr:to>
      <xdr:col>38</xdr:col>
      <xdr:colOff>195114</xdr:colOff>
      <xdr:row>14</xdr:row>
      <xdr:rowOff>37367</xdr:rowOff>
    </xdr:to>
    <xdr:sp macro="" textlink="" fLocksText="0">
      <xdr:nvSpPr>
        <xdr:cNvPr id="58" name="Rectangl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10067925" y="26193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44</xdr:col>
      <xdr:colOff>152531</xdr:colOff>
      <xdr:row>13</xdr:row>
      <xdr:rowOff>28402</xdr:rowOff>
    </xdr:from>
    <xdr:to>
      <xdr:col>45</xdr:col>
      <xdr:colOff>145808</xdr:colOff>
      <xdr:row>14</xdr:row>
      <xdr:rowOff>32884</xdr:rowOff>
    </xdr:to>
    <xdr:sp macro="" textlink="" fLocksText="0">
      <xdr:nvSpPr>
        <xdr:cNvPr id="59" name="Rectangl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11887200" y="261937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36</xdr:col>
      <xdr:colOff>114431</xdr:colOff>
      <xdr:row>14</xdr:row>
      <xdr:rowOff>124772</xdr:rowOff>
    </xdr:from>
    <xdr:to>
      <xdr:col>37</xdr:col>
      <xdr:colOff>107708</xdr:colOff>
      <xdr:row>15</xdr:row>
      <xdr:rowOff>129254</xdr:rowOff>
    </xdr:to>
    <xdr:sp macro="" textlink="" fLocksText="0">
      <xdr:nvSpPr>
        <xdr:cNvPr id="60" name="Rectangle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9715500" y="29051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44</xdr:col>
      <xdr:colOff>154773</xdr:colOff>
      <xdr:row>14</xdr:row>
      <xdr:rowOff>109086</xdr:rowOff>
    </xdr:from>
    <xdr:to>
      <xdr:col>45</xdr:col>
      <xdr:colOff>148050</xdr:colOff>
      <xdr:row>15</xdr:row>
      <xdr:rowOff>113568</xdr:rowOff>
    </xdr:to>
    <xdr:sp macro="" textlink="" fLocksText="0">
      <xdr:nvSpPr>
        <xdr:cNvPr id="61" name="Rectangl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11887200" y="2886075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40</xdr:col>
      <xdr:colOff>195114</xdr:colOff>
      <xdr:row>16</xdr:row>
      <xdr:rowOff>26161</xdr:rowOff>
    </xdr:from>
    <xdr:to>
      <xdr:col>41</xdr:col>
      <xdr:colOff>188391</xdr:colOff>
      <xdr:row>17</xdr:row>
      <xdr:rowOff>30643</xdr:rowOff>
    </xdr:to>
    <xdr:sp macro="" textlink="" fLocksText="0">
      <xdr:nvSpPr>
        <xdr:cNvPr id="62" name="Rectangl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10858500" y="319087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44</xdr:col>
      <xdr:colOff>157013</xdr:colOff>
      <xdr:row>16</xdr:row>
      <xdr:rowOff>21677</xdr:rowOff>
    </xdr:from>
    <xdr:to>
      <xdr:col>45</xdr:col>
      <xdr:colOff>150290</xdr:colOff>
      <xdr:row>17</xdr:row>
      <xdr:rowOff>26159</xdr:rowOff>
    </xdr:to>
    <xdr:sp macro="" textlink="" fLocksText="0">
      <xdr:nvSpPr>
        <xdr:cNvPr id="63" name="Rectangl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11887200" y="318135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42</xdr:col>
      <xdr:colOff>18060</xdr:colOff>
      <xdr:row>17</xdr:row>
      <xdr:rowOff>129254</xdr:rowOff>
    </xdr:from>
    <xdr:to>
      <xdr:col>43</xdr:col>
      <xdr:colOff>11337</xdr:colOff>
      <xdr:row>18</xdr:row>
      <xdr:rowOff>133736</xdr:rowOff>
    </xdr:to>
    <xdr:sp macro="" textlink="" fLocksText="0">
      <xdr:nvSpPr>
        <xdr:cNvPr id="64" name="Rectangle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11220450" y="34861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44</xdr:col>
      <xdr:colOff>170459</xdr:colOff>
      <xdr:row>17</xdr:row>
      <xdr:rowOff>135978</xdr:rowOff>
    </xdr:from>
    <xdr:to>
      <xdr:col>45</xdr:col>
      <xdr:colOff>163736</xdr:colOff>
      <xdr:row>18</xdr:row>
      <xdr:rowOff>140460</xdr:rowOff>
    </xdr:to>
    <xdr:sp macro="" textlink="" fLocksText="0">
      <xdr:nvSpPr>
        <xdr:cNvPr id="65" name="Rectangl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11906250" y="34861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32</a:t>
          </a:r>
        </a:p>
      </xdr:txBody>
    </xdr:sp>
    <xdr:clientData/>
  </xdr:twoCellAnchor>
  <xdr:twoCellAnchor>
    <xdr:from>
      <xdr:col>5</xdr:col>
      <xdr:colOff>20300</xdr:colOff>
      <xdr:row>23</xdr:row>
      <xdr:rowOff>75467</xdr:rowOff>
    </xdr:from>
    <xdr:to>
      <xdr:col>6</xdr:col>
      <xdr:colOff>13578</xdr:colOff>
      <xdr:row>24</xdr:row>
      <xdr:rowOff>79949</xdr:rowOff>
    </xdr:to>
    <xdr:sp macro="" textlink="" fLocksText="0">
      <xdr:nvSpPr>
        <xdr:cNvPr id="66" name="Rectangl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1352550" y="45720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33</a:t>
          </a:r>
        </a:p>
      </xdr:txBody>
    </xdr:sp>
    <xdr:clientData/>
  </xdr:twoCellAnchor>
  <xdr:twoCellAnchor>
    <xdr:from>
      <xdr:col>5</xdr:col>
      <xdr:colOff>38229</xdr:colOff>
      <xdr:row>25</xdr:row>
      <xdr:rowOff>14955</xdr:rowOff>
    </xdr:from>
    <xdr:to>
      <xdr:col>6</xdr:col>
      <xdr:colOff>31507</xdr:colOff>
      <xdr:row>26</xdr:row>
      <xdr:rowOff>19437</xdr:rowOff>
    </xdr:to>
    <xdr:sp macro="" textlink="" fLocksText="0">
      <xdr:nvSpPr>
        <xdr:cNvPr id="67" name="Rectangle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1371600" y="48958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34</a:t>
          </a:r>
        </a:p>
      </xdr:txBody>
    </xdr:sp>
    <xdr:clientData/>
  </xdr:twoCellAnchor>
  <xdr:twoCellAnchor>
    <xdr:from>
      <xdr:col>7</xdr:col>
      <xdr:colOff>201835</xdr:colOff>
      <xdr:row>23</xdr:row>
      <xdr:rowOff>66503</xdr:rowOff>
    </xdr:from>
    <xdr:to>
      <xdr:col>8</xdr:col>
      <xdr:colOff>195113</xdr:colOff>
      <xdr:row>24</xdr:row>
      <xdr:rowOff>70985</xdr:rowOff>
    </xdr:to>
    <xdr:sp macro="" textlink="" fLocksText="0">
      <xdr:nvSpPr>
        <xdr:cNvPr id="68" name="Rectangle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2066925" y="456247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35</a:t>
          </a:r>
        </a:p>
      </xdr:txBody>
    </xdr:sp>
    <xdr:clientData/>
  </xdr:twoCellAnchor>
  <xdr:twoCellAnchor>
    <xdr:from>
      <xdr:col>6</xdr:col>
      <xdr:colOff>141323</xdr:colOff>
      <xdr:row>24</xdr:row>
      <xdr:rowOff>185286</xdr:rowOff>
    </xdr:from>
    <xdr:to>
      <xdr:col>7</xdr:col>
      <xdr:colOff>134600</xdr:colOff>
      <xdr:row>25</xdr:row>
      <xdr:rowOff>189768</xdr:rowOff>
    </xdr:to>
    <xdr:sp macro="" textlink="" fLocksText="0">
      <xdr:nvSpPr>
        <xdr:cNvPr id="69" name="Rectangl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1743075" y="48672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36</a:t>
          </a:r>
        </a:p>
      </xdr:txBody>
    </xdr:sp>
    <xdr:clientData/>
  </xdr:twoCellAnchor>
  <xdr:twoCellAnchor>
    <xdr:from>
      <xdr:col>11</xdr:col>
      <xdr:colOff>125636</xdr:colOff>
      <xdr:row>23</xdr:row>
      <xdr:rowOff>57542</xdr:rowOff>
    </xdr:from>
    <xdr:to>
      <xdr:col>12</xdr:col>
      <xdr:colOff>118914</xdr:colOff>
      <xdr:row>24</xdr:row>
      <xdr:rowOff>62024</xdr:rowOff>
    </xdr:to>
    <xdr:sp macro="" textlink="" fLocksText="0">
      <xdr:nvSpPr>
        <xdr:cNvPr id="70" name="Rectangl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3057525" y="45529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37</a:t>
          </a:r>
        </a:p>
      </xdr:txBody>
    </xdr:sp>
    <xdr:clientData/>
  </xdr:twoCellAnchor>
  <xdr:twoCellAnchor>
    <xdr:from>
      <xdr:col>9</xdr:col>
      <xdr:colOff>9094</xdr:colOff>
      <xdr:row>24</xdr:row>
      <xdr:rowOff>176323</xdr:rowOff>
    </xdr:from>
    <xdr:to>
      <xdr:col>10</xdr:col>
      <xdr:colOff>2372</xdr:colOff>
      <xdr:row>25</xdr:row>
      <xdr:rowOff>180805</xdr:rowOff>
    </xdr:to>
    <xdr:sp macro="" textlink="" fLocksText="0">
      <xdr:nvSpPr>
        <xdr:cNvPr id="71" name="Rectangl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2409825" y="486727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38</a:t>
          </a:r>
        </a:p>
      </xdr:txBody>
    </xdr:sp>
    <xdr:clientData/>
  </xdr:twoCellAnchor>
  <xdr:twoCellAnchor>
    <xdr:from>
      <xdr:col>11</xdr:col>
      <xdr:colOff>145676</xdr:colOff>
      <xdr:row>24</xdr:row>
      <xdr:rowOff>179299</xdr:rowOff>
    </xdr:from>
    <xdr:to>
      <xdr:col>12</xdr:col>
      <xdr:colOff>138954</xdr:colOff>
      <xdr:row>25</xdr:row>
      <xdr:rowOff>183781</xdr:rowOff>
    </xdr:to>
    <xdr:sp macro="" textlink="" fLocksText="0">
      <xdr:nvSpPr>
        <xdr:cNvPr id="72" name="Rectangle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3076575" y="486727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39</a:t>
          </a:r>
        </a:p>
      </xdr:txBody>
    </xdr:sp>
    <xdr:clientData/>
  </xdr:twoCellAnchor>
  <xdr:twoCellAnchor>
    <xdr:from>
      <xdr:col>15</xdr:col>
      <xdr:colOff>6725</xdr:colOff>
      <xdr:row>23</xdr:row>
      <xdr:rowOff>40344</xdr:rowOff>
    </xdr:from>
    <xdr:to>
      <xdr:col>16</xdr:col>
      <xdr:colOff>3</xdr:colOff>
      <xdr:row>24</xdr:row>
      <xdr:rowOff>44826</xdr:rowOff>
    </xdr:to>
    <xdr:sp macro="" textlink="" fLocksText="0">
      <xdr:nvSpPr>
        <xdr:cNvPr id="73" name="Rectangl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4010025" y="45339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40</a:t>
          </a:r>
        </a:p>
      </xdr:txBody>
    </xdr:sp>
    <xdr:clientData/>
  </xdr:twoCellAnchor>
  <xdr:twoCellAnchor>
    <xdr:from>
      <xdr:col>14</xdr:col>
      <xdr:colOff>215154</xdr:colOff>
      <xdr:row>25</xdr:row>
      <xdr:rowOff>13451</xdr:rowOff>
    </xdr:from>
    <xdr:to>
      <xdr:col>15</xdr:col>
      <xdr:colOff>208431</xdr:colOff>
      <xdr:row>26</xdr:row>
      <xdr:rowOff>17933</xdr:rowOff>
    </xdr:to>
    <xdr:sp macro="" textlink="" fLocksText="0">
      <xdr:nvSpPr>
        <xdr:cNvPr id="74" name="Rectangl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3952875" y="48863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41</a:t>
          </a:r>
        </a:p>
      </xdr:txBody>
    </xdr:sp>
    <xdr:clientData/>
  </xdr:twoCellAnchor>
  <xdr:twoCellAnchor>
    <xdr:from>
      <xdr:col>31</xdr:col>
      <xdr:colOff>31379</xdr:colOff>
      <xdr:row>23</xdr:row>
      <xdr:rowOff>64998</xdr:rowOff>
    </xdr:from>
    <xdr:to>
      <xdr:col>32</xdr:col>
      <xdr:colOff>24656</xdr:colOff>
      <xdr:row>24</xdr:row>
      <xdr:rowOff>69480</xdr:rowOff>
    </xdr:to>
    <xdr:sp macro="" textlink="" fLocksText="0">
      <xdr:nvSpPr>
        <xdr:cNvPr id="75" name="Rectangl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8296275" y="456247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42</a:t>
          </a:r>
        </a:p>
      </xdr:txBody>
    </xdr:sp>
    <xdr:clientData/>
  </xdr:twoCellAnchor>
  <xdr:twoCellAnchor>
    <xdr:from>
      <xdr:col>28</xdr:col>
      <xdr:colOff>194984</xdr:colOff>
      <xdr:row>25</xdr:row>
      <xdr:rowOff>15693</xdr:rowOff>
    </xdr:from>
    <xdr:to>
      <xdr:col>29</xdr:col>
      <xdr:colOff>188262</xdr:colOff>
      <xdr:row>26</xdr:row>
      <xdr:rowOff>20175</xdr:rowOff>
    </xdr:to>
    <xdr:sp macro="" textlink="" fLocksText="0">
      <xdr:nvSpPr>
        <xdr:cNvPr id="76" name="Rectangle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7658100" y="489585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43</a:t>
          </a:r>
        </a:p>
      </xdr:txBody>
    </xdr:sp>
    <xdr:clientData/>
  </xdr:twoCellAnchor>
  <xdr:twoCellAnchor>
    <xdr:from>
      <xdr:col>46</xdr:col>
      <xdr:colOff>224120</xdr:colOff>
      <xdr:row>23</xdr:row>
      <xdr:rowOff>67238</xdr:rowOff>
    </xdr:from>
    <xdr:to>
      <xdr:col>47</xdr:col>
      <xdr:colOff>217397</xdr:colOff>
      <xdr:row>24</xdr:row>
      <xdr:rowOff>71720</xdr:rowOff>
    </xdr:to>
    <xdr:sp macro="" textlink="" fLocksText="0">
      <xdr:nvSpPr>
        <xdr:cNvPr id="77" name="Rectangl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12496800" y="45624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44</a:t>
          </a:r>
        </a:p>
      </xdr:txBody>
    </xdr:sp>
    <xdr:clientData/>
  </xdr:twoCellAnchor>
  <xdr:twoCellAnchor>
    <xdr:from>
      <xdr:col>54</xdr:col>
      <xdr:colOff>47065</xdr:colOff>
      <xdr:row>23</xdr:row>
      <xdr:rowOff>80686</xdr:rowOff>
    </xdr:from>
    <xdr:to>
      <xdr:col>55</xdr:col>
      <xdr:colOff>40343</xdr:colOff>
      <xdr:row>24</xdr:row>
      <xdr:rowOff>85168</xdr:rowOff>
    </xdr:to>
    <xdr:sp macro="" textlink="" fLocksText="0">
      <xdr:nvSpPr>
        <xdr:cNvPr id="79" name="Rectangl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14449425" y="45720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46</a:t>
          </a:r>
        </a:p>
      </xdr:txBody>
    </xdr:sp>
    <xdr:clientData/>
  </xdr:twoCellAnchor>
  <xdr:twoCellAnchor>
    <xdr:from>
      <xdr:col>56</xdr:col>
      <xdr:colOff>53789</xdr:colOff>
      <xdr:row>25</xdr:row>
      <xdr:rowOff>8969</xdr:rowOff>
    </xdr:from>
    <xdr:to>
      <xdr:col>57</xdr:col>
      <xdr:colOff>47067</xdr:colOff>
      <xdr:row>26</xdr:row>
      <xdr:rowOff>13451</xdr:rowOff>
    </xdr:to>
    <xdr:sp macro="" textlink="" fLocksText="0">
      <xdr:nvSpPr>
        <xdr:cNvPr id="80" name="Rectangle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14992350" y="48863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47</a:t>
          </a:r>
        </a:p>
      </xdr:txBody>
    </xdr:sp>
    <xdr:clientData/>
  </xdr:twoCellAnchor>
  <xdr:twoCellAnchor>
    <xdr:from>
      <xdr:col>25</xdr:col>
      <xdr:colOff>94131</xdr:colOff>
      <xdr:row>14</xdr:row>
      <xdr:rowOff>4487</xdr:rowOff>
    </xdr:from>
    <xdr:to>
      <xdr:col>26</xdr:col>
      <xdr:colOff>87408</xdr:colOff>
      <xdr:row>15</xdr:row>
      <xdr:rowOff>8969</xdr:rowOff>
    </xdr:to>
    <xdr:sp macro="" textlink="" fLocksText="0">
      <xdr:nvSpPr>
        <xdr:cNvPr id="81" name="Rectangle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6762750" y="27813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48</a:t>
          </a:r>
        </a:p>
      </xdr:txBody>
    </xdr:sp>
    <xdr:clientData/>
  </xdr:twoCellAnchor>
  <xdr:twoCellAnchor>
    <xdr:from>
      <xdr:col>35</xdr:col>
      <xdr:colOff>212913</xdr:colOff>
      <xdr:row>42</xdr:row>
      <xdr:rowOff>33623</xdr:rowOff>
    </xdr:from>
    <xdr:to>
      <xdr:col>36</xdr:col>
      <xdr:colOff>206191</xdr:colOff>
      <xdr:row>43</xdr:row>
      <xdr:rowOff>38105</xdr:rowOff>
    </xdr:to>
    <xdr:sp macro="" textlink="" fLocksText="0">
      <xdr:nvSpPr>
        <xdr:cNvPr id="82" name="Rectangle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9544050" y="814387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49</a:t>
          </a:r>
        </a:p>
      </xdr:txBody>
    </xdr:sp>
    <xdr:clientData/>
  </xdr:twoCellAnchor>
  <xdr:twoCellAnchor>
    <xdr:from>
      <xdr:col>58</xdr:col>
      <xdr:colOff>40341</xdr:colOff>
      <xdr:row>42</xdr:row>
      <xdr:rowOff>51552</xdr:rowOff>
    </xdr:from>
    <xdr:to>
      <xdr:col>59</xdr:col>
      <xdr:colOff>33619</xdr:colOff>
      <xdr:row>43</xdr:row>
      <xdr:rowOff>56034</xdr:rowOff>
    </xdr:to>
    <xdr:sp macro="" textlink="" fLocksText="0">
      <xdr:nvSpPr>
        <xdr:cNvPr id="83" name="Rectangle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15506700" y="815340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50</a:t>
          </a:r>
        </a:p>
      </xdr:txBody>
    </xdr:sp>
    <xdr:clientData/>
  </xdr:twoCellAnchor>
  <xdr:twoCellAnchor>
    <xdr:from>
      <xdr:col>43</xdr:col>
      <xdr:colOff>24655</xdr:colOff>
      <xdr:row>41</xdr:row>
      <xdr:rowOff>69481</xdr:rowOff>
    </xdr:from>
    <xdr:to>
      <xdr:col>44</xdr:col>
      <xdr:colOff>17933</xdr:colOff>
      <xdr:row>42</xdr:row>
      <xdr:rowOff>85169</xdr:rowOff>
    </xdr:to>
    <xdr:sp macro="" textlink="" fLocksText="0">
      <xdr:nvSpPr>
        <xdr:cNvPr id="84" name="Rectangle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11496675" y="79914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51</a:t>
          </a:r>
        </a:p>
      </xdr:txBody>
    </xdr:sp>
    <xdr:clientData/>
  </xdr:twoCellAnchor>
  <xdr:twoCellAnchor editAs="oneCell">
    <xdr:from>
      <xdr:col>60</xdr:col>
      <xdr:colOff>0</xdr:colOff>
      <xdr:row>19</xdr:row>
      <xdr:rowOff>100855</xdr:rowOff>
    </xdr:from>
    <xdr:to>
      <xdr:col>61</xdr:col>
      <xdr:colOff>66675</xdr:colOff>
      <xdr:row>21</xdr:row>
      <xdr:rowOff>24655</xdr:rowOff>
    </xdr:to>
    <xdr:sp macro="" textlink="">
      <xdr:nvSpPr>
        <xdr:cNvPr id="1028" name="AutoShape 4" descr="preview url image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3838575"/>
          <a:ext cx="333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61</xdr:col>
      <xdr:colOff>0</xdr:colOff>
      <xdr:row>41</xdr:row>
      <xdr:rowOff>100855</xdr:rowOff>
    </xdr:from>
    <xdr:to>
      <xdr:col>62</xdr:col>
      <xdr:colOff>66675</xdr:colOff>
      <xdr:row>43</xdr:row>
      <xdr:rowOff>35861</xdr:rowOff>
    </xdr:to>
    <xdr:sp macro="" textlink="">
      <xdr:nvSpPr>
        <xdr:cNvPr id="1029" name="AutoShape 5" descr="preview url image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16268700" y="8029575"/>
          <a:ext cx="333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49</xdr:col>
      <xdr:colOff>53789</xdr:colOff>
      <xdr:row>25</xdr:row>
      <xdr:rowOff>8967</xdr:rowOff>
    </xdr:from>
    <xdr:to>
      <xdr:col>50</xdr:col>
      <xdr:colOff>47067</xdr:colOff>
      <xdr:row>26</xdr:row>
      <xdr:rowOff>13449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3125450" y="48863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45</a:t>
          </a:r>
        </a:p>
      </xdr:txBody>
    </xdr:sp>
    <xdr:clientData/>
  </xdr:twoCellAnchor>
  <xdr:twoCellAnchor>
    <xdr:from>
      <xdr:col>38</xdr:col>
      <xdr:colOff>112059</xdr:colOff>
      <xdr:row>41</xdr:row>
      <xdr:rowOff>78441</xdr:rowOff>
    </xdr:from>
    <xdr:to>
      <xdr:col>56</xdr:col>
      <xdr:colOff>22411</xdr:colOff>
      <xdr:row>43</xdr:row>
      <xdr:rowOff>179294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0248900" y="8001000"/>
          <a:ext cx="4705350" cy="4762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44</xdr:col>
      <xdr:colOff>224117</xdr:colOff>
      <xdr:row>20</xdr:row>
      <xdr:rowOff>145677</xdr:rowOff>
    </xdr:from>
    <xdr:to>
      <xdr:col>45</xdr:col>
      <xdr:colOff>217394</xdr:colOff>
      <xdr:row>21</xdr:row>
      <xdr:rowOff>150159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963400" y="40671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57</xdr:row>
      <xdr:rowOff>179294</xdr:rowOff>
    </xdr:from>
    <xdr:to>
      <xdr:col>55</xdr:col>
      <xdr:colOff>22411</xdr:colOff>
      <xdr:row>87</xdr:row>
      <xdr:rowOff>30499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2534900"/>
          <a:ext cx="14211300" cy="5562600"/>
        </a:xfrm>
        <a:prstGeom prst="rect">
          <a:avLst/>
        </a:prstGeom>
      </xdr:spPr>
    </xdr:pic>
    <xdr:clientData/>
  </xdr:twoCellAnchor>
  <xdr:twoCellAnchor editAs="oneCell">
    <xdr:from>
      <xdr:col>1</xdr:col>
      <xdr:colOff>123263</xdr:colOff>
      <xdr:row>7</xdr:row>
      <xdr:rowOff>145675</xdr:rowOff>
    </xdr:from>
    <xdr:to>
      <xdr:col>60</xdr:col>
      <xdr:colOff>133660</xdr:colOff>
      <xdr:row>33</xdr:row>
      <xdr:rowOff>44822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590675"/>
          <a:ext cx="15744825" cy="4848225"/>
        </a:xfrm>
        <a:prstGeom prst="rect">
          <a:avLst/>
        </a:prstGeom>
      </xdr:spPr>
    </xdr:pic>
    <xdr:clientData/>
  </xdr:twoCellAnchor>
  <xdr:twoCellAnchor>
    <xdr:from>
      <xdr:col>11</xdr:col>
      <xdr:colOff>11207</xdr:colOff>
      <xdr:row>9</xdr:row>
      <xdr:rowOff>22412</xdr:rowOff>
    </xdr:from>
    <xdr:to>
      <xdr:col>12</xdr:col>
      <xdr:colOff>28746</xdr:colOff>
      <xdr:row>10</xdr:row>
      <xdr:rowOff>56030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943225" y="184785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7</xdr:col>
      <xdr:colOff>128139</xdr:colOff>
      <xdr:row>12</xdr:row>
      <xdr:rowOff>123264</xdr:rowOff>
    </xdr:from>
    <xdr:to>
      <xdr:col>8</xdr:col>
      <xdr:colOff>145678</xdr:colOff>
      <xdr:row>13</xdr:row>
      <xdr:rowOff>156882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990725" y="252412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6</xdr:col>
      <xdr:colOff>128138</xdr:colOff>
      <xdr:row>14</xdr:row>
      <xdr:rowOff>134471</xdr:rowOff>
    </xdr:from>
    <xdr:to>
      <xdr:col>7</xdr:col>
      <xdr:colOff>145676</xdr:colOff>
      <xdr:row>15</xdr:row>
      <xdr:rowOff>168089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724025" y="291465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16</xdr:col>
      <xdr:colOff>168089</xdr:colOff>
      <xdr:row>12</xdr:row>
      <xdr:rowOff>123264</xdr:rowOff>
    </xdr:from>
    <xdr:to>
      <xdr:col>17</xdr:col>
      <xdr:colOff>185627</xdr:colOff>
      <xdr:row>13</xdr:row>
      <xdr:rowOff>156882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438650" y="2524125"/>
          <a:ext cx="2762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15</xdr:col>
      <xdr:colOff>195373</xdr:colOff>
      <xdr:row>14</xdr:row>
      <xdr:rowOff>145677</xdr:rowOff>
    </xdr:from>
    <xdr:to>
      <xdr:col>16</xdr:col>
      <xdr:colOff>212912</xdr:colOff>
      <xdr:row>15</xdr:row>
      <xdr:rowOff>179295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4200525" y="2924175"/>
          <a:ext cx="2762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24</xdr:col>
      <xdr:colOff>89646</xdr:colOff>
      <xdr:row>12</xdr:row>
      <xdr:rowOff>100852</xdr:rowOff>
    </xdr:from>
    <xdr:to>
      <xdr:col>25</xdr:col>
      <xdr:colOff>107185</xdr:colOff>
      <xdr:row>13</xdr:row>
      <xdr:rowOff>134470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6486525" y="250507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24</xdr:col>
      <xdr:colOff>89646</xdr:colOff>
      <xdr:row>14</xdr:row>
      <xdr:rowOff>134470</xdr:rowOff>
    </xdr:from>
    <xdr:to>
      <xdr:col>25</xdr:col>
      <xdr:colOff>107185</xdr:colOff>
      <xdr:row>15</xdr:row>
      <xdr:rowOff>168088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6486525" y="291465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30</xdr:col>
      <xdr:colOff>172962</xdr:colOff>
      <xdr:row>12</xdr:row>
      <xdr:rowOff>112058</xdr:rowOff>
    </xdr:from>
    <xdr:to>
      <xdr:col>31</xdr:col>
      <xdr:colOff>190501</xdr:colOff>
      <xdr:row>13</xdr:row>
      <xdr:rowOff>145676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8172450" y="251460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31</xdr:col>
      <xdr:colOff>22412</xdr:colOff>
      <xdr:row>14</xdr:row>
      <xdr:rowOff>145676</xdr:rowOff>
    </xdr:from>
    <xdr:to>
      <xdr:col>32</xdr:col>
      <xdr:colOff>39950</xdr:colOff>
      <xdr:row>15</xdr:row>
      <xdr:rowOff>179294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8286750" y="2924175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40</xdr:col>
      <xdr:colOff>0</xdr:colOff>
      <xdr:row>12</xdr:row>
      <xdr:rowOff>100853</xdr:rowOff>
    </xdr:from>
    <xdr:to>
      <xdr:col>41</xdr:col>
      <xdr:colOff>17538</xdr:colOff>
      <xdr:row>13</xdr:row>
      <xdr:rowOff>134471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0668000" y="250507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41</xdr:col>
      <xdr:colOff>56031</xdr:colOff>
      <xdr:row>14</xdr:row>
      <xdr:rowOff>123265</xdr:rowOff>
    </xdr:from>
    <xdr:to>
      <xdr:col>42</xdr:col>
      <xdr:colOff>49309</xdr:colOff>
      <xdr:row>15</xdr:row>
      <xdr:rowOff>127747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0991850" y="29051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47</xdr:col>
      <xdr:colOff>118782</xdr:colOff>
      <xdr:row>14</xdr:row>
      <xdr:rowOff>145676</xdr:rowOff>
    </xdr:from>
    <xdr:to>
      <xdr:col>48</xdr:col>
      <xdr:colOff>112060</xdr:colOff>
      <xdr:row>15</xdr:row>
      <xdr:rowOff>150158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2649200" y="2924175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4</xdr:col>
      <xdr:colOff>22414</xdr:colOff>
      <xdr:row>68</xdr:row>
      <xdr:rowOff>33617</xdr:rowOff>
    </xdr:from>
    <xdr:to>
      <xdr:col>5</xdr:col>
      <xdr:colOff>15691</xdr:colOff>
      <xdr:row>69</xdr:row>
      <xdr:rowOff>38099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085850" y="144875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4</xdr:col>
      <xdr:colOff>11209</xdr:colOff>
      <xdr:row>70</xdr:row>
      <xdr:rowOff>112057</xdr:rowOff>
    </xdr:from>
    <xdr:to>
      <xdr:col>5</xdr:col>
      <xdr:colOff>4486</xdr:colOff>
      <xdr:row>71</xdr:row>
      <xdr:rowOff>116539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076325" y="149447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12</xdr:col>
      <xdr:colOff>100857</xdr:colOff>
      <xdr:row>68</xdr:row>
      <xdr:rowOff>22411</xdr:rowOff>
    </xdr:from>
    <xdr:to>
      <xdr:col>13</xdr:col>
      <xdr:colOff>94134</xdr:colOff>
      <xdr:row>69</xdr:row>
      <xdr:rowOff>26893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3305175" y="144684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9</xdr:col>
      <xdr:colOff>145679</xdr:colOff>
      <xdr:row>70</xdr:row>
      <xdr:rowOff>112058</xdr:rowOff>
    </xdr:from>
    <xdr:to>
      <xdr:col>10</xdr:col>
      <xdr:colOff>138957</xdr:colOff>
      <xdr:row>71</xdr:row>
      <xdr:rowOff>116540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543175" y="149447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18</xdr:col>
      <xdr:colOff>89650</xdr:colOff>
      <xdr:row>68</xdr:row>
      <xdr:rowOff>11205</xdr:rowOff>
    </xdr:from>
    <xdr:to>
      <xdr:col>19</xdr:col>
      <xdr:colOff>82928</xdr:colOff>
      <xdr:row>69</xdr:row>
      <xdr:rowOff>15687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4886325" y="1445895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17</xdr:col>
      <xdr:colOff>145681</xdr:colOff>
      <xdr:row>70</xdr:row>
      <xdr:rowOff>67234</xdr:rowOff>
    </xdr:from>
    <xdr:to>
      <xdr:col>18</xdr:col>
      <xdr:colOff>138958</xdr:colOff>
      <xdr:row>71</xdr:row>
      <xdr:rowOff>71716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4676775" y="1489710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29</xdr:col>
      <xdr:colOff>44827</xdr:colOff>
      <xdr:row>67</xdr:row>
      <xdr:rowOff>151661</xdr:rowOff>
    </xdr:from>
    <xdr:to>
      <xdr:col>30</xdr:col>
      <xdr:colOff>38104</xdr:colOff>
      <xdr:row>68</xdr:row>
      <xdr:rowOff>112058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7781925" y="14411325"/>
          <a:ext cx="257175" cy="1524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27</xdr:col>
      <xdr:colOff>38104</xdr:colOff>
      <xdr:row>70</xdr:row>
      <xdr:rowOff>73221</xdr:rowOff>
    </xdr:from>
    <xdr:to>
      <xdr:col>28</xdr:col>
      <xdr:colOff>31381</xdr:colOff>
      <xdr:row>71</xdr:row>
      <xdr:rowOff>77702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7239000" y="149066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38</xdr:col>
      <xdr:colOff>89652</xdr:colOff>
      <xdr:row>68</xdr:row>
      <xdr:rowOff>23915</xdr:rowOff>
    </xdr:from>
    <xdr:to>
      <xdr:col>39</xdr:col>
      <xdr:colOff>82929</xdr:colOff>
      <xdr:row>69</xdr:row>
      <xdr:rowOff>28396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0220325" y="1447800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36</xdr:col>
      <xdr:colOff>22414</xdr:colOff>
      <xdr:row>70</xdr:row>
      <xdr:rowOff>118044</xdr:rowOff>
    </xdr:from>
    <xdr:to>
      <xdr:col>37</xdr:col>
      <xdr:colOff>15691</xdr:colOff>
      <xdr:row>71</xdr:row>
      <xdr:rowOff>122525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9620250" y="14944725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42</xdr:col>
      <xdr:colOff>233216</xdr:colOff>
      <xdr:row>67</xdr:row>
      <xdr:rowOff>176317</xdr:rowOff>
    </xdr:from>
    <xdr:to>
      <xdr:col>43</xdr:col>
      <xdr:colOff>226493</xdr:colOff>
      <xdr:row>68</xdr:row>
      <xdr:rowOff>180798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1430000" y="1443990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42</xdr:col>
      <xdr:colOff>112193</xdr:colOff>
      <xdr:row>70</xdr:row>
      <xdr:rowOff>100116</xdr:rowOff>
    </xdr:from>
    <xdr:to>
      <xdr:col>43</xdr:col>
      <xdr:colOff>105470</xdr:colOff>
      <xdr:row>71</xdr:row>
      <xdr:rowOff>104599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1315700" y="149352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101</xdr:col>
      <xdr:colOff>215155</xdr:colOff>
      <xdr:row>92</xdr:row>
      <xdr:rowOff>136711</xdr:rowOff>
    </xdr:from>
    <xdr:to>
      <xdr:col>102</xdr:col>
      <xdr:colOff>208432</xdr:colOff>
      <xdr:row>92</xdr:row>
      <xdr:rowOff>331693</xdr:rowOff>
    </xdr:to>
    <xdr:sp macro="" textlink="" fLocksText="0">
      <xdr:nvSpPr>
        <xdr:cNvPr id="49" name="Rectangle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27155775" y="19183350"/>
          <a:ext cx="257175" cy="666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46</a:t>
          </a:r>
        </a:p>
      </xdr:txBody>
    </xdr:sp>
    <xdr:clientData/>
  </xdr:twoCellAnchor>
  <xdr:twoCellAnchor>
    <xdr:from>
      <xdr:col>6</xdr:col>
      <xdr:colOff>33617</xdr:colOff>
      <xdr:row>29</xdr:row>
      <xdr:rowOff>168089</xdr:rowOff>
    </xdr:from>
    <xdr:to>
      <xdr:col>7</xdr:col>
      <xdr:colOff>26894</xdr:colOff>
      <xdr:row>30</xdr:row>
      <xdr:rowOff>172572</xdr:rowOff>
    </xdr:to>
    <xdr:sp macro="" textlink="" fLocksText="0">
      <xdr:nvSpPr>
        <xdr:cNvPr id="79" name="Rectangle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1638300" y="58102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50</xdr:col>
      <xdr:colOff>6858</xdr:colOff>
      <xdr:row>67</xdr:row>
      <xdr:rowOff>185281</xdr:rowOff>
    </xdr:from>
    <xdr:to>
      <xdr:col>51</xdr:col>
      <xdr:colOff>135</xdr:colOff>
      <xdr:row>68</xdr:row>
      <xdr:rowOff>189764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3344525" y="1443990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50</xdr:col>
      <xdr:colOff>24787</xdr:colOff>
      <xdr:row>70</xdr:row>
      <xdr:rowOff>46328</xdr:rowOff>
    </xdr:from>
    <xdr:to>
      <xdr:col>51</xdr:col>
      <xdr:colOff>18064</xdr:colOff>
      <xdr:row>71</xdr:row>
      <xdr:rowOff>50811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13363575" y="148780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4"/>
      <c r="K1" s="42" t="s">
        <v>2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4"/>
      <c r="W1" s="52" t="s">
        <v>59</v>
      </c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4"/>
      <c r="AP1" s="42" t="s">
        <v>3</v>
      </c>
      <c r="AQ1" s="43"/>
      <c r="AR1" s="43"/>
      <c r="AS1" s="44"/>
      <c r="AT1" s="42" t="s">
        <v>4</v>
      </c>
      <c r="AU1" s="43"/>
      <c r="AV1" s="43"/>
      <c r="AW1" s="43"/>
      <c r="AX1" s="44"/>
      <c r="AY1" s="42" t="s">
        <v>5</v>
      </c>
      <c r="AZ1" s="43"/>
      <c r="BA1" s="43"/>
      <c r="BB1" s="44"/>
      <c r="BC1" s="42" t="s">
        <v>6</v>
      </c>
      <c r="BD1" s="43"/>
      <c r="BE1" s="43"/>
      <c r="BF1" s="43"/>
      <c r="BG1" s="44"/>
      <c r="BH1" s="42" t="s">
        <v>7</v>
      </c>
      <c r="BI1" s="43"/>
      <c r="BJ1" s="43"/>
      <c r="BK1" s="44"/>
    </row>
    <row r="2" spans="1:63" ht="15" customHeight="1" x14ac:dyDescent="0.25">
      <c r="A2" s="51" t="s">
        <v>52</v>
      </c>
      <c r="B2" s="46"/>
      <c r="C2" s="46"/>
      <c r="D2" s="46"/>
      <c r="E2" s="46"/>
      <c r="F2" s="46"/>
      <c r="G2" s="46"/>
      <c r="H2" s="46"/>
      <c r="I2" s="46"/>
      <c r="J2" s="47"/>
      <c r="K2" s="45" t="s">
        <v>13</v>
      </c>
      <c r="L2" s="46"/>
      <c r="M2" s="46"/>
      <c r="N2" s="46"/>
      <c r="O2" s="46"/>
      <c r="P2" s="46"/>
      <c r="Q2" s="46"/>
      <c r="R2" s="46"/>
      <c r="S2" s="46"/>
      <c r="T2" s="46"/>
      <c r="U2" s="46"/>
      <c r="V2" s="47"/>
      <c r="W2" s="55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7"/>
      <c r="AP2" s="45" t="str">
        <f>改訂履歴!$H$11</f>
        <v>DuNT</v>
      </c>
      <c r="AQ2" s="46"/>
      <c r="AR2" s="46"/>
      <c r="AS2" s="47"/>
      <c r="AT2" s="73">
        <f>改訂履歴!$B$11</f>
        <v>45581</v>
      </c>
      <c r="AU2" s="74"/>
      <c r="AV2" s="74"/>
      <c r="AW2" s="74"/>
      <c r="AX2" s="75"/>
      <c r="AY2" s="45" t="str">
        <f>LOOKUP(2,1/(改訂履歴!H11:H30000&lt;&gt;""),改訂履歴!H11:H30000)</f>
        <v>DuNT</v>
      </c>
      <c r="AZ2" s="46"/>
      <c r="BA2" s="46"/>
      <c r="BB2" s="47"/>
      <c r="BC2" s="73">
        <f>LOOKUP(2,1/(改訂履歴!B11:B30000&lt;&gt;""),改訂履歴!B11:B30000)</f>
        <v>45649</v>
      </c>
      <c r="BD2" s="74"/>
      <c r="BE2" s="74"/>
      <c r="BF2" s="74"/>
      <c r="BG2" s="75"/>
      <c r="BH2" s="67">
        <f>LOOKUP(2,1/(改訂履歴!O11:O30000&lt;&gt;""),改訂履歴!O11:O30000)</f>
        <v>0.13</v>
      </c>
      <c r="BI2" s="68"/>
      <c r="BJ2" s="68"/>
      <c r="BK2" s="69"/>
    </row>
    <row r="3" spans="1:63" ht="15" customHeight="1" x14ac:dyDescent="0.25">
      <c r="A3" s="48"/>
      <c r="B3" s="49"/>
      <c r="C3" s="49"/>
      <c r="D3" s="49"/>
      <c r="E3" s="49"/>
      <c r="F3" s="49"/>
      <c r="G3" s="49"/>
      <c r="H3" s="49"/>
      <c r="I3" s="49"/>
      <c r="J3" s="50"/>
      <c r="K3" s="48"/>
      <c r="L3" s="49"/>
      <c r="M3" s="49"/>
      <c r="N3" s="49"/>
      <c r="O3" s="49"/>
      <c r="P3" s="49"/>
      <c r="Q3" s="49"/>
      <c r="R3" s="49"/>
      <c r="S3" s="49"/>
      <c r="T3" s="49"/>
      <c r="U3" s="49"/>
      <c r="V3" s="50"/>
      <c r="W3" s="58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60"/>
      <c r="AP3" s="48"/>
      <c r="AQ3" s="49"/>
      <c r="AR3" s="49"/>
      <c r="AS3" s="50"/>
      <c r="AT3" s="76"/>
      <c r="AU3" s="77"/>
      <c r="AV3" s="77"/>
      <c r="AW3" s="77"/>
      <c r="AX3" s="78"/>
      <c r="AY3" s="48"/>
      <c r="AZ3" s="49"/>
      <c r="BA3" s="49"/>
      <c r="BB3" s="50"/>
      <c r="BC3" s="76"/>
      <c r="BD3" s="77"/>
      <c r="BE3" s="77"/>
      <c r="BF3" s="77"/>
      <c r="BG3" s="78"/>
      <c r="BH3" s="70"/>
      <c r="BI3" s="71"/>
      <c r="BJ3" s="71"/>
      <c r="BK3" s="72"/>
    </row>
    <row r="4" spans="1:63" ht="24.95" customHeight="1" x14ac:dyDescent="0.25">
      <c r="A4" s="42" t="s">
        <v>1</v>
      </c>
      <c r="B4" s="43"/>
      <c r="C4" s="43"/>
      <c r="D4" s="43"/>
      <c r="E4" s="43"/>
      <c r="F4" s="43"/>
      <c r="G4" s="44"/>
      <c r="H4" s="63" t="s">
        <v>60</v>
      </c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5"/>
      <c r="U4" s="42" t="s">
        <v>8</v>
      </c>
      <c r="V4" s="43"/>
      <c r="W4" s="43"/>
      <c r="X4" s="43"/>
      <c r="Y4" s="44"/>
      <c r="Z4" s="66" t="s">
        <v>55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5"/>
      <c r="AP4" s="63" t="str">
        <f t="array" aca="1" ref="AP4" ca="1">RIGHT(CELL("filename",$A$1),LEN(CELL("filename",$A$1))-FIND("]",CELL("filename",$A$1)))</f>
        <v>表紙</v>
      </c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61" t="s">
        <v>53</v>
      </c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12"/>
      <c r="BK16" s="4"/>
    </row>
    <row r="17" spans="1:63" ht="15" customHeight="1" x14ac:dyDescent="0.25">
      <c r="A17" s="1"/>
      <c r="K17" s="6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12"/>
      <c r="BK17" s="4"/>
    </row>
    <row r="18" spans="1:63" ht="15" customHeight="1" x14ac:dyDescent="0.25">
      <c r="A18" s="1"/>
      <c r="K18" s="6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12"/>
      <c r="BK18" s="4"/>
    </row>
    <row r="19" spans="1:63" ht="15" customHeight="1" x14ac:dyDescent="0.25">
      <c r="A19" s="1"/>
      <c r="K19" s="6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12"/>
      <c r="BK19" s="4"/>
    </row>
    <row r="20" spans="1:63" ht="15" customHeight="1" x14ac:dyDescent="0.25">
      <c r="A20" s="1"/>
      <c r="K20" s="6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12"/>
      <c r="BK20" s="4"/>
    </row>
    <row r="21" spans="1:63" ht="15" customHeight="1" x14ac:dyDescent="0.25">
      <c r="A21" s="1"/>
      <c r="K21" s="6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62" t="str">
        <f>K2&amp;"/"&amp;H4&amp;"/"&amp;Z4</f>
        <v>POSサーバ/05_ミックスマッチ設定/画面設計書</v>
      </c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12"/>
      <c r="BK24" s="4"/>
    </row>
    <row r="25" spans="1:63" ht="15" customHeight="1" x14ac:dyDescent="0.25">
      <c r="A25" s="1"/>
      <c r="K25" s="6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12"/>
      <c r="BK25" s="4"/>
    </row>
    <row r="26" spans="1:63" ht="15" customHeight="1" x14ac:dyDescent="0.25">
      <c r="A26" s="1"/>
      <c r="K26" s="6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12"/>
      <c r="BK26" s="4"/>
    </row>
    <row r="27" spans="1:63" ht="15" customHeight="1" x14ac:dyDescent="0.25">
      <c r="A27" s="1"/>
      <c r="K27" s="6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12"/>
      <c r="BK27" s="4"/>
    </row>
    <row r="28" spans="1:63" ht="15" customHeight="1" x14ac:dyDescent="0.25">
      <c r="A28" s="1"/>
      <c r="K28" s="6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12"/>
      <c r="BK28" s="4"/>
    </row>
    <row r="29" spans="1:63" ht="15" customHeight="1" x14ac:dyDescent="0.25">
      <c r="A29" s="1"/>
      <c r="K29" s="6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12"/>
      <c r="BK29" s="4"/>
    </row>
    <row r="30" spans="1:63" ht="15" customHeight="1" x14ac:dyDescent="0.25">
      <c r="A30" s="1"/>
      <c r="K30" s="6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12"/>
      <c r="BK30" s="4"/>
    </row>
    <row r="31" spans="1:63" ht="15" customHeight="1" x14ac:dyDescent="0.25">
      <c r="A31" s="1"/>
      <c r="K31" s="6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12"/>
      <c r="BK31" s="4"/>
    </row>
    <row r="32" spans="1:63" ht="15" customHeight="1" x14ac:dyDescent="0.25">
      <c r="A32" s="1"/>
      <c r="K32" s="6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12"/>
      <c r="BK32" s="4"/>
    </row>
    <row r="33" spans="1:63" ht="15" customHeight="1" x14ac:dyDescent="0.25">
      <c r="A33" s="1"/>
      <c r="K33" s="6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12"/>
      <c r="BK33" s="4"/>
    </row>
    <row r="34" spans="1:63" ht="15" customHeight="1" x14ac:dyDescent="0.25">
      <c r="A34" s="1"/>
      <c r="K34" s="6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12"/>
      <c r="BK34" s="4"/>
    </row>
    <row r="35" spans="1:63" ht="15" customHeight="1" x14ac:dyDescent="0.25">
      <c r="A35" s="1"/>
      <c r="K35" s="6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12"/>
      <c r="BK35" s="4"/>
    </row>
    <row r="36" spans="1:63" ht="15" customHeight="1" x14ac:dyDescent="0.25">
      <c r="A36" s="1"/>
      <c r="K36" s="6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82" t="s">
        <v>11</v>
      </c>
      <c r="R44" s="83"/>
      <c r="S44" s="83"/>
      <c r="T44" s="83"/>
      <c r="U44" s="83"/>
      <c r="V44" s="83"/>
      <c r="W44" s="83"/>
      <c r="X44" s="83"/>
      <c r="Y44" s="83"/>
      <c r="Z44" s="84"/>
      <c r="AA44" s="82" t="s">
        <v>12</v>
      </c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4"/>
      <c r="AQ44" s="82" t="s">
        <v>7</v>
      </c>
      <c r="AR44" s="83"/>
      <c r="AS44" s="83"/>
      <c r="AT44" s="83"/>
      <c r="AU44" s="84"/>
      <c r="BK44" s="4"/>
    </row>
    <row r="45" spans="1:63" ht="15" customHeight="1" x14ac:dyDescent="0.25">
      <c r="A45" s="1"/>
      <c r="Q45" s="85"/>
      <c r="R45" s="86"/>
      <c r="S45" s="86"/>
      <c r="T45" s="86"/>
      <c r="U45" s="86"/>
      <c r="V45" s="86"/>
      <c r="W45" s="86"/>
      <c r="X45" s="86"/>
      <c r="Y45" s="86"/>
      <c r="Z45" s="87"/>
      <c r="AA45" s="85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7"/>
      <c r="AQ45" s="85"/>
      <c r="AR45" s="86"/>
      <c r="AS45" s="86"/>
      <c r="AT45" s="86"/>
      <c r="AU45" s="87"/>
      <c r="BK45" s="4"/>
    </row>
    <row r="46" spans="1:63" ht="15" customHeight="1" x14ac:dyDescent="0.25">
      <c r="A46" s="1"/>
      <c r="Q46" s="45"/>
      <c r="R46" s="46"/>
      <c r="S46" s="46"/>
      <c r="T46" s="46"/>
      <c r="U46" s="46"/>
      <c r="V46" s="46"/>
      <c r="W46" s="46"/>
      <c r="X46" s="46"/>
      <c r="Y46" s="46"/>
      <c r="Z46" s="47"/>
      <c r="AA46" s="45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7"/>
      <c r="AQ46" s="45"/>
      <c r="AR46" s="46"/>
      <c r="AS46" s="46"/>
      <c r="AT46" s="46"/>
      <c r="AU46" s="47"/>
      <c r="BK46" s="4"/>
    </row>
    <row r="47" spans="1:63" ht="15" customHeight="1" x14ac:dyDescent="0.25">
      <c r="A47" s="1"/>
      <c r="Q47" s="79"/>
      <c r="R47" s="80"/>
      <c r="S47" s="80"/>
      <c r="T47" s="80"/>
      <c r="U47" s="80"/>
      <c r="V47" s="80"/>
      <c r="W47" s="80"/>
      <c r="X47" s="80"/>
      <c r="Y47" s="80"/>
      <c r="Z47" s="81"/>
      <c r="AA47" s="79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1"/>
      <c r="AQ47" s="79"/>
      <c r="AR47" s="80"/>
      <c r="AS47" s="80"/>
      <c r="AT47" s="80"/>
      <c r="AU47" s="81"/>
      <c r="BK47" s="4"/>
    </row>
    <row r="48" spans="1:63" ht="15" customHeight="1" x14ac:dyDescent="0.25">
      <c r="A48" s="1"/>
      <c r="Q48" s="79"/>
      <c r="R48" s="80"/>
      <c r="S48" s="80"/>
      <c r="T48" s="80"/>
      <c r="U48" s="80"/>
      <c r="V48" s="80"/>
      <c r="W48" s="80"/>
      <c r="X48" s="80"/>
      <c r="Y48" s="80"/>
      <c r="Z48" s="81"/>
      <c r="AA48" s="79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1"/>
      <c r="AQ48" s="79"/>
      <c r="AR48" s="80"/>
      <c r="AS48" s="80"/>
      <c r="AT48" s="80"/>
      <c r="AU48" s="81"/>
      <c r="BK48" s="4"/>
    </row>
    <row r="49" spans="1:63" ht="15" customHeight="1" x14ac:dyDescent="0.25">
      <c r="A49" s="1"/>
      <c r="Q49" s="48"/>
      <c r="R49" s="49"/>
      <c r="S49" s="49"/>
      <c r="T49" s="49"/>
      <c r="U49" s="49"/>
      <c r="V49" s="49"/>
      <c r="W49" s="49"/>
      <c r="X49" s="49"/>
      <c r="Y49" s="49"/>
      <c r="Z49" s="50"/>
      <c r="AA49" s="48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50"/>
      <c r="AQ49" s="48"/>
      <c r="AR49" s="49"/>
      <c r="AS49" s="49"/>
      <c r="AT49" s="49"/>
      <c r="AU49" s="50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4"/>
      <c r="K1" s="42" t="s">
        <v>2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4"/>
      <c r="W1" s="88" t="str">
        <f>IF(表紙!W1="","",表紙!W1)</f>
        <v>詳細設計書</v>
      </c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4"/>
      <c r="AP1" s="42" t="s">
        <v>3</v>
      </c>
      <c r="AQ1" s="43"/>
      <c r="AR1" s="43"/>
      <c r="AS1" s="44"/>
      <c r="AT1" s="42" t="s">
        <v>4</v>
      </c>
      <c r="AU1" s="43"/>
      <c r="AV1" s="43"/>
      <c r="AW1" s="43"/>
      <c r="AX1" s="44"/>
      <c r="AY1" s="42" t="s">
        <v>5</v>
      </c>
      <c r="AZ1" s="43"/>
      <c r="BA1" s="43"/>
      <c r="BB1" s="44"/>
      <c r="BC1" s="42" t="s">
        <v>6</v>
      </c>
      <c r="BD1" s="43"/>
      <c r="BE1" s="43"/>
      <c r="BF1" s="43"/>
      <c r="BG1" s="44"/>
      <c r="BH1" s="42" t="s">
        <v>7</v>
      </c>
      <c r="BI1" s="43"/>
      <c r="BJ1" s="43"/>
      <c r="BK1" s="44"/>
    </row>
    <row r="2" spans="1:63" ht="15" customHeight="1" x14ac:dyDescent="0.25">
      <c r="A2" s="45" t="str">
        <f>IF(表紙!A2="","",表紙!A2)</f>
        <v>POSサーバー</v>
      </c>
      <c r="B2" s="46"/>
      <c r="C2" s="46"/>
      <c r="D2" s="46"/>
      <c r="E2" s="46"/>
      <c r="F2" s="46"/>
      <c r="G2" s="46"/>
      <c r="H2" s="46"/>
      <c r="I2" s="46"/>
      <c r="J2" s="47"/>
      <c r="K2" s="45" t="str">
        <f>IF(表紙!K2="","",表紙!K2)</f>
        <v>POSサーバ</v>
      </c>
      <c r="L2" s="46"/>
      <c r="M2" s="46"/>
      <c r="N2" s="46"/>
      <c r="O2" s="46"/>
      <c r="P2" s="46"/>
      <c r="Q2" s="46"/>
      <c r="R2" s="46"/>
      <c r="S2" s="46"/>
      <c r="T2" s="46"/>
      <c r="U2" s="46"/>
      <c r="V2" s="47"/>
      <c r="W2" s="55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7"/>
      <c r="AP2" s="45" t="str">
        <f>IF(表紙!AP2="","",表紙!AP2)</f>
        <v>DuNT</v>
      </c>
      <c r="AQ2" s="46"/>
      <c r="AR2" s="46"/>
      <c r="AS2" s="47"/>
      <c r="AT2" s="73">
        <f>IF(表紙!AT2="","",表紙!AT2)</f>
        <v>45581</v>
      </c>
      <c r="AU2" s="74"/>
      <c r="AV2" s="74"/>
      <c r="AW2" s="74"/>
      <c r="AX2" s="75"/>
      <c r="AY2" s="45" t="str">
        <f>IF(表紙!AY2="","",表紙!AY2)</f>
        <v>DuNT</v>
      </c>
      <c r="AZ2" s="46"/>
      <c r="BA2" s="46"/>
      <c r="BB2" s="47"/>
      <c r="BC2" s="73">
        <f>IF(表紙!BC2="","",表紙!BC2)</f>
        <v>45649</v>
      </c>
      <c r="BD2" s="74"/>
      <c r="BE2" s="74"/>
      <c r="BF2" s="74"/>
      <c r="BG2" s="75"/>
      <c r="BH2" s="45">
        <f>IF(表紙!BH2="","",表紙!BH2)</f>
        <v>0.13</v>
      </c>
      <c r="BI2" s="46"/>
      <c r="BJ2" s="46"/>
      <c r="BK2" s="47"/>
    </row>
    <row r="3" spans="1:63" ht="15" customHeight="1" x14ac:dyDescent="0.25">
      <c r="A3" s="48"/>
      <c r="B3" s="49"/>
      <c r="C3" s="49"/>
      <c r="D3" s="49"/>
      <c r="E3" s="49"/>
      <c r="F3" s="49"/>
      <c r="G3" s="49"/>
      <c r="H3" s="49"/>
      <c r="I3" s="49"/>
      <c r="J3" s="50"/>
      <c r="K3" s="48"/>
      <c r="L3" s="49"/>
      <c r="M3" s="49"/>
      <c r="N3" s="49"/>
      <c r="O3" s="49"/>
      <c r="P3" s="49"/>
      <c r="Q3" s="49"/>
      <c r="R3" s="49"/>
      <c r="S3" s="49"/>
      <c r="T3" s="49"/>
      <c r="U3" s="49"/>
      <c r="V3" s="50"/>
      <c r="W3" s="58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60"/>
      <c r="AP3" s="48"/>
      <c r="AQ3" s="49"/>
      <c r="AR3" s="49"/>
      <c r="AS3" s="50"/>
      <c r="AT3" s="76"/>
      <c r="AU3" s="77"/>
      <c r="AV3" s="77"/>
      <c r="AW3" s="77"/>
      <c r="AX3" s="78"/>
      <c r="AY3" s="48"/>
      <c r="AZ3" s="49"/>
      <c r="BA3" s="49"/>
      <c r="BB3" s="50"/>
      <c r="BC3" s="76"/>
      <c r="BD3" s="77"/>
      <c r="BE3" s="77"/>
      <c r="BF3" s="77"/>
      <c r="BG3" s="78"/>
      <c r="BH3" s="48"/>
      <c r="BI3" s="49"/>
      <c r="BJ3" s="49"/>
      <c r="BK3" s="50"/>
    </row>
    <row r="4" spans="1:63" ht="24.95" customHeight="1" x14ac:dyDescent="0.25">
      <c r="A4" s="42" t="s">
        <v>1</v>
      </c>
      <c r="B4" s="43"/>
      <c r="C4" s="43"/>
      <c r="D4" s="43"/>
      <c r="E4" s="43"/>
      <c r="F4" s="43"/>
      <c r="G4" s="44"/>
      <c r="H4" s="63" t="str">
        <f>IF(表紙!H4="","",表紙!H4)</f>
        <v>05_ミックスマッチ設定</v>
      </c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5"/>
      <c r="U4" s="42" t="s">
        <v>8</v>
      </c>
      <c r="V4" s="43"/>
      <c r="W4" s="43"/>
      <c r="X4" s="43"/>
      <c r="Y4" s="44"/>
      <c r="Z4" s="63" t="str">
        <f>IF(表紙!Z4="","",表紙!Z4)</f>
        <v>画面設計書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5"/>
      <c r="AP4" s="63" t="str">
        <f t="array" aca="1" ref="AP4" ca="1">RIGHT(CELL("filename",$A$1),LEN(CELL("filename",$A$1))-FIND("]",CELL("filename",$A$1)))</f>
        <v>改訂履歴</v>
      </c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01" t="s">
        <v>6</v>
      </c>
      <c r="C10" s="101"/>
      <c r="D10" s="101"/>
      <c r="E10" s="101"/>
      <c r="F10" s="101"/>
      <c r="G10" s="101"/>
      <c r="H10" s="101" t="s">
        <v>5</v>
      </c>
      <c r="I10" s="101"/>
      <c r="J10" s="101"/>
      <c r="K10" s="101"/>
      <c r="L10" s="101"/>
      <c r="M10" s="101"/>
      <c r="N10" s="101"/>
      <c r="O10" s="101" t="s">
        <v>7</v>
      </c>
      <c r="P10" s="101"/>
      <c r="Q10" s="101"/>
      <c r="R10" s="101"/>
      <c r="S10" s="101" t="s">
        <v>10</v>
      </c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 t="s">
        <v>11</v>
      </c>
      <c r="AY10" s="101"/>
      <c r="AZ10" s="101"/>
      <c r="BA10" s="101"/>
      <c r="BB10" s="101"/>
      <c r="BC10" s="101"/>
      <c r="BD10" s="101" t="s">
        <v>12</v>
      </c>
      <c r="BE10" s="101"/>
      <c r="BF10" s="101"/>
      <c r="BG10" s="101"/>
      <c r="BH10" s="101"/>
      <c r="BI10" s="101"/>
      <c r="BJ10" s="101"/>
      <c r="BK10" s="4"/>
    </row>
    <row r="11" spans="1:63" ht="15" customHeight="1" x14ac:dyDescent="0.25">
      <c r="A11" s="1"/>
      <c r="B11" s="73">
        <v>45581</v>
      </c>
      <c r="C11" s="46"/>
      <c r="D11" s="46"/>
      <c r="E11" s="46"/>
      <c r="F11" s="46"/>
      <c r="G11" s="47"/>
      <c r="H11" s="51" t="s">
        <v>264</v>
      </c>
      <c r="I11" s="46"/>
      <c r="J11" s="46"/>
      <c r="K11" s="46"/>
      <c r="L11" s="46"/>
      <c r="M11" s="46"/>
      <c r="N11" s="47"/>
      <c r="O11" s="45">
        <v>0.1</v>
      </c>
      <c r="P11" s="46"/>
      <c r="Q11" s="46"/>
      <c r="R11" s="46"/>
      <c r="S11" s="89" t="s">
        <v>14</v>
      </c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1"/>
      <c r="AX11" s="92"/>
      <c r="AY11" s="92"/>
      <c r="AZ11" s="92"/>
      <c r="BA11" s="92"/>
      <c r="BB11" s="92"/>
      <c r="BC11" s="93"/>
      <c r="BD11" s="96"/>
      <c r="BE11" s="92"/>
      <c r="BF11" s="92"/>
      <c r="BG11" s="92"/>
      <c r="BH11" s="92"/>
      <c r="BI11" s="92"/>
      <c r="BJ11" s="93"/>
      <c r="BK11" s="4"/>
    </row>
    <row r="12" spans="1:63" ht="15" customHeight="1" x14ac:dyDescent="0.25">
      <c r="A12" s="1"/>
      <c r="B12" s="48"/>
      <c r="C12" s="49"/>
      <c r="D12" s="49"/>
      <c r="E12" s="49"/>
      <c r="F12" s="49"/>
      <c r="G12" s="50"/>
      <c r="H12" s="48"/>
      <c r="I12" s="49"/>
      <c r="J12" s="49"/>
      <c r="K12" s="49"/>
      <c r="L12" s="49"/>
      <c r="M12" s="49"/>
      <c r="N12" s="50"/>
      <c r="O12" s="48"/>
      <c r="P12" s="49"/>
      <c r="Q12" s="49"/>
      <c r="R12" s="49"/>
      <c r="S12" s="98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100"/>
      <c r="AX12" s="94"/>
      <c r="AY12" s="94"/>
      <c r="AZ12" s="94"/>
      <c r="BA12" s="94"/>
      <c r="BB12" s="94"/>
      <c r="BC12" s="95"/>
      <c r="BD12" s="97"/>
      <c r="BE12" s="94"/>
      <c r="BF12" s="94"/>
      <c r="BG12" s="94"/>
      <c r="BH12" s="94"/>
      <c r="BI12" s="94"/>
      <c r="BJ12" s="95"/>
      <c r="BK12" s="4"/>
    </row>
    <row r="13" spans="1:63" ht="15" customHeight="1" x14ac:dyDescent="0.25">
      <c r="A13" s="1"/>
      <c r="B13" s="73">
        <v>45601</v>
      </c>
      <c r="C13" s="46"/>
      <c r="D13" s="46"/>
      <c r="E13" s="46"/>
      <c r="F13" s="46"/>
      <c r="G13" s="47"/>
      <c r="H13" s="45" t="s">
        <v>264</v>
      </c>
      <c r="I13" s="46"/>
      <c r="J13" s="46"/>
      <c r="K13" s="46"/>
      <c r="L13" s="46"/>
      <c r="M13" s="46"/>
      <c r="N13" s="47"/>
      <c r="O13" s="45">
        <v>0.11</v>
      </c>
      <c r="P13" s="46"/>
      <c r="Q13" s="46"/>
      <c r="R13" s="46"/>
      <c r="S13" s="89" t="s">
        <v>243</v>
      </c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1"/>
      <c r="AX13" s="92"/>
      <c r="AY13" s="92"/>
      <c r="AZ13" s="92"/>
      <c r="BA13" s="92"/>
      <c r="BB13" s="92"/>
      <c r="BC13" s="93"/>
      <c r="BD13" s="96"/>
      <c r="BE13" s="92"/>
      <c r="BF13" s="92"/>
      <c r="BG13" s="92"/>
      <c r="BH13" s="92"/>
      <c r="BI13" s="92"/>
      <c r="BJ13" s="93"/>
      <c r="BK13" s="4"/>
    </row>
    <row r="14" spans="1:63" ht="15" customHeight="1" x14ac:dyDescent="0.25">
      <c r="A14" s="1"/>
      <c r="B14" s="48"/>
      <c r="C14" s="49"/>
      <c r="D14" s="49"/>
      <c r="E14" s="49"/>
      <c r="F14" s="49"/>
      <c r="G14" s="50"/>
      <c r="H14" s="48"/>
      <c r="I14" s="49"/>
      <c r="J14" s="49"/>
      <c r="K14" s="49"/>
      <c r="L14" s="49"/>
      <c r="M14" s="49"/>
      <c r="N14" s="50"/>
      <c r="O14" s="48"/>
      <c r="P14" s="49"/>
      <c r="Q14" s="49"/>
      <c r="R14" s="49"/>
      <c r="S14" s="98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100"/>
      <c r="AX14" s="94"/>
      <c r="AY14" s="94"/>
      <c r="AZ14" s="94"/>
      <c r="BA14" s="94"/>
      <c r="BB14" s="94"/>
      <c r="BC14" s="95"/>
      <c r="BD14" s="97"/>
      <c r="BE14" s="94"/>
      <c r="BF14" s="94"/>
      <c r="BG14" s="94"/>
      <c r="BH14" s="94"/>
      <c r="BI14" s="94"/>
      <c r="BJ14" s="95"/>
      <c r="BK14" s="4"/>
    </row>
    <row r="15" spans="1:63" ht="15" customHeight="1" x14ac:dyDescent="0.25">
      <c r="A15" s="1"/>
      <c r="B15" s="102">
        <v>45608</v>
      </c>
      <c r="C15" s="103"/>
      <c r="D15" s="103"/>
      <c r="E15" s="103"/>
      <c r="F15" s="103"/>
      <c r="G15" s="104"/>
      <c r="H15" s="108" t="s">
        <v>51</v>
      </c>
      <c r="I15" s="103"/>
      <c r="J15" s="103"/>
      <c r="K15" s="103"/>
      <c r="L15" s="103"/>
      <c r="M15" s="103"/>
      <c r="N15" s="104"/>
      <c r="O15" s="108">
        <v>0.12</v>
      </c>
      <c r="P15" s="103"/>
      <c r="Q15" s="103"/>
      <c r="R15" s="103"/>
      <c r="S15" s="109" t="s">
        <v>252</v>
      </c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1"/>
      <c r="AX15" s="92"/>
      <c r="AY15" s="92"/>
      <c r="AZ15" s="92"/>
      <c r="BA15" s="92"/>
      <c r="BB15" s="92"/>
      <c r="BC15" s="93"/>
      <c r="BD15" s="96"/>
      <c r="BE15" s="92"/>
      <c r="BF15" s="92"/>
      <c r="BG15" s="92"/>
      <c r="BH15" s="92"/>
      <c r="BI15" s="92"/>
      <c r="BJ15" s="93"/>
      <c r="BK15" s="4"/>
    </row>
    <row r="16" spans="1:63" ht="15" customHeight="1" x14ac:dyDescent="0.25">
      <c r="A16" s="1"/>
      <c r="B16" s="105"/>
      <c r="C16" s="106"/>
      <c r="D16" s="106"/>
      <c r="E16" s="106"/>
      <c r="F16" s="106"/>
      <c r="G16" s="107"/>
      <c r="H16" s="105"/>
      <c r="I16" s="106"/>
      <c r="J16" s="106"/>
      <c r="K16" s="106"/>
      <c r="L16" s="106"/>
      <c r="M16" s="106"/>
      <c r="N16" s="107"/>
      <c r="O16" s="105"/>
      <c r="P16" s="106"/>
      <c r="Q16" s="106"/>
      <c r="R16" s="106"/>
      <c r="S16" s="112" t="s">
        <v>249</v>
      </c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4"/>
      <c r="AX16" s="94"/>
      <c r="AY16" s="94"/>
      <c r="AZ16" s="94"/>
      <c r="BA16" s="94"/>
      <c r="BB16" s="94"/>
      <c r="BC16" s="95"/>
      <c r="BD16" s="97"/>
      <c r="BE16" s="94"/>
      <c r="BF16" s="94"/>
      <c r="BG16" s="94"/>
      <c r="BH16" s="94"/>
      <c r="BI16" s="94"/>
      <c r="BJ16" s="95"/>
      <c r="BK16" s="4"/>
    </row>
    <row r="17" spans="1:63" ht="15" customHeight="1" x14ac:dyDescent="0.25">
      <c r="A17" s="1"/>
      <c r="B17" s="391">
        <v>45649</v>
      </c>
      <c r="C17" s="392"/>
      <c r="D17" s="392"/>
      <c r="E17" s="392"/>
      <c r="F17" s="392"/>
      <c r="G17" s="393"/>
      <c r="H17" s="394" t="s">
        <v>307</v>
      </c>
      <c r="I17" s="392"/>
      <c r="J17" s="392"/>
      <c r="K17" s="392"/>
      <c r="L17" s="392"/>
      <c r="M17" s="392"/>
      <c r="N17" s="393"/>
      <c r="O17" s="394">
        <v>0.13</v>
      </c>
      <c r="P17" s="392"/>
      <c r="Q17" s="392"/>
      <c r="R17" s="392"/>
      <c r="S17" s="395" t="s">
        <v>308</v>
      </c>
      <c r="T17" s="396"/>
      <c r="U17" s="396"/>
      <c r="V17" s="396"/>
      <c r="W17" s="396"/>
      <c r="X17" s="396"/>
      <c r="Y17" s="396"/>
      <c r="Z17" s="396"/>
      <c r="AA17" s="396"/>
      <c r="AB17" s="396"/>
      <c r="AC17" s="396"/>
      <c r="AD17" s="396"/>
      <c r="AE17" s="396"/>
      <c r="AF17" s="396"/>
      <c r="AG17" s="396"/>
      <c r="AH17" s="396"/>
      <c r="AI17" s="396"/>
      <c r="AJ17" s="396"/>
      <c r="AK17" s="396"/>
      <c r="AL17" s="396"/>
      <c r="AM17" s="396"/>
      <c r="AN17" s="396"/>
      <c r="AO17" s="396"/>
      <c r="AP17" s="396"/>
      <c r="AQ17" s="396"/>
      <c r="AR17" s="396"/>
      <c r="AS17" s="396"/>
      <c r="AT17" s="396"/>
      <c r="AU17" s="396"/>
      <c r="AV17" s="396"/>
      <c r="AW17" s="397"/>
      <c r="AX17" s="92"/>
      <c r="AY17" s="92"/>
      <c r="AZ17" s="92"/>
      <c r="BA17" s="92"/>
      <c r="BB17" s="92"/>
      <c r="BC17" s="93"/>
      <c r="BD17" s="96"/>
      <c r="BE17" s="92"/>
      <c r="BF17" s="92"/>
      <c r="BG17" s="92"/>
      <c r="BH17" s="92"/>
      <c r="BI17" s="92"/>
      <c r="BJ17" s="93"/>
      <c r="BK17" s="4"/>
    </row>
    <row r="18" spans="1:63" ht="15" customHeight="1" x14ac:dyDescent="0.25">
      <c r="A18" s="1"/>
      <c r="B18" s="398"/>
      <c r="C18" s="399"/>
      <c r="D18" s="399"/>
      <c r="E18" s="399"/>
      <c r="F18" s="399"/>
      <c r="G18" s="400"/>
      <c r="H18" s="398"/>
      <c r="I18" s="399"/>
      <c r="J18" s="399"/>
      <c r="K18" s="399"/>
      <c r="L18" s="399"/>
      <c r="M18" s="399"/>
      <c r="N18" s="400"/>
      <c r="O18" s="398"/>
      <c r="P18" s="399"/>
      <c r="Q18" s="399"/>
      <c r="R18" s="399"/>
      <c r="S18" s="401" t="s">
        <v>309</v>
      </c>
      <c r="T18" s="402"/>
      <c r="U18" s="402"/>
      <c r="V18" s="402"/>
      <c r="W18" s="402"/>
      <c r="X18" s="402"/>
      <c r="Y18" s="402"/>
      <c r="Z18" s="402"/>
      <c r="AA18" s="402"/>
      <c r="AB18" s="402"/>
      <c r="AC18" s="402"/>
      <c r="AD18" s="402"/>
      <c r="AE18" s="402"/>
      <c r="AF18" s="402"/>
      <c r="AG18" s="402"/>
      <c r="AH18" s="402"/>
      <c r="AI18" s="402"/>
      <c r="AJ18" s="402"/>
      <c r="AK18" s="402"/>
      <c r="AL18" s="402"/>
      <c r="AM18" s="402"/>
      <c r="AN18" s="402"/>
      <c r="AO18" s="402"/>
      <c r="AP18" s="402"/>
      <c r="AQ18" s="402"/>
      <c r="AR18" s="402"/>
      <c r="AS18" s="402"/>
      <c r="AT18" s="402"/>
      <c r="AU18" s="402"/>
      <c r="AV18" s="402"/>
      <c r="AW18" s="403"/>
      <c r="AX18" s="94"/>
      <c r="AY18" s="94"/>
      <c r="AZ18" s="94"/>
      <c r="BA18" s="94"/>
      <c r="BB18" s="94"/>
      <c r="BC18" s="95"/>
      <c r="BD18" s="97"/>
      <c r="BE18" s="94"/>
      <c r="BF18" s="94"/>
      <c r="BG18" s="94"/>
      <c r="BH18" s="94"/>
      <c r="BI18" s="94"/>
      <c r="BJ18" s="95"/>
      <c r="BK18" s="4"/>
    </row>
    <row r="19" spans="1:63" ht="15" customHeight="1" x14ac:dyDescent="0.25">
      <c r="A19" s="1"/>
      <c r="B19" s="45"/>
      <c r="C19" s="46"/>
      <c r="D19" s="46"/>
      <c r="E19" s="46"/>
      <c r="F19" s="46"/>
      <c r="G19" s="47"/>
      <c r="H19" s="45"/>
      <c r="I19" s="46"/>
      <c r="J19" s="46"/>
      <c r="K19" s="46"/>
      <c r="L19" s="46"/>
      <c r="M19" s="46"/>
      <c r="N19" s="47"/>
      <c r="O19" s="45"/>
      <c r="P19" s="46"/>
      <c r="Q19" s="46"/>
      <c r="R19" s="46"/>
      <c r="S19" s="89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1"/>
      <c r="AX19" s="92"/>
      <c r="AY19" s="92"/>
      <c r="AZ19" s="92"/>
      <c r="BA19" s="92"/>
      <c r="BB19" s="92"/>
      <c r="BC19" s="93"/>
      <c r="BD19" s="96"/>
      <c r="BE19" s="92"/>
      <c r="BF19" s="92"/>
      <c r="BG19" s="92"/>
      <c r="BH19" s="92"/>
      <c r="BI19" s="92"/>
      <c r="BJ19" s="93"/>
      <c r="BK19" s="4"/>
    </row>
    <row r="20" spans="1:63" ht="15" customHeight="1" x14ac:dyDescent="0.25">
      <c r="A20" s="1"/>
      <c r="B20" s="48"/>
      <c r="C20" s="49"/>
      <c r="D20" s="49"/>
      <c r="E20" s="49"/>
      <c r="F20" s="49"/>
      <c r="G20" s="50"/>
      <c r="H20" s="48"/>
      <c r="I20" s="49"/>
      <c r="J20" s="49"/>
      <c r="K20" s="49"/>
      <c r="L20" s="49"/>
      <c r="M20" s="49"/>
      <c r="N20" s="50"/>
      <c r="O20" s="48"/>
      <c r="P20" s="49"/>
      <c r="Q20" s="49"/>
      <c r="R20" s="49"/>
      <c r="S20" s="98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100"/>
      <c r="AX20" s="94"/>
      <c r="AY20" s="94"/>
      <c r="AZ20" s="94"/>
      <c r="BA20" s="94"/>
      <c r="BB20" s="94"/>
      <c r="BC20" s="95"/>
      <c r="BD20" s="97"/>
      <c r="BE20" s="94"/>
      <c r="BF20" s="94"/>
      <c r="BG20" s="94"/>
      <c r="BH20" s="94"/>
      <c r="BI20" s="94"/>
      <c r="BJ20" s="95"/>
      <c r="BK20" s="4"/>
    </row>
    <row r="21" spans="1:63" ht="15" customHeight="1" x14ac:dyDescent="0.25">
      <c r="A21" s="1"/>
      <c r="B21" s="45"/>
      <c r="C21" s="46"/>
      <c r="D21" s="46"/>
      <c r="E21" s="46"/>
      <c r="F21" s="46"/>
      <c r="G21" s="47"/>
      <c r="H21" s="45"/>
      <c r="I21" s="46"/>
      <c r="J21" s="46"/>
      <c r="K21" s="46"/>
      <c r="L21" s="46"/>
      <c r="M21" s="46"/>
      <c r="N21" s="47"/>
      <c r="O21" s="45"/>
      <c r="P21" s="46"/>
      <c r="Q21" s="46"/>
      <c r="R21" s="46"/>
      <c r="S21" s="89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1"/>
      <c r="AX21" s="92"/>
      <c r="AY21" s="92"/>
      <c r="AZ21" s="92"/>
      <c r="BA21" s="92"/>
      <c r="BB21" s="92"/>
      <c r="BC21" s="93"/>
      <c r="BD21" s="96"/>
      <c r="BE21" s="92"/>
      <c r="BF21" s="92"/>
      <c r="BG21" s="92"/>
      <c r="BH21" s="92"/>
      <c r="BI21" s="92"/>
      <c r="BJ21" s="93"/>
      <c r="BK21" s="4"/>
    </row>
    <row r="22" spans="1:63" ht="15" customHeight="1" x14ac:dyDescent="0.25">
      <c r="A22" s="1"/>
      <c r="B22" s="48"/>
      <c r="C22" s="49"/>
      <c r="D22" s="49"/>
      <c r="E22" s="49"/>
      <c r="F22" s="49"/>
      <c r="G22" s="50"/>
      <c r="H22" s="48"/>
      <c r="I22" s="49"/>
      <c r="J22" s="49"/>
      <c r="K22" s="49"/>
      <c r="L22" s="49"/>
      <c r="M22" s="49"/>
      <c r="N22" s="50"/>
      <c r="O22" s="48"/>
      <c r="P22" s="49"/>
      <c r="Q22" s="49"/>
      <c r="R22" s="49"/>
      <c r="S22" s="98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100"/>
      <c r="AX22" s="94"/>
      <c r="AY22" s="94"/>
      <c r="AZ22" s="94"/>
      <c r="BA22" s="94"/>
      <c r="BB22" s="94"/>
      <c r="BC22" s="95"/>
      <c r="BD22" s="97"/>
      <c r="BE22" s="94"/>
      <c r="BF22" s="94"/>
      <c r="BG22" s="94"/>
      <c r="BH22" s="94"/>
      <c r="BI22" s="94"/>
      <c r="BJ22" s="95"/>
      <c r="BK22" s="4"/>
    </row>
    <row r="23" spans="1:63" ht="15" customHeight="1" x14ac:dyDescent="0.25">
      <c r="A23" s="1"/>
      <c r="B23" s="45"/>
      <c r="C23" s="46"/>
      <c r="D23" s="46"/>
      <c r="E23" s="46"/>
      <c r="F23" s="46"/>
      <c r="G23" s="47"/>
      <c r="H23" s="45"/>
      <c r="I23" s="46"/>
      <c r="J23" s="46"/>
      <c r="K23" s="46"/>
      <c r="L23" s="46"/>
      <c r="M23" s="46"/>
      <c r="N23" s="47"/>
      <c r="O23" s="45"/>
      <c r="P23" s="46"/>
      <c r="Q23" s="46"/>
      <c r="R23" s="46"/>
      <c r="S23" s="89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1"/>
      <c r="AX23" s="92"/>
      <c r="AY23" s="92"/>
      <c r="AZ23" s="92"/>
      <c r="BA23" s="92"/>
      <c r="BB23" s="92"/>
      <c r="BC23" s="93"/>
      <c r="BD23" s="96"/>
      <c r="BE23" s="92"/>
      <c r="BF23" s="92"/>
      <c r="BG23" s="92"/>
      <c r="BH23" s="92"/>
      <c r="BI23" s="92"/>
      <c r="BJ23" s="93"/>
      <c r="BK23" s="4"/>
    </row>
    <row r="24" spans="1:63" ht="15" customHeight="1" x14ac:dyDescent="0.25">
      <c r="A24" s="1"/>
      <c r="B24" s="48"/>
      <c r="C24" s="49"/>
      <c r="D24" s="49"/>
      <c r="E24" s="49"/>
      <c r="F24" s="49"/>
      <c r="G24" s="50"/>
      <c r="H24" s="48"/>
      <c r="I24" s="49"/>
      <c r="J24" s="49"/>
      <c r="K24" s="49"/>
      <c r="L24" s="49"/>
      <c r="M24" s="49"/>
      <c r="N24" s="50"/>
      <c r="O24" s="48"/>
      <c r="P24" s="49"/>
      <c r="Q24" s="49"/>
      <c r="R24" s="49"/>
      <c r="S24" s="98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100"/>
      <c r="AX24" s="94"/>
      <c r="AY24" s="94"/>
      <c r="AZ24" s="94"/>
      <c r="BA24" s="94"/>
      <c r="BB24" s="94"/>
      <c r="BC24" s="95"/>
      <c r="BD24" s="97"/>
      <c r="BE24" s="94"/>
      <c r="BF24" s="94"/>
      <c r="BG24" s="94"/>
      <c r="BH24" s="94"/>
      <c r="BI24" s="94"/>
      <c r="BJ24" s="95"/>
      <c r="BK24" s="4"/>
    </row>
    <row r="25" spans="1:63" ht="15" customHeight="1" x14ac:dyDescent="0.25">
      <c r="A25" s="1"/>
      <c r="B25" s="45"/>
      <c r="C25" s="46"/>
      <c r="D25" s="46"/>
      <c r="E25" s="46"/>
      <c r="F25" s="46"/>
      <c r="G25" s="47"/>
      <c r="H25" s="45"/>
      <c r="I25" s="46"/>
      <c r="J25" s="46"/>
      <c r="K25" s="46"/>
      <c r="L25" s="46"/>
      <c r="M25" s="46"/>
      <c r="N25" s="47"/>
      <c r="O25" s="45"/>
      <c r="P25" s="46"/>
      <c r="Q25" s="46"/>
      <c r="R25" s="46"/>
      <c r="S25" s="89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1"/>
      <c r="AX25" s="92"/>
      <c r="AY25" s="92"/>
      <c r="AZ25" s="92"/>
      <c r="BA25" s="92"/>
      <c r="BB25" s="92"/>
      <c r="BC25" s="93"/>
      <c r="BD25" s="96"/>
      <c r="BE25" s="92"/>
      <c r="BF25" s="92"/>
      <c r="BG25" s="92"/>
      <c r="BH25" s="92"/>
      <c r="BI25" s="92"/>
      <c r="BJ25" s="93"/>
      <c r="BK25" s="4"/>
    </row>
    <row r="26" spans="1:63" ht="15" customHeight="1" x14ac:dyDescent="0.25">
      <c r="A26" s="1"/>
      <c r="B26" s="48"/>
      <c r="C26" s="49"/>
      <c r="D26" s="49"/>
      <c r="E26" s="49"/>
      <c r="F26" s="49"/>
      <c r="G26" s="50"/>
      <c r="H26" s="48"/>
      <c r="I26" s="49"/>
      <c r="J26" s="49"/>
      <c r="K26" s="49"/>
      <c r="L26" s="49"/>
      <c r="M26" s="49"/>
      <c r="N26" s="50"/>
      <c r="O26" s="48"/>
      <c r="P26" s="49"/>
      <c r="Q26" s="49"/>
      <c r="R26" s="49"/>
      <c r="S26" s="98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100"/>
      <c r="AX26" s="94"/>
      <c r="AY26" s="94"/>
      <c r="AZ26" s="94"/>
      <c r="BA26" s="94"/>
      <c r="BB26" s="94"/>
      <c r="BC26" s="95"/>
      <c r="BD26" s="97"/>
      <c r="BE26" s="94"/>
      <c r="BF26" s="94"/>
      <c r="BG26" s="94"/>
      <c r="BH26" s="94"/>
      <c r="BI26" s="94"/>
      <c r="BJ26" s="95"/>
      <c r="BK26" s="4"/>
    </row>
    <row r="27" spans="1:63" ht="15" customHeight="1" x14ac:dyDescent="0.25">
      <c r="A27" s="1"/>
      <c r="B27" s="45"/>
      <c r="C27" s="46"/>
      <c r="D27" s="46"/>
      <c r="E27" s="46"/>
      <c r="F27" s="46"/>
      <c r="G27" s="47"/>
      <c r="H27" s="45"/>
      <c r="I27" s="46"/>
      <c r="J27" s="46"/>
      <c r="K27" s="46"/>
      <c r="L27" s="46"/>
      <c r="M27" s="46"/>
      <c r="N27" s="47"/>
      <c r="O27" s="45"/>
      <c r="P27" s="46"/>
      <c r="Q27" s="46"/>
      <c r="R27" s="46"/>
      <c r="S27" s="89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1"/>
      <c r="AX27" s="92"/>
      <c r="AY27" s="92"/>
      <c r="AZ27" s="92"/>
      <c r="BA27" s="92"/>
      <c r="BB27" s="92"/>
      <c r="BC27" s="93"/>
      <c r="BD27" s="96"/>
      <c r="BE27" s="92"/>
      <c r="BF27" s="92"/>
      <c r="BG27" s="92"/>
      <c r="BH27" s="92"/>
      <c r="BI27" s="92"/>
      <c r="BJ27" s="93"/>
      <c r="BK27" s="4"/>
    </row>
    <row r="28" spans="1:63" ht="15" customHeight="1" x14ac:dyDescent="0.25">
      <c r="A28" s="1"/>
      <c r="B28" s="48"/>
      <c r="C28" s="49"/>
      <c r="D28" s="49"/>
      <c r="E28" s="49"/>
      <c r="F28" s="49"/>
      <c r="G28" s="50"/>
      <c r="H28" s="48"/>
      <c r="I28" s="49"/>
      <c r="J28" s="49"/>
      <c r="K28" s="49"/>
      <c r="L28" s="49"/>
      <c r="M28" s="49"/>
      <c r="N28" s="50"/>
      <c r="O28" s="48"/>
      <c r="P28" s="49"/>
      <c r="Q28" s="49"/>
      <c r="R28" s="49"/>
      <c r="S28" s="98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100"/>
      <c r="AX28" s="94"/>
      <c r="AY28" s="94"/>
      <c r="AZ28" s="94"/>
      <c r="BA28" s="94"/>
      <c r="BB28" s="94"/>
      <c r="BC28" s="95"/>
      <c r="BD28" s="97"/>
      <c r="BE28" s="94"/>
      <c r="BF28" s="94"/>
      <c r="BG28" s="94"/>
      <c r="BH28" s="94"/>
      <c r="BI28" s="94"/>
      <c r="BJ28" s="95"/>
      <c r="BK28" s="4"/>
    </row>
    <row r="29" spans="1:63" ht="15" customHeight="1" x14ac:dyDescent="0.25">
      <c r="A29" s="1"/>
      <c r="B29" s="45"/>
      <c r="C29" s="46"/>
      <c r="D29" s="46"/>
      <c r="E29" s="46"/>
      <c r="F29" s="46"/>
      <c r="G29" s="47"/>
      <c r="H29" s="45"/>
      <c r="I29" s="46"/>
      <c r="J29" s="46"/>
      <c r="K29" s="46"/>
      <c r="L29" s="46"/>
      <c r="M29" s="46"/>
      <c r="N29" s="47"/>
      <c r="O29" s="45"/>
      <c r="P29" s="46"/>
      <c r="Q29" s="46"/>
      <c r="R29" s="46"/>
      <c r="S29" s="89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1"/>
      <c r="AX29" s="92"/>
      <c r="AY29" s="92"/>
      <c r="AZ29" s="92"/>
      <c r="BA29" s="92"/>
      <c r="BB29" s="92"/>
      <c r="BC29" s="93"/>
      <c r="BD29" s="96"/>
      <c r="BE29" s="92"/>
      <c r="BF29" s="92"/>
      <c r="BG29" s="92"/>
      <c r="BH29" s="92"/>
      <c r="BI29" s="92"/>
      <c r="BJ29" s="93"/>
      <c r="BK29" s="4"/>
    </row>
    <row r="30" spans="1:63" ht="15" customHeight="1" x14ac:dyDescent="0.25">
      <c r="A30" s="1"/>
      <c r="B30" s="48"/>
      <c r="C30" s="49"/>
      <c r="D30" s="49"/>
      <c r="E30" s="49"/>
      <c r="F30" s="49"/>
      <c r="G30" s="50"/>
      <c r="H30" s="48"/>
      <c r="I30" s="49"/>
      <c r="J30" s="49"/>
      <c r="K30" s="49"/>
      <c r="L30" s="49"/>
      <c r="M30" s="49"/>
      <c r="N30" s="50"/>
      <c r="O30" s="48"/>
      <c r="P30" s="49"/>
      <c r="Q30" s="49"/>
      <c r="R30" s="49"/>
      <c r="S30" s="98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100"/>
      <c r="AX30" s="94"/>
      <c r="AY30" s="94"/>
      <c r="AZ30" s="94"/>
      <c r="BA30" s="94"/>
      <c r="BB30" s="94"/>
      <c r="BC30" s="95"/>
      <c r="BD30" s="97"/>
      <c r="BE30" s="94"/>
      <c r="BF30" s="94"/>
      <c r="BG30" s="94"/>
      <c r="BH30" s="94"/>
      <c r="BI30" s="94"/>
      <c r="BJ30" s="95"/>
      <c r="BK30" s="4"/>
    </row>
    <row r="31" spans="1:63" ht="15" customHeight="1" x14ac:dyDescent="0.25">
      <c r="A31" s="1"/>
      <c r="B31" s="45"/>
      <c r="C31" s="46"/>
      <c r="D31" s="46"/>
      <c r="E31" s="46"/>
      <c r="F31" s="46"/>
      <c r="G31" s="47"/>
      <c r="H31" s="45"/>
      <c r="I31" s="46"/>
      <c r="J31" s="46"/>
      <c r="K31" s="46"/>
      <c r="L31" s="46"/>
      <c r="M31" s="46"/>
      <c r="N31" s="47"/>
      <c r="O31" s="45"/>
      <c r="P31" s="46"/>
      <c r="Q31" s="46"/>
      <c r="R31" s="46"/>
      <c r="S31" s="89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1"/>
      <c r="AX31" s="92"/>
      <c r="AY31" s="92"/>
      <c r="AZ31" s="92"/>
      <c r="BA31" s="92"/>
      <c r="BB31" s="92"/>
      <c r="BC31" s="93"/>
      <c r="BD31" s="96"/>
      <c r="BE31" s="92"/>
      <c r="BF31" s="92"/>
      <c r="BG31" s="92"/>
      <c r="BH31" s="92"/>
      <c r="BI31" s="92"/>
      <c r="BJ31" s="93"/>
      <c r="BK31" s="4"/>
    </row>
    <row r="32" spans="1:63" ht="15" customHeight="1" x14ac:dyDescent="0.25">
      <c r="A32" s="1"/>
      <c r="B32" s="48"/>
      <c r="C32" s="49"/>
      <c r="D32" s="49"/>
      <c r="E32" s="49"/>
      <c r="F32" s="49"/>
      <c r="G32" s="50"/>
      <c r="H32" s="48"/>
      <c r="I32" s="49"/>
      <c r="J32" s="49"/>
      <c r="K32" s="49"/>
      <c r="L32" s="49"/>
      <c r="M32" s="49"/>
      <c r="N32" s="50"/>
      <c r="O32" s="48"/>
      <c r="P32" s="49"/>
      <c r="Q32" s="49"/>
      <c r="R32" s="49"/>
      <c r="S32" s="98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100"/>
      <c r="AX32" s="94"/>
      <c r="AY32" s="94"/>
      <c r="AZ32" s="94"/>
      <c r="BA32" s="94"/>
      <c r="BB32" s="94"/>
      <c r="BC32" s="95"/>
      <c r="BD32" s="97"/>
      <c r="BE32" s="94"/>
      <c r="BF32" s="94"/>
      <c r="BG32" s="94"/>
      <c r="BH32" s="94"/>
      <c r="BI32" s="94"/>
      <c r="BJ32" s="95"/>
      <c r="BK32" s="4"/>
    </row>
    <row r="33" spans="1:63" ht="15" customHeight="1" x14ac:dyDescent="0.25">
      <c r="A33" s="1"/>
      <c r="B33" s="45"/>
      <c r="C33" s="46"/>
      <c r="D33" s="46"/>
      <c r="E33" s="46"/>
      <c r="F33" s="46"/>
      <c r="G33" s="47"/>
      <c r="H33" s="45"/>
      <c r="I33" s="46"/>
      <c r="J33" s="46"/>
      <c r="K33" s="46"/>
      <c r="L33" s="46"/>
      <c r="M33" s="46"/>
      <c r="N33" s="47"/>
      <c r="O33" s="45"/>
      <c r="P33" s="46"/>
      <c r="Q33" s="46"/>
      <c r="R33" s="46"/>
      <c r="S33" s="89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1"/>
      <c r="AX33" s="92"/>
      <c r="AY33" s="92"/>
      <c r="AZ33" s="92"/>
      <c r="BA33" s="92"/>
      <c r="BB33" s="92"/>
      <c r="BC33" s="93"/>
      <c r="BD33" s="96"/>
      <c r="BE33" s="92"/>
      <c r="BF33" s="92"/>
      <c r="BG33" s="92"/>
      <c r="BH33" s="92"/>
      <c r="BI33" s="92"/>
      <c r="BJ33" s="93"/>
      <c r="BK33" s="4"/>
    </row>
    <row r="34" spans="1:63" ht="15" customHeight="1" x14ac:dyDescent="0.25">
      <c r="A34" s="1"/>
      <c r="B34" s="48"/>
      <c r="C34" s="49"/>
      <c r="D34" s="49"/>
      <c r="E34" s="49"/>
      <c r="F34" s="49"/>
      <c r="G34" s="50"/>
      <c r="H34" s="48"/>
      <c r="I34" s="49"/>
      <c r="J34" s="49"/>
      <c r="K34" s="49"/>
      <c r="L34" s="49"/>
      <c r="M34" s="49"/>
      <c r="N34" s="50"/>
      <c r="O34" s="48"/>
      <c r="P34" s="49"/>
      <c r="Q34" s="49"/>
      <c r="R34" s="49"/>
      <c r="S34" s="98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100"/>
      <c r="AX34" s="94"/>
      <c r="AY34" s="94"/>
      <c r="AZ34" s="94"/>
      <c r="BA34" s="94"/>
      <c r="BB34" s="94"/>
      <c r="BC34" s="95"/>
      <c r="BD34" s="97"/>
      <c r="BE34" s="94"/>
      <c r="BF34" s="94"/>
      <c r="BG34" s="94"/>
      <c r="BH34" s="94"/>
      <c r="BI34" s="94"/>
      <c r="BJ34" s="95"/>
      <c r="BK34" s="4"/>
    </row>
    <row r="35" spans="1:63" ht="15" customHeight="1" x14ac:dyDescent="0.25">
      <c r="A35" s="1"/>
      <c r="B35" s="45"/>
      <c r="C35" s="46"/>
      <c r="D35" s="46"/>
      <c r="E35" s="46"/>
      <c r="F35" s="46"/>
      <c r="G35" s="47"/>
      <c r="H35" s="45"/>
      <c r="I35" s="46"/>
      <c r="J35" s="46"/>
      <c r="K35" s="46"/>
      <c r="L35" s="46"/>
      <c r="M35" s="46"/>
      <c r="N35" s="47"/>
      <c r="O35" s="45"/>
      <c r="P35" s="46"/>
      <c r="Q35" s="46"/>
      <c r="R35" s="46"/>
      <c r="S35" s="89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1"/>
      <c r="AX35" s="92"/>
      <c r="AY35" s="92"/>
      <c r="AZ35" s="92"/>
      <c r="BA35" s="92"/>
      <c r="BB35" s="92"/>
      <c r="BC35" s="93"/>
      <c r="BD35" s="96"/>
      <c r="BE35" s="92"/>
      <c r="BF35" s="92"/>
      <c r="BG35" s="92"/>
      <c r="BH35" s="92"/>
      <c r="BI35" s="92"/>
      <c r="BJ35" s="93"/>
      <c r="BK35" s="4"/>
    </row>
    <row r="36" spans="1:63" ht="15" customHeight="1" x14ac:dyDescent="0.25">
      <c r="A36" s="1"/>
      <c r="B36" s="48"/>
      <c r="C36" s="49"/>
      <c r="D36" s="49"/>
      <c r="E36" s="49"/>
      <c r="F36" s="49"/>
      <c r="G36" s="50"/>
      <c r="H36" s="48"/>
      <c r="I36" s="49"/>
      <c r="J36" s="49"/>
      <c r="K36" s="49"/>
      <c r="L36" s="49"/>
      <c r="M36" s="49"/>
      <c r="N36" s="50"/>
      <c r="O36" s="48"/>
      <c r="P36" s="49"/>
      <c r="Q36" s="49"/>
      <c r="R36" s="49"/>
      <c r="S36" s="98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100"/>
      <c r="AX36" s="94"/>
      <c r="AY36" s="94"/>
      <c r="AZ36" s="94"/>
      <c r="BA36" s="94"/>
      <c r="BB36" s="94"/>
      <c r="BC36" s="95"/>
      <c r="BD36" s="97"/>
      <c r="BE36" s="94"/>
      <c r="BF36" s="94"/>
      <c r="BG36" s="94"/>
      <c r="BH36" s="94"/>
      <c r="BI36" s="94"/>
      <c r="BJ36" s="95"/>
      <c r="BK36" s="4"/>
    </row>
    <row r="37" spans="1:63" ht="15" customHeight="1" x14ac:dyDescent="0.25">
      <c r="A37" s="1"/>
      <c r="B37" s="45"/>
      <c r="C37" s="46"/>
      <c r="D37" s="46"/>
      <c r="E37" s="46"/>
      <c r="F37" s="46"/>
      <c r="G37" s="47"/>
      <c r="H37" s="45"/>
      <c r="I37" s="46"/>
      <c r="J37" s="46"/>
      <c r="K37" s="46"/>
      <c r="L37" s="46"/>
      <c r="M37" s="46"/>
      <c r="N37" s="47"/>
      <c r="O37" s="45"/>
      <c r="P37" s="46"/>
      <c r="Q37" s="46"/>
      <c r="R37" s="46"/>
      <c r="S37" s="89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1"/>
      <c r="AX37" s="92"/>
      <c r="AY37" s="92"/>
      <c r="AZ37" s="92"/>
      <c r="BA37" s="92"/>
      <c r="BB37" s="92"/>
      <c r="BC37" s="93"/>
      <c r="BD37" s="96"/>
      <c r="BE37" s="92"/>
      <c r="BF37" s="92"/>
      <c r="BG37" s="92"/>
      <c r="BH37" s="92"/>
      <c r="BI37" s="92"/>
      <c r="BJ37" s="93"/>
      <c r="BK37" s="4"/>
    </row>
    <row r="38" spans="1:63" ht="15" customHeight="1" x14ac:dyDescent="0.25">
      <c r="A38" s="1"/>
      <c r="B38" s="48"/>
      <c r="C38" s="49"/>
      <c r="D38" s="49"/>
      <c r="E38" s="49"/>
      <c r="F38" s="49"/>
      <c r="G38" s="50"/>
      <c r="H38" s="48"/>
      <c r="I38" s="49"/>
      <c r="J38" s="49"/>
      <c r="K38" s="49"/>
      <c r="L38" s="49"/>
      <c r="M38" s="49"/>
      <c r="N38" s="50"/>
      <c r="O38" s="48"/>
      <c r="P38" s="49"/>
      <c r="Q38" s="49"/>
      <c r="R38" s="49"/>
      <c r="S38" s="98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100"/>
      <c r="AX38" s="94"/>
      <c r="AY38" s="94"/>
      <c r="AZ38" s="94"/>
      <c r="BA38" s="94"/>
      <c r="BB38" s="94"/>
      <c r="BC38" s="95"/>
      <c r="BD38" s="97"/>
      <c r="BE38" s="94"/>
      <c r="BF38" s="94"/>
      <c r="BG38" s="94"/>
      <c r="BH38" s="94"/>
      <c r="BI38" s="94"/>
      <c r="BJ38" s="95"/>
      <c r="BK38" s="4"/>
    </row>
    <row r="39" spans="1:63" ht="15" customHeight="1" x14ac:dyDescent="0.25">
      <c r="A39" s="1"/>
      <c r="B39" s="45"/>
      <c r="C39" s="46"/>
      <c r="D39" s="46"/>
      <c r="E39" s="46"/>
      <c r="F39" s="46"/>
      <c r="G39" s="47"/>
      <c r="H39" s="45"/>
      <c r="I39" s="46"/>
      <c r="J39" s="46"/>
      <c r="K39" s="46"/>
      <c r="L39" s="46"/>
      <c r="M39" s="46"/>
      <c r="N39" s="47"/>
      <c r="O39" s="45"/>
      <c r="P39" s="46"/>
      <c r="Q39" s="46"/>
      <c r="R39" s="46"/>
      <c r="S39" s="89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1"/>
      <c r="AX39" s="92"/>
      <c r="AY39" s="92"/>
      <c r="AZ39" s="92"/>
      <c r="BA39" s="92"/>
      <c r="BB39" s="92"/>
      <c r="BC39" s="93"/>
      <c r="BD39" s="96"/>
      <c r="BE39" s="92"/>
      <c r="BF39" s="92"/>
      <c r="BG39" s="92"/>
      <c r="BH39" s="92"/>
      <c r="BI39" s="92"/>
      <c r="BJ39" s="93"/>
      <c r="BK39" s="4"/>
    </row>
    <row r="40" spans="1:63" ht="15" customHeight="1" x14ac:dyDescent="0.25">
      <c r="A40" s="1"/>
      <c r="B40" s="48"/>
      <c r="C40" s="49"/>
      <c r="D40" s="49"/>
      <c r="E40" s="49"/>
      <c r="F40" s="49"/>
      <c r="G40" s="50"/>
      <c r="H40" s="48"/>
      <c r="I40" s="49"/>
      <c r="J40" s="49"/>
      <c r="K40" s="49"/>
      <c r="L40" s="49"/>
      <c r="M40" s="49"/>
      <c r="N40" s="50"/>
      <c r="O40" s="48"/>
      <c r="P40" s="49"/>
      <c r="Q40" s="49"/>
      <c r="R40" s="49"/>
      <c r="S40" s="98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100"/>
      <c r="AX40" s="94"/>
      <c r="AY40" s="94"/>
      <c r="AZ40" s="94"/>
      <c r="BA40" s="94"/>
      <c r="BB40" s="94"/>
      <c r="BC40" s="95"/>
      <c r="BD40" s="97"/>
      <c r="BE40" s="94"/>
      <c r="BF40" s="94"/>
      <c r="BG40" s="94"/>
      <c r="BH40" s="94"/>
      <c r="BI40" s="94"/>
      <c r="BJ40" s="95"/>
      <c r="BK40" s="4"/>
    </row>
    <row r="41" spans="1:63" ht="15" customHeight="1" x14ac:dyDescent="0.25">
      <c r="A41" s="1"/>
      <c r="B41" s="45"/>
      <c r="C41" s="46"/>
      <c r="D41" s="46"/>
      <c r="E41" s="46"/>
      <c r="F41" s="46"/>
      <c r="G41" s="47"/>
      <c r="H41" s="45"/>
      <c r="I41" s="46"/>
      <c r="J41" s="46"/>
      <c r="K41" s="46"/>
      <c r="L41" s="46"/>
      <c r="M41" s="46"/>
      <c r="N41" s="47"/>
      <c r="O41" s="45"/>
      <c r="P41" s="46"/>
      <c r="Q41" s="46"/>
      <c r="R41" s="46"/>
      <c r="S41" s="89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1"/>
      <c r="AX41" s="92"/>
      <c r="AY41" s="92"/>
      <c r="AZ41" s="92"/>
      <c r="BA41" s="92"/>
      <c r="BB41" s="92"/>
      <c r="BC41" s="93"/>
      <c r="BD41" s="96"/>
      <c r="BE41" s="92"/>
      <c r="BF41" s="92"/>
      <c r="BG41" s="92"/>
      <c r="BH41" s="92"/>
      <c r="BI41" s="92"/>
      <c r="BJ41" s="93"/>
      <c r="BK41" s="4"/>
    </row>
    <row r="42" spans="1:63" ht="15" customHeight="1" x14ac:dyDescent="0.25">
      <c r="A42" s="1"/>
      <c r="B42" s="48"/>
      <c r="C42" s="49"/>
      <c r="D42" s="49"/>
      <c r="E42" s="49"/>
      <c r="F42" s="49"/>
      <c r="G42" s="50"/>
      <c r="H42" s="48"/>
      <c r="I42" s="49"/>
      <c r="J42" s="49"/>
      <c r="K42" s="49"/>
      <c r="L42" s="49"/>
      <c r="M42" s="49"/>
      <c r="N42" s="50"/>
      <c r="O42" s="48"/>
      <c r="P42" s="49"/>
      <c r="Q42" s="49"/>
      <c r="R42" s="49"/>
      <c r="S42" s="98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100"/>
      <c r="AX42" s="94"/>
      <c r="AY42" s="94"/>
      <c r="AZ42" s="94"/>
      <c r="BA42" s="94"/>
      <c r="BB42" s="94"/>
      <c r="BC42" s="95"/>
      <c r="BD42" s="97"/>
      <c r="BE42" s="94"/>
      <c r="BF42" s="94"/>
      <c r="BG42" s="94"/>
      <c r="BH42" s="94"/>
      <c r="BI42" s="94"/>
      <c r="BJ42" s="95"/>
      <c r="BK42" s="4"/>
    </row>
    <row r="43" spans="1:63" ht="15" customHeight="1" x14ac:dyDescent="0.25">
      <c r="A43" s="1"/>
      <c r="B43" s="45"/>
      <c r="C43" s="46"/>
      <c r="D43" s="46"/>
      <c r="E43" s="46"/>
      <c r="F43" s="46"/>
      <c r="G43" s="47"/>
      <c r="H43" s="45"/>
      <c r="I43" s="46"/>
      <c r="J43" s="46"/>
      <c r="K43" s="46"/>
      <c r="L43" s="46"/>
      <c r="M43" s="46"/>
      <c r="N43" s="47"/>
      <c r="O43" s="45"/>
      <c r="P43" s="46"/>
      <c r="Q43" s="46"/>
      <c r="R43" s="46"/>
      <c r="S43" s="89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1"/>
      <c r="AX43" s="92"/>
      <c r="AY43" s="92"/>
      <c r="AZ43" s="92"/>
      <c r="BA43" s="92"/>
      <c r="BB43" s="92"/>
      <c r="BC43" s="93"/>
      <c r="BD43" s="96"/>
      <c r="BE43" s="92"/>
      <c r="BF43" s="92"/>
      <c r="BG43" s="92"/>
      <c r="BH43" s="92"/>
      <c r="BI43" s="92"/>
      <c r="BJ43" s="93"/>
      <c r="BK43" s="4"/>
    </row>
    <row r="44" spans="1:63" ht="15" customHeight="1" x14ac:dyDescent="0.25">
      <c r="A44" s="1"/>
      <c r="B44" s="48"/>
      <c r="C44" s="49"/>
      <c r="D44" s="49"/>
      <c r="E44" s="49"/>
      <c r="F44" s="49"/>
      <c r="G44" s="50"/>
      <c r="H44" s="48"/>
      <c r="I44" s="49"/>
      <c r="J44" s="49"/>
      <c r="K44" s="49"/>
      <c r="L44" s="49"/>
      <c r="M44" s="49"/>
      <c r="N44" s="50"/>
      <c r="O44" s="48"/>
      <c r="P44" s="49"/>
      <c r="Q44" s="49"/>
      <c r="R44" s="49"/>
      <c r="S44" s="98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100"/>
      <c r="AX44" s="94"/>
      <c r="AY44" s="94"/>
      <c r="AZ44" s="94"/>
      <c r="BA44" s="94"/>
      <c r="BB44" s="94"/>
      <c r="BC44" s="95"/>
      <c r="BD44" s="97"/>
      <c r="BE44" s="94"/>
      <c r="BF44" s="94"/>
      <c r="BG44" s="94"/>
      <c r="BH44" s="94"/>
      <c r="BI44" s="94"/>
      <c r="BJ44" s="95"/>
      <c r="BK44" s="4"/>
    </row>
    <row r="45" spans="1:63" ht="15" customHeight="1" x14ac:dyDescent="0.25">
      <c r="A45" s="1"/>
      <c r="B45" s="45"/>
      <c r="C45" s="46"/>
      <c r="D45" s="46"/>
      <c r="E45" s="46"/>
      <c r="F45" s="46"/>
      <c r="G45" s="47"/>
      <c r="H45" s="45"/>
      <c r="I45" s="46"/>
      <c r="J45" s="46"/>
      <c r="K45" s="46"/>
      <c r="L45" s="46"/>
      <c r="M45" s="46"/>
      <c r="N45" s="47"/>
      <c r="O45" s="45"/>
      <c r="P45" s="46"/>
      <c r="Q45" s="46"/>
      <c r="R45" s="46"/>
      <c r="S45" s="89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1"/>
      <c r="AX45" s="92"/>
      <c r="AY45" s="92"/>
      <c r="AZ45" s="92"/>
      <c r="BA45" s="92"/>
      <c r="BB45" s="92"/>
      <c r="BC45" s="93"/>
      <c r="BD45" s="96"/>
      <c r="BE45" s="92"/>
      <c r="BF45" s="92"/>
      <c r="BG45" s="92"/>
      <c r="BH45" s="92"/>
      <c r="BI45" s="92"/>
      <c r="BJ45" s="93"/>
      <c r="BK45" s="4"/>
    </row>
    <row r="46" spans="1:63" ht="15" customHeight="1" x14ac:dyDescent="0.25">
      <c r="A46" s="1"/>
      <c r="B46" s="48"/>
      <c r="C46" s="49"/>
      <c r="D46" s="49"/>
      <c r="E46" s="49"/>
      <c r="F46" s="49"/>
      <c r="G46" s="50"/>
      <c r="H46" s="48"/>
      <c r="I46" s="49"/>
      <c r="J46" s="49"/>
      <c r="K46" s="49"/>
      <c r="L46" s="49"/>
      <c r="M46" s="49"/>
      <c r="N46" s="50"/>
      <c r="O46" s="48"/>
      <c r="P46" s="49"/>
      <c r="Q46" s="49"/>
      <c r="R46" s="49"/>
      <c r="S46" s="98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100"/>
      <c r="AX46" s="94"/>
      <c r="AY46" s="94"/>
      <c r="AZ46" s="94"/>
      <c r="BA46" s="94"/>
      <c r="BB46" s="94"/>
      <c r="BC46" s="95"/>
      <c r="BD46" s="97"/>
      <c r="BE46" s="94"/>
      <c r="BF46" s="94"/>
      <c r="BG46" s="94"/>
      <c r="BH46" s="94"/>
      <c r="BI46" s="94"/>
      <c r="BJ46" s="95"/>
      <c r="BK46" s="4"/>
    </row>
    <row r="47" spans="1:63" ht="15" customHeight="1" x14ac:dyDescent="0.25">
      <c r="A47" s="1"/>
      <c r="B47" s="45"/>
      <c r="C47" s="46"/>
      <c r="D47" s="46"/>
      <c r="E47" s="46"/>
      <c r="F47" s="46"/>
      <c r="G47" s="47"/>
      <c r="H47" s="45"/>
      <c r="I47" s="46"/>
      <c r="J47" s="46"/>
      <c r="K47" s="46"/>
      <c r="L47" s="46"/>
      <c r="M47" s="46"/>
      <c r="N47" s="47"/>
      <c r="O47" s="45"/>
      <c r="P47" s="46"/>
      <c r="Q47" s="46"/>
      <c r="R47" s="46"/>
      <c r="S47" s="89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1"/>
      <c r="AX47" s="92"/>
      <c r="AY47" s="92"/>
      <c r="AZ47" s="92"/>
      <c r="BA47" s="92"/>
      <c r="BB47" s="92"/>
      <c r="BC47" s="93"/>
      <c r="BD47" s="96"/>
      <c r="BE47" s="92"/>
      <c r="BF47" s="92"/>
      <c r="BG47" s="92"/>
      <c r="BH47" s="92"/>
      <c r="BI47" s="92"/>
      <c r="BJ47" s="93"/>
      <c r="BK47" s="4"/>
    </row>
    <row r="48" spans="1:63" ht="15" customHeight="1" x14ac:dyDescent="0.25">
      <c r="A48" s="1"/>
      <c r="B48" s="48"/>
      <c r="C48" s="49"/>
      <c r="D48" s="49"/>
      <c r="E48" s="49"/>
      <c r="F48" s="49"/>
      <c r="G48" s="50"/>
      <c r="H48" s="48"/>
      <c r="I48" s="49"/>
      <c r="J48" s="49"/>
      <c r="K48" s="49"/>
      <c r="L48" s="49"/>
      <c r="M48" s="49"/>
      <c r="N48" s="50"/>
      <c r="O48" s="48"/>
      <c r="P48" s="49"/>
      <c r="Q48" s="49"/>
      <c r="R48" s="49"/>
      <c r="S48" s="98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100"/>
      <c r="AX48" s="94"/>
      <c r="AY48" s="94"/>
      <c r="AZ48" s="94"/>
      <c r="BA48" s="94"/>
      <c r="BB48" s="94"/>
      <c r="BC48" s="95"/>
      <c r="BD48" s="97"/>
      <c r="BE48" s="94"/>
      <c r="BF48" s="94"/>
      <c r="BG48" s="94"/>
      <c r="BH48" s="94"/>
      <c r="BI48" s="94"/>
      <c r="BJ48" s="95"/>
      <c r="BK48" s="4"/>
    </row>
    <row r="49" spans="1:63" ht="15" customHeight="1" x14ac:dyDescent="0.25">
      <c r="A49" s="1"/>
      <c r="B49" s="45"/>
      <c r="C49" s="46"/>
      <c r="D49" s="46"/>
      <c r="E49" s="46"/>
      <c r="F49" s="46"/>
      <c r="G49" s="47"/>
      <c r="H49" s="45"/>
      <c r="I49" s="46"/>
      <c r="J49" s="46"/>
      <c r="K49" s="46"/>
      <c r="L49" s="46"/>
      <c r="M49" s="46"/>
      <c r="N49" s="47"/>
      <c r="O49" s="45"/>
      <c r="P49" s="46"/>
      <c r="Q49" s="46"/>
      <c r="R49" s="46"/>
      <c r="S49" s="89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1"/>
      <c r="AX49" s="92"/>
      <c r="AY49" s="92"/>
      <c r="AZ49" s="92"/>
      <c r="BA49" s="92"/>
      <c r="BB49" s="92"/>
      <c r="BC49" s="93"/>
      <c r="BD49" s="96"/>
      <c r="BE49" s="92"/>
      <c r="BF49" s="92"/>
      <c r="BG49" s="92"/>
      <c r="BH49" s="92"/>
      <c r="BI49" s="92"/>
      <c r="BJ49" s="93"/>
      <c r="BK49" s="4"/>
    </row>
    <row r="50" spans="1:63" ht="15" customHeight="1" x14ac:dyDescent="0.25">
      <c r="A50" s="1"/>
      <c r="B50" s="48"/>
      <c r="C50" s="49"/>
      <c r="D50" s="49"/>
      <c r="E50" s="49"/>
      <c r="F50" s="49"/>
      <c r="G50" s="50"/>
      <c r="H50" s="48"/>
      <c r="I50" s="49"/>
      <c r="J50" s="49"/>
      <c r="K50" s="49"/>
      <c r="L50" s="49"/>
      <c r="M50" s="49"/>
      <c r="N50" s="50"/>
      <c r="O50" s="48"/>
      <c r="P50" s="49"/>
      <c r="Q50" s="49"/>
      <c r="R50" s="49"/>
      <c r="S50" s="98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100"/>
      <c r="AX50" s="94"/>
      <c r="AY50" s="94"/>
      <c r="AZ50" s="94"/>
      <c r="BA50" s="94"/>
      <c r="BB50" s="94"/>
      <c r="BC50" s="95"/>
      <c r="BD50" s="97"/>
      <c r="BE50" s="94"/>
      <c r="BF50" s="94"/>
      <c r="BG50" s="94"/>
      <c r="BH50" s="94"/>
      <c r="BI50" s="94"/>
      <c r="BJ50" s="95"/>
      <c r="BK50" s="4"/>
    </row>
    <row r="51" spans="1:63" ht="15" customHeight="1" x14ac:dyDescent="0.25">
      <c r="A51" s="1"/>
      <c r="B51" s="45"/>
      <c r="C51" s="46"/>
      <c r="D51" s="46"/>
      <c r="E51" s="46"/>
      <c r="F51" s="46"/>
      <c r="G51" s="47"/>
      <c r="H51" s="45"/>
      <c r="I51" s="46"/>
      <c r="J51" s="46"/>
      <c r="K51" s="46"/>
      <c r="L51" s="46"/>
      <c r="M51" s="46"/>
      <c r="N51" s="47"/>
      <c r="O51" s="45"/>
      <c r="P51" s="46"/>
      <c r="Q51" s="46"/>
      <c r="R51" s="46"/>
      <c r="S51" s="89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1"/>
      <c r="AX51" s="92"/>
      <c r="AY51" s="92"/>
      <c r="AZ51" s="92"/>
      <c r="BA51" s="92"/>
      <c r="BB51" s="92"/>
      <c r="BC51" s="93"/>
      <c r="BD51" s="96"/>
      <c r="BE51" s="92"/>
      <c r="BF51" s="92"/>
      <c r="BG51" s="92"/>
      <c r="BH51" s="92"/>
      <c r="BI51" s="92"/>
      <c r="BJ51" s="93"/>
      <c r="BK51" s="4"/>
    </row>
    <row r="52" spans="1:63" ht="15" customHeight="1" x14ac:dyDescent="0.25">
      <c r="A52" s="1"/>
      <c r="B52" s="48"/>
      <c r="C52" s="49"/>
      <c r="D52" s="49"/>
      <c r="E52" s="49"/>
      <c r="F52" s="49"/>
      <c r="G52" s="50"/>
      <c r="H52" s="48"/>
      <c r="I52" s="49"/>
      <c r="J52" s="49"/>
      <c r="K52" s="49"/>
      <c r="L52" s="49"/>
      <c r="M52" s="49"/>
      <c r="N52" s="50"/>
      <c r="O52" s="48"/>
      <c r="P52" s="49"/>
      <c r="Q52" s="49"/>
      <c r="R52" s="49"/>
      <c r="S52" s="98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100"/>
      <c r="AX52" s="94"/>
      <c r="AY52" s="94"/>
      <c r="AZ52" s="94"/>
      <c r="BA52" s="94"/>
      <c r="BB52" s="94"/>
      <c r="BC52" s="95"/>
      <c r="BD52" s="97"/>
      <c r="BE52" s="94"/>
      <c r="BF52" s="94"/>
      <c r="BG52" s="94"/>
      <c r="BH52" s="94"/>
      <c r="BI52" s="94"/>
      <c r="BJ52" s="95"/>
      <c r="BK52" s="4"/>
    </row>
    <row r="53" spans="1:63" ht="15" customHeight="1" x14ac:dyDescent="0.25">
      <c r="A53" s="1"/>
      <c r="B53" s="45"/>
      <c r="C53" s="46"/>
      <c r="D53" s="46"/>
      <c r="E53" s="46"/>
      <c r="F53" s="46"/>
      <c r="G53" s="47"/>
      <c r="H53" s="45"/>
      <c r="I53" s="46"/>
      <c r="J53" s="46"/>
      <c r="K53" s="46"/>
      <c r="L53" s="46"/>
      <c r="M53" s="46"/>
      <c r="N53" s="47"/>
      <c r="O53" s="45"/>
      <c r="P53" s="46"/>
      <c r="Q53" s="46"/>
      <c r="R53" s="46"/>
      <c r="S53" s="89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1"/>
      <c r="AX53" s="92"/>
      <c r="AY53" s="92"/>
      <c r="AZ53" s="92"/>
      <c r="BA53" s="92"/>
      <c r="BB53" s="92"/>
      <c r="BC53" s="93"/>
      <c r="BD53" s="96"/>
      <c r="BE53" s="92"/>
      <c r="BF53" s="92"/>
      <c r="BG53" s="92"/>
      <c r="BH53" s="92"/>
      <c r="BI53" s="92"/>
      <c r="BJ53" s="93"/>
      <c r="BK53" s="4"/>
    </row>
    <row r="54" spans="1:63" ht="15" customHeight="1" x14ac:dyDescent="0.25">
      <c r="A54" s="1"/>
      <c r="B54" s="48"/>
      <c r="C54" s="49"/>
      <c r="D54" s="49"/>
      <c r="E54" s="49"/>
      <c r="F54" s="49"/>
      <c r="G54" s="50"/>
      <c r="H54" s="48"/>
      <c r="I54" s="49"/>
      <c r="J54" s="49"/>
      <c r="K54" s="49"/>
      <c r="L54" s="49"/>
      <c r="M54" s="49"/>
      <c r="N54" s="50"/>
      <c r="O54" s="48"/>
      <c r="P54" s="49"/>
      <c r="Q54" s="49"/>
      <c r="R54" s="49"/>
      <c r="S54" s="98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100"/>
      <c r="AX54" s="94"/>
      <c r="AY54" s="94"/>
      <c r="AZ54" s="94"/>
      <c r="BA54" s="94"/>
      <c r="BB54" s="94"/>
      <c r="BC54" s="95"/>
      <c r="BD54" s="97"/>
      <c r="BE54" s="94"/>
      <c r="BF54" s="94"/>
      <c r="BG54" s="94"/>
      <c r="BH54" s="94"/>
      <c r="BI54" s="94"/>
      <c r="BJ54" s="95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620C-1DD2-47C2-9F1D-8AE8D086E26B}">
  <sheetPr>
    <tabColor rgb="FF00B050"/>
    <pageSetUpPr fitToPage="1"/>
  </sheetPr>
  <dimension ref="A1:BK104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6"/>
  </cols>
  <sheetData>
    <row r="1" spans="1:63" ht="24.95" customHeight="1" x14ac:dyDescent="0.2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3"/>
      <c r="K1" s="121" t="s">
        <v>2</v>
      </c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3"/>
      <c r="W1" s="124" t="str">
        <f>IF(表紙!W1="","",表紙!W1)</f>
        <v>詳細設計書</v>
      </c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6"/>
      <c r="AP1" s="42" t="s">
        <v>3</v>
      </c>
      <c r="AQ1" s="43"/>
      <c r="AR1" s="43"/>
      <c r="AS1" s="44"/>
      <c r="AT1" s="42" t="s">
        <v>4</v>
      </c>
      <c r="AU1" s="43"/>
      <c r="AV1" s="43"/>
      <c r="AW1" s="43"/>
      <c r="AX1" s="44"/>
      <c r="AY1" s="42" t="s">
        <v>5</v>
      </c>
      <c r="AZ1" s="43"/>
      <c r="BA1" s="43"/>
      <c r="BB1" s="44"/>
      <c r="BC1" s="42" t="s">
        <v>6</v>
      </c>
      <c r="BD1" s="43"/>
      <c r="BE1" s="43"/>
      <c r="BF1" s="43"/>
      <c r="BG1" s="44"/>
      <c r="BH1" s="42" t="s">
        <v>7</v>
      </c>
      <c r="BI1" s="43"/>
      <c r="BJ1" s="43"/>
      <c r="BK1" s="44"/>
    </row>
    <row r="2" spans="1:63" ht="15" customHeight="1" x14ac:dyDescent="0.25">
      <c r="A2" s="115" t="str">
        <f>IF(表紙!A2="","",表紙!A2)</f>
        <v>POSサーバー</v>
      </c>
      <c r="B2" s="116"/>
      <c r="C2" s="116"/>
      <c r="D2" s="116"/>
      <c r="E2" s="116"/>
      <c r="F2" s="116"/>
      <c r="G2" s="116"/>
      <c r="H2" s="116"/>
      <c r="I2" s="116"/>
      <c r="J2" s="117"/>
      <c r="K2" s="115" t="str">
        <f>IF(表紙!K2="","",表紙!K2)</f>
        <v>POSサーバ</v>
      </c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7"/>
      <c r="W2" s="127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9"/>
      <c r="AP2" s="45" t="str">
        <f>IF(表紙!AP2="","",表紙!AP2)</f>
        <v>DuNT</v>
      </c>
      <c r="AQ2" s="46"/>
      <c r="AR2" s="46"/>
      <c r="AS2" s="47"/>
      <c r="AT2" s="73">
        <f>IF(表紙!AT2="","",表紙!AT2)</f>
        <v>45581</v>
      </c>
      <c r="AU2" s="74"/>
      <c r="AV2" s="74"/>
      <c r="AW2" s="74"/>
      <c r="AX2" s="75"/>
      <c r="AY2" s="45" t="str">
        <f>IF(表紙!AY2="","",表紙!AY2)</f>
        <v>DuNT</v>
      </c>
      <c r="AZ2" s="46"/>
      <c r="BA2" s="46"/>
      <c r="BB2" s="47"/>
      <c r="BC2" s="73">
        <f>IF(表紙!BC2="","",表紙!BC2)</f>
        <v>45649</v>
      </c>
      <c r="BD2" s="74"/>
      <c r="BE2" s="74"/>
      <c r="BF2" s="74"/>
      <c r="BG2" s="75"/>
      <c r="BH2" s="45">
        <f>IF(表紙!BH2="","",表紙!BH2)</f>
        <v>0.13</v>
      </c>
      <c r="BI2" s="46"/>
      <c r="BJ2" s="46"/>
      <c r="BK2" s="47"/>
    </row>
    <row r="3" spans="1:63" ht="15" customHeight="1" x14ac:dyDescent="0.25">
      <c r="A3" s="118"/>
      <c r="B3" s="119"/>
      <c r="C3" s="119"/>
      <c r="D3" s="119"/>
      <c r="E3" s="119"/>
      <c r="F3" s="119"/>
      <c r="G3" s="119"/>
      <c r="H3" s="119"/>
      <c r="I3" s="119"/>
      <c r="J3" s="120"/>
      <c r="K3" s="118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20"/>
      <c r="W3" s="130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2"/>
      <c r="AP3" s="48"/>
      <c r="AQ3" s="49"/>
      <c r="AR3" s="49"/>
      <c r="AS3" s="50"/>
      <c r="AT3" s="76"/>
      <c r="AU3" s="77"/>
      <c r="AV3" s="77"/>
      <c r="AW3" s="77"/>
      <c r="AX3" s="78"/>
      <c r="AY3" s="48"/>
      <c r="AZ3" s="49"/>
      <c r="BA3" s="49"/>
      <c r="BB3" s="50"/>
      <c r="BC3" s="76"/>
      <c r="BD3" s="77"/>
      <c r="BE3" s="77"/>
      <c r="BF3" s="77"/>
      <c r="BG3" s="78"/>
      <c r="BH3" s="48"/>
      <c r="BI3" s="49"/>
      <c r="BJ3" s="49"/>
      <c r="BK3" s="50"/>
    </row>
    <row r="4" spans="1:63" ht="24.95" customHeight="1" x14ac:dyDescent="0.25">
      <c r="A4" s="121" t="s">
        <v>1</v>
      </c>
      <c r="B4" s="122"/>
      <c r="C4" s="122"/>
      <c r="D4" s="122"/>
      <c r="E4" s="122"/>
      <c r="F4" s="122"/>
      <c r="G4" s="123"/>
      <c r="H4" s="133" t="str">
        <f>IF(表紙!H4="","",表紙!H4)</f>
        <v>05_ミックスマッチ設定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5"/>
      <c r="U4" s="121" t="s">
        <v>8</v>
      </c>
      <c r="V4" s="122"/>
      <c r="W4" s="122"/>
      <c r="X4" s="122"/>
      <c r="Y4" s="123"/>
      <c r="Z4" s="133" t="str">
        <f>IF(表紙!Z4="","",表紙!Z4)</f>
        <v>画面設計書</v>
      </c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5"/>
      <c r="AP4" s="136" t="str">
        <f ca="1">MID(CELL("filename",A1),FIND("]",CELL("filename",A1))+1,255)</f>
        <v>SC0501</v>
      </c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0"/>
      <c r="BK6" s="21"/>
    </row>
    <row r="7" spans="1:63" ht="15" customHeight="1" x14ac:dyDescent="0.25">
      <c r="A7" s="20"/>
      <c r="B7" s="23" t="s">
        <v>61</v>
      </c>
      <c r="C7" s="22"/>
      <c r="D7" s="22"/>
      <c r="E7" s="22"/>
      <c r="F7" s="22"/>
      <c r="G7" s="22"/>
      <c r="H7" s="22"/>
      <c r="I7" s="22"/>
      <c r="J7" s="22"/>
      <c r="AE7" s="23"/>
      <c r="BK7" s="21"/>
    </row>
    <row r="8" spans="1:63" ht="15" customHeight="1" x14ac:dyDescent="0.25">
      <c r="A8" s="20"/>
      <c r="BK8" s="21"/>
    </row>
    <row r="9" spans="1:63" ht="15" customHeight="1" x14ac:dyDescent="0.25">
      <c r="A9" s="20"/>
      <c r="BI9"/>
      <c r="BK9" s="21"/>
    </row>
    <row r="10" spans="1:63" ht="15" customHeight="1" x14ac:dyDescent="0.25">
      <c r="A10" s="20"/>
      <c r="BK10" s="21"/>
    </row>
    <row r="11" spans="1:63" ht="15" customHeight="1" x14ac:dyDescent="0.25">
      <c r="A11" s="20"/>
      <c r="AP11" s="31"/>
      <c r="BK11" s="21"/>
    </row>
    <row r="12" spans="1:63" ht="15" customHeight="1" x14ac:dyDescent="0.25">
      <c r="A12" s="20"/>
      <c r="BK12" s="21"/>
    </row>
    <row r="13" spans="1:63" ht="15" customHeight="1" x14ac:dyDescent="0.25">
      <c r="A13" s="20"/>
      <c r="BK13" s="21"/>
    </row>
    <row r="14" spans="1:63" ht="15" customHeight="1" x14ac:dyDescent="0.25">
      <c r="A14" s="20"/>
      <c r="BK14" s="21"/>
    </row>
    <row r="15" spans="1:63" ht="15" customHeight="1" x14ac:dyDescent="0.25">
      <c r="A15" s="20"/>
      <c r="BK15" s="21"/>
    </row>
    <row r="16" spans="1:63" ht="15" customHeight="1" x14ac:dyDescent="0.25">
      <c r="A16" s="20"/>
      <c r="BK16" s="21"/>
    </row>
    <row r="17" spans="1:63" ht="15" customHeight="1" x14ac:dyDescent="0.25">
      <c r="A17" s="20"/>
      <c r="BK17" s="21"/>
    </row>
    <row r="18" spans="1:63" ht="15" customHeight="1" x14ac:dyDescent="0.25">
      <c r="A18" s="20"/>
      <c r="BK18" s="21"/>
    </row>
    <row r="19" spans="1:63" ht="15" customHeight="1" x14ac:dyDescent="0.25">
      <c r="A19" s="20"/>
      <c r="BK19" s="21"/>
    </row>
    <row r="20" spans="1:63" ht="15" customHeight="1" x14ac:dyDescent="0.25">
      <c r="A20" s="20"/>
      <c r="BK20" s="21"/>
    </row>
    <row r="21" spans="1:63" ht="15" customHeight="1" x14ac:dyDescent="0.25">
      <c r="A21" s="20"/>
      <c r="BK21" s="21"/>
    </row>
    <row r="22" spans="1:63" ht="15" customHeight="1" x14ac:dyDescent="0.25">
      <c r="A22" s="20"/>
      <c r="BK22" s="21"/>
    </row>
    <row r="23" spans="1:63" ht="15" customHeight="1" x14ac:dyDescent="0.25">
      <c r="A23" s="20"/>
      <c r="BK23" s="21"/>
    </row>
    <row r="24" spans="1:63" ht="15" customHeight="1" x14ac:dyDescent="0.25">
      <c r="A24" s="20"/>
      <c r="BK24" s="21"/>
    </row>
    <row r="25" spans="1:63" ht="15" customHeight="1" x14ac:dyDescent="0.25">
      <c r="A25" s="20"/>
      <c r="BK25" s="21"/>
    </row>
    <row r="26" spans="1:63" ht="15" customHeight="1" x14ac:dyDescent="0.25">
      <c r="A26" s="20"/>
      <c r="BK26" s="21"/>
    </row>
    <row r="27" spans="1:63" ht="15" customHeight="1" x14ac:dyDescent="0.25">
      <c r="A27" s="20"/>
      <c r="BK27" s="21"/>
    </row>
    <row r="28" spans="1:63" ht="15" customHeight="1" x14ac:dyDescent="0.25">
      <c r="A28" s="20"/>
      <c r="BK28" s="21"/>
    </row>
    <row r="29" spans="1:63" ht="15" customHeight="1" x14ac:dyDescent="0.25">
      <c r="A29" s="20"/>
      <c r="BK29" s="21"/>
    </row>
    <row r="30" spans="1:63" ht="15" customHeight="1" x14ac:dyDescent="0.25">
      <c r="A30" s="20"/>
      <c r="BK30" s="21"/>
    </row>
    <row r="31" spans="1:63" ht="15" customHeight="1" x14ac:dyDescent="0.25">
      <c r="A31" s="20"/>
      <c r="BJ31"/>
      <c r="BK31" s="21"/>
    </row>
    <row r="32" spans="1:63" ht="15" customHeight="1" x14ac:dyDescent="0.25">
      <c r="A32" s="20"/>
      <c r="BK32" s="21"/>
    </row>
    <row r="33" spans="1:63" ht="15" customHeight="1" x14ac:dyDescent="0.25">
      <c r="A33" s="20"/>
      <c r="BK33" s="21"/>
    </row>
    <row r="34" spans="1:63" ht="15" customHeight="1" x14ac:dyDescent="0.25">
      <c r="A34" s="20"/>
      <c r="BK34" s="21"/>
    </row>
    <row r="35" spans="1:63" ht="15" customHeight="1" x14ac:dyDescent="0.25">
      <c r="A35" s="20"/>
      <c r="BK35" s="21"/>
    </row>
    <row r="36" spans="1:63" ht="15" customHeight="1" x14ac:dyDescent="0.25">
      <c r="A36" s="20"/>
      <c r="BK36" s="21"/>
    </row>
    <row r="37" spans="1:63" ht="15" customHeight="1" x14ac:dyDescent="0.25">
      <c r="A37" s="20"/>
      <c r="BK37" s="21"/>
    </row>
    <row r="38" spans="1:63" ht="15" customHeight="1" x14ac:dyDescent="0.25">
      <c r="A38" s="20"/>
      <c r="BK38" s="21"/>
    </row>
    <row r="39" spans="1:63" ht="15" customHeight="1" x14ac:dyDescent="0.25">
      <c r="A39" s="20"/>
      <c r="BK39" s="21"/>
    </row>
    <row r="40" spans="1:63" ht="15" customHeight="1" x14ac:dyDescent="0.25">
      <c r="A40" s="20"/>
      <c r="BK40" s="21"/>
    </row>
    <row r="41" spans="1:63" ht="15" customHeight="1" x14ac:dyDescent="0.25">
      <c r="A41" s="20"/>
      <c r="BK41" s="21"/>
    </row>
    <row r="42" spans="1:63" ht="14.25" customHeight="1" x14ac:dyDescent="0.25">
      <c r="A42" s="20"/>
      <c r="BK42" s="21"/>
    </row>
    <row r="43" spans="1:63" ht="15" customHeight="1" x14ac:dyDescent="0.25">
      <c r="A43" s="20"/>
      <c r="BK43" s="21"/>
    </row>
    <row r="44" spans="1:63" ht="15" customHeight="1" x14ac:dyDescent="0.25">
      <c r="A44" s="20"/>
      <c r="BK44" s="21"/>
    </row>
    <row r="45" spans="1:63" x14ac:dyDescent="0.25">
      <c r="A45" s="20"/>
      <c r="BK45" s="21"/>
    </row>
    <row r="46" spans="1:63" ht="15" customHeight="1" x14ac:dyDescent="0.25">
      <c r="A46" s="20"/>
      <c r="B46" s="23" t="s">
        <v>15</v>
      </c>
      <c r="BK46" s="21"/>
    </row>
    <row r="47" spans="1:63" x14ac:dyDescent="0.25">
      <c r="A47" s="20"/>
      <c r="BK47" s="21"/>
    </row>
    <row r="48" spans="1:63" ht="15.75" customHeight="1" x14ac:dyDescent="0.25">
      <c r="A48" s="20"/>
      <c r="B48" s="137" t="s">
        <v>16</v>
      </c>
      <c r="C48" s="138"/>
      <c r="D48" s="143" t="s">
        <v>17</v>
      </c>
      <c r="E48" s="144"/>
      <c r="F48" s="144"/>
      <c r="G48" s="144"/>
      <c r="H48" s="144"/>
      <c r="I48" s="144"/>
      <c r="J48" s="138"/>
      <c r="K48" s="143" t="s">
        <v>18</v>
      </c>
      <c r="L48" s="144"/>
      <c r="M48" s="138"/>
      <c r="N48" s="147" t="s">
        <v>19</v>
      </c>
      <c r="O48" s="150" t="s">
        <v>58</v>
      </c>
      <c r="P48" s="168" t="s">
        <v>20</v>
      </c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70"/>
      <c r="AR48" s="153" t="s">
        <v>21</v>
      </c>
      <c r="AS48" s="154"/>
      <c r="AT48" s="154"/>
      <c r="AU48" s="154"/>
      <c r="AV48" s="154"/>
      <c r="AW48" s="154"/>
      <c r="AX48" s="154"/>
      <c r="AY48" s="154"/>
      <c r="AZ48" s="154"/>
      <c r="BA48" s="154"/>
      <c r="BB48" s="157"/>
      <c r="BC48" s="171" t="s">
        <v>22</v>
      </c>
      <c r="BD48" s="172"/>
      <c r="BE48" s="172"/>
      <c r="BF48" s="172"/>
      <c r="BG48" s="172"/>
      <c r="BH48" s="172"/>
      <c r="BI48" s="172"/>
      <c r="BJ48" s="173"/>
      <c r="BK48" s="21"/>
    </row>
    <row r="49" spans="1:63" ht="15.75" customHeight="1" x14ac:dyDescent="0.25">
      <c r="A49" s="20"/>
      <c r="B49" s="139"/>
      <c r="C49" s="140"/>
      <c r="D49" s="139"/>
      <c r="E49" s="145"/>
      <c r="F49" s="145"/>
      <c r="G49" s="145"/>
      <c r="H49" s="145"/>
      <c r="I49" s="145"/>
      <c r="J49" s="140"/>
      <c r="K49" s="139"/>
      <c r="L49" s="145"/>
      <c r="M49" s="140"/>
      <c r="N49" s="148"/>
      <c r="O49" s="151"/>
      <c r="P49" s="180" t="s">
        <v>23</v>
      </c>
      <c r="Q49" s="181"/>
      <c r="R49" s="181"/>
      <c r="S49" s="181"/>
      <c r="T49" s="181"/>
      <c r="U49" s="181"/>
      <c r="V49" s="181"/>
      <c r="W49" s="182"/>
      <c r="X49" s="183" t="s">
        <v>24</v>
      </c>
      <c r="Y49" s="184"/>
      <c r="Z49" s="185"/>
      <c r="AA49" s="183" t="s">
        <v>25</v>
      </c>
      <c r="AB49" s="184"/>
      <c r="AC49" s="184"/>
      <c r="AD49" s="184"/>
      <c r="AE49" s="184"/>
      <c r="AF49" s="184"/>
      <c r="AG49" s="184"/>
      <c r="AH49" s="185"/>
      <c r="AI49" s="183" t="s">
        <v>26</v>
      </c>
      <c r="AJ49" s="184"/>
      <c r="AK49" s="184"/>
      <c r="AL49" s="184"/>
      <c r="AM49" s="184"/>
      <c r="AN49" s="184"/>
      <c r="AO49" s="184"/>
      <c r="AP49" s="184"/>
      <c r="AQ49" s="185"/>
      <c r="AR49" s="189" t="s">
        <v>27</v>
      </c>
      <c r="AS49" s="191" t="s">
        <v>28</v>
      </c>
      <c r="AT49" s="193" t="s">
        <v>29</v>
      </c>
      <c r="AU49" s="153" t="s">
        <v>23</v>
      </c>
      <c r="AV49" s="154"/>
      <c r="AW49" s="154"/>
      <c r="AX49" s="154"/>
      <c r="AY49" s="154"/>
      <c r="AZ49" s="154"/>
      <c r="BA49" s="154"/>
      <c r="BB49" s="157"/>
      <c r="BC49" s="174"/>
      <c r="BD49" s="175"/>
      <c r="BE49" s="175"/>
      <c r="BF49" s="175"/>
      <c r="BG49" s="175"/>
      <c r="BH49" s="175"/>
      <c r="BI49" s="175"/>
      <c r="BJ49" s="176"/>
      <c r="BK49" s="21"/>
    </row>
    <row r="50" spans="1:63" x14ac:dyDescent="0.25">
      <c r="A50" s="20"/>
      <c r="B50" s="141"/>
      <c r="C50" s="142"/>
      <c r="D50" s="141"/>
      <c r="E50" s="146"/>
      <c r="F50" s="146"/>
      <c r="G50" s="146"/>
      <c r="H50" s="146"/>
      <c r="I50" s="146"/>
      <c r="J50" s="142"/>
      <c r="K50" s="141"/>
      <c r="L50" s="146"/>
      <c r="M50" s="142"/>
      <c r="N50" s="149"/>
      <c r="O50" s="152"/>
      <c r="P50" s="168" t="s">
        <v>56</v>
      </c>
      <c r="Q50" s="169"/>
      <c r="R50" s="169"/>
      <c r="S50" s="170"/>
      <c r="T50" s="168" t="s">
        <v>17</v>
      </c>
      <c r="U50" s="169"/>
      <c r="V50" s="169"/>
      <c r="W50" s="170"/>
      <c r="X50" s="186"/>
      <c r="Y50" s="187"/>
      <c r="Z50" s="188"/>
      <c r="AA50" s="186"/>
      <c r="AB50" s="187"/>
      <c r="AC50" s="187"/>
      <c r="AD50" s="187"/>
      <c r="AE50" s="187"/>
      <c r="AF50" s="187"/>
      <c r="AG50" s="187"/>
      <c r="AH50" s="188"/>
      <c r="AI50" s="186"/>
      <c r="AJ50" s="187"/>
      <c r="AK50" s="187"/>
      <c r="AL50" s="187"/>
      <c r="AM50" s="187"/>
      <c r="AN50" s="187"/>
      <c r="AO50" s="187"/>
      <c r="AP50" s="187"/>
      <c r="AQ50" s="188"/>
      <c r="AR50" s="190"/>
      <c r="AS50" s="192"/>
      <c r="AT50" s="194"/>
      <c r="AU50" s="153" t="s">
        <v>56</v>
      </c>
      <c r="AV50" s="154"/>
      <c r="AW50" s="154"/>
      <c r="AX50" s="155"/>
      <c r="AY50" s="156" t="s">
        <v>17</v>
      </c>
      <c r="AZ50" s="154"/>
      <c r="BA50" s="154"/>
      <c r="BB50" s="157"/>
      <c r="BC50" s="177"/>
      <c r="BD50" s="178"/>
      <c r="BE50" s="178"/>
      <c r="BF50" s="178"/>
      <c r="BG50" s="178"/>
      <c r="BH50" s="178"/>
      <c r="BI50" s="178"/>
      <c r="BJ50" s="179"/>
      <c r="BK50" s="21"/>
    </row>
    <row r="51" spans="1:63" x14ac:dyDescent="0.25">
      <c r="A51" s="20"/>
      <c r="B51" s="158">
        <v>0</v>
      </c>
      <c r="C51" s="159"/>
      <c r="D51" s="160" t="s">
        <v>62</v>
      </c>
      <c r="E51" s="161"/>
      <c r="F51" s="161"/>
      <c r="G51" s="161"/>
      <c r="H51" s="161"/>
      <c r="I51" s="161"/>
      <c r="J51" s="162"/>
      <c r="K51" s="163" t="s">
        <v>30</v>
      </c>
      <c r="L51" s="164"/>
      <c r="M51" s="165"/>
      <c r="N51" s="24" t="s">
        <v>31</v>
      </c>
      <c r="O51" s="25" t="s">
        <v>32</v>
      </c>
      <c r="P51" s="166" t="s">
        <v>31</v>
      </c>
      <c r="Q51" s="167"/>
      <c r="R51" s="167"/>
      <c r="S51" s="159"/>
      <c r="T51" s="166" t="s">
        <v>31</v>
      </c>
      <c r="U51" s="167"/>
      <c r="V51" s="167"/>
      <c r="W51" s="159"/>
      <c r="X51" s="195" t="s">
        <v>63</v>
      </c>
      <c r="Y51" s="196"/>
      <c r="Z51" s="197"/>
      <c r="AA51" s="158" t="s">
        <v>33</v>
      </c>
      <c r="AB51" s="167"/>
      <c r="AC51" s="167"/>
      <c r="AD51" s="167"/>
      <c r="AE51" s="167"/>
      <c r="AF51" s="167"/>
      <c r="AG51" s="167"/>
      <c r="AH51" s="159"/>
      <c r="AI51" s="198" t="s">
        <v>31</v>
      </c>
      <c r="AJ51" s="199"/>
      <c r="AK51" s="199"/>
      <c r="AL51" s="199"/>
      <c r="AM51" s="199"/>
      <c r="AN51" s="199"/>
      <c r="AO51" s="199"/>
      <c r="AP51" s="199"/>
      <c r="AQ51" s="200"/>
      <c r="AR51" s="25" t="s">
        <v>31</v>
      </c>
      <c r="AS51" s="25" t="s">
        <v>31</v>
      </c>
      <c r="AT51" s="25" t="s">
        <v>31</v>
      </c>
      <c r="AU51" s="158" t="s">
        <v>34</v>
      </c>
      <c r="AV51" s="167"/>
      <c r="AW51" s="167"/>
      <c r="AX51" s="159"/>
      <c r="AY51" s="158" t="s">
        <v>33</v>
      </c>
      <c r="AZ51" s="167"/>
      <c r="BA51" s="167"/>
      <c r="BB51" s="159"/>
      <c r="BC51" s="201" t="s">
        <v>71</v>
      </c>
      <c r="BD51" s="202"/>
      <c r="BE51" s="202"/>
      <c r="BF51" s="202"/>
      <c r="BG51" s="202"/>
      <c r="BH51" s="202"/>
      <c r="BI51" s="202"/>
      <c r="BJ51" s="203"/>
      <c r="BK51" s="21"/>
    </row>
    <row r="52" spans="1:63" x14ac:dyDescent="0.25">
      <c r="A52" s="20"/>
      <c r="B52" s="204">
        <f>B51+1</f>
        <v>1</v>
      </c>
      <c r="C52" s="205"/>
      <c r="D52" s="206" t="s">
        <v>64</v>
      </c>
      <c r="E52" s="207"/>
      <c r="F52" s="207"/>
      <c r="G52" s="207"/>
      <c r="H52" s="207"/>
      <c r="I52" s="207"/>
      <c r="J52" s="208"/>
      <c r="K52" s="163" t="s">
        <v>30</v>
      </c>
      <c r="L52" s="164"/>
      <c r="M52" s="165"/>
      <c r="N52" s="33" t="s">
        <v>35</v>
      </c>
      <c r="O52" s="25" t="s">
        <v>32</v>
      </c>
      <c r="P52" s="204" t="s">
        <v>34</v>
      </c>
      <c r="Q52" s="213"/>
      <c r="R52" s="213"/>
      <c r="S52" s="205"/>
      <c r="T52" s="204" t="s">
        <v>34</v>
      </c>
      <c r="U52" s="213"/>
      <c r="V52" s="213"/>
      <c r="W52" s="205"/>
      <c r="X52" s="233" t="s">
        <v>67</v>
      </c>
      <c r="Y52" s="234"/>
      <c r="Z52" s="235"/>
      <c r="AA52" s="204" t="s">
        <v>33</v>
      </c>
      <c r="AB52" s="213"/>
      <c r="AC52" s="213"/>
      <c r="AD52" s="213"/>
      <c r="AE52" s="213"/>
      <c r="AF52" s="213"/>
      <c r="AG52" s="213"/>
      <c r="AH52" s="205"/>
      <c r="AI52" s="229" t="s">
        <v>33</v>
      </c>
      <c r="AJ52" s="230"/>
      <c r="AK52" s="230"/>
      <c r="AL52" s="230"/>
      <c r="AM52" s="230"/>
      <c r="AN52" s="230"/>
      <c r="AO52" s="230"/>
      <c r="AP52" s="230"/>
      <c r="AQ52" s="231"/>
      <c r="AR52" s="27" t="s">
        <v>31</v>
      </c>
      <c r="AS52" s="27" t="s">
        <v>31</v>
      </c>
      <c r="AT52" s="27" t="s">
        <v>31</v>
      </c>
      <c r="AU52" s="204" t="s">
        <v>34</v>
      </c>
      <c r="AV52" s="213"/>
      <c r="AW52" s="213"/>
      <c r="AX52" s="205"/>
      <c r="AY52" s="204" t="s">
        <v>33</v>
      </c>
      <c r="AZ52" s="213"/>
      <c r="BA52" s="213"/>
      <c r="BB52" s="205"/>
      <c r="BC52" s="232"/>
      <c r="BD52" s="227"/>
      <c r="BE52" s="227"/>
      <c r="BF52" s="227"/>
      <c r="BG52" s="227"/>
      <c r="BH52" s="227"/>
      <c r="BI52" s="227"/>
      <c r="BJ52" s="228"/>
      <c r="BK52" s="21"/>
    </row>
    <row r="53" spans="1:63" ht="79.5" customHeight="1" x14ac:dyDescent="0.25">
      <c r="A53" s="20"/>
      <c r="B53" s="204">
        <f t="shared" ref="B53:B102" si="0">B52+1</f>
        <v>2</v>
      </c>
      <c r="C53" s="205"/>
      <c r="D53" s="206" t="s">
        <v>65</v>
      </c>
      <c r="E53" s="207"/>
      <c r="F53" s="207"/>
      <c r="G53" s="207"/>
      <c r="H53" s="207"/>
      <c r="I53" s="207"/>
      <c r="J53" s="208"/>
      <c r="K53" s="209" t="s">
        <v>40</v>
      </c>
      <c r="L53" s="164"/>
      <c r="M53" s="165"/>
      <c r="N53" s="25" t="s">
        <v>38</v>
      </c>
      <c r="O53" s="25" t="s">
        <v>31</v>
      </c>
      <c r="P53" s="210" t="s">
        <v>271</v>
      </c>
      <c r="Q53" s="211"/>
      <c r="R53" s="211"/>
      <c r="S53" s="212"/>
      <c r="T53" s="210" t="s">
        <v>134</v>
      </c>
      <c r="U53" s="211"/>
      <c r="V53" s="211"/>
      <c r="W53" s="212"/>
      <c r="X53" s="214" t="s">
        <v>33</v>
      </c>
      <c r="Y53" s="215"/>
      <c r="Z53" s="216"/>
      <c r="AA53" s="217" t="s">
        <v>135</v>
      </c>
      <c r="AB53" s="218"/>
      <c r="AC53" s="218"/>
      <c r="AD53" s="218"/>
      <c r="AE53" s="218"/>
      <c r="AF53" s="218"/>
      <c r="AG53" s="218"/>
      <c r="AH53" s="219"/>
      <c r="AI53" s="220" t="s">
        <v>262</v>
      </c>
      <c r="AJ53" s="221"/>
      <c r="AK53" s="221"/>
      <c r="AL53" s="221"/>
      <c r="AM53" s="221"/>
      <c r="AN53" s="221"/>
      <c r="AO53" s="221"/>
      <c r="AP53" s="221"/>
      <c r="AQ53" s="222"/>
      <c r="AR53" s="27" t="s">
        <v>32</v>
      </c>
      <c r="AS53" s="27" t="s">
        <v>32</v>
      </c>
      <c r="AT53" s="27" t="s">
        <v>31</v>
      </c>
      <c r="AU53" s="223" t="s">
        <v>166</v>
      </c>
      <c r="AV53" s="213"/>
      <c r="AW53" s="213"/>
      <c r="AX53" s="205"/>
      <c r="AY53" s="223" t="s">
        <v>132</v>
      </c>
      <c r="AZ53" s="224"/>
      <c r="BA53" s="224"/>
      <c r="BB53" s="225"/>
      <c r="BC53" s="226" t="s">
        <v>130</v>
      </c>
      <c r="BD53" s="227"/>
      <c r="BE53" s="227"/>
      <c r="BF53" s="227"/>
      <c r="BG53" s="227"/>
      <c r="BH53" s="227"/>
      <c r="BI53" s="227"/>
      <c r="BJ53" s="228"/>
      <c r="BK53" s="21"/>
    </row>
    <row r="54" spans="1:63" ht="66.75" customHeight="1" x14ac:dyDescent="0.25">
      <c r="A54" s="20"/>
      <c r="B54" s="204">
        <f t="shared" si="0"/>
        <v>3</v>
      </c>
      <c r="C54" s="205"/>
      <c r="D54" s="206" t="s">
        <v>69</v>
      </c>
      <c r="E54" s="207"/>
      <c r="F54" s="207"/>
      <c r="G54" s="207"/>
      <c r="H54" s="207"/>
      <c r="I54" s="207"/>
      <c r="J54" s="208"/>
      <c r="K54" s="209" t="s">
        <v>42</v>
      </c>
      <c r="L54" s="164"/>
      <c r="M54" s="165"/>
      <c r="N54" s="25" t="s">
        <v>38</v>
      </c>
      <c r="O54" s="25" t="s">
        <v>32</v>
      </c>
      <c r="P54" s="237" t="s">
        <v>34</v>
      </c>
      <c r="Q54" s="211"/>
      <c r="R54" s="211"/>
      <c r="S54" s="212"/>
      <c r="T54" s="237" t="s">
        <v>34</v>
      </c>
      <c r="U54" s="211"/>
      <c r="V54" s="211"/>
      <c r="W54" s="212"/>
      <c r="X54" s="238" t="s">
        <v>70</v>
      </c>
      <c r="Y54" s="239"/>
      <c r="Z54" s="240"/>
      <c r="AA54" s="210" t="s">
        <v>33</v>
      </c>
      <c r="AB54" s="211"/>
      <c r="AC54" s="211"/>
      <c r="AD54" s="211"/>
      <c r="AE54" s="211"/>
      <c r="AF54" s="211"/>
      <c r="AG54" s="211"/>
      <c r="AH54" s="212"/>
      <c r="AI54" s="220" t="s">
        <v>137</v>
      </c>
      <c r="AJ54" s="221"/>
      <c r="AK54" s="221"/>
      <c r="AL54" s="221"/>
      <c r="AM54" s="221"/>
      <c r="AN54" s="221"/>
      <c r="AO54" s="221"/>
      <c r="AP54" s="221"/>
      <c r="AQ54" s="222"/>
      <c r="AR54" s="27" t="s">
        <v>31</v>
      </c>
      <c r="AS54" s="27" t="s">
        <v>31</v>
      </c>
      <c r="AT54" s="27" t="s">
        <v>31</v>
      </c>
      <c r="AU54" s="204" t="s">
        <v>34</v>
      </c>
      <c r="AV54" s="213"/>
      <c r="AW54" s="213"/>
      <c r="AX54" s="205"/>
      <c r="AY54" s="204" t="s">
        <v>33</v>
      </c>
      <c r="AZ54" s="213"/>
      <c r="BA54" s="213"/>
      <c r="BB54" s="205"/>
      <c r="BC54" s="246" t="s">
        <v>72</v>
      </c>
      <c r="BD54" s="227"/>
      <c r="BE54" s="227"/>
      <c r="BF54" s="227"/>
      <c r="BG54" s="227"/>
      <c r="BH54" s="227"/>
      <c r="BI54" s="227"/>
      <c r="BJ54" s="228"/>
      <c r="BK54" s="21"/>
    </row>
    <row r="55" spans="1:63" ht="111.75" customHeight="1" x14ac:dyDescent="0.25">
      <c r="A55" s="20"/>
      <c r="B55" s="204">
        <f t="shared" ref="B55" si="1">B54+1</f>
        <v>4</v>
      </c>
      <c r="C55" s="205"/>
      <c r="D55" s="206" t="s">
        <v>66</v>
      </c>
      <c r="E55" s="207"/>
      <c r="F55" s="207"/>
      <c r="G55" s="207"/>
      <c r="H55" s="207"/>
      <c r="I55" s="207"/>
      <c r="J55" s="208"/>
      <c r="K55" s="209" t="s">
        <v>40</v>
      </c>
      <c r="L55" s="164"/>
      <c r="M55" s="165"/>
      <c r="N55" s="28" t="s">
        <v>35</v>
      </c>
      <c r="O55" s="25" t="s">
        <v>31</v>
      </c>
      <c r="P55" s="236" t="s">
        <v>131</v>
      </c>
      <c r="Q55" s="211"/>
      <c r="R55" s="211"/>
      <c r="S55" s="212"/>
      <c r="T55" s="236" t="s">
        <v>150</v>
      </c>
      <c r="U55" s="211"/>
      <c r="V55" s="211"/>
      <c r="W55" s="212"/>
      <c r="X55" s="238" t="s">
        <v>66</v>
      </c>
      <c r="Y55" s="239"/>
      <c r="Z55" s="240"/>
      <c r="AA55" s="241" t="s">
        <v>149</v>
      </c>
      <c r="AB55" s="218"/>
      <c r="AC55" s="218"/>
      <c r="AD55" s="218"/>
      <c r="AE55" s="218"/>
      <c r="AF55" s="218"/>
      <c r="AG55" s="218"/>
      <c r="AH55" s="219"/>
      <c r="AI55" s="242" t="s">
        <v>68</v>
      </c>
      <c r="AJ55" s="230"/>
      <c r="AK55" s="230"/>
      <c r="AL55" s="230"/>
      <c r="AM55" s="230"/>
      <c r="AN55" s="230"/>
      <c r="AO55" s="230"/>
      <c r="AP55" s="230"/>
      <c r="AQ55" s="231"/>
      <c r="AR55" s="27" t="s">
        <v>31</v>
      </c>
      <c r="AS55" s="27" t="s">
        <v>31</v>
      </c>
      <c r="AT55" s="27" t="s">
        <v>31</v>
      </c>
      <c r="AU55" s="204" t="s">
        <v>34</v>
      </c>
      <c r="AV55" s="213"/>
      <c r="AW55" s="213"/>
      <c r="AX55" s="205"/>
      <c r="AY55" s="204" t="s">
        <v>33</v>
      </c>
      <c r="AZ55" s="213"/>
      <c r="BA55" s="213"/>
      <c r="BB55" s="205"/>
      <c r="BC55" s="243"/>
      <c r="BD55" s="244"/>
      <c r="BE55" s="244"/>
      <c r="BF55" s="244"/>
      <c r="BG55" s="244"/>
      <c r="BH55" s="244"/>
      <c r="BI55" s="244"/>
      <c r="BJ55" s="245"/>
      <c r="BK55" s="21"/>
    </row>
    <row r="56" spans="1:63" x14ac:dyDescent="0.25">
      <c r="A56" s="20"/>
      <c r="B56" s="204">
        <f t="shared" si="0"/>
        <v>5</v>
      </c>
      <c r="C56" s="205"/>
      <c r="D56" s="247" t="s">
        <v>73</v>
      </c>
      <c r="E56" s="248"/>
      <c r="F56" s="248"/>
      <c r="G56" s="248"/>
      <c r="H56" s="248"/>
      <c r="I56" s="248"/>
      <c r="J56" s="249"/>
      <c r="K56" s="209" t="s">
        <v>30</v>
      </c>
      <c r="L56" s="164"/>
      <c r="M56" s="165"/>
      <c r="N56" s="32" t="s">
        <v>35</v>
      </c>
      <c r="O56" s="25" t="s">
        <v>31</v>
      </c>
      <c r="P56" s="237" t="s">
        <v>34</v>
      </c>
      <c r="Q56" s="211"/>
      <c r="R56" s="211"/>
      <c r="S56" s="212"/>
      <c r="T56" s="237" t="s">
        <v>34</v>
      </c>
      <c r="U56" s="211"/>
      <c r="V56" s="211"/>
      <c r="W56" s="212"/>
      <c r="X56" s="238" t="s">
        <v>31</v>
      </c>
      <c r="Y56" s="239"/>
      <c r="Z56" s="240"/>
      <c r="AA56" s="237" t="s">
        <v>33</v>
      </c>
      <c r="AB56" s="211"/>
      <c r="AC56" s="211"/>
      <c r="AD56" s="211"/>
      <c r="AE56" s="211"/>
      <c r="AF56" s="211"/>
      <c r="AG56" s="211"/>
      <c r="AH56" s="212"/>
      <c r="AI56" s="229" t="s">
        <v>33</v>
      </c>
      <c r="AJ56" s="230"/>
      <c r="AK56" s="230"/>
      <c r="AL56" s="230"/>
      <c r="AM56" s="230"/>
      <c r="AN56" s="230"/>
      <c r="AO56" s="230"/>
      <c r="AP56" s="230"/>
      <c r="AQ56" s="231"/>
      <c r="AR56" s="27" t="s">
        <v>31</v>
      </c>
      <c r="AS56" s="27" t="s">
        <v>31</v>
      </c>
      <c r="AT56" s="27" t="s">
        <v>31</v>
      </c>
      <c r="AU56" s="204" t="s">
        <v>34</v>
      </c>
      <c r="AV56" s="213"/>
      <c r="AW56" s="213"/>
      <c r="AX56" s="205"/>
      <c r="AY56" s="204" t="s">
        <v>33</v>
      </c>
      <c r="AZ56" s="213"/>
      <c r="BA56" s="213"/>
      <c r="BB56" s="205"/>
      <c r="BC56" s="246"/>
      <c r="BD56" s="227"/>
      <c r="BE56" s="227"/>
      <c r="BF56" s="227"/>
      <c r="BG56" s="227"/>
      <c r="BH56" s="227"/>
      <c r="BI56" s="227"/>
      <c r="BJ56" s="228"/>
      <c r="BK56" s="21"/>
    </row>
    <row r="57" spans="1:63" ht="95.25" customHeight="1" x14ac:dyDescent="0.25">
      <c r="A57" s="20"/>
      <c r="B57" s="204">
        <f t="shared" si="0"/>
        <v>6</v>
      </c>
      <c r="C57" s="205"/>
      <c r="D57" s="247" t="s">
        <v>74</v>
      </c>
      <c r="E57" s="248"/>
      <c r="F57" s="248"/>
      <c r="G57" s="248"/>
      <c r="H57" s="248"/>
      <c r="I57" s="248"/>
      <c r="J57" s="249"/>
      <c r="K57" s="163" t="s">
        <v>40</v>
      </c>
      <c r="L57" s="164"/>
      <c r="M57" s="165"/>
      <c r="N57" s="28" t="s">
        <v>38</v>
      </c>
      <c r="O57" s="25" t="s">
        <v>31</v>
      </c>
      <c r="P57" s="236" t="s">
        <v>245</v>
      </c>
      <c r="Q57" s="211"/>
      <c r="R57" s="211"/>
      <c r="S57" s="212"/>
      <c r="T57" s="241" t="s">
        <v>156</v>
      </c>
      <c r="U57" s="218"/>
      <c r="V57" s="218"/>
      <c r="W57" s="219"/>
      <c r="X57" s="238" t="s">
        <v>31</v>
      </c>
      <c r="Y57" s="239"/>
      <c r="Z57" s="240"/>
      <c r="AA57" s="241" t="s">
        <v>246</v>
      </c>
      <c r="AB57" s="250"/>
      <c r="AC57" s="250"/>
      <c r="AD57" s="250"/>
      <c r="AE57" s="250"/>
      <c r="AF57" s="250"/>
      <c r="AG57" s="250"/>
      <c r="AH57" s="251"/>
      <c r="AI57" s="252" t="s">
        <v>263</v>
      </c>
      <c r="AJ57" s="253"/>
      <c r="AK57" s="253"/>
      <c r="AL57" s="253"/>
      <c r="AM57" s="253"/>
      <c r="AN57" s="253"/>
      <c r="AO57" s="253"/>
      <c r="AP57" s="253"/>
      <c r="AQ57" s="254"/>
      <c r="AR57" s="27" t="s">
        <v>31</v>
      </c>
      <c r="AS57" s="27" t="s">
        <v>32</v>
      </c>
      <c r="AT57" s="27" t="s">
        <v>31</v>
      </c>
      <c r="AU57" s="236" t="s">
        <v>167</v>
      </c>
      <c r="AV57" s="211"/>
      <c r="AW57" s="211"/>
      <c r="AX57" s="212"/>
      <c r="AY57" s="210" t="s">
        <v>134</v>
      </c>
      <c r="AZ57" s="211"/>
      <c r="BA57" s="211"/>
      <c r="BB57" s="212"/>
      <c r="BC57" s="255" t="s">
        <v>253</v>
      </c>
      <c r="BD57" s="256"/>
      <c r="BE57" s="256"/>
      <c r="BF57" s="256"/>
      <c r="BG57" s="256"/>
      <c r="BH57" s="256"/>
      <c r="BI57" s="256"/>
      <c r="BJ57" s="257"/>
      <c r="BK57" s="21"/>
    </row>
    <row r="58" spans="1:63" ht="63.75" customHeight="1" x14ac:dyDescent="0.25">
      <c r="A58" s="20"/>
      <c r="B58" s="204">
        <f t="shared" si="0"/>
        <v>7</v>
      </c>
      <c r="C58" s="205"/>
      <c r="D58" s="247" t="s">
        <v>75</v>
      </c>
      <c r="E58" s="248"/>
      <c r="F58" s="248"/>
      <c r="G58" s="248"/>
      <c r="H58" s="248"/>
      <c r="I58" s="248"/>
      <c r="J58" s="249"/>
      <c r="K58" s="209" t="s">
        <v>42</v>
      </c>
      <c r="L58" s="164"/>
      <c r="M58" s="165"/>
      <c r="N58" s="28" t="s">
        <v>38</v>
      </c>
      <c r="O58" s="25" t="s">
        <v>32</v>
      </c>
      <c r="P58" s="237" t="s">
        <v>34</v>
      </c>
      <c r="Q58" s="211"/>
      <c r="R58" s="211"/>
      <c r="S58" s="212"/>
      <c r="T58" s="237" t="s">
        <v>34</v>
      </c>
      <c r="U58" s="211"/>
      <c r="V58" s="211"/>
      <c r="W58" s="212"/>
      <c r="X58" s="238" t="s">
        <v>70</v>
      </c>
      <c r="Y58" s="239"/>
      <c r="Z58" s="240"/>
      <c r="AA58" s="237" t="s">
        <v>33</v>
      </c>
      <c r="AB58" s="211"/>
      <c r="AC58" s="211"/>
      <c r="AD58" s="211"/>
      <c r="AE58" s="211"/>
      <c r="AF58" s="211"/>
      <c r="AG58" s="211"/>
      <c r="AH58" s="212"/>
      <c r="AI58" s="220" t="s">
        <v>240</v>
      </c>
      <c r="AJ58" s="221"/>
      <c r="AK58" s="221"/>
      <c r="AL58" s="221"/>
      <c r="AM58" s="221"/>
      <c r="AN58" s="221"/>
      <c r="AO58" s="221"/>
      <c r="AP58" s="221"/>
      <c r="AQ58" s="222"/>
      <c r="AR58" s="27" t="s">
        <v>31</v>
      </c>
      <c r="AS58" s="27" t="s">
        <v>31</v>
      </c>
      <c r="AT58" s="27" t="s">
        <v>31</v>
      </c>
      <c r="AU58" s="237" t="s">
        <v>34</v>
      </c>
      <c r="AV58" s="211"/>
      <c r="AW58" s="211"/>
      <c r="AX58" s="212"/>
      <c r="AY58" s="237" t="s">
        <v>33</v>
      </c>
      <c r="AZ58" s="211"/>
      <c r="BA58" s="211"/>
      <c r="BB58" s="212"/>
      <c r="BC58" s="258" t="s">
        <v>248</v>
      </c>
      <c r="BD58" s="259"/>
      <c r="BE58" s="259"/>
      <c r="BF58" s="259"/>
      <c r="BG58" s="259"/>
      <c r="BH58" s="259"/>
      <c r="BI58" s="259"/>
      <c r="BJ58" s="260"/>
      <c r="BK58" s="21"/>
    </row>
    <row r="59" spans="1:63" ht="63.75" customHeight="1" x14ac:dyDescent="0.25">
      <c r="A59" s="20"/>
      <c r="B59" s="204">
        <f t="shared" si="0"/>
        <v>8</v>
      </c>
      <c r="C59" s="205"/>
      <c r="D59" s="247" t="s">
        <v>76</v>
      </c>
      <c r="E59" s="248"/>
      <c r="F59" s="248"/>
      <c r="G59" s="248"/>
      <c r="H59" s="248"/>
      <c r="I59" s="248"/>
      <c r="J59" s="249"/>
      <c r="K59" s="209" t="s">
        <v>42</v>
      </c>
      <c r="L59" s="164"/>
      <c r="M59" s="165"/>
      <c r="N59" s="28" t="s">
        <v>38</v>
      </c>
      <c r="O59" s="25" t="s">
        <v>32</v>
      </c>
      <c r="P59" s="237" t="s">
        <v>34</v>
      </c>
      <c r="Q59" s="211"/>
      <c r="R59" s="211"/>
      <c r="S59" s="212"/>
      <c r="T59" s="237" t="s">
        <v>34</v>
      </c>
      <c r="U59" s="211"/>
      <c r="V59" s="211"/>
      <c r="W59" s="212"/>
      <c r="X59" s="238" t="s">
        <v>77</v>
      </c>
      <c r="Y59" s="239"/>
      <c r="Z59" s="240"/>
      <c r="AA59" s="237" t="s">
        <v>33</v>
      </c>
      <c r="AB59" s="211"/>
      <c r="AC59" s="211"/>
      <c r="AD59" s="211"/>
      <c r="AE59" s="211"/>
      <c r="AF59" s="211"/>
      <c r="AG59" s="211"/>
      <c r="AH59" s="212"/>
      <c r="AI59" s="220" t="s">
        <v>247</v>
      </c>
      <c r="AJ59" s="221"/>
      <c r="AK59" s="221"/>
      <c r="AL59" s="221"/>
      <c r="AM59" s="221"/>
      <c r="AN59" s="221"/>
      <c r="AO59" s="221"/>
      <c r="AP59" s="221"/>
      <c r="AQ59" s="222"/>
      <c r="AR59" s="27" t="s">
        <v>31</v>
      </c>
      <c r="AS59" s="27" t="s">
        <v>31</v>
      </c>
      <c r="AT59" s="27" t="s">
        <v>31</v>
      </c>
      <c r="AU59" s="237" t="s">
        <v>34</v>
      </c>
      <c r="AV59" s="211"/>
      <c r="AW59" s="211"/>
      <c r="AX59" s="212"/>
      <c r="AY59" s="237" t="s">
        <v>33</v>
      </c>
      <c r="AZ59" s="211"/>
      <c r="BA59" s="211"/>
      <c r="BB59" s="212"/>
      <c r="BC59" s="246" t="s">
        <v>78</v>
      </c>
      <c r="BD59" s="227"/>
      <c r="BE59" s="227"/>
      <c r="BF59" s="227"/>
      <c r="BG59" s="227"/>
      <c r="BH59" s="227"/>
      <c r="BI59" s="227"/>
      <c r="BJ59" s="228"/>
      <c r="BK59" s="21"/>
    </row>
    <row r="60" spans="1:63" ht="31.5" customHeight="1" x14ac:dyDescent="0.25">
      <c r="A60" s="20"/>
      <c r="B60" s="204">
        <f t="shared" si="0"/>
        <v>9</v>
      </c>
      <c r="C60" s="205"/>
      <c r="D60" s="247" t="s">
        <v>79</v>
      </c>
      <c r="E60" s="248"/>
      <c r="F60" s="248"/>
      <c r="G60" s="248"/>
      <c r="H60" s="248"/>
      <c r="I60" s="248"/>
      <c r="J60" s="249"/>
      <c r="K60" s="209" t="s">
        <v>30</v>
      </c>
      <c r="L60" s="164"/>
      <c r="M60" s="165"/>
      <c r="N60" s="32" t="s">
        <v>35</v>
      </c>
      <c r="O60" s="25" t="s">
        <v>32</v>
      </c>
      <c r="P60" s="210" t="s">
        <v>31</v>
      </c>
      <c r="Q60" s="211"/>
      <c r="R60" s="211"/>
      <c r="S60" s="212"/>
      <c r="T60" s="237" t="s">
        <v>34</v>
      </c>
      <c r="U60" s="211"/>
      <c r="V60" s="211"/>
      <c r="W60" s="212"/>
      <c r="X60" s="238" t="s">
        <v>80</v>
      </c>
      <c r="Y60" s="239"/>
      <c r="Z60" s="240"/>
      <c r="AA60" s="237" t="s">
        <v>33</v>
      </c>
      <c r="AB60" s="211"/>
      <c r="AC60" s="211"/>
      <c r="AD60" s="211"/>
      <c r="AE60" s="211"/>
      <c r="AF60" s="211"/>
      <c r="AG60" s="211"/>
      <c r="AH60" s="212"/>
      <c r="AI60" s="229" t="s">
        <v>33</v>
      </c>
      <c r="AJ60" s="230"/>
      <c r="AK60" s="230"/>
      <c r="AL60" s="230"/>
      <c r="AM60" s="230"/>
      <c r="AN60" s="230"/>
      <c r="AO60" s="230"/>
      <c r="AP60" s="230"/>
      <c r="AQ60" s="231"/>
      <c r="AR60" s="27" t="s">
        <v>31</v>
      </c>
      <c r="AS60" s="27" t="s">
        <v>31</v>
      </c>
      <c r="AT60" s="27" t="s">
        <v>31</v>
      </c>
      <c r="AU60" s="237" t="s">
        <v>34</v>
      </c>
      <c r="AV60" s="211"/>
      <c r="AW60" s="211"/>
      <c r="AX60" s="212"/>
      <c r="AY60" s="237" t="s">
        <v>33</v>
      </c>
      <c r="AZ60" s="211"/>
      <c r="BA60" s="211"/>
      <c r="BB60" s="212"/>
      <c r="BC60" s="246"/>
      <c r="BD60" s="227"/>
      <c r="BE60" s="227"/>
      <c r="BF60" s="227"/>
      <c r="BG60" s="227"/>
      <c r="BH60" s="227"/>
      <c r="BI60" s="227"/>
      <c r="BJ60" s="228"/>
      <c r="BK60" s="21"/>
    </row>
    <row r="61" spans="1:63" ht="124.5" customHeight="1" x14ac:dyDescent="0.25">
      <c r="A61" s="20"/>
      <c r="B61" s="204">
        <f t="shared" si="0"/>
        <v>10</v>
      </c>
      <c r="C61" s="205"/>
      <c r="D61" s="247" t="s">
        <v>138</v>
      </c>
      <c r="E61" s="248"/>
      <c r="F61" s="248"/>
      <c r="G61" s="248"/>
      <c r="H61" s="248"/>
      <c r="I61" s="248"/>
      <c r="J61" s="249"/>
      <c r="K61" s="209" t="s">
        <v>82</v>
      </c>
      <c r="L61" s="164"/>
      <c r="M61" s="165"/>
      <c r="N61" s="28" t="s">
        <v>38</v>
      </c>
      <c r="O61" s="25" t="s">
        <v>31</v>
      </c>
      <c r="P61" s="210" t="s">
        <v>136</v>
      </c>
      <c r="Q61" s="211"/>
      <c r="R61" s="211"/>
      <c r="S61" s="212"/>
      <c r="T61" s="210" t="s">
        <v>274</v>
      </c>
      <c r="U61" s="211"/>
      <c r="V61" s="211"/>
      <c r="W61" s="212"/>
      <c r="X61" s="238" t="s">
        <v>84</v>
      </c>
      <c r="Y61" s="239"/>
      <c r="Z61" s="240"/>
      <c r="AA61" s="217" t="s">
        <v>172</v>
      </c>
      <c r="AB61" s="250"/>
      <c r="AC61" s="250"/>
      <c r="AD61" s="250"/>
      <c r="AE61" s="250"/>
      <c r="AF61" s="250"/>
      <c r="AG61" s="250"/>
      <c r="AH61" s="251"/>
      <c r="AI61" s="242" t="s">
        <v>286</v>
      </c>
      <c r="AJ61" s="230"/>
      <c r="AK61" s="230"/>
      <c r="AL61" s="230"/>
      <c r="AM61" s="230"/>
      <c r="AN61" s="230"/>
      <c r="AO61" s="230"/>
      <c r="AP61" s="230"/>
      <c r="AQ61" s="231"/>
      <c r="AR61" s="27" t="s">
        <v>31</v>
      </c>
      <c r="AS61" s="27" t="s">
        <v>31</v>
      </c>
      <c r="AT61" s="27" t="s">
        <v>31</v>
      </c>
      <c r="AU61" s="210" t="s">
        <v>292</v>
      </c>
      <c r="AV61" s="211"/>
      <c r="AW61" s="211"/>
      <c r="AX61" s="212"/>
      <c r="AY61" s="210" t="s">
        <v>144</v>
      </c>
      <c r="AZ61" s="211"/>
      <c r="BA61" s="211"/>
      <c r="BB61" s="212"/>
      <c r="BC61" s="246" t="s">
        <v>86</v>
      </c>
      <c r="BD61" s="227"/>
      <c r="BE61" s="227"/>
      <c r="BF61" s="227"/>
      <c r="BG61" s="227"/>
      <c r="BH61" s="227"/>
      <c r="BI61" s="227"/>
      <c r="BJ61" s="228"/>
      <c r="BK61" s="21"/>
    </row>
    <row r="62" spans="1:63" ht="129.75" customHeight="1" x14ac:dyDescent="0.25">
      <c r="A62" s="20"/>
      <c r="B62" s="204">
        <f t="shared" si="0"/>
        <v>11</v>
      </c>
      <c r="C62" s="205"/>
      <c r="D62" s="247" t="s">
        <v>139</v>
      </c>
      <c r="E62" s="248"/>
      <c r="F62" s="248"/>
      <c r="G62" s="248"/>
      <c r="H62" s="248"/>
      <c r="I62" s="248"/>
      <c r="J62" s="249"/>
      <c r="K62" s="209" t="s">
        <v>267</v>
      </c>
      <c r="L62" s="261"/>
      <c r="M62" s="262"/>
      <c r="N62" s="28" t="s">
        <v>38</v>
      </c>
      <c r="O62" s="25" t="s">
        <v>31</v>
      </c>
      <c r="P62" s="210" t="s">
        <v>136</v>
      </c>
      <c r="Q62" s="211"/>
      <c r="R62" s="211"/>
      <c r="S62" s="212"/>
      <c r="T62" s="210" t="s">
        <v>275</v>
      </c>
      <c r="U62" s="211"/>
      <c r="V62" s="211"/>
      <c r="W62" s="212"/>
      <c r="X62" s="263" t="s">
        <v>282</v>
      </c>
      <c r="Y62" s="239"/>
      <c r="Z62" s="240"/>
      <c r="AA62" s="217" t="s">
        <v>173</v>
      </c>
      <c r="AB62" s="250"/>
      <c r="AC62" s="250"/>
      <c r="AD62" s="250"/>
      <c r="AE62" s="250"/>
      <c r="AF62" s="250"/>
      <c r="AG62" s="250"/>
      <c r="AH62" s="251"/>
      <c r="AI62" s="220" t="s">
        <v>286</v>
      </c>
      <c r="AJ62" s="221"/>
      <c r="AK62" s="221"/>
      <c r="AL62" s="221"/>
      <c r="AM62" s="221"/>
      <c r="AN62" s="221"/>
      <c r="AO62" s="221"/>
      <c r="AP62" s="221"/>
      <c r="AQ62" s="222"/>
      <c r="AR62" s="27" t="s">
        <v>31</v>
      </c>
      <c r="AS62" s="27" t="s">
        <v>31</v>
      </c>
      <c r="AT62" s="27" t="s">
        <v>31</v>
      </c>
      <c r="AU62" s="210" t="s">
        <v>292</v>
      </c>
      <c r="AV62" s="211"/>
      <c r="AW62" s="211"/>
      <c r="AX62" s="212"/>
      <c r="AY62" s="210" t="s">
        <v>143</v>
      </c>
      <c r="AZ62" s="211"/>
      <c r="BA62" s="211"/>
      <c r="BB62" s="212"/>
      <c r="BC62" s="246" t="s">
        <v>294</v>
      </c>
      <c r="BD62" s="227"/>
      <c r="BE62" s="227"/>
      <c r="BF62" s="227"/>
      <c r="BG62" s="227"/>
      <c r="BH62" s="227"/>
      <c r="BI62" s="227"/>
      <c r="BJ62" s="228"/>
      <c r="BK62" s="21"/>
    </row>
    <row r="63" spans="1:63" ht="132.75" customHeight="1" x14ac:dyDescent="0.25">
      <c r="A63" s="20"/>
      <c r="B63" s="204">
        <f t="shared" si="0"/>
        <v>12</v>
      </c>
      <c r="C63" s="205"/>
      <c r="D63" s="247" t="s">
        <v>140</v>
      </c>
      <c r="E63" s="248"/>
      <c r="F63" s="248"/>
      <c r="G63" s="248"/>
      <c r="H63" s="248"/>
      <c r="I63" s="248"/>
      <c r="J63" s="249"/>
      <c r="K63" s="209" t="s">
        <v>82</v>
      </c>
      <c r="L63" s="261"/>
      <c r="M63" s="262"/>
      <c r="N63" s="28" t="s">
        <v>38</v>
      </c>
      <c r="O63" s="25" t="s">
        <v>31</v>
      </c>
      <c r="P63" s="210" t="s">
        <v>136</v>
      </c>
      <c r="Q63" s="211"/>
      <c r="R63" s="211"/>
      <c r="S63" s="212"/>
      <c r="T63" s="237" t="s">
        <v>276</v>
      </c>
      <c r="U63" s="211"/>
      <c r="V63" s="211"/>
      <c r="W63" s="212"/>
      <c r="X63" s="238" t="s">
        <v>84</v>
      </c>
      <c r="Y63" s="239"/>
      <c r="Z63" s="240"/>
      <c r="AA63" s="217" t="s">
        <v>174</v>
      </c>
      <c r="AB63" s="250"/>
      <c r="AC63" s="250"/>
      <c r="AD63" s="250"/>
      <c r="AE63" s="250"/>
      <c r="AF63" s="250"/>
      <c r="AG63" s="250"/>
      <c r="AH63" s="251"/>
      <c r="AI63" s="242" t="s">
        <v>286</v>
      </c>
      <c r="AJ63" s="230"/>
      <c r="AK63" s="230"/>
      <c r="AL63" s="230"/>
      <c r="AM63" s="230"/>
      <c r="AN63" s="230"/>
      <c r="AO63" s="230"/>
      <c r="AP63" s="230"/>
      <c r="AQ63" s="231"/>
      <c r="AR63" s="27" t="s">
        <v>31</v>
      </c>
      <c r="AS63" s="27" t="s">
        <v>31</v>
      </c>
      <c r="AT63" s="27" t="s">
        <v>31</v>
      </c>
      <c r="AU63" s="210" t="s">
        <v>292</v>
      </c>
      <c r="AV63" s="211"/>
      <c r="AW63" s="211"/>
      <c r="AX63" s="212"/>
      <c r="AY63" s="237" t="s">
        <v>146</v>
      </c>
      <c r="AZ63" s="211"/>
      <c r="BA63" s="211"/>
      <c r="BB63" s="212"/>
      <c r="BC63" s="246" t="s">
        <v>86</v>
      </c>
      <c r="BD63" s="227"/>
      <c r="BE63" s="227"/>
      <c r="BF63" s="227"/>
      <c r="BG63" s="227"/>
      <c r="BH63" s="227"/>
      <c r="BI63" s="227"/>
      <c r="BJ63" s="228"/>
      <c r="BK63" s="21"/>
    </row>
    <row r="64" spans="1:63" ht="129.75" customHeight="1" x14ac:dyDescent="0.25">
      <c r="A64" s="20"/>
      <c r="B64" s="204">
        <f t="shared" si="0"/>
        <v>13</v>
      </c>
      <c r="C64" s="205"/>
      <c r="D64" s="247" t="s">
        <v>141</v>
      </c>
      <c r="E64" s="248"/>
      <c r="F64" s="248"/>
      <c r="G64" s="248"/>
      <c r="H64" s="248"/>
      <c r="I64" s="248"/>
      <c r="J64" s="249"/>
      <c r="K64" s="209" t="s">
        <v>81</v>
      </c>
      <c r="L64" s="261"/>
      <c r="M64" s="262"/>
      <c r="N64" s="28" t="s">
        <v>38</v>
      </c>
      <c r="O64" s="25" t="s">
        <v>31</v>
      </c>
      <c r="P64" s="210" t="s">
        <v>136</v>
      </c>
      <c r="Q64" s="211"/>
      <c r="R64" s="211"/>
      <c r="S64" s="212"/>
      <c r="T64" s="210" t="s">
        <v>277</v>
      </c>
      <c r="U64" s="211"/>
      <c r="V64" s="211"/>
      <c r="W64" s="212"/>
      <c r="X64" s="238" t="s">
        <v>85</v>
      </c>
      <c r="Y64" s="239"/>
      <c r="Z64" s="240"/>
      <c r="AA64" s="217" t="s">
        <v>175</v>
      </c>
      <c r="AB64" s="250"/>
      <c r="AC64" s="250"/>
      <c r="AD64" s="250"/>
      <c r="AE64" s="250"/>
      <c r="AF64" s="250"/>
      <c r="AG64" s="250"/>
      <c r="AH64" s="251"/>
      <c r="AI64" s="220" t="s">
        <v>142</v>
      </c>
      <c r="AJ64" s="221"/>
      <c r="AK64" s="221"/>
      <c r="AL64" s="221"/>
      <c r="AM64" s="221"/>
      <c r="AN64" s="221"/>
      <c r="AO64" s="221"/>
      <c r="AP64" s="221"/>
      <c r="AQ64" s="222"/>
      <c r="AR64" s="27" t="s">
        <v>31</v>
      </c>
      <c r="AS64" s="27" t="s">
        <v>31</v>
      </c>
      <c r="AT64" s="27" t="s">
        <v>31</v>
      </c>
      <c r="AU64" s="210" t="s">
        <v>292</v>
      </c>
      <c r="AV64" s="211"/>
      <c r="AW64" s="211"/>
      <c r="AX64" s="212"/>
      <c r="AY64" s="210" t="s">
        <v>145</v>
      </c>
      <c r="AZ64" s="211"/>
      <c r="BA64" s="211"/>
      <c r="BB64" s="212"/>
      <c r="BC64" s="246" t="s">
        <v>87</v>
      </c>
      <c r="BD64" s="227"/>
      <c r="BE64" s="227"/>
      <c r="BF64" s="227"/>
      <c r="BG64" s="227"/>
      <c r="BH64" s="227"/>
      <c r="BI64" s="227"/>
      <c r="BJ64" s="228"/>
      <c r="BK64" s="21"/>
    </row>
    <row r="65" spans="1:63" ht="31.5" customHeight="1" x14ac:dyDescent="0.25">
      <c r="A65" s="20"/>
      <c r="B65" s="405">
        <f t="shared" si="0"/>
        <v>14</v>
      </c>
      <c r="C65" s="406"/>
      <c r="D65" s="407" t="s">
        <v>310</v>
      </c>
      <c r="E65" s="408"/>
      <c r="F65" s="408"/>
      <c r="G65" s="408"/>
      <c r="H65" s="408"/>
      <c r="I65" s="408"/>
      <c r="J65" s="409"/>
      <c r="K65" s="410" t="s">
        <v>311</v>
      </c>
      <c r="L65" s="411"/>
      <c r="M65" s="412"/>
      <c r="N65" s="413" t="s">
        <v>312</v>
      </c>
      <c r="O65" s="414" t="s">
        <v>32</v>
      </c>
      <c r="P65" s="405" t="s">
        <v>31</v>
      </c>
      <c r="Q65" s="415"/>
      <c r="R65" s="415"/>
      <c r="S65" s="406"/>
      <c r="T65" s="405" t="s">
        <v>31</v>
      </c>
      <c r="U65" s="415"/>
      <c r="V65" s="415"/>
      <c r="W65" s="406"/>
      <c r="X65" s="416" t="s">
        <v>313</v>
      </c>
      <c r="Y65" s="417"/>
      <c r="Z65" s="418"/>
      <c r="AA65" s="405" t="s">
        <v>314</v>
      </c>
      <c r="AB65" s="415"/>
      <c r="AC65" s="415"/>
      <c r="AD65" s="415"/>
      <c r="AE65" s="415"/>
      <c r="AF65" s="415"/>
      <c r="AG65" s="415"/>
      <c r="AH65" s="406"/>
      <c r="AI65" s="419" t="s">
        <v>314</v>
      </c>
      <c r="AJ65" s="420"/>
      <c r="AK65" s="420"/>
      <c r="AL65" s="420"/>
      <c r="AM65" s="420"/>
      <c r="AN65" s="420"/>
      <c r="AO65" s="420"/>
      <c r="AP65" s="420"/>
      <c r="AQ65" s="421"/>
      <c r="AR65" s="422" t="s">
        <v>31</v>
      </c>
      <c r="AS65" s="422" t="s">
        <v>31</v>
      </c>
      <c r="AT65" s="422" t="s">
        <v>31</v>
      </c>
      <c r="AU65" s="405" t="s">
        <v>31</v>
      </c>
      <c r="AV65" s="415"/>
      <c r="AW65" s="415"/>
      <c r="AX65" s="406"/>
      <c r="AY65" s="405" t="s">
        <v>314</v>
      </c>
      <c r="AZ65" s="415"/>
      <c r="BA65" s="415"/>
      <c r="BB65" s="406"/>
      <c r="BC65" s="410"/>
      <c r="BD65" s="411"/>
      <c r="BE65" s="411"/>
      <c r="BF65" s="411"/>
      <c r="BG65" s="411"/>
      <c r="BH65" s="411"/>
      <c r="BI65" s="411"/>
      <c r="BJ65" s="412"/>
      <c r="BK65" s="21"/>
    </row>
    <row r="66" spans="1:63" ht="31.5" customHeight="1" x14ac:dyDescent="0.25">
      <c r="A66" s="20"/>
      <c r="B66" s="405">
        <f t="shared" si="0"/>
        <v>15</v>
      </c>
      <c r="C66" s="406"/>
      <c r="D66" s="407" t="s">
        <v>315</v>
      </c>
      <c r="E66" s="408"/>
      <c r="F66" s="408"/>
      <c r="G66" s="408"/>
      <c r="H66" s="408"/>
      <c r="I66" s="408"/>
      <c r="J66" s="409"/>
      <c r="K66" s="410" t="s">
        <v>316</v>
      </c>
      <c r="L66" s="411"/>
      <c r="M66" s="412"/>
      <c r="N66" s="413" t="s">
        <v>317</v>
      </c>
      <c r="O66" s="414" t="s">
        <v>31</v>
      </c>
      <c r="P66" s="423" t="s">
        <v>318</v>
      </c>
      <c r="Q66" s="424"/>
      <c r="R66" s="424"/>
      <c r="S66" s="425"/>
      <c r="T66" s="426" t="s">
        <v>319</v>
      </c>
      <c r="U66" s="427"/>
      <c r="V66" s="427"/>
      <c r="W66" s="428"/>
      <c r="X66" s="416">
        <v>0</v>
      </c>
      <c r="Y66" s="417"/>
      <c r="Z66" s="418"/>
      <c r="AA66" s="429" t="s">
        <v>320</v>
      </c>
      <c r="AB66" s="415"/>
      <c r="AC66" s="415"/>
      <c r="AD66" s="415"/>
      <c r="AE66" s="415"/>
      <c r="AF66" s="415"/>
      <c r="AG66" s="415"/>
      <c r="AH66" s="406"/>
      <c r="AI66" s="430" t="s">
        <v>321</v>
      </c>
      <c r="AJ66" s="431"/>
      <c r="AK66" s="431"/>
      <c r="AL66" s="431"/>
      <c r="AM66" s="431"/>
      <c r="AN66" s="431"/>
      <c r="AO66" s="431"/>
      <c r="AP66" s="431"/>
      <c r="AQ66" s="432"/>
      <c r="AR66" s="422" t="s">
        <v>31</v>
      </c>
      <c r="AS66" s="422" t="s">
        <v>32</v>
      </c>
      <c r="AT66" s="422" t="s">
        <v>31</v>
      </c>
      <c r="AU66" s="423" t="s">
        <v>322</v>
      </c>
      <c r="AV66" s="424"/>
      <c r="AW66" s="424"/>
      <c r="AX66" s="425"/>
      <c r="AY66" s="426" t="s">
        <v>319</v>
      </c>
      <c r="AZ66" s="427"/>
      <c r="BA66" s="427"/>
      <c r="BB66" s="428"/>
      <c r="BC66" s="433" t="s">
        <v>323</v>
      </c>
      <c r="BD66" s="434"/>
      <c r="BE66" s="434"/>
      <c r="BF66" s="434"/>
      <c r="BG66" s="434"/>
      <c r="BH66" s="434"/>
      <c r="BI66" s="434"/>
      <c r="BJ66" s="435"/>
      <c r="BK66" s="21"/>
    </row>
    <row r="67" spans="1:63" x14ac:dyDescent="0.25">
      <c r="A67" s="20"/>
      <c r="B67" s="204">
        <f t="shared" si="0"/>
        <v>16</v>
      </c>
      <c r="C67" s="205"/>
      <c r="D67" s="247" t="s">
        <v>90</v>
      </c>
      <c r="E67" s="248"/>
      <c r="F67" s="248"/>
      <c r="G67" s="248"/>
      <c r="H67" s="248"/>
      <c r="I67" s="248"/>
      <c r="J67" s="249"/>
      <c r="K67" s="209" t="s">
        <v>30</v>
      </c>
      <c r="L67" s="164"/>
      <c r="M67" s="165"/>
      <c r="N67" s="32" t="s">
        <v>35</v>
      </c>
      <c r="O67" s="25" t="s">
        <v>32</v>
      </c>
      <c r="P67" s="237" t="s">
        <v>34</v>
      </c>
      <c r="Q67" s="211"/>
      <c r="R67" s="211"/>
      <c r="S67" s="212"/>
      <c r="T67" s="237" t="s">
        <v>34</v>
      </c>
      <c r="U67" s="211"/>
      <c r="V67" s="211"/>
      <c r="W67" s="212"/>
      <c r="X67" s="272" t="s">
        <v>92</v>
      </c>
      <c r="Y67" s="224"/>
      <c r="Z67" s="225"/>
      <c r="AA67" s="204" t="s">
        <v>33</v>
      </c>
      <c r="AB67" s="213"/>
      <c r="AC67" s="213"/>
      <c r="AD67" s="213"/>
      <c r="AE67" s="213"/>
      <c r="AF67" s="213"/>
      <c r="AG67" s="213"/>
      <c r="AH67" s="205"/>
      <c r="AI67" s="229" t="s">
        <v>33</v>
      </c>
      <c r="AJ67" s="230"/>
      <c r="AK67" s="230"/>
      <c r="AL67" s="230"/>
      <c r="AM67" s="230"/>
      <c r="AN67" s="230"/>
      <c r="AO67" s="230"/>
      <c r="AP67" s="230"/>
      <c r="AQ67" s="231"/>
      <c r="AR67" s="27" t="s">
        <v>31</v>
      </c>
      <c r="AS67" s="27" t="s">
        <v>31</v>
      </c>
      <c r="AT67" s="27" t="s">
        <v>31</v>
      </c>
      <c r="AU67" s="237" t="s">
        <v>34</v>
      </c>
      <c r="AV67" s="211"/>
      <c r="AW67" s="211"/>
      <c r="AX67" s="212"/>
      <c r="AY67" s="237" t="s">
        <v>33</v>
      </c>
      <c r="AZ67" s="211"/>
      <c r="BA67" s="211"/>
      <c r="BB67" s="212"/>
      <c r="BC67" s="246"/>
      <c r="BD67" s="227"/>
      <c r="BE67" s="227"/>
      <c r="BF67" s="227"/>
      <c r="BG67" s="227"/>
      <c r="BH67" s="227"/>
      <c r="BI67" s="227"/>
      <c r="BJ67" s="228"/>
      <c r="BK67" s="21"/>
    </row>
    <row r="68" spans="1:63" x14ac:dyDescent="0.25">
      <c r="A68" s="20"/>
      <c r="B68" s="204">
        <f t="shared" si="0"/>
        <v>17</v>
      </c>
      <c r="C68" s="205"/>
      <c r="D68" s="247" t="s">
        <v>91</v>
      </c>
      <c r="E68" s="248"/>
      <c r="F68" s="248"/>
      <c r="G68" s="248"/>
      <c r="H68" s="248"/>
      <c r="I68" s="248"/>
      <c r="J68" s="249"/>
      <c r="K68" s="258" t="s">
        <v>268</v>
      </c>
      <c r="L68" s="259"/>
      <c r="M68" s="260"/>
      <c r="N68" s="28" t="s">
        <v>38</v>
      </c>
      <c r="O68" s="25" t="s">
        <v>31</v>
      </c>
      <c r="P68" s="210" t="s">
        <v>136</v>
      </c>
      <c r="Q68" s="211"/>
      <c r="R68" s="211"/>
      <c r="S68" s="212"/>
      <c r="T68" s="210" t="s">
        <v>278</v>
      </c>
      <c r="U68" s="211"/>
      <c r="V68" s="211"/>
      <c r="W68" s="212"/>
      <c r="X68" s="272">
        <v>0</v>
      </c>
      <c r="Y68" s="224"/>
      <c r="Z68" s="225"/>
      <c r="AA68" s="267" t="s">
        <v>254</v>
      </c>
      <c r="AB68" s="268"/>
      <c r="AC68" s="268"/>
      <c r="AD68" s="268"/>
      <c r="AE68" s="268"/>
      <c r="AF68" s="268"/>
      <c r="AG68" s="268"/>
      <c r="AH68" s="269"/>
      <c r="AI68" s="220" t="s">
        <v>287</v>
      </c>
      <c r="AJ68" s="221"/>
      <c r="AK68" s="221"/>
      <c r="AL68" s="221"/>
      <c r="AM68" s="221"/>
      <c r="AN68" s="221"/>
      <c r="AO68" s="221"/>
      <c r="AP68" s="221"/>
      <c r="AQ68" s="222"/>
      <c r="AR68" s="27" t="s">
        <v>31</v>
      </c>
      <c r="AS68" s="27" t="s">
        <v>32</v>
      </c>
      <c r="AT68" s="27" t="s">
        <v>31</v>
      </c>
      <c r="AU68" s="210" t="s">
        <v>292</v>
      </c>
      <c r="AV68" s="211"/>
      <c r="AW68" s="211"/>
      <c r="AX68" s="212"/>
      <c r="AY68" s="210" t="s">
        <v>147</v>
      </c>
      <c r="AZ68" s="211"/>
      <c r="BA68" s="211"/>
      <c r="BB68" s="212"/>
      <c r="BC68" s="246" t="s">
        <v>295</v>
      </c>
      <c r="BD68" s="227"/>
      <c r="BE68" s="227"/>
      <c r="BF68" s="227"/>
      <c r="BG68" s="227"/>
      <c r="BH68" s="227"/>
      <c r="BI68" s="227"/>
      <c r="BJ68" s="228"/>
      <c r="BK68" s="21"/>
    </row>
    <row r="69" spans="1:63" ht="31.5" customHeight="1" x14ac:dyDescent="0.25">
      <c r="A69" s="20"/>
      <c r="B69" s="405">
        <f t="shared" si="0"/>
        <v>18</v>
      </c>
      <c r="C69" s="406"/>
      <c r="D69" s="407" t="s">
        <v>324</v>
      </c>
      <c r="E69" s="408"/>
      <c r="F69" s="408"/>
      <c r="G69" s="408"/>
      <c r="H69" s="408"/>
      <c r="I69" s="408"/>
      <c r="J69" s="409"/>
      <c r="K69" s="410" t="s">
        <v>311</v>
      </c>
      <c r="L69" s="411"/>
      <c r="M69" s="412"/>
      <c r="N69" s="413" t="s">
        <v>312</v>
      </c>
      <c r="O69" s="414" t="s">
        <v>32</v>
      </c>
      <c r="P69" s="423" t="s">
        <v>31</v>
      </c>
      <c r="Q69" s="424"/>
      <c r="R69" s="424"/>
      <c r="S69" s="425"/>
      <c r="T69" s="423" t="s">
        <v>31</v>
      </c>
      <c r="U69" s="424"/>
      <c r="V69" s="424"/>
      <c r="W69" s="425"/>
      <c r="X69" s="416" t="s">
        <v>325</v>
      </c>
      <c r="Y69" s="417"/>
      <c r="Z69" s="418"/>
      <c r="AA69" s="405" t="s">
        <v>314</v>
      </c>
      <c r="AB69" s="415"/>
      <c r="AC69" s="415"/>
      <c r="AD69" s="415"/>
      <c r="AE69" s="415"/>
      <c r="AF69" s="415"/>
      <c r="AG69" s="415"/>
      <c r="AH69" s="406"/>
      <c r="AI69" s="419" t="s">
        <v>314</v>
      </c>
      <c r="AJ69" s="420"/>
      <c r="AK69" s="420"/>
      <c r="AL69" s="420"/>
      <c r="AM69" s="420"/>
      <c r="AN69" s="420"/>
      <c r="AO69" s="420"/>
      <c r="AP69" s="420"/>
      <c r="AQ69" s="421"/>
      <c r="AR69" s="422" t="s">
        <v>31</v>
      </c>
      <c r="AS69" s="422" t="s">
        <v>31</v>
      </c>
      <c r="AT69" s="422" t="s">
        <v>31</v>
      </c>
      <c r="AU69" s="405" t="s">
        <v>31</v>
      </c>
      <c r="AV69" s="415"/>
      <c r="AW69" s="415"/>
      <c r="AX69" s="406"/>
      <c r="AY69" s="405" t="s">
        <v>314</v>
      </c>
      <c r="AZ69" s="415"/>
      <c r="BA69" s="415"/>
      <c r="BB69" s="406"/>
      <c r="BC69" s="410"/>
      <c r="BD69" s="411"/>
      <c r="BE69" s="411"/>
      <c r="BF69" s="411"/>
      <c r="BG69" s="411"/>
      <c r="BH69" s="411"/>
      <c r="BI69" s="411"/>
      <c r="BJ69" s="412"/>
      <c r="BK69" s="21"/>
    </row>
    <row r="70" spans="1:63" ht="31.5" customHeight="1" x14ac:dyDescent="0.25">
      <c r="A70" s="20"/>
      <c r="B70" s="405">
        <f t="shared" si="0"/>
        <v>19</v>
      </c>
      <c r="C70" s="406"/>
      <c r="D70" s="407" t="s">
        <v>326</v>
      </c>
      <c r="E70" s="408"/>
      <c r="F70" s="408"/>
      <c r="G70" s="408"/>
      <c r="H70" s="408"/>
      <c r="I70" s="408"/>
      <c r="J70" s="409"/>
      <c r="K70" s="410" t="s">
        <v>316</v>
      </c>
      <c r="L70" s="411"/>
      <c r="M70" s="412"/>
      <c r="N70" s="413" t="s">
        <v>317</v>
      </c>
      <c r="O70" s="414" t="s">
        <v>31</v>
      </c>
      <c r="P70" s="423" t="s">
        <v>318</v>
      </c>
      <c r="Q70" s="424"/>
      <c r="R70" s="424"/>
      <c r="S70" s="425"/>
      <c r="T70" s="426" t="s">
        <v>327</v>
      </c>
      <c r="U70" s="427"/>
      <c r="V70" s="427"/>
      <c r="W70" s="428"/>
      <c r="X70" s="416">
        <v>0</v>
      </c>
      <c r="Y70" s="417"/>
      <c r="Z70" s="418"/>
      <c r="AA70" s="429" t="s">
        <v>328</v>
      </c>
      <c r="AB70" s="415"/>
      <c r="AC70" s="415"/>
      <c r="AD70" s="415"/>
      <c r="AE70" s="415"/>
      <c r="AF70" s="415"/>
      <c r="AG70" s="415"/>
      <c r="AH70" s="406"/>
      <c r="AI70" s="430" t="s">
        <v>321</v>
      </c>
      <c r="AJ70" s="431"/>
      <c r="AK70" s="431"/>
      <c r="AL70" s="431"/>
      <c r="AM70" s="431"/>
      <c r="AN70" s="431"/>
      <c r="AO70" s="431"/>
      <c r="AP70" s="431"/>
      <c r="AQ70" s="432"/>
      <c r="AR70" s="422" t="s">
        <v>31</v>
      </c>
      <c r="AS70" s="422" t="s">
        <v>32</v>
      </c>
      <c r="AT70" s="422" t="s">
        <v>31</v>
      </c>
      <c r="AU70" s="423" t="s">
        <v>322</v>
      </c>
      <c r="AV70" s="424"/>
      <c r="AW70" s="424"/>
      <c r="AX70" s="425"/>
      <c r="AY70" s="426" t="s">
        <v>327</v>
      </c>
      <c r="AZ70" s="427"/>
      <c r="BA70" s="427"/>
      <c r="BB70" s="428"/>
      <c r="BC70" s="410" t="s">
        <v>323</v>
      </c>
      <c r="BD70" s="411"/>
      <c r="BE70" s="411"/>
      <c r="BF70" s="411"/>
      <c r="BG70" s="411"/>
      <c r="BH70" s="411"/>
      <c r="BI70" s="411"/>
      <c r="BJ70" s="412"/>
      <c r="BK70" s="21"/>
    </row>
    <row r="71" spans="1:63" x14ac:dyDescent="0.25">
      <c r="A71" s="20"/>
      <c r="B71" s="204">
        <f t="shared" si="0"/>
        <v>20</v>
      </c>
      <c r="C71" s="205"/>
      <c r="D71" s="247" t="s">
        <v>93</v>
      </c>
      <c r="E71" s="248"/>
      <c r="F71" s="248"/>
      <c r="G71" s="248"/>
      <c r="H71" s="248"/>
      <c r="I71" s="248"/>
      <c r="J71" s="249"/>
      <c r="K71" s="209" t="s">
        <v>30</v>
      </c>
      <c r="L71" s="164"/>
      <c r="M71" s="165"/>
      <c r="N71" s="32" t="s">
        <v>35</v>
      </c>
      <c r="O71" s="25" t="s">
        <v>32</v>
      </c>
      <c r="P71" s="237" t="s">
        <v>34</v>
      </c>
      <c r="Q71" s="211"/>
      <c r="R71" s="211"/>
      <c r="S71" s="212"/>
      <c r="T71" s="237" t="s">
        <v>34</v>
      </c>
      <c r="U71" s="211"/>
      <c r="V71" s="211"/>
      <c r="W71" s="212"/>
      <c r="X71" s="272" t="s">
        <v>95</v>
      </c>
      <c r="Y71" s="224"/>
      <c r="Z71" s="225"/>
      <c r="AA71" s="204" t="s">
        <v>33</v>
      </c>
      <c r="AB71" s="213"/>
      <c r="AC71" s="213"/>
      <c r="AD71" s="213"/>
      <c r="AE71" s="213"/>
      <c r="AF71" s="213"/>
      <c r="AG71" s="213"/>
      <c r="AH71" s="205"/>
      <c r="AI71" s="229" t="s">
        <v>33</v>
      </c>
      <c r="AJ71" s="230"/>
      <c r="AK71" s="230"/>
      <c r="AL71" s="230"/>
      <c r="AM71" s="230"/>
      <c r="AN71" s="230"/>
      <c r="AO71" s="230"/>
      <c r="AP71" s="230"/>
      <c r="AQ71" s="231"/>
      <c r="AR71" s="27" t="s">
        <v>31</v>
      </c>
      <c r="AS71" s="27" t="s">
        <v>31</v>
      </c>
      <c r="AT71" s="27" t="s">
        <v>31</v>
      </c>
      <c r="AU71" s="237" t="s">
        <v>34</v>
      </c>
      <c r="AV71" s="211"/>
      <c r="AW71" s="211"/>
      <c r="AX71" s="212"/>
      <c r="AY71" s="237" t="s">
        <v>33</v>
      </c>
      <c r="AZ71" s="211"/>
      <c r="BA71" s="211"/>
      <c r="BB71" s="212"/>
      <c r="BC71" s="246"/>
      <c r="BD71" s="227"/>
      <c r="BE71" s="227"/>
      <c r="BF71" s="227"/>
      <c r="BG71" s="227"/>
      <c r="BH71" s="227"/>
      <c r="BI71" s="227"/>
      <c r="BJ71" s="228"/>
      <c r="BK71" s="21"/>
    </row>
    <row r="72" spans="1:63" ht="62.25" customHeight="1" x14ac:dyDescent="0.25">
      <c r="A72" s="20"/>
      <c r="B72" s="204">
        <f t="shared" si="0"/>
        <v>21</v>
      </c>
      <c r="C72" s="205"/>
      <c r="D72" s="247" t="s">
        <v>94</v>
      </c>
      <c r="E72" s="248"/>
      <c r="F72" s="248"/>
      <c r="G72" s="248"/>
      <c r="H72" s="248"/>
      <c r="I72" s="248"/>
      <c r="J72" s="249"/>
      <c r="K72" s="258" t="s">
        <v>268</v>
      </c>
      <c r="L72" s="259"/>
      <c r="M72" s="260"/>
      <c r="N72" s="28" t="s">
        <v>38</v>
      </c>
      <c r="O72" s="25" t="s">
        <v>31</v>
      </c>
      <c r="P72" s="210" t="s">
        <v>136</v>
      </c>
      <c r="Q72" s="211"/>
      <c r="R72" s="211"/>
      <c r="S72" s="212"/>
      <c r="T72" s="210" t="s">
        <v>279</v>
      </c>
      <c r="U72" s="273"/>
      <c r="V72" s="273"/>
      <c r="W72" s="274"/>
      <c r="X72" s="272">
        <v>1</v>
      </c>
      <c r="Y72" s="224"/>
      <c r="Z72" s="225"/>
      <c r="AA72" s="267" t="s">
        <v>96</v>
      </c>
      <c r="AB72" s="268"/>
      <c r="AC72" s="268"/>
      <c r="AD72" s="268"/>
      <c r="AE72" s="268"/>
      <c r="AF72" s="268"/>
      <c r="AG72" s="268"/>
      <c r="AH72" s="269"/>
      <c r="AI72" s="220" t="s">
        <v>287</v>
      </c>
      <c r="AJ72" s="221"/>
      <c r="AK72" s="221"/>
      <c r="AL72" s="221"/>
      <c r="AM72" s="221"/>
      <c r="AN72" s="221"/>
      <c r="AO72" s="221"/>
      <c r="AP72" s="221"/>
      <c r="AQ72" s="222"/>
      <c r="AR72" s="27" t="s">
        <v>31</v>
      </c>
      <c r="AS72" s="27" t="s">
        <v>32</v>
      </c>
      <c r="AT72" s="27" t="s">
        <v>31</v>
      </c>
      <c r="AU72" s="210" t="s">
        <v>292</v>
      </c>
      <c r="AV72" s="211"/>
      <c r="AW72" s="211"/>
      <c r="AX72" s="212"/>
      <c r="AY72" s="210" t="s">
        <v>148</v>
      </c>
      <c r="AZ72" s="273"/>
      <c r="BA72" s="273"/>
      <c r="BB72" s="274"/>
      <c r="BC72" s="226" t="s">
        <v>238</v>
      </c>
      <c r="BD72" s="270"/>
      <c r="BE72" s="270"/>
      <c r="BF72" s="270"/>
      <c r="BG72" s="270"/>
      <c r="BH72" s="270"/>
      <c r="BI72" s="270"/>
      <c r="BJ72" s="271"/>
      <c r="BK72" s="21"/>
    </row>
    <row r="73" spans="1:63" x14ac:dyDescent="0.25">
      <c r="A73" s="20"/>
      <c r="B73" s="204">
        <f t="shared" si="0"/>
        <v>22</v>
      </c>
      <c r="C73" s="205"/>
      <c r="D73" s="247" t="s">
        <v>265</v>
      </c>
      <c r="E73" s="248"/>
      <c r="F73" s="248"/>
      <c r="G73" s="248"/>
      <c r="H73" s="248"/>
      <c r="I73" s="248"/>
      <c r="J73" s="249"/>
      <c r="K73" s="209" t="s">
        <v>30</v>
      </c>
      <c r="L73" s="164"/>
      <c r="M73" s="165"/>
      <c r="N73" s="32" t="s">
        <v>35</v>
      </c>
      <c r="O73" s="25" t="s">
        <v>32</v>
      </c>
      <c r="P73" s="204" t="s">
        <v>34</v>
      </c>
      <c r="Q73" s="213"/>
      <c r="R73" s="213"/>
      <c r="S73" s="205"/>
      <c r="T73" s="204" t="s">
        <v>34</v>
      </c>
      <c r="U73" s="213"/>
      <c r="V73" s="213"/>
      <c r="W73" s="205"/>
      <c r="X73" s="272" t="s">
        <v>283</v>
      </c>
      <c r="Y73" s="224"/>
      <c r="Z73" s="225"/>
      <c r="AA73" s="204" t="s">
        <v>33</v>
      </c>
      <c r="AB73" s="213"/>
      <c r="AC73" s="213"/>
      <c r="AD73" s="213"/>
      <c r="AE73" s="213"/>
      <c r="AF73" s="213"/>
      <c r="AG73" s="213"/>
      <c r="AH73" s="205"/>
      <c r="AI73" s="229" t="s">
        <v>33</v>
      </c>
      <c r="AJ73" s="230"/>
      <c r="AK73" s="230"/>
      <c r="AL73" s="230"/>
      <c r="AM73" s="230"/>
      <c r="AN73" s="230"/>
      <c r="AO73" s="230"/>
      <c r="AP73" s="230"/>
      <c r="AQ73" s="231"/>
      <c r="AR73" s="27" t="s">
        <v>31</v>
      </c>
      <c r="AS73" s="27" t="s">
        <v>31</v>
      </c>
      <c r="AT73" s="27" t="s">
        <v>31</v>
      </c>
      <c r="AU73" s="204" t="s">
        <v>34</v>
      </c>
      <c r="AV73" s="213"/>
      <c r="AW73" s="213"/>
      <c r="AX73" s="205"/>
      <c r="AY73" s="204" t="s">
        <v>33</v>
      </c>
      <c r="AZ73" s="213"/>
      <c r="BA73" s="213"/>
      <c r="BB73" s="205"/>
      <c r="BC73" s="246"/>
      <c r="BD73" s="227"/>
      <c r="BE73" s="227"/>
      <c r="BF73" s="227"/>
      <c r="BG73" s="227"/>
      <c r="BH73" s="227"/>
      <c r="BI73" s="227"/>
      <c r="BJ73" s="228"/>
      <c r="BK73" s="21"/>
    </row>
    <row r="74" spans="1:63" ht="33.75" customHeight="1" x14ac:dyDescent="0.25">
      <c r="A74" s="20"/>
      <c r="B74" s="204">
        <f t="shared" si="0"/>
        <v>23</v>
      </c>
      <c r="C74" s="205"/>
      <c r="D74" s="247" t="s">
        <v>266</v>
      </c>
      <c r="E74" s="248"/>
      <c r="F74" s="248"/>
      <c r="G74" s="248"/>
      <c r="H74" s="248"/>
      <c r="I74" s="248"/>
      <c r="J74" s="249"/>
      <c r="K74" s="163" t="s">
        <v>40</v>
      </c>
      <c r="L74" s="164"/>
      <c r="M74" s="165"/>
      <c r="N74" s="28" t="s">
        <v>38</v>
      </c>
      <c r="O74" s="25" t="s">
        <v>31</v>
      </c>
      <c r="P74" s="294" t="s">
        <v>272</v>
      </c>
      <c r="Q74" s="295"/>
      <c r="R74" s="295"/>
      <c r="S74" s="296"/>
      <c r="T74" s="294" t="s">
        <v>280</v>
      </c>
      <c r="U74" s="295"/>
      <c r="V74" s="295"/>
      <c r="W74" s="296"/>
      <c r="X74" s="264">
        <v>0</v>
      </c>
      <c r="Y74" s="265"/>
      <c r="Z74" s="266"/>
      <c r="AA74" s="204" t="s">
        <v>33</v>
      </c>
      <c r="AB74" s="213"/>
      <c r="AC74" s="213"/>
      <c r="AD74" s="213"/>
      <c r="AE74" s="213"/>
      <c r="AF74" s="213"/>
      <c r="AG74" s="213"/>
      <c r="AH74" s="205"/>
      <c r="AI74" s="252" t="s">
        <v>288</v>
      </c>
      <c r="AJ74" s="253"/>
      <c r="AK74" s="253"/>
      <c r="AL74" s="253"/>
      <c r="AM74" s="253"/>
      <c r="AN74" s="253"/>
      <c r="AO74" s="253"/>
      <c r="AP74" s="253"/>
      <c r="AQ74" s="254"/>
      <c r="AR74" s="27" t="s">
        <v>31</v>
      </c>
      <c r="AS74" s="27" t="s">
        <v>32</v>
      </c>
      <c r="AT74" s="27" t="s">
        <v>31</v>
      </c>
      <c r="AU74" s="290" t="s">
        <v>293</v>
      </c>
      <c r="AV74" s="268"/>
      <c r="AW74" s="268"/>
      <c r="AX74" s="269"/>
      <c r="AY74" s="290" t="s">
        <v>280</v>
      </c>
      <c r="AZ74" s="268"/>
      <c r="BA74" s="268"/>
      <c r="BB74" s="269"/>
      <c r="BC74" s="252" t="s">
        <v>296</v>
      </c>
      <c r="BD74" s="253"/>
      <c r="BE74" s="253"/>
      <c r="BF74" s="253"/>
      <c r="BG74" s="253"/>
      <c r="BH74" s="253"/>
      <c r="BI74" s="253"/>
      <c r="BJ74" s="254"/>
      <c r="BK74" s="21"/>
    </row>
    <row r="75" spans="1:63" ht="111" customHeight="1" x14ac:dyDescent="0.25">
      <c r="A75" s="20"/>
      <c r="B75" s="204">
        <f t="shared" si="0"/>
        <v>24</v>
      </c>
      <c r="C75" s="205"/>
      <c r="D75" s="247" t="s">
        <v>98</v>
      </c>
      <c r="E75" s="248"/>
      <c r="F75" s="248"/>
      <c r="G75" s="248"/>
      <c r="H75" s="248"/>
      <c r="I75" s="248"/>
      <c r="J75" s="249"/>
      <c r="K75" s="209" t="s">
        <v>30</v>
      </c>
      <c r="L75" s="164"/>
      <c r="M75" s="165"/>
      <c r="N75" s="32" t="s">
        <v>35</v>
      </c>
      <c r="O75" s="25" t="s">
        <v>31</v>
      </c>
      <c r="P75" s="436" t="s">
        <v>318</v>
      </c>
      <c r="Q75" s="437"/>
      <c r="R75" s="437"/>
      <c r="S75" s="438"/>
      <c r="T75" s="436" t="s">
        <v>329</v>
      </c>
      <c r="U75" s="437"/>
      <c r="V75" s="437"/>
      <c r="W75" s="438"/>
      <c r="X75" s="272" t="s">
        <v>31</v>
      </c>
      <c r="Y75" s="224"/>
      <c r="Z75" s="225"/>
      <c r="AA75" s="204" t="s">
        <v>33</v>
      </c>
      <c r="AB75" s="213"/>
      <c r="AC75" s="213"/>
      <c r="AD75" s="213"/>
      <c r="AE75" s="213"/>
      <c r="AF75" s="213"/>
      <c r="AG75" s="213"/>
      <c r="AH75" s="205"/>
      <c r="AI75" s="229" t="s">
        <v>33</v>
      </c>
      <c r="AJ75" s="230"/>
      <c r="AK75" s="230"/>
      <c r="AL75" s="230"/>
      <c r="AM75" s="230"/>
      <c r="AN75" s="230"/>
      <c r="AO75" s="230"/>
      <c r="AP75" s="230"/>
      <c r="AQ75" s="231"/>
      <c r="AR75" s="27" t="s">
        <v>31</v>
      </c>
      <c r="AS75" s="27" t="s">
        <v>31</v>
      </c>
      <c r="AT75" s="27" t="s">
        <v>31</v>
      </c>
      <c r="AU75" s="237" t="s">
        <v>34</v>
      </c>
      <c r="AV75" s="211"/>
      <c r="AW75" s="211"/>
      <c r="AX75" s="212"/>
      <c r="AY75" s="237" t="s">
        <v>33</v>
      </c>
      <c r="AZ75" s="211"/>
      <c r="BA75" s="211"/>
      <c r="BB75" s="212"/>
      <c r="BC75" s="404" t="s">
        <v>330</v>
      </c>
      <c r="BD75" s="270"/>
      <c r="BE75" s="270"/>
      <c r="BF75" s="270"/>
      <c r="BG75" s="270"/>
      <c r="BH75" s="270"/>
      <c r="BI75" s="270"/>
      <c r="BJ75" s="271"/>
      <c r="BK75" s="21"/>
    </row>
    <row r="76" spans="1:63" ht="30.75" customHeight="1" x14ac:dyDescent="0.25">
      <c r="A76" s="20"/>
      <c r="B76" s="204">
        <f t="shared" si="0"/>
        <v>25</v>
      </c>
      <c r="C76" s="205"/>
      <c r="D76" s="247" t="s">
        <v>99</v>
      </c>
      <c r="E76" s="248"/>
      <c r="F76" s="248"/>
      <c r="G76" s="248"/>
      <c r="H76" s="248"/>
      <c r="I76" s="248"/>
      <c r="J76" s="249"/>
      <c r="K76" s="209" t="s">
        <v>30</v>
      </c>
      <c r="L76" s="164"/>
      <c r="M76" s="165"/>
      <c r="N76" s="32" t="s">
        <v>35</v>
      </c>
      <c r="O76" s="25" t="s">
        <v>32</v>
      </c>
      <c r="P76" s="204" t="s">
        <v>34</v>
      </c>
      <c r="Q76" s="213"/>
      <c r="R76" s="213"/>
      <c r="S76" s="205"/>
      <c r="T76" s="204" t="s">
        <v>34</v>
      </c>
      <c r="U76" s="213"/>
      <c r="V76" s="213"/>
      <c r="W76" s="205"/>
      <c r="X76" s="272" t="s">
        <v>101</v>
      </c>
      <c r="Y76" s="224"/>
      <c r="Z76" s="225"/>
      <c r="AA76" s="204" t="s">
        <v>33</v>
      </c>
      <c r="AB76" s="213"/>
      <c r="AC76" s="213"/>
      <c r="AD76" s="213"/>
      <c r="AE76" s="213"/>
      <c r="AF76" s="213"/>
      <c r="AG76" s="213"/>
      <c r="AH76" s="205"/>
      <c r="AI76" s="229" t="s">
        <v>33</v>
      </c>
      <c r="AJ76" s="230"/>
      <c r="AK76" s="230"/>
      <c r="AL76" s="230"/>
      <c r="AM76" s="230"/>
      <c r="AN76" s="230"/>
      <c r="AO76" s="230"/>
      <c r="AP76" s="230"/>
      <c r="AQ76" s="231"/>
      <c r="AR76" s="27" t="s">
        <v>31</v>
      </c>
      <c r="AS76" s="27" t="s">
        <v>31</v>
      </c>
      <c r="AT76" s="27" t="s">
        <v>31</v>
      </c>
      <c r="AU76" s="237" t="s">
        <v>34</v>
      </c>
      <c r="AV76" s="211"/>
      <c r="AW76" s="211"/>
      <c r="AX76" s="212"/>
      <c r="AY76" s="237" t="s">
        <v>33</v>
      </c>
      <c r="AZ76" s="211"/>
      <c r="BA76" s="211"/>
      <c r="BB76" s="212"/>
      <c r="BC76" s="246"/>
      <c r="BD76" s="227"/>
      <c r="BE76" s="227"/>
      <c r="BF76" s="227"/>
      <c r="BG76" s="227"/>
      <c r="BH76" s="227"/>
      <c r="BI76" s="227"/>
      <c r="BJ76" s="228"/>
      <c r="BK76" s="21"/>
    </row>
    <row r="77" spans="1:63" ht="31.5" customHeight="1" x14ac:dyDescent="0.25">
      <c r="A77" s="20"/>
      <c r="B77" s="204">
        <f t="shared" si="0"/>
        <v>26</v>
      </c>
      <c r="C77" s="205"/>
      <c r="D77" s="247" t="s">
        <v>100</v>
      </c>
      <c r="E77" s="248"/>
      <c r="F77" s="248"/>
      <c r="G77" s="248"/>
      <c r="H77" s="248"/>
      <c r="I77" s="248"/>
      <c r="J77" s="249"/>
      <c r="K77" s="209" t="s">
        <v>40</v>
      </c>
      <c r="L77" s="164"/>
      <c r="M77" s="165"/>
      <c r="N77" s="32" t="s">
        <v>38</v>
      </c>
      <c r="O77" s="25" t="s">
        <v>31</v>
      </c>
      <c r="P77" s="210" t="s">
        <v>136</v>
      </c>
      <c r="Q77" s="211"/>
      <c r="R77" s="211"/>
      <c r="S77" s="212"/>
      <c r="T77" s="236" t="s">
        <v>234</v>
      </c>
      <c r="U77" s="239"/>
      <c r="V77" s="239"/>
      <c r="W77" s="240"/>
      <c r="X77" s="264" t="s">
        <v>31</v>
      </c>
      <c r="Y77" s="265"/>
      <c r="Z77" s="266"/>
      <c r="AA77" s="204" t="s">
        <v>33</v>
      </c>
      <c r="AB77" s="213"/>
      <c r="AC77" s="213"/>
      <c r="AD77" s="213"/>
      <c r="AE77" s="213"/>
      <c r="AF77" s="213"/>
      <c r="AG77" s="213"/>
      <c r="AH77" s="205"/>
      <c r="AI77" s="252" t="s">
        <v>289</v>
      </c>
      <c r="AJ77" s="253"/>
      <c r="AK77" s="253"/>
      <c r="AL77" s="253"/>
      <c r="AM77" s="253"/>
      <c r="AN77" s="253"/>
      <c r="AO77" s="253"/>
      <c r="AP77" s="253"/>
      <c r="AQ77" s="254"/>
      <c r="AR77" s="27" t="s">
        <v>31</v>
      </c>
      <c r="AS77" s="27" t="s">
        <v>32</v>
      </c>
      <c r="AT77" s="27" t="s">
        <v>31</v>
      </c>
      <c r="AU77" s="210" t="s">
        <v>292</v>
      </c>
      <c r="AV77" s="211"/>
      <c r="AW77" s="211"/>
      <c r="AX77" s="212"/>
      <c r="AY77" s="210" t="s">
        <v>151</v>
      </c>
      <c r="AZ77" s="211"/>
      <c r="BA77" s="211"/>
      <c r="BB77" s="212"/>
      <c r="BC77" s="226" t="s">
        <v>218</v>
      </c>
      <c r="BD77" s="270"/>
      <c r="BE77" s="270"/>
      <c r="BF77" s="270"/>
      <c r="BG77" s="270"/>
      <c r="BH77" s="270"/>
      <c r="BI77" s="270"/>
      <c r="BJ77" s="271"/>
      <c r="BK77" s="21"/>
    </row>
    <row r="78" spans="1:63" x14ac:dyDescent="0.25">
      <c r="A78" s="20"/>
      <c r="B78" s="204">
        <f>B77+1</f>
        <v>27</v>
      </c>
      <c r="C78" s="205"/>
      <c r="D78" s="247" t="s">
        <v>171</v>
      </c>
      <c r="E78" s="248"/>
      <c r="F78" s="248"/>
      <c r="G78" s="248"/>
      <c r="H78" s="248"/>
      <c r="I78" s="248"/>
      <c r="J78" s="249"/>
      <c r="K78" s="209" t="s">
        <v>30</v>
      </c>
      <c r="L78" s="164"/>
      <c r="M78" s="165"/>
      <c r="N78" s="32" t="s">
        <v>35</v>
      </c>
      <c r="O78" s="25" t="s">
        <v>32</v>
      </c>
      <c r="P78" s="237" t="s">
        <v>34</v>
      </c>
      <c r="Q78" s="211"/>
      <c r="R78" s="211"/>
      <c r="S78" s="212"/>
      <c r="T78" s="237" t="s">
        <v>34</v>
      </c>
      <c r="U78" s="211"/>
      <c r="V78" s="211"/>
      <c r="W78" s="212"/>
      <c r="X78" s="272" t="s">
        <v>102</v>
      </c>
      <c r="Y78" s="224"/>
      <c r="Z78" s="225"/>
      <c r="AA78" s="204" t="s">
        <v>33</v>
      </c>
      <c r="AB78" s="213"/>
      <c r="AC78" s="213"/>
      <c r="AD78" s="213"/>
      <c r="AE78" s="213"/>
      <c r="AF78" s="213"/>
      <c r="AG78" s="213"/>
      <c r="AH78" s="205"/>
      <c r="AI78" s="229" t="s">
        <v>33</v>
      </c>
      <c r="AJ78" s="230"/>
      <c r="AK78" s="230"/>
      <c r="AL78" s="230"/>
      <c r="AM78" s="230"/>
      <c r="AN78" s="230"/>
      <c r="AO78" s="230"/>
      <c r="AP78" s="230"/>
      <c r="AQ78" s="231"/>
      <c r="AR78" s="27" t="s">
        <v>31</v>
      </c>
      <c r="AS78" s="27" t="s">
        <v>31</v>
      </c>
      <c r="AT78" s="27" t="s">
        <v>31</v>
      </c>
      <c r="AU78" s="237" t="s">
        <v>34</v>
      </c>
      <c r="AV78" s="211"/>
      <c r="AW78" s="211"/>
      <c r="AX78" s="212"/>
      <c r="AY78" s="237" t="s">
        <v>33</v>
      </c>
      <c r="AZ78" s="211"/>
      <c r="BA78" s="211"/>
      <c r="BB78" s="212"/>
      <c r="BC78" s="246"/>
      <c r="BD78" s="227"/>
      <c r="BE78" s="227"/>
      <c r="BF78" s="227"/>
      <c r="BG78" s="227"/>
      <c r="BH78" s="227"/>
      <c r="BI78" s="227"/>
      <c r="BJ78" s="228"/>
      <c r="BK78" s="21"/>
    </row>
    <row r="79" spans="1:63" ht="46.5" customHeight="1" x14ac:dyDescent="0.25">
      <c r="A79" s="20"/>
      <c r="B79" s="204">
        <f t="shared" si="0"/>
        <v>28</v>
      </c>
      <c r="C79" s="205"/>
      <c r="D79" s="247" t="s">
        <v>170</v>
      </c>
      <c r="E79" s="248"/>
      <c r="F79" s="248"/>
      <c r="G79" s="248"/>
      <c r="H79" s="248"/>
      <c r="I79" s="248"/>
      <c r="J79" s="249"/>
      <c r="K79" s="163" t="s">
        <v>40</v>
      </c>
      <c r="L79" s="164"/>
      <c r="M79" s="165"/>
      <c r="N79" s="32" t="s">
        <v>19</v>
      </c>
      <c r="O79" s="25" t="s">
        <v>31</v>
      </c>
      <c r="P79" s="210" t="s">
        <v>136</v>
      </c>
      <c r="Q79" s="211"/>
      <c r="R79" s="211"/>
      <c r="S79" s="212"/>
      <c r="T79" s="236" t="s">
        <v>235</v>
      </c>
      <c r="U79" s="215"/>
      <c r="V79" s="215"/>
      <c r="W79" s="216"/>
      <c r="X79" s="272">
        <v>0</v>
      </c>
      <c r="Y79" s="224"/>
      <c r="Z79" s="225"/>
      <c r="AA79" s="204" t="s">
        <v>33</v>
      </c>
      <c r="AB79" s="213"/>
      <c r="AC79" s="213"/>
      <c r="AD79" s="213"/>
      <c r="AE79" s="213"/>
      <c r="AF79" s="213"/>
      <c r="AG79" s="213"/>
      <c r="AH79" s="205"/>
      <c r="AI79" s="229" t="s">
        <v>33</v>
      </c>
      <c r="AJ79" s="230"/>
      <c r="AK79" s="230"/>
      <c r="AL79" s="230"/>
      <c r="AM79" s="230"/>
      <c r="AN79" s="230"/>
      <c r="AO79" s="230"/>
      <c r="AP79" s="230"/>
      <c r="AQ79" s="231"/>
      <c r="AR79" s="27" t="s">
        <v>31</v>
      </c>
      <c r="AS79" s="27" t="s">
        <v>32</v>
      </c>
      <c r="AT79" s="27" t="s">
        <v>31</v>
      </c>
      <c r="AU79" s="210" t="s">
        <v>292</v>
      </c>
      <c r="AV79" s="211"/>
      <c r="AW79" s="211"/>
      <c r="AX79" s="212"/>
      <c r="AY79" s="210" t="s">
        <v>236</v>
      </c>
      <c r="AZ79" s="273"/>
      <c r="BA79" s="273"/>
      <c r="BB79" s="274"/>
      <c r="BC79" s="226" t="s">
        <v>297</v>
      </c>
      <c r="BD79" s="227"/>
      <c r="BE79" s="227"/>
      <c r="BF79" s="227"/>
      <c r="BG79" s="227"/>
      <c r="BH79" s="227"/>
      <c r="BI79" s="227"/>
      <c r="BJ79" s="228"/>
      <c r="BK79" s="21"/>
    </row>
    <row r="80" spans="1:63" x14ac:dyDescent="0.25">
      <c r="A80" s="20"/>
      <c r="B80" s="405">
        <f t="shared" si="0"/>
        <v>29</v>
      </c>
      <c r="C80" s="406"/>
      <c r="D80" s="407" t="s">
        <v>331</v>
      </c>
      <c r="E80" s="408"/>
      <c r="F80" s="408"/>
      <c r="G80" s="408"/>
      <c r="H80" s="408"/>
      <c r="I80" s="408"/>
      <c r="J80" s="409"/>
      <c r="K80" s="410" t="s">
        <v>311</v>
      </c>
      <c r="L80" s="411"/>
      <c r="M80" s="412"/>
      <c r="N80" s="413" t="s">
        <v>312</v>
      </c>
      <c r="O80" s="414" t="s">
        <v>32</v>
      </c>
      <c r="P80" s="423" t="s">
        <v>31</v>
      </c>
      <c r="Q80" s="424"/>
      <c r="R80" s="424"/>
      <c r="S80" s="425"/>
      <c r="T80" s="423" t="s">
        <v>31</v>
      </c>
      <c r="U80" s="424"/>
      <c r="V80" s="424"/>
      <c r="W80" s="425"/>
      <c r="X80" s="416" t="s">
        <v>313</v>
      </c>
      <c r="Y80" s="417"/>
      <c r="Z80" s="418"/>
      <c r="AA80" s="405" t="s">
        <v>314</v>
      </c>
      <c r="AB80" s="415"/>
      <c r="AC80" s="415"/>
      <c r="AD80" s="415"/>
      <c r="AE80" s="415"/>
      <c r="AF80" s="415"/>
      <c r="AG80" s="415"/>
      <c r="AH80" s="406"/>
      <c r="AI80" s="419" t="s">
        <v>314</v>
      </c>
      <c r="AJ80" s="420"/>
      <c r="AK80" s="420"/>
      <c r="AL80" s="420"/>
      <c r="AM80" s="420"/>
      <c r="AN80" s="420"/>
      <c r="AO80" s="420"/>
      <c r="AP80" s="420"/>
      <c r="AQ80" s="421"/>
      <c r="AR80" s="422" t="s">
        <v>31</v>
      </c>
      <c r="AS80" s="422" t="s">
        <v>31</v>
      </c>
      <c r="AT80" s="422" t="s">
        <v>31</v>
      </c>
      <c r="AU80" s="423" t="s">
        <v>31</v>
      </c>
      <c r="AV80" s="424"/>
      <c r="AW80" s="424"/>
      <c r="AX80" s="425"/>
      <c r="AY80" s="423" t="s">
        <v>314</v>
      </c>
      <c r="AZ80" s="424"/>
      <c r="BA80" s="424"/>
      <c r="BB80" s="425"/>
      <c r="BC80" s="410"/>
      <c r="BD80" s="411"/>
      <c r="BE80" s="411"/>
      <c r="BF80" s="411"/>
      <c r="BG80" s="411"/>
      <c r="BH80" s="411"/>
      <c r="BI80" s="411"/>
      <c r="BJ80" s="412"/>
      <c r="BK80" s="21"/>
    </row>
    <row r="81" spans="1:63" ht="47.25" customHeight="1" x14ac:dyDescent="0.25">
      <c r="A81" s="20"/>
      <c r="B81" s="405">
        <f t="shared" si="0"/>
        <v>30</v>
      </c>
      <c r="C81" s="406"/>
      <c r="D81" s="407" t="s">
        <v>332</v>
      </c>
      <c r="E81" s="408"/>
      <c r="F81" s="408"/>
      <c r="G81" s="408"/>
      <c r="H81" s="408"/>
      <c r="I81" s="408"/>
      <c r="J81" s="409"/>
      <c r="K81" s="410" t="s">
        <v>333</v>
      </c>
      <c r="L81" s="411"/>
      <c r="M81" s="412"/>
      <c r="N81" s="413" t="s">
        <v>334</v>
      </c>
      <c r="O81" s="414" t="s">
        <v>31</v>
      </c>
      <c r="P81" s="423" t="s">
        <v>318</v>
      </c>
      <c r="Q81" s="424"/>
      <c r="R81" s="424"/>
      <c r="S81" s="425"/>
      <c r="T81" s="426" t="s">
        <v>335</v>
      </c>
      <c r="U81" s="427"/>
      <c r="V81" s="427"/>
      <c r="W81" s="428"/>
      <c r="X81" s="416">
        <v>0</v>
      </c>
      <c r="Y81" s="417"/>
      <c r="Z81" s="418"/>
      <c r="AA81" s="405" t="s">
        <v>314</v>
      </c>
      <c r="AB81" s="415"/>
      <c r="AC81" s="415"/>
      <c r="AD81" s="415"/>
      <c r="AE81" s="415"/>
      <c r="AF81" s="415"/>
      <c r="AG81" s="415"/>
      <c r="AH81" s="406"/>
      <c r="AI81" s="419" t="s">
        <v>336</v>
      </c>
      <c r="AJ81" s="420"/>
      <c r="AK81" s="420"/>
      <c r="AL81" s="420"/>
      <c r="AM81" s="420"/>
      <c r="AN81" s="420"/>
      <c r="AO81" s="420"/>
      <c r="AP81" s="420"/>
      <c r="AQ81" s="421"/>
      <c r="AR81" s="422" t="s">
        <v>31</v>
      </c>
      <c r="AS81" s="422" t="s">
        <v>32</v>
      </c>
      <c r="AT81" s="422" t="s">
        <v>31</v>
      </c>
      <c r="AU81" s="423" t="s">
        <v>322</v>
      </c>
      <c r="AV81" s="424"/>
      <c r="AW81" s="424"/>
      <c r="AX81" s="425"/>
      <c r="AY81" s="426" t="s">
        <v>337</v>
      </c>
      <c r="AZ81" s="427"/>
      <c r="BA81" s="427"/>
      <c r="BB81" s="428"/>
      <c r="BC81" s="433" t="s">
        <v>338</v>
      </c>
      <c r="BD81" s="411"/>
      <c r="BE81" s="411"/>
      <c r="BF81" s="411"/>
      <c r="BG81" s="411"/>
      <c r="BH81" s="411"/>
      <c r="BI81" s="411"/>
      <c r="BJ81" s="412"/>
      <c r="BK81" s="21"/>
    </row>
    <row r="82" spans="1:63" x14ac:dyDescent="0.25">
      <c r="A82" s="20"/>
      <c r="B82" s="405">
        <f t="shared" si="0"/>
        <v>31</v>
      </c>
      <c r="C82" s="406"/>
      <c r="D82" s="407" t="s">
        <v>324</v>
      </c>
      <c r="E82" s="408"/>
      <c r="F82" s="408"/>
      <c r="G82" s="408"/>
      <c r="H82" s="408"/>
      <c r="I82" s="408"/>
      <c r="J82" s="409"/>
      <c r="K82" s="410" t="s">
        <v>311</v>
      </c>
      <c r="L82" s="411"/>
      <c r="M82" s="412"/>
      <c r="N82" s="413" t="s">
        <v>312</v>
      </c>
      <c r="O82" s="414" t="s">
        <v>32</v>
      </c>
      <c r="P82" s="423" t="s">
        <v>31</v>
      </c>
      <c r="Q82" s="424"/>
      <c r="R82" s="424"/>
      <c r="S82" s="425"/>
      <c r="T82" s="423" t="s">
        <v>31</v>
      </c>
      <c r="U82" s="424"/>
      <c r="V82" s="424"/>
      <c r="W82" s="425"/>
      <c r="X82" s="416" t="s">
        <v>325</v>
      </c>
      <c r="Y82" s="417"/>
      <c r="Z82" s="418"/>
      <c r="AA82" s="405" t="s">
        <v>314</v>
      </c>
      <c r="AB82" s="415"/>
      <c r="AC82" s="415"/>
      <c r="AD82" s="415"/>
      <c r="AE82" s="415"/>
      <c r="AF82" s="415"/>
      <c r="AG82" s="415"/>
      <c r="AH82" s="406"/>
      <c r="AI82" s="419" t="s">
        <v>314</v>
      </c>
      <c r="AJ82" s="420"/>
      <c r="AK82" s="420"/>
      <c r="AL82" s="420"/>
      <c r="AM82" s="420"/>
      <c r="AN82" s="420"/>
      <c r="AO82" s="420"/>
      <c r="AP82" s="420"/>
      <c r="AQ82" s="421"/>
      <c r="AR82" s="422" t="s">
        <v>31</v>
      </c>
      <c r="AS82" s="422" t="s">
        <v>31</v>
      </c>
      <c r="AT82" s="422" t="s">
        <v>31</v>
      </c>
      <c r="AU82" s="423" t="s">
        <v>31</v>
      </c>
      <c r="AV82" s="424"/>
      <c r="AW82" s="424"/>
      <c r="AX82" s="425"/>
      <c r="AY82" s="423" t="s">
        <v>314</v>
      </c>
      <c r="AZ82" s="424"/>
      <c r="BA82" s="424"/>
      <c r="BB82" s="425"/>
      <c r="BC82" s="410"/>
      <c r="BD82" s="411"/>
      <c r="BE82" s="411"/>
      <c r="BF82" s="411"/>
      <c r="BG82" s="411"/>
      <c r="BH82" s="411"/>
      <c r="BI82" s="411"/>
      <c r="BJ82" s="412"/>
      <c r="BK82" s="21"/>
    </row>
    <row r="83" spans="1:63" ht="47.25" customHeight="1" x14ac:dyDescent="0.25">
      <c r="A83" s="20"/>
      <c r="B83" s="405">
        <f t="shared" si="0"/>
        <v>32</v>
      </c>
      <c r="C83" s="406"/>
      <c r="D83" s="407" t="s">
        <v>326</v>
      </c>
      <c r="E83" s="408"/>
      <c r="F83" s="408"/>
      <c r="G83" s="408"/>
      <c r="H83" s="408"/>
      <c r="I83" s="408"/>
      <c r="J83" s="409"/>
      <c r="K83" s="410" t="s">
        <v>333</v>
      </c>
      <c r="L83" s="411"/>
      <c r="M83" s="412"/>
      <c r="N83" s="413" t="s">
        <v>334</v>
      </c>
      <c r="O83" s="414" t="s">
        <v>31</v>
      </c>
      <c r="P83" s="423" t="s">
        <v>318</v>
      </c>
      <c r="Q83" s="424"/>
      <c r="R83" s="424"/>
      <c r="S83" s="425"/>
      <c r="T83" s="426" t="s">
        <v>339</v>
      </c>
      <c r="U83" s="427"/>
      <c r="V83" s="427"/>
      <c r="W83" s="428"/>
      <c r="X83" s="416">
        <v>0</v>
      </c>
      <c r="Y83" s="417"/>
      <c r="Z83" s="418"/>
      <c r="AA83" s="405" t="s">
        <v>314</v>
      </c>
      <c r="AB83" s="415"/>
      <c r="AC83" s="415"/>
      <c r="AD83" s="415"/>
      <c r="AE83" s="415"/>
      <c r="AF83" s="415"/>
      <c r="AG83" s="415"/>
      <c r="AH83" s="406"/>
      <c r="AI83" s="419" t="s">
        <v>340</v>
      </c>
      <c r="AJ83" s="420"/>
      <c r="AK83" s="420"/>
      <c r="AL83" s="420"/>
      <c r="AM83" s="420"/>
      <c r="AN83" s="420"/>
      <c r="AO83" s="420"/>
      <c r="AP83" s="420"/>
      <c r="AQ83" s="421"/>
      <c r="AR83" s="422" t="s">
        <v>31</v>
      </c>
      <c r="AS83" s="422" t="s">
        <v>32</v>
      </c>
      <c r="AT83" s="422" t="s">
        <v>31</v>
      </c>
      <c r="AU83" s="423" t="s">
        <v>322</v>
      </c>
      <c r="AV83" s="424"/>
      <c r="AW83" s="424"/>
      <c r="AX83" s="425"/>
      <c r="AY83" s="426" t="s">
        <v>341</v>
      </c>
      <c r="AZ83" s="427"/>
      <c r="BA83" s="427"/>
      <c r="BB83" s="428"/>
      <c r="BC83" s="433" t="s">
        <v>338</v>
      </c>
      <c r="BD83" s="411"/>
      <c r="BE83" s="411"/>
      <c r="BF83" s="411"/>
      <c r="BG83" s="411"/>
      <c r="BH83" s="411"/>
      <c r="BI83" s="411"/>
      <c r="BJ83" s="412"/>
      <c r="BK83" s="21"/>
    </row>
    <row r="84" spans="1:63" x14ac:dyDescent="0.25">
      <c r="A84" s="20"/>
      <c r="B84" s="291" t="s">
        <v>242</v>
      </c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X84" s="292"/>
      <c r="Y84" s="292"/>
      <c r="Z84" s="292"/>
      <c r="AA84" s="292"/>
      <c r="AB84" s="292"/>
      <c r="AC84" s="292"/>
      <c r="AD84" s="292"/>
      <c r="AE84" s="292"/>
      <c r="AF84" s="292"/>
      <c r="AG84" s="292"/>
      <c r="AH84" s="292"/>
      <c r="AI84" s="292"/>
      <c r="AJ84" s="292"/>
      <c r="AK84" s="292"/>
      <c r="AL84" s="292"/>
      <c r="AM84" s="292"/>
      <c r="AN84" s="292"/>
      <c r="AO84" s="292"/>
      <c r="AP84" s="292"/>
      <c r="AQ84" s="292"/>
      <c r="AR84" s="292"/>
      <c r="AS84" s="292"/>
      <c r="AT84" s="292"/>
      <c r="AU84" s="292"/>
      <c r="AV84" s="292"/>
      <c r="AW84" s="292"/>
      <c r="AX84" s="292"/>
      <c r="AY84" s="292"/>
      <c r="AZ84" s="292"/>
      <c r="BA84" s="292"/>
      <c r="BB84" s="292"/>
      <c r="BC84" s="292"/>
      <c r="BD84" s="292"/>
      <c r="BE84" s="292"/>
      <c r="BF84" s="292"/>
      <c r="BG84" s="292"/>
      <c r="BH84" s="292"/>
      <c r="BI84" s="292"/>
      <c r="BJ84" s="293"/>
      <c r="BK84" s="21"/>
    </row>
    <row r="85" spans="1:63" x14ac:dyDescent="0.25">
      <c r="A85" s="20"/>
      <c r="B85" s="204">
        <v>33</v>
      </c>
      <c r="C85" s="205"/>
      <c r="D85" s="247" t="s">
        <v>107</v>
      </c>
      <c r="E85" s="248"/>
      <c r="F85" s="248"/>
      <c r="G85" s="248"/>
      <c r="H85" s="248"/>
      <c r="I85" s="248"/>
      <c r="J85" s="249"/>
      <c r="K85" s="209" t="s">
        <v>30</v>
      </c>
      <c r="L85" s="164"/>
      <c r="M85" s="165"/>
      <c r="N85" s="32" t="s">
        <v>35</v>
      </c>
      <c r="O85" s="25" t="s">
        <v>32</v>
      </c>
      <c r="P85" s="204" t="s">
        <v>34</v>
      </c>
      <c r="Q85" s="213"/>
      <c r="R85" s="213"/>
      <c r="S85" s="205"/>
      <c r="T85" s="204" t="s">
        <v>34</v>
      </c>
      <c r="U85" s="213"/>
      <c r="V85" s="213"/>
      <c r="W85" s="205"/>
      <c r="X85" s="272" t="s">
        <v>43</v>
      </c>
      <c r="Y85" s="224"/>
      <c r="Z85" s="225"/>
      <c r="AA85" s="289" t="s">
        <v>33</v>
      </c>
      <c r="AB85" s="213"/>
      <c r="AC85" s="213"/>
      <c r="AD85" s="213"/>
      <c r="AE85" s="213"/>
      <c r="AF85" s="213"/>
      <c r="AG85" s="213"/>
      <c r="AH85" s="205"/>
      <c r="AI85" s="229" t="s">
        <v>33</v>
      </c>
      <c r="AJ85" s="230"/>
      <c r="AK85" s="230"/>
      <c r="AL85" s="230"/>
      <c r="AM85" s="230"/>
      <c r="AN85" s="230"/>
      <c r="AO85" s="230"/>
      <c r="AP85" s="230"/>
      <c r="AQ85" s="231"/>
      <c r="AR85" s="27" t="s">
        <v>31</v>
      </c>
      <c r="AS85" s="27" t="s">
        <v>31</v>
      </c>
      <c r="AT85" s="27" t="s">
        <v>31</v>
      </c>
      <c r="AU85" s="204" t="s">
        <v>34</v>
      </c>
      <c r="AV85" s="213"/>
      <c r="AW85" s="213"/>
      <c r="AX85" s="205"/>
      <c r="AY85" s="204" t="s">
        <v>33</v>
      </c>
      <c r="AZ85" s="213"/>
      <c r="BA85" s="213"/>
      <c r="BB85" s="205"/>
      <c r="BC85" s="246" t="s">
        <v>244</v>
      </c>
      <c r="BD85" s="227"/>
      <c r="BE85" s="227"/>
      <c r="BF85" s="227"/>
      <c r="BG85" s="227"/>
      <c r="BH85" s="227"/>
      <c r="BI85" s="227"/>
      <c r="BJ85" s="228"/>
      <c r="BK85" s="21"/>
    </row>
    <row r="86" spans="1:63" ht="127.5" customHeight="1" x14ac:dyDescent="0.25">
      <c r="A86" s="20"/>
      <c r="B86" s="204">
        <f t="shared" si="0"/>
        <v>34</v>
      </c>
      <c r="C86" s="205"/>
      <c r="D86" s="247" t="s">
        <v>108</v>
      </c>
      <c r="E86" s="248"/>
      <c r="F86" s="248"/>
      <c r="G86" s="248"/>
      <c r="H86" s="248"/>
      <c r="I86" s="248"/>
      <c r="J86" s="249"/>
      <c r="K86" s="209" t="s">
        <v>30</v>
      </c>
      <c r="L86" s="164"/>
      <c r="M86" s="165"/>
      <c r="N86" s="32" t="s">
        <v>35</v>
      </c>
      <c r="O86" s="25" t="s">
        <v>31</v>
      </c>
      <c r="P86" s="210" t="s">
        <v>136</v>
      </c>
      <c r="Q86" s="211"/>
      <c r="R86" s="211"/>
      <c r="S86" s="212"/>
      <c r="T86" s="210" t="s">
        <v>231</v>
      </c>
      <c r="U86" s="211"/>
      <c r="V86" s="211"/>
      <c r="W86" s="212"/>
      <c r="X86" s="272" t="s">
        <v>31</v>
      </c>
      <c r="Y86" s="224"/>
      <c r="Z86" s="225"/>
      <c r="AA86" s="297" t="s">
        <v>258</v>
      </c>
      <c r="AB86" s="298"/>
      <c r="AC86" s="298"/>
      <c r="AD86" s="298"/>
      <c r="AE86" s="298"/>
      <c r="AF86" s="298"/>
      <c r="AG86" s="298"/>
      <c r="AH86" s="299"/>
      <c r="AI86" s="229" t="s">
        <v>33</v>
      </c>
      <c r="AJ86" s="230"/>
      <c r="AK86" s="230"/>
      <c r="AL86" s="230"/>
      <c r="AM86" s="230"/>
      <c r="AN86" s="230"/>
      <c r="AO86" s="230"/>
      <c r="AP86" s="230"/>
      <c r="AQ86" s="231"/>
      <c r="AR86" s="27" t="s">
        <v>31</v>
      </c>
      <c r="AS86" s="27" t="s">
        <v>31</v>
      </c>
      <c r="AT86" s="27" t="s">
        <v>31</v>
      </c>
      <c r="AU86" s="204" t="s">
        <v>34</v>
      </c>
      <c r="AV86" s="213"/>
      <c r="AW86" s="213"/>
      <c r="AX86" s="205"/>
      <c r="AY86" s="204" t="s">
        <v>33</v>
      </c>
      <c r="AZ86" s="213"/>
      <c r="BA86" s="213"/>
      <c r="BB86" s="205"/>
      <c r="BC86" s="255" t="s">
        <v>257</v>
      </c>
      <c r="BD86" s="259"/>
      <c r="BE86" s="259"/>
      <c r="BF86" s="259"/>
      <c r="BG86" s="259"/>
      <c r="BH86" s="259"/>
      <c r="BI86" s="259"/>
      <c r="BJ86" s="260"/>
      <c r="BK86" s="21"/>
    </row>
    <row r="87" spans="1:63" ht="15.75" customHeight="1" x14ac:dyDescent="0.25">
      <c r="A87" s="20"/>
      <c r="B87" s="204">
        <f t="shared" si="0"/>
        <v>35</v>
      </c>
      <c r="C87" s="205"/>
      <c r="D87" s="247" t="s">
        <v>104</v>
      </c>
      <c r="E87" s="248"/>
      <c r="F87" s="248"/>
      <c r="G87" s="248"/>
      <c r="H87" s="248"/>
      <c r="I87" s="248"/>
      <c r="J87" s="249"/>
      <c r="K87" s="209" t="s">
        <v>30</v>
      </c>
      <c r="L87" s="164"/>
      <c r="M87" s="165"/>
      <c r="N87" s="32" t="s">
        <v>35</v>
      </c>
      <c r="O87" s="25" t="s">
        <v>32</v>
      </c>
      <c r="P87" s="204" t="s">
        <v>34</v>
      </c>
      <c r="Q87" s="213"/>
      <c r="R87" s="213"/>
      <c r="S87" s="205"/>
      <c r="T87" s="204" t="s">
        <v>34</v>
      </c>
      <c r="U87" s="213"/>
      <c r="V87" s="213"/>
      <c r="W87" s="205"/>
      <c r="X87" s="272" t="s">
        <v>106</v>
      </c>
      <c r="Y87" s="224"/>
      <c r="Z87" s="225"/>
      <c r="AA87" s="204" t="s">
        <v>33</v>
      </c>
      <c r="AB87" s="213"/>
      <c r="AC87" s="213"/>
      <c r="AD87" s="213"/>
      <c r="AE87" s="213"/>
      <c r="AF87" s="213"/>
      <c r="AG87" s="213"/>
      <c r="AH87" s="205"/>
      <c r="AI87" s="229" t="s">
        <v>33</v>
      </c>
      <c r="AJ87" s="230"/>
      <c r="AK87" s="230"/>
      <c r="AL87" s="230"/>
      <c r="AM87" s="230"/>
      <c r="AN87" s="230"/>
      <c r="AO87" s="230"/>
      <c r="AP87" s="230"/>
      <c r="AQ87" s="231"/>
      <c r="AR87" s="27" t="s">
        <v>31</v>
      </c>
      <c r="AS87" s="27" t="s">
        <v>31</v>
      </c>
      <c r="AT87" s="27" t="s">
        <v>31</v>
      </c>
      <c r="AU87" s="204" t="s">
        <v>34</v>
      </c>
      <c r="AV87" s="213"/>
      <c r="AW87" s="213"/>
      <c r="AX87" s="205"/>
      <c r="AY87" s="204" t="s">
        <v>33</v>
      </c>
      <c r="AZ87" s="213"/>
      <c r="BA87" s="213"/>
      <c r="BB87" s="205"/>
      <c r="BC87" s="246"/>
      <c r="BD87" s="227"/>
      <c r="BE87" s="227"/>
      <c r="BF87" s="227"/>
      <c r="BG87" s="227"/>
      <c r="BH87" s="227"/>
      <c r="BI87" s="227"/>
      <c r="BJ87" s="228"/>
      <c r="BK87" s="21"/>
    </row>
    <row r="88" spans="1:63" ht="31.5" customHeight="1" x14ac:dyDescent="0.25">
      <c r="A88" s="20"/>
      <c r="B88" s="204">
        <f t="shared" si="0"/>
        <v>36</v>
      </c>
      <c r="C88" s="205"/>
      <c r="D88" s="247" t="s">
        <v>105</v>
      </c>
      <c r="E88" s="248"/>
      <c r="F88" s="248"/>
      <c r="G88" s="248"/>
      <c r="H88" s="248"/>
      <c r="I88" s="248"/>
      <c r="J88" s="249"/>
      <c r="K88" s="209" t="s">
        <v>40</v>
      </c>
      <c r="L88" s="164"/>
      <c r="M88" s="165"/>
      <c r="N88" s="32" t="s">
        <v>19</v>
      </c>
      <c r="O88" s="25" t="s">
        <v>31</v>
      </c>
      <c r="P88" s="210" t="s">
        <v>136</v>
      </c>
      <c r="Q88" s="211"/>
      <c r="R88" s="211"/>
      <c r="S88" s="212"/>
      <c r="T88" s="300" t="s">
        <v>281</v>
      </c>
      <c r="U88" s="301"/>
      <c r="V88" s="301"/>
      <c r="W88" s="302"/>
      <c r="X88" s="264">
        <v>0</v>
      </c>
      <c r="Y88" s="265"/>
      <c r="Z88" s="266"/>
      <c r="AA88" s="204" t="s">
        <v>33</v>
      </c>
      <c r="AB88" s="213"/>
      <c r="AC88" s="213"/>
      <c r="AD88" s="213"/>
      <c r="AE88" s="213"/>
      <c r="AF88" s="213"/>
      <c r="AG88" s="213"/>
      <c r="AH88" s="205"/>
      <c r="AI88" s="220" t="s">
        <v>155</v>
      </c>
      <c r="AJ88" s="221"/>
      <c r="AK88" s="221"/>
      <c r="AL88" s="221"/>
      <c r="AM88" s="221"/>
      <c r="AN88" s="221"/>
      <c r="AO88" s="221"/>
      <c r="AP88" s="221"/>
      <c r="AQ88" s="222"/>
      <c r="AR88" s="27" t="s">
        <v>31</v>
      </c>
      <c r="AS88" s="27" t="s">
        <v>31</v>
      </c>
      <c r="AT88" s="27" t="s">
        <v>31</v>
      </c>
      <c r="AU88" s="210" t="s">
        <v>292</v>
      </c>
      <c r="AV88" s="211"/>
      <c r="AW88" s="211"/>
      <c r="AX88" s="212"/>
      <c r="AY88" s="210" t="s">
        <v>152</v>
      </c>
      <c r="AZ88" s="211"/>
      <c r="BA88" s="211"/>
      <c r="BB88" s="212"/>
      <c r="BC88" s="252" t="s">
        <v>306</v>
      </c>
      <c r="BD88" s="253"/>
      <c r="BE88" s="253"/>
      <c r="BF88" s="253"/>
      <c r="BG88" s="253"/>
      <c r="BH88" s="253"/>
      <c r="BI88" s="253"/>
      <c r="BJ88" s="254"/>
      <c r="BK88" s="21"/>
    </row>
    <row r="89" spans="1:63" x14ac:dyDescent="0.25">
      <c r="A89" s="20"/>
      <c r="B89" s="204">
        <f t="shared" si="0"/>
        <v>37</v>
      </c>
      <c r="C89" s="205"/>
      <c r="D89" s="247" t="s">
        <v>239</v>
      </c>
      <c r="E89" s="248"/>
      <c r="F89" s="248"/>
      <c r="G89" s="248"/>
      <c r="H89" s="248"/>
      <c r="I89" s="248"/>
      <c r="J89" s="249"/>
      <c r="K89" s="209" t="s">
        <v>30</v>
      </c>
      <c r="L89" s="164"/>
      <c r="M89" s="165"/>
      <c r="N89" s="32" t="s">
        <v>35</v>
      </c>
      <c r="O89" s="25" t="s">
        <v>32</v>
      </c>
      <c r="P89" s="204" t="s">
        <v>34</v>
      </c>
      <c r="Q89" s="213"/>
      <c r="R89" s="213"/>
      <c r="S89" s="205"/>
      <c r="T89" s="204" t="s">
        <v>34</v>
      </c>
      <c r="U89" s="213"/>
      <c r="V89" s="213"/>
      <c r="W89" s="205"/>
      <c r="X89" s="272" t="s">
        <v>110</v>
      </c>
      <c r="Y89" s="224"/>
      <c r="Z89" s="225"/>
      <c r="AA89" s="204" t="s">
        <v>33</v>
      </c>
      <c r="AB89" s="213"/>
      <c r="AC89" s="213"/>
      <c r="AD89" s="213"/>
      <c r="AE89" s="213"/>
      <c r="AF89" s="213"/>
      <c r="AG89" s="213"/>
      <c r="AH89" s="205"/>
      <c r="AI89" s="229" t="s">
        <v>33</v>
      </c>
      <c r="AJ89" s="230"/>
      <c r="AK89" s="230"/>
      <c r="AL89" s="230"/>
      <c r="AM89" s="230"/>
      <c r="AN89" s="230"/>
      <c r="AO89" s="230"/>
      <c r="AP89" s="230"/>
      <c r="AQ89" s="231"/>
      <c r="AR89" s="27" t="s">
        <v>31</v>
      </c>
      <c r="AS89" s="27" t="s">
        <v>31</v>
      </c>
      <c r="AT89" s="27" t="s">
        <v>31</v>
      </c>
      <c r="AU89" s="237" t="s">
        <v>34</v>
      </c>
      <c r="AV89" s="211"/>
      <c r="AW89" s="211"/>
      <c r="AX89" s="212"/>
      <c r="AY89" s="237" t="s">
        <v>33</v>
      </c>
      <c r="AZ89" s="211"/>
      <c r="BA89" s="211"/>
      <c r="BB89" s="212"/>
      <c r="BC89" s="246"/>
      <c r="BD89" s="227"/>
      <c r="BE89" s="227"/>
      <c r="BF89" s="227"/>
      <c r="BG89" s="227"/>
      <c r="BH89" s="227"/>
      <c r="BI89" s="227"/>
      <c r="BJ89" s="228"/>
      <c r="BK89" s="21"/>
    </row>
    <row r="90" spans="1:63" ht="153.75" customHeight="1" x14ac:dyDescent="0.25">
      <c r="A90" s="20"/>
      <c r="B90" s="204">
        <f t="shared" si="0"/>
        <v>38</v>
      </c>
      <c r="C90" s="205"/>
      <c r="D90" s="247" t="s">
        <v>157</v>
      </c>
      <c r="E90" s="248"/>
      <c r="F90" s="248"/>
      <c r="G90" s="248"/>
      <c r="H90" s="248"/>
      <c r="I90" s="248"/>
      <c r="J90" s="249"/>
      <c r="K90" s="163" t="s">
        <v>40</v>
      </c>
      <c r="L90" s="164"/>
      <c r="M90" s="165"/>
      <c r="N90" s="32" t="s">
        <v>19</v>
      </c>
      <c r="O90" s="25" t="s">
        <v>31</v>
      </c>
      <c r="P90" s="236" t="s">
        <v>273</v>
      </c>
      <c r="Q90" s="211"/>
      <c r="R90" s="211"/>
      <c r="S90" s="212"/>
      <c r="T90" s="217" t="s">
        <v>160</v>
      </c>
      <c r="U90" s="218"/>
      <c r="V90" s="218"/>
      <c r="W90" s="219"/>
      <c r="X90" s="272" t="s">
        <v>31</v>
      </c>
      <c r="Y90" s="224"/>
      <c r="Z90" s="225"/>
      <c r="AA90" s="220" t="s">
        <v>284</v>
      </c>
      <c r="AB90" s="230"/>
      <c r="AC90" s="230"/>
      <c r="AD90" s="230"/>
      <c r="AE90" s="230"/>
      <c r="AF90" s="230"/>
      <c r="AG90" s="230"/>
      <c r="AH90" s="231"/>
      <c r="AI90" s="297" t="s">
        <v>290</v>
      </c>
      <c r="AJ90" s="253"/>
      <c r="AK90" s="253"/>
      <c r="AL90" s="253"/>
      <c r="AM90" s="253"/>
      <c r="AN90" s="253"/>
      <c r="AO90" s="253"/>
      <c r="AP90" s="253"/>
      <c r="AQ90" s="254"/>
      <c r="AR90" s="27" t="s">
        <v>31</v>
      </c>
      <c r="AS90" s="27" t="s">
        <v>32</v>
      </c>
      <c r="AT90" s="27" t="s">
        <v>31</v>
      </c>
      <c r="AU90" s="210" t="s">
        <v>292</v>
      </c>
      <c r="AV90" s="211"/>
      <c r="AW90" s="211"/>
      <c r="AX90" s="212"/>
      <c r="AY90" s="303" t="s">
        <v>250</v>
      </c>
      <c r="AZ90" s="304"/>
      <c r="BA90" s="304"/>
      <c r="BB90" s="305"/>
      <c r="BC90" s="226" t="s">
        <v>112</v>
      </c>
      <c r="BD90" s="270"/>
      <c r="BE90" s="270"/>
      <c r="BF90" s="270"/>
      <c r="BG90" s="270"/>
      <c r="BH90" s="270"/>
      <c r="BI90" s="270"/>
      <c r="BJ90" s="271"/>
      <c r="BK90" s="21"/>
    </row>
    <row r="91" spans="1:63" ht="150" customHeight="1" x14ac:dyDescent="0.25">
      <c r="A91" s="20"/>
      <c r="B91" s="204">
        <f t="shared" si="0"/>
        <v>39</v>
      </c>
      <c r="C91" s="205"/>
      <c r="D91" s="247" t="s">
        <v>109</v>
      </c>
      <c r="E91" s="248"/>
      <c r="F91" s="248"/>
      <c r="G91" s="248"/>
      <c r="H91" s="248"/>
      <c r="I91" s="248"/>
      <c r="J91" s="249"/>
      <c r="K91" s="163" t="s">
        <v>40</v>
      </c>
      <c r="L91" s="164"/>
      <c r="M91" s="165"/>
      <c r="N91" s="28" t="s">
        <v>111</v>
      </c>
      <c r="O91" s="25" t="s">
        <v>31</v>
      </c>
      <c r="P91" s="236" t="s">
        <v>273</v>
      </c>
      <c r="Q91" s="211"/>
      <c r="R91" s="211"/>
      <c r="S91" s="212"/>
      <c r="T91" s="217" t="s">
        <v>159</v>
      </c>
      <c r="U91" s="218"/>
      <c r="V91" s="218"/>
      <c r="W91" s="219"/>
      <c r="X91" s="272" t="s">
        <v>31</v>
      </c>
      <c r="Y91" s="224"/>
      <c r="Z91" s="225"/>
      <c r="AA91" s="220" t="s">
        <v>164</v>
      </c>
      <c r="AB91" s="230"/>
      <c r="AC91" s="230"/>
      <c r="AD91" s="230"/>
      <c r="AE91" s="230"/>
      <c r="AF91" s="230"/>
      <c r="AG91" s="230"/>
      <c r="AH91" s="231"/>
      <c r="AI91" s="297" t="s">
        <v>261</v>
      </c>
      <c r="AJ91" s="253"/>
      <c r="AK91" s="253"/>
      <c r="AL91" s="253"/>
      <c r="AM91" s="253"/>
      <c r="AN91" s="253"/>
      <c r="AO91" s="253"/>
      <c r="AP91" s="253"/>
      <c r="AQ91" s="254"/>
      <c r="AR91" s="27" t="s">
        <v>31</v>
      </c>
      <c r="AS91" s="27" t="s">
        <v>32</v>
      </c>
      <c r="AT91" s="27" t="s">
        <v>31</v>
      </c>
      <c r="AU91" s="237" t="s">
        <v>34</v>
      </c>
      <c r="AV91" s="211"/>
      <c r="AW91" s="211"/>
      <c r="AX91" s="212"/>
      <c r="AY91" s="237" t="s">
        <v>33</v>
      </c>
      <c r="AZ91" s="211"/>
      <c r="BA91" s="211"/>
      <c r="BB91" s="212"/>
      <c r="BC91" s="226" t="s">
        <v>126</v>
      </c>
      <c r="BD91" s="270"/>
      <c r="BE91" s="270"/>
      <c r="BF91" s="270"/>
      <c r="BG91" s="270"/>
      <c r="BH91" s="270"/>
      <c r="BI91" s="270"/>
      <c r="BJ91" s="271"/>
      <c r="BK91" s="21"/>
    </row>
    <row r="92" spans="1:63" x14ac:dyDescent="0.25">
      <c r="A92" s="20"/>
      <c r="B92" s="204">
        <f t="shared" si="0"/>
        <v>40</v>
      </c>
      <c r="C92" s="205"/>
      <c r="D92" s="247" t="s">
        <v>113</v>
      </c>
      <c r="E92" s="248"/>
      <c r="F92" s="248"/>
      <c r="G92" s="248"/>
      <c r="H92" s="248"/>
      <c r="I92" s="248"/>
      <c r="J92" s="249"/>
      <c r="K92" s="209" t="s">
        <v>30</v>
      </c>
      <c r="L92" s="164"/>
      <c r="M92" s="165"/>
      <c r="N92" s="32" t="s">
        <v>35</v>
      </c>
      <c r="O92" s="25" t="s">
        <v>32</v>
      </c>
      <c r="P92" s="237" t="s">
        <v>34</v>
      </c>
      <c r="Q92" s="211"/>
      <c r="R92" s="211"/>
      <c r="S92" s="212"/>
      <c r="T92" s="237" t="s">
        <v>34</v>
      </c>
      <c r="U92" s="211"/>
      <c r="V92" s="211"/>
      <c r="W92" s="212"/>
      <c r="X92" s="272" t="s">
        <v>115</v>
      </c>
      <c r="Y92" s="224"/>
      <c r="Z92" s="225"/>
      <c r="AA92" s="204" t="s">
        <v>33</v>
      </c>
      <c r="AB92" s="213"/>
      <c r="AC92" s="213"/>
      <c r="AD92" s="213"/>
      <c r="AE92" s="213"/>
      <c r="AF92" s="213"/>
      <c r="AG92" s="213"/>
      <c r="AH92" s="205"/>
      <c r="AI92" s="229" t="s">
        <v>33</v>
      </c>
      <c r="AJ92" s="230"/>
      <c r="AK92" s="230"/>
      <c r="AL92" s="230"/>
      <c r="AM92" s="230"/>
      <c r="AN92" s="230"/>
      <c r="AO92" s="230"/>
      <c r="AP92" s="230"/>
      <c r="AQ92" s="231"/>
      <c r="AR92" s="27" t="s">
        <v>31</v>
      </c>
      <c r="AS92" s="27" t="s">
        <v>31</v>
      </c>
      <c r="AT92" s="27" t="s">
        <v>31</v>
      </c>
      <c r="AU92" s="237" t="s">
        <v>34</v>
      </c>
      <c r="AV92" s="211"/>
      <c r="AW92" s="211"/>
      <c r="AX92" s="212"/>
      <c r="AY92" s="237" t="s">
        <v>33</v>
      </c>
      <c r="AZ92" s="211"/>
      <c r="BA92" s="211"/>
      <c r="BB92" s="212"/>
      <c r="BC92" s="246"/>
      <c r="BD92" s="227"/>
      <c r="BE92" s="227"/>
      <c r="BF92" s="227"/>
      <c r="BG92" s="227"/>
      <c r="BH92" s="227"/>
      <c r="BI92" s="227"/>
      <c r="BJ92" s="228"/>
      <c r="BK92" s="21"/>
    </row>
    <row r="93" spans="1:63" ht="156" customHeight="1" x14ac:dyDescent="0.25">
      <c r="A93" s="20"/>
      <c r="B93" s="204">
        <f t="shared" si="0"/>
        <v>41</v>
      </c>
      <c r="C93" s="205"/>
      <c r="D93" s="247" t="s">
        <v>114</v>
      </c>
      <c r="E93" s="248"/>
      <c r="F93" s="248"/>
      <c r="G93" s="248"/>
      <c r="H93" s="248"/>
      <c r="I93" s="248"/>
      <c r="J93" s="249"/>
      <c r="K93" s="163" t="s">
        <v>40</v>
      </c>
      <c r="L93" s="164"/>
      <c r="M93" s="165"/>
      <c r="N93" s="32" t="s">
        <v>19</v>
      </c>
      <c r="O93" s="25" t="s">
        <v>31</v>
      </c>
      <c r="P93" s="236" t="s">
        <v>161</v>
      </c>
      <c r="Q93" s="211"/>
      <c r="R93" s="211"/>
      <c r="S93" s="212"/>
      <c r="T93" s="236" t="s">
        <v>162</v>
      </c>
      <c r="U93" s="211"/>
      <c r="V93" s="211"/>
      <c r="W93" s="212"/>
      <c r="X93" s="272" t="s">
        <v>31</v>
      </c>
      <c r="Y93" s="224"/>
      <c r="Z93" s="225"/>
      <c r="AA93" s="220" t="s">
        <v>163</v>
      </c>
      <c r="AB93" s="230"/>
      <c r="AC93" s="230"/>
      <c r="AD93" s="230"/>
      <c r="AE93" s="230"/>
      <c r="AF93" s="230"/>
      <c r="AG93" s="230"/>
      <c r="AH93" s="231"/>
      <c r="AI93" s="297" t="s">
        <v>260</v>
      </c>
      <c r="AJ93" s="253"/>
      <c r="AK93" s="253"/>
      <c r="AL93" s="253"/>
      <c r="AM93" s="253"/>
      <c r="AN93" s="253"/>
      <c r="AO93" s="253"/>
      <c r="AP93" s="253"/>
      <c r="AQ93" s="254"/>
      <c r="AR93" s="27" t="s">
        <v>31</v>
      </c>
      <c r="AS93" s="27" t="s">
        <v>32</v>
      </c>
      <c r="AT93" s="27" t="s">
        <v>31</v>
      </c>
      <c r="AU93" s="210" t="s">
        <v>168</v>
      </c>
      <c r="AV93" s="211"/>
      <c r="AW93" s="211"/>
      <c r="AX93" s="212"/>
      <c r="AY93" s="210" t="s">
        <v>169</v>
      </c>
      <c r="AZ93" s="211"/>
      <c r="BA93" s="211"/>
      <c r="BB93" s="212"/>
      <c r="BC93" s="226" t="s">
        <v>127</v>
      </c>
      <c r="BD93" s="227"/>
      <c r="BE93" s="227"/>
      <c r="BF93" s="227"/>
      <c r="BG93" s="227"/>
      <c r="BH93" s="227"/>
      <c r="BI93" s="227"/>
      <c r="BJ93" s="228"/>
      <c r="BK93" s="21"/>
    </row>
    <row r="94" spans="1:63" x14ac:dyDescent="0.25">
      <c r="A94" s="20"/>
      <c r="B94" s="204">
        <f t="shared" si="0"/>
        <v>42</v>
      </c>
      <c r="C94" s="205"/>
      <c r="D94" s="247" t="s">
        <v>116</v>
      </c>
      <c r="E94" s="248"/>
      <c r="F94" s="248"/>
      <c r="G94" s="248"/>
      <c r="H94" s="248"/>
      <c r="I94" s="248"/>
      <c r="J94" s="249"/>
      <c r="K94" s="209" t="s">
        <v>30</v>
      </c>
      <c r="L94" s="164"/>
      <c r="M94" s="165"/>
      <c r="N94" s="32" t="s">
        <v>35</v>
      </c>
      <c r="O94" s="25" t="s">
        <v>32</v>
      </c>
      <c r="P94" s="204" t="s">
        <v>34</v>
      </c>
      <c r="Q94" s="213"/>
      <c r="R94" s="213"/>
      <c r="S94" s="205"/>
      <c r="T94" s="204" t="s">
        <v>34</v>
      </c>
      <c r="U94" s="213"/>
      <c r="V94" s="213"/>
      <c r="W94" s="205"/>
      <c r="X94" s="272" t="s">
        <v>118</v>
      </c>
      <c r="Y94" s="224"/>
      <c r="Z94" s="225"/>
      <c r="AA94" s="204" t="s">
        <v>33</v>
      </c>
      <c r="AB94" s="213"/>
      <c r="AC94" s="213"/>
      <c r="AD94" s="213"/>
      <c r="AE94" s="213"/>
      <c r="AF94" s="213"/>
      <c r="AG94" s="213"/>
      <c r="AH94" s="205"/>
      <c r="AI94" s="229" t="s">
        <v>33</v>
      </c>
      <c r="AJ94" s="230"/>
      <c r="AK94" s="230"/>
      <c r="AL94" s="230"/>
      <c r="AM94" s="230"/>
      <c r="AN94" s="230"/>
      <c r="AO94" s="230"/>
      <c r="AP94" s="230"/>
      <c r="AQ94" s="231"/>
      <c r="AR94" s="27" t="s">
        <v>31</v>
      </c>
      <c r="AS94" s="27" t="s">
        <v>31</v>
      </c>
      <c r="AT94" s="27" t="s">
        <v>31</v>
      </c>
      <c r="AU94" s="237" t="s">
        <v>34</v>
      </c>
      <c r="AV94" s="211"/>
      <c r="AW94" s="211"/>
      <c r="AX94" s="212"/>
      <c r="AY94" s="237" t="s">
        <v>33</v>
      </c>
      <c r="AZ94" s="211"/>
      <c r="BA94" s="211"/>
      <c r="BB94" s="212"/>
      <c r="BC94" s="246"/>
      <c r="BD94" s="227"/>
      <c r="BE94" s="227"/>
      <c r="BF94" s="227"/>
      <c r="BG94" s="227"/>
      <c r="BH94" s="227"/>
      <c r="BI94" s="227"/>
      <c r="BJ94" s="228"/>
      <c r="BK94" s="21"/>
    </row>
    <row r="95" spans="1:63" ht="47.25" customHeight="1" x14ac:dyDescent="0.25">
      <c r="A95" s="20"/>
      <c r="B95" s="204">
        <f t="shared" si="0"/>
        <v>43</v>
      </c>
      <c r="C95" s="205"/>
      <c r="D95" s="247" t="s">
        <v>117</v>
      </c>
      <c r="E95" s="248"/>
      <c r="F95" s="248"/>
      <c r="G95" s="248"/>
      <c r="H95" s="248"/>
      <c r="I95" s="248"/>
      <c r="J95" s="249"/>
      <c r="K95" s="163" t="s">
        <v>40</v>
      </c>
      <c r="L95" s="164"/>
      <c r="M95" s="165"/>
      <c r="N95" s="32" t="s">
        <v>35</v>
      </c>
      <c r="O95" s="25" t="s">
        <v>31</v>
      </c>
      <c r="P95" s="210" t="s">
        <v>136</v>
      </c>
      <c r="Q95" s="211"/>
      <c r="R95" s="211"/>
      <c r="S95" s="212"/>
      <c r="T95" s="210" t="s">
        <v>133</v>
      </c>
      <c r="U95" s="211"/>
      <c r="V95" s="211"/>
      <c r="W95" s="212"/>
      <c r="X95" s="272" t="s">
        <v>31</v>
      </c>
      <c r="Y95" s="224"/>
      <c r="Z95" s="225"/>
      <c r="AA95" s="220" t="s">
        <v>241</v>
      </c>
      <c r="AB95" s="221"/>
      <c r="AC95" s="221"/>
      <c r="AD95" s="221"/>
      <c r="AE95" s="221"/>
      <c r="AF95" s="221"/>
      <c r="AG95" s="221"/>
      <c r="AH95" s="222"/>
      <c r="AI95" s="229" t="s">
        <v>33</v>
      </c>
      <c r="AJ95" s="230"/>
      <c r="AK95" s="230"/>
      <c r="AL95" s="230"/>
      <c r="AM95" s="230"/>
      <c r="AN95" s="230"/>
      <c r="AO95" s="230"/>
      <c r="AP95" s="230"/>
      <c r="AQ95" s="231"/>
      <c r="AR95" s="27" t="s">
        <v>31</v>
      </c>
      <c r="AS95" s="27" t="s">
        <v>31</v>
      </c>
      <c r="AT95" s="27" t="s">
        <v>31</v>
      </c>
      <c r="AU95" s="204" t="s">
        <v>34</v>
      </c>
      <c r="AV95" s="213"/>
      <c r="AW95" s="213"/>
      <c r="AX95" s="205"/>
      <c r="AY95" s="204" t="s">
        <v>33</v>
      </c>
      <c r="AZ95" s="213"/>
      <c r="BA95" s="213"/>
      <c r="BB95" s="205"/>
      <c r="BC95" s="246"/>
      <c r="BD95" s="227"/>
      <c r="BE95" s="227"/>
      <c r="BF95" s="227"/>
      <c r="BG95" s="227"/>
      <c r="BH95" s="227"/>
      <c r="BI95" s="227"/>
      <c r="BJ95" s="228"/>
      <c r="BK95" s="21"/>
    </row>
    <row r="96" spans="1:63" x14ac:dyDescent="0.25">
      <c r="A96" s="20"/>
      <c r="B96" s="204">
        <f t="shared" si="0"/>
        <v>44</v>
      </c>
      <c r="C96" s="205"/>
      <c r="D96" s="247" t="s">
        <v>119</v>
      </c>
      <c r="E96" s="248"/>
      <c r="F96" s="248"/>
      <c r="G96" s="248"/>
      <c r="H96" s="248"/>
      <c r="I96" s="248"/>
      <c r="J96" s="249"/>
      <c r="K96" s="209" t="s">
        <v>30</v>
      </c>
      <c r="L96" s="164"/>
      <c r="M96" s="165"/>
      <c r="N96" s="32" t="s">
        <v>35</v>
      </c>
      <c r="O96" s="25" t="s">
        <v>32</v>
      </c>
      <c r="P96" s="237" t="s">
        <v>34</v>
      </c>
      <c r="Q96" s="211"/>
      <c r="R96" s="211"/>
      <c r="S96" s="212"/>
      <c r="T96" s="237" t="s">
        <v>34</v>
      </c>
      <c r="U96" s="211"/>
      <c r="V96" s="211"/>
      <c r="W96" s="212"/>
      <c r="X96" s="272" t="s">
        <v>31</v>
      </c>
      <c r="Y96" s="224"/>
      <c r="Z96" s="225"/>
      <c r="AA96" s="204" t="s">
        <v>33</v>
      </c>
      <c r="AB96" s="213"/>
      <c r="AC96" s="213"/>
      <c r="AD96" s="213"/>
      <c r="AE96" s="213"/>
      <c r="AF96" s="213"/>
      <c r="AG96" s="213"/>
      <c r="AH96" s="205"/>
      <c r="AI96" s="229" t="s">
        <v>33</v>
      </c>
      <c r="AJ96" s="230"/>
      <c r="AK96" s="230"/>
      <c r="AL96" s="230"/>
      <c r="AM96" s="230"/>
      <c r="AN96" s="230"/>
      <c r="AO96" s="230"/>
      <c r="AP96" s="230"/>
      <c r="AQ96" s="231"/>
      <c r="AR96" s="27" t="s">
        <v>31</v>
      </c>
      <c r="AS96" s="27" t="s">
        <v>31</v>
      </c>
      <c r="AT96" s="27" t="s">
        <v>31</v>
      </c>
      <c r="AU96" s="204" t="s">
        <v>34</v>
      </c>
      <c r="AV96" s="213"/>
      <c r="AW96" s="213"/>
      <c r="AX96" s="205"/>
      <c r="AY96" s="204" t="s">
        <v>33</v>
      </c>
      <c r="AZ96" s="213"/>
      <c r="BA96" s="213"/>
      <c r="BB96" s="205"/>
      <c r="BC96" s="246"/>
      <c r="BD96" s="227"/>
      <c r="BE96" s="227"/>
      <c r="BF96" s="227"/>
      <c r="BG96" s="227"/>
      <c r="BH96" s="227"/>
      <c r="BI96" s="227"/>
      <c r="BJ96" s="228"/>
      <c r="BK96" s="21"/>
    </row>
    <row r="97" spans="1:63" x14ac:dyDescent="0.25">
      <c r="A97" s="20"/>
      <c r="B97" s="204">
        <f t="shared" si="0"/>
        <v>45</v>
      </c>
      <c r="C97" s="205"/>
      <c r="D97" s="247" t="s">
        <v>120</v>
      </c>
      <c r="E97" s="248"/>
      <c r="F97" s="248"/>
      <c r="G97" s="248"/>
      <c r="H97" s="248"/>
      <c r="I97" s="248"/>
      <c r="J97" s="249"/>
      <c r="K97" s="209" t="s">
        <v>30</v>
      </c>
      <c r="L97" s="164"/>
      <c r="M97" s="165"/>
      <c r="N97" s="32" t="s">
        <v>35</v>
      </c>
      <c r="O97" s="25" t="s">
        <v>31</v>
      </c>
      <c r="P97" s="210" t="s">
        <v>136</v>
      </c>
      <c r="Q97" s="211"/>
      <c r="R97" s="211"/>
      <c r="S97" s="212"/>
      <c r="T97" s="210" t="s">
        <v>153</v>
      </c>
      <c r="U97" s="211"/>
      <c r="V97" s="211"/>
      <c r="W97" s="212"/>
      <c r="X97" s="272" t="s">
        <v>31</v>
      </c>
      <c r="Y97" s="224"/>
      <c r="Z97" s="225"/>
      <c r="AA97" s="204" t="s">
        <v>33</v>
      </c>
      <c r="AB97" s="213"/>
      <c r="AC97" s="213"/>
      <c r="AD97" s="213"/>
      <c r="AE97" s="213"/>
      <c r="AF97" s="213"/>
      <c r="AG97" s="213"/>
      <c r="AH97" s="205"/>
      <c r="AI97" s="229" t="s">
        <v>33</v>
      </c>
      <c r="AJ97" s="230"/>
      <c r="AK97" s="230"/>
      <c r="AL97" s="230"/>
      <c r="AM97" s="230"/>
      <c r="AN97" s="230"/>
      <c r="AO97" s="230"/>
      <c r="AP97" s="230"/>
      <c r="AQ97" s="231"/>
      <c r="AR97" s="27" t="s">
        <v>31</v>
      </c>
      <c r="AS97" s="27" t="s">
        <v>31</v>
      </c>
      <c r="AT97" s="27" t="s">
        <v>31</v>
      </c>
      <c r="AU97" s="204" t="s">
        <v>34</v>
      </c>
      <c r="AV97" s="213"/>
      <c r="AW97" s="213"/>
      <c r="AX97" s="205"/>
      <c r="AY97" s="204" t="s">
        <v>33</v>
      </c>
      <c r="AZ97" s="213"/>
      <c r="BA97" s="213"/>
      <c r="BB97" s="205"/>
      <c r="BC97" s="246"/>
      <c r="BD97" s="227"/>
      <c r="BE97" s="227"/>
      <c r="BF97" s="227"/>
      <c r="BG97" s="227"/>
      <c r="BH97" s="227"/>
      <c r="BI97" s="227"/>
      <c r="BJ97" s="228"/>
      <c r="BK97" s="21"/>
    </row>
    <row r="98" spans="1:63" x14ac:dyDescent="0.25">
      <c r="A98" s="20"/>
      <c r="B98" s="204">
        <f t="shared" si="0"/>
        <v>46</v>
      </c>
      <c r="C98" s="205"/>
      <c r="D98" s="247" t="s">
        <v>121</v>
      </c>
      <c r="E98" s="248"/>
      <c r="F98" s="248"/>
      <c r="G98" s="248"/>
      <c r="H98" s="248"/>
      <c r="I98" s="248"/>
      <c r="J98" s="249"/>
      <c r="K98" s="209" t="s">
        <v>30</v>
      </c>
      <c r="L98" s="164"/>
      <c r="M98" s="165"/>
      <c r="N98" s="32" t="s">
        <v>35</v>
      </c>
      <c r="O98" s="25" t="s">
        <v>32</v>
      </c>
      <c r="P98" s="237" t="s">
        <v>34</v>
      </c>
      <c r="Q98" s="211"/>
      <c r="R98" s="211"/>
      <c r="S98" s="212"/>
      <c r="T98" s="237" t="s">
        <v>34</v>
      </c>
      <c r="U98" s="211"/>
      <c r="V98" s="211"/>
      <c r="W98" s="212"/>
      <c r="X98" s="272" t="s">
        <v>31</v>
      </c>
      <c r="Y98" s="224"/>
      <c r="Z98" s="225"/>
      <c r="AA98" s="204" t="s">
        <v>33</v>
      </c>
      <c r="AB98" s="213"/>
      <c r="AC98" s="213"/>
      <c r="AD98" s="213"/>
      <c r="AE98" s="213"/>
      <c r="AF98" s="213"/>
      <c r="AG98" s="213"/>
      <c r="AH98" s="205"/>
      <c r="AI98" s="229" t="s">
        <v>33</v>
      </c>
      <c r="AJ98" s="230"/>
      <c r="AK98" s="230"/>
      <c r="AL98" s="230"/>
      <c r="AM98" s="230"/>
      <c r="AN98" s="230"/>
      <c r="AO98" s="230"/>
      <c r="AP98" s="230"/>
      <c r="AQ98" s="231"/>
      <c r="AR98" s="27" t="s">
        <v>31</v>
      </c>
      <c r="AS98" s="27" t="s">
        <v>31</v>
      </c>
      <c r="AT98" s="27" t="s">
        <v>31</v>
      </c>
      <c r="AU98" s="204" t="s">
        <v>34</v>
      </c>
      <c r="AV98" s="213"/>
      <c r="AW98" s="213"/>
      <c r="AX98" s="205"/>
      <c r="AY98" s="204" t="s">
        <v>33</v>
      </c>
      <c r="AZ98" s="213"/>
      <c r="BA98" s="213"/>
      <c r="BB98" s="205"/>
      <c r="BC98" s="246"/>
      <c r="BD98" s="227"/>
      <c r="BE98" s="227"/>
      <c r="BF98" s="227"/>
      <c r="BG98" s="227"/>
      <c r="BH98" s="227"/>
      <c r="BI98" s="227"/>
      <c r="BJ98" s="228"/>
      <c r="BK98" s="21"/>
    </row>
    <row r="99" spans="1:63" x14ac:dyDescent="0.25">
      <c r="A99" s="20"/>
      <c r="B99" s="204">
        <f t="shared" si="0"/>
        <v>47</v>
      </c>
      <c r="C99" s="205"/>
      <c r="D99" s="247" t="s">
        <v>122</v>
      </c>
      <c r="E99" s="248"/>
      <c r="F99" s="248"/>
      <c r="G99" s="248"/>
      <c r="H99" s="248"/>
      <c r="I99" s="248"/>
      <c r="J99" s="249"/>
      <c r="K99" s="209" t="s">
        <v>30</v>
      </c>
      <c r="L99" s="164"/>
      <c r="M99" s="165"/>
      <c r="N99" s="32" t="s">
        <v>35</v>
      </c>
      <c r="O99" s="25" t="s">
        <v>31</v>
      </c>
      <c r="P99" s="210" t="s">
        <v>136</v>
      </c>
      <c r="Q99" s="211"/>
      <c r="R99" s="211"/>
      <c r="S99" s="212"/>
      <c r="T99" s="210" t="s">
        <v>154</v>
      </c>
      <c r="U99" s="211"/>
      <c r="V99" s="211"/>
      <c r="W99" s="212"/>
      <c r="X99" s="272" t="s">
        <v>31</v>
      </c>
      <c r="Y99" s="224"/>
      <c r="Z99" s="225"/>
      <c r="AA99" s="204" t="s">
        <v>33</v>
      </c>
      <c r="AB99" s="213"/>
      <c r="AC99" s="213"/>
      <c r="AD99" s="213"/>
      <c r="AE99" s="213"/>
      <c r="AF99" s="213"/>
      <c r="AG99" s="213"/>
      <c r="AH99" s="205"/>
      <c r="AI99" s="229" t="s">
        <v>33</v>
      </c>
      <c r="AJ99" s="230"/>
      <c r="AK99" s="230"/>
      <c r="AL99" s="230"/>
      <c r="AM99" s="230"/>
      <c r="AN99" s="230"/>
      <c r="AO99" s="230"/>
      <c r="AP99" s="230"/>
      <c r="AQ99" s="231"/>
      <c r="AR99" s="27" t="s">
        <v>31</v>
      </c>
      <c r="AS99" s="27" t="s">
        <v>31</v>
      </c>
      <c r="AT99" s="27" t="s">
        <v>31</v>
      </c>
      <c r="AU99" s="204" t="s">
        <v>34</v>
      </c>
      <c r="AV99" s="213"/>
      <c r="AW99" s="213"/>
      <c r="AX99" s="205"/>
      <c r="AY99" s="204" t="s">
        <v>33</v>
      </c>
      <c r="AZ99" s="213"/>
      <c r="BA99" s="213"/>
      <c r="BB99" s="205"/>
      <c r="BC99" s="246"/>
      <c r="BD99" s="227"/>
      <c r="BE99" s="227"/>
      <c r="BF99" s="227"/>
      <c r="BG99" s="227"/>
      <c r="BH99" s="227"/>
      <c r="BI99" s="227"/>
      <c r="BJ99" s="228"/>
      <c r="BK99" s="21"/>
    </row>
    <row r="100" spans="1:63" ht="95.25" customHeight="1" x14ac:dyDescent="0.25">
      <c r="A100" s="20"/>
      <c r="B100" s="204">
        <f t="shared" si="0"/>
        <v>48</v>
      </c>
      <c r="C100" s="205"/>
      <c r="D100" s="247" t="s">
        <v>83</v>
      </c>
      <c r="E100" s="248"/>
      <c r="F100" s="248"/>
      <c r="G100" s="248"/>
      <c r="H100" s="248"/>
      <c r="I100" s="248"/>
      <c r="J100" s="249"/>
      <c r="K100" s="209" t="s">
        <v>42</v>
      </c>
      <c r="L100" s="164"/>
      <c r="M100" s="165"/>
      <c r="N100" s="28" t="s">
        <v>38</v>
      </c>
      <c r="O100" s="25" t="s">
        <v>31</v>
      </c>
      <c r="P100" s="204" t="s">
        <v>34</v>
      </c>
      <c r="Q100" s="213"/>
      <c r="R100" s="213"/>
      <c r="S100" s="205"/>
      <c r="T100" s="204" t="s">
        <v>34</v>
      </c>
      <c r="U100" s="213"/>
      <c r="V100" s="213"/>
      <c r="W100" s="205"/>
      <c r="X100" s="272" t="s">
        <v>83</v>
      </c>
      <c r="Y100" s="224"/>
      <c r="Z100" s="225"/>
      <c r="AA100" s="288" t="s">
        <v>88</v>
      </c>
      <c r="AB100" s="221"/>
      <c r="AC100" s="221"/>
      <c r="AD100" s="221"/>
      <c r="AE100" s="221"/>
      <c r="AF100" s="221"/>
      <c r="AG100" s="221"/>
      <c r="AH100" s="222"/>
      <c r="AI100" s="220" t="s">
        <v>89</v>
      </c>
      <c r="AJ100" s="221"/>
      <c r="AK100" s="221"/>
      <c r="AL100" s="221"/>
      <c r="AM100" s="221"/>
      <c r="AN100" s="221"/>
      <c r="AO100" s="221"/>
      <c r="AP100" s="221"/>
      <c r="AQ100" s="222"/>
      <c r="AR100" s="27" t="s">
        <v>31</v>
      </c>
      <c r="AS100" s="27" t="s">
        <v>31</v>
      </c>
      <c r="AT100" s="27" t="s">
        <v>31</v>
      </c>
      <c r="AU100" s="204" t="s">
        <v>34</v>
      </c>
      <c r="AV100" s="213"/>
      <c r="AW100" s="213"/>
      <c r="AX100" s="205"/>
      <c r="AY100" s="204" t="s">
        <v>33</v>
      </c>
      <c r="AZ100" s="213"/>
      <c r="BA100" s="213"/>
      <c r="BB100" s="205"/>
      <c r="BC100" s="246" t="s">
        <v>97</v>
      </c>
      <c r="BD100" s="227"/>
      <c r="BE100" s="227"/>
      <c r="BF100" s="227"/>
      <c r="BG100" s="227"/>
      <c r="BH100" s="227"/>
      <c r="BI100" s="227"/>
      <c r="BJ100" s="228"/>
      <c r="BK100" s="21"/>
    </row>
    <row r="101" spans="1:63" x14ac:dyDescent="0.25">
      <c r="A101" s="20"/>
      <c r="B101" s="204">
        <f t="shared" si="0"/>
        <v>49</v>
      </c>
      <c r="C101" s="205"/>
      <c r="D101" s="247" t="s">
        <v>123</v>
      </c>
      <c r="E101" s="248"/>
      <c r="F101" s="248"/>
      <c r="G101" s="248"/>
      <c r="H101" s="248"/>
      <c r="I101" s="248"/>
      <c r="J101" s="249"/>
      <c r="K101" s="209" t="s">
        <v>42</v>
      </c>
      <c r="L101" s="164"/>
      <c r="M101" s="165"/>
      <c r="N101" s="28" t="s">
        <v>38</v>
      </c>
      <c r="O101" s="25" t="s">
        <v>32</v>
      </c>
      <c r="P101" s="204" t="s">
        <v>34</v>
      </c>
      <c r="Q101" s="213"/>
      <c r="R101" s="213"/>
      <c r="S101" s="205"/>
      <c r="T101" s="204" t="s">
        <v>34</v>
      </c>
      <c r="U101" s="213"/>
      <c r="V101" s="213"/>
      <c r="W101" s="205"/>
      <c r="X101" s="264" t="s">
        <v>255</v>
      </c>
      <c r="Y101" s="265"/>
      <c r="Z101" s="266"/>
      <c r="AA101" s="204" t="s">
        <v>33</v>
      </c>
      <c r="AB101" s="213"/>
      <c r="AC101" s="213"/>
      <c r="AD101" s="213"/>
      <c r="AE101" s="213"/>
      <c r="AF101" s="213"/>
      <c r="AG101" s="213"/>
      <c r="AH101" s="205"/>
      <c r="AI101" s="229" t="s">
        <v>33</v>
      </c>
      <c r="AJ101" s="230"/>
      <c r="AK101" s="230"/>
      <c r="AL101" s="230"/>
      <c r="AM101" s="230"/>
      <c r="AN101" s="230"/>
      <c r="AO101" s="230"/>
      <c r="AP101" s="230"/>
      <c r="AQ101" s="231"/>
      <c r="AR101" s="27" t="s">
        <v>31</v>
      </c>
      <c r="AS101" s="27" t="s">
        <v>31</v>
      </c>
      <c r="AT101" s="27" t="s">
        <v>31</v>
      </c>
      <c r="AU101" s="204" t="s">
        <v>34</v>
      </c>
      <c r="AV101" s="213"/>
      <c r="AW101" s="213"/>
      <c r="AX101" s="205"/>
      <c r="AY101" s="204" t="s">
        <v>33</v>
      </c>
      <c r="AZ101" s="213"/>
      <c r="BA101" s="213"/>
      <c r="BB101" s="205"/>
      <c r="BC101" s="246" t="s">
        <v>128</v>
      </c>
      <c r="BD101" s="227"/>
      <c r="BE101" s="227"/>
      <c r="BF101" s="227"/>
      <c r="BG101" s="227"/>
      <c r="BH101" s="227"/>
      <c r="BI101" s="227"/>
      <c r="BJ101" s="228"/>
      <c r="BK101" s="21"/>
    </row>
    <row r="102" spans="1:63" x14ac:dyDescent="0.25">
      <c r="A102" s="20"/>
      <c r="B102" s="204">
        <f t="shared" si="0"/>
        <v>50</v>
      </c>
      <c r="C102" s="205"/>
      <c r="D102" s="247" t="s">
        <v>124</v>
      </c>
      <c r="E102" s="248"/>
      <c r="F102" s="248"/>
      <c r="G102" s="248"/>
      <c r="H102" s="248"/>
      <c r="I102" s="248"/>
      <c r="J102" s="249"/>
      <c r="K102" s="163" t="s">
        <v>42</v>
      </c>
      <c r="L102" s="164"/>
      <c r="M102" s="165"/>
      <c r="N102" s="28" t="s">
        <v>38</v>
      </c>
      <c r="O102" s="25" t="s">
        <v>32</v>
      </c>
      <c r="P102" s="204" t="s">
        <v>34</v>
      </c>
      <c r="Q102" s="213"/>
      <c r="R102" s="213"/>
      <c r="S102" s="205"/>
      <c r="T102" s="204" t="s">
        <v>34</v>
      </c>
      <c r="U102" s="213"/>
      <c r="V102" s="213"/>
      <c r="W102" s="205"/>
      <c r="X102" s="264" t="s">
        <v>256</v>
      </c>
      <c r="Y102" s="265"/>
      <c r="Z102" s="266"/>
      <c r="AA102" s="289" t="s">
        <v>33</v>
      </c>
      <c r="AB102" s="213"/>
      <c r="AC102" s="213"/>
      <c r="AD102" s="213"/>
      <c r="AE102" s="213"/>
      <c r="AF102" s="213"/>
      <c r="AG102" s="213"/>
      <c r="AH102" s="205"/>
      <c r="AI102" s="310" t="s">
        <v>165</v>
      </c>
      <c r="AJ102" s="250"/>
      <c r="AK102" s="250"/>
      <c r="AL102" s="250"/>
      <c r="AM102" s="250"/>
      <c r="AN102" s="250"/>
      <c r="AO102" s="250"/>
      <c r="AP102" s="250"/>
      <c r="AQ102" s="251"/>
      <c r="AR102" s="27" t="s">
        <v>31</v>
      </c>
      <c r="AS102" s="27" t="s">
        <v>31</v>
      </c>
      <c r="AT102" s="27" t="s">
        <v>31</v>
      </c>
      <c r="AU102" s="204" t="s">
        <v>34</v>
      </c>
      <c r="AV102" s="213"/>
      <c r="AW102" s="213"/>
      <c r="AX102" s="205"/>
      <c r="AY102" s="204" t="s">
        <v>33</v>
      </c>
      <c r="AZ102" s="213"/>
      <c r="BA102" s="213"/>
      <c r="BB102" s="205"/>
      <c r="BC102" s="246" t="s">
        <v>129</v>
      </c>
      <c r="BD102" s="227"/>
      <c r="BE102" s="227"/>
      <c r="BF102" s="227"/>
      <c r="BG102" s="227"/>
      <c r="BH102" s="227"/>
      <c r="BI102" s="227"/>
      <c r="BJ102" s="228"/>
      <c r="BK102" s="21"/>
    </row>
    <row r="103" spans="1:63" s="41" customFormat="1" x14ac:dyDescent="0.25">
      <c r="A103" s="36"/>
      <c r="B103" s="290">
        <f t="shared" ref="B103:B104" si="2">B102+1</f>
        <v>51</v>
      </c>
      <c r="C103" s="269"/>
      <c r="D103" s="306" t="s">
        <v>259</v>
      </c>
      <c r="E103" s="307"/>
      <c r="F103" s="307"/>
      <c r="G103" s="307"/>
      <c r="H103" s="307"/>
      <c r="I103" s="307"/>
      <c r="J103" s="308"/>
      <c r="K103" s="258" t="s">
        <v>269</v>
      </c>
      <c r="L103" s="259"/>
      <c r="M103" s="260"/>
      <c r="N103" s="37" t="s">
        <v>270</v>
      </c>
      <c r="O103" s="38" t="s">
        <v>32</v>
      </c>
      <c r="P103" s="290" t="s">
        <v>31</v>
      </c>
      <c r="Q103" s="268"/>
      <c r="R103" s="268"/>
      <c r="S103" s="269"/>
      <c r="T103" s="290" t="s">
        <v>31</v>
      </c>
      <c r="U103" s="268"/>
      <c r="V103" s="268"/>
      <c r="W103" s="269"/>
      <c r="X103" s="264" t="s">
        <v>31</v>
      </c>
      <c r="Y103" s="265"/>
      <c r="Z103" s="266"/>
      <c r="AA103" s="290" t="s">
        <v>285</v>
      </c>
      <c r="AB103" s="268"/>
      <c r="AC103" s="268"/>
      <c r="AD103" s="268"/>
      <c r="AE103" s="268"/>
      <c r="AF103" s="268"/>
      <c r="AG103" s="268"/>
      <c r="AH103" s="269"/>
      <c r="AI103" s="309" t="s">
        <v>291</v>
      </c>
      <c r="AJ103" s="298"/>
      <c r="AK103" s="298"/>
      <c r="AL103" s="298"/>
      <c r="AM103" s="298"/>
      <c r="AN103" s="298"/>
      <c r="AO103" s="298"/>
      <c r="AP103" s="298"/>
      <c r="AQ103" s="299"/>
      <c r="AR103" s="39" t="s">
        <v>31</v>
      </c>
      <c r="AS103" s="39" t="s">
        <v>31</v>
      </c>
      <c r="AT103" s="39" t="s">
        <v>31</v>
      </c>
      <c r="AU103" s="290" t="s">
        <v>31</v>
      </c>
      <c r="AV103" s="268"/>
      <c r="AW103" s="268"/>
      <c r="AX103" s="269"/>
      <c r="AY103" s="290" t="s">
        <v>103</v>
      </c>
      <c r="AZ103" s="268"/>
      <c r="BA103" s="268"/>
      <c r="BB103" s="269"/>
      <c r="BC103" s="258" t="s">
        <v>125</v>
      </c>
      <c r="BD103" s="259"/>
      <c r="BE103" s="259"/>
      <c r="BF103" s="259"/>
      <c r="BG103" s="259"/>
      <c r="BH103" s="259"/>
      <c r="BI103" s="259"/>
      <c r="BJ103" s="260"/>
      <c r="BK103" s="40"/>
    </row>
    <row r="104" spans="1:63" s="461" customFormat="1" x14ac:dyDescent="0.25">
      <c r="A104" s="439"/>
      <c r="B104" s="440">
        <f t="shared" si="2"/>
        <v>52</v>
      </c>
      <c r="C104" s="441"/>
      <c r="D104" s="442" t="s">
        <v>342</v>
      </c>
      <c r="E104" s="443"/>
      <c r="F104" s="443"/>
      <c r="G104" s="443"/>
      <c r="H104" s="443"/>
      <c r="I104" s="443"/>
      <c r="J104" s="444"/>
      <c r="K104" s="445" t="s">
        <v>343</v>
      </c>
      <c r="L104" s="446"/>
      <c r="M104" s="447"/>
      <c r="N104" s="448" t="s">
        <v>317</v>
      </c>
      <c r="O104" s="448" t="s">
        <v>32</v>
      </c>
      <c r="P104" s="440" t="s">
        <v>31</v>
      </c>
      <c r="Q104" s="449"/>
      <c r="R104" s="449"/>
      <c r="S104" s="441"/>
      <c r="T104" s="440" t="s">
        <v>31</v>
      </c>
      <c r="U104" s="449"/>
      <c r="V104" s="449"/>
      <c r="W104" s="441"/>
      <c r="X104" s="450" t="s">
        <v>342</v>
      </c>
      <c r="Y104" s="451"/>
      <c r="Z104" s="452"/>
      <c r="AA104" s="440" t="s">
        <v>314</v>
      </c>
      <c r="AB104" s="449"/>
      <c r="AC104" s="449"/>
      <c r="AD104" s="449"/>
      <c r="AE104" s="449"/>
      <c r="AF104" s="449"/>
      <c r="AG104" s="449"/>
      <c r="AH104" s="441"/>
      <c r="AI104" s="453" t="s">
        <v>344</v>
      </c>
      <c r="AJ104" s="454"/>
      <c r="AK104" s="454"/>
      <c r="AL104" s="454"/>
      <c r="AM104" s="454"/>
      <c r="AN104" s="454"/>
      <c r="AO104" s="454"/>
      <c r="AP104" s="454"/>
      <c r="AQ104" s="455"/>
      <c r="AR104" s="456" t="s">
        <v>31</v>
      </c>
      <c r="AS104" s="456" t="s">
        <v>31</v>
      </c>
      <c r="AT104" s="456" t="s">
        <v>31</v>
      </c>
      <c r="AU104" s="457" t="s">
        <v>31</v>
      </c>
      <c r="AV104" s="458"/>
      <c r="AW104" s="458"/>
      <c r="AX104" s="459"/>
      <c r="AY104" s="457" t="s">
        <v>314</v>
      </c>
      <c r="AZ104" s="458"/>
      <c r="BA104" s="458"/>
      <c r="BB104" s="459"/>
      <c r="BC104" s="445" t="s">
        <v>345</v>
      </c>
      <c r="BD104" s="446"/>
      <c r="BE104" s="446"/>
      <c r="BF104" s="446"/>
      <c r="BG104" s="446"/>
      <c r="BH104" s="446"/>
      <c r="BI104" s="446"/>
      <c r="BJ104" s="447"/>
      <c r="BK104" s="460"/>
    </row>
  </sheetData>
  <mergeCells count="624">
    <mergeCell ref="X103:Z103"/>
    <mergeCell ref="AA103:AH103"/>
    <mergeCell ref="AI103:AQ103"/>
    <mergeCell ref="AU103:AX103"/>
    <mergeCell ref="AY103:BB103"/>
    <mergeCell ref="BC103:BJ103"/>
    <mergeCell ref="AA102:AH102"/>
    <mergeCell ref="AI102:AQ102"/>
    <mergeCell ref="AU102:AX102"/>
    <mergeCell ref="AY102:BB102"/>
    <mergeCell ref="BC102:BJ102"/>
    <mergeCell ref="X102:Z102"/>
    <mergeCell ref="B103:C103"/>
    <mergeCell ref="D103:J103"/>
    <mergeCell ref="K103:M103"/>
    <mergeCell ref="P103:S103"/>
    <mergeCell ref="T103:W103"/>
    <mergeCell ref="B102:C102"/>
    <mergeCell ref="D102:J102"/>
    <mergeCell ref="K102:M102"/>
    <mergeCell ref="P102:S102"/>
    <mergeCell ref="T102:W102"/>
    <mergeCell ref="X101:Z101"/>
    <mergeCell ref="AA101:AH101"/>
    <mergeCell ref="AI101:AQ101"/>
    <mergeCell ref="AU101:AX101"/>
    <mergeCell ref="AY101:BB101"/>
    <mergeCell ref="BC101:BJ101"/>
    <mergeCell ref="AA91:AH91"/>
    <mergeCell ref="AI91:AQ91"/>
    <mergeCell ref="AU91:AX91"/>
    <mergeCell ref="AY91:BB91"/>
    <mergeCell ref="BC91:BJ91"/>
    <mergeCell ref="X91:Z91"/>
    <mergeCell ref="X97:Z97"/>
    <mergeCell ref="AA97:AH97"/>
    <mergeCell ref="AI97:AQ97"/>
    <mergeCell ref="AU97:AX97"/>
    <mergeCell ref="AY97:BB97"/>
    <mergeCell ref="BC97:BJ97"/>
    <mergeCell ref="AA96:AH96"/>
    <mergeCell ref="AI96:AQ96"/>
    <mergeCell ref="AU96:AX96"/>
    <mergeCell ref="AY96:BB96"/>
    <mergeCell ref="BC96:BJ96"/>
    <mergeCell ref="X96:Z96"/>
    <mergeCell ref="B101:C101"/>
    <mergeCell ref="D101:J101"/>
    <mergeCell ref="K101:M101"/>
    <mergeCell ref="P101:S101"/>
    <mergeCell ref="T101:W101"/>
    <mergeCell ref="B91:C91"/>
    <mergeCell ref="D91:J91"/>
    <mergeCell ref="K91:M91"/>
    <mergeCell ref="P91:S91"/>
    <mergeCell ref="T91:W91"/>
    <mergeCell ref="B97:C97"/>
    <mergeCell ref="D97:J97"/>
    <mergeCell ref="K97:M97"/>
    <mergeCell ref="P97:S97"/>
    <mergeCell ref="T97:W97"/>
    <mergeCell ref="B96:C96"/>
    <mergeCell ref="D96:J96"/>
    <mergeCell ref="K96:M96"/>
    <mergeCell ref="P96:S96"/>
    <mergeCell ref="T96:W96"/>
    <mergeCell ref="B95:C95"/>
    <mergeCell ref="D95:J95"/>
    <mergeCell ref="K95:M95"/>
    <mergeCell ref="P95:S95"/>
    <mergeCell ref="B99:C99"/>
    <mergeCell ref="D99:J99"/>
    <mergeCell ref="K99:M99"/>
    <mergeCell ref="P99:S99"/>
    <mergeCell ref="T99:W99"/>
    <mergeCell ref="B98:C98"/>
    <mergeCell ref="D98:J98"/>
    <mergeCell ref="K98:M98"/>
    <mergeCell ref="P98:S98"/>
    <mergeCell ref="T98:W98"/>
    <mergeCell ref="X99:Z99"/>
    <mergeCell ref="AA99:AH99"/>
    <mergeCell ref="AI99:AQ99"/>
    <mergeCell ref="AU99:AX99"/>
    <mergeCell ref="AY99:BB99"/>
    <mergeCell ref="BC99:BJ99"/>
    <mergeCell ref="AA98:AH98"/>
    <mergeCell ref="AI98:AQ98"/>
    <mergeCell ref="AU98:AX98"/>
    <mergeCell ref="AY98:BB98"/>
    <mergeCell ref="BC98:BJ98"/>
    <mergeCell ref="X98:Z98"/>
    <mergeCell ref="AI95:AQ95"/>
    <mergeCell ref="AU95:AX95"/>
    <mergeCell ref="AY95:BB95"/>
    <mergeCell ref="BC95:BJ95"/>
    <mergeCell ref="AA94:AH94"/>
    <mergeCell ref="AI94:AQ94"/>
    <mergeCell ref="AU94:AX94"/>
    <mergeCell ref="AY94:BB94"/>
    <mergeCell ref="BC94:BJ94"/>
    <mergeCell ref="T95:W95"/>
    <mergeCell ref="B94:C94"/>
    <mergeCell ref="D94:J94"/>
    <mergeCell ref="K94:M94"/>
    <mergeCell ref="P94:S94"/>
    <mergeCell ref="T94:W94"/>
    <mergeCell ref="X94:Z94"/>
    <mergeCell ref="X93:Z93"/>
    <mergeCell ref="AA93:AH93"/>
    <mergeCell ref="B93:C93"/>
    <mergeCell ref="D93:J93"/>
    <mergeCell ref="K93:M93"/>
    <mergeCell ref="P93:S93"/>
    <mergeCell ref="T93:W93"/>
    <mergeCell ref="X95:Z95"/>
    <mergeCell ref="AA95:AH95"/>
    <mergeCell ref="AI93:AQ93"/>
    <mergeCell ref="AU93:AX93"/>
    <mergeCell ref="AY93:BB93"/>
    <mergeCell ref="BC93:BJ93"/>
    <mergeCell ref="AA92:AH92"/>
    <mergeCell ref="AI92:AQ92"/>
    <mergeCell ref="AU92:AX92"/>
    <mergeCell ref="AY92:BB92"/>
    <mergeCell ref="BC92:BJ92"/>
    <mergeCell ref="B92:C92"/>
    <mergeCell ref="D92:J92"/>
    <mergeCell ref="K92:M92"/>
    <mergeCell ref="P92:S92"/>
    <mergeCell ref="T92:W92"/>
    <mergeCell ref="X92:Z92"/>
    <mergeCell ref="X90:Z90"/>
    <mergeCell ref="AA90:AH90"/>
    <mergeCell ref="AI90:AQ90"/>
    <mergeCell ref="B90:C90"/>
    <mergeCell ref="D90:J90"/>
    <mergeCell ref="K90:M90"/>
    <mergeCell ref="P90:S90"/>
    <mergeCell ref="T90:W90"/>
    <mergeCell ref="AY88:BB88"/>
    <mergeCell ref="BC88:BJ88"/>
    <mergeCell ref="X88:Z88"/>
    <mergeCell ref="AU90:AX90"/>
    <mergeCell ref="AY90:BB90"/>
    <mergeCell ref="BC90:BJ90"/>
    <mergeCell ref="AA89:AH89"/>
    <mergeCell ref="AI89:AQ89"/>
    <mergeCell ref="AU89:AX89"/>
    <mergeCell ref="AY89:BB89"/>
    <mergeCell ref="BC89:BJ89"/>
    <mergeCell ref="X89:Z89"/>
    <mergeCell ref="B89:C89"/>
    <mergeCell ref="B88:C88"/>
    <mergeCell ref="D88:J88"/>
    <mergeCell ref="K88:M88"/>
    <mergeCell ref="P88:S88"/>
    <mergeCell ref="T88:W88"/>
    <mergeCell ref="AA88:AH88"/>
    <mergeCell ref="AI88:AQ88"/>
    <mergeCell ref="AU88:AX88"/>
    <mergeCell ref="D89:J89"/>
    <mergeCell ref="K89:M89"/>
    <mergeCell ref="P89:S89"/>
    <mergeCell ref="T89:W89"/>
    <mergeCell ref="AU87:AX87"/>
    <mergeCell ref="AY87:BB87"/>
    <mergeCell ref="BC87:BJ87"/>
    <mergeCell ref="AA86:AH86"/>
    <mergeCell ref="AI86:AQ86"/>
    <mergeCell ref="AU86:AX86"/>
    <mergeCell ref="AY86:BB86"/>
    <mergeCell ref="BC86:BJ86"/>
    <mergeCell ref="X86:Z86"/>
    <mergeCell ref="T87:W87"/>
    <mergeCell ref="B86:C86"/>
    <mergeCell ref="D86:J86"/>
    <mergeCell ref="K86:M86"/>
    <mergeCell ref="P86:S86"/>
    <mergeCell ref="T86:W86"/>
    <mergeCell ref="X87:Z87"/>
    <mergeCell ref="AA87:AH87"/>
    <mergeCell ref="AI87:AQ87"/>
    <mergeCell ref="X85:Z85"/>
    <mergeCell ref="AA85:AH85"/>
    <mergeCell ref="AI85:AQ85"/>
    <mergeCell ref="AU85:AX85"/>
    <mergeCell ref="AY85:BB85"/>
    <mergeCell ref="BC85:BJ85"/>
    <mergeCell ref="AA74:AH74"/>
    <mergeCell ref="AI74:AQ74"/>
    <mergeCell ref="AU74:AX74"/>
    <mergeCell ref="AY74:BB74"/>
    <mergeCell ref="BC74:BJ74"/>
    <mergeCell ref="X74:Z74"/>
    <mergeCell ref="B84:BJ84"/>
    <mergeCell ref="B74:C74"/>
    <mergeCell ref="B85:C85"/>
    <mergeCell ref="D85:J85"/>
    <mergeCell ref="K85:M85"/>
    <mergeCell ref="P85:S85"/>
    <mergeCell ref="T85:W85"/>
    <mergeCell ref="D74:J74"/>
    <mergeCell ref="K74:M74"/>
    <mergeCell ref="P74:S74"/>
    <mergeCell ref="T74:W74"/>
    <mergeCell ref="X83:Z83"/>
    <mergeCell ref="X73:Z73"/>
    <mergeCell ref="AA73:AH73"/>
    <mergeCell ref="AI73:AQ73"/>
    <mergeCell ref="AU73:AX73"/>
    <mergeCell ref="AY73:BB73"/>
    <mergeCell ref="BC73:BJ73"/>
    <mergeCell ref="B73:C73"/>
    <mergeCell ref="D73:J73"/>
    <mergeCell ref="K73:M73"/>
    <mergeCell ref="P73:S73"/>
    <mergeCell ref="T73:W73"/>
    <mergeCell ref="BC80:BJ80"/>
    <mergeCell ref="X80:Z80"/>
    <mergeCell ref="X82:Z82"/>
    <mergeCell ref="B83:C83"/>
    <mergeCell ref="D83:J83"/>
    <mergeCell ref="K83:M83"/>
    <mergeCell ref="P83:S83"/>
    <mergeCell ref="T83:W83"/>
    <mergeCell ref="B82:C82"/>
    <mergeCell ref="D82:J82"/>
    <mergeCell ref="K82:M82"/>
    <mergeCell ref="P82:S82"/>
    <mergeCell ref="T82:W82"/>
    <mergeCell ref="AA83:AH83"/>
    <mergeCell ref="AI83:AQ83"/>
    <mergeCell ref="AU83:AX83"/>
    <mergeCell ref="AY83:BB83"/>
    <mergeCell ref="BC83:BJ83"/>
    <mergeCell ref="AA82:AH82"/>
    <mergeCell ref="AI82:AQ82"/>
    <mergeCell ref="AU82:AX82"/>
    <mergeCell ref="AY82:BB82"/>
    <mergeCell ref="BC82:BJ82"/>
    <mergeCell ref="AU78:AX78"/>
    <mergeCell ref="AY78:BB78"/>
    <mergeCell ref="BC78:BJ78"/>
    <mergeCell ref="X78:Z78"/>
    <mergeCell ref="B81:C81"/>
    <mergeCell ref="D81:J81"/>
    <mergeCell ref="K81:M81"/>
    <mergeCell ref="P81:S81"/>
    <mergeCell ref="T81:W81"/>
    <mergeCell ref="B80:C80"/>
    <mergeCell ref="D80:J80"/>
    <mergeCell ref="K80:M80"/>
    <mergeCell ref="P80:S80"/>
    <mergeCell ref="T80:W80"/>
    <mergeCell ref="X81:Z81"/>
    <mergeCell ref="AA81:AH81"/>
    <mergeCell ref="AI81:AQ81"/>
    <mergeCell ref="AU81:AX81"/>
    <mergeCell ref="AY81:BB81"/>
    <mergeCell ref="BC81:BJ81"/>
    <mergeCell ref="AA80:AH80"/>
    <mergeCell ref="AI80:AQ80"/>
    <mergeCell ref="AU80:AX80"/>
    <mergeCell ref="AY80:BB80"/>
    <mergeCell ref="AA76:AH76"/>
    <mergeCell ref="AI76:AQ76"/>
    <mergeCell ref="AU76:AX76"/>
    <mergeCell ref="AY76:BB76"/>
    <mergeCell ref="BC76:BJ76"/>
    <mergeCell ref="X76:Z76"/>
    <mergeCell ref="B79:C79"/>
    <mergeCell ref="D79:J79"/>
    <mergeCell ref="K79:M79"/>
    <mergeCell ref="P79:S79"/>
    <mergeCell ref="T79:W79"/>
    <mergeCell ref="B78:C78"/>
    <mergeCell ref="D78:J78"/>
    <mergeCell ref="K78:M78"/>
    <mergeCell ref="P78:S78"/>
    <mergeCell ref="T78:W78"/>
    <mergeCell ref="X79:Z79"/>
    <mergeCell ref="AA79:AH79"/>
    <mergeCell ref="AI79:AQ79"/>
    <mergeCell ref="AU79:AX79"/>
    <mergeCell ref="AY79:BB79"/>
    <mergeCell ref="BC79:BJ79"/>
    <mergeCell ref="AA78:AH78"/>
    <mergeCell ref="AI78:AQ78"/>
    <mergeCell ref="X75:Z75"/>
    <mergeCell ref="AA75:AH75"/>
    <mergeCell ref="AI75:AQ75"/>
    <mergeCell ref="AU75:AX75"/>
    <mergeCell ref="AY75:BB75"/>
    <mergeCell ref="BC75:BJ75"/>
    <mergeCell ref="AA104:AH104"/>
    <mergeCell ref="AI104:AQ104"/>
    <mergeCell ref="AU104:AX104"/>
    <mergeCell ref="AY104:BB104"/>
    <mergeCell ref="BC104:BJ104"/>
    <mergeCell ref="X104:Z104"/>
    <mergeCell ref="X100:Z100"/>
    <mergeCell ref="AA100:AH100"/>
    <mergeCell ref="AI100:AQ100"/>
    <mergeCell ref="AU100:AX100"/>
    <mergeCell ref="AY100:BB100"/>
    <mergeCell ref="BC100:BJ100"/>
    <mergeCell ref="X77:Z77"/>
    <mergeCell ref="AA77:AH77"/>
    <mergeCell ref="AI77:AQ77"/>
    <mergeCell ref="AU77:AX77"/>
    <mergeCell ref="AY77:BB77"/>
    <mergeCell ref="BC77:BJ77"/>
    <mergeCell ref="B75:C75"/>
    <mergeCell ref="D75:J75"/>
    <mergeCell ref="K75:M75"/>
    <mergeCell ref="P75:S75"/>
    <mergeCell ref="T75:W75"/>
    <mergeCell ref="B104:C104"/>
    <mergeCell ref="D104:J104"/>
    <mergeCell ref="K104:M104"/>
    <mergeCell ref="P104:S104"/>
    <mergeCell ref="T104:W104"/>
    <mergeCell ref="B77:C77"/>
    <mergeCell ref="D77:J77"/>
    <mergeCell ref="K77:M77"/>
    <mergeCell ref="P77:S77"/>
    <mergeCell ref="T77:W77"/>
    <mergeCell ref="B76:C76"/>
    <mergeCell ref="D76:J76"/>
    <mergeCell ref="K76:M76"/>
    <mergeCell ref="P76:S76"/>
    <mergeCell ref="T76:W76"/>
    <mergeCell ref="B87:C87"/>
    <mergeCell ref="D87:J87"/>
    <mergeCell ref="K87:M87"/>
    <mergeCell ref="P87:S87"/>
    <mergeCell ref="X72:Z72"/>
    <mergeCell ref="AA72:AH72"/>
    <mergeCell ref="AI72:AQ72"/>
    <mergeCell ref="AU72:AX72"/>
    <mergeCell ref="AY72:BB72"/>
    <mergeCell ref="BC72:BJ72"/>
    <mergeCell ref="AA71:AH71"/>
    <mergeCell ref="AI71:AQ71"/>
    <mergeCell ref="AU71:AX71"/>
    <mergeCell ref="AY71:BB71"/>
    <mergeCell ref="BC71:BJ71"/>
    <mergeCell ref="X71:Z71"/>
    <mergeCell ref="B71:C71"/>
    <mergeCell ref="B72:C72"/>
    <mergeCell ref="D72:J72"/>
    <mergeCell ref="K72:M72"/>
    <mergeCell ref="P72:S72"/>
    <mergeCell ref="T72:W72"/>
    <mergeCell ref="D71:J71"/>
    <mergeCell ref="K71:M71"/>
    <mergeCell ref="P71:S71"/>
    <mergeCell ref="T71:W71"/>
    <mergeCell ref="X70:Z70"/>
    <mergeCell ref="AA70:AH70"/>
    <mergeCell ref="AI70:AQ70"/>
    <mergeCell ref="AU70:AX70"/>
    <mergeCell ref="AY70:BB70"/>
    <mergeCell ref="BC70:BJ70"/>
    <mergeCell ref="AA69:AH69"/>
    <mergeCell ref="AI69:AQ69"/>
    <mergeCell ref="AU69:AX69"/>
    <mergeCell ref="AY69:BB69"/>
    <mergeCell ref="BC69:BJ69"/>
    <mergeCell ref="X69:Z69"/>
    <mergeCell ref="B67:C67"/>
    <mergeCell ref="B69:C69"/>
    <mergeCell ref="B70:C70"/>
    <mergeCell ref="D70:J70"/>
    <mergeCell ref="K70:M70"/>
    <mergeCell ref="P70:S70"/>
    <mergeCell ref="T70:W70"/>
    <mergeCell ref="D69:J69"/>
    <mergeCell ref="K69:M69"/>
    <mergeCell ref="P69:S69"/>
    <mergeCell ref="T69:W69"/>
    <mergeCell ref="B68:C68"/>
    <mergeCell ref="D68:J68"/>
    <mergeCell ref="K68:M68"/>
    <mergeCell ref="P68:S68"/>
    <mergeCell ref="T68:W68"/>
    <mergeCell ref="D67:J67"/>
    <mergeCell ref="K67:M67"/>
    <mergeCell ref="P67:S67"/>
    <mergeCell ref="T67:W67"/>
    <mergeCell ref="X68:Z68"/>
    <mergeCell ref="AA68:AH68"/>
    <mergeCell ref="AI68:AQ68"/>
    <mergeCell ref="AU68:AX68"/>
    <mergeCell ref="AY68:BB68"/>
    <mergeCell ref="BC68:BJ68"/>
    <mergeCell ref="AA67:AH67"/>
    <mergeCell ref="AI67:AQ67"/>
    <mergeCell ref="AU67:AX67"/>
    <mergeCell ref="AY67:BB67"/>
    <mergeCell ref="BC67:BJ67"/>
    <mergeCell ref="X67:Z67"/>
    <mergeCell ref="P65:S65"/>
    <mergeCell ref="T65:W65"/>
    <mergeCell ref="X66:Z66"/>
    <mergeCell ref="AA66:AH66"/>
    <mergeCell ref="AI66:AQ66"/>
    <mergeCell ref="AU66:AX66"/>
    <mergeCell ref="AY66:BB66"/>
    <mergeCell ref="BC66:BJ66"/>
    <mergeCell ref="AA65:AH65"/>
    <mergeCell ref="AI65:AQ65"/>
    <mergeCell ref="AU65:AX65"/>
    <mergeCell ref="AY65:BB65"/>
    <mergeCell ref="BC65:BJ65"/>
    <mergeCell ref="X65:Z65"/>
    <mergeCell ref="AA64:AH64"/>
    <mergeCell ref="AI64:AQ64"/>
    <mergeCell ref="AU64:AX64"/>
    <mergeCell ref="AY64:BB64"/>
    <mergeCell ref="BC64:BJ64"/>
    <mergeCell ref="X64:Z64"/>
    <mergeCell ref="B100:C100"/>
    <mergeCell ref="D100:J100"/>
    <mergeCell ref="K100:M100"/>
    <mergeCell ref="P100:S100"/>
    <mergeCell ref="T100:W100"/>
    <mergeCell ref="B64:C64"/>
    <mergeCell ref="D64:J64"/>
    <mergeCell ref="K64:M64"/>
    <mergeCell ref="P64:S64"/>
    <mergeCell ref="T64:W64"/>
    <mergeCell ref="B66:C66"/>
    <mergeCell ref="D66:J66"/>
    <mergeCell ref="K66:M66"/>
    <mergeCell ref="P66:S66"/>
    <mergeCell ref="T66:W66"/>
    <mergeCell ref="B65:C65"/>
    <mergeCell ref="D65:J65"/>
    <mergeCell ref="K65:M65"/>
    <mergeCell ref="X63:Z63"/>
    <mergeCell ref="AA63:AH63"/>
    <mergeCell ref="AI63:AQ63"/>
    <mergeCell ref="AU63:AX63"/>
    <mergeCell ref="AY63:BB63"/>
    <mergeCell ref="BC63:BJ63"/>
    <mergeCell ref="AA62:AH62"/>
    <mergeCell ref="AI62:AQ62"/>
    <mergeCell ref="AU62:AX62"/>
    <mergeCell ref="AY62:BB62"/>
    <mergeCell ref="BC62:BJ62"/>
    <mergeCell ref="X62:Z62"/>
    <mergeCell ref="B63:C63"/>
    <mergeCell ref="D63:J63"/>
    <mergeCell ref="K63:M63"/>
    <mergeCell ref="P63:S63"/>
    <mergeCell ref="T63:W63"/>
    <mergeCell ref="B62:C62"/>
    <mergeCell ref="D62:J62"/>
    <mergeCell ref="K62:M62"/>
    <mergeCell ref="P62:S62"/>
    <mergeCell ref="T62:W62"/>
    <mergeCell ref="X61:Z61"/>
    <mergeCell ref="AA61:AH61"/>
    <mergeCell ref="AI61:AQ61"/>
    <mergeCell ref="AU61:AX61"/>
    <mergeCell ref="AY61:BB61"/>
    <mergeCell ref="BC61:BJ61"/>
    <mergeCell ref="AA60:AH60"/>
    <mergeCell ref="AI60:AQ60"/>
    <mergeCell ref="AU60:AX60"/>
    <mergeCell ref="AY60:BB60"/>
    <mergeCell ref="BC60:BJ60"/>
    <mergeCell ref="X60:Z60"/>
    <mergeCell ref="B61:C61"/>
    <mergeCell ref="D61:J61"/>
    <mergeCell ref="K61:M61"/>
    <mergeCell ref="P61:S61"/>
    <mergeCell ref="T61:W61"/>
    <mergeCell ref="B60:C60"/>
    <mergeCell ref="D60:J60"/>
    <mergeCell ref="K60:M60"/>
    <mergeCell ref="P60:S60"/>
    <mergeCell ref="T60:W60"/>
    <mergeCell ref="X59:Z59"/>
    <mergeCell ref="AA59:AH59"/>
    <mergeCell ref="AI59:AQ59"/>
    <mergeCell ref="AU59:AX59"/>
    <mergeCell ref="AY59:BB59"/>
    <mergeCell ref="BC59:BJ59"/>
    <mergeCell ref="AA58:AH58"/>
    <mergeCell ref="AI58:AQ58"/>
    <mergeCell ref="AU58:AX58"/>
    <mergeCell ref="AY58:BB58"/>
    <mergeCell ref="BC58:BJ58"/>
    <mergeCell ref="X58:Z58"/>
    <mergeCell ref="B59:C59"/>
    <mergeCell ref="D59:J59"/>
    <mergeCell ref="K59:M59"/>
    <mergeCell ref="P59:S59"/>
    <mergeCell ref="T59:W59"/>
    <mergeCell ref="B58:C58"/>
    <mergeCell ref="D58:J58"/>
    <mergeCell ref="K58:M58"/>
    <mergeCell ref="P58:S58"/>
    <mergeCell ref="T58:W58"/>
    <mergeCell ref="X57:Z57"/>
    <mergeCell ref="AA57:AH57"/>
    <mergeCell ref="AI57:AQ57"/>
    <mergeCell ref="AU57:AX57"/>
    <mergeCell ref="AY57:BB57"/>
    <mergeCell ref="BC57:BJ57"/>
    <mergeCell ref="AA56:AH56"/>
    <mergeCell ref="AI56:AQ56"/>
    <mergeCell ref="AU56:AX56"/>
    <mergeCell ref="AY56:BB56"/>
    <mergeCell ref="BC56:BJ56"/>
    <mergeCell ref="X56:Z56"/>
    <mergeCell ref="B57:C57"/>
    <mergeCell ref="D57:J57"/>
    <mergeCell ref="K57:M57"/>
    <mergeCell ref="P57:S57"/>
    <mergeCell ref="T57:W57"/>
    <mergeCell ref="B56:C56"/>
    <mergeCell ref="D56:J56"/>
    <mergeCell ref="K56:M56"/>
    <mergeCell ref="P56:S56"/>
    <mergeCell ref="T56:W56"/>
    <mergeCell ref="X55:Z55"/>
    <mergeCell ref="AA55:AH55"/>
    <mergeCell ref="AI55:AQ55"/>
    <mergeCell ref="AU55:AX55"/>
    <mergeCell ref="AY55:BB55"/>
    <mergeCell ref="BC55:BJ55"/>
    <mergeCell ref="AA54:AH54"/>
    <mergeCell ref="AI54:AQ54"/>
    <mergeCell ref="AU54:AX54"/>
    <mergeCell ref="AY54:BB54"/>
    <mergeCell ref="BC54:BJ54"/>
    <mergeCell ref="X54:Z54"/>
    <mergeCell ref="B55:C55"/>
    <mergeCell ref="D55:J55"/>
    <mergeCell ref="K55:M55"/>
    <mergeCell ref="P55:S55"/>
    <mergeCell ref="T55:W55"/>
    <mergeCell ref="B54:C54"/>
    <mergeCell ref="D54:J54"/>
    <mergeCell ref="K54:M54"/>
    <mergeCell ref="P54:S54"/>
    <mergeCell ref="T54:W54"/>
    <mergeCell ref="X53:Z53"/>
    <mergeCell ref="AA53:AH53"/>
    <mergeCell ref="AI53:AQ53"/>
    <mergeCell ref="AU53:AX53"/>
    <mergeCell ref="AY53:BB53"/>
    <mergeCell ref="BC53:BJ53"/>
    <mergeCell ref="AA52:AH52"/>
    <mergeCell ref="AI52:AQ52"/>
    <mergeCell ref="AU52:AX52"/>
    <mergeCell ref="AY52:BB52"/>
    <mergeCell ref="BC52:BJ52"/>
    <mergeCell ref="X52:Z52"/>
    <mergeCell ref="B53:C53"/>
    <mergeCell ref="D53:J53"/>
    <mergeCell ref="K53:M53"/>
    <mergeCell ref="P53:S53"/>
    <mergeCell ref="T53:W53"/>
    <mergeCell ref="B52:C52"/>
    <mergeCell ref="D52:J52"/>
    <mergeCell ref="K52:M52"/>
    <mergeCell ref="P52:S52"/>
    <mergeCell ref="T52:W52"/>
    <mergeCell ref="B51:C51"/>
    <mergeCell ref="D51:J51"/>
    <mergeCell ref="K51:M51"/>
    <mergeCell ref="P51:S51"/>
    <mergeCell ref="T51:W51"/>
    <mergeCell ref="P48:AQ48"/>
    <mergeCell ref="AR48:BB48"/>
    <mergeCell ref="BC48:BJ50"/>
    <mergeCell ref="P49:W49"/>
    <mergeCell ref="X49:Z50"/>
    <mergeCell ref="AA49:AH50"/>
    <mergeCell ref="AI49:AQ50"/>
    <mergeCell ref="AR49:AR50"/>
    <mergeCell ref="AS49:AS50"/>
    <mergeCell ref="AT49:AT50"/>
    <mergeCell ref="X51:Z51"/>
    <mergeCell ref="AA51:AH51"/>
    <mergeCell ref="AI51:AQ51"/>
    <mergeCell ref="AU51:AX51"/>
    <mergeCell ref="AY51:BB51"/>
    <mergeCell ref="BC51:BJ51"/>
    <mergeCell ref="AU49:BB49"/>
    <mergeCell ref="P50:S50"/>
    <mergeCell ref="T50:W50"/>
    <mergeCell ref="A4:G4"/>
    <mergeCell ref="H4:T4"/>
    <mergeCell ref="U4:Y4"/>
    <mergeCell ref="Z4:AO4"/>
    <mergeCell ref="AP4:BK4"/>
    <mergeCell ref="B48:C50"/>
    <mergeCell ref="D48:J50"/>
    <mergeCell ref="K48:M50"/>
    <mergeCell ref="N48:N50"/>
    <mergeCell ref="O48:O50"/>
    <mergeCell ref="AU50:AX50"/>
    <mergeCell ref="AY50:BB5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AR51:AT83 O51:O83 AR85:AT104 O85:O104" xr:uid="{00000000-0002-0000-0200-000000000000}">
      <formula1>"－,●"</formula1>
    </dataValidation>
  </dataValidations>
  <pageMargins left="0.7" right="0.7" top="0.75" bottom="0.75" header="0.3" footer="0.3"/>
  <pageSetup scale="1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65F1-9D02-4001-85A5-9932DB6EA356}">
  <sheetPr>
    <tabColor rgb="FF00B050"/>
    <pageSetUpPr fitToPage="1"/>
  </sheetPr>
  <dimension ref="A1:BK106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6"/>
  </cols>
  <sheetData>
    <row r="1" spans="1:63" ht="24.95" customHeight="1" x14ac:dyDescent="0.2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3"/>
      <c r="K1" s="121" t="s">
        <v>2</v>
      </c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3"/>
      <c r="W1" s="124" t="str">
        <f>IF(表紙!W1="","",表紙!W1)</f>
        <v>詳細設計書</v>
      </c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6"/>
      <c r="AP1" s="42" t="s">
        <v>3</v>
      </c>
      <c r="AQ1" s="43"/>
      <c r="AR1" s="43"/>
      <c r="AS1" s="44"/>
      <c r="AT1" s="42" t="s">
        <v>4</v>
      </c>
      <c r="AU1" s="43"/>
      <c r="AV1" s="43"/>
      <c r="AW1" s="43"/>
      <c r="AX1" s="44"/>
      <c r="AY1" s="42" t="s">
        <v>5</v>
      </c>
      <c r="AZ1" s="43"/>
      <c r="BA1" s="43"/>
      <c r="BB1" s="44"/>
      <c r="BC1" s="42" t="s">
        <v>6</v>
      </c>
      <c r="BD1" s="43"/>
      <c r="BE1" s="43"/>
      <c r="BF1" s="43"/>
      <c r="BG1" s="44"/>
      <c r="BH1" s="42" t="s">
        <v>7</v>
      </c>
      <c r="BI1" s="43"/>
      <c r="BJ1" s="43"/>
      <c r="BK1" s="44"/>
    </row>
    <row r="2" spans="1:63" ht="15" customHeight="1" x14ac:dyDescent="0.25">
      <c r="A2" s="115" t="str">
        <f>IF(表紙!A2="","",表紙!A2)</f>
        <v>POSサーバー</v>
      </c>
      <c r="B2" s="116"/>
      <c r="C2" s="116"/>
      <c r="D2" s="116"/>
      <c r="E2" s="116"/>
      <c r="F2" s="116"/>
      <c r="G2" s="116"/>
      <c r="H2" s="116"/>
      <c r="I2" s="116"/>
      <c r="J2" s="117"/>
      <c r="K2" s="115" t="str">
        <f>IF(表紙!K2="","",表紙!K2)</f>
        <v>POSサーバ</v>
      </c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7"/>
      <c r="W2" s="127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9"/>
      <c r="AP2" s="45" t="str">
        <f>IF(表紙!AP2="","",表紙!AP2)</f>
        <v>DuNT</v>
      </c>
      <c r="AQ2" s="46"/>
      <c r="AR2" s="46"/>
      <c r="AS2" s="47"/>
      <c r="AT2" s="73">
        <f>IF(表紙!AT2="","",表紙!AT2)</f>
        <v>45581</v>
      </c>
      <c r="AU2" s="74"/>
      <c r="AV2" s="74"/>
      <c r="AW2" s="74"/>
      <c r="AX2" s="75"/>
      <c r="AY2" s="45" t="str">
        <f>IF(表紙!AY2="","",表紙!AY2)</f>
        <v>DuNT</v>
      </c>
      <c r="AZ2" s="46"/>
      <c r="BA2" s="46"/>
      <c r="BB2" s="47"/>
      <c r="BC2" s="73">
        <f>IF(表紙!BC2="","",表紙!BC2)</f>
        <v>45649</v>
      </c>
      <c r="BD2" s="74"/>
      <c r="BE2" s="74"/>
      <c r="BF2" s="74"/>
      <c r="BG2" s="75"/>
      <c r="BH2" s="45">
        <f>IF(表紙!BH2="","",表紙!BH2)</f>
        <v>0.13</v>
      </c>
      <c r="BI2" s="46"/>
      <c r="BJ2" s="46"/>
      <c r="BK2" s="47"/>
    </row>
    <row r="3" spans="1:63" ht="15" customHeight="1" x14ac:dyDescent="0.25">
      <c r="A3" s="118"/>
      <c r="B3" s="119"/>
      <c r="C3" s="119"/>
      <c r="D3" s="119"/>
      <c r="E3" s="119"/>
      <c r="F3" s="119"/>
      <c r="G3" s="119"/>
      <c r="H3" s="119"/>
      <c r="I3" s="119"/>
      <c r="J3" s="120"/>
      <c r="K3" s="118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20"/>
      <c r="W3" s="130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2"/>
      <c r="AP3" s="48"/>
      <c r="AQ3" s="49"/>
      <c r="AR3" s="49"/>
      <c r="AS3" s="50"/>
      <c r="AT3" s="76"/>
      <c r="AU3" s="77"/>
      <c r="AV3" s="77"/>
      <c r="AW3" s="77"/>
      <c r="AX3" s="78"/>
      <c r="AY3" s="48"/>
      <c r="AZ3" s="49"/>
      <c r="BA3" s="49"/>
      <c r="BB3" s="50"/>
      <c r="BC3" s="76"/>
      <c r="BD3" s="77"/>
      <c r="BE3" s="77"/>
      <c r="BF3" s="77"/>
      <c r="BG3" s="78"/>
      <c r="BH3" s="48"/>
      <c r="BI3" s="49"/>
      <c r="BJ3" s="49"/>
      <c r="BK3" s="50"/>
    </row>
    <row r="4" spans="1:63" ht="24.95" customHeight="1" x14ac:dyDescent="0.25">
      <c r="A4" s="121" t="s">
        <v>1</v>
      </c>
      <c r="B4" s="122"/>
      <c r="C4" s="122"/>
      <c r="D4" s="122"/>
      <c r="E4" s="122"/>
      <c r="F4" s="122"/>
      <c r="G4" s="123"/>
      <c r="H4" s="133" t="str">
        <f>IF(表紙!H4="","",表紙!H4)</f>
        <v>05_ミックスマッチ設定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5"/>
      <c r="U4" s="121" t="s">
        <v>8</v>
      </c>
      <c r="V4" s="122"/>
      <c r="W4" s="122"/>
      <c r="X4" s="122"/>
      <c r="Y4" s="123"/>
      <c r="Z4" s="133" t="str">
        <f>IF(表紙!Z4="","",表紙!Z4)</f>
        <v>画面設計書</v>
      </c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5"/>
      <c r="AP4" s="136" t="str">
        <f ca="1">MID(CELL("filename",A1),FIND("]",CELL("filename",A1))+1,255)</f>
        <v>MD0501</v>
      </c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0"/>
      <c r="BK6" s="21"/>
    </row>
    <row r="7" spans="1:63" ht="15" customHeight="1" x14ac:dyDescent="0.25">
      <c r="A7" s="20"/>
      <c r="B7" s="23" t="s">
        <v>193</v>
      </c>
      <c r="C7" s="22"/>
      <c r="D7" s="22"/>
      <c r="E7" s="22"/>
      <c r="F7" s="22"/>
      <c r="G7" s="22"/>
      <c r="H7" s="22"/>
      <c r="I7" s="22"/>
      <c r="J7" s="22"/>
      <c r="AE7" s="23"/>
      <c r="BK7" s="21"/>
    </row>
    <row r="8" spans="1:63" ht="15" customHeight="1" x14ac:dyDescent="0.25">
      <c r="A8" s="20"/>
      <c r="BK8" s="21"/>
    </row>
    <row r="9" spans="1:63" ht="15" customHeight="1" x14ac:dyDescent="0.25">
      <c r="A9" s="20"/>
      <c r="BK9" s="21"/>
    </row>
    <row r="10" spans="1:63" ht="15" customHeight="1" x14ac:dyDescent="0.25">
      <c r="A10" s="20"/>
      <c r="BK10" s="21"/>
    </row>
    <row r="11" spans="1:63" ht="15" customHeight="1" x14ac:dyDescent="0.25">
      <c r="A11" s="20"/>
      <c r="AP11" s="31"/>
      <c r="BK11" s="21"/>
    </row>
    <row r="12" spans="1:63" ht="15" customHeight="1" x14ac:dyDescent="0.25">
      <c r="A12" s="20"/>
      <c r="BK12" s="21"/>
    </row>
    <row r="13" spans="1:63" ht="15" customHeight="1" x14ac:dyDescent="0.25">
      <c r="A13" s="20"/>
      <c r="BK13" s="21"/>
    </row>
    <row r="14" spans="1:63" ht="15" customHeight="1" x14ac:dyDescent="0.25">
      <c r="A14" s="20"/>
      <c r="BK14" s="21"/>
    </row>
    <row r="15" spans="1:63" ht="15" customHeight="1" x14ac:dyDescent="0.25">
      <c r="A15" s="20"/>
      <c r="BK15" s="21"/>
    </row>
    <row r="16" spans="1:63" ht="15" customHeight="1" x14ac:dyDescent="0.25">
      <c r="A16" s="20"/>
      <c r="BK16" s="21"/>
    </row>
    <row r="17" spans="1:63" ht="15" customHeight="1" x14ac:dyDescent="0.25">
      <c r="A17" s="20"/>
      <c r="BK17" s="21"/>
    </row>
    <row r="18" spans="1:63" ht="15" customHeight="1" x14ac:dyDescent="0.25">
      <c r="A18" s="20"/>
      <c r="BK18" s="21"/>
    </row>
    <row r="19" spans="1:63" ht="15" customHeight="1" x14ac:dyDescent="0.25">
      <c r="A19" s="20"/>
      <c r="BK19" s="21"/>
    </row>
    <row r="20" spans="1:63" ht="15" customHeight="1" x14ac:dyDescent="0.25">
      <c r="A20" s="20"/>
      <c r="BK20" s="21"/>
    </row>
    <row r="21" spans="1:63" ht="15" customHeight="1" x14ac:dyDescent="0.25">
      <c r="A21" s="20"/>
      <c r="BK21" s="21"/>
    </row>
    <row r="22" spans="1:63" ht="15" customHeight="1" x14ac:dyDescent="0.25">
      <c r="A22" s="20"/>
      <c r="BK22" s="21"/>
    </row>
    <row r="23" spans="1:63" ht="15" customHeight="1" x14ac:dyDescent="0.25">
      <c r="A23" s="20"/>
      <c r="BK23" s="21"/>
    </row>
    <row r="24" spans="1:63" ht="15" customHeight="1" x14ac:dyDescent="0.25">
      <c r="A24" s="20"/>
      <c r="BK24" s="21"/>
    </row>
    <row r="25" spans="1:63" ht="15" customHeight="1" x14ac:dyDescent="0.25">
      <c r="A25" s="20"/>
      <c r="BK25" s="21"/>
    </row>
    <row r="26" spans="1:63" ht="15" customHeight="1" x14ac:dyDescent="0.25">
      <c r="A26" s="20"/>
      <c r="BK26" s="21"/>
    </row>
    <row r="27" spans="1:63" ht="15" customHeight="1" x14ac:dyDescent="0.25">
      <c r="A27" s="20"/>
      <c r="BK27" s="21"/>
    </row>
    <row r="28" spans="1:63" ht="15" customHeight="1" x14ac:dyDescent="0.25">
      <c r="A28" s="20"/>
      <c r="BK28" s="21"/>
    </row>
    <row r="29" spans="1:63" ht="15" customHeight="1" x14ac:dyDescent="0.25">
      <c r="A29" s="20"/>
      <c r="BK29" s="21"/>
    </row>
    <row r="30" spans="1:63" ht="15" customHeight="1" x14ac:dyDescent="0.25">
      <c r="A30" s="20"/>
      <c r="BK30" s="21"/>
    </row>
    <row r="31" spans="1:63" ht="15" customHeight="1" x14ac:dyDescent="0.25">
      <c r="A31" s="20"/>
      <c r="BK31" s="21"/>
    </row>
    <row r="32" spans="1:63" ht="15" customHeight="1" x14ac:dyDescent="0.25">
      <c r="A32" s="20"/>
      <c r="BK32" s="21"/>
    </row>
    <row r="33" spans="1:63" ht="15" customHeight="1" x14ac:dyDescent="0.25">
      <c r="A33" s="20"/>
      <c r="BK33" s="21"/>
    </row>
    <row r="34" spans="1:63" ht="15" customHeight="1" x14ac:dyDescent="0.25">
      <c r="A34" s="20"/>
      <c r="BK34" s="21"/>
    </row>
    <row r="35" spans="1:63" ht="15" customHeight="1" x14ac:dyDescent="0.25">
      <c r="A35" s="20"/>
      <c r="BK35" s="21"/>
    </row>
    <row r="36" spans="1:63" x14ac:dyDescent="0.25">
      <c r="A36" s="20"/>
      <c r="BK36" s="21"/>
    </row>
    <row r="37" spans="1:63" ht="15" customHeight="1" x14ac:dyDescent="0.25">
      <c r="A37" s="20"/>
      <c r="B37" s="23" t="s">
        <v>15</v>
      </c>
      <c r="AW37" s="16" t="s">
        <v>217</v>
      </c>
      <c r="BK37" s="21"/>
    </row>
    <row r="38" spans="1:63" x14ac:dyDescent="0.25">
      <c r="A38" s="20"/>
      <c r="BK38" s="21"/>
    </row>
    <row r="39" spans="1:63" ht="15.75" customHeight="1" x14ac:dyDescent="0.25">
      <c r="A39" s="20"/>
      <c r="B39" s="137" t="s">
        <v>16</v>
      </c>
      <c r="C39" s="372"/>
      <c r="D39" s="143" t="s">
        <v>17</v>
      </c>
      <c r="E39" s="314"/>
      <c r="F39" s="314"/>
      <c r="G39" s="314"/>
      <c r="H39" s="314"/>
      <c r="I39" s="314"/>
      <c r="J39" s="315"/>
      <c r="K39" s="143" t="s">
        <v>18</v>
      </c>
      <c r="L39" s="314"/>
      <c r="M39" s="315"/>
      <c r="N39" s="147" t="s">
        <v>19</v>
      </c>
      <c r="O39" s="150" t="s">
        <v>58</v>
      </c>
      <c r="P39" s="168" t="s">
        <v>20</v>
      </c>
      <c r="Q39" s="339"/>
      <c r="R39" s="339"/>
      <c r="S39" s="339"/>
      <c r="T39" s="339"/>
      <c r="U39" s="339"/>
      <c r="V39" s="339"/>
      <c r="W39" s="339"/>
      <c r="X39" s="339"/>
      <c r="Y39" s="339"/>
      <c r="Z39" s="339"/>
      <c r="AA39" s="339"/>
      <c r="AB39" s="339"/>
      <c r="AC39" s="339"/>
      <c r="AD39" s="339"/>
      <c r="AE39" s="339"/>
      <c r="AF39" s="339"/>
      <c r="AG39" s="339"/>
      <c r="AH39" s="339"/>
      <c r="AI39" s="339"/>
      <c r="AJ39" s="339"/>
      <c r="AK39" s="339"/>
      <c r="AL39" s="339"/>
      <c r="AM39" s="339"/>
      <c r="AN39" s="339"/>
      <c r="AO39" s="339"/>
      <c r="AP39" s="339"/>
      <c r="AQ39" s="340"/>
      <c r="AR39" s="153" t="s">
        <v>21</v>
      </c>
      <c r="AS39" s="337"/>
      <c r="AT39" s="337"/>
      <c r="AU39" s="337"/>
      <c r="AV39" s="337"/>
      <c r="AW39" s="337"/>
      <c r="AX39" s="337"/>
      <c r="AY39" s="337"/>
      <c r="AZ39" s="337"/>
      <c r="BA39" s="337"/>
      <c r="BB39" s="338"/>
      <c r="BC39" s="171" t="s">
        <v>22</v>
      </c>
      <c r="BD39" s="322"/>
      <c r="BE39" s="322"/>
      <c r="BF39" s="322"/>
      <c r="BG39" s="322"/>
      <c r="BH39" s="322"/>
      <c r="BI39" s="322"/>
      <c r="BJ39" s="323"/>
      <c r="BK39" s="21"/>
    </row>
    <row r="40" spans="1:63" ht="15.75" customHeight="1" x14ac:dyDescent="0.25">
      <c r="A40" s="20"/>
      <c r="B40" s="373"/>
      <c r="C40" s="374"/>
      <c r="D40" s="316"/>
      <c r="E40" s="317"/>
      <c r="F40" s="317"/>
      <c r="G40" s="317"/>
      <c r="H40" s="317"/>
      <c r="I40" s="317"/>
      <c r="J40" s="318"/>
      <c r="K40" s="316"/>
      <c r="L40" s="317"/>
      <c r="M40" s="318"/>
      <c r="N40" s="148"/>
      <c r="O40" s="151"/>
      <c r="P40" s="180" t="s">
        <v>23</v>
      </c>
      <c r="Q40" s="181"/>
      <c r="R40" s="181"/>
      <c r="S40" s="181"/>
      <c r="T40" s="181"/>
      <c r="U40" s="181"/>
      <c r="V40" s="181"/>
      <c r="W40" s="182"/>
      <c r="X40" s="183" t="s">
        <v>24</v>
      </c>
      <c r="Y40" s="330"/>
      <c r="Z40" s="331"/>
      <c r="AA40" s="183" t="s">
        <v>25</v>
      </c>
      <c r="AB40" s="330"/>
      <c r="AC40" s="330"/>
      <c r="AD40" s="330"/>
      <c r="AE40" s="330"/>
      <c r="AF40" s="330"/>
      <c r="AG40" s="330"/>
      <c r="AH40" s="331"/>
      <c r="AI40" s="183" t="s">
        <v>26</v>
      </c>
      <c r="AJ40" s="330"/>
      <c r="AK40" s="330"/>
      <c r="AL40" s="330"/>
      <c r="AM40" s="330"/>
      <c r="AN40" s="330"/>
      <c r="AO40" s="330"/>
      <c r="AP40" s="330"/>
      <c r="AQ40" s="331"/>
      <c r="AR40" s="335" t="s">
        <v>27</v>
      </c>
      <c r="AS40" s="191" t="s">
        <v>28</v>
      </c>
      <c r="AT40" s="191" t="s">
        <v>29</v>
      </c>
      <c r="AU40" s="153" t="s">
        <v>23</v>
      </c>
      <c r="AV40" s="337"/>
      <c r="AW40" s="337"/>
      <c r="AX40" s="337"/>
      <c r="AY40" s="337"/>
      <c r="AZ40" s="337"/>
      <c r="BA40" s="337"/>
      <c r="BB40" s="338"/>
      <c r="BC40" s="324"/>
      <c r="BD40" s="325"/>
      <c r="BE40" s="325"/>
      <c r="BF40" s="325"/>
      <c r="BG40" s="325"/>
      <c r="BH40" s="325"/>
      <c r="BI40" s="325"/>
      <c r="BJ40" s="326"/>
      <c r="BK40" s="21"/>
    </row>
    <row r="41" spans="1:63" x14ac:dyDescent="0.25">
      <c r="A41" s="20"/>
      <c r="B41" s="375"/>
      <c r="C41" s="376"/>
      <c r="D41" s="319"/>
      <c r="E41" s="320"/>
      <c r="F41" s="320"/>
      <c r="G41" s="320"/>
      <c r="H41" s="320"/>
      <c r="I41" s="320"/>
      <c r="J41" s="321"/>
      <c r="K41" s="319"/>
      <c r="L41" s="320"/>
      <c r="M41" s="321"/>
      <c r="N41" s="149"/>
      <c r="O41" s="152"/>
      <c r="P41" s="168" t="s">
        <v>56</v>
      </c>
      <c r="Q41" s="339"/>
      <c r="R41" s="339"/>
      <c r="S41" s="340"/>
      <c r="T41" s="168" t="s">
        <v>17</v>
      </c>
      <c r="U41" s="339"/>
      <c r="V41" s="339"/>
      <c r="W41" s="340"/>
      <c r="X41" s="332"/>
      <c r="Y41" s="333"/>
      <c r="Z41" s="334"/>
      <c r="AA41" s="332"/>
      <c r="AB41" s="333"/>
      <c r="AC41" s="333"/>
      <c r="AD41" s="333"/>
      <c r="AE41" s="333"/>
      <c r="AF41" s="333"/>
      <c r="AG41" s="333"/>
      <c r="AH41" s="334"/>
      <c r="AI41" s="332"/>
      <c r="AJ41" s="333"/>
      <c r="AK41" s="333"/>
      <c r="AL41" s="333"/>
      <c r="AM41" s="333"/>
      <c r="AN41" s="333"/>
      <c r="AO41" s="333"/>
      <c r="AP41" s="333"/>
      <c r="AQ41" s="334"/>
      <c r="AR41" s="336"/>
      <c r="AS41" s="192"/>
      <c r="AT41" s="192"/>
      <c r="AU41" s="153" t="s">
        <v>56</v>
      </c>
      <c r="AV41" s="337"/>
      <c r="AW41" s="337"/>
      <c r="AX41" s="341"/>
      <c r="AY41" s="156" t="s">
        <v>17</v>
      </c>
      <c r="AZ41" s="337"/>
      <c r="BA41" s="337"/>
      <c r="BB41" s="338"/>
      <c r="BC41" s="327"/>
      <c r="BD41" s="328"/>
      <c r="BE41" s="328"/>
      <c r="BF41" s="328"/>
      <c r="BG41" s="328"/>
      <c r="BH41" s="328"/>
      <c r="BI41" s="328"/>
      <c r="BJ41" s="329"/>
      <c r="BK41" s="21"/>
    </row>
    <row r="42" spans="1:63" ht="15.75" customHeight="1" x14ac:dyDescent="0.25">
      <c r="A42" s="20"/>
      <c r="B42" s="158">
        <v>0</v>
      </c>
      <c r="C42" s="159"/>
      <c r="D42" s="160" t="s">
        <v>62</v>
      </c>
      <c r="E42" s="161"/>
      <c r="F42" s="161"/>
      <c r="G42" s="161"/>
      <c r="H42" s="161"/>
      <c r="I42" s="161"/>
      <c r="J42" s="162"/>
      <c r="K42" s="160" t="s">
        <v>30</v>
      </c>
      <c r="L42" s="161"/>
      <c r="M42" s="162"/>
      <c r="N42" s="24" t="s">
        <v>31</v>
      </c>
      <c r="O42" s="25" t="s">
        <v>32</v>
      </c>
      <c r="P42" s="166" t="s">
        <v>31</v>
      </c>
      <c r="Q42" s="342"/>
      <c r="R42" s="342"/>
      <c r="S42" s="343"/>
      <c r="T42" s="166" t="s">
        <v>31</v>
      </c>
      <c r="U42" s="342"/>
      <c r="V42" s="342"/>
      <c r="W42" s="343"/>
      <c r="X42" s="195" t="s">
        <v>179</v>
      </c>
      <c r="Y42" s="196"/>
      <c r="Z42" s="197"/>
      <c r="AA42" s="158" t="s">
        <v>31</v>
      </c>
      <c r="AB42" s="167"/>
      <c r="AC42" s="167"/>
      <c r="AD42" s="167"/>
      <c r="AE42" s="167"/>
      <c r="AF42" s="167"/>
      <c r="AG42" s="167"/>
      <c r="AH42" s="159"/>
      <c r="AI42" s="198" t="s">
        <v>31</v>
      </c>
      <c r="AJ42" s="199"/>
      <c r="AK42" s="199"/>
      <c r="AL42" s="199"/>
      <c r="AM42" s="199"/>
      <c r="AN42" s="199"/>
      <c r="AO42" s="199"/>
      <c r="AP42" s="199"/>
      <c r="AQ42" s="200"/>
      <c r="AR42" s="25" t="s">
        <v>31</v>
      </c>
      <c r="AS42" s="25" t="s">
        <v>31</v>
      </c>
      <c r="AT42" s="25" t="s">
        <v>31</v>
      </c>
      <c r="AU42" s="158" t="s">
        <v>31</v>
      </c>
      <c r="AV42" s="167"/>
      <c r="AW42" s="167"/>
      <c r="AX42" s="159"/>
      <c r="AY42" s="158" t="s">
        <v>31</v>
      </c>
      <c r="AZ42" s="167"/>
      <c r="BA42" s="167"/>
      <c r="BB42" s="159"/>
      <c r="BC42" s="201" t="s">
        <v>176</v>
      </c>
      <c r="BD42" s="202"/>
      <c r="BE42" s="202"/>
      <c r="BF42" s="202"/>
      <c r="BG42" s="202"/>
      <c r="BH42" s="202"/>
      <c r="BI42" s="202"/>
      <c r="BJ42" s="203"/>
      <c r="BK42" s="21"/>
    </row>
    <row r="43" spans="1:63" ht="15.75" customHeight="1" x14ac:dyDescent="0.25">
      <c r="A43" s="20"/>
      <c r="B43" s="204">
        <f t="shared" ref="B43:B54" si="0">B42+1</f>
        <v>1</v>
      </c>
      <c r="C43" s="205"/>
      <c r="D43" s="206" t="s">
        <v>180</v>
      </c>
      <c r="E43" s="207"/>
      <c r="F43" s="207"/>
      <c r="G43" s="207"/>
      <c r="H43" s="207"/>
      <c r="I43" s="207"/>
      <c r="J43" s="208"/>
      <c r="K43" s="163" t="s">
        <v>30</v>
      </c>
      <c r="L43" s="164"/>
      <c r="M43" s="165"/>
      <c r="N43" s="33" t="s">
        <v>31</v>
      </c>
      <c r="O43" s="25" t="s">
        <v>32</v>
      </c>
      <c r="P43" s="204" t="s">
        <v>34</v>
      </c>
      <c r="Q43" s="213"/>
      <c r="R43" s="213"/>
      <c r="S43" s="205"/>
      <c r="T43" s="289" t="s">
        <v>31</v>
      </c>
      <c r="U43" s="344"/>
      <c r="V43" s="344"/>
      <c r="W43" s="345"/>
      <c r="X43" s="233" t="s">
        <v>181</v>
      </c>
      <c r="Y43" s="346"/>
      <c r="Z43" s="347"/>
      <c r="AA43" s="204" t="s">
        <v>31</v>
      </c>
      <c r="AB43" s="213"/>
      <c r="AC43" s="213"/>
      <c r="AD43" s="213"/>
      <c r="AE43" s="213"/>
      <c r="AF43" s="213"/>
      <c r="AG43" s="213"/>
      <c r="AH43" s="205"/>
      <c r="AI43" s="229" t="s">
        <v>31</v>
      </c>
      <c r="AJ43" s="230"/>
      <c r="AK43" s="230"/>
      <c r="AL43" s="230"/>
      <c r="AM43" s="230"/>
      <c r="AN43" s="230"/>
      <c r="AO43" s="230"/>
      <c r="AP43" s="230"/>
      <c r="AQ43" s="231"/>
      <c r="AR43" s="25" t="s">
        <v>31</v>
      </c>
      <c r="AS43" s="25" t="s">
        <v>31</v>
      </c>
      <c r="AT43" s="25" t="s">
        <v>31</v>
      </c>
      <c r="AU43" s="204" t="s">
        <v>31</v>
      </c>
      <c r="AV43" s="213"/>
      <c r="AW43" s="213"/>
      <c r="AX43" s="205"/>
      <c r="AY43" s="204" t="s">
        <v>31</v>
      </c>
      <c r="AZ43" s="213"/>
      <c r="BA43" s="213"/>
      <c r="BB43" s="205"/>
      <c r="BC43" s="232"/>
      <c r="BD43" s="348"/>
      <c r="BE43" s="348"/>
      <c r="BF43" s="348"/>
      <c r="BG43" s="348"/>
      <c r="BH43" s="348"/>
      <c r="BI43" s="348"/>
      <c r="BJ43" s="349"/>
      <c r="BK43" s="21"/>
    </row>
    <row r="44" spans="1:63" ht="15.75" customHeight="1" x14ac:dyDescent="0.25">
      <c r="A44" s="20"/>
      <c r="B44" s="204">
        <f t="shared" si="0"/>
        <v>2</v>
      </c>
      <c r="C44" s="205"/>
      <c r="D44" s="206" t="s">
        <v>182</v>
      </c>
      <c r="E44" s="207"/>
      <c r="F44" s="207"/>
      <c r="G44" s="207"/>
      <c r="H44" s="207"/>
      <c r="I44" s="207"/>
      <c r="J44" s="208"/>
      <c r="K44" s="209" t="s">
        <v>40</v>
      </c>
      <c r="L44" s="164"/>
      <c r="M44" s="165"/>
      <c r="N44" s="33" t="s">
        <v>38</v>
      </c>
      <c r="O44" s="25" t="s">
        <v>31</v>
      </c>
      <c r="P44" s="237" t="s">
        <v>34</v>
      </c>
      <c r="Q44" s="211"/>
      <c r="R44" s="211"/>
      <c r="S44" s="212"/>
      <c r="T44" s="210" t="s">
        <v>31</v>
      </c>
      <c r="U44" s="211"/>
      <c r="V44" s="211"/>
      <c r="W44" s="212"/>
      <c r="X44" s="350" t="s">
        <v>215</v>
      </c>
      <c r="Y44" s="351"/>
      <c r="Z44" s="352"/>
      <c r="AA44" s="204" t="s">
        <v>31</v>
      </c>
      <c r="AB44" s="213"/>
      <c r="AC44" s="213"/>
      <c r="AD44" s="213"/>
      <c r="AE44" s="213"/>
      <c r="AF44" s="213"/>
      <c r="AG44" s="213"/>
      <c r="AH44" s="205"/>
      <c r="AI44" s="229" t="s">
        <v>31</v>
      </c>
      <c r="AJ44" s="230"/>
      <c r="AK44" s="230"/>
      <c r="AL44" s="230"/>
      <c r="AM44" s="230"/>
      <c r="AN44" s="230"/>
      <c r="AO44" s="230"/>
      <c r="AP44" s="230"/>
      <c r="AQ44" s="231"/>
      <c r="AR44" s="35" t="s">
        <v>31</v>
      </c>
      <c r="AS44" s="25" t="s">
        <v>32</v>
      </c>
      <c r="AT44" s="25" t="s">
        <v>31</v>
      </c>
      <c r="AU44" s="237" t="s">
        <v>299</v>
      </c>
      <c r="AV44" s="211"/>
      <c r="AW44" s="211"/>
      <c r="AX44" s="212"/>
      <c r="AY44" s="310" t="s">
        <v>132</v>
      </c>
      <c r="AZ44" s="250"/>
      <c r="BA44" s="250"/>
      <c r="BB44" s="251"/>
      <c r="BC44" s="226" t="s">
        <v>216</v>
      </c>
      <c r="BD44" s="270"/>
      <c r="BE44" s="270"/>
      <c r="BF44" s="270"/>
      <c r="BG44" s="270"/>
      <c r="BH44" s="270"/>
      <c r="BI44" s="270"/>
      <c r="BJ44" s="271"/>
      <c r="BK44" s="21"/>
    </row>
    <row r="45" spans="1:63" x14ac:dyDescent="0.25">
      <c r="A45" s="20"/>
      <c r="B45" s="204">
        <f t="shared" si="0"/>
        <v>3</v>
      </c>
      <c r="C45" s="205"/>
      <c r="D45" s="206" t="s">
        <v>183</v>
      </c>
      <c r="E45" s="207"/>
      <c r="F45" s="207"/>
      <c r="G45" s="207"/>
      <c r="H45" s="207"/>
      <c r="I45" s="207"/>
      <c r="J45" s="208"/>
      <c r="K45" s="163" t="s">
        <v>30</v>
      </c>
      <c r="L45" s="164"/>
      <c r="M45" s="165"/>
      <c r="N45" s="33" t="s">
        <v>31</v>
      </c>
      <c r="O45" s="25" t="s">
        <v>32</v>
      </c>
      <c r="P45" s="204" t="s">
        <v>34</v>
      </c>
      <c r="Q45" s="213"/>
      <c r="R45" s="213"/>
      <c r="S45" s="205"/>
      <c r="T45" s="204" t="s">
        <v>34</v>
      </c>
      <c r="U45" s="213"/>
      <c r="V45" s="213"/>
      <c r="W45" s="205"/>
      <c r="X45" s="233" t="s">
        <v>298</v>
      </c>
      <c r="Y45" s="234"/>
      <c r="Z45" s="235"/>
      <c r="AA45" s="204" t="s">
        <v>31</v>
      </c>
      <c r="AB45" s="213"/>
      <c r="AC45" s="213"/>
      <c r="AD45" s="213"/>
      <c r="AE45" s="213"/>
      <c r="AF45" s="213"/>
      <c r="AG45" s="213"/>
      <c r="AH45" s="205"/>
      <c r="AI45" s="229" t="s">
        <v>31</v>
      </c>
      <c r="AJ45" s="230"/>
      <c r="AK45" s="230"/>
      <c r="AL45" s="230"/>
      <c r="AM45" s="230"/>
      <c r="AN45" s="230"/>
      <c r="AO45" s="230"/>
      <c r="AP45" s="230"/>
      <c r="AQ45" s="231"/>
      <c r="AR45" s="25" t="s">
        <v>31</v>
      </c>
      <c r="AS45" s="25" t="s">
        <v>31</v>
      </c>
      <c r="AT45" s="25" t="s">
        <v>31</v>
      </c>
      <c r="AU45" s="237" t="s">
        <v>31</v>
      </c>
      <c r="AV45" s="211"/>
      <c r="AW45" s="211"/>
      <c r="AX45" s="212"/>
      <c r="AY45" s="237" t="s">
        <v>31</v>
      </c>
      <c r="AZ45" s="211"/>
      <c r="BA45" s="211"/>
      <c r="BB45" s="212"/>
      <c r="BC45" s="232"/>
      <c r="BD45" s="227"/>
      <c r="BE45" s="227"/>
      <c r="BF45" s="227"/>
      <c r="BG45" s="227"/>
      <c r="BH45" s="227"/>
      <c r="BI45" s="227"/>
      <c r="BJ45" s="228"/>
      <c r="BK45" s="21"/>
    </row>
    <row r="46" spans="1:63" x14ac:dyDescent="0.25">
      <c r="A46" s="20"/>
      <c r="B46" s="204">
        <f t="shared" si="0"/>
        <v>4</v>
      </c>
      <c r="C46" s="205"/>
      <c r="D46" s="206" t="s">
        <v>184</v>
      </c>
      <c r="E46" s="207"/>
      <c r="F46" s="207"/>
      <c r="G46" s="207"/>
      <c r="H46" s="207"/>
      <c r="I46" s="207"/>
      <c r="J46" s="208"/>
      <c r="K46" s="209" t="s">
        <v>40</v>
      </c>
      <c r="L46" s="164"/>
      <c r="M46" s="165"/>
      <c r="N46" s="33" t="s">
        <v>38</v>
      </c>
      <c r="O46" s="25" t="s">
        <v>31</v>
      </c>
      <c r="P46" s="204" t="s">
        <v>34</v>
      </c>
      <c r="Q46" s="213"/>
      <c r="R46" s="213"/>
      <c r="S46" s="205"/>
      <c r="T46" s="289" t="s">
        <v>31</v>
      </c>
      <c r="U46" s="213"/>
      <c r="V46" s="213"/>
      <c r="W46" s="205"/>
      <c r="X46" s="214" t="s">
        <v>31</v>
      </c>
      <c r="Y46" s="215"/>
      <c r="Z46" s="216"/>
      <c r="AA46" s="204" t="s">
        <v>31</v>
      </c>
      <c r="AB46" s="213"/>
      <c r="AC46" s="213"/>
      <c r="AD46" s="213"/>
      <c r="AE46" s="213"/>
      <c r="AF46" s="213"/>
      <c r="AG46" s="213"/>
      <c r="AH46" s="205"/>
      <c r="AI46" s="229" t="s">
        <v>31</v>
      </c>
      <c r="AJ46" s="230"/>
      <c r="AK46" s="230"/>
      <c r="AL46" s="230"/>
      <c r="AM46" s="230"/>
      <c r="AN46" s="230"/>
      <c r="AO46" s="230"/>
      <c r="AP46" s="230"/>
      <c r="AQ46" s="231"/>
      <c r="AR46" s="25" t="s">
        <v>31</v>
      </c>
      <c r="AS46" s="25" t="s">
        <v>31</v>
      </c>
      <c r="AT46" s="25" t="s">
        <v>31</v>
      </c>
      <c r="AU46" s="237" t="s">
        <v>299</v>
      </c>
      <c r="AV46" s="211"/>
      <c r="AW46" s="211"/>
      <c r="AX46" s="212"/>
      <c r="AY46" s="310" t="s">
        <v>223</v>
      </c>
      <c r="AZ46" s="250"/>
      <c r="BA46" s="250"/>
      <c r="BB46" s="251"/>
      <c r="BC46" s="226" t="s">
        <v>233</v>
      </c>
      <c r="BD46" s="227"/>
      <c r="BE46" s="227"/>
      <c r="BF46" s="227"/>
      <c r="BG46" s="227"/>
      <c r="BH46" s="227"/>
      <c r="BI46" s="227"/>
      <c r="BJ46" s="228"/>
      <c r="BK46" s="21"/>
    </row>
    <row r="47" spans="1:63" x14ac:dyDescent="0.25">
      <c r="A47" s="20"/>
      <c r="B47" s="204">
        <f t="shared" si="0"/>
        <v>5</v>
      </c>
      <c r="C47" s="205"/>
      <c r="D47" s="206" t="s">
        <v>158</v>
      </c>
      <c r="E47" s="207"/>
      <c r="F47" s="207"/>
      <c r="G47" s="207"/>
      <c r="H47" s="207"/>
      <c r="I47" s="207"/>
      <c r="J47" s="208"/>
      <c r="K47" s="163" t="s">
        <v>30</v>
      </c>
      <c r="L47" s="164"/>
      <c r="M47" s="165"/>
      <c r="N47" s="33" t="s">
        <v>31</v>
      </c>
      <c r="O47" s="25" t="s">
        <v>32</v>
      </c>
      <c r="P47" s="204" t="s">
        <v>34</v>
      </c>
      <c r="Q47" s="213"/>
      <c r="R47" s="213"/>
      <c r="S47" s="205"/>
      <c r="T47" s="204" t="s">
        <v>34</v>
      </c>
      <c r="U47" s="213"/>
      <c r="V47" s="213"/>
      <c r="W47" s="205"/>
      <c r="X47" s="233" t="s">
        <v>186</v>
      </c>
      <c r="Y47" s="234"/>
      <c r="Z47" s="235"/>
      <c r="AA47" s="204" t="s">
        <v>31</v>
      </c>
      <c r="AB47" s="213"/>
      <c r="AC47" s="213"/>
      <c r="AD47" s="213"/>
      <c r="AE47" s="213"/>
      <c r="AF47" s="213"/>
      <c r="AG47" s="213"/>
      <c r="AH47" s="205"/>
      <c r="AI47" s="229" t="s">
        <v>31</v>
      </c>
      <c r="AJ47" s="230"/>
      <c r="AK47" s="230"/>
      <c r="AL47" s="230"/>
      <c r="AM47" s="230"/>
      <c r="AN47" s="230"/>
      <c r="AO47" s="230"/>
      <c r="AP47" s="230"/>
      <c r="AQ47" s="231"/>
      <c r="AR47" s="25" t="s">
        <v>31</v>
      </c>
      <c r="AS47" s="25" t="s">
        <v>31</v>
      </c>
      <c r="AT47" s="25" t="s">
        <v>31</v>
      </c>
      <c r="AU47" s="237" t="s">
        <v>31</v>
      </c>
      <c r="AV47" s="211"/>
      <c r="AW47" s="211"/>
      <c r="AX47" s="212"/>
      <c r="AY47" s="204" t="s">
        <v>31</v>
      </c>
      <c r="AZ47" s="213"/>
      <c r="BA47" s="213"/>
      <c r="BB47" s="205"/>
      <c r="BC47" s="232"/>
      <c r="BD47" s="227"/>
      <c r="BE47" s="227"/>
      <c r="BF47" s="227"/>
      <c r="BG47" s="227"/>
      <c r="BH47" s="227"/>
      <c r="BI47" s="227"/>
      <c r="BJ47" s="228"/>
      <c r="BK47" s="21"/>
    </row>
    <row r="48" spans="1:63" x14ac:dyDescent="0.25">
      <c r="A48" s="20"/>
      <c r="B48" s="204">
        <f t="shared" si="0"/>
        <v>6</v>
      </c>
      <c r="C48" s="205"/>
      <c r="D48" s="206" t="s">
        <v>157</v>
      </c>
      <c r="E48" s="207"/>
      <c r="F48" s="207"/>
      <c r="G48" s="207"/>
      <c r="H48" s="207"/>
      <c r="I48" s="207"/>
      <c r="J48" s="208"/>
      <c r="K48" s="163" t="s">
        <v>40</v>
      </c>
      <c r="L48" s="164"/>
      <c r="M48" s="165"/>
      <c r="N48" s="33" t="s">
        <v>38</v>
      </c>
      <c r="O48" s="25" t="s">
        <v>31</v>
      </c>
      <c r="P48" s="204" t="s">
        <v>34</v>
      </c>
      <c r="Q48" s="213"/>
      <c r="R48" s="213"/>
      <c r="S48" s="205"/>
      <c r="T48" s="204" t="s">
        <v>34</v>
      </c>
      <c r="U48" s="213"/>
      <c r="V48" s="213"/>
      <c r="W48" s="205"/>
      <c r="X48" s="214" t="s">
        <v>31</v>
      </c>
      <c r="Y48" s="215"/>
      <c r="Z48" s="216"/>
      <c r="AA48" s="204" t="s">
        <v>31</v>
      </c>
      <c r="AB48" s="213"/>
      <c r="AC48" s="213"/>
      <c r="AD48" s="213"/>
      <c r="AE48" s="213"/>
      <c r="AF48" s="213"/>
      <c r="AG48" s="213"/>
      <c r="AH48" s="205"/>
      <c r="AI48" s="229" t="s">
        <v>31</v>
      </c>
      <c r="AJ48" s="230"/>
      <c r="AK48" s="230"/>
      <c r="AL48" s="230"/>
      <c r="AM48" s="230"/>
      <c r="AN48" s="230"/>
      <c r="AO48" s="230"/>
      <c r="AP48" s="230"/>
      <c r="AQ48" s="231"/>
      <c r="AR48" s="25" t="s">
        <v>31</v>
      </c>
      <c r="AS48" s="25" t="s">
        <v>31</v>
      </c>
      <c r="AT48" s="25" t="s">
        <v>31</v>
      </c>
      <c r="AU48" s="237" t="s">
        <v>299</v>
      </c>
      <c r="AV48" s="211"/>
      <c r="AW48" s="211"/>
      <c r="AX48" s="212"/>
      <c r="AY48" s="229" t="s">
        <v>224</v>
      </c>
      <c r="AZ48" s="230"/>
      <c r="BA48" s="230"/>
      <c r="BB48" s="231"/>
      <c r="BC48" s="226" t="s">
        <v>218</v>
      </c>
      <c r="BD48" s="227"/>
      <c r="BE48" s="227"/>
      <c r="BF48" s="227"/>
      <c r="BG48" s="227"/>
      <c r="BH48" s="227"/>
      <c r="BI48" s="227"/>
      <c r="BJ48" s="228"/>
      <c r="BK48" s="21"/>
    </row>
    <row r="49" spans="1:63" x14ac:dyDescent="0.25">
      <c r="A49" s="20"/>
      <c r="B49" s="204">
        <f t="shared" si="0"/>
        <v>7</v>
      </c>
      <c r="C49" s="205"/>
      <c r="D49" s="206" t="s">
        <v>188</v>
      </c>
      <c r="E49" s="207"/>
      <c r="F49" s="207"/>
      <c r="G49" s="207"/>
      <c r="H49" s="207"/>
      <c r="I49" s="207"/>
      <c r="J49" s="208"/>
      <c r="K49" s="163" t="s">
        <v>30</v>
      </c>
      <c r="L49" s="164"/>
      <c r="M49" s="165"/>
      <c r="N49" s="33" t="s">
        <v>31</v>
      </c>
      <c r="O49" s="25" t="s">
        <v>32</v>
      </c>
      <c r="P49" s="204" t="s">
        <v>34</v>
      </c>
      <c r="Q49" s="213"/>
      <c r="R49" s="213"/>
      <c r="S49" s="205"/>
      <c r="T49" s="204" t="s">
        <v>34</v>
      </c>
      <c r="U49" s="213"/>
      <c r="V49" s="213"/>
      <c r="W49" s="205"/>
      <c r="X49" s="233" t="s">
        <v>187</v>
      </c>
      <c r="Y49" s="234"/>
      <c r="Z49" s="235"/>
      <c r="AA49" s="204" t="s">
        <v>31</v>
      </c>
      <c r="AB49" s="213"/>
      <c r="AC49" s="213"/>
      <c r="AD49" s="213"/>
      <c r="AE49" s="213"/>
      <c r="AF49" s="213"/>
      <c r="AG49" s="213"/>
      <c r="AH49" s="205"/>
      <c r="AI49" s="229" t="s">
        <v>31</v>
      </c>
      <c r="AJ49" s="230"/>
      <c r="AK49" s="230"/>
      <c r="AL49" s="230"/>
      <c r="AM49" s="230"/>
      <c r="AN49" s="230"/>
      <c r="AO49" s="230"/>
      <c r="AP49" s="230"/>
      <c r="AQ49" s="231"/>
      <c r="AR49" s="25" t="s">
        <v>31</v>
      </c>
      <c r="AS49" s="25" t="s">
        <v>31</v>
      </c>
      <c r="AT49" s="25" t="s">
        <v>31</v>
      </c>
      <c r="AU49" s="237" t="s">
        <v>31</v>
      </c>
      <c r="AV49" s="211"/>
      <c r="AW49" s="211"/>
      <c r="AX49" s="212"/>
      <c r="AY49" s="204" t="s">
        <v>31</v>
      </c>
      <c r="AZ49" s="213"/>
      <c r="BA49" s="213"/>
      <c r="BB49" s="205"/>
      <c r="BC49" s="232"/>
      <c r="BD49" s="227"/>
      <c r="BE49" s="227"/>
      <c r="BF49" s="227"/>
      <c r="BG49" s="227"/>
      <c r="BH49" s="227"/>
      <c r="BI49" s="227"/>
      <c r="BJ49" s="228"/>
      <c r="BK49" s="21"/>
    </row>
    <row r="50" spans="1:63" ht="79.5" customHeight="1" x14ac:dyDescent="0.25">
      <c r="A50" s="20"/>
      <c r="B50" s="204">
        <f t="shared" si="0"/>
        <v>8</v>
      </c>
      <c r="C50" s="205"/>
      <c r="D50" s="311" t="s">
        <v>189</v>
      </c>
      <c r="E50" s="312"/>
      <c r="F50" s="312"/>
      <c r="G50" s="312"/>
      <c r="H50" s="312"/>
      <c r="I50" s="312"/>
      <c r="J50" s="313"/>
      <c r="K50" s="163" t="s">
        <v>219</v>
      </c>
      <c r="L50" s="164"/>
      <c r="M50" s="165"/>
      <c r="N50" s="33" t="s">
        <v>38</v>
      </c>
      <c r="O50" s="25" t="s">
        <v>31</v>
      </c>
      <c r="P50" s="204" t="s">
        <v>34</v>
      </c>
      <c r="Q50" s="213"/>
      <c r="R50" s="213"/>
      <c r="S50" s="205"/>
      <c r="T50" s="204" t="s">
        <v>34</v>
      </c>
      <c r="U50" s="213"/>
      <c r="V50" s="213"/>
      <c r="W50" s="205"/>
      <c r="X50" s="350" t="s">
        <v>220</v>
      </c>
      <c r="Y50" s="353"/>
      <c r="Z50" s="354"/>
      <c r="AA50" s="204" t="s">
        <v>31</v>
      </c>
      <c r="AB50" s="213"/>
      <c r="AC50" s="213"/>
      <c r="AD50" s="213"/>
      <c r="AE50" s="213"/>
      <c r="AF50" s="213"/>
      <c r="AG50" s="213"/>
      <c r="AH50" s="205"/>
      <c r="AI50" s="229" t="s">
        <v>31</v>
      </c>
      <c r="AJ50" s="230"/>
      <c r="AK50" s="230"/>
      <c r="AL50" s="230"/>
      <c r="AM50" s="230"/>
      <c r="AN50" s="230"/>
      <c r="AO50" s="230"/>
      <c r="AP50" s="230"/>
      <c r="AQ50" s="231"/>
      <c r="AR50" s="25" t="s">
        <v>31</v>
      </c>
      <c r="AS50" s="25" t="s">
        <v>31</v>
      </c>
      <c r="AT50" s="25" t="s">
        <v>31</v>
      </c>
      <c r="AU50" s="237" t="s">
        <v>299</v>
      </c>
      <c r="AV50" s="211"/>
      <c r="AW50" s="211"/>
      <c r="AX50" s="212"/>
      <c r="AY50" s="204" t="s">
        <v>225</v>
      </c>
      <c r="AZ50" s="213"/>
      <c r="BA50" s="213"/>
      <c r="BB50" s="205"/>
      <c r="BC50" s="232"/>
      <c r="BD50" s="227"/>
      <c r="BE50" s="227"/>
      <c r="BF50" s="227"/>
      <c r="BG50" s="227"/>
      <c r="BH50" s="227"/>
      <c r="BI50" s="227"/>
      <c r="BJ50" s="228"/>
      <c r="BK50" s="21"/>
    </row>
    <row r="51" spans="1:63" x14ac:dyDescent="0.25">
      <c r="A51" s="20"/>
      <c r="B51" s="204">
        <f t="shared" si="0"/>
        <v>9</v>
      </c>
      <c r="C51" s="205"/>
      <c r="D51" s="311" t="s">
        <v>190</v>
      </c>
      <c r="E51" s="312"/>
      <c r="F51" s="312"/>
      <c r="G51" s="312"/>
      <c r="H51" s="312"/>
      <c r="I51" s="312"/>
      <c r="J51" s="313"/>
      <c r="K51" s="163" t="s">
        <v>30</v>
      </c>
      <c r="L51" s="164"/>
      <c r="M51" s="165"/>
      <c r="N51" s="33" t="s">
        <v>31</v>
      </c>
      <c r="O51" s="25" t="s">
        <v>32</v>
      </c>
      <c r="P51" s="204" t="s">
        <v>34</v>
      </c>
      <c r="Q51" s="213"/>
      <c r="R51" s="213"/>
      <c r="S51" s="205"/>
      <c r="T51" s="204" t="s">
        <v>34</v>
      </c>
      <c r="U51" s="213"/>
      <c r="V51" s="213"/>
      <c r="W51" s="205"/>
      <c r="X51" s="233" t="s">
        <v>221</v>
      </c>
      <c r="Y51" s="234"/>
      <c r="Z51" s="235"/>
      <c r="AA51" s="204" t="s">
        <v>31</v>
      </c>
      <c r="AB51" s="213"/>
      <c r="AC51" s="213"/>
      <c r="AD51" s="213"/>
      <c r="AE51" s="213"/>
      <c r="AF51" s="213"/>
      <c r="AG51" s="213"/>
      <c r="AH51" s="205"/>
      <c r="AI51" s="229" t="s">
        <v>31</v>
      </c>
      <c r="AJ51" s="230"/>
      <c r="AK51" s="230"/>
      <c r="AL51" s="230"/>
      <c r="AM51" s="230"/>
      <c r="AN51" s="230"/>
      <c r="AO51" s="230"/>
      <c r="AP51" s="230"/>
      <c r="AQ51" s="231"/>
      <c r="AR51" s="25" t="s">
        <v>31</v>
      </c>
      <c r="AS51" s="25" t="s">
        <v>31</v>
      </c>
      <c r="AT51" s="25" t="s">
        <v>31</v>
      </c>
      <c r="AU51" s="237" t="s">
        <v>31</v>
      </c>
      <c r="AV51" s="211"/>
      <c r="AW51" s="211"/>
      <c r="AX51" s="212"/>
      <c r="AY51" s="204" t="s">
        <v>31</v>
      </c>
      <c r="AZ51" s="213"/>
      <c r="BA51" s="213"/>
      <c r="BB51" s="205"/>
      <c r="BC51" s="232"/>
      <c r="BD51" s="227"/>
      <c r="BE51" s="227"/>
      <c r="BF51" s="227"/>
      <c r="BG51" s="227"/>
      <c r="BH51" s="227"/>
      <c r="BI51" s="227"/>
      <c r="BJ51" s="228"/>
      <c r="BK51" s="21"/>
    </row>
    <row r="52" spans="1:63" ht="47.25" customHeight="1" x14ac:dyDescent="0.25">
      <c r="A52" s="20"/>
      <c r="B52" s="204">
        <f t="shared" si="0"/>
        <v>10</v>
      </c>
      <c r="C52" s="205"/>
      <c r="D52" s="311" t="s">
        <v>191</v>
      </c>
      <c r="E52" s="312"/>
      <c r="F52" s="312"/>
      <c r="G52" s="312"/>
      <c r="H52" s="312"/>
      <c r="I52" s="312"/>
      <c r="J52" s="313"/>
      <c r="K52" s="163" t="s">
        <v>82</v>
      </c>
      <c r="L52" s="164"/>
      <c r="M52" s="165"/>
      <c r="N52" s="33" t="s">
        <v>38</v>
      </c>
      <c r="O52" s="25" t="s">
        <v>31</v>
      </c>
      <c r="P52" s="204" t="s">
        <v>34</v>
      </c>
      <c r="Q52" s="213"/>
      <c r="R52" s="213"/>
      <c r="S52" s="205"/>
      <c r="T52" s="204" t="s">
        <v>34</v>
      </c>
      <c r="U52" s="213"/>
      <c r="V52" s="213"/>
      <c r="W52" s="205"/>
      <c r="X52" s="233" t="s">
        <v>84</v>
      </c>
      <c r="Y52" s="234"/>
      <c r="Z52" s="235"/>
      <c r="AA52" s="204" t="s">
        <v>31</v>
      </c>
      <c r="AB52" s="213"/>
      <c r="AC52" s="213"/>
      <c r="AD52" s="213"/>
      <c r="AE52" s="213"/>
      <c r="AF52" s="213"/>
      <c r="AG52" s="213"/>
      <c r="AH52" s="205"/>
      <c r="AI52" s="355" t="s">
        <v>237</v>
      </c>
      <c r="AJ52" s="230"/>
      <c r="AK52" s="230"/>
      <c r="AL52" s="230"/>
      <c r="AM52" s="230"/>
      <c r="AN52" s="230"/>
      <c r="AO52" s="230"/>
      <c r="AP52" s="230"/>
      <c r="AQ52" s="231"/>
      <c r="AR52" s="25" t="s">
        <v>31</v>
      </c>
      <c r="AS52" s="25" t="s">
        <v>31</v>
      </c>
      <c r="AT52" s="25" t="s">
        <v>31</v>
      </c>
      <c r="AU52" s="237" t="s">
        <v>222</v>
      </c>
      <c r="AV52" s="211"/>
      <c r="AW52" s="211"/>
      <c r="AX52" s="212"/>
      <c r="AY52" s="204" t="s">
        <v>226</v>
      </c>
      <c r="AZ52" s="213"/>
      <c r="BA52" s="213"/>
      <c r="BB52" s="205"/>
      <c r="BC52" s="226" t="s">
        <v>86</v>
      </c>
      <c r="BD52" s="227"/>
      <c r="BE52" s="227"/>
      <c r="BF52" s="227"/>
      <c r="BG52" s="227"/>
      <c r="BH52" s="227"/>
      <c r="BI52" s="227"/>
      <c r="BJ52" s="228"/>
      <c r="BK52" s="21"/>
    </row>
    <row r="53" spans="1:63" x14ac:dyDescent="0.25">
      <c r="A53" s="20"/>
      <c r="B53" s="204">
        <f t="shared" si="0"/>
        <v>11</v>
      </c>
      <c r="C53" s="205"/>
      <c r="D53" s="311" t="s">
        <v>192</v>
      </c>
      <c r="E53" s="312"/>
      <c r="F53" s="312"/>
      <c r="G53" s="312"/>
      <c r="H53" s="312"/>
      <c r="I53" s="312"/>
      <c r="J53" s="313"/>
      <c r="K53" s="163" t="s">
        <v>42</v>
      </c>
      <c r="L53" s="164"/>
      <c r="M53" s="165"/>
      <c r="N53" s="33" t="s">
        <v>38</v>
      </c>
      <c r="O53" s="25" t="s">
        <v>32</v>
      </c>
      <c r="P53" s="204" t="s">
        <v>34</v>
      </c>
      <c r="Q53" s="213"/>
      <c r="R53" s="213"/>
      <c r="S53" s="205"/>
      <c r="T53" s="204" t="s">
        <v>34</v>
      </c>
      <c r="U53" s="213"/>
      <c r="V53" s="213"/>
      <c r="W53" s="205"/>
      <c r="X53" s="233" t="s">
        <v>70</v>
      </c>
      <c r="Y53" s="234"/>
      <c r="Z53" s="235"/>
      <c r="AA53" s="204" t="s">
        <v>31</v>
      </c>
      <c r="AB53" s="213"/>
      <c r="AC53" s="213"/>
      <c r="AD53" s="213"/>
      <c r="AE53" s="213"/>
      <c r="AF53" s="213"/>
      <c r="AG53" s="213"/>
      <c r="AH53" s="205"/>
      <c r="AI53" s="229"/>
      <c r="AJ53" s="230"/>
      <c r="AK53" s="230"/>
      <c r="AL53" s="230"/>
      <c r="AM53" s="230"/>
      <c r="AN53" s="230"/>
      <c r="AO53" s="230"/>
      <c r="AP53" s="230"/>
      <c r="AQ53" s="231"/>
      <c r="AR53" s="25" t="s">
        <v>31</v>
      </c>
      <c r="AS53" s="25" t="s">
        <v>31</v>
      </c>
      <c r="AT53" s="25" t="s">
        <v>31</v>
      </c>
      <c r="AU53" s="204" t="s">
        <v>31</v>
      </c>
      <c r="AV53" s="213"/>
      <c r="AW53" s="213"/>
      <c r="AX53" s="205"/>
      <c r="AY53" s="204" t="s">
        <v>31</v>
      </c>
      <c r="AZ53" s="213"/>
      <c r="BA53" s="213"/>
      <c r="BB53" s="205"/>
      <c r="BC53" s="226" t="s">
        <v>177</v>
      </c>
      <c r="BD53" s="227"/>
      <c r="BE53" s="227"/>
      <c r="BF53" s="227"/>
      <c r="BG53" s="227"/>
      <c r="BH53" s="227"/>
      <c r="BI53" s="227"/>
      <c r="BJ53" s="228"/>
      <c r="BK53" s="21"/>
    </row>
    <row r="54" spans="1:63" x14ac:dyDescent="0.25">
      <c r="A54" s="20"/>
      <c r="B54" s="275">
        <f t="shared" si="0"/>
        <v>12</v>
      </c>
      <c r="C54" s="276"/>
      <c r="D54" s="360" t="s">
        <v>196</v>
      </c>
      <c r="E54" s="361"/>
      <c r="F54" s="361"/>
      <c r="G54" s="361"/>
      <c r="H54" s="361"/>
      <c r="I54" s="361"/>
      <c r="J54" s="362"/>
      <c r="K54" s="363" t="s">
        <v>42</v>
      </c>
      <c r="L54" s="277"/>
      <c r="M54" s="278"/>
      <c r="N54" s="34" t="s">
        <v>38</v>
      </c>
      <c r="O54" s="29" t="s">
        <v>32</v>
      </c>
      <c r="P54" s="275" t="s">
        <v>34</v>
      </c>
      <c r="Q54" s="279"/>
      <c r="R54" s="279"/>
      <c r="S54" s="276"/>
      <c r="T54" s="275" t="s">
        <v>34</v>
      </c>
      <c r="U54" s="279"/>
      <c r="V54" s="279"/>
      <c r="W54" s="276"/>
      <c r="X54" s="377" t="s">
        <v>195</v>
      </c>
      <c r="Y54" s="378"/>
      <c r="Z54" s="379"/>
      <c r="AA54" s="275" t="s">
        <v>31</v>
      </c>
      <c r="AB54" s="279"/>
      <c r="AC54" s="279"/>
      <c r="AD54" s="279"/>
      <c r="AE54" s="279"/>
      <c r="AF54" s="279"/>
      <c r="AG54" s="279"/>
      <c r="AH54" s="276"/>
      <c r="AI54" s="370" t="s">
        <v>31</v>
      </c>
      <c r="AJ54" s="280"/>
      <c r="AK54" s="280"/>
      <c r="AL54" s="280"/>
      <c r="AM54" s="280"/>
      <c r="AN54" s="280"/>
      <c r="AO54" s="280"/>
      <c r="AP54" s="280"/>
      <c r="AQ54" s="281"/>
      <c r="AR54" s="29" t="s">
        <v>31</v>
      </c>
      <c r="AS54" s="29" t="s">
        <v>31</v>
      </c>
      <c r="AT54" s="29" t="s">
        <v>31</v>
      </c>
      <c r="AU54" s="275" t="s">
        <v>31</v>
      </c>
      <c r="AV54" s="279"/>
      <c r="AW54" s="279"/>
      <c r="AX54" s="276"/>
      <c r="AY54" s="275" t="s">
        <v>31</v>
      </c>
      <c r="AZ54" s="279"/>
      <c r="BA54" s="279"/>
      <c r="BB54" s="276"/>
      <c r="BC54" s="371" t="s">
        <v>178</v>
      </c>
      <c r="BD54" s="286"/>
      <c r="BE54" s="286"/>
      <c r="BF54" s="286"/>
      <c r="BG54" s="286"/>
      <c r="BH54" s="286"/>
      <c r="BI54" s="286"/>
      <c r="BJ54" s="287"/>
      <c r="BK54" s="21"/>
    </row>
    <row r="55" spans="1:63" ht="15" customHeight="1" x14ac:dyDescent="0.25">
      <c r="A55" s="20"/>
      <c r="C55" s="22"/>
      <c r="D55" s="22"/>
      <c r="E55" s="22"/>
      <c r="F55" s="22"/>
      <c r="G55" s="22"/>
      <c r="H55" s="22"/>
      <c r="I55" s="22"/>
      <c r="J55" s="22"/>
      <c r="AE55" s="23"/>
      <c r="BK55" s="21"/>
    </row>
    <row r="56" spans="1:63" ht="15" customHeight="1" x14ac:dyDescent="0.25">
      <c r="A56" s="20"/>
      <c r="BK56" s="21"/>
    </row>
    <row r="57" spans="1:63" ht="15" customHeight="1" x14ac:dyDescent="0.25">
      <c r="A57" s="20"/>
      <c r="B57" s="23" t="s">
        <v>194</v>
      </c>
      <c r="BK57" s="21"/>
    </row>
    <row r="58" spans="1:63" ht="15" customHeight="1" x14ac:dyDescent="0.25">
      <c r="A58" s="20"/>
      <c r="BK58" s="21"/>
    </row>
    <row r="59" spans="1:63" ht="15" customHeight="1" x14ac:dyDescent="0.25">
      <c r="A59" s="20"/>
      <c r="AP59" s="31"/>
      <c r="BK59" s="21"/>
    </row>
    <row r="60" spans="1:63" ht="15" customHeight="1" x14ac:dyDescent="0.25">
      <c r="A60" s="20"/>
      <c r="BK60" s="21"/>
    </row>
    <row r="61" spans="1:63" ht="15" customHeight="1" x14ac:dyDescent="0.25">
      <c r="A61" s="20"/>
      <c r="BK61" s="21"/>
    </row>
    <row r="62" spans="1:63" ht="15" customHeight="1" x14ac:dyDescent="0.25">
      <c r="A62" s="20"/>
      <c r="BK62" s="21"/>
    </row>
    <row r="63" spans="1:63" ht="15" customHeight="1" x14ac:dyDescent="0.25">
      <c r="A63" s="20"/>
      <c r="BK63" s="21"/>
    </row>
    <row r="64" spans="1:63" ht="15" customHeight="1" x14ac:dyDescent="0.25">
      <c r="A64" s="20"/>
      <c r="BK64" s="21"/>
    </row>
    <row r="65" spans="1:63" ht="15" customHeight="1" x14ac:dyDescent="0.25">
      <c r="A65" s="20"/>
      <c r="BK65" s="21"/>
    </row>
    <row r="66" spans="1:63" ht="15" customHeight="1" x14ac:dyDescent="0.25">
      <c r="A66" s="20"/>
      <c r="BK66" s="21"/>
    </row>
    <row r="67" spans="1:63" ht="15" customHeight="1" x14ac:dyDescent="0.25">
      <c r="A67" s="20"/>
      <c r="BK67" s="21"/>
    </row>
    <row r="68" spans="1:63" ht="15" customHeight="1" x14ac:dyDescent="0.25">
      <c r="A68" s="20"/>
      <c r="BK68" s="21"/>
    </row>
    <row r="69" spans="1:63" ht="15" customHeight="1" x14ac:dyDescent="0.25">
      <c r="A69" s="20"/>
      <c r="BK69" s="21"/>
    </row>
    <row r="70" spans="1:63" ht="15" customHeight="1" x14ac:dyDescent="0.25">
      <c r="A70" s="20"/>
      <c r="BK70" s="21"/>
    </row>
    <row r="71" spans="1:63" ht="15" customHeight="1" x14ac:dyDescent="0.25">
      <c r="A71" s="20"/>
      <c r="BK71" s="21"/>
    </row>
    <row r="72" spans="1:63" ht="15" customHeight="1" x14ac:dyDescent="0.25">
      <c r="A72" s="20"/>
      <c r="BK72" s="21"/>
    </row>
    <row r="73" spans="1:63" ht="15" customHeight="1" x14ac:dyDescent="0.25">
      <c r="A73" s="20"/>
      <c r="BK73" s="21"/>
    </row>
    <row r="74" spans="1:63" ht="15" customHeight="1" x14ac:dyDescent="0.25">
      <c r="A74" s="20"/>
      <c r="BK74" s="21"/>
    </row>
    <row r="75" spans="1:63" ht="15" customHeight="1" x14ac:dyDescent="0.25">
      <c r="A75" s="20"/>
      <c r="BK75" s="21"/>
    </row>
    <row r="76" spans="1:63" ht="15" customHeight="1" x14ac:dyDescent="0.25">
      <c r="A76" s="20"/>
      <c r="BK76" s="21"/>
    </row>
    <row r="77" spans="1:63" ht="15" customHeight="1" x14ac:dyDescent="0.25">
      <c r="A77" s="20"/>
      <c r="BK77" s="21"/>
    </row>
    <row r="78" spans="1:63" ht="15" customHeight="1" x14ac:dyDescent="0.25">
      <c r="A78" s="20"/>
      <c r="BK78" s="21"/>
    </row>
    <row r="79" spans="1:63" ht="15" customHeight="1" x14ac:dyDescent="0.25">
      <c r="A79" s="20"/>
      <c r="BK79" s="21"/>
    </row>
    <row r="80" spans="1:63" ht="15" customHeight="1" x14ac:dyDescent="0.25">
      <c r="A80" s="20"/>
      <c r="BK80" s="21"/>
    </row>
    <row r="81" spans="1:63" ht="15" customHeight="1" x14ac:dyDescent="0.25">
      <c r="A81" s="20"/>
      <c r="BK81" s="21"/>
    </row>
    <row r="82" spans="1:63" ht="15" customHeight="1" x14ac:dyDescent="0.25">
      <c r="A82" s="20"/>
      <c r="BK82" s="21"/>
    </row>
    <row r="83" spans="1:63" ht="15" customHeight="1" x14ac:dyDescent="0.25">
      <c r="A83" s="20"/>
      <c r="BK83" s="21"/>
    </row>
    <row r="84" spans="1:63" ht="15" customHeight="1" x14ac:dyDescent="0.25">
      <c r="A84" s="20"/>
      <c r="BK84" s="21"/>
    </row>
    <row r="85" spans="1:63" ht="15" customHeight="1" x14ac:dyDescent="0.25">
      <c r="A85" s="20"/>
      <c r="BK85" s="21"/>
    </row>
    <row r="86" spans="1:63" ht="15" customHeight="1" x14ac:dyDescent="0.25">
      <c r="A86" s="20"/>
      <c r="BK86" s="21"/>
    </row>
    <row r="87" spans="1:63" ht="15" customHeight="1" x14ac:dyDescent="0.25">
      <c r="A87" s="20"/>
      <c r="BK87" s="21"/>
    </row>
    <row r="88" spans="1:63" ht="15" customHeight="1" x14ac:dyDescent="0.25">
      <c r="A88" s="20"/>
      <c r="B88" s="23" t="s">
        <v>15</v>
      </c>
      <c r="BK88" s="21"/>
    </row>
    <row r="89" spans="1:63" ht="15" customHeight="1" x14ac:dyDescent="0.25">
      <c r="A89" s="20"/>
      <c r="BK89" s="21"/>
    </row>
    <row r="90" spans="1:63" ht="15.75" customHeight="1" x14ac:dyDescent="0.25">
      <c r="A90" s="20"/>
      <c r="B90" s="137" t="s">
        <v>16</v>
      </c>
      <c r="C90" s="372"/>
      <c r="D90" s="143" t="s">
        <v>17</v>
      </c>
      <c r="E90" s="314"/>
      <c r="F90" s="314"/>
      <c r="G90" s="314"/>
      <c r="H90" s="314"/>
      <c r="I90" s="314"/>
      <c r="J90" s="315"/>
      <c r="K90" s="143" t="s">
        <v>18</v>
      </c>
      <c r="L90" s="314"/>
      <c r="M90" s="315"/>
      <c r="N90" s="147" t="s">
        <v>19</v>
      </c>
      <c r="O90" s="150" t="s">
        <v>58</v>
      </c>
      <c r="P90" s="168" t="s">
        <v>20</v>
      </c>
      <c r="Q90" s="339"/>
      <c r="R90" s="339"/>
      <c r="S90" s="339"/>
      <c r="T90" s="339"/>
      <c r="U90" s="339"/>
      <c r="V90" s="339"/>
      <c r="W90" s="339"/>
      <c r="X90" s="339"/>
      <c r="Y90" s="339"/>
      <c r="Z90" s="339"/>
      <c r="AA90" s="339"/>
      <c r="AB90" s="339"/>
      <c r="AC90" s="339"/>
      <c r="AD90" s="339"/>
      <c r="AE90" s="339"/>
      <c r="AF90" s="339"/>
      <c r="AG90" s="339"/>
      <c r="AH90" s="339"/>
      <c r="AI90" s="339"/>
      <c r="AJ90" s="339"/>
      <c r="AK90" s="339"/>
      <c r="AL90" s="339"/>
      <c r="AM90" s="339"/>
      <c r="AN90" s="339"/>
      <c r="AO90" s="339"/>
      <c r="AP90" s="339"/>
      <c r="AQ90" s="340"/>
      <c r="AR90" s="153" t="s">
        <v>21</v>
      </c>
      <c r="AS90" s="337"/>
      <c r="AT90" s="337"/>
      <c r="AU90" s="337"/>
      <c r="AV90" s="337"/>
      <c r="AW90" s="337"/>
      <c r="AX90" s="337"/>
      <c r="AY90" s="337"/>
      <c r="AZ90" s="337"/>
      <c r="BA90" s="337"/>
      <c r="BB90" s="338"/>
      <c r="BC90" s="171" t="s">
        <v>22</v>
      </c>
      <c r="BD90" s="322"/>
      <c r="BE90" s="322"/>
      <c r="BF90" s="322"/>
      <c r="BG90" s="322"/>
      <c r="BH90" s="322"/>
      <c r="BI90" s="322"/>
      <c r="BJ90" s="323"/>
      <c r="BK90" s="21"/>
    </row>
    <row r="91" spans="1:63" ht="15.75" customHeight="1" x14ac:dyDescent="0.25">
      <c r="A91" s="20"/>
      <c r="B91" s="373"/>
      <c r="C91" s="374"/>
      <c r="D91" s="316"/>
      <c r="E91" s="317"/>
      <c r="F91" s="317"/>
      <c r="G91" s="317"/>
      <c r="H91" s="317"/>
      <c r="I91" s="317"/>
      <c r="J91" s="318"/>
      <c r="K91" s="316"/>
      <c r="L91" s="317"/>
      <c r="M91" s="318"/>
      <c r="N91" s="148"/>
      <c r="O91" s="151"/>
      <c r="P91" s="180" t="s">
        <v>23</v>
      </c>
      <c r="Q91" s="181"/>
      <c r="R91" s="181"/>
      <c r="S91" s="181"/>
      <c r="T91" s="181"/>
      <c r="U91" s="181"/>
      <c r="V91" s="181"/>
      <c r="W91" s="182"/>
      <c r="X91" s="183" t="s">
        <v>24</v>
      </c>
      <c r="Y91" s="330"/>
      <c r="Z91" s="331"/>
      <c r="AA91" s="183" t="s">
        <v>25</v>
      </c>
      <c r="AB91" s="330"/>
      <c r="AC91" s="330"/>
      <c r="AD91" s="330"/>
      <c r="AE91" s="330"/>
      <c r="AF91" s="330"/>
      <c r="AG91" s="330"/>
      <c r="AH91" s="331"/>
      <c r="AI91" s="183" t="s">
        <v>26</v>
      </c>
      <c r="AJ91" s="330"/>
      <c r="AK91" s="330"/>
      <c r="AL91" s="330"/>
      <c r="AM91" s="330"/>
      <c r="AN91" s="330"/>
      <c r="AO91" s="330"/>
      <c r="AP91" s="330"/>
      <c r="AQ91" s="331"/>
      <c r="AR91" s="335" t="s">
        <v>27</v>
      </c>
      <c r="AS91" s="191" t="s">
        <v>28</v>
      </c>
      <c r="AT91" s="191" t="s">
        <v>29</v>
      </c>
      <c r="AU91" s="153" t="s">
        <v>23</v>
      </c>
      <c r="AV91" s="337"/>
      <c r="AW91" s="337"/>
      <c r="AX91" s="337"/>
      <c r="AY91" s="337"/>
      <c r="AZ91" s="337"/>
      <c r="BA91" s="337"/>
      <c r="BB91" s="338"/>
      <c r="BC91" s="324"/>
      <c r="BD91" s="325"/>
      <c r="BE91" s="325"/>
      <c r="BF91" s="325"/>
      <c r="BG91" s="325"/>
      <c r="BH91" s="325"/>
      <c r="BI91" s="325"/>
      <c r="BJ91" s="326"/>
      <c r="BK91" s="21"/>
    </row>
    <row r="92" spans="1:63" x14ac:dyDescent="0.25">
      <c r="A92" s="20"/>
      <c r="B92" s="375"/>
      <c r="C92" s="376"/>
      <c r="D92" s="319"/>
      <c r="E92" s="320"/>
      <c r="F92" s="320"/>
      <c r="G92" s="320"/>
      <c r="H92" s="320"/>
      <c r="I92" s="320"/>
      <c r="J92" s="321"/>
      <c r="K92" s="319"/>
      <c r="L92" s="320"/>
      <c r="M92" s="321"/>
      <c r="N92" s="149"/>
      <c r="O92" s="152"/>
      <c r="P92" s="168" t="s">
        <v>56</v>
      </c>
      <c r="Q92" s="339"/>
      <c r="R92" s="339"/>
      <c r="S92" s="340"/>
      <c r="T92" s="168" t="s">
        <v>17</v>
      </c>
      <c r="U92" s="339"/>
      <c r="V92" s="339"/>
      <c r="W92" s="340"/>
      <c r="X92" s="332"/>
      <c r="Y92" s="333"/>
      <c r="Z92" s="334"/>
      <c r="AA92" s="332"/>
      <c r="AB92" s="333"/>
      <c r="AC92" s="333"/>
      <c r="AD92" s="333"/>
      <c r="AE92" s="333"/>
      <c r="AF92" s="333"/>
      <c r="AG92" s="333"/>
      <c r="AH92" s="334"/>
      <c r="AI92" s="332"/>
      <c r="AJ92" s="333"/>
      <c r="AK92" s="333"/>
      <c r="AL92" s="333"/>
      <c r="AM92" s="333"/>
      <c r="AN92" s="333"/>
      <c r="AO92" s="333"/>
      <c r="AP92" s="333"/>
      <c r="AQ92" s="334"/>
      <c r="AR92" s="336"/>
      <c r="AS92" s="192"/>
      <c r="AT92" s="192"/>
      <c r="AU92" s="153" t="s">
        <v>56</v>
      </c>
      <c r="AV92" s="337"/>
      <c r="AW92" s="337"/>
      <c r="AX92" s="341"/>
      <c r="AY92" s="156" t="s">
        <v>17</v>
      </c>
      <c r="AZ92" s="337"/>
      <c r="BA92" s="337"/>
      <c r="BB92" s="338"/>
      <c r="BC92" s="327"/>
      <c r="BD92" s="328"/>
      <c r="BE92" s="328"/>
      <c r="BF92" s="328"/>
      <c r="BG92" s="328"/>
      <c r="BH92" s="328"/>
      <c r="BI92" s="328"/>
      <c r="BJ92" s="329"/>
      <c r="BK92" s="21"/>
    </row>
    <row r="93" spans="1:63" x14ac:dyDescent="0.25">
      <c r="A93" s="20"/>
      <c r="B93" s="204">
        <v>13</v>
      </c>
      <c r="C93" s="205"/>
      <c r="D93" s="311" t="s">
        <v>197</v>
      </c>
      <c r="E93" s="312"/>
      <c r="F93" s="312"/>
      <c r="G93" s="312"/>
      <c r="H93" s="312"/>
      <c r="I93" s="312"/>
      <c r="J93" s="313"/>
      <c r="K93" s="163" t="s">
        <v>30</v>
      </c>
      <c r="L93" s="164"/>
      <c r="M93" s="165"/>
      <c r="N93" s="33" t="s">
        <v>31</v>
      </c>
      <c r="O93" s="25" t="s">
        <v>32</v>
      </c>
      <c r="P93" s="204" t="s">
        <v>34</v>
      </c>
      <c r="Q93" s="213"/>
      <c r="R93" s="213"/>
      <c r="S93" s="205"/>
      <c r="T93" s="204" t="s">
        <v>34</v>
      </c>
      <c r="U93" s="213"/>
      <c r="V93" s="213"/>
      <c r="W93" s="205"/>
      <c r="X93" s="233" t="s">
        <v>199</v>
      </c>
      <c r="Y93" s="234"/>
      <c r="Z93" s="235"/>
      <c r="AA93" s="204" t="s">
        <v>31</v>
      </c>
      <c r="AB93" s="213"/>
      <c r="AC93" s="213"/>
      <c r="AD93" s="213"/>
      <c r="AE93" s="213"/>
      <c r="AF93" s="213"/>
      <c r="AG93" s="213"/>
      <c r="AH93" s="205"/>
      <c r="AI93" s="229" t="s">
        <v>31</v>
      </c>
      <c r="AJ93" s="230"/>
      <c r="AK93" s="230"/>
      <c r="AL93" s="230"/>
      <c r="AM93" s="230"/>
      <c r="AN93" s="230"/>
      <c r="AO93" s="230"/>
      <c r="AP93" s="230"/>
      <c r="AQ93" s="231"/>
      <c r="AR93" s="25" t="s">
        <v>31</v>
      </c>
      <c r="AS93" s="25" t="s">
        <v>31</v>
      </c>
      <c r="AT93" s="25" t="s">
        <v>31</v>
      </c>
      <c r="AU93" s="204" t="s">
        <v>31</v>
      </c>
      <c r="AV93" s="213"/>
      <c r="AW93" s="213"/>
      <c r="AX93" s="205"/>
      <c r="AY93" s="204" t="s">
        <v>31</v>
      </c>
      <c r="AZ93" s="213"/>
      <c r="BA93" s="213"/>
      <c r="BB93" s="205"/>
      <c r="BC93" s="232"/>
      <c r="BD93" s="227"/>
      <c r="BE93" s="227"/>
      <c r="BF93" s="227"/>
      <c r="BG93" s="227"/>
      <c r="BH93" s="227"/>
      <c r="BI93" s="227"/>
      <c r="BJ93" s="228"/>
      <c r="BK93" s="21"/>
    </row>
    <row r="94" spans="1:63" x14ac:dyDescent="0.25">
      <c r="A94" s="20"/>
      <c r="B94" s="204">
        <f t="shared" ref="B94:B106" si="1">B93+1</f>
        <v>14</v>
      </c>
      <c r="C94" s="205"/>
      <c r="D94" s="311" t="s">
        <v>198</v>
      </c>
      <c r="E94" s="312"/>
      <c r="F94" s="312"/>
      <c r="G94" s="312"/>
      <c r="H94" s="312"/>
      <c r="I94" s="312"/>
      <c r="J94" s="313"/>
      <c r="K94" s="163" t="s">
        <v>42</v>
      </c>
      <c r="L94" s="164"/>
      <c r="M94" s="165"/>
      <c r="N94" s="33" t="s">
        <v>38</v>
      </c>
      <c r="O94" s="25" t="s">
        <v>31</v>
      </c>
      <c r="P94" s="204" t="s">
        <v>34</v>
      </c>
      <c r="Q94" s="213"/>
      <c r="R94" s="213"/>
      <c r="S94" s="205"/>
      <c r="T94" s="204" t="s">
        <v>34</v>
      </c>
      <c r="U94" s="213"/>
      <c r="V94" s="213"/>
      <c r="W94" s="205"/>
      <c r="X94" s="233" t="s">
        <v>31</v>
      </c>
      <c r="Y94" s="234"/>
      <c r="Z94" s="235"/>
      <c r="AA94" s="204" t="s">
        <v>31</v>
      </c>
      <c r="AB94" s="213"/>
      <c r="AC94" s="213"/>
      <c r="AD94" s="213"/>
      <c r="AE94" s="213"/>
      <c r="AF94" s="213"/>
      <c r="AG94" s="213"/>
      <c r="AH94" s="205"/>
      <c r="AI94" s="229" t="s">
        <v>31</v>
      </c>
      <c r="AJ94" s="230"/>
      <c r="AK94" s="230"/>
      <c r="AL94" s="230"/>
      <c r="AM94" s="230"/>
      <c r="AN94" s="230"/>
      <c r="AO94" s="230"/>
      <c r="AP94" s="230"/>
      <c r="AQ94" s="231"/>
      <c r="AR94" s="25" t="s">
        <v>31</v>
      </c>
      <c r="AS94" s="25" t="s">
        <v>31</v>
      </c>
      <c r="AT94" s="25" t="s">
        <v>31</v>
      </c>
      <c r="AU94" s="204" t="s">
        <v>31</v>
      </c>
      <c r="AV94" s="213"/>
      <c r="AW94" s="213"/>
      <c r="AX94" s="205"/>
      <c r="AY94" s="204" t="s">
        <v>31</v>
      </c>
      <c r="AZ94" s="213"/>
      <c r="BA94" s="213"/>
      <c r="BB94" s="205"/>
      <c r="BC94" s="226" t="s">
        <v>214</v>
      </c>
      <c r="BD94" s="227"/>
      <c r="BE94" s="227"/>
      <c r="BF94" s="227"/>
      <c r="BG94" s="227"/>
      <c r="BH94" s="227"/>
      <c r="BI94" s="227"/>
      <c r="BJ94" s="228"/>
      <c r="BK94" s="21"/>
    </row>
    <row r="95" spans="1:63" x14ac:dyDescent="0.25">
      <c r="A95" s="20"/>
      <c r="B95" s="204">
        <f t="shared" si="1"/>
        <v>15</v>
      </c>
      <c r="C95" s="205"/>
      <c r="D95" s="311" t="s">
        <v>64</v>
      </c>
      <c r="E95" s="312"/>
      <c r="F95" s="312"/>
      <c r="G95" s="312"/>
      <c r="H95" s="312"/>
      <c r="I95" s="312"/>
      <c r="J95" s="313"/>
      <c r="K95" s="163" t="s">
        <v>30</v>
      </c>
      <c r="L95" s="164"/>
      <c r="M95" s="165"/>
      <c r="N95" s="33" t="s">
        <v>31</v>
      </c>
      <c r="O95" s="25" t="s">
        <v>32</v>
      </c>
      <c r="P95" s="204" t="s">
        <v>34</v>
      </c>
      <c r="Q95" s="213"/>
      <c r="R95" s="213"/>
      <c r="S95" s="205"/>
      <c r="T95" s="204" t="s">
        <v>34</v>
      </c>
      <c r="U95" s="213"/>
      <c r="V95" s="213"/>
      <c r="W95" s="205"/>
      <c r="X95" s="233" t="s">
        <v>298</v>
      </c>
      <c r="Y95" s="234"/>
      <c r="Z95" s="235"/>
      <c r="AA95" s="204" t="s">
        <v>31</v>
      </c>
      <c r="AB95" s="213"/>
      <c r="AC95" s="213"/>
      <c r="AD95" s="213"/>
      <c r="AE95" s="213"/>
      <c r="AF95" s="213"/>
      <c r="AG95" s="213"/>
      <c r="AH95" s="205"/>
      <c r="AI95" s="229" t="s">
        <v>31</v>
      </c>
      <c r="AJ95" s="230"/>
      <c r="AK95" s="230"/>
      <c r="AL95" s="230"/>
      <c r="AM95" s="230"/>
      <c r="AN95" s="230"/>
      <c r="AO95" s="230"/>
      <c r="AP95" s="230"/>
      <c r="AQ95" s="231"/>
      <c r="AR95" s="25" t="s">
        <v>31</v>
      </c>
      <c r="AS95" s="25" t="s">
        <v>31</v>
      </c>
      <c r="AT95" s="25" t="s">
        <v>31</v>
      </c>
      <c r="AU95" s="204" t="s">
        <v>31</v>
      </c>
      <c r="AV95" s="213"/>
      <c r="AW95" s="213"/>
      <c r="AX95" s="205"/>
      <c r="AY95" s="204" t="s">
        <v>31</v>
      </c>
      <c r="AZ95" s="213"/>
      <c r="BA95" s="213"/>
      <c r="BB95" s="205"/>
      <c r="BC95" s="232"/>
      <c r="BD95" s="227"/>
      <c r="BE95" s="227"/>
      <c r="BF95" s="227"/>
      <c r="BG95" s="227"/>
      <c r="BH95" s="227"/>
      <c r="BI95" s="227"/>
      <c r="BJ95" s="228"/>
      <c r="BK95" s="21"/>
    </row>
    <row r="96" spans="1:63" x14ac:dyDescent="0.25">
      <c r="A96" s="20"/>
      <c r="B96" s="204">
        <f t="shared" si="1"/>
        <v>16</v>
      </c>
      <c r="C96" s="205"/>
      <c r="D96" s="311" t="s">
        <v>65</v>
      </c>
      <c r="E96" s="312"/>
      <c r="F96" s="312"/>
      <c r="G96" s="312"/>
      <c r="H96" s="312"/>
      <c r="I96" s="312"/>
      <c r="J96" s="313"/>
      <c r="K96" s="163" t="s">
        <v>30</v>
      </c>
      <c r="L96" s="164"/>
      <c r="M96" s="165"/>
      <c r="N96" s="33" t="s">
        <v>35</v>
      </c>
      <c r="O96" s="25" t="s">
        <v>31</v>
      </c>
      <c r="P96" s="237" t="s">
        <v>222</v>
      </c>
      <c r="Q96" s="211"/>
      <c r="R96" s="211"/>
      <c r="S96" s="212"/>
      <c r="T96" s="217" t="s">
        <v>132</v>
      </c>
      <c r="U96" s="218"/>
      <c r="V96" s="218"/>
      <c r="W96" s="219"/>
      <c r="X96" s="233" t="s">
        <v>31</v>
      </c>
      <c r="Y96" s="234"/>
      <c r="Z96" s="235"/>
      <c r="AA96" s="204" t="s">
        <v>31</v>
      </c>
      <c r="AB96" s="213"/>
      <c r="AC96" s="213"/>
      <c r="AD96" s="213"/>
      <c r="AE96" s="213"/>
      <c r="AF96" s="213"/>
      <c r="AG96" s="213"/>
      <c r="AH96" s="205"/>
      <c r="AI96" s="229" t="s">
        <v>31</v>
      </c>
      <c r="AJ96" s="230"/>
      <c r="AK96" s="230"/>
      <c r="AL96" s="230"/>
      <c r="AM96" s="230"/>
      <c r="AN96" s="230"/>
      <c r="AO96" s="230"/>
      <c r="AP96" s="230"/>
      <c r="AQ96" s="231"/>
      <c r="AR96" s="25" t="s">
        <v>31</v>
      </c>
      <c r="AS96" s="25" t="s">
        <v>31</v>
      </c>
      <c r="AT96" s="25" t="s">
        <v>31</v>
      </c>
      <c r="AU96" s="204" t="s">
        <v>31</v>
      </c>
      <c r="AV96" s="213"/>
      <c r="AW96" s="213"/>
      <c r="AX96" s="205"/>
      <c r="AY96" s="204" t="s">
        <v>31</v>
      </c>
      <c r="AZ96" s="213"/>
      <c r="BA96" s="213"/>
      <c r="BB96" s="205"/>
      <c r="BC96" s="232"/>
      <c r="BD96" s="227"/>
      <c r="BE96" s="227"/>
      <c r="BF96" s="227"/>
      <c r="BG96" s="227"/>
      <c r="BH96" s="227"/>
      <c r="BI96" s="227"/>
      <c r="BJ96" s="228"/>
      <c r="BK96" s="21"/>
    </row>
    <row r="97" spans="1:63" x14ac:dyDescent="0.25">
      <c r="A97" s="20"/>
      <c r="B97" s="204">
        <f t="shared" si="1"/>
        <v>17</v>
      </c>
      <c r="C97" s="205"/>
      <c r="D97" s="311" t="s">
        <v>200</v>
      </c>
      <c r="E97" s="312"/>
      <c r="F97" s="312"/>
      <c r="G97" s="312"/>
      <c r="H97" s="312"/>
      <c r="I97" s="312"/>
      <c r="J97" s="313"/>
      <c r="K97" s="163" t="s">
        <v>30</v>
      </c>
      <c r="L97" s="164"/>
      <c r="M97" s="165"/>
      <c r="N97" s="33" t="s">
        <v>31</v>
      </c>
      <c r="O97" s="25" t="s">
        <v>32</v>
      </c>
      <c r="P97" s="204" t="s">
        <v>34</v>
      </c>
      <c r="Q97" s="213"/>
      <c r="R97" s="213"/>
      <c r="S97" s="205"/>
      <c r="T97" s="237" t="s">
        <v>34</v>
      </c>
      <c r="U97" s="211"/>
      <c r="V97" s="211"/>
      <c r="W97" s="212"/>
      <c r="X97" s="233" t="s">
        <v>185</v>
      </c>
      <c r="Y97" s="234"/>
      <c r="Z97" s="235"/>
      <c r="AA97" s="204" t="s">
        <v>31</v>
      </c>
      <c r="AB97" s="213"/>
      <c r="AC97" s="213"/>
      <c r="AD97" s="213"/>
      <c r="AE97" s="213"/>
      <c r="AF97" s="213"/>
      <c r="AG97" s="213"/>
      <c r="AH97" s="205"/>
      <c r="AI97" s="229" t="s">
        <v>31</v>
      </c>
      <c r="AJ97" s="230"/>
      <c r="AK97" s="230"/>
      <c r="AL97" s="230"/>
      <c r="AM97" s="230"/>
      <c r="AN97" s="230"/>
      <c r="AO97" s="230"/>
      <c r="AP97" s="230"/>
      <c r="AQ97" s="231"/>
      <c r="AR97" s="25" t="s">
        <v>31</v>
      </c>
      <c r="AS97" s="25" t="s">
        <v>31</v>
      </c>
      <c r="AT97" s="25" t="s">
        <v>31</v>
      </c>
      <c r="AU97" s="204" t="s">
        <v>31</v>
      </c>
      <c r="AV97" s="213"/>
      <c r="AW97" s="213"/>
      <c r="AX97" s="205"/>
      <c r="AY97" s="204" t="s">
        <v>31</v>
      </c>
      <c r="AZ97" s="213"/>
      <c r="BA97" s="213"/>
      <c r="BB97" s="205"/>
      <c r="BC97" s="232"/>
      <c r="BD97" s="227"/>
      <c r="BE97" s="227"/>
      <c r="BF97" s="227"/>
      <c r="BG97" s="227"/>
      <c r="BH97" s="227"/>
      <c r="BI97" s="227"/>
      <c r="BJ97" s="228"/>
      <c r="BK97" s="21"/>
    </row>
    <row r="98" spans="1:63" x14ac:dyDescent="0.25">
      <c r="A98" s="20"/>
      <c r="B98" s="204">
        <f t="shared" si="1"/>
        <v>18</v>
      </c>
      <c r="C98" s="205"/>
      <c r="D98" s="311" t="s">
        <v>201</v>
      </c>
      <c r="E98" s="312"/>
      <c r="F98" s="312"/>
      <c r="G98" s="312"/>
      <c r="H98" s="312"/>
      <c r="I98" s="312"/>
      <c r="J98" s="313"/>
      <c r="K98" s="163" t="s">
        <v>30</v>
      </c>
      <c r="L98" s="164"/>
      <c r="M98" s="165"/>
      <c r="N98" s="33" t="s">
        <v>35</v>
      </c>
      <c r="O98" s="25" t="s">
        <v>31</v>
      </c>
      <c r="P98" s="237" t="s">
        <v>222</v>
      </c>
      <c r="Q98" s="211"/>
      <c r="R98" s="211"/>
      <c r="S98" s="212"/>
      <c r="T98" s="217" t="s">
        <v>134</v>
      </c>
      <c r="U98" s="218"/>
      <c r="V98" s="218"/>
      <c r="W98" s="219"/>
      <c r="X98" s="233" t="s">
        <v>31</v>
      </c>
      <c r="Y98" s="234"/>
      <c r="Z98" s="235"/>
      <c r="AA98" s="204" t="s">
        <v>31</v>
      </c>
      <c r="AB98" s="213"/>
      <c r="AC98" s="213"/>
      <c r="AD98" s="213"/>
      <c r="AE98" s="213"/>
      <c r="AF98" s="213"/>
      <c r="AG98" s="213"/>
      <c r="AH98" s="205"/>
      <c r="AI98" s="229" t="s">
        <v>31</v>
      </c>
      <c r="AJ98" s="230"/>
      <c r="AK98" s="230"/>
      <c r="AL98" s="230"/>
      <c r="AM98" s="230"/>
      <c r="AN98" s="230"/>
      <c r="AO98" s="230"/>
      <c r="AP98" s="230"/>
      <c r="AQ98" s="231"/>
      <c r="AR98" s="25" t="s">
        <v>31</v>
      </c>
      <c r="AS98" s="25" t="s">
        <v>31</v>
      </c>
      <c r="AT98" s="25" t="s">
        <v>31</v>
      </c>
      <c r="AU98" s="204" t="s">
        <v>31</v>
      </c>
      <c r="AV98" s="213"/>
      <c r="AW98" s="213"/>
      <c r="AX98" s="205"/>
      <c r="AY98" s="204" t="s">
        <v>31</v>
      </c>
      <c r="AZ98" s="213"/>
      <c r="BA98" s="213"/>
      <c r="BB98" s="205"/>
      <c r="BC98" s="232"/>
      <c r="BD98" s="227"/>
      <c r="BE98" s="227"/>
      <c r="BF98" s="227"/>
      <c r="BG98" s="227"/>
      <c r="BH98" s="227"/>
      <c r="BI98" s="227"/>
      <c r="BJ98" s="228"/>
      <c r="BK98" s="21"/>
    </row>
    <row r="99" spans="1:63" x14ac:dyDescent="0.25">
      <c r="A99" s="20"/>
      <c r="B99" s="204">
        <f t="shared" si="1"/>
        <v>19</v>
      </c>
      <c r="C99" s="205"/>
      <c r="D99" s="311" t="s">
        <v>202</v>
      </c>
      <c r="E99" s="312"/>
      <c r="F99" s="312"/>
      <c r="G99" s="312"/>
      <c r="H99" s="312"/>
      <c r="I99" s="312"/>
      <c r="J99" s="313"/>
      <c r="K99" s="163" t="s">
        <v>30</v>
      </c>
      <c r="L99" s="164"/>
      <c r="M99" s="165"/>
      <c r="N99" s="33" t="s">
        <v>31</v>
      </c>
      <c r="O99" s="25" t="s">
        <v>32</v>
      </c>
      <c r="P99" s="204" t="s">
        <v>34</v>
      </c>
      <c r="Q99" s="213"/>
      <c r="R99" s="213"/>
      <c r="S99" s="205"/>
      <c r="T99" s="237" t="s">
        <v>34</v>
      </c>
      <c r="U99" s="211"/>
      <c r="V99" s="211"/>
      <c r="W99" s="212"/>
      <c r="X99" s="233" t="s">
        <v>204</v>
      </c>
      <c r="Y99" s="234"/>
      <c r="Z99" s="235"/>
      <c r="AA99" s="204" t="s">
        <v>31</v>
      </c>
      <c r="AB99" s="213"/>
      <c r="AC99" s="213"/>
      <c r="AD99" s="213"/>
      <c r="AE99" s="213"/>
      <c r="AF99" s="213"/>
      <c r="AG99" s="213"/>
      <c r="AH99" s="205"/>
      <c r="AI99" s="229" t="s">
        <v>31</v>
      </c>
      <c r="AJ99" s="230"/>
      <c r="AK99" s="230"/>
      <c r="AL99" s="230"/>
      <c r="AM99" s="230"/>
      <c r="AN99" s="230"/>
      <c r="AO99" s="230"/>
      <c r="AP99" s="230"/>
      <c r="AQ99" s="231"/>
      <c r="AR99" s="25" t="s">
        <v>31</v>
      </c>
      <c r="AS99" s="25" t="s">
        <v>31</v>
      </c>
      <c r="AT99" s="25" t="s">
        <v>31</v>
      </c>
      <c r="AU99" s="204" t="s">
        <v>31</v>
      </c>
      <c r="AV99" s="213"/>
      <c r="AW99" s="213"/>
      <c r="AX99" s="205"/>
      <c r="AY99" s="204" t="s">
        <v>31</v>
      </c>
      <c r="AZ99" s="213"/>
      <c r="BA99" s="213"/>
      <c r="BB99" s="205"/>
      <c r="BC99" s="232"/>
      <c r="BD99" s="227"/>
      <c r="BE99" s="227"/>
      <c r="BF99" s="227"/>
      <c r="BG99" s="227"/>
      <c r="BH99" s="227"/>
      <c r="BI99" s="227"/>
      <c r="BJ99" s="228"/>
      <c r="BK99" s="21"/>
    </row>
    <row r="100" spans="1:63" ht="63.75" customHeight="1" x14ac:dyDescent="0.25">
      <c r="A100" s="20"/>
      <c r="B100" s="204">
        <f t="shared" si="1"/>
        <v>20</v>
      </c>
      <c r="C100" s="205"/>
      <c r="D100" s="311" t="s">
        <v>203</v>
      </c>
      <c r="E100" s="312"/>
      <c r="F100" s="312"/>
      <c r="G100" s="312"/>
      <c r="H100" s="312"/>
      <c r="I100" s="312"/>
      <c r="J100" s="313"/>
      <c r="K100" s="163" t="s">
        <v>30</v>
      </c>
      <c r="L100" s="164"/>
      <c r="M100" s="165"/>
      <c r="N100" s="33" t="s">
        <v>35</v>
      </c>
      <c r="O100" s="25" t="s">
        <v>31</v>
      </c>
      <c r="P100" s="237" t="s">
        <v>222</v>
      </c>
      <c r="Q100" s="211"/>
      <c r="R100" s="211"/>
      <c r="S100" s="212"/>
      <c r="T100" s="356" t="s">
        <v>251</v>
      </c>
      <c r="U100" s="357"/>
      <c r="V100" s="357"/>
      <c r="W100" s="358"/>
      <c r="X100" s="233"/>
      <c r="Y100" s="234"/>
      <c r="Z100" s="235"/>
      <c r="AA100" s="204" t="s">
        <v>31</v>
      </c>
      <c r="AB100" s="213"/>
      <c r="AC100" s="213"/>
      <c r="AD100" s="213"/>
      <c r="AE100" s="213"/>
      <c r="AF100" s="213"/>
      <c r="AG100" s="213"/>
      <c r="AH100" s="205"/>
      <c r="AI100" s="229" t="s">
        <v>31</v>
      </c>
      <c r="AJ100" s="230"/>
      <c r="AK100" s="230"/>
      <c r="AL100" s="230"/>
      <c r="AM100" s="230"/>
      <c r="AN100" s="230"/>
      <c r="AO100" s="230"/>
      <c r="AP100" s="230"/>
      <c r="AQ100" s="231"/>
      <c r="AR100" s="25" t="s">
        <v>31</v>
      </c>
      <c r="AS100" s="25" t="s">
        <v>31</v>
      </c>
      <c r="AT100" s="25" t="s">
        <v>31</v>
      </c>
      <c r="AU100" s="204" t="s">
        <v>31</v>
      </c>
      <c r="AV100" s="213"/>
      <c r="AW100" s="213"/>
      <c r="AX100" s="205"/>
      <c r="AY100" s="204" t="s">
        <v>31</v>
      </c>
      <c r="AZ100" s="213"/>
      <c r="BA100" s="213"/>
      <c r="BB100" s="205"/>
      <c r="BC100" s="232"/>
      <c r="BD100" s="227"/>
      <c r="BE100" s="227"/>
      <c r="BF100" s="227"/>
      <c r="BG100" s="227"/>
      <c r="BH100" s="227"/>
      <c r="BI100" s="227"/>
      <c r="BJ100" s="228"/>
      <c r="BK100" s="21"/>
    </row>
    <row r="101" spans="1:63" x14ac:dyDescent="0.25">
      <c r="A101" s="20"/>
      <c r="B101" s="204">
        <f t="shared" si="1"/>
        <v>21</v>
      </c>
      <c r="C101" s="205"/>
      <c r="D101" s="311" t="s">
        <v>205</v>
      </c>
      <c r="E101" s="312"/>
      <c r="F101" s="312"/>
      <c r="G101" s="312"/>
      <c r="H101" s="312"/>
      <c r="I101" s="312"/>
      <c r="J101" s="313"/>
      <c r="K101" s="163" t="s">
        <v>30</v>
      </c>
      <c r="L101" s="164"/>
      <c r="M101" s="165"/>
      <c r="N101" s="33" t="s">
        <v>31</v>
      </c>
      <c r="O101" s="25" t="s">
        <v>32</v>
      </c>
      <c r="P101" s="204" t="s">
        <v>34</v>
      </c>
      <c r="Q101" s="213"/>
      <c r="R101" s="213"/>
      <c r="S101" s="205"/>
      <c r="T101" s="237" t="s">
        <v>34</v>
      </c>
      <c r="U101" s="211"/>
      <c r="V101" s="211"/>
      <c r="W101" s="212"/>
      <c r="X101" s="233" t="s">
        <v>212</v>
      </c>
      <c r="Y101" s="234"/>
      <c r="Z101" s="235"/>
      <c r="AA101" s="204" t="s">
        <v>31</v>
      </c>
      <c r="AB101" s="213"/>
      <c r="AC101" s="213"/>
      <c r="AD101" s="213"/>
      <c r="AE101" s="213"/>
      <c r="AF101" s="213"/>
      <c r="AG101" s="213"/>
      <c r="AH101" s="205"/>
      <c r="AI101" s="229" t="s">
        <v>31</v>
      </c>
      <c r="AJ101" s="230"/>
      <c r="AK101" s="230"/>
      <c r="AL101" s="230"/>
      <c r="AM101" s="230"/>
      <c r="AN101" s="230"/>
      <c r="AO101" s="230"/>
      <c r="AP101" s="230"/>
      <c r="AQ101" s="231"/>
      <c r="AR101" s="25" t="s">
        <v>31</v>
      </c>
      <c r="AS101" s="25" t="s">
        <v>31</v>
      </c>
      <c r="AT101" s="25" t="s">
        <v>31</v>
      </c>
      <c r="AU101" s="204" t="s">
        <v>31</v>
      </c>
      <c r="AV101" s="213"/>
      <c r="AW101" s="213"/>
      <c r="AX101" s="205"/>
      <c r="AY101" s="204" t="s">
        <v>31</v>
      </c>
      <c r="AZ101" s="213"/>
      <c r="BA101" s="213"/>
      <c r="BB101" s="205"/>
      <c r="BC101" s="232"/>
      <c r="BD101" s="227"/>
      <c r="BE101" s="227"/>
      <c r="BF101" s="227"/>
      <c r="BG101" s="227"/>
      <c r="BH101" s="227"/>
      <c r="BI101" s="227"/>
      <c r="BJ101" s="228"/>
      <c r="BK101" s="21"/>
    </row>
    <row r="102" spans="1:63" x14ac:dyDescent="0.25">
      <c r="A102" s="20"/>
      <c r="B102" s="204">
        <f t="shared" si="1"/>
        <v>22</v>
      </c>
      <c r="C102" s="205"/>
      <c r="D102" s="311" t="s">
        <v>207</v>
      </c>
      <c r="E102" s="312"/>
      <c r="F102" s="312"/>
      <c r="G102" s="312"/>
      <c r="H102" s="312"/>
      <c r="I102" s="312"/>
      <c r="J102" s="313"/>
      <c r="K102" s="163" t="s">
        <v>30</v>
      </c>
      <c r="L102" s="164"/>
      <c r="M102" s="165"/>
      <c r="N102" s="33" t="s">
        <v>35</v>
      </c>
      <c r="O102" s="25" t="s">
        <v>31</v>
      </c>
      <c r="P102" s="237" t="s">
        <v>222</v>
      </c>
      <c r="Q102" s="211"/>
      <c r="R102" s="211"/>
      <c r="S102" s="212"/>
      <c r="T102" s="310" t="s">
        <v>227</v>
      </c>
      <c r="U102" s="250"/>
      <c r="V102" s="250"/>
      <c r="W102" s="251"/>
      <c r="X102" s="233"/>
      <c r="Y102" s="234"/>
      <c r="Z102" s="235"/>
      <c r="AA102" s="204" t="s">
        <v>31</v>
      </c>
      <c r="AB102" s="213"/>
      <c r="AC102" s="213"/>
      <c r="AD102" s="213"/>
      <c r="AE102" s="213"/>
      <c r="AF102" s="213"/>
      <c r="AG102" s="213"/>
      <c r="AH102" s="205"/>
      <c r="AI102" s="229" t="s">
        <v>31</v>
      </c>
      <c r="AJ102" s="230"/>
      <c r="AK102" s="230"/>
      <c r="AL102" s="230"/>
      <c r="AM102" s="230"/>
      <c r="AN102" s="230"/>
      <c r="AO102" s="230"/>
      <c r="AP102" s="230"/>
      <c r="AQ102" s="231"/>
      <c r="AR102" s="25" t="s">
        <v>31</v>
      </c>
      <c r="AS102" s="25" t="s">
        <v>31</v>
      </c>
      <c r="AT102" s="25" t="s">
        <v>31</v>
      </c>
      <c r="AU102" s="204" t="s">
        <v>31</v>
      </c>
      <c r="AV102" s="213"/>
      <c r="AW102" s="213"/>
      <c r="AX102" s="205"/>
      <c r="AY102" s="204" t="s">
        <v>31</v>
      </c>
      <c r="AZ102" s="213"/>
      <c r="BA102" s="213"/>
      <c r="BB102" s="205"/>
      <c r="BC102" s="226" t="s">
        <v>300</v>
      </c>
      <c r="BD102" s="227"/>
      <c r="BE102" s="227"/>
      <c r="BF102" s="227"/>
      <c r="BG102" s="227"/>
      <c r="BH102" s="227"/>
      <c r="BI102" s="227"/>
      <c r="BJ102" s="228"/>
      <c r="BK102" s="21"/>
    </row>
    <row r="103" spans="1:63" x14ac:dyDescent="0.25">
      <c r="A103" s="20"/>
      <c r="B103" s="204">
        <f t="shared" si="1"/>
        <v>23</v>
      </c>
      <c r="C103" s="205"/>
      <c r="D103" s="206" t="s">
        <v>208</v>
      </c>
      <c r="E103" s="207"/>
      <c r="F103" s="207"/>
      <c r="G103" s="207"/>
      <c r="H103" s="207"/>
      <c r="I103" s="207"/>
      <c r="J103" s="208"/>
      <c r="K103" s="163" t="s">
        <v>30</v>
      </c>
      <c r="L103" s="164"/>
      <c r="M103" s="165"/>
      <c r="N103" s="33" t="s">
        <v>31</v>
      </c>
      <c r="O103" s="25" t="s">
        <v>32</v>
      </c>
      <c r="P103" s="204" t="s">
        <v>34</v>
      </c>
      <c r="Q103" s="213"/>
      <c r="R103" s="213"/>
      <c r="S103" s="205"/>
      <c r="T103" s="237" t="s">
        <v>34</v>
      </c>
      <c r="U103" s="211"/>
      <c r="V103" s="211"/>
      <c r="W103" s="212"/>
      <c r="X103" s="233" t="s">
        <v>213</v>
      </c>
      <c r="Y103" s="234"/>
      <c r="Z103" s="235"/>
      <c r="AA103" s="204" t="s">
        <v>31</v>
      </c>
      <c r="AB103" s="213"/>
      <c r="AC103" s="213"/>
      <c r="AD103" s="213"/>
      <c r="AE103" s="213"/>
      <c r="AF103" s="213"/>
      <c r="AG103" s="213"/>
      <c r="AH103" s="205"/>
      <c r="AI103" s="229" t="s">
        <v>31</v>
      </c>
      <c r="AJ103" s="230"/>
      <c r="AK103" s="230"/>
      <c r="AL103" s="230"/>
      <c r="AM103" s="230"/>
      <c r="AN103" s="230"/>
      <c r="AO103" s="230"/>
      <c r="AP103" s="230"/>
      <c r="AQ103" s="231"/>
      <c r="AR103" s="25" t="s">
        <v>31</v>
      </c>
      <c r="AS103" s="25" t="s">
        <v>31</v>
      </c>
      <c r="AT103" s="25" t="s">
        <v>31</v>
      </c>
      <c r="AU103" s="204" t="s">
        <v>31</v>
      </c>
      <c r="AV103" s="213"/>
      <c r="AW103" s="213"/>
      <c r="AX103" s="205"/>
      <c r="AY103" s="204" t="s">
        <v>31</v>
      </c>
      <c r="AZ103" s="213"/>
      <c r="BA103" s="213"/>
      <c r="BB103" s="205"/>
      <c r="BC103" s="232"/>
      <c r="BD103" s="227"/>
      <c r="BE103" s="227"/>
      <c r="BF103" s="227"/>
      <c r="BG103" s="227"/>
      <c r="BH103" s="227"/>
      <c r="BI103" s="227"/>
      <c r="BJ103" s="228"/>
      <c r="BK103" s="21"/>
    </row>
    <row r="104" spans="1:63" x14ac:dyDescent="0.25">
      <c r="A104" s="20"/>
      <c r="B104" s="204">
        <f t="shared" si="1"/>
        <v>24</v>
      </c>
      <c r="C104" s="205"/>
      <c r="D104" s="206" t="s">
        <v>206</v>
      </c>
      <c r="E104" s="207"/>
      <c r="F104" s="207"/>
      <c r="G104" s="207"/>
      <c r="H104" s="207"/>
      <c r="I104" s="207"/>
      <c r="J104" s="208"/>
      <c r="K104" s="163" t="s">
        <v>30</v>
      </c>
      <c r="L104" s="164"/>
      <c r="M104" s="165"/>
      <c r="N104" s="33" t="s">
        <v>35</v>
      </c>
      <c r="O104" s="25" t="s">
        <v>31</v>
      </c>
      <c r="P104" s="237" t="s">
        <v>222</v>
      </c>
      <c r="Q104" s="211"/>
      <c r="R104" s="211"/>
      <c r="S104" s="212"/>
      <c r="T104" s="359" t="s">
        <v>228</v>
      </c>
      <c r="U104" s="250"/>
      <c r="V104" s="250"/>
      <c r="W104" s="251"/>
      <c r="X104" s="233"/>
      <c r="Y104" s="234"/>
      <c r="Z104" s="235"/>
      <c r="AA104" s="204" t="s">
        <v>31</v>
      </c>
      <c r="AB104" s="213"/>
      <c r="AC104" s="213"/>
      <c r="AD104" s="213"/>
      <c r="AE104" s="213"/>
      <c r="AF104" s="213"/>
      <c r="AG104" s="213"/>
      <c r="AH104" s="205"/>
      <c r="AI104" s="229" t="s">
        <v>31</v>
      </c>
      <c r="AJ104" s="230"/>
      <c r="AK104" s="230"/>
      <c r="AL104" s="230"/>
      <c r="AM104" s="230"/>
      <c r="AN104" s="230"/>
      <c r="AO104" s="230"/>
      <c r="AP104" s="230"/>
      <c r="AQ104" s="231"/>
      <c r="AR104" s="25" t="s">
        <v>31</v>
      </c>
      <c r="AS104" s="25" t="s">
        <v>31</v>
      </c>
      <c r="AT104" s="25" t="s">
        <v>31</v>
      </c>
      <c r="AU104" s="204" t="s">
        <v>31</v>
      </c>
      <c r="AV104" s="213"/>
      <c r="AW104" s="213"/>
      <c r="AX104" s="205"/>
      <c r="AY104" s="204" t="s">
        <v>31</v>
      </c>
      <c r="AZ104" s="213"/>
      <c r="BA104" s="213"/>
      <c r="BB104" s="205"/>
      <c r="BC104" s="226" t="s">
        <v>230</v>
      </c>
      <c r="BD104" s="227"/>
      <c r="BE104" s="227"/>
      <c r="BF104" s="227"/>
      <c r="BG104" s="227"/>
      <c r="BH104" s="227"/>
      <c r="BI104" s="227"/>
      <c r="BJ104" s="228"/>
      <c r="BK104" s="21"/>
    </row>
    <row r="105" spans="1:63" x14ac:dyDescent="0.25">
      <c r="A105" s="20"/>
      <c r="B105" s="204">
        <f t="shared" si="1"/>
        <v>25</v>
      </c>
      <c r="C105" s="205"/>
      <c r="D105" s="311" t="s">
        <v>209</v>
      </c>
      <c r="E105" s="312"/>
      <c r="F105" s="312"/>
      <c r="G105" s="312"/>
      <c r="H105" s="312"/>
      <c r="I105" s="312"/>
      <c r="J105" s="313"/>
      <c r="K105" s="163" t="s">
        <v>30</v>
      </c>
      <c r="L105" s="164"/>
      <c r="M105" s="165"/>
      <c r="N105" s="33" t="s">
        <v>31</v>
      </c>
      <c r="O105" s="25" t="s">
        <v>32</v>
      </c>
      <c r="P105" s="204" t="s">
        <v>34</v>
      </c>
      <c r="Q105" s="213"/>
      <c r="R105" s="213"/>
      <c r="S105" s="205"/>
      <c r="T105" s="237" t="s">
        <v>34</v>
      </c>
      <c r="U105" s="211"/>
      <c r="V105" s="211"/>
      <c r="W105" s="212"/>
      <c r="X105" s="233" t="s">
        <v>211</v>
      </c>
      <c r="Y105" s="234"/>
      <c r="Z105" s="235"/>
      <c r="AA105" s="204" t="s">
        <v>31</v>
      </c>
      <c r="AB105" s="213"/>
      <c r="AC105" s="213"/>
      <c r="AD105" s="213"/>
      <c r="AE105" s="213"/>
      <c r="AF105" s="213"/>
      <c r="AG105" s="213"/>
      <c r="AH105" s="205"/>
      <c r="AI105" s="229" t="s">
        <v>31</v>
      </c>
      <c r="AJ105" s="230"/>
      <c r="AK105" s="230"/>
      <c r="AL105" s="230"/>
      <c r="AM105" s="230"/>
      <c r="AN105" s="230"/>
      <c r="AO105" s="230"/>
      <c r="AP105" s="230"/>
      <c r="AQ105" s="231"/>
      <c r="AR105" s="25" t="s">
        <v>31</v>
      </c>
      <c r="AS105" s="25" t="s">
        <v>31</v>
      </c>
      <c r="AT105" s="25" t="s">
        <v>31</v>
      </c>
      <c r="AU105" s="204" t="s">
        <v>31</v>
      </c>
      <c r="AV105" s="213"/>
      <c r="AW105" s="213"/>
      <c r="AX105" s="205"/>
      <c r="AY105" s="204" t="s">
        <v>31</v>
      </c>
      <c r="AZ105" s="213"/>
      <c r="BA105" s="213"/>
      <c r="BB105" s="205"/>
      <c r="BC105" s="232"/>
      <c r="BD105" s="227"/>
      <c r="BE105" s="227"/>
      <c r="BF105" s="227"/>
      <c r="BG105" s="227"/>
      <c r="BH105" s="227"/>
      <c r="BI105" s="227"/>
      <c r="BJ105" s="228"/>
      <c r="BK105" s="21"/>
    </row>
    <row r="106" spans="1:63" ht="218.25" customHeight="1" x14ac:dyDescent="0.25">
      <c r="A106" s="20"/>
      <c r="B106" s="275">
        <f t="shared" si="1"/>
        <v>26</v>
      </c>
      <c r="C106" s="276"/>
      <c r="D106" s="360" t="s">
        <v>210</v>
      </c>
      <c r="E106" s="361"/>
      <c r="F106" s="361"/>
      <c r="G106" s="361"/>
      <c r="H106" s="361"/>
      <c r="I106" s="361"/>
      <c r="J106" s="362"/>
      <c r="K106" s="363" t="s">
        <v>30</v>
      </c>
      <c r="L106" s="277"/>
      <c r="M106" s="278"/>
      <c r="N106" s="34" t="s">
        <v>35</v>
      </c>
      <c r="O106" s="29" t="s">
        <v>31</v>
      </c>
      <c r="P106" s="282" t="s">
        <v>222</v>
      </c>
      <c r="Q106" s="283"/>
      <c r="R106" s="283"/>
      <c r="S106" s="284"/>
      <c r="T106" s="364" t="s">
        <v>229</v>
      </c>
      <c r="U106" s="365"/>
      <c r="V106" s="365"/>
      <c r="W106" s="366"/>
      <c r="X106" s="367"/>
      <c r="Y106" s="368"/>
      <c r="Z106" s="369"/>
      <c r="AA106" s="275" t="s">
        <v>31</v>
      </c>
      <c r="AB106" s="279"/>
      <c r="AC106" s="279"/>
      <c r="AD106" s="279"/>
      <c r="AE106" s="279"/>
      <c r="AF106" s="279"/>
      <c r="AG106" s="279"/>
      <c r="AH106" s="276"/>
      <c r="AI106" s="370" t="s">
        <v>31</v>
      </c>
      <c r="AJ106" s="280"/>
      <c r="AK106" s="280"/>
      <c r="AL106" s="280"/>
      <c r="AM106" s="280"/>
      <c r="AN106" s="280"/>
      <c r="AO106" s="280"/>
      <c r="AP106" s="280"/>
      <c r="AQ106" s="281"/>
      <c r="AR106" s="29" t="s">
        <v>31</v>
      </c>
      <c r="AS106" s="29" t="s">
        <v>31</v>
      </c>
      <c r="AT106" s="29" t="s">
        <v>31</v>
      </c>
      <c r="AU106" s="275" t="s">
        <v>31</v>
      </c>
      <c r="AV106" s="279"/>
      <c r="AW106" s="279"/>
      <c r="AX106" s="276"/>
      <c r="AY106" s="275" t="s">
        <v>31</v>
      </c>
      <c r="AZ106" s="279"/>
      <c r="BA106" s="279"/>
      <c r="BB106" s="276"/>
      <c r="BC106" s="371" t="s">
        <v>232</v>
      </c>
      <c r="BD106" s="286"/>
      <c r="BE106" s="286"/>
      <c r="BF106" s="286"/>
      <c r="BG106" s="286"/>
      <c r="BH106" s="286"/>
      <c r="BI106" s="286"/>
      <c r="BJ106" s="287"/>
      <c r="BK106" s="21"/>
    </row>
  </sheetData>
  <mergeCells count="357">
    <mergeCell ref="AU54:AX54"/>
    <mergeCell ref="AY54:BB54"/>
    <mergeCell ref="BC54:BJ54"/>
    <mergeCell ref="D102:J102"/>
    <mergeCell ref="K54:M54"/>
    <mergeCell ref="P54:S54"/>
    <mergeCell ref="T54:W54"/>
    <mergeCell ref="X54:Z54"/>
    <mergeCell ref="AA54:AH54"/>
    <mergeCell ref="AI54:AQ54"/>
    <mergeCell ref="AT91:AT92"/>
    <mergeCell ref="AU91:BB91"/>
    <mergeCell ref="P92:S92"/>
    <mergeCell ref="T92:W92"/>
    <mergeCell ref="AU92:AX92"/>
    <mergeCell ref="AY92:BB92"/>
    <mergeCell ref="P91:W91"/>
    <mergeCell ref="X91:Z92"/>
    <mergeCell ref="AA91:AH92"/>
    <mergeCell ref="AI91:AQ92"/>
    <mergeCell ref="AR91:AR92"/>
    <mergeCell ref="AS91:AS92"/>
    <mergeCell ref="X102:Z102"/>
    <mergeCell ref="AA102:AH102"/>
    <mergeCell ref="D39:J41"/>
    <mergeCell ref="B39:C41"/>
    <mergeCell ref="B90:C92"/>
    <mergeCell ref="D90:J92"/>
    <mergeCell ref="K90:M92"/>
    <mergeCell ref="N90:N92"/>
    <mergeCell ref="B54:C54"/>
    <mergeCell ref="D54:J54"/>
    <mergeCell ref="B52:C52"/>
    <mergeCell ref="D52:J52"/>
    <mergeCell ref="K52:M52"/>
    <mergeCell ref="B49:C49"/>
    <mergeCell ref="D49:J49"/>
    <mergeCell ref="K49:M49"/>
    <mergeCell ref="B46:C46"/>
    <mergeCell ref="D46:J46"/>
    <mergeCell ref="K46:M46"/>
    <mergeCell ref="B43:C43"/>
    <mergeCell ref="D43:J43"/>
    <mergeCell ref="K43:M43"/>
    <mergeCell ref="B42:C42"/>
    <mergeCell ref="D42:J42"/>
    <mergeCell ref="K42:M42"/>
    <mergeCell ref="O90:O92"/>
    <mergeCell ref="P90:AQ90"/>
    <mergeCell ref="AR90:BB90"/>
    <mergeCell ref="BC90:BJ92"/>
    <mergeCell ref="X106:Z106"/>
    <mergeCell ref="AA106:AH106"/>
    <mergeCell ref="AI106:AQ106"/>
    <mergeCell ref="AU106:AX106"/>
    <mergeCell ref="AY106:BB106"/>
    <mergeCell ref="BC106:BJ106"/>
    <mergeCell ref="AA105:AH105"/>
    <mergeCell ref="AI105:AQ105"/>
    <mergeCell ref="AU105:AX105"/>
    <mergeCell ref="AY105:BB105"/>
    <mergeCell ref="BC105:BJ105"/>
    <mergeCell ref="X105:Z105"/>
    <mergeCell ref="X104:Z104"/>
    <mergeCell ref="AA104:AH104"/>
    <mergeCell ref="AI104:AQ104"/>
    <mergeCell ref="AU104:AX104"/>
    <mergeCell ref="AY104:BB104"/>
    <mergeCell ref="BC104:BJ104"/>
    <mergeCell ref="AA103:AH103"/>
    <mergeCell ref="AI103:AQ103"/>
    <mergeCell ref="B106:C106"/>
    <mergeCell ref="D106:J106"/>
    <mergeCell ref="K106:M106"/>
    <mergeCell ref="P106:S106"/>
    <mergeCell ref="T106:W106"/>
    <mergeCell ref="B105:C105"/>
    <mergeCell ref="D105:J105"/>
    <mergeCell ref="K105:M105"/>
    <mergeCell ref="P105:S105"/>
    <mergeCell ref="T105:W105"/>
    <mergeCell ref="AU103:AX103"/>
    <mergeCell ref="AY103:BB103"/>
    <mergeCell ref="BC103:BJ103"/>
    <mergeCell ref="B104:C104"/>
    <mergeCell ref="K104:M104"/>
    <mergeCell ref="P104:S104"/>
    <mergeCell ref="T104:W104"/>
    <mergeCell ref="B103:C103"/>
    <mergeCell ref="D103:J103"/>
    <mergeCell ref="K103:M103"/>
    <mergeCell ref="P103:S103"/>
    <mergeCell ref="T103:W103"/>
    <mergeCell ref="X103:Z103"/>
    <mergeCell ref="AI102:AQ102"/>
    <mergeCell ref="AU102:AX102"/>
    <mergeCell ref="AY102:BB102"/>
    <mergeCell ref="BC102:BJ102"/>
    <mergeCell ref="AA101:AH101"/>
    <mergeCell ref="AI101:AQ101"/>
    <mergeCell ref="AU101:AX101"/>
    <mergeCell ref="AY101:BB101"/>
    <mergeCell ref="BC101:BJ101"/>
    <mergeCell ref="B102:C102"/>
    <mergeCell ref="D104:J104"/>
    <mergeCell ref="K102:M102"/>
    <mergeCell ref="P102:S102"/>
    <mergeCell ref="T102:W102"/>
    <mergeCell ref="B101:C101"/>
    <mergeCell ref="D101:J101"/>
    <mergeCell ref="K101:M101"/>
    <mergeCell ref="P101:S101"/>
    <mergeCell ref="T101:W101"/>
    <mergeCell ref="X101:Z101"/>
    <mergeCell ref="X100:Z100"/>
    <mergeCell ref="AA100:AH100"/>
    <mergeCell ref="AI100:AQ100"/>
    <mergeCell ref="AU100:AX100"/>
    <mergeCell ref="AY100:BB100"/>
    <mergeCell ref="BC100:BJ100"/>
    <mergeCell ref="AA99:AH99"/>
    <mergeCell ref="AI99:AQ99"/>
    <mergeCell ref="AU99:AX99"/>
    <mergeCell ref="AY99:BB99"/>
    <mergeCell ref="BC99:BJ99"/>
    <mergeCell ref="X99:Z99"/>
    <mergeCell ref="B100:C100"/>
    <mergeCell ref="D100:J100"/>
    <mergeCell ref="K100:M100"/>
    <mergeCell ref="P100:S100"/>
    <mergeCell ref="T100:W100"/>
    <mergeCell ref="B99:C99"/>
    <mergeCell ref="D99:J99"/>
    <mergeCell ref="K99:M99"/>
    <mergeCell ref="P99:S99"/>
    <mergeCell ref="T99:W99"/>
    <mergeCell ref="X98:Z98"/>
    <mergeCell ref="AA98:AH98"/>
    <mergeCell ref="AI98:AQ98"/>
    <mergeCell ref="AU98:AX98"/>
    <mergeCell ref="AY98:BB98"/>
    <mergeCell ref="BC98:BJ98"/>
    <mergeCell ref="AA97:AH97"/>
    <mergeCell ref="AI97:AQ97"/>
    <mergeCell ref="AU97:AX97"/>
    <mergeCell ref="AY97:BB97"/>
    <mergeCell ref="BC97:BJ97"/>
    <mergeCell ref="X97:Z97"/>
    <mergeCell ref="B98:C98"/>
    <mergeCell ref="D98:J98"/>
    <mergeCell ref="K98:M98"/>
    <mergeCell ref="P98:S98"/>
    <mergeCell ref="T98:W98"/>
    <mergeCell ref="B97:C97"/>
    <mergeCell ref="D97:J97"/>
    <mergeCell ref="K97:M97"/>
    <mergeCell ref="P97:S97"/>
    <mergeCell ref="T97:W97"/>
    <mergeCell ref="X94:Z94"/>
    <mergeCell ref="AA94:AH94"/>
    <mergeCell ref="AI94:AQ94"/>
    <mergeCell ref="AU94:AX94"/>
    <mergeCell ref="AY94:BB94"/>
    <mergeCell ref="BC94:BJ94"/>
    <mergeCell ref="AA93:AH93"/>
    <mergeCell ref="AI93:AQ93"/>
    <mergeCell ref="AU93:AX93"/>
    <mergeCell ref="AY93:BB93"/>
    <mergeCell ref="BC93:BJ93"/>
    <mergeCell ref="X93:Z93"/>
    <mergeCell ref="B94:C94"/>
    <mergeCell ref="D94:J94"/>
    <mergeCell ref="K94:M94"/>
    <mergeCell ref="P94:S94"/>
    <mergeCell ref="T94:W94"/>
    <mergeCell ref="B93:C93"/>
    <mergeCell ref="D93:J93"/>
    <mergeCell ref="K93:M93"/>
    <mergeCell ref="P93:S93"/>
    <mergeCell ref="T93:W93"/>
    <mergeCell ref="AA53:AH53"/>
    <mergeCell ref="AI53:AQ53"/>
    <mergeCell ref="AU53:AX53"/>
    <mergeCell ref="AY53:BB53"/>
    <mergeCell ref="BC53:BJ53"/>
    <mergeCell ref="B53:C53"/>
    <mergeCell ref="D53:J53"/>
    <mergeCell ref="K53:M53"/>
    <mergeCell ref="P53:S53"/>
    <mergeCell ref="T53:W53"/>
    <mergeCell ref="X53:Z53"/>
    <mergeCell ref="AA52:AH52"/>
    <mergeCell ref="AI52:AQ52"/>
    <mergeCell ref="AU52:AX52"/>
    <mergeCell ref="AY52:BB52"/>
    <mergeCell ref="BC52:BJ52"/>
    <mergeCell ref="AA51:AH51"/>
    <mergeCell ref="AI51:AQ51"/>
    <mergeCell ref="AU51:AX51"/>
    <mergeCell ref="AY51:BB51"/>
    <mergeCell ref="BC51:BJ51"/>
    <mergeCell ref="P52:S52"/>
    <mergeCell ref="T52:W52"/>
    <mergeCell ref="B51:C51"/>
    <mergeCell ref="D51:J51"/>
    <mergeCell ref="K51:M51"/>
    <mergeCell ref="P51:S51"/>
    <mergeCell ref="T51:W51"/>
    <mergeCell ref="X51:Z51"/>
    <mergeCell ref="X50:Z50"/>
    <mergeCell ref="B50:C50"/>
    <mergeCell ref="D50:J50"/>
    <mergeCell ref="K50:M50"/>
    <mergeCell ref="P50:S50"/>
    <mergeCell ref="T50:W50"/>
    <mergeCell ref="X52:Z52"/>
    <mergeCell ref="AA50:AH50"/>
    <mergeCell ref="AI50:AQ50"/>
    <mergeCell ref="AU50:AX50"/>
    <mergeCell ref="AY50:BB50"/>
    <mergeCell ref="BC50:BJ50"/>
    <mergeCell ref="AA49:AH49"/>
    <mergeCell ref="AI49:AQ49"/>
    <mergeCell ref="AU49:AX49"/>
    <mergeCell ref="AY49:BB49"/>
    <mergeCell ref="BC49:BJ49"/>
    <mergeCell ref="P49:S49"/>
    <mergeCell ref="T49:W49"/>
    <mergeCell ref="X49:Z49"/>
    <mergeCell ref="X48:Z48"/>
    <mergeCell ref="AA48:AH48"/>
    <mergeCell ref="AI48:AQ48"/>
    <mergeCell ref="AU48:AX48"/>
    <mergeCell ref="AY48:BB48"/>
    <mergeCell ref="BC48:BJ48"/>
    <mergeCell ref="AA47:AH47"/>
    <mergeCell ref="AI47:AQ47"/>
    <mergeCell ref="AU47:AX47"/>
    <mergeCell ref="AY47:BB47"/>
    <mergeCell ref="BC47:BJ47"/>
    <mergeCell ref="B48:C48"/>
    <mergeCell ref="D48:J48"/>
    <mergeCell ref="K48:M48"/>
    <mergeCell ref="P48:S48"/>
    <mergeCell ref="T48:W48"/>
    <mergeCell ref="B47:C47"/>
    <mergeCell ref="D47:J47"/>
    <mergeCell ref="K47:M47"/>
    <mergeCell ref="P47:S47"/>
    <mergeCell ref="T47:W47"/>
    <mergeCell ref="X47:Z47"/>
    <mergeCell ref="AA46:AH46"/>
    <mergeCell ref="AI46:AQ46"/>
    <mergeCell ref="AU46:AX46"/>
    <mergeCell ref="AY46:BB46"/>
    <mergeCell ref="BC46:BJ46"/>
    <mergeCell ref="AA45:AH45"/>
    <mergeCell ref="AI45:AQ45"/>
    <mergeCell ref="AU45:AX45"/>
    <mergeCell ref="AY45:BB45"/>
    <mergeCell ref="BC45:BJ45"/>
    <mergeCell ref="P46:S46"/>
    <mergeCell ref="T46:W46"/>
    <mergeCell ref="B45:C45"/>
    <mergeCell ref="D45:J45"/>
    <mergeCell ref="K45:M45"/>
    <mergeCell ref="P45:S45"/>
    <mergeCell ref="T45:W45"/>
    <mergeCell ref="X45:Z45"/>
    <mergeCell ref="X44:Z44"/>
    <mergeCell ref="B44:C44"/>
    <mergeCell ref="D44:J44"/>
    <mergeCell ref="K44:M44"/>
    <mergeCell ref="P44:S44"/>
    <mergeCell ref="T44:W44"/>
    <mergeCell ref="X46:Z46"/>
    <mergeCell ref="BC42:BJ42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P42:S42"/>
    <mergeCell ref="T42:W42"/>
    <mergeCell ref="P43:S43"/>
    <mergeCell ref="T43:W43"/>
    <mergeCell ref="X43:Z43"/>
    <mergeCell ref="X42:Z42"/>
    <mergeCell ref="P39:AQ39"/>
    <mergeCell ref="AR39:BB39"/>
    <mergeCell ref="AA42:AH42"/>
    <mergeCell ref="AI42:AQ42"/>
    <mergeCell ref="AU42:AX42"/>
    <mergeCell ref="AY42:BB42"/>
    <mergeCell ref="O39:O41"/>
    <mergeCell ref="N39:N41"/>
    <mergeCell ref="K39:M41"/>
    <mergeCell ref="BC39:BJ41"/>
    <mergeCell ref="P40:W40"/>
    <mergeCell ref="X40:Z41"/>
    <mergeCell ref="AA40:AH41"/>
    <mergeCell ref="AI40:AQ41"/>
    <mergeCell ref="AR40:AR41"/>
    <mergeCell ref="AS40:AS41"/>
    <mergeCell ref="AT40:AT41"/>
    <mergeCell ref="AU40:BB40"/>
    <mergeCell ref="P41:S41"/>
    <mergeCell ref="T41:W41"/>
    <mergeCell ref="AU41:AX41"/>
    <mergeCell ref="AY41:BB4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Y95:BB95"/>
    <mergeCell ref="BC95:BJ95"/>
    <mergeCell ref="B96:C96"/>
    <mergeCell ref="D96:J96"/>
    <mergeCell ref="K96:M96"/>
    <mergeCell ref="P96:S96"/>
    <mergeCell ref="T96:W96"/>
    <mergeCell ref="X96:Z96"/>
    <mergeCell ref="AA96:AH96"/>
    <mergeCell ref="AI96:AQ96"/>
    <mergeCell ref="AU96:AX96"/>
    <mergeCell ref="AY96:BB96"/>
    <mergeCell ref="BC96:BJ96"/>
    <mergeCell ref="B95:C95"/>
    <mergeCell ref="D95:J95"/>
    <mergeCell ref="K95:M95"/>
    <mergeCell ref="P95:S95"/>
    <mergeCell ref="T95:W95"/>
    <mergeCell ref="X95:Z95"/>
    <mergeCell ref="AA95:AH95"/>
    <mergeCell ref="AI95:AQ95"/>
    <mergeCell ref="AU95:AX95"/>
  </mergeCells>
  <dataValidations count="1">
    <dataValidation type="list" allowBlank="1" showInputMessage="1" showErrorMessage="1" sqref="O42:O54 AR42:AT54 AR93:AT106 O93:O106" xr:uid="{00000000-0002-0000-0300-000000000000}">
      <formula1>"－,●"</formula1>
    </dataValidation>
  </dataValidations>
  <pageMargins left="0.7" right="0.7" top="0.75" bottom="0.75" header="0.3" footer="0.3"/>
  <pageSetup scale="3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6"/>
  </cols>
  <sheetData>
    <row r="1" spans="1:63" ht="24.95" customHeight="1" x14ac:dyDescent="0.2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3"/>
      <c r="K1" s="121" t="s">
        <v>2</v>
      </c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3"/>
      <c r="W1" s="124" t="str">
        <f>IF(表紙!W1="","",表紙!W1)</f>
        <v>詳細設計書</v>
      </c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6"/>
      <c r="AP1" s="42" t="s">
        <v>3</v>
      </c>
      <c r="AQ1" s="43"/>
      <c r="AR1" s="43"/>
      <c r="AS1" s="44"/>
      <c r="AT1" s="42" t="s">
        <v>4</v>
      </c>
      <c r="AU1" s="43"/>
      <c r="AV1" s="43"/>
      <c r="AW1" s="43"/>
      <c r="AX1" s="44"/>
      <c r="AY1" s="42" t="s">
        <v>5</v>
      </c>
      <c r="AZ1" s="43"/>
      <c r="BA1" s="43"/>
      <c r="BB1" s="44"/>
      <c r="BC1" s="42" t="s">
        <v>6</v>
      </c>
      <c r="BD1" s="43"/>
      <c r="BE1" s="43"/>
      <c r="BF1" s="43"/>
      <c r="BG1" s="44"/>
      <c r="BH1" s="42" t="s">
        <v>7</v>
      </c>
      <c r="BI1" s="43"/>
      <c r="BJ1" s="43"/>
      <c r="BK1" s="44"/>
    </row>
    <row r="2" spans="1:63" ht="15" customHeight="1" x14ac:dyDescent="0.25">
      <c r="A2" s="115" t="str">
        <f>IF(表紙!A2="","",表紙!A2)</f>
        <v>POSサーバー</v>
      </c>
      <c r="B2" s="116"/>
      <c r="C2" s="116"/>
      <c r="D2" s="116"/>
      <c r="E2" s="116"/>
      <c r="F2" s="116"/>
      <c r="G2" s="116"/>
      <c r="H2" s="116"/>
      <c r="I2" s="116"/>
      <c r="J2" s="117"/>
      <c r="K2" s="115" t="str">
        <f>IF(表紙!K2="","",表紙!K2)</f>
        <v>POSサーバ</v>
      </c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7"/>
      <c r="W2" s="127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9"/>
      <c r="AP2" s="45" t="str">
        <f>IF(表紙!AP2="","",表紙!AP2)</f>
        <v>DuNT</v>
      </c>
      <c r="AQ2" s="46"/>
      <c r="AR2" s="46"/>
      <c r="AS2" s="47"/>
      <c r="AT2" s="73">
        <f>IF(表紙!AT2="","",表紙!AT2)</f>
        <v>45581</v>
      </c>
      <c r="AU2" s="74"/>
      <c r="AV2" s="74"/>
      <c r="AW2" s="74"/>
      <c r="AX2" s="75"/>
      <c r="AY2" s="45" t="str">
        <f>IF(表紙!AY2="","",表紙!AY2)</f>
        <v>DuNT</v>
      </c>
      <c r="AZ2" s="46"/>
      <c r="BA2" s="46"/>
      <c r="BB2" s="47"/>
      <c r="BC2" s="73">
        <f>IF(表紙!BC2="","",表紙!BC2)</f>
        <v>45649</v>
      </c>
      <c r="BD2" s="74"/>
      <c r="BE2" s="74"/>
      <c r="BF2" s="74"/>
      <c r="BG2" s="75"/>
      <c r="BH2" s="45">
        <f>IF(表紙!BH2="","",表紙!BH2)</f>
        <v>0.13</v>
      </c>
      <c r="BI2" s="46"/>
      <c r="BJ2" s="46"/>
      <c r="BK2" s="47"/>
    </row>
    <row r="3" spans="1:63" ht="15" customHeight="1" x14ac:dyDescent="0.25">
      <c r="A3" s="118"/>
      <c r="B3" s="119"/>
      <c r="C3" s="119"/>
      <c r="D3" s="119"/>
      <c r="E3" s="119"/>
      <c r="F3" s="119"/>
      <c r="G3" s="119"/>
      <c r="H3" s="119"/>
      <c r="I3" s="119"/>
      <c r="J3" s="120"/>
      <c r="K3" s="118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20"/>
      <c r="W3" s="130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2"/>
      <c r="AP3" s="48"/>
      <c r="AQ3" s="49"/>
      <c r="AR3" s="49"/>
      <c r="AS3" s="50"/>
      <c r="AT3" s="76"/>
      <c r="AU3" s="77"/>
      <c r="AV3" s="77"/>
      <c r="AW3" s="77"/>
      <c r="AX3" s="78"/>
      <c r="AY3" s="48"/>
      <c r="AZ3" s="49"/>
      <c r="BA3" s="49"/>
      <c r="BB3" s="50"/>
      <c r="BC3" s="76"/>
      <c r="BD3" s="77"/>
      <c r="BE3" s="77"/>
      <c r="BF3" s="77"/>
      <c r="BG3" s="78"/>
      <c r="BH3" s="48"/>
      <c r="BI3" s="49"/>
      <c r="BJ3" s="49"/>
      <c r="BK3" s="50"/>
    </row>
    <row r="4" spans="1:63" ht="24.95" customHeight="1" x14ac:dyDescent="0.25">
      <c r="A4" s="121" t="s">
        <v>1</v>
      </c>
      <c r="B4" s="122"/>
      <c r="C4" s="122"/>
      <c r="D4" s="122"/>
      <c r="E4" s="122"/>
      <c r="F4" s="122"/>
      <c r="G4" s="123"/>
      <c r="H4" s="133" t="str">
        <f>IF(表紙!H4="","",表紙!H4)</f>
        <v>05_ミックスマッチ設定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5"/>
      <c r="U4" s="121" t="s">
        <v>8</v>
      </c>
      <c r="V4" s="122"/>
      <c r="W4" s="122"/>
      <c r="X4" s="122"/>
      <c r="Y4" s="123"/>
      <c r="Z4" s="133" t="str">
        <f>IF(表紙!Z4="","",表紙!Z4)</f>
        <v>画面設計書</v>
      </c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5"/>
      <c r="AP4" s="136" t="str">
        <f ca="1">MID(CELL("filename",A1),FIND("]",CELL("filename",A1))+1,255)</f>
        <v>SCxxxx</v>
      </c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0"/>
      <c r="BK6" s="21"/>
    </row>
    <row r="7" spans="1:63" ht="15" customHeight="1" x14ac:dyDescent="0.25">
      <c r="A7" s="20"/>
      <c r="B7" s="23" t="s">
        <v>57</v>
      </c>
      <c r="C7" s="22"/>
      <c r="D7" s="22"/>
      <c r="E7" s="22"/>
      <c r="F7" s="22"/>
      <c r="G7" s="22"/>
      <c r="H7" s="22"/>
      <c r="I7" s="22"/>
      <c r="J7" s="22"/>
      <c r="AE7" s="23"/>
      <c r="BK7" s="21"/>
    </row>
    <row r="8" spans="1:63" ht="15" customHeight="1" x14ac:dyDescent="0.25">
      <c r="A8" s="20"/>
      <c r="BK8" s="21"/>
    </row>
    <row r="9" spans="1:63" ht="15" customHeight="1" x14ac:dyDescent="0.25">
      <c r="A9" s="20"/>
      <c r="BK9" s="21"/>
    </row>
    <row r="10" spans="1:63" ht="15" customHeight="1" x14ac:dyDescent="0.25">
      <c r="A10" s="20"/>
      <c r="BK10" s="21"/>
    </row>
    <row r="11" spans="1:63" ht="15" customHeight="1" x14ac:dyDescent="0.25">
      <c r="A11" s="20"/>
      <c r="BK11" s="21"/>
    </row>
    <row r="12" spans="1:63" ht="15" customHeight="1" x14ac:dyDescent="0.25">
      <c r="A12" s="20"/>
      <c r="BK12" s="21"/>
    </row>
    <row r="13" spans="1:63" ht="15" customHeight="1" x14ac:dyDescent="0.25">
      <c r="A13" s="20"/>
      <c r="BK13" s="21"/>
    </row>
    <row r="14" spans="1:63" ht="15" customHeight="1" x14ac:dyDescent="0.25">
      <c r="A14" s="20"/>
      <c r="BK14" s="21"/>
    </row>
    <row r="15" spans="1:63" ht="15" customHeight="1" x14ac:dyDescent="0.25">
      <c r="A15" s="20"/>
      <c r="BK15" s="21"/>
    </row>
    <row r="16" spans="1:63" ht="15" customHeight="1" x14ac:dyDescent="0.25">
      <c r="A16" s="20"/>
      <c r="BK16" s="21"/>
    </row>
    <row r="17" spans="1:63" ht="15" customHeight="1" x14ac:dyDescent="0.25">
      <c r="A17" s="20"/>
      <c r="BK17" s="21"/>
    </row>
    <row r="18" spans="1:63" ht="15" customHeight="1" x14ac:dyDescent="0.25">
      <c r="A18" s="20"/>
      <c r="BK18" s="21"/>
    </row>
    <row r="19" spans="1:63" ht="15" customHeight="1" x14ac:dyDescent="0.25">
      <c r="A19" s="20"/>
      <c r="BK19" s="21"/>
    </row>
    <row r="20" spans="1:63" ht="15" customHeight="1" x14ac:dyDescent="0.25">
      <c r="A20" s="20"/>
      <c r="BK20" s="21"/>
    </row>
    <row r="21" spans="1:63" ht="15" customHeight="1" x14ac:dyDescent="0.25">
      <c r="A21" s="20"/>
      <c r="BK21" s="21"/>
    </row>
    <row r="22" spans="1:63" ht="15" customHeight="1" x14ac:dyDescent="0.25">
      <c r="A22" s="20"/>
      <c r="BK22" s="21"/>
    </row>
    <row r="23" spans="1:63" ht="15" customHeight="1" x14ac:dyDescent="0.25">
      <c r="A23" s="20"/>
      <c r="BK23" s="21"/>
    </row>
    <row r="24" spans="1:63" ht="15" customHeight="1" x14ac:dyDescent="0.25">
      <c r="A24" s="20"/>
      <c r="BK24" s="21"/>
    </row>
    <row r="25" spans="1:63" ht="14.25" customHeight="1" x14ac:dyDescent="0.25">
      <c r="A25" s="20"/>
      <c r="BK25" s="21"/>
    </row>
    <row r="26" spans="1:63" ht="15" customHeight="1" x14ac:dyDescent="0.25">
      <c r="A26" s="20"/>
      <c r="BK26" s="21"/>
    </row>
    <row r="27" spans="1:63" ht="15" customHeight="1" x14ac:dyDescent="0.25">
      <c r="A27" s="20"/>
      <c r="BK27" s="21"/>
    </row>
    <row r="28" spans="1:63" x14ac:dyDescent="0.25">
      <c r="A28" s="20"/>
      <c r="BK28" s="21"/>
    </row>
    <row r="29" spans="1:63" x14ac:dyDescent="0.25">
      <c r="A29" s="20"/>
      <c r="BK29" s="21"/>
    </row>
    <row r="30" spans="1:63" x14ac:dyDescent="0.25">
      <c r="A30" s="20"/>
      <c r="BK30" s="21"/>
    </row>
    <row r="31" spans="1:63" x14ac:dyDescent="0.25">
      <c r="A31" s="20"/>
      <c r="BK31" s="21"/>
    </row>
    <row r="32" spans="1:63" x14ac:dyDescent="0.25">
      <c r="A32" s="20"/>
      <c r="BK32" s="21"/>
    </row>
    <row r="33" spans="1:63" x14ac:dyDescent="0.25">
      <c r="A33" s="20"/>
      <c r="BK33" s="21"/>
    </row>
    <row r="34" spans="1:63" x14ac:dyDescent="0.25">
      <c r="A34" s="20"/>
      <c r="BK34" s="21"/>
    </row>
    <row r="35" spans="1:63" ht="15" customHeight="1" x14ac:dyDescent="0.25">
      <c r="A35" s="20"/>
      <c r="B35" s="23" t="s">
        <v>15</v>
      </c>
      <c r="BK35" s="21"/>
    </row>
    <row r="36" spans="1:63" x14ac:dyDescent="0.25">
      <c r="A36" s="20"/>
      <c r="BK36" s="21"/>
    </row>
    <row r="37" spans="1:63" ht="15.75" customHeight="1" x14ac:dyDescent="0.25">
      <c r="A37" s="20"/>
      <c r="B37" s="137" t="s">
        <v>16</v>
      </c>
      <c r="C37" s="138"/>
      <c r="D37" s="143" t="s">
        <v>301</v>
      </c>
      <c r="E37" s="144"/>
      <c r="F37" s="144"/>
      <c r="G37" s="144"/>
      <c r="H37" s="144"/>
      <c r="I37" s="144"/>
      <c r="J37" s="138"/>
      <c r="K37" s="143" t="s">
        <v>18</v>
      </c>
      <c r="L37" s="144"/>
      <c r="M37" s="138"/>
      <c r="N37" s="147" t="s">
        <v>19</v>
      </c>
      <c r="O37" s="150" t="s">
        <v>58</v>
      </c>
      <c r="P37" s="168" t="s">
        <v>20</v>
      </c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70"/>
      <c r="AR37" s="153" t="s">
        <v>21</v>
      </c>
      <c r="AS37" s="154"/>
      <c r="AT37" s="154"/>
      <c r="AU37" s="154"/>
      <c r="AV37" s="154"/>
      <c r="AW37" s="154"/>
      <c r="AX37" s="154"/>
      <c r="AY37" s="154"/>
      <c r="AZ37" s="154"/>
      <c r="BA37" s="154"/>
      <c r="BB37" s="157"/>
      <c r="BC37" s="171" t="s">
        <v>22</v>
      </c>
      <c r="BD37" s="172"/>
      <c r="BE37" s="172"/>
      <c r="BF37" s="172"/>
      <c r="BG37" s="172"/>
      <c r="BH37" s="172"/>
      <c r="BI37" s="172"/>
      <c r="BJ37" s="173"/>
      <c r="BK37" s="21"/>
    </row>
    <row r="38" spans="1:63" ht="15.75" customHeight="1" x14ac:dyDescent="0.25">
      <c r="A38" s="20"/>
      <c r="B38" s="139"/>
      <c r="C38" s="140"/>
      <c r="D38" s="139"/>
      <c r="E38" s="145"/>
      <c r="F38" s="145"/>
      <c r="G38" s="145"/>
      <c r="H38" s="145"/>
      <c r="I38" s="145"/>
      <c r="J38" s="140"/>
      <c r="K38" s="139"/>
      <c r="L38" s="145"/>
      <c r="M38" s="140"/>
      <c r="N38" s="148"/>
      <c r="O38" s="151"/>
      <c r="P38" s="180" t="s">
        <v>49</v>
      </c>
      <c r="Q38" s="181"/>
      <c r="R38" s="181"/>
      <c r="S38" s="181"/>
      <c r="T38" s="181"/>
      <c r="U38" s="181"/>
      <c r="V38" s="181"/>
      <c r="W38" s="182"/>
      <c r="X38" s="183" t="s">
        <v>24</v>
      </c>
      <c r="Y38" s="184"/>
      <c r="Z38" s="185"/>
      <c r="AA38" s="183" t="s">
        <v>25</v>
      </c>
      <c r="AB38" s="184"/>
      <c r="AC38" s="184"/>
      <c r="AD38" s="184"/>
      <c r="AE38" s="184"/>
      <c r="AF38" s="184"/>
      <c r="AG38" s="184"/>
      <c r="AH38" s="185"/>
      <c r="AI38" s="183" t="s">
        <v>26</v>
      </c>
      <c r="AJ38" s="184"/>
      <c r="AK38" s="184"/>
      <c r="AL38" s="184"/>
      <c r="AM38" s="184"/>
      <c r="AN38" s="184"/>
      <c r="AO38" s="184"/>
      <c r="AP38" s="184"/>
      <c r="AQ38" s="185"/>
      <c r="AR38" s="189" t="s">
        <v>27</v>
      </c>
      <c r="AS38" s="191" t="s">
        <v>28</v>
      </c>
      <c r="AT38" s="193" t="s">
        <v>29</v>
      </c>
      <c r="AU38" s="153" t="s">
        <v>23</v>
      </c>
      <c r="AV38" s="154"/>
      <c r="AW38" s="154"/>
      <c r="AX38" s="154"/>
      <c r="AY38" s="154"/>
      <c r="AZ38" s="154"/>
      <c r="BA38" s="154"/>
      <c r="BB38" s="157"/>
      <c r="BC38" s="174"/>
      <c r="BD38" s="175"/>
      <c r="BE38" s="175"/>
      <c r="BF38" s="175"/>
      <c r="BG38" s="175"/>
      <c r="BH38" s="175"/>
      <c r="BI38" s="175"/>
      <c r="BJ38" s="176"/>
      <c r="BK38" s="21"/>
    </row>
    <row r="39" spans="1:63" x14ac:dyDescent="0.25">
      <c r="A39" s="20"/>
      <c r="B39" s="141"/>
      <c r="C39" s="142"/>
      <c r="D39" s="141"/>
      <c r="E39" s="146"/>
      <c r="F39" s="146"/>
      <c r="G39" s="146"/>
      <c r="H39" s="146"/>
      <c r="I39" s="146"/>
      <c r="J39" s="142"/>
      <c r="K39" s="141"/>
      <c r="L39" s="146"/>
      <c r="M39" s="142"/>
      <c r="N39" s="149"/>
      <c r="O39" s="152"/>
      <c r="P39" s="168" t="s">
        <v>304</v>
      </c>
      <c r="Q39" s="169"/>
      <c r="R39" s="169"/>
      <c r="S39" s="170"/>
      <c r="T39" s="168" t="s">
        <v>45</v>
      </c>
      <c r="U39" s="169"/>
      <c r="V39" s="169"/>
      <c r="W39" s="170"/>
      <c r="X39" s="186"/>
      <c r="Y39" s="187"/>
      <c r="Z39" s="188"/>
      <c r="AA39" s="186"/>
      <c r="AB39" s="187"/>
      <c r="AC39" s="187"/>
      <c r="AD39" s="187"/>
      <c r="AE39" s="187"/>
      <c r="AF39" s="187"/>
      <c r="AG39" s="187"/>
      <c r="AH39" s="188"/>
      <c r="AI39" s="186"/>
      <c r="AJ39" s="187"/>
      <c r="AK39" s="187"/>
      <c r="AL39" s="187"/>
      <c r="AM39" s="187"/>
      <c r="AN39" s="187"/>
      <c r="AO39" s="187"/>
      <c r="AP39" s="187"/>
      <c r="AQ39" s="188"/>
      <c r="AR39" s="190"/>
      <c r="AS39" s="192"/>
      <c r="AT39" s="194"/>
      <c r="AU39" s="153" t="s">
        <v>56</v>
      </c>
      <c r="AV39" s="154"/>
      <c r="AW39" s="154"/>
      <c r="AX39" s="155"/>
      <c r="AY39" s="156" t="s">
        <v>17</v>
      </c>
      <c r="AZ39" s="154"/>
      <c r="BA39" s="154"/>
      <c r="BB39" s="157"/>
      <c r="BC39" s="177"/>
      <c r="BD39" s="178"/>
      <c r="BE39" s="178"/>
      <c r="BF39" s="178"/>
      <c r="BG39" s="178"/>
      <c r="BH39" s="178"/>
      <c r="BI39" s="178"/>
      <c r="BJ39" s="179"/>
      <c r="BK39" s="21"/>
    </row>
    <row r="40" spans="1:63" x14ac:dyDescent="0.25">
      <c r="A40" s="20"/>
      <c r="B40" s="158">
        <v>1</v>
      </c>
      <c r="C40" s="159"/>
      <c r="D40" s="160"/>
      <c r="E40" s="161"/>
      <c r="F40" s="161"/>
      <c r="G40" s="161"/>
      <c r="H40" s="161"/>
      <c r="I40" s="161"/>
      <c r="J40" s="162"/>
      <c r="K40" s="163" t="s">
        <v>302</v>
      </c>
      <c r="L40" s="164"/>
      <c r="M40" s="165"/>
      <c r="N40" s="24" t="s">
        <v>31</v>
      </c>
      <c r="O40" s="25" t="s">
        <v>32</v>
      </c>
      <c r="P40" s="166" t="s">
        <v>31</v>
      </c>
      <c r="Q40" s="167"/>
      <c r="R40" s="167"/>
      <c r="S40" s="159"/>
      <c r="T40" s="166" t="s">
        <v>31</v>
      </c>
      <c r="U40" s="167"/>
      <c r="V40" s="167"/>
      <c r="W40" s="159"/>
      <c r="X40" s="195" t="s">
        <v>54</v>
      </c>
      <c r="Y40" s="196"/>
      <c r="Z40" s="197"/>
      <c r="AA40" s="158" t="s">
        <v>305</v>
      </c>
      <c r="AB40" s="167"/>
      <c r="AC40" s="167"/>
      <c r="AD40" s="167"/>
      <c r="AE40" s="167"/>
      <c r="AF40" s="167"/>
      <c r="AG40" s="167"/>
      <c r="AH40" s="159"/>
      <c r="AI40" s="198" t="s">
        <v>31</v>
      </c>
      <c r="AJ40" s="199"/>
      <c r="AK40" s="199"/>
      <c r="AL40" s="199"/>
      <c r="AM40" s="199"/>
      <c r="AN40" s="199"/>
      <c r="AO40" s="199"/>
      <c r="AP40" s="199"/>
      <c r="AQ40" s="200"/>
      <c r="AR40" s="26" t="s">
        <v>31</v>
      </c>
      <c r="AS40" s="26" t="s">
        <v>305</v>
      </c>
      <c r="AT40" s="26" t="s">
        <v>305</v>
      </c>
      <c r="AU40" s="158" t="s">
        <v>34</v>
      </c>
      <c r="AV40" s="167"/>
      <c r="AW40" s="167"/>
      <c r="AX40" s="159"/>
      <c r="AY40" s="158" t="s">
        <v>305</v>
      </c>
      <c r="AZ40" s="167"/>
      <c r="BA40" s="167"/>
      <c r="BB40" s="159"/>
      <c r="BC40" s="201"/>
      <c r="BD40" s="202"/>
      <c r="BE40" s="202"/>
      <c r="BF40" s="202"/>
      <c r="BG40" s="202"/>
      <c r="BH40" s="202"/>
      <c r="BI40" s="202"/>
      <c r="BJ40" s="203"/>
      <c r="BK40" s="21"/>
    </row>
    <row r="41" spans="1:63" x14ac:dyDescent="0.25">
      <c r="A41" s="20"/>
      <c r="B41" s="204">
        <v>2</v>
      </c>
      <c r="C41" s="205"/>
      <c r="D41" s="206"/>
      <c r="E41" s="207"/>
      <c r="F41" s="207"/>
      <c r="G41" s="207"/>
      <c r="H41" s="207"/>
      <c r="I41" s="207"/>
      <c r="J41" s="208"/>
      <c r="K41" s="163" t="s">
        <v>46</v>
      </c>
      <c r="L41" s="164"/>
      <c r="M41" s="165"/>
      <c r="N41" s="25" t="s">
        <v>47</v>
      </c>
      <c r="O41" s="25" t="s">
        <v>32</v>
      </c>
      <c r="P41" s="204" t="s">
        <v>34</v>
      </c>
      <c r="Q41" s="213"/>
      <c r="R41" s="213"/>
      <c r="S41" s="205"/>
      <c r="T41" s="204" t="s">
        <v>34</v>
      </c>
      <c r="U41" s="213"/>
      <c r="V41" s="213"/>
      <c r="W41" s="205"/>
      <c r="X41" s="390" t="s">
        <v>36</v>
      </c>
      <c r="Y41" s="344"/>
      <c r="Z41" s="345"/>
      <c r="AA41" s="204" t="s">
        <v>305</v>
      </c>
      <c r="AB41" s="213"/>
      <c r="AC41" s="213"/>
      <c r="AD41" s="213"/>
      <c r="AE41" s="213"/>
      <c r="AF41" s="213"/>
      <c r="AG41" s="213"/>
      <c r="AH41" s="205"/>
      <c r="AI41" s="229" t="s">
        <v>305</v>
      </c>
      <c r="AJ41" s="230"/>
      <c r="AK41" s="230"/>
      <c r="AL41" s="230"/>
      <c r="AM41" s="230"/>
      <c r="AN41" s="230"/>
      <c r="AO41" s="230"/>
      <c r="AP41" s="230"/>
      <c r="AQ41" s="231"/>
      <c r="AR41" s="27" t="s">
        <v>31</v>
      </c>
      <c r="AS41" s="27" t="s">
        <v>305</v>
      </c>
      <c r="AT41" s="27" t="s">
        <v>305</v>
      </c>
      <c r="AU41" s="204" t="s">
        <v>34</v>
      </c>
      <c r="AV41" s="213"/>
      <c r="AW41" s="213"/>
      <c r="AX41" s="205"/>
      <c r="AY41" s="204" t="s">
        <v>305</v>
      </c>
      <c r="AZ41" s="213"/>
      <c r="BA41" s="213"/>
      <c r="BB41" s="205"/>
      <c r="BC41" s="232"/>
      <c r="BD41" s="227"/>
      <c r="BE41" s="227"/>
      <c r="BF41" s="227"/>
      <c r="BG41" s="227"/>
      <c r="BH41" s="227"/>
      <c r="BI41" s="227"/>
      <c r="BJ41" s="228"/>
      <c r="BK41" s="21"/>
    </row>
    <row r="42" spans="1:63" x14ac:dyDescent="0.25">
      <c r="A42" s="20"/>
      <c r="B42" s="204">
        <v>3</v>
      </c>
      <c r="C42" s="205"/>
      <c r="D42" s="247"/>
      <c r="E42" s="248"/>
      <c r="F42" s="248"/>
      <c r="G42" s="248"/>
      <c r="H42" s="248"/>
      <c r="I42" s="248"/>
      <c r="J42" s="249"/>
      <c r="K42" s="163" t="s">
        <v>37</v>
      </c>
      <c r="L42" s="164"/>
      <c r="M42" s="165"/>
      <c r="N42" s="25" t="s">
        <v>303</v>
      </c>
      <c r="O42" s="25" t="s">
        <v>31</v>
      </c>
      <c r="P42" s="289" t="s">
        <v>31</v>
      </c>
      <c r="Q42" s="213"/>
      <c r="R42" s="213"/>
      <c r="S42" s="205"/>
      <c r="T42" s="204"/>
      <c r="U42" s="213"/>
      <c r="V42" s="213"/>
      <c r="W42" s="205"/>
      <c r="X42" s="233" t="s">
        <v>31</v>
      </c>
      <c r="Y42" s="234"/>
      <c r="Z42" s="235"/>
      <c r="AA42" s="204" t="s">
        <v>305</v>
      </c>
      <c r="AB42" s="213"/>
      <c r="AC42" s="213"/>
      <c r="AD42" s="213"/>
      <c r="AE42" s="213"/>
      <c r="AF42" s="213"/>
      <c r="AG42" s="213"/>
      <c r="AH42" s="205"/>
      <c r="AI42" s="229" t="s">
        <v>305</v>
      </c>
      <c r="AJ42" s="230"/>
      <c r="AK42" s="230"/>
      <c r="AL42" s="230"/>
      <c r="AM42" s="230"/>
      <c r="AN42" s="230"/>
      <c r="AO42" s="230"/>
      <c r="AP42" s="230"/>
      <c r="AQ42" s="231"/>
      <c r="AR42" s="27" t="s">
        <v>31</v>
      </c>
      <c r="AS42" s="27" t="s">
        <v>305</v>
      </c>
      <c r="AT42" s="27" t="s">
        <v>305</v>
      </c>
      <c r="AU42" s="204" t="s">
        <v>34</v>
      </c>
      <c r="AV42" s="213"/>
      <c r="AW42" s="213"/>
      <c r="AX42" s="205"/>
      <c r="AY42" s="204" t="s">
        <v>305</v>
      </c>
      <c r="AZ42" s="213"/>
      <c r="BA42" s="213"/>
      <c r="BB42" s="205"/>
      <c r="BC42" s="246"/>
      <c r="BD42" s="227"/>
      <c r="BE42" s="227"/>
      <c r="BF42" s="227"/>
      <c r="BG42" s="227"/>
      <c r="BH42" s="227"/>
      <c r="BI42" s="227"/>
      <c r="BJ42" s="228"/>
      <c r="BK42" s="21"/>
    </row>
    <row r="43" spans="1:63" x14ac:dyDescent="0.25">
      <c r="A43" s="20"/>
      <c r="B43" s="204">
        <v>4</v>
      </c>
      <c r="C43" s="205"/>
      <c r="D43" s="387"/>
      <c r="E43" s="388"/>
      <c r="F43" s="388"/>
      <c r="G43" s="388"/>
      <c r="H43" s="388"/>
      <c r="I43" s="388"/>
      <c r="J43" s="389"/>
      <c r="K43" s="163" t="s">
        <v>30</v>
      </c>
      <c r="L43" s="164"/>
      <c r="M43" s="165"/>
      <c r="N43" s="28" t="s">
        <v>35</v>
      </c>
      <c r="O43" s="25" t="s">
        <v>32</v>
      </c>
      <c r="P43" s="204" t="s">
        <v>34</v>
      </c>
      <c r="Q43" s="213"/>
      <c r="R43" s="213"/>
      <c r="S43" s="205"/>
      <c r="T43" s="204" t="s">
        <v>34</v>
      </c>
      <c r="U43" s="213"/>
      <c r="V43" s="213"/>
      <c r="W43" s="205"/>
      <c r="X43" s="386" t="s">
        <v>39</v>
      </c>
      <c r="Y43" s="213"/>
      <c r="Z43" s="205"/>
      <c r="AA43" s="204" t="s">
        <v>305</v>
      </c>
      <c r="AB43" s="213"/>
      <c r="AC43" s="213"/>
      <c r="AD43" s="213"/>
      <c r="AE43" s="213"/>
      <c r="AF43" s="213"/>
      <c r="AG43" s="213"/>
      <c r="AH43" s="205"/>
      <c r="AI43" s="229" t="s">
        <v>305</v>
      </c>
      <c r="AJ43" s="230"/>
      <c r="AK43" s="230"/>
      <c r="AL43" s="230"/>
      <c r="AM43" s="230"/>
      <c r="AN43" s="230"/>
      <c r="AO43" s="230"/>
      <c r="AP43" s="230"/>
      <c r="AQ43" s="231"/>
      <c r="AR43" s="27" t="s">
        <v>31</v>
      </c>
      <c r="AS43" s="27" t="s">
        <v>305</v>
      </c>
      <c r="AT43" s="27" t="s">
        <v>305</v>
      </c>
      <c r="AU43" s="204" t="s">
        <v>34</v>
      </c>
      <c r="AV43" s="213"/>
      <c r="AW43" s="213"/>
      <c r="AX43" s="205"/>
      <c r="AY43" s="204" t="s">
        <v>305</v>
      </c>
      <c r="AZ43" s="213"/>
      <c r="BA43" s="213"/>
      <c r="BB43" s="205"/>
      <c r="BC43" s="243"/>
      <c r="BD43" s="244"/>
      <c r="BE43" s="244"/>
      <c r="BF43" s="244"/>
      <c r="BG43" s="244"/>
      <c r="BH43" s="244"/>
      <c r="BI43" s="244"/>
      <c r="BJ43" s="245"/>
      <c r="BK43" s="21"/>
    </row>
    <row r="44" spans="1:63" x14ac:dyDescent="0.25">
      <c r="A44" s="20"/>
      <c r="B44" s="204">
        <v>5</v>
      </c>
      <c r="C44" s="205"/>
      <c r="D44" s="247"/>
      <c r="E44" s="248"/>
      <c r="F44" s="248"/>
      <c r="G44" s="248"/>
      <c r="H44" s="248"/>
      <c r="I44" s="248"/>
      <c r="J44" s="249"/>
      <c r="K44" s="163" t="s">
        <v>40</v>
      </c>
      <c r="L44" s="164"/>
      <c r="M44" s="165"/>
      <c r="N44" s="28" t="s">
        <v>48</v>
      </c>
      <c r="O44" s="25" t="s">
        <v>31</v>
      </c>
      <c r="P44" s="204" t="s">
        <v>34</v>
      </c>
      <c r="Q44" s="213"/>
      <c r="R44" s="213"/>
      <c r="S44" s="205"/>
      <c r="T44" s="204" t="s">
        <v>34</v>
      </c>
      <c r="U44" s="213"/>
      <c r="V44" s="213"/>
      <c r="W44" s="205"/>
      <c r="X44" s="386" t="s">
        <v>31</v>
      </c>
      <c r="Y44" s="213"/>
      <c r="Z44" s="205"/>
      <c r="AA44" s="204" t="s">
        <v>305</v>
      </c>
      <c r="AB44" s="213"/>
      <c r="AC44" s="213"/>
      <c r="AD44" s="213"/>
      <c r="AE44" s="213"/>
      <c r="AF44" s="213"/>
      <c r="AG44" s="213"/>
      <c r="AH44" s="205"/>
      <c r="AI44" s="229" t="s">
        <v>305</v>
      </c>
      <c r="AJ44" s="230"/>
      <c r="AK44" s="230"/>
      <c r="AL44" s="230"/>
      <c r="AM44" s="230"/>
      <c r="AN44" s="230"/>
      <c r="AO44" s="230"/>
      <c r="AP44" s="230"/>
      <c r="AQ44" s="231"/>
      <c r="AR44" s="27" t="s">
        <v>31</v>
      </c>
      <c r="AS44" s="27" t="s">
        <v>305</v>
      </c>
      <c r="AT44" s="27" t="s">
        <v>305</v>
      </c>
      <c r="AU44" s="204" t="s">
        <v>34</v>
      </c>
      <c r="AV44" s="213"/>
      <c r="AW44" s="213"/>
      <c r="AX44" s="205"/>
      <c r="AY44" s="204" t="s">
        <v>50</v>
      </c>
      <c r="AZ44" s="213"/>
      <c r="BA44" s="213"/>
      <c r="BB44" s="205"/>
      <c r="BC44" s="246"/>
      <c r="BD44" s="227"/>
      <c r="BE44" s="227"/>
      <c r="BF44" s="227"/>
      <c r="BG44" s="227"/>
      <c r="BH44" s="227"/>
      <c r="BI44" s="227"/>
      <c r="BJ44" s="228"/>
      <c r="BK44" s="21"/>
    </row>
    <row r="45" spans="1:63" x14ac:dyDescent="0.25">
      <c r="A45" s="20"/>
      <c r="B45" s="275">
        <v>6</v>
      </c>
      <c r="C45" s="276"/>
      <c r="D45" s="380"/>
      <c r="E45" s="381"/>
      <c r="F45" s="381"/>
      <c r="G45" s="381"/>
      <c r="H45" s="381"/>
      <c r="I45" s="381"/>
      <c r="J45" s="382"/>
      <c r="K45" s="363" t="s">
        <v>42</v>
      </c>
      <c r="L45" s="277"/>
      <c r="M45" s="278"/>
      <c r="N45" s="29" t="s">
        <v>38</v>
      </c>
      <c r="O45" s="29" t="s">
        <v>32</v>
      </c>
      <c r="P45" s="275" t="s">
        <v>34</v>
      </c>
      <c r="Q45" s="279"/>
      <c r="R45" s="279"/>
      <c r="S45" s="276"/>
      <c r="T45" s="275" t="s">
        <v>34</v>
      </c>
      <c r="U45" s="279"/>
      <c r="V45" s="279"/>
      <c r="W45" s="276"/>
      <c r="X45" s="383" t="s">
        <v>41</v>
      </c>
      <c r="Y45" s="384"/>
      <c r="Z45" s="385"/>
      <c r="AA45" s="275" t="s">
        <v>50</v>
      </c>
      <c r="AB45" s="279"/>
      <c r="AC45" s="279"/>
      <c r="AD45" s="279"/>
      <c r="AE45" s="279"/>
      <c r="AF45" s="279"/>
      <c r="AG45" s="279"/>
      <c r="AH45" s="276"/>
      <c r="AI45" s="370" t="s">
        <v>43</v>
      </c>
      <c r="AJ45" s="280"/>
      <c r="AK45" s="280"/>
      <c r="AL45" s="280"/>
      <c r="AM45" s="280"/>
      <c r="AN45" s="280"/>
      <c r="AO45" s="280"/>
      <c r="AP45" s="280"/>
      <c r="AQ45" s="281"/>
      <c r="AR45" s="30" t="s">
        <v>31</v>
      </c>
      <c r="AS45" s="30" t="s">
        <v>50</v>
      </c>
      <c r="AT45" s="30" t="s">
        <v>50</v>
      </c>
      <c r="AU45" s="275" t="s">
        <v>34</v>
      </c>
      <c r="AV45" s="279"/>
      <c r="AW45" s="279"/>
      <c r="AX45" s="276"/>
      <c r="AY45" s="275" t="s">
        <v>33</v>
      </c>
      <c r="AZ45" s="279"/>
      <c r="BA45" s="279"/>
      <c r="BB45" s="276"/>
      <c r="BC45" s="285" t="s">
        <v>44</v>
      </c>
      <c r="BD45" s="286"/>
      <c r="BE45" s="286"/>
      <c r="BF45" s="286"/>
      <c r="BG45" s="286"/>
      <c r="BH45" s="286"/>
      <c r="BI45" s="286"/>
      <c r="BJ45" s="287"/>
      <c r="BK45" s="21"/>
    </row>
    <row r="46" spans="1:63" x14ac:dyDescent="0.25">
      <c r="A46" s="20"/>
      <c r="BK46" s="21"/>
    </row>
    <row r="47" spans="1:63" x14ac:dyDescent="0.25">
      <c r="A47" s="20"/>
      <c r="BK47" s="21"/>
    </row>
    <row r="48" spans="1:63" x14ac:dyDescent="0.25">
      <c r="A48" s="20"/>
      <c r="BK48" s="21"/>
    </row>
    <row r="49" spans="1:63" x14ac:dyDescent="0.25">
      <c r="A49" s="20"/>
      <c r="BK49" s="21"/>
    </row>
    <row r="50" spans="1:63" x14ac:dyDescent="0.25">
      <c r="A50" s="20"/>
      <c r="BK50" s="21"/>
    </row>
    <row r="51" spans="1:63" x14ac:dyDescent="0.25">
      <c r="A51" s="20"/>
      <c r="BK51" s="21"/>
    </row>
    <row r="52" spans="1:63" x14ac:dyDescent="0.25">
      <c r="A52" s="20"/>
      <c r="BK52" s="21"/>
    </row>
    <row r="53" spans="1:63" x14ac:dyDescent="0.25">
      <c r="A53" s="20"/>
      <c r="BK53" s="21"/>
    </row>
    <row r="54" spans="1:63" x14ac:dyDescent="0.25">
      <c r="A54" s="20"/>
      <c r="BK54" s="21"/>
    </row>
    <row r="55" spans="1:63" x14ac:dyDescent="0.25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9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A4AA01-47A8-4BF1-A576-9AC4C48D3569}"/>
</file>

<file path=customXml/itemProps2.xml><?xml version="1.0" encoding="utf-8"?>
<ds:datastoreItem xmlns:ds="http://schemas.openxmlformats.org/officeDocument/2006/customXml" ds:itemID="{52AA5EC9-BBD6-4201-9514-763A86D75600}"/>
</file>

<file path=customXml/itemProps3.xml><?xml version="1.0" encoding="utf-8"?>
<ds:datastoreItem xmlns:ds="http://schemas.openxmlformats.org/officeDocument/2006/customXml" ds:itemID="{46C3B68A-A899-41CA-B49B-3B5A0C2EF06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表紙</vt:lpstr>
      <vt:lpstr>改訂履歴</vt:lpstr>
      <vt:lpstr>SC0501</vt:lpstr>
      <vt:lpstr>MD0501</vt:lpstr>
      <vt:lpstr>SCxxxx</vt:lpstr>
      <vt:lpstr>'MD0501'!Print_Area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2024-12-26T08:58:17Z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