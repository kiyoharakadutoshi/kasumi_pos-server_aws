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A10F7643-6B47-4895-8BC2-6015232FFA9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1001" sheetId="7" r:id="rId3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3" s="1"/>
  <c r="BC2" i="4"/>
  <c r="BC2" i="7" s="1"/>
  <c r="AY2" i="4"/>
  <c r="AY2" i="7" s="1"/>
  <c r="AT2" i="4"/>
  <c r="AT2" i="7" s="1"/>
  <c r="AP2" i="4"/>
  <c r="AP2" i="7" s="1"/>
  <c r="BH2" i="7" l="1"/>
  <c r="AT2" i="3"/>
  <c r="AY2" i="3"/>
  <c r="BC2" i="3"/>
</calcChain>
</file>

<file path=xl/sharedStrings.xml><?xml version="1.0" encoding="utf-8"?>
<sst xmlns="http://schemas.openxmlformats.org/spreadsheetml/2006/main" count="497" uniqueCount="166">
  <si>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</si>
  <si>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</si>
  <si>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</si>
  <si>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</si>
  <si>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</si>
  <si>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</si>
  <si>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</si>
  <si>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</si>
  <si>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</si>
  <si>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</si>
  <si>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</si>
  <si>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</si>
  <si>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</si>
  <si>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</si>
  <si>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</si>
  <si>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</si>
  <si>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</si>
  <si>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</si>
  <si>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</si>
  <si>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</si>
  <si>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</si>
  <si>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</si>
  <si>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</si>
  <si>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</si>
  <si>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</si>
  <si>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</si>
  <si>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</si>
  <si>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</si>
  <si>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</si>
  <si>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桁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</si>
  <si>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</si>
  <si>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</si>
  <si>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</si>
  <si>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</si>
  <si>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</si>
  <si>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</si>
  <si>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</si>
  <si>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</si>
  <si>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</si>
  <si>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</si>
  <si>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</si>
  <si>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</si>
  <si>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画面設計書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</si>
  <si>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</si>
  <si>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■イメージ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</si>
  <si>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多言語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</si>
  <si>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</si>
  <si>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AnhTTP</t>
    </r>
  </si>
  <si>
    <r>
      <rPr>
        <sz val="11"/>
        <color rgb="FF000000"/>
        <rFont val="Meiryo UI"/>
        <family val="2"/>
      </rPr>
      <t>10_プロモーションメンテ</t>
    </r>
  </si>
  <si>
    <r>
      <rPr>
        <sz val="11"/>
        <color rgb="FF000000"/>
        <rFont val="Meiryo UI"/>
        <family val="2"/>
      </rPr>
      <t>店舗選択タブ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</si>
  <si>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</si>
  <si>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プロモーションメンテ</t>
    </r>
  </si>
  <si>
    <r>
      <rPr>
        <sz val="11"/>
        <color rgb="FF000000"/>
        <rFont val="Meiryo UI"/>
        <family val="2"/>
      </rPr>
      <t>店舖選択</t>
    </r>
  </si>
  <si>
    <r>
      <rPr>
        <sz val="11"/>
        <color rgb="FF000000"/>
        <rFont val="Meiryo UI"/>
        <family val="2"/>
      </rPr>
      <t>店舗選択エリア</t>
    </r>
  </si>
  <si>
    <r>
      <rPr>
        <sz val="11"/>
        <color rgb="FF000000"/>
        <rFont val="Meiryo UI"/>
        <family val="2"/>
      </rPr>
      <t>20_画面設計_00_共通.xlsxの店舗選択エリアシートをご参照ください。</t>
    </r>
  </si>
  <si>
    <r>
      <rPr>
        <sz val="11"/>
        <color rgb="FF000000"/>
        <rFont val="Meiryo UI"/>
        <family val="2"/>
      </rPr>
      <t>検索条件エリア</t>
    </r>
  </si>
  <si>
    <r>
      <rPr>
        <sz val="11"/>
        <color rgb="FF000000"/>
        <rFont val="Meiryo UI"/>
        <family val="2"/>
      </rPr>
      <t>プロモーションコード（タイトル）</t>
    </r>
  </si>
  <si>
    <r>
      <rPr>
        <sz val="11"/>
        <color rgb="FF000000"/>
        <rFont val="Meiryo UI"/>
        <family val="2"/>
      </rPr>
      <t>プロモーションコード</t>
    </r>
  </si>
  <si>
    <r>
      <rPr>
        <sz val="11"/>
        <color rgb="FF000000"/>
        <rFont val="Meiryo UI"/>
        <family val="2"/>
      </rPr>
      <t>プロモーションコード(値)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</si>
  <si>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</si>
  <si>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</si>
  <si>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ブランク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</si>
  <si>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</si>
  <si>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</si>
  <si>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F12：検索</t>
    </r>
  </si>
  <si>
    <r>
      <rPr>
        <sz val="11"/>
        <color rgb="FF000000"/>
        <rFont val="Meiryo UI"/>
        <family val="2"/>
      </rPr>
      <t>デフォルト：有効</t>
    </r>
  </si>
  <si>
    <r>
      <rPr>
        <sz val="11"/>
        <color rgb="FF000000"/>
        <rFont val="Meiryo UI"/>
        <family val="2"/>
      </rPr>
      <t>・最大5桁入力可能。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・フォーカスアウト時に5文字を構成するために「0」を自動的に埋め込む。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</si>
  <si>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SC1001_01</t>
    </r>
  </si>
  <si>
    <r>
      <rPr>
        <sz val="11"/>
        <color rgb="FF000000"/>
        <rFont val="Meiryo UI"/>
        <family val="2"/>
      </rPr>
      <t>AP0105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</si>
  <si>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</si>
  <si>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SC1001-02</t>
    </r>
  </si>
  <si>
    <r>
      <rPr>
        <sz val="11"/>
        <color rgb="FF000000"/>
        <rFont val="Meiryo UI"/>
        <family val="2"/>
      </rPr>
      <t>データ表示エリア</t>
    </r>
  </si>
  <si>
    <r>
      <rPr>
        <sz val="11"/>
        <color rgb="FF000000"/>
        <rFont val="Meiryo UI"/>
        <family val="2"/>
      </rPr>
      <t>削除</t>
    </r>
  </si>
  <si>
    <r>
      <rPr>
        <sz val="11"/>
        <color rgb="FF000000"/>
        <rFont val="Meiryo UI"/>
        <family val="2"/>
      </rPr>
      <t>プロモーション</t>
    </r>
  </si>
  <si>
    <r>
      <rPr>
        <sz val="11"/>
        <color rgb="FF000000"/>
        <rFont val="Meiryo UI"/>
        <family val="2"/>
      </rPr>
      <t>名称</t>
    </r>
  </si>
  <si>
    <r>
      <rPr>
        <sz val="11"/>
        <color rgb="FF000000"/>
        <rFont val="Meiryo UI"/>
        <family val="2"/>
      </rPr>
      <t>区分</t>
    </r>
  </si>
  <si>
    <r>
      <rPr>
        <sz val="11"/>
        <color rgb="FF000000"/>
        <rFont val="Meiryo UI"/>
        <family val="2"/>
      </rPr>
      <t>開始日</t>
    </r>
  </si>
  <si>
    <r>
      <rPr>
        <sz val="11"/>
        <color rgb="FF000000"/>
        <rFont val="Meiryo UI"/>
        <family val="2"/>
      </rPr>
      <t>開始時刻</t>
    </r>
  </si>
  <si>
    <r>
      <rPr>
        <sz val="11"/>
        <color rgb="FF000000"/>
        <rFont val="Meiryo UI"/>
        <family val="2"/>
      </rPr>
      <t>形式: hh:mm</t>
    </r>
  </si>
  <si>
    <r>
      <rPr>
        <sz val="11"/>
        <color rgb="FF000000"/>
        <rFont val="Meiryo UI"/>
        <family val="2"/>
      </rPr>
      <t>終了時刻</t>
    </r>
  </si>
  <si>
    <r>
      <rPr>
        <sz val="11"/>
        <color rgb="FF000000"/>
        <rFont val="Meiryo UI"/>
        <family val="2"/>
      </rPr>
      <t>削除（値）</t>
    </r>
  </si>
  <si>
    <r>
      <rPr>
        <sz val="11"/>
        <color rgb="FF000000"/>
        <rFont val="Meiryo UI"/>
        <family val="2"/>
      </rPr>
      <t>チェックボックス</t>
    </r>
  </si>
  <si>
    <r>
      <rPr>
        <sz val="11"/>
        <color rgb="FF000000"/>
        <rFont val="Meiryo UI"/>
        <family val="2"/>
      </rPr>
      <t>・編集の場合、有効になる。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・新規モード又は初期化モードの場合、無効になる。</t>
    </r>
    <r>
      <rPr>
        <sz val="11"/>
        <color rgb="FF000000"/>
        <rFont val="Meiryo UI"/>
        <family val="2"/>
      </rPr>
      <t xml:space="preserve">
</t>
    </r>
  </si>
  <si>
    <r>
      <rPr>
        <sz val="11"/>
        <color rgb="FF000000"/>
        <rFont val="Meiryo UI"/>
        <family val="2"/>
      </rPr>
      <t>AP1001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</si>
  <si>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</si>
  <si>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・編集モード、初期化モードの場合、無効になる。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・新規モードの場合、有効になる。</t>
    </r>
    <r>
      <rPr>
        <sz val="11"/>
        <color rgb="FF000000"/>
        <rFont val="Meiryo UI"/>
        <family val="2"/>
      </rPr>
      <t xml:space="preserve">
</t>
    </r>
  </si>
  <si>
    <r>
      <rPr>
        <sz val="11"/>
        <color rgb="FF000000"/>
        <rFont val="Meiryo UI"/>
        <family val="2"/>
      </rPr>
      <t>AP1001/AP1002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</si>
  <si>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</si>
  <si>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区分（値）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</si>
  <si>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</si>
  <si>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デフォルト：無効</t>
    </r>
    <r>
      <rPr>
        <sz val="11"/>
        <color rgb="FF000000"/>
        <rFont val="Meiryo UI"/>
        <family val="2"/>
      </rPr>
      <t xml:space="preserve">
</t>
    </r>
  </si>
  <si>
    <r>
      <rPr>
        <sz val="11"/>
        <color rgb="FF000000"/>
        <rFont val="Meiryo UI"/>
        <family val="2"/>
      </rPr>
      <t>開始日（値）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</si>
  <si>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</si>
  <si>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終了日（値）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</si>
  <si>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</si>
  <si>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開始時刻（値）</t>
    </r>
  </si>
  <si>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</si>
  <si>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終了時刻（値）</t>
    </r>
  </si>
  <si>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</si>
  <si>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クリア</t>
    </r>
  </si>
  <si>
    <r>
      <rPr>
        <sz val="11"/>
        <color rgb="FF000000"/>
        <rFont val="Meiryo UI"/>
        <family val="2"/>
      </rPr>
      <t xml:space="preserve">
イベントID：</t>
    </r>
    <r>
      <rPr>
        <sz val="11"/>
        <color rgb="FF000000"/>
        <rFont val="Meiryo UI"/>
        <family val="2"/>
      </rPr>
      <t>SC1001_04</t>
    </r>
  </si>
  <si>
    <r>
      <rPr>
        <sz val="11"/>
        <color rgb="FF000000"/>
        <rFont val="Meiryo UI"/>
        <family val="2"/>
      </rPr>
      <t>「確定」</t>
    </r>
  </si>
  <si>
    <r>
      <rPr>
        <sz val="11"/>
        <color rgb="FF000000"/>
        <rFont val="Meiryo UI"/>
        <family val="2"/>
      </rPr>
      <t>・デフォルト：無効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・新規モード、編集モードにあり、変更データがある場合は有効になる。</t>
    </r>
  </si>
  <si>
    <r>
      <rPr>
        <sz val="11"/>
        <color rgb="FF000000"/>
        <rFont val="Meiryo UI"/>
        <family val="2"/>
      </rPr>
      <t>ページングエリア</t>
    </r>
  </si>
  <si>
    <r>
      <rPr>
        <sz val="11"/>
        <color rgb="FF000000"/>
        <rFont val="Meiryo UI"/>
        <family val="2"/>
      </rPr>
      <t>XXX</t>
    </r>
  </si>
  <si>
    <r>
      <rPr>
        <sz val="11"/>
        <color rgb="FF000000"/>
        <rFont val="Meiryo UI"/>
        <family val="2"/>
      </rPr>
      <t>[10_概要機能_画面遷移_00_共通.xlsx]ファイルの[画面設計]シートをご参照ください。</t>
    </r>
  </si>
  <si>
    <r>
      <rPr>
        <sz val="11"/>
        <color rgb="FF000000"/>
        <rFont val="Meiryo UI"/>
        <family val="2"/>
      </rPr>
      <t>削除（タイトル）</t>
    </r>
  </si>
  <si>
    <r>
      <rPr>
        <sz val="11"/>
        <color rgb="FF000000"/>
        <rFont val="Meiryo UI"/>
        <family val="2"/>
      </rPr>
      <t>区分（タイトル）</t>
    </r>
  </si>
  <si>
    <r>
      <rPr>
        <sz val="11"/>
        <color rgb="FF000000"/>
        <rFont val="Meiryo UI"/>
        <family val="2"/>
      </rPr>
      <t>開始日（タイトル）</t>
    </r>
  </si>
  <si>
    <r>
      <rPr>
        <sz val="11"/>
        <color rgb="FF000000"/>
        <rFont val="Meiryo UI"/>
        <family val="2"/>
      </rPr>
      <t>終了日（タイトル）</t>
    </r>
  </si>
  <si>
    <r>
      <rPr>
        <sz val="11"/>
        <color rgb="FF000000"/>
        <rFont val="Meiryo UI"/>
        <family val="2"/>
      </rPr>
      <t>終了時刻（タイトル）</t>
    </r>
  </si>
  <si>
    <r>
      <rPr>
        <sz val="11"/>
        <color rgb="FF000000"/>
        <rFont val="Meiryo UI"/>
        <family val="2"/>
      </rPr>
      <t>店舗選択タブ（タイトル）</t>
    </r>
  </si>
  <si>
    <r>
      <rPr>
        <sz val="11"/>
        <color rgb="FF000000"/>
        <rFont val="Meiryo UI"/>
        <family val="2"/>
      </rPr>
      <t>開始時刻（タイトル）</t>
    </r>
  </si>
  <si>
    <r>
      <rPr>
        <sz val="11"/>
        <color rgb="FF000000"/>
        <rFont val="Meiryo UI"/>
        <family val="2"/>
      </rPr>
      <t>フォーマット：yy/MM/dd</t>
    </r>
  </si>
  <si>
    <r>
      <rPr>
        <sz val="11"/>
        <color rgb="FF000000"/>
        <rFont val="Meiryo UI"/>
        <family val="2"/>
      </rPr>
      <t>終了日</t>
    </r>
  </si>
  <si>
    <r>
      <rPr>
        <sz val="11"/>
        <color rgb="FF000000"/>
        <rFont val="Meiryo UI"/>
        <family val="2"/>
      </rPr>
      <t>名称（タイトル）</t>
    </r>
  </si>
  <si>
    <r>
      <rPr>
        <sz val="11"/>
        <color rgb="FF000000"/>
        <rFont val="Meiryo UI"/>
        <family val="2"/>
      </rPr>
      <t>SonMNT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</si>
  <si>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</si>
  <si>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【次頁】、【前頁】、【先頭行】、【最終行】ボタンの追加</t>
    </r>
  </si>
  <si>
    <r>
      <rPr>
        <sz val="11"/>
        <color rgb="FF000000"/>
        <rFont val="Meiryo UI"/>
        <family val="2"/>
      </rPr>
      <t>SC1001シート</t>
    </r>
  </si>
  <si>
    <r>
      <rPr>
        <sz val="11"/>
        <color rgb="FF000000"/>
        <rFont val="Meiryo UI"/>
        <family val="2"/>
      </rPr>
      <t>概要設計書の改訂履歴による更新</t>
    </r>
  </si>
  <si>
    <r>
      <rPr>
        <sz val="11"/>
        <color rgb="FF000000"/>
        <rFont val="Meiryo UI"/>
        <family val="2"/>
      </rPr>
      <t>画面のイメージによる更新</t>
    </r>
  </si>
  <si>
    <r>
      <rPr>
        <sz val="11"/>
        <color rgb="FF000000"/>
        <rFont val="Meiryo UI"/>
        <family val="2"/>
      </rPr>
      <t>新しいレイアウトに従って更新する。</t>
    </r>
  </si>
  <si>
    <r>
      <rPr>
        <sz val="11"/>
        <color rgb="FF000000"/>
        <rFont val="Meiryo UI"/>
        <family val="2"/>
      </rPr>
      <t>プロモーションコード（値）</t>
    </r>
  </si>
  <si>
    <r>
      <rPr>
        <sz val="11"/>
        <color rgb="FF000000"/>
        <rFont val="Meiryo UI"/>
        <family val="2"/>
      </rPr>
      <t>プロモーション名称（値）</t>
    </r>
  </si>
  <si>
    <r>
      <rPr>
        <sz val="11"/>
        <color rgb="FF000000"/>
        <rFont val="Meiryo UI"/>
        <family val="2"/>
      </rPr>
      <t>・最大全角25文字、半角50文字を入力可能とする。</t>
    </r>
  </si>
  <si>
    <r>
      <rPr>
        <sz val="11"/>
        <color rgb="FF000000"/>
        <rFont val="Meiryo UI"/>
        <family val="2"/>
      </rPr>
      <t>F09：確定</t>
    </r>
  </si>
  <si>
    <r>
      <rPr>
        <sz val="11"/>
        <color rgb="FF000000"/>
        <rFont val="Meiryo UI"/>
        <family val="2"/>
      </rPr>
      <t>F04：クリア</t>
    </r>
  </si>
  <si>
    <r>
      <rPr>
        <sz val="11"/>
        <color rgb="FF000000"/>
        <rFont val="Meiryo UI"/>
        <family val="2"/>
      </rPr>
      <t>コードが「99」で始まる場合、新規作成時に「2:店舗」を表示する。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コードが「01」から「12」で始まる場合、新規作成時に「1:本部」を表示する。</t>
    </r>
  </si>
  <si>
    <r>
      <rPr>
        <sz val="11"/>
        <color rgb="FF000000"/>
        <rFont val="Meiryo UI"/>
        <family val="2"/>
      </rPr>
      <t>・デフォルト：無効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・データが変更された場合に有効になる。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</si>
  <si>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SC1001_03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・フォーカスアウト時に5桁を構成するために項目に「0」を自動的に埋め込む。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・最大5桁入力可能。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・店舗権限のアカウント：</t>
    </r>
    <r>
      <rPr>
        <sz val="11"/>
        <color rgb="FF000000"/>
        <rFont val="Meiryo UI"/>
        <family val="2"/>
      </rPr>
      <t>「99」でで始まるコードのみ許可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・店舗権限以外のアカウント: 「99」のコードまたは「01」から「12」のコードを入力可能とする。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エラーメッセージ = MSG_VAL_019</t>
    </r>
  </si>
  <si>
    <r>
      <rPr>
        <sz val="11"/>
        <color rgb="FF000000"/>
        <rFont val="Meiryo UI"/>
        <family val="2"/>
      </rPr>
      <t>1.0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</si>
  <si>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SC1001_05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プロモーションコードを入力せず、他の項目に入力した場合、確定ボタンを有効にしない。</t>
    </r>
  </si>
  <si>
    <r>
      <rPr>
        <sz val="11"/>
        <color rgb="FF000000"/>
        <rFont val="Meiryo UI"/>
        <family val="2"/>
      </rPr>
      <t>■イメージ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</si>
  <si>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</si>
  <si>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</si>
  <si>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</si>
  <si>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</si>
  <si>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</si>
  <si>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</si>
  <si>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</si>
  <si>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</si>
  <si>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</si>
  <si>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多言語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</si>
  <si>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</si>
  <si>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</si>
  <si>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</si>
  <si>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</si>
  <si>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</si>
  <si>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</si>
  <si>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</si>
  <si>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</si>
  <si>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</si>
  <si>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</si>
  <si>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</si>
  <si>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</si>
  <si>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B050"/>
        <rFont val="Meiryo UI"/>
        <family val="2"/>
      </rPr>
      <t>ー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</si>
  <si>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</si>
  <si>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</si>
  <si>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</si>
  <si>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桁</t>
    </r>
  </si>
  <si>
    <r>
      <rPr>
        <sz val="11"/>
        <color rgb="FF000000"/>
        <rFont val="Meiryo UI"/>
        <family val="2"/>
      </rPr>
      <t>AP1001/AP1002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</si>
  <si>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</si>
  <si>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</si>
  <si>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フォーマット：yy/MM/dd</t>
    </r>
  </si>
  <si>
    <r>
      <rPr>
        <sz val="11"/>
        <color rgb="FF000000"/>
        <rFont val="Meiryo UI"/>
        <family val="2"/>
      </rPr>
      <t>形式: hh:mm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</si>
</sst>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11"/>
      <color rgb="FF00B050"/>
      <name val="Meiryo UI"/>
      <family val="2"/>
    </font>
    <font>
      <sz val="1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2" fillId="0" borderId="0">
      <alignment vertical="center"/>
    </xf>
  </cellStyleXfs>
  <cellXfs count="287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1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9" xfId="6" applyFont="1" applyBorder="1" applyAlignment="1">
      <alignment horizontal="center" vertical="center"/>
    </xf>
    <xf numFmtId="0" fontId="7" fillId="0" borderId="20" xfId="6" applyFont="1" applyBorder="1" applyAlignment="1">
      <alignment horizontal="center" vertical="center"/>
    </xf>
    <xf numFmtId="0" fontId="7" fillId="0" borderId="20" xfId="6" applyFont="1" applyBorder="1" applyAlignment="1">
      <alignment vertical="center"/>
    </xf>
    <xf numFmtId="0" fontId="7" fillId="0" borderId="21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19" xfId="6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16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0" fontId="0" fillId="0" borderId="5" xfId="0" applyBorder="1"/>
    <xf numFmtId="0" fontId="0" fillId="0" borderId="27" xfId="0" applyBorder="1"/>
    <xf numFmtId="0" fontId="0" fillId="0" borderId="2" xfId="0" applyBorder="1"/>
    <xf numFmtId="0" fontId="0" fillId="0" borderId="32" xfId="0" applyBorder="1"/>
    <xf numFmtId="0" fontId="0" fillId="0" borderId="33" xfId="0" applyBorder="1"/>
    <xf numFmtId="0" fontId="0" fillId="0" borderId="22" xfId="0" applyBorder="1"/>
    <xf numFmtId="0" fontId="2" fillId="2" borderId="0" xfId="0" applyFont="1" applyFill="1"/>
    <xf numFmtId="0" fontId="0" fillId="0" borderId="27" xfId="0" quotePrefix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32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36" xfId="6" quotePrefix="1" applyFont="1" applyBorder="1" applyAlignment="1">
      <alignment vertical="center" wrapText="1"/>
    </xf>
    <xf numFmtId="0" fontId="7" fillId="0" borderId="37" xfId="6" quotePrefix="1" applyFont="1" applyBorder="1" applyAlignment="1">
      <alignment vertical="center" wrapText="1"/>
    </xf>
    <xf numFmtId="0" fontId="7" fillId="0" borderId="21" xfId="6" quotePrefix="1" applyFont="1" applyBorder="1" applyAlignment="1">
      <alignment vertical="center" wrapText="1"/>
    </xf>
    <xf numFmtId="0" fontId="8" fillId="0" borderId="36" xfId="6" applyFont="1" applyBorder="1" applyAlignment="1">
      <alignment vertical="center"/>
    </xf>
    <xf numFmtId="0" fontId="7" fillId="0" borderId="37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8" fillId="0" borderId="36" xfId="6" applyFont="1" applyBorder="1" applyAlignment="1">
      <alignment horizontal="center" vertical="center"/>
    </xf>
    <xf numFmtId="0" fontId="8" fillId="0" borderId="37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7" fillId="0" borderId="36" xfId="6" quotePrefix="1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8" fillId="0" borderId="36" xfId="6" applyFont="1" applyBorder="1" applyAlignment="1">
      <alignment horizontal="left" vertical="center"/>
    </xf>
    <xf numFmtId="0" fontId="8" fillId="0" borderId="37" xfId="6" applyFont="1" applyBorder="1" applyAlignment="1">
      <alignment horizontal="left" vertical="center"/>
    </xf>
    <xf numFmtId="0" fontId="8" fillId="0" borderId="21" xfId="6" applyFont="1" applyBorder="1" applyAlignment="1">
      <alignment horizontal="left" vertical="center"/>
    </xf>
    <xf numFmtId="0" fontId="11" fillId="0" borderId="36" xfId="6" quotePrefix="1" applyFont="1" applyBorder="1" applyAlignment="1">
      <alignment horizontal="left" vertical="center" wrapText="1"/>
    </xf>
    <xf numFmtId="0" fontId="7" fillId="0" borderId="37" xfId="6" applyFont="1" applyBorder="1" applyAlignment="1">
      <alignment horizontal="left" vertical="center"/>
    </xf>
    <xf numFmtId="0" fontId="7" fillId="0" borderId="21" xfId="6" applyFont="1" applyBorder="1" applyAlignment="1">
      <alignment horizontal="left" vertical="center"/>
    </xf>
    <xf numFmtId="0" fontId="0" fillId="0" borderId="36" xfId="6" quotePrefix="1" applyFont="1" applyBorder="1" applyAlignment="1">
      <alignment horizontal="left" vertical="center" wrapText="1"/>
    </xf>
    <xf numFmtId="0" fontId="0" fillId="0" borderId="37" xfId="6" applyFont="1" applyBorder="1" applyAlignment="1">
      <alignment horizontal="left" vertical="center" wrapText="1"/>
    </xf>
    <xf numFmtId="0" fontId="0" fillId="0" borderId="21" xfId="6" applyFont="1" applyBorder="1" applyAlignment="1">
      <alignment horizontal="left" vertical="center" wrapText="1"/>
    </xf>
    <xf numFmtId="0" fontId="7" fillId="0" borderId="32" xfId="6" quotePrefix="1" applyFont="1" applyBorder="1" applyAlignment="1">
      <alignment vertical="center" wrapText="1"/>
    </xf>
    <xf numFmtId="0" fontId="7" fillId="0" borderId="33" xfId="6" quotePrefix="1" applyFont="1" applyBorder="1" applyAlignment="1">
      <alignment vertical="center" wrapText="1"/>
    </xf>
    <xf numFmtId="0" fontId="7" fillId="0" borderId="22" xfId="6" quotePrefix="1" applyFont="1" applyBorder="1" applyAlignment="1">
      <alignment vertical="center" wrapText="1"/>
    </xf>
    <xf numFmtId="0" fontId="8" fillId="0" borderId="32" xfId="6" applyFont="1" applyBorder="1" applyAlignment="1">
      <alignment vertical="center"/>
    </xf>
    <xf numFmtId="0" fontId="7" fillId="0" borderId="33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8" fillId="0" borderId="32" xfId="6" applyFont="1" applyBorder="1" applyAlignment="1">
      <alignment horizontal="center" vertical="center"/>
    </xf>
    <xf numFmtId="0" fontId="8" fillId="0" borderId="33" xfId="6" applyFont="1" applyBorder="1" applyAlignment="1">
      <alignment horizontal="center" vertical="center"/>
    </xf>
    <xf numFmtId="0" fontId="8" fillId="0" borderId="22" xfId="6" applyFont="1" applyBorder="1" applyAlignment="1">
      <alignment horizontal="center" vertical="center"/>
    </xf>
    <xf numFmtId="0" fontId="7" fillId="0" borderId="32" xfId="6" quotePrefix="1" applyFont="1" applyBorder="1" applyAlignment="1">
      <alignment horizontal="center" vertical="center"/>
    </xf>
    <xf numFmtId="0" fontId="7" fillId="0" borderId="33" xfId="6" applyFont="1" applyBorder="1" applyAlignment="1">
      <alignment horizontal="center" vertical="center"/>
    </xf>
    <xf numFmtId="0" fontId="8" fillId="0" borderId="32" xfId="6" applyFont="1" applyBorder="1" applyAlignment="1">
      <alignment horizontal="left" vertical="center"/>
    </xf>
    <xf numFmtId="0" fontId="8" fillId="0" borderId="33" xfId="6" applyFont="1" applyBorder="1" applyAlignment="1">
      <alignment horizontal="left" vertical="center"/>
    </xf>
    <xf numFmtId="0" fontId="8" fillId="0" borderId="22" xfId="6" applyFont="1" applyBorder="1" applyAlignment="1">
      <alignment horizontal="left" vertical="center"/>
    </xf>
    <xf numFmtId="0" fontId="0" fillId="0" borderId="32" xfId="6" quotePrefix="1" applyFont="1" applyBorder="1" applyAlignment="1">
      <alignment horizontal="left" vertical="center" wrapText="1"/>
    </xf>
    <xf numFmtId="0" fontId="0" fillId="0" borderId="33" xfId="6" applyFont="1" applyBorder="1" applyAlignment="1">
      <alignment horizontal="left" vertical="center"/>
    </xf>
    <xf numFmtId="0" fontId="0" fillId="0" borderId="22" xfId="6" applyFont="1" applyBorder="1" applyAlignment="1">
      <alignment horizontal="left" vertical="center"/>
    </xf>
    <xf numFmtId="0" fontId="0" fillId="0" borderId="33" xfId="6" applyFont="1" applyBorder="1" applyAlignment="1">
      <alignment horizontal="left" vertical="center" wrapText="1"/>
    </xf>
    <xf numFmtId="0" fontId="0" fillId="0" borderId="22" xfId="6" applyFont="1" applyBorder="1" applyAlignment="1">
      <alignment horizontal="left" vertical="center" wrapText="1"/>
    </xf>
    <xf numFmtId="0" fontId="0" fillId="0" borderId="36" xfId="6" quotePrefix="1" applyFont="1" applyBorder="1" applyAlignment="1">
      <alignment vertical="center" wrapText="1"/>
    </xf>
    <xf numFmtId="0" fontId="0" fillId="0" borderId="37" xfId="6" quotePrefix="1" applyFont="1" applyBorder="1" applyAlignment="1">
      <alignment vertical="center" wrapText="1"/>
    </xf>
    <xf numFmtId="0" fontId="0" fillId="0" borderId="21" xfId="6" quotePrefix="1" applyFont="1" applyBorder="1" applyAlignment="1">
      <alignment vertical="center" wrapText="1"/>
    </xf>
    <xf numFmtId="0" fontId="7" fillId="0" borderId="36" xfId="6" quotePrefix="1" applyFont="1" applyBorder="1" applyAlignment="1">
      <alignment horizontal="left" vertical="center" wrapText="1"/>
    </xf>
    <xf numFmtId="0" fontId="8" fillId="0" borderId="37" xfId="6" applyFont="1" applyBorder="1" applyAlignment="1">
      <alignment vertical="center"/>
    </xf>
    <xf numFmtId="0" fontId="8" fillId="0" borderId="21" xfId="6" applyFont="1" applyBorder="1" applyAlignment="1">
      <alignment vertical="center"/>
    </xf>
    <xf numFmtId="0" fontId="8" fillId="0" borderId="36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left" vertical="center"/>
    </xf>
    <xf numFmtId="0" fontId="0" fillId="0" borderId="36" xfId="6" applyFont="1" applyBorder="1" applyAlignment="1">
      <alignment horizontal="left" vertical="center"/>
    </xf>
    <xf numFmtId="0" fontId="0" fillId="0" borderId="37" xfId="6" applyFont="1" applyBorder="1" applyAlignment="1">
      <alignment horizontal="left" vertical="center"/>
    </xf>
    <xf numFmtId="0" fontId="0" fillId="0" borderId="21" xfId="6" applyFont="1" applyBorder="1" applyAlignment="1">
      <alignment horizontal="left" vertical="center"/>
    </xf>
    <xf numFmtId="0" fontId="0" fillId="0" borderId="36" xfId="6" applyFont="1" applyBorder="1" applyAlignment="1">
      <alignment horizontal="left" vertical="center" wrapText="1"/>
    </xf>
    <xf numFmtId="0" fontId="0" fillId="0" borderId="36" xfId="6" applyFont="1" applyBorder="1" applyAlignment="1">
      <alignment horizontal="left" vertical="top" wrapText="1"/>
    </xf>
    <xf numFmtId="0" fontId="0" fillId="0" borderId="37" xfId="6" applyFont="1" applyBorder="1" applyAlignment="1">
      <alignment horizontal="left" vertical="top"/>
    </xf>
    <xf numFmtId="0" fontId="0" fillId="0" borderId="21" xfId="6" applyFont="1" applyBorder="1" applyAlignment="1">
      <alignment horizontal="left" vertical="top"/>
    </xf>
    <xf numFmtId="0" fontId="0" fillId="0" borderId="36" xfId="6" applyFont="1" applyBorder="1" applyAlignment="1">
      <alignment horizontal="center" vertical="center" wrapText="1"/>
    </xf>
    <xf numFmtId="0" fontId="0" fillId="0" borderId="37" xfId="6" applyFont="1" applyBorder="1" applyAlignment="1">
      <alignment horizontal="center" vertical="center" wrapText="1"/>
    </xf>
    <xf numFmtId="0" fontId="0" fillId="0" borderId="21" xfId="6" applyFont="1" applyBorder="1" applyAlignment="1">
      <alignment horizontal="center" vertical="center" wrapText="1"/>
    </xf>
    <xf numFmtId="0" fontId="8" fillId="0" borderId="36" xfId="6" applyFont="1" applyBorder="1" applyAlignment="1">
      <alignment horizontal="center" vertical="center" wrapText="1"/>
    </xf>
    <xf numFmtId="0" fontId="0" fillId="0" borderId="36" xfId="6" quotePrefix="1" applyFont="1" applyBorder="1" applyAlignment="1">
      <alignment horizontal="left" vertical="top" wrapText="1"/>
    </xf>
    <xf numFmtId="0" fontId="7" fillId="0" borderId="30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8" fillId="6" borderId="27" xfId="6" applyFont="1" applyFill="1" applyBorder="1" applyAlignment="1">
      <alignment vertical="center" wrapText="1"/>
    </xf>
    <xf numFmtId="0" fontId="7" fillId="6" borderId="29" xfId="6" applyFont="1" applyFill="1" applyBorder="1" applyAlignment="1">
      <alignment vertical="center"/>
    </xf>
    <xf numFmtId="0" fontId="7" fillId="6" borderId="1" xfId="6" applyFont="1" applyFill="1" applyBorder="1" applyAlignment="1">
      <alignment vertical="center"/>
    </xf>
    <xf numFmtId="0" fontId="7" fillId="6" borderId="4" xfId="6" applyFont="1" applyFill="1" applyBorder="1" applyAlignment="1">
      <alignment vertical="center"/>
    </xf>
    <xf numFmtId="0" fontId="7" fillId="6" borderId="2" xfId="6" applyFont="1" applyFill="1" applyBorder="1" applyAlignment="1">
      <alignment vertical="center"/>
    </xf>
    <xf numFmtId="0" fontId="7" fillId="6" borderId="5" xfId="6" applyFont="1" applyFill="1" applyBorder="1" applyAlignment="1">
      <alignment vertical="center"/>
    </xf>
    <xf numFmtId="0" fontId="8" fillId="6" borderId="27" xfId="6" applyFont="1" applyFill="1" applyBorder="1" applyAlignment="1">
      <alignment vertical="center"/>
    </xf>
    <xf numFmtId="0" fontId="7" fillId="6" borderId="28" xfId="6" applyFont="1" applyFill="1" applyBorder="1" applyAlignment="1">
      <alignment vertical="center"/>
    </xf>
    <xf numFmtId="0" fontId="7" fillId="6" borderId="0" xfId="6" applyFont="1" applyFill="1" applyAlignment="1">
      <alignment vertical="center"/>
    </xf>
    <xf numFmtId="0" fontId="7" fillId="6" borderId="3" xfId="6" applyFont="1" applyFill="1" applyBorder="1" applyAlignment="1">
      <alignment vertical="center"/>
    </xf>
    <xf numFmtId="0" fontId="7" fillId="6" borderId="38" xfId="6" applyFont="1" applyFill="1" applyBorder="1" applyAlignment="1">
      <alignment vertical="center" shrinkToFit="1"/>
    </xf>
    <xf numFmtId="0" fontId="7" fillId="6" borderId="40" xfId="6" applyFont="1" applyFill="1" applyBorder="1" applyAlignment="1">
      <alignment vertical="center" shrinkToFit="1"/>
    </xf>
    <xf numFmtId="0" fontId="7" fillId="6" borderId="39" xfId="6" applyFont="1" applyFill="1" applyBorder="1" applyAlignment="1">
      <alignment vertical="center" shrinkToFit="1"/>
    </xf>
    <xf numFmtId="0" fontId="8" fillId="6" borderId="38" xfId="6" applyFont="1" applyFill="1" applyBorder="1" applyAlignment="1">
      <alignment vertical="center" wrapText="1"/>
    </xf>
    <xf numFmtId="0" fontId="8" fillId="6" borderId="40" xfId="6" applyFont="1" applyFill="1" applyBorder="1" applyAlignment="1">
      <alignment vertical="center" wrapText="1"/>
    </xf>
    <xf numFmtId="0" fontId="8" fillId="6" borderId="39" xfId="6" applyFont="1" applyFill="1" applyBorder="1" applyAlignment="1">
      <alignment vertical="center" wrapText="1"/>
    </xf>
    <xf numFmtId="0" fontId="8" fillId="3" borderId="24" xfId="6" applyFont="1" applyFill="1" applyBorder="1" applyAlignment="1">
      <alignment vertical="center"/>
    </xf>
    <xf numFmtId="0" fontId="7" fillId="3" borderId="25" xfId="6" applyFont="1" applyFill="1" applyBorder="1" applyAlignment="1">
      <alignment vertical="center"/>
    </xf>
    <xf numFmtId="0" fontId="7" fillId="3" borderId="26" xfId="6" applyFont="1" applyFill="1" applyBorder="1" applyAlignment="1">
      <alignment vertical="center"/>
    </xf>
    <xf numFmtId="0" fontId="8" fillId="4" borderId="24" xfId="6" applyFont="1" applyFill="1" applyBorder="1" applyAlignment="1">
      <alignment vertical="center"/>
    </xf>
    <xf numFmtId="0" fontId="7" fillId="4" borderId="25" xfId="6" applyFont="1" applyFill="1" applyBorder="1" applyAlignment="1">
      <alignment vertical="center"/>
    </xf>
    <xf numFmtId="0" fontId="7" fillId="4" borderId="26" xfId="6" applyFont="1" applyFill="1" applyBorder="1" applyAlignment="1">
      <alignment vertical="center"/>
    </xf>
    <xf numFmtId="0" fontId="8" fillId="5" borderId="27" xfId="6" applyFont="1" applyFill="1" applyBorder="1" applyAlignment="1">
      <alignment vertical="center"/>
    </xf>
    <xf numFmtId="0" fontId="7" fillId="5" borderId="28" xfId="6" applyFont="1" applyFill="1" applyBorder="1" applyAlignment="1">
      <alignment vertical="center"/>
    </xf>
    <xf numFmtId="0" fontId="7" fillId="5" borderId="29" xfId="6" applyFont="1" applyFill="1" applyBorder="1" applyAlignment="1">
      <alignment vertical="center"/>
    </xf>
    <xf numFmtId="0" fontId="7" fillId="5" borderId="1" xfId="6" applyFont="1" applyFill="1" applyBorder="1" applyAlignment="1">
      <alignment vertical="center"/>
    </xf>
    <xf numFmtId="0" fontId="7" fillId="5" borderId="0" xfId="6" applyFont="1" applyFill="1" applyAlignment="1">
      <alignment vertical="center"/>
    </xf>
    <xf numFmtId="0" fontId="7" fillId="5" borderId="4" xfId="6" applyFont="1" applyFill="1" applyBorder="1" applyAlignment="1">
      <alignment vertical="center"/>
    </xf>
    <xf numFmtId="0" fontId="7" fillId="5" borderId="2" xfId="6" applyFont="1" applyFill="1" applyBorder="1" applyAlignment="1">
      <alignment vertical="center"/>
    </xf>
    <xf numFmtId="0" fontId="7" fillId="5" borderId="3" xfId="6" applyFont="1" applyFill="1" applyBorder="1" applyAlignment="1">
      <alignment vertical="center"/>
    </xf>
    <xf numFmtId="0" fontId="7" fillId="5" borderId="5" xfId="6" applyFont="1" applyFill="1" applyBorder="1" applyAlignment="1">
      <alignment vertical="center"/>
    </xf>
    <xf numFmtId="0" fontId="8" fillId="3" borderId="24" xfId="6" applyFont="1" applyFill="1" applyBorder="1"/>
    <xf numFmtId="0" fontId="8" fillId="3" borderId="25" xfId="6" applyFont="1" applyFill="1" applyBorder="1"/>
    <xf numFmtId="0" fontId="8" fillId="3" borderId="26" xfId="6" applyFont="1" applyFill="1" applyBorder="1"/>
    <xf numFmtId="0" fontId="8" fillId="3" borderId="27" xfId="6" applyFont="1" applyFill="1" applyBorder="1" applyAlignment="1">
      <alignment vertical="center" wrapText="1"/>
    </xf>
    <xf numFmtId="0" fontId="7" fillId="3" borderId="28" xfId="6" applyFont="1" applyFill="1" applyBorder="1" applyAlignment="1">
      <alignment vertical="center" wrapText="1"/>
    </xf>
    <xf numFmtId="0" fontId="7" fillId="3" borderId="29" xfId="6" applyFont="1" applyFill="1" applyBorder="1" applyAlignment="1">
      <alignment vertical="center" wrapText="1"/>
    </xf>
    <xf numFmtId="0" fontId="7" fillId="3" borderId="2" xfId="6" applyFont="1" applyFill="1" applyBorder="1" applyAlignment="1">
      <alignment vertical="center" wrapText="1"/>
    </xf>
    <xf numFmtId="0" fontId="7" fillId="3" borderId="3" xfId="6" applyFont="1" applyFill="1" applyBorder="1" applyAlignment="1">
      <alignment vertical="center" wrapText="1"/>
    </xf>
    <xf numFmtId="0" fontId="7" fillId="3" borderId="5" xfId="6" applyFont="1" applyFill="1" applyBorder="1" applyAlignment="1">
      <alignment vertical="center" wrapText="1"/>
    </xf>
    <xf numFmtId="0" fontId="8" fillId="3" borderId="27" xfId="6" applyFont="1" applyFill="1" applyBorder="1" applyAlignment="1">
      <alignment vertical="center"/>
    </xf>
    <xf numFmtId="0" fontId="7" fillId="3" borderId="28" xfId="6" applyFont="1" applyFill="1" applyBorder="1" applyAlignment="1">
      <alignment vertical="center"/>
    </xf>
    <xf numFmtId="0" fontId="7" fillId="3" borderId="29" xfId="6" applyFont="1" applyFill="1" applyBorder="1" applyAlignment="1">
      <alignment vertical="center"/>
    </xf>
    <xf numFmtId="0" fontId="7" fillId="3" borderId="2" xfId="6" applyFont="1" applyFill="1" applyBorder="1" applyAlignment="1">
      <alignment vertical="center"/>
    </xf>
    <xf numFmtId="0" fontId="7" fillId="3" borderId="3" xfId="6" applyFont="1" applyFill="1" applyBorder="1" applyAlignment="1">
      <alignment vertical="center"/>
    </xf>
    <xf numFmtId="0" fontId="7" fillId="3" borderId="5" xfId="6" applyFont="1" applyFill="1" applyBorder="1" applyAlignment="1">
      <alignment vertical="center"/>
    </xf>
    <xf numFmtId="0" fontId="7" fillId="4" borderId="27" xfId="6" applyFont="1" applyFill="1" applyBorder="1" applyAlignment="1">
      <alignment vertical="center" wrapText="1"/>
    </xf>
    <xf numFmtId="0" fontId="7" fillId="4" borderId="2" xfId="6" applyFont="1" applyFill="1" applyBorder="1" applyAlignment="1">
      <alignment vertical="center" wrapText="1"/>
    </xf>
    <xf numFmtId="0" fontId="8" fillId="4" borderId="38" xfId="6" applyFont="1" applyFill="1" applyBorder="1" applyAlignment="1">
      <alignment vertical="center" wrapText="1"/>
    </xf>
    <xf numFmtId="0" fontId="8" fillId="4" borderId="39" xfId="6" applyFont="1" applyFill="1" applyBorder="1" applyAlignment="1">
      <alignment vertical="center" wrapText="1"/>
    </xf>
    <xf numFmtId="0" fontId="8" fillId="4" borderId="29" xfId="6" applyFont="1" applyFill="1" applyBorder="1" applyAlignment="1">
      <alignment vertical="center" wrapText="1"/>
    </xf>
    <xf numFmtId="0" fontId="8" fillId="4" borderId="5" xfId="6" applyFont="1" applyFill="1" applyBorder="1" applyAlignment="1">
      <alignment vertical="center" wrapText="1"/>
    </xf>
    <xf numFmtId="0" fontId="7" fillId="4" borderId="41" xfId="6" applyFont="1" applyFill="1" applyBorder="1" applyAlignment="1">
      <alignment vertical="center"/>
    </xf>
    <xf numFmtId="0" fontId="8" fillId="4" borderId="42" xfId="6" applyFont="1" applyFill="1" applyBorder="1" applyAlignment="1">
      <alignment vertical="center"/>
    </xf>
    <xf numFmtId="0" fontId="8" fillId="0" borderId="33" xfId="6" applyFont="1" applyBorder="1" applyAlignment="1">
      <alignment vertical="center"/>
    </xf>
    <xf numFmtId="0" fontId="8" fillId="0" borderId="22" xfId="6" applyFont="1" applyBorder="1" applyAlignment="1">
      <alignment vertical="center"/>
    </xf>
    <xf numFmtId="0" fontId="8" fillId="0" borderId="32" xfId="6" applyFont="1" applyBorder="1" applyAlignment="1">
      <alignment horizontal="center" vertical="center" wrapText="1"/>
    </xf>
    <xf numFmtId="0" fontId="8" fillId="0" borderId="33" xfId="6" applyFont="1" applyBorder="1" applyAlignment="1">
      <alignment horizontal="center" vertical="center" wrapText="1"/>
    </xf>
    <xf numFmtId="0" fontId="8" fillId="0" borderId="22" xfId="6" applyFont="1" applyBorder="1" applyAlignment="1">
      <alignment horizontal="center" vertical="center" wrapText="1"/>
    </xf>
    <xf numFmtId="0" fontId="7" fillId="0" borderId="32" xfId="6" applyFont="1" applyBorder="1" applyAlignment="1">
      <alignment horizontal="left" vertical="center"/>
    </xf>
    <xf numFmtId="0" fontId="7" fillId="0" borderId="33" xfId="6" applyFont="1" applyBorder="1" applyAlignment="1">
      <alignment horizontal="left" vertical="center"/>
    </xf>
    <xf numFmtId="0" fontId="7" fillId="0" borderId="22" xfId="6" applyFont="1" applyBorder="1" applyAlignment="1">
      <alignment horizontal="left" vertical="center"/>
    </xf>
    <xf numFmtId="0" fontId="7" fillId="0" borderId="31" xfId="6" applyFont="1" applyBorder="1" applyAlignment="1">
      <alignment horizontal="center" vertical="center"/>
    </xf>
    <xf numFmtId="0" fontId="0" fillId="0" borderId="30" xfId="6" applyFont="1" applyBorder="1" applyAlignment="1">
      <alignment vertical="center" wrapText="1"/>
    </xf>
    <xf numFmtId="0" fontId="0" fillId="0" borderId="31" xfId="6" applyFont="1" applyBorder="1" applyAlignment="1">
      <alignment vertical="center" wrapText="1"/>
    </xf>
    <xf numFmtId="0" fontId="0" fillId="0" borderId="16" xfId="6" applyFont="1" applyBorder="1" applyAlignment="1">
      <alignment vertical="center" wrapText="1"/>
    </xf>
    <xf numFmtId="0" fontId="0" fillId="0" borderId="37" xfId="6" applyFont="1" applyBorder="1" applyAlignment="1">
      <alignment vertical="center" wrapText="1"/>
    </xf>
    <xf numFmtId="0" fontId="0" fillId="0" borderId="21" xfId="6" applyFont="1" applyBorder="1" applyAlignment="1">
      <alignment vertical="center" wrapText="1"/>
    </xf>
    <xf numFmtId="0" fontId="0" fillId="0" borderId="32" xfId="6" applyFont="1" applyBorder="1" applyAlignment="1">
      <alignment vertical="center" wrapText="1"/>
    </xf>
    <xf numFmtId="0" fontId="0" fillId="0" borderId="33" xfId="6" applyFont="1" applyBorder="1" applyAlignment="1">
      <alignment vertical="center" wrapText="1"/>
    </xf>
    <xf numFmtId="0" fontId="0" fillId="0" borderId="22" xfId="6" applyFont="1" applyBorder="1" applyAlignment="1">
      <alignment vertical="center" wrapText="1"/>
    </xf>
    <xf numFmtId="0" fontId="7" fillId="0" borderId="34" xfId="6" applyFont="1" applyBorder="1" applyAlignment="1">
      <alignment vertical="center" wrapText="1"/>
    </xf>
    <xf numFmtId="0" fontId="7" fillId="0" borderId="35" xfId="6" applyFont="1" applyBorder="1" applyAlignment="1">
      <alignment vertical="center" wrapText="1"/>
    </xf>
    <xf numFmtId="0" fontId="7" fillId="0" borderId="23" xfId="6" applyFont="1" applyBorder="1" applyAlignment="1">
      <alignment vertical="center" wrapText="1"/>
    </xf>
    <xf numFmtId="0" fontId="8" fillId="0" borderId="34" xfId="6" applyFont="1" applyBorder="1" applyAlignment="1">
      <alignment vertical="center"/>
    </xf>
    <xf numFmtId="0" fontId="8" fillId="0" borderId="35" xfId="6" applyFont="1" applyBorder="1" applyAlignment="1">
      <alignment vertical="center"/>
    </xf>
    <xf numFmtId="0" fontId="8" fillId="0" borderId="23" xfId="6" applyFont="1" applyBorder="1" applyAlignment="1">
      <alignment vertical="center"/>
    </xf>
    <xf numFmtId="0" fontId="8" fillId="0" borderId="34" xfId="6" applyFont="1" applyBorder="1" applyAlignment="1">
      <alignment horizontal="center" vertical="center"/>
    </xf>
    <xf numFmtId="0" fontId="8" fillId="0" borderId="3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8" fillId="0" borderId="34" xfId="6" applyFont="1" applyBorder="1" applyAlignment="1">
      <alignment horizontal="center" vertical="center" wrapText="1"/>
    </xf>
    <xf numFmtId="0" fontId="8" fillId="0" borderId="35" xfId="6" applyFont="1" applyBorder="1" applyAlignment="1">
      <alignment horizontal="center" vertical="center" wrapText="1"/>
    </xf>
    <xf numFmtId="0" fontId="8" fillId="0" borderId="23" xfId="6" applyFont="1" applyBorder="1" applyAlignment="1">
      <alignment horizontal="center" vertical="center" wrapText="1"/>
    </xf>
    <xf numFmtId="0" fontId="0" fillId="0" borderId="34" xfId="6" quotePrefix="1" applyFont="1" applyBorder="1" applyAlignment="1">
      <alignment horizontal="left" vertical="center" wrapText="1"/>
    </xf>
    <xf numFmtId="0" fontId="0" fillId="0" borderId="35" xfId="6" applyFont="1" applyBorder="1" applyAlignment="1">
      <alignment horizontal="left" vertical="center"/>
    </xf>
    <xf numFmtId="0" fontId="0" fillId="0" borderId="23" xfId="6" applyFont="1" applyBorder="1" applyAlignment="1">
      <alignment horizontal="left" vertical="center"/>
    </xf>
    <xf numFmtId="0" fontId="7" fillId="0" borderId="34" xfId="6" applyFont="1" applyBorder="1" applyAlignment="1">
      <alignment horizontal="left" vertical="center"/>
    </xf>
    <xf numFmtId="0" fontId="7" fillId="0" borderId="35" xfId="6" applyFont="1" applyBorder="1" applyAlignment="1">
      <alignment horizontal="left" vertical="center"/>
    </xf>
    <xf numFmtId="0" fontId="7" fillId="0" borderId="23" xfId="6" applyFont="1" applyBorder="1" applyAlignment="1">
      <alignment horizontal="left" vertical="center"/>
    </xf>
    <xf numFmtId="0" fontId="7" fillId="0" borderId="30" xfId="6" applyFont="1" applyBorder="1" applyAlignment="1">
      <alignment vertical="center"/>
    </xf>
    <xf numFmtId="0" fontId="7" fillId="0" borderId="31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36" xfId="6" applyFont="1" applyBorder="1" applyAlignment="1">
      <alignment vertical="center"/>
    </xf>
    <xf numFmtId="0" fontId="8" fillId="0" borderId="30" xfId="6" applyFont="1" applyBorder="1" applyAlignment="1">
      <alignment horizontal="center" vertical="center"/>
    </xf>
    <xf numFmtId="0" fontId="8" fillId="0" borderId="30" xfId="6" applyFont="1" applyBorder="1" applyAlignment="1">
      <alignment horizontal="center" vertical="center" wrapText="1"/>
    </xf>
    <xf numFmtId="0" fontId="8" fillId="0" borderId="31" xfId="6" applyFont="1" applyBorder="1" applyAlignment="1">
      <alignment horizontal="center" vertical="center" wrapText="1"/>
    </xf>
    <xf numFmtId="0" fontId="8" fillId="0" borderId="16" xfId="6" applyFont="1" applyBorder="1" applyAlignment="1">
      <alignment horizontal="center" vertical="center" wrapText="1"/>
    </xf>
    <xf numFmtId="0" fontId="7" fillId="0" borderId="30" xfId="6" applyFont="1" applyBorder="1" applyAlignment="1">
      <alignment horizontal="left" vertical="center"/>
    </xf>
    <xf numFmtId="0" fontId="7" fillId="0" borderId="31" xfId="6" applyFont="1" applyBorder="1" applyAlignment="1">
      <alignment horizontal="left" vertical="center"/>
    </xf>
    <xf numFmtId="0" fontId="7" fillId="0" borderId="16" xfId="6" applyFont="1" applyBorder="1" applyAlignment="1">
      <alignment horizontal="left" vertical="center"/>
    </xf>
    <xf numFmtId="0" fontId="7" fillId="0" borderId="27" xfId="6" applyFont="1" applyBorder="1" applyAlignment="1">
      <alignment horizontal="center" vertical="center"/>
    </xf>
    <xf numFmtId="0" fontId="7" fillId="0" borderId="28" xfId="6" applyFont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" fillId="2" borderId="24" xfId="6" applyFont="1" applyFill="1" applyBorder="1" applyAlignment="1">
      <alignment horizontal="center" vertical="center"/>
    </xf>
    <xf numFmtId="0" fontId="2" fillId="2" borderId="25" xfId="6" applyFont="1" applyFill="1" applyBorder="1" applyAlignment="1">
      <alignment horizontal="center" vertical="center"/>
    </xf>
    <xf numFmtId="0" fontId="2" fillId="2" borderId="26" xfId="6" applyFont="1" applyFill="1" applyBorder="1" applyAlignment="1">
      <alignment horizontal="center" vertical="center"/>
    </xf>
    <xf numFmtId="0" fontId="3" fillId="0" borderId="27" xfId="6" applyFont="1" applyBorder="1" applyAlignment="1">
      <alignment horizontal="center" vertical="center"/>
    </xf>
    <xf numFmtId="0" fontId="3" fillId="0" borderId="28" xfId="6" applyFont="1" applyBorder="1" applyAlignment="1">
      <alignment horizontal="center" vertical="center"/>
    </xf>
    <xf numFmtId="0" fontId="3" fillId="0" borderId="29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7" fillId="0" borderId="26" xfId="6" applyFont="1" applyBorder="1" applyAlignment="1">
      <alignment horizontal="center" vertical="center"/>
    </xf>
    <xf numFmtId="0" fontId="8" fillId="0" borderId="24" xfId="6" applyFont="1" applyBorder="1" applyAlignment="1">
      <alignment horizontal="center" vertical="center"/>
    </xf>
    <xf numFmtId="0" fontId="7" fillId="0" borderId="34" xfId="6" applyFont="1" applyBorder="1" applyAlignment="1">
      <alignment horizontal="center" vertical="center"/>
    </xf>
    <xf numFmtId="0" fontId="7" fillId="0" borderId="3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0" fillId="0" borderId="36" xfId="6" applyFont="1" applyBorder="1" applyAlignment="1">
      <alignment vertical="center"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97</xdr:row>
      <xdr:rowOff>9525</xdr:rowOff>
    </xdr:from>
    <xdr:to>
      <xdr:col>52</xdr:col>
      <xdr:colOff>18541</xdr:colOff>
      <xdr:row>126</xdr:row>
      <xdr:rowOff>9525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21869400"/>
          <a:ext cx="13087350" cy="5800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52</xdr:col>
      <xdr:colOff>0</xdr:colOff>
      <xdr:row>82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100" y="10991850"/>
          <a:ext cx="13068300" cy="5800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52</xdr:col>
      <xdr:colOff>67235</xdr:colOff>
      <xdr:row>39</xdr:row>
      <xdr:rowOff>52965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100" y="1828800"/>
          <a:ext cx="13134975" cy="57626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</xdr:row>
      <xdr:rowOff>145675</xdr:rowOff>
    </xdr:from>
    <xdr:to>
      <xdr:col>12</xdr:col>
      <xdr:colOff>123266</xdr:colOff>
      <xdr:row>39</xdr:row>
      <xdr:rowOff>67234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800100" y="2352675"/>
          <a:ext cx="2524125" cy="52482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33619</xdr:colOff>
      <xdr:row>7</xdr:row>
      <xdr:rowOff>78441</xdr:rowOff>
    </xdr:from>
    <xdr:to>
      <xdr:col>15</xdr:col>
      <xdr:colOff>209775</xdr:colOff>
      <xdr:row>9</xdr:row>
      <xdr:rowOff>57419</xdr:rowOff>
    </xdr:to>
    <xdr:sp macro="" textlink="" fLocksText="0">
      <xdr:nvSpPr>
        <xdr:cNvPr id="5" name="Callout: 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771900" y="1524000"/>
          <a:ext cx="438150" cy="361950"/>
        </a:xfrm>
        <a:prstGeom prst="borderCallout1">
          <a:avLst>
            <a:gd name="adj1" fmla="val 46750"/>
            <a:gd name="adj2" fmla="val 2012"/>
            <a:gd name="adj3" fmla="val 138427"/>
            <a:gd name="adj4" fmla="val -596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33618</xdr:colOff>
      <xdr:row>11</xdr:row>
      <xdr:rowOff>11206</xdr:rowOff>
    </xdr:from>
    <xdr:to>
      <xdr:col>11</xdr:col>
      <xdr:colOff>209774</xdr:colOff>
      <xdr:row>12</xdr:row>
      <xdr:rowOff>180684</xdr:rowOff>
    </xdr:to>
    <xdr:sp macro="" textlink="" fLocksText="0">
      <xdr:nvSpPr>
        <xdr:cNvPr id="6" name="Callout: 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705100" y="2219325"/>
          <a:ext cx="438150" cy="361950"/>
        </a:xfrm>
        <a:prstGeom prst="borderCallout1">
          <a:avLst>
            <a:gd name="adj1" fmla="val 46750"/>
            <a:gd name="adj2" fmla="val 2012"/>
            <a:gd name="adj3" fmla="val 91733"/>
            <a:gd name="adj4" fmla="val -6512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11</xdr:col>
      <xdr:colOff>11206</xdr:colOff>
      <xdr:row>18</xdr:row>
      <xdr:rowOff>89647</xdr:rowOff>
    </xdr:from>
    <xdr:to>
      <xdr:col>12</xdr:col>
      <xdr:colOff>187363</xdr:colOff>
      <xdr:row>20</xdr:row>
      <xdr:rowOff>68625</xdr:rowOff>
    </xdr:to>
    <xdr:sp macro="" textlink="" fLocksText="0">
      <xdr:nvSpPr>
        <xdr:cNvPr id="7" name="Callout: Lin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43225" y="3629025"/>
          <a:ext cx="447675" cy="361950"/>
        </a:xfrm>
        <a:prstGeom prst="borderCallout1">
          <a:avLst>
            <a:gd name="adj1" fmla="val 46750"/>
            <a:gd name="adj2" fmla="val 2012"/>
            <a:gd name="adj3" fmla="val 138427"/>
            <a:gd name="adj4" fmla="val -596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</xdr:col>
      <xdr:colOff>47625</xdr:colOff>
      <xdr:row>55</xdr:row>
      <xdr:rowOff>19050</xdr:rowOff>
    </xdr:from>
    <xdr:to>
      <xdr:col>2</xdr:col>
      <xdr:colOff>171451</xdr:colOff>
      <xdr:row>56</xdr:row>
      <xdr:rowOff>179003</xdr:rowOff>
    </xdr:to>
    <xdr:sp macro="" textlink="" fLocksText="0">
      <xdr:nvSpPr>
        <xdr:cNvPr id="9" name="Callout: Lin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 flipH="1">
          <a:off x="314325" y="11410950"/>
          <a:ext cx="390525" cy="361950"/>
        </a:xfrm>
        <a:prstGeom prst="borderCallout1">
          <a:avLst>
            <a:gd name="adj1" fmla="val 46750"/>
            <a:gd name="adj2" fmla="val 2012"/>
            <a:gd name="adj3" fmla="val 75857"/>
            <a:gd name="adj4" fmla="val -122208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13</xdr:col>
      <xdr:colOff>161925</xdr:colOff>
      <xdr:row>53</xdr:row>
      <xdr:rowOff>180975</xdr:rowOff>
    </xdr:from>
    <xdr:to>
      <xdr:col>15</xdr:col>
      <xdr:colOff>99956</xdr:colOff>
      <xdr:row>55</xdr:row>
      <xdr:rowOff>140903</xdr:rowOff>
    </xdr:to>
    <xdr:sp macro="" textlink="" fLocksText="0">
      <xdr:nvSpPr>
        <xdr:cNvPr id="10" name="Callout: Lin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629025" y="11172825"/>
          <a:ext cx="466725" cy="361950"/>
        </a:xfrm>
        <a:prstGeom prst="borderCallout1">
          <a:avLst>
            <a:gd name="adj1" fmla="val 46750"/>
            <a:gd name="adj2" fmla="val 2012"/>
            <a:gd name="adj3" fmla="val 120839"/>
            <a:gd name="adj4" fmla="val -5823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19</xdr:col>
      <xdr:colOff>38100</xdr:colOff>
      <xdr:row>54</xdr:row>
      <xdr:rowOff>171450</xdr:rowOff>
    </xdr:from>
    <xdr:to>
      <xdr:col>20</xdr:col>
      <xdr:colOff>214256</xdr:colOff>
      <xdr:row>56</xdr:row>
      <xdr:rowOff>131378</xdr:rowOff>
    </xdr:to>
    <xdr:sp macro="" textlink="" fLocksText="0">
      <xdr:nvSpPr>
        <xdr:cNvPr id="11" name="Callout: Lin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05400" y="11363325"/>
          <a:ext cx="438150" cy="361950"/>
        </a:xfrm>
        <a:prstGeom prst="borderCallout1">
          <a:avLst>
            <a:gd name="adj1" fmla="val 46750"/>
            <a:gd name="adj2" fmla="val 2012"/>
            <a:gd name="adj3" fmla="val 91733"/>
            <a:gd name="adj4" fmla="val -6512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1</xdr:col>
      <xdr:colOff>85725</xdr:colOff>
      <xdr:row>101</xdr:row>
      <xdr:rowOff>66675</xdr:rowOff>
    </xdr:from>
    <xdr:to>
      <xdr:col>2</xdr:col>
      <xdr:colOff>209551</xdr:colOff>
      <xdr:row>103</xdr:row>
      <xdr:rowOff>26603</xdr:rowOff>
    </xdr:to>
    <xdr:sp macro="" textlink="" fLocksText="0">
      <xdr:nvSpPr>
        <xdr:cNvPr id="13" name="Callout: Lin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 flipH="1">
          <a:off x="352425" y="22726650"/>
          <a:ext cx="390525" cy="361950"/>
        </a:xfrm>
        <a:prstGeom prst="borderCallout1">
          <a:avLst>
            <a:gd name="adj1" fmla="val 46750"/>
            <a:gd name="adj2" fmla="val 2012"/>
            <a:gd name="adj3" fmla="val 89087"/>
            <a:gd name="adj4" fmla="val -9062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16</xdr:col>
      <xdr:colOff>38100</xdr:colOff>
      <xdr:row>101</xdr:row>
      <xdr:rowOff>66675</xdr:rowOff>
    </xdr:from>
    <xdr:to>
      <xdr:col>17</xdr:col>
      <xdr:colOff>161926</xdr:colOff>
      <xdr:row>103</xdr:row>
      <xdr:rowOff>26603</xdr:rowOff>
    </xdr:to>
    <xdr:sp macro="" textlink="" fLocksText="0">
      <xdr:nvSpPr>
        <xdr:cNvPr id="15" name="Callout: Lin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 flipH="1">
          <a:off x="4305300" y="22726650"/>
          <a:ext cx="390525" cy="361950"/>
        </a:xfrm>
        <a:prstGeom prst="borderCallout1">
          <a:avLst>
            <a:gd name="adj1" fmla="val 46750"/>
            <a:gd name="adj2" fmla="val 2012"/>
            <a:gd name="adj3" fmla="val 75857"/>
            <a:gd name="adj4" fmla="val -122208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27</xdr:col>
      <xdr:colOff>66675</xdr:colOff>
      <xdr:row>101</xdr:row>
      <xdr:rowOff>47625</xdr:rowOff>
    </xdr:from>
    <xdr:to>
      <xdr:col>28</xdr:col>
      <xdr:colOff>190501</xdr:colOff>
      <xdr:row>103</xdr:row>
      <xdr:rowOff>7553</xdr:rowOff>
    </xdr:to>
    <xdr:sp macro="" textlink="" fLocksText="0">
      <xdr:nvSpPr>
        <xdr:cNvPr id="16" name="Callout: Lin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 flipH="1">
          <a:off x="7267575" y="22707600"/>
          <a:ext cx="390525" cy="361950"/>
        </a:xfrm>
        <a:prstGeom prst="borderCallout1">
          <a:avLst>
            <a:gd name="adj1" fmla="val 46750"/>
            <a:gd name="adj2" fmla="val 2012"/>
            <a:gd name="adj3" fmla="val 86441"/>
            <a:gd name="adj4" fmla="val -87998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32</xdr:col>
      <xdr:colOff>161925</xdr:colOff>
      <xdr:row>101</xdr:row>
      <xdr:rowOff>57150</xdr:rowOff>
    </xdr:from>
    <xdr:to>
      <xdr:col>34</xdr:col>
      <xdr:colOff>47626</xdr:colOff>
      <xdr:row>103</xdr:row>
      <xdr:rowOff>17078</xdr:rowOff>
    </xdr:to>
    <xdr:sp macro="" textlink="" fLocksText="0">
      <xdr:nvSpPr>
        <xdr:cNvPr id="17" name="Callout: Lin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 flipH="1">
          <a:off x="8696325" y="22717125"/>
          <a:ext cx="419100" cy="361950"/>
        </a:xfrm>
        <a:prstGeom prst="borderCallout1">
          <a:avLst>
            <a:gd name="adj1" fmla="val 46750"/>
            <a:gd name="adj2" fmla="val 2012"/>
            <a:gd name="adj3" fmla="val 91733"/>
            <a:gd name="adj4" fmla="val -511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38</xdr:col>
      <xdr:colOff>142875</xdr:colOff>
      <xdr:row>101</xdr:row>
      <xdr:rowOff>57150</xdr:rowOff>
    </xdr:from>
    <xdr:to>
      <xdr:col>40</xdr:col>
      <xdr:colOff>28576</xdr:colOff>
      <xdr:row>103</xdr:row>
      <xdr:rowOff>17078</xdr:rowOff>
    </xdr:to>
    <xdr:sp macro="" textlink="" fLocksText="0">
      <xdr:nvSpPr>
        <xdr:cNvPr id="18" name="Callout: Lin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 flipH="1">
          <a:off x="10277475" y="22717125"/>
          <a:ext cx="419100" cy="361950"/>
        </a:xfrm>
        <a:prstGeom prst="borderCallout1">
          <a:avLst>
            <a:gd name="adj1" fmla="val 46750"/>
            <a:gd name="adj2" fmla="val 2012"/>
            <a:gd name="adj3" fmla="val 97025"/>
            <a:gd name="adj4" fmla="val -5378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43</xdr:col>
      <xdr:colOff>104775</xdr:colOff>
      <xdr:row>101</xdr:row>
      <xdr:rowOff>57150</xdr:rowOff>
    </xdr:from>
    <xdr:to>
      <xdr:col>44</xdr:col>
      <xdr:colOff>228601</xdr:colOff>
      <xdr:row>103</xdr:row>
      <xdr:rowOff>17078</xdr:rowOff>
    </xdr:to>
    <xdr:sp macro="" textlink="" fLocksText="0">
      <xdr:nvSpPr>
        <xdr:cNvPr id="21" name="Callout: Lin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 flipH="1">
          <a:off x="11572875" y="22717125"/>
          <a:ext cx="390525" cy="361950"/>
        </a:xfrm>
        <a:prstGeom prst="borderCallout1">
          <a:avLst>
            <a:gd name="adj1" fmla="val 46750"/>
            <a:gd name="adj2" fmla="val 2012"/>
            <a:gd name="adj3" fmla="val 70565"/>
            <a:gd name="adj4" fmla="val -72208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52</xdr:col>
      <xdr:colOff>38100</xdr:colOff>
      <xdr:row>101</xdr:row>
      <xdr:rowOff>76200</xdr:rowOff>
    </xdr:from>
    <xdr:to>
      <xdr:col>53</xdr:col>
      <xdr:colOff>171450</xdr:colOff>
      <xdr:row>103</xdr:row>
      <xdr:rowOff>36128</xdr:rowOff>
    </xdr:to>
    <xdr:sp macro="" textlink="" fLocksText="0">
      <xdr:nvSpPr>
        <xdr:cNvPr id="23" name="Callout: Lin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3906500" y="22736175"/>
          <a:ext cx="400050" cy="361950"/>
        </a:xfrm>
        <a:prstGeom prst="borderCallout1">
          <a:avLst>
            <a:gd name="adj1" fmla="val 46750"/>
            <a:gd name="adj2" fmla="val 2012"/>
            <a:gd name="adj3" fmla="val 91733"/>
            <a:gd name="adj4" fmla="val -6512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11</xdr:col>
      <xdr:colOff>200025</xdr:colOff>
      <xdr:row>101</xdr:row>
      <xdr:rowOff>85725</xdr:rowOff>
    </xdr:from>
    <xdr:to>
      <xdr:col>13</xdr:col>
      <xdr:colOff>76200</xdr:colOff>
      <xdr:row>103</xdr:row>
      <xdr:rowOff>45653</xdr:rowOff>
    </xdr:to>
    <xdr:sp macro="" textlink="" fLocksText="0">
      <xdr:nvSpPr>
        <xdr:cNvPr id="24" name="Callout: Lin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3133725" y="22745700"/>
          <a:ext cx="409575" cy="361950"/>
        </a:xfrm>
        <a:prstGeom prst="borderCallout1">
          <a:avLst>
            <a:gd name="adj1" fmla="val 46750"/>
            <a:gd name="adj2" fmla="val 2012"/>
            <a:gd name="adj3" fmla="val 91733"/>
            <a:gd name="adj4" fmla="val -6512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</xdr:col>
      <xdr:colOff>66675</xdr:colOff>
      <xdr:row>104</xdr:row>
      <xdr:rowOff>95250</xdr:rowOff>
    </xdr:from>
    <xdr:to>
      <xdr:col>3</xdr:col>
      <xdr:colOff>1</xdr:colOff>
      <xdr:row>106</xdr:row>
      <xdr:rowOff>55178</xdr:rowOff>
    </xdr:to>
    <xdr:sp macro="" textlink="" fLocksText="0">
      <xdr:nvSpPr>
        <xdr:cNvPr id="25" name="Callout: Lin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 flipH="1">
          <a:off x="333375" y="23355300"/>
          <a:ext cx="466725" cy="361950"/>
        </a:xfrm>
        <a:prstGeom prst="borderCallout1">
          <a:avLst>
            <a:gd name="adj1" fmla="val 46750"/>
            <a:gd name="adj2" fmla="val 2012"/>
            <a:gd name="adj3" fmla="val 89087"/>
            <a:gd name="adj4" fmla="val -9062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1.1</a:t>
          </a:r>
        </a:p>
      </xdr:txBody>
    </xdr:sp>
    <xdr:clientData/>
  </xdr:twoCellAnchor>
  <xdr:twoCellAnchor>
    <xdr:from>
      <xdr:col>15</xdr:col>
      <xdr:colOff>180975</xdr:colOff>
      <xdr:row>104</xdr:row>
      <xdr:rowOff>57150</xdr:rowOff>
    </xdr:from>
    <xdr:to>
      <xdr:col>17</xdr:col>
      <xdr:colOff>152401</xdr:colOff>
      <xdr:row>106</xdr:row>
      <xdr:rowOff>17078</xdr:rowOff>
    </xdr:to>
    <xdr:sp macro="" textlink="" fLocksText="0">
      <xdr:nvSpPr>
        <xdr:cNvPr id="26" name="Callout: Lin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 flipH="1">
          <a:off x="4181475" y="23317200"/>
          <a:ext cx="504825" cy="361950"/>
        </a:xfrm>
        <a:prstGeom prst="borderCallout1">
          <a:avLst>
            <a:gd name="adj1" fmla="val 46750"/>
            <a:gd name="adj2" fmla="val 2012"/>
            <a:gd name="adj3" fmla="val 75857"/>
            <a:gd name="adj4" fmla="val -122208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3.1</a:t>
          </a:r>
        </a:p>
      </xdr:txBody>
    </xdr:sp>
    <xdr:clientData/>
  </xdr:twoCellAnchor>
  <xdr:twoCellAnchor>
    <xdr:from>
      <xdr:col>27</xdr:col>
      <xdr:colOff>9525</xdr:colOff>
      <xdr:row>104</xdr:row>
      <xdr:rowOff>38100</xdr:rowOff>
    </xdr:from>
    <xdr:to>
      <xdr:col>28</xdr:col>
      <xdr:colOff>180976</xdr:colOff>
      <xdr:row>105</xdr:row>
      <xdr:rowOff>198053</xdr:rowOff>
    </xdr:to>
    <xdr:sp macro="" textlink="" fLocksText="0">
      <xdr:nvSpPr>
        <xdr:cNvPr id="27" name="Callout: Lin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 flipH="1">
          <a:off x="7210425" y="23298150"/>
          <a:ext cx="438150" cy="361950"/>
        </a:xfrm>
        <a:prstGeom prst="borderCallout1">
          <a:avLst>
            <a:gd name="adj1" fmla="val 46750"/>
            <a:gd name="adj2" fmla="val 2012"/>
            <a:gd name="adj3" fmla="val 86441"/>
            <a:gd name="adj4" fmla="val -87998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4.1</a:t>
          </a:r>
        </a:p>
      </xdr:txBody>
    </xdr:sp>
    <xdr:clientData/>
  </xdr:twoCellAnchor>
  <xdr:twoCellAnchor>
    <xdr:from>
      <xdr:col>31</xdr:col>
      <xdr:colOff>114300</xdr:colOff>
      <xdr:row>104</xdr:row>
      <xdr:rowOff>19050</xdr:rowOff>
    </xdr:from>
    <xdr:to>
      <xdr:col>33</xdr:col>
      <xdr:colOff>66676</xdr:colOff>
      <xdr:row>105</xdr:row>
      <xdr:rowOff>179003</xdr:rowOff>
    </xdr:to>
    <xdr:sp macro="" textlink="" fLocksText="0">
      <xdr:nvSpPr>
        <xdr:cNvPr id="28" name="Callout: Lin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 flipH="1">
          <a:off x="8382000" y="23279100"/>
          <a:ext cx="485775" cy="361950"/>
        </a:xfrm>
        <a:prstGeom prst="borderCallout1">
          <a:avLst>
            <a:gd name="adj1" fmla="val 46750"/>
            <a:gd name="adj2" fmla="val 2012"/>
            <a:gd name="adj3" fmla="val 91733"/>
            <a:gd name="adj4" fmla="val -511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5.1</a:t>
          </a:r>
        </a:p>
      </xdr:txBody>
    </xdr:sp>
    <xdr:clientData/>
  </xdr:twoCellAnchor>
  <xdr:twoCellAnchor>
    <xdr:from>
      <xdr:col>37</xdr:col>
      <xdr:colOff>9525</xdr:colOff>
      <xdr:row>104</xdr:row>
      <xdr:rowOff>19050</xdr:rowOff>
    </xdr:from>
    <xdr:to>
      <xdr:col>38</xdr:col>
      <xdr:colOff>200026</xdr:colOff>
      <xdr:row>105</xdr:row>
      <xdr:rowOff>179003</xdr:rowOff>
    </xdr:to>
    <xdr:sp macro="" textlink="" fLocksText="0">
      <xdr:nvSpPr>
        <xdr:cNvPr id="29" name="Callout: Lin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 flipH="1">
          <a:off x="9877425" y="23279100"/>
          <a:ext cx="457200" cy="361950"/>
        </a:xfrm>
        <a:prstGeom prst="borderCallout1">
          <a:avLst>
            <a:gd name="adj1" fmla="val 46750"/>
            <a:gd name="adj2" fmla="val 2012"/>
            <a:gd name="adj3" fmla="val 97025"/>
            <a:gd name="adj4" fmla="val -5378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6.1</a:t>
          </a:r>
        </a:p>
      </xdr:txBody>
    </xdr:sp>
    <xdr:clientData/>
  </xdr:twoCellAnchor>
  <xdr:twoCellAnchor>
    <xdr:from>
      <xdr:col>43</xdr:col>
      <xdr:colOff>47625</xdr:colOff>
      <xdr:row>104</xdr:row>
      <xdr:rowOff>76200</xdr:rowOff>
    </xdr:from>
    <xdr:to>
      <xdr:col>44</xdr:col>
      <xdr:colOff>219076</xdr:colOff>
      <xdr:row>106</xdr:row>
      <xdr:rowOff>36128</xdr:rowOff>
    </xdr:to>
    <xdr:sp macro="" textlink="" fLocksText="0">
      <xdr:nvSpPr>
        <xdr:cNvPr id="30" name="Callout: Lin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 flipH="1">
          <a:off x="11515725" y="23336250"/>
          <a:ext cx="438150" cy="361950"/>
        </a:xfrm>
        <a:prstGeom prst="borderCallout1">
          <a:avLst>
            <a:gd name="adj1" fmla="val 46750"/>
            <a:gd name="adj2" fmla="val 2012"/>
            <a:gd name="adj3" fmla="val 75857"/>
            <a:gd name="adj4" fmla="val -62906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7.1</a:t>
          </a:r>
        </a:p>
      </xdr:txBody>
    </xdr:sp>
    <xdr:clientData/>
  </xdr:twoCellAnchor>
  <xdr:twoCellAnchor>
    <xdr:from>
      <xdr:col>52</xdr:col>
      <xdr:colOff>28575</xdr:colOff>
      <xdr:row>104</xdr:row>
      <xdr:rowOff>66675</xdr:rowOff>
    </xdr:from>
    <xdr:to>
      <xdr:col>53</xdr:col>
      <xdr:colOff>219075</xdr:colOff>
      <xdr:row>106</xdr:row>
      <xdr:rowOff>26603</xdr:rowOff>
    </xdr:to>
    <xdr:sp macro="" textlink="" fLocksText="0">
      <xdr:nvSpPr>
        <xdr:cNvPr id="31" name="Callout: Lin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3896975" y="23326725"/>
          <a:ext cx="457200" cy="361950"/>
        </a:xfrm>
        <a:prstGeom prst="borderCallout1">
          <a:avLst>
            <a:gd name="adj1" fmla="val 46750"/>
            <a:gd name="adj2" fmla="val 2012"/>
            <a:gd name="adj3" fmla="val 91733"/>
            <a:gd name="adj4" fmla="val -6512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8.1</a:t>
          </a:r>
        </a:p>
      </xdr:txBody>
    </xdr:sp>
    <xdr:clientData/>
  </xdr:twoCellAnchor>
  <xdr:twoCellAnchor>
    <xdr:from>
      <xdr:col>9</xdr:col>
      <xdr:colOff>209550</xdr:colOff>
      <xdr:row>104</xdr:row>
      <xdr:rowOff>57150</xdr:rowOff>
    </xdr:from>
    <xdr:to>
      <xdr:col>11</xdr:col>
      <xdr:colOff>152400</xdr:colOff>
      <xdr:row>106</xdr:row>
      <xdr:rowOff>17078</xdr:rowOff>
    </xdr:to>
    <xdr:sp macro="" textlink="" fLocksText="0">
      <xdr:nvSpPr>
        <xdr:cNvPr id="32" name="Callout: Lin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2609850" y="23317200"/>
          <a:ext cx="476250" cy="361950"/>
        </a:xfrm>
        <a:prstGeom prst="borderCallout1">
          <a:avLst>
            <a:gd name="adj1" fmla="val 46750"/>
            <a:gd name="adj2" fmla="val 2012"/>
            <a:gd name="adj3" fmla="val 91733"/>
            <a:gd name="adj4" fmla="val -6512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2.1</a:t>
          </a:r>
        </a:p>
      </xdr:txBody>
    </xdr:sp>
    <xdr:clientData/>
  </xdr:twoCellAnchor>
  <xdr:twoCellAnchor>
    <xdr:from>
      <xdr:col>30</xdr:col>
      <xdr:colOff>114300</xdr:colOff>
      <xdr:row>122</xdr:row>
      <xdr:rowOff>9525</xdr:rowOff>
    </xdr:from>
    <xdr:to>
      <xdr:col>32</xdr:col>
      <xdr:colOff>1</xdr:colOff>
      <xdr:row>123</xdr:row>
      <xdr:rowOff>169478</xdr:rowOff>
    </xdr:to>
    <xdr:sp macro="" textlink="" fLocksText="0">
      <xdr:nvSpPr>
        <xdr:cNvPr id="35" name="Callout: Lin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 flipH="1">
          <a:off x="8115300" y="26870025"/>
          <a:ext cx="419100" cy="361950"/>
        </a:xfrm>
        <a:prstGeom prst="borderCallout1">
          <a:avLst>
            <a:gd name="adj1" fmla="val 99670"/>
            <a:gd name="adj2" fmla="val 44117"/>
            <a:gd name="adj3" fmla="val 131423"/>
            <a:gd name="adj4" fmla="val 93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37</xdr:col>
      <xdr:colOff>38100</xdr:colOff>
      <xdr:row>121</xdr:row>
      <xdr:rowOff>104775</xdr:rowOff>
    </xdr:from>
    <xdr:to>
      <xdr:col>38</xdr:col>
      <xdr:colOff>161926</xdr:colOff>
      <xdr:row>123</xdr:row>
      <xdr:rowOff>64703</xdr:rowOff>
    </xdr:to>
    <xdr:sp macro="" textlink="" fLocksText="0">
      <xdr:nvSpPr>
        <xdr:cNvPr id="36" name="Callout: Lin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 flipH="1">
          <a:off x="9906000" y="26765250"/>
          <a:ext cx="390525" cy="361950"/>
        </a:xfrm>
        <a:prstGeom prst="borderCallout1">
          <a:avLst>
            <a:gd name="adj1" fmla="val 99670"/>
            <a:gd name="adj2" fmla="val 44117"/>
            <a:gd name="adj3" fmla="val 131423"/>
            <a:gd name="adj4" fmla="val 93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33</xdr:col>
      <xdr:colOff>171451</xdr:colOff>
      <xdr:row>124</xdr:row>
      <xdr:rowOff>28575</xdr:rowOff>
    </xdr:from>
    <xdr:to>
      <xdr:col>47</xdr:col>
      <xdr:colOff>209550</xdr:colOff>
      <xdr:row>125</xdr:row>
      <xdr:rowOff>193862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8972550" y="27289125"/>
          <a:ext cx="3771900" cy="3619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48</xdr:col>
      <xdr:colOff>142875</xdr:colOff>
      <xdr:row>121</xdr:row>
      <xdr:rowOff>190500</xdr:rowOff>
    </xdr:from>
    <xdr:to>
      <xdr:col>50</xdr:col>
      <xdr:colOff>28576</xdr:colOff>
      <xdr:row>123</xdr:row>
      <xdr:rowOff>150428</xdr:rowOff>
    </xdr:to>
    <xdr:sp macro="" textlink="" fLocksText="0">
      <xdr:nvSpPr>
        <xdr:cNvPr id="38" name="Callout: Lin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 flipH="1">
          <a:off x="12944475" y="26850975"/>
          <a:ext cx="419100" cy="361950"/>
        </a:xfrm>
        <a:prstGeom prst="borderCallout1">
          <a:avLst>
            <a:gd name="adj1" fmla="val 99670"/>
            <a:gd name="adj2" fmla="val 44117"/>
            <a:gd name="adj3" fmla="val 131423"/>
            <a:gd name="adj4" fmla="val 93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/>
      <c r="K1" s="50" t="s">
        <v>2</v>
      </c>
      <c r="L1" s="51"/>
      <c r="M1" s="51"/>
      <c r="N1" s="51"/>
      <c r="O1" s="51"/>
      <c r="P1" s="51"/>
      <c r="Q1" s="51"/>
      <c r="R1" s="51"/>
      <c r="S1" s="51"/>
      <c r="T1" s="51"/>
      <c r="U1" s="51"/>
      <c r="V1" s="52"/>
      <c r="W1" s="72" t="s">
        <v>46</v>
      </c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4"/>
      <c r="AP1" s="50" t="s">
        <v>3</v>
      </c>
      <c r="AQ1" s="51"/>
      <c r="AR1" s="51"/>
      <c r="AS1" s="52"/>
      <c r="AT1" s="50" t="s">
        <v>4</v>
      </c>
      <c r="AU1" s="51"/>
      <c r="AV1" s="51"/>
      <c r="AW1" s="51"/>
      <c r="AX1" s="52"/>
      <c r="AY1" s="50" t="s">
        <v>5</v>
      </c>
      <c r="AZ1" s="51"/>
      <c r="BA1" s="51"/>
      <c r="BB1" s="52"/>
      <c r="BC1" s="50" t="s">
        <v>6</v>
      </c>
      <c r="BD1" s="51"/>
      <c r="BE1" s="51"/>
      <c r="BF1" s="51"/>
      <c r="BG1" s="52"/>
      <c r="BH1" s="50" t="s">
        <v>7</v>
      </c>
      <c r="BI1" s="51"/>
      <c r="BJ1" s="51"/>
      <c r="BK1" s="52"/>
    </row>
    <row r="2" spans="1:63" ht="15" customHeight="1" x14ac:dyDescent="0.25">
      <c r="A2" s="71" t="s">
        <v>40</v>
      </c>
      <c r="B2" s="13"/>
      <c r="C2" s="13"/>
      <c r="D2" s="13"/>
      <c r="E2" s="13"/>
      <c r="F2" s="13"/>
      <c r="G2" s="13"/>
      <c r="H2" s="13"/>
      <c r="I2" s="13"/>
      <c r="J2" s="12"/>
      <c r="K2" s="14" t="s">
        <v>13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75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7"/>
      <c r="AP2" s="14" t="str">
        <f>改訂履歴!$H$11</f>
        <v>SonMNT</v>
      </c>
      <c r="AQ2" s="13"/>
      <c r="AR2" s="13"/>
      <c r="AS2" s="12"/>
      <c r="AT2" s="65">
        <f>改訂履歴!$B$11</f>
        <v>45467</v>
      </c>
      <c r="AU2" s="66"/>
      <c r="AV2" s="66"/>
      <c r="AW2" s="66"/>
      <c r="AX2" s="67"/>
      <c r="AY2" s="14" t="str">
        <f>LOOKUP(2,1/(改訂履歴!H11:H30000&lt;&gt;""),改訂履歴!H11:H30000)</f>
        <v>AnhTTP</v>
      </c>
      <c r="AZ2" s="13"/>
      <c r="BA2" s="13"/>
      <c r="BB2" s="12"/>
      <c r="BC2" s="65">
        <f>LOOKUP(2,1/(改訂履歴!B11:B30000&lt;&gt;""),改訂履歴!B11:B30000)</f>
        <v>45643</v>
      </c>
      <c r="BD2" s="66"/>
      <c r="BE2" s="66"/>
      <c r="BF2" s="66"/>
      <c r="BG2" s="67"/>
      <c r="BH2" s="59" t="str">
        <f>LOOKUP(2,1/(改訂履歴!O11:O30000&lt;&gt;""),改訂履歴!O11:O30000)</f>
        <v>1.0</v>
      </c>
      <c r="BI2" s="60"/>
      <c r="BJ2" s="60"/>
      <c r="BK2" s="61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78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80"/>
      <c r="AP3" s="8"/>
      <c r="AQ3" s="7"/>
      <c r="AR3" s="7"/>
      <c r="AS3" s="6"/>
      <c r="AT3" s="68"/>
      <c r="AU3" s="69"/>
      <c r="AV3" s="69"/>
      <c r="AW3" s="69"/>
      <c r="AX3" s="70"/>
      <c r="AY3" s="8"/>
      <c r="AZ3" s="7"/>
      <c r="BA3" s="7"/>
      <c r="BB3" s="6"/>
      <c r="BC3" s="68"/>
      <c r="BD3" s="69"/>
      <c r="BE3" s="69"/>
      <c r="BF3" s="69"/>
      <c r="BG3" s="70"/>
      <c r="BH3" s="62"/>
      <c r="BI3" s="63"/>
      <c r="BJ3" s="63"/>
      <c r="BK3" s="64"/>
    </row>
    <row r="4" spans="1:63" ht="24.95" customHeight="1" x14ac:dyDescent="0.25">
      <c r="A4" s="50" t="s">
        <v>1</v>
      </c>
      <c r="B4" s="51"/>
      <c r="C4" s="51"/>
      <c r="D4" s="51"/>
      <c r="E4" s="51"/>
      <c r="F4" s="51"/>
      <c r="G4" s="52"/>
      <c r="H4" s="55" t="s">
        <v>48</v>
      </c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  <c r="U4" s="50" t="s">
        <v>8</v>
      </c>
      <c r="V4" s="51"/>
      <c r="W4" s="51"/>
      <c r="X4" s="51"/>
      <c r="Y4" s="52"/>
      <c r="Z4" s="58" t="s">
        <v>42</v>
      </c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7"/>
      <c r="AP4" s="55" t="str">
        <f t="array" aca="1" ref="AP4" ca="1">RIGHT(CELL("filename",$A$1),LEN(CELL("filename",$A$1))-FIND("]",CELL("filename",$A$1)))</f>
        <v>表紙</v>
      </c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7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53" t="s">
        <v>41</v>
      </c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26"/>
      <c r="BK16" s="18"/>
    </row>
    <row r="17" spans="1:63" ht="15" customHeight="1" x14ac:dyDescent="0.25">
      <c r="A17" s="15"/>
      <c r="K17" s="20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26"/>
      <c r="BK17" s="18"/>
    </row>
    <row r="18" spans="1:63" ht="15" customHeight="1" x14ac:dyDescent="0.25">
      <c r="A18" s="15"/>
      <c r="K18" s="20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26"/>
      <c r="BK18" s="18"/>
    </row>
    <row r="19" spans="1:63" ht="15" customHeight="1" x14ac:dyDescent="0.25">
      <c r="A19" s="15"/>
      <c r="K19" s="20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26"/>
      <c r="BK19" s="18"/>
    </row>
    <row r="20" spans="1:63" ht="15" customHeight="1" x14ac:dyDescent="0.25">
      <c r="A20" s="15"/>
      <c r="K20" s="20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26"/>
      <c r="BK20" s="18"/>
    </row>
    <row r="21" spans="1:63" ht="15" customHeight="1" x14ac:dyDescent="0.25">
      <c r="A21" s="15"/>
      <c r="K21" s="20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54" t="str">
        <f>K2&amp;"/"&amp;H4&amp;"/"&amp;Z4</f>
        <v>POSサーバ/10_プロモーションメンテ/画面設計書</v>
      </c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26"/>
      <c r="BK24" s="18"/>
    </row>
    <row r="25" spans="1:63" ht="15" customHeight="1" x14ac:dyDescent="0.25">
      <c r="A25" s="15"/>
      <c r="K25" s="20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26"/>
      <c r="BK25" s="18"/>
    </row>
    <row r="26" spans="1:63" ht="15" customHeight="1" x14ac:dyDescent="0.25">
      <c r="A26" s="15"/>
      <c r="K26" s="20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26"/>
      <c r="BK26" s="18"/>
    </row>
    <row r="27" spans="1:63" ht="15" customHeight="1" x14ac:dyDescent="0.25">
      <c r="A27" s="15"/>
      <c r="K27" s="20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26"/>
      <c r="BK27" s="18"/>
    </row>
    <row r="28" spans="1:63" ht="15" customHeight="1" x14ac:dyDescent="0.25">
      <c r="A28" s="15"/>
      <c r="K28" s="20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26"/>
      <c r="BK28" s="18"/>
    </row>
    <row r="29" spans="1:63" ht="15" customHeight="1" x14ac:dyDescent="0.25">
      <c r="A29" s="15"/>
      <c r="K29" s="20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26"/>
      <c r="BK29" s="18"/>
    </row>
    <row r="30" spans="1:63" ht="15" customHeight="1" x14ac:dyDescent="0.25">
      <c r="A30" s="15"/>
      <c r="K30" s="20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26"/>
      <c r="BK30" s="18"/>
    </row>
    <row r="31" spans="1:63" ht="15" customHeight="1" x14ac:dyDescent="0.25">
      <c r="A31" s="15"/>
      <c r="K31" s="20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26"/>
      <c r="BK31" s="18"/>
    </row>
    <row r="32" spans="1:63" ht="15" customHeight="1" x14ac:dyDescent="0.25">
      <c r="A32" s="15"/>
      <c r="K32" s="20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26"/>
      <c r="BK32" s="18"/>
    </row>
    <row r="33" spans="1:63" ht="15" customHeight="1" x14ac:dyDescent="0.25">
      <c r="A33" s="15"/>
      <c r="K33" s="20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26"/>
      <c r="BK33" s="18"/>
    </row>
    <row r="34" spans="1:63" ht="15" customHeight="1" x14ac:dyDescent="0.25">
      <c r="A34" s="15"/>
      <c r="K34" s="20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26"/>
      <c r="BK34" s="18"/>
    </row>
    <row r="35" spans="1:63" ht="15" customHeight="1" x14ac:dyDescent="0.25">
      <c r="A35" s="15"/>
      <c r="K35" s="20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26"/>
      <c r="BK35" s="18"/>
    </row>
    <row r="36" spans="1:63" ht="15" customHeight="1" x14ac:dyDescent="0.25">
      <c r="A36" s="15"/>
      <c r="K36" s="20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5" t="s">
        <v>11</v>
      </c>
      <c r="R44" s="4"/>
      <c r="S44" s="4"/>
      <c r="T44" s="4"/>
      <c r="U44" s="4"/>
      <c r="V44" s="4"/>
      <c r="W44" s="4"/>
      <c r="X44" s="4"/>
      <c r="Y44" s="4"/>
      <c r="Z44" s="3"/>
      <c r="AA44" s="5" t="s">
        <v>12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3"/>
      <c r="AQ44" s="5" t="s">
        <v>7</v>
      </c>
      <c r="AR44" s="4"/>
      <c r="AS44" s="4"/>
      <c r="AT44" s="4"/>
      <c r="AU44" s="3"/>
      <c r="BK44" s="18"/>
    </row>
    <row r="45" spans="1:63" ht="15" customHeight="1" x14ac:dyDescent="0.25">
      <c r="A45" s="15"/>
      <c r="Q45" s="2"/>
      <c r="R45" s="1"/>
      <c r="S45" s="1"/>
      <c r="T45" s="1"/>
      <c r="U45" s="1"/>
      <c r="V45" s="1"/>
      <c r="W45" s="1"/>
      <c r="X45" s="1"/>
      <c r="Y45" s="1"/>
      <c r="Z45" s="49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49"/>
      <c r="AQ45" s="2"/>
      <c r="AR45" s="1"/>
      <c r="AS45" s="1"/>
      <c r="AT45" s="1"/>
      <c r="AU45" s="49"/>
      <c r="BK45" s="18"/>
    </row>
    <row r="46" spans="1:63" ht="15" customHeight="1" x14ac:dyDescent="0.25">
      <c r="A46" s="15"/>
      <c r="Q46" s="14"/>
      <c r="R46" s="13"/>
      <c r="S46" s="13"/>
      <c r="T46" s="13"/>
      <c r="U46" s="13"/>
      <c r="V46" s="13"/>
      <c r="W46" s="13"/>
      <c r="X46" s="13"/>
      <c r="Y46" s="13"/>
      <c r="Z46" s="12"/>
      <c r="AA46" s="14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2"/>
      <c r="AQ46" s="14"/>
      <c r="AR46" s="13"/>
      <c r="AS46" s="13"/>
      <c r="AT46" s="13"/>
      <c r="AU46" s="12"/>
      <c r="BK46" s="18"/>
    </row>
    <row r="47" spans="1:63" ht="15" customHeight="1" x14ac:dyDescent="0.25">
      <c r="A47" s="15"/>
      <c r="Q47" s="11"/>
      <c r="R47" s="10"/>
      <c r="S47" s="10"/>
      <c r="T47" s="10"/>
      <c r="U47" s="10"/>
      <c r="V47" s="10"/>
      <c r="W47" s="10"/>
      <c r="X47" s="10"/>
      <c r="Y47" s="10"/>
      <c r="Z47" s="9"/>
      <c r="AA47" s="11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9"/>
      <c r="AQ47" s="11"/>
      <c r="AR47" s="10"/>
      <c r="AS47" s="10"/>
      <c r="AT47" s="10"/>
      <c r="AU47" s="9"/>
      <c r="BK47" s="18"/>
    </row>
    <row r="48" spans="1:63" ht="15" customHeight="1" x14ac:dyDescent="0.25">
      <c r="A48" s="15"/>
      <c r="Q48" s="11"/>
      <c r="R48" s="10"/>
      <c r="S48" s="10"/>
      <c r="T48" s="10"/>
      <c r="U48" s="10"/>
      <c r="V48" s="10"/>
      <c r="W48" s="10"/>
      <c r="X48" s="10"/>
      <c r="Y48" s="10"/>
      <c r="Z48" s="9"/>
      <c r="AA48" s="11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9"/>
      <c r="AQ48" s="11"/>
      <c r="AR48" s="10"/>
      <c r="AS48" s="10"/>
      <c r="AT48" s="10"/>
      <c r="AU48" s="9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/>
      <c r="K1" s="50" t="s">
        <v>2</v>
      </c>
      <c r="L1" s="51"/>
      <c r="M1" s="51"/>
      <c r="N1" s="51"/>
      <c r="O1" s="51"/>
      <c r="P1" s="51"/>
      <c r="Q1" s="51"/>
      <c r="R1" s="51"/>
      <c r="S1" s="51"/>
      <c r="T1" s="51"/>
      <c r="U1" s="51"/>
      <c r="V1" s="52"/>
      <c r="W1" s="95" t="str">
        <f>IF(表紙!W1="","",表紙!W1)</f>
        <v>詳細設計書</v>
      </c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4"/>
      <c r="AP1" s="50" t="s">
        <v>3</v>
      </c>
      <c r="AQ1" s="51"/>
      <c r="AR1" s="51"/>
      <c r="AS1" s="52"/>
      <c r="AT1" s="50" t="s">
        <v>4</v>
      </c>
      <c r="AU1" s="51"/>
      <c r="AV1" s="51"/>
      <c r="AW1" s="51"/>
      <c r="AX1" s="52"/>
      <c r="AY1" s="50" t="s">
        <v>5</v>
      </c>
      <c r="AZ1" s="51"/>
      <c r="BA1" s="51"/>
      <c r="BB1" s="52"/>
      <c r="BC1" s="50" t="s">
        <v>6</v>
      </c>
      <c r="BD1" s="51"/>
      <c r="BE1" s="51"/>
      <c r="BF1" s="51"/>
      <c r="BG1" s="52"/>
      <c r="BH1" s="50" t="s">
        <v>7</v>
      </c>
      <c r="BI1" s="51"/>
      <c r="BJ1" s="51"/>
      <c r="BK1" s="52"/>
    </row>
    <row r="2" spans="1:63" ht="15" customHeight="1" x14ac:dyDescent="0.25">
      <c r="A2" s="14" t="str">
        <f>IF(表紙!A2="","",表紙!A2)</f>
        <v>POSサーバー</v>
      </c>
      <c r="B2" s="13"/>
      <c r="C2" s="13"/>
      <c r="D2" s="13"/>
      <c r="E2" s="13"/>
      <c r="F2" s="13"/>
      <c r="G2" s="13"/>
      <c r="H2" s="13"/>
      <c r="I2" s="13"/>
      <c r="J2" s="12"/>
      <c r="K2" s="14" t="str">
        <f>IF(表紙!K2="","",表紙!K2)</f>
        <v>POSサーバ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75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7"/>
      <c r="AP2" s="14" t="str">
        <f>IF(表紙!AP2="","",表紙!AP2)</f>
        <v>SonMNT</v>
      </c>
      <c r="AQ2" s="13"/>
      <c r="AR2" s="13"/>
      <c r="AS2" s="12"/>
      <c r="AT2" s="65">
        <f>IF(表紙!AT2="","",表紙!AT2)</f>
        <v>45467</v>
      </c>
      <c r="AU2" s="66"/>
      <c r="AV2" s="66"/>
      <c r="AW2" s="66"/>
      <c r="AX2" s="67"/>
      <c r="AY2" s="14" t="str">
        <f>IF(表紙!AY2="","",表紙!AY2)</f>
        <v>AnhTTP</v>
      </c>
      <c r="AZ2" s="13"/>
      <c r="BA2" s="13"/>
      <c r="BB2" s="12"/>
      <c r="BC2" s="65">
        <f>IF(表紙!BC2="","",表紙!BC2)</f>
        <v>45643</v>
      </c>
      <c r="BD2" s="66"/>
      <c r="BE2" s="66"/>
      <c r="BF2" s="66"/>
      <c r="BG2" s="67"/>
      <c r="BH2" s="14" t="str">
        <f>IF(表紙!BH2="","",表紙!BH2)</f>
        <v>1.0</v>
      </c>
      <c r="BI2" s="13"/>
      <c r="BJ2" s="13"/>
      <c r="BK2" s="12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78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80"/>
      <c r="AP3" s="8"/>
      <c r="AQ3" s="7"/>
      <c r="AR3" s="7"/>
      <c r="AS3" s="6"/>
      <c r="AT3" s="68"/>
      <c r="AU3" s="69"/>
      <c r="AV3" s="69"/>
      <c r="AW3" s="69"/>
      <c r="AX3" s="70"/>
      <c r="AY3" s="8"/>
      <c r="AZ3" s="7"/>
      <c r="BA3" s="7"/>
      <c r="BB3" s="6"/>
      <c r="BC3" s="68"/>
      <c r="BD3" s="69"/>
      <c r="BE3" s="69"/>
      <c r="BF3" s="69"/>
      <c r="BG3" s="70"/>
      <c r="BH3" s="8"/>
      <c r="BI3" s="7"/>
      <c r="BJ3" s="7"/>
      <c r="BK3" s="6"/>
    </row>
    <row r="4" spans="1:63" ht="24.95" customHeight="1" x14ac:dyDescent="0.25">
      <c r="A4" s="50" t="s">
        <v>1</v>
      </c>
      <c r="B4" s="51"/>
      <c r="C4" s="51"/>
      <c r="D4" s="51"/>
      <c r="E4" s="51"/>
      <c r="F4" s="51"/>
      <c r="G4" s="52"/>
      <c r="H4" s="55" t="str">
        <f>IF(表紙!H4="","",表紙!H4)</f>
        <v>10_プロモーションメンテ</v>
      </c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  <c r="U4" s="50" t="s">
        <v>8</v>
      </c>
      <c r="V4" s="51"/>
      <c r="W4" s="51"/>
      <c r="X4" s="51"/>
      <c r="Y4" s="52"/>
      <c r="Z4" s="55" t="str">
        <f>IF(表紙!Z4="","",表紙!Z4)</f>
        <v>画面設計書</v>
      </c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7"/>
      <c r="AP4" s="55" t="str">
        <f t="array" aca="1" ref="AP4" ca="1">RIGHT(CELL("filename",$A$1),LEN(CELL("filename",$A$1))-FIND("]",CELL("filename",$A$1)))</f>
        <v>改訂履歴</v>
      </c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7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93" t="s">
        <v>6</v>
      </c>
      <c r="C10" s="93"/>
      <c r="D10" s="93"/>
      <c r="E10" s="93"/>
      <c r="F10" s="93"/>
      <c r="G10" s="93"/>
      <c r="H10" s="93" t="s">
        <v>5</v>
      </c>
      <c r="I10" s="93"/>
      <c r="J10" s="93"/>
      <c r="K10" s="93"/>
      <c r="L10" s="93"/>
      <c r="M10" s="93"/>
      <c r="N10" s="93"/>
      <c r="O10" s="93" t="s">
        <v>7</v>
      </c>
      <c r="P10" s="93"/>
      <c r="Q10" s="93"/>
      <c r="R10" s="93"/>
      <c r="S10" s="93" t="s">
        <v>10</v>
      </c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 t="s">
        <v>11</v>
      </c>
      <c r="AY10" s="93"/>
      <c r="AZ10" s="93"/>
      <c r="BA10" s="93"/>
      <c r="BB10" s="93"/>
      <c r="BC10" s="93"/>
      <c r="BD10" s="93" t="s">
        <v>12</v>
      </c>
      <c r="BE10" s="93"/>
      <c r="BF10" s="93"/>
      <c r="BG10" s="93"/>
      <c r="BH10" s="93"/>
      <c r="BI10" s="93"/>
      <c r="BJ10" s="93"/>
      <c r="BK10" s="18"/>
    </row>
    <row r="11" spans="1:63" ht="15" customHeight="1" x14ac:dyDescent="0.25">
      <c r="A11" s="15"/>
      <c r="B11" s="65">
        <v>45467</v>
      </c>
      <c r="C11" s="13"/>
      <c r="D11" s="13"/>
      <c r="E11" s="13"/>
      <c r="F11" s="13"/>
      <c r="G11" s="12"/>
      <c r="H11" s="71" t="s">
        <v>116</v>
      </c>
      <c r="I11" s="13"/>
      <c r="J11" s="13"/>
      <c r="K11" s="13"/>
      <c r="L11" s="13"/>
      <c r="M11" s="13"/>
      <c r="N11" s="12"/>
      <c r="O11" s="14">
        <v>0.1</v>
      </c>
      <c r="P11" s="13"/>
      <c r="Q11" s="13"/>
      <c r="R11" s="13"/>
      <c r="S11" s="81" t="s">
        <v>14</v>
      </c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3"/>
      <c r="AX11" s="84"/>
      <c r="AY11" s="84"/>
      <c r="AZ11" s="84"/>
      <c r="BA11" s="84"/>
      <c r="BB11" s="84"/>
      <c r="BC11" s="85"/>
      <c r="BD11" s="88"/>
      <c r="BE11" s="84"/>
      <c r="BF11" s="84"/>
      <c r="BG11" s="84"/>
      <c r="BH11" s="84"/>
      <c r="BI11" s="84"/>
      <c r="BJ11" s="85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90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2"/>
      <c r="AX12" s="86"/>
      <c r="AY12" s="86"/>
      <c r="AZ12" s="86"/>
      <c r="BA12" s="86"/>
      <c r="BB12" s="86"/>
      <c r="BC12" s="87"/>
      <c r="BD12" s="89"/>
      <c r="BE12" s="86"/>
      <c r="BF12" s="86"/>
      <c r="BG12" s="86"/>
      <c r="BH12" s="86"/>
      <c r="BI12" s="86"/>
      <c r="BJ12" s="87"/>
      <c r="BK12" s="18"/>
    </row>
    <row r="13" spans="1:63" ht="15" customHeight="1" x14ac:dyDescent="0.25">
      <c r="A13" s="15"/>
      <c r="B13" s="65">
        <v>45489</v>
      </c>
      <c r="C13" s="13"/>
      <c r="D13" s="13"/>
      <c r="E13" s="13"/>
      <c r="F13" s="13"/>
      <c r="G13" s="12"/>
      <c r="H13" s="14" t="s">
        <v>117</v>
      </c>
      <c r="I13" s="13"/>
      <c r="J13" s="13"/>
      <c r="K13" s="13"/>
      <c r="L13" s="13"/>
      <c r="M13" s="13"/>
      <c r="N13" s="12"/>
      <c r="O13" s="14">
        <v>0.2</v>
      </c>
      <c r="P13" s="13"/>
      <c r="Q13" s="13"/>
      <c r="R13" s="13"/>
      <c r="S13" s="81" t="s">
        <v>118</v>
      </c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3"/>
      <c r="AX13" s="84"/>
      <c r="AY13" s="84"/>
      <c r="AZ13" s="84"/>
      <c r="BA13" s="84"/>
      <c r="BB13" s="84"/>
      <c r="BC13" s="85"/>
      <c r="BD13" s="88"/>
      <c r="BE13" s="84"/>
      <c r="BF13" s="84"/>
      <c r="BG13" s="84"/>
      <c r="BH13" s="84"/>
      <c r="BI13" s="84"/>
      <c r="BJ13" s="85"/>
      <c r="BK13" s="18"/>
    </row>
    <row r="14" spans="1:63" ht="15" customHeight="1" x14ac:dyDescent="0.25">
      <c r="A14" s="15"/>
      <c r="B14" s="8"/>
      <c r="C14" s="7"/>
      <c r="D14" s="7"/>
      <c r="E14" s="7"/>
      <c r="F14" s="7"/>
      <c r="G14" s="6"/>
      <c r="H14" s="8"/>
      <c r="I14" s="7"/>
      <c r="J14" s="7"/>
      <c r="K14" s="7"/>
      <c r="L14" s="7"/>
      <c r="M14" s="7"/>
      <c r="N14" s="6"/>
      <c r="O14" s="8"/>
      <c r="P14" s="7"/>
      <c r="Q14" s="7"/>
      <c r="R14" s="7"/>
      <c r="S14" s="90" t="s">
        <v>119</v>
      </c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2"/>
      <c r="AX14" s="86"/>
      <c r="AY14" s="86"/>
      <c r="AZ14" s="86"/>
      <c r="BA14" s="86"/>
      <c r="BB14" s="86"/>
      <c r="BC14" s="87"/>
      <c r="BD14" s="89"/>
      <c r="BE14" s="86"/>
      <c r="BF14" s="86"/>
      <c r="BG14" s="86"/>
      <c r="BH14" s="86"/>
      <c r="BI14" s="86"/>
      <c r="BJ14" s="87"/>
      <c r="BK14" s="18"/>
    </row>
    <row r="15" spans="1:63" ht="15" customHeight="1" x14ac:dyDescent="0.25">
      <c r="A15" s="15"/>
      <c r="B15" s="65">
        <v>45506</v>
      </c>
      <c r="C15" s="13"/>
      <c r="D15" s="13"/>
      <c r="E15" s="13"/>
      <c r="F15" s="13"/>
      <c r="G15" s="12"/>
      <c r="H15" s="14" t="s">
        <v>39</v>
      </c>
      <c r="I15" s="13"/>
      <c r="J15" s="13"/>
      <c r="K15" s="13"/>
      <c r="L15" s="13"/>
      <c r="M15" s="13"/>
      <c r="N15" s="12"/>
      <c r="O15" s="14">
        <v>0.3</v>
      </c>
      <c r="P15" s="13"/>
      <c r="Q15" s="13"/>
      <c r="R15" s="13"/>
      <c r="S15" s="81" t="s">
        <v>120</v>
      </c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3"/>
      <c r="AX15" s="84"/>
      <c r="AY15" s="84"/>
      <c r="AZ15" s="84"/>
      <c r="BA15" s="84"/>
      <c r="BB15" s="84"/>
      <c r="BC15" s="85"/>
      <c r="BD15" s="88"/>
      <c r="BE15" s="84"/>
      <c r="BF15" s="84"/>
      <c r="BG15" s="84"/>
      <c r="BH15" s="84"/>
      <c r="BI15" s="84"/>
      <c r="BJ15" s="85"/>
      <c r="BK15" s="18"/>
    </row>
    <row r="16" spans="1:63" ht="15" customHeight="1" x14ac:dyDescent="0.25">
      <c r="A16" s="15"/>
      <c r="B16" s="8"/>
      <c r="C16" s="7"/>
      <c r="D16" s="7"/>
      <c r="E16" s="7"/>
      <c r="F16" s="7"/>
      <c r="G16" s="6"/>
      <c r="H16" s="8"/>
      <c r="I16" s="7"/>
      <c r="J16" s="7"/>
      <c r="K16" s="7"/>
      <c r="L16" s="7"/>
      <c r="M16" s="7"/>
      <c r="N16" s="6"/>
      <c r="O16" s="8"/>
      <c r="P16" s="7"/>
      <c r="Q16" s="7"/>
      <c r="R16" s="7"/>
      <c r="S16" s="90" t="s">
        <v>121</v>
      </c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2"/>
      <c r="AX16" s="86"/>
      <c r="AY16" s="86"/>
      <c r="AZ16" s="86"/>
      <c r="BA16" s="86"/>
      <c r="BB16" s="86"/>
      <c r="BC16" s="87"/>
      <c r="BD16" s="89"/>
      <c r="BE16" s="86"/>
      <c r="BF16" s="86"/>
      <c r="BG16" s="86"/>
      <c r="BH16" s="86"/>
      <c r="BI16" s="86"/>
      <c r="BJ16" s="87"/>
      <c r="BK16" s="18"/>
    </row>
    <row r="17" spans="1:63" ht="15" customHeight="1" x14ac:dyDescent="0.25">
      <c r="A17" s="15"/>
      <c r="B17" s="65">
        <v>45643</v>
      </c>
      <c r="C17" s="13"/>
      <c r="D17" s="13"/>
      <c r="E17" s="13"/>
      <c r="F17" s="13"/>
      <c r="G17" s="12"/>
      <c r="H17" s="14" t="s">
        <v>47</v>
      </c>
      <c r="I17" s="13"/>
      <c r="J17" s="13"/>
      <c r="K17" s="13"/>
      <c r="L17" s="13"/>
      <c r="M17" s="13"/>
      <c r="N17" s="12"/>
      <c r="O17" s="94" t="s">
        <v>131</v>
      </c>
      <c r="P17" s="13"/>
      <c r="Q17" s="13"/>
      <c r="R17" s="13"/>
      <c r="S17" s="81" t="s">
        <v>122</v>
      </c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3"/>
      <c r="AX17" s="84"/>
      <c r="AY17" s="84"/>
      <c r="AZ17" s="84"/>
      <c r="BA17" s="84"/>
      <c r="BB17" s="84"/>
      <c r="BC17" s="85"/>
      <c r="BD17" s="88"/>
      <c r="BE17" s="84"/>
      <c r="BF17" s="84"/>
      <c r="BG17" s="84"/>
      <c r="BH17" s="84"/>
      <c r="BI17" s="84"/>
      <c r="BJ17" s="85"/>
      <c r="BK17" s="18"/>
    </row>
    <row r="18" spans="1:63" ht="15" customHeight="1" x14ac:dyDescent="0.25">
      <c r="A18" s="15"/>
      <c r="B18" s="8"/>
      <c r="C18" s="7"/>
      <c r="D18" s="7"/>
      <c r="E18" s="7"/>
      <c r="F18" s="7"/>
      <c r="G18" s="6"/>
      <c r="H18" s="8"/>
      <c r="I18" s="7"/>
      <c r="J18" s="7"/>
      <c r="K18" s="7"/>
      <c r="L18" s="7"/>
      <c r="M18" s="7"/>
      <c r="N18" s="6"/>
      <c r="O18" s="8"/>
      <c r="P18" s="7"/>
      <c r="Q18" s="7"/>
      <c r="R18" s="7"/>
      <c r="S18" s="90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2"/>
      <c r="AX18" s="86"/>
      <c r="AY18" s="86"/>
      <c r="AZ18" s="86"/>
      <c r="BA18" s="86"/>
      <c r="BB18" s="86"/>
      <c r="BC18" s="87"/>
      <c r="BD18" s="89"/>
      <c r="BE18" s="86"/>
      <c r="BF18" s="86"/>
      <c r="BG18" s="86"/>
      <c r="BH18" s="86"/>
      <c r="BI18" s="86"/>
      <c r="BJ18" s="87"/>
      <c r="BK18" s="18"/>
    </row>
    <row r="19" spans="1:63" ht="15" customHeight="1" x14ac:dyDescent="0.25">
      <c r="A19" s="15"/>
      <c r="B19" s="14"/>
      <c r="C19" s="13"/>
      <c r="D19" s="13"/>
      <c r="E19" s="13"/>
      <c r="F19" s="13"/>
      <c r="G19" s="12"/>
      <c r="H19" s="14"/>
      <c r="I19" s="13"/>
      <c r="J19" s="13"/>
      <c r="K19" s="13"/>
      <c r="L19" s="13"/>
      <c r="M19" s="13"/>
      <c r="N19" s="12"/>
      <c r="O19" s="14"/>
      <c r="P19" s="13"/>
      <c r="Q19" s="13"/>
      <c r="R19" s="13"/>
      <c r="S19" s="81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3"/>
      <c r="AX19" s="84"/>
      <c r="AY19" s="84"/>
      <c r="AZ19" s="84"/>
      <c r="BA19" s="84"/>
      <c r="BB19" s="84"/>
      <c r="BC19" s="85"/>
      <c r="BD19" s="88"/>
      <c r="BE19" s="84"/>
      <c r="BF19" s="84"/>
      <c r="BG19" s="84"/>
      <c r="BH19" s="84"/>
      <c r="BI19" s="84"/>
      <c r="BJ19" s="85"/>
      <c r="BK19" s="18"/>
    </row>
    <row r="20" spans="1:63" ht="15" customHeight="1" x14ac:dyDescent="0.25">
      <c r="A20" s="15"/>
      <c r="B20" s="8"/>
      <c r="C20" s="7"/>
      <c r="D20" s="7"/>
      <c r="E20" s="7"/>
      <c r="F20" s="7"/>
      <c r="G20" s="6"/>
      <c r="H20" s="8"/>
      <c r="I20" s="7"/>
      <c r="J20" s="7"/>
      <c r="K20" s="7"/>
      <c r="L20" s="7"/>
      <c r="M20" s="7"/>
      <c r="N20" s="6"/>
      <c r="O20" s="8"/>
      <c r="P20" s="7"/>
      <c r="Q20" s="7"/>
      <c r="R20" s="7"/>
      <c r="S20" s="90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2"/>
      <c r="AX20" s="86"/>
      <c r="AY20" s="86"/>
      <c r="AZ20" s="86"/>
      <c r="BA20" s="86"/>
      <c r="BB20" s="86"/>
      <c r="BC20" s="87"/>
      <c r="BD20" s="89"/>
      <c r="BE20" s="86"/>
      <c r="BF20" s="86"/>
      <c r="BG20" s="86"/>
      <c r="BH20" s="86"/>
      <c r="BI20" s="86"/>
      <c r="BJ20" s="87"/>
      <c r="BK20" s="18"/>
    </row>
    <row r="21" spans="1:63" ht="15" customHeight="1" x14ac:dyDescent="0.25">
      <c r="A21" s="15"/>
      <c r="B21" s="14"/>
      <c r="C21" s="13"/>
      <c r="D21" s="13"/>
      <c r="E21" s="13"/>
      <c r="F21" s="13"/>
      <c r="G21" s="12"/>
      <c r="H21" s="14"/>
      <c r="I21" s="13"/>
      <c r="J21" s="13"/>
      <c r="K21" s="13"/>
      <c r="L21" s="13"/>
      <c r="M21" s="13"/>
      <c r="N21" s="12"/>
      <c r="O21" s="14"/>
      <c r="P21" s="13"/>
      <c r="Q21" s="13"/>
      <c r="R21" s="13"/>
      <c r="S21" s="81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3"/>
      <c r="AX21" s="84"/>
      <c r="AY21" s="84"/>
      <c r="AZ21" s="84"/>
      <c r="BA21" s="84"/>
      <c r="BB21" s="84"/>
      <c r="BC21" s="85"/>
      <c r="BD21" s="88"/>
      <c r="BE21" s="84"/>
      <c r="BF21" s="84"/>
      <c r="BG21" s="84"/>
      <c r="BH21" s="84"/>
      <c r="BI21" s="84"/>
      <c r="BJ21" s="85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90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2"/>
      <c r="AX22" s="86"/>
      <c r="AY22" s="86"/>
      <c r="AZ22" s="86"/>
      <c r="BA22" s="86"/>
      <c r="BB22" s="86"/>
      <c r="BC22" s="87"/>
      <c r="BD22" s="89"/>
      <c r="BE22" s="86"/>
      <c r="BF22" s="86"/>
      <c r="BG22" s="86"/>
      <c r="BH22" s="86"/>
      <c r="BI22" s="86"/>
      <c r="BJ22" s="87"/>
      <c r="BK22" s="18"/>
    </row>
    <row r="23" spans="1:63" ht="15" customHeight="1" x14ac:dyDescent="0.25">
      <c r="A23" s="15"/>
      <c r="B23" s="14"/>
      <c r="C23" s="13"/>
      <c r="D23" s="13"/>
      <c r="E23" s="13"/>
      <c r="F23" s="13"/>
      <c r="G23" s="12"/>
      <c r="H23" s="14"/>
      <c r="I23" s="13"/>
      <c r="J23" s="13"/>
      <c r="K23" s="13"/>
      <c r="L23" s="13"/>
      <c r="M23" s="13"/>
      <c r="N23" s="12"/>
      <c r="O23" s="14"/>
      <c r="P23" s="13"/>
      <c r="Q23" s="13"/>
      <c r="R23" s="13"/>
      <c r="S23" s="81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3"/>
      <c r="AX23" s="84"/>
      <c r="AY23" s="84"/>
      <c r="AZ23" s="84"/>
      <c r="BA23" s="84"/>
      <c r="BB23" s="84"/>
      <c r="BC23" s="85"/>
      <c r="BD23" s="88"/>
      <c r="BE23" s="84"/>
      <c r="BF23" s="84"/>
      <c r="BG23" s="84"/>
      <c r="BH23" s="84"/>
      <c r="BI23" s="84"/>
      <c r="BJ23" s="85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90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2"/>
      <c r="AX24" s="86"/>
      <c r="AY24" s="86"/>
      <c r="AZ24" s="86"/>
      <c r="BA24" s="86"/>
      <c r="BB24" s="86"/>
      <c r="BC24" s="87"/>
      <c r="BD24" s="89"/>
      <c r="BE24" s="86"/>
      <c r="BF24" s="86"/>
      <c r="BG24" s="86"/>
      <c r="BH24" s="86"/>
      <c r="BI24" s="86"/>
      <c r="BJ24" s="87"/>
      <c r="BK24" s="18"/>
    </row>
    <row r="25" spans="1:63" ht="15" customHeight="1" x14ac:dyDescent="0.25">
      <c r="A25" s="15"/>
      <c r="B25" s="14"/>
      <c r="C25" s="13"/>
      <c r="D25" s="13"/>
      <c r="E25" s="13"/>
      <c r="F25" s="13"/>
      <c r="G25" s="12"/>
      <c r="H25" s="14"/>
      <c r="I25" s="13"/>
      <c r="J25" s="13"/>
      <c r="K25" s="13"/>
      <c r="L25" s="13"/>
      <c r="M25" s="13"/>
      <c r="N25" s="12"/>
      <c r="O25" s="14"/>
      <c r="P25" s="13"/>
      <c r="Q25" s="13"/>
      <c r="R25" s="13"/>
      <c r="S25" s="81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3"/>
      <c r="AX25" s="84"/>
      <c r="AY25" s="84"/>
      <c r="AZ25" s="84"/>
      <c r="BA25" s="84"/>
      <c r="BB25" s="84"/>
      <c r="BC25" s="85"/>
      <c r="BD25" s="88"/>
      <c r="BE25" s="84"/>
      <c r="BF25" s="84"/>
      <c r="BG25" s="84"/>
      <c r="BH25" s="84"/>
      <c r="BI25" s="84"/>
      <c r="BJ25" s="85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90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2"/>
      <c r="AX26" s="86"/>
      <c r="AY26" s="86"/>
      <c r="AZ26" s="86"/>
      <c r="BA26" s="86"/>
      <c r="BB26" s="86"/>
      <c r="BC26" s="87"/>
      <c r="BD26" s="89"/>
      <c r="BE26" s="86"/>
      <c r="BF26" s="86"/>
      <c r="BG26" s="86"/>
      <c r="BH26" s="86"/>
      <c r="BI26" s="86"/>
      <c r="BJ26" s="87"/>
      <c r="BK26" s="18"/>
    </row>
    <row r="27" spans="1:63" ht="15" customHeight="1" x14ac:dyDescent="0.25">
      <c r="A27" s="15"/>
      <c r="B27" s="14"/>
      <c r="C27" s="13"/>
      <c r="D27" s="13"/>
      <c r="E27" s="13"/>
      <c r="F27" s="13"/>
      <c r="G27" s="12"/>
      <c r="H27" s="14"/>
      <c r="I27" s="13"/>
      <c r="J27" s="13"/>
      <c r="K27" s="13"/>
      <c r="L27" s="13"/>
      <c r="M27" s="13"/>
      <c r="N27" s="12"/>
      <c r="O27" s="14"/>
      <c r="P27" s="13"/>
      <c r="Q27" s="13"/>
      <c r="R27" s="13"/>
      <c r="S27" s="81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3"/>
      <c r="AX27" s="84"/>
      <c r="AY27" s="84"/>
      <c r="AZ27" s="84"/>
      <c r="BA27" s="84"/>
      <c r="BB27" s="84"/>
      <c r="BC27" s="85"/>
      <c r="BD27" s="88"/>
      <c r="BE27" s="84"/>
      <c r="BF27" s="84"/>
      <c r="BG27" s="84"/>
      <c r="BH27" s="84"/>
      <c r="BI27" s="84"/>
      <c r="BJ27" s="85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90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2"/>
      <c r="AX28" s="86"/>
      <c r="AY28" s="86"/>
      <c r="AZ28" s="86"/>
      <c r="BA28" s="86"/>
      <c r="BB28" s="86"/>
      <c r="BC28" s="87"/>
      <c r="BD28" s="89"/>
      <c r="BE28" s="86"/>
      <c r="BF28" s="86"/>
      <c r="BG28" s="86"/>
      <c r="BH28" s="86"/>
      <c r="BI28" s="86"/>
      <c r="BJ28" s="87"/>
      <c r="BK28" s="18"/>
    </row>
    <row r="29" spans="1:63" ht="15" customHeight="1" x14ac:dyDescent="0.25">
      <c r="A29" s="15"/>
      <c r="B29" s="14"/>
      <c r="C29" s="13"/>
      <c r="D29" s="13"/>
      <c r="E29" s="13"/>
      <c r="F29" s="13"/>
      <c r="G29" s="12"/>
      <c r="H29" s="14"/>
      <c r="I29" s="13"/>
      <c r="J29" s="13"/>
      <c r="K29" s="13"/>
      <c r="L29" s="13"/>
      <c r="M29" s="13"/>
      <c r="N29" s="12"/>
      <c r="O29" s="14"/>
      <c r="P29" s="13"/>
      <c r="Q29" s="13"/>
      <c r="R29" s="13"/>
      <c r="S29" s="81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3"/>
      <c r="AX29" s="84"/>
      <c r="AY29" s="84"/>
      <c r="AZ29" s="84"/>
      <c r="BA29" s="84"/>
      <c r="BB29" s="84"/>
      <c r="BC29" s="85"/>
      <c r="BD29" s="88"/>
      <c r="BE29" s="84"/>
      <c r="BF29" s="84"/>
      <c r="BG29" s="84"/>
      <c r="BH29" s="84"/>
      <c r="BI29" s="84"/>
      <c r="BJ29" s="85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90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2"/>
      <c r="AX30" s="86"/>
      <c r="AY30" s="86"/>
      <c r="AZ30" s="86"/>
      <c r="BA30" s="86"/>
      <c r="BB30" s="86"/>
      <c r="BC30" s="87"/>
      <c r="BD30" s="89"/>
      <c r="BE30" s="86"/>
      <c r="BF30" s="86"/>
      <c r="BG30" s="86"/>
      <c r="BH30" s="86"/>
      <c r="BI30" s="86"/>
      <c r="BJ30" s="87"/>
      <c r="BK30" s="18"/>
    </row>
    <row r="31" spans="1:63" ht="15" customHeight="1" x14ac:dyDescent="0.25">
      <c r="A31" s="15"/>
      <c r="B31" s="14"/>
      <c r="C31" s="13"/>
      <c r="D31" s="13"/>
      <c r="E31" s="13"/>
      <c r="F31" s="13"/>
      <c r="G31" s="12"/>
      <c r="H31" s="14"/>
      <c r="I31" s="13"/>
      <c r="J31" s="13"/>
      <c r="K31" s="13"/>
      <c r="L31" s="13"/>
      <c r="M31" s="13"/>
      <c r="N31" s="12"/>
      <c r="O31" s="14"/>
      <c r="P31" s="13"/>
      <c r="Q31" s="13"/>
      <c r="R31" s="13"/>
      <c r="S31" s="81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3"/>
      <c r="AX31" s="84"/>
      <c r="AY31" s="84"/>
      <c r="AZ31" s="84"/>
      <c r="BA31" s="84"/>
      <c r="BB31" s="84"/>
      <c r="BC31" s="85"/>
      <c r="BD31" s="88"/>
      <c r="BE31" s="84"/>
      <c r="BF31" s="84"/>
      <c r="BG31" s="84"/>
      <c r="BH31" s="84"/>
      <c r="BI31" s="84"/>
      <c r="BJ31" s="85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90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2"/>
      <c r="AX32" s="86"/>
      <c r="AY32" s="86"/>
      <c r="AZ32" s="86"/>
      <c r="BA32" s="86"/>
      <c r="BB32" s="86"/>
      <c r="BC32" s="87"/>
      <c r="BD32" s="89"/>
      <c r="BE32" s="86"/>
      <c r="BF32" s="86"/>
      <c r="BG32" s="86"/>
      <c r="BH32" s="86"/>
      <c r="BI32" s="86"/>
      <c r="BJ32" s="87"/>
      <c r="BK32" s="18"/>
    </row>
    <row r="33" spans="1:63" ht="15" customHeight="1" x14ac:dyDescent="0.25">
      <c r="A33" s="15"/>
      <c r="B33" s="14"/>
      <c r="C33" s="13"/>
      <c r="D33" s="13"/>
      <c r="E33" s="13"/>
      <c r="F33" s="13"/>
      <c r="G33" s="12"/>
      <c r="H33" s="14"/>
      <c r="I33" s="13"/>
      <c r="J33" s="13"/>
      <c r="K33" s="13"/>
      <c r="L33" s="13"/>
      <c r="M33" s="13"/>
      <c r="N33" s="12"/>
      <c r="O33" s="14"/>
      <c r="P33" s="13"/>
      <c r="Q33" s="13"/>
      <c r="R33" s="13"/>
      <c r="S33" s="81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3"/>
      <c r="AX33" s="84"/>
      <c r="AY33" s="84"/>
      <c r="AZ33" s="84"/>
      <c r="BA33" s="84"/>
      <c r="BB33" s="84"/>
      <c r="BC33" s="85"/>
      <c r="BD33" s="88"/>
      <c r="BE33" s="84"/>
      <c r="BF33" s="84"/>
      <c r="BG33" s="84"/>
      <c r="BH33" s="84"/>
      <c r="BI33" s="84"/>
      <c r="BJ33" s="85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90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2"/>
      <c r="AX34" s="86"/>
      <c r="AY34" s="86"/>
      <c r="AZ34" s="86"/>
      <c r="BA34" s="86"/>
      <c r="BB34" s="86"/>
      <c r="BC34" s="87"/>
      <c r="BD34" s="89"/>
      <c r="BE34" s="86"/>
      <c r="BF34" s="86"/>
      <c r="BG34" s="86"/>
      <c r="BH34" s="86"/>
      <c r="BI34" s="86"/>
      <c r="BJ34" s="87"/>
      <c r="BK34" s="18"/>
    </row>
    <row r="35" spans="1:63" ht="15" customHeight="1" x14ac:dyDescent="0.25">
      <c r="A35" s="15"/>
      <c r="B35" s="14"/>
      <c r="C35" s="13"/>
      <c r="D35" s="13"/>
      <c r="E35" s="13"/>
      <c r="F35" s="13"/>
      <c r="G35" s="12"/>
      <c r="H35" s="14"/>
      <c r="I35" s="13"/>
      <c r="J35" s="13"/>
      <c r="K35" s="13"/>
      <c r="L35" s="13"/>
      <c r="M35" s="13"/>
      <c r="N35" s="12"/>
      <c r="O35" s="14"/>
      <c r="P35" s="13"/>
      <c r="Q35" s="13"/>
      <c r="R35" s="13"/>
      <c r="S35" s="81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3"/>
      <c r="AX35" s="84"/>
      <c r="AY35" s="84"/>
      <c r="AZ35" s="84"/>
      <c r="BA35" s="84"/>
      <c r="BB35" s="84"/>
      <c r="BC35" s="85"/>
      <c r="BD35" s="88"/>
      <c r="BE35" s="84"/>
      <c r="BF35" s="84"/>
      <c r="BG35" s="84"/>
      <c r="BH35" s="84"/>
      <c r="BI35" s="84"/>
      <c r="BJ35" s="85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90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2"/>
      <c r="AX36" s="86"/>
      <c r="AY36" s="86"/>
      <c r="AZ36" s="86"/>
      <c r="BA36" s="86"/>
      <c r="BB36" s="86"/>
      <c r="BC36" s="87"/>
      <c r="BD36" s="89"/>
      <c r="BE36" s="86"/>
      <c r="BF36" s="86"/>
      <c r="BG36" s="86"/>
      <c r="BH36" s="86"/>
      <c r="BI36" s="86"/>
      <c r="BJ36" s="87"/>
      <c r="BK36" s="18"/>
    </row>
    <row r="37" spans="1:63" ht="15" customHeight="1" x14ac:dyDescent="0.25">
      <c r="A37" s="15"/>
      <c r="B37" s="14"/>
      <c r="C37" s="13"/>
      <c r="D37" s="13"/>
      <c r="E37" s="13"/>
      <c r="F37" s="13"/>
      <c r="G37" s="12"/>
      <c r="H37" s="14"/>
      <c r="I37" s="13"/>
      <c r="J37" s="13"/>
      <c r="K37" s="13"/>
      <c r="L37" s="13"/>
      <c r="M37" s="13"/>
      <c r="N37" s="12"/>
      <c r="O37" s="14"/>
      <c r="P37" s="13"/>
      <c r="Q37" s="13"/>
      <c r="R37" s="13"/>
      <c r="S37" s="81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3"/>
      <c r="AX37" s="84"/>
      <c r="AY37" s="84"/>
      <c r="AZ37" s="84"/>
      <c r="BA37" s="84"/>
      <c r="BB37" s="84"/>
      <c r="BC37" s="85"/>
      <c r="BD37" s="88"/>
      <c r="BE37" s="84"/>
      <c r="BF37" s="84"/>
      <c r="BG37" s="84"/>
      <c r="BH37" s="84"/>
      <c r="BI37" s="84"/>
      <c r="BJ37" s="85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90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2"/>
      <c r="AX38" s="86"/>
      <c r="AY38" s="86"/>
      <c r="AZ38" s="86"/>
      <c r="BA38" s="86"/>
      <c r="BB38" s="86"/>
      <c r="BC38" s="87"/>
      <c r="BD38" s="89"/>
      <c r="BE38" s="86"/>
      <c r="BF38" s="86"/>
      <c r="BG38" s="86"/>
      <c r="BH38" s="86"/>
      <c r="BI38" s="86"/>
      <c r="BJ38" s="87"/>
      <c r="BK38" s="18"/>
    </row>
    <row r="39" spans="1:63" ht="15" customHeight="1" x14ac:dyDescent="0.25">
      <c r="A39" s="15"/>
      <c r="B39" s="14"/>
      <c r="C39" s="13"/>
      <c r="D39" s="13"/>
      <c r="E39" s="13"/>
      <c r="F39" s="13"/>
      <c r="G39" s="12"/>
      <c r="H39" s="14"/>
      <c r="I39" s="13"/>
      <c r="J39" s="13"/>
      <c r="K39" s="13"/>
      <c r="L39" s="13"/>
      <c r="M39" s="13"/>
      <c r="N39" s="12"/>
      <c r="O39" s="14"/>
      <c r="P39" s="13"/>
      <c r="Q39" s="13"/>
      <c r="R39" s="13"/>
      <c r="S39" s="81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3"/>
      <c r="AX39" s="84"/>
      <c r="AY39" s="84"/>
      <c r="AZ39" s="84"/>
      <c r="BA39" s="84"/>
      <c r="BB39" s="84"/>
      <c r="BC39" s="85"/>
      <c r="BD39" s="88"/>
      <c r="BE39" s="84"/>
      <c r="BF39" s="84"/>
      <c r="BG39" s="84"/>
      <c r="BH39" s="84"/>
      <c r="BI39" s="84"/>
      <c r="BJ39" s="85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90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2"/>
      <c r="AX40" s="86"/>
      <c r="AY40" s="86"/>
      <c r="AZ40" s="86"/>
      <c r="BA40" s="86"/>
      <c r="BB40" s="86"/>
      <c r="BC40" s="87"/>
      <c r="BD40" s="89"/>
      <c r="BE40" s="86"/>
      <c r="BF40" s="86"/>
      <c r="BG40" s="86"/>
      <c r="BH40" s="86"/>
      <c r="BI40" s="86"/>
      <c r="BJ40" s="87"/>
      <c r="BK40" s="18"/>
    </row>
    <row r="41" spans="1:63" ht="15" customHeight="1" x14ac:dyDescent="0.25">
      <c r="A41" s="15"/>
      <c r="B41" s="14"/>
      <c r="C41" s="13"/>
      <c r="D41" s="13"/>
      <c r="E41" s="13"/>
      <c r="F41" s="13"/>
      <c r="G41" s="12"/>
      <c r="H41" s="14"/>
      <c r="I41" s="13"/>
      <c r="J41" s="13"/>
      <c r="K41" s="13"/>
      <c r="L41" s="13"/>
      <c r="M41" s="13"/>
      <c r="N41" s="12"/>
      <c r="O41" s="14"/>
      <c r="P41" s="13"/>
      <c r="Q41" s="13"/>
      <c r="R41" s="13"/>
      <c r="S41" s="81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3"/>
      <c r="AX41" s="84"/>
      <c r="AY41" s="84"/>
      <c r="AZ41" s="84"/>
      <c r="BA41" s="84"/>
      <c r="BB41" s="84"/>
      <c r="BC41" s="85"/>
      <c r="BD41" s="88"/>
      <c r="BE41" s="84"/>
      <c r="BF41" s="84"/>
      <c r="BG41" s="84"/>
      <c r="BH41" s="84"/>
      <c r="BI41" s="84"/>
      <c r="BJ41" s="85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90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2"/>
      <c r="AX42" s="86"/>
      <c r="AY42" s="86"/>
      <c r="AZ42" s="86"/>
      <c r="BA42" s="86"/>
      <c r="BB42" s="86"/>
      <c r="BC42" s="87"/>
      <c r="BD42" s="89"/>
      <c r="BE42" s="86"/>
      <c r="BF42" s="86"/>
      <c r="BG42" s="86"/>
      <c r="BH42" s="86"/>
      <c r="BI42" s="86"/>
      <c r="BJ42" s="87"/>
      <c r="BK42" s="18"/>
    </row>
    <row r="43" spans="1:63" ht="15" customHeight="1" x14ac:dyDescent="0.25">
      <c r="A43" s="15"/>
      <c r="B43" s="14"/>
      <c r="C43" s="13"/>
      <c r="D43" s="13"/>
      <c r="E43" s="13"/>
      <c r="F43" s="13"/>
      <c r="G43" s="12"/>
      <c r="H43" s="14"/>
      <c r="I43" s="13"/>
      <c r="J43" s="13"/>
      <c r="K43" s="13"/>
      <c r="L43" s="13"/>
      <c r="M43" s="13"/>
      <c r="N43" s="12"/>
      <c r="O43" s="14"/>
      <c r="P43" s="13"/>
      <c r="Q43" s="13"/>
      <c r="R43" s="13"/>
      <c r="S43" s="81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3"/>
      <c r="AX43" s="84"/>
      <c r="AY43" s="84"/>
      <c r="AZ43" s="84"/>
      <c r="BA43" s="84"/>
      <c r="BB43" s="84"/>
      <c r="BC43" s="85"/>
      <c r="BD43" s="88"/>
      <c r="BE43" s="84"/>
      <c r="BF43" s="84"/>
      <c r="BG43" s="84"/>
      <c r="BH43" s="84"/>
      <c r="BI43" s="84"/>
      <c r="BJ43" s="85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90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2"/>
      <c r="AX44" s="86"/>
      <c r="AY44" s="86"/>
      <c r="AZ44" s="86"/>
      <c r="BA44" s="86"/>
      <c r="BB44" s="86"/>
      <c r="BC44" s="87"/>
      <c r="BD44" s="89"/>
      <c r="BE44" s="86"/>
      <c r="BF44" s="86"/>
      <c r="BG44" s="86"/>
      <c r="BH44" s="86"/>
      <c r="BI44" s="86"/>
      <c r="BJ44" s="87"/>
      <c r="BK44" s="18"/>
    </row>
    <row r="45" spans="1:63" ht="15" customHeight="1" x14ac:dyDescent="0.25">
      <c r="A45" s="15"/>
      <c r="B45" s="14"/>
      <c r="C45" s="13"/>
      <c r="D45" s="13"/>
      <c r="E45" s="13"/>
      <c r="F45" s="13"/>
      <c r="G45" s="12"/>
      <c r="H45" s="14"/>
      <c r="I45" s="13"/>
      <c r="J45" s="13"/>
      <c r="K45" s="13"/>
      <c r="L45" s="13"/>
      <c r="M45" s="13"/>
      <c r="N45" s="12"/>
      <c r="O45" s="14"/>
      <c r="P45" s="13"/>
      <c r="Q45" s="13"/>
      <c r="R45" s="13"/>
      <c r="S45" s="81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3"/>
      <c r="AX45" s="84"/>
      <c r="AY45" s="84"/>
      <c r="AZ45" s="84"/>
      <c r="BA45" s="84"/>
      <c r="BB45" s="84"/>
      <c r="BC45" s="85"/>
      <c r="BD45" s="88"/>
      <c r="BE45" s="84"/>
      <c r="BF45" s="84"/>
      <c r="BG45" s="84"/>
      <c r="BH45" s="84"/>
      <c r="BI45" s="84"/>
      <c r="BJ45" s="85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90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2"/>
      <c r="AX46" s="86"/>
      <c r="AY46" s="86"/>
      <c r="AZ46" s="86"/>
      <c r="BA46" s="86"/>
      <c r="BB46" s="86"/>
      <c r="BC46" s="87"/>
      <c r="BD46" s="89"/>
      <c r="BE46" s="86"/>
      <c r="BF46" s="86"/>
      <c r="BG46" s="86"/>
      <c r="BH46" s="86"/>
      <c r="BI46" s="86"/>
      <c r="BJ46" s="87"/>
      <c r="BK46" s="18"/>
    </row>
    <row r="47" spans="1:63" ht="15" customHeight="1" x14ac:dyDescent="0.25">
      <c r="A47" s="15"/>
      <c r="B47" s="14"/>
      <c r="C47" s="13"/>
      <c r="D47" s="13"/>
      <c r="E47" s="13"/>
      <c r="F47" s="13"/>
      <c r="G47" s="12"/>
      <c r="H47" s="14"/>
      <c r="I47" s="13"/>
      <c r="J47" s="13"/>
      <c r="K47" s="13"/>
      <c r="L47" s="13"/>
      <c r="M47" s="13"/>
      <c r="N47" s="12"/>
      <c r="O47" s="14"/>
      <c r="P47" s="13"/>
      <c r="Q47" s="13"/>
      <c r="R47" s="13"/>
      <c r="S47" s="81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3"/>
      <c r="AX47" s="84"/>
      <c r="AY47" s="84"/>
      <c r="AZ47" s="84"/>
      <c r="BA47" s="84"/>
      <c r="BB47" s="84"/>
      <c r="BC47" s="85"/>
      <c r="BD47" s="88"/>
      <c r="BE47" s="84"/>
      <c r="BF47" s="84"/>
      <c r="BG47" s="84"/>
      <c r="BH47" s="84"/>
      <c r="BI47" s="84"/>
      <c r="BJ47" s="85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90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2"/>
      <c r="AX48" s="86"/>
      <c r="AY48" s="86"/>
      <c r="AZ48" s="86"/>
      <c r="BA48" s="86"/>
      <c r="BB48" s="86"/>
      <c r="BC48" s="87"/>
      <c r="BD48" s="89"/>
      <c r="BE48" s="86"/>
      <c r="BF48" s="86"/>
      <c r="BG48" s="86"/>
      <c r="BH48" s="86"/>
      <c r="BI48" s="86"/>
      <c r="BJ48" s="87"/>
      <c r="BK48" s="18"/>
    </row>
    <row r="49" spans="1:63" ht="15" customHeight="1" x14ac:dyDescent="0.25">
      <c r="A49" s="15"/>
      <c r="B49" s="14"/>
      <c r="C49" s="13"/>
      <c r="D49" s="13"/>
      <c r="E49" s="13"/>
      <c r="F49" s="13"/>
      <c r="G49" s="12"/>
      <c r="H49" s="14"/>
      <c r="I49" s="13"/>
      <c r="J49" s="13"/>
      <c r="K49" s="13"/>
      <c r="L49" s="13"/>
      <c r="M49" s="13"/>
      <c r="N49" s="12"/>
      <c r="O49" s="14"/>
      <c r="P49" s="13"/>
      <c r="Q49" s="13"/>
      <c r="R49" s="13"/>
      <c r="S49" s="81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3"/>
      <c r="AX49" s="84"/>
      <c r="AY49" s="84"/>
      <c r="AZ49" s="84"/>
      <c r="BA49" s="84"/>
      <c r="BB49" s="84"/>
      <c r="BC49" s="85"/>
      <c r="BD49" s="88"/>
      <c r="BE49" s="84"/>
      <c r="BF49" s="84"/>
      <c r="BG49" s="84"/>
      <c r="BH49" s="84"/>
      <c r="BI49" s="84"/>
      <c r="BJ49" s="85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90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2"/>
      <c r="AX50" s="86"/>
      <c r="AY50" s="86"/>
      <c r="AZ50" s="86"/>
      <c r="BA50" s="86"/>
      <c r="BB50" s="86"/>
      <c r="BC50" s="87"/>
      <c r="BD50" s="89"/>
      <c r="BE50" s="86"/>
      <c r="BF50" s="86"/>
      <c r="BG50" s="86"/>
      <c r="BH50" s="86"/>
      <c r="BI50" s="86"/>
      <c r="BJ50" s="87"/>
      <c r="BK50" s="18"/>
    </row>
    <row r="51" spans="1:63" ht="15" customHeight="1" x14ac:dyDescent="0.25">
      <c r="A51" s="15"/>
      <c r="B51" s="14"/>
      <c r="C51" s="13"/>
      <c r="D51" s="13"/>
      <c r="E51" s="13"/>
      <c r="F51" s="13"/>
      <c r="G51" s="12"/>
      <c r="H51" s="14"/>
      <c r="I51" s="13"/>
      <c r="J51" s="13"/>
      <c r="K51" s="13"/>
      <c r="L51" s="13"/>
      <c r="M51" s="13"/>
      <c r="N51" s="12"/>
      <c r="O51" s="14"/>
      <c r="P51" s="13"/>
      <c r="Q51" s="13"/>
      <c r="R51" s="13"/>
      <c r="S51" s="81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3"/>
      <c r="AX51" s="84"/>
      <c r="AY51" s="84"/>
      <c r="AZ51" s="84"/>
      <c r="BA51" s="84"/>
      <c r="BB51" s="84"/>
      <c r="BC51" s="85"/>
      <c r="BD51" s="88"/>
      <c r="BE51" s="84"/>
      <c r="BF51" s="84"/>
      <c r="BG51" s="84"/>
      <c r="BH51" s="84"/>
      <c r="BI51" s="84"/>
      <c r="BJ51" s="85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90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2"/>
      <c r="AX52" s="86"/>
      <c r="AY52" s="86"/>
      <c r="AZ52" s="86"/>
      <c r="BA52" s="86"/>
      <c r="BB52" s="86"/>
      <c r="BC52" s="87"/>
      <c r="BD52" s="89"/>
      <c r="BE52" s="86"/>
      <c r="BF52" s="86"/>
      <c r="BG52" s="86"/>
      <c r="BH52" s="86"/>
      <c r="BI52" s="86"/>
      <c r="BJ52" s="87"/>
      <c r="BK52" s="18"/>
    </row>
    <row r="53" spans="1:63" ht="15" customHeight="1" x14ac:dyDescent="0.25">
      <c r="A53" s="15"/>
      <c r="B53" s="14"/>
      <c r="C53" s="13"/>
      <c r="D53" s="13"/>
      <c r="E53" s="13"/>
      <c r="F53" s="13"/>
      <c r="G53" s="12"/>
      <c r="H53" s="14"/>
      <c r="I53" s="13"/>
      <c r="J53" s="13"/>
      <c r="K53" s="13"/>
      <c r="L53" s="13"/>
      <c r="M53" s="13"/>
      <c r="N53" s="12"/>
      <c r="O53" s="14"/>
      <c r="P53" s="13"/>
      <c r="Q53" s="13"/>
      <c r="R53" s="13"/>
      <c r="S53" s="81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3"/>
      <c r="AX53" s="84"/>
      <c r="AY53" s="84"/>
      <c r="AZ53" s="84"/>
      <c r="BA53" s="84"/>
      <c r="BB53" s="84"/>
      <c r="BC53" s="85"/>
      <c r="BD53" s="88"/>
      <c r="BE53" s="84"/>
      <c r="BF53" s="84"/>
      <c r="BG53" s="84"/>
      <c r="BH53" s="84"/>
      <c r="BI53" s="84"/>
      <c r="BJ53" s="85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90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2"/>
      <c r="AX54" s="86"/>
      <c r="AY54" s="86"/>
      <c r="AZ54" s="86"/>
      <c r="BA54" s="86"/>
      <c r="BB54" s="86"/>
      <c r="BC54" s="87"/>
      <c r="BD54" s="89"/>
      <c r="BE54" s="86"/>
      <c r="BF54" s="86"/>
      <c r="BG54" s="86"/>
      <c r="BH54" s="86"/>
      <c r="BI54" s="86"/>
      <c r="BJ54" s="87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152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30"/>
  </cols>
  <sheetData>
    <row r="1" spans="1:63" ht="24.95" customHeight="1" x14ac:dyDescent="0.25">
      <c r="A1" s="267" t="s">
        <v>0</v>
      </c>
      <c r="B1" s="268"/>
      <c r="C1" s="268"/>
      <c r="D1" s="268"/>
      <c r="E1" s="268"/>
      <c r="F1" s="268"/>
      <c r="G1" s="268"/>
      <c r="H1" s="268"/>
      <c r="I1" s="268"/>
      <c r="J1" s="269"/>
      <c r="K1" s="267" t="s">
        <v>2</v>
      </c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9"/>
      <c r="W1" s="270" t="str">
        <f>IF(表紙!W1="","",表紙!W1)</f>
        <v>詳細設計書</v>
      </c>
      <c r="X1" s="271"/>
      <c r="Y1" s="271"/>
      <c r="Z1" s="271"/>
      <c r="AA1" s="271"/>
      <c r="AB1" s="271"/>
      <c r="AC1" s="271"/>
      <c r="AD1" s="271"/>
      <c r="AE1" s="271"/>
      <c r="AF1" s="271"/>
      <c r="AG1" s="271"/>
      <c r="AH1" s="271"/>
      <c r="AI1" s="271"/>
      <c r="AJ1" s="271"/>
      <c r="AK1" s="271"/>
      <c r="AL1" s="271"/>
      <c r="AM1" s="271"/>
      <c r="AN1" s="271"/>
      <c r="AO1" s="272"/>
      <c r="AP1" s="50" t="s">
        <v>3</v>
      </c>
      <c r="AQ1" s="51"/>
      <c r="AR1" s="51"/>
      <c r="AS1" s="52"/>
      <c r="AT1" s="50" t="s">
        <v>4</v>
      </c>
      <c r="AU1" s="51"/>
      <c r="AV1" s="51"/>
      <c r="AW1" s="51"/>
      <c r="AX1" s="52"/>
      <c r="AY1" s="50" t="s">
        <v>5</v>
      </c>
      <c r="AZ1" s="51"/>
      <c r="BA1" s="51"/>
      <c r="BB1" s="52"/>
      <c r="BC1" s="50" t="s">
        <v>6</v>
      </c>
      <c r="BD1" s="51"/>
      <c r="BE1" s="51"/>
      <c r="BF1" s="51"/>
      <c r="BG1" s="52"/>
      <c r="BH1" s="50" t="s">
        <v>7</v>
      </c>
      <c r="BI1" s="51"/>
      <c r="BJ1" s="51"/>
      <c r="BK1" s="52"/>
    </row>
    <row r="2" spans="1:63" ht="15" customHeight="1" x14ac:dyDescent="0.25">
      <c r="A2" s="261" t="str">
        <f>IF(表紙!A2="","",表紙!A2)</f>
        <v>POSサーバー</v>
      </c>
      <c r="B2" s="262"/>
      <c r="C2" s="262"/>
      <c r="D2" s="262"/>
      <c r="E2" s="262"/>
      <c r="F2" s="262"/>
      <c r="G2" s="262"/>
      <c r="H2" s="262"/>
      <c r="I2" s="262"/>
      <c r="J2" s="263"/>
      <c r="K2" s="261" t="str">
        <f>IF(表紙!K2="","",表紙!K2)</f>
        <v>POSサーバ</v>
      </c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3"/>
      <c r="W2" s="273"/>
      <c r="X2" s="274"/>
      <c r="Y2" s="274"/>
      <c r="Z2" s="274"/>
      <c r="AA2" s="274"/>
      <c r="AB2" s="274"/>
      <c r="AC2" s="274"/>
      <c r="AD2" s="274"/>
      <c r="AE2" s="274"/>
      <c r="AF2" s="274"/>
      <c r="AG2" s="274"/>
      <c r="AH2" s="274"/>
      <c r="AI2" s="274"/>
      <c r="AJ2" s="274"/>
      <c r="AK2" s="274"/>
      <c r="AL2" s="274"/>
      <c r="AM2" s="274"/>
      <c r="AN2" s="274"/>
      <c r="AO2" s="275"/>
      <c r="AP2" s="14" t="str">
        <f>IF(表紙!AP2="","",表紙!AP2)</f>
        <v>SonMNT</v>
      </c>
      <c r="AQ2" s="13"/>
      <c r="AR2" s="13"/>
      <c r="AS2" s="12"/>
      <c r="AT2" s="65">
        <f>IF(表紙!AT2="","",表紙!AT2)</f>
        <v>45467</v>
      </c>
      <c r="AU2" s="66"/>
      <c r="AV2" s="66"/>
      <c r="AW2" s="66"/>
      <c r="AX2" s="67"/>
      <c r="AY2" s="14" t="str">
        <f>IF(表紙!AY2="","",表紙!AY2)</f>
        <v>AnhTTP</v>
      </c>
      <c r="AZ2" s="13"/>
      <c r="BA2" s="13"/>
      <c r="BB2" s="12"/>
      <c r="BC2" s="65">
        <f>IF(表紙!BC2="","",表紙!BC2)</f>
        <v>45643</v>
      </c>
      <c r="BD2" s="66"/>
      <c r="BE2" s="66"/>
      <c r="BF2" s="66"/>
      <c r="BG2" s="67"/>
      <c r="BH2" s="14" t="str">
        <f>IF(表紙!BH2="","",表紙!BH2)</f>
        <v>1.0</v>
      </c>
      <c r="BI2" s="13"/>
      <c r="BJ2" s="13"/>
      <c r="BK2" s="12"/>
    </row>
    <row r="3" spans="1:63" ht="15" customHeight="1" x14ac:dyDescent="0.25">
      <c r="A3" s="264"/>
      <c r="B3" s="265"/>
      <c r="C3" s="265"/>
      <c r="D3" s="265"/>
      <c r="E3" s="265"/>
      <c r="F3" s="265"/>
      <c r="G3" s="265"/>
      <c r="H3" s="265"/>
      <c r="I3" s="265"/>
      <c r="J3" s="266"/>
      <c r="K3" s="264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6"/>
      <c r="W3" s="276"/>
      <c r="X3" s="277"/>
      <c r="Y3" s="277"/>
      <c r="Z3" s="277"/>
      <c r="AA3" s="277"/>
      <c r="AB3" s="277"/>
      <c r="AC3" s="277"/>
      <c r="AD3" s="277"/>
      <c r="AE3" s="277"/>
      <c r="AF3" s="277"/>
      <c r="AG3" s="277"/>
      <c r="AH3" s="277"/>
      <c r="AI3" s="277"/>
      <c r="AJ3" s="277"/>
      <c r="AK3" s="277"/>
      <c r="AL3" s="277"/>
      <c r="AM3" s="277"/>
      <c r="AN3" s="277"/>
      <c r="AO3" s="278"/>
      <c r="AP3" s="8"/>
      <c r="AQ3" s="7"/>
      <c r="AR3" s="7"/>
      <c r="AS3" s="6"/>
      <c r="AT3" s="68"/>
      <c r="AU3" s="69"/>
      <c r="AV3" s="69"/>
      <c r="AW3" s="69"/>
      <c r="AX3" s="70"/>
      <c r="AY3" s="8"/>
      <c r="AZ3" s="7"/>
      <c r="BA3" s="7"/>
      <c r="BB3" s="6"/>
      <c r="BC3" s="68"/>
      <c r="BD3" s="69"/>
      <c r="BE3" s="69"/>
      <c r="BF3" s="69"/>
      <c r="BG3" s="70"/>
      <c r="BH3" s="8"/>
      <c r="BI3" s="7"/>
      <c r="BJ3" s="7"/>
      <c r="BK3" s="6"/>
    </row>
    <row r="4" spans="1:63" ht="24.95" customHeight="1" x14ac:dyDescent="0.25">
      <c r="A4" s="267" t="s">
        <v>1</v>
      </c>
      <c r="B4" s="268"/>
      <c r="C4" s="268"/>
      <c r="D4" s="268"/>
      <c r="E4" s="268"/>
      <c r="F4" s="268"/>
      <c r="G4" s="269"/>
      <c r="H4" s="279" t="str">
        <f>IF(表紙!H4="","",表紙!H4)</f>
        <v>10_プロモーションメンテ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1"/>
      <c r="U4" s="267" t="s">
        <v>8</v>
      </c>
      <c r="V4" s="268"/>
      <c r="W4" s="268"/>
      <c r="X4" s="268"/>
      <c r="Y4" s="269"/>
      <c r="Z4" s="279" t="str">
        <f>IF(表紙!Z4="","",表紙!Z4)</f>
        <v>画面設計書</v>
      </c>
      <c r="AA4" s="280"/>
      <c r="AB4" s="280"/>
      <c r="AC4" s="280"/>
      <c r="AD4" s="280"/>
      <c r="AE4" s="280"/>
      <c r="AF4" s="280"/>
      <c r="AG4" s="280"/>
      <c r="AH4" s="280"/>
      <c r="AI4" s="280"/>
      <c r="AJ4" s="280"/>
      <c r="AK4" s="280"/>
      <c r="AL4" s="280"/>
      <c r="AM4" s="280"/>
      <c r="AN4" s="280"/>
      <c r="AO4" s="281"/>
      <c r="AP4" s="282" t="str">
        <f ca="1">MID(CELL("filename",A1),FIND("]",CELL("filename",A1))+1,255)</f>
        <v>SC1001</v>
      </c>
      <c r="AQ4" s="280"/>
      <c r="AR4" s="280"/>
      <c r="AS4" s="280"/>
      <c r="AT4" s="280"/>
      <c r="AU4" s="280"/>
      <c r="AV4" s="280"/>
      <c r="AW4" s="280"/>
      <c r="AX4" s="280"/>
      <c r="AY4" s="280"/>
      <c r="AZ4" s="280"/>
      <c r="BA4" s="280"/>
      <c r="BB4" s="280"/>
      <c r="BC4" s="280"/>
      <c r="BD4" s="280"/>
      <c r="BE4" s="280"/>
      <c r="BF4" s="280"/>
      <c r="BG4" s="280"/>
      <c r="BH4" s="280"/>
      <c r="BI4" s="280"/>
      <c r="BJ4" s="280"/>
      <c r="BK4" s="281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4"/>
      <c r="BK6" s="35"/>
    </row>
    <row r="7" spans="1:63" ht="15" customHeight="1" x14ac:dyDescent="0.25">
      <c r="A7" s="34"/>
      <c r="B7" s="37" t="s">
        <v>133</v>
      </c>
      <c r="C7" s="36"/>
      <c r="D7" s="36"/>
      <c r="E7" s="36"/>
      <c r="F7" s="36"/>
      <c r="G7" s="36"/>
      <c r="H7" s="36"/>
      <c r="I7" s="36"/>
      <c r="J7" s="36"/>
      <c r="AE7" s="37"/>
      <c r="BK7" s="35"/>
    </row>
    <row r="8" spans="1:63" ht="15" customHeight="1" x14ac:dyDescent="0.25">
      <c r="A8" s="34"/>
      <c r="C8" s="30" t="s">
        <v>49</v>
      </c>
      <c r="BK8" s="35"/>
    </row>
    <row r="9" spans="1:63" ht="15" customHeight="1" x14ac:dyDescent="0.25">
      <c r="A9" s="34"/>
      <c r="BK9" s="35"/>
    </row>
    <row r="10" spans="1:63" ht="15" customHeight="1" x14ac:dyDescent="0.25">
      <c r="A10" s="34"/>
      <c r="BK10" s="35"/>
    </row>
    <row r="11" spans="1:63" ht="15" customHeight="1" x14ac:dyDescent="0.25">
      <c r="A11" s="34"/>
      <c r="BK11" s="35"/>
    </row>
    <row r="12" spans="1:63" ht="15" customHeight="1" x14ac:dyDescent="0.25">
      <c r="A12" s="34"/>
      <c r="BK12" s="35"/>
    </row>
    <row r="13" spans="1:63" ht="15" customHeight="1" x14ac:dyDescent="0.25">
      <c r="A13" s="34"/>
      <c r="BK13" s="35"/>
    </row>
    <row r="14" spans="1:63" ht="15" customHeight="1" x14ac:dyDescent="0.25">
      <c r="A14" s="34"/>
      <c r="BK14" s="35"/>
    </row>
    <row r="15" spans="1:63" ht="15" customHeight="1" x14ac:dyDescent="0.25">
      <c r="A15" s="34"/>
      <c r="BK15" s="35"/>
    </row>
    <row r="16" spans="1:63" ht="15" customHeight="1" x14ac:dyDescent="0.25">
      <c r="A16" s="34"/>
      <c r="BK16" s="35"/>
    </row>
    <row r="17" spans="1:63" ht="15" customHeight="1" x14ac:dyDescent="0.25">
      <c r="A17" s="34"/>
      <c r="BK17" s="35"/>
    </row>
    <row r="18" spans="1:63" ht="15" customHeight="1" x14ac:dyDescent="0.25">
      <c r="A18" s="34"/>
      <c r="BK18" s="35"/>
    </row>
    <row r="19" spans="1:63" ht="15" customHeight="1" x14ac:dyDescent="0.25">
      <c r="A19" s="34"/>
      <c r="BK19" s="35"/>
    </row>
    <row r="20" spans="1:63" ht="15" customHeight="1" x14ac:dyDescent="0.25">
      <c r="A20" s="34"/>
      <c r="BK20" s="35"/>
    </row>
    <row r="21" spans="1:63" ht="15" customHeight="1" x14ac:dyDescent="0.25">
      <c r="A21" s="34"/>
      <c r="BK21" s="35"/>
    </row>
    <row r="22" spans="1:63" ht="15" customHeight="1" x14ac:dyDescent="0.25">
      <c r="A22" s="34"/>
      <c r="BK22" s="35"/>
    </row>
    <row r="23" spans="1:63" ht="15" customHeight="1" x14ac:dyDescent="0.25">
      <c r="A23" s="34"/>
      <c r="BK23" s="35"/>
    </row>
    <row r="24" spans="1:63" ht="15" customHeight="1" x14ac:dyDescent="0.25">
      <c r="A24" s="34"/>
      <c r="BK24" s="35"/>
    </row>
    <row r="25" spans="1:63" ht="14.25" customHeight="1" x14ac:dyDescent="0.25">
      <c r="A25" s="34"/>
      <c r="BK25" s="35"/>
    </row>
    <row r="26" spans="1:63" ht="14.25" customHeight="1" x14ac:dyDescent="0.25">
      <c r="A26" s="34"/>
      <c r="BK26" s="35"/>
    </row>
    <row r="27" spans="1:63" ht="14.25" customHeight="1" x14ac:dyDescent="0.25">
      <c r="A27" s="34"/>
      <c r="BK27" s="35"/>
    </row>
    <row r="28" spans="1:63" ht="14.25" customHeight="1" x14ac:dyDescent="0.25">
      <c r="A28" s="34"/>
      <c r="BK28" s="35"/>
    </row>
    <row r="29" spans="1:63" ht="14.25" customHeight="1" x14ac:dyDescent="0.25">
      <c r="A29" s="34"/>
      <c r="BK29" s="35"/>
    </row>
    <row r="30" spans="1:63" ht="14.25" customHeight="1" x14ac:dyDescent="0.25">
      <c r="A30" s="34"/>
      <c r="BK30" s="35"/>
    </row>
    <row r="31" spans="1:63" ht="14.25" customHeight="1" x14ac:dyDescent="0.25">
      <c r="A31" s="34"/>
      <c r="BK31" s="35"/>
    </row>
    <row r="32" spans="1:63" ht="15" customHeight="1" x14ac:dyDescent="0.25">
      <c r="A32" s="34"/>
      <c r="BK32" s="35"/>
    </row>
    <row r="33" spans="1:63" ht="15" customHeight="1" x14ac:dyDescent="0.25">
      <c r="A33" s="34"/>
      <c r="BK33" s="35"/>
    </row>
    <row r="34" spans="1:63" x14ac:dyDescent="0.25">
      <c r="A34" s="34"/>
      <c r="BK34" s="35"/>
    </row>
    <row r="35" spans="1:63" x14ac:dyDescent="0.25">
      <c r="A35" s="34"/>
      <c r="BK35" s="35"/>
    </row>
    <row r="36" spans="1:63" x14ac:dyDescent="0.25">
      <c r="A36" s="34"/>
      <c r="BK36" s="35"/>
    </row>
    <row r="37" spans="1:63" x14ac:dyDescent="0.25">
      <c r="A37" s="34"/>
      <c r="BK37" s="35"/>
    </row>
    <row r="38" spans="1:63" x14ac:dyDescent="0.25">
      <c r="A38" s="34"/>
      <c r="BK38" s="35"/>
    </row>
    <row r="39" spans="1:63" x14ac:dyDescent="0.25">
      <c r="A39" s="34"/>
      <c r="BK39" s="35"/>
    </row>
    <row r="40" spans="1:63" x14ac:dyDescent="0.25">
      <c r="A40" s="34"/>
      <c r="BK40" s="35"/>
    </row>
    <row r="41" spans="1:63" ht="15" customHeight="1" x14ac:dyDescent="0.25">
      <c r="A41" s="34"/>
      <c r="B41" s="37" t="s">
        <v>134</v>
      </c>
      <c r="BK41" s="35"/>
    </row>
    <row r="42" spans="1:63" x14ac:dyDescent="0.25">
      <c r="A42" s="34"/>
      <c r="BK42" s="35"/>
    </row>
    <row r="43" spans="1:63" ht="15.75" customHeight="1" x14ac:dyDescent="0.25">
      <c r="A43" s="34"/>
      <c r="B43" s="161" t="s">
        <v>135</v>
      </c>
      <c r="C43" s="162"/>
      <c r="D43" s="167" t="s">
        <v>136</v>
      </c>
      <c r="E43" s="168"/>
      <c r="F43" s="168"/>
      <c r="G43" s="168"/>
      <c r="H43" s="168"/>
      <c r="I43" s="168"/>
      <c r="J43" s="162"/>
      <c r="K43" s="167" t="s">
        <v>137</v>
      </c>
      <c r="L43" s="168"/>
      <c r="M43" s="162"/>
      <c r="N43" s="171" t="s">
        <v>141</v>
      </c>
      <c r="O43" s="174" t="s">
        <v>143</v>
      </c>
      <c r="P43" s="177" t="s">
        <v>144</v>
      </c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9"/>
      <c r="AR43" s="180" t="s">
        <v>157</v>
      </c>
      <c r="AS43" s="181"/>
      <c r="AT43" s="181"/>
      <c r="AU43" s="181"/>
      <c r="AV43" s="181"/>
      <c r="AW43" s="181"/>
      <c r="AX43" s="181"/>
      <c r="AY43" s="181"/>
      <c r="AZ43" s="181"/>
      <c r="BA43" s="181"/>
      <c r="BB43" s="182"/>
      <c r="BC43" s="183" t="s">
        <v>163</v>
      </c>
      <c r="BD43" s="184"/>
      <c r="BE43" s="184"/>
      <c r="BF43" s="184"/>
      <c r="BG43" s="184"/>
      <c r="BH43" s="184"/>
      <c r="BI43" s="184"/>
      <c r="BJ43" s="185"/>
      <c r="BK43" s="35"/>
    </row>
    <row r="44" spans="1:63" ht="15.75" customHeight="1" x14ac:dyDescent="0.25">
      <c r="A44" s="34"/>
      <c r="B44" s="163"/>
      <c r="C44" s="164"/>
      <c r="D44" s="163"/>
      <c r="E44" s="169"/>
      <c r="F44" s="169"/>
      <c r="G44" s="169"/>
      <c r="H44" s="169"/>
      <c r="I44" s="169"/>
      <c r="J44" s="164"/>
      <c r="K44" s="163"/>
      <c r="L44" s="169"/>
      <c r="M44" s="164"/>
      <c r="N44" s="172"/>
      <c r="O44" s="175"/>
      <c r="P44" s="192" t="s">
        <v>37</v>
      </c>
      <c r="Q44" s="193"/>
      <c r="R44" s="193"/>
      <c r="S44" s="193"/>
      <c r="T44" s="193"/>
      <c r="U44" s="193"/>
      <c r="V44" s="193"/>
      <c r="W44" s="194"/>
      <c r="X44" s="201" t="s">
        <v>152</v>
      </c>
      <c r="Y44" s="202"/>
      <c r="Z44" s="203"/>
      <c r="AA44" s="201" t="s">
        <v>153</v>
      </c>
      <c r="AB44" s="202"/>
      <c r="AC44" s="202"/>
      <c r="AD44" s="202"/>
      <c r="AE44" s="202"/>
      <c r="AF44" s="202"/>
      <c r="AG44" s="202"/>
      <c r="AH44" s="203"/>
      <c r="AI44" s="201" t="s">
        <v>155</v>
      </c>
      <c r="AJ44" s="202"/>
      <c r="AK44" s="202"/>
      <c r="AL44" s="202"/>
      <c r="AM44" s="202"/>
      <c r="AN44" s="202"/>
      <c r="AO44" s="202"/>
      <c r="AP44" s="202"/>
      <c r="AQ44" s="203"/>
      <c r="AR44" s="207" t="s">
        <v>158</v>
      </c>
      <c r="AS44" s="209" t="s">
        <v>159</v>
      </c>
      <c r="AT44" s="211" t="s">
        <v>160</v>
      </c>
      <c r="AU44" s="180" t="s">
        <v>37</v>
      </c>
      <c r="AV44" s="181"/>
      <c r="AW44" s="181"/>
      <c r="AX44" s="181"/>
      <c r="AY44" s="181"/>
      <c r="AZ44" s="181"/>
      <c r="BA44" s="181"/>
      <c r="BB44" s="182"/>
      <c r="BC44" s="186"/>
      <c r="BD44" s="187"/>
      <c r="BE44" s="187"/>
      <c r="BF44" s="187"/>
      <c r="BG44" s="187"/>
      <c r="BH44" s="187"/>
      <c r="BI44" s="187"/>
      <c r="BJ44" s="188"/>
      <c r="BK44" s="35"/>
    </row>
    <row r="45" spans="1:63" x14ac:dyDescent="0.25">
      <c r="A45" s="34"/>
      <c r="B45" s="165"/>
      <c r="C45" s="166"/>
      <c r="D45" s="165"/>
      <c r="E45" s="170"/>
      <c r="F45" s="170"/>
      <c r="G45" s="170"/>
      <c r="H45" s="170"/>
      <c r="I45" s="170"/>
      <c r="J45" s="166"/>
      <c r="K45" s="165"/>
      <c r="L45" s="170"/>
      <c r="M45" s="166"/>
      <c r="N45" s="173"/>
      <c r="O45" s="176"/>
      <c r="P45" s="177" t="s">
        <v>145</v>
      </c>
      <c r="Q45" s="178"/>
      <c r="R45" s="178"/>
      <c r="S45" s="179"/>
      <c r="T45" s="177" t="s">
        <v>35</v>
      </c>
      <c r="U45" s="178"/>
      <c r="V45" s="178"/>
      <c r="W45" s="179"/>
      <c r="X45" s="204"/>
      <c r="Y45" s="205"/>
      <c r="Z45" s="206"/>
      <c r="AA45" s="204"/>
      <c r="AB45" s="205"/>
      <c r="AC45" s="205"/>
      <c r="AD45" s="205"/>
      <c r="AE45" s="205"/>
      <c r="AF45" s="205"/>
      <c r="AG45" s="205"/>
      <c r="AH45" s="206"/>
      <c r="AI45" s="204"/>
      <c r="AJ45" s="205"/>
      <c r="AK45" s="205"/>
      <c r="AL45" s="205"/>
      <c r="AM45" s="205"/>
      <c r="AN45" s="205"/>
      <c r="AO45" s="205"/>
      <c r="AP45" s="205"/>
      <c r="AQ45" s="206"/>
      <c r="AR45" s="208"/>
      <c r="AS45" s="210"/>
      <c r="AT45" s="212"/>
      <c r="AU45" s="180" t="s">
        <v>145</v>
      </c>
      <c r="AV45" s="181"/>
      <c r="AW45" s="181"/>
      <c r="AX45" s="213"/>
      <c r="AY45" s="214" t="s">
        <v>35</v>
      </c>
      <c r="AZ45" s="181"/>
      <c r="BA45" s="181"/>
      <c r="BB45" s="182"/>
      <c r="BC45" s="189"/>
      <c r="BD45" s="190"/>
      <c r="BE45" s="190"/>
      <c r="BF45" s="190"/>
      <c r="BG45" s="190"/>
      <c r="BH45" s="190"/>
      <c r="BI45" s="190"/>
      <c r="BJ45" s="191"/>
      <c r="BK45" s="35"/>
    </row>
    <row r="46" spans="1:63" x14ac:dyDescent="0.25">
      <c r="A46" s="34"/>
      <c r="B46" s="159">
        <v>0</v>
      </c>
      <c r="C46" s="160"/>
      <c r="D46" s="250" t="s">
        <v>50</v>
      </c>
      <c r="E46" s="251"/>
      <c r="F46" s="251"/>
      <c r="G46" s="251"/>
      <c r="H46" s="251"/>
      <c r="I46" s="251"/>
      <c r="J46" s="252"/>
      <c r="K46" s="253" t="s">
        <v>36</v>
      </c>
      <c r="L46" s="104"/>
      <c r="M46" s="105"/>
      <c r="N46" s="38" t="s">
        <v>31</v>
      </c>
      <c r="O46" s="39" t="s">
        <v>32</v>
      </c>
      <c r="P46" s="254" t="s">
        <v>31</v>
      </c>
      <c r="Q46" s="223"/>
      <c r="R46" s="223"/>
      <c r="S46" s="160"/>
      <c r="T46" s="254" t="s">
        <v>31</v>
      </c>
      <c r="U46" s="223"/>
      <c r="V46" s="223"/>
      <c r="W46" s="160"/>
      <c r="X46" s="255" t="s">
        <v>51</v>
      </c>
      <c r="Y46" s="256"/>
      <c r="Z46" s="257"/>
      <c r="AA46" s="159" t="s">
        <v>154</v>
      </c>
      <c r="AB46" s="223"/>
      <c r="AC46" s="223"/>
      <c r="AD46" s="223"/>
      <c r="AE46" s="223"/>
      <c r="AF46" s="223"/>
      <c r="AG46" s="223"/>
      <c r="AH46" s="160"/>
      <c r="AI46" s="258" t="s">
        <v>31</v>
      </c>
      <c r="AJ46" s="259"/>
      <c r="AK46" s="259"/>
      <c r="AL46" s="259"/>
      <c r="AM46" s="259"/>
      <c r="AN46" s="259"/>
      <c r="AO46" s="259"/>
      <c r="AP46" s="259"/>
      <c r="AQ46" s="260"/>
      <c r="AR46" s="40" t="s">
        <v>31</v>
      </c>
      <c r="AS46" s="40" t="s">
        <v>154</v>
      </c>
      <c r="AT46" s="40" t="s">
        <v>154</v>
      </c>
      <c r="AU46" s="159" t="s">
        <v>34</v>
      </c>
      <c r="AV46" s="223"/>
      <c r="AW46" s="223"/>
      <c r="AX46" s="160"/>
      <c r="AY46" s="159" t="s">
        <v>38</v>
      </c>
      <c r="AZ46" s="223"/>
      <c r="BA46" s="223"/>
      <c r="BB46" s="160"/>
      <c r="BC46" s="224"/>
      <c r="BD46" s="225"/>
      <c r="BE46" s="225"/>
      <c r="BF46" s="225"/>
      <c r="BG46" s="225"/>
      <c r="BH46" s="225"/>
      <c r="BI46" s="225"/>
      <c r="BJ46" s="226"/>
      <c r="BK46" s="35"/>
    </row>
    <row r="47" spans="1:63" x14ac:dyDescent="0.25">
      <c r="A47" s="34"/>
      <c r="B47" s="96">
        <v>1</v>
      </c>
      <c r="C47" s="97"/>
      <c r="D47" s="232" t="s">
        <v>111</v>
      </c>
      <c r="E47" s="233"/>
      <c r="F47" s="233"/>
      <c r="G47" s="233"/>
      <c r="H47" s="233"/>
      <c r="I47" s="233"/>
      <c r="J47" s="234"/>
      <c r="K47" s="235" t="s">
        <v>36</v>
      </c>
      <c r="L47" s="236"/>
      <c r="M47" s="237"/>
      <c r="N47" s="47" t="s">
        <v>31</v>
      </c>
      <c r="O47" s="42" t="s">
        <v>32</v>
      </c>
      <c r="P47" s="238" t="s">
        <v>31</v>
      </c>
      <c r="Q47" s="239"/>
      <c r="R47" s="239"/>
      <c r="S47" s="240"/>
      <c r="T47" s="238" t="s">
        <v>31</v>
      </c>
      <c r="U47" s="239"/>
      <c r="V47" s="239"/>
      <c r="W47" s="240"/>
      <c r="X47" s="241" t="s">
        <v>52</v>
      </c>
      <c r="Y47" s="242"/>
      <c r="Z47" s="243"/>
      <c r="AA47" s="244" t="s">
        <v>38</v>
      </c>
      <c r="AB47" s="245"/>
      <c r="AC47" s="245"/>
      <c r="AD47" s="245"/>
      <c r="AE47" s="245"/>
      <c r="AF47" s="245"/>
      <c r="AG47" s="245"/>
      <c r="AH47" s="246"/>
      <c r="AI47" s="247" t="s">
        <v>38</v>
      </c>
      <c r="AJ47" s="248"/>
      <c r="AK47" s="248"/>
      <c r="AL47" s="248"/>
      <c r="AM47" s="248"/>
      <c r="AN47" s="248"/>
      <c r="AO47" s="248"/>
      <c r="AP47" s="248"/>
      <c r="AQ47" s="249"/>
      <c r="AR47" s="48" t="s">
        <v>31</v>
      </c>
      <c r="AS47" s="48" t="s">
        <v>38</v>
      </c>
      <c r="AT47" s="48" t="s">
        <v>38</v>
      </c>
      <c r="AU47" s="283" t="s">
        <v>34</v>
      </c>
      <c r="AV47" s="284"/>
      <c r="AW47" s="284"/>
      <c r="AX47" s="285"/>
      <c r="AY47" s="283" t="s">
        <v>38</v>
      </c>
      <c r="AZ47" s="284"/>
      <c r="BA47" s="284"/>
      <c r="BB47" s="285"/>
      <c r="BC47" s="286" t="s">
        <v>38</v>
      </c>
      <c r="BD47" s="227"/>
      <c r="BE47" s="227"/>
      <c r="BF47" s="227"/>
      <c r="BG47" s="227"/>
      <c r="BH47" s="227"/>
      <c r="BI47" s="227"/>
      <c r="BJ47" s="228"/>
      <c r="BK47" s="35"/>
    </row>
    <row r="48" spans="1:63" ht="68.25" customHeight="1" x14ac:dyDescent="0.25">
      <c r="A48" s="34"/>
      <c r="B48" s="98">
        <v>2</v>
      </c>
      <c r="C48" s="99"/>
      <c r="D48" s="120" t="s">
        <v>53</v>
      </c>
      <c r="E48" s="121"/>
      <c r="F48" s="121"/>
      <c r="G48" s="121"/>
      <c r="H48" s="121"/>
      <c r="I48" s="121"/>
      <c r="J48" s="122"/>
      <c r="K48" s="123" t="s">
        <v>31</v>
      </c>
      <c r="L48" s="215"/>
      <c r="M48" s="216"/>
      <c r="N48" s="46" t="s">
        <v>31</v>
      </c>
      <c r="O48" s="43" t="s">
        <v>31</v>
      </c>
      <c r="P48" s="126" t="s">
        <v>31</v>
      </c>
      <c r="Q48" s="127"/>
      <c r="R48" s="127"/>
      <c r="S48" s="128"/>
      <c r="T48" s="126" t="s">
        <v>31</v>
      </c>
      <c r="U48" s="127"/>
      <c r="V48" s="127"/>
      <c r="W48" s="128"/>
      <c r="X48" s="217" t="s">
        <v>31</v>
      </c>
      <c r="Y48" s="218"/>
      <c r="Z48" s="219"/>
      <c r="AA48" s="220" t="s">
        <v>38</v>
      </c>
      <c r="AB48" s="221"/>
      <c r="AC48" s="221"/>
      <c r="AD48" s="221"/>
      <c r="AE48" s="221"/>
      <c r="AF48" s="221"/>
      <c r="AG48" s="221"/>
      <c r="AH48" s="222"/>
      <c r="AI48" s="220" t="s">
        <v>38</v>
      </c>
      <c r="AJ48" s="221"/>
      <c r="AK48" s="221"/>
      <c r="AL48" s="221"/>
      <c r="AM48" s="221"/>
      <c r="AN48" s="221"/>
      <c r="AO48" s="221"/>
      <c r="AP48" s="221"/>
      <c r="AQ48" s="222"/>
      <c r="AR48" s="44" t="s">
        <v>31</v>
      </c>
      <c r="AS48" s="44" t="s">
        <v>38</v>
      </c>
      <c r="AT48" s="44" t="s">
        <v>38</v>
      </c>
      <c r="AU48" s="98" t="s">
        <v>34</v>
      </c>
      <c r="AV48" s="130"/>
      <c r="AW48" s="130"/>
      <c r="AX48" s="99"/>
      <c r="AY48" s="98" t="s">
        <v>38</v>
      </c>
      <c r="AZ48" s="130"/>
      <c r="BA48" s="130"/>
      <c r="BB48" s="99"/>
      <c r="BC48" s="229" t="s">
        <v>54</v>
      </c>
      <c r="BD48" s="230"/>
      <c r="BE48" s="230"/>
      <c r="BF48" s="230"/>
      <c r="BG48" s="230"/>
      <c r="BH48" s="230"/>
      <c r="BI48" s="230"/>
      <c r="BJ48" s="231"/>
      <c r="BK48" s="35"/>
    </row>
    <row r="49" spans="1:63" x14ac:dyDescent="0.25">
      <c r="A49" s="34"/>
      <c r="BK49" s="35"/>
    </row>
    <row r="50" spans="1:63" x14ac:dyDescent="0.25">
      <c r="A50" s="34"/>
      <c r="BK50" s="35"/>
    </row>
    <row r="51" spans="1:63" x14ac:dyDescent="0.25">
      <c r="A51" s="34"/>
      <c r="B51" s="37" t="s">
        <v>133</v>
      </c>
      <c r="C51" s="36"/>
      <c r="D51" s="36"/>
      <c r="E51" s="36"/>
      <c r="F51" s="36"/>
      <c r="G51" s="36"/>
      <c r="H51" s="36"/>
      <c r="BK51" s="35"/>
    </row>
    <row r="52" spans="1:63" x14ac:dyDescent="0.25">
      <c r="A52" s="34"/>
      <c r="C52" s="30" t="s">
        <v>55</v>
      </c>
      <c r="BK52" s="35"/>
    </row>
    <row r="53" spans="1:63" x14ac:dyDescent="0.25">
      <c r="A53" s="34"/>
      <c r="BK53" s="35"/>
    </row>
    <row r="54" spans="1:63" x14ac:dyDescent="0.25">
      <c r="A54" s="34"/>
      <c r="BK54" s="35"/>
    </row>
    <row r="55" spans="1:63" x14ac:dyDescent="0.25">
      <c r="A55" s="34"/>
      <c r="BK55" s="35"/>
    </row>
    <row r="56" spans="1:63" x14ac:dyDescent="0.25">
      <c r="A56" s="34"/>
      <c r="BK56" s="35"/>
    </row>
    <row r="57" spans="1:63" x14ac:dyDescent="0.25">
      <c r="A57" s="34"/>
      <c r="BK57" s="35"/>
    </row>
    <row r="58" spans="1:63" x14ac:dyDescent="0.25">
      <c r="A58" s="31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3"/>
    </row>
    <row r="85" spans="2:62" x14ac:dyDescent="0.25">
      <c r="B85" s="37" t="s">
        <v>134</v>
      </c>
    </row>
    <row r="87" spans="2:62" x14ac:dyDescent="0.25">
      <c r="B87" s="161" t="s">
        <v>135</v>
      </c>
      <c r="C87" s="162"/>
      <c r="D87" s="167" t="s">
        <v>35</v>
      </c>
      <c r="E87" s="168"/>
      <c r="F87" s="168"/>
      <c r="G87" s="168"/>
      <c r="H87" s="168"/>
      <c r="I87" s="168"/>
      <c r="J87" s="162"/>
      <c r="K87" s="167" t="s">
        <v>138</v>
      </c>
      <c r="L87" s="168"/>
      <c r="M87" s="162"/>
      <c r="N87" s="171" t="s">
        <v>141</v>
      </c>
      <c r="O87" s="174" t="s">
        <v>143</v>
      </c>
      <c r="P87" s="177" t="s">
        <v>144</v>
      </c>
      <c r="Q87" s="178"/>
      <c r="R87" s="178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78"/>
      <c r="AI87" s="178"/>
      <c r="AJ87" s="178"/>
      <c r="AK87" s="178"/>
      <c r="AL87" s="178"/>
      <c r="AM87" s="178"/>
      <c r="AN87" s="178"/>
      <c r="AO87" s="178"/>
      <c r="AP87" s="178"/>
      <c r="AQ87" s="179"/>
      <c r="AR87" s="180" t="s">
        <v>157</v>
      </c>
      <c r="AS87" s="181"/>
      <c r="AT87" s="181"/>
      <c r="AU87" s="181"/>
      <c r="AV87" s="181"/>
      <c r="AW87" s="181"/>
      <c r="AX87" s="181"/>
      <c r="AY87" s="181"/>
      <c r="AZ87" s="181"/>
      <c r="BA87" s="181"/>
      <c r="BB87" s="182"/>
      <c r="BC87" s="183" t="s">
        <v>163</v>
      </c>
      <c r="BD87" s="184"/>
      <c r="BE87" s="184"/>
      <c r="BF87" s="184"/>
      <c r="BG87" s="184"/>
      <c r="BH87" s="184"/>
      <c r="BI87" s="184"/>
      <c r="BJ87" s="185"/>
    </row>
    <row r="88" spans="2:62" x14ac:dyDescent="0.25">
      <c r="B88" s="163"/>
      <c r="C88" s="164"/>
      <c r="D88" s="163"/>
      <c r="E88" s="169"/>
      <c r="F88" s="169"/>
      <c r="G88" s="169"/>
      <c r="H88" s="169"/>
      <c r="I88" s="169"/>
      <c r="J88" s="164"/>
      <c r="K88" s="163"/>
      <c r="L88" s="169"/>
      <c r="M88" s="164"/>
      <c r="N88" s="172"/>
      <c r="O88" s="175"/>
      <c r="P88" s="192" t="s">
        <v>37</v>
      </c>
      <c r="Q88" s="193"/>
      <c r="R88" s="193"/>
      <c r="S88" s="193"/>
      <c r="T88" s="193"/>
      <c r="U88" s="193"/>
      <c r="V88" s="193"/>
      <c r="W88" s="194"/>
      <c r="X88" s="195" t="s">
        <v>152</v>
      </c>
      <c r="Y88" s="196"/>
      <c r="Z88" s="197"/>
      <c r="AA88" s="201" t="s">
        <v>153</v>
      </c>
      <c r="AB88" s="202"/>
      <c r="AC88" s="202"/>
      <c r="AD88" s="202"/>
      <c r="AE88" s="202"/>
      <c r="AF88" s="202"/>
      <c r="AG88" s="202"/>
      <c r="AH88" s="203"/>
      <c r="AI88" s="201" t="s">
        <v>155</v>
      </c>
      <c r="AJ88" s="202"/>
      <c r="AK88" s="202"/>
      <c r="AL88" s="202"/>
      <c r="AM88" s="202"/>
      <c r="AN88" s="202"/>
      <c r="AO88" s="202"/>
      <c r="AP88" s="202"/>
      <c r="AQ88" s="203"/>
      <c r="AR88" s="207" t="s">
        <v>158</v>
      </c>
      <c r="AS88" s="209" t="s">
        <v>159</v>
      </c>
      <c r="AT88" s="211" t="s">
        <v>160</v>
      </c>
      <c r="AU88" s="180" t="s">
        <v>37</v>
      </c>
      <c r="AV88" s="181"/>
      <c r="AW88" s="181"/>
      <c r="AX88" s="181"/>
      <c r="AY88" s="181"/>
      <c r="AZ88" s="181"/>
      <c r="BA88" s="181"/>
      <c r="BB88" s="182"/>
      <c r="BC88" s="186"/>
      <c r="BD88" s="187"/>
      <c r="BE88" s="187"/>
      <c r="BF88" s="187"/>
      <c r="BG88" s="187"/>
      <c r="BH88" s="187"/>
      <c r="BI88" s="187"/>
      <c r="BJ88" s="188"/>
    </row>
    <row r="89" spans="2:62" ht="48.75" customHeight="1" x14ac:dyDescent="0.25">
      <c r="B89" s="165"/>
      <c r="C89" s="166"/>
      <c r="D89" s="165"/>
      <c r="E89" s="170"/>
      <c r="F89" s="170"/>
      <c r="G89" s="170"/>
      <c r="H89" s="170"/>
      <c r="I89" s="170"/>
      <c r="J89" s="166"/>
      <c r="K89" s="165"/>
      <c r="L89" s="170"/>
      <c r="M89" s="166"/>
      <c r="N89" s="173"/>
      <c r="O89" s="176"/>
      <c r="P89" s="177" t="s">
        <v>145</v>
      </c>
      <c r="Q89" s="178"/>
      <c r="R89" s="178"/>
      <c r="S89" s="179"/>
      <c r="T89" s="177" t="s">
        <v>35</v>
      </c>
      <c r="U89" s="178"/>
      <c r="V89" s="178"/>
      <c r="W89" s="179"/>
      <c r="X89" s="198"/>
      <c r="Y89" s="199"/>
      <c r="Z89" s="200"/>
      <c r="AA89" s="204"/>
      <c r="AB89" s="205"/>
      <c r="AC89" s="205"/>
      <c r="AD89" s="205"/>
      <c r="AE89" s="205"/>
      <c r="AF89" s="205"/>
      <c r="AG89" s="205"/>
      <c r="AH89" s="206"/>
      <c r="AI89" s="204"/>
      <c r="AJ89" s="205"/>
      <c r="AK89" s="205"/>
      <c r="AL89" s="205"/>
      <c r="AM89" s="205"/>
      <c r="AN89" s="205"/>
      <c r="AO89" s="205"/>
      <c r="AP89" s="205"/>
      <c r="AQ89" s="206"/>
      <c r="AR89" s="208"/>
      <c r="AS89" s="210"/>
      <c r="AT89" s="212"/>
      <c r="AU89" s="180" t="s">
        <v>145</v>
      </c>
      <c r="AV89" s="181"/>
      <c r="AW89" s="181"/>
      <c r="AX89" s="213"/>
      <c r="AY89" s="214" t="s">
        <v>35</v>
      </c>
      <c r="AZ89" s="181"/>
      <c r="BA89" s="181"/>
      <c r="BB89" s="182"/>
      <c r="BC89" s="189"/>
      <c r="BD89" s="190"/>
      <c r="BE89" s="190"/>
      <c r="BF89" s="190"/>
      <c r="BG89" s="190"/>
      <c r="BH89" s="190"/>
      <c r="BI89" s="190"/>
      <c r="BJ89" s="191"/>
    </row>
    <row r="90" spans="2:62" x14ac:dyDescent="0.25">
      <c r="B90" s="159">
        <v>1</v>
      </c>
      <c r="C90" s="160"/>
      <c r="D90" s="250" t="s">
        <v>56</v>
      </c>
      <c r="E90" s="251"/>
      <c r="F90" s="251"/>
      <c r="G90" s="251"/>
      <c r="H90" s="251"/>
      <c r="I90" s="251"/>
      <c r="J90" s="252"/>
      <c r="K90" s="253" t="s">
        <v>30</v>
      </c>
      <c r="L90" s="104"/>
      <c r="M90" s="105"/>
      <c r="N90" s="38" t="s">
        <v>31</v>
      </c>
      <c r="O90" s="39" t="s">
        <v>32</v>
      </c>
      <c r="P90" s="254" t="s">
        <v>31</v>
      </c>
      <c r="Q90" s="223"/>
      <c r="R90" s="223"/>
      <c r="S90" s="160"/>
      <c r="T90" s="254" t="s">
        <v>31</v>
      </c>
      <c r="U90" s="223"/>
      <c r="V90" s="223"/>
      <c r="W90" s="160"/>
      <c r="X90" s="255" t="s">
        <v>57</v>
      </c>
      <c r="Y90" s="256"/>
      <c r="Z90" s="257"/>
      <c r="AA90" s="159" t="s">
        <v>38</v>
      </c>
      <c r="AB90" s="223"/>
      <c r="AC90" s="223"/>
      <c r="AD90" s="223"/>
      <c r="AE90" s="223"/>
      <c r="AF90" s="223"/>
      <c r="AG90" s="223"/>
      <c r="AH90" s="160"/>
      <c r="AI90" s="258" t="s">
        <v>31</v>
      </c>
      <c r="AJ90" s="259"/>
      <c r="AK90" s="259"/>
      <c r="AL90" s="259"/>
      <c r="AM90" s="259"/>
      <c r="AN90" s="259"/>
      <c r="AO90" s="259"/>
      <c r="AP90" s="259"/>
      <c r="AQ90" s="260"/>
      <c r="AR90" s="42" t="s">
        <v>31</v>
      </c>
      <c r="AS90" s="42" t="s">
        <v>31</v>
      </c>
      <c r="AT90" s="42" t="s">
        <v>31</v>
      </c>
      <c r="AU90" s="159" t="s">
        <v>34</v>
      </c>
      <c r="AV90" s="223"/>
      <c r="AW90" s="223"/>
      <c r="AX90" s="160"/>
      <c r="AY90" s="159" t="s">
        <v>38</v>
      </c>
      <c r="AZ90" s="223"/>
      <c r="BA90" s="223"/>
      <c r="BB90" s="160"/>
      <c r="BC90" s="224" t="s">
        <v>67</v>
      </c>
      <c r="BD90" s="225"/>
      <c r="BE90" s="225"/>
      <c r="BF90" s="225"/>
      <c r="BG90" s="225"/>
      <c r="BH90" s="225"/>
      <c r="BI90" s="225"/>
      <c r="BJ90" s="226"/>
    </row>
    <row r="91" spans="2:62" ht="101.25" customHeight="1" x14ac:dyDescent="0.25">
      <c r="B91" s="96">
        <v>2</v>
      </c>
      <c r="C91" s="97"/>
      <c r="D91" s="232" t="s">
        <v>58</v>
      </c>
      <c r="E91" s="233"/>
      <c r="F91" s="233"/>
      <c r="G91" s="233"/>
      <c r="H91" s="233"/>
      <c r="I91" s="233"/>
      <c r="J91" s="234"/>
      <c r="K91" s="235" t="s">
        <v>139</v>
      </c>
      <c r="L91" s="236"/>
      <c r="M91" s="237"/>
      <c r="N91" s="47" t="s">
        <v>142</v>
      </c>
      <c r="O91" s="42" t="s">
        <v>31</v>
      </c>
      <c r="P91" s="238" t="s">
        <v>31</v>
      </c>
      <c r="Q91" s="239"/>
      <c r="R91" s="239"/>
      <c r="S91" s="240"/>
      <c r="T91" s="238" t="s">
        <v>31</v>
      </c>
      <c r="U91" s="239"/>
      <c r="V91" s="239"/>
      <c r="W91" s="240"/>
      <c r="X91" s="241" t="s">
        <v>61</v>
      </c>
      <c r="Y91" s="242"/>
      <c r="Z91" s="243"/>
      <c r="AA91" s="244" t="s">
        <v>38</v>
      </c>
      <c r="AB91" s="245"/>
      <c r="AC91" s="245"/>
      <c r="AD91" s="245"/>
      <c r="AE91" s="245"/>
      <c r="AF91" s="245"/>
      <c r="AG91" s="245"/>
      <c r="AH91" s="246"/>
      <c r="AI91" s="247" t="s">
        <v>38</v>
      </c>
      <c r="AJ91" s="248"/>
      <c r="AK91" s="248"/>
      <c r="AL91" s="248"/>
      <c r="AM91" s="248"/>
      <c r="AN91" s="248"/>
      <c r="AO91" s="248"/>
      <c r="AP91" s="248"/>
      <c r="AQ91" s="249"/>
      <c r="AR91" s="42" t="s">
        <v>31</v>
      </c>
      <c r="AS91" s="42" t="s">
        <v>32</v>
      </c>
      <c r="AT91" s="42" t="s">
        <v>31</v>
      </c>
      <c r="AU91" s="106" t="s">
        <v>68</v>
      </c>
      <c r="AV91" s="110"/>
      <c r="AW91" s="110"/>
      <c r="AX91" s="97"/>
      <c r="AY91" s="106" t="s">
        <v>162</v>
      </c>
      <c r="AZ91" s="110"/>
      <c r="BA91" s="110"/>
      <c r="BB91" s="97"/>
      <c r="BC91" s="139" t="s">
        <v>66</v>
      </c>
      <c r="BD91" s="227"/>
      <c r="BE91" s="227"/>
      <c r="BF91" s="227"/>
      <c r="BG91" s="227"/>
      <c r="BH91" s="227"/>
      <c r="BI91" s="227"/>
      <c r="BJ91" s="228"/>
    </row>
    <row r="92" spans="2:62" ht="60" customHeight="1" x14ac:dyDescent="0.25">
      <c r="B92" s="98">
        <v>3</v>
      </c>
      <c r="C92" s="99"/>
      <c r="D92" s="120" t="s">
        <v>62</v>
      </c>
      <c r="E92" s="121"/>
      <c r="F92" s="121"/>
      <c r="G92" s="121"/>
      <c r="H92" s="121"/>
      <c r="I92" s="121"/>
      <c r="J92" s="122"/>
      <c r="K92" s="123" t="s">
        <v>140</v>
      </c>
      <c r="L92" s="215"/>
      <c r="M92" s="216"/>
      <c r="N92" s="46" t="s">
        <v>142</v>
      </c>
      <c r="O92" s="43" t="s">
        <v>32</v>
      </c>
      <c r="P92" s="126" t="s">
        <v>31</v>
      </c>
      <c r="Q92" s="127"/>
      <c r="R92" s="127"/>
      <c r="S92" s="128"/>
      <c r="T92" s="126" t="s">
        <v>31</v>
      </c>
      <c r="U92" s="127"/>
      <c r="V92" s="127"/>
      <c r="W92" s="128"/>
      <c r="X92" s="217" t="s">
        <v>64</v>
      </c>
      <c r="Y92" s="218"/>
      <c r="Z92" s="219"/>
      <c r="AA92" s="220" t="s">
        <v>38</v>
      </c>
      <c r="AB92" s="221"/>
      <c r="AC92" s="221"/>
      <c r="AD92" s="221"/>
      <c r="AE92" s="221"/>
      <c r="AF92" s="221"/>
      <c r="AG92" s="221"/>
      <c r="AH92" s="222"/>
      <c r="AI92" s="220" t="s">
        <v>65</v>
      </c>
      <c r="AJ92" s="221"/>
      <c r="AK92" s="221"/>
      <c r="AL92" s="221"/>
      <c r="AM92" s="221"/>
      <c r="AN92" s="221"/>
      <c r="AO92" s="221"/>
      <c r="AP92" s="221"/>
      <c r="AQ92" s="222"/>
      <c r="AR92" s="43" t="s">
        <v>31</v>
      </c>
      <c r="AS92" s="43" t="s">
        <v>31</v>
      </c>
      <c r="AT92" s="43" t="s">
        <v>31</v>
      </c>
      <c r="AU92" s="98" t="s">
        <v>34</v>
      </c>
      <c r="AV92" s="130"/>
      <c r="AW92" s="130"/>
      <c r="AX92" s="99"/>
      <c r="AY92" s="98" t="s">
        <v>38</v>
      </c>
      <c r="AZ92" s="130"/>
      <c r="BA92" s="130"/>
      <c r="BB92" s="99"/>
      <c r="BC92" s="229" t="s">
        <v>70</v>
      </c>
      <c r="BD92" s="230"/>
      <c r="BE92" s="230"/>
      <c r="BF92" s="230"/>
      <c r="BG92" s="230"/>
      <c r="BH92" s="230"/>
      <c r="BI92" s="230"/>
      <c r="BJ92" s="231"/>
    </row>
    <row r="95" spans="2:62" x14ac:dyDescent="0.25">
      <c r="B95" s="37" t="s">
        <v>44</v>
      </c>
      <c r="C95" s="36"/>
      <c r="D95" s="36"/>
    </row>
    <row r="96" spans="2:62" x14ac:dyDescent="0.25">
      <c r="C96" s="30" t="s">
        <v>71</v>
      </c>
    </row>
    <row r="129" spans="2:62" x14ac:dyDescent="0.25">
      <c r="B129" s="37" t="s">
        <v>15</v>
      </c>
    </row>
    <row r="131" spans="2:62" x14ac:dyDescent="0.25">
      <c r="B131" s="161" t="s">
        <v>16</v>
      </c>
      <c r="C131" s="162"/>
      <c r="D131" s="167" t="s">
        <v>35</v>
      </c>
      <c r="E131" s="168"/>
      <c r="F131" s="168"/>
      <c r="G131" s="168"/>
      <c r="H131" s="168"/>
      <c r="I131" s="168"/>
      <c r="J131" s="162"/>
      <c r="K131" s="167" t="s">
        <v>18</v>
      </c>
      <c r="L131" s="168"/>
      <c r="M131" s="162"/>
      <c r="N131" s="171" t="s">
        <v>19</v>
      </c>
      <c r="O131" s="174" t="s">
        <v>45</v>
      </c>
      <c r="P131" s="177" t="s">
        <v>20</v>
      </c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8"/>
      <c r="AH131" s="178"/>
      <c r="AI131" s="178"/>
      <c r="AJ131" s="178"/>
      <c r="AK131" s="178"/>
      <c r="AL131" s="178"/>
      <c r="AM131" s="178"/>
      <c r="AN131" s="178"/>
      <c r="AO131" s="178"/>
      <c r="AP131" s="178"/>
      <c r="AQ131" s="179"/>
      <c r="AR131" s="180" t="s">
        <v>21</v>
      </c>
      <c r="AS131" s="181"/>
      <c r="AT131" s="181"/>
      <c r="AU131" s="181"/>
      <c r="AV131" s="181"/>
      <c r="AW131" s="181"/>
      <c r="AX131" s="181"/>
      <c r="AY131" s="181"/>
      <c r="AZ131" s="181"/>
      <c r="BA131" s="181"/>
      <c r="BB131" s="182"/>
      <c r="BC131" s="183" t="s">
        <v>22</v>
      </c>
      <c r="BD131" s="184"/>
      <c r="BE131" s="184"/>
      <c r="BF131" s="184"/>
      <c r="BG131" s="184"/>
      <c r="BH131" s="184"/>
      <c r="BI131" s="184"/>
      <c r="BJ131" s="185"/>
    </row>
    <row r="132" spans="2:62" x14ac:dyDescent="0.25">
      <c r="B132" s="163"/>
      <c r="C132" s="164"/>
      <c r="D132" s="163"/>
      <c r="E132" s="169"/>
      <c r="F132" s="169"/>
      <c r="G132" s="169"/>
      <c r="H132" s="169"/>
      <c r="I132" s="169"/>
      <c r="J132" s="164"/>
      <c r="K132" s="163"/>
      <c r="L132" s="169"/>
      <c r="M132" s="164"/>
      <c r="N132" s="172"/>
      <c r="O132" s="175"/>
      <c r="P132" s="192" t="s">
        <v>37</v>
      </c>
      <c r="Q132" s="193"/>
      <c r="R132" s="193"/>
      <c r="S132" s="193"/>
      <c r="T132" s="193"/>
      <c r="U132" s="193"/>
      <c r="V132" s="193"/>
      <c r="W132" s="194"/>
      <c r="X132" s="195" t="s">
        <v>24</v>
      </c>
      <c r="Y132" s="196"/>
      <c r="Z132" s="197"/>
      <c r="AA132" s="201" t="s">
        <v>25</v>
      </c>
      <c r="AB132" s="202"/>
      <c r="AC132" s="202"/>
      <c r="AD132" s="202"/>
      <c r="AE132" s="202"/>
      <c r="AF132" s="202"/>
      <c r="AG132" s="202"/>
      <c r="AH132" s="203"/>
      <c r="AI132" s="201" t="s">
        <v>26</v>
      </c>
      <c r="AJ132" s="202"/>
      <c r="AK132" s="202"/>
      <c r="AL132" s="202"/>
      <c r="AM132" s="202"/>
      <c r="AN132" s="202"/>
      <c r="AO132" s="202"/>
      <c r="AP132" s="202"/>
      <c r="AQ132" s="203"/>
      <c r="AR132" s="207" t="s">
        <v>27</v>
      </c>
      <c r="AS132" s="209" t="s">
        <v>28</v>
      </c>
      <c r="AT132" s="211" t="s">
        <v>29</v>
      </c>
      <c r="AU132" s="180" t="s">
        <v>23</v>
      </c>
      <c r="AV132" s="181"/>
      <c r="AW132" s="181"/>
      <c r="AX132" s="181"/>
      <c r="AY132" s="181"/>
      <c r="AZ132" s="181"/>
      <c r="BA132" s="181"/>
      <c r="BB132" s="182"/>
      <c r="BC132" s="186"/>
      <c r="BD132" s="187"/>
      <c r="BE132" s="187"/>
      <c r="BF132" s="187"/>
      <c r="BG132" s="187"/>
      <c r="BH132" s="187"/>
      <c r="BI132" s="187"/>
      <c r="BJ132" s="188"/>
    </row>
    <row r="133" spans="2:62" x14ac:dyDescent="0.25">
      <c r="B133" s="165"/>
      <c r="C133" s="166"/>
      <c r="D133" s="165"/>
      <c r="E133" s="170"/>
      <c r="F133" s="170"/>
      <c r="G133" s="170"/>
      <c r="H133" s="170"/>
      <c r="I133" s="170"/>
      <c r="J133" s="166"/>
      <c r="K133" s="165"/>
      <c r="L133" s="170"/>
      <c r="M133" s="166"/>
      <c r="N133" s="173"/>
      <c r="O133" s="176"/>
      <c r="P133" s="177" t="s">
        <v>145</v>
      </c>
      <c r="Q133" s="178"/>
      <c r="R133" s="178"/>
      <c r="S133" s="179"/>
      <c r="T133" s="177" t="s">
        <v>35</v>
      </c>
      <c r="U133" s="178"/>
      <c r="V133" s="178"/>
      <c r="W133" s="179"/>
      <c r="X133" s="198"/>
      <c r="Y133" s="199"/>
      <c r="Z133" s="200"/>
      <c r="AA133" s="204"/>
      <c r="AB133" s="205"/>
      <c r="AC133" s="205"/>
      <c r="AD133" s="205"/>
      <c r="AE133" s="205"/>
      <c r="AF133" s="205"/>
      <c r="AG133" s="205"/>
      <c r="AH133" s="206"/>
      <c r="AI133" s="204"/>
      <c r="AJ133" s="205"/>
      <c r="AK133" s="205"/>
      <c r="AL133" s="205"/>
      <c r="AM133" s="205"/>
      <c r="AN133" s="205"/>
      <c r="AO133" s="205"/>
      <c r="AP133" s="205"/>
      <c r="AQ133" s="206"/>
      <c r="AR133" s="208"/>
      <c r="AS133" s="210"/>
      <c r="AT133" s="212"/>
      <c r="AU133" s="180" t="s">
        <v>43</v>
      </c>
      <c r="AV133" s="181"/>
      <c r="AW133" s="181"/>
      <c r="AX133" s="213"/>
      <c r="AY133" s="214" t="s">
        <v>17</v>
      </c>
      <c r="AZ133" s="181"/>
      <c r="BA133" s="181"/>
      <c r="BB133" s="182"/>
      <c r="BC133" s="189"/>
      <c r="BD133" s="190"/>
      <c r="BE133" s="190"/>
      <c r="BF133" s="190"/>
      <c r="BG133" s="190"/>
      <c r="BH133" s="190"/>
      <c r="BI133" s="190"/>
      <c r="BJ133" s="191"/>
    </row>
    <row r="134" spans="2:62" ht="15.75" customHeight="1" x14ac:dyDescent="0.25">
      <c r="B134" s="159">
        <v>1</v>
      </c>
      <c r="C134" s="160"/>
      <c r="D134" s="100" t="s">
        <v>106</v>
      </c>
      <c r="E134" s="101"/>
      <c r="F134" s="101"/>
      <c r="G134" s="101"/>
      <c r="H134" s="101"/>
      <c r="I134" s="101"/>
      <c r="J134" s="102"/>
      <c r="K134" s="103" t="s">
        <v>30</v>
      </c>
      <c r="L134" s="104"/>
      <c r="M134" s="105"/>
      <c r="N134" s="45" t="s">
        <v>31</v>
      </c>
      <c r="O134" s="39" t="s">
        <v>32</v>
      </c>
      <c r="P134" s="106" t="s">
        <v>31</v>
      </c>
      <c r="Q134" s="107"/>
      <c r="R134" s="107"/>
      <c r="S134" s="108"/>
      <c r="T134" s="106" t="s">
        <v>31</v>
      </c>
      <c r="U134" s="107"/>
      <c r="V134" s="107"/>
      <c r="W134" s="108"/>
      <c r="X134" s="145" t="s">
        <v>72</v>
      </c>
      <c r="Y134" s="107"/>
      <c r="Z134" s="108"/>
      <c r="AA134" s="111" t="s">
        <v>38</v>
      </c>
      <c r="AB134" s="112"/>
      <c r="AC134" s="112"/>
      <c r="AD134" s="112"/>
      <c r="AE134" s="112"/>
      <c r="AF134" s="112"/>
      <c r="AG134" s="112"/>
      <c r="AH134" s="113"/>
      <c r="AI134" s="146" t="s">
        <v>38</v>
      </c>
      <c r="AJ134" s="115"/>
      <c r="AK134" s="115"/>
      <c r="AL134" s="115"/>
      <c r="AM134" s="115"/>
      <c r="AN134" s="115"/>
      <c r="AO134" s="115"/>
      <c r="AP134" s="115"/>
      <c r="AQ134" s="116"/>
      <c r="AR134" s="41" t="s">
        <v>31</v>
      </c>
      <c r="AS134" s="41" t="s">
        <v>31</v>
      </c>
      <c r="AT134" s="41" t="s">
        <v>31</v>
      </c>
      <c r="AU134" s="96" t="s">
        <v>34</v>
      </c>
      <c r="AV134" s="110"/>
      <c r="AW134" s="110"/>
      <c r="AX134" s="97"/>
      <c r="AY134" s="96" t="s">
        <v>38</v>
      </c>
      <c r="AZ134" s="110"/>
      <c r="BA134" s="110"/>
      <c r="BB134" s="97"/>
      <c r="BC134" s="154" t="s">
        <v>38</v>
      </c>
      <c r="BD134" s="155"/>
      <c r="BE134" s="155"/>
      <c r="BF134" s="155"/>
      <c r="BG134" s="155"/>
      <c r="BH134" s="155"/>
      <c r="BI134" s="155"/>
      <c r="BJ134" s="156"/>
    </row>
    <row r="135" spans="2:62" ht="15.75" customHeight="1" x14ac:dyDescent="0.25">
      <c r="B135" s="96">
        <v>2</v>
      </c>
      <c r="C135" s="97"/>
      <c r="D135" s="100" t="s">
        <v>56</v>
      </c>
      <c r="E135" s="101"/>
      <c r="F135" s="101"/>
      <c r="G135" s="101"/>
      <c r="H135" s="101"/>
      <c r="I135" s="101"/>
      <c r="J135" s="102"/>
      <c r="K135" s="103" t="s">
        <v>30</v>
      </c>
      <c r="L135" s="104"/>
      <c r="M135" s="105"/>
      <c r="N135" s="45" t="s">
        <v>31</v>
      </c>
      <c r="O135" s="39" t="s">
        <v>32</v>
      </c>
      <c r="P135" s="106" t="s">
        <v>31</v>
      </c>
      <c r="Q135" s="107"/>
      <c r="R135" s="107"/>
      <c r="S135" s="108"/>
      <c r="T135" s="106" t="s">
        <v>31</v>
      </c>
      <c r="U135" s="107"/>
      <c r="V135" s="107"/>
      <c r="W135" s="108"/>
      <c r="X135" s="145" t="s">
        <v>73</v>
      </c>
      <c r="Y135" s="107"/>
      <c r="Z135" s="108"/>
      <c r="AA135" s="111" t="s">
        <v>38</v>
      </c>
      <c r="AB135" s="112"/>
      <c r="AC135" s="112"/>
      <c r="AD135" s="112"/>
      <c r="AE135" s="112"/>
      <c r="AF135" s="112"/>
      <c r="AG135" s="112"/>
      <c r="AH135" s="113"/>
      <c r="AI135" s="146" t="s">
        <v>38</v>
      </c>
      <c r="AJ135" s="115"/>
      <c r="AK135" s="115"/>
      <c r="AL135" s="115"/>
      <c r="AM135" s="115"/>
      <c r="AN135" s="115"/>
      <c r="AO135" s="115"/>
      <c r="AP135" s="115"/>
      <c r="AQ135" s="116"/>
      <c r="AR135" s="41" t="s">
        <v>31</v>
      </c>
      <c r="AS135" s="41" t="s">
        <v>31</v>
      </c>
      <c r="AT135" s="41" t="s">
        <v>31</v>
      </c>
      <c r="AU135" s="96" t="s">
        <v>34</v>
      </c>
      <c r="AV135" s="110"/>
      <c r="AW135" s="110"/>
      <c r="AX135" s="97"/>
      <c r="AY135" s="96" t="s">
        <v>38</v>
      </c>
      <c r="AZ135" s="110"/>
      <c r="BA135" s="110"/>
      <c r="BB135" s="97"/>
      <c r="BC135" s="154" t="s">
        <v>38</v>
      </c>
      <c r="BD135" s="155"/>
      <c r="BE135" s="155"/>
      <c r="BF135" s="155"/>
      <c r="BG135" s="155"/>
      <c r="BH135" s="155"/>
      <c r="BI135" s="155"/>
      <c r="BJ135" s="156"/>
    </row>
    <row r="136" spans="2:62" ht="15.75" customHeight="1" x14ac:dyDescent="0.25">
      <c r="B136" s="96">
        <v>3</v>
      </c>
      <c r="C136" s="97"/>
      <c r="D136" s="100" t="s">
        <v>115</v>
      </c>
      <c r="E136" s="101"/>
      <c r="F136" s="101"/>
      <c r="G136" s="101"/>
      <c r="H136" s="101"/>
      <c r="I136" s="101"/>
      <c r="J136" s="102"/>
      <c r="K136" s="103" t="s">
        <v>30</v>
      </c>
      <c r="L136" s="104"/>
      <c r="M136" s="105"/>
      <c r="N136" s="45" t="s">
        <v>31</v>
      </c>
      <c r="O136" s="39" t="s">
        <v>32</v>
      </c>
      <c r="P136" s="106" t="s">
        <v>31</v>
      </c>
      <c r="Q136" s="107"/>
      <c r="R136" s="107"/>
      <c r="S136" s="108"/>
      <c r="T136" s="106" t="s">
        <v>31</v>
      </c>
      <c r="U136" s="107"/>
      <c r="V136" s="107"/>
      <c r="W136" s="108"/>
      <c r="X136" s="145" t="s">
        <v>74</v>
      </c>
      <c r="Y136" s="107"/>
      <c r="Z136" s="108"/>
      <c r="AA136" s="111" t="s">
        <v>38</v>
      </c>
      <c r="AB136" s="112"/>
      <c r="AC136" s="112"/>
      <c r="AD136" s="112"/>
      <c r="AE136" s="112"/>
      <c r="AF136" s="112"/>
      <c r="AG136" s="112"/>
      <c r="AH136" s="113"/>
      <c r="AI136" s="146" t="s">
        <v>38</v>
      </c>
      <c r="AJ136" s="115"/>
      <c r="AK136" s="115"/>
      <c r="AL136" s="115"/>
      <c r="AM136" s="115"/>
      <c r="AN136" s="115"/>
      <c r="AO136" s="115"/>
      <c r="AP136" s="115"/>
      <c r="AQ136" s="116"/>
      <c r="AR136" s="41" t="s">
        <v>31</v>
      </c>
      <c r="AS136" s="41" t="s">
        <v>31</v>
      </c>
      <c r="AT136" s="41" t="s">
        <v>31</v>
      </c>
      <c r="AU136" s="96" t="s">
        <v>34</v>
      </c>
      <c r="AV136" s="110"/>
      <c r="AW136" s="110"/>
      <c r="AX136" s="97"/>
      <c r="AY136" s="96" t="s">
        <v>38</v>
      </c>
      <c r="AZ136" s="110"/>
      <c r="BA136" s="110"/>
      <c r="BB136" s="97"/>
      <c r="BC136" s="154" t="s">
        <v>38</v>
      </c>
      <c r="BD136" s="155"/>
      <c r="BE136" s="155"/>
      <c r="BF136" s="155"/>
      <c r="BG136" s="155"/>
      <c r="BH136" s="155"/>
      <c r="BI136" s="155"/>
      <c r="BJ136" s="156"/>
    </row>
    <row r="137" spans="2:62" x14ac:dyDescent="0.25">
      <c r="B137" s="96">
        <v>4</v>
      </c>
      <c r="C137" s="97"/>
      <c r="D137" s="100" t="s">
        <v>107</v>
      </c>
      <c r="E137" s="101"/>
      <c r="F137" s="101"/>
      <c r="G137" s="101"/>
      <c r="H137" s="101"/>
      <c r="I137" s="101"/>
      <c r="J137" s="102"/>
      <c r="K137" s="103" t="s">
        <v>30</v>
      </c>
      <c r="L137" s="104"/>
      <c r="M137" s="105"/>
      <c r="N137" s="45" t="s">
        <v>31</v>
      </c>
      <c r="O137" s="39" t="s">
        <v>32</v>
      </c>
      <c r="P137" s="106" t="s">
        <v>31</v>
      </c>
      <c r="Q137" s="107"/>
      <c r="R137" s="107"/>
      <c r="S137" s="108"/>
      <c r="T137" s="106" t="s">
        <v>31</v>
      </c>
      <c r="U137" s="107"/>
      <c r="V137" s="107"/>
      <c r="W137" s="108"/>
      <c r="X137" s="145" t="s">
        <v>75</v>
      </c>
      <c r="Y137" s="107"/>
      <c r="Z137" s="108"/>
      <c r="AA137" s="111" t="s">
        <v>38</v>
      </c>
      <c r="AB137" s="112"/>
      <c r="AC137" s="112"/>
      <c r="AD137" s="112"/>
      <c r="AE137" s="112"/>
      <c r="AF137" s="112"/>
      <c r="AG137" s="112"/>
      <c r="AH137" s="113"/>
      <c r="AI137" s="146" t="s">
        <v>38</v>
      </c>
      <c r="AJ137" s="115"/>
      <c r="AK137" s="115"/>
      <c r="AL137" s="115"/>
      <c r="AM137" s="115"/>
      <c r="AN137" s="115"/>
      <c r="AO137" s="115"/>
      <c r="AP137" s="115"/>
      <c r="AQ137" s="116"/>
      <c r="AR137" s="41" t="s">
        <v>31</v>
      </c>
      <c r="AS137" s="41" t="s">
        <v>31</v>
      </c>
      <c r="AT137" s="41" t="s">
        <v>31</v>
      </c>
      <c r="AU137" s="96" t="s">
        <v>34</v>
      </c>
      <c r="AV137" s="110"/>
      <c r="AW137" s="110"/>
      <c r="AX137" s="97"/>
      <c r="AY137" s="96" t="s">
        <v>38</v>
      </c>
      <c r="AZ137" s="110"/>
      <c r="BA137" s="110"/>
      <c r="BB137" s="97"/>
      <c r="BC137" s="154" t="s">
        <v>38</v>
      </c>
      <c r="BD137" s="155"/>
      <c r="BE137" s="155"/>
      <c r="BF137" s="155"/>
      <c r="BG137" s="155"/>
      <c r="BH137" s="155"/>
      <c r="BI137" s="155"/>
      <c r="BJ137" s="156"/>
    </row>
    <row r="138" spans="2:62" x14ac:dyDescent="0.25">
      <c r="B138" s="96">
        <v>5</v>
      </c>
      <c r="C138" s="97"/>
      <c r="D138" s="139" t="s">
        <v>108</v>
      </c>
      <c r="E138" s="140"/>
      <c r="F138" s="140"/>
      <c r="G138" s="140"/>
      <c r="H138" s="140"/>
      <c r="I138" s="140"/>
      <c r="J138" s="141"/>
      <c r="K138" s="103" t="s">
        <v>30</v>
      </c>
      <c r="L138" s="104"/>
      <c r="M138" s="105"/>
      <c r="N138" s="45" t="s">
        <v>31</v>
      </c>
      <c r="O138" s="39" t="s">
        <v>32</v>
      </c>
      <c r="P138" s="106" t="s">
        <v>31</v>
      </c>
      <c r="Q138" s="107"/>
      <c r="R138" s="107"/>
      <c r="S138" s="108"/>
      <c r="T138" s="106" t="s">
        <v>31</v>
      </c>
      <c r="U138" s="107"/>
      <c r="V138" s="107"/>
      <c r="W138" s="108"/>
      <c r="X138" s="145" t="s">
        <v>76</v>
      </c>
      <c r="Y138" s="107"/>
      <c r="Z138" s="108"/>
      <c r="AA138" s="111" t="s">
        <v>38</v>
      </c>
      <c r="AB138" s="112"/>
      <c r="AC138" s="112"/>
      <c r="AD138" s="112"/>
      <c r="AE138" s="112"/>
      <c r="AF138" s="112"/>
      <c r="AG138" s="112"/>
      <c r="AH138" s="113"/>
      <c r="AI138" s="146" t="s">
        <v>38</v>
      </c>
      <c r="AJ138" s="115"/>
      <c r="AK138" s="115"/>
      <c r="AL138" s="115"/>
      <c r="AM138" s="115"/>
      <c r="AN138" s="115"/>
      <c r="AO138" s="115"/>
      <c r="AP138" s="115"/>
      <c r="AQ138" s="116"/>
      <c r="AR138" s="41" t="s">
        <v>31</v>
      </c>
      <c r="AS138" s="41" t="s">
        <v>31</v>
      </c>
      <c r="AT138" s="41" t="s">
        <v>31</v>
      </c>
      <c r="AU138" s="96" t="s">
        <v>34</v>
      </c>
      <c r="AV138" s="110"/>
      <c r="AW138" s="110"/>
      <c r="AX138" s="97"/>
      <c r="AY138" s="96" t="s">
        <v>38</v>
      </c>
      <c r="AZ138" s="110"/>
      <c r="BA138" s="110"/>
      <c r="BB138" s="97"/>
      <c r="BC138" s="150" t="s">
        <v>164</v>
      </c>
      <c r="BD138" s="118"/>
      <c r="BE138" s="118"/>
      <c r="BF138" s="118"/>
      <c r="BG138" s="118"/>
      <c r="BH138" s="118"/>
      <c r="BI138" s="118"/>
      <c r="BJ138" s="119"/>
    </row>
    <row r="139" spans="2:62" x14ac:dyDescent="0.25">
      <c r="B139" s="96">
        <v>6</v>
      </c>
      <c r="C139" s="97"/>
      <c r="D139" s="100" t="s">
        <v>109</v>
      </c>
      <c r="E139" s="101"/>
      <c r="F139" s="101"/>
      <c r="G139" s="101"/>
      <c r="H139" s="101"/>
      <c r="I139" s="101"/>
      <c r="J139" s="102"/>
      <c r="K139" s="103" t="s">
        <v>30</v>
      </c>
      <c r="L139" s="104"/>
      <c r="M139" s="105"/>
      <c r="N139" s="45" t="s">
        <v>31</v>
      </c>
      <c r="O139" s="39" t="s">
        <v>32</v>
      </c>
      <c r="P139" s="106" t="s">
        <v>31</v>
      </c>
      <c r="Q139" s="107"/>
      <c r="R139" s="107"/>
      <c r="S139" s="108"/>
      <c r="T139" s="106" t="s">
        <v>31</v>
      </c>
      <c r="U139" s="107"/>
      <c r="V139" s="107"/>
      <c r="W139" s="108"/>
      <c r="X139" s="145" t="s">
        <v>114</v>
      </c>
      <c r="Y139" s="107"/>
      <c r="Z139" s="108"/>
      <c r="AA139" s="111" t="s">
        <v>38</v>
      </c>
      <c r="AB139" s="112"/>
      <c r="AC139" s="112"/>
      <c r="AD139" s="112"/>
      <c r="AE139" s="112"/>
      <c r="AF139" s="112"/>
      <c r="AG139" s="112"/>
      <c r="AH139" s="113"/>
      <c r="AI139" s="146" t="s">
        <v>38</v>
      </c>
      <c r="AJ139" s="115"/>
      <c r="AK139" s="115"/>
      <c r="AL139" s="115"/>
      <c r="AM139" s="115"/>
      <c r="AN139" s="115"/>
      <c r="AO139" s="115"/>
      <c r="AP139" s="115"/>
      <c r="AQ139" s="116"/>
      <c r="AR139" s="41" t="s">
        <v>31</v>
      </c>
      <c r="AS139" s="41" t="s">
        <v>31</v>
      </c>
      <c r="AT139" s="41" t="s">
        <v>31</v>
      </c>
      <c r="AU139" s="96" t="s">
        <v>34</v>
      </c>
      <c r="AV139" s="110"/>
      <c r="AW139" s="110"/>
      <c r="AX139" s="97"/>
      <c r="AY139" s="96" t="s">
        <v>38</v>
      </c>
      <c r="AZ139" s="110"/>
      <c r="BA139" s="110"/>
      <c r="BB139" s="97"/>
      <c r="BC139" s="150" t="s">
        <v>113</v>
      </c>
      <c r="BD139" s="118"/>
      <c r="BE139" s="118"/>
      <c r="BF139" s="118"/>
      <c r="BG139" s="118"/>
      <c r="BH139" s="118"/>
      <c r="BI139" s="118"/>
      <c r="BJ139" s="119"/>
    </row>
    <row r="140" spans="2:62" ht="34.5" customHeight="1" x14ac:dyDescent="0.25">
      <c r="B140" s="96">
        <v>7</v>
      </c>
      <c r="C140" s="97"/>
      <c r="D140" s="100" t="s">
        <v>112</v>
      </c>
      <c r="E140" s="101"/>
      <c r="F140" s="101"/>
      <c r="G140" s="101"/>
      <c r="H140" s="101"/>
      <c r="I140" s="101"/>
      <c r="J140" s="102"/>
      <c r="K140" s="103" t="s">
        <v>30</v>
      </c>
      <c r="L140" s="104"/>
      <c r="M140" s="105"/>
      <c r="N140" s="45" t="s">
        <v>31</v>
      </c>
      <c r="O140" s="39" t="s">
        <v>32</v>
      </c>
      <c r="P140" s="106" t="s">
        <v>31</v>
      </c>
      <c r="Q140" s="107"/>
      <c r="R140" s="107"/>
      <c r="S140" s="108"/>
      <c r="T140" s="106" t="s">
        <v>31</v>
      </c>
      <c r="U140" s="107"/>
      <c r="V140" s="107"/>
      <c r="W140" s="108"/>
      <c r="X140" s="145" t="s">
        <v>77</v>
      </c>
      <c r="Y140" s="107"/>
      <c r="Z140" s="108"/>
      <c r="AA140" s="111" t="s">
        <v>38</v>
      </c>
      <c r="AB140" s="112"/>
      <c r="AC140" s="112"/>
      <c r="AD140" s="112"/>
      <c r="AE140" s="112"/>
      <c r="AF140" s="112"/>
      <c r="AG140" s="112"/>
      <c r="AH140" s="113"/>
      <c r="AI140" s="146" t="s">
        <v>38</v>
      </c>
      <c r="AJ140" s="115"/>
      <c r="AK140" s="115"/>
      <c r="AL140" s="115"/>
      <c r="AM140" s="115"/>
      <c r="AN140" s="115"/>
      <c r="AO140" s="115"/>
      <c r="AP140" s="115"/>
      <c r="AQ140" s="116"/>
      <c r="AR140" s="41" t="s">
        <v>31</v>
      </c>
      <c r="AS140" s="41" t="s">
        <v>31</v>
      </c>
      <c r="AT140" s="41" t="s">
        <v>31</v>
      </c>
      <c r="AU140" s="96" t="s">
        <v>34</v>
      </c>
      <c r="AV140" s="110"/>
      <c r="AW140" s="110"/>
      <c r="AX140" s="97"/>
      <c r="AY140" s="96" t="s">
        <v>38</v>
      </c>
      <c r="AZ140" s="110"/>
      <c r="BA140" s="110"/>
      <c r="BB140" s="97"/>
      <c r="BC140" s="150" t="s">
        <v>165</v>
      </c>
      <c r="BD140" s="118"/>
      <c r="BE140" s="118"/>
      <c r="BF140" s="118"/>
      <c r="BG140" s="118"/>
      <c r="BH140" s="118"/>
      <c r="BI140" s="118"/>
      <c r="BJ140" s="119"/>
    </row>
    <row r="141" spans="2:62" ht="33" customHeight="1" x14ac:dyDescent="0.25">
      <c r="B141" s="96">
        <v>8</v>
      </c>
      <c r="C141" s="97"/>
      <c r="D141" s="100" t="s">
        <v>110</v>
      </c>
      <c r="E141" s="101"/>
      <c r="F141" s="101"/>
      <c r="G141" s="101"/>
      <c r="H141" s="101"/>
      <c r="I141" s="101"/>
      <c r="J141" s="102"/>
      <c r="K141" s="103" t="s">
        <v>30</v>
      </c>
      <c r="L141" s="104"/>
      <c r="M141" s="105"/>
      <c r="N141" s="45" t="s">
        <v>31</v>
      </c>
      <c r="O141" s="39" t="s">
        <v>32</v>
      </c>
      <c r="P141" s="106" t="s">
        <v>31</v>
      </c>
      <c r="Q141" s="107"/>
      <c r="R141" s="107"/>
      <c r="S141" s="108"/>
      <c r="T141" s="106" t="s">
        <v>31</v>
      </c>
      <c r="U141" s="107"/>
      <c r="V141" s="107"/>
      <c r="W141" s="108"/>
      <c r="X141" s="145" t="s">
        <v>79</v>
      </c>
      <c r="Y141" s="107"/>
      <c r="Z141" s="108"/>
      <c r="AA141" s="111" t="s">
        <v>38</v>
      </c>
      <c r="AB141" s="112"/>
      <c r="AC141" s="112"/>
      <c r="AD141" s="112"/>
      <c r="AE141" s="112"/>
      <c r="AF141" s="112"/>
      <c r="AG141" s="112"/>
      <c r="AH141" s="113"/>
      <c r="AI141" s="146" t="s">
        <v>38</v>
      </c>
      <c r="AJ141" s="115"/>
      <c r="AK141" s="115"/>
      <c r="AL141" s="115"/>
      <c r="AM141" s="115"/>
      <c r="AN141" s="115"/>
      <c r="AO141" s="115"/>
      <c r="AP141" s="115"/>
      <c r="AQ141" s="116"/>
      <c r="AR141" s="41" t="s">
        <v>31</v>
      </c>
      <c r="AS141" s="41" t="s">
        <v>31</v>
      </c>
      <c r="AT141" s="41" t="s">
        <v>31</v>
      </c>
      <c r="AU141" s="96" t="s">
        <v>34</v>
      </c>
      <c r="AV141" s="110"/>
      <c r="AW141" s="110"/>
      <c r="AX141" s="97"/>
      <c r="AY141" s="96" t="s">
        <v>38</v>
      </c>
      <c r="AZ141" s="110"/>
      <c r="BA141" s="110"/>
      <c r="BB141" s="97"/>
      <c r="BC141" s="150" t="s">
        <v>78</v>
      </c>
      <c r="BD141" s="118"/>
      <c r="BE141" s="118"/>
      <c r="BF141" s="118"/>
      <c r="BG141" s="118"/>
      <c r="BH141" s="118"/>
      <c r="BI141" s="118"/>
      <c r="BJ141" s="119"/>
    </row>
    <row r="142" spans="2:62" ht="102" customHeight="1" x14ac:dyDescent="0.25">
      <c r="B142" s="96">
        <v>1.1000000000000001</v>
      </c>
      <c r="C142" s="97"/>
      <c r="D142" s="100" t="s">
        <v>80</v>
      </c>
      <c r="E142" s="101"/>
      <c r="F142" s="101"/>
      <c r="G142" s="101"/>
      <c r="H142" s="101"/>
      <c r="I142" s="101"/>
      <c r="J142" s="102"/>
      <c r="K142" s="103" t="s">
        <v>81</v>
      </c>
      <c r="L142" s="104"/>
      <c r="M142" s="105"/>
      <c r="N142" s="39" t="s">
        <v>19</v>
      </c>
      <c r="O142" s="39" t="s">
        <v>31</v>
      </c>
      <c r="P142" s="106" t="s">
        <v>31</v>
      </c>
      <c r="Q142" s="107"/>
      <c r="R142" s="107"/>
      <c r="S142" s="108"/>
      <c r="T142" s="106" t="s">
        <v>31</v>
      </c>
      <c r="U142" s="107"/>
      <c r="V142" s="107"/>
      <c r="W142" s="108"/>
      <c r="X142" s="145" t="s">
        <v>38</v>
      </c>
      <c r="Y142" s="107"/>
      <c r="Z142" s="108"/>
      <c r="AA142" s="147" t="s">
        <v>38</v>
      </c>
      <c r="AB142" s="148"/>
      <c r="AC142" s="148"/>
      <c r="AD142" s="148"/>
      <c r="AE142" s="148"/>
      <c r="AF142" s="148"/>
      <c r="AG142" s="148"/>
      <c r="AH142" s="149"/>
      <c r="AI142" s="117" t="s">
        <v>82</v>
      </c>
      <c r="AJ142" s="148"/>
      <c r="AK142" s="148"/>
      <c r="AL142" s="148"/>
      <c r="AM142" s="148"/>
      <c r="AN142" s="148"/>
      <c r="AO142" s="148"/>
      <c r="AP142" s="148"/>
      <c r="AQ142" s="149"/>
      <c r="AR142" s="41" t="s">
        <v>31</v>
      </c>
      <c r="AS142" s="41" t="s">
        <v>31</v>
      </c>
      <c r="AT142" s="41" t="s">
        <v>31</v>
      </c>
      <c r="AU142" s="106" t="s">
        <v>83</v>
      </c>
      <c r="AV142" s="110"/>
      <c r="AW142" s="110"/>
      <c r="AX142" s="97"/>
      <c r="AY142" s="106" t="s">
        <v>84</v>
      </c>
      <c r="AZ142" s="107"/>
      <c r="BA142" s="107"/>
      <c r="BB142" s="108"/>
      <c r="BC142" s="154" t="s">
        <v>38</v>
      </c>
      <c r="BD142" s="155"/>
      <c r="BE142" s="155"/>
      <c r="BF142" s="155"/>
      <c r="BG142" s="155"/>
      <c r="BH142" s="155"/>
      <c r="BI142" s="155"/>
      <c r="BJ142" s="156"/>
    </row>
    <row r="143" spans="2:62" ht="235.5" customHeight="1" x14ac:dyDescent="0.25">
      <c r="B143" s="96">
        <v>2.1</v>
      </c>
      <c r="C143" s="97"/>
      <c r="D143" s="100" t="s">
        <v>123</v>
      </c>
      <c r="E143" s="101"/>
      <c r="F143" s="101"/>
      <c r="G143" s="101"/>
      <c r="H143" s="101"/>
      <c r="I143" s="101"/>
      <c r="J143" s="102"/>
      <c r="K143" s="103" t="s">
        <v>139</v>
      </c>
      <c r="L143" s="143"/>
      <c r="M143" s="144"/>
      <c r="N143" s="39" t="s">
        <v>19</v>
      </c>
      <c r="O143" s="39" t="s">
        <v>31</v>
      </c>
      <c r="P143" s="106" t="s">
        <v>68</v>
      </c>
      <c r="Q143" s="107"/>
      <c r="R143" s="107"/>
      <c r="S143" s="108"/>
      <c r="T143" s="157" t="s">
        <v>146</v>
      </c>
      <c r="U143" s="110"/>
      <c r="V143" s="110"/>
      <c r="W143" s="97"/>
      <c r="X143" s="145" t="s">
        <v>38</v>
      </c>
      <c r="Y143" s="107"/>
      <c r="Z143" s="108"/>
      <c r="AA143" s="147" t="s">
        <v>38</v>
      </c>
      <c r="AB143" s="148"/>
      <c r="AC143" s="148"/>
      <c r="AD143" s="148"/>
      <c r="AE143" s="148"/>
      <c r="AF143" s="148"/>
      <c r="AG143" s="148"/>
      <c r="AH143" s="149"/>
      <c r="AI143" s="158" t="s">
        <v>85</v>
      </c>
      <c r="AJ143" s="152"/>
      <c r="AK143" s="152"/>
      <c r="AL143" s="152"/>
      <c r="AM143" s="152"/>
      <c r="AN143" s="152"/>
      <c r="AO143" s="152"/>
      <c r="AP143" s="152"/>
      <c r="AQ143" s="153"/>
      <c r="AR143" s="39" t="s">
        <v>32</v>
      </c>
      <c r="AS143" s="39" t="s">
        <v>32</v>
      </c>
      <c r="AT143" s="41" t="s">
        <v>31</v>
      </c>
      <c r="AU143" s="106" t="s">
        <v>161</v>
      </c>
      <c r="AV143" s="110"/>
      <c r="AW143" s="110"/>
      <c r="AX143" s="97"/>
      <c r="AY143" s="157" t="s">
        <v>69</v>
      </c>
      <c r="AZ143" s="110"/>
      <c r="BA143" s="110"/>
      <c r="BB143" s="97"/>
      <c r="BC143" s="117" t="s">
        <v>130</v>
      </c>
      <c r="BD143" s="118"/>
      <c r="BE143" s="118"/>
      <c r="BF143" s="118"/>
      <c r="BG143" s="118"/>
      <c r="BH143" s="118"/>
      <c r="BI143" s="118"/>
      <c r="BJ143" s="119"/>
    </row>
    <row r="144" spans="2:62" ht="84" customHeight="1" x14ac:dyDescent="0.25">
      <c r="B144" s="96">
        <v>3.1</v>
      </c>
      <c r="C144" s="97"/>
      <c r="D144" s="100" t="s">
        <v>124</v>
      </c>
      <c r="E144" s="101"/>
      <c r="F144" s="101"/>
      <c r="G144" s="101"/>
      <c r="H144" s="101"/>
      <c r="I144" s="101"/>
      <c r="J144" s="102"/>
      <c r="K144" s="103" t="s">
        <v>139</v>
      </c>
      <c r="L144" s="143"/>
      <c r="M144" s="144"/>
      <c r="N144" s="39" t="s">
        <v>19</v>
      </c>
      <c r="O144" s="39" t="s">
        <v>31</v>
      </c>
      <c r="P144" s="106" t="s">
        <v>68</v>
      </c>
      <c r="Q144" s="107"/>
      <c r="R144" s="107"/>
      <c r="S144" s="108"/>
      <c r="T144" s="96" t="s">
        <v>147</v>
      </c>
      <c r="U144" s="110"/>
      <c r="V144" s="110"/>
      <c r="W144" s="97"/>
      <c r="X144" s="145" t="s">
        <v>38</v>
      </c>
      <c r="Y144" s="107"/>
      <c r="Z144" s="108"/>
      <c r="AA144" s="147" t="s">
        <v>38</v>
      </c>
      <c r="AB144" s="148"/>
      <c r="AC144" s="148"/>
      <c r="AD144" s="148"/>
      <c r="AE144" s="148"/>
      <c r="AF144" s="148"/>
      <c r="AG144" s="148"/>
      <c r="AH144" s="149"/>
      <c r="AI144" s="147" t="s">
        <v>38</v>
      </c>
      <c r="AJ144" s="148"/>
      <c r="AK144" s="148"/>
      <c r="AL144" s="148"/>
      <c r="AM144" s="148"/>
      <c r="AN144" s="148"/>
      <c r="AO144" s="148"/>
      <c r="AP144" s="148"/>
      <c r="AQ144" s="149"/>
      <c r="AR144" s="39" t="s">
        <v>32</v>
      </c>
      <c r="AS144" s="41" t="s">
        <v>31</v>
      </c>
      <c r="AT144" s="41" t="s">
        <v>31</v>
      </c>
      <c r="AU144" s="106" t="s">
        <v>161</v>
      </c>
      <c r="AV144" s="110"/>
      <c r="AW144" s="110"/>
      <c r="AX144" s="97"/>
      <c r="AY144" s="96" t="s">
        <v>87</v>
      </c>
      <c r="AZ144" s="110"/>
      <c r="BA144" s="110"/>
      <c r="BB144" s="97"/>
      <c r="BC144" s="117" t="s">
        <v>125</v>
      </c>
      <c r="BD144" s="118"/>
      <c r="BE144" s="118"/>
      <c r="BF144" s="118"/>
      <c r="BG144" s="118"/>
      <c r="BH144" s="118"/>
      <c r="BI144" s="118"/>
      <c r="BJ144" s="119"/>
    </row>
    <row r="145" spans="2:62" ht="138" customHeight="1" x14ac:dyDescent="0.25">
      <c r="B145" s="96">
        <v>4.0999999999999996</v>
      </c>
      <c r="C145" s="97"/>
      <c r="D145" s="100" t="s">
        <v>88</v>
      </c>
      <c r="E145" s="101"/>
      <c r="F145" s="101"/>
      <c r="G145" s="101"/>
      <c r="H145" s="101"/>
      <c r="I145" s="101"/>
      <c r="J145" s="102"/>
      <c r="K145" s="103" t="s">
        <v>139</v>
      </c>
      <c r="L145" s="143"/>
      <c r="M145" s="144"/>
      <c r="N145" s="39" t="s">
        <v>19</v>
      </c>
      <c r="O145" s="39" t="s">
        <v>31</v>
      </c>
      <c r="P145" s="106" t="s">
        <v>68</v>
      </c>
      <c r="Q145" s="107"/>
      <c r="R145" s="107"/>
      <c r="S145" s="108"/>
      <c r="T145" s="96" t="s">
        <v>89</v>
      </c>
      <c r="U145" s="110"/>
      <c r="V145" s="110"/>
      <c r="W145" s="97"/>
      <c r="X145" s="145" t="s">
        <v>38</v>
      </c>
      <c r="Y145" s="107"/>
      <c r="Z145" s="108"/>
      <c r="AA145" s="150" t="s">
        <v>128</v>
      </c>
      <c r="AB145" s="148"/>
      <c r="AC145" s="148"/>
      <c r="AD145" s="148"/>
      <c r="AE145" s="148"/>
      <c r="AF145" s="148"/>
      <c r="AG145" s="148"/>
      <c r="AH145" s="149"/>
      <c r="AI145" s="151" t="s">
        <v>90</v>
      </c>
      <c r="AJ145" s="152"/>
      <c r="AK145" s="152"/>
      <c r="AL145" s="152"/>
      <c r="AM145" s="152"/>
      <c r="AN145" s="152"/>
      <c r="AO145" s="152"/>
      <c r="AP145" s="152"/>
      <c r="AQ145" s="153"/>
      <c r="AR145" s="41" t="s">
        <v>31</v>
      </c>
      <c r="AS145" s="41" t="s">
        <v>31</v>
      </c>
      <c r="AT145" s="41" t="s">
        <v>31</v>
      </c>
      <c r="AU145" s="96" t="s">
        <v>34</v>
      </c>
      <c r="AV145" s="110"/>
      <c r="AW145" s="110"/>
      <c r="AX145" s="97"/>
      <c r="AY145" s="96" t="s">
        <v>38</v>
      </c>
      <c r="AZ145" s="110"/>
      <c r="BA145" s="110"/>
      <c r="BB145" s="97"/>
      <c r="BC145" s="154" t="s">
        <v>38</v>
      </c>
      <c r="BD145" s="155"/>
      <c r="BE145" s="155"/>
      <c r="BF145" s="155"/>
      <c r="BG145" s="155"/>
      <c r="BH145" s="155"/>
      <c r="BI145" s="155"/>
      <c r="BJ145" s="156"/>
    </row>
    <row r="146" spans="2:62" x14ac:dyDescent="0.25">
      <c r="B146" s="96">
        <v>5.0999999999999996</v>
      </c>
      <c r="C146" s="97"/>
      <c r="D146" s="139" t="s">
        <v>91</v>
      </c>
      <c r="E146" s="140"/>
      <c r="F146" s="140"/>
      <c r="G146" s="140"/>
      <c r="H146" s="140"/>
      <c r="I146" s="140"/>
      <c r="J146" s="141"/>
      <c r="K146" s="103" t="s">
        <v>139</v>
      </c>
      <c r="L146" s="143"/>
      <c r="M146" s="144"/>
      <c r="N146" s="39" t="s">
        <v>19</v>
      </c>
      <c r="O146" s="39" t="s">
        <v>31</v>
      </c>
      <c r="P146" s="106" t="s">
        <v>68</v>
      </c>
      <c r="Q146" s="107"/>
      <c r="R146" s="107"/>
      <c r="S146" s="108"/>
      <c r="T146" s="111" t="s">
        <v>148</v>
      </c>
      <c r="U146" s="115"/>
      <c r="V146" s="115"/>
      <c r="W146" s="116"/>
      <c r="X146" s="145" t="s">
        <v>38</v>
      </c>
      <c r="Y146" s="107"/>
      <c r="Z146" s="108"/>
      <c r="AA146" s="147" t="s">
        <v>38</v>
      </c>
      <c r="AB146" s="148"/>
      <c r="AC146" s="148"/>
      <c r="AD146" s="148"/>
      <c r="AE146" s="148"/>
      <c r="AF146" s="148"/>
      <c r="AG146" s="148"/>
      <c r="AH146" s="149"/>
      <c r="AI146" s="147" t="s">
        <v>38</v>
      </c>
      <c r="AJ146" s="148"/>
      <c r="AK146" s="148"/>
      <c r="AL146" s="148"/>
      <c r="AM146" s="148"/>
      <c r="AN146" s="148"/>
      <c r="AO146" s="148"/>
      <c r="AP146" s="148"/>
      <c r="AQ146" s="149"/>
      <c r="AR146" s="41" t="s">
        <v>31</v>
      </c>
      <c r="AS146" s="41" t="s">
        <v>31</v>
      </c>
      <c r="AT146" s="41" t="s">
        <v>31</v>
      </c>
      <c r="AU146" s="106" t="s">
        <v>161</v>
      </c>
      <c r="AV146" s="110"/>
      <c r="AW146" s="110"/>
      <c r="AX146" s="97"/>
      <c r="AY146" s="111" t="s">
        <v>92</v>
      </c>
      <c r="AZ146" s="115"/>
      <c r="BA146" s="115"/>
      <c r="BB146" s="116"/>
      <c r="BC146" s="117" t="s">
        <v>113</v>
      </c>
      <c r="BD146" s="118"/>
      <c r="BE146" s="118"/>
      <c r="BF146" s="118"/>
      <c r="BG146" s="118"/>
      <c r="BH146" s="118"/>
      <c r="BI146" s="118"/>
      <c r="BJ146" s="119"/>
    </row>
    <row r="147" spans="2:62" x14ac:dyDescent="0.25">
      <c r="B147" s="96">
        <v>6.1</v>
      </c>
      <c r="C147" s="97"/>
      <c r="D147" s="100" t="s">
        <v>93</v>
      </c>
      <c r="E147" s="101"/>
      <c r="F147" s="101"/>
      <c r="G147" s="101"/>
      <c r="H147" s="101"/>
      <c r="I147" s="101"/>
      <c r="J147" s="102"/>
      <c r="K147" s="103" t="s">
        <v>139</v>
      </c>
      <c r="L147" s="143"/>
      <c r="M147" s="144"/>
      <c r="N147" s="39" t="s">
        <v>19</v>
      </c>
      <c r="O147" s="39" t="s">
        <v>31</v>
      </c>
      <c r="P147" s="106" t="s">
        <v>68</v>
      </c>
      <c r="Q147" s="107"/>
      <c r="R147" s="107"/>
      <c r="S147" s="108"/>
      <c r="T147" s="146" t="s">
        <v>149</v>
      </c>
      <c r="U147" s="115"/>
      <c r="V147" s="115"/>
      <c r="W147" s="116"/>
      <c r="X147" s="145" t="s">
        <v>38</v>
      </c>
      <c r="Y147" s="107"/>
      <c r="Z147" s="108"/>
      <c r="AA147" s="111" t="s">
        <v>38</v>
      </c>
      <c r="AB147" s="112"/>
      <c r="AC147" s="112"/>
      <c r="AD147" s="112"/>
      <c r="AE147" s="112"/>
      <c r="AF147" s="112"/>
      <c r="AG147" s="112"/>
      <c r="AH147" s="113"/>
      <c r="AI147" s="146" t="s">
        <v>38</v>
      </c>
      <c r="AJ147" s="115"/>
      <c r="AK147" s="115"/>
      <c r="AL147" s="115"/>
      <c r="AM147" s="115"/>
      <c r="AN147" s="115"/>
      <c r="AO147" s="115"/>
      <c r="AP147" s="115"/>
      <c r="AQ147" s="116"/>
      <c r="AR147" s="41" t="s">
        <v>31</v>
      </c>
      <c r="AS147" s="41" t="s">
        <v>31</v>
      </c>
      <c r="AT147" s="41" t="s">
        <v>31</v>
      </c>
      <c r="AU147" s="106" t="s">
        <v>161</v>
      </c>
      <c r="AV147" s="110"/>
      <c r="AW147" s="110"/>
      <c r="AX147" s="97"/>
      <c r="AY147" s="146" t="s">
        <v>94</v>
      </c>
      <c r="AZ147" s="115"/>
      <c r="BA147" s="115"/>
      <c r="BB147" s="116"/>
      <c r="BC147" s="117" t="s">
        <v>113</v>
      </c>
      <c r="BD147" s="118"/>
      <c r="BE147" s="118"/>
      <c r="BF147" s="118"/>
      <c r="BG147" s="118"/>
      <c r="BH147" s="118"/>
      <c r="BI147" s="118"/>
      <c r="BJ147" s="119"/>
    </row>
    <row r="148" spans="2:62" x14ac:dyDescent="0.25">
      <c r="B148" s="96">
        <v>7.1</v>
      </c>
      <c r="C148" s="97"/>
      <c r="D148" s="100" t="s">
        <v>95</v>
      </c>
      <c r="E148" s="101"/>
      <c r="F148" s="101"/>
      <c r="G148" s="101"/>
      <c r="H148" s="101"/>
      <c r="I148" s="101"/>
      <c r="J148" s="102"/>
      <c r="K148" s="103" t="s">
        <v>139</v>
      </c>
      <c r="L148" s="143"/>
      <c r="M148" s="144"/>
      <c r="N148" s="39" t="s">
        <v>19</v>
      </c>
      <c r="O148" s="39" t="s">
        <v>31</v>
      </c>
      <c r="P148" s="106" t="s">
        <v>68</v>
      </c>
      <c r="Q148" s="107"/>
      <c r="R148" s="107"/>
      <c r="S148" s="108"/>
      <c r="T148" s="96" t="s">
        <v>150</v>
      </c>
      <c r="U148" s="110"/>
      <c r="V148" s="110"/>
      <c r="W148" s="97"/>
      <c r="X148" s="145" t="s">
        <v>38</v>
      </c>
      <c r="Y148" s="107"/>
      <c r="Z148" s="108"/>
      <c r="AA148" s="111" t="s">
        <v>38</v>
      </c>
      <c r="AB148" s="112"/>
      <c r="AC148" s="112"/>
      <c r="AD148" s="112"/>
      <c r="AE148" s="112"/>
      <c r="AF148" s="112"/>
      <c r="AG148" s="112"/>
      <c r="AH148" s="113"/>
      <c r="AI148" s="146" t="s">
        <v>38</v>
      </c>
      <c r="AJ148" s="115"/>
      <c r="AK148" s="115"/>
      <c r="AL148" s="115"/>
      <c r="AM148" s="115"/>
      <c r="AN148" s="115"/>
      <c r="AO148" s="115"/>
      <c r="AP148" s="115"/>
      <c r="AQ148" s="116"/>
      <c r="AR148" s="41" t="s">
        <v>31</v>
      </c>
      <c r="AS148" s="41" t="s">
        <v>31</v>
      </c>
      <c r="AT148" s="41" t="s">
        <v>31</v>
      </c>
      <c r="AU148" s="106" t="s">
        <v>161</v>
      </c>
      <c r="AV148" s="110"/>
      <c r="AW148" s="110"/>
      <c r="AX148" s="97"/>
      <c r="AY148" s="96" t="s">
        <v>96</v>
      </c>
      <c r="AZ148" s="110"/>
      <c r="BA148" s="110"/>
      <c r="BB148" s="97"/>
      <c r="BC148" s="117" t="s">
        <v>78</v>
      </c>
      <c r="BD148" s="118"/>
      <c r="BE148" s="118"/>
      <c r="BF148" s="118"/>
      <c r="BG148" s="118"/>
      <c r="BH148" s="118"/>
      <c r="BI148" s="118"/>
      <c r="BJ148" s="119"/>
    </row>
    <row r="149" spans="2:62" x14ac:dyDescent="0.25">
      <c r="B149" s="96">
        <v>8.1</v>
      </c>
      <c r="C149" s="97"/>
      <c r="D149" s="100" t="s">
        <v>97</v>
      </c>
      <c r="E149" s="101"/>
      <c r="F149" s="101"/>
      <c r="G149" s="101"/>
      <c r="H149" s="101"/>
      <c r="I149" s="101"/>
      <c r="J149" s="102"/>
      <c r="K149" s="103" t="s">
        <v>59</v>
      </c>
      <c r="L149" s="143"/>
      <c r="M149" s="144"/>
      <c r="N149" s="39" t="s">
        <v>19</v>
      </c>
      <c r="O149" s="39" t="s">
        <v>31</v>
      </c>
      <c r="P149" s="106" t="s">
        <v>68</v>
      </c>
      <c r="Q149" s="107"/>
      <c r="R149" s="107"/>
      <c r="S149" s="108"/>
      <c r="T149" s="96" t="s">
        <v>151</v>
      </c>
      <c r="U149" s="110"/>
      <c r="V149" s="110"/>
      <c r="W149" s="97"/>
      <c r="X149" s="145" t="s">
        <v>38</v>
      </c>
      <c r="Y149" s="107"/>
      <c r="Z149" s="108"/>
      <c r="AA149" s="111" t="s">
        <v>38</v>
      </c>
      <c r="AB149" s="112"/>
      <c r="AC149" s="112"/>
      <c r="AD149" s="112"/>
      <c r="AE149" s="112"/>
      <c r="AF149" s="112"/>
      <c r="AG149" s="112"/>
      <c r="AH149" s="113"/>
      <c r="AI149" s="146" t="s">
        <v>38</v>
      </c>
      <c r="AJ149" s="115"/>
      <c r="AK149" s="115"/>
      <c r="AL149" s="115"/>
      <c r="AM149" s="115"/>
      <c r="AN149" s="115"/>
      <c r="AO149" s="115"/>
      <c r="AP149" s="115"/>
      <c r="AQ149" s="116"/>
      <c r="AR149" s="41" t="s">
        <v>31</v>
      </c>
      <c r="AS149" s="41" t="s">
        <v>31</v>
      </c>
      <c r="AT149" s="41" t="s">
        <v>31</v>
      </c>
      <c r="AU149" s="106" t="s">
        <v>86</v>
      </c>
      <c r="AV149" s="110"/>
      <c r="AW149" s="110"/>
      <c r="AX149" s="97"/>
      <c r="AY149" s="96" t="s">
        <v>98</v>
      </c>
      <c r="AZ149" s="110"/>
      <c r="BA149" s="110"/>
      <c r="BB149" s="97"/>
      <c r="BC149" s="117" t="s">
        <v>78</v>
      </c>
      <c r="BD149" s="118"/>
      <c r="BE149" s="118"/>
      <c r="BF149" s="118"/>
      <c r="BG149" s="118"/>
      <c r="BH149" s="118"/>
      <c r="BI149" s="118"/>
      <c r="BJ149" s="119"/>
    </row>
    <row r="150" spans="2:62" ht="63.75" customHeight="1" x14ac:dyDescent="0.25">
      <c r="B150" s="96">
        <v>9</v>
      </c>
      <c r="C150" s="97"/>
      <c r="D150" s="139" t="s">
        <v>99</v>
      </c>
      <c r="E150" s="140"/>
      <c r="F150" s="140"/>
      <c r="G150" s="140"/>
      <c r="H150" s="140"/>
      <c r="I150" s="140"/>
      <c r="J150" s="141"/>
      <c r="K150" s="103" t="s">
        <v>140</v>
      </c>
      <c r="L150" s="104"/>
      <c r="M150" s="105"/>
      <c r="N150" s="39" t="s">
        <v>142</v>
      </c>
      <c r="O150" s="39" t="s">
        <v>32</v>
      </c>
      <c r="P150" s="106" t="s">
        <v>31</v>
      </c>
      <c r="Q150" s="107"/>
      <c r="R150" s="107"/>
      <c r="S150" s="108"/>
      <c r="T150" s="106" t="s">
        <v>31</v>
      </c>
      <c r="U150" s="107"/>
      <c r="V150" s="107"/>
      <c r="W150" s="108"/>
      <c r="X150" s="109" t="s">
        <v>127</v>
      </c>
      <c r="Y150" s="110"/>
      <c r="Z150" s="97"/>
      <c r="AA150" s="111" t="s">
        <v>38</v>
      </c>
      <c r="AB150" s="112"/>
      <c r="AC150" s="112"/>
      <c r="AD150" s="112"/>
      <c r="AE150" s="112"/>
      <c r="AF150" s="112"/>
      <c r="AG150" s="112"/>
      <c r="AH150" s="113"/>
      <c r="AI150" s="142" t="s">
        <v>129</v>
      </c>
      <c r="AJ150" s="115"/>
      <c r="AK150" s="115"/>
      <c r="AL150" s="115"/>
      <c r="AM150" s="115"/>
      <c r="AN150" s="115"/>
      <c r="AO150" s="115"/>
      <c r="AP150" s="115"/>
      <c r="AQ150" s="116"/>
      <c r="AR150" s="41" t="s">
        <v>31</v>
      </c>
      <c r="AS150" s="41" t="s">
        <v>31</v>
      </c>
      <c r="AT150" s="41" t="s">
        <v>31</v>
      </c>
      <c r="AU150" s="96" t="s">
        <v>34</v>
      </c>
      <c r="AV150" s="110"/>
      <c r="AW150" s="110"/>
      <c r="AX150" s="97"/>
      <c r="AY150" s="96" t="s">
        <v>38</v>
      </c>
      <c r="AZ150" s="110"/>
      <c r="BA150" s="110"/>
      <c r="BB150" s="97"/>
      <c r="BC150" s="117" t="s">
        <v>100</v>
      </c>
      <c r="BD150" s="118"/>
      <c r="BE150" s="118"/>
      <c r="BF150" s="118"/>
      <c r="BG150" s="118"/>
      <c r="BH150" s="118"/>
      <c r="BI150" s="118"/>
      <c r="BJ150" s="119"/>
    </row>
    <row r="151" spans="2:62" ht="90.75" customHeight="1" x14ac:dyDescent="0.25">
      <c r="B151" s="96">
        <v>10</v>
      </c>
      <c r="C151" s="97"/>
      <c r="D151" s="100" t="s">
        <v>103</v>
      </c>
      <c r="E151" s="101"/>
      <c r="F151" s="101"/>
      <c r="G151" s="101"/>
      <c r="H151" s="101"/>
      <c r="I151" s="101"/>
      <c r="J151" s="102"/>
      <c r="K151" s="103" t="s">
        <v>140</v>
      </c>
      <c r="L151" s="104"/>
      <c r="M151" s="105"/>
      <c r="N151" s="39" t="s">
        <v>19</v>
      </c>
      <c r="O151" s="39" t="s">
        <v>32</v>
      </c>
      <c r="P151" s="106" t="s">
        <v>68</v>
      </c>
      <c r="Q151" s="107"/>
      <c r="R151" s="107"/>
      <c r="S151" s="108"/>
      <c r="T151" s="106" t="s">
        <v>104</v>
      </c>
      <c r="U151" s="107"/>
      <c r="V151" s="107"/>
      <c r="W151" s="108"/>
      <c r="X151" s="109" t="s">
        <v>38</v>
      </c>
      <c r="Y151" s="110"/>
      <c r="Z151" s="97"/>
      <c r="AA151" s="111" t="s">
        <v>38</v>
      </c>
      <c r="AB151" s="112"/>
      <c r="AC151" s="112"/>
      <c r="AD151" s="112"/>
      <c r="AE151" s="112"/>
      <c r="AF151" s="112"/>
      <c r="AG151" s="112"/>
      <c r="AH151" s="113"/>
      <c r="AI151" s="114" t="s">
        <v>156</v>
      </c>
      <c r="AJ151" s="115"/>
      <c r="AK151" s="115"/>
      <c r="AL151" s="115"/>
      <c r="AM151" s="115"/>
      <c r="AN151" s="115"/>
      <c r="AO151" s="115"/>
      <c r="AP151" s="115"/>
      <c r="AQ151" s="116"/>
      <c r="AR151" s="41" t="s">
        <v>31</v>
      </c>
      <c r="AS151" s="41" t="s">
        <v>31</v>
      </c>
      <c r="AT151" s="41" t="s">
        <v>31</v>
      </c>
      <c r="AU151" s="96" t="s">
        <v>31</v>
      </c>
      <c r="AV151" s="110"/>
      <c r="AW151" s="110"/>
      <c r="AX151" s="97"/>
      <c r="AY151" s="96" t="s">
        <v>38</v>
      </c>
      <c r="AZ151" s="110"/>
      <c r="BA151" s="110"/>
      <c r="BB151" s="97"/>
      <c r="BC151" s="117" t="s">
        <v>105</v>
      </c>
      <c r="BD151" s="118"/>
      <c r="BE151" s="118"/>
      <c r="BF151" s="118"/>
      <c r="BG151" s="118"/>
      <c r="BH151" s="118"/>
      <c r="BI151" s="118"/>
      <c r="BJ151" s="119"/>
    </row>
    <row r="152" spans="2:62" ht="93.75" customHeight="1" x14ac:dyDescent="0.25">
      <c r="B152" s="98">
        <v>11</v>
      </c>
      <c r="C152" s="99"/>
      <c r="D152" s="120" t="s">
        <v>101</v>
      </c>
      <c r="E152" s="121"/>
      <c r="F152" s="121"/>
      <c r="G152" s="121"/>
      <c r="H152" s="121"/>
      <c r="I152" s="121"/>
      <c r="J152" s="122"/>
      <c r="K152" s="123" t="s">
        <v>63</v>
      </c>
      <c r="L152" s="124"/>
      <c r="M152" s="125"/>
      <c r="N152" s="43" t="s">
        <v>60</v>
      </c>
      <c r="O152" s="43" t="s">
        <v>32</v>
      </c>
      <c r="P152" s="126" t="s">
        <v>31</v>
      </c>
      <c r="Q152" s="127"/>
      <c r="R152" s="127"/>
      <c r="S152" s="128"/>
      <c r="T152" s="126" t="s">
        <v>31</v>
      </c>
      <c r="U152" s="127"/>
      <c r="V152" s="127"/>
      <c r="W152" s="128"/>
      <c r="X152" s="129" t="s">
        <v>126</v>
      </c>
      <c r="Y152" s="130"/>
      <c r="Z152" s="99"/>
      <c r="AA152" s="131" t="s">
        <v>38</v>
      </c>
      <c r="AB152" s="132"/>
      <c r="AC152" s="132"/>
      <c r="AD152" s="132"/>
      <c r="AE152" s="132"/>
      <c r="AF152" s="132"/>
      <c r="AG152" s="132"/>
      <c r="AH152" s="133"/>
      <c r="AI152" s="134" t="s">
        <v>102</v>
      </c>
      <c r="AJ152" s="135"/>
      <c r="AK152" s="135"/>
      <c r="AL152" s="135"/>
      <c r="AM152" s="135"/>
      <c r="AN152" s="135"/>
      <c r="AO152" s="135"/>
      <c r="AP152" s="135"/>
      <c r="AQ152" s="136"/>
      <c r="AR152" s="44" t="s">
        <v>31</v>
      </c>
      <c r="AS152" s="44" t="s">
        <v>31</v>
      </c>
      <c r="AT152" s="44" t="s">
        <v>31</v>
      </c>
      <c r="AU152" s="98" t="s">
        <v>34</v>
      </c>
      <c r="AV152" s="130"/>
      <c r="AW152" s="130"/>
      <c r="AX152" s="99"/>
      <c r="AY152" s="98" t="s">
        <v>33</v>
      </c>
      <c r="AZ152" s="130"/>
      <c r="BA152" s="130"/>
      <c r="BB152" s="99"/>
      <c r="BC152" s="134" t="s">
        <v>132</v>
      </c>
      <c r="BD152" s="137"/>
      <c r="BE152" s="137"/>
      <c r="BF152" s="137"/>
      <c r="BG152" s="137"/>
      <c r="BH152" s="137"/>
      <c r="BI152" s="137"/>
      <c r="BJ152" s="138"/>
    </row>
  </sheetData>
  <mergeCells count="355">
    <mergeCell ref="X48:Z48"/>
    <mergeCell ref="AA48:AH48"/>
    <mergeCell ref="AI48:AQ48"/>
    <mergeCell ref="AU48:AX48"/>
    <mergeCell ref="AY48:BB48"/>
    <mergeCell ref="BC48:BJ48"/>
    <mergeCell ref="AA47:AH47"/>
    <mergeCell ref="AI47:AQ47"/>
    <mergeCell ref="AU47:AX47"/>
    <mergeCell ref="AY47:BB47"/>
    <mergeCell ref="BC47:BJ47"/>
    <mergeCell ref="X47:Z47"/>
    <mergeCell ref="B48:C48"/>
    <mergeCell ref="D48:J48"/>
    <mergeCell ref="K48:M48"/>
    <mergeCell ref="P48:S48"/>
    <mergeCell ref="T48:W48"/>
    <mergeCell ref="B47:C47"/>
    <mergeCell ref="D47:J47"/>
    <mergeCell ref="K47:M47"/>
    <mergeCell ref="P47:S47"/>
    <mergeCell ref="T47:W47"/>
    <mergeCell ref="B46:C46"/>
    <mergeCell ref="D46:J46"/>
    <mergeCell ref="K46:M46"/>
    <mergeCell ref="P46:S46"/>
    <mergeCell ref="T46:W46"/>
    <mergeCell ref="P43:AQ43"/>
    <mergeCell ref="AR43:BB43"/>
    <mergeCell ref="BC43:BJ45"/>
    <mergeCell ref="P44:W44"/>
    <mergeCell ref="X44:Z45"/>
    <mergeCell ref="AA44:AH45"/>
    <mergeCell ref="AI44:AQ45"/>
    <mergeCell ref="AR44:AR45"/>
    <mergeCell ref="AS44:AS45"/>
    <mergeCell ref="AT44:AT45"/>
    <mergeCell ref="X46:Z46"/>
    <mergeCell ref="AA46:AH46"/>
    <mergeCell ref="AI46:AQ46"/>
    <mergeCell ref="AU46:AX46"/>
    <mergeCell ref="AY46:BB46"/>
    <mergeCell ref="BC46:BJ46"/>
    <mergeCell ref="AU44:BB44"/>
    <mergeCell ref="P45:S45"/>
    <mergeCell ref="T45:W45"/>
    <mergeCell ref="A4:G4"/>
    <mergeCell ref="H4:T4"/>
    <mergeCell ref="U4:Y4"/>
    <mergeCell ref="Z4:AO4"/>
    <mergeCell ref="AP4:BK4"/>
    <mergeCell ref="B43:C45"/>
    <mergeCell ref="D43:J45"/>
    <mergeCell ref="K43:M45"/>
    <mergeCell ref="N43:N45"/>
    <mergeCell ref="O43:O45"/>
    <mergeCell ref="AU45:AX45"/>
    <mergeCell ref="AY45:BB45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87:C89"/>
    <mergeCell ref="D87:J89"/>
    <mergeCell ref="K87:M89"/>
    <mergeCell ref="N87:N89"/>
    <mergeCell ref="O87:O89"/>
    <mergeCell ref="P87:AQ87"/>
    <mergeCell ref="AR87:BB87"/>
    <mergeCell ref="BC87:BJ89"/>
    <mergeCell ref="P88:W88"/>
    <mergeCell ref="X88:Z89"/>
    <mergeCell ref="AA88:AH89"/>
    <mergeCell ref="AI88:AQ89"/>
    <mergeCell ref="AR88:AR89"/>
    <mergeCell ref="AS88:AS89"/>
    <mergeCell ref="AT88:AT89"/>
    <mergeCell ref="AU88:BB88"/>
    <mergeCell ref="P89:S89"/>
    <mergeCell ref="T89:W89"/>
    <mergeCell ref="AU89:AX89"/>
    <mergeCell ref="AY89:BB89"/>
    <mergeCell ref="B90:C90"/>
    <mergeCell ref="D90:J90"/>
    <mergeCell ref="K90:M90"/>
    <mergeCell ref="P90:S90"/>
    <mergeCell ref="T90:W90"/>
    <mergeCell ref="X90:Z90"/>
    <mergeCell ref="AA90:AH90"/>
    <mergeCell ref="AI90:AQ90"/>
    <mergeCell ref="AU90:AX90"/>
    <mergeCell ref="B91:C91"/>
    <mergeCell ref="D91:J91"/>
    <mergeCell ref="K91:M91"/>
    <mergeCell ref="P91:S91"/>
    <mergeCell ref="T91:W91"/>
    <mergeCell ref="X91:Z91"/>
    <mergeCell ref="AA91:AH91"/>
    <mergeCell ref="AI91:AQ91"/>
    <mergeCell ref="AU91:AX91"/>
    <mergeCell ref="K92:M92"/>
    <mergeCell ref="P92:S92"/>
    <mergeCell ref="T92:W92"/>
    <mergeCell ref="X92:Z92"/>
    <mergeCell ref="AA92:AH92"/>
    <mergeCell ref="AI92:AQ92"/>
    <mergeCell ref="AU92:AX92"/>
    <mergeCell ref="AY90:BB90"/>
    <mergeCell ref="BC90:BJ90"/>
    <mergeCell ref="AY91:BB91"/>
    <mergeCell ref="BC91:BJ91"/>
    <mergeCell ref="AY92:BB92"/>
    <mergeCell ref="BC92:BJ92"/>
    <mergeCell ref="B131:C133"/>
    <mergeCell ref="D131:J133"/>
    <mergeCell ref="K131:M133"/>
    <mergeCell ref="N131:N133"/>
    <mergeCell ref="O131:O133"/>
    <mergeCell ref="P131:AQ131"/>
    <mergeCell ref="AR131:BB131"/>
    <mergeCell ref="BC131:BJ133"/>
    <mergeCell ref="P132:W132"/>
    <mergeCell ref="X132:Z133"/>
    <mergeCell ref="AA132:AH133"/>
    <mergeCell ref="AI132:AQ133"/>
    <mergeCell ref="AR132:AR133"/>
    <mergeCell ref="AS132:AS133"/>
    <mergeCell ref="AT132:AT133"/>
    <mergeCell ref="AU132:BB132"/>
    <mergeCell ref="P133:S133"/>
    <mergeCell ref="T133:W133"/>
    <mergeCell ref="AU133:AX133"/>
    <mergeCell ref="AY133:BB133"/>
    <mergeCell ref="B92:C92"/>
    <mergeCell ref="D92:J92"/>
    <mergeCell ref="AY134:BB134"/>
    <mergeCell ref="BC134:BJ134"/>
    <mergeCell ref="B135:C135"/>
    <mergeCell ref="D135:J135"/>
    <mergeCell ref="K135:M135"/>
    <mergeCell ref="P135:S135"/>
    <mergeCell ref="T135:W135"/>
    <mergeCell ref="X135:Z135"/>
    <mergeCell ref="AA135:AH135"/>
    <mergeCell ref="AI135:AQ135"/>
    <mergeCell ref="AU135:AX135"/>
    <mergeCell ref="AY135:BB135"/>
    <mergeCell ref="BC135:BJ135"/>
    <mergeCell ref="B134:C134"/>
    <mergeCell ref="D134:J134"/>
    <mergeCell ref="K134:M134"/>
    <mergeCell ref="P134:S134"/>
    <mergeCell ref="T134:W134"/>
    <mergeCell ref="X134:Z134"/>
    <mergeCell ref="AA134:AH134"/>
    <mergeCell ref="AI134:AQ134"/>
    <mergeCell ref="AU134:AX134"/>
    <mergeCell ref="B136:C136"/>
    <mergeCell ref="D136:J136"/>
    <mergeCell ref="K136:M136"/>
    <mergeCell ref="P136:S136"/>
    <mergeCell ref="T136:W136"/>
    <mergeCell ref="X136:Z136"/>
    <mergeCell ref="AA136:AH136"/>
    <mergeCell ref="AI136:AQ136"/>
    <mergeCell ref="AU136:AX136"/>
    <mergeCell ref="AY136:BB136"/>
    <mergeCell ref="BC136:BJ136"/>
    <mergeCell ref="D137:J137"/>
    <mergeCell ref="K137:M137"/>
    <mergeCell ref="P137:S137"/>
    <mergeCell ref="T137:W137"/>
    <mergeCell ref="X137:Z137"/>
    <mergeCell ref="AA137:AH137"/>
    <mergeCell ref="AI137:AQ137"/>
    <mergeCell ref="AU137:AX137"/>
    <mergeCell ref="AY137:BB137"/>
    <mergeCell ref="BC137:BJ137"/>
    <mergeCell ref="BC138:BJ138"/>
    <mergeCell ref="D139:J139"/>
    <mergeCell ref="K139:M139"/>
    <mergeCell ref="P139:S139"/>
    <mergeCell ref="T139:W139"/>
    <mergeCell ref="X139:Z139"/>
    <mergeCell ref="AA139:AH139"/>
    <mergeCell ref="AI139:AQ139"/>
    <mergeCell ref="AU139:AX139"/>
    <mergeCell ref="AY139:BB139"/>
    <mergeCell ref="BC139:BJ139"/>
    <mergeCell ref="D138:J138"/>
    <mergeCell ref="K138:M138"/>
    <mergeCell ref="P138:S138"/>
    <mergeCell ref="T138:W138"/>
    <mergeCell ref="X138:Z138"/>
    <mergeCell ref="AA138:AH138"/>
    <mergeCell ref="AI138:AQ138"/>
    <mergeCell ref="AU138:AX138"/>
    <mergeCell ref="AY138:BB138"/>
    <mergeCell ref="BC140:BJ140"/>
    <mergeCell ref="D141:J141"/>
    <mergeCell ref="K141:M141"/>
    <mergeCell ref="P141:S141"/>
    <mergeCell ref="T141:W141"/>
    <mergeCell ref="X141:Z141"/>
    <mergeCell ref="AA141:AH141"/>
    <mergeCell ref="AI141:AQ141"/>
    <mergeCell ref="AU141:AX141"/>
    <mergeCell ref="AY141:BB141"/>
    <mergeCell ref="BC141:BJ141"/>
    <mergeCell ref="D140:J140"/>
    <mergeCell ref="K140:M140"/>
    <mergeCell ref="P140:S140"/>
    <mergeCell ref="T140:W140"/>
    <mergeCell ref="X140:Z140"/>
    <mergeCell ref="AA140:AH140"/>
    <mergeCell ref="AI140:AQ140"/>
    <mergeCell ref="AU140:AX140"/>
    <mergeCell ref="AY140:BB140"/>
    <mergeCell ref="BC142:BJ142"/>
    <mergeCell ref="D143:J143"/>
    <mergeCell ref="K143:M143"/>
    <mergeCell ref="P143:S143"/>
    <mergeCell ref="T143:W143"/>
    <mergeCell ref="X143:Z143"/>
    <mergeCell ref="AA143:AH143"/>
    <mergeCell ref="AI143:AQ143"/>
    <mergeCell ref="AU143:AX143"/>
    <mergeCell ref="AY143:BB143"/>
    <mergeCell ref="BC143:BJ143"/>
    <mergeCell ref="D142:J142"/>
    <mergeCell ref="K142:M142"/>
    <mergeCell ref="P142:S142"/>
    <mergeCell ref="T142:W142"/>
    <mergeCell ref="X142:Z142"/>
    <mergeCell ref="AA142:AH142"/>
    <mergeCell ref="AI142:AQ142"/>
    <mergeCell ref="AU142:AX142"/>
    <mergeCell ref="AY142:BB142"/>
    <mergeCell ref="BC144:BJ144"/>
    <mergeCell ref="D145:J145"/>
    <mergeCell ref="K145:M145"/>
    <mergeCell ref="P145:S145"/>
    <mergeCell ref="T145:W145"/>
    <mergeCell ref="X145:Z145"/>
    <mergeCell ref="AA145:AH145"/>
    <mergeCell ref="AI145:AQ145"/>
    <mergeCell ref="AU145:AX145"/>
    <mergeCell ref="AY145:BB145"/>
    <mergeCell ref="BC145:BJ145"/>
    <mergeCell ref="D144:J144"/>
    <mergeCell ref="K144:M144"/>
    <mergeCell ref="P144:S144"/>
    <mergeCell ref="T144:W144"/>
    <mergeCell ref="X144:Z144"/>
    <mergeCell ref="AA144:AH144"/>
    <mergeCell ref="AI144:AQ144"/>
    <mergeCell ref="AU144:AX144"/>
    <mergeCell ref="AY144:BB144"/>
    <mergeCell ref="AI148:AQ148"/>
    <mergeCell ref="AU148:AX148"/>
    <mergeCell ref="AY148:BB148"/>
    <mergeCell ref="BC146:BJ146"/>
    <mergeCell ref="D147:J147"/>
    <mergeCell ref="K147:M147"/>
    <mergeCell ref="P147:S147"/>
    <mergeCell ref="T147:W147"/>
    <mergeCell ref="X147:Z147"/>
    <mergeCell ref="AA147:AH147"/>
    <mergeCell ref="AI147:AQ147"/>
    <mergeCell ref="AU147:AX147"/>
    <mergeCell ref="AY147:BB147"/>
    <mergeCell ref="BC147:BJ147"/>
    <mergeCell ref="D146:J146"/>
    <mergeCell ref="K146:M146"/>
    <mergeCell ref="P146:S146"/>
    <mergeCell ref="T146:W146"/>
    <mergeCell ref="X146:Z146"/>
    <mergeCell ref="AA146:AH146"/>
    <mergeCell ref="AI146:AQ146"/>
    <mergeCell ref="AU146:AX146"/>
    <mergeCell ref="AY146:BB146"/>
    <mergeCell ref="P150:S150"/>
    <mergeCell ref="T150:W150"/>
    <mergeCell ref="X150:Z150"/>
    <mergeCell ref="AA150:AH150"/>
    <mergeCell ref="AI150:AQ150"/>
    <mergeCell ref="AU150:AX150"/>
    <mergeCell ref="AY150:BB150"/>
    <mergeCell ref="BC148:BJ148"/>
    <mergeCell ref="D149:J149"/>
    <mergeCell ref="K149:M149"/>
    <mergeCell ref="P149:S149"/>
    <mergeCell ref="T149:W149"/>
    <mergeCell ref="X149:Z149"/>
    <mergeCell ref="AA149:AH149"/>
    <mergeCell ref="AI149:AQ149"/>
    <mergeCell ref="AU149:AX149"/>
    <mergeCell ref="AY149:BB149"/>
    <mergeCell ref="BC149:BJ149"/>
    <mergeCell ref="D148:J148"/>
    <mergeCell ref="K148:M148"/>
    <mergeCell ref="P148:S148"/>
    <mergeCell ref="T148:W148"/>
    <mergeCell ref="X148:Z148"/>
    <mergeCell ref="AA148:AH148"/>
    <mergeCell ref="B152:C152"/>
    <mergeCell ref="D151:J151"/>
    <mergeCell ref="K151:M151"/>
    <mergeCell ref="P151:S151"/>
    <mergeCell ref="T151:W151"/>
    <mergeCell ref="X151:Z151"/>
    <mergeCell ref="AA151:AH151"/>
    <mergeCell ref="AI151:AQ151"/>
    <mergeCell ref="BC150:BJ150"/>
    <mergeCell ref="D152:J152"/>
    <mergeCell ref="K152:M152"/>
    <mergeCell ref="P152:S152"/>
    <mergeCell ref="T152:W152"/>
    <mergeCell ref="X152:Z152"/>
    <mergeCell ref="AA152:AH152"/>
    <mergeCell ref="AI152:AQ152"/>
    <mergeCell ref="AU152:AX152"/>
    <mergeCell ref="AY152:BB152"/>
    <mergeCell ref="BC152:BJ152"/>
    <mergeCell ref="AU151:AX151"/>
    <mergeCell ref="AY151:BB151"/>
    <mergeCell ref="BC151:BJ151"/>
    <mergeCell ref="D150:J150"/>
    <mergeCell ref="K150:M150"/>
    <mergeCell ref="B151:C151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</mergeCells>
  <dataValidations count="3">
    <dataValidation type="list" allowBlank="1" showInputMessage="1" showErrorMessage="1" sqref="O46:O48 O90:O92 AR90:AT92 AR143:AS143 AR144 O134:O152" xr:uid="{00000000-0002-0000-0200-000000000000}">
      <formula1>"－,●"</formula1>
    </dataValidation>
    <dataValidation type="list" allowBlank="1" showInputMessage="1" showErrorMessage="1" sqref="N47:N48 N91:N92 N134:N141 N150 N152" xr:uid="{00000000-0002-0000-0200-000001000000}">
      <formula1>"－,O,I"</formula1>
    </dataValidation>
    <dataValidation type="list" allowBlank="1" showInputMessage="1" showErrorMessage="1" sqref="N142:N149 N151" xr:uid="{00000000-0002-0000-0200-000002000000}">
      <formula1>"－,O,I,I/O"</formula1>
    </dataValidation>
  </dataValidations>
  <pageMargins left="0.7" right="0.7" top="0.75" bottom="0.75" header="0.3" footer="0.3"/>
  <pageSetup scale="2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02A36A-D0B2-42CA-8138-AE9EF7F48C75}"/>
</file>

<file path=customXml/itemProps2.xml><?xml version="1.0" encoding="utf-8"?>
<ds:datastoreItem xmlns:ds="http://schemas.openxmlformats.org/officeDocument/2006/customXml" ds:itemID="{FE2E556C-12EA-4045-BD62-A85A28948866}"/>
</file>

<file path=customXml/itemProps3.xml><?xml version="1.0" encoding="utf-8"?>
<ds:datastoreItem xmlns:ds="http://schemas.openxmlformats.org/officeDocument/2006/customXml" ds:itemID="{5442DDDD-CE1E-4140-9904-1D051A376116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表紙</vt:lpstr>
      <vt:lpstr>改訂履歴</vt:lpstr>
      <vt:lpstr>SC1001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2024-12-27T06:27:02Z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